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ark3\Dropbox\Teaching\Concordia College\[BUSN320] Business Statistics\"/>
    </mc:Choice>
  </mc:AlternateContent>
  <xr:revisionPtr revIDLastSave="0" documentId="13_ncr:1_{796661CD-6D12-4D64-A16E-2A4FD685200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6" r:id="rId1"/>
    <sheet name="Sheet1" sheetId="7" r:id="rId2"/>
    <sheet name="Sheet3" sheetId="8" r:id="rId3"/>
    <sheet name="Disneyland_Visitors" sheetId="1" r:id="rId4"/>
    <sheet name="Variable_Dictionary" sheetId="2" r:id="rId5"/>
    <sheet name="Course_Use_Map" sheetId="3" r:id="rId6"/>
    <sheet name="README" sheetId="4" r:id="rId7"/>
  </sheets>
  <definedNames>
    <definedName name="_xlchart.v1.0" hidden="1">Sheet1!$A$17</definedName>
    <definedName name="_xlchart.v1.1" hidden="1">Sheet1!$A$18:$A$77</definedName>
    <definedName name="_xlchart.v1.2" hidden="1">Sheet1!$B$17</definedName>
    <definedName name="_xlchart.v1.3" hidden="1">Sheet1!$B$18:$B$77</definedName>
    <definedName name="_xlchart.v1.4" hidden="1">Sheet1!$C$17</definedName>
    <definedName name="_xlchart.v1.5" hidden="1">Sheet1!$C$18:$C$77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7" l="1"/>
  <c r="N23" i="7"/>
  <c r="N22" i="7"/>
  <c r="N21" i="7"/>
  <c r="N20" i="7"/>
  <c r="H52" i="7"/>
  <c r="G52" i="7"/>
  <c r="F52" i="7"/>
  <c r="H51" i="7"/>
  <c r="G51" i="7"/>
  <c r="F51" i="7"/>
  <c r="R24" i="6"/>
  <c r="BE7" i="6"/>
  <c r="BD7" i="6"/>
  <c r="BC7" i="6"/>
  <c r="BB7" i="6"/>
  <c r="BA7" i="6"/>
  <c r="BA9" i="6"/>
  <c r="BB9" i="6"/>
  <c r="BC9" i="6"/>
  <c r="BD9" i="6"/>
  <c r="BE9" i="6"/>
  <c r="AZ9" i="6"/>
  <c r="BE8" i="6"/>
  <c r="BD8" i="6"/>
  <c r="BC8" i="6"/>
  <c r="BB8" i="6"/>
  <c r="BA8" i="6"/>
  <c r="AZ8" i="6"/>
  <c r="AS7" i="6"/>
  <c r="AT7" i="6"/>
  <c r="AU7" i="6"/>
  <c r="AV7" i="6"/>
  <c r="AR7" i="6"/>
  <c r="AR9" i="6"/>
  <c r="AS9" i="6"/>
  <c r="AT9" i="6"/>
  <c r="AU9" i="6"/>
  <c r="AU10" i="6" s="1"/>
  <c r="AV9" i="6"/>
  <c r="AV10" i="6" s="1"/>
  <c r="AR8" i="6"/>
  <c r="AR10" i="6" s="1"/>
  <c r="AS8" i="6"/>
  <c r="AS10" i="6" s="1"/>
  <c r="AT8" i="6"/>
  <c r="AT10" i="6" s="1"/>
  <c r="AU8" i="6"/>
  <c r="AV8" i="6"/>
  <c r="AQ9" i="6"/>
  <c r="AQ8" i="6"/>
  <c r="P52" i="6"/>
  <c r="P47" i="6"/>
  <c r="Q51" i="6" s="1"/>
  <c r="P48" i="6"/>
  <c r="P49" i="6"/>
  <c r="P50" i="6"/>
  <c r="P51" i="6"/>
  <c r="P55" i="6"/>
  <c r="P53" i="6"/>
  <c r="P54" i="6"/>
  <c r="P36" i="6"/>
  <c r="P37" i="6"/>
  <c r="P38" i="6"/>
  <c r="P39" i="6"/>
  <c r="P40" i="6"/>
  <c r="P41" i="6"/>
  <c r="P42" i="6"/>
  <c r="P43" i="6"/>
  <c r="P35" i="6"/>
  <c r="T10" i="6"/>
  <c r="O10" i="6"/>
  <c r="P9" i="6"/>
  <c r="P8" i="6"/>
  <c r="P7" i="6"/>
  <c r="Q47" i="6" l="1"/>
  <c r="Q48" i="6"/>
  <c r="Q49" i="6"/>
  <c r="Q50" i="6"/>
  <c r="Q54" i="6"/>
  <c r="Q53" i="6"/>
  <c r="Q52" i="6"/>
  <c r="Q55" i="6"/>
  <c r="P10" i="6"/>
</calcChain>
</file>

<file path=xl/sharedStrings.xml><?xml version="1.0" encoding="utf-8"?>
<sst xmlns="http://schemas.openxmlformats.org/spreadsheetml/2006/main" count="40316" uniqueCount="231">
  <si>
    <t>VisitorID</t>
  </si>
  <si>
    <t>HHID</t>
  </si>
  <si>
    <t>VisitDate</t>
  </si>
  <si>
    <t>DayOfWeek</t>
  </si>
  <si>
    <t>Month</t>
  </si>
  <si>
    <t>EntryTime</t>
  </si>
  <si>
    <t>EntryWindow</t>
  </si>
  <si>
    <t>Age</t>
  </si>
  <si>
    <t>Gender</t>
  </si>
  <si>
    <t>Height_in</t>
  </si>
  <si>
    <t>Weight_lb</t>
  </si>
  <si>
    <t>BMI</t>
  </si>
  <si>
    <t>EducationYears</t>
  </si>
  <si>
    <t>State</t>
  </si>
  <si>
    <t>GroupSize</t>
  </si>
  <si>
    <t>DistanceTraveled</t>
  </si>
  <si>
    <t>IncomeLevel</t>
  </si>
  <si>
    <t>FirstVisit</t>
  </si>
  <si>
    <t>TicketType</t>
  </si>
  <si>
    <t>FastPass</t>
  </si>
  <si>
    <t>StayAtResort</t>
  </si>
  <si>
    <t>EntryGate</t>
  </si>
  <si>
    <t>ParkingLot</t>
  </si>
  <si>
    <t>TimeInPark</t>
  </si>
  <si>
    <t>NumberOfRides</t>
  </si>
  <si>
    <t>TotalSpending</t>
  </si>
  <si>
    <t>Friday</t>
  </si>
  <si>
    <t>Morning</t>
  </si>
  <si>
    <t>Male</t>
  </si>
  <si>
    <t>IL</t>
  </si>
  <si>
    <t>Low</t>
  </si>
  <si>
    <t>Multi-Day</t>
  </si>
  <si>
    <t>Main Entrance</t>
  </si>
  <si>
    <t>None/Walked from Resort</t>
  </si>
  <si>
    <t>Female</t>
  </si>
  <si>
    <t>Tuesday</t>
  </si>
  <si>
    <t>Midday</t>
  </si>
  <si>
    <t>WA</t>
  </si>
  <si>
    <t>Park Hopper</t>
  </si>
  <si>
    <t>Mickey &amp; Friends</t>
  </si>
  <si>
    <t>Saturday</t>
  </si>
  <si>
    <t>NY</t>
  </si>
  <si>
    <t>Middle</t>
  </si>
  <si>
    <t>Pixar Pals</t>
  </si>
  <si>
    <t>Single-Day</t>
  </si>
  <si>
    <t>Downtown Disney Gate</t>
  </si>
  <si>
    <t>Monday</t>
  </si>
  <si>
    <t>CA</t>
  </si>
  <si>
    <t>High</t>
  </si>
  <si>
    <t>Toy Story Lot</t>
  </si>
  <si>
    <t>AZ</t>
  </si>
  <si>
    <t>Nonbinary/Other</t>
  </si>
  <si>
    <t>Wednesday</t>
  </si>
  <si>
    <t>CO</t>
  </si>
  <si>
    <t>FL</t>
  </si>
  <si>
    <t>Thursday</t>
  </si>
  <si>
    <t>NV</t>
  </si>
  <si>
    <t>None/Dropoff/Transit</t>
  </si>
  <si>
    <t>Sunday</t>
  </si>
  <si>
    <t>OR</t>
  </si>
  <si>
    <t>Other</t>
  </si>
  <si>
    <t>TX</t>
  </si>
  <si>
    <t>WI</t>
  </si>
  <si>
    <t>SD</t>
  </si>
  <si>
    <t>Hotel Guest Entrance</t>
  </si>
  <si>
    <t>MN</t>
  </si>
  <si>
    <t>UT</t>
  </si>
  <si>
    <t>ND</t>
  </si>
  <si>
    <t>Late Afternoon/Evening</t>
  </si>
  <si>
    <t>IA</t>
  </si>
  <si>
    <t>Variable</t>
  </si>
  <si>
    <t>Type</t>
  </si>
  <si>
    <t>Description</t>
  </si>
  <si>
    <t>Teaching Uses</t>
  </si>
  <si>
    <t>Identifier</t>
  </si>
  <si>
    <t>Unique individual visitor identifier.</t>
  </si>
  <si>
    <t>Counting, filtering, sampling, constructing daily visitor counts.</t>
  </si>
  <si>
    <t>Household identifier. Multiple visitors may share one HHID.</t>
  </si>
  <si>
    <t>Household clustering, sampling by household, independence discussions.</t>
  </si>
  <si>
    <t>Date</t>
  </si>
  <si>
    <t>Date of visit during calendar year 2026.</t>
  </si>
  <si>
    <t>Time trends, daily grouping, seasonal comparisons.</t>
  </si>
  <si>
    <t>Categorical</t>
  </si>
  <si>
    <t>Day of week for the visit.</t>
  </si>
  <si>
    <t>Weekend/weekday comparisons, bar charts, conditional probability.</t>
  </si>
  <si>
    <t>Numeric/Categorical</t>
  </si>
  <si>
    <t>Month of visit as 1 to 12.</t>
  </si>
  <si>
    <t>Seasonality, time trends, grouped summaries.</t>
  </si>
  <si>
    <t>Numeric</t>
  </si>
  <si>
    <t>Time of park entry in 24-hour decimal format. Example: 9.50 = 9:30 AM.</t>
  </si>
  <si>
    <t>Histograms, summary statistics, relationship with time in park.</t>
  </si>
  <si>
    <t>Entry time grouped as Morning, Midday, or Late Afternoon/Evening.</t>
  </si>
  <si>
    <t>Contingency tables, conditional probability, group comparisons.</t>
  </si>
  <si>
    <t>Age of visitor in years.</t>
  </si>
  <si>
    <t>Histograms, descriptive statistics, subgroup analysis.</t>
  </si>
  <si>
    <t>Visitor gender category.</t>
  </si>
  <si>
    <t>Bar charts, cross-tabs, group summaries.</t>
  </si>
  <si>
    <t>Visitor height in inches.</t>
  </si>
  <si>
    <t>Histograms, normal-like distributions, correlation with weight.</t>
  </si>
  <si>
    <t>Visitor weight in pounds.</t>
  </si>
  <si>
    <t>Histograms, correlation, scatterplots.</t>
  </si>
  <si>
    <t>Approximate body mass index, included as a measured/recorded field.</t>
  </si>
  <si>
    <t>Derived-variable discussion, correlation, data redundancy.</t>
  </si>
  <si>
    <t>Years of completed education.</t>
  </si>
  <si>
    <t>Histograms, association with income, group comparisons.</t>
  </si>
  <si>
    <t>Visitor state or Other.</t>
  </si>
  <si>
    <t>Geographic summaries, bar charts, distance comparisons.</t>
  </si>
  <si>
    <t>Number of people in the household/group associated with the visit.</t>
  </si>
  <si>
    <t>Descriptive stats, probability, spending comparisons.</t>
  </si>
  <si>
    <t>Approximate travel distance to Disneyland in miles.</t>
  </si>
  <si>
    <t>Histograms, skewness, relationship with first visit/resort stay.</t>
  </si>
  <si>
    <t>Broad household income category.</t>
  </si>
  <si>
    <t>Conditional probability, comparisons, regression predictor.</t>
  </si>
  <si>
    <t>Binary</t>
  </si>
  <si>
    <t>Equals 1 if this is the visitor’s first Disneyland visit, 0 otherwise.</t>
  </si>
  <si>
    <t>Binary variables, probability, spending comparisons.</t>
  </si>
  <si>
    <t>Single-Day, Multi-Day, or Park Hopper ticket.</t>
  </si>
  <si>
    <t>Bar charts, conditional probability, group comparisons.</t>
  </si>
  <si>
    <t>Equals 1 if visitor used a line-skipping/pass option, 0 otherwise.</t>
  </si>
  <si>
    <t>Probability, two-sample comparisons, regression predictor.</t>
  </si>
  <si>
    <t>Equals 1 if visitor stayed at a Disney-area resort, 0 otherwise.</t>
  </si>
  <si>
    <t>Group comparisons, spending and stay duration analysis.</t>
  </si>
  <si>
    <t>Gate or entrance used by the visitor.</t>
  </si>
  <si>
    <t>Categorical summaries, logistics analysis.</t>
  </si>
  <si>
    <t>Parking lot or arrival mode category.</t>
  </si>
  <si>
    <t>Categorical summaries, operational context.</t>
  </si>
  <si>
    <t>Total time spent in the park, measured in hours.</t>
  </si>
  <si>
    <t>Histograms, confidence intervals, regression predictor.</t>
  </si>
  <si>
    <t>Numeric Count</t>
  </si>
  <si>
    <t>Number of rides experienced during the visit.</t>
  </si>
  <si>
    <t>Discrete distributions, histograms, count outcomes.</t>
  </si>
  <si>
    <t>Numeric Currency</t>
  </si>
  <si>
    <t>Total spending by visitor during the visit.</t>
  </si>
  <si>
    <t>Skewed distributions, inference, regression outcome.</t>
  </si>
  <si>
    <t>Course Topic</t>
  </si>
  <si>
    <t>Example Variables</t>
  </si>
  <si>
    <t>Suggested Student Task</t>
  </si>
  <si>
    <t>Descriptive statistics and visualization</t>
  </si>
  <si>
    <t>EntryTime, Age, DistanceTraveled, TotalSpending</t>
  </si>
  <si>
    <t>Create histograms and compare mean, median, standard deviation, and skewness.</t>
  </si>
  <si>
    <t>Probability</t>
  </si>
  <si>
    <t>FastPass, StayAtResort, IncomeLevel, TicketType</t>
  </si>
  <si>
    <t>Compute simple and conditional probabilities using filters or pivot tables.</t>
  </si>
  <si>
    <t>Discrete distributions</t>
  </si>
  <si>
    <t>NumberOfRides, GroupSize</t>
  </si>
  <si>
    <t>Summarize count outcomes and compare empirical probabilities.</t>
  </si>
  <si>
    <t>Continuous distributions</t>
  </si>
  <si>
    <t>Height_in, EntryTime, TimeInPark, TotalSpending</t>
  </si>
  <si>
    <t>Discuss shape, center, spread, and deviations from normality.</t>
  </si>
  <si>
    <t>Sampling and sampling distributions</t>
  </si>
  <si>
    <t>VisitorID, HHID, VisitDate</t>
  </si>
  <si>
    <t>Draw repeated samples by individual, household, or date and compare sample means.</t>
  </si>
  <si>
    <t>Confidence intervals</t>
  </si>
  <si>
    <t>TimeInPark, TotalSpending, NumberOfRides</t>
  </si>
  <si>
    <t>Construct and interpret intervals for average visitor behavior.</t>
  </si>
  <si>
    <t>Hypothesis testing</t>
  </si>
  <si>
    <t>FastPass vs no FastPass, Resort vs non-resort, Weekend vs weekday</t>
  </si>
  <si>
    <t>Test differences in means or proportions using clean group comparisons.</t>
  </si>
  <si>
    <t>Correlation and regression</t>
  </si>
  <si>
    <t>TotalSpending, TimeInPark, NumberOfRides, IncomeLevel</t>
  </si>
  <si>
    <t>Estimate relationships while emphasizing randomness and non-deterministic patterns.</t>
  </si>
  <si>
    <t>Student-created variables</t>
  </si>
  <si>
    <t>VisitorID + VisitDate</t>
  </si>
  <si>
    <t>Create daily visitor counts or entry-time bins rather than receiving them pre-built.</t>
  </si>
  <si>
    <t>BUSN 320 Disneyland Visitors Teaching Dataset</t>
  </si>
  <si>
    <t>Synthetic dataset created for BUSN 320 Business Statistics. The dataset is designed to resemble internal visitor analytics data while remaining clean, non-identifying, and fully fictional.</t>
  </si>
  <si>
    <t>Rows</t>
  </si>
  <si>
    <t>5,000 individual visitors. Multiple visitors may share a household ID.</t>
  </si>
  <si>
    <t>Important note</t>
  </si>
  <si>
    <t>Daily visitor counts are intentionally not included. Students should construct them using VisitorID and VisitDate.</t>
  </si>
  <si>
    <t>Design note</t>
  </si>
  <si>
    <t>Relationships are probabilistic: spending, time in park, rides, resort stays, and logistics are related but never perfectly deterministic.</t>
  </si>
  <si>
    <t>Suggested first use</t>
  </si>
  <si>
    <t>Begin with EntryTime, Age, DistanceTraveled, TimeInPark, NumberOfRides, and TotalSpending for visualizations and descriptive statistics.</t>
  </si>
  <si>
    <t>Row Labels</t>
  </si>
  <si>
    <t>Grand Total</t>
  </si>
  <si>
    <t>Count of VisitorID</t>
  </si>
  <si>
    <t>Entrance</t>
  </si>
  <si>
    <t>Frequency</t>
  </si>
  <si>
    <t>Relative
Frequency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</si>
  <si>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</si>
  <si>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</si>
  <si>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</si>
  <si>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</si>
  <si>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</si>
  <si>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</si>
  <si>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</si>
  <si>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</si>
  <si>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</si>
  <si>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Cumulative 
Frequency</t>
  </si>
  <si>
    <t>Percent 
Frequency</t>
  </si>
  <si>
    <t>Cumulative Percent 
Frequency</t>
  </si>
  <si>
    <t>Column Labels</t>
  </si>
  <si>
    <t>50-150</t>
  </si>
  <si>
    <t>150-250</t>
  </si>
  <si>
    <t>250-350</t>
  </si>
  <si>
    <t>350-450</t>
  </si>
  <si>
    <t>450-550</t>
  </si>
  <si>
    <t>550-650</t>
  </si>
  <si>
    <t>$50-150</t>
  </si>
  <si>
    <t>$150-250</t>
  </si>
  <si>
    <t>$250-350</t>
  </si>
  <si>
    <t>$350-450</t>
  </si>
  <si>
    <t>$450-550</t>
  </si>
  <si>
    <t>$550-650</t>
  </si>
  <si>
    <t>Total</t>
  </si>
  <si>
    <t>Entry Time</t>
  </si>
  <si>
    <t>Row totals show the total number of observations in each row.</t>
  </si>
  <si>
    <t>Column totals show the total number of observations in each column.</t>
  </si>
  <si>
    <t>Each cell shows the number of observations in that combination.</t>
  </si>
  <si>
    <t>Each row represents a class of one variable.</t>
  </si>
  <si>
    <t>Each column represents a class of the other variable.</t>
  </si>
  <si>
    <t>Grand total equals the sample size.</t>
  </si>
  <si>
    <t>431/777
=0.555</t>
  </si>
  <si>
    <t>431/3135
=0.1375</t>
  </si>
  <si>
    <t>Course</t>
  </si>
  <si>
    <t>Credits</t>
  </si>
  <si>
    <t>ECON 201</t>
  </si>
  <si>
    <t>BUSN 320</t>
  </si>
  <si>
    <t>BUSN 390</t>
  </si>
  <si>
    <t>Course GPA</t>
  </si>
  <si>
    <t>?</t>
  </si>
  <si>
    <t>Term GPA</t>
  </si>
  <si>
    <t>PSC 335</t>
  </si>
  <si>
    <t>Positive Skew</t>
  </si>
  <si>
    <t>Negative Skew</t>
  </si>
  <si>
    <t>Symmetric Bell-Shaped</t>
  </si>
  <si>
    <t>Guest ID</t>
  </si>
  <si>
    <t>X</t>
  </si>
  <si>
    <t>Y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</si>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</sst>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66" formatCode="\$#,##0.00"/>
    <numFmt numFmtId="167" formatCode="0.000"/>
  </numFmts>
  <fonts count="16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name val="Garamond"/>
      <family val="1"/>
    </font>
    <font>
      <b/>
      <sz val="12"/>
      <name val="Garamond"/>
      <family val="1"/>
    </font>
    <font>
      <sz val="11"/>
      <name val="Carlito"/>
    </font>
    <font>
      <sz val="11"/>
      <color theme="0"/>
      <name val="Garamond"/>
      <family val="1"/>
    </font>
    <font>
      <sz val="8"/>
      <name val="Carlito"/>
    </font>
    <font>
      <sz val="12"/>
      <name val="Garamond"/>
      <family val="1"/>
    </font>
    <font>
      <sz val="9"/>
      <name val="Garamond"/>
      <family val="1"/>
    </font>
    <font>
      <sz val="8"/>
      <name val="Garamond"/>
      <family val="1"/>
    </font>
    <font>
      <sz val="11"/>
      <color rgb="FFFF0000"/>
      <name val="Garamond"/>
      <family val="1"/>
    </font>
    <font>
      <b/>
      <sz val="11"/>
      <color theme="1"/>
      <name val="Carlito"/>
    </font>
    <font>
      <b/>
      <sz val="11"/>
      <color theme="1"/>
      <name val="Rockwell"/>
      <family val="1"/>
    </font>
    <font>
      <sz val="11"/>
      <color theme="1"/>
      <name val="Rockwell"/>
      <family val="1"/>
    </font>
    <font>
      <sz val="11"/>
      <color theme="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4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67" fontId="3" fillId="3" borderId="0" xfId="0" applyNumberFormat="1" applyFont="1" applyFill="1" applyAlignment="1">
      <alignment horizontal="center" vertical="center"/>
    </xf>
    <xf numFmtId="167" fontId="3" fillId="3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167" fontId="3" fillId="3" borderId="3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1" fontId="3" fillId="3" borderId="0" xfId="0" applyNumberFormat="1" applyFont="1" applyFill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10" fontId="3" fillId="3" borderId="0" xfId="1" applyNumberFormat="1" applyFont="1" applyFill="1" applyBorder="1" applyAlignment="1">
      <alignment horizontal="center" vertical="center"/>
    </xf>
    <xf numFmtId="10" fontId="3" fillId="3" borderId="4" xfId="1" applyNumberFormat="1" applyFont="1" applyFill="1" applyBorder="1" applyAlignment="1">
      <alignment horizontal="center" vertical="center"/>
    </xf>
    <xf numFmtId="10" fontId="6" fillId="3" borderId="0" xfId="1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13" fillId="10" borderId="6" xfId="0" applyFont="1" applyFill="1" applyBorder="1" applyAlignment="1">
      <alignment horizontal="center"/>
    </xf>
    <xf numFmtId="0" fontId="14" fillId="10" borderId="6" xfId="0" applyFont="1" applyFill="1" applyBorder="1" applyAlignment="1">
      <alignment horizontal="center"/>
    </xf>
    <xf numFmtId="0" fontId="15" fillId="10" borderId="6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[BUSN320_Disneyland_Visitors_Dataset.xlsx]Sheet2!PivotTable6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</a:t>
            </a:r>
            <a:r>
              <a:rPr lang="en-US" baseline="0"/>
              <a:t> of Guests by Gate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30A-4768-B43C-23CF224DF85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30A-4768-B43C-23CF224DF85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30A-4768-B43C-23CF224DF857}"/>
              </c:ext>
            </c:extLst>
          </c:dPt>
          <c:cat>
            <c:strRef>
              <c:f>Sheet2!$A$2:$A$5</c:f>
              <c:strCache>
                <c:ptCount val="3"/>
                <c:pt idx="0">
                  <c:v>Main Entrance</c:v>
                </c:pt>
                <c:pt idx="1">
                  <c:v>Downtown Disney Gate</c:v>
                </c:pt>
                <c:pt idx="2">
                  <c:v>Hotel Guest Entrance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3"/>
                <c:pt idx="0">
                  <c:v>21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C-4E7C-8E8C-B99CF1CE6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[BUSN320_Disneyland_Visitors_Dataset.xlsx]Sheet3!PivotTable1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50-150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Morning</c:v>
                </c:pt>
                <c:pt idx="1">
                  <c:v>Midday</c:v>
                </c:pt>
                <c:pt idx="2">
                  <c:v>Late Afternoon/Evening</c:v>
                </c:pt>
              </c:strCache>
            </c:strRef>
          </c:cat>
          <c:val>
            <c:numRef>
              <c:f>Sheet3!$B$5:$B$8</c:f>
              <c:numCache>
                <c:formatCode>General</c:formatCode>
                <c:ptCount val="3"/>
                <c:pt idx="0">
                  <c:v>431</c:v>
                </c:pt>
                <c:pt idx="1">
                  <c:v>341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D-4EAF-9B65-BEB62E484D69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150-250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Morning</c:v>
                </c:pt>
                <c:pt idx="1">
                  <c:v>Midday</c:v>
                </c:pt>
                <c:pt idx="2">
                  <c:v>Late Afternoon/Evening</c:v>
                </c:pt>
              </c:strCache>
            </c:strRef>
          </c:cat>
          <c:val>
            <c:numRef>
              <c:f>Sheet3!$C$5:$C$8</c:f>
              <c:numCache>
                <c:formatCode>General</c:formatCode>
                <c:ptCount val="3"/>
                <c:pt idx="0">
                  <c:v>1514</c:v>
                </c:pt>
                <c:pt idx="1">
                  <c:v>897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3D-4EAF-9B65-BEB62E484D69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250-350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Morning</c:v>
                </c:pt>
                <c:pt idx="1">
                  <c:v>Midday</c:v>
                </c:pt>
                <c:pt idx="2">
                  <c:v>Late Afternoon/Evening</c:v>
                </c:pt>
              </c:strCache>
            </c:strRef>
          </c:cat>
          <c:val>
            <c:numRef>
              <c:f>Sheet3!$D$5:$D$8</c:f>
              <c:numCache>
                <c:formatCode>General</c:formatCode>
                <c:ptCount val="3"/>
                <c:pt idx="0">
                  <c:v>873</c:v>
                </c:pt>
                <c:pt idx="1">
                  <c:v>464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3D-4EAF-9B65-BEB62E484D69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350-450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Morning</c:v>
                </c:pt>
                <c:pt idx="1">
                  <c:v>Midday</c:v>
                </c:pt>
                <c:pt idx="2">
                  <c:v>Late Afternoon/Evening</c:v>
                </c:pt>
              </c:strCache>
            </c:strRef>
          </c:cat>
          <c:val>
            <c:numRef>
              <c:f>Sheet3!$E$5:$E$8</c:f>
              <c:numCache>
                <c:formatCode>General</c:formatCode>
                <c:ptCount val="3"/>
                <c:pt idx="0">
                  <c:v>239</c:v>
                </c:pt>
                <c:pt idx="1">
                  <c:v>110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3D-4EAF-9B65-BEB62E484D69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450-550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Morning</c:v>
                </c:pt>
                <c:pt idx="1">
                  <c:v>Midday</c:v>
                </c:pt>
                <c:pt idx="2">
                  <c:v>Late Afternoon/Evening</c:v>
                </c:pt>
              </c:strCache>
            </c:strRef>
          </c:cat>
          <c:val>
            <c:numRef>
              <c:f>Sheet3!$F$5:$F$8</c:f>
              <c:numCache>
                <c:formatCode>General</c:formatCode>
                <c:ptCount val="3"/>
                <c:pt idx="0">
                  <c:v>57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3D-4EAF-9B65-BEB62E484D69}"/>
            </c:ext>
          </c:extLst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550-650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Morning</c:v>
                </c:pt>
                <c:pt idx="1">
                  <c:v>Midday</c:v>
                </c:pt>
                <c:pt idx="2">
                  <c:v>Late Afternoon/Evening</c:v>
                </c:pt>
              </c:strCache>
            </c:strRef>
          </c:cat>
          <c:val>
            <c:numRef>
              <c:f>Sheet3!$G$5:$G$8</c:f>
              <c:numCache>
                <c:formatCode>General</c:formatCode>
                <c:ptCount val="3"/>
                <c:pt idx="0">
                  <c:v>21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3D-4EAF-9B65-BEB62E484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61273920"/>
        <c:axId val="861274400"/>
      </c:barChart>
      <c:catAx>
        <c:axId val="86127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274400"/>
        <c:crosses val="autoZero"/>
        <c:auto val="1"/>
        <c:lblAlgn val="ctr"/>
        <c:lblOffset val="100"/>
        <c:noMultiLvlLbl val="0"/>
      </c:catAx>
      <c:valAx>
        <c:axId val="86127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27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Garamond" panose="02020404030301010803" pitchFamily="18" charset="0"/>
              <a:ea typeface="Garamond" panose="02020404030301010803" pitchFamily="18" charset="0"/>
              <a:cs typeface="Garamond" panose="02020404030301010803" pitchFamily="18" charset="0"/>
            </a:defRPr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Garamond" panose="02020404030301010803" pitchFamily="18" charset="0"/>
              <a:ea typeface="Calibri"/>
              <a:cs typeface="Calibri"/>
            </a:rPr>
            <a:t>Distribution A</a:t>
          </a:r>
        </a:p>
      </cx:txPr>
    </cx:title>
    <cx:plotArea>
      <cx:plotAreaRegion>
        <cx:series layoutId="clusteredColumn" uniqueId="{719585D0-1932-40BC-AC87-80BAC5F09073}">
          <cx:tx>
            <cx:txData>
              <cx:f>_xlchart.v1.0</cx:f>
              <cx:v>Symmetric Bell-Shaped</cx:v>
            </cx:txData>
          </cx:tx>
          <cx:spPr>
            <a:solidFill>
              <a:srgbClr val="C00000"/>
            </a:solidFill>
          </cx:spPr>
          <cx:dataId val="0"/>
          <cx:layoutPr>
            <cx:binning intervalClosed="r" underflow="30" overflow="70">
              <cx:binSize val="5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>
              <a:latin typeface="Garamond" panose="02020404030301010803" pitchFamily="18" charset="0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>
              <a:latin typeface="Garamond" panose="02020404030301010803" pitchFamily="18" charset="0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Distribution B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Garamond" panose="02020404030301010803" pitchFamily="18" charset="0"/>
              <a:ea typeface="Garamond" panose="02020404030301010803" pitchFamily="18" charset="0"/>
              <a:cs typeface="Garamond" panose="02020404030301010803" pitchFamily="18" charset="0"/>
            </a:defRPr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Garamond" panose="02020404030301010803" pitchFamily="18" charset="0"/>
              <a:ea typeface="Calibri"/>
              <a:cs typeface="Calibri"/>
            </a:rPr>
            <a:t>Distribution B</a:t>
          </a:r>
        </a:p>
      </cx:txPr>
    </cx:title>
    <cx:plotArea>
      <cx:plotAreaRegion>
        <cx:series layoutId="clusteredColumn" uniqueId="{80843B51-4349-4F9C-9DC5-CBE0A9149A8E}">
          <cx:tx>
            <cx:txData>
              <cx:f>_xlchart.v1.2</cx:f>
              <cx:v>Positive Skew</cx:v>
            </cx:txData>
          </cx:tx>
          <cx:spPr>
            <a:solidFill>
              <a:srgbClr val="0070C0"/>
            </a:solidFill>
          </cx:spPr>
          <cx:dataId val="0"/>
          <cx:layoutPr>
            <cx:binning intervalClosed="r" underflow="45" overflow="80">
              <cx:binSize val="5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>
              <a:latin typeface="Garamond" panose="02020404030301010803" pitchFamily="18" charset="0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>
              <a:latin typeface="Garamond" panose="02020404030301010803" pitchFamily="18" charset="0"/>
            </a:endParaRPr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Distribution 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Garamond" panose="02020404030301010803" pitchFamily="18" charset="0"/>
              <a:ea typeface="Garamond" panose="02020404030301010803" pitchFamily="18" charset="0"/>
              <a:cs typeface="Garamond" panose="02020404030301010803" pitchFamily="18" charset="0"/>
            </a:defRPr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Garamond" panose="02020404030301010803" pitchFamily="18" charset="0"/>
              <a:ea typeface="Calibri"/>
              <a:cs typeface="Calibri"/>
            </a:rPr>
            <a:t>Distribution C</a:t>
          </a:r>
        </a:p>
      </cx:txPr>
    </cx:title>
    <cx:plotArea>
      <cx:plotAreaRegion>
        <cx:series layoutId="clusteredColumn" uniqueId="{868D2078-4FB2-416C-A06C-75D026F41F1C}">
          <cx:tx>
            <cx:txData>
              <cx:f>_xlchart.v1.4</cx:f>
              <cx:v>Negative Skew</cx:v>
            </cx:txData>
          </cx:tx>
          <cx:spPr>
            <a:solidFill>
              <a:schemeClr val="accent6">
                <a:lumMod val="75000"/>
              </a:schemeClr>
            </a:solidFill>
          </cx:spPr>
          <cx:dataId val="0"/>
          <cx:layoutPr>
            <cx:binning intervalClosed="r" underflow="20" overflow="60">
              <cx:binSize val="5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>
              <a:latin typeface="Garamond" panose="02020404030301010803" pitchFamily="18" charset="0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>
              <a:latin typeface="Garamond" panose="02020404030301010803" pitchFamily="18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457200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44D1C6-AC52-518D-992A-E2F536865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241852</xdr:colOff>
      <xdr:row>54</xdr:row>
      <xdr:rowOff>165652</xdr:rowOff>
    </xdr:from>
    <xdr:to>
      <xdr:col>11</xdr:col>
      <xdr:colOff>0</xdr:colOff>
      <xdr:row>70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3B81AA6-3A3E-F96D-D439-00B5BA65E2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80402" y="9947827"/>
              <a:ext cx="4687956" cy="28823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218661</xdr:colOff>
      <xdr:row>71</xdr:row>
      <xdr:rowOff>99390</xdr:rowOff>
    </xdr:from>
    <xdr:to>
      <xdr:col>11</xdr:col>
      <xdr:colOff>0</xdr:colOff>
      <xdr:row>87</xdr:row>
      <xdr:rowOff>86138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17E67C0-1750-4159-9B10-DD319A3A80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57211" y="12958140"/>
              <a:ext cx="4687956" cy="28823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0</xdr:colOff>
      <xdr:row>55</xdr:row>
      <xdr:rowOff>0</xdr:rowOff>
    </xdr:from>
    <xdr:to>
      <xdr:col>14</xdr:col>
      <xdr:colOff>0</xdr:colOff>
      <xdr:row>70</xdr:row>
      <xdr:rowOff>159026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B1D477F-CF8E-4CCB-A02D-10C90BC522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24950" y="9963150"/>
              <a:ext cx="4671392" cy="28736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9</xdr:col>
      <xdr:colOff>553748</xdr:colOff>
      <xdr:row>18</xdr:row>
      <xdr:rowOff>190067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C5704E0-B323-4A40-7734-E27808283975}"/>
            </a:ext>
          </a:extLst>
        </xdr:cNvPr>
        <xdr:cNvSpPr txBox="1"/>
      </xdr:nvSpPr>
      <xdr:spPr>
        <a:xfrm>
          <a:off x="7831714" y="346320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11</xdr:col>
      <xdr:colOff>1</xdr:colOff>
      <xdr:row>18</xdr:row>
      <xdr:rowOff>8225</xdr:rowOff>
    </xdr:from>
    <xdr:ext cx="571499" cy="16626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1D73216-C8C3-4FB2-69F2-3787978AC66B}"/>
                </a:ext>
              </a:extLst>
            </xdr:cNvPr>
            <xdr:cNvSpPr txBox="1"/>
          </xdr:nvSpPr>
          <xdr:spPr>
            <a:xfrm>
              <a:off x="9277756" y="3291310"/>
              <a:ext cx="571499" cy="1662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nor/>
                              </m:rPr>
                              <a:rPr lang="en-US" sz="1100">
                                <a:solidFill>
                                  <a:schemeClr val="tx1"/>
                                </a:solidFill>
                                <a:effectLst/>
                                <a:latin typeface="Rockwell" panose="02060603020205020403" pitchFamily="18" charset="0"/>
                                <a:ea typeface="+mn-ea"/>
                                <a:cs typeface="+mn-cs"/>
                              </a:rPr>
                              <m:t>x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m:rPr>
                                <m:nor/>
                              </m:rPr>
                              <a:rPr lang="en-US" sz="1100">
                                <a:solidFill>
                                  <a:schemeClr val="tx1"/>
                                </a:solidFill>
                                <a:effectLst/>
                                <a:latin typeface="Rockwell" panose="02060603020205020403" pitchFamily="18" charset="0"/>
                                <a:ea typeface="+mn-ea"/>
                                <a:cs typeface="+mn-cs"/>
                              </a:rPr>
                              <m:t>x</m:t>
                            </m:r>
                          </m:e>
                        </m:acc>
                      </m:e>
                    </m:d>
                  </m:oMath>
                </m:oMathPara>
              </a14:m>
              <a:endParaRPr lang="en-US" sz="1100" kern="1200">
                <a:latin typeface="Rockwell" panose="02060603020205020403" pitchFamily="18" charset="0"/>
              </a:endParaRPr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1D73216-C8C3-4FB2-69F2-3787978AC66B}"/>
                </a:ext>
              </a:extLst>
            </xdr:cNvPr>
            <xdr:cNvSpPr txBox="1"/>
          </xdr:nvSpPr>
          <xdr:spPr>
            <a:xfrm>
              <a:off x="9277756" y="3291310"/>
              <a:ext cx="571499" cy="1662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("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Rockwell" panose="02060603020205020403" pitchFamily="18" charset="0"/>
                  <a:ea typeface="+mn-ea"/>
                  <a:cs typeface="+mn-cs"/>
                </a:rPr>
                <a:t>x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_𝑖−"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Rockwell" panose="02060603020205020403" pitchFamily="18" charset="0"/>
                  <a:ea typeface="+mn-ea"/>
                  <a:cs typeface="+mn-cs"/>
                </a:rPr>
                <a:t>x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 ̅ )</a:t>
              </a:r>
              <a:endParaRPr lang="en-US" sz="1100" kern="1200">
                <a:latin typeface="Rockwell" panose="02060603020205020403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1558</xdr:colOff>
      <xdr:row>18</xdr:row>
      <xdr:rowOff>9092</xdr:rowOff>
    </xdr:from>
    <xdr:ext cx="569941" cy="16626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81F8DD5-D4BF-402D-A80E-200B56DEF19F}"/>
                </a:ext>
              </a:extLst>
            </xdr:cNvPr>
            <xdr:cNvSpPr txBox="1"/>
          </xdr:nvSpPr>
          <xdr:spPr>
            <a:xfrm>
              <a:off x="9858920" y="3292177"/>
              <a:ext cx="569941" cy="1662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nor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Rockwell" panose="02060603020205020403" pitchFamily="18" charset="0"/>
                                <a:ea typeface="+mn-ea"/>
                                <a:cs typeface="+mn-cs"/>
                              </a:rPr>
                              <m:t>y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m:rPr>
                                <m:nor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Rockwell" panose="02060603020205020403" pitchFamily="18" charset="0"/>
                                <a:ea typeface="+mn-ea"/>
                                <a:cs typeface="+mn-cs"/>
                              </a:rPr>
                              <m:t>y</m:t>
                            </m:r>
                          </m:e>
                        </m:acc>
                      </m:e>
                    </m:d>
                  </m:oMath>
                </m:oMathPara>
              </a14:m>
              <a:endParaRPr lang="en-US" sz="1100" kern="1200">
                <a:latin typeface="Rockwell" panose="02060603020205020403" pitchFamily="18" charset="0"/>
              </a:endParaRPr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81F8DD5-D4BF-402D-A80E-200B56DEF19F}"/>
                </a:ext>
              </a:extLst>
            </xdr:cNvPr>
            <xdr:cNvSpPr txBox="1"/>
          </xdr:nvSpPr>
          <xdr:spPr>
            <a:xfrm>
              <a:off x="9858920" y="3292177"/>
              <a:ext cx="569941" cy="1662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("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Rockwell" panose="02060603020205020403" pitchFamily="18" charset="0"/>
                  <a:ea typeface="+mn-ea"/>
                  <a:cs typeface="+mn-cs"/>
                </a:rPr>
                <a:t>y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𝑖−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Rockwell" panose="02060603020205020403" pitchFamily="18" charset="0"/>
                  <a:ea typeface="+mn-ea"/>
                  <a:cs typeface="+mn-cs"/>
                </a:rPr>
                <a:t>y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 ̅ )</a:t>
              </a:r>
              <a:endParaRPr lang="en-US" sz="1100" kern="1200">
                <a:latin typeface="Rockwell" panose="02060603020205020403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0</xdr:colOff>
      <xdr:row>18</xdr:row>
      <xdr:rowOff>190067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24C2915-FF4A-43E3-9730-31071B284ACA}"/>
            </a:ext>
          </a:extLst>
        </xdr:cNvPr>
        <xdr:cNvSpPr txBox="1"/>
      </xdr:nvSpPr>
      <xdr:spPr>
        <a:xfrm>
          <a:off x="7392495" y="3473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13</xdr:col>
      <xdr:colOff>1</xdr:colOff>
      <xdr:row>18</xdr:row>
      <xdr:rowOff>32543</xdr:rowOff>
    </xdr:from>
    <xdr:ext cx="875488" cy="135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48E91A1-1ED9-4930-A4B5-ACA2A523C859}"/>
                </a:ext>
              </a:extLst>
            </xdr:cNvPr>
            <xdr:cNvSpPr txBox="1"/>
          </xdr:nvSpPr>
          <xdr:spPr>
            <a:xfrm>
              <a:off x="10436969" y="3315628"/>
              <a:ext cx="875488" cy="135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sz="9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9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nor/>
                              </m:rPr>
                              <a:rPr lang="en-US" sz="900">
                                <a:solidFill>
                                  <a:schemeClr val="tx1"/>
                                </a:solidFill>
                                <a:effectLst/>
                                <a:latin typeface="Rockwell" panose="02060603020205020403" pitchFamily="18" charset="0"/>
                                <a:ea typeface="+mn-ea"/>
                                <a:cs typeface="+mn-cs"/>
                              </a:rPr>
                              <m:t>x</m:t>
                            </m:r>
                          </m:e>
                          <m:sub>
                            <m:r>
                              <a:rPr lang="en-US" sz="9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en-US" sz="9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n-US" sz="9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m:rPr>
                                <m:nor/>
                              </m:rPr>
                              <a:rPr lang="en-US" sz="900">
                                <a:solidFill>
                                  <a:schemeClr val="tx1"/>
                                </a:solidFill>
                                <a:effectLst/>
                                <a:latin typeface="Rockwell" panose="02060603020205020403" pitchFamily="18" charset="0"/>
                                <a:ea typeface="+mn-ea"/>
                                <a:cs typeface="+mn-cs"/>
                              </a:rPr>
                              <m:t>x</m:t>
                            </m:r>
                          </m:e>
                        </m:acc>
                      </m:e>
                    </m:d>
                    <m:d>
                      <m:dPr>
                        <m:ctrlPr>
                          <a:rPr lang="en-US" sz="9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9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nor/>
                              </m:rPr>
                              <a:rPr lang="en-US" sz="900" b="0" i="0">
                                <a:solidFill>
                                  <a:schemeClr val="tx1"/>
                                </a:solidFill>
                                <a:effectLst/>
                                <a:latin typeface="Rockwell" panose="02060603020205020403" pitchFamily="18" charset="0"/>
                                <a:ea typeface="+mn-ea"/>
                                <a:cs typeface="+mn-cs"/>
                              </a:rPr>
                              <m:t>y</m:t>
                            </m:r>
                          </m:e>
                          <m:sub>
                            <m:r>
                              <a:rPr lang="en-US" sz="9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en-US" sz="9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n-US" sz="9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m:rPr>
                                <m:nor/>
                              </m:rPr>
                              <a:rPr lang="en-US" sz="900" b="0" i="0">
                                <a:solidFill>
                                  <a:schemeClr val="tx1"/>
                                </a:solidFill>
                                <a:effectLst/>
                                <a:latin typeface="Rockwell" panose="02060603020205020403" pitchFamily="18" charset="0"/>
                                <a:ea typeface="+mn-ea"/>
                                <a:cs typeface="+mn-cs"/>
                              </a:rPr>
                              <m:t>y</m:t>
                            </m:r>
                          </m:e>
                        </m:acc>
                      </m:e>
                    </m:d>
                  </m:oMath>
                </m:oMathPara>
              </a14:m>
              <a:endParaRPr lang="en-US" sz="900" kern="1200">
                <a:latin typeface="Rockwell" panose="02060603020205020403" pitchFamily="18" charset="0"/>
              </a:endParaRPr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48E91A1-1ED9-4930-A4B5-ACA2A523C859}"/>
                </a:ext>
              </a:extLst>
            </xdr:cNvPr>
            <xdr:cNvSpPr txBox="1"/>
          </xdr:nvSpPr>
          <xdr:spPr>
            <a:xfrm>
              <a:off x="10436969" y="3315628"/>
              <a:ext cx="875488" cy="135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9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("</a:t>
              </a:r>
              <a:r>
                <a:rPr lang="en-US" sz="900" i="0">
                  <a:solidFill>
                    <a:schemeClr val="tx1"/>
                  </a:solidFill>
                  <a:effectLst/>
                  <a:latin typeface="Rockwell" panose="02060603020205020403" pitchFamily="18" charset="0"/>
                  <a:ea typeface="+mn-ea"/>
                  <a:cs typeface="+mn-cs"/>
                </a:rPr>
                <a:t>x</a:t>
              </a:r>
              <a:r>
                <a:rPr lang="en-US" sz="9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_𝑖−"</a:t>
              </a:r>
              <a:r>
                <a:rPr lang="en-US" sz="900" i="0">
                  <a:solidFill>
                    <a:schemeClr val="tx1"/>
                  </a:solidFill>
                  <a:effectLst/>
                  <a:latin typeface="Rockwell" panose="02060603020205020403" pitchFamily="18" charset="0"/>
                  <a:ea typeface="+mn-ea"/>
                  <a:cs typeface="+mn-cs"/>
                </a:rPr>
                <a:t>x</a:t>
              </a:r>
              <a:r>
                <a:rPr lang="en-US" sz="9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 ̅ )</a:t>
              </a:r>
              <a:r>
                <a:rPr lang="en-US" sz="9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("</a:t>
              </a:r>
              <a:r>
                <a:rPr lang="en-US" sz="900" b="0" i="0">
                  <a:solidFill>
                    <a:schemeClr val="tx1"/>
                  </a:solidFill>
                  <a:effectLst/>
                  <a:latin typeface="Rockwell" panose="02060603020205020403" pitchFamily="18" charset="0"/>
                  <a:ea typeface="+mn-ea"/>
                  <a:cs typeface="+mn-cs"/>
                </a:rPr>
                <a:t>y</a:t>
              </a:r>
              <a:r>
                <a:rPr lang="en-US" sz="9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_</a:t>
              </a:r>
              <a:r>
                <a:rPr lang="en-US" sz="9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𝑖−</a:t>
              </a:r>
              <a:r>
                <a:rPr lang="en-US" sz="9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n-US" sz="900" b="0" i="0">
                  <a:solidFill>
                    <a:schemeClr val="tx1"/>
                  </a:solidFill>
                  <a:effectLst/>
                  <a:latin typeface="Rockwell" panose="02060603020205020403" pitchFamily="18" charset="0"/>
                  <a:ea typeface="+mn-ea"/>
                  <a:cs typeface="+mn-cs"/>
                </a:rPr>
                <a:t>y</a:t>
              </a:r>
              <a:r>
                <a:rPr lang="en-US" sz="9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 ̅ )</a:t>
              </a:r>
              <a:endParaRPr lang="en-US" sz="900" kern="1200">
                <a:latin typeface="Rockwell" panose="02060603020205020403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0</xdr:colOff>
      <xdr:row>19</xdr:row>
      <xdr:rowOff>190067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474F062-FA26-4913-BFB1-5AD446895BCF}"/>
            </a:ext>
          </a:extLst>
        </xdr:cNvPr>
        <xdr:cNvSpPr txBox="1"/>
      </xdr:nvSpPr>
      <xdr:spPr>
        <a:xfrm>
          <a:off x="10436968" y="3473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13</xdr:col>
      <xdr:colOff>0</xdr:colOff>
      <xdr:row>20</xdr:row>
      <xdr:rowOff>190067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2EA2276-F905-4788-9BCB-83771A90A4FF}"/>
            </a:ext>
          </a:extLst>
        </xdr:cNvPr>
        <xdr:cNvSpPr txBox="1"/>
      </xdr:nvSpPr>
      <xdr:spPr>
        <a:xfrm>
          <a:off x="10436968" y="3473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13</xdr:col>
      <xdr:colOff>0</xdr:colOff>
      <xdr:row>21</xdr:row>
      <xdr:rowOff>190067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EFFC7FB-2C47-4DC3-BE6D-77865BCE241E}"/>
            </a:ext>
          </a:extLst>
        </xdr:cNvPr>
        <xdr:cNvSpPr txBox="1"/>
      </xdr:nvSpPr>
      <xdr:spPr>
        <a:xfrm>
          <a:off x="10436968" y="365412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13</xdr:col>
      <xdr:colOff>0</xdr:colOff>
      <xdr:row>21</xdr:row>
      <xdr:rowOff>190067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9DFE9E-66D9-4347-B0F0-3BC7F5F1667F}"/>
            </a:ext>
          </a:extLst>
        </xdr:cNvPr>
        <xdr:cNvSpPr txBox="1"/>
      </xdr:nvSpPr>
      <xdr:spPr>
        <a:xfrm>
          <a:off x="10436968" y="3473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13</xdr:col>
      <xdr:colOff>0</xdr:colOff>
      <xdr:row>22</xdr:row>
      <xdr:rowOff>190067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EF2E40E-ECB2-4DE8-BE52-BBABD5E5F74A}"/>
            </a:ext>
          </a:extLst>
        </xdr:cNvPr>
        <xdr:cNvSpPr txBox="1"/>
      </xdr:nvSpPr>
      <xdr:spPr>
        <a:xfrm>
          <a:off x="10436968" y="365412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13</xdr:col>
      <xdr:colOff>0</xdr:colOff>
      <xdr:row>22</xdr:row>
      <xdr:rowOff>190067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9959057-AE79-4106-B533-E574B6DB7060}"/>
            </a:ext>
          </a:extLst>
        </xdr:cNvPr>
        <xdr:cNvSpPr txBox="1"/>
      </xdr:nvSpPr>
      <xdr:spPr>
        <a:xfrm>
          <a:off x="10436968" y="34731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13</xdr:col>
      <xdr:colOff>0</xdr:colOff>
      <xdr:row>23</xdr:row>
      <xdr:rowOff>190067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F407370-46F9-4395-8C17-5ED376BD59C7}"/>
            </a:ext>
          </a:extLst>
        </xdr:cNvPr>
        <xdr:cNvSpPr txBox="1"/>
      </xdr:nvSpPr>
      <xdr:spPr>
        <a:xfrm>
          <a:off x="10436968" y="365412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59121</xdr:colOff>
      <xdr:row>1</xdr:row>
      <xdr:rowOff>126123</xdr:rowOff>
    </xdr:from>
    <xdr:to>
      <xdr:col>17</xdr:col>
      <xdr:colOff>256190</xdr:colOff>
      <xdr:row>16</xdr:row>
      <xdr:rowOff>110357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ABB7A0-A739-BB91-A671-D038A03E3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Park" refreshedDate="46150.662891203705" createdVersion="8" refreshedVersion="8" minRefreshableVersion="3" recordCount="26" xr:uid="{FCE8D3E4-7621-404A-B0F1-936EC3BAC183}">
  <cacheSource type="worksheet">
    <worksheetSource ref="A1:V27" sheet="Disneyland_Visitors"/>
  </cacheSource>
  <cacheFields count="22">
    <cacheField name="VisitorID" numFmtId="0">
      <sharedItems containsSemiMixedTypes="0" containsString="0" containsNumber="1" containsInteger="1" minValue="1" maxValue="26"/>
    </cacheField>
    <cacheField name="HHID" numFmtId="0">
      <sharedItems containsSemiMixedTypes="0" containsString="0" containsNumber="1" containsInteger="1" minValue="1" maxValue="9"/>
    </cacheField>
    <cacheField name="VisitDate" numFmtId="164">
      <sharedItems containsSemiMixedTypes="0" containsNonDate="0" containsDate="1" containsString="0" minDate="2026-01-12T00:00:00" maxDate="2026-11-01T00:00:00"/>
    </cacheField>
    <cacheField name="DayOfWeek" numFmtId="0">
      <sharedItems/>
    </cacheField>
    <cacheField name="Month" numFmtId="0">
      <sharedItems containsSemiMixedTypes="0" containsString="0" containsNumber="1" containsInteger="1" minValue="1" maxValue="10"/>
    </cacheField>
    <cacheField name="EntryTime" numFmtId="2">
      <sharedItems containsSemiMixedTypes="0" containsString="0" containsNumber="1" minValue="7.66" maxValue="13.5"/>
    </cacheField>
    <cacheField name="EntryWindow" numFmtId="0">
      <sharedItems/>
    </cacheField>
    <cacheField name="Age" numFmtId="0">
      <sharedItems containsSemiMixedTypes="0" containsString="0" containsNumber="1" containsInteger="1" minValue="4" maxValue="74"/>
    </cacheField>
    <cacheField name="Gender" numFmtId="0">
      <sharedItems/>
    </cacheField>
    <cacheField name="Height_in" numFmtId="165">
      <sharedItems containsSemiMixedTypes="0" containsString="0" containsNumber="1" minValue="58.3" maxValue="72.8"/>
    </cacheField>
    <cacheField name="Weight_lb" numFmtId="165">
      <sharedItems containsSemiMixedTypes="0" containsString="0" containsNumber="1" minValue="90.5" maxValue="270.39999999999998"/>
    </cacheField>
    <cacheField name="BMI" numFmtId="165">
      <sharedItems containsSemiMixedTypes="0" containsString="0" containsNumber="1" minValue="18.2" maxValue="36.700000000000003"/>
    </cacheField>
    <cacheField name="EducationYears" numFmtId="0">
      <sharedItems containsSemiMixedTypes="0" containsString="0" containsNumber="1" containsInteger="1" minValue="9" maxValue="21"/>
    </cacheField>
    <cacheField name="State" numFmtId="0">
      <sharedItems/>
    </cacheField>
    <cacheField name="GroupSize" numFmtId="0">
      <sharedItems containsSemiMixedTypes="0" containsString="0" containsNumber="1" containsInteger="1" minValue="2" maxValue="6"/>
    </cacheField>
    <cacheField name="DistanceTraveled" numFmtId="165">
      <sharedItems containsSemiMixedTypes="0" containsString="0" containsNumber="1" minValue="102.2" maxValue="2275.6"/>
    </cacheField>
    <cacheField name="IncomeLevel" numFmtId="0">
      <sharedItems/>
    </cacheField>
    <cacheField name="FirstVisit" numFmtId="0">
      <sharedItems containsSemiMixedTypes="0" containsString="0" containsNumber="1" containsInteger="1" minValue="0" maxValue="1"/>
    </cacheField>
    <cacheField name="TicketType" numFmtId="0">
      <sharedItems/>
    </cacheField>
    <cacheField name="FastPass" numFmtId="0">
      <sharedItems containsSemiMixedTypes="0" containsString="0" containsNumber="1" containsInteger="1" minValue="0" maxValue="1"/>
    </cacheField>
    <cacheField name="StayAtResort" numFmtId="0">
      <sharedItems containsSemiMixedTypes="0" containsString="0" containsNumber="1" containsInteger="1" minValue="0" maxValue="1"/>
    </cacheField>
    <cacheField name="EntryGate" numFmtId="0">
      <sharedItems count="3">
        <s v="Main Entrance"/>
        <s v="Hotel Guest Entrance"/>
        <s v="Downtown Disney G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Park" refreshedDate="46153.456673032408" createdVersion="8" refreshedVersion="8" minRefreshableVersion="3" recordCount="5000" xr:uid="{F0D78940-3410-440A-AD4E-4CA6A9945B11}">
  <cacheSource type="worksheet">
    <worksheetSource name="DisneylandVisitorsTable"/>
  </cacheSource>
  <cacheFields count="26">
    <cacheField name="VisitorID" numFmtId="0">
      <sharedItems containsSemiMixedTypes="0" containsString="0" containsNumber="1" containsInteger="1" minValue="1" maxValue="5000"/>
    </cacheField>
    <cacheField name="HHID" numFmtId="0">
      <sharedItems containsSemiMixedTypes="0" containsString="0" containsNumber="1" containsInteger="1" minValue="1" maxValue="1644"/>
    </cacheField>
    <cacheField name="VisitDate" numFmtId="164">
      <sharedItems containsSemiMixedTypes="0" containsNonDate="0" containsDate="1" containsString="0" minDate="2026-01-01T00:00:00" maxDate="2027-01-01T00:00:00"/>
    </cacheField>
    <cacheField name="DayOfWeek" numFmtId="0">
      <sharedItems/>
    </cacheField>
    <cacheField name="Month" numFmtId="0">
      <sharedItems containsSemiMixedTypes="0" containsString="0" containsNumber="1" containsInteger="1" minValue="1" maxValue="12"/>
    </cacheField>
    <cacheField name="EntryTime" numFmtId="2">
      <sharedItems containsSemiMixedTypes="0" containsString="0" containsNumber="1" minValue="7" maxValue="15.91"/>
    </cacheField>
    <cacheField name="EntryWindow" numFmtId="0">
      <sharedItems count="3">
        <s v="Morning"/>
        <s v="Midday"/>
        <s v="Late Afternoon/Evening"/>
      </sharedItems>
    </cacheField>
    <cacheField name="Age" numFmtId="0">
      <sharedItems containsSemiMixedTypes="0" containsString="0" containsNumber="1" containsInteger="1" minValue="3" maxValue="85" count="83">
        <n v="49"/>
        <n v="30"/>
        <n v="35"/>
        <n v="42"/>
        <n v="59"/>
        <n v="44"/>
        <n v="24"/>
        <n v="4"/>
        <n v="54"/>
        <n v="64"/>
        <n v="33"/>
        <n v="22"/>
        <n v="9"/>
        <n v="25"/>
        <n v="48"/>
        <n v="26"/>
        <n v="6"/>
        <n v="55"/>
        <n v="58"/>
        <n v="56"/>
        <n v="13"/>
        <n v="43"/>
        <n v="8"/>
        <n v="60"/>
        <n v="74"/>
        <n v="45"/>
        <n v="72"/>
        <n v="51"/>
        <n v="52"/>
        <n v="21"/>
        <n v="32"/>
        <n v="46"/>
        <n v="7"/>
        <n v="62"/>
        <n v="61"/>
        <n v="67"/>
        <n v="37"/>
        <n v="36"/>
        <n v="18"/>
        <n v="28"/>
        <n v="10"/>
        <n v="31"/>
        <n v="50"/>
        <n v="47"/>
        <n v="20"/>
        <n v="63"/>
        <n v="79"/>
        <n v="69"/>
        <n v="53"/>
        <n v="39"/>
        <n v="12"/>
        <n v="29"/>
        <n v="65"/>
        <n v="5"/>
        <n v="70"/>
        <n v="41"/>
        <n v="27"/>
        <n v="57"/>
        <n v="23"/>
        <n v="34"/>
        <n v="11"/>
        <n v="14"/>
        <n v="68"/>
        <n v="80"/>
        <n v="3"/>
        <n v="73"/>
        <n v="66"/>
        <n v="19"/>
        <n v="76"/>
        <n v="40"/>
        <n v="17"/>
        <n v="38"/>
        <n v="71"/>
        <n v="16"/>
        <n v="75"/>
        <n v="81"/>
        <n v="78"/>
        <n v="82"/>
        <n v="15"/>
        <n v="77"/>
        <n v="85"/>
        <n v="84"/>
        <n v="83"/>
      </sharedItems>
      <fieldGroup base="7">
        <rangePr autoStart="0" autoEnd="0" startNum="0" endNum="89" groupInterval="10"/>
        <groupItems count="11">
          <s v="&lt;0"/>
          <s v="0-9"/>
          <s v="10-19"/>
          <s v="20-29"/>
          <s v="30-39"/>
          <s v="40-49"/>
          <s v="50-59"/>
          <s v="60-69"/>
          <s v="70-79"/>
          <s v="80-89"/>
          <s v="&gt;90"/>
        </groupItems>
      </fieldGroup>
    </cacheField>
    <cacheField name="Gender" numFmtId="0">
      <sharedItems/>
    </cacheField>
    <cacheField name="Height_in" numFmtId="165">
      <sharedItems containsSemiMixedTypes="0" containsString="0" containsNumber="1" minValue="40.6" maxValue="78"/>
    </cacheField>
    <cacheField name="Weight_lb" numFmtId="165">
      <sharedItems containsSemiMixedTypes="0" containsString="0" containsNumber="1" minValue="45" maxValue="304.2"/>
    </cacheField>
    <cacheField name="BMI" numFmtId="165">
      <sharedItems containsSemiMixedTypes="0" containsString="0" containsNumber="1" minValue="12.1" maxValue="40.4"/>
    </cacheField>
    <cacheField name="EducationYears" numFmtId="0">
      <sharedItems containsSemiMixedTypes="0" containsString="0" containsNumber="1" containsInteger="1" minValue="6" maxValue="22"/>
    </cacheField>
    <cacheField name="State" numFmtId="0">
      <sharedItems/>
    </cacheField>
    <cacheField name="GroupSize" numFmtId="0">
      <sharedItems containsSemiMixedTypes="0" containsString="0" containsNumber="1" containsInteger="1" minValue="1" maxValue="6"/>
    </cacheField>
    <cacheField name="DistanceTraveled" numFmtId="165">
      <sharedItems containsSemiMixedTypes="0" containsString="0" containsNumber="1" minValue="2" maxValue="4299.3"/>
    </cacheField>
    <cacheField name="IncomeLevel" numFmtId="0">
      <sharedItems/>
    </cacheField>
    <cacheField name="FirstVisit" numFmtId="0">
      <sharedItems containsSemiMixedTypes="0" containsString="0" containsNumber="1" containsInteger="1" minValue="0" maxValue="1"/>
    </cacheField>
    <cacheField name="TicketType" numFmtId="0">
      <sharedItems/>
    </cacheField>
    <cacheField name="FastPass" numFmtId="0">
      <sharedItems containsSemiMixedTypes="0" containsString="0" containsNumber="1" containsInteger="1" minValue="0" maxValue="1"/>
    </cacheField>
    <cacheField name="StayAtResort" numFmtId="0">
      <sharedItems containsSemiMixedTypes="0" containsString="0" containsNumber="1" containsInteger="1" minValue="0" maxValue="1"/>
    </cacheField>
    <cacheField name="EntryGate" numFmtId="0">
      <sharedItems/>
    </cacheField>
    <cacheField name="ParkingLot" numFmtId="0">
      <sharedItems/>
    </cacheField>
    <cacheField name="TimeInPark" numFmtId="165">
      <sharedItems containsSemiMixedTypes="0" containsString="0" containsNumber="1" minValue="3.3" maxValue="13.7"/>
    </cacheField>
    <cacheField name="NumberOfRides" numFmtId="0">
      <sharedItems containsSemiMixedTypes="0" containsString="0" containsNumber="1" containsInteger="1" minValue="0" maxValue="18"/>
    </cacheField>
    <cacheField name="TotalSpending" numFmtId="166">
      <sharedItems containsSemiMixedTypes="0" containsString="0" containsNumber="1" minValue="51.84" maxValue="650" count="4551">
        <n v="272.44"/>
        <n v="195.14"/>
        <n v="351.49"/>
        <n v="212.75"/>
        <n v="149.51"/>
        <n v="247.77"/>
        <n v="127.52"/>
        <n v="128.78"/>
        <n v="130.47"/>
        <n v="257.8"/>
        <n v="180.62"/>
        <n v="228.9"/>
        <n v="288.97000000000003"/>
        <n v="310.3"/>
        <n v="331.52"/>
        <n v="274.83"/>
        <n v="371.6"/>
        <n v="154.76"/>
        <n v="214.66"/>
        <n v="320.08999999999997"/>
        <n v="154.68"/>
        <n v="238.32"/>
        <n v="138.83000000000001"/>
        <n v="388.63"/>
        <n v="240.71"/>
        <n v="268.68"/>
        <n v="440.41"/>
        <n v="405.41"/>
        <n v="297.27"/>
        <n v="332.28"/>
        <n v="273.48"/>
        <n v="244.12"/>
        <n v="210.81"/>
        <n v="332.26"/>
        <n v="288.29000000000002"/>
        <n v="285.02999999999997"/>
        <n v="250.34"/>
        <n v="225.96"/>
        <n v="284.64"/>
        <n v="511.24"/>
        <n v="132.1"/>
        <n v="279.17"/>
        <n v="161.4"/>
        <n v="339.32"/>
        <n v="161.19999999999999"/>
        <n v="282.39"/>
        <n v="248.38"/>
        <n v="226.61"/>
        <n v="238.93"/>
        <n v="276.38"/>
        <n v="123.87"/>
        <n v="378.53"/>
        <n v="181.93"/>
        <n v="281.2"/>
        <n v="200.29"/>
        <n v="235.25"/>
        <n v="101.27"/>
        <n v="82.14"/>
        <n v="268.92"/>
        <n v="371.27"/>
        <n v="118.46"/>
        <n v="195.5"/>
        <n v="148.13"/>
        <n v="193.57"/>
        <n v="136.24"/>
        <n v="205.88"/>
        <n v="287.16000000000003"/>
        <n v="297.16000000000003"/>
        <n v="96.84"/>
        <n v="106.87"/>
        <n v="191.04"/>
        <n v="183.32"/>
        <n v="348.11"/>
        <n v="198.13"/>
        <n v="216.09"/>
        <n v="199.25"/>
        <n v="285.24"/>
        <n v="216.33"/>
        <n v="254.3"/>
        <n v="269.79000000000002"/>
        <n v="158.61000000000001"/>
        <n v="336.73"/>
        <n v="288.02"/>
        <n v="199.6"/>
        <n v="406.11"/>
        <n v="156.77000000000001"/>
        <n v="238.37"/>
        <n v="145.77000000000001"/>
        <n v="159.34"/>
        <n v="114.29"/>
        <n v="261.36"/>
        <n v="305.35000000000002"/>
        <n v="148.99"/>
        <n v="132.25"/>
        <n v="84.32"/>
        <n v="173.41"/>
        <n v="250.86"/>
        <n v="160"/>
        <n v="209.61"/>
        <n v="213.26"/>
        <n v="140.6"/>
        <n v="144.11000000000001"/>
        <n v="282.3"/>
        <n v="327.74"/>
        <n v="159.19"/>
        <n v="349.17"/>
        <n v="347.01"/>
        <n v="229.51"/>
        <n v="263.14999999999998"/>
        <n v="128.72999999999999"/>
        <n v="137.94"/>
        <n v="392.01"/>
        <n v="163.13999999999999"/>
        <n v="202.37"/>
        <n v="410.42"/>
        <n v="192.1"/>
        <n v="373.88"/>
        <n v="194.52"/>
        <n v="204.11"/>
        <n v="193.92"/>
        <n v="146.74"/>
        <n v="183.05"/>
        <n v="151.81"/>
        <n v="495.81"/>
        <n v="311.67"/>
        <n v="252.9"/>
        <n v="306.60000000000002"/>
        <n v="312.92"/>
        <n v="161.78"/>
        <n v="251.18"/>
        <n v="183.44"/>
        <n v="204.29"/>
        <n v="246.74"/>
        <n v="192.99"/>
        <n v="163.31"/>
        <n v="250.56"/>
        <n v="238.52"/>
        <n v="129.38999999999999"/>
        <n v="201.08"/>
        <n v="150.77000000000001"/>
        <n v="232.63"/>
        <n v="223.49"/>
        <n v="236.41"/>
        <n v="311.63"/>
        <n v="116.61"/>
        <n v="198.56"/>
        <n v="214.8"/>
        <n v="187.7"/>
        <n v="214.23"/>
        <n v="198.48"/>
        <n v="212.57"/>
        <n v="189"/>
        <n v="307.73"/>
        <n v="257.47000000000003"/>
        <n v="153.43"/>
        <n v="206.81"/>
        <n v="115.97"/>
        <n v="138.44"/>
        <n v="141.78"/>
        <n v="188.85"/>
        <n v="125.36"/>
        <n v="347.6"/>
        <n v="228.78"/>
        <n v="253.9"/>
        <n v="337.57"/>
        <n v="252.88"/>
        <n v="235.34"/>
        <n v="96.37"/>
        <n v="184.53"/>
        <n v="104.13"/>
        <n v="184.86"/>
        <n v="278.58"/>
        <n v="204.13"/>
        <n v="231.33"/>
        <n v="401.87"/>
        <n v="255.54"/>
        <n v="159.08000000000001"/>
        <n v="252.06"/>
        <n v="252.09"/>
        <n v="424.82"/>
        <n v="187.65"/>
        <n v="94.39"/>
        <n v="212.68"/>
        <n v="284.51"/>
        <n v="213.55"/>
        <n v="163.71"/>
        <n v="201.9"/>
        <n v="231.4"/>
        <n v="266.49"/>
        <n v="297.44"/>
        <n v="253.82"/>
        <n v="236.87"/>
        <n v="227.1"/>
        <n v="153.75"/>
        <n v="188.71"/>
        <n v="212.59"/>
        <n v="266.27"/>
        <n v="389"/>
        <n v="224.51"/>
        <n v="320.68"/>
        <n v="222.88"/>
        <n v="305.17"/>
        <n v="426.27"/>
        <n v="209.38"/>
        <n v="379.32"/>
        <n v="575.14"/>
        <n v="340.04"/>
        <n v="207.8"/>
        <n v="185.35"/>
        <n v="337.72"/>
        <n v="193.89"/>
        <n v="238.36"/>
        <n v="182.41"/>
        <n v="353.62"/>
        <n v="581.52"/>
        <n v="143.83000000000001"/>
        <n v="258.98"/>
        <n v="193.6"/>
        <n v="306.99"/>
        <n v="306.45"/>
        <n v="247.7"/>
        <n v="164.97"/>
        <n v="280.2"/>
        <n v="259.24"/>
        <n v="111.73"/>
        <n v="172.99"/>
        <n v="166.16"/>
        <n v="176.24"/>
        <n v="224.33"/>
        <n v="234.54"/>
        <n v="255.84"/>
        <n v="148.86000000000001"/>
        <n v="72.709999999999994"/>
        <n v="154.87"/>
        <n v="131.57"/>
        <n v="190.75"/>
        <n v="426.94"/>
        <n v="257.33999999999997"/>
        <n v="267.20999999999998"/>
        <n v="194.95"/>
        <n v="173.84"/>
        <n v="286.44"/>
        <n v="236.46"/>
        <n v="359.37"/>
        <n v="279.43"/>
        <n v="258.14999999999998"/>
        <n v="168.26"/>
        <n v="118.65"/>
        <n v="344.17"/>
        <n v="99.71"/>
        <n v="217.58"/>
        <n v="316.7"/>
        <n v="296.35000000000002"/>
        <n v="303.81"/>
        <n v="122.01"/>
        <n v="210.18"/>
        <n v="282.41000000000003"/>
        <n v="241.84"/>
        <n v="283.93"/>
        <n v="268.07"/>
        <n v="199.86"/>
        <n v="170.86"/>
        <n v="207.51"/>
        <n v="231.93"/>
        <n v="189.67"/>
        <n v="263.12"/>
        <n v="192.48"/>
        <n v="184.66"/>
        <n v="197.87"/>
        <n v="139.01"/>
        <n v="235.12"/>
        <n v="165.07"/>
        <n v="209.51"/>
        <n v="293.13"/>
        <n v="321.73"/>
        <n v="650"/>
        <n v="425.61"/>
        <n v="262.39"/>
        <n v="283.64999999999998"/>
        <n v="191.97"/>
        <n v="190.54"/>
        <n v="242.75"/>
        <n v="276.35000000000002"/>
        <n v="265.8"/>
        <n v="176.02"/>
        <n v="242.54"/>
        <n v="264.08999999999997"/>
        <n v="293.60000000000002"/>
        <n v="242.15"/>
        <n v="284.82"/>
        <n v="174.97"/>
        <n v="188.7"/>
        <n v="143.68"/>
        <n v="187.53"/>
        <n v="140.44"/>
        <n v="156.74"/>
        <n v="159.25"/>
        <n v="387.15"/>
        <n v="218.62"/>
        <n v="205.92"/>
        <n v="339.78"/>
        <n v="184.17"/>
        <n v="167.21"/>
        <n v="151.24"/>
        <n v="226.97"/>
        <n v="181.53"/>
        <n v="160.16"/>
        <n v="325.32"/>
        <n v="163.27000000000001"/>
        <n v="184.63"/>
        <n v="433.37"/>
        <n v="191.1"/>
        <n v="266.95"/>
        <n v="212.34"/>
        <n v="132.28"/>
        <n v="224.95"/>
        <n v="237"/>
        <n v="182.35"/>
        <n v="238"/>
        <n v="328.8"/>
        <n v="178.98"/>
        <n v="227.55"/>
        <n v="258.2"/>
        <n v="475.18"/>
        <n v="362.68"/>
        <n v="324.43"/>
        <n v="174.9"/>
        <n v="132.91"/>
        <n v="139.87"/>
        <n v="116.14"/>
        <n v="99.83"/>
        <n v="115.36"/>
        <n v="236.93"/>
        <n v="241.61"/>
        <n v="339.95"/>
        <n v="194.51"/>
        <n v="182.64"/>
        <n v="100.04"/>
        <n v="225.36"/>
        <n v="267.60000000000002"/>
        <n v="425.63"/>
        <n v="147.08000000000001"/>
        <n v="224.8"/>
        <n v="181.92"/>
        <n v="241.58"/>
        <n v="199.03"/>
        <n v="234.82"/>
        <n v="359.96"/>
        <n v="239.37"/>
        <n v="328.53"/>
        <n v="224.45"/>
        <n v="280.12"/>
        <n v="263.43"/>
        <n v="253.71"/>
        <n v="265.73"/>
        <n v="263.08"/>
        <n v="314.73"/>
        <n v="233.95"/>
        <n v="278.91000000000003"/>
        <n v="124.32"/>
        <n v="153.53"/>
        <n v="131.6"/>
        <n v="128.72"/>
        <n v="242.72"/>
        <n v="264.72000000000003"/>
        <n v="379.82"/>
        <n v="189.83"/>
        <n v="295.13"/>
        <n v="254.81"/>
        <n v="189.54"/>
        <n v="283.69"/>
        <n v="251.22"/>
        <n v="345.61"/>
        <n v="308.99"/>
        <n v="166.64"/>
        <n v="252.73"/>
        <n v="185.59"/>
        <n v="229.31"/>
        <n v="364.77"/>
        <n v="161.13"/>
        <n v="140.91"/>
        <n v="248.77"/>
        <n v="253.72"/>
        <n v="213.14"/>
        <n v="259.14"/>
        <n v="241.78"/>
        <n v="106.23"/>
        <n v="219.73"/>
        <n v="255.38"/>
        <n v="244.11"/>
        <n v="174.47"/>
        <n v="114.02"/>
        <n v="141.69999999999999"/>
        <n v="261.39999999999998"/>
        <n v="211.3"/>
        <n v="339.37"/>
        <n v="400.95"/>
        <n v="318.58999999999997"/>
        <n v="251.28"/>
        <n v="237.38"/>
        <n v="126.3"/>
        <n v="162.41"/>
        <n v="235.23"/>
        <n v="392.53"/>
        <n v="240.9"/>
        <n v="132.22"/>
        <n v="535.52"/>
        <n v="235.66"/>
        <n v="270.61"/>
        <n v="193.94"/>
        <n v="389.41"/>
        <n v="187.85"/>
        <n v="84.18"/>
        <n v="162.49"/>
        <n v="226.26"/>
        <n v="235.58"/>
        <n v="64.05"/>
        <n v="156.44"/>
        <n v="100.91"/>
        <n v="237.05"/>
        <n v="221.7"/>
        <n v="225.8"/>
        <n v="180.32"/>
        <n v="373.41"/>
        <n v="178.81"/>
        <n v="81.760000000000005"/>
        <n v="125.45"/>
        <n v="258.92"/>
        <n v="202.08"/>
        <n v="409.65"/>
        <n v="164.96"/>
        <n v="194.6"/>
        <n v="210.96"/>
        <n v="320.45"/>
        <n v="314.10000000000002"/>
        <n v="325.73"/>
        <n v="129.49"/>
        <n v="174.56"/>
        <n v="146.1"/>
        <n v="83.82"/>
        <n v="116.39"/>
        <n v="214.36"/>
        <n v="301.48"/>
        <n v="129.57"/>
        <n v="309.42"/>
        <n v="200.79"/>
        <n v="246.29"/>
        <n v="347.64"/>
        <n v="263.20999999999998"/>
        <n v="189.82"/>
        <n v="204.86"/>
        <n v="303.31"/>
        <n v="272.68"/>
        <n v="140.34"/>
        <n v="138.41999999999999"/>
        <n v="212.16"/>
        <n v="215.7"/>
        <n v="207.45"/>
        <n v="203.35"/>
        <n v="196.84"/>
        <n v="105.01"/>
        <n v="238.89"/>
        <n v="310.24"/>
        <n v="257.81"/>
        <n v="181.75"/>
        <n v="333.6"/>
        <n v="152.74"/>
        <n v="278.12"/>
        <n v="291.77999999999997"/>
        <n v="511.95"/>
        <n v="251.59"/>
        <n v="202.45"/>
        <n v="260.89999999999998"/>
        <n v="330.11"/>
        <n v="465.29"/>
        <n v="505.45"/>
        <n v="380.91"/>
        <n v="406.39"/>
        <n v="319.3"/>
        <n v="302.83"/>
        <n v="228.32"/>
        <n v="325.24"/>
        <n v="282.14"/>
        <n v="310.91000000000003"/>
        <n v="384.07"/>
        <n v="316.56"/>
        <n v="156.47"/>
        <n v="141.94999999999999"/>
        <n v="227.57"/>
        <n v="248.31"/>
        <n v="102.37"/>
        <n v="314.66000000000003"/>
        <n v="320.27"/>
        <n v="104.9"/>
        <n v="246.77"/>
        <n v="226.35"/>
        <n v="212.8"/>
        <n v="404.63"/>
        <n v="288.64999999999998"/>
        <n v="320.54000000000002"/>
        <n v="220.4"/>
        <n v="109.96"/>
        <n v="191.38"/>
        <n v="180.77"/>
        <n v="187.21"/>
        <n v="196.32"/>
        <n v="342.21"/>
        <n v="341.46"/>
        <n v="246.41"/>
        <n v="179.14"/>
        <n v="190.04"/>
        <n v="211.04"/>
        <n v="258.39"/>
        <n v="169.97"/>
        <n v="149.33000000000001"/>
        <n v="217.28"/>
        <n v="494.63"/>
        <n v="314.33999999999997"/>
        <n v="338.36"/>
        <n v="272.27999999999997"/>
        <n v="387.85"/>
        <n v="221.2"/>
        <n v="141.12"/>
        <n v="222.34"/>
        <n v="256.52999999999997"/>
        <n v="119"/>
        <n v="263.83"/>
        <n v="285.91000000000003"/>
        <n v="272.76"/>
        <n v="231.94"/>
        <n v="97.83"/>
        <n v="153.19999999999999"/>
        <n v="184.54"/>
        <n v="209.95"/>
        <n v="247.74"/>
        <n v="252.19"/>
        <n v="178.74"/>
        <n v="134.5"/>
        <n v="239.65"/>
        <n v="370.31"/>
        <n v="206.77"/>
        <n v="89.48"/>
        <n v="107.19"/>
        <n v="146.16"/>
        <n v="179.87"/>
        <n v="207.02"/>
        <n v="228.67"/>
        <n v="135.97999999999999"/>
        <n v="137.97999999999999"/>
        <n v="112"/>
        <n v="128.79"/>
        <n v="176.31"/>
        <n v="346.97"/>
        <n v="251.06"/>
        <n v="213.83"/>
        <n v="243.07"/>
        <n v="103.66"/>
        <n v="190.78"/>
        <n v="233.3"/>
        <n v="177.15"/>
        <n v="262.94"/>
        <n v="379.08"/>
        <n v="192.94"/>
        <n v="217.56"/>
        <n v="94.17"/>
        <n v="152.11000000000001"/>
        <n v="266.51"/>
        <n v="257.61"/>
        <n v="187.83"/>
        <n v="189.18"/>
        <n v="316.70999999999998"/>
        <n v="199.88"/>
        <n v="191.8"/>
        <n v="354.96"/>
        <n v="592.17999999999995"/>
        <n v="235.65"/>
        <n v="284.24"/>
        <n v="112.97"/>
        <n v="291.64999999999998"/>
        <n v="260.47000000000003"/>
        <n v="163.78"/>
        <n v="203.74"/>
        <n v="211.92"/>
        <n v="154.71"/>
        <n v="148.21"/>
        <n v="188.32"/>
        <n v="279.95999999999998"/>
        <n v="218.25"/>
        <n v="233.15"/>
        <n v="260.77"/>
        <n v="247.33"/>
        <n v="319.26"/>
        <n v="335.67"/>
        <n v="196.47"/>
        <n v="154.33000000000001"/>
        <n v="199.89"/>
        <n v="172.98"/>
        <n v="342.36"/>
        <n v="180.24"/>
        <n v="165.87"/>
        <n v="257.07"/>
        <n v="360.95"/>
        <n v="246.84"/>
        <n v="357.01"/>
        <n v="291.58"/>
        <n v="146.96"/>
        <n v="207.79"/>
        <n v="173.61"/>
        <n v="278.77"/>
        <n v="236.21"/>
        <n v="171.13"/>
        <n v="118.49"/>
        <n v="172.1"/>
        <n v="143.53"/>
        <n v="339.26"/>
        <n v="134.33000000000001"/>
        <n v="199.95"/>
        <n v="628.76"/>
        <n v="367.2"/>
        <n v="280.99"/>
        <n v="249.97"/>
        <n v="191.47"/>
        <n v="405.97"/>
        <n v="168.71"/>
        <n v="230.94"/>
        <n v="175.62"/>
        <n v="153.16"/>
        <n v="294.2"/>
        <n v="199.66"/>
        <n v="231.15"/>
        <n v="136.94999999999999"/>
        <n v="298.37"/>
        <n v="315.73"/>
        <n v="247.96"/>
        <n v="170.82"/>
        <n v="208.03"/>
        <n v="319.29000000000002"/>
        <n v="107.29"/>
        <n v="214.15"/>
        <n v="252.45"/>
        <n v="184.08"/>
        <n v="341.31"/>
        <n v="223.71"/>
        <n v="201.82"/>
        <n v="186.07"/>
        <n v="187.77"/>
        <n v="178.36"/>
        <n v="309.95999999999998"/>
        <n v="241.37"/>
        <n v="394.82"/>
        <n v="209.86"/>
        <n v="135.66999999999999"/>
        <n v="244.27"/>
        <n v="259.61"/>
        <n v="178.77"/>
        <n v="223.66"/>
        <n v="278.55"/>
        <n v="203.46"/>
        <n v="282.5"/>
        <n v="204.57"/>
        <n v="352.33"/>
        <n v="196.41"/>
        <n v="165.29"/>
        <n v="175.15"/>
        <n v="288.36"/>
        <n v="132.41999999999999"/>
        <n v="148.05000000000001"/>
        <n v="221.49"/>
        <n v="146.11000000000001"/>
        <n v="200.15"/>
        <n v="369.14"/>
        <n v="197.14"/>
        <n v="104.39"/>
        <n v="170.78"/>
        <n v="292.69"/>
        <n v="163.46"/>
        <n v="161.94999999999999"/>
        <n v="164.17"/>
        <n v="180.4"/>
        <n v="224.21"/>
        <n v="321.43"/>
        <n v="252.6"/>
        <n v="289.13"/>
        <n v="144.27000000000001"/>
        <n v="312.38"/>
        <n v="240.96"/>
        <n v="292.98"/>
        <n v="271.5"/>
        <n v="127.51"/>
        <n v="270.08"/>
        <n v="308.24"/>
        <n v="278.23"/>
        <n v="170.92"/>
        <n v="433.98"/>
        <n v="266.18"/>
        <n v="129.11000000000001"/>
        <n v="138.97999999999999"/>
        <n v="164.12"/>
        <n v="152.87"/>
        <n v="248.35"/>
        <n v="100.78"/>
        <n v="245.3"/>
        <n v="157.86000000000001"/>
        <n v="230.15"/>
        <n v="87.96"/>
        <n v="112.99"/>
        <n v="160.27000000000001"/>
        <n v="211.23"/>
        <n v="208.01"/>
        <n v="181.79"/>
        <n v="328.28"/>
        <n v="178.48"/>
        <n v="259.86"/>
        <n v="308.94"/>
        <n v="76.819999999999993"/>
        <n v="223.38"/>
        <n v="255.23"/>
        <n v="183.4"/>
        <n v="242.87"/>
        <n v="301.91000000000003"/>
        <n v="210.13"/>
        <n v="221.3"/>
        <n v="186.63"/>
        <n v="266.94"/>
        <n v="391.18"/>
        <n v="151.38999999999999"/>
        <n v="189.8"/>
        <n v="378.39"/>
        <n v="357.36"/>
        <n v="177.17"/>
        <n v="176.1"/>
        <n v="366.76"/>
        <n v="165"/>
        <n v="185"/>
        <n v="185.82"/>
        <n v="292.48"/>
        <n v="279.13"/>
        <n v="197.8"/>
        <n v="198.98"/>
        <n v="135.1"/>
        <n v="159.37"/>
        <n v="225.54"/>
        <n v="423.06"/>
        <n v="266.85000000000002"/>
        <n v="227.31"/>
        <n v="158.51"/>
        <n v="127.24"/>
        <n v="262.58999999999997"/>
        <n v="207.32"/>
        <n v="318.06"/>
        <n v="272.51"/>
        <n v="197.63"/>
        <n v="246.7"/>
        <n v="474.52"/>
        <n v="329.09"/>
        <n v="244.64"/>
        <n v="361.18"/>
        <n v="363.8"/>
        <n v="173.68"/>
        <n v="145.02000000000001"/>
        <n v="176.52"/>
        <n v="118.19"/>
        <n v="272.85000000000002"/>
        <n v="362.26"/>
        <n v="362.65"/>
        <n v="227.87"/>
        <n v="179.16"/>
        <n v="281.60000000000002"/>
        <n v="226.21"/>
        <n v="275.27"/>
        <n v="341.87"/>
        <n v="180.85"/>
        <n v="152.19"/>
        <n v="155.75"/>
        <n v="299.31"/>
        <n v="182.19"/>
        <n v="310.95999999999998"/>
        <n v="188.08"/>
        <n v="151.47"/>
        <n v="208.63"/>
        <n v="184.33"/>
        <n v="260.64999999999998"/>
        <n v="158.9"/>
        <n v="191.75"/>
        <n v="245.73"/>
        <n v="320.67"/>
        <n v="559.89"/>
        <n v="291.57"/>
        <n v="345.19"/>
        <n v="118.8"/>
        <n v="242.94"/>
        <n v="133.19999999999999"/>
        <n v="314.31"/>
        <n v="306.02999999999997"/>
        <n v="190.17"/>
        <n v="384.08"/>
        <n v="235.7"/>
        <n v="134.32"/>
        <n v="256.02999999999997"/>
        <n v="251.53"/>
        <n v="345.55"/>
        <n v="179.24"/>
        <n v="292.72000000000003"/>
        <n v="244.08"/>
        <n v="217.67"/>
        <n v="229.5"/>
        <n v="117.2"/>
        <n v="184.6"/>
        <n v="251.9"/>
        <n v="200.98"/>
        <n v="168.69"/>
        <n v="183.2"/>
        <n v="207.13"/>
        <n v="249.86"/>
        <n v="125.7"/>
        <n v="130.54"/>
        <n v="238.64"/>
        <n v="204.02"/>
        <n v="197.01"/>
        <n v="177.58"/>
        <n v="184.42"/>
        <n v="199.21"/>
        <n v="228.83"/>
        <n v="403.34"/>
        <n v="234.86"/>
        <n v="331.61"/>
        <n v="261.27999999999997"/>
        <n v="188.77"/>
        <n v="224.89"/>
        <n v="174.53"/>
        <n v="113.91"/>
        <n v="161.91999999999999"/>
        <n v="330.16"/>
        <n v="171.11"/>
        <n v="262.82"/>
        <n v="175.73"/>
        <n v="289.68"/>
        <n v="138.61000000000001"/>
        <n v="249.4"/>
        <n v="138.27000000000001"/>
        <n v="185.34"/>
        <n v="147.15"/>
        <n v="312.99"/>
        <n v="337.03"/>
        <n v="302.75"/>
        <n v="209.22"/>
        <n v="350.11"/>
        <n v="177.92"/>
        <n v="213.22"/>
        <n v="117.81"/>
        <n v="134.04"/>
        <n v="197.22"/>
        <n v="219.57"/>
        <n v="183.01"/>
        <n v="166.32"/>
        <n v="284.97000000000003"/>
        <n v="361.2"/>
        <n v="269.77"/>
        <n v="268.83"/>
        <n v="396.38"/>
        <n v="329.24"/>
        <n v="291.07"/>
        <n v="173.87"/>
        <n v="159.72"/>
        <n v="191.5"/>
        <n v="179.31"/>
        <n v="257.04000000000002"/>
        <n v="158.43"/>
        <n v="167.1"/>
        <n v="237.52"/>
        <n v="238.5"/>
        <n v="280.61"/>
        <n v="280.05"/>
        <n v="195.7"/>
        <n v="251.03"/>
        <n v="307.91000000000003"/>
        <n v="170.56"/>
        <n v="323.25"/>
        <n v="341.82"/>
        <n v="165.75"/>
        <n v="232.65"/>
        <n v="231.2"/>
        <n v="222.32"/>
        <n v="174.35"/>
        <n v="142.55000000000001"/>
        <n v="77.42"/>
        <n v="152.13999999999999"/>
        <n v="149.44999999999999"/>
        <n v="289.39"/>
        <n v="131.83000000000001"/>
        <n v="191.46"/>
        <n v="390.92"/>
        <n v="143.6"/>
        <n v="120.49"/>
        <n v="266.2"/>
        <n v="213.99"/>
        <n v="330.55"/>
        <n v="355.48"/>
        <n v="218.6"/>
        <n v="271.48"/>
        <n v="181.89"/>
        <n v="239.2"/>
        <n v="204.28"/>
        <n v="277.26"/>
        <n v="259.7"/>
        <n v="362.97"/>
        <n v="288.77999999999997"/>
        <n v="212.33"/>
        <n v="361.7"/>
        <n v="255.32"/>
        <n v="113.02"/>
        <n v="182.18"/>
        <n v="191"/>
        <n v="184.15"/>
        <n v="586.25"/>
        <n v="258.7"/>
        <n v="215.47"/>
        <n v="224.55"/>
        <n v="315.25"/>
        <n v="248.97"/>
        <n v="235.44"/>
        <n v="224.87"/>
        <n v="132.37"/>
        <n v="271.64"/>
        <n v="317.02"/>
        <n v="232.83"/>
        <n v="265.85000000000002"/>
        <n v="187.59"/>
        <n v="150.05000000000001"/>
        <n v="232.01"/>
        <n v="276.87"/>
        <n v="197.66"/>
        <n v="241.54"/>
        <n v="219.76"/>
        <n v="162.66999999999999"/>
        <n v="133.41"/>
        <n v="332.17"/>
        <n v="261.51"/>
        <n v="271.36"/>
        <n v="334.95"/>
        <n v="165.12"/>
        <n v="262.05"/>
        <n v="196.17"/>
        <n v="202.39"/>
        <n v="229.84"/>
        <n v="423.03"/>
        <n v="109.66"/>
        <n v="156.78"/>
        <n v="315.51"/>
        <n v="247.66"/>
        <n v="213.88"/>
        <n v="287.24"/>
        <n v="262.01"/>
        <n v="222.18"/>
        <n v="327.89"/>
        <n v="229.14"/>
        <n v="401.47"/>
        <n v="144.16999999999999"/>
        <n v="420.92"/>
        <n v="341.94"/>
        <n v="311.16000000000003"/>
        <n v="172.29"/>
        <n v="238.95"/>
        <n v="254.84"/>
        <n v="217.46"/>
        <n v="180.46"/>
        <n v="223.21"/>
        <n v="140.61000000000001"/>
        <n v="165.5"/>
        <n v="129.82"/>
        <n v="250.54"/>
        <n v="142.13"/>
        <n v="188.3"/>
        <n v="188.94"/>
        <n v="294.14"/>
        <n v="126.91"/>
        <n v="184.89"/>
        <n v="184.95"/>
        <n v="239.24"/>
        <n v="160.13999999999999"/>
        <n v="221.99"/>
        <n v="318.32"/>
        <n v="209.27"/>
        <n v="284.33999999999997"/>
        <n v="334.08"/>
        <n v="271.45"/>
        <n v="293.42"/>
        <n v="144.81"/>
        <n v="246.23"/>
        <n v="227.61"/>
        <n v="206.43"/>
        <n v="145.04"/>
        <n v="181.3"/>
        <n v="178.67"/>
        <n v="127.04"/>
        <n v="304.52"/>
        <n v="207.77"/>
        <n v="302.82"/>
        <n v="114.74"/>
        <n v="240.99"/>
        <n v="120.41"/>
        <n v="257.22000000000003"/>
        <n v="340.31"/>
        <n v="284.87"/>
        <n v="215.8"/>
        <n v="346.23"/>
        <n v="182.03"/>
        <n v="499.99"/>
        <n v="196.62"/>
        <n v="461.68"/>
        <n v="358.77"/>
        <n v="187.36"/>
        <n v="242.02"/>
        <n v="220.07"/>
        <n v="129.47"/>
        <n v="219.39"/>
        <n v="327.66000000000003"/>
        <n v="163.35"/>
        <n v="191.95"/>
        <n v="305.02999999999997"/>
        <n v="276.37"/>
        <n v="207.94"/>
        <n v="296.38"/>
        <n v="251.88"/>
        <n v="274.75"/>
        <n v="199.78"/>
        <n v="147.80000000000001"/>
        <n v="183.5"/>
        <n v="251.72"/>
        <n v="216.9"/>
        <n v="496.37"/>
        <n v="282.82"/>
        <n v="156.68"/>
        <n v="322.66000000000003"/>
        <n v="242.81"/>
        <n v="334.73"/>
        <n v="215.06"/>
        <n v="294.76"/>
        <n v="342.45"/>
        <n v="227.92"/>
        <n v="321.3"/>
        <n v="133.91999999999999"/>
        <n v="257"/>
        <n v="407.07"/>
        <n v="308.33999999999997"/>
        <n v="282.72000000000003"/>
        <n v="247.23"/>
        <n v="331.74"/>
        <n v="299.89"/>
        <n v="553.47"/>
        <n v="201.69"/>
        <n v="199.85"/>
        <n v="296.26"/>
        <n v="198.65"/>
        <n v="255.85"/>
        <n v="232.58"/>
        <n v="309.91000000000003"/>
        <n v="389.97"/>
        <n v="185.04"/>
        <n v="161.44999999999999"/>
        <n v="166.86"/>
        <n v="512.4"/>
        <n v="141.72"/>
        <n v="135.26"/>
        <n v="170.68"/>
        <n v="133.97999999999999"/>
        <n v="122.08"/>
        <n v="178.96"/>
        <n v="277.52"/>
        <n v="196.8"/>
        <n v="281.58"/>
        <n v="257.11"/>
        <n v="195.12"/>
        <n v="290.64999999999998"/>
        <n v="167"/>
        <n v="129.97999999999999"/>
        <n v="238.15"/>
        <n v="308.13"/>
        <n v="157.24"/>
        <n v="113.87"/>
        <n v="188.13"/>
        <n v="294.47000000000003"/>
        <n v="262.54000000000002"/>
        <n v="170.27"/>
        <n v="348.54"/>
        <n v="186.6"/>
        <n v="210.52"/>
        <n v="77.41"/>
        <n v="227.44"/>
        <n v="239.3"/>
        <n v="210.1"/>
        <n v="202.81"/>
        <n v="115.3"/>
        <n v="216.47"/>
        <n v="182.5"/>
        <n v="308.98"/>
        <n v="222.97"/>
        <n v="275.83999999999997"/>
        <n v="196.01"/>
        <n v="160.6"/>
        <n v="186.32"/>
        <n v="364.93"/>
        <n v="193.96"/>
        <n v="195.66"/>
        <n v="236.39"/>
        <n v="192.71"/>
        <n v="257.58"/>
        <n v="203.87"/>
        <n v="169.02"/>
        <n v="236.01"/>
        <n v="235.76"/>
        <n v="200.55"/>
        <n v="144.63999999999999"/>
        <n v="227.4"/>
        <n v="170.33"/>
        <n v="361.44"/>
        <n v="196.91"/>
        <n v="285.56"/>
        <n v="131.82"/>
        <n v="174.92"/>
        <n v="501.74"/>
        <n v="227.85"/>
        <n v="234.76"/>
        <n v="588.44000000000005"/>
        <n v="232.21"/>
        <n v="104.7"/>
        <n v="334.86"/>
        <n v="185.58"/>
        <n v="239.16"/>
        <n v="287.35000000000002"/>
        <n v="267.32"/>
        <n v="267.08999999999997"/>
        <n v="325.69"/>
        <n v="215.84"/>
        <n v="353.22"/>
        <n v="198.49"/>
        <n v="300.10000000000002"/>
        <n v="259.76"/>
        <n v="257.63"/>
        <n v="164.34"/>
        <n v="263.29000000000002"/>
        <n v="108.66"/>
        <n v="285.45999999999998"/>
        <n v="242"/>
        <n v="211.8"/>
        <n v="114.87"/>
        <n v="155.41"/>
        <n v="282.95999999999998"/>
        <n v="147.62"/>
        <n v="303.33999999999997"/>
        <n v="263.22000000000003"/>
        <n v="206.09"/>
        <n v="178.75"/>
        <n v="175.25"/>
        <n v="145.11000000000001"/>
        <n v="91.63"/>
        <n v="162.85"/>
        <n v="259.25"/>
        <n v="184.57"/>
        <n v="146.24"/>
        <n v="243.91"/>
        <n v="212.58"/>
        <n v="358.38"/>
        <n v="448.22"/>
        <n v="281.95"/>
        <n v="495.63"/>
        <n v="256.45"/>
        <n v="304.54000000000002"/>
        <n v="252.37"/>
        <n v="281.66000000000003"/>
        <n v="340.72"/>
        <n v="250.3"/>
        <n v="286.58999999999997"/>
        <n v="131.63999999999999"/>
        <n v="273.22000000000003"/>
        <n v="503.84"/>
        <n v="415.91"/>
        <n v="153.33000000000001"/>
        <n v="139.91999999999999"/>
        <n v="175.78"/>
        <n v="165.58"/>
        <n v="147.69999999999999"/>
        <n v="191.01"/>
        <n v="156.24"/>
        <n v="209.49"/>
        <n v="222.25"/>
        <n v="379.17"/>
        <n v="164.83"/>
        <n v="213.19"/>
        <n v="305.92"/>
        <n v="268.52999999999997"/>
        <n v="179.58"/>
        <n v="127.76"/>
        <n v="152.55000000000001"/>
        <n v="269.45"/>
        <n v="399.84"/>
        <n v="152.29"/>
        <n v="324.95999999999998"/>
        <n v="192.55"/>
        <n v="211.31"/>
        <n v="115.6"/>
        <n v="91.44"/>
        <n v="202.84"/>
        <n v="294.16000000000003"/>
        <n v="169.67"/>
        <n v="218.11"/>
        <n v="176.78"/>
        <n v="202.22"/>
        <n v="246.17"/>
        <n v="194.1"/>
        <n v="194.17"/>
        <n v="200.96"/>
        <n v="153.69"/>
        <n v="224.52"/>
        <n v="321.26"/>
        <n v="423.58"/>
        <n v="103.11"/>
        <n v="308.45"/>
        <n v="299.41000000000003"/>
        <n v="171.12"/>
        <n v="412.16"/>
        <n v="226.4"/>
        <n v="212.53"/>
        <n v="261.33"/>
        <n v="453.42"/>
        <n v="243.11"/>
        <n v="327.95"/>
        <n v="295.07"/>
        <n v="345.53"/>
        <n v="296.52999999999997"/>
        <n v="192.4"/>
        <n v="229.53"/>
        <n v="183.71"/>
        <n v="239.96"/>
        <n v="359.2"/>
        <n v="157.97"/>
        <n v="234.11"/>
        <n v="221.58"/>
        <n v="304.94"/>
        <n v="134.19"/>
        <n v="323.35000000000002"/>
        <n v="302.51"/>
        <n v="228.39"/>
        <n v="134.44"/>
        <n v="218.27"/>
        <n v="195.33"/>
        <n v="241.17"/>
        <n v="349.11"/>
        <n v="566.42999999999995"/>
        <n v="189.23"/>
        <n v="350.38"/>
        <n v="324.38"/>
        <n v="189.72"/>
        <n v="353.39"/>
        <n v="154.22999999999999"/>
        <n v="365.25"/>
        <n v="325.31"/>
        <n v="253.33"/>
        <n v="272.5"/>
        <n v="248.13"/>
        <n v="194.84"/>
        <n v="295.64"/>
        <n v="178.19"/>
        <n v="270.35000000000002"/>
        <n v="167.04"/>
        <n v="310.92"/>
        <n v="234.12"/>
        <n v="191.36"/>
        <n v="162.56"/>
        <n v="234.14"/>
        <n v="267.72000000000003"/>
        <n v="414.55"/>
        <n v="484.85"/>
        <n v="269.16000000000003"/>
        <n v="218.07"/>
        <n v="81.77"/>
        <n v="212.76"/>
        <n v="146.5"/>
        <n v="164.66"/>
        <n v="215.29"/>
        <n v="295.67"/>
        <n v="600.46"/>
        <n v="296.3"/>
        <n v="200.63"/>
        <n v="166.42"/>
        <n v="270.32"/>
        <n v="140.81"/>
        <n v="303.39"/>
        <n v="111.14"/>
        <n v="141.80000000000001"/>
        <n v="133.72999999999999"/>
        <n v="159.68"/>
        <n v="328.14"/>
        <n v="201.99"/>
        <n v="225.93"/>
        <n v="230.74"/>
        <n v="178.28"/>
        <n v="297.14999999999998"/>
        <n v="180.03"/>
        <n v="340.75"/>
        <n v="182.08"/>
        <n v="248.79"/>
        <n v="300.3"/>
        <n v="273.27"/>
        <n v="316.77"/>
        <n v="331.71"/>
        <n v="146.69"/>
        <n v="131.16999999999999"/>
        <n v="177.43"/>
        <n v="224.93"/>
        <n v="175.59"/>
        <n v="187.47"/>
        <n v="247.79"/>
        <n v="359.82"/>
        <n v="278.32"/>
        <n v="309.98"/>
        <n v="163.89"/>
        <n v="380.43"/>
        <n v="412.75"/>
        <n v="244.34"/>
        <n v="249.31"/>
        <n v="324.8"/>
        <n v="255.44"/>
        <n v="196.65"/>
        <n v="354.45"/>
        <n v="196.35"/>
        <n v="344.03"/>
        <n v="226.68"/>
        <n v="297.2"/>
        <n v="205.4"/>
        <n v="155.01"/>
        <n v="320.11"/>
        <n v="376.05"/>
        <n v="275.75"/>
        <n v="233.92"/>
        <n v="257.60000000000002"/>
        <n v="423.27"/>
        <n v="268.14"/>
        <n v="543.73"/>
        <n v="472.36"/>
        <n v="164.49"/>
        <n v="178.25"/>
        <n v="151.61000000000001"/>
        <n v="177.5"/>
        <n v="160.31"/>
        <n v="401.81"/>
        <n v="535.69000000000005"/>
        <n v="280.22000000000003"/>
        <n v="120.92"/>
        <n v="301.58"/>
        <n v="195.07"/>
        <n v="280.94"/>
        <n v="136.31"/>
        <n v="118.71"/>
        <n v="159.74"/>
        <n v="171.29"/>
        <n v="233.02"/>
        <n v="121.19"/>
        <n v="162.01"/>
        <n v="178.62"/>
        <n v="133.46"/>
        <n v="142.88"/>
        <n v="249.73"/>
        <n v="363.63"/>
        <n v="306.54000000000002"/>
        <n v="124.64"/>
        <n v="264.10000000000002"/>
        <n v="469.04"/>
        <n v="141.16"/>
        <n v="182.11"/>
        <n v="173.93"/>
        <n v="82.43"/>
        <n v="285.67"/>
        <n v="196.75"/>
        <n v="248.04"/>
        <n v="131.94"/>
        <n v="164.42"/>
        <n v="212.98"/>
        <n v="327"/>
        <n v="136.27000000000001"/>
        <n v="367.19"/>
        <n v="236.77"/>
        <n v="283.60000000000002"/>
        <n v="128.56"/>
        <n v="221.16"/>
        <n v="252.13"/>
        <n v="107.85"/>
        <n v="202.17"/>
        <n v="309.14999999999998"/>
        <n v="406.31"/>
        <n v="376.91"/>
        <n v="224.73"/>
        <n v="218.88"/>
        <n v="200.22"/>
        <n v="332.24"/>
        <n v="330.91"/>
        <n v="143.18"/>
        <n v="198.45"/>
        <n v="231.85"/>
        <n v="262.55"/>
        <n v="181.55"/>
        <n v="132.61000000000001"/>
        <n v="139.72"/>
        <n v="200.91"/>
        <n v="180.63"/>
        <n v="252.47"/>
        <n v="300.63"/>
        <n v="165.49"/>
        <n v="204.15"/>
        <n v="340.95"/>
        <n v="232.24"/>
        <n v="212.26"/>
        <n v="243.74"/>
        <n v="374.34"/>
        <n v="353.87"/>
        <n v="195.65"/>
        <n v="232.84"/>
        <n v="154.69999999999999"/>
        <n v="309.39999999999998"/>
        <n v="176.07"/>
        <n v="337.87"/>
        <n v="360.53"/>
        <n v="264.18"/>
        <n v="193.02"/>
        <n v="140.05000000000001"/>
        <n v="217.55"/>
        <n v="525.6"/>
        <n v="144.37"/>
        <n v="369.03"/>
        <n v="312.95"/>
        <n v="339.13"/>
        <n v="266.77999999999997"/>
        <n v="89.16"/>
        <n v="202.58"/>
        <n v="263.62"/>
        <n v="282.86"/>
        <n v="169.68"/>
        <n v="259.29000000000002"/>
        <n v="236.04"/>
        <n v="168.82"/>
        <n v="251.51"/>
        <n v="249.7"/>
        <n v="118.17"/>
        <n v="290.37"/>
        <n v="300.88"/>
        <n v="272.52999999999997"/>
        <n v="372.5"/>
        <n v="255.24"/>
        <n v="305.01"/>
        <n v="309.32"/>
        <n v="135.6"/>
        <n v="165.67"/>
        <n v="257.95"/>
        <n v="224.86"/>
        <n v="304.39999999999998"/>
        <n v="359.36"/>
        <n v="205.63"/>
        <n v="177.62"/>
        <n v="297.52"/>
        <n v="198.81"/>
        <n v="230.24"/>
        <n v="188.48"/>
        <n v="302.70999999999998"/>
        <n v="391.6"/>
        <n v="240.5"/>
        <n v="158.88"/>
        <n v="106.39"/>
        <n v="235.92"/>
        <n v="192.98"/>
        <n v="469.8"/>
        <n v="202.69"/>
        <n v="325.07"/>
        <n v="182.74"/>
        <n v="118.5"/>
        <n v="210.49"/>
        <n v="263.23"/>
        <n v="184.11"/>
        <n v="435.23"/>
        <n v="165.85"/>
        <n v="276.45999999999998"/>
        <n v="330.06"/>
        <n v="291.81"/>
        <n v="123.36"/>
        <n v="263.27"/>
        <n v="194.26"/>
        <n v="265.82"/>
        <n v="202.23"/>
        <n v="460.16"/>
        <n v="196.52"/>
        <n v="264.81"/>
        <n v="162.1"/>
        <n v="210.69"/>
        <n v="363.29"/>
        <n v="357.5"/>
        <n v="181.42"/>
        <n v="228.29"/>
        <n v="170.12"/>
        <n v="236.84"/>
        <n v="149.38999999999999"/>
        <n v="130.86000000000001"/>
        <n v="326.7"/>
        <n v="194.94"/>
        <n v="510.8"/>
        <n v="183.15"/>
        <n v="319.77"/>
        <n v="233.89"/>
        <n v="237.86"/>
        <n v="169.64"/>
        <n v="242.11"/>
        <n v="96.31"/>
        <n v="263.87"/>
        <n v="255.66"/>
        <n v="288.37"/>
        <n v="122.77"/>
        <n v="166.95"/>
        <n v="537.21"/>
        <n v="375.49"/>
        <n v="131.97"/>
        <n v="185.23"/>
        <n v="152.21"/>
        <n v="210.62"/>
        <n v="139.12"/>
        <n v="119.62"/>
        <n v="433.17"/>
        <n v="200.39"/>
        <n v="203.19"/>
        <n v="409.7"/>
        <n v="123.34"/>
        <n v="257.39999999999998"/>
        <n v="193.06"/>
        <n v="317.27"/>
        <n v="330.56"/>
        <n v="100.46"/>
        <n v="245.79"/>
        <n v="258.07"/>
        <n v="191.55"/>
        <n v="145.99"/>
        <n v="222.23"/>
        <n v="233.56"/>
        <n v="192.29"/>
        <n v="136.30000000000001"/>
        <n v="160.21"/>
        <n v="86.58"/>
        <n v="221.21"/>
        <n v="128.68"/>
        <n v="181.06"/>
        <n v="173.92"/>
        <n v="208.29"/>
        <n v="120.14"/>
        <n v="166.7"/>
        <n v="156.65"/>
        <n v="207.82"/>
        <n v="134.94"/>
        <n v="305.05"/>
        <n v="241.69"/>
        <n v="378.7"/>
        <n v="390.32"/>
        <n v="243.08"/>
        <n v="309.68"/>
        <n v="199.07"/>
        <n v="261.52999999999997"/>
        <n v="185.62"/>
        <n v="242.05"/>
        <n v="94.88"/>
        <n v="87.98"/>
        <n v="164.62"/>
        <n v="204.22"/>
        <n v="170.22"/>
        <n v="291.26"/>
        <n v="217.49"/>
        <n v="245.78"/>
        <n v="83.02"/>
        <n v="175.58"/>
        <n v="308.57"/>
        <n v="192.54"/>
        <n v="122.58"/>
        <n v="187.44"/>
        <n v="195.57"/>
        <n v="156.51"/>
        <n v="157.99"/>
        <n v="166.77"/>
        <n v="226.43"/>
        <n v="307.3"/>
        <n v="200.3"/>
        <n v="99.25"/>
        <n v="198.69"/>
        <n v="160.44999999999999"/>
        <n v="202.7"/>
        <n v="129.31"/>
        <n v="169.96"/>
        <n v="289.31"/>
        <n v="178.2"/>
        <n v="307.64999999999998"/>
        <n v="225.64"/>
        <n v="254.01"/>
        <n v="199.49"/>
        <n v="229.23"/>
        <n v="552.61"/>
        <n v="291.76"/>
        <n v="177.49"/>
        <n v="177.04"/>
        <n v="186.39"/>
        <n v="291.18"/>
        <n v="262.79000000000002"/>
        <n v="204.76"/>
        <n v="301.83"/>
        <n v="255.09"/>
        <n v="162.35"/>
        <n v="324.79000000000002"/>
        <n v="226.36"/>
        <n v="170.55"/>
        <n v="114.78"/>
        <n v="241.06"/>
        <n v="287.89"/>
        <n v="227.46"/>
        <n v="328.97"/>
        <n v="242.16"/>
        <n v="168.38"/>
        <n v="156.34"/>
        <n v="196.61"/>
        <n v="192.72"/>
        <n v="173.03"/>
        <n v="227.41"/>
        <n v="289.33999999999997"/>
        <n v="255.87"/>
        <n v="247.48"/>
        <n v="231.41"/>
        <n v="185.64"/>
        <n v="89.02"/>
        <n v="144.12"/>
        <n v="217.92"/>
        <n v="151.59"/>
        <n v="265.2"/>
        <n v="169.4"/>
        <n v="209.58"/>
        <n v="174.44"/>
        <n v="370.7"/>
        <n v="210.99"/>
        <n v="112.79"/>
        <n v="179.43"/>
        <n v="222.24"/>
        <n v="295.94"/>
        <n v="274.64999999999998"/>
        <n v="504.56"/>
        <n v="235"/>
        <n v="245.48"/>
        <n v="249.15"/>
        <n v="128.26"/>
        <n v="220.47"/>
        <n v="142.69"/>
        <n v="327.24"/>
        <n v="199.15"/>
        <n v="264.64999999999998"/>
        <n v="201.12"/>
        <n v="457.35"/>
        <n v="302.81"/>
        <n v="225.53"/>
        <n v="243.39"/>
        <n v="291.31"/>
        <n v="217.15"/>
        <n v="187.46"/>
        <n v="211.34"/>
        <n v="308.02"/>
        <n v="236.4"/>
        <n v="249.56"/>
        <n v="220"/>
        <n v="193.26"/>
        <n v="153.24"/>
        <n v="356.48"/>
        <n v="208.88"/>
        <n v="207.35"/>
        <n v="326.68"/>
        <n v="159.87"/>
        <n v="228.77"/>
        <n v="228.64"/>
        <n v="147.91999999999999"/>
        <n v="154.4"/>
        <n v="297.72000000000003"/>
        <n v="276.23"/>
        <n v="160.71"/>
        <n v="172.37"/>
        <n v="254.97"/>
        <n v="172.38"/>
        <n v="165.68"/>
        <n v="214.59"/>
        <n v="189.21"/>
        <n v="230.04"/>
        <n v="214.4"/>
        <n v="225.58"/>
        <n v="241.66"/>
        <n v="200.38"/>
        <n v="394.84"/>
        <n v="128.05000000000001"/>
        <n v="169.74"/>
        <n v="262.37"/>
        <n v="201.03"/>
        <n v="367.67"/>
        <n v="263.37"/>
        <n v="106.1"/>
        <n v="257.14"/>
        <n v="158.33000000000001"/>
        <n v="147.75"/>
        <n v="154.91"/>
        <n v="458.28"/>
        <n v="178.55"/>
        <n v="143.15"/>
        <n v="331.25"/>
        <n v="154.16999999999999"/>
        <n v="240.42"/>
        <n v="462.39"/>
        <n v="190.21"/>
        <n v="193.12"/>
        <n v="227.2"/>
        <n v="503.78"/>
        <n v="188.86"/>
        <n v="197.74"/>
        <n v="211.9"/>
        <n v="192"/>
        <n v="156.99"/>
        <n v="279.10000000000002"/>
        <n v="115.89"/>
        <n v="176.83"/>
        <n v="103.16"/>
        <n v="137.29"/>
        <n v="150.26"/>
        <n v="179.22"/>
        <n v="255.1"/>
        <n v="181.08"/>
        <n v="314.20999999999998"/>
        <n v="315.57"/>
        <n v="323.43"/>
        <n v="181.13"/>
        <n v="173.63"/>
        <n v="245.49"/>
        <n v="125.96"/>
        <n v="443.71"/>
        <n v="215.24"/>
        <n v="276.73"/>
        <n v="409.71"/>
        <n v="220.85"/>
        <n v="257.20999999999998"/>
        <n v="219.11"/>
        <n v="249.25"/>
        <n v="162.91999999999999"/>
        <n v="340.74"/>
        <n v="102.7"/>
        <n v="233.81"/>
        <n v="110.12"/>
        <n v="160.65"/>
        <n v="153.97999999999999"/>
        <n v="128.77000000000001"/>
        <n v="213.27"/>
        <n v="249.72"/>
        <n v="194.41"/>
        <n v="291.01"/>
        <n v="195.21"/>
        <n v="173.45"/>
        <n v="362.45"/>
        <n v="297.57"/>
        <n v="247.69"/>
        <n v="262.3"/>
        <n v="359.64"/>
        <n v="401.28"/>
        <n v="167.47"/>
        <n v="182.86"/>
        <n v="172.83"/>
        <n v="138.15"/>
        <n v="182.39"/>
        <n v="121.12"/>
        <n v="270.62"/>
        <n v="295.31"/>
        <n v="130.53"/>
        <n v="190.65"/>
        <n v="97.73"/>
        <n v="179.4"/>
        <n v="195.2"/>
        <n v="284.66000000000003"/>
        <n v="345.01"/>
        <n v="96.62"/>
        <n v="127.09"/>
        <n v="237.48"/>
        <n v="349.91"/>
        <n v="230.85"/>
        <n v="335.89"/>
        <n v="168.32"/>
        <n v="205.26"/>
        <n v="209.84"/>
        <n v="156.61000000000001"/>
        <n v="134.84"/>
        <n v="209.35"/>
        <n v="273.10000000000002"/>
        <n v="213.1"/>
        <n v="213.32"/>
        <n v="211.6"/>
        <n v="236.28"/>
        <n v="472.05"/>
        <n v="262.57"/>
        <n v="251.47"/>
        <n v="351.43"/>
        <n v="264.58999999999997"/>
        <n v="276.70999999999998"/>
        <n v="324.73"/>
        <n v="316.17"/>
        <n v="324.67"/>
        <n v="285.75"/>
        <n v="242.01"/>
        <n v="164.27"/>
        <n v="70.36"/>
        <n v="297.11"/>
        <n v="145.13999999999999"/>
        <n v="115.57"/>
        <n v="187.96"/>
        <n v="247.57"/>
        <n v="182.27"/>
        <n v="154.08000000000001"/>
        <n v="150.38999999999999"/>
        <n v="251.35"/>
        <n v="121.45"/>
        <n v="142.96"/>
        <n v="205"/>
        <n v="204.05"/>
        <n v="167.18"/>
        <n v="175.38"/>
        <n v="182.98"/>
        <n v="297.62"/>
        <n v="304.04000000000002"/>
        <n v="196.31"/>
        <n v="149.59"/>
        <n v="451.51"/>
        <n v="153.76"/>
        <n v="535.32000000000005"/>
        <n v="238.49"/>
        <n v="514.76"/>
        <n v="264.42"/>
        <n v="201.55"/>
        <n v="186"/>
        <n v="294.58"/>
        <n v="304.18"/>
        <n v="143.38"/>
        <n v="169.9"/>
        <n v="183.69"/>
        <n v="337.48"/>
        <n v="201.76"/>
        <n v="153.22"/>
        <n v="281.67"/>
        <n v="307.10000000000002"/>
        <n v="238.67"/>
        <n v="309.97000000000003"/>
        <n v="273.76"/>
        <n v="183.62"/>
        <n v="260.58"/>
        <n v="126.21"/>
        <n v="154.51"/>
        <n v="158.96"/>
        <n v="140.29"/>
        <n v="228.52"/>
        <n v="233.09"/>
        <n v="183.51"/>
        <n v="207.69"/>
        <n v="275.18"/>
        <n v="127.64"/>
        <n v="220.45"/>
        <n v="280.35000000000002"/>
        <n v="326.63"/>
        <n v="238.97"/>
        <n v="110.99"/>
        <n v="124.01"/>
        <n v="234.43"/>
        <n v="210.9"/>
        <n v="256.81"/>
        <n v="281.37"/>
        <n v="297.52999999999997"/>
        <n v="148.9"/>
        <n v="146.09"/>
        <n v="115.84"/>
        <n v="222.53"/>
        <n v="245.92"/>
        <n v="258"/>
        <n v="406.86"/>
        <n v="189.4"/>
        <n v="102.38"/>
        <n v="252.27"/>
        <n v="166.2"/>
        <n v="139.47999999999999"/>
        <n v="192.59"/>
        <n v="280.98"/>
        <n v="203.81"/>
        <n v="191.71"/>
        <n v="311.36"/>
        <n v="196.25"/>
        <n v="340.8"/>
        <n v="191.08"/>
        <n v="129.72"/>
        <n v="161.63"/>
        <n v="348.82"/>
        <n v="215.5"/>
        <n v="167.07"/>
        <n v="237.97"/>
        <n v="289.66000000000003"/>
        <n v="259.64999999999998"/>
        <n v="239.07"/>
        <n v="396.16"/>
        <n v="286.17"/>
        <n v="369.16"/>
        <n v="227.82"/>
        <n v="204.61"/>
        <n v="260.60000000000002"/>
        <n v="418.01"/>
        <n v="323.45999999999998"/>
        <n v="224.17"/>
        <n v="213.68"/>
        <n v="236.63"/>
        <n v="174.4"/>
        <n v="195.74"/>
        <n v="149.53"/>
        <n v="220.01"/>
        <n v="195.24"/>
        <n v="304.36"/>
        <n v="409.84"/>
        <n v="171.84"/>
        <n v="154.94"/>
        <n v="271.08999999999997"/>
        <n v="580.82000000000005"/>
        <n v="267.10000000000002"/>
        <n v="144.24"/>
        <n v="420.45"/>
        <n v="318.56"/>
        <n v="117.47"/>
        <n v="180.81"/>
        <n v="109.24"/>
        <n v="258.41000000000003"/>
        <n v="272.24"/>
        <n v="229.03"/>
        <n v="177.27"/>
        <n v="225.62"/>
        <n v="207.6"/>
        <n v="401.38"/>
        <n v="273.06"/>
        <n v="118.62"/>
        <n v="159.44999999999999"/>
        <n v="348.19"/>
        <n v="240.02"/>
        <n v="124.43"/>
        <n v="99.66"/>
        <n v="175.24"/>
        <n v="138.88"/>
        <n v="421.17"/>
        <n v="252.95"/>
        <n v="364.73"/>
        <n v="234.05"/>
        <n v="269.31"/>
        <n v="245.94"/>
        <n v="208.64"/>
        <n v="147.01"/>
        <n v="206.64"/>
        <n v="212.12"/>
        <n v="299.86"/>
        <n v="158.31"/>
        <n v="181.71"/>
        <n v="172.46"/>
        <n v="177.25"/>
        <n v="201.42"/>
        <n v="412.47"/>
        <n v="126.05"/>
        <n v="233.29"/>
        <n v="238.09"/>
        <n v="193.14"/>
        <n v="158.72"/>
        <n v="141.59"/>
        <n v="391.66"/>
        <n v="184.73"/>
        <n v="191.68"/>
        <n v="195.85"/>
        <n v="130.61000000000001"/>
        <n v="227.25"/>
        <n v="230.26"/>
        <n v="361.3"/>
        <n v="313.39"/>
        <n v="274.37"/>
        <n v="72.209999999999994"/>
        <n v="132.19999999999999"/>
        <n v="189.06"/>
        <n v="99.36"/>
        <n v="337.23"/>
        <n v="141.91"/>
        <n v="127.78"/>
        <n v="179.49"/>
        <n v="214.73"/>
        <n v="302.64999999999998"/>
        <n v="189.87"/>
        <n v="343.22"/>
        <n v="372.13"/>
        <n v="311.86"/>
        <n v="211.75"/>
        <n v="417.6"/>
        <n v="197.46"/>
        <n v="289.52"/>
        <n v="230.71"/>
        <n v="295.49"/>
        <n v="193.21"/>
        <n v="117.96"/>
        <n v="205.93"/>
        <n v="271.69"/>
        <n v="197.64"/>
        <n v="387.23"/>
        <n v="444.66"/>
        <n v="227.06"/>
        <n v="391.76"/>
        <n v="170.35"/>
        <n v="239"/>
        <n v="143.47999999999999"/>
        <n v="148.33000000000001"/>
        <n v="164.14"/>
        <n v="332.35"/>
        <n v="238.18"/>
        <n v="207.29"/>
        <n v="351.97"/>
        <n v="442.86"/>
        <n v="243.9"/>
        <n v="185.43"/>
        <n v="339.69"/>
        <n v="243.35"/>
        <n v="622.76"/>
        <n v="354.54"/>
        <n v="167.78"/>
        <n v="408.59"/>
        <n v="202.93"/>
        <n v="280.64999999999998"/>
        <n v="191.87"/>
        <n v="110.15"/>
        <n v="180.84"/>
        <n v="230.23"/>
        <n v="175.41"/>
        <n v="219.27"/>
        <n v="148.03"/>
        <n v="169.06"/>
        <n v="133.79"/>
        <n v="262.93"/>
        <n v="292.23"/>
        <n v="291.23"/>
        <n v="111.1"/>
        <n v="156.31"/>
        <n v="123.08"/>
        <n v="162.47999999999999"/>
        <n v="158.44999999999999"/>
        <n v="180.74"/>
        <n v="174.05"/>
        <n v="247.06"/>
        <n v="132.97"/>
        <n v="194.9"/>
        <n v="141.15"/>
        <n v="102.75"/>
        <n v="138.1"/>
        <n v="210.41"/>
        <n v="271.64999999999998"/>
        <n v="190.85"/>
        <n v="227.28"/>
        <n v="162.26"/>
        <n v="243.62"/>
        <n v="177.76"/>
        <n v="348.08"/>
        <n v="171.28"/>
        <n v="383.63"/>
        <n v="176.04"/>
        <n v="233.73"/>
        <n v="304.79000000000002"/>
        <n v="312.69"/>
        <n v="229.86"/>
        <n v="140.80000000000001"/>
        <n v="255.49"/>
        <n v="115.15"/>
        <n v="218.87"/>
        <n v="317.25"/>
        <n v="228.17"/>
        <n v="221.52"/>
        <n v="168.72"/>
        <n v="293.47000000000003"/>
        <n v="116.32"/>
        <n v="190.24"/>
        <n v="255.57"/>
        <n v="334.18"/>
        <n v="216.75"/>
        <n v="219.78"/>
        <n v="277.47000000000003"/>
        <n v="450.84"/>
        <n v="187.43"/>
        <n v="276.7"/>
        <n v="165.86"/>
        <n v="195.88"/>
        <n v="162.53"/>
        <n v="308.58"/>
        <n v="136"/>
        <n v="142.66"/>
        <n v="174.27"/>
        <n v="167.99"/>
        <n v="214.96"/>
        <n v="179.57"/>
        <n v="296.11"/>
        <n v="181.58"/>
        <n v="91.45"/>
        <n v="166.27"/>
        <n v="337.84"/>
        <n v="95.81"/>
        <n v="335.36"/>
        <n v="302.43"/>
        <n v="335.13"/>
        <n v="288.02999999999997"/>
        <n v="241.89"/>
        <n v="172.02"/>
        <n v="129.03"/>
        <n v="178.31"/>
        <n v="199.53"/>
        <n v="260.75"/>
        <n v="375.45"/>
        <n v="166.9"/>
        <n v="156.11000000000001"/>
        <n v="175.48"/>
        <n v="325.18"/>
        <n v="122.12"/>
        <n v="236.76"/>
        <n v="166.14"/>
        <n v="284.02"/>
        <n v="217.97"/>
        <n v="147.19999999999999"/>
        <n v="258.13"/>
        <n v="348.42"/>
        <n v="171.44"/>
        <n v="289.93"/>
        <n v="213.64"/>
        <n v="300.18"/>
        <n v="221.03"/>
        <n v="135.51"/>
        <n v="218.54"/>
        <n v="250.59"/>
        <n v="312.04000000000002"/>
        <n v="138.4"/>
        <n v="159.86000000000001"/>
        <n v="168.78"/>
        <n v="242.25"/>
        <n v="286.85000000000002"/>
        <n v="217.66"/>
        <n v="235.39"/>
        <n v="138.94"/>
        <n v="166.03"/>
        <n v="134.09"/>
        <n v="233.57"/>
        <n v="246.31"/>
        <n v="219.51"/>
        <n v="294.87"/>
        <n v="231.53"/>
        <n v="388.45"/>
        <n v="110.64"/>
        <n v="142.9"/>
        <n v="90.59"/>
        <n v="152.88"/>
        <n v="240.14"/>
        <n v="193.32"/>
        <n v="190.6"/>
        <n v="315.54000000000002"/>
        <n v="176.19"/>
        <n v="305.14999999999998"/>
        <n v="328.04"/>
        <n v="123.79"/>
        <n v="216.58"/>
        <n v="328.85"/>
        <n v="171.74"/>
        <n v="456.58"/>
        <n v="171.55"/>
        <n v="248.81"/>
        <n v="261.47000000000003"/>
        <n v="266.81"/>
        <n v="363.03"/>
        <n v="230.21"/>
        <n v="329.11"/>
        <n v="223.03"/>
        <n v="224.63"/>
        <n v="109.77"/>
        <n v="266.93"/>
        <n v="264.52999999999997"/>
        <n v="123.37"/>
        <n v="178.53"/>
        <n v="189.68"/>
        <n v="178.38"/>
        <n v="268.64999999999998"/>
        <n v="213.97"/>
        <n v="237.64"/>
        <n v="315.76"/>
        <n v="188.6"/>
        <n v="348.26"/>
        <n v="205.24"/>
        <n v="394.5"/>
        <n v="219.92"/>
        <n v="170.4"/>
        <n v="384.87"/>
        <n v="219.49"/>
        <n v="311.38"/>
        <n v="323.32"/>
        <n v="373.49"/>
        <n v="187.51"/>
        <n v="265.02999999999997"/>
        <n v="168.55"/>
        <n v="147.13999999999999"/>
        <n v="148.32"/>
        <n v="174.38"/>
        <n v="150.68"/>
        <n v="160.5"/>
        <n v="295.8"/>
        <n v="303.94"/>
        <n v="91.67"/>
        <n v="261.32"/>
        <n v="250.96"/>
        <n v="376.83"/>
        <n v="257.05"/>
        <n v="148.16999999999999"/>
        <n v="190.47"/>
        <n v="193.46"/>
        <n v="249.75"/>
        <n v="349.12"/>
        <n v="225.11"/>
        <n v="200.66"/>
        <n v="170.15"/>
        <n v="183.85"/>
        <n v="231.36"/>
        <n v="297.87"/>
        <n v="226.65"/>
        <n v="305.86"/>
        <n v="202.41"/>
        <n v="243.97"/>
        <n v="209.09"/>
        <n v="222.08"/>
        <n v="155.69999999999999"/>
        <n v="327.83"/>
        <n v="146.12"/>
        <n v="142.46"/>
        <n v="262.63"/>
        <n v="190.99"/>
        <n v="170.71"/>
        <n v="476.45"/>
        <n v="173.53"/>
        <n v="178.47"/>
        <n v="384.99"/>
        <n v="343.63"/>
        <n v="363.44"/>
        <n v="170.03"/>
        <n v="134.76"/>
        <n v="426.59"/>
        <n v="257.67"/>
        <n v="189.1"/>
        <n v="315.19"/>
        <n v="350.59"/>
        <n v="277.81"/>
        <n v="188.61"/>
        <n v="237.01"/>
        <n v="160.38"/>
        <n v="432.62"/>
        <n v="178.27"/>
        <n v="150.83000000000001"/>
        <n v="375.73"/>
        <n v="168.76"/>
        <n v="216.99"/>
        <n v="248.44"/>
        <n v="313.23"/>
        <n v="215.79"/>
        <n v="306.73"/>
        <n v="262.61"/>
        <n v="305.08999999999997"/>
        <n v="196.5"/>
        <n v="298.47000000000003"/>
        <n v="347.74"/>
        <n v="216.6"/>
        <n v="280.95999999999998"/>
        <n v="437.5"/>
        <n v="244.3"/>
        <n v="268.10000000000002"/>
        <n v="154.57"/>
        <n v="240.17"/>
        <n v="276.64999999999998"/>
        <n v="290.85000000000002"/>
        <n v="187.05"/>
        <n v="366.19"/>
        <n v="120.82"/>
        <n v="110.1"/>
        <n v="185.21"/>
        <n v="172.58"/>
        <n v="204.59"/>
        <n v="220.75"/>
        <n v="298.97000000000003"/>
        <n v="262.52"/>
        <n v="215.11"/>
        <n v="234.35"/>
        <n v="170.51"/>
        <n v="195.18"/>
        <n v="98.86"/>
        <n v="78.290000000000006"/>
        <n v="111.65"/>
        <n v="94.8"/>
        <n v="247.41"/>
        <n v="234.93"/>
        <n v="323.86"/>
        <n v="315.86"/>
        <n v="144.47999999999999"/>
        <n v="280.85000000000002"/>
        <n v="126.63"/>
        <n v="302.01"/>
        <n v="186.61"/>
        <n v="126.75"/>
        <n v="315.58"/>
        <n v="234.57"/>
        <n v="253.48"/>
        <n v="135.96"/>
        <n v="223.42"/>
        <n v="156.84"/>
        <n v="143.85"/>
        <n v="623.41999999999996"/>
        <n v="210.07"/>
        <n v="218.01"/>
        <n v="318.76"/>
        <n v="176.67"/>
        <n v="118.27"/>
        <n v="255.35"/>
        <n v="191.99"/>
        <n v="162.78"/>
        <n v="189.25"/>
        <n v="240.53"/>
        <n v="338.41"/>
        <n v="258.08"/>
        <n v="261.14"/>
        <n v="119.59"/>
        <n v="169.35"/>
        <n v="88.98"/>
        <n v="256.74"/>
        <n v="285.33999999999997"/>
        <n v="318.83999999999997"/>
        <n v="247.46"/>
        <n v="166.8"/>
        <n v="305.11"/>
        <n v="130.51"/>
        <n v="120.8"/>
        <n v="297.12"/>
        <n v="177.05"/>
        <n v="229.78"/>
        <n v="246.33"/>
        <n v="51.84"/>
        <n v="134.66999999999999"/>
        <n v="158.78"/>
        <n v="158.38"/>
        <n v="311.45999999999998"/>
        <n v="170.18"/>
        <n v="206.28"/>
        <n v="159.4"/>
        <n v="273"/>
        <n v="237.65"/>
        <n v="134.06"/>
        <n v="168.18"/>
        <n v="127.34"/>
        <n v="182.94"/>
        <n v="294.19"/>
        <n v="183.49"/>
        <n v="139.28"/>
        <n v="230.86"/>
        <n v="145.88999999999999"/>
        <n v="118.69"/>
        <n v="87.88"/>
        <n v="194.32"/>
        <n v="317.23"/>
        <n v="234.63"/>
        <n v="292.12"/>
        <n v="274.77999999999997"/>
        <n v="280.06"/>
        <n v="112.39"/>
        <n v="211.32"/>
        <n v="196.56"/>
        <n v="157.18"/>
        <n v="201.77"/>
        <n v="231.92"/>
        <n v="263.3"/>
        <n v="247.98"/>
        <n v="220.27"/>
        <n v="228.36"/>
        <n v="213.85"/>
        <n v="159.96"/>
        <n v="113.5"/>
        <n v="237.83"/>
        <n v="132.66999999999999"/>
        <n v="468.61"/>
        <n v="362.08"/>
        <n v="371.23"/>
        <n v="224.85"/>
        <n v="151.22"/>
        <n v="146.85"/>
        <n v="155.61000000000001"/>
        <n v="160.77000000000001"/>
        <n v="120.97"/>
        <n v="165.41"/>
        <n v="303.63"/>
        <n v="131.52000000000001"/>
        <n v="289.08999999999997"/>
        <n v="296.02"/>
        <n v="173.8"/>
        <n v="239.63"/>
        <n v="229.37"/>
        <n v="219.56"/>
        <n v="175.2"/>
        <n v="202.3"/>
        <n v="127.6"/>
        <n v="213.37"/>
        <n v="113.82"/>
        <n v="144.58000000000001"/>
        <n v="230.31"/>
        <n v="118.88"/>
        <n v="168.2"/>
        <n v="223.55"/>
        <n v="380.51"/>
        <n v="207.74"/>
        <n v="194.88"/>
        <n v="550.51"/>
        <n v="305.7"/>
        <n v="259.68"/>
        <n v="468.42"/>
        <n v="382.42"/>
        <n v="281.82"/>
        <n v="354.69"/>
        <n v="324.77999999999997"/>
        <n v="323.63"/>
        <n v="243.51"/>
        <n v="256.8"/>
        <n v="256.23"/>
        <n v="266.8"/>
        <n v="201.92"/>
        <n v="299.48"/>
        <n v="230.2"/>
        <n v="243.5"/>
        <n v="320.16000000000003"/>
        <n v="221.38"/>
        <n v="179.29"/>
        <n v="179.97"/>
        <n v="420.02"/>
        <n v="147.51"/>
        <n v="241.31"/>
        <n v="216.35"/>
        <n v="252.53"/>
        <n v="242.91"/>
        <n v="155.07"/>
        <n v="169.03"/>
        <n v="251.6"/>
        <n v="233.94"/>
        <n v="387.34"/>
        <n v="307.95999999999998"/>
        <n v="178.56"/>
        <n v="221.86"/>
        <n v="172.33"/>
        <n v="220.76"/>
        <n v="187.41"/>
        <n v="181.69"/>
        <n v="337.52"/>
        <n v="302.77999999999997"/>
        <n v="202.12"/>
        <n v="131.84"/>
        <n v="158.71"/>
        <n v="140.26"/>
        <n v="339.09"/>
        <n v="136.78"/>
        <n v="283.79000000000002"/>
        <n v="122.62"/>
        <n v="318.57"/>
        <n v="231.87"/>
        <n v="303.08999999999997"/>
        <n v="168.68"/>
        <n v="229.35"/>
        <n v="169.83"/>
        <n v="185.55"/>
        <n v="190.56"/>
        <n v="89.03"/>
        <n v="157.57"/>
        <n v="228.56"/>
        <n v="238.39"/>
        <n v="150.27000000000001"/>
        <n v="216.98"/>
        <n v="176.53"/>
        <n v="237.33"/>
        <n v="287.87"/>
        <n v="227.67"/>
        <n v="206.69"/>
        <n v="175.04"/>
        <n v="350.07"/>
        <n v="303.74"/>
        <n v="199.24"/>
        <n v="186.73"/>
        <n v="267.5"/>
        <n v="159.52000000000001"/>
        <n v="190.81"/>
        <n v="99.41"/>
        <n v="129.04"/>
        <n v="145.47"/>
        <n v="210.24"/>
        <n v="252.64"/>
        <n v="259.63"/>
        <n v="240.66"/>
        <n v="240.88"/>
        <n v="269.20999999999998"/>
        <n v="217.6"/>
        <n v="424.55"/>
        <n v="471.8"/>
        <n v="150.74"/>
        <n v="158.16999999999999"/>
        <n v="242.21"/>
        <n v="160.03"/>
        <n v="147.41"/>
        <n v="137.5"/>
        <n v="149.13"/>
        <n v="455.32"/>
        <n v="216.69"/>
        <n v="228.04"/>
        <n v="251.48"/>
        <n v="250.73"/>
        <n v="244.21"/>
        <n v="172.36"/>
        <n v="229.64"/>
        <n v="174.52"/>
        <n v="311.17"/>
        <n v="183.72"/>
        <n v="184.02"/>
        <n v="344.24"/>
        <n v="221.85"/>
        <n v="119.1"/>
        <n v="293.33"/>
        <n v="207.09"/>
        <n v="148.4"/>
        <n v="158.44"/>
        <n v="232.34"/>
        <n v="107.45"/>
        <n v="223.96"/>
        <n v="274.55"/>
        <n v="187.81"/>
        <n v="261.08999999999997"/>
        <n v="232.74"/>
        <n v="318.52999999999997"/>
        <n v="276.18"/>
        <n v="293.31"/>
        <n v="278.37"/>
        <n v="174.64"/>
        <n v="173.04"/>
        <n v="400.94"/>
        <n v="200.17"/>
        <n v="171.37"/>
        <n v="374.81"/>
        <n v="386.21"/>
        <n v="242.67"/>
        <n v="287.32"/>
        <n v="375.22"/>
        <n v="367.5"/>
        <n v="262.26"/>
        <n v="277.04000000000002"/>
        <n v="155.97999999999999"/>
        <n v="228.38"/>
        <n v="228.92"/>
        <n v="162.13"/>
        <n v="157.74"/>
        <n v="151.78"/>
        <n v="77.3"/>
        <n v="362.37"/>
        <n v="254.47"/>
        <n v="154.75"/>
        <n v="187.04"/>
        <n v="222.16"/>
        <n v="213"/>
        <n v="315.72000000000003"/>
        <n v="166.12"/>
        <n v="73.400000000000006"/>
        <n v="280.67"/>
        <n v="214.63"/>
        <n v="261.68"/>
        <n v="255.72"/>
        <n v="178.34"/>
        <n v="220.74"/>
        <n v="153.28"/>
        <n v="268.58"/>
        <n v="215.74"/>
        <n v="573.38"/>
        <n v="154.5"/>
        <n v="126.86"/>
        <n v="167.2"/>
        <n v="197.15"/>
        <n v="198.72"/>
        <n v="235.68"/>
        <n v="253.17"/>
        <n v="197.71"/>
        <n v="232.05"/>
        <n v="267.8"/>
        <n v="238.74"/>
        <n v="258.31"/>
        <n v="351.99"/>
        <n v="346.79"/>
        <n v="241.03"/>
        <n v="239.55"/>
        <n v="172.54"/>
        <n v="220.02"/>
        <n v="204.74"/>
        <n v="187.79"/>
        <n v="138.29"/>
        <n v="119.65"/>
        <n v="126.6"/>
        <n v="176.03"/>
        <n v="279.85000000000002"/>
        <n v="500.81"/>
        <n v="468.01"/>
        <n v="139.94999999999999"/>
        <n v="178.49"/>
        <n v="163.91"/>
        <n v="349.16"/>
        <n v="219.36"/>
        <n v="198.34"/>
        <n v="304.44"/>
        <n v="265.20999999999998"/>
        <n v="214.46"/>
        <n v="182.34"/>
        <n v="232.12"/>
        <n v="199.92"/>
        <n v="204.77"/>
        <n v="127.37"/>
        <n v="212.84"/>
        <n v="242.92"/>
        <n v="212.01"/>
        <n v="110.16"/>
        <n v="279.45999999999998"/>
        <n v="194.36"/>
        <n v="186.35"/>
        <n v="145.66"/>
        <n v="110.35"/>
        <n v="210.88"/>
        <n v="316.88"/>
        <n v="168.81"/>
        <n v="232.14"/>
        <n v="350.25"/>
        <n v="224.65"/>
        <n v="255.94"/>
        <n v="475.36"/>
        <n v="261.91000000000003"/>
        <n v="317.77"/>
        <n v="204.85"/>
        <n v="220.03"/>
        <n v="295.99"/>
        <n v="124.42"/>
        <n v="196.07"/>
        <n v="155.32"/>
        <n v="260.52999999999997"/>
        <n v="273.51"/>
        <n v="246.05"/>
        <n v="125.92"/>
        <n v="187.34"/>
        <n v="202.73"/>
        <n v="414.11"/>
        <n v="233.97"/>
        <n v="119.08"/>
        <n v="221.78"/>
        <n v="155.19"/>
        <n v="157.02000000000001"/>
        <n v="130.08000000000001"/>
        <n v="387.91"/>
        <n v="206.18"/>
        <n v="207.84"/>
        <n v="120.99"/>
        <n v="173.94"/>
        <n v="185.4"/>
        <n v="255.95"/>
        <n v="254.34"/>
        <n v="374.96"/>
        <n v="398.1"/>
        <n v="155.66999999999999"/>
        <n v="108.56"/>
        <n v="151.30000000000001"/>
        <n v="189.11"/>
        <n v="229.58"/>
        <n v="240.95"/>
        <n v="171.67"/>
        <n v="271.85000000000002"/>
        <n v="286.33999999999997"/>
        <n v="299.36"/>
        <n v="201.62"/>
        <n v="300.79000000000002"/>
        <n v="183.29"/>
        <n v="450.39"/>
        <n v="145.88"/>
        <n v="226.13"/>
        <n v="344.19"/>
        <n v="275.60000000000002"/>
        <n v="267.77999999999997"/>
        <n v="304.42"/>
        <n v="172.2"/>
        <n v="129.56"/>
        <n v="132.26"/>
        <n v="141.84"/>
        <n v="172.91"/>
        <n v="408.25"/>
        <n v="262.64999999999998"/>
        <n v="346.98"/>
        <n v="495.18"/>
        <n v="159.66999999999999"/>
        <n v="143.69999999999999"/>
        <n v="158.13"/>
        <n v="96.51"/>
        <n v="329.37"/>
        <n v="322.18"/>
        <n v="419.44"/>
        <n v="483.94"/>
        <n v="198.61"/>
        <n v="125.16"/>
        <n v="153.51"/>
        <n v="170.08"/>
        <n v="166.08"/>
        <n v="104.4"/>
        <n v="308.85000000000002"/>
        <n v="137.78"/>
        <n v="106.9"/>
        <n v="154.86000000000001"/>
        <n v="255.91"/>
        <n v="232.56"/>
        <n v="199.77"/>
        <n v="104.05"/>
        <n v="136.36000000000001"/>
        <n v="121.22"/>
        <n v="395.94"/>
        <n v="351.03"/>
        <n v="255.48"/>
        <n v="351.39"/>
        <n v="402.49"/>
        <n v="104.96"/>
        <n v="211.18"/>
        <n v="228.51"/>
        <n v="201.66"/>
        <n v="265.17"/>
        <n v="246.15"/>
        <n v="356.36"/>
        <n v="132.84"/>
        <n v="420.34"/>
        <n v="424.86"/>
        <n v="398.7"/>
        <n v="239.73"/>
        <n v="291.54000000000002"/>
        <n v="297.31"/>
        <n v="266.56"/>
        <n v="317.58999999999997"/>
        <n v="164.71"/>
        <n v="133.6"/>
        <n v="138.28"/>
        <n v="240.83"/>
        <n v="220.67"/>
        <n v="88.11"/>
        <n v="313.86"/>
        <n v="177.77"/>
        <n v="167.16"/>
        <n v="228.3"/>
        <n v="129.72999999999999"/>
        <n v="221.97"/>
        <n v="115.24"/>
        <n v="220.62"/>
        <n v="123.57"/>
        <n v="264.92"/>
        <n v="368.56"/>
        <n v="457.16"/>
        <n v="315.27999999999997"/>
        <n v="344.67"/>
        <n v="426.39"/>
        <n v="213.73"/>
        <n v="289.5"/>
        <n v="446.13"/>
        <n v="252.8"/>
        <n v="222.07"/>
        <n v="177.81"/>
        <n v="265.33"/>
        <n v="334.35"/>
        <n v="333.38"/>
        <n v="220.37"/>
        <n v="214.05"/>
        <n v="232.61"/>
        <n v="169.47"/>
        <n v="151.44999999999999"/>
        <n v="365.57"/>
        <n v="365.81"/>
        <n v="235.02"/>
        <n v="394.6"/>
        <n v="298.88"/>
        <n v="494.26"/>
        <n v="415.09"/>
        <n v="166.84"/>
        <n v="323"/>
        <n v="299.91000000000003"/>
        <n v="471.17"/>
        <n v="405.29"/>
        <n v="310.77"/>
        <n v="515.12"/>
        <n v="312.02"/>
        <n v="269.93"/>
        <n v="134.86000000000001"/>
        <n v="178.83"/>
        <n v="91.82"/>
        <n v="82.75"/>
        <n v="193.23"/>
        <n v="169.73"/>
        <n v="139.78"/>
        <n v="173.28"/>
        <n v="369.04"/>
        <n v="229.45"/>
        <n v="208.11"/>
        <n v="132.32"/>
        <n v="207.18"/>
        <n v="250.88"/>
        <n v="263.54000000000002"/>
        <n v="259.41000000000003"/>
        <n v="448.96"/>
        <n v="234.75"/>
        <n v="126.1"/>
        <n v="366.15"/>
        <n v="178.13"/>
        <n v="148.26"/>
        <n v="198.96"/>
        <n v="243.24"/>
        <n v="227.15"/>
        <n v="144.91999999999999"/>
        <n v="182.48"/>
        <n v="120.34"/>
        <n v="162.12"/>
        <n v="284.77999999999997"/>
        <n v="195.48"/>
        <n v="321.86"/>
        <n v="240.73"/>
        <n v="148.91"/>
        <n v="119.03"/>
        <n v="228.18"/>
        <n v="137.76"/>
        <n v="149.06"/>
        <n v="226.58"/>
        <n v="90"/>
        <n v="163.61000000000001"/>
        <n v="238.16"/>
        <n v="158.1"/>
        <n v="73.78"/>
        <n v="256.38"/>
        <n v="254.04"/>
        <n v="363.75"/>
        <n v="322.83"/>
        <n v="365.61"/>
        <n v="492.17"/>
        <n v="219.46"/>
        <n v="94.08"/>
        <n v="252.76"/>
        <n v="227.83"/>
        <n v="201.44"/>
        <n v="199.57"/>
        <n v="181.51"/>
        <n v="265.01"/>
        <n v="394.15"/>
        <n v="205.5"/>
        <n v="223.07"/>
        <n v="136.13999999999999"/>
        <n v="193.69"/>
        <n v="235.63"/>
        <n v="383.18"/>
        <n v="294.77"/>
        <n v="177.02"/>
        <n v="126.84"/>
        <n v="188.38"/>
        <n v="229.47"/>
        <n v="101.01"/>
        <n v="197.2"/>
        <n v="73.62"/>
        <n v="209.91"/>
        <n v="248.64"/>
        <n v="270.25"/>
        <n v="142.97999999999999"/>
        <n v="87.87"/>
        <n v="106.74"/>
        <n v="181.29"/>
        <n v="407.1"/>
        <n v="162.16"/>
        <n v="116.29"/>
        <n v="195.28"/>
        <n v="249.1"/>
        <n v="172.18"/>
        <n v="240.35"/>
        <n v="117.72"/>
        <n v="192.76"/>
        <n v="199.4"/>
        <n v="328.95"/>
        <n v="215.97"/>
        <n v="266.69"/>
        <n v="163.80000000000001"/>
        <n v="206.8"/>
        <n v="197.09"/>
        <n v="136.87"/>
        <n v="292"/>
        <n v="272.61"/>
        <n v="144.57"/>
        <n v="208.36"/>
        <n v="241.11"/>
        <n v="257.01"/>
        <n v="135.74"/>
        <n v="359.52"/>
        <n v="341.89"/>
        <n v="269.63"/>
        <n v="229.89"/>
        <n v="314.8"/>
        <n v="319.89999999999998"/>
        <n v="436.54"/>
        <n v="237.24"/>
        <n v="232.68"/>
        <n v="310.86"/>
        <n v="182.71"/>
        <n v="344.96"/>
        <n v="299.55"/>
        <n v="217.69"/>
        <n v="256.85000000000002"/>
        <n v="407.01"/>
        <n v="216.13"/>
        <n v="86.37"/>
        <n v="220.17"/>
        <n v="144.51"/>
        <n v="139.81"/>
        <n v="126.15"/>
        <n v="201.33"/>
        <n v="250.49"/>
        <n v="479.21"/>
        <n v="290.39"/>
        <n v="314.51"/>
        <n v="159.28"/>
        <n v="162.11000000000001"/>
        <n v="83.95"/>
        <n v="214.88"/>
        <n v="210.66"/>
        <n v="253.55"/>
        <n v="243.42"/>
        <n v="200.34"/>
        <n v="305.39999999999998"/>
        <n v="219"/>
        <n v="231.7"/>
        <n v="159.15"/>
        <n v="157.72999999999999"/>
        <n v="139.63"/>
        <n v="288.18"/>
        <n v="60.38"/>
        <n v="131.97999999999999"/>
        <n v="314.82"/>
        <n v="145.25"/>
        <n v="387.29"/>
        <n v="214.09"/>
        <n v="211.68"/>
        <n v="294.95999999999998"/>
        <n v="199.65"/>
        <n v="110.97"/>
        <n v="166.54"/>
        <n v="189.5"/>
        <n v="149.01"/>
        <n v="312.58"/>
        <n v="323.7"/>
        <n v="121.09"/>
        <n v="333.35"/>
        <n v="288.35000000000002"/>
        <n v="401.14"/>
        <n v="160.07"/>
        <n v="201.45"/>
        <n v="334.03"/>
        <n v="248.91"/>
        <n v="149.52000000000001"/>
        <n v="185.54"/>
        <n v="359.79"/>
        <n v="321.75"/>
        <n v="114.94"/>
        <n v="102.35"/>
        <n v="123.72"/>
        <n v="124.02"/>
        <n v="170.21"/>
        <n v="323.72000000000003"/>
        <n v="282.12"/>
        <n v="246.87"/>
        <n v="218.93"/>
        <n v="206.85"/>
        <n v="162.84"/>
        <n v="231.82"/>
        <n v="109.63"/>
        <n v="233.46"/>
        <n v="212.93"/>
        <n v="305.63"/>
        <n v="206.72"/>
        <n v="123.66"/>
        <n v="222.21"/>
        <n v="170.57"/>
        <n v="385.47"/>
        <n v="357.74"/>
        <n v="105.24"/>
        <n v="150.97999999999999"/>
        <n v="292.79000000000002"/>
        <n v="163.24"/>
        <n v="221.73"/>
        <n v="212.72"/>
        <n v="214.1"/>
        <n v="140.51"/>
        <n v="163.59"/>
        <n v="408.5"/>
        <n v="366.96"/>
        <n v="205.16"/>
        <n v="438.83"/>
        <n v="302.20999999999998"/>
        <n v="256.60000000000002"/>
        <n v="430.56"/>
        <n v="184.4"/>
        <n v="183.41"/>
        <n v="260.45999999999998"/>
        <n v="296.79000000000002"/>
        <n v="184.58"/>
        <n v="228.45"/>
        <n v="86.78"/>
        <n v="131.08000000000001"/>
        <n v="234.72"/>
        <n v="167.22"/>
        <n v="350.79"/>
        <n v="148.80000000000001"/>
        <n v="173.43"/>
        <n v="202.79"/>
        <n v="227.35"/>
        <n v="487.55"/>
        <n v="286.08"/>
        <n v="427.04"/>
        <n v="364.91"/>
        <n v="397.99"/>
        <n v="276.76"/>
        <n v="250.27"/>
        <n v="208.3"/>
        <n v="157.03"/>
        <n v="130.5"/>
        <n v="196.06"/>
        <n v="207.91"/>
        <n v="189.28"/>
        <n v="142.19"/>
        <n v="243.6"/>
        <n v="220.82"/>
        <n v="168.9"/>
        <n v="274.39"/>
        <n v="208.06"/>
        <n v="274.27999999999997"/>
        <n v="260.02999999999997"/>
        <n v="147.47999999999999"/>
        <n v="239.05"/>
        <n v="121.92"/>
        <n v="238.51"/>
        <n v="234.9"/>
        <n v="170.25"/>
        <n v="243.22"/>
        <n v="217.94"/>
        <n v="339.31"/>
        <n v="127.7"/>
        <n v="153.87"/>
        <n v="233.61"/>
        <n v="179.71"/>
        <n v="205.07"/>
        <n v="204.44"/>
        <n v="341.79"/>
        <n v="334.98"/>
        <n v="208.39"/>
        <n v="211.99"/>
        <n v="115.33"/>
        <n v="205.57"/>
        <n v="149.02000000000001"/>
        <n v="229.63"/>
        <n v="109.73"/>
        <n v="120.64"/>
        <n v="123.23"/>
        <n v="111.99"/>
        <n v="292.7"/>
        <n v="175.68"/>
        <n v="273.95"/>
        <n v="278.57"/>
        <n v="256.97000000000003"/>
        <n v="204.95"/>
        <n v="267.25"/>
        <n v="474.24"/>
        <n v="212.62"/>
        <n v="137.01"/>
        <n v="186.72"/>
        <n v="198.15"/>
        <n v="157.91"/>
        <n v="151.33000000000001"/>
        <n v="322.56"/>
        <n v="137.16999999999999"/>
        <n v="116.47"/>
        <n v="264.91000000000003"/>
        <n v="192.78"/>
        <n v="145.41"/>
        <n v="297.55"/>
        <n v="175.32"/>
        <n v="150.71"/>
        <n v="211.08"/>
        <n v="169.3"/>
        <n v="210.38"/>
        <n v="184"/>
        <n v="177.84"/>
        <n v="186.67"/>
        <n v="208.5"/>
        <n v="178.26"/>
        <n v="99.04"/>
        <n v="167.33"/>
        <n v="240.91"/>
        <n v="202.14"/>
        <n v="265.51"/>
        <n v="203.85"/>
        <n v="75"/>
        <n v="352.9"/>
        <n v="170.6"/>
        <n v="301.51"/>
        <n v="313.22000000000003"/>
        <n v="163.22999999999999"/>
        <n v="195.03"/>
        <n v="412.42"/>
        <n v="267.54000000000002"/>
        <n v="316.87"/>
        <n v="430.88"/>
        <n v="214.22"/>
        <n v="234.29"/>
        <n v="222.13"/>
        <n v="92.09"/>
        <n v="142.41"/>
        <n v="298.02999999999997"/>
        <n v="250.23"/>
        <n v="150.87"/>
        <n v="402.05"/>
        <n v="244.18"/>
        <n v="299.56"/>
        <n v="188.73"/>
        <n v="140.06"/>
        <n v="207.1"/>
        <n v="83.2"/>
        <n v="306.82"/>
        <n v="291.58999999999997"/>
        <n v="421.23"/>
        <n v="260.54000000000002"/>
        <n v="366.99"/>
        <n v="162.46"/>
        <n v="246.85"/>
        <n v="263.13"/>
        <n v="220.44"/>
        <n v="390.18"/>
        <n v="273.39999999999998"/>
        <n v="324.12"/>
        <n v="231.34"/>
        <n v="270.3"/>
        <n v="187.25"/>
        <n v="207.38"/>
        <n v="259.83999999999997"/>
        <n v="154.44999999999999"/>
        <n v="137.91999999999999"/>
        <n v="185.79"/>
        <n v="121.72"/>
        <n v="181.47"/>
        <n v="255.22"/>
        <n v="112.34"/>
        <n v="165.05"/>
        <n v="423.89"/>
        <n v="369.65"/>
        <n v="392.04"/>
        <n v="199.93"/>
        <n v="125.68"/>
        <n v="272.48"/>
        <n v="230.62"/>
        <n v="231.71"/>
        <n v="293.93"/>
        <n v="92.76"/>
        <n v="105.64"/>
        <n v="210.68"/>
        <n v="198.73"/>
        <n v="265.62"/>
        <n v="151.34"/>
        <n v="247.18"/>
        <n v="268.91000000000003"/>
        <n v="215.32"/>
        <n v="346.93"/>
        <n v="205.05"/>
        <n v="143.07"/>
        <n v="158.47999999999999"/>
        <n v="144.41999999999999"/>
        <n v="487.16"/>
        <n v="197.82"/>
        <n v="292.10000000000002"/>
        <n v="166.46"/>
        <n v="332.32"/>
        <n v="132.79"/>
        <n v="464.08"/>
        <n v="204.14"/>
        <n v="208.72"/>
        <n v="241.04"/>
        <n v="343.29"/>
        <n v="248.23"/>
        <n v="286.87"/>
        <n v="113.41"/>
        <n v="183.79"/>
        <n v="190.39"/>
        <n v="158.01"/>
        <n v="180.93"/>
        <n v="217.95"/>
        <n v="251.41"/>
        <n v="341.13"/>
        <n v="452.26"/>
        <n v="305.8"/>
        <n v="377.48"/>
        <n v="160.78"/>
        <n v="422.4"/>
        <n v="405.7"/>
        <n v="314.14"/>
        <n v="318.19"/>
        <n v="292.37"/>
        <n v="256.29000000000002"/>
        <n v="293.57"/>
        <n v="96.32"/>
        <n v="164.85"/>
        <n v="183.7"/>
        <n v="204.17"/>
        <n v="155.37"/>
        <n v="338.8"/>
        <n v="339.66"/>
        <n v="261.3"/>
        <n v="127.05"/>
        <n v="181.31"/>
        <n v="186.83"/>
        <n v="179.88"/>
        <n v="260.43"/>
        <n v="174.08"/>
        <n v="206.52"/>
        <n v="146.49"/>
        <n v="121.75"/>
        <n v="383.15"/>
        <n v="145.24"/>
        <n v="213.05"/>
        <n v="224.97"/>
        <n v="235.4"/>
        <n v="170.36"/>
        <n v="251.93"/>
        <n v="132.63"/>
        <n v="136.41"/>
        <n v="211.17"/>
        <n v="276.02"/>
        <n v="192.32"/>
        <n v="278.70999999999998"/>
        <n v="316.76"/>
        <n v="398.91"/>
        <n v="284.68"/>
        <n v="309.47000000000003"/>
        <n v="524.59"/>
        <n v="182.54"/>
        <n v="299.75"/>
        <n v="299.07"/>
        <n v="291.79000000000002"/>
        <n v="370.12"/>
        <n v="189.64"/>
        <n v="125.87"/>
        <n v="225.4"/>
        <n v="191.09"/>
        <n v="162.82"/>
        <n v="234.99"/>
        <n v="386.93"/>
        <n v="226.34"/>
        <n v="167.61"/>
        <n v="305.45"/>
        <n v="251.57"/>
        <n v="259.58999999999997"/>
        <n v="266.75"/>
        <n v="295.39"/>
        <n v="157.19999999999999"/>
        <n v="418.85"/>
        <n v="123.4"/>
        <n v="546.9"/>
        <n v="120.35"/>
        <n v="312.83999999999997"/>
        <n v="173.39"/>
        <n v="170.76"/>
        <n v="209.96"/>
        <n v="162"/>
        <n v="203.38"/>
        <n v="152.83000000000001"/>
        <n v="176.87"/>
        <n v="222.73"/>
        <n v="334.59"/>
        <n v="278.24"/>
        <n v="201.81"/>
        <n v="203.94"/>
        <n v="208.33"/>
        <n v="215.1"/>
        <n v="297.36"/>
        <n v="340.91"/>
        <n v="203.83"/>
        <n v="182.29"/>
        <n v="245.96"/>
        <n v="190.05"/>
        <n v="154.46"/>
        <n v="246.71"/>
        <n v="188.69"/>
        <n v="389.25"/>
        <n v="262.17"/>
        <n v="369.55"/>
        <n v="233.52"/>
        <n v="171.15"/>
        <n v="167.29"/>
        <n v="210.57"/>
        <n v="276.64"/>
        <n v="314.81"/>
        <n v="278.94"/>
        <n v="150.32"/>
        <n v="409.9"/>
        <n v="400.89"/>
        <n v="281.32"/>
        <n v="362.22"/>
        <n v="401.61"/>
        <n v="296.45999999999998"/>
        <n v="400.73"/>
        <n v="92.82"/>
        <n v="152.91999999999999"/>
        <n v="109.49"/>
        <n v="184.71"/>
        <n v="126.57"/>
        <n v="124.5"/>
        <n v="309.7"/>
        <n v="301.18"/>
        <n v="143.35"/>
        <n v="281.89"/>
        <n v="264.33"/>
        <n v="218.4"/>
        <n v="180.43"/>
        <n v="234.48"/>
        <n v="209.43"/>
        <n v="269.49"/>
        <n v="200.04"/>
        <n v="119.35"/>
        <n v="185.8"/>
        <n v="270.52999999999997"/>
        <n v="243.66"/>
        <n v="110.46"/>
        <n v="226.99"/>
        <n v="277.75"/>
        <n v="352.81"/>
        <n v="193.85"/>
        <n v="257.83999999999997"/>
        <n v="124.62"/>
        <n v="240.43"/>
        <n v="189.84"/>
        <n v="177.24"/>
        <n v="210.95"/>
        <n v="134.55000000000001"/>
        <n v="273.36"/>
        <n v="286.43"/>
        <n v="133.43"/>
        <n v="261.61"/>
        <n v="133.58000000000001"/>
        <n v="233.33"/>
        <n v="148.57"/>
        <n v="129.22"/>
        <n v="129.09"/>
        <n v="151.06"/>
        <n v="127.66"/>
        <n v="135.53"/>
        <n v="425.13"/>
        <n v="376.13"/>
        <n v="216.72"/>
        <n v="141.66"/>
        <n v="251.12"/>
        <n v="132.59"/>
        <n v="216.64"/>
        <n v="163.16999999999999"/>
        <n v="180.18"/>
        <n v="279.48"/>
        <n v="329.33"/>
        <n v="210.19"/>
        <n v="186.8"/>
        <n v="146.28"/>
        <n v="303.54000000000002"/>
        <n v="326.77"/>
        <n v="265.43"/>
        <n v="236.51"/>
        <n v="391.12"/>
        <n v="445.19"/>
        <n v="345.05"/>
        <n v="317.98"/>
        <n v="140.86000000000001"/>
        <n v="165.8"/>
        <n v="324.33"/>
        <n v="356.92"/>
        <n v="286.14999999999998"/>
        <n v="450.89"/>
        <n v="487.7"/>
        <n v="129.26"/>
        <n v="288.57"/>
        <n v="225.67"/>
        <n v="152.85"/>
        <n v="129.34"/>
        <n v="256.14"/>
        <n v="163.12"/>
        <n v="98.93"/>
        <n v="214"/>
        <n v="546.99"/>
        <n v="277.10000000000002"/>
        <n v="304.76"/>
        <n v="321.88"/>
        <n v="283.19"/>
        <n v="285.52"/>
        <n v="211.7"/>
        <n v="322.14999999999998"/>
        <n v="155.81"/>
        <n v="193.68"/>
        <n v="290.83"/>
        <n v="235.54"/>
        <n v="134.82"/>
        <n v="159.29"/>
        <n v="202.26"/>
        <n v="312.64999999999998"/>
        <n v="131.44999999999999"/>
        <n v="215.65"/>
        <n v="115.98"/>
        <n v="157.51"/>
        <n v="269.74"/>
        <n v="244.67"/>
        <n v="285.77999999999997"/>
        <n v="170.45"/>
        <n v="140.13999999999999"/>
        <n v="105.84"/>
        <n v="214.56"/>
        <n v="222.4"/>
        <n v="148.72999999999999"/>
        <n v="186.33"/>
        <n v="223.14"/>
        <n v="277.39"/>
        <n v="288.32"/>
        <n v="118.44"/>
        <n v="223.1"/>
        <n v="253.57"/>
        <n v="297.26"/>
        <n v="229.98"/>
        <n v="260.74"/>
        <n v="228.54"/>
        <n v="132.04"/>
        <n v="329.23"/>
        <n v="317.85000000000002"/>
        <n v="151.19999999999999"/>
        <n v="139.97"/>
        <n v="156.02000000000001"/>
        <n v="175.42"/>
        <n v="99.14"/>
        <n v="285.64"/>
        <n v="271.19"/>
        <n v="251.67"/>
        <n v="308.32"/>
        <n v="179.39"/>
        <n v="180.41"/>
        <n v="264.94"/>
        <n v="285.27"/>
        <n v="308.97000000000003"/>
        <n v="171.38"/>
        <n v="266.64999999999998"/>
        <n v="250.82"/>
        <n v="130.29"/>
        <n v="330.17"/>
        <n v="133.69999999999999"/>
        <n v="311.75"/>
        <n v="190.02"/>
        <n v="209.71"/>
        <n v="250.42"/>
        <n v="235.55"/>
        <n v="188.58"/>
        <n v="338.19"/>
        <n v="352.3"/>
        <n v="90.66"/>
        <n v="158.49"/>
        <n v="316.14999999999998"/>
        <n v="162.33000000000001"/>
        <n v="179.67"/>
        <n v="325.81"/>
        <n v="226.89"/>
        <n v="258.94"/>
        <n v="156"/>
        <n v="391.33"/>
        <n v="189.37"/>
        <n v="166.85"/>
        <n v="96.03"/>
        <n v="95.56"/>
        <n v="200.76"/>
        <n v="205.85"/>
        <n v="256.77"/>
        <n v="245.21"/>
        <n v="196.82"/>
        <n v="220.64"/>
        <n v="224.24"/>
        <n v="180.04"/>
        <n v="196.48"/>
        <n v="147.66999999999999"/>
        <n v="189.3"/>
        <n v="190.59"/>
        <n v="167.09"/>
        <n v="313.72000000000003"/>
        <n v="123.76"/>
        <n v="135.82"/>
        <n v="87.02"/>
        <n v="178.35"/>
        <n v="222.79"/>
        <n v="347.67"/>
        <n v="381.54"/>
        <n v="272.36"/>
        <n v="376.58"/>
        <n v="165.93"/>
        <n v="187.69"/>
        <n v="206.56"/>
        <n v="133.31"/>
        <n v="234.8"/>
        <n v="204.9"/>
        <n v="202.62"/>
        <n v="201.35"/>
        <n v="147.91"/>
        <n v="131.46"/>
        <n v="112.16"/>
        <n v="162.04"/>
        <n v="83.04"/>
        <n v="86.84"/>
        <n v="255.16"/>
        <n v="138.6"/>
        <n v="156.18"/>
        <n v="296.52"/>
        <n v="150.18"/>
        <n v="232.52"/>
        <n v="221.07"/>
        <n v="165.2"/>
        <n v="300.51"/>
        <n v="135.63999999999999"/>
        <n v="149.05000000000001"/>
        <n v="169.57"/>
        <n v="186.36"/>
        <n v="367.74"/>
        <n v="195.89"/>
        <n v="124.28"/>
        <n v="181.52"/>
        <n v="290"/>
        <n v="334.13"/>
        <n v="262"/>
        <n v="149.12"/>
        <n v="372"/>
        <n v="191.53"/>
        <n v="124.61"/>
        <n v="152.12"/>
        <n v="100.77"/>
        <n v="176.32"/>
        <n v="275.99"/>
        <n v="237.39"/>
        <n v="290.79000000000002"/>
        <n v="269.07"/>
        <n v="469.79"/>
        <n v="348.88"/>
        <n v="248.75"/>
        <n v="264.95999999999998"/>
        <n v="251.43"/>
        <n v="214.48"/>
        <n v="246.69"/>
        <n v="242.48"/>
        <n v="318.18"/>
        <n v="114.16"/>
        <n v="202.15"/>
        <n v="191.23"/>
        <n v="310.20999999999998"/>
        <n v="326.25"/>
        <n v="345.79"/>
        <n v="295.27999999999997"/>
        <n v="159.04"/>
        <n v="137.66999999999999"/>
        <n v="182.61"/>
        <n v="197.79"/>
        <n v="150.21"/>
        <n v="238.96"/>
        <n v="200.48"/>
        <n v="265.48"/>
        <n v="147.83000000000001"/>
        <n v="188.04"/>
        <n v="175.37"/>
        <n v="174.3"/>
        <n v="396.25"/>
        <n v="183.23"/>
        <n v="333.12"/>
        <n v="255.15"/>
        <n v="324.24"/>
        <n v="325.41000000000003"/>
        <n v="402.13"/>
        <n v="270.89"/>
        <n v="235.22"/>
        <n v="177.71"/>
        <n v="207.55"/>
        <n v="164.68"/>
        <n v="202.55"/>
        <n v="367.12"/>
        <n v="285.45"/>
        <n v="196.4"/>
        <n v="299.13"/>
        <n v="192.47"/>
        <n v="343.02"/>
        <n v="265.88"/>
        <n v="414.81"/>
        <n v="229.59"/>
        <n v="228.35"/>
        <n v="341.23"/>
        <n v="255.75"/>
        <n v="317.16000000000003"/>
        <n v="399.09"/>
        <n v="348.79"/>
        <n v="267.63"/>
        <n v="374.52"/>
        <n v="295.52999999999997"/>
        <n v="259.38"/>
        <n v="131.09"/>
        <n v="194.87"/>
        <n v="162.19"/>
        <n v="174.65"/>
        <n v="167.38"/>
        <n v="116.52"/>
        <n v="97.58"/>
        <n v="141.05000000000001"/>
        <n v="409.74"/>
        <n v="373.04"/>
        <n v="412.08"/>
        <n v="396.78"/>
        <n v="328.18"/>
        <n v="397.85"/>
        <n v="282.74"/>
        <n v="207.11"/>
        <n v="157.68"/>
        <n v="141.62"/>
        <n v="232.67"/>
        <n v="236.83"/>
        <n v="174.39"/>
        <n v="271.66000000000003"/>
        <n v="329.57"/>
        <n v="162.66"/>
        <n v="146.44999999999999"/>
        <n v="164.54"/>
        <n v="214.62"/>
        <n v="429.96"/>
        <n v="315.60000000000002"/>
        <n v="204.4"/>
        <n v="267.68"/>
        <n v="216.63"/>
        <n v="223"/>
        <n v="205.44"/>
        <n v="127.2"/>
        <n v="218.59"/>
        <n v="266.08999999999997"/>
        <n v="170.65"/>
        <n v="308.29000000000002"/>
        <n v="339.49"/>
        <n v="186.96"/>
        <n v="204.69"/>
        <n v="179.33"/>
        <n v="142.36000000000001"/>
        <n v="194"/>
        <n v="290.49"/>
        <n v="429.39"/>
        <n v="355.42"/>
        <n v="355.03"/>
        <n v="236.82"/>
        <n v="205.96"/>
        <n v="124.34"/>
        <n v="140.53"/>
        <n v="286.67"/>
        <n v="171.36"/>
        <n v="164.89"/>
        <n v="244.38"/>
        <n v="381.29"/>
        <n v="403.55"/>
        <n v="149.88999999999999"/>
        <n v="145.15"/>
        <n v="260.3"/>
        <n v="251.74"/>
        <n v="256.13"/>
        <n v="282"/>
        <n v="240.87"/>
        <n v="147.18"/>
        <n v="525.82000000000005"/>
        <n v="147.06"/>
        <n v="264.27"/>
        <n v="144.74"/>
        <n v="399.49"/>
        <n v="314.75"/>
        <n v="256.7"/>
        <n v="404.07"/>
        <n v="211.19"/>
        <n v="312.13"/>
        <n v="344.5"/>
        <n v="191.39"/>
        <n v="242.42"/>
        <n v="208.13"/>
        <n v="118.79"/>
        <n v="206.25"/>
        <n v="231.6"/>
        <n v="244.89"/>
        <n v="155.41999999999999"/>
        <n v="185.3"/>
        <n v="196.1"/>
        <n v="134.35"/>
        <n v="126.08"/>
        <n v="336.11"/>
        <n v="211.56"/>
        <n v="153.68"/>
        <n v="161.88999999999999"/>
        <n v="293.38"/>
        <n v="184.52"/>
        <n v="226.22"/>
        <n v="148.24"/>
        <n v="212"/>
        <n v="296.58"/>
        <n v="407.43"/>
        <n v="369.71"/>
        <n v="263.24"/>
        <n v="266.3"/>
        <n v="230.22"/>
        <n v="205.61"/>
        <n v="197.52"/>
        <n v="168.99"/>
        <n v="180.64"/>
        <n v="370.93"/>
        <n v="480.22"/>
        <n v="135.88"/>
        <n v="216.25"/>
        <n v="212.29"/>
        <n v="261.75"/>
        <n v="165.97"/>
        <n v="101.43"/>
        <n v="224.57"/>
        <n v="214.84"/>
        <n v="171.59"/>
        <n v="164.88"/>
        <n v="504.81"/>
        <n v="305.97000000000003"/>
        <n v="509.98"/>
        <n v="97.42"/>
        <n v="184.59"/>
        <n v="116.34"/>
        <n v="272.92"/>
        <n v="204.01"/>
        <n v="314.58"/>
        <n v="348.28"/>
        <n v="327.9"/>
        <n v="141.38"/>
        <n v="160.59"/>
        <n v="367.36"/>
        <n v="206.36"/>
        <n v="267.44"/>
        <n v="260.01"/>
        <n v="170.7"/>
        <n v="287.51"/>
        <n v="243.89"/>
        <n v="134.26"/>
        <n v="251.98"/>
        <n v="328.67"/>
        <n v="143.86000000000001"/>
        <n v="207.88"/>
        <n v="209.39"/>
        <n v="209.82"/>
        <n v="285.44"/>
        <n v="219.45"/>
        <n v="183.48"/>
        <n v="121.15"/>
        <n v="260.42"/>
        <n v="244.88"/>
        <n v="229.49"/>
        <n v="204.97"/>
        <n v="143.26"/>
        <n v="330.77"/>
        <n v="230.96"/>
        <n v="247.95"/>
        <n v="464.42"/>
        <n v="392.09"/>
        <n v="261.88"/>
        <n v="194.62"/>
        <n v="293.35000000000002"/>
        <n v="277.57"/>
        <n v="217.18"/>
        <n v="194.49"/>
        <n v="137.47"/>
        <n v="215.67"/>
        <n v="338.75"/>
        <n v="370.5"/>
        <n v="147.81"/>
        <n v="148.34"/>
        <n v="252.38"/>
        <n v="182.45"/>
        <n v="139.46"/>
        <n v="173.51"/>
        <n v="206.95"/>
        <n v="194.33"/>
        <n v="244.8"/>
        <n v="211.98"/>
        <n v="274.42"/>
        <n v="363.28"/>
        <n v="167.19"/>
        <n v="332.86"/>
        <n v="193.37"/>
        <n v="250.61"/>
        <n v="285.58"/>
        <n v="178.61"/>
        <n v="116.41"/>
        <n v="95.02"/>
        <n v="321.97000000000003"/>
        <n v="137.69"/>
        <n v="202.67"/>
        <n v="449.39"/>
        <n v="260.17"/>
        <n v="243.82"/>
        <n v="450.32"/>
        <n v="278.3"/>
        <n v="317.04000000000002"/>
        <n v="595.04"/>
        <n v="104.2"/>
        <n v="95.05"/>
        <n v="245.77"/>
        <n v="190.68"/>
        <n v="211.21"/>
        <n v="171.58"/>
        <n v="229.38"/>
        <n v="170.94"/>
        <n v="164.36"/>
        <n v="224.29"/>
        <n v="161.22"/>
        <n v="232.07"/>
        <n v="328.74"/>
        <n v="308.73"/>
        <n v="145.69999999999999"/>
        <n v="101.91"/>
        <n v="358.94"/>
        <n v="363.96"/>
        <n v="210.17"/>
        <n v="167.15"/>
        <n v="167.46"/>
        <n v="232.51"/>
        <n v="223.22"/>
        <n v="167.94"/>
        <n v="273.52999999999997"/>
        <n v="266.95999999999998"/>
        <n v="183.12"/>
        <n v="209.7"/>
        <n v="258.19"/>
        <n v="355.26"/>
        <n v="422.57"/>
        <n v="293.8"/>
        <n v="106.38"/>
        <n v="122.85"/>
        <n v="274.70999999999998"/>
        <n v="206.61"/>
        <n v="149.15"/>
        <n v="109.84"/>
        <n v="104.49"/>
        <n v="213.03"/>
        <n v="423.21"/>
        <n v="272.66000000000003"/>
        <n v="304.73"/>
        <n v="303.61"/>
        <n v="195.45"/>
        <n v="200.54"/>
        <n v="236.94"/>
        <n v="325.45999999999998"/>
        <n v="253.85"/>
        <n v="188.55"/>
        <n v="106.81"/>
        <n v="125.31"/>
        <n v="156.83000000000001"/>
        <n v="155.04"/>
        <n v="192.41"/>
        <n v="223.64"/>
        <n v="201.29"/>
        <n v="348.86"/>
        <n v="173.08"/>
        <n v="158.29"/>
        <n v="245.25"/>
        <n v="152.47999999999999"/>
        <n v="124.73"/>
        <n v="178.57"/>
        <n v="251.07"/>
        <n v="254.28"/>
        <n v="260.22000000000003"/>
        <n v="301.08999999999997"/>
        <n v="283.39999999999998"/>
        <n v="231.37"/>
        <n v="223.81"/>
        <n v="242.43"/>
        <n v="170.81"/>
        <n v="141.63999999999999"/>
        <n v="123.64"/>
        <n v="141.08000000000001"/>
        <n v="268.3"/>
        <n v="157.53"/>
        <n v="188.06"/>
        <n v="206.15"/>
        <n v="264.29000000000002"/>
        <n v="369.38"/>
        <n v="168.25"/>
        <n v="187.75"/>
        <n v="191.12"/>
        <n v="378.76"/>
        <n v="355.08"/>
        <n v="269.70999999999998"/>
        <n v="214.07"/>
        <n v="109.85"/>
        <n v="421.57"/>
        <n v="221.56"/>
        <n v="441.51"/>
        <n v="282.8"/>
        <n v="441.43"/>
        <n v="150.44"/>
        <n v="297.17"/>
        <n v="141.9"/>
        <n v="177.63"/>
        <n v="279.52999999999997"/>
        <n v="206.53"/>
        <n v="210.7"/>
        <n v="288.77"/>
        <n v="377.22"/>
        <n v="284.83999999999997"/>
        <n v="188.91"/>
        <n v="117.15"/>
        <n v="126.23"/>
        <n v="151.46"/>
        <n v="125.94"/>
        <n v="201.13"/>
        <n v="213.33"/>
        <n v="277.19"/>
        <n v="131.85"/>
        <n v="208.58"/>
        <n v="155.84"/>
        <n v="313.29000000000002"/>
        <n v="221.72"/>
        <n v="199.54"/>
        <n v="163.68"/>
        <n v="306.42"/>
        <n v="160.96"/>
        <n v="134.91"/>
        <n v="306.64"/>
        <n v="157.05000000000001"/>
        <n v="171.88"/>
        <n v="139.04"/>
        <n v="151.03"/>
        <n v="384.35"/>
        <n v="390.55"/>
        <n v="353.69"/>
        <n v="157.76"/>
        <n v="152.63"/>
        <n v="146.81"/>
        <n v="125.01"/>
        <n v="90.3"/>
        <n v="172.74"/>
        <n v="308.08"/>
        <n v="200.07"/>
        <n v="218.48"/>
        <n v="132.72"/>
        <n v="161.52000000000001"/>
        <n v="146.58000000000001"/>
        <n v="135.69"/>
        <n v="137.62"/>
        <n v="297.95999999999998"/>
        <n v="225.52"/>
        <n v="287.36"/>
        <n v="274.52"/>
        <n v="197.11"/>
        <n v="170.44"/>
        <n v="223.16"/>
        <n v="222.37"/>
        <n v="348.06"/>
        <n v="190.87"/>
        <n v="295.52"/>
        <n v="337.97"/>
        <n v="188.23"/>
        <n v="198.75"/>
        <n v="167.82"/>
        <n v="239.9"/>
        <n v="275.79000000000002"/>
        <n v="302.92"/>
        <n v="187.54"/>
        <n v="226.75"/>
        <n v="181.39"/>
        <n v="174.46"/>
        <n v="278.08"/>
        <n v="276.58999999999997"/>
        <n v="275.47000000000003"/>
        <n v="86.48"/>
        <n v="220.11"/>
        <n v="158.81"/>
        <n v="221.61"/>
        <n v="134.91999999999999"/>
        <n v="337.77"/>
        <n v="350.1"/>
        <n v="188.1"/>
        <n v="181.95"/>
        <n v="261.43"/>
        <n v="223.3"/>
        <n v="180.29"/>
        <n v="175.98"/>
        <n v="167.12"/>
        <n v="260.11"/>
        <n v="160.34"/>
        <n v="226.41"/>
        <n v="171.32"/>
        <n v="287.04000000000002"/>
        <n v="313.10000000000002"/>
        <n v="236.54"/>
        <n v="404.86"/>
        <n v="337.11"/>
        <n v="310.56"/>
        <n v="309.92"/>
        <n v="210.5"/>
        <n v="311.43"/>
        <n v="169.26"/>
        <n v="155.02000000000001"/>
        <n v="211.09"/>
        <n v="197.41"/>
        <n v="403.69"/>
        <n v="290.57"/>
        <n v="225.08"/>
        <n v="148.11000000000001"/>
        <n v="133.36000000000001"/>
        <n v="199.94"/>
        <n v="263.11"/>
        <n v="295.72000000000003"/>
        <n v="335.86"/>
        <n v="177.64"/>
        <n v="221.88"/>
        <n v="172.24"/>
        <n v="188.96"/>
        <n v="173.09"/>
        <n v="179.68"/>
        <n v="238.42"/>
        <n v="186.11"/>
        <n v="242.57"/>
        <n v="211.72"/>
        <n v="318.60000000000002"/>
        <n v="198.85"/>
        <n v="142.72"/>
        <n v="172.3"/>
        <n v="209.01"/>
        <n v="253.58"/>
        <n v="311.57"/>
        <n v="214.64"/>
        <n v="160.47"/>
        <n v="414.68"/>
        <n v="347.07"/>
        <n v="292.89999999999998"/>
        <n v="243.04"/>
        <n v="120.58"/>
        <n v="239.46"/>
        <n v="294.54000000000002"/>
        <n v="400.49"/>
        <n v="214.37"/>
        <n v="275.86"/>
        <n v="352.76"/>
        <n v="116.54"/>
        <n v="116.02"/>
        <n v="185.91"/>
        <n v="107.43"/>
        <n v="262.29000000000002"/>
        <n v="188.54"/>
        <n v="241.9"/>
        <n v="232.57"/>
        <n v="361.79"/>
        <n v="187.12"/>
        <n v="171.51"/>
        <n v="229.67"/>
        <n v="226.67"/>
        <n v="189.93"/>
        <n v="268.89"/>
        <n v="193.5"/>
        <n v="453.96"/>
        <n v="222.27"/>
        <n v="289.36"/>
        <n v="301.42"/>
        <n v="351.08"/>
        <n v="176.97"/>
        <n v="116.07"/>
        <n v="253.22"/>
        <n v="382.71"/>
        <n v="248.1"/>
        <n v="165.98"/>
        <n v="202.47"/>
        <n v="223.61"/>
        <n v="217.36"/>
        <n v="349.23"/>
        <n v="233"/>
        <n v="360.27"/>
        <n v="169.18"/>
        <n v="156.56"/>
        <n v="82.19"/>
        <n v="245.67"/>
        <n v="376.1"/>
        <n v="117.17"/>
        <n v="213.96"/>
        <n v="284.47000000000003"/>
        <n v="108.19"/>
        <n v="126.55"/>
        <n v="194.72"/>
        <n v="167.23"/>
        <n v="112.75"/>
        <n v="224.81"/>
        <n v="177.08"/>
        <n v="248.47"/>
        <n v="123.97"/>
        <n v="154.79"/>
        <n v="131.41"/>
        <n v="288.39"/>
        <n v="295.51"/>
        <n v="393.26"/>
        <n v="248.43"/>
        <n v="323.13"/>
        <n v="271.75"/>
        <n v="237.85"/>
        <n v="181.7"/>
        <n v="262.8"/>
        <n v="236.1"/>
        <n v="157.66"/>
        <n v="362.56"/>
        <n v="205.11"/>
        <n v="250.93"/>
        <n v="265.64"/>
        <n v="360.93"/>
        <n v="130.87"/>
        <n v="194.08"/>
        <n v="282.75"/>
        <n v="297.07"/>
        <n v="311.73"/>
        <n v="441.17"/>
        <n v="159.13999999999999"/>
        <n v="186.48"/>
        <n v="251.79"/>
        <n v="193.31"/>
        <n v="216.53"/>
        <n v="267"/>
        <n v="183"/>
        <n v="385.83"/>
        <n v="80"/>
        <n v="175.82"/>
        <n v="322.75"/>
        <n v="108.45"/>
        <n v="179.96"/>
        <n v="143.54"/>
        <n v="285.83999999999997"/>
        <n v="216.7"/>
        <n v="170.91"/>
        <n v="125.49"/>
        <n v="276.27"/>
        <n v="180.39"/>
        <n v="262.89"/>
        <n v="256.44"/>
        <n v="263.39999999999998"/>
        <n v="299.33"/>
        <n v="276.07"/>
        <n v="269.69"/>
        <n v="270.41000000000003"/>
        <n v="168.83"/>
        <n v="175.43"/>
        <n v="255.83"/>
        <n v="292.81"/>
        <n v="257.31"/>
        <n v="239.76"/>
        <n v="189.69"/>
        <n v="419.92"/>
        <n v="69.98"/>
        <n v="233.84"/>
        <n v="204.98"/>
        <n v="144.52000000000001"/>
        <n v="206.16"/>
        <n v="268.58999999999997"/>
        <n v="192.25"/>
        <n v="208.26"/>
        <n v="110.31"/>
        <n v="169.59"/>
        <n v="308.55"/>
        <n v="300.8"/>
        <n v="326.69"/>
        <n v="398.69"/>
        <n v="202.76"/>
        <n v="196.19"/>
        <n v="269.7"/>
        <n v="193.49"/>
        <n v="423.85"/>
        <n v="178.42"/>
        <n v="324.47000000000003"/>
        <n v="239.15"/>
        <n v="238.87"/>
        <n v="184.96"/>
        <n v="237.77"/>
        <n v="313.17"/>
        <n v="248.95"/>
        <n v="454.68"/>
        <n v="293.52"/>
        <n v="413.64"/>
        <n v="210.53"/>
        <n v="288.52999999999997"/>
        <n v="169.31"/>
        <n v="170.62"/>
        <n v="302.42"/>
        <n v="294.62"/>
        <n v="287.54000000000002"/>
        <n v="346.88"/>
        <n v="250.07"/>
        <n v="256.58999999999997"/>
        <n v="116.56"/>
        <n v="313.35000000000002"/>
        <n v="265.29000000000002"/>
        <n v="248.6"/>
        <n v="174.62"/>
        <n v="157.44"/>
        <n v="141.02000000000001"/>
        <n v="246.79"/>
        <n v="185.88"/>
        <n v="130.55000000000001"/>
        <n v="174.87"/>
        <n v="155.22"/>
        <n v="118.4"/>
        <n v="259.93"/>
        <n v="157.27000000000001"/>
        <n v="134.31"/>
        <n v="180.56"/>
        <n v="117"/>
        <n v="226.66"/>
        <n v="209.6"/>
        <n v="141.87"/>
        <n v="302"/>
        <n v="118.33"/>
        <n v="389.04"/>
        <n v="199.59"/>
        <n v="124.88"/>
        <n v="211.38"/>
        <n v="243.4"/>
        <n v="292.01"/>
        <n v="134.05000000000001"/>
        <n v="215"/>
        <n v="118.96"/>
        <n v="74.849999999999994"/>
        <n v="117.91"/>
        <n v="303.52999999999997"/>
        <n v="316.74"/>
        <n v="234.38"/>
        <n v="302.14"/>
        <n v="206.37"/>
        <n v="204.67"/>
        <n v="266.70999999999998"/>
        <n v="287.3"/>
        <n v="264.49"/>
        <n v="160.18"/>
        <n v="164"/>
        <n v="172.8"/>
        <n v="231.67"/>
        <n v="170.77"/>
        <n v="362.39"/>
        <n v="333.15"/>
        <n v="273.47000000000003"/>
        <n v="310.83999999999997"/>
        <n v="118.28"/>
        <n v="154.1"/>
        <n v="132.46"/>
        <n v="194.65"/>
        <n v="300.54000000000002"/>
        <n v="181.38"/>
        <n v="220.92"/>
        <n v="281.77"/>
        <n v="231.07"/>
        <n v="224.47"/>
        <n v="255.06"/>
        <n v="261.54000000000002"/>
        <n v="222.76"/>
        <n v="221.41"/>
        <n v="357.26"/>
        <n v="82.78"/>
        <n v="123.32"/>
        <n v="67.06"/>
        <n v="235.51"/>
        <n v="282.63"/>
        <n v="344.36"/>
        <n v="170.63"/>
        <n v="319.77999999999997"/>
        <n v="250.25"/>
        <n v="391.41"/>
        <n v="143.87"/>
        <n v="126.76"/>
        <n v="171.98"/>
        <n v="216.16"/>
        <n v="223.13"/>
        <n v="181.68"/>
        <n v="141.22"/>
        <n v="230.84"/>
        <n v="230.07"/>
        <n v="304.27999999999997"/>
        <n v="267.39999999999998"/>
        <n v="133.33000000000001"/>
        <n v="128.75"/>
        <n v="152.22999999999999"/>
        <n v="280.60000000000002"/>
        <n v="394.92"/>
        <n v="296.76"/>
        <n v="370.2"/>
        <n v="200.99"/>
        <n v="169.89"/>
        <n v="172.72"/>
        <n v="227.26"/>
        <n v="150.33000000000001"/>
        <n v="246.65"/>
        <n v="185.38"/>
        <n v="270.5"/>
        <n v="305.87"/>
        <n v="507.93"/>
        <n v="208.52"/>
        <n v="308.48"/>
        <n v="176.38"/>
        <n v="451.2"/>
        <n v="225.5"/>
        <n v="156.09"/>
        <n v="170.84"/>
        <n v="101.88"/>
        <n v="131.13"/>
        <n v="336.97"/>
        <n v="248"/>
        <n v="360.21"/>
        <n v="361.76"/>
        <n v="227.99"/>
        <n v="211.94"/>
        <n v="311.39"/>
        <n v="171.01"/>
        <n v="166.21"/>
        <n v="169.51"/>
        <n v="164.91"/>
        <n v="130.05000000000001"/>
        <n v="142.65"/>
        <n v="122.16"/>
        <n v="177.38"/>
        <n v="214.31"/>
        <n v="131.31"/>
        <n v="105.58"/>
        <n v="135.05000000000001"/>
        <n v="256.89"/>
        <n v="197.93"/>
        <n v="219.79"/>
        <n v="289.58999999999997"/>
        <n v="225.73"/>
        <n v="92.68"/>
        <n v="103.5"/>
        <n v="577.57000000000005"/>
        <n v="139.41999999999999"/>
        <n v="156.80000000000001"/>
        <n v="180.69"/>
        <n v="221.82"/>
        <n v="182.32"/>
        <n v="231.27"/>
        <n v="194.76"/>
        <n v="263.83999999999997"/>
        <n v="265.47000000000003"/>
        <n v="239.33"/>
        <n v="334.93"/>
        <n v="342.29"/>
        <n v="348.29"/>
        <n v="169.61"/>
        <n v="110"/>
        <n v="205.01"/>
        <n v="215.91"/>
        <n v="239.09"/>
        <n v="315.01"/>
        <n v="140.25"/>
        <n v="193.05"/>
        <n v="191.11"/>
        <n v="138.06"/>
        <n v="629.51"/>
        <n v="146.77000000000001"/>
        <n v="203.12"/>
        <n v="205.76"/>
        <n v="250.63"/>
        <n v="128.51"/>
        <n v="194.05"/>
        <n v="219.17"/>
        <n v="150.19999999999999"/>
        <n v="123.5"/>
        <n v="361.17"/>
        <n v="226.46"/>
        <n v="213.34"/>
        <n v="186.4"/>
        <n v="194.82"/>
        <n v="213.5"/>
        <n v="240.85"/>
        <n v="297.5"/>
        <n v="259.52999999999997"/>
        <n v="146.35"/>
        <n v="261.29000000000002"/>
        <n v="255.68"/>
        <n v="250.71"/>
        <n v="278.58999999999997"/>
        <n v="460.9"/>
        <n v="413.27"/>
        <n v="150.75"/>
        <n v="293.54000000000002"/>
        <n v="168.09"/>
        <n v="181.78"/>
        <n v="284.27999999999997"/>
        <n v="288.45"/>
        <n v="201.71"/>
        <n v="249.13"/>
        <n v="184.39"/>
        <n v="232.87"/>
        <n v="129.85"/>
        <n v="253.07"/>
        <n v="609.23"/>
        <n v="267.58"/>
        <n v="452.66"/>
        <n v="147.41999999999999"/>
        <n v="196.55"/>
        <n v="209.65"/>
        <n v="307.83999999999997"/>
        <n v="247.36"/>
        <n v="285.51"/>
        <n v="194.69"/>
        <n v="195.64"/>
        <n v="292.29000000000002"/>
        <n v="259.44"/>
        <n v="106.34"/>
        <n v="251.99"/>
        <n v="155.13"/>
        <n v="468.15"/>
        <n v="232.17"/>
        <n v="320.94"/>
        <n v="143.27000000000001"/>
        <n v="206.01"/>
        <n v="131.93"/>
        <n v="159.57"/>
        <n v="198.76"/>
        <n v="424.6"/>
        <n v="312.18"/>
        <n v="262.44"/>
        <n v="418.83"/>
        <n v="119.37"/>
        <n v="298.81"/>
        <n v="157.01"/>
        <n v="244.72"/>
        <n v="354.05"/>
        <n v="241.36"/>
        <n v="239.64"/>
        <n v="229.52"/>
        <n v="299.76"/>
        <n v="332.68"/>
        <n v="152.44999999999999"/>
        <n v="554.65"/>
        <n v="226.25"/>
        <n v="262.99"/>
        <n v="148.96"/>
        <n v="175.05"/>
        <n v="202.65"/>
        <n v="109.03"/>
        <n v="286.95999999999998"/>
        <n v="97.99"/>
        <n v="85.68"/>
        <n v="300.41000000000003"/>
        <n v="310.94"/>
        <n v="321.7"/>
        <n v="332.31"/>
        <n v="286.48"/>
        <n v="250.77"/>
        <n v="325.64"/>
        <n v="235.77"/>
        <n v="282.04000000000002"/>
        <n v="273.62"/>
        <n v="183.25"/>
        <n v="362.51"/>
        <n v="265.18"/>
        <n v="212.67"/>
        <n v="266.87"/>
        <n v="106.83"/>
        <n v="307.48"/>
        <n v="401.51"/>
        <n v="184.32"/>
        <n v="345.1"/>
        <n v="167.76"/>
        <n v="255"/>
        <n v="284.14"/>
        <n v="172.03"/>
        <n v="197.96"/>
        <n v="104.5"/>
        <n v="216.46"/>
        <n v="319.27"/>
        <n v="141.27000000000001"/>
        <n v="117.11"/>
        <n v="88.28"/>
        <n v="177.36"/>
        <n v="182.77"/>
        <n v="472.02"/>
        <n v="383.17"/>
        <n v="516.59"/>
        <n v="276.77999999999997"/>
        <n v="232.46"/>
        <n v="300.32"/>
        <n v="169.12"/>
        <n v="187.02"/>
        <n v="183.56"/>
        <n v="254.06"/>
        <n v="153.29"/>
        <n v="127.48"/>
        <n v="138.13"/>
        <n v="240.39"/>
        <n v="96.07"/>
        <n v="345.06"/>
        <n v="174.84"/>
        <n v="378.38"/>
        <n v="458.39"/>
        <n v="216.59"/>
        <n v="459.46"/>
        <n v="238.3"/>
        <n v="273.88"/>
        <n v="285.02"/>
        <n v="182.76"/>
        <n v="311.39999999999998"/>
        <n v="137.88"/>
        <n v="186.42"/>
        <n v="167.5"/>
        <n v="321.57"/>
        <n v="236.06"/>
        <n v="126.52"/>
        <n v="362.62"/>
        <n v="271.51"/>
        <n v="330.83"/>
        <n v="212.05"/>
        <n v="206.67"/>
        <n v="211.62"/>
        <n v="370.18"/>
        <n v="158.6"/>
        <n v="245.33"/>
        <n v="174.18"/>
        <n v="141.96"/>
        <n v="74.819999999999993"/>
        <n v="240.97"/>
        <n v="395.35"/>
        <n v="304.27"/>
        <n v="166.94"/>
        <n v="145.97999999999999"/>
        <n v="239.21"/>
        <n v="325.39"/>
        <n v="206.94"/>
        <n v="355.13"/>
        <n v="337.45"/>
        <n v="143.36000000000001"/>
        <n v="250.01"/>
        <n v="278.61"/>
        <n v="217.31"/>
        <n v="272.35000000000002"/>
        <n v="214.42"/>
        <n v="335.75"/>
        <n v="219.2"/>
        <n v="219.48"/>
        <n v="180.13"/>
        <n v="185.1"/>
        <n v="216.84"/>
        <n v="231.79"/>
        <n v="238.54"/>
        <n v="209.34"/>
      </sharedItems>
      <fieldGroup base="25">
        <rangePr autoStart="0" startNum="50" endNum="650" groupInterval="100"/>
        <groupItems count="8">
          <s v="&lt;50"/>
          <s v="50-150"/>
          <s v="150-250"/>
          <s v="250-350"/>
          <s v="350-450"/>
          <s v="450-550"/>
          <s v="550-650"/>
          <s v="&gt;65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1"/>
    <n v="1"/>
    <d v="2026-06-12T00:00:00"/>
    <s v="Friday"/>
    <n v="6"/>
    <n v="10.220000000000001"/>
    <s v="Morning"/>
    <n v="49"/>
    <s v="Male"/>
    <n v="68.5"/>
    <n v="157.19999999999999"/>
    <n v="23.4"/>
    <n v="12"/>
    <s v="IL"/>
    <n v="6"/>
    <n v="1873.5"/>
    <s v="Low"/>
    <n v="1"/>
    <s v="Multi-Day"/>
    <n v="1"/>
    <n v="1"/>
    <x v="0"/>
  </r>
  <r>
    <n v="2"/>
    <n v="1"/>
    <d v="2026-06-12T00:00:00"/>
    <s v="Friday"/>
    <n v="6"/>
    <n v="10.27"/>
    <s v="Morning"/>
    <n v="30"/>
    <s v="Female"/>
    <n v="61.3"/>
    <n v="171.1"/>
    <n v="32.1"/>
    <n v="13"/>
    <s v="IL"/>
    <n v="6"/>
    <n v="1873.5"/>
    <s v="Low"/>
    <n v="1"/>
    <s v="Multi-Day"/>
    <n v="1"/>
    <n v="1"/>
    <x v="0"/>
  </r>
  <r>
    <n v="3"/>
    <n v="1"/>
    <d v="2026-06-12T00:00:00"/>
    <s v="Friday"/>
    <n v="6"/>
    <n v="10.27"/>
    <s v="Morning"/>
    <n v="35"/>
    <s v="Male"/>
    <n v="72"/>
    <n v="270.39999999999998"/>
    <n v="36.700000000000003"/>
    <n v="14"/>
    <s v="IL"/>
    <n v="6"/>
    <n v="1873.5"/>
    <s v="Low"/>
    <n v="1"/>
    <s v="Multi-Day"/>
    <n v="1"/>
    <n v="1"/>
    <x v="0"/>
  </r>
  <r>
    <n v="4"/>
    <n v="1"/>
    <d v="2026-06-12T00:00:00"/>
    <s v="Friday"/>
    <n v="6"/>
    <n v="10.09"/>
    <s v="Morning"/>
    <n v="42"/>
    <s v="Female"/>
    <n v="64.5"/>
    <n v="152.69999999999999"/>
    <n v="25.8"/>
    <n v="12"/>
    <s v="IL"/>
    <n v="6"/>
    <n v="1873.5"/>
    <s v="Low"/>
    <n v="1"/>
    <s v="Multi-Day"/>
    <n v="1"/>
    <n v="1"/>
    <x v="0"/>
  </r>
  <r>
    <n v="5"/>
    <n v="1"/>
    <d v="2026-06-12T00:00:00"/>
    <s v="Friday"/>
    <n v="6"/>
    <n v="10.14"/>
    <s v="Morning"/>
    <n v="59"/>
    <s v="Male"/>
    <n v="69.7"/>
    <n v="164.6"/>
    <n v="23.8"/>
    <n v="14"/>
    <s v="IL"/>
    <n v="6"/>
    <n v="1873.5"/>
    <s v="Low"/>
    <n v="1"/>
    <s v="Multi-Day"/>
    <n v="1"/>
    <n v="1"/>
    <x v="0"/>
  </r>
  <r>
    <n v="6"/>
    <n v="1"/>
    <d v="2026-06-12T00:00:00"/>
    <s v="Friday"/>
    <n v="6"/>
    <n v="10.38"/>
    <s v="Morning"/>
    <n v="44"/>
    <s v="Male"/>
    <n v="66.3"/>
    <n v="144.6"/>
    <n v="23.1"/>
    <n v="12"/>
    <s v="IL"/>
    <n v="6"/>
    <n v="1873.5"/>
    <s v="Low"/>
    <n v="1"/>
    <s v="Multi-Day"/>
    <n v="1"/>
    <n v="1"/>
    <x v="0"/>
  </r>
  <r>
    <n v="7"/>
    <n v="2"/>
    <d v="2026-03-10T00:00:00"/>
    <s v="Tuesday"/>
    <n v="3"/>
    <n v="13.46"/>
    <s v="Midday"/>
    <n v="24"/>
    <s v="Female"/>
    <n v="65.5"/>
    <n v="187.6"/>
    <n v="30.7"/>
    <n v="13"/>
    <s v="WA"/>
    <n v="3"/>
    <n v="1107.5"/>
    <s v="Low"/>
    <n v="0"/>
    <s v="Park Hopper"/>
    <n v="0"/>
    <n v="0"/>
    <x v="1"/>
  </r>
  <r>
    <n v="8"/>
    <n v="2"/>
    <d v="2026-03-10T00:00:00"/>
    <s v="Tuesday"/>
    <n v="3"/>
    <n v="13.5"/>
    <s v="Midday"/>
    <n v="4"/>
    <s v="Female"/>
    <n v="65.3"/>
    <n v="119"/>
    <n v="19.7"/>
    <n v="13"/>
    <s v="WA"/>
    <n v="3"/>
    <n v="1107.5"/>
    <s v="Low"/>
    <n v="0"/>
    <s v="Park Hopper"/>
    <n v="0"/>
    <n v="0"/>
    <x v="1"/>
  </r>
  <r>
    <n v="9"/>
    <n v="2"/>
    <d v="2026-03-10T00:00:00"/>
    <s v="Tuesday"/>
    <n v="3"/>
    <n v="13.29"/>
    <s v="Midday"/>
    <n v="54"/>
    <s v="Male"/>
    <n v="70.3"/>
    <n v="206"/>
    <n v="28.8"/>
    <n v="14"/>
    <s v="WA"/>
    <n v="3"/>
    <n v="1107.5"/>
    <s v="Low"/>
    <n v="0"/>
    <s v="Park Hopper"/>
    <n v="0"/>
    <n v="0"/>
    <x v="1"/>
  </r>
  <r>
    <n v="10"/>
    <n v="3"/>
    <d v="2026-03-28T00:00:00"/>
    <s v="Saturday"/>
    <n v="3"/>
    <n v="10.199999999999999"/>
    <s v="Morning"/>
    <n v="64"/>
    <s v="Male"/>
    <n v="63"/>
    <n v="106.4"/>
    <n v="18.899999999999999"/>
    <n v="14"/>
    <s v="NY"/>
    <n v="2"/>
    <n v="2019.7"/>
    <s v="Middle"/>
    <n v="0"/>
    <s v="Multi-Day"/>
    <n v="1"/>
    <n v="0"/>
    <x v="0"/>
  </r>
  <r>
    <n v="11"/>
    <n v="3"/>
    <d v="2026-03-28T00:00:00"/>
    <s v="Saturday"/>
    <n v="3"/>
    <n v="10.38"/>
    <s v="Morning"/>
    <n v="33"/>
    <s v="Female"/>
    <n v="64.7"/>
    <n v="153.69999999999999"/>
    <n v="25.8"/>
    <n v="13"/>
    <s v="NY"/>
    <n v="2"/>
    <n v="2019.7"/>
    <s v="Middle"/>
    <n v="0"/>
    <s v="Multi-Day"/>
    <n v="1"/>
    <n v="0"/>
    <x v="0"/>
  </r>
  <r>
    <n v="12"/>
    <n v="4"/>
    <d v="2026-06-27T00:00:00"/>
    <s v="Saturday"/>
    <n v="6"/>
    <n v="10.01"/>
    <s v="Morning"/>
    <n v="22"/>
    <s v="Female"/>
    <n v="67.400000000000006"/>
    <n v="128.30000000000001"/>
    <n v="19.899999999999999"/>
    <n v="14"/>
    <s v="WA"/>
    <n v="2"/>
    <n v="865.4"/>
    <s v="Middle"/>
    <n v="1"/>
    <s v="Single-Day"/>
    <n v="1"/>
    <n v="1"/>
    <x v="2"/>
  </r>
  <r>
    <n v="13"/>
    <n v="4"/>
    <d v="2026-06-27T00:00:00"/>
    <s v="Saturday"/>
    <n v="6"/>
    <n v="9.8800000000000008"/>
    <s v="Morning"/>
    <n v="9"/>
    <s v="Female"/>
    <n v="61.7"/>
    <n v="131.30000000000001"/>
    <n v="24.3"/>
    <n v="15"/>
    <s v="WA"/>
    <n v="2"/>
    <n v="865.4"/>
    <s v="Middle"/>
    <n v="1"/>
    <s v="Single-Day"/>
    <n v="1"/>
    <n v="1"/>
    <x v="2"/>
  </r>
  <r>
    <n v="14"/>
    <n v="5"/>
    <d v="2026-09-21T00:00:00"/>
    <s v="Monday"/>
    <n v="9"/>
    <n v="9.51"/>
    <s v="Morning"/>
    <n v="25"/>
    <s v="Female"/>
    <n v="64.400000000000006"/>
    <n v="145.9"/>
    <n v="24.6"/>
    <n v="15"/>
    <s v="CA"/>
    <n v="2"/>
    <n v="102.2"/>
    <s v="High"/>
    <n v="1"/>
    <s v="Multi-Day"/>
    <n v="1"/>
    <n v="1"/>
    <x v="0"/>
  </r>
  <r>
    <n v="15"/>
    <n v="5"/>
    <d v="2026-09-21T00:00:00"/>
    <s v="Monday"/>
    <n v="9"/>
    <n v="10.01"/>
    <s v="Morning"/>
    <n v="48"/>
    <s v="Male"/>
    <n v="72.8"/>
    <n v="135.9"/>
    <n v="18.3"/>
    <n v="16"/>
    <s v="CA"/>
    <n v="2"/>
    <n v="102.2"/>
    <s v="High"/>
    <n v="1"/>
    <s v="Multi-Day"/>
    <n v="1"/>
    <n v="1"/>
    <x v="0"/>
  </r>
  <r>
    <n v="16"/>
    <n v="6"/>
    <d v="2026-02-20T00:00:00"/>
    <s v="Friday"/>
    <n v="2"/>
    <n v="7.99"/>
    <s v="Morning"/>
    <n v="26"/>
    <s v="Female"/>
    <n v="62"/>
    <n v="122.7"/>
    <n v="22.5"/>
    <n v="17"/>
    <s v="AZ"/>
    <n v="5"/>
    <n v="293.10000000000002"/>
    <s v="Middle"/>
    <n v="1"/>
    <s v="Single-Day"/>
    <n v="0"/>
    <n v="0"/>
    <x v="0"/>
  </r>
  <r>
    <n v="17"/>
    <n v="6"/>
    <d v="2026-02-20T00:00:00"/>
    <s v="Friday"/>
    <n v="2"/>
    <n v="7.87"/>
    <s v="Morning"/>
    <n v="6"/>
    <s v="Female"/>
    <n v="60.4"/>
    <n v="135.80000000000001"/>
    <n v="26.1"/>
    <n v="9"/>
    <s v="AZ"/>
    <n v="5"/>
    <n v="293.10000000000002"/>
    <s v="Middle"/>
    <n v="1"/>
    <s v="Single-Day"/>
    <n v="0"/>
    <n v="0"/>
    <x v="0"/>
  </r>
  <r>
    <n v="18"/>
    <n v="6"/>
    <d v="2026-02-20T00:00:00"/>
    <s v="Friday"/>
    <n v="2"/>
    <n v="7.9"/>
    <s v="Morning"/>
    <n v="55"/>
    <s v="Male"/>
    <n v="68.7"/>
    <n v="215.8"/>
    <n v="31.9"/>
    <n v="15"/>
    <s v="AZ"/>
    <n v="5"/>
    <n v="293.10000000000002"/>
    <s v="Middle"/>
    <n v="1"/>
    <s v="Single-Day"/>
    <n v="0"/>
    <n v="0"/>
    <x v="0"/>
  </r>
  <r>
    <n v="19"/>
    <n v="6"/>
    <d v="2026-02-20T00:00:00"/>
    <s v="Friday"/>
    <n v="2"/>
    <n v="7.99"/>
    <s v="Morning"/>
    <n v="58"/>
    <s v="Female"/>
    <n v="58.7"/>
    <n v="110.3"/>
    <n v="22.5"/>
    <n v="18"/>
    <s v="AZ"/>
    <n v="5"/>
    <n v="293.10000000000002"/>
    <s v="Middle"/>
    <n v="1"/>
    <s v="Single-Day"/>
    <n v="0"/>
    <n v="0"/>
    <x v="0"/>
  </r>
  <r>
    <n v="20"/>
    <n v="6"/>
    <d v="2026-02-20T00:00:00"/>
    <s v="Friday"/>
    <n v="2"/>
    <n v="7.94"/>
    <s v="Morning"/>
    <n v="56"/>
    <s v="Nonbinary/Other"/>
    <n v="66.099999999999994"/>
    <n v="180.7"/>
    <n v="29"/>
    <n v="16"/>
    <s v="AZ"/>
    <n v="5"/>
    <n v="293.10000000000002"/>
    <s v="Middle"/>
    <n v="1"/>
    <s v="Single-Day"/>
    <n v="0"/>
    <n v="0"/>
    <x v="0"/>
  </r>
  <r>
    <n v="21"/>
    <n v="7"/>
    <d v="2026-02-18T00:00:00"/>
    <s v="Wednesday"/>
    <n v="2"/>
    <n v="7.66"/>
    <s v="Morning"/>
    <n v="13"/>
    <s v="Male"/>
    <n v="70"/>
    <n v="127.5"/>
    <n v="18.2"/>
    <n v="11"/>
    <s v="CO"/>
    <n v="2"/>
    <n v="1358.8"/>
    <s v="Low"/>
    <n v="1"/>
    <s v="Multi-Day"/>
    <n v="0"/>
    <n v="0"/>
    <x v="0"/>
  </r>
  <r>
    <n v="22"/>
    <n v="7"/>
    <d v="2026-02-18T00:00:00"/>
    <s v="Wednesday"/>
    <n v="2"/>
    <n v="7.68"/>
    <s v="Morning"/>
    <n v="43"/>
    <s v="Female"/>
    <n v="63.6"/>
    <n v="157.69999999999999"/>
    <n v="27.5"/>
    <n v="14"/>
    <s v="CO"/>
    <n v="2"/>
    <n v="1358.8"/>
    <s v="Low"/>
    <n v="1"/>
    <s v="Multi-Day"/>
    <n v="0"/>
    <n v="0"/>
    <x v="0"/>
  </r>
  <r>
    <n v="23"/>
    <n v="8"/>
    <d v="2026-10-31T00:00:00"/>
    <s v="Saturday"/>
    <n v="10"/>
    <n v="11.76"/>
    <s v="Midday"/>
    <n v="26"/>
    <s v="Female"/>
    <n v="62.4"/>
    <n v="148.1"/>
    <n v="26.6"/>
    <n v="15"/>
    <s v="CA"/>
    <n v="3"/>
    <n v="163.69999999999999"/>
    <s v="High"/>
    <n v="0"/>
    <s v="Single-Day"/>
    <n v="0"/>
    <n v="0"/>
    <x v="0"/>
  </r>
  <r>
    <n v="24"/>
    <n v="8"/>
    <d v="2026-10-31T00:00:00"/>
    <s v="Saturday"/>
    <n v="10"/>
    <n v="11.82"/>
    <s v="Midday"/>
    <n v="8"/>
    <s v="Male"/>
    <n v="58.3"/>
    <n v="90.5"/>
    <n v="18.899999999999999"/>
    <n v="11"/>
    <s v="CA"/>
    <n v="3"/>
    <n v="163.69999999999999"/>
    <s v="High"/>
    <n v="0"/>
    <s v="Single-Day"/>
    <n v="0"/>
    <n v="0"/>
    <x v="0"/>
  </r>
  <r>
    <n v="25"/>
    <n v="8"/>
    <d v="2026-10-31T00:00:00"/>
    <s v="Saturday"/>
    <n v="10"/>
    <n v="11.73"/>
    <s v="Midday"/>
    <n v="60"/>
    <s v="Female"/>
    <n v="65.5"/>
    <n v="183.1"/>
    <n v="29.8"/>
    <n v="21"/>
    <s v="CA"/>
    <n v="3"/>
    <n v="163.69999999999999"/>
    <s v="High"/>
    <n v="0"/>
    <s v="Single-Day"/>
    <n v="0"/>
    <n v="0"/>
    <x v="0"/>
  </r>
  <r>
    <n v="26"/>
    <n v="9"/>
    <d v="2026-01-12T00:00:00"/>
    <s v="Monday"/>
    <n v="1"/>
    <n v="9.06"/>
    <s v="Morning"/>
    <n v="74"/>
    <s v="Male"/>
    <n v="66.7"/>
    <n v="191.9"/>
    <n v="30.1"/>
    <n v="21"/>
    <s v="FL"/>
    <n v="3"/>
    <n v="2275.6"/>
    <s v="High"/>
    <n v="1"/>
    <s v="Multi-Day"/>
    <n v="1"/>
    <n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n v="1"/>
    <d v="2026-06-12T00:00:00"/>
    <s v="Friday"/>
    <n v="6"/>
    <n v="10.220000000000001"/>
    <x v="0"/>
    <x v="0"/>
    <s v="Male"/>
    <n v="68.5"/>
    <n v="157.19999999999999"/>
    <n v="23.4"/>
    <n v="12"/>
    <s v="IL"/>
    <n v="6"/>
    <n v="1873.5"/>
    <s v="Low"/>
    <n v="1"/>
    <s v="Multi-Day"/>
    <n v="1"/>
    <n v="1"/>
    <s v="Main Entrance"/>
    <s v="None/Walked from Resort"/>
    <n v="8.5"/>
    <n v="8"/>
    <x v="0"/>
  </r>
  <r>
    <n v="2"/>
    <n v="1"/>
    <d v="2026-06-12T00:00:00"/>
    <s v="Friday"/>
    <n v="6"/>
    <n v="10.27"/>
    <x v="0"/>
    <x v="1"/>
    <s v="Female"/>
    <n v="61.3"/>
    <n v="171.1"/>
    <n v="32.1"/>
    <n v="13"/>
    <s v="IL"/>
    <n v="6"/>
    <n v="1873.5"/>
    <s v="Low"/>
    <n v="1"/>
    <s v="Multi-Day"/>
    <n v="1"/>
    <n v="1"/>
    <s v="Main Entrance"/>
    <s v="None/Walked from Resort"/>
    <n v="8.4"/>
    <n v="7"/>
    <x v="1"/>
  </r>
  <r>
    <n v="3"/>
    <n v="1"/>
    <d v="2026-06-12T00:00:00"/>
    <s v="Friday"/>
    <n v="6"/>
    <n v="10.27"/>
    <x v="0"/>
    <x v="2"/>
    <s v="Male"/>
    <n v="72"/>
    <n v="270.39999999999998"/>
    <n v="36.700000000000003"/>
    <n v="14"/>
    <s v="IL"/>
    <n v="6"/>
    <n v="1873.5"/>
    <s v="Low"/>
    <n v="1"/>
    <s v="Multi-Day"/>
    <n v="1"/>
    <n v="1"/>
    <s v="Main Entrance"/>
    <s v="None/Walked from Resort"/>
    <n v="9.4"/>
    <n v="9"/>
    <x v="2"/>
  </r>
  <r>
    <n v="4"/>
    <n v="1"/>
    <d v="2026-06-12T00:00:00"/>
    <s v="Friday"/>
    <n v="6"/>
    <n v="10.09"/>
    <x v="0"/>
    <x v="3"/>
    <s v="Female"/>
    <n v="64.5"/>
    <n v="152.69999999999999"/>
    <n v="25.8"/>
    <n v="12"/>
    <s v="IL"/>
    <n v="6"/>
    <n v="1873.5"/>
    <s v="Low"/>
    <n v="1"/>
    <s v="Multi-Day"/>
    <n v="1"/>
    <n v="1"/>
    <s v="Main Entrance"/>
    <s v="None/Walked from Resort"/>
    <n v="9.8000000000000007"/>
    <n v="10"/>
    <x v="3"/>
  </r>
  <r>
    <n v="5"/>
    <n v="1"/>
    <d v="2026-06-12T00:00:00"/>
    <s v="Friday"/>
    <n v="6"/>
    <n v="10.14"/>
    <x v="0"/>
    <x v="4"/>
    <s v="Male"/>
    <n v="69.7"/>
    <n v="164.6"/>
    <n v="23.8"/>
    <n v="14"/>
    <s v="IL"/>
    <n v="6"/>
    <n v="1873.5"/>
    <s v="Low"/>
    <n v="1"/>
    <s v="Multi-Day"/>
    <n v="1"/>
    <n v="1"/>
    <s v="Main Entrance"/>
    <s v="None/Walked from Resort"/>
    <n v="8"/>
    <n v="7"/>
    <x v="4"/>
  </r>
  <r>
    <n v="6"/>
    <n v="1"/>
    <d v="2026-06-12T00:00:00"/>
    <s v="Friday"/>
    <n v="6"/>
    <n v="10.38"/>
    <x v="0"/>
    <x v="5"/>
    <s v="Male"/>
    <n v="66.3"/>
    <n v="144.6"/>
    <n v="23.1"/>
    <n v="12"/>
    <s v="IL"/>
    <n v="6"/>
    <n v="1873.5"/>
    <s v="Low"/>
    <n v="1"/>
    <s v="Multi-Day"/>
    <n v="1"/>
    <n v="1"/>
    <s v="Main Entrance"/>
    <s v="None/Walked from Resort"/>
    <n v="8.5"/>
    <n v="4"/>
    <x v="5"/>
  </r>
  <r>
    <n v="7"/>
    <n v="2"/>
    <d v="2026-03-10T00:00:00"/>
    <s v="Tuesday"/>
    <n v="3"/>
    <n v="13.46"/>
    <x v="1"/>
    <x v="6"/>
    <s v="Female"/>
    <n v="65.5"/>
    <n v="187.6"/>
    <n v="30.7"/>
    <n v="13"/>
    <s v="WA"/>
    <n v="3"/>
    <n v="1107.5"/>
    <s v="Low"/>
    <n v="0"/>
    <s v="Park Hopper"/>
    <n v="0"/>
    <n v="0"/>
    <s v="Hotel Guest Entrance"/>
    <s v="Mickey &amp; Friends"/>
    <n v="7.5"/>
    <n v="2"/>
    <x v="6"/>
  </r>
  <r>
    <n v="8"/>
    <n v="2"/>
    <d v="2026-03-10T00:00:00"/>
    <s v="Tuesday"/>
    <n v="3"/>
    <n v="13.5"/>
    <x v="1"/>
    <x v="7"/>
    <s v="Female"/>
    <n v="65.3"/>
    <n v="119"/>
    <n v="19.7"/>
    <n v="13"/>
    <s v="WA"/>
    <n v="3"/>
    <n v="1107.5"/>
    <s v="Low"/>
    <n v="0"/>
    <s v="Park Hopper"/>
    <n v="0"/>
    <n v="0"/>
    <s v="Hotel Guest Entrance"/>
    <s v="Mickey &amp; Friends"/>
    <n v="5.3"/>
    <n v="4"/>
    <x v="7"/>
  </r>
  <r>
    <n v="9"/>
    <n v="2"/>
    <d v="2026-03-10T00:00:00"/>
    <s v="Tuesday"/>
    <n v="3"/>
    <n v="13.29"/>
    <x v="1"/>
    <x v="8"/>
    <s v="Male"/>
    <n v="70.3"/>
    <n v="206"/>
    <n v="28.8"/>
    <n v="14"/>
    <s v="WA"/>
    <n v="3"/>
    <n v="1107.5"/>
    <s v="Low"/>
    <n v="0"/>
    <s v="Park Hopper"/>
    <n v="0"/>
    <n v="0"/>
    <s v="Hotel Guest Entrance"/>
    <s v="Mickey &amp; Friends"/>
    <n v="5.6"/>
    <n v="10"/>
    <x v="8"/>
  </r>
  <r>
    <n v="10"/>
    <n v="3"/>
    <d v="2026-03-28T00:00:00"/>
    <s v="Saturday"/>
    <n v="3"/>
    <n v="10.199999999999999"/>
    <x v="0"/>
    <x v="9"/>
    <s v="Male"/>
    <n v="63"/>
    <n v="106.4"/>
    <n v="18.899999999999999"/>
    <n v="14"/>
    <s v="NY"/>
    <n v="2"/>
    <n v="2019.7"/>
    <s v="Middle"/>
    <n v="0"/>
    <s v="Multi-Day"/>
    <n v="1"/>
    <n v="0"/>
    <s v="Main Entrance"/>
    <s v="Pixar Pals"/>
    <n v="7.8"/>
    <n v="9"/>
    <x v="9"/>
  </r>
  <r>
    <n v="11"/>
    <n v="3"/>
    <d v="2026-03-28T00:00:00"/>
    <s v="Saturday"/>
    <n v="3"/>
    <n v="10.38"/>
    <x v="0"/>
    <x v="10"/>
    <s v="Female"/>
    <n v="64.7"/>
    <n v="153.69999999999999"/>
    <n v="25.8"/>
    <n v="13"/>
    <s v="NY"/>
    <n v="2"/>
    <n v="2019.7"/>
    <s v="Middle"/>
    <n v="0"/>
    <s v="Multi-Day"/>
    <n v="1"/>
    <n v="0"/>
    <s v="Main Entrance"/>
    <s v="Pixar Pals"/>
    <n v="8.3000000000000007"/>
    <n v="9"/>
    <x v="10"/>
  </r>
  <r>
    <n v="12"/>
    <n v="4"/>
    <d v="2026-06-27T00:00:00"/>
    <s v="Saturday"/>
    <n v="6"/>
    <n v="10.01"/>
    <x v="0"/>
    <x v="11"/>
    <s v="Female"/>
    <n v="67.400000000000006"/>
    <n v="128.30000000000001"/>
    <n v="19.899999999999999"/>
    <n v="14"/>
    <s v="WA"/>
    <n v="2"/>
    <n v="865.4"/>
    <s v="Middle"/>
    <n v="1"/>
    <s v="Single-Day"/>
    <n v="1"/>
    <n v="1"/>
    <s v="Downtown Disney Gate"/>
    <s v="Mickey &amp; Friends"/>
    <n v="10"/>
    <n v="10"/>
    <x v="11"/>
  </r>
  <r>
    <n v="13"/>
    <n v="4"/>
    <d v="2026-06-27T00:00:00"/>
    <s v="Saturday"/>
    <n v="6"/>
    <n v="9.8800000000000008"/>
    <x v="0"/>
    <x v="12"/>
    <s v="Female"/>
    <n v="61.7"/>
    <n v="131.30000000000001"/>
    <n v="24.3"/>
    <n v="15"/>
    <s v="WA"/>
    <n v="2"/>
    <n v="865.4"/>
    <s v="Middle"/>
    <n v="1"/>
    <s v="Single-Day"/>
    <n v="1"/>
    <n v="1"/>
    <s v="Downtown Disney Gate"/>
    <s v="Mickey &amp; Friends"/>
    <n v="9.5"/>
    <n v="7"/>
    <x v="12"/>
  </r>
  <r>
    <n v="14"/>
    <n v="5"/>
    <d v="2026-09-21T00:00:00"/>
    <s v="Monday"/>
    <n v="9"/>
    <n v="9.51"/>
    <x v="0"/>
    <x v="13"/>
    <s v="Female"/>
    <n v="64.400000000000006"/>
    <n v="145.9"/>
    <n v="24.6"/>
    <n v="15"/>
    <s v="CA"/>
    <n v="2"/>
    <n v="102.2"/>
    <s v="High"/>
    <n v="1"/>
    <s v="Multi-Day"/>
    <n v="1"/>
    <n v="1"/>
    <s v="Main Entrance"/>
    <s v="Toy Story Lot"/>
    <n v="10.4"/>
    <n v="10"/>
    <x v="13"/>
  </r>
  <r>
    <n v="15"/>
    <n v="5"/>
    <d v="2026-09-21T00:00:00"/>
    <s v="Monday"/>
    <n v="9"/>
    <n v="10.01"/>
    <x v="0"/>
    <x v="14"/>
    <s v="Male"/>
    <n v="72.8"/>
    <n v="135.9"/>
    <n v="18.3"/>
    <n v="16"/>
    <s v="CA"/>
    <n v="2"/>
    <n v="102.2"/>
    <s v="High"/>
    <n v="1"/>
    <s v="Multi-Day"/>
    <n v="1"/>
    <n v="1"/>
    <s v="Main Entrance"/>
    <s v="Toy Story Lot"/>
    <n v="7.4"/>
    <n v="7"/>
    <x v="14"/>
  </r>
  <r>
    <n v="16"/>
    <n v="6"/>
    <d v="2026-02-20T00:00:00"/>
    <s v="Friday"/>
    <n v="2"/>
    <n v="7.99"/>
    <x v="0"/>
    <x v="15"/>
    <s v="Female"/>
    <n v="62"/>
    <n v="122.7"/>
    <n v="22.5"/>
    <n v="17"/>
    <s v="AZ"/>
    <n v="5"/>
    <n v="293.10000000000002"/>
    <s v="Middle"/>
    <n v="1"/>
    <s v="Single-Day"/>
    <n v="0"/>
    <n v="0"/>
    <s v="Main Entrance"/>
    <s v="Toy Story Lot"/>
    <n v="8"/>
    <n v="3"/>
    <x v="15"/>
  </r>
  <r>
    <n v="17"/>
    <n v="6"/>
    <d v="2026-02-20T00:00:00"/>
    <s v="Friday"/>
    <n v="2"/>
    <n v="7.87"/>
    <x v="0"/>
    <x v="16"/>
    <s v="Female"/>
    <n v="60.4"/>
    <n v="135.80000000000001"/>
    <n v="26.1"/>
    <n v="9"/>
    <s v="AZ"/>
    <n v="5"/>
    <n v="293.10000000000002"/>
    <s v="Middle"/>
    <n v="1"/>
    <s v="Single-Day"/>
    <n v="0"/>
    <n v="0"/>
    <s v="Main Entrance"/>
    <s v="Toy Story Lot"/>
    <n v="9.1999999999999993"/>
    <n v="8"/>
    <x v="16"/>
  </r>
  <r>
    <n v="18"/>
    <n v="6"/>
    <d v="2026-02-20T00:00:00"/>
    <s v="Friday"/>
    <n v="2"/>
    <n v="7.9"/>
    <x v="0"/>
    <x v="17"/>
    <s v="Male"/>
    <n v="68.7"/>
    <n v="215.8"/>
    <n v="31.9"/>
    <n v="15"/>
    <s v="AZ"/>
    <n v="5"/>
    <n v="293.10000000000002"/>
    <s v="Middle"/>
    <n v="1"/>
    <s v="Single-Day"/>
    <n v="0"/>
    <n v="0"/>
    <s v="Main Entrance"/>
    <s v="Toy Story Lot"/>
    <n v="5.5"/>
    <n v="9"/>
    <x v="17"/>
  </r>
  <r>
    <n v="19"/>
    <n v="6"/>
    <d v="2026-02-20T00:00:00"/>
    <s v="Friday"/>
    <n v="2"/>
    <n v="7.99"/>
    <x v="0"/>
    <x v="18"/>
    <s v="Female"/>
    <n v="58.7"/>
    <n v="110.3"/>
    <n v="22.5"/>
    <n v="18"/>
    <s v="AZ"/>
    <n v="5"/>
    <n v="293.10000000000002"/>
    <s v="Middle"/>
    <n v="1"/>
    <s v="Single-Day"/>
    <n v="0"/>
    <n v="0"/>
    <s v="Main Entrance"/>
    <s v="Toy Story Lot"/>
    <n v="7.1"/>
    <n v="9"/>
    <x v="18"/>
  </r>
  <r>
    <n v="20"/>
    <n v="6"/>
    <d v="2026-02-20T00:00:00"/>
    <s v="Friday"/>
    <n v="2"/>
    <n v="7.94"/>
    <x v="0"/>
    <x v="19"/>
    <s v="Nonbinary/Other"/>
    <n v="66.099999999999994"/>
    <n v="180.7"/>
    <n v="29"/>
    <n v="16"/>
    <s v="AZ"/>
    <n v="5"/>
    <n v="293.10000000000002"/>
    <s v="Middle"/>
    <n v="1"/>
    <s v="Single-Day"/>
    <n v="0"/>
    <n v="0"/>
    <s v="Main Entrance"/>
    <s v="Toy Story Lot"/>
    <n v="8.6999999999999993"/>
    <n v="11"/>
    <x v="19"/>
  </r>
  <r>
    <n v="21"/>
    <n v="7"/>
    <d v="2026-02-18T00:00:00"/>
    <s v="Wednesday"/>
    <n v="2"/>
    <n v="7.66"/>
    <x v="0"/>
    <x v="20"/>
    <s v="Male"/>
    <n v="70"/>
    <n v="127.5"/>
    <n v="18.2"/>
    <n v="11"/>
    <s v="CO"/>
    <n v="2"/>
    <n v="1358.8"/>
    <s v="Low"/>
    <n v="1"/>
    <s v="Multi-Day"/>
    <n v="0"/>
    <n v="0"/>
    <s v="Main Entrance"/>
    <s v="Mickey &amp; Friends"/>
    <n v="11.8"/>
    <n v="6"/>
    <x v="20"/>
  </r>
  <r>
    <n v="22"/>
    <n v="7"/>
    <d v="2026-02-18T00:00:00"/>
    <s v="Wednesday"/>
    <n v="2"/>
    <n v="7.68"/>
    <x v="0"/>
    <x v="21"/>
    <s v="Female"/>
    <n v="63.6"/>
    <n v="157.69999999999999"/>
    <n v="27.5"/>
    <n v="14"/>
    <s v="CO"/>
    <n v="2"/>
    <n v="1358.8"/>
    <s v="Low"/>
    <n v="1"/>
    <s v="Multi-Day"/>
    <n v="0"/>
    <n v="0"/>
    <s v="Main Entrance"/>
    <s v="Mickey &amp; Friends"/>
    <n v="10.9"/>
    <n v="13"/>
    <x v="21"/>
  </r>
  <r>
    <n v="23"/>
    <n v="8"/>
    <d v="2026-10-31T00:00:00"/>
    <s v="Saturday"/>
    <n v="10"/>
    <n v="11.76"/>
    <x v="1"/>
    <x v="15"/>
    <s v="Female"/>
    <n v="62.4"/>
    <n v="148.1"/>
    <n v="26.6"/>
    <n v="15"/>
    <s v="CA"/>
    <n v="3"/>
    <n v="163.69999999999999"/>
    <s v="High"/>
    <n v="0"/>
    <s v="Single-Day"/>
    <n v="0"/>
    <n v="0"/>
    <s v="Main Entrance"/>
    <s v="Toy Story Lot"/>
    <n v="6.8"/>
    <n v="5"/>
    <x v="22"/>
  </r>
  <r>
    <n v="24"/>
    <n v="8"/>
    <d v="2026-10-31T00:00:00"/>
    <s v="Saturday"/>
    <n v="10"/>
    <n v="11.82"/>
    <x v="1"/>
    <x v="22"/>
    <s v="Male"/>
    <n v="58.3"/>
    <n v="90.5"/>
    <n v="18.899999999999999"/>
    <n v="11"/>
    <s v="CA"/>
    <n v="3"/>
    <n v="163.69999999999999"/>
    <s v="High"/>
    <n v="0"/>
    <s v="Single-Day"/>
    <n v="0"/>
    <n v="0"/>
    <s v="Main Entrance"/>
    <s v="Toy Story Lot"/>
    <n v="6"/>
    <n v="5"/>
    <x v="23"/>
  </r>
  <r>
    <n v="25"/>
    <n v="8"/>
    <d v="2026-10-31T00:00:00"/>
    <s v="Saturday"/>
    <n v="10"/>
    <n v="11.73"/>
    <x v="1"/>
    <x v="23"/>
    <s v="Female"/>
    <n v="65.5"/>
    <n v="183.1"/>
    <n v="29.8"/>
    <n v="21"/>
    <s v="CA"/>
    <n v="3"/>
    <n v="163.69999999999999"/>
    <s v="High"/>
    <n v="0"/>
    <s v="Single-Day"/>
    <n v="0"/>
    <n v="0"/>
    <s v="Main Entrance"/>
    <s v="Toy Story Lot"/>
    <n v="8"/>
    <n v="4"/>
    <x v="24"/>
  </r>
  <r>
    <n v="26"/>
    <n v="9"/>
    <d v="2026-01-12T00:00:00"/>
    <s v="Monday"/>
    <n v="1"/>
    <n v="9.06"/>
    <x v="0"/>
    <x v="24"/>
    <s v="Male"/>
    <n v="66.7"/>
    <n v="191.9"/>
    <n v="30.1"/>
    <n v="21"/>
    <s v="FL"/>
    <n v="3"/>
    <n v="2275.6"/>
    <s v="High"/>
    <n v="1"/>
    <s v="Multi-Day"/>
    <n v="1"/>
    <n v="0"/>
    <s v="Main Entrance"/>
    <s v="Mickey &amp; Friends"/>
    <n v="7.9"/>
    <n v="13"/>
    <x v="25"/>
  </r>
  <r>
    <n v="27"/>
    <n v="9"/>
    <d v="2026-01-12T00:00:00"/>
    <s v="Monday"/>
    <n v="1"/>
    <n v="9.06"/>
    <x v="0"/>
    <x v="17"/>
    <s v="Male"/>
    <n v="69.8"/>
    <n v="236.6"/>
    <n v="34"/>
    <n v="19"/>
    <s v="FL"/>
    <n v="3"/>
    <n v="2275.6"/>
    <s v="High"/>
    <n v="1"/>
    <s v="Multi-Day"/>
    <n v="1"/>
    <n v="0"/>
    <s v="Main Entrance"/>
    <s v="Mickey &amp; Friends"/>
    <n v="11.3"/>
    <n v="9"/>
    <x v="26"/>
  </r>
  <r>
    <n v="28"/>
    <n v="9"/>
    <d v="2026-01-12T00:00:00"/>
    <s v="Monday"/>
    <n v="1"/>
    <n v="8.84"/>
    <x v="0"/>
    <x v="25"/>
    <s v="Female"/>
    <n v="63.2"/>
    <n v="176"/>
    <n v="30.9"/>
    <n v="16"/>
    <s v="FL"/>
    <n v="3"/>
    <n v="2275.6"/>
    <s v="High"/>
    <n v="1"/>
    <s v="Multi-Day"/>
    <n v="1"/>
    <n v="0"/>
    <s v="Main Entrance"/>
    <s v="Mickey &amp; Friends"/>
    <n v="10.1"/>
    <n v="9"/>
    <x v="27"/>
  </r>
  <r>
    <n v="29"/>
    <n v="10"/>
    <d v="2026-05-28T00:00:00"/>
    <s v="Thursday"/>
    <n v="5"/>
    <n v="9.76"/>
    <x v="0"/>
    <x v="26"/>
    <s v="Female"/>
    <n v="62.3"/>
    <n v="167.3"/>
    <n v="30.3"/>
    <n v="18"/>
    <s v="NV"/>
    <n v="4"/>
    <n v="291.5"/>
    <s v="High"/>
    <n v="1"/>
    <s v="Single-Day"/>
    <n v="1"/>
    <n v="1"/>
    <s v="Main Entrance"/>
    <s v="None/Walked from Resort"/>
    <n v="8"/>
    <n v="8"/>
    <x v="28"/>
  </r>
  <r>
    <n v="30"/>
    <n v="10"/>
    <d v="2026-05-28T00:00:00"/>
    <s v="Thursday"/>
    <n v="5"/>
    <n v="9.69"/>
    <x v="0"/>
    <x v="9"/>
    <s v="Male"/>
    <n v="72.900000000000006"/>
    <n v="174.5"/>
    <n v="23.1"/>
    <n v="17"/>
    <s v="NV"/>
    <n v="4"/>
    <n v="291.5"/>
    <s v="High"/>
    <n v="1"/>
    <s v="Single-Day"/>
    <n v="1"/>
    <n v="1"/>
    <s v="Main Entrance"/>
    <s v="None/Walked from Resort"/>
    <n v="9.5"/>
    <n v="14"/>
    <x v="29"/>
  </r>
  <r>
    <n v="31"/>
    <n v="10"/>
    <d v="2026-05-28T00:00:00"/>
    <s v="Thursday"/>
    <n v="5"/>
    <n v="9.5299999999999994"/>
    <x v="0"/>
    <x v="27"/>
    <s v="Male"/>
    <n v="72.8"/>
    <n v="187.1"/>
    <n v="24.7"/>
    <n v="18"/>
    <s v="NV"/>
    <n v="4"/>
    <n v="291.5"/>
    <s v="High"/>
    <n v="1"/>
    <s v="Single-Day"/>
    <n v="1"/>
    <n v="1"/>
    <s v="Main Entrance"/>
    <s v="None/Walked from Resort"/>
    <n v="10.5"/>
    <n v="11"/>
    <x v="30"/>
  </r>
  <r>
    <n v="32"/>
    <n v="10"/>
    <d v="2026-05-28T00:00:00"/>
    <s v="Thursday"/>
    <n v="5"/>
    <n v="9.91"/>
    <x v="0"/>
    <x v="28"/>
    <s v="Female"/>
    <n v="65.3"/>
    <n v="157.80000000000001"/>
    <n v="25.9"/>
    <n v="19"/>
    <s v="NV"/>
    <n v="4"/>
    <n v="291.5"/>
    <s v="High"/>
    <n v="1"/>
    <s v="Single-Day"/>
    <n v="1"/>
    <n v="1"/>
    <s v="Main Entrance"/>
    <s v="None/Walked from Resort"/>
    <n v="6.1"/>
    <n v="10"/>
    <x v="31"/>
  </r>
  <r>
    <n v="33"/>
    <n v="11"/>
    <d v="2026-10-03T00:00:00"/>
    <s v="Saturday"/>
    <n v="10"/>
    <n v="10.050000000000001"/>
    <x v="0"/>
    <x v="29"/>
    <s v="Male"/>
    <n v="73.8"/>
    <n v="223.2"/>
    <n v="29.1"/>
    <n v="13"/>
    <s v="AZ"/>
    <n v="4"/>
    <n v="250.3"/>
    <s v="High"/>
    <n v="0"/>
    <s v="Single-Day"/>
    <n v="1"/>
    <n v="0"/>
    <s v="Main Entrance"/>
    <s v="Mickey &amp; Friends"/>
    <n v="8.3000000000000007"/>
    <n v="7"/>
    <x v="32"/>
  </r>
  <r>
    <n v="34"/>
    <n v="11"/>
    <d v="2026-10-03T00:00:00"/>
    <s v="Saturday"/>
    <n v="10"/>
    <n v="10.09"/>
    <x v="0"/>
    <x v="19"/>
    <s v="Male"/>
    <n v="68.5"/>
    <n v="225.7"/>
    <n v="33.9"/>
    <n v="21"/>
    <s v="AZ"/>
    <n v="4"/>
    <n v="250.3"/>
    <s v="High"/>
    <n v="0"/>
    <s v="Single-Day"/>
    <n v="1"/>
    <n v="0"/>
    <s v="Main Entrance"/>
    <s v="Mickey &amp; Friends"/>
    <n v="11.1"/>
    <n v="10"/>
    <x v="33"/>
  </r>
  <r>
    <n v="35"/>
    <n v="11"/>
    <d v="2026-10-03T00:00:00"/>
    <s v="Saturday"/>
    <n v="10"/>
    <n v="10.039999999999999"/>
    <x v="0"/>
    <x v="19"/>
    <s v="Male"/>
    <n v="73.900000000000006"/>
    <n v="154.30000000000001"/>
    <n v="19.600000000000001"/>
    <n v="19"/>
    <s v="AZ"/>
    <n v="4"/>
    <n v="250.3"/>
    <s v="High"/>
    <n v="0"/>
    <s v="Single-Day"/>
    <n v="1"/>
    <n v="0"/>
    <s v="Main Entrance"/>
    <s v="Mickey &amp; Friends"/>
    <n v="11.4"/>
    <n v="9"/>
    <x v="34"/>
  </r>
  <r>
    <n v="36"/>
    <n v="11"/>
    <d v="2026-10-03T00:00:00"/>
    <s v="Saturday"/>
    <n v="10"/>
    <n v="9.82"/>
    <x v="0"/>
    <x v="8"/>
    <s v="Male"/>
    <n v="72.400000000000006"/>
    <n v="151.19999999999999"/>
    <n v="20.399999999999999"/>
    <n v="15"/>
    <s v="AZ"/>
    <n v="4"/>
    <n v="250.3"/>
    <s v="High"/>
    <n v="0"/>
    <s v="Single-Day"/>
    <n v="1"/>
    <n v="0"/>
    <s v="Main Entrance"/>
    <s v="Mickey &amp; Friends"/>
    <n v="8.3000000000000007"/>
    <n v="7"/>
    <x v="35"/>
  </r>
  <r>
    <n v="37"/>
    <n v="12"/>
    <d v="2026-08-01T00:00:00"/>
    <s v="Saturday"/>
    <n v="8"/>
    <n v="8.64"/>
    <x v="0"/>
    <x v="23"/>
    <s v="Male"/>
    <n v="64"/>
    <n v="119"/>
    <n v="20.5"/>
    <n v="16"/>
    <s v="CA"/>
    <n v="2"/>
    <n v="70.599999999999994"/>
    <s v="High"/>
    <n v="0"/>
    <s v="Multi-Day"/>
    <n v="1"/>
    <n v="0"/>
    <s v="Main Entrance"/>
    <s v="Mickey &amp; Friends"/>
    <n v="7.2"/>
    <n v="7"/>
    <x v="36"/>
  </r>
  <r>
    <n v="38"/>
    <n v="12"/>
    <d v="2026-08-01T00:00:00"/>
    <s v="Saturday"/>
    <n v="8"/>
    <n v="8.61"/>
    <x v="0"/>
    <x v="8"/>
    <s v="Male"/>
    <n v="71.5"/>
    <n v="159.6"/>
    <n v="22.1"/>
    <n v="18"/>
    <s v="CA"/>
    <n v="2"/>
    <n v="70.599999999999994"/>
    <s v="High"/>
    <n v="0"/>
    <s v="Multi-Day"/>
    <n v="1"/>
    <n v="0"/>
    <s v="Main Entrance"/>
    <s v="Mickey &amp; Friends"/>
    <n v="9.4"/>
    <n v="10"/>
    <x v="37"/>
  </r>
  <r>
    <n v="39"/>
    <n v="13"/>
    <d v="2026-09-25T00:00:00"/>
    <s v="Friday"/>
    <n v="9"/>
    <n v="11.67"/>
    <x v="1"/>
    <x v="30"/>
    <s v="Male"/>
    <n v="76.5"/>
    <n v="225.2"/>
    <n v="27"/>
    <n v="14"/>
    <s v="CA"/>
    <n v="2"/>
    <n v="2"/>
    <s v="Middle"/>
    <n v="1"/>
    <s v="Park Hopper"/>
    <n v="1"/>
    <n v="0"/>
    <s v="Main Entrance"/>
    <s v="None/Dropoff/Transit"/>
    <n v="9.1"/>
    <n v="13"/>
    <x v="38"/>
  </r>
  <r>
    <n v="40"/>
    <n v="13"/>
    <d v="2026-09-25T00:00:00"/>
    <s v="Friday"/>
    <n v="9"/>
    <n v="11.86"/>
    <x v="1"/>
    <x v="31"/>
    <s v="Female"/>
    <n v="68.599999999999994"/>
    <n v="225.3"/>
    <n v="33.700000000000003"/>
    <n v="12"/>
    <s v="CA"/>
    <n v="2"/>
    <n v="2"/>
    <s v="Middle"/>
    <n v="1"/>
    <s v="Park Hopper"/>
    <n v="1"/>
    <n v="0"/>
    <s v="Main Entrance"/>
    <s v="None/Dropoff/Transit"/>
    <n v="10.3"/>
    <n v="11"/>
    <x v="39"/>
  </r>
  <r>
    <n v="41"/>
    <n v="14"/>
    <d v="2026-09-06T00:00:00"/>
    <s v="Sunday"/>
    <n v="9"/>
    <n v="10.96"/>
    <x v="0"/>
    <x v="32"/>
    <s v="Female"/>
    <n v="60.3"/>
    <n v="82.5"/>
    <n v="15.8"/>
    <n v="10"/>
    <s v="CA"/>
    <n v="1"/>
    <n v="172.1"/>
    <s v="Low"/>
    <n v="0"/>
    <s v="Multi-Day"/>
    <n v="0"/>
    <n v="0"/>
    <s v="Main Entrance"/>
    <s v="Pixar Pals"/>
    <n v="7.4"/>
    <n v="7"/>
    <x v="40"/>
  </r>
  <r>
    <n v="42"/>
    <n v="15"/>
    <d v="2026-01-30T00:00:00"/>
    <s v="Friday"/>
    <n v="1"/>
    <n v="9.24"/>
    <x v="0"/>
    <x v="9"/>
    <s v="Female"/>
    <n v="68.7"/>
    <n v="150.30000000000001"/>
    <n v="22.6"/>
    <n v="15"/>
    <s v="OR"/>
    <n v="5"/>
    <n v="814.9"/>
    <s v="Middle"/>
    <n v="0"/>
    <s v="Multi-Day"/>
    <n v="0"/>
    <n v="1"/>
    <s v="Main Entrance"/>
    <s v="None/Walked from Resort"/>
    <n v="10.199999999999999"/>
    <n v="16"/>
    <x v="41"/>
  </r>
  <r>
    <n v="43"/>
    <n v="15"/>
    <d v="2026-01-30T00:00:00"/>
    <s v="Friday"/>
    <n v="1"/>
    <n v="9.17"/>
    <x v="0"/>
    <x v="33"/>
    <s v="Female"/>
    <n v="63.7"/>
    <n v="156.4"/>
    <n v="27.1"/>
    <n v="20"/>
    <s v="OR"/>
    <n v="5"/>
    <n v="814.9"/>
    <s v="Middle"/>
    <n v="0"/>
    <s v="Multi-Day"/>
    <n v="0"/>
    <n v="1"/>
    <s v="Main Entrance"/>
    <s v="None/Walked from Resort"/>
    <n v="11.5"/>
    <n v="6"/>
    <x v="42"/>
  </r>
  <r>
    <n v="44"/>
    <n v="15"/>
    <d v="2026-01-30T00:00:00"/>
    <s v="Friday"/>
    <n v="1"/>
    <n v="9.43"/>
    <x v="0"/>
    <x v="34"/>
    <s v="Male"/>
    <n v="66.400000000000006"/>
    <n v="158.69999999999999"/>
    <n v="25.6"/>
    <n v="18"/>
    <s v="OR"/>
    <n v="5"/>
    <n v="814.9"/>
    <s v="Middle"/>
    <n v="0"/>
    <s v="Multi-Day"/>
    <n v="0"/>
    <n v="1"/>
    <s v="Main Entrance"/>
    <s v="None/Walked from Resort"/>
    <n v="8.5"/>
    <n v="6"/>
    <x v="43"/>
  </r>
  <r>
    <n v="45"/>
    <n v="15"/>
    <d v="2026-01-30T00:00:00"/>
    <s v="Friday"/>
    <n v="1"/>
    <n v="9.14"/>
    <x v="0"/>
    <x v="0"/>
    <s v="Female"/>
    <n v="65.7"/>
    <n v="140.69999999999999"/>
    <n v="22.9"/>
    <n v="15"/>
    <s v="OR"/>
    <n v="5"/>
    <n v="814.9"/>
    <s v="Middle"/>
    <n v="0"/>
    <s v="Multi-Day"/>
    <n v="0"/>
    <n v="1"/>
    <s v="Main Entrance"/>
    <s v="None/Walked from Resort"/>
    <n v="10.4"/>
    <n v="12"/>
    <x v="44"/>
  </r>
  <r>
    <n v="46"/>
    <n v="15"/>
    <d v="2026-01-30T00:00:00"/>
    <s v="Friday"/>
    <n v="1"/>
    <n v="9.26"/>
    <x v="0"/>
    <x v="20"/>
    <s v="Female"/>
    <n v="64.2"/>
    <n v="123.2"/>
    <n v="21.2"/>
    <n v="12"/>
    <s v="OR"/>
    <n v="5"/>
    <n v="814.9"/>
    <s v="Middle"/>
    <n v="0"/>
    <s v="Multi-Day"/>
    <n v="0"/>
    <n v="1"/>
    <s v="Main Entrance"/>
    <s v="None/Walked from Resort"/>
    <n v="11.9"/>
    <n v="14"/>
    <x v="45"/>
  </r>
  <r>
    <n v="47"/>
    <n v="16"/>
    <d v="2026-05-08T00:00:00"/>
    <s v="Friday"/>
    <n v="5"/>
    <n v="13.03"/>
    <x v="1"/>
    <x v="35"/>
    <s v="Male"/>
    <n v="64.8"/>
    <n v="148.80000000000001"/>
    <n v="24.8"/>
    <n v="22"/>
    <s v="CA"/>
    <n v="5"/>
    <n v="115.9"/>
    <s v="Middle"/>
    <n v="0"/>
    <s v="Single-Day"/>
    <n v="0"/>
    <n v="0"/>
    <s v="Main Entrance"/>
    <s v="Mickey &amp; Friends"/>
    <n v="7.5"/>
    <n v="7"/>
    <x v="46"/>
  </r>
  <r>
    <n v="48"/>
    <n v="16"/>
    <d v="2026-05-08T00:00:00"/>
    <s v="Friday"/>
    <n v="5"/>
    <n v="12.73"/>
    <x v="1"/>
    <x v="36"/>
    <s v="Male"/>
    <n v="64.599999999999994"/>
    <n v="143.1"/>
    <n v="24.1"/>
    <n v="15"/>
    <s v="CA"/>
    <n v="5"/>
    <n v="115.9"/>
    <s v="Middle"/>
    <n v="0"/>
    <s v="Single-Day"/>
    <n v="0"/>
    <n v="0"/>
    <s v="Main Entrance"/>
    <s v="Mickey &amp; Friends"/>
    <n v="7"/>
    <n v="11"/>
    <x v="47"/>
  </r>
  <r>
    <n v="49"/>
    <n v="16"/>
    <d v="2026-05-08T00:00:00"/>
    <s v="Friday"/>
    <n v="5"/>
    <n v="12.91"/>
    <x v="1"/>
    <x v="2"/>
    <s v="Female"/>
    <n v="62.1"/>
    <n v="138.5"/>
    <n v="25.4"/>
    <n v="15"/>
    <s v="CA"/>
    <n v="5"/>
    <n v="115.9"/>
    <s v="Middle"/>
    <n v="0"/>
    <s v="Single-Day"/>
    <n v="0"/>
    <n v="0"/>
    <s v="Main Entrance"/>
    <s v="Mickey &amp; Friends"/>
    <n v="6.1"/>
    <n v="7"/>
    <x v="48"/>
  </r>
  <r>
    <n v="50"/>
    <n v="16"/>
    <d v="2026-05-08T00:00:00"/>
    <s v="Friday"/>
    <n v="5"/>
    <n v="12.92"/>
    <x v="1"/>
    <x v="37"/>
    <s v="Male"/>
    <n v="70.400000000000006"/>
    <n v="177.9"/>
    <n v="25.3"/>
    <n v="14"/>
    <s v="CA"/>
    <n v="5"/>
    <n v="115.9"/>
    <s v="Middle"/>
    <n v="0"/>
    <s v="Single-Day"/>
    <n v="0"/>
    <n v="0"/>
    <s v="Main Entrance"/>
    <s v="Mickey &amp; Friends"/>
    <n v="8.3000000000000007"/>
    <n v="9"/>
    <x v="49"/>
  </r>
  <r>
    <n v="51"/>
    <n v="16"/>
    <d v="2026-05-08T00:00:00"/>
    <s v="Friday"/>
    <n v="5"/>
    <n v="12.92"/>
    <x v="1"/>
    <x v="38"/>
    <s v="Female"/>
    <n v="63.7"/>
    <n v="115.7"/>
    <n v="20.2"/>
    <n v="10"/>
    <s v="CA"/>
    <n v="5"/>
    <n v="115.9"/>
    <s v="Middle"/>
    <n v="0"/>
    <s v="Single-Day"/>
    <n v="0"/>
    <n v="0"/>
    <s v="Main Entrance"/>
    <s v="Mickey &amp; Friends"/>
    <n v="8.6999999999999993"/>
    <n v="9"/>
    <x v="50"/>
  </r>
  <r>
    <n v="52"/>
    <n v="17"/>
    <d v="2026-04-02T00:00:00"/>
    <s v="Thursday"/>
    <n v="4"/>
    <n v="9.51"/>
    <x v="0"/>
    <x v="6"/>
    <s v="Female"/>
    <n v="67.5"/>
    <n v="175.4"/>
    <n v="27.2"/>
    <n v="17"/>
    <s v="CA"/>
    <n v="4"/>
    <n v="31"/>
    <s v="High"/>
    <n v="0"/>
    <s v="Single-Day"/>
    <n v="1"/>
    <n v="0"/>
    <s v="Main Entrance"/>
    <s v="Mickey &amp; Friends"/>
    <n v="7.9"/>
    <n v="12"/>
    <x v="51"/>
  </r>
  <r>
    <n v="53"/>
    <n v="17"/>
    <d v="2026-04-02T00:00:00"/>
    <s v="Thursday"/>
    <n v="4"/>
    <n v="9.86"/>
    <x v="0"/>
    <x v="39"/>
    <s v="Female"/>
    <n v="60.2"/>
    <n v="167.6"/>
    <n v="32.700000000000003"/>
    <n v="14"/>
    <s v="CA"/>
    <n v="4"/>
    <n v="31"/>
    <s v="High"/>
    <n v="0"/>
    <s v="Single-Day"/>
    <n v="1"/>
    <n v="0"/>
    <s v="Main Entrance"/>
    <s v="Mickey &amp; Friends"/>
    <n v="9.4"/>
    <n v="9"/>
    <x v="52"/>
  </r>
  <r>
    <n v="54"/>
    <n v="17"/>
    <d v="2026-04-02T00:00:00"/>
    <s v="Thursday"/>
    <n v="4"/>
    <n v="9.76"/>
    <x v="0"/>
    <x v="29"/>
    <s v="Male"/>
    <n v="65.599999999999994"/>
    <n v="152.5"/>
    <n v="25.1"/>
    <n v="15"/>
    <s v="CA"/>
    <n v="4"/>
    <n v="31"/>
    <s v="High"/>
    <n v="0"/>
    <s v="Single-Day"/>
    <n v="1"/>
    <n v="0"/>
    <s v="Main Entrance"/>
    <s v="Mickey &amp; Friends"/>
    <n v="9.8000000000000007"/>
    <n v="12"/>
    <x v="53"/>
  </r>
  <r>
    <n v="55"/>
    <n v="17"/>
    <d v="2026-04-02T00:00:00"/>
    <s v="Thursday"/>
    <n v="4"/>
    <n v="9.9"/>
    <x v="0"/>
    <x v="17"/>
    <s v="Female"/>
    <n v="62.3"/>
    <n v="147.5"/>
    <n v="26.5"/>
    <n v="17"/>
    <s v="CA"/>
    <n v="4"/>
    <n v="31"/>
    <s v="High"/>
    <n v="0"/>
    <s v="Single-Day"/>
    <n v="1"/>
    <n v="0"/>
    <s v="Main Entrance"/>
    <s v="Mickey &amp; Friends"/>
    <n v="9.3000000000000007"/>
    <n v="6"/>
    <x v="54"/>
  </r>
  <r>
    <n v="56"/>
    <n v="18"/>
    <d v="2026-09-04T00:00:00"/>
    <s v="Friday"/>
    <n v="9"/>
    <n v="9.73"/>
    <x v="0"/>
    <x v="40"/>
    <s v="Female"/>
    <n v="68.7"/>
    <n v="149.80000000000001"/>
    <n v="22"/>
    <n v="9"/>
    <s v="WA"/>
    <n v="1"/>
    <n v="1130.3"/>
    <s v="Low"/>
    <n v="1"/>
    <s v="Single-Day"/>
    <n v="0"/>
    <n v="0"/>
    <s v="Main Entrance"/>
    <s v="Toy Story Lot"/>
    <n v="7.4"/>
    <n v="6"/>
    <x v="55"/>
  </r>
  <r>
    <n v="57"/>
    <n v="19"/>
    <d v="2026-09-10T00:00:00"/>
    <s v="Thursday"/>
    <n v="9"/>
    <n v="12.34"/>
    <x v="1"/>
    <x v="14"/>
    <s v="Female"/>
    <n v="66.099999999999994"/>
    <n v="161.80000000000001"/>
    <n v="26.2"/>
    <n v="15"/>
    <s v="CA"/>
    <n v="2"/>
    <n v="97.9"/>
    <s v="Middle"/>
    <n v="0"/>
    <s v="Single-Day"/>
    <n v="0"/>
    <n v="0"/>
    <s v="Main Entrance"/>
    <s v="Mickey &amp; Friends"/>
    <n v="8.4"/>
    <n v="6"/>
    <x v="56"/>
  </r>
  <r>
    <n v="58"/>
    <n v="19"/>
    <d v="2026-09-10T00:00:00"/>
    <s v="Thursday"/>
    <n v="9"/>
    <n v="12.47"/>
    <x v="1"/>
    <x v="27"/>
    <s v="Female"/>
    <n v="62.4"/>
    <n v="98.6"/>
    <n v="17.8"/>
    <n v="16"/>
    <s v="CA"/>
    <n v="2"/>
    <n v="97.9"/>
    <s v="Middle"/>
    <n v="0"/>
    <s v="Single-Day"/>
    <n v="0"/>
    <n v="0"/>
    <s v="Main Entrance"/>
    <s v="Mickey &amp; Friends"/>
    <n v="4.4000000000000004"/>
    <n v="3"/>
    <x v="57"/>
  </r>
  <r>
    <n v="59"/>
    <n v="20"/>
    <d v="2026-02-16T00:00:00"/>
    <s v="Monday"/>
    <n v="2"/>
    <n v="13.61"/>
    <x v="1"/>
    <x v="0"/>
    <s v="Female"/>
    <n v="60.7"/>
    <n v="152.9"/>
    <n v="29"/>
    <n v="16"/>
    <s v="IL"/>
    <n v="3"/>
    <n v="2074.4"/>
    <s v="Middle"/>
    <n v="1"/>
    <s v="Single-Day"/>
    <n v="0"/>
    <n v="0"/>
    <s v="Main Entrance"/>
    <s v="Pixar Pals"/>
    <n v="9.3000000000000007"/>
    <n v="8"/>
    <x v="58"/>
  </r>
  <r>
    <n v="60"/>
    <n v="20"/>
    <d v="2026-02-16T00:00:00"/>
    <s v="Monday"/>
    <n v="2"/>
    <n v="13.56"/>
    <x v="1"/>
    <x v="41"/>
    <s v="Female"/>
    <n v="64.7"/>
    <n v="163.5"/>
    <n v="27.6"/>
    <n v="15"/>
    <s v="IL"/>
    <n v="3"/>
    <n v="2074.4"/>
    <s v="Middle"/>
    <n v="1"/>
    <s v="Single-Day"/>
    <n v="0"/>
    <n v="0"/>
    <s v="Main Entrance"/>
    <s v="Pixar Pals"/>
    <n v="9.1"/>
    <n v="9"/>
    <x v="59"/>
  </r>
  <r>
    <n v="61"/>
    <n v="20"/>
    <d v="2026-02-16T00:00:00"/>
    <s v="Monday"/>
    <n v="2"/>
    <n v="13.44"/>
    <x v="1"/>
    <x v="42"/>
    <s v="Female"/>
    <n v="63.1"/>
    <n v="145.5"/>
    <n v="25.5"/>
    <n v="18"/>
    <s v="IL"/>
    <n v="3"/>
    <n v="2074.4"/>
    <s v="Middle"/>
    <n v="1"/>
    <s v="Single-Day"/>
    <n v="0"/>
    <n v="0"/>
    <s v="Main Entrance"/>
    <s v="Pixar Pals"/>
    <n v="7.9"/>
    <n v="13"/>
    <x v="60"/>
  </r>
  <r>
    <n v="62"/>
    <n v="21"/>
    <d v="2026-03-13T00:00:00"/>
    <s v="Friday"/>
    <n v="3"/>
    <n v="9.0399999999999991"/>
    <x v="0"/>
    <x v="31"/>
    <s v="Male"/>
    <n v="66.8"/>
    <n v="154"/>
    <n v="24.2"/>
    <n v="13"/>
    <s v="CA"/>
    <n v="1"/>
    <n v="39.4"/>
    <s v="Low"/>
    <n v="0"/>
    <s v="Single-Day"/>
    <n v="0"/>
    <n v="0"/>
    <s v="Main Entrance"/>
    <s v="Mickey &amp; Friends"/>
    <n v="7.1"/>
    <n v="9"/>
    <x v="61"/>
  </r>
  <r>
    <n v="63"/>
    <n v="22"/>
    <d v="2026-07-29T00:00:00"/>
    <s v="Wednesday"/>
    <n v="7"/>
    <n v="8.73"/>
    <x v="0"/>
    <x v="38"/>
    <s v="Female"/>
    <n v="65.2"/>
    <n v="178.3"/>
    <n v="29.4"/>
    <n v="11"/>
    <s v="NV"/>
    <n v="3"/>
    <n v="270.89999999999998"/>
    <s v="Low"/>
    <n v="1"/>
    <s v="Single-Day"/>
    <n v="0"/>
    <n v="0"/>
    <s v="Main Entrance"/>
    <s v="Mickey &amp; Friends"/>
    <n v="8.6"/>
    <n v="5"/>
    <x v="62"/>
  </r>
  <r>
    <n v="64"/>
    <n v="22"/>
    <d v="2026-07-29T00:00:00"/>
    <s v="Wednesday"/>
    <n v="7"/>
    <n v="8.89"/>
    <x v="0"/>
    <x v="43"/>
    <s v="Female"/>
    <n v="62.6"/>
    <n v="179.5"/>
    <n v="31.9"/>
    <n v="14"/>
    <s v="NV"/>
    <n v="3"/>
    <n v="270.89999999999998"/>
    <s v="Low"/>
    <n v="1"/>
    <s v="Single-Day"/>
    <n v="0"/>
    <n v="0"/>
    <s v="Main Entrance"/>
    <s v="Mickey &amp; Friends"/>
    <n v="9.3000000000000007"/>
    <n v="10"/>
    <x v="63"/>
  </r>
  <r>
    <n v="65"/>
    <n v="22"/>
    <d v="2026-07-29T00:00:00"/>
    <s v="Wednesday"/>
    <n v="7"/>
    <n v="8.75"/>
    <x v="0"/>
    <x v="44"/>
    <s v="Male"/>
    <n v="76.8"/>
    <n v="182.3"/>
    <n v="21.8"/>
    <n v="13"/>
    <s v="NV"/>
    <n v="3"/>
    <n v="270.89999999999998"/>
    <s v="Low"/>
    <n v="1"/>
    <s v="Single-Day"/>
    <n v="0"/>
    <n v="0"/>
    <s v="Main Entrance"/>
    <s v="Mickey &amp; Friends"/>
    <n v="6.4"/>
    <n v="6"/>
    <x v="64"/>
  </r>
  <r>
    <n v="66"/>
    <n v="23"/>
    <d v="2026-03-29T00:00:00"/>
    <s v="Sunday"/>
    <n v="3"/>
    <n v="9.2100000000000009"/>
    <x v="0"/>
    <x v="45"/>
    <s v="Female"/>
    <n v="65.099999999999994"/>
    <n v="176.6"/>
    <n v="29"/>
    <n v="16"/>
    <s v="Other"/>
    <n v="2"/>
    <n v="1900.1"/>
    <s v="Middle"/>
    <n v="1"/>
    <s v="Single-Day"/>
    <n v="0"/>
    <n v="0"/>
    <s v="Main Entrance"/>
    <s v="Pixar Pals"/>
    <n v="8.8000000000000007"/>
    <n v="5"/>
    <x v="65"/>
  </r>
  <r>
    <n v="67"/>
    <n v="23"/>
    <d v="2026-03-29T00:00:00"/>
    <s v="Sunday"/>
    <n v="3"/>
    <n v="8.94"/>
    <x v="0"/>
    <x v="22"/>
    <s v="Male"/>
    <n v="60.5"/>
    <n v="104.4"/>
    <n v="20.2"/>
    <n v="16"/>
    <s v="Other"/>
    <n v="2"/>
    <n v="1900.1"/>
    <s v="Middle"/>
    <n v="1"/>
    <s v="Single-Day"/>
    <n v="0"/>
    <n v="0"/>
    <s v="Main Entrance"/>
    <s v="Pixar Pals"/>
    <n v="9.4"/>
    <n v="7"/>
    <x v="66"/>
  </r>
  <r>
    <n v="68"/>
    <n v="24"/>
    <d v="2026-02-14T00:00:00"/>
    <s v="Saturday"/>
    <n v="2"/>
    <n v="12.4"/>
    <x v="1"/>
    <x v="30"/>
    <s v="Female"/>
    <n v="58.9"/>
    <n v="137.5"/>
    <n v="28"/>
    <n v="12"/>
    <s v="AZ"/>
    <n v="2"/>
    <n v="428"/>
    <s v="Middle"/>
    <n v="0"/>
    <s v="Single-Day"/>
    <n v="0"/>
    <n v="0"/>
    <s v="Main Entrance"/>
    <s v="Mickey &amp; Friends"/>
    <n v="9.8000000000000007"/>
    <n v="9"/>
    <x v="67"/>
  </r>
  <r>
    <n v="69"/>
    <n v="24"/>
    <d v="2026-02-14T00:00:00"/>
    <s v="Saturday"/>
    <n v="2"/>
    <n v="12.57"/>
    <x v="1"/>
    <x v="13"/>
    <s v="Male"/>
    <n v="67.8"/>
    <n v="180.6"/>
    <n v="27.6"/>
    <n v="12"/>
    <s v="AZ"/>
    <n v="2"/>
    <n v="428"/>
    <s v="Middle"/>
    <n v="0"/>
    <s v="Single-Day"/>
    <n v="0"/>
    <n v="0"/>
    <s v="Main Entrance"/>
    <s v="Mickey &amp; Friends"/>
    <n v="4.2"/>
    <n v="4"/>
    <x v="68"/>
  </r>
  <r>
    <n v="70"/>
    <n v="25"/>
    <d v="2026-01-06T00:00:00"/>
    <s v="Tuesday"/>
    <n v="1"/>
    <n v="11.91"/>
    <x v="1"/>
    <x v="39"/>
    <s v="Male"/>
    <n v="70.900000000000006"/>
    <n v="125.2"/>
    <n v="17.399999999999999"/>
    <n v="14"/>
    <s v="FL"/>
    <n v="3"/>
    <n v="2547.6"/>
    <s v="Middle"/>
    <n v="1"/>
    <s v="Multi-Day"/>
    <n v="0"/>
    <n v="0"/>
    <s v="Main Entrance"/>
    <s v="None/Dropoff/Transit"/>
    <n v="4.9000000000000004"/>
    <n v="4"/>
    <x v="69"/>
  </r>
  <r>
    <n v="71"/>
    <n v="25"/>
    <d v="2026-01-06T00:00:00"/>
    <s v="Tuesday"/>
    <n v="1"/>
    <n v="12.23"/>
    <x v="1"/>
    <x v="18"/>
    <s v="Female"/>
    <n v="61.5"/>
    <n v="149.5"/>
    <n v="27.9"/>
    <n v="17"/>
    <s v="FL"/>
    <n v="3"/>
    <n v="2547.6"/>
    <s v="Middle"/>
    <n v="1"/>
    <s v="Multi-Day"/>
    <n v="0"/>
    <n v="0"/>
    <s v="Main Entrance"/>
    <s v="None/Dropoff/Transit"/>
    <n v="9.9"/>
    <n v="12"/>
    <x v="70"/>
  </r>
  <r>
    <n v="72"/>
    <n v="25"/>
    <d v="2026-01-06T00:00:00"/>
    <s v="Tuesday"/>
    <n v="1"/>
    <n v="12.16"/>
    <x v="1"/>
    <x v="38"/>
    <s v="Female"/>
    <n v="64.8"/>
    <n v="145.69999999999999"/>
    <n v="24.4"/>
    <n v="11"/>
    <s v="FL"/>
    <n v="3"/>
    <n v="2547.6"/>
    <s v="Middle"/>
    <n v="1"/>
    <s v="Multi-Day"/>
    <n v="0"/>
    <n v="0"/>
    <s v="Main Entrance"/>
    <s v="None/Dropoff/Transit"/>
    <n v="8.6999999999999993"/>
    <n v="6"/>
    <x v="71"/>
  </r>
  <r>
    <n v="73"/>
    <n v="26"/>
    <d v="2026-12-28T00:00:00"/>
    <s v="Monday"/>
    <n v="12"/>
    <n v="12.31"/>
    <x v="1"/>
    <x v="9"/>
    <s v="Female"/>
    <n v="71"/>
    <n v="170.7"/>
    <n v="23.7"/>
    <n v="18"/>
    <s v="CA"/>
    <n v="5"/>
    <n v="74.599999999999994"/>
    <s v="High"/>
    <n v="0"/>
    <s v="Multi-Day"/>
    <n v="1"/>
    <n v="0"/>
    <s v="Main Entrance"/>
    <s v="Pixar Pals"/>
    <n v="8.5"/>
    <n v="7"/>
    <x v="72"/>
  </r>
  <r>
    <n v="74"/>
    <n v="26"/>
    <d v="2026-12-28T00:00:00"/>
    <s v="Monday"/>
    <n v="12"/>
    <n v="12.51"/>
    <x v="1"/>
    <x v="46"/>
    <s v="Female"/>
    <n v="66.5"/>
    <n v="181.5"/>
    <n v="29.1"/>
    <n v="19"/>
    <s v="CA"/>
    <n v="5"/>
    <n v="74.599999999999994"/>
    <s v="High"/>
    <n v="0"/>
    <s v="Multi-Day"/>
    <n v="1"/>
    <n v="0"/>
    <s v="Main Entrance"/>
    <s v="Pixar Pals"/>
    <n v="6.3"/>
    <n v="6"/>
    <x v="73"/>
  </r>
  <r>
    <n v="75"/>
    <n v="26"/>
    <d v="2026-12-28T00:00:00"/>
    <s v="Monday"/>
    <n v="12"/>
    <n v="12.12"/>
    <x v="1"/>
    <x v="47"/>
    <s v="Male"/>
    <n v="67.5"/>
    <n v="164.9"/>
    <n v="25.3"/>
    <n v="20"/>
    <s v="CA"/>
    <n v="5"/>
    <n v="74.599999999999994"/>
    <s v="High"/>
    <n v="0"/>
    <s v="Multi-Day"/>
    <n v="1"/>
    <n v="0"/>
    <s v="Main Entrance"/>
    <s v="Pixar Pals"/>
    <n v="8"/>
    <n v="9"/>
    <x v="74"/>
  </r>
  <r>
    <n v="76"/>
    <n v="26"/>
    <d v="2026-12-28T00:00:00"/>
    <s v="Monday"/>
    <n v="12"/>
    <n v="12.38"/>
    <x v="1"/>
    <x v="48"/>
    <s v="Male"/>
    <n v="70.900000000000006"/>
    <n v="196.6"/>
    <n v="27.6"/>
    <n v="16"/>
    <s v="CA"/>
    <n v="5"/>
    <n v="74.599999999999994"/>
    <s v="High"/>
    <n v="0"/>
    <s v="Multi-Day"/>
    <n v="1"/>
    <n v="0"/>
    <s v="Main Entrance"/>
    <s v="Pixar Pals"/>
    <n v="7.5"/>
    <n v="6"/>
    <x v="75"/>
  </r>
  <r>
    <n v="77"/>
    <n v="26"/>
    <d v="2026-12-28T00:00:00"/>
    <s v="Monday"/>
    <n v="12"/>
    <n v="12.22"/>
    <x v="1"/>
    <x v="49"/>
    <s v="Female"/>
    <n v="65.599999999999994"/>
    <n v="174.5"/>
    <n v="28.7"/>
    <n v="15"/>
    <s v="CA"/>
    <n v="5"/>
    <n v="74.599999999999994"/>
    <s v="High"/>
    <n v="0"/>
    <s v="Multi-Day"/>
    <n v="1"/>
    <n v="0"/>
    <s v="Main Entrance"/>
    <s v="Pixar Pals"/>
    <n v="7.3"/>
    <n v="8"/>
    <x v="76"/>
  </r>
  <r>
    <n v="78"/>
    <n v="27"/>
    <d v="2026-01-25T00:00:00"/>
    <s v="Sunday"/>
    <n v="1"/>
    <n v="8.86"/>
    <x v="0"/>
    <x v="50"/>
    <s v="Female"/>
    <n v="70"/>
    <n v="161.4"/>
    <n v="23"/>
    <n v="12"/>
    <s v="WA"/>
    <n v="3"/>
    <n v="1285.9000000000001"/>
    <s v="Middle"/>
    <n v="0"/>
    <s v="Single-Day"/>
    <n v="0"/>
    <n v="0"/>
    <s v="Main Entrance"/>
    <s v="Mickey &amp; Friends"/>
    <n v="9.6"/>
    <n v="11"/>
    <x v="77"/>
  </r>
  <r>
    <n v="79"/>
    <n v="27"/>
    <d v="2026-01-25T00:00:00"/>
    <s v="Sunday"/>
    <n v="1"/>
    <n v="8.7899999999999991"/>
    <x v="0"/>
    <x v="6"/>
    <s v="Male"/>
    <n v="68.5"/>
    <n v="170.2"/>
    <n v="25.6"/>
    <n v="15"/>
    <s v="WA"/>
    <n v="3"/>
    <n v="1285.9000000000001"/>
    <s v="Middle"/>
    <n v="0"/>
    <s v="Single-Day"/>
    <n v="0"/>
    <n v="0"/>
    <s v="Main Entrance"/>
    <s v="Mickey &amp; Friends"/>
    <n v="9.6"/>
    <n v="5"/>
    <x v="78"/>
  </r>
  <r>
    <n v="80"/>
    <n v="27"/>
    <d v="2026-01-25T00:00:00"/>
    <s v="Sunday"/>
    <n v="1"/>
    <n v="8.57"/>
    <x v="0"/>
    <x v="0"/>
    <s v="Female"/>
    <n v="61.3"/>
    <n v="141.19999999999999"/>
    <n v="26.5"/>
    <n v="14"/>
    <s v="WA"/>
    <n v="3"/>
    <n v="1285.9000000000001"/>
    <s v="Middle"/>
    <n v="0"/>
    <s v="Single-Day"/>
    <n v="0"/>
    <n v="0"/>
    <s v="Main Entrance"/>
    <s v="Mickey &amp; Friends"/>
    <n v="8.6"/>
    <n v="4"/>
    <x v="79"/>
  </r>
  <r>
    <n v="81"/>
    <n v="28"/>
    <d v="2026-02-06T00:00:00"/>
    <s v="Friday"/>
    <n v="2"/>
    <n v="8.2899999999999991"/>
    <x v="0"/>
    <x v="33"/>
    <s v="Female"/>
    <n v="64.400000000000006"/>
    <n v="144.9"/>
    <n v="24.7"/>
    <n v="17"/>
    <s v="FL"/>
    <n v="3"/>
    <n v="2565.3000000000002"/>
    <s v="Middle"/>
    <n v="1"/>
    <s v="Single-Day"/>
    <n v="0"/>
    <n v="0"/>
    <s v="Downtown Disney Gate"/>
    <s v="Pixar Pals"/>
    <n v="7.4"/>
    <n v="6"/>
    <x v="80"/>
  </r>
  <r>
    <n v="82"/>
    <n v="28"/>
    <d v="2026-02-06T00:00:00"/>
    <s v="Friday"/>
    <n v="2"/>
    <n v="8.48"/>
    <x v="0"/>
    <x v="15"/>
    <s v="Male"/>
    <n v="67.900000000000006"/>
    <n v="175.2"/>
    <n v="26.7"/>
    <n v="14"/>
    <s v="FL"/>
    <n v="3"/>
    <n v="2565.3000000000002"/>
    <s v="Middle"/>
    <n v="1"/>
    <s v="Single-Day"/>
    <n v="0"/>
    <n v="0"/>
    <s v="Downtown Disney Gate"/>
    <s v="Pixar Pals"/>
    <n v="7.9"/>
    <n v="6"/>
    <x v="81"/>
  </r>
  <r>
    <n v="83"/>
    <n v="28"/>
    <d v="2026-02-06T00:00:00"/>
    <s v="Friday"/>
    <n v="2"/>
    <n v="8.39"/>
    <x v="0"/>
    <x v="43"/>
    <s v="Female"/>
    <n v="65.5"/>
    <n v="157.4"/>
    <n v="25.7"/>
    <n v="20"/>
    <s v="FL"/>
    <n v="3"/>
    <n v="2565.3000000000002"/>
    <s v="Middle"/>
    <n v="1"/>
    <s v="Single-Day"/>
    <n v="0"/>
    <n v="0"/>
    <s v="Downtown Disney Gate"/>
    <s v="Pixar Pals"/>
    <n v="8.3000000000000007"/>
    <n v="12"/>
    <x v="82"/>
  </r>
  <r>
    <n v="84"/>
    <n v="29"/>
    <d v="2026-12-25T00:00:00"/>
    <s v="Friday"/>
    <n v="12"/>
    <n v="9.3699999999999992"/>
    <x v="0"/>
    <x v="28"/>
    <s v="Male"/>
    <n v="67.599999999999994"/>
    <n v="174.1"/>
    <n v="26.9"/>
    <n v="18"/>
    <s v="AZ"/>
    <n v="2"/>
    <n v="274.39999999999998"/>
    <s v="Middle"/>
    <n v="1"/>
    <s v="Park Hopper"/>
    <n v="0"/>
    <n v="0"/>
    <s v="Main Entrance"/>
    <s v="Toy Story Lot"/>
    <n v="8"/>
    <n v="12"/>
    <x v="83"/>
  </r>
  <r>
    <n v="85"/>
    <n v="29"/>
    <d v="2026-12-25T00:00:00"/>
    <s v="Friday"/>
    <n v="12"/>
    <n v="9.4700000000000006"/>
    <x v="0"/>
    <x v="0"/>
    <s v="Male"/>
    <n v="70.8"/>
    <n v="104.6"/>
    <n v="14.6"/>
    <n v="15"/>
    <s v="AZ"/>
    <n v="2"/>
    <n v="274.39999999999998"/>
    <s v="Middle"/>
    <n v="1"/>
    <s v="Park Hopper"/>
    <n v="0"/>
    <n v="0"/>
    <s v="Main Entrance"/>
    <s v="Toy Story Lot"/>
    <n v="9.9"/>
    <n v="13"/>
    <x v="84"/>
  </r>
  <r>
    <n v="86"/>
    <n v="30"/>
    <d v="2026-12-24T00:00:00"/>
    <s v="Thursday"/>
    <n v="12"/>
    <n v="8.5399999999999991"/>
    <x v="0"/>
    <x v="23"/>
    <s v="Male"/>
    <n v="70.900000000000006"/>
    <n v="185.4"/>
    <n v="25.9"/>
    <n v="20"/>
    <s v="TX"/>
    <n v="4"/>
    <n v="1313.2"/>
    <s v="Middle"/>
    <n v="0"/>
    <s v="Multi-Day"/>
    <n v="1"/>
    <n v="0"/>
    <s v="Main Entrance"/>
    <s v="Mickey &amp; Friends"/>
    <n v="8.9"/>
    <n v="8"/>
    <x v="85"/>
  </r>
  <r>
    <n v="87"/>
    <n v="30"/>
    <d v="2026-12-24T00:00:00"/>
    <s v="Thursday"/>
    <n v="12"/>
    <n v="8.49"/>
    <x v="0"/>
    <x v="51"/>
    <s v="Female"/>
    <n v="64.5"/>
    <n v="138.5"/>
    <n v="23.5"/>
    <n v="13"/>
    <s v="TX"/>
    <n v="4"/>
    <n v="1313.2"/>
    <s v="Middle"/>
    <n v="0"/>
    <s v="Multi-Day"/>
    <n v="1"/>
    <n v="0"/>
    <s v="Main Entrance"/>
    <s v="Mickey &amp; Friends"/>
    <n v="8.3000000000000007"/>
    <n v="7"/>
    <x v="86"/>
  </r>
  <r>
    <n v="88"/>
    <n v="30"/>
    <d v="2026-12-24T00:00:00"/>
    <s v="Thursday"/>
    <n v="12"/>
    <n v="8.58"/>
    <x v="0"/>
    <x v="52"/>
    <s v="Female"/>
    <n v="63.1"/>
    <n v="133.5"/>
    <n v="23.5"/>
    <n v="18"/>
    <s v="TX"/>
    <n v="4"/>
    <n v="1313.2"/>
    <s v="Middle"/>
    <n v="0"/>
    <s v="Multi-Day"/>
    <n v="1"/>
    <n v="0"/>
    <s v="Main Entrance"/>
    <s v="Mickey &amp; Friends"/>
    <n v="9.1"/>
    <n v="8"/>
    <x v="87"/>
  </r>
  <r>
    <n v="89"/>
    <n v="30"/>
    <d v="2026-12-24T00:00:00"/>
    <s v="Thursday"/>
    <n v="12"/>
    <n v="8.4700000000000006"/>
    <x v="0"/>
    <x v="32"/>
    <s v="Male"/>
    <n v="54.7"/>
    <n v="76.3"/>
    <n v="18"/>
    <n v="16"/>
    <s v="TX"/>
    <n v="4"/>
    <n v="1313.2"/>
    <s v="Middle"/>
    <n v="0"/>
    <s v="Multi-Day"/>
    <n v="1"/>
    <n v="0"/>
    <s v="Main Entrance"/>
    <s v="Mickey &amp; Friends"/>
    <n v="7.1"/>
    <n v="9"/>
    <x v="88"/>
  </r>
  <r>
    <n v="90"/>
    <n v="31"/>
    <d v="2026-02-21T00:00:00"/>
    <s v="Saturday"/>
    <n v="2"/>
    <n v="10.59"/>
    <x v="0"/>
    <x v="38"/>
    <s v="Female"/>
    <n v="64.5"/>
    <n v="110.8"/>
    <n v="19"/>
    <n v="11"/>
    <s v="NV"/>
    <n v="4"/>
    <n v="303.5"/>
    <s v="Low"/>
    <n v="1"/>
    <s v="Single-Day"/>
    <n v="0"/>
    <n v="0"/>
    <s v="Main Entrance"/>
    <s v="Mickey &amp; Friends"/>
    <n v="11"/>
    <n v="14"/>
    <x v="89"/>
  </r>
  <r>
    <n v="91"/>
    <n v="31"/>
    <d v="2026-02-21T00:00:00"/>
    <s v="Saturday"/>
    <n v="2"/>
    <n v="10.3"/>
    <x v="0"/>
    <x v="37"/>
    <s v="Male"/>
    <n v="73.3"/>
    <n v="173.6"/>
    <n v="22.5"/>
    <n v="13"/>
    <s v="NV"/>
    <n v="4"/>
    <n v="303.5"/>
    <s v="Low"/>
    <n v="1"/>
    <s v="Single-Day"/>
    <n v="0"/>
    <n v="0"/>
    <s v="Main Entrance"/>
    <s v="Mickey &amp; Friends"/>
    <n v="7.6"/>
    <n v="10"/>
    <x v="90"/>
  </r>
  <r>
    <n v="92"/>
    <n v="31"/>
    <d v="2026-02-21T00:00:00"/>
    <s v="Saturday"/>
    <n v="2"/>
    <n v="10.53"/>
    <x v="0"/>
    <x v="23"/>
    <s v="Female"/>
    <n v="63.2"/>
    <n v="181.8"/>
    <n v="31.9"/>
    <n v="14"/>
    <s v="NV"/>
    <n v="4"/>
    <n v="303.5"/>
    <s v="Low"/>
    <n v="1"/>
    <s v="Single-Day"/>
    <n v="0"/>
    <n v="0"/>
    <s v="Main Entrance"/>
    <s v="Mickey &amp; Friends"/>
    <n v="11.8"/>
    <n v="2"/>
    <x v="91"/>
  </r>
  <r>
    <n v="93"/>
    <n v="31"/>
    <d v="2026-02-21T00:00:00"/>
    <s v="Saturday"/>
    <n v="2"/>
    <n v="10.44"/>
    <x v="0"/>
    <x v="20"/>
    <s v="Female"/>
    <n v="64.400000000000006"/>
    <n v="109.4"/>
    <n v="18.399999999999999"/>
    <n v="9"/>
    <s v="NV"/>
    <n v="4"/>
    <n v="303.5"/>
    <s v="Low"/>
    <n v="1"/>
    <s v="Single-Day"/>
    <n v="0"/>
    <n v="0"/>
    <s v="Main Entrance"/>
    <s v="Mickey &amp; Friends"/>
    <n v="6.7"/>
    <n v="3"/>
    <x v="92"/>
  </r>
  <r>
    <n v="94"/>
    <n v="32"/>
    <d v="2026-02-13T00:00:00"/>
    <s v="Friday"/>
    <n v="2"/>
    <n v="11.43"/>
    <x v="1"/>
    <x v="1"/>
    <s v="Male"/>
    <n v="69.2"/>
    <n v="165.4"/>
    <n v="24.4"/>
    <n v="12"/>
    <s v="WI"/>
    <n v="3"/>
    <n v="1486.7"/>
    <s v="Low"/>
    <n v="0"/>
    <s v="Multi-Day"/>
    <n v="0"/>
    <n v="0"/>
    <s v="Downtown Disney Gate"/>
    <s v="Pixar Pals"/>
    <n v="10.199999999999999"/>
    <n v="7"/>
    <x v="93"/>
  </r>
  <r>
    <n v="95"/>
    <n v="32"/>
    <d v="2026-02-13T00:00:00"/>
    <s v="Friday"/>
    <n v="2"/>
    <n v="11.61"/>
    <x v="1"/>
    <x v="53"/>
    <s v="Female"/>
    <n v="60.8"/>
    <n v="135.4"/>
    <n v="25.5"/>
    <n v="9"/>
    <s v="WI"/>
    <n v="3"/>
    <n v="1486.7"/>
    <s v="Low"/>
    <n v="0"/>
    <s v="Multi-Day"/>
    <n v="0"/>
    <n v="0"/>
    <s v="Downtown Disney Gate"/>
    <s v="Pixar Pals"/>
    <n v="6.3"/>
    <n v="4"/>
    <x v="94"/>
  </r>
  <r>
    <n v="96"/>
    <n v="32"/>
    <d v="2026-02-13T00:00:00"/>
    <s v="Friday"/>
    <n v="2"/>
    <n v="11.64"/>
    <x v="1"/>
    <x v="54"/>
    <s v="Male"/>
    <n v="75.400000000000006"/>
    <n v="182.8"/>
    <n v="22.7"/>
    <n v="15"/>
    <s v="WI"/>
    <n v="3"/>
    <n v="1486.7"/>
    <s v="Low"/>
    <n v="0"/>
    <s v="Multi-Day"/>
    <n v="0"/>
    <n v="0"/>
    <s v="Downtown Disney Gate"/>
    <s v="Pixar Pals"/>
    <n v="9.4"/>
    <n v="7"/>
    <x v="95"/>
  </r>
  <r>
    <n v="97"/>
    <n v="33"/>
    <d v="2026-12-27T00:00:00"/>
    <s v="Sunday"/>
    <n v="12"/>
    <n v="9.8800000000000008"/>
    <x v="0"/>
    <x v="6"/>
    <s v="Female"/>
    <n v="57"/>
    <n v="119.5"/>
    <n v="25.9"/>
    <n v="14"/>
    <s v="AZ"/>
    <n v="3"/>
    <n v="532.79999999999995"/>
    <s v="Low"/>
    <n v="1"/>
    <s v="Park Hopper"/>
    <n v="0"/>
    <n v="0"/>
    <s v="Main Entrance"/>
    <s v="Pixar Pals"/>
    <n v="10.3"/>
    <n v="9"/>
    <x v="96"/>
  </r>
  <r>
    <n v="98"/>
    <n v="33"/>
    <d v="2026-12-27T00:00:00"/>
    <s v="Sunday"/>
    <n v="12"/>
    <n v="9.9"/>
    <x v="0"/>
    <x v="12"/>
    <s v="Male"/>
    <n v="55.2"/>
    <n v="98.2"/>
    <n v="22.6"/>
    <n v="8"/>
    <s v="AZ"/>
    <n v="3"/>
    <n v="532.79999999999995"/>
    <s v="Low"/>
    <n v="1"/>
    <s v="Park Hopper"/>
    <n v="0"/>
    <n v="0"/>
    <s v="Main Entrance"/>
    <s v="Pixar Pals"/>
    <n v="7.1"/>
    <n v="7"/>
    <x v="97"/>
  </r>
  <r>
    <n v="99"/>
    <n v="33"/>
    <d v="2026-12-27T00:00:00"/>
    <s v="Sunday"/>
    <n v="12"/>
    <n v="9.77"/>
    <x v="0"/>
    <x v="38"/>
    <s v="Male"/>
    <n v="69.2"/>
    <n v="175.4"/>
    <n v="25.8"/>
    <n v="11"/>
    <s v="AZ"/>
    <n v="3"/>
    <n v="532.79999999999995"/>
    <s v="Low"/>
    <n v="1"/>
    <s v="Park Hopper"/>
    <n v="0"/>
    <n v="0"/>
    <s v="Main Entrance"/>
    <s v="Pixar Pals"/>
    <n v="10.3"/>
    <n v="6"/>
    <x v="98"/>
  </r>
  <r>
    <n v="100"/>
    <n v="34"/>
    <d v="2026-11-18T00:00:00"/>
    <s v="Wednesday"/>
    <n v="11"/>
    <n v="8.75"/>
    <x v="0"/>
    <x v="3"/>
    <s v="Male"/>
    <n v="73.2"/>
    <n v="161.30000000000001"/>
    <n v="21.3"/>
    <n v="16"/>
    <s v="NV"/>
    <n v="3"/>
    <n v="390.9"/>
    <s v="Low"/>
    <n v="1"/>
    <s v="Single-Day"/>
    <n v="0"/>
    <n v="0"/>
    <s v="Main Entrance"/>
    <s v="None/Dropoff/Transit"/>
    <n v="9"/>
    <n v="2"/>
    <x v="99"/>
  </r>
  <r>
    <n v="101"/>
    <n v="34"/>
    <d v="2026-11-18T00:00:00"/>
    <s v="Wednesday"/>
    <n v="11"/>
    <n v="8.7899999999999991"/>
    <x v="0"/>
    <x v="0"/>
    <s v="Female"/>
    <n v="63.3"/>
    <n v="204.1"/>
    <n v="36"/>
    <n v="17"/>
    <s v="NV"/>
    <n v="3"/>
    <n v="390.9"/>
    <s v="Low"/>
    <n v="1"/>
    <s v="Single-Day"/>
    <n v="0"/>
    <n v="0"/>
    <s v="Main Entrance"/>
    <s v="None/Dropoff/Transit"/>
    <n v="6.3"/>
    <n v="7"/>
    <x v="100"/>
  </r>
  <r>
    <n v="102"/>
    <n v="34"/>
    <d v="2026-11-18T00:00:00"/>
    <s v="Wednesday"/>
    <n v="11"/>
    <n v="8.7799999999999994"/>
    <x v="0"/>
    <x v="38"/>
    <s v="Female"/>
    <n v="63.7"/>
    <n v="142.4"/>
    <n v="24.9"/>
    <n v="13"/>
    <s v="NV"/>
    <n v="3"/>
    <n v="390.9"/>
    <s v="Low"/>
    <n v="1"/>
    <s v="Single-Day"/>
    <n v="0"/>
    <n v="0"/>
    <s v="Main Entrance"/>
    <s v="None/Dropoff/Transit"/>
    <n v="8"/>
    <n v="8"/>
    <x v="101"/>
  </r>
  <r>
    <n v="103"/>
    <n v="35"/>
    <d v="2026-11-18T00:00:00"/>
    <s v="Wednesday"/>
    <n v="11"/>
    <n v="10.16"/>
    <x v="0"/>
    <x v="35"/>
    <s v="Female"/>
    <n v="63.6"/>
    <n v="150.80000000000001"/>
    <n v="26.3"/>
    <n v="19"/>
    <s v="SD"/>
    <n v="4"/>
    <n v="1729.1"/>
    <s v="High"/>
    <n v="0"/>
    <s v="Single-Day"/>
    <n v="1"/>
    <n v="0"/>
    <s v="Hotel Guest Entrance"/>
    <s v="Mickey &amp; Friends"/>
    <n v="7.9"/>
    <n v="9"/>
    <x v="102"/>
  </r>
  <r>
    <n v="104"/>
    <n v="35"/>
    <d v="2026-11-18T00:00:00"/>
    <s v="Wednesday"/>
    <n v="11"/>
    <n v="10.37"/>
    <x v="0"/>
    <x v="36"/>
    <s v="Male"/>
    <n v="69.8"/>
    <n v="160.30000000000001"/>
    <n v="23.3"/>
    <n v="19"/>
    <s v="SD"/>
    <n v="4"/>
    <n v="1729.1"/>
    <s v="High"/>
    <n v="0"/>
    <s v="Single-Day"/>
    <n v="1"/>
    <n v="0"/>
    <s v="Hotel Guest Entrance"/>
    <s v="Mickey &amp; Friends"/>
    <n v="6.5"/>
    <n v="10"/>
    <x v="103"/>
  </r>
  <r>
    <n v="105"/>
    <n v="35"/>
    <d v="2026-11-18T00:00:00"/>
    <s v="Wednesday"/>
    <n v="11"/>
    <n v="10.32"/>
    <x v="0"/>
    <x v="32"/>
    <s v="Female"/>
    <n v="63.9"/>
    <n v="112.5"/>
    <n v="19.399999999999999"/>
    <n v="16"/>
    <s v="SD"/>
    <n v="4"/>
    <n v="1729.1"/>
    <s v="High"/>
    <n v="0"/>
    <s v="Single-Day"/>
    <n v="1"/>
    <n v="0"/>
    <s v="Hotel Guest Entrance"/>
    <s v="Mickey &amp; Friends"/>
    <n v="6.9"/>
    <n v="5"/>
    <x v="104"/>
  </r>
  <r>
    <n v="106"/>
    <n v="35"/>
    <d v="2026-11-18T00:00:00"/>
    <s v="Wednesday"/>
    <n v="11"/>
    <n v="10.199999999999999"/>
    <x v="0"/>
    <x v="39"/>
    <s v="Male"/>
    <n v="68.400000000000006"/>
    <n v="175.3"/>
    <n v="26.3"/>
    <n v="17"/>
    <s v="SD"/>
    <n v="4"/>
    <n v="1729.1"/>
    <s v="High"/>
    <n v="0"/>
    <s v="Single-Day"/>
    <n v="1"/>
    <n v="0"/>
    <s v="Hotel Guest Entrance"/>
    <s v="Mickey &amp; Friends"/>
    <n v="9"/>
    <n v="4"/>
    <x v="105"/>
  </r>
  <r>
    <n v="107"/>
    <n v="36"/>
    <d v="2026-04-26T00:00:00"/>
    <s v="Sunday"/>
    <n v="4"/>
    <n v="11.78"/>
    <x v="1"/>
    <x v="19"/>
    <s v="Male"/>
    <n v="64.2"/>
    <n v="184.5"/>
    <n v="31.6"/>
    <n v="18"/>
    <s v="Other"/>
    <n v="4"/>
    <n v="1167.0999999999999"/>
    <s v="High"/>
    <n v="1"/>
    <s v="Single-Day"/>
    <n v="1"/>
    <n v="1"/>
    <s v="Main Entrance"/>
    <s v="None/Walked from Resort"/>
    <n v="7.2"/>
    <n v="10"/>
    <x v="106"/>
  </r>
  <r>
    <n v="108"/>
    <n v="36"/>
    <d v="2026-04-26T00:00:00"/>
    <s v="Sunday"/>
    <n v="4"/>
    <n v="11.95"/>
    <x v="1"/>
    <x v="55"/>
    <s v="Female"/>
    <n v="70"/>
    <n v="158.30000000000001"/>
    <n v="22.6"/>
    <n v="16"/>
    <s v="Other"/>
    <n v="4"/>
    <n v="1167.0999999999999"/>
    <s v="High"/>
    <n v="1"/>
    <s v="Single-Day"/>
    <n v="1"/>
    <n v="1"/>
    <s v="Main Entrance"/>
    <s v="None/Walked from Resort"/>
    <n v="6.6"/>
    <n v="11"/>
    <x v="107"/>
  </r>
  <r>
    <n v="109"/>
    <n v="36"/>
    <d v="2026-04-26T00:00:00"/>
    <s v="Sunday"/>
    <n v="4"/>
    <n v="11.93"/>
    <x v="1"/>
    <x v="56"/>
    <s v="Female"/>
    <n v="58.6"/>
    <n v="150.9"/>
    <n v="31.1"/>
    <n v="18"/>
    <s v="Other"/>
    <n v="4"/>
    <n v="1167.0999999999999"/>
    <s v="High"/>
    <n v="1"/>
    <s v="Single-Day"/>
    <n v="1"/>
    <n v="1"/>
    <s v="Main Entrance"/>
    <s v="None/Walked from Resort"/>
    <n v="9.4"/>
    <n v="5"/>
    <x v="108"/>
  </r>
  <r>
    <n v="110"/>
    <n v="36"/>
    <d v="2026-04-26T00:00:00"/>
    <s v="Sunday"/>
    <n v="4"/>
    <n v="11.69"/>
    <x v="1"/>
    <x v="29"/>
    <s v="Male"/>
    <n v="69.900000000000006"/>
    <n v="200.1"/>
    <n v="28.7"/>
    <n v="18"/>
    <s v="Other"/>
    <n v="4"/>
    <n v="1167.0999999999999"/>
    <s v="High"/>
    <n v="1"/>
    <s v="Single-Day"/>
    <n v="1"/>
    <n v="1"/>
    <s v="Main Entrance"/>
    <s v="None/Walked from Resort"/>
    <n v="8.1"/>
    <n v="6"/>
    <x v="109"/>
  </r>
  <r>
    <n v="111"/>
    <n v="37"/>
    <d v="2026-11-26T00:00:00"/>
    <s v="Thursday"/>
    <n v="11"/>
    <n v="11.07"/>
    <x v="1"/>
    <x v="57"/>
    <s v="Female"/>
    <n v="60.2"/>
    <n v="115.3"/>
    <n v="22.4"/>
    <n v="15"/>
    <s v="MN"/>
    <n v="1"/>
    <n v="1370.4"/>
    <s v="Middle"/>
    <n v="0"/>
    <s v="Multi-Day"/>
    <n v="0"/>
    <n v="0"/>
    <s v="Main Entrance"/>
    <s v="Pixar Pals"/>
    <n v="6.5"/>
    <n v="4"/>
    <x v="110"/>
  </r>
  <r>
    <n v="112"/>
    <n v="38"/>
    <d v="2026-01-20T00:00:00"/>
    <s v="Tuesday"/>
    <n v="1"/>
    <n v="9.18"/>
    <x v="0"/>
    <x v="58"/>
    <s v="Female"/>
    <n v="64.400000000000006"/>
    <n v="228.3"/>
    <n v="38.5"/>
    <n v="19"/>
    <s v="Other"/>
    <n v="2"/>
    <n v="1252.4000000000001"/>
    <s v="High"/>
    <n v="1"/>
    <s v="Single-Day"/>
    <n v="0"/>
    <n v="1"/>
    <s v="Main Entrance"/>
    <s v="None/Walked from Resort"/>
    <n v="9.4"/>
    <n v="8"/>
    <x v="111"/>
  </r>
  <r>
    <n v="113"/>
    <n v="38"/>
    <d v="2026-01-20T00:00:00"/>
    <s v="Tuesday"/>
    <n v="1"/>
    <n v="9.24"/>
    <x v="0"/>
    <x v="2"/>
    <s v="Female"/>
    <n v="64.900000000000006"/>
    <n v="176.7"/>
    <n v="29.5"/>
    <n v="20"/>
    <s v="Other"/>
    <n v="2"/>
    <n v="1252.4000000000001"/>
    <s v="High"/>
    <n v="1"/>
    <s v="Single-Day"/>
    <n v="0"/>
    <n v="1"/>
    <s v="Main Entrance"/>
    <s v="None/Walked from Resort"/>
    <n v="7.7"/>
    <n v="8"/>
    <x v="112"/>
  </r>
  <r>
    <n v="114"/>
    <n v="39"/>
    <d v="2026-12-27T00:00:00"/>
    <s v="Sunday"/>
    <n v="12"/>
    <n v="10.64"/>
    <x v="0"/>
    <x v="55"/>
    <s v="Male"/>
    <n v="70.5"/>
    <n v="182.1"/>
    <n v="26.1"/>
    <n v="18"/>
    <s v="Other"/>
    <n v="4"/>
    <n v="1299.4000000000001"/>
    <s v="High"/>
    <n v="1"/>
    <s v="Single-Day"/>
    <n v="0"/>
    <n v="1"/>
    <s v="Main Entrance"/>
    <s v="None/Walked from Resort"/>
    <n v="6.8"/>
    <n v="4"/>
    <x v="113"/>
  </r>
  <r>
    <n v="115"/>
    <n v="39"/>
    <d v="2026-12-27T00:00:00"/>
    <s v="Sunday"/>
    <n v="12"/>
    <n v="10.41"/>
    <x v="0"/>
    <x v="28"/>
    <s v="Male"/>
    <n v="73.599999999999994"/>
    <n v="165.5"/>
    <n v="21.7"/>
    <n v="14"/>
    <s v="Other"/>
    <n v="4"/>
    <n v="1299.4000000000001"/>
    <s v="High"/>
    <n v="1"/>
    <s v="Single-Day"/>
    <n v="0"/>
    <n v="1"/>
    <s v="Main Entrance"/>
    <s v="None/Walked from Resort"/>
    <n v="9.9"/>
    <n v="12"/>
    <x v="114"/>
  </r>
  <r>
    <n v="116"/>
    <n v="39"/>
    <d v="2026-12-27T00:00:00"/>
    <s v="Sunday"/>
    <n v="12"/>
    <n v="10.83"/>
    <x v="0"/>
    <x v="36"/>
    <s v="Female"/>
    <n v="68.900000000000006"/>
    <n v="170.8"/>
    <n v="25.3"/>
    <n v="18"/>
    <s v="Other"/>
    <n v="4"/>
    <n v="1299.4000000000001"/>
    <s v="High"/>
    <n v="1"/>
    <s v="Single-Day"/>
    <n v="0"/>
    <n v="1"/>
    <s v="Main Entrance"/>
    <s v="None/Walked from Resort"/>
    <n v="10.3"/>
    <n v="12"/>
    <x v="115"/>
  </r>
  <r>
    <n v="117"/>
    <n v="39"/>
    <d v="2026-12-27T00:00:00"/>
    <s v="Sunday"/>
    <n v="12"/>
    <n v="10.59"/>
    <x v="0"/>
    <x v="45"/>
    <s v="Male"/>
    <n v="73.8"/>
    <n v="229.7"/>
    <n v="29.5"/>
    <n v="20"/>
    <s v="Other"/>
    <n v="4"/>
    <n v="1299.4000000000001"/>
    <s v="High"/>
    <n v="1"/>
    <s v="Single-Day"/>
    <n v="0"/>
    <n v="1"/>
    <s v="Main Entrance"/>
    <s v="None/Walked from Resort"/>
    <n v="7.6"/>
    <n v="10"/>
    <x v="116"/>
  </r>
  <r>
    <n v="118"/>
    <n v="40"/>
    <d v="2026-04-24T00:00:00"/>
    <s v="Friday"/>
    <n v="4"/>
    <n v="13.63"/>
    <x v="1"/>
    <x v="48"/>
    <s v="Female"/>
    <n v="67"/>
    <n v="187.7"/>
    <n v="29.5"/>
    <n v="13"/>
    <s v="UT"/>
    <n v="3"/>
    <n v="705.5"/>
    <s v="Low"/>
    <n v="1"/>
    <s v="Multi-Day"/>
    <n v="1"/>
    <n v="0"/>
    <s v="Main Entrance"/>
    <s v="Mickey &amp; Friends"/>
    <n v="7"/>
    <n v="6"/>
    <x v="117"/>
  </r>
  <r>
    <n v="119"/>
    <n v="40"/>
    <d v="2026-04-24T00:00:00"/>
    <s v="Friday"/>
    <n v="4"/>
    <n v="13.53"/>
    <x v="1"/>
    <x v="21"/>
    <s v="Female"/>
    <n v="64.3"/>
    <n v="177.9"/>
    <n v="30"/>
    <n v="13"/>
    <s v="UT"/>
    <n v="3"/>
    <n v="705.5"/>
    <s v="Low"/>
    <n v="1"/>
    <s v="Multi-Day"/>
    <n v="1"/>
    <n v="0"/>
    <s v="Main Entrance"/>
    <s v="Mickey &amp; Friends"/>
    <n v="6.9"/>
    <n v="9"/>
    <x v="118"/>
  </r>
  <r>
    <n v="120"/>
    <n v="40"/>
    <d v="2026-04-24T00:00:00"/>
    <s v="Friday"/>
    <n v="4"/>
    <n v="13.82"/>
    <x v="1"/>
    <x v="27"/>
    <s v="Male"/>
    <n v="68.3"/>
    <n v="164.2"/>
    <n v="24.6"/>
    <n v="12"/>
    <s v="UT"/>
    <n v="3"/>
    <n v="705.5"/>
    <s v="Low"/>
    <n v="1"/>
    <s v="Multi-Day"/>
    <n v="1"/>
    <n v="0"/>
    <s v="Main Entrance"/>
    <s v="Mickey &amp; Friends"/>
    <n v="6"/>
    <n v="9"/>
    <x v="119"/>
  </r>
  <r>
    <n v="121"/>
    <n v="41"/>
    <d v="2026-07-20T00:00:00"/>
    <s v="Monday"/>
    <n v="7"/>
    <n v="11.3"/>
    <x v="1"/>
    <x v="14"/>
    <s v="Female"/>
    <n v="64.3"/>
    <n v="124.4"/>
    <n v="21.1"/>
    <n v="12"/>
    <s v="AZ"/>
    <n v="3"/>
    <n v="335.4"/>
    <s v="Low"/>
    <n v="0"/>
    <s v="Single-Day"/>
    <n v="0"/>
    <n v="0"/>
    <s v="Main Entrance"/>
    <s v="Mickey &amp; Friends"/>
    <n v="7"/>
    <n v="11"/>
    <x v="120"/>
  </r>
  <r>
    <n v="122"/>
    <n v="41"/>
    <d v="2026-07-20T00:00:00"/>
    <s v="Monday"/>
    <n v="7"/>
    <n v="11.22"/>
    <x v="1"/>
    <x v="59"/>
    <s v="Male"/>
    <n v="72.2"/>
    <n v="198.1"/>
    <n v="26.7"/>
    <n v="15"/>
    <s v="AZ"/>
    <n v="3"/>
    <n v="335.4"/>
    <s v="Low"/>
    <n v="0"/>
    <s v="Single-Day"/>
    <n v="0"/>
    <n v="0"/>
    <s v="Main Entrance"/>
    <s v="Mickey &amp; Friends"/>
    <n v="7.2"/>
    <n v="6"/>
    <x v="121"/>
  </r>
  <r>
    <n v="123"/>
    <n v="41"/>
    <d v="2026-07-20T00:00:00"/>
    <s v="Monday"/>
    <n v="7"/>
    <n v="11.39"/>
    <x v="1"/>
    <x v="58"/>
    <s v="Male"/>
    <n v="66.2"/>
    <n v="201.1"/>
    <n v="32"/>
    <n v="13"/>
    <s v="AZ"/>
    <n v="3"/>
    <n v="335.4"/>
    <s v="Low"/>
    <n v="0"/>
    <s v="Single-Day"/>
    <n v="0"/>
    <n v="0"/>
    <s v="Main Entrance"/>
    <s v="Mickey &amp; Friends"/>
    <n v="7.3"/>
    <n v="9"/>
    <x v="122"/>
  </r>
  <r>
    <n v="124"/>
    <n v="42"/>
    <d v="2026-09-24T00:00:00"/>
    <s v="Thursday"/>
    <n v="9"/>
    <n v="9.41"/>
    <x v="0"/>
    <x v="37"/>
    <s v="Female"/>
    <n v="61.5"/>
    <n v="84.7"/>
    <n v="15.8"/>
    <n v="14"/>
    <s v="FL"/>
    <n v="5"/>
    <n v="2536.1"/>
    <s v="High"/>
    <n v="1"/>
    <s v="Single-Day"/>
    <n v="0"/>
    <n v="1"/>
    <s v="Main Entrance"/>
    <s v="None/Walked from Resort"/>
    <n v="9.6999999999999993"/>
    <n v="10"/>
    <x v="123"/>
  </r>
  <r>
    <n v="125"/>
    <n v="42"/>
    <d v="2026-09-24T00:00:00"/>
    <s v="Thursday"/>
    <n v="9"/>
    <n v="9.35"/>
    <x v="0"/>
    <x v="27"/>
    <s v="Male"/>
    <n v="66.8"/>
    <n v="185.2"/>
    <n v="29.1"/>
    <n v="17"/>
    <s v="FL"/>
    <n v="5"/>
    <n v="2536.1"/>
    <s v="High"/>
    <n v="1"/>
    <s v="Single-Day"/>
    <n v="0"/>
    <n v="1"/>
    <s v="Main Entrance"/>
    <s v="None/Walked from Resort"/>
    <n v="7.1"/>
    <n v="8"/>
    <x v="124"/>
  </r>
  <r>
    <n v="126"/>
    <n v="42"/>
    <d v="2026-09-24T00:00:00"/>
    <s v="Thursday"/>
    <n v="9"/>
    <n v="9.4600000000000009"/>
    <x v="0"/>
    <x v="47"/>
    <s v="Female"/>
    <n v="67.2"/>
    <n v="163.5"/>
    <n v="25.1"/>
    <n v="20"/>
    <s v="FL"/>
    <n v="5"/>
    <n v="2536.1"/>
    <s v="High"/>
    <n v="1"/>
    <s v="Single-Day"/>
    <n v="0"/>
    <n v="1"/>
    <s v="Main Entrance"/>
    <s v="None/Walked from Resort"/>
    <n v="11.2"/>
    <n v="9"/>
    <x v="125"/>
  </r>
  <r>
    <n v="127"/>
    <n v="42"/>
    <d v="2026-09-24T00:00:00"/>
    <s v="Thursday"/>
    <n v="9"/>
    <n v="9.42"/>
    <x v="0"/>
    <x v="27"/>
    <s v="Female"/>
    <n v="62.4"/>
    <n v="124"/>
    <n v="22.4"/>
    <n v="15"/>
    <s v="FL"/>
    <n v="5"/>
    <n v="2536.1"/>
    <s v="High"/>
    <n v="1"/>
    <s v="Single-Day"/>
    <n v="0"/>
    <n v="1"/>
    <s v="Main Entrance"/>
    <s v="None/Walked from Resort"/>
    <n v="9.5"/>
    <n v="15"/>
    <x v="126"/>
  </r>
  <r>
    <n v="128"/>
    <n v="42"/>
    <d v="2026-09-24T00:00:00"/>
    <s v="Thursday"/>
    <n v="9"/>
    <n v="9.4600000000000009"/>
    <x v="0"/>
    <x v="55"/>
    <s v="Male"/>
    <n v="66.099999999999994"/>
    <n v="168.3"/>
    <n v="27.2"/>
    <n v="17"/>
    <s v="FL"/>
    <n v="5"/>
    <n v="2536.1"/>
    <s v="High"/>
    <n v="1"/>
    <s v="Single-Day"/>
    <n v="0"/>
    <n v="1"/>
    <s v="Main Entrance"/>
    <s v="None/Walked from Resort"/>
    <n v="8.1999999999999993"/>
    <n v="12"/>
    <x v="127"/>
  </r>
  <r>
    <n v="129"/>
    <n v="43"/>
    <d v="2026-05-24T00:00:00"/>
    <s v="Sunday"/>
    <n v="5"/>
    <n v="12.36"/>
    <x v="1"/>
    <x v="13"/>
    <s v="Male"/>
    <n v="70.7"/>
    <n v="209.2"/>
    <n v="29.6"/>
    <n v="16"/>
    <s v="CA"/>
    <n v="2"/>
    <n v="75.099999999999994"/>
    <s v="Low"/>
    <n v="0"/>
    <s v="Single-Day"/>
    <n v="0"/>
    <n v="0"/>
    <s v="Main Entrance"/>
    <s v="Toy Story Lot"/>
    <n v="8.4"/>
    <n v="12"/>
    <x v="128"/>
  </r>
  <r>
    <n v="130"/>
    <n v="43"/>
    <d v="2026-05-24T00:00:00"/>
    <s v="Sunday"/>
    <n v="5"/>
    <n v="12.29"/>
    <x v="1"/>
    <x v="12"/>
    <s v="Male"/>
    <n v="59.9"/>
    <n v="103.3"/>
    <n v="20.399999999999999"/>
    <n v="12"/>
    <s v="CA"/>
    <n v="2"/>
    <n v="75.099999999999994"/>
    <s v="Low"/>
    <n v="0"/>
    <s v="Single-Day"/>
    <n v="0"/>
    <n v="0"/>
    <s v="Main Entrance"/>
    <s v="Toy Story Lot"/>
    <n v="8.4"/>
    <n v="3"/>
    <x v="129"/>
  </r>
  <r>
    <n v="131"/>
    <n v="44"/>
    <d v="2026-04-02T00:00:00"/>
    <s v="Thursday"/>
    <n v="4"/>
    <n v="9.7200000000000006"/>
    <x v="0"/>
    <x v="16"/>
    <s v="Male"/>
    <n v="62.9"/>
    <n v="97.9"/>
    <n v="17.399999999999999"/>
    <n v="14"/>
    <s v="IL"/>
    <n v="2"/>
    <n v="1191.3"/>
    <s v="Low"/>
    <n v="1"/>
    <s v="Single-Day"/>
    <n v="0"/>
    <n v="0"/>
    <s v="Main Entrance"/>
    <s v="Pixar Pals"/>
    <n v="6.2"/>
    <n v="8"/>
    <x v="130"/>
  </r>
  <r>
    <n v="132"/>
    <n v="44"/>
    <d v="2026-04-02T00:00:00"/>
    <s v="Thursday"/>
    <n v="4"/>
    <n v="9.73"/>
    <x v="0"/>
    <x v="28"/>
    <s v="Male"/>
    <n v="73.5"/>
    <n v="239.2"/>
    <n v="31.1"/>
    <n v="15"/>
    <s v="IL"/>
    <n v="2"/>
    <n v="1191.3"/>
    <s v="Low"/>
    <n v="1"/>
    <s v="Single-Day"/>
    <n v="0"/>
    <n v="0"/>
    <s v="Main Entrance"/>
    <s v="Pixar Pals"/>
    <n v="8.4"/>
    <n v="11"/>
    <x v="131"/>
  </r>
  <r>
    <n v="133"/>
    <n v="45"/>
    <d v="2026-06-08T00:00:00"/>
    <s v="Monday"/>
    <n v="6"/>
    <n v="9.1999999999999993"/>
    <x v="0"/>
    <x v="41"/>
    <s v="Male"/>
    <n v="69.599999999999994"/>
    <n v="135"/>
    <n v="19.899999999999999"/>
    <n v="12"/>
    <s v="NY"/>
    <n v="3"/>
    <n v="3660.7"/>
    <s v="Low"/>
    <n v="0"/>
    <s v="Single-Day"/>
    <n v="0"/>
    <n v="0"/>
    <s v="Main Entrance"/>
    <s v="Toy Story Lot"/>
    <n v="8.8000000000000007"/>
    <n v="9"/>
    <x v="132"/>
  </r>
  <r>
    <n v="134"/>
    <n v="45"/>
    <d v="2026-06-08T00:00:00"/>
    <s v="Monday"/>
    <n v="6"/>
    <n v="9.09"/>
    <x v="0"/>
    <x v="22"/>
    <s v="Male"/>
    <n v="54.8"/>
    <n v="89.5"/>
    <n v="21"/>
    <n v="12"/>
    <s v="NY"/>
    <n v="3"/>
    <n v="3660.7"/>
    <s v="Low"/>
    <n v="0"/>
    <s v="Single-Day"/>
    <n v="0"/>
    <n v="0"/>
    <s v="Main Entrance"/>
    <s v="Toy Story Lot"/>
    <n v="9.8000000000000007"/>
    <n v="7"/>
    <x v="133"/>
  </r>
  <r>
    <n v="135"/>
    <n v="45"/>
    <d v="2026-06-08T00:00:00"/>
    <s v="Monday"/>
    <n v="6"/>
    <n v="9.31"/>
    <x v="0"/>
    <x v="10"/>
    <s v="Female"/>
    <n v="59.1"/>
    <n v="124.5"/>
    <n v="25.1"/>
    <n v="12"/>
    <s v="NY"/>
    <n v="3"/>
    <n v="3660.7"/>
    <s v="Low"/>
    <n v="0"/>
    <s v="Single-Day"/>
    <n v="0"/>
    <n v="0"/>
    <s v="Main Entrance"/>
    <s v="Toy Story Lot"/>
    <n v="7.5"/>
    <n v="5"/>
    <x v="134"/>
  </r>
  <r>
    <n v="136"/>
    <n v="46"/>
    <d v="2026-10-01T00:00:00"/>
    <s v="Thursday"/>
    <n v="10"/>
    <n v="8.43"/>
    <x v="0"/>
    <x v="36"/>
    <s v="Female"/>
    <n v="63.9"/>
    <n v="209"/>
    <n v="35.9"/>
    <n v="10"/>
    <s v="OR"/>
    <n v="3"/>
    <n v="1069.4000000000001"/>
    <s v="Low"/>
    <n v="1"/>
    <s v="Single-Day"/>
    <n v="0"/>
    <n v="0"/>
    <s v="Main Entrance"/>
    <s v="Toy Story Lot"/>
    <n v="11.1"/>
    <n v="12"/>
    <x v="135"/>
  </r>
  <r>
    <n v="137"/>
    <n v="46"/>
    <d v="2026-10-01T00:00:00"/>
    <s v="Thursday"/>
    <n v="10"/>
    <n v="8.49"/>
    <x v="0"/>
    <x v="50"/>
    <s v="Female"/>
    <n v="68.400000000000006"/>
    <n v="159.6"/>
    <n v="24"/>
    <n v="11"/>
    <s v="OR"/>
    <n v="3"/>
    <n v="1069.4000000000001"/>
    <s v="Low"/>
    <n v="1"/>
    <s v="Single-Day"/>
    <n v="0"/>
    <n v="0"/>
    <s v="Main Entrance"/>
    <s v="Toy Story Lot"/>
    <n v="9.8000000000000007"/>
    <n v="8"/>
    <x v="136"/>
  </r>
  <r>
    <n v="138"/>
    <n v="46"/>
    <d v="2026-10-01T00:00:00"/>
    <s v="Thursday"/>
    <n v="10"/>
    <n v="8.35"/>
    <x v="0"/>
    <x v="54"/>
    <s v="Male"/>
    <n v="65.400000000000006"/>
    <n v="153.1"/>
    <n v="25.4"/>
    <n v="15"/>
    <s v="OR"/>
    <n v="3"/>
    <n v="1069.4000000000001"/>
    <s v="Low"/>
    <n v="1"/>
    <s v="Single-Day"/>
    <n v="0"/>
    <n v="0"/>
    <s v="Main Entrance"/>
    <s v="Toy Story Lot"/>
    <n v="9.4"/>
    <n v="10"/>
    <x v="137"/>
  </r>
  <r>
    <n v="139"/>
    <n v="47"/>
    <d v="2026-09-05T00:00:00"/>
    <s v="Saturday"/>
    <n v="9"/>
    <n v="11.36"/>
    <x v="1"/>
    <x v="32"/>
    <s v="Male"/>
    <n v="59"/>
    <n v="97.3"/>
    <n v="19.600000000000001"/>
    <n v="12"/>
    <s v="ND"/>
    <n v="2"/>
    <n v="1626.2"/>
    <s v="Middle"/>
    <n v="1"/>
    <s v="Park Hopper"/>
    <n v="0"/>
    <n v="0"/>
    <s v="Main Entrance"/>
    <s v="Mickey &amp; Friends"/>
    <n v="8.9"/>
    <n v="18"/>
    <x v="138"/>
  </r>
  <r>
    <n v="140"/>
    <n v="47"/>
    <d v="2026-09-05T00:00:00"/>
    <s v="Saturday"/>
    <n v="9"/>
    <n v="11.26"/>
    <x v="1"/>
    <x v="45"/>
    <s v="Female"/>
    <n v="63"/>
    <n v="186.4"/>
    <n v="33.1"/>
    <n v="16"/>
    <s v="ND"/>
    <n v="2"/>
    <n v="1626.2"/>
    <s v="Middle"/>
    <n v="1"/>
    <s v="Park Hopper"/>
    <n v="0"/>
    <n v="0"/>
    <s v="Main Entrance"/>
    <s v="Mickey &amp; Friends"/>
    <n v="8.5"/>
    <n v="10"/>
    <x v="139"/>
  </r>
  <r>
    <n v="141"/>
    <n v="48"/>
    <d v="2026-01-07T00:00:00"/>
    <s v="Wednesday"/>
    <n v="1"/>
    <n v="9.11"/>
    <x v="0"/>
    <x v="2"/>
    <s v="Male"/>
    <n v="69.599999999999994"/>
    <n v="172.8"/>
    <n v="25"/>
    <n v="13"/>
    <s v="TX"/>
    <n v="4"/>
    <n v="1426.7"/>
    <s v="Middle"/>
    <n v="1"/>
    <s v="Single-Day"/>
    <n v="1"/>
    <n v="0"/>
    <s v="Downtown Disney Gate"/>
    <s v="Pixar Pals"/>
    <n v="10"/>
    <n v="15"/>
    <x v="140"/>
  </r>
  <r>
    <n v="142"/>
    <n v="48"/>
    <d v="2026-01-07T00:00:00"/>
    <s v="Wednesday"/>
    <n v="1"/>
    <n v="9.2200000000000006"/>
    <x v="0"/>
    <x v="34"/>
    <s v="Female"/>
    <n v="64.900000000000006"/>
    <n v="156.30000000000001"/>
    <n v="26"/>
    <n v="17"/>
    <s v="TX"/>
    <n v="4"/>
    <n v="1426.7"/>
    <s v="Middle"/>
    <n v="1"/>
    <s v="Single-Day"/>
    <n v="1"/>
    <n v="0"/>
    <s v="Downtown Disney Gate"/>
    <s v="Pixar Pals"/>
    <n v="9.6"/>
    <n v="12"/>
    <x v="141"/>
  </r>
  <r>
    <n v="143"/>
    <n v="48"/>
    <d v="2026-01-07T00:00:00"/>
    <s v="Wednesday"/>
    <n v="1"/>
    <n v="9.2200000000000006"/>
    <x v="0"/>
    <x v="60"/>
    <s v="Female"/>
    <n v="67.5"/>
    <n v="91.9"/>
    <n v="14.5"/>
    <n v="13"/>
    <s v="TX"/>
    <n v="4"/>
    <n v="1426.7"/>
    <s v="Middle"/>
    <n v="1"/>
    <s v="Single-Day"/>
    <n v="1"/>
    <n v="0"/>
    <s v="Downtown Disney Gate"/>
    <s v="Pixar Pals"/>
    <n v="6.4"/>
    <n v="8"/>
    <x v="142"/>
  </r>
  <r>
    <n v="144"/>
    <n v="48"/>
    <d v="2026-01-07T00:00:00"/>
    <s v="Wednesday"/>
    <n v="1"/>
    <n v="9.08"/>
    <x v="0"/>
    <x v="28"/>
    <s v="Female"/>
    <n v="68.8"/>
    <n v="203.3"/>
    <n v="29.8"/>
    <n v="13"/>
    <s v="TX"/>
    <n v="4"/>
    <n v="1426.7"/>
    <s v="Middle"/>
    <n v="1"/>
    <s v="Single-Day"/>
    <n v="1"/>
    <n v="0"/>
    <s v="Downtown Disney Gate"/>
    <s v="Pixar Pals"/>
    <n v="7.3"/>
    <n v="9"/>
    <x v="143"/>
  </r>
  <r>
    <n v="145"/>
    <n v="49"/>
    <d v="2026-02-04T00:00:00"/>
    <s v="Wednesday"/>
    <n v="2"/>
    <n v="11.41"/>
    <x v="1"/>
    <x v="3"/>
    <s v="Female"/>
    <n v="63.3"/>
    <n v="173.6"/>
    <n v="30.6"/>
    <n v="15"/>
    <s v="IL"/>
    <n v="4"/>
    <n v="1933"/>
    <s v="Middle"/>
    <n v="1"/>
    <s v="Single-Day"/>
    <n v="0"/>
    <n v="0"/>
    <s v="Main Entrance"/>
    <s v="Pixar Pals"/>
    <n v="7.8"/>
    <n v="2"/>
    <x v="144"/>
  </r>
  <r>
    <n v="146"/>
    <n v="49"/>
    <d v="2026-02-04T00:00:00"/>
    <s v="Wednesday"/>
    <n v="2"/>
    <n v="11.5"/>
    <x v="1"/>
    <x v="50"/>
    <s v="Male"/>
    <n v="69.400000000000006"/>
    <n v="165.8"/>
    <n v="24.3"/>
    <n v="13"/>
    <s v="IL"/>
    <n v="4"/>
    <n v="1933"/>
    <s v="Middle"/>
    <n v="1"/>
    <s v="Single-Day"/>
    <n v="0"/>
    <n v="0"/>
    <s v="Main Entrance"/>
    <s v="Pixar Pals"/>
    <n v="7.9"/>
    <n v="6"/>
    <x v="145"/>
  </r>
  <r>
    <n v="147"/>
    <n v="49"/>
    <d v="2026-02-04T00:00:00"/>
    <s v="Wednesday"/>
    <n v="2"/>
    <n v="11.35"/>
    <x v="1"/>
    <x v="21"/>
    <s v="Female"/>
    <n v="64.7"/>
    <n v="125.7"/>
    <n v="21.1"/>
    <n v="17"/>
    <s v="IL"/>
    <n v="4"/>
    <n v="1933"/>
    <s v="Middle"/>
    <n v="1"/>
    <s v="Single-Day"/>
    <n v="0"/>
    <n v="0"/>
    <s v="Main Entrance"/>
    <s v="Pixar Pals"/>
    <n v="8.8000000000000007"/>
    <n v="7"/>
    <x v="146"/>
  </r>
  <r>
    <n v="148"/>
    <n v="49"/>
    <d v="2026-02-04T00:00:00"/>
    <s v="Wednesday"/>
    <n v="2"/>
    <n v="11.59"/>
    <x v="1"/>
    <x v="54"/>
    <s v="Female"/>
    <n v="59"/>
    <n v="110.8"/>
    <n v="22.3"/>
    <n v="16"/>
    <s v="IL"/>
    <n v="4"/>
    <n v="1933"/>
    <s v="Middle"/>
    <n v="1"/>
    <s v="Single-Day"/>
    <n v="0"/>
    <n v="0"/>
    <s v="Main Entrance"/>
    <s v="Pixar Pals"/>
    <n v="11.3"/>
    <n v="9"/>
    <x v="147"/>
  </r>
  <r>
    <n v="149"/>
    <n v="50"/>
    <d v="2026-09-24T00:00:00"/>
    <s v="Thursday"/>
    <n v="9"/>
    <n v="10.56"/>
    <x v="0"/>
    <x v="50"/>
    <s v="Female"/>
    <n v="65.599999999999994"/>
    <n v="136"/>
    <n v="22.2"/>
    <n v="13"/>
    <s v="TX"/>
    <n v="2"/>
    <n v="1643.2"/>
    <s v="Low"/>
    <n v="1"/>
    <s v="Multi-Day"/>
    <n v="0"/>
    <n v="0"/>
    <s v="Main Entrance"/>
    <s v="Toy Story Lot"/>
    <n v="9.1999999999999993"/>
    <n v="9"/>
    <x v="148"/>
  </r>
  <r>
    <n v="150"/>
    <n v="50"/>
    <d v="2026-09-24T00:00:00"/>
    <s v="Thursday"/>
    <n v="9"/>
    <n v="10.65"/>
    <x v="0"/>
    <x v="12"/>
    <s v="Female"/>
    <n v="60.2"/>
    <n v="101.2"/>
    <n v="19.600000000000001"/>
    <n v="10"/>
    <s v="TX"/>
    <n v="2"/>
    <n v="1643.2"/>
    <s v="Low"/>
    <n v="1"/>
    <s v="Multi-Day"/>
    <n v="0"/>
    <n v="0"/>
    <s v="Main Entrance"/>
    <s v="Toy Story Lot"/>
    <n v="8.3000000000000007"/>
    <n v="9"/>
    <x v="149"/>
  </r>
  <r>
    <n v="151"/>
    <n v="51"/>
    <d v="2026-11-14T00:00:00"/>
    <s v="Saturday"/>
    <n v="11"/>
    <n v="10.99"/>
    <x v="0"/>
    <x v="19"/>
    <s v="Female"/>
    <n v="63.7"/>
    <n v="127"/>
    <n v="22"/>
    <n v="16"/>
    <s v="Other"/>
    <n v="3"/>
    <n v="1885.9"/>
    <s v="Middle"/>
    <n v="0"/>
    <s v="Multi-Day"/>
    <n v="0"/>
    <n v="0"/>
    <s v="Main Entrance"/>
    <s v="Pixar Pals"/>
    <n v="9.6999999999999993"/>
    <n v="5"/>
    <x v="150"/>
  </r>
  <r>
    <n v="152"/>
    <n v="51"/>
    <d v="2026-11-14T00:00:00"/>
    <s v="Saturday"/>
    <n v="11"/>
    <n v="11.04"/>
    <x v="1"/>
    <x v="38"/>
    <s v="Female"/>
    <n v="62.8"/>
    <n v="135.80000000000001"/>
    <n v="24.1"/>
    <n v="12"/>
    <s v="Other"/>
    <n v="3"/>
    <n v="1885.9"/>
    <s v="Middle"/>
    <n v="0"/>
    <s v="Multi-Day"/>
    <n v="0"/>
    <n v="0"/>
    <s v="Main Entrance"/>
    <s v="Pixar Pals"/>
    <n v="8.1999999999999993"/>
    <n v="7"/>
    <x v="151"/>
  </r>
  <r>
    <n v="153"/>
    <n v="51"/>
    <d v="2026-11-14T00:00:00"/>
    <s v="Saturday"/>
    <n v="11"/>
    <n v="10.96"/>
    <x v="0"/>
    <x v="22"/>
    <s v="Male"/>
    <n v="62.9"/>
    <n v="118.8"/>
    <n v="21.1"/>
    <n v="14"/>
    <s v="Other"/>
    <n v="3"/>
    <n v="1885.9"/>
    <s v="Middle"/>
    <n v="0"/>
    <s v="Multi-Day"/>
    <n v="0"/>
    <n v="0"/>
    <s v="Main Entrance"/>
    <s v="Pixar Pals"/>
    <n v="6.4"/>
    <n v="9"/>
    <x v="152"/>
  </r>
  <r>
    <n v="154"/>
    <n v="52"/>
    <d v="2026-07-02T00:00:00"/>
    <s v="Thursday"/>
    <n v="7"/>
    <n v="12.24"/>
    <x v="1"/>
    <x v="41"/>
    <s v="Male"/>
    <n v="70.2"/>
    <n v="138.19999999999999"/>
    <n v="19.600000000000001"/>
    <n v="15"/>
    <s v="TX"/>
    <n v="1"/>
    <n v="1254.4000000000001"/>
    <s v="Middle"/>
    <n v="0"/>
    <s v="Park Hopper"/>
    <n v="0"/>
    <n v="0"/>
    <s v="Main Entrance"/>
    <s v="Pixar Pals"/>
    <n v="5.9"/>
    <n v="11"/>
    <x v="153"/>
  </r>
  <r>
    <n v="155"/>
    <n v="53"/>
    <d v="2026-11-28T00:00:00"/>
    <s v="Saturday"/>
    <n v="11"/>
    <n v="11.03"/>
    <x v="1"/>
    <x v="3"/>
    <s v="Female"/>
    <n v="65.7"/>
    <n v="183.2"/>
    <n v="29.8"/>
    <n v="16"/>
    <s v="NV"/>
    <n v="6"/>
    <n v="186.7"/>
    <s v="Middle"/>
    <n v="0"/>
    <s v="Single-Day"/>
    <n v="0"/>
    <n v="0"/>
    <s v="Main Entrance"/>
    <s v="Mickey &amp; Friends"/>
    <n v="7.5"/>
    <n v="6"/>
    <x v="154"/>
  </r>
  <r>
    <n v="156"/>
    <n v="53"/>
    <d v="2026-11-28T00:00:00"/>
    <s v="Saturday"/>
    <n v="11"/>
    <n v="10.89"/>
    <x v="0"/>
    <x v="61"/>
    <s v="Female"/>
    <n v="70"/>
    <n v="145.6"/>
    <n v="20.9"/>
    <n v="11"/>
    <s v="NV"/>
    <n v="6"/>
    <n v="186.7"/>
    <s v="Middle"/>
    <n v="0"/>
    <s v="Single-Day"/>
    <n v="0"/>
    <n v="0"/>
    <s v="Main Entrance"/>
    <s v="Mickey &amp; Friends"/>
    <n v="8.8000000000000007"/>
    <n v="3"/>
    <x v="155"/>
  </r>
  <r>
    <n v="157"/>
    <n v="53"/>
    <d v="2026-11-28T00:00:00"/>
    <s v="Saturday"/>
    <n v="11"/>
    <n v="11.07"/>
    <x v="1"/>
    <x v="45"/>
    <s v="Female"/>
    <n v="64.7"/>
    <n v="175.3"/>
    <n v="29.6"/>
    <n v="15"/>
    <s v="NV"/>
    <n v="6"/>
    <n v="186.7"/>
    <s v="Middle"/>
    <n v="0"/>
    <s v="Single-Day"/>
    <n v="0"/>
    <n v="0"/>
    <s v="Main Entrance"/>
    <s v="Mickey &amp; Friends"/>
    <n v="7.2"/>
    <n v="5"/>
    <x v="156"/>
  </r>
  <r>
    <n v="158"/>
    <n v="53"/>
    <d v="2026-11-28T00:00:00"/>
    <s v="Saturday"/>
    <n v="11"/>
    <n v="11.44"/>
    <x v="1"/>
    <x v="54"/>
    <s v="Male"/>
    <n v="70.8"/>
    <n v="184.8"/>
    <n v="25.9"/>
    <n v="17"/>
    <s v="NV"/>
    <n v="6"/>
    <n v="186.7"/>
    <s v="Middle"/>
    <n v="0"/>
    <s v="Single-Day"/>
    <n v="0"/>
    <n v="0"/>
    <s v="Main Entrance"/>
    <s v="Mickey &amp; Friends"/>
    <n v="8.1"/>
    <n v="0"/>
    <x v="157"/>
  </r>
  <r>
    <n v="159"/>
    <n v="53"/>
    <d v="2026-11-28T00:00:00"/>
    <s v="Saturday"/>
    <n v="11"/>
    <n v="11"/>
    <x v="0"/>
    <x v="8"/>
    <s v="Female"/>
    <n v="67.7"/>
    <n v="192.3"/>
    <n v="29.3"/>
    <n v="15"/>
    <s v="NV"/>
    <n v="6"/>
    <n v="186.7"/>
    <s v="Middle"/>
    <n v="0"/>
    <s v="Single-Day"/>
    <n v="0"/>
    <n v="0"/>
    <s v="Main Entrance"/>
    <s v="Mickey &amp; Friends"/>
    <n v="7.1"/>
    <n v="3"/>
    <x v="158"/>
  </r>
  <r>
    <n v="160"/>
    <n v="53"/>
    <d v="2026-11-28T00:00:00"/>
    <s v="Saturday"/>
    <n v="11"/>
    <n v="11.03"/>
    <x v="1"/>
    <x v="28"/>
    <s v="Male"/>
    <n v="64.900000000000006"/>
    <n v="173.6"/>
    <n v="28.9"/>
    <n v="16"/>
    <s v="NV"/>
    <n v="6"/>
    <n v="186.7"/>
    <s v="Middle"/>
    <n v="0"/>
    <s v="Single-Day"/>
    <n v="0"/>
    <n v="0"/>
    <s v="Main Entrance"/>
    <s v="Mickey &amp; Friends"/>
    <n v="7.6"/>
    <n v="9"/>
    <x v="159"/>
  </r>
  <r>
    <n v="161"/>
    <n v="54"/>
    <d v="2026-05-20T00:00:00"/>
    <s v="Wednesday"/>
    <n v="5"/>
    <n v="9.59"/>
    <x v="0"/>
    <x v="54"/>
    <s v="Female"/>
    <n v="64.900000000000006"/>
    <n v="194.7"/>
    <n v="32.5"/>
    <n v="18"/>
    <s v="NY"/>
    <n v="5"/>
    <n v="1861.7"/>
    <s v="Middle"/>
    <n v="1"/>
    <s v="Single-Day"/>
    <n v="0"/>
    <n v="0"/>
    <s v="Main Entrance"/>
    <s v="Mickey &amp; Friends"/>
    <n v="8.3000000000000007"/>
    <n v="8"/>
    <x v="160"/>
  </r>
  <r>
    <n v="162"/>
    <n v="54"/>
    <d v="2026-05-20T00:00:00"/>
    <s v="Wednesday"/>
    <n v="5"/>
    <n v="9.26"/>
    <x v="0"/>
    <x v="35"/>
    <s v="Male"/>
    <n v="69.3"/>
    <n v="138.5"/>
    <n v="20.3"/>
    <n v="13"/>
    <s v="NY"/>
    <n v="5"/>
    <n v="1861.7"/>
    <s v="Middle"/>
    <n v="1"/>
    <s v="Single-Day"/>
    <n v="0"/>
    <n v="0"/>
    <s v="Main Entrance"/>
    <s v="Mickey &amp; Friends"/>
    <n v="8.3000000000000007"/>
    <n v="12"/>
    <x v="161"/>
  </r>
  <r>
    <n v="163"/>
    <n v="54"/>
    <d v="2026-05-20T00:00:00"/>
    <s v="Wednesday"/>
    <n v="5"/>
    <n v="9.6300000000000008"/>
    <x v="0"/>
    <x v="32"/>
    <s v="Male"/>
    <n v="58.5"/>
    <n v="67"/>
    <n v="14"/>
    <n v="15"/>
    <s v="NY"/>
    <n v="5"/>
    <n v="1861.7"/>
    <s v="Middle"/>
    <n v="1"/>
    <s v="Single-Day"/>
    <n v="0"/>
    <n v="0"/>
    <s v="Main Entrance"/>
    <s v="Mickey &amp; Friends"/>
    <n v="10.7"/>
    <n v="12"/>
    <x v="162"/>
  </r>
  <r>
    <n v="164"/>
    <n v="54"/>
    <d v="2026-05-20T00:00:00"/>
    <s v="Wednesday"/>
    <n v="5"/>
    <n v="9.44"/>
    <x v="0"/>
    <x v="31"/>
    <s v="Female"/>
    <n v="60.9"/>
    <n v="151.4"/>
    <n v="28.7"/>
    <n v="11"/>
    <s v="NY"/>
    <n v="5"/>
    <n v="1861.7"/>
    <s v="Middle"/>
    <n v="1"/>
    <s v="Single-Day"/>
    <n v="0"/>
    <n v="0"/>
    <s v="Main Entrance"/>
    <s v="Mickey &amp; Friends"/>
    <n v="11.2"/>
    <n v="11"/>
    <x v="163"/>
  </r>
  <r>
    <n v="165"/>
    <n v="54"/>
    <d v="2026-05-20T00:00:00"/>
    <s v="Wednesday"/>
    <n v="5"/>
    <n v="9.39"/>
    <x v="0"/>
    <x v="9"/>
    <s v="Female"/>
    <n v="60.2"/>
    <n v="142.4"/>
    <n v="27.5"/>
    <n v="17"/>
    <s v="NY"/>
    <n v="5"/>
    <n v="1861.7"/>
    <s v="Middle"/>
    <n v="1"/>
    <s v="Single-Day"/>
    <n v="0"/>
    <n v="0"/>
    <s v="Main Entrance"/>
    <s v="Mickey &amp; Friends"/>
    <n v="10.8"/>
    <n v="8"/>
    <x v="164"/>
  </r>
  <r>
    <n v="166"/>
    <n v="55"/>
    <d v="2026-03-19T00:00:00"/>
    <s v="Thursday"/>
    <n v="3"/>
    <n v="7"/>
    <x v="0"/>
    <x v="10"/>
    <s v="Female"/>
    <n v="65.5"/>
    <n v="224.6"/>
    <n v="36.700000000000003"/>
    <n v="15"/>
    <s v="CA"/>
    <n v="2"/>
    <n v="69.2"/>
    <s v="Middle"/>
    <n v="0"/>
    <s v="Park Hopper"/>
    <n v="0"/>
    <n v="0"/>
    <s v="Main Entrance"/>
    <s v="None/Dropoff/Transit"/>
    <n v="10.9"/>
    <n v="11"/>
    <x v="165"/>
  </r>
  <r>
    <n v="167"/>
    <n v="55"/>
    <d v="2026-03-19T00:00:00"/>
    <s v="Thursday"/>
    <n v="3"/>
    <n v="7.05"/>
    <x v="0"/>
    <x v="30"/>
    <s v="Male"/>
    <n v="66.8"/>
    <n v="163"/>
    <n v="25.7"/>
    <n v="15"/>
    <s v="CA"/>
    <n v="2"/>
    <n v="69.2"/>
    <s v="Middle"/>
    <n v="0"/>
    <s v="Park Hopper"/>
    <n v="0"/>
    <n v="0"/>
    <s v="Main Entrance"/>
    <s v="None/Dropoff/Transit"/>
    <n v="9.6999999999999993"/>
    <n v="7"/>
    <x v="166"/>
  </r>
  <r>
    <n v="168"/>
    <n v="56"/>
    <d v="2026-05-04T00:00:00"/>
    <s v="Monday"/>
    <n v="5"/>
    <n v="15.68"/>
    <x v="2"/>
    <x v="34"/>
    <s v="Male"/>
    <n v="72.7"/>
    <n v="236.1"/>
    <n v="31.5"/>
    <n v="11"/>
    <s v="CA"/>
    <n v="3"/>
    <n v="64.900000000000006"/>
    <s v="Low"/>
    <n v="0"/>
    <s v="Single-Day"/>
    <n v="0"/>
    <n v="0"/>
    <s v="Downtown Disney Gate"/>
    <s v="Mickey &amp; Friends"/>
    <n v="7"/>
    <n v="4"/>
    <x v="167"/>
  </r>
  <r>
    <n v="169"/>
    <n v="56"/>
    <d v="2026-05-04T00:00:00"/>
    <s v="Monday"/>
    <n v="5"/>
    <n v="15.74"/>
    <x v="2"/>
    <x v="4"/>
    <s v="Male"/>
    <n v="70.599999999999994"/>
    <n v="143.1"/>
    <n v="20"/>
    <n v="13"/>
    <s v="CA"/>
    <n v="3"/>
    <n v="64.900000000000006"/>
    <s v="Low"/>
    <n v="0"/>
    <s v="Single-Day"/>
    <n v="0"/>
    <n v="0"/>
    <s v="Downtown Disney Gate"/>
    <s v="Mickey &amp; Friends"/>
    <n v="7.7"/>
    <n v="9"/>
    <x v="168"/>
  </r>
  <r>
    <n v="170"/>
    <n v="56"/>
    <d v="2026-05-04T00:00:00"/>
    <s v="Monday"/>
    <n v="5"/>
    <n v="15.91"/>
    <x v="2"/>
    <x v="32"/>
    <s v="Female"/>
    <n v="56.5"/>
    <n v="80.3"/>
    <n v="17.7"/>
    <n v="10"/>
    <s v="CA"/>
    <n v="3"/>
    <n v="64.900000000000006"/>
    <s v="Low"/>
    <n v="0"/>
    <s v="Single-Day"/>
    <n v="0"/>
    <n v="0"/>
    <s v="Downtown Disney Gate"/>
    <s v="Mickey &amp; Friends"/>
    <n v="7.3"/>
    <n v="8"/>
    <x v="169"/>
  </r>
  <r>
    <n v="171"/>
    <n v="57"/>
    <d v="2026-02-19T00:00:00"/>
    <s v="Thursday"/>
    <n v="2"/>
    <n v="11.36"/>
    <x v="1"/>
    <x v="19"/>
    <s v="Female"/>
    <n v="66.3"/>
    <n v="128"/>
    <n v="20.399999999999999"/>
    <n v="14"/>
    <s v="CA"/>
    <n v="4"/>
    <n v="17.100000000000001"/>
    <s v="High"/>
    <n v="0"/>
    <s v="Single-Day"/>
    <n v="0"/>
    <n v="1"/>
    <s v="Main Entrance"/>
    <s v="Pixar Pals"/>
    <n v="8.9"/>
    <n v="6"/>
    <x v="170"/>
  </r>
  <r>
    <n v="172"/>
    <n v="57"/>
    <d v="2026-02-19T00:00:00"/>
    <s v="Thursday"/>
    <n v="2"/>
    <n v="11.54"/>
    <x v="1"/>
    <x v="18"/>
    <s v="Male"/>
    <n v="65.7"/>
    <n v="172.3"/>
    <n v="28.1"/>
    <n v="19"/>
    <s v="CA"/>
    <n v="4"/>
    <n v="17.100000000000001"/>
    <s v="High"/>
    <n v="0"/>
    <s v="Single-Day"/>
    <n v="0"/>
    <n v="1"/>
    <s v="Main Entrance"/>
    <s v="Pixar Pals"/>
    <n v="9.3000000000000007"/>
    <n v="7"/>
    <x v="171"/>
  </r>
  <r>
    <n v="173"/>
    <n v="57"/>
    <d v="2026-02-19T00:00:00"/>
    <s v="Thursday"/>
    <n v="2"/>
    <n v="11.62"/>
    <x v="1"/>
    <x v="60"/>
    <s v="Male"/>
    <n v="70"/>
    <n v="126"/>
    <n v="18.2"/>
    <n v="15"/>
    <s v="CA"/>
    <n v="4"/>
    <n v="17.100000000000001"/>
    <s v="High"/>
    <n v="0"/>
    <s v="Single-Day"/>
    <n v="0"/>
    <n v="1"/>
    <s v="Main Entrance"/>
    <s v="Pixar Pals"/>
    <n v="8.8000000000000007"/>
    <n v="9"/>
    <x v="172"/>
  </r>
  <r>
    <n v="174"/>
    <n v="57"/>
    <d v="2026-02-19T00:00:00"/>
    <s v="Thursday"/>
    <n v="2"/>
    <n v="11.7"/>
    <x v="1"/>
    <x v="15"/>
    <s v="Male"/>
    <n v="69"/>
    <n v="155.6"/>
    <n v="22.8"/>
    <n v="19"/>
    <s v="CA"/>
    <n v="4"/>
    <n v="17.100000000000001"/>
    <s v="High"/>
    <n v="0"/>
    <s v="Single-Day"/>
    <n v="0"/>
    <n v="1"/>
    <s v="Main Entrance"/>
    <s v="Pixar Pals"/>
    <n v="7.9"/>
    <n v="7"/>
    <x v="173"/>
  </r>
  <r>
    <n v="175"/>
    <n v="58"/>
    <d v="2026-12-12T00:00:00"/>
    <s v="Saturday"/>
    <n v="12"/>
    <n v="12.45"/>
    <x v="1"/>
    <x v="6"/>
    <s v="Female"/>
    <n v="64.8"/>
    <n v="142.6"/>
    <n v="24.1"/>
    <n v="19"/>
    <s v="Other"/>
    <n v="3"/>
    <n v="1327.4"/>
    <s v="High"/>
    <n v="1"/>
    <s v="Park Hopper"/>
    <n v="1"/>
    <n v="0"/>
    <s v="Main Entrance"/>
    <s v="Pixar Pals"/>
    <n v="8.6"/>
    <n v="13"/>
    <x v="174"/>
  </r>
  <r>
    <n v="176"/>
    <n v="58"/>
    <d v="2026-12-12T00:00:00"/>
    <s v="Saturday"/>
    <n v="12"/>
    <n v="12.32"/>
    <x v="1"/>
    <x v="14"/>
    <s v="Male"/>
    <n v="67.5"/>
    <n v="193"/>
    <n v="29.8"/>
    <n v="16"/>
    <s v="Other"/>
    <n v="3"/>
    <n v="1327.4"/>
    <s v="High"/>
    <n v="1"/>
    <s v="Park Hopper"/>
    <n v="1"/>
    <n v="0"/>
    <s v="Main Entrance"/>
    <s v="Pixar Pals"/>
    <n v="7.4"/>
    <n v="4"/>
    <x v="175"/>
  </r>
  <r>
    <n v="177"/>
    <n v="58"/>
    <d v="2026-12-12T00:00:00"/>
    <s v="Saturday"/>
    <n v="12"/>
    <n v="12.56"/>
    <x v="1"/>
    <x v="37"/>
    <s v="Female"/>
    <n v="67.7"/>
    <n v="163.9"/>
    <n v="25"/>
    <n v="16"/>
    <s v="Other"/>
    <n v="3"/>
    <n v="1327.4"/>
    <s v="High"/>
    <n v="1"/>
    <s v="Park Hopper"/>
    <n v="1"/>
    <n v="0"/>
    <s v="Main Entrance"/>
    <s v="Pixar Pals"/>
    <n v="8.6"/>
    <n v="3"/>
    <x v="176"/>
  </r>
  <r>
    <n v="178"/>
    <n v="59"/>
    <d v="2026-04-14T00:00:00"/>
    <s v="Tuesday"/>
    <n v="4"/>
    <n v="8"/>
    <x v="0"/>
    <x v="41"/>
    <s v="Female"/>
    <n v="65.400000000000006"/>
    <n v="147.80000000000001"/>
    <n v="24.3"/>
    <n v="17"/>
    <s v="Other"/>
    <n v="3"/>
    <n v="1278.4000000000001"/>
    <s v="High"/>
    <n v="1"/>
    <s v="Park Hopper"/>
    <n v="0"/>
    <n v="0"/>
    <s v="Main Entrance"/>
    <s v="Toy Story Lot"/>
    <n v="11"/>
    <n v="8"/>
    <x v="177"/>
  </r>
  <r>
    <n v="179"/>
    <n v="59"/>
    <d v="2026-04-14T00:00:00"/>
    <s v="Tuesday"/>
    <n v="4"/>
    <n v="7.77"/>
    <x v="0"/>
    <x v="43"/>
    <s v="Female"/>
    <n v="64.8"/>
    <n v="176.2"/>
    <n v="29.8"/>
    <n v="18"/>
    <s v="Other"/>
    <n v="3"/>
    <n v="1278.4000000000001"/>
    <s v="High"/>
    <n v="1"/>
    <s v="Park Hopper"/>
    <n v="0"/>
    <n v="0"/>
    <s v="Main Entrance"/>
    <s v="Toy Story Lot"/>
    <n v="8.9"/>
    <n v="12"/>
    <x v="178"/>
  </r>
  <r>
    <n v="180"/>
    <n v="59"/>
    <d v="2026-04-14T00:00:00"/>
    <s v="Tuesday"/>
    <n v="4"/>
    <n v="8.1"/>
    <x v="0"/>
    <x v="18"/>
    <s v="Female"/>
    <n v="65.099999999999994"/>
    <n v="152.5"/>
    <n v="25.3"/>
    <n v="17"/>
    <s v="Other"/>
    <n v="3"/>
    <n v="1278.4000000000001"/>
    <s v="High"/>
    <n v="1"/>
    <s v="Park Hopper"/>
    <n v="0"/>
    <n v="0"/>
    <s v="Main Entrance"/>
    <s v="Toy Story Lot"/>
    <n v="10.6"/>
    <n v="8"/>
    <x v="179"/>
  </r>
  <r>
    <n v="181"/>
    <n v="60"/>
    <d v="2026-01-29T00:00:00"/>
    <s v="Thursday"/>
    <n v="1"/>
    <n v="12.78"/>
    <x v="1"/>
    <x v="13"/>
    <s v="Male"/>
    <n v="71.5"/>
    <n v="199.7"/>
    <n v="27.4"/>
    <n v="16"/>
    <s v="FL"/>
    <n v="5"/>
    <n v="1983.6"/>
    <s v="Middle"/>
    <n v="1"/>
    <s v="Single-Day"/>
    <n v="0"/>
    <n v="0"/>
    <s v="Main Entrance"/>
    <s v="Toy Story Lot"/>
    <n v="8.6"/>
    <n v="7"/>
    <x v="180"/>
  </r>
  <r>
    <n v="182"/>
    <n v="60"/>
    <d v="2026-01-29T00:00:00"/>
    <s v="Thursday"/>
    <n v="1"/>
    <n v="12.74"/>
    <x v="1"/>
    <x v="53"/>
    <s v="Female"/>
    <n v="58.3"/>
    <n v="118.5"/>
    <n v="24.5"/>
    <n v="14"/>
    <s v="FL"/>
    <n v="5"/>
    <n v="1983.6"/>
    <s v="Middle"/>
    <n v="1"/>
    <s v="Single-Day"/>
    <n v="0"/>
    <n v="0"/>
    <s v="Main Entrance"/>
    <s v="Toy Story Lot"/>
    <n v="5.8"/>
    <n v="5"/>
    <x v="181"/>
  </r>
  <r>
    <n v="183"/>
    <n v="60"/>
    <d v="2026-01-29T00:00:00"/>
    <s v="Thursday"/>
    <n v="1"/>
    <n v="12.84"/>
    <x v="1"/>
    <x v="44"/>
    <s v="Female"/>
    <n v="58.3"/>
    <n v="138.5"/>
    <n v="28.7"/>
    <n v="10"/>
    <s v="FL"/>
    <n v="5"/>
    <n v="1983.6"/>
    <s v="Middle"/>
    <n v="1"/>
    <s v="Single-Day"/>
    <n v="0"/>
    <n v="0"/>
    <s v="Main Entrance"/>
    <s v="Toy Story Lot"/>
    <n v="5.0999999999999996"/>
    <n v="11"/>
    <x v="182"/>
  </r>
  <r>
    <n v="184"/>
    <n v="60"/>
    <d v="2026-01-29T00:00:00"/>
    <s v="Thursday"/>
    <n v="1"/>
    <n v="12.82"/>
    <x v="1"/>
    <x v="14"/>
    <s v="Male"/>
    <n v="67.400000000000006"/>
    <n v="183.7"/>
    <n v="28.4"/>
    <n v="16"/>
    <s v="FL"/>
    <n v="5"/>
    <n v="1983.6"/>
    <s v="Middle"/>
    <n v="1"/>
    <s v="Single-Day"/>
    <n v="0"/>
    <n v="0"/>
    <s v="Main Entrance"/>
    <s v="Toy Story Lot"/>
    <n v="9"/>
    <n v="12"/>
    <x v="183"/>
  </r>
  <r>
    <n v="185"/>
    <n v="60"/>
    <d v="2026-01-29T00:00:00"/>
    <s v="Thursday"/>
    <n v="1"/>
    <n v="12.71"/>
    <x v="1"/>
    <x v="62"/>
    <s v="Female"/>
    <n v="67.599999999999994"/>
    <n v="158.30000000000001"/>
    <n v="24.3"/>
    <n v="16"/>
    <s v="FL"/>
    <n v="5"/>
    <n v="1983.6"/>
    <s v="Middle"/>
    <n v="1"/>
    <s v="Single-Day"/>
    <n v="0"/>
    <n v="0"/>
    <s v="Main Entrance"/>
    <s v="Toy Story Lot"/>
    <n v="7.2"/>
    <n v="8"/>
    <x v="184"/>
  </r>
  <r>
    <n v="186"/>
    <n v="61"/>
    <d v="2026-07-27T00:00:00"/>
    <s v="Monday"/>
    <n v="7"/>
    <n v="11.33"/>
    <x v="1"/>
    <x v="38"/>
    <s v="Female"/>
    <n v="63.4"/>
    <n v="135.19999999999999"/>
    <n v="23.6"/>
    <n v="8"/>
    <s v="MN"/>
    <n v="2"/>
    <n v="1654.7"/>
    <s v="Low"/>
    <n v="0"/>
    <s v="Single-Day"/>
    <n v="0"/>
    <n v="0"/>
    <s v="Main Entrance"/>
    <s v="Mickey &amp; Friends"/>
    <n v="8.8000000000000007"/>
    <n v="13"/>
    <x v="185"/>
  </r>
  <r>
    <n v="187"/>
    <n v="61"/>
    <d v="2026-07-27T00:00:00"/>
    <s v="Monday"/>
    <n v="7"/>
    <n v="11.02"/>
    <x v="1"/>
    <x v="33"/>
    <s v="Female"/>
    <n v="67.7"/>
    <n v="196.7"/>
    <n v="30"/>
    <n v="16"/>
    <s v="MN"/>
    <n v="2"/>
    <n v="1654.7"/>
    <s v="Low"/>
    <n v="0"/>
    <s v="Single-Day"/>
    <n v="0"/>
    <n v="0"/>
    <s v="Main Entrance"/>
    <s v="Mickey &amp; Friends"/>
    <n v="8.5"/>
    <n v="6"/>
    <x v="186"/>
  </r>
  <r>
    <n v="188"/>
    <n v="62"/>
    <d v="2026-12-24T00:00:00"/>
    <s v="Thursday"/>
    <n v="12"/>
    <n v="10.18"/>
    <x v="0"/>
    <x v="49"/>
    <s v="Male"/>
    <n v="65.7"/>
    <n v="118.4"/>
    <n v="19.600000000000001"/>
    <n v="15"/>
    <s v="MN"/>
    <n v="2"/>
    <n v="1695.2"/>
    <s v="Middle"/>
    <n v="1"/>
    <s v="Park Hopper"/>
    <n v="0"/>
    <n v="1"/>
    <s v="Main Entrance"/>
    <s v="None/Walked from Resort"/>
    <n v="12.8"/>
    <n v="10"/>
    <x v="187"/>
  </r>
  <r>
    <n v="189"/>
    <n v="62"/>
    <d v="2026-12-24T00:00:00"/>
    <s v="Thursday"/>
    <n v="12"/>
    <n v="10.42"/>
    <x v="0"/>
    <x v="59"/>
    <s v="Female"/>
    <n v="66.8"/>
    <n v="225.2"/>
    <n v="35.5"/>
    <n v="15"/>
    <s v="MN"/>
    <n v="2"/>
    <n v="1695.2"/>
    <s v="Middle"/>
    <n v="1"/>
    <s v="Park Hopper"/>
    <n v="0"/>
    <n v="1"/>
    <s v="Main Entrance"/>
    <s v="None/Walked from Resort"/>
    <n v="9.9"/>
    <n v="13"/>
    <x v="188"/>
  </r>
  <r>
    <n v="190"/>
    <n v="63"/>
    <d v="2026-08-19T00:00:00"/>
    <s v="Wednesday"/>
    <n v="8"/>
    <n v="8.68"/>
    <x v="0"/>
    <x v="23"/>
    <s v="Male"/>
    <n v="72.8"/>
    <n v="193"/>
    <n v="25.6"/>
    <n v="16"/>
    <s v="CA"/>
    <n v="1"/>
    <n v="2"/>
    <s v="High"/>
    <n v="1"/>
    <s v="Single-Day"/>
    <n v="1"/>
    <n v="1"/>
    <s v="Main Entrance"/>
    <s v="Toy Story Lot"/>
    <n v="10.3"/>
    <n v="6"/>
    <x v="189"/>
  </r>
  <r>
    <n v="191"/>
    <n v="64"/>
    <d v="2026-11-24T00:00:00"/>
    <s v="Tuesday"/>
    <n v="11"/>
    <n v="8.6199999999999992"/>
    <x v="0"/>
    <x v="43"/>
    <s v="Female"/>
    <n v="68.7"/>
    <n v="162.69999999999999"/>
    <n v="24.4"/>
    <n v="14"/>
    <s v="AZ"/>
    <n v="3"/>
    <n v="383.9"/>
    <s v="Middle"/>
    <n v="1"/>
    <s v="Multi-Day"/>
    <n v="1"/>
    <n v="0"/>
    <s v="Main Entrance"/>
    <s v="None/Dropoff/Transit"/>
    <n v="10.1"/>
    <n v="10"/>
    <x v="190"/>
  </r>
  <r>
    <n v="192"/>
    <n v="64"/>
    <d v="2026-11-24T00:00:00"/>
    <s v="Tuesday"/>
    <n v="11"/>
    <n v="8.57"/>
    <x v="0"/>
    <x v="36"/>
    <s v="Male"/>
    <n v="71.400000000000006"/>
    <n v="216.7"/>
    <n v="29.9"/>
    <n v="13"/>
    <s v="AZ"/>
    <n v="3"/>
    <n v="383.9"/>
    <s v="Middle"/>
    <n v="1"/>
    <s v="Multi-Day"/>
    <n v="1"/>
    <n v="0"/>
    <s v="Main Entrance"/>
    <s v="None/Dropoff/Transit"/>
    <n v="9.4"/>
    <n v="11"/>
    <x v="191"/>
  </r>
  <r>
    <n v="193"/>
    <n v="64"/>
    <d v="2026-11-24T00:00:00"/>
    <s v="Tuesday"/>
    <n v="11"/>
    <n v="8.5500000000000007"/>
    <x v="0"/>
    <x v="63"/>
    <s v="Male"/>
    <n v="67.3"/>
    <n v="127.8"/>
    <n v="19.8"/>
    <n v="17"/>
    <s v="AZ"/>
    <n v="3"/>
    <n v="383.9"/>
    <s v="Middle"/>
    <n v="1"/>
    <s v="Multi-Day"/>
    <n v="1"/>
    <n v="0"/>
    <s v="Main Entrance"/>
    <s v="None/Dropoff/Transit"/>
    <n v="7.9"/>
    <n v="10"/>
    <x v="192"/>
  </r>
  <r>
    <n v="194"/>
    <n v="65"/>
    <d v="2026-04-30T00:00:00"/>
    <s v="Thursday"/>
    <n v="4"/>
    <n v="9.5500000000000007"/>
    <x v="0"/>
    <x v="64"/>
    <s v="Male"/>
    <n v="59.3"/>
    <n v="127.8"/>
    <n v="25.5"/>
    <n v="13"/>
    <s v="Other"/>
    <n v="4"/>
    <n v="2255.1"/>
    <s v="Middle"/>
    <n v="0"/>
    <s v="Multi-Day"/>
    <n v="1"/>
    <n v="0"/>
    <s v="Main Entrance"/>
    <s v="Toy Story Lot"/>
    <n v="10.1"/>
    <n v="12"/>
    <x v="193"/>
  </r>
  <r>
    <n v="195"/>
    <n v="65"/>
    <d v="2026-04-30T00:00:00"/>
    <s v="Thursday"/>
    <n v="4"/>
    <n v="9.6300000000000008"/>
    <x v="0"/>
    <x v="35"/>
    <s v="Male"/>
    <n v="65.7"/>
    <n v="157"/>
    <n v="25.8"/>
    <n v="16"/>
    <s v="Other"/>
    <n v="4"/>
    <n v="2255.1"/>
    <s v="Middle"/>
    <n v="0"/>
    <s v="Multi-Day"/>
    <n v="1"/>
    <n v="0"/>
    <s v="Main Entrance"/>
    <s v="Toy Story Lot"/>
    <n v="7"/>
    <n v="6"/>
    <x v="194"/>
  </r>
  <r>
    <n v="196"/>
    <n v="65"/>
    <d v="2026-04-30T00:00:00"/>
    <s v="Thursday"/>
    <n v="4"/>
    <n v="9.5500000000000007"/>
    <x v="0"/>
    <x v="41"/>
    <s v="Female"/>
    <n v="61.8"/>
    <n v="168.1"/>
    <n v="31"/>
    <n v="14"/>
    <s v="Other"/>
    <n v="4"/>
    <n v="2255.1"/>
    <s v="Middle"/>
    <n v="0"/>
    <s v="Multi-Day"/>
    <n v="1"/>
    <n v="0"/>
    <s v="Main Entrance"/>
    <s v="Toy Story Lot"/>
    <n v="10.5"/>
    <n v="17"/>
    <x v="195"/>
  </r>
  <r>
    <n v="197"/>
    <n v="65"/>
    <d v="2026-04-30T00:00:00"/>
    <s v="Thursday"/>
    <n v="4"/>
    <n v="9.58"/>
    <x v="0"/>
    <x v="9"/>
    <s v="Male"/>
    <n v="69.900000000000006"/>
    <n v="265.60000000000002"/>
    <n v="38.299999999999997"/>
    <n v="14"/>
    <s v="Other"/>
    <n v="4"/>
    <n v="2255.1"/>
    <s v="Middle"/>
    <n v="0"/>
    <s v="Multi-Day"/>
    <n v="1"/>
    <n v="0"/>
    <s v="Main Entrance"/>
    <s v="Toy Story Lot"/>
    <n v="7.1"/>
    <n v="9"/>
    <x v="196"/>
  </r>
  <r>
    <n v="198"/>
    <n v="66"/>
    <d v="2026-11-22T00:00:00"/>
    <s v="Sunday"/>
    <n v="11"/>
    <n v="8.36"/>
    <x v="0"/>
    <x v="50"/>
    <s v="Male"/>
    <n v="67.099999999999994"/>
    <n v="163.6"/>
    <n v="25.8"/>
    <n v="12"/>
    <s v="TX"/>
    <n v="5"/>
    <n v="1206.5"/>
    <s v="Middle"/>
    <n v="1"/>
    <s v="Single-Day"/>
    <n v="0"/>
    <n v="1"/>
    <s v="Main Entrance"/>
    <s v="Toy Story Lot"/>
    <n v="10.6"/>
    <n v="15"/>
    <x v="197"/>
  </r>
  <r>
    <n v="199"/>
    <n v="66"/>
    <d v="2026-11-22T00:00:00"/>
    <s v="Sunday"/>
    <n v="11"/>
    <n v="8.36"/>
    <x v="0"/>
    <x v="19"/>
    <s v="Male"/>
    <n v="67.2"/>
    <n v="105.1"/>
    <n v="16.5"/>
    <n v="13"/>
    <s v="TX"/>
    <n v="5"/>
    <n v="1206.5"/>
    <s v="Middle"/>
    <n v="1"/>
    <s v="Single-Day"/>
    <n v="0"/>
    <n v="1"/>
    <s v="Main Entrance"/>
    <s v="Toy Story Lot"/>
    <n v="10.3"/>
    <n v="8"/>
    <x v="198"/>
  </r>
  <r>
    <n v="200"/>
    <n v="66"/>
    <d v="2026-11-22T00:00:00"/>
    <s v="Sunday"/>
    <n v="11"/>
    <n v="8.5500000000000007"/>
    <x v="0"/>
    <x v="65"/>
    <s v="Female"/>
    <n v="65.5"/>
    <n v="213.2"/>
    <n v="34.799999999999997"/>
    <n v="19"/>
    <s v="TX"/>
    <n v="5"/>
    <n v="1206.5"/>
    <s v="Middle"/>
    <n v="1"/>
    <s v="Single-Day"/>
    <n v="0"/>
    <n v="1"/>
    <s v="Main Entrance"/>
    <s v="Toy Story Lot"/>
    <n v="8.6999999999999993"/>
    <n v="6"/>
    <x v="199"/>
  </r>
  <r>
    <n v="201"/>
    <n v="66"/>
    <d v="2026-11-22T00:00:00"/>
    <s v="Sunday"/>
    <n v="11"/>
    <n v="8.42"/>
    <x v="0"/>
    <x v="4"/>
    <s v="Male"/>
    <n v="66.599999999999994"/>
    <n v="137"/>
    <n v="21.8"/>
    <n v="15"/>
    <s v="TX"/>
    <n v="5"/>
    <n v="1206.5"/>
    <s v="Middle"/>
    <n v="1"/>
    <s v="Single-Day"/>
    <n v="0"/>
    <n v="1"/>
    <s v="Main Entrance"/>
    <s v="Toy Story Lot"/>
    <n v="11.4"/>
    <n v="6"/>
    <x v="200"/>
  </r>
  <r>
    <n v="202"/>
    <n v="66"/>
    <d v="2026-11-22T00:00:00"/>
    <s v="Sunday"/>
    <n v="11"/>
    <n v="8.48"/>
    <x v="0"/>
    <x v="34"/>
    <s v="Male"/>
    <n v="69.2"/>
    <n v="195.9"/>
    <n v="28.8"/>
    <n v="14"/>
    <s v="TX"/>
    <n v="5"/>
    <n v="1206.5"/>
    <s v="Middle"/>
    <n v="1"/>
    <s v="Single-Day"/>
    <n v="0"/>
    <n v="1"/>
    <s v="Main Entrance"/>
    <s v="Toy Story Lot"/>
    <n v="7.7"/>
    <n v="1"/>
    <x v="201"/>
  </r>
  <r>
    <n v="203"/>
    <n v="67"/>
    <d v="2026-06-24T00:00:00"/>
    <s v="Wednesday"/>
    <n v="6"/>
    <n v="9.2899999999999991"/>
    <x v="0"/>
    <x v="49"/>
    <s v="Female"/>
    <n v="64.2"/>
    <n v="165.5"/>
    <n v="28.2"/>
    <n v="14"/>
    <s v="NY"/>
    <n v="4"/>
    <n v="2613.1"/>
    <s v="High"/>
    <n v="0"/>
    <s v="Single-Day"/>
    <n v="1"/>
    <n v="1"/>
    <s v="Downtown Disney Gate"/>
    <s v="Toy Story Lot"/>
    <n v="11.9"/>
    <n v="13"/>
    <x v="202"/>
  </r>
  <r>
    <n v="204"/>
    <n v="67"/>
    <d v="2026-06-24T00:00:00"/>
    <s v="Wednesday"/>
    <n v="6"/>
    <n v="9.1"/>
    <x v="0"/>
    <x v="52"/>
    <s v="Male"/>
    <n v="70.900000000000006"/>
    <n v="190.4"/>
    <n v="26.7"/>
    <n v="18"/>
    <s v="NY"/>
    <n v="4"/>
    <n v="2613.1"/>
    <s v="High"/>
    <n v="0"/>
    <s v="Single-Day"/>
    <n v="1"/>
    <n v="1"/>
    <s v="Downtown Disney Gate"/>
    <s v="Toy Story Lot"/>
    <n v="7.6"/>
    <n v="11"/>
    <x v="203"/>
  </r>
  <r>
    <n v="205"/>
    <n v="67"/>
    <d v="2026-06-24T00:00:00"/>
    <s v="Wednesday"/>
    <n v="6"/>
    <n v="9.1"/>
    <x v="0"/>
    <x v="26"/>
    <s v="Female"/>
    <n v="62.4"/>
    <n v="154"/>
    <n v="27.7"/>
    <n v="19"/>
    <s v="NY"/>
    <n v="4"/>
    <n v="2613.1"/>
    <s v="High"/>
    <n v="0"/>
    <s v="Single-Day"/>
    <n v="1"/>
    <n v="1"/>
    <s v="Downtown Disney Gate"/>
    <s v="Toy Story Lot"/>
    <n v="10"/>
    <n v="7"/>
    <x v="204"/>
  </r>
  <r>
    <n v="206"/>
    <n v="67"/>
    <d v="2026-06-24T00:00:00"/>
    <s v="Wednesday"/>
    <n v="6"/>
    <n v="9.09"/>
    <x v="0"/>
    <x v="0"/>
    <s v="Male"/>
    <n v="68"/>
    <n v="139.69999999999999"/>
    <n v="21.2"/>
    <n v="16"/>
    <s v="NY"/>
    <n v="4"/>
    <n v="2613.1"/>
    <s v="High"/>
    <n v="0"/>
    <s v="Single-Day"/>
    <n v="1"/>
    <n v="1"/>
    <s v="Downtown Disney Gate"/>
    <s v="Toy Story Lot"/>
    <n v="10.3"/>
    <n v="12"/>
    <x v="205"/>
  </r>
  <r>
    <n v="207"/>
    <n v="68"/>
    <d v="2026-01-09T00:00:00"/>
    <s v="Friday"/>
    <n v="1"/>
    <n v="7.68"/>
    <x v="0"/>
    <x v="40"/>
    <s v="Female"/>
    <n v="58.7"/>
    <n v="96.3"/>
    <n v="19.5"/>
    <n v="10"/>
    <s v="AZ"/>
    <n v="2"/>
    <n v="322.10000000000002"/>
    <s v="Middle"/>
    <n v="1"/>
    <s v="Single-Day"/>
    <n v="1"/>
    <n v="0"/>
    <s v="Main Entrance"/>
    <s v="Mickey &amp; Friends"/>
    <n v="9.4"/>
    <n v="10"/>
    <x v="206"/>
  </r>
  <r>
    <n v="208"/>
    <n v="68"/>
    <d v="2026-01-09T00:00:00"/>
    <s v="Friday"/>
    <n v="1"/>
    <n v="7.89"/>
    <x v="0"/>
    <x v="22"/>
    <s v="Female"/>
    <n v="60.1"/>
    <n v="106.4"/>
    <n v="20.6"/>
    <n v="11"/>
    <s v="AZ"/>
    <n v="2"/>
    <n v="322.10000000000002"/>
    <s v="Middle"/>
    <n v="1"/>
    <s v="Single-Day"/>
    <n v="1"/>
    <n v="0"/>
    <s v="Main Entrance"/>
    <s v="Mickey &amp; Friends"/>
    <n v="6.5"/>
    <n v="7"/>
    <x v="207"/>
  </r>
  <r>
    <n v="209"/>
    <n v="69"/>
    <d v="2026-08-11T00:00:00"/>
    <s v="Tuesday"/>
    <n v="8"/>
    <n v="7.24"/>
    <x v="0"/>
    <x v="25"/>
    <s v="Male"/>
    <n v="63.5"/>
    <n v="173.2"/>
    <n v="30.1"/>
    <n v="14"/>
    <s v="CA"/>
    <n v="4"/>
    <n v="160"/>
    <s v="High"/>
    <n v="0"/>
    <s v="Single-Day"/>
    <n v="0"/>
    <n v="0"/>
    <s v="Main Entrance"/>
    <s v="Pixar Pals"/>
    <n v="8.4"/>
    <n v="11"/>
    <x v="208"/>
  </r>
  <r>
    <n v="210"/>
    <n v="69"/>
    <d v="2026-08-11T00:00:00"/>
    <s v="Tuesday"/>
    <n v="8"/>
    <n v="7.25"/>
    <x v="0"/>
    <x v="27"/>
    <s v="Male"/>
    <n v="70.7"/>
    <n v="159.6"/>
    <n v="22.5"/>
    <n v="18"/>
    <s v="CA"/>
    <n v="4"/>
    <n v="160"/>
    <s v="High"/>
    <n v="0"/>
    <s v="Single-Day"/>
    <n v="0"/>
    <n v="0"/>
    <s v="Main Entrance"/>
    <s v="Pixar Pals"/>
    <n v="9"/>
    <n v="12"/>
    <x v="209"/>
  </r>
  <r>
    <n v="211"/>
    <n v="69"/>
    <d v="2026-08-11T00:00:00"/>
    <s v="Tuesday"/>
    <n v="8"/>
    <n v="7.26"/>
    <x v="0"/>
    <x v="59"/>
    <s v="Male"/>
    <n v="68.5"/>
    <n v="123.8"/>
    <n v="18.399999999999999"/>
    <n v="14"/>
    <s v="CA"/>
    <n v="4"/>
    <n v="160"/>
    <s v="High"/>
    <n v="0"/>
    <s v="Single-Day"/>
    <n v="0"/>
    <n v="0"/>
    <s v="Main Entrance"/>
    <s v="Pixar Pals"/>
    <n v="9.6999999999999993"/>
    <n v="8"/>
    <x v="210"/>
  </r>
  <r>
    <n v="212"/>
    <n v="69"/>
    <d v="2026-08-11T00:00:00"/>
    <s v="Tuesday"/>
    <n v="8"/>
    <n v="7.05"/>
    <x v="0"/>
    <x v="31"/>
    <s v="Female"/>
    <n v="71"/>
    <n v="203"/>
    <n v="28.2"/>
    <n v="17"/>
    <s v="CA"/>
    <n v="4"/>
    <n v="160"/>
    <s v="High"/>
    <n v="0"/>
    <s v="Single-Day"/>
    <n v="0"/>
    <n v="0"/>
    <s v="Main Entrance"/>
    <s v="Pixar Pals"/>
    <n v="6.4"/>
    <n v="5"/>
    <x v="211"/>
  </r>
  <r>
    <n v="213"/>
    <n v="70"/>
    <d v="2026-06-07T00:00:00"/>
    <s v="Sunday"/>
    <n v="6"/>
    <n v="9.6"/>
    <x v="0"/>
    <x v="23"/>
    <s v="Male"/>
    <n v="72.099999999999994"/>
    <n v="181.2"/>
    <n v="24.6"/>
    <n v="17"/>
    <s v="OR"/>
    <n v="3"/>
    <n v="741.3"/>
    <s v="High"/>
    <n v="1"/>
    <s v="Single-Day"/>
    <n v="1"/>
    <n v="1"/>
    <s v="Downtown Disney Gate"/>
    <s v="Mickey &amp; Friends"/>
    <n v="7"/>
    <n v="5"/>
    <x v="212"/>
  </r>
  <r>
    <n v="214"/>
    <n v="70"/>
    <d v="2026-06-07T00:00:00"/>
    <s v="Sunday"/>
    <n v="6"/>
    <n v="9.8000000000000007"/>
    <x v="0"/>
    <x v="36"/>
    <s v="Female"/>
    <n v="63.2"/>
    <n v="171.6"/>
    <n v="30.2"/>
    <n v="15"/>
    <s v="OR"/>
    <n v="3"/>
    <n v="741.3"/>
    <s v="High"/>
    <n v="1"/>
    <s v="Single-Day"/>
    <n v="1"/>
    <n v="1"/>
    <s v="Downtown Disney Gate"/>
    <s v="Mickey &amp; Friends"/>
    <n v="9.1999999999999993"/>
    <n v="11"/>
    <x v="213"/>
  </r>
  <r>
    <n v="215"/>
    <n v="70"/>
    <d v="2026-06-07T00:00:00"/>
    <s v="Sunday"/>
    <n v="6"/>
    <n v="9.6"/>
    <x v="0"/>
    <x v="8"/>
    <s v="Female"/>
    <n v="66"/>
    <n v="170.4"/>
    <n v="27.3"/>
    <n v="17"/>
    <s v="OR"/>
    <n v="3"/>
    <n v="741.3"/>
    <s v="High"/>
    <n v="1"/>
    <s v="Single-Day"/>
    <n v="1"/>
    <n v="1"/>
    <s v="Downtown Disney Gate"/>
    <s v="Mickey &amp; Friends"/>
    <n v="10.6"/>
    <n v="9"/>
    <x v="214"/>
  </r>
  <r>
    <n v="216"/>
    <n v="71"/>
    <d v="2026-04-22T00:00:00"/>
    <s v="Wednesday"/>
    <n v="4"/>
    <n v="13.18"/>
    <x v="1"/>
    <x v="30"/>
    <s v="Female"/>
    <n v="64.8"/>
    <n v="148.30000000000001"/>
    <n v="25"/>
    <n v="11"/>
    <s v="OR"/>
    <n v="4"/>
    <n v="1175.3"/>
    <s v="Middle"/>
    <n v="1"/>
    <s v="Single-Day"/>
    <n v="1"/>
    <n v="0"/>
    <s v="Main Entrance"/>
    <s v="Mickey &amp; Friends"/>
    <n v="5.9"/>
    <n v="2"/>
    <x v="215"/>
  </r>
  <r>
    <n v="217"/>
    <n v="71"/>
    <d v="2026-04-22T00:00:00"/>
    <s v="Wednesday"/>
    <n v="4"/>
    <n v="13.2"/>
    <x v="1"/>
    <x v="45"/>
    <s v="Male"/>
    <n v="72.400000000000006"/>
    <n v="212.6"/>
    <n v="28.5"/>
    <n v="11"/>
    <s v="OR"/>
    <n v="4"/>
    <n v="1175.3"/>
    <s v="Middle"/>
    <n v="1"/>
    <s v="Single-Day"/>
    <n v="1"/>
    <n v="0"/>
    <s v="Main Entrance"/>
    <s v="Mickey &amp; Friends"/>
    <n v="9.8000000000000007"/>
    <n v="12"/>
    <x v="216"/>
  </r>
  <r>
    <n v="218"/>
    <n v="71"/>
    <d v="2026-04-22T00:00:00"/>
    <s v="Wednesday"/>
    <n v="4"/>
    <n v="13.32"/>
    <x v="1"/>
    <x v="38"/>
    <s v="Female"/>
    <n v="64.5"/>
    <n v="128.80000000000001"/>
    <n v="21.6"/>
    <n v="10"/>
    <s v="OR"/>
    <n v="4"/>
    <n v="1175.3"/>
    <s v="Middle"/>
    <n v="1"/>
    <s v="Single-Day"/>
    <n v="1"/>
    <n v="0"/>
    <s v="Main Entrance"/>
    <s v="Mickey &amp; Friends"/>
    <n v="8.1999999999999993"/>
    <n v="8"/>
    <x v="217"/>
  </r>
  <r>
    <n v="219"/>
    <n v="71"/>
    <d v="2026-04-22T00:00:00"/>
    <s v="Wednesday"/>
    <n v="4"/>
    <n v="13.41"/>
    <x v="1"/>
    <x v="0"/>
    <s v="Male"/>
    <n v="71.099999999999994"/>
    <n v="217.2"/>
    <n v="30.5"/>
    <n v="15"/>
    <s v="OR"/>
    <n v="4"/>
    <n v="1175.3"/>
    <s v="Middle"/>
    <n v="1"/>
    <s v="Single-Day"/>
    <n v="1"/>
    <n v="0"/>
    <s v="Main Entrance"/>
    <s v="Mickey &amp; Friends"/>
    <n v="6.3"/>
    <n v="6"/>
    <x v="218"/>
  </r>
  <r>
    <n v="220"/>
    <n v="72"/>
    <d v="2026-09-22T00:00:00"/>
    <s v="Tuesday"/>
    <n v="9"/>
    <n v="7.66"/>
    <x v="0"/>
    <x v="58"/>
    <s v="Male"/>
    <n v="64.099999999999994"/>
    <n v="159"/>
    <n v="27.4"/>
    <n v="8"/>
    <s v="CA"/>
    <n v="2"/>
    <n v="102.7"/>
    <s v="Middle"/>
    <n v="0"/>
    <s v="Single-Day"/>
    <n v="0"/>
    <n v="1"/>
    <s v="Main Entrance"/>
    <s v="Mickey &amp; Friends"/>
    <n v="10"/>
    <n v="10"/>
    <x v="219"/>
  </r>
  <r>
    <n v="221"/>
    <n v="72"/>
    <d v="2026-09-22T00:00:00"/>
    <s v="Tuesday"/>
    <n v="9"/>
    <n v="7.54"/>
    <x v="0"/>
    <x v="13"/>
    <s v="Male"/>
    <n v="71.900000000000006"/>
    <n v="245"/>
    <n v="33.4"/>
    <n v="11"/>
    <s v="CA"/>
    <n v="2"/>
    <n v="102.7"/>
    <s v="Middle"/>
    <n v="0"/>
    <s v="Single-Day"/>
    <n v="0"/>
    <n v="1"/>
    <s v="Main Entrance"/>
    <s v="Mickey &amp; Friends"/>
    <n v="11.5"/>
    <n v="6"/>
    <x v="220"/>
  </r>
  <r>
    <n v="222"/>
    <n v="73"/>
    <d v="2026-08-27T00:00:00"/>
    <s v="Thursday"/>
    <n v="8"/>
    <n v="9.66"/>
    <x v="0"/>
    <x v="9"/>
    <s v="Male"/>
    <n v="67.8"/>
    <n v="205"/>
    <n v="31.4"/>
    <n v="13"/>
    <s v="WI"/>
    <n v="3"/>
    <n v="2364.1"/>
    <s v="Low"/>
    <n v="1"/>
    <s v="Multi-Day"/>
    <n v="1"/>
    <n v="1"/>
    <s v="Main Entrance"/>
    <s v="Pixar Pals"/>
    <n v="7.8"/>
    <n v="9"/>
    <x v="221"/>
  </r>
  <r>
    <n v="223"/>
    <n v="73"/>
    <d v="2026-08-27T00:00:00"/>
    <s v="Thursday"/>
    <n v="8"/>
    <n v="9.73"/>
    <x v="0"/>
    <x v="64"/>
    <s v="Male"/>
    <n v="50.3"/>
    <n v="50"/>
    <n v="14.2"/>
    <n v="11"/>
    <s v="WI"/>
    <n v="3"/>
    <n v="2364.1"/>
    <s v="Low"/>
    <n v="1"/>
    <s v="Multi-Day"/>
    <n v="1"/>
    <n v="1"/>
    <s v="Main Entrance"/>
    <s v="Pixar Pals"/>
    <n v="11.6"/>
    <n v="9"/>
    <x v="222"/>
  </r>
  <r>
    <n v="224"/>
    <n v="73"/>
    <d v="2026-08-27T00:00:00"/>
    <s v="Thursday"/>
    <n v="8"/>
    <n v="9.7200000000000006"/>
    <x v="0"/>
    <x v="25"/>
    <s v="Female"/>
    <n v="65.3"/>
    <n v="159"/>
    <n v="26.4"/>
    <n v="12"/>
    <s v="WI"/>
    <n v="3"/>
    <n v="2364.1"/>
    <s v="Low"/>
    <n v="1"/>
    <s v="Multi-Day"/>
    <n v="1"/>
    <n v="1"/>
    <s v="Main Entrance"/>
    <s v="Pixar Pals"/>
    <n v="10.4"/>
    <n v="13"/>
    <x v="223"/>
  </r>
  <r>
    <n v="225"/>
    <n v="74"/>
    <d v="2026-04-06T00:00:00"/>
    <s v="Monday"/>
    <n v="4"/>
    <n v="9.9600000000000009"/>
    <x v="0"/>
    <x v="66"/>
    <s v="Male"/>
    <n v="64.099999999999994"/>
    <n v="178.6"/>
    <n v="30.7"/>
    <n v="18"/>
    <s v="CA"/>
    <n v="2"/>
    <n v="137.4"/>
    <s v="Middle"/>
    <n v="0"/>
    <s v="Single-Day"/>
    <n v="0"/>
    <n v="0"/>
    <s v="Main Entrance"/>
    <s v="Mickey &amp; Friends"/>
    <n v="4.4000000000000004"/>
    <n v="4"/>
    <x v="224"/>
  </r>
  <r>
    <n v="226"/>
    <n v="74"/>
    <d v="2026-04-06T00:00:00"/>
    <s v="Monday"/>
    <n v="4"/>
    <n v="10.06"/>
    <x v="0"/>
    <x v="7"/>
    <s v="Male"/>
    <n v="57.3"/>
    <n v="94.1"/>
    <n v="20.100000000000001"/>
    <n v="12"/>
    <s v="CA"/>
    <n v="2"/>
    <n v="137.4"/>
    <s v="Middle"/>
    <n v="0"/>
    <s v="Single-Day"/>
    <n v="0"/>
    <n v="0"/>
    <s v="Main Entrance"/>
    <s v="Mickey &amp; Friends"/>
    <n v="7.6"/>
    <n v="4"/>
    <x v="225"/>
  </r>
  <r>
    <n v="227"/>
    <n v="75"/>
    <d v="2026-08-31T00:00:00"/>
    <s v="Monday"/>
    <n v="8"/>
    <n v="10.37"/>
    <x v="0"/>
    <x v="32"/>
    <s v="Male"/>
    <n v="56.6"/>
    <n v="93.4"/>
    <n v="20.3"/>
    <n v="13"/>
    <s v="CA"/>
    <n v="3"/>
    <n v="6.4"/>
    <s v="Middle"/>
    <n v="0"/>
    <s v="Single-Day"/>
    <n v="0"/>
    <n v="0"/>
    <s v="Main Entrance"/>
    <s v="Pixar Pals"/>
    <n v="7.6"/>
    <n v="7"/>
    <x v="226"/>
  </r>
  <r>
    <n v="228"/>
    <n v="75"/>
    <d v="2026-08-31T00:00:00"/>
    <s v="Monday"/>
    <n v="8"/>
    <n v="10.68"/>
    <x v="0"/>
    <x v="17"/>
    <s v="Female"/>
    <n v="65.599999999999994"/>
    <n v="136.80000000000001"/>
    <n v="22.2"/>
    <n v="14"/>
    <s v="CA"/>
    <n v="3"/>
    <n v="6.4"/>
    <s v="Middle"/>
    <n v="0"/>
    <s v="Single-Day"/>
    <n v="0"/>
    <n v="0"/>
    <s v="Main Entrance"/>
    <s v="Pixar Pals"/>
    <n v="6.9"/>
    <n v="7"/>
    <x v="227"/>
  </r>
  <r>
    <n v="229"/>
    <n v="75"/>
    <d v="2026-08-31T00:00:00"/>
    <s v="Monday"/>
    <n v="8"/>
    <n v="10.33"/>
    <x v="0"/>
    <x v="37"/>
    <s v="Female"/>
    <n v="64.3"/>
    <n v="143.80000000000001"/>
    <n v="24.5"/>
    <n v="13"/>
    <s v="CA"/>
    <n v="3"/>
    <n v="6.4"/>
    <s v="Middle"/>
    <n v="0"/>
    <s v="Single-Day"/>
    <n v="0"/>
    <n v="0"/>
    <s v="Main Entrance"/>
    <s v="Pixar Pals"/>
    <n v="9.5"/>
    <n v="8"/>
    <x v="228"/>
  </r>
  <r>
    <n v="230"/>
    <n v="76"/>
    <d v="2026-06-26T00:00:00"/>
    <s v="Friday"/>
    <n v="6"/>
    <n v="8.91"/>
    <x v="0"/>
    <x v="29"/>
    <s v="Female"/>
    <n v="64.7"/>
    <n v="155.80000000000001"/>
    <n v="26.1"/>
    <n v="11"/>
    <s v="CA"/>
    <n v="1"/>
    <n v="27.9"/>
    <s v="Middle"/>
    <n v="0"/>
    <s v="Multi-Day"/>
    <n v="0"/>
    <n v="1"/>
    <s v="Main Entrance"/>
    <s v="Mickey &amp; Friends"/>
    <n v="6.4"/>
    <n v="6"/>
    <x v="229"/>
  </r>
  <r>
    <n v="231"/>
    <n v="77"/>
    <d v="2026-01-10T00:00:00"/>
    <s v="Saturday"/>
    <n v="1"/>
    <n v="10.61"/>
    <x v="0"/>
    <x v="38"/>
    <s v="Female"/>
    <n v="66.3"/>
    <n v="163.69999999999999"/>
    <n v="26.1"/>
    <n v="13"/>
    <s v="CO"/>
    <n v="2"/>
    <n v="740.1"/>
    <s v="Middle"/>
    <n v="0"/>
    <s v="Single-Day"/>
    <n v="0"/>
    <n v="0"/>
    <s v="Main Entrance"/>
    <s v="Pixar Pals"/>
    <n v="10"/>
    <n v="10"/>
    <x v="230"/>
  </r>
  <r>
    <n v="232"/>
    <n v="77"/>
    <d v="2026-01-10T00:00:00"/>
    <s v="Saturday"/>
    <n v="1"/>
    <n v="10.27"/>
    <x v="0"/>
    <x v="18"/>
    <s v="Male"/>
    <n v="73.599999999999994"/>
    <n v="154.19999999999999"/>
    <n v="20"/>
    <n v="17"/>
    <s v="CO"/>
    <n v="2"/>
    <n v="740.1"/>
    <s v="Middle"/>
    <n v="0"/>
    <s v="Single-Day"/>
    <n v="0"/>
    <n v="0"/>
    <s v="Main Entrance"/>
    <s v="Pixar Pals"/>
    <n v="7.8"/>
    <n v="8"/>
    <x v="231"/>
  </r>
  <r>
    <n v="233"/>
    <n v="78"/>
    <d v="2026-09-17T00:00:00"/>
    <s v="Thursday"/>
    <n v="9"/>
    <n v="9.66"/>
    <x v="0"/>
    <x v="25"/>
    <s v="Female"/>
    <n v="65.599999999999994"/>
    <n v="107.3"/>
    <n v="17.5"/>
    <n v="14"/>
    <s v="Other"/>
    <n v="3"/>
    <n v="1226.4000000000001"/>
    <s v="Low"/>
    <n v="0"/>
    <s v="Multi-Day"/>
    <n v="0"/>
    <n v="0"/>
    <s v="Main Entrance"/>
    <s v="Pixar Pals"/>
    <n v="5.4"/>
    <n v="3"/>
    <x v="232"/>
  </r>
  <r>
    <n v="234"/>
    <n v="78"/>
    <d v="2026-09-17T00:00:00"/>
    <s v="Thursday"/>
    <n v="9"/>
    <n v="9.8699999999999992"/>
    <x v="0"/>
    <x v="0"/>
    <s v="Female"/>
    <n v="60"/>
    <n v="149.4"/>
    <n v="29.1"/>
    <n v="13"/>
    <s v="Other"/>
    <n v="3"/>
    <n v="1226.4000000000001"/>
    <s v="Low"/>
    <n v="0"/>
    <s v="Multi-Day"/>
    <n v="0"/>
    <n v="0"/>
    <s v="Main Entrance"/>
    <s v="Pixar Pals"/>
    <n v="8.9"/>
    <n v="8"/>
    <x v="233"/>
  </r>
  <r>
    <n v="235"/>
    <n v="78"/>
    <d v="2026-09-17T00:00:00"/>
    <s v="Thursday"/>
    <n v="9"/>
    <n v="9.93"/>
    <x v="0"/>
    <x v="15"/>
    <s v="Female"/>
    <n v="64.599999999999994"/>
    <n v="138.6"/>
    <n v="23.6"/>
    <n v="14"/>
    <s v="Other"/>
    <n v="3"/>
    <n v="1226.4000000000001"/>
    <s v="Low"/>
    <n v="0"/>
    <s v="Multi-Day"/>
    <n v="0"/>
    <n v="0"/>
    <s v="Main Entrance"/>
    <s v="Pixar Pals"/>
    <n v="6.7"/>
    <n v="9"/>
    <x v="234"/>
  </r>
  <r>
    <n v="236"/>
    <n v="79"/>
    <d v="2026-02-06T00:00:00"/>
    <s v="Friday"/>
    <n v="2"/>
    <n v="9.3000000000000007"/>
    <x v="0"/>
    <x v="38"/>
    <s v="Male"/>
    <n v="67.8"/>
    <n v="196.1"/>
    <n v="30.1"/>
    <n v="7"/>
    <s v="Other"/>
    <n v="6"/>
    <n v="1714.7"/>
    <s v="Low"/>
    <n v="1"/>
    <s v="Multi-Day"/>
    <n v="0"/>
    <n v="1"/>
    <s v="Main Entrance"/>
    <s v="Mickey &amp; Friends"/>
    <n v="9.3000000000000007"/>
    <n v="11"/>
    <x v="235"/>
  </r>
  <r>
    <n v="237"/>
    <n v="79"/>
    <d v="2026-02-06T00:00:00"/>
    <s v="Friday"/>
    <n v="2"/>
    <n v="8.9499999999999993"/>
    <x v="0"/>
    <x v="66"/>
    <s v="Male"/>
    <n v="69.8"/>
    <n v="147"/>
    <n v="21.2"/>
    <n v="12"/>
    <s v="Other"/>
    <n v="6"/>
    <n v="1714.7"/>
    <s v="Low"/>
    <n v="1"/>
    <s v="Multi-Day"/>
    <n v="0"/>
    <n v="1"/>
    <s v="Main Entrance"/>
    <s v="Mickey &amp; Friends"/>
    <n v="11.3"/>
    <n v="15"/>
    <x v="236"/>
  </r>
  <r>
    <n v="238"/>
    <n v="79"/>
    <d v="2026-02-06T00:00:00"/>
    <s v="Friday"/>
    <n v="2"/>
    <n v="9.2200000000000006"/>
    <x v="0"/>
    <x v="67"/>
    <s v="Male"/>
    <n v="71.599999999999994"/>
    <n v="144.5"/>
    <n v="19.899999999999999"/>
    <n v="7"/>
    <s v="Other"/>
    <n v="6"/>
    <n v="1714.7"/>
    <s v="Low"/>
    <n v="1"/>
    <s v="Multi-Day"/>
    <n v="0"/>
    <n v="1"/>
    <s v="Main Entrance"/>
    <s v="Mickey &amp; Friends"/>
    <n v="12.4"/>
    <n v="10"/>
    <x v="237"/>
  </r>
  <r>
    <n v="239"/>
    <n v="79"/>
    <d v="2026-02-06T00:00:00"/>
    <s v="Friday"/>
    <n v="2"/>
    <n v="9.09"/>
    <x v="0"/>
    <x v="64"/>
    <s v="Male"/>
    <n v="48"/>
    <n v="53.9"/>
    <n v="16.399999999999999"/>
    <n v="11"/>
    <s v="Other"/>
    <n v="6"/>
    <n v="1714.7"/>
    <s v="Low"/>
    <n v="1"/>
    <s v="Multi-Day"/>
    <n v="0"/>
    <n v="1"/>
    <s v="Main Entrance"/>
    <s v="Mickey &amp; Friends"/>
    <n v="8.8000000000000007"/>
    <n v="12"/>
    <x v="238"/>
  </r>
  <r>
    <n v="240"/>
    <n v="79"/>
    <d v="2026-02-06T00:00:00"/>
    <s v="Friday"/>
    <n v="2"/>
    <n v="9.1300000000000008"/>
    <x v="0"/>
    <x v="43"/>
    <s v="Female"/>
    <n v="66.900000000000006"/>
    <n v="132.19999999999999"/>
    <n v="21"/>
    <n v="15"/>
    <s v="Other"/>
    <n v="6"/>
    <n v="1714.7"/>
    <s v="Low"/>
    <n v="1"/>
    <s v="Multi-Day"/>
    <n v="0"/>
    <n v="1"/>
    <s v="Main Entrance"/>
    <s v="Mickey &amp; Friends"/>
    <n v="8.9"/>
    <n v="7"/>
    <x v="239"/>
  </r>
  <r>
    <n v="241"/>
    <n v="79"/>
    <d v="2026-02-06T00:00:00"/>
    <s v="Friday"/>
    <n v="2"/>
    <n v="9.14"/>
    <x v="0"/>
    <x v="52"/>
    <s v="Male"/>
    <n v="63.5"/>
    <n v="148.1"/>
    <n v="25.9"/>
    <n v="14"/>
    <s v="Other"/>
    <n v="6"/>
    <n v="1714.7"/>
    <s v="Low"/>
    <n v="1"/>
    <s v="Multi-Day"/>
    <n v="0"/>
    <n v="1"/>
    <s v="Main Entrance"/>
    <s v="Mickey &amp; Friends"/>
    <n v="8.4"/>
    <n v="6"/>
    <x v="240"/>
  </r>
  <r>
    <n v="242"/>
    <n v="80"/>
    <d v="2026-12-21T00:00:00"/>
    <s v="Monday"/>
    <n v="12"/>
    <n v="8.7799999999999994"/>
    <x v="0"/>
    <x v="68"/>
    <s v="Male"/>
    <n v="74.099999999999994"/>
    <n v="235"/>
    <n v="30.2"/>
    <n v="16"/>
    <s v="Other"/>
    <n v="4"/>
    <n v="1939.9"/>
    <s v="High"/>
    <n v="1"/>
    <s v="Park Hopper"/>
    <n v="0"/>
    <n v="0"/>
    <s v="Main Entrance"/>
    <s v="Mickey &amp; Friends"/>
    <n v="10.8"/>
    <n v="10"/>
    <x v="241"/>
  </r>
  <r>
    <n v="243"/>
    <n v="80"/>
    <d v="2026-12-21T00:00:00"/>
    <s v="Monday"/>
    <n v="12"/>
    <n v="8.5500000000000007"/>
    <x v="0"/>
    <x v="0"/>
    <s v="Male"/>
    <n v="69"/>
    <n v="211.2"/>
    <n v="31.1"/>
    <n v="18"/>
    <s v="Other"/>
    <n v="4"/>
    <n v="1939.9"/>
    <s v="High"/>
    <n v="1"/>
    <s v="Park Hopper"/>
    <n v="0"/>
    <n v="0"/>
    <s v="Main Entrance"/>
    <s v="Mickey &amp; Friends"/>
    <n v="8.3000000000000007"/>
    <n v="4"/>
    <x v="242"/>
  </r>
  <r>
    <n v="244"/>
    <n v="80"/>
    <d v="2026-12-21T00:00:00"/>
    <s v="Monday"/>
    <n v="12"/>
    <n v="8.73"/>
    <x v="0"/>
    <x v="64"/>
    <s v="Female"/>
    <n v="56.1"/>
    <n v="84.8"/>
    <n v="19.100000000000001"/>
    <n v="13"/>
    <s v="Other"/>
    <n v="4"/>
    <n v="1939.9"/>
    <s v="High"/>
    <n v="1"/>
    <s v="Park Hopper"/>
    <n v="0"/>
    <n v="0"/>
    <s v="Main Entrance"/>
    <s v="Mickey &amp; Friends"/>
    <n v="10.1"/>
    <n v="15"/>
    <x v="243"/>
  </r>
  <r>
    <n v="245"/>
    <n v="80"/>
    <d v="2026-12-21T00:00:00"/>
    <s v="Monday"/>
    <n v="12"/>
    <n v="8.74"/>
    <x v="0"/>
    <x v="57"/>
    <s v="Female"/>
    <n v="66.8"/>
    <n v="187.3"/>
    <n v="29.5"/>
    <n v="18"/>
    <s v="Other"/>
    <n v="4"/>
    <n v="1939.9"/>
    <s v="High"/>
    <n v="1"/>
    <s v="Park Hopper"/>
    <n v="0"/>
    <n v="0"/>
    <s v="Main Entrance"/>
    <s v="Mickey &amp; Friends"/>
    <n v="9.8000000000000007"/>
    <n v="12"/>
    <x v="244"/>
  </r>
  <r>
    <n v="246"/>
    <n v="81"/>
    <d v="2026-01-25T00:00:00"/>
    <s v="Sunday"/>
    <n v="1"/>
    <n v="12.63"/>
    <x v="1"/>
    <x v="66"/>
    <s v="Female"/>
    <n v="64.7"/>
    <n v="153.30000000000001"/>
    <n v="25.7"/>
    <n v="11"/>
    <s v="TX"/>
    <n v="1"/>
    <n v="1630.4"/>
    <s v="Low"/>
    <n v="1"/>
    <s v="Park Hopper"/>
    <n v="1"/>
    <n v="1"/>
    <s v="Main Entrance"/>
    <s v="Toy Story Lot"/>
    <n v="11.1"/>
    <n v="11"/>
    <x v="245"/>
  </r>
  <r>
    <n v="247"/>
    <n v="82"/>
    <d v="2026-07-08T00:00:00"/>
    <s v="Wednesday"/>
    <n v="7"/>
    <n v="10.36"/>
    <x v="0"/>
    <x v="22"/>
    <s v="Female"/>
    <n v="59.2"/>
    <n v="77.2"/>
    <n v="15.7"/>
    <n v="12"/>
    <s v="CA"/>
    <n v="4"/>
    <n v="31"/>
    <s v="Middle"/>
    <n v="0"/>
    <s v="Single-Day"/>
    <n v="0"/>
    <n v="1"/>
    <s v="Main Entrance"/>
    <s v="None/Walked from Resort"/>
    <n v="6.5"/>
    <n v="9"/>
    <x v="246"/>
  </r>
  <r>
    <n v="248"/>
    <n v="82"/>
    <d v="2026-07-08T00:00:00"/>
    <s v="Wednesday"/>
    <n v="7"/>
    <n v="10.4"/>
    <x v="0"/>
    <x v="6"/>
    <s v="Female"/>
    <n v="63.9"/>
    <n v="141.80000000000001"/>
    <n v="24"/>
    <n v="16"/>
    <s v="CA"/>
    <n v="4"/>
    <n v="31"/>
    <s v="Middle"/>
    <n v="0"/>
    <s v="Single-Day"/>
    <n v="0"/>
    <n v="1"/>
    <s v="Main Entrance"/>
    <s v="None/Walked from Resort"/>
    <n v="7.5"/>
    <n v="5"/>
    <x v="247"/>
  </r>
  <r>
    <n v="249"/>
    <n v="82"/>
    <d v="2026-07-08T00:00:00"/>
    <s v="Wednesday"/>
    <n v="7"/>
    <n v="10.26"/>
    <x v="0"/>
    <x v="61"/>
    <s v="Male"/>
    <n v="70"/>
    <n v="134.5"/>
    <n v="19.399999999999999"/>
    <n v="12"/>
    <s v="CA"/>
    <n v="4"/>
    <n v="31"/>
    <s v="Middle"/>
    <n v="0"/>
    <s v="Single-Day"/>
    <n v="0"/>
    <n v="1"/>
    <s v="Main Entrance"/>
    <s v="None/Walked from Resort"/>
    <n v="8.4"/>
    <n v="11"/>
    <x v="248"/>
  </r>
  <r>
    <n v="250"/>
    <n v="82"/>
    <d v="2026-07-08T00:00:00"/>
    <s v="Wednesday"/>
    <n v="7"/>
    <n v="10.43"/>
    <x v="0"/>
    <x v="51"/>
    <s v="Female"/>
    <n v="64"/>
    <n v="174.9"/>
    <n v="30"/>
    <n v="15"/>
    <s v="CA"/>
    <n v="4"/>
    <n v="31"/>
    <s v="Middle"/>
    <n v="0"/>
    <s v="Single-Day"/>
    <n v="0"/>
    <n v="1"/>
    <s v="Main Entrance"/>
    <s v="None/Walked from Resort"/>
    <n v="9.1999999999999993"/>
    <n v="3"/>
    <x v="249"/>
  </r>
  <r>
    <n v="251"/>
    <n v="83"/>
    <d v="2026-07-01T00:00:00"/>
    <s v="Wednesday"/>
    <n v="7"/>
    <n v="10.96"/>
    <x v="0"/>
    <x v="13"/>
    <s v="Female"/>
    <n v="61.7"/>
    <n v="80.400000000000006"/>
    <n v="14.8"/>
    <n v="11"/>
    <s v="TX"/>
    <n v="2"/>
    <n v="1441.3"/>
    <s v="Middle"/>
    <n v="1"/>
    <s v="Park Hopper"/>
    <n v="0"/>
    <n v="0"/>
    <s v="Main Entrance"/>
    <s v="Toy Story Lot"/>
    <n v="9.4"/>
    <n v="3"/>
    <x v="250"/>
  </r>
  <r>
    <n v="252"/>
    <n v="83"/>
    <d v="2026-07-01T00:00:00"/>
    <s v="Wednesday"/>
    <n v="7"/>
    <n v="11.07"/>
    <x v="1"/>
    <x v="9"/>
    <s v="Female"/>
    <n v="63.2"/>
    <n v="121.7"/>
    <n v="21.5"/>
    <n v="15"/>
    <s v="TX"/>
    <n v="2"/>
    <n v="1441.3"/>
    <s v="Middle"/>
    <n v="1"/>
    <s v="Park Hopper"/>
    <n v="0"/>
    <n v="0"/>
    <s v="Main Entrance"/>
    <s v="Toy Story Lot"/>
    <n v="7.4"/>
    <n v="6"/>
    <x v="251"/>
  </r>
  <r>
    <n v="253"/>
    <n v="84"/>
    <d v="2026-07-03T00:00:00"/>
    <s v="Friday"/>
    <n v="7"/>
    <n v="11.72"/>
    <x v="1"/>
    <x v="16"/>
    <s v="Male"/>
    <n v="56.5"/>
    <n v="87.8"/>
    <n v="19.5"/>
    <n v="10"/>
    <s v="CA"/>
    <n v="4"/>
    <n v="111.9"/>
    <s v="Middle"/>
    <n v="0"/>
    <s v="Single-Day"/>
    <n v="0"/>
    <n v="0"/>
    <s v="Main Entrance"/>
    <s v="Pixar Pals"/>
    <n v="8.6999999999999993"/>
    <n v="7"/>
    <x v="252"/>
  </r>
  <r>
    <n v="254"/>
    <n v="84"/>
    <d v="2026-07-03T00:00:00"/>
    <s v="Friday"/>
    <n v="7"/>
    <n v="11.62"/>
    <x v="1"/>
    <x v="17"/>
    <s v="Male"/>
    <n v="65.8"/>
    <n v="155.80000000000001"/>
    <n v="25"/>
    <n v="13"/>
    <s v="CA"/>
    <n v="4"/>
    <n v="111.9"/>
    <s v="Middle"/>
    <n v="0"/>
    <s v="Single-Day"/>
    <n v="0"/>
    <n v="0"/>
    <s v="Main Entrance"/>
    <s v="Pixar Pals"/>
    <n v="7.2"/>
    <n v="13"/>
    <x v="253"/>
  </r>
  <r>
    <n v="255"/>
    <n v="84"/>
    <d v="2026-07-03T00:00:00"/>
    <s v="Friday"/>
    <n v="7"/>
    <n v="11.57"/>
    <x v="1"/>
    <x v="62"/>
    <s v="Female"/>
    <n v="62.7"/>
    <n v="119.8"/>
    <n v="21.4"/>
    <n v="13"/>
    <s v="CA"/>
    <n v="4"/>
    <n v="111.9"/>
    <s v="Middle"/>
    <n v="0"/>
    <s v="Single-Day"/>
    <n v="0"/>
    <n v="0"/>
    <s v="Main Entrance"/>
    <s v="Pixar Pals"/>
    <n v="5.3"/>
    <n v="0"/>
    <x v="254"/>
  </r>
  <r>
    <n v="256"/>
    <n v="84"/>
    <d v="2026-07-03T00:00:00"/>
    <s v="Friday"/>
    <n v="7"/>
    <n v="11.54"/>
    <x v="1"/>
    <x v="12"/>
    <s v="Male"/>
    <n v="66.900000000000006"/>
    <n v="134.6"/>
    <n v="21.5"/>
    <n v="11"/>
    <s v="CA"/>
    <n v="4"/>
    <n v="111.9"/>
    <s v="Middle"/>
    <n v="0"/>
    <s v="Single-Day"/>
    <n v="0"/>
    <n v="0"/>
    <s v="Main Entrance"/>
    <s v="Pixar Pals"/>
    <n v="11.5"/>
    <n v="7"/>
    <x v="255"/>
  </r>
  <r>
    <n v="257"/>
    <n v="85"/>
    <d v="2026-01-30T00:00:00"/>
    <s v="Friday"/>
    <n v="1"/>
    <n v="10.31"/>
    <x v="0"/>
    <x v="33"/>
    <s v="Male"/>
    <n v="65.3"/>
    <n v="165.9"/>
    <n v="27.5"/>
    <n v="12"/>
    <s v="CA"/>
    <n v="3"/>
    <n v="27.4"/>
    <s v="Middle"/>
    <n v="0"/>
    <s v="Multi-Day"/>
    <n v="0"/>
    <n v="1"/>
    <s v="Main Entrance"/>
    <s v="None/Walked from Resort"/>
    <n v="11.1"/>
    <n v="12"/>
    <x v="256"/>
  </r>
  <r>
    <n v="258"/>
    <n v="85"/>
    <d v="2026-01-30T00:00:00"/>
    <s v="Friday"/>
    <n v="1"/>
    <n v="10.35"/>
    <x v="0"/>
    <x v="38"/>
    <s v="Female"/>
    <n v="62.7"/>
    <n v="181.5"/>
    <n v="32.6"/>
    <n v="15"/>
    <s v="CA"/>
    <n v="3"/>
    <n v="27.4"/>
    <s v="Middle"/>
    <n v="0"/>
    <s v="Multi-Day"/>
    <n v="0"/>
    <n v="1"/>
    <s v="Main Entrance"/>
    <s v="None/Walked from Resort"/>
    <n v="8.3000000000000007"/>
    <n v="12"/>
    <x v="257"/>
  </r>
  <r>
    <n v="259"/>
    <n v="85"/>
    <d v="2026-01-30T00:00:00"/>
    <s v="Friday"/>
    <n v="1"/>
    <n v="10.55"/>
    <x v="0"/>
    <x v="25"/>
    <s v="Male"/>
    <n v="71.900000000000006"/>
    <n v="176.7"/>
    <n v="24.1"/>
    <n v="14"/>
    <s v="CA"/>
    <n v="3"/>
    <n v="27.4"/>
    <s v="Middle"/>
    <n v="0"/>
    <s v="Multi-Day"/>
    <n v="0"/>
    <n v="1"/>
    <s v="Main Entrance"/>
    <s v="None/Walked from Resort"/>
    <n v="9.1"/>
    <n v="8"/>
    <x v="258"/>
  </r>
  <r>
    <n v="260"/>
    <n v="86"/>
    <d v="2026-02-10T00:00:00"/>
    <s v="Tuesday"/>
    <n v="2"/>
    <n v="7.65"/>
    <x v="0"/>
    <x v="22"/>
    <s v="Female"/>
    <n v="59.5"/>
    <n v="93.2"/>
    <n v="18.5"/>
    <n v="14"/>
    <s v="AZ"/>
    <n v="2"/>
    <n v="410"/>
    <s v="Middle"/>
    <n v="0"/>
    <s v="Single-Day"/>
    <n v="0"/>
    <n v="0"/>
    <s v="Main Entrance"/>
    <s v="None/Dropoff/Transit"/>
    <n v="8.6999999999999993"/>
    <n v="12"/>
    <x v="259"/>
  </r>
  <r>
    <n v="261"/>
    <n v="86"/>
    <d v="2026-02-10T00:00:00"/>
    <s v="Tuesday"/>
    <n v="2"/>
    <n v="7.81"/>
    <x v="0"/>
    <x v="41"/>
    <s v="Male"/>
    <n v="64.8"/>
    <n v="149.9"/>
    <n v="24.8"/>
    <n v="16"/>
    <s v="AZ"/>
    <n v="2"/>
    <n v="410"/>
    <s v="Middle"/>
    <n v="0"/>
    <s v="Single-Day"/>
    <n v="0"/>
    <n v="0"/>
    <s v="Main Entrance"/>
    <s v="None/Dropoff/Transit"/>
    <n v="9.1"/>
    <n v="11"/>
    <x v="260"/>
  </r>
  <r>
    <n v="262"/>
    <n v="87"/>
    <d v="2026-08-09T00:00:00"/>
    <s v="Sunday"/>
    <n v="8"/>
    <n v="11.07"/>
    <x v="1"/>
    <x v="51"/>
    <s v="Female"/>
    <n v="63.5"/>
    <n v="170.1"/>
    <n v="29.8"/>
    <n v="15"/>
    <s v="TX"/>
    <n v="4"/>
    <n v="1541.9"/>
    <s v="Middle"/>
    <n v="0"/>
    <s v="Park Hopper"/>
    <n v="0"/>
    <n v="0"/>
    <s v="Main Entrance"/>
    <s v="Mickey &amp; Friends"/>
    <n v="6.6"/>
    <n v="6"/>
    <x v="261"/>
  </r>
  <r>
    <n v="263"/>
    <n v="87"/>
    <d v="2026-08-09T00:00:00"/>
    <s v="Sunday"/>
    <n v="8"/>
    <n v="11.2"/>
    <x v="1"/>
    <x v="8"/>
    <s v="Male"/>
    <n v="67.8"/>
    <n v="125.4"/>
    <n v="19.100000000000001"/>
    <n v="17"/>
    <s v="TX"/>
    <n v="4"/>
    <n v="1541.9"/>
    <s v="Middle"/>
    <n v="0"/>
    <s v="Park Hopper"/>
    <n v="0"/>
    <n v="0"/>
    <s v="Main Entrance"/>
    <s v="Mickey &amp; Friends"/>
    <n v="8.8000000000000007"/>
    <n v="12"/>
    <x v="262"/>
  </r>
  <r>
    <n v="264"/>
    <n v="87"/>
    <d v="2026-08-09T00:00:00"/>
    <s v="Sunday"/>
    <n v="8"/>
    <n v="11.01"/>
    <x v="1"/>
    <x v="69"/>
    <s v="Male"/>
    <n v="71.5"/>
    <n v="136.1"/>
    <n v="18.8"/>
    <n v="16"/>
    <s v="TX"/>
    <n v="4"/>
    <n v="1541.9"/>
    <s v="Middle"/>
    <n v="0"/>
    <s v="Park Hopper"/>
    <n v="0"/>
    <n v="0"/>
    <s v="Main Entrance"/>
    <s v="Mickey &amp; Friends"/>
    <n v="9.5"/>
    <n v="10"/>
    <x v="263"/>
  </r>
  <r>
    <n v="265"/>
    <n v="87"/>
    <d v="2026-08-09T00:00:00"/>
    <s v="Sunday"/>
    <n v="8"/>
    <n v="11.13"/>
    <x v="1"/>
    <x v="38"/>
    <s v="Female"/>
    <n v="65.099999999999994"/>
    <n v="140.69999999999999"/>
    <n v="23.3"/>
    <n v="13"/>
    <s v="TX"/>
    <n v="4"/>
    <n v="1541.9"/>
    <s v="Middle"/>
    <n v="0"/>
    <s v="Park Hopper"/>
    <n v="0"/>
    <n v="0"/>
    <s v="Main Entrance"/>
    <s v="Mickey &amp; Friends"/>
    <n v="7.8"/>
    <n v="9"/>
    <x v="264"/>
  </r>
  <r>
    <n v="266"/>
    <n v="88"/>
    <d v="2026-05-17T00:00:00"/>
    <s v="Sunday"/>
    <n v="5"/>
    <n v="10.61"/>
    <x v="0"/>
    <x v="56"/>
    <s v="Female"/>
    <n v="65.8"/>
    <n v="152.6"/>
    <n v="24.6"/>
    <n v="15"/>
    <s v="OR"/>
    <n v="5"/>
    <n v="840.6"/>
    <s v="Middle"/>
    <n v="1"/>
    <s v="Multi-Day"/>
    <n v="0"/>
    <n v="0"/>
    <s v="Main Entrance"/>
    <s v="Mickey &amp; Friends"/>
    <n v="8.4"/>
    <n v="9"/>
    <x v="265"/>
  </r>
  <r>
    <n v="267"/>
    <n v="88"/>
    <d v="2026-05-17T00:00:00"/>
    <s v="Sunday"/>
    <n v="5"/>
    <n v="10.88"/>
    <x v="0"/>
    <x v="62"/>
    <s v="Female"/>
    <n v="64.3"/>
    <n v="171.9"/>
    <n v="29.1"/>
    <n v="17"/>
    <s v="OR"/>
    <n v="5"/>
    <n v="840.6"/>
    <s v="Middle"/>
    <n v="1"/>
    <s v="Multi-Day"/>
    <n v="0"/>
    <n v="0"/>
    <s v="Main Entrance"/>
    <s v="Mickey &amp; Friends"/>
    <n v="7.7"/>
    <n v="7"/>
    <x v="266"/>
  </r>
  <r>
    <n v="268"/>
    <n v="88"/>
    <d v="2026-05-17T00:00:00"/>
    <s v="Sunday"/>
    <n v="5"/>
    <n v="10.84"/>
    <x v="0"/>
    <x v="53"/>
    <s v="Female"/>
    <n v="54.2"/>
    <n v="97"/>
    <n v="22.8"/>
    <n v="15"/>
    <s v="OR"/>
    <n v="5"/>
    <n v="840.6"/>
    <s v="Middle"/>
    <n v="1"/>
    <s v="Multi-Day"/>
    <n v="0"/>
    <n v="0"/>
    <s v="Main Entrance"/>
    <s v="Mickey &amp; Friends"/>
    <n v="8.3000000000000007"/>
    <n v="4"/>
    <x v="267"/>
  </r>
  <r>
    <n v="269"/>
    <n v="88"/>
    <d v="2026-05-17T00:00:00"/>
    <s v="Sunday"/>
    <n v="5"/>
    <n v="10.72"/>
    <x v="0"/>
    <x v="18"/>
    <s v="Male"/>
    <n v="69.3"/>
    <n v="191"/>
    <n v="27.9"/>
    <n v="19"/>
    <s v="OR"/>
    <n v="5"/>
    <n v="840.6"/>
    <s v="Middle"/>
    <n v="1"/>
    <s v="Multi-Day"/>
    <n v="0"/>
    <n v="0"/>
    <s v="Main Entrance"/>
    <s v="Mickey &amp; Friends"/>
    <n v="8.9"/>
    <n v="6"/>
    <x v="268"/>
  </r>
  <r>
    <n v="270"/>
    <n v="88"/>
    <d v="2026-05-17T00:00:00"/>
    <s v="Sunday"/>
    <n v="5"/>
    <n v="10.81"/>
    <x v="0"/>
    <x v="32"/>
    <s v="Nonbinary/Other"/>
    <n v="60.7"/>
    <n v="111.5"/>
    <n v="21.2"/>
    <n v="12"/>
    <s v="OR"/>
    <n v="5"/>
    <n v="840.6"/>
    <s v="Middle"/>
    <n v="1"/>
    <s v="Multi-Day"/>
    <n v="0"/>
    <n v="0"/>
    <s v="Main Entrance"/>
    <s v="Mickey &amp; Friends"/>
    <n v="6.8"/>
    <n v="6"/>
    <x v="269"/>
  </r>
  <r>
    <n v="271"/>
    <n v="89"/>
    <d v="2026-08-30T00:00:00"/>
    <s v="Sunday"/>
    <n v="8"/>
    <n v="10.34"/>
    <x v="0"/>
    <x v="38"/>
    <s v="Male"/>
    <n v="70.400000000000006"/>
    <n v="174.8"/>
    <n v="24.9"/>
    <n v="13"/>
    <s v="FL"/>
    <n v="1"/>
    <n v="2368.1999999999998"/>
    <s v="Middle"/>
    <n v="1"/>
    <s v="Single-Day"/>
    <n v="1"/>
    <n v="1"/>
    <s v="Main Entrance"/>
    <s v="Pixar Pals"/>
    <n v="7.7"/>
    <n v="7"/>
    <x v="270"/>
  </r>
  <r>
    <n v="272"/>
    <n v="90"/>
    <d v="2026-10-14T00:00:00"/>
    <s v="Wednesday"/>
    <n v="10"/>
    <n v="10.97"/>
    <x v="0"/>
    <x v="52"/>
    <s v="Male"/>
    <n v="66.8"/>
    <n v="170.1"/>
    <n v="26.7"/>
    <n v="18"/>
    <s v="FL"/>
    <n v="4"/>
    <n v="2212"/>
    <s v="High"/>
    <n v="1"/>
    <s v="Single-Day"/>
    <n v="1"/>
    <n v="0"/>
    <s v="Main Entrance"/>
    <s v="Mickey &amp; Friends"/>
    <n v="7"/>
    <n v="4"/>
    <x v="271"/>
  </r>
  <r>
    <n v="273"/>
    <n v="90"/>
    <d v="2026-10-14T00:00:00"/>
    <s v="Wednesday"/>
    <n v="10"/>
    <n v="10.86"/>
    <x v="0"/>
    <x v="70"/>
    <s v="Female"/>
    <n v="70"/>
    <n v="139.19999999999999"/>
    <n v="19.899999999999999"/>
    <n v="18"/>
    <s v="FL"/>
    <n v="4"/>
    <n v="2212"/>
    <s v="High"/>
    <n v="1"/>
    <s v="Single-Day"/>
    <n v="1"/>
    <n v="0"/>
    <s v="Main Entrance"/>
    <s v="Mickey &amp; Friends"/>
    <n v="8"/>
    <n v="6"/>
    <x v="272"/>
  </r>
  <r>
    <n v="274"/>
    <n v="90"/>
    <d v="2026-10-14T00:00:00"/>
    <s v="Wednesday"/>
    <n v="10"/>
    <n v="10.73"/>
    <x v="0"/>
    <x v="18"/>
    <s v="Female"/>
    <n v="65"/>
    <n v="128.4"/>
    <n v="21.3"/>
    <n v="17"/>
    <s v="FL"/>
    <n v="4"/>
    <n v="2212"/>
    <s v="High"/>
    <n v="1"/>
    <s v="Single-Day"/>
    <n v="1"/>
    <n v="0"/>
    <s v="Main Entrance"/>
    <s v="Mickey &amp; Friends"/>
    <n v="7.8"/>
    <n v="8"/>
    <x v="273"/>
  </r>
  <r>
    <n v="275"/>
    <n v="90"/>
    <d v="2026-10-14T00:00:00"/>
    <s v="Wednesday"/>
    <n v="10"/>
    <n v="10.89"/>
    <x v="0"/>
    <x v="59"/>
    <s v="Male"/>
    <n v="70.5"/>
    <n v="168.8"/>
    <n v="23.8"/>
    <n v="20"/>
    <s v="FL"/>
    <n v="4"/>
    <n v="2212"/>
    <s v="High"/>
    <n v="1"/>
    <s v="Single-Day"/>
    <n v="1"/>
    <n v="0"/>
    <s v="Main Entrance"/>
    <s v="Mickey &amp; Friends"/>
    <n v="7.1"/>
    <n v="11"/>
    <x v="274"/>
  </r>
  <r>
    <n v="276"/>
    <n v="91"/>
    <d v="2026-07-13T00:00:00"/>
    <s v="Monday"/>
    <n v="7"/>
    <n v="10.3"/>
    <x v="0"/>
    <x v="40"/>
    <s v="Female"/>
    <n v="70"/>
    <n v="184.2"/>
    <n v="26.4"/>
    <n v="14"/>
    <s v="CA"/>
    <n v="5"/>
    <n v="55"/>
    <s v="High"/>
    <n v="1"/>
    <s v="Single-Day"/>
    <n v="1"/>
    <n v="1"/>
    <s v="Main Entrance"/>
    <s v="Mickey &amp; Friends"/>
    <n v="11"/>
    <n v="11"/>
    <x v="275"/>
  </r>
  <r>
    <n v="277"/>
    <n v="91"/>
    <d v="2026-07-13T00:00:00"/>
    <s v="Monday"/>
    <n v="7"/>
    <n v="10.119999999999999"/>
    <x v="0"/>
    <x v="43"/>
    <s v="Male"/>
    <n v="69.400000000000006"/>
    <n v="157.6"/>
    <n v="23"/>
    <n v="16"/>
    <s v="CA"/>
    <n v="5"/>
    <n v="55"/>
    <s v="High"/>
    <n v="1"/>
    <s v="Single-Day"/>
    <n v="1"/>
    <n v="1"/>
    <s v="Main Entrance"/>
    <s v="Mickey &amp; Friends"/>
    <n v="10.5"/>
    <n v="8"/>
    <x v="276"/>
  </r>
  <r>
    <n v="278"/>
    <n v="91"/>
    <d v="2026-07-13T00:00:00"/>
    <s v="Monday"/>
    <n v="7"/>
    <n v="10.26"/>
    <x v="0"/>
    <x v="22"/>
    <s v="Male"/>
    <n v="53.1"/>
    <n v="74.099999999999994"/>
    <n v="18.3"/>
    <n v="18"/>
    <s v="CA"/>
    <n v="5"/>
    <n v="55"/>
    <s v="High"/>
    <n v="1"/>
    <s v="Single-Day"/>
    <n v="1"/>
    <n v="1"/>
    <s v="Main Entrance"/>
    <s v="Mickey &amp; Friends"/>
    <n v="8.6999999999999993"/>
    <n v="9"/>
    <x v="277"/>
  </r>
  <r>
    <n v="279"/>
    <n v="91"/>
    <d v="2026-07-13T00:00:00"/>
    <s v="Monday"/>
    <n v="7"/>
    <n v="10.029999999999999"/>
    <x v="0"/>
    <x v="59"/>
    <s v="Female"/>
    <n v="65.599999999999994"/>
    <n v="158.19999999999999"/>
    <n v="25.9"/>
    <n v="13"/>
    <s v="CA"/>
    <n v="5"/>
    <n v="55"/>
    <s v="High"/>
    <n v="1"/>
    <s v="Single-Day"/>
    <n v="1"/>
    <n v="1"/>
    <s v="Main Entrance"/>
    <s v="Mickey &amp; Friends"/>
    <n v="9.3000000000000007"/>
    <n v="13"/>
    <x v="278"/>
  </r>
  <r>
    <n v="280"/>
    <n v="91"/>
    <d v="2026-07-13T00:00:00"/>
    <s v="Monday"/>
    <n v="7"/>
    <n v="10.18"/>
    <x v="0"/>
    <x v="17"/>
    <s v="Male"/>
    <n v="67.400000000000006"/>
    <n v="155.1"/>
    <n v="23.9"/>
    <n v="19"/>
    <s v="CA"/>
    <n v="5"/>
    <n v="55"/>
    <s v="High"/>
    <n v="1"/>
    <s v="Single-Day"/>
    <n v="1"/>
    <n v="1"/>
    <s v="Main Entrance"/>
    <s v="Mickey &amp; Friends"/>
    <n v="8.3000000000000007"/>
    <n v="2"/>
    <x v="279"/>
  </r>
  <r>
    <n v="281"/>
    <n v="92"/>
    <d v="2026-08-09T00:00:00"/>
    <s v="Sunday"/>
    <n v="8"/>
    <n v="12.61"/>
    <x v="1"/>
    <x v="32"/>
    <s v="Female"/>
    <n v="64.2"/>
    <n v="158.30000000000001"/>
    <n v="27"/>
    <n v="11"/>
    <s v="NV"/>
    <n v="5"/>
    <n v="347.3"/>
    <s v="High"/>
    <n v="1"/>
    <s v="Multi-Day"/>
    <n v="1"/>
    <n v="0"/>
    <s v="Downtown Disney Gate"/>
    <s v="Mickey &amp; Friends"/>
    <n v="9.1999999999999993"/>
    <n v="8"/>
    <x v="280"/>
  </r>
  <r>
    <n v="282"/>
    <n v="92"/>
    <d v="2026-08-09T00:00:00"/>
    <s v="Sunday"/>
    <n v="8"/>
    <n v="12.76"/>
    <x v="1"/>
    <x v="15"/>
    <s v="Female"/>
    <n v="66.599999999999994"/>
    <n v="179.4"/>
    <n v="28.3"/>
    <n v="17"/>
    <s v="NV"/>
    <n v="5"/>
    <n v="347.3"/>
    <s v="High"/>
    <n v="1"/>
    <s v="Multi-Day"/>
    <n v="1"/>
    <n v="0"/>
    <s v="Downtown Disney Gate"/>
    <s v="Mickey &amp; Friends"/>
    <n v="7.8"/>
    <n v="6"/>
    <x v="281"/>
  </r>
  <r>
    <n v="283"/>
    <n v="92"/>
    <d v="2026-08-09T00:00:00"/>
    <s v="Sunday"/>
    <n v="8"/>
    <n v="12.52"/>
    <x v="1"/>
    <x v="2"/>
    <s v="Female"/>
    <n v="62.8"/>
    <n v="179.6"/>
    <n v="32.200000000000003"/>
    <n v="17"/>
    <s v="NV"/>
    <n v="5"/>
    <n v="347.3"/>
    <s v="High"/>
    <n v="1"/>
    <s v="Multi-Day"/>
    <n v="1"/>
    <n v="0"/>
    <s v="Downtown Disney Gate"/>
    <s v="Mickey &amp; Friends"/>
    <n v="9"/>
    <n v="12"/>
    <x v="275"/>
  </r>
  <r>
    <n v="284"/>
    <n v="92"/>
    <d v="2026-08-09T00:00:00"/>
    <s v="Sunday"/>
    <n v="8"/>
    <n v="12.5"/>
    <x v="1"/>
    <x v="52"/>
    <s v="Female"/>
    <n v="63.4"/>
    <n v="129.5"/>
    <n v="22.6"/>
    <n v="17"/>
    <s v="NV"/>
    <n v="5"/>
    <n v="347.3"/>
    <s v="High"/>
    <n v="1"/>
    <s v="Multi-Day"/>
    <n v="1"/>
    <n v="0"/>
    <s v="Downtown Disney Gate"/>
    <s v="Mickey &amp; Friends"/>
    <n v="9.4"/>
    <n v="10"/>
    <x v="282"/>
  </r>
  <r>
    <n v="285"/>
    <n v="92"/>
    <d v="2026-08-09T00:00:00"/>
    <s v="Sunday"/>
    <n v="8"/>
    <n v="12.93"/>
    <x v="1"/>
    <x v="53"/>
    <s v="Male"/>
    <n v="49.2"/>
    <n v="45.2"/>
    <n v="12.9"/>
    <n v="14"/>
    <s v="NV"/>
    <n v="5"/>
    <n v="347.3"/>
    <s v="High"/>
    <n v="1"/>
    <s v="Multi-Day"/>
    <n v="1"/>
    <n v="0"/>
    <s v="Downtown Disney Gate"/>
    <s v="Mickey &amp; Friends"/>
    <n v="7.7"/>
    <n v="8"/>
    <x v="283"/>
  </r>
  <r>
    <n v="286"/>
    <n v="93"/>
    <d v="2026-10-21T00:00:00"/>
    <s v="Wednesday"/>
    <n v="10"/>
    <n v="14"/>
    <x v="1"/>
    <x v="41"/>
    <s v="Female"/>
    <n v="61.9"/>
    <n v="146"/>
    <n v="26.8"/>
    <n v="14"/>
    <s v="AZ"/>
    <n v="2"/>
    <n v="436.3"/>
    <s v="Middle"/>
    <n v="1"/>
    <s v="Single-Day"/>
    <n v="0"/>
    <n v="0"/>
    <s v="Downtown Disney Gate"/>
    <s v="Toy Story Lot"/>
    <n v="5.8"/>
    <n v="8"/>
    <x v="284"/>
  </r>
  <r>
    <n v="287"/>
    <n v="93"/>
    <d v="2026-10-21T00:00:00"/>
    <s v="Wednesday"/>
    <n v="10"/>
    <n v="14.06"/>
    <x v="1"/>
    <x v="33"/>
    <s v="Female"/>
    <n v="58.8"/>
    <n v="132.4"/>
    <n v="26.9"/>
    <n v="14"/>
    <s v="AZ"/>
    <n v="2"/>
    <n v="436.3"/>
    <s v="Middle"/>
    <n v="1"/>
    <s v="Single-Day"/>
    <n v="0"/>
    <n v="0"/>
    <s v="Downtown Disney Gate"/>
    <s v="Toy Story Lot"/>
    <n v="7.7"/>
    <n v="9"/>
    <x v="285"/>
  </r>
  <r>
    <n v="288"/>
    <n v="94"/>
    <d v="2026-11-12T00:00:00"/>
    <s v="Thursday"/>
    <n v="11"/>
    <n v="8.42"/>
    <x v="0"/>
    <x v="28"/>
    <s v="Male"/>
    <n v="61.6"/>
    <n v="121.2"/>
    <n v="22.3"/>
    <n v="15"/>
    <s v="WA"/>
    <n v="3"/>
    <n v="950.7"/>
    <s v="Middle"/>
    <n v="1"/>
    <s v="Single-Day"/>
    <n v="0"/>
    <n v="0"/>
    <s v="Downtown Disney Gate"/>
    <s v="Toy Story Lot"/>
    <n v="7.8"/>
    <n v="5"/>
    <x v="194"/>
  </r>
  <r>
    <n v="289"/>
    <n v="94"/>
    <d v="2026-11-12T00:00:00"/>
    <s v="Thursday"/>
    <n v="11"/>
    <n v="8.32"/>
    <x v="0"/>
    <x v="28"/>
    <s v="Female"/>
    <n v="68.5"/>
    <n v="124.8"/>
    <n v="18.7"/>
    <n v="17"/>
    <s v="WA"/>
    <n v="3"/>
    <n v="950.7"/>
    <s v="Middle"/>
    <n v="1"/>
    <s v="Single-Day"/>
    <n v="0"/>
    <n v="0"/>
    <s v="Downtown Disney Gate"/>
    <s v="Toy Story Lot"/>
    <n v="9.4"/>
    <n v="13"/>
    <x v="286"/>
  </r>
  <r>
    <n v="290"/>
    <n v="94"/>
    <d v="2026-11-12T00:00:00"/>
    <s v="Thursday"/>
    <n v="11"/>
    <n v="8.44"/>
    <x v="0"/>
    <x v="69"/>
    <s v="Female"/>
    <n v="62.5"/>
    <n v="157.1"/>
    <n v="28.1"/>
    <n v="12"/>
    <s v="WA"/>
    <n v="3"/>
    <n v="950.7"/>
    <s v="Middle"/>
    <n v="1"/>
    <s v="Single-Day"/>
    <n v="0"/>
    <n v="0"/>
    <s v="Downtown Disney Gate"/>
    <s v="Toy Story Lot"/>
    <n v="8.5"/>
    <n v="5"/>
    <x v="287"/>
  </r>
  <r>
    <n v="291"/>
    <n v="95"/>
    <d v="2026-01-12T00:00:00"/>
    <s v="Monday"/>
    <n v="1"/>
    <n v="9.32"/>
    <x v="0"/>
    <x v="11"/>
    <s v="Male"/>
    <n v="66.599999999999994"/>
    <n v="156.19999999999999"/>
    <n v="24.9"/>
    <n v="14"/>
    <s v="AZ"/>
    <n v="2"/>
    <n v="394.2"/>
    <s v="Low"/>
    <n v="1"/>
    <s v="Multi-Day"/>
    <n v="1"/>
    <n v="0"/>
    <s v="Main Entrance"/>
    <s v="Mickey &amp; Friends"/>
    <n v="7.8"/>
    <n v="12"/>
    <x v="288"/>
  </r>
  <r>
    <n v="292"/>
    <n v="95"/>
    <d v="2026-01-12T00:00:00"/>
    <s v="Monday"/>
    <n v="1"/>
    <n v="9.1"/>
    <x v="0"/>
    <x v="49"/>
    <s v="Female"/>
    <n v="69.099999999999994"/>
    <n v="187.6"/>
    <n v="27.6"/>
    <n v="13"/>
    <s v="AZ"/>
    <n v="2"/>
    <n v="394.2"/>
    <s v="Low"/>
    <n v="1"/>
    <s v="Multi-Day"/>
    <n v="1"/>
    <n v="0"/>
    <s v="Main Entrance"/>
    <s v="Mickey &amp; Friends"/>
    <n v="9"/>
    <n v="12"/>
    <x v="289"/>
  </r>
  <r>
    <n v="293"/>
    <n v="96"/>
    <d v="2026-12-27T00:00:00"/>
    <s v="Sunday"/>
    <n v="12"/>
    <n v="11.13"/>
    <x v="1"/>
    <x v="42"/>
    <s v="Female"/>
    <n v="64.3"/>
    <n v="164"/>
    <n v="27.8"/>
    <n v="12"/>
    <s v="AZ"/>
    <n v="6"/>
    <n v="589.5"/>
    <s v="Low"/>
    <n v="0"/>
    <s v="Single-Day"/>
    <n v="0"/>
    <n v="0"/>
    <s v="Main Entrance"/>
    <s v="Mickey &amp; Friends"/>
    <n v="5.5"/>
    <n v="6"/>
    <x v="290"/>
  </r>
  <r>
    <n v="294"/>
    <n v="96"/>
    <d v="2026-12-27T00:00:00"/>
    <s v="Sunday"/>
    <n v="12"/>
    <n v="10.73"/>
    <x v="0"/>
    <x v="71"/>
    <s v="Male"/>
    <n v="71.8"/>
    <n v="187.1"/>
    <n v="25.4"/>
    <n v="17"/>
    <s v="AZ"/>
    <n v="6"/>
    <n v="589.5"/>
    <s v="Low"/>
    <n v="0"/>
    <s v="Single-Day"/>
    <n v="0"/>
    <n v="0"/>
    <s v="Main Entrance"/>
    <s v="Mickey &amp; Friends"/>
    <n v="7.4"/>
    <n v="8"/>
    <x v="291"/>
  </r>
  <r>
    <n v="295"/>
    <n v="96"/>
    <d v="2026-12-27T00:00:00"/>
    <s v="Sunday"/>
    <n v="12"/>
    <n v="10.86"/>
    <x v="0"/>
    <x v="52"/>
    <s v="Female"/>
    <n v="60.2"/>
    <n v="160.9"/>
    <n v="31"/>
    <n v="14"/>
    <s v="AZ"/>
    <n v="6"/>
    <n v="589.5"/>
    <s v="Low"/>
    <n v="0"/>
    <s v="Single-Day"/>
    <n v="0"/>
    <n v="0"/>
    <s v="Main Entrance"/>
    <s v="Mickey &amp; Friends"/>
    <n v="7.7"/>
    <n v="7"/>
    <x v="292"/>
  </r>
  <r>
    <n v="296"/>
    <n v="96"/>
    <d v="2026-12-27T00:00:00"/>
    <s v="Sunday"/>
    <n v="12"/>
    <n v="10.8"/>
    <x v="0"/>
    <x v="37"/>
    <s v="Female"/>
    <n v="65.400000000000006"/>
    <n v="141.9"/>
    <n v="23.2"/>
    <n v="14"/>
    <s v="AZ"/>
    <n v="6"/>
    <n v="589.5"/>
    <s v="Low"/>
    <n v="0"/>
    <s v="Single-Day"/>
    <n v="0"/>
    <n v="0"/>
    <s v="Main Entrance"/>
    <s v="Mickey &amp; Friends"/>
    <n v="7.6"/>
    <n v="7"/>
    <x v="293"/>
  </r>
  <r>
    <n v="297"/>
    <n v="96"/>
    <d v="2026-12-27T00:00:00"/>
    <s v="Sunday"/>
    <n v="12"/>
    <n v="10.76"/>
    <x v="0"/>
    <x v="19"/>
    <s v="Female"/>
    <n v="66.5"/>
    <n v="147.9"/>
    <n v="23.7"/>
    <n v="16"/>
    <s v="AZ"/>
    <n v="6"/>
    <n v="589.5"/>
    <s v="Low"/>
    <n v="0"/>
    <s v="Single-Day"/>
    <n v="0"/>
    <n v="0"/>
    <s v="Main Entrance"/>
    <s v="Mickey &amp; Friends"/>
    <n v="5.8"/>
    <n v="8"/>
    <x v="294"/>
  </r>
  <r>
    <n v="298"/>
    <n v="96"/>
    <d v="2026-12-27T00:00:00"/>
    <s v="Sunday"/>
    <n v="12"/>
    <n v="10.67"/>
    <x v="0"/>
    <x v="31"/>
    <s v="Male"/>
    <n v="68.2"/>
    <n v="161.1"/>
    <n v="24.3"/>
    <n v="13"/>
    <s v="AZ"/>
    <n v="6"/>
    <n v="589.5"/>
    <s v="Low"/>
    <n v="0"/>
    <s v="Single-Day"/>
    <n v="0"/>
    <n v="0"/>
    <s v="Main Entrance"/>
    <s v="Mickey &amp; Friends"/>
    <n v="9.8000000000000007"/>
    <n v="8"/>
    <x v="295"/>
  </r>
  <r>
    <n v="299"/>
    <n v="97"/>
    <d v="2026-06-26T00:00:00"/>
    <s v="Friday"/>
    <n v="6"/>
    <n v="11.48"/>
    <x v="1"/>
    <x v="30"/>
    <s v="Female"/>
    <n v="64.2"/>
    <n v="142.69999999999999"/>
    <n v="24.1"/>
    <n v="17"/>
    <s v="NV"/>
    <n v="6"/>
    <n v="383.7"/>
    <s v="Middle"/>
    <n v="1"/>
    <s v="Multi-Day"/>
    <n v="0"/>
    <n v="0"/>
    <s v="Main Entrance"/>
    <s v="Mickey &amp; Friends"/>
    <n v="7.5"/>
    <n v="10"/>
    <x v="296"/>
  </r>
  <r>
    <n v="300"/>
    <n v="97"/>
    <d v="2026-06-26T00:00:00"/>
    <s v="Friday"/>
    <n v="6"/>
    <n v="11.47"/>
    <x v="1"/>
    <x v="41"/>
    <s v="Female"/>
    <n v="64.5"/>
    <n v="149.30000000000001"/>
    <n v="25.3"/>
    <n v="14"/>
    <s v="NV"/>
    <n v="6"/>
    <n v="383.7"/>
    <s v="Middle"/>
    <n v="1"/>
    <s v="Multi-Day"/>
    <n v="0"/>
    <n v="0"/>
    <s v="Main Entrance"/>
    <s v="Mickey &amp; Friends"/>
    <n v="8"/>
    <n v="11"/>
    <x v="297"/>
  </r>
  <r>
    <n v="301"/>
    <n v="97"/>
    <d v="2026-06-26T00:00:00"/>
    <s v="Friday"/>
    <n v="6"/>
    <n v="11.54"/>
    <x v="1"/>
    <x v="56"/>
    <s v="Male"/>
    <n v="68"/>
    <n v="211.5"/>
    <n v="32"/>
    <n v="16"/>
    <s v="NV"/>
    <n v="6"/>
    <n v="383.7"/>
    <s v="Middle"/>
    <n v="1"/>
    <s v="Multi-Day"/>
    <n v="0"/>
    <n v="0"/>
    <s v="Main Entrance"/>
    <s v="Mickey &amp; Friends"/>
    <n v="7.8"/>
    <n v="9"/>
    <x v="298"/>
  </r>
  <r>
    <n v="302"/>
    <n v="97"/>
    <d v="2026-06-26T00:00:00"/>
    <s v="Friday"/>
    <n v="6"/>
    <n v="11.51"/>
    <x v="1"/>
    <x v="38"/>
    <s v="Female"/>
    <n v="67.8"/>
    <n v="194.3"/>
    <n v="29.6"/>
    <n v="11"/>
    <s v="NV"/>
    <n v="6"/>
    <n v="383.7"/>
    <s v="Middle"/>
    <n v="1"/>
    <s v="Multi-Day"/>
    <n v="0"/>
    <n v="0"/>
    <s v="Main Entrance"/>
    <s v="Mickey &amp; Friends"/>
    <n v="8.3000000000000007"/>
    <n v="9"/>
    <x v="299"/>
  </r>
  <r>
    <n v="303"/>
    <n v="97"/>
    <d v="2026-06-26T00:00:00"/>
    <s v="Friday"/>
    <n v="6"/>
    <n v="11.42"/>
    <x v="1"/>
    <x v="66"/>
    <s v="Female"/>
    <n v="68.099999999999994"/>
    <n v="168.1"/>
    <n v="25.5"/>
    <n v="15"/>
    <s v="NV"/>
    <n v="6"/>
    <n v="383.7"/>
    <s v="Middle"/>
    <n v="1"/>
    <s v="Multi-Day"/>
    <n v="0"/>
    <n v="0"/>
    <s v="Main Entrance"/>
    <s v="Mickey &amp; Friends"/>
    <n v="9.3000000000000007"/>
    <n v="5"/>
    <x v="300"/>
  </r>
  <r>
    <n v="304"/>
    <n v="97"/>
    <d v="2026-06-26T00:00:00"/>
    <s v="Friday"/>
    <n v="6"/>
    <n v="11.64"/>
    <x v="1"/>
    <x v="52"/>
    <s v="Female"/>
    <n v="63.5"/>
    <n v="155.6"/>
    <n v="27.1"/>
    <n v="17"/>
    <s v="NV"/>
    <n v="6"/>
    <n v="383.7"/>
    <s v="Middle"/>
    <n v="1"/>
    <s v="Multi-Day"/>
    <n v="0"/>
    <n v="0"/>
    <s v="Main Entrance"/>
    <s v="Mickey &amp; Friends"/>
    <n v="7.3"/>
    <n v="9"/>
    <x v="301"/>
  </r>
  <r>
    <n v="305"/>
    <n v="98"/>
    <d v="2026-08-17T00:00:00"/>
    <s v="Monday"/>
    <n v="8"/>
    <n v="7.76"/>
    <x v="0"/>
    <x v="19"/>
    <s v="Male"/>
    <n v="73.599999999999994"/>
    <n v="204.3"/>
    <n v="26.4"/>
    <n v="14"/>
    <s v="AZ"/>
    <n v="4"/>
    <n v="456.9"/>
    <s v="Low"/>
    <n v="0"/>
    <s v="Single-Day"/>
    <n v="0"/>
    <n v="0"/>
    <s v="Main Entrance"/>
    <s v="Mickey &amp; Friends"/>
    <n v="9.3000000000000007"/>
    <n v="7"/>
    <x v="302"/>
  </r>
  <r>
    <n v="306"/>
    <n v="98"/>
    <d v="2026-08-17T00:00:00"/>
    <s v="Monday"/>
    <n v="8"/>
    <n v="7.72"/>
    <x v="0"/>
    <x v="30"/>
    <s v="Male"/>
    <n v="72.5"/>
    <n v="245"/>
    <n v="32.9"/>
    <n v="13"/>
    <s v="AZ"/>
    <n v="4"/>
    <n v="456.9"/>
    <s v="Low"/>
    <n v="0"/>
    <s v="Single-Day"/>
    <n v="0"/>
    <n v="0"/>
    <s v="Main Entrance"/>
    <s v="Mickey &amp; Friends"/>
    <n v="5.4"/>
    <n v="11"/>
    <x v="303"/>
  </r>
  <r>
    <n v="307"/>
    <n v="98"/>
    <d v="2026-08-17T00:00:00"/>
    <s v="Monday"/>
    <n v="8"/>
    <n v="7.75"/>
    <x v="0"/>
    <x v="38"/>
    <s v="Female"/>
    <n v="59.3"/>
    <n v="113.3"/>
    <n v="22.5"/>
    <n v="13"/>
    <s v="AZ"/>
    <n v="4"/>
    <n v="456.9"/>
    <s v="Low"/>
    <n v="0"/>
    <s v="Single-Day"/>
    <n v="0"/>
    <n v="0"/>
    <s v="Main Entrance"/>
    <s v="Mickey &amp; Friends"/>
    <n v="8.5"/>
    <n v="5"/>
    <x v="304"/>
  </r>
  <r>
    <n v="308"/>
    <n v="98"/>
    <d v="2026-08-17T00:00:00"/>
    <s v="Monday"/>
    <n v="8"/>
    <n v="7.62"/>
    <x v="0"/>
    <x v="52"/>
    <s v="Female"/>
    <n v="62.9"/>
    <n v="188.5"/>
    <n v="33.4"/>
    <n v="16"/>
    <s v="AZ"/>
    <n v="4"/>
    <n v="456.9"/>
    <s v="Low"/>
    <n v="0"/>
    <s v="Single-Day"/>
    <n v="0"/>
    <n v="0"/>
    <s v="Main Entrance"/>
    <s v="Mickey &amp; Friends"/>
    <n v="7.6"/>
    <n v="10"/>
    <x v="305"/>
  </r>
  <r>
    <n v="309"/>
    <n v="99"/>
    <d v="2026-02-15T00:00:00"/>
    <s v="Sunday"/>
    <n v="2"/>
    <n v="9.61"/>
    <x v="0"/>
    <x v="62"/>
    <s v="Female"/>
    <n v="66.2"/>
    <n v="161.4"/>
    <n v="26"/>
    <n v="17"/>
    <s v="TX"/>
    <n v="4"/>
    <n v="1740.3"/>
    <s v="High"/>
    <n v="1"/>
    <s v="Single-Day"/>
    <n v="0"/>
    <n v="0"/>
    <s v="Main Entrance"/>
    <s v="Pixar Pals"/>
    <n v="5.5"/>
    <n v="3"/>
    <x v="306"/>
  </r>
  <r>
    <n v="310"/>
    <n v="99"/>
    <d v="2026-02-15T00:00:00"/>
    <s v="Sunday"/>
    <n v="2"/>
    <n v="9.61"/>
    <x v="0"/>
    <x v="27"/>
    <s v="Male"/>
    <n v="71.099999999999994"/>
    <n v="200.5"/>
    <n v="27.8"/>
    <n v="15"/>
    <s v="TX"/>
    <n v="4"/>
    <n v="1740.3"/>
    <s v="High"/>
    <n v="1"/>
    <s v="Single-Day"/>
    <n v="0"/>
    <n v="0"/>
    <s v="Main Entrance"/>
    <s v="Pixar Pals"/>
    <n v="8.4"/>
    <n v="10"/>
    <x v="307"/>
  </r>
  <r>
    <n v="311"/>
    <n v="99"/>
    <d v="2026-02-15T00:00:00"/>
    <s v="Sunday"/>
    <n v="2"/>
    <n v="9.52"/>
    <x v="0"/>
    <x v="8"/>
    <s v="Female"/>
    <n v="61.6"/>
    <n v="124.9"/>
    <n v="23"/>
    <n v="20"/>
    <s v="TX"/>
    <n v="4"/>
    <n v="1740.3"/>
    <s v="High"/>
    <n v="1"/>
    <s v="Single-Day"/>
    <n v="0"/>
    <n v="0"/>
    <s v="Main Entrance"/>
    <s v="Pixar Pals"/>
    <n v="5.7"/>
    <n v="5"/>
    <x v="308"/>
  </r>
  <r>
    <n v="312"/>
    <n v="99"/>
    <d v="2026-02-15T00:00:00"/>
    <s v="Sunday"/>
    <n v="2"/>
    <n v="9.6300000000000008"/>
    <x v="0"/>
    <x v="41"/>
    <s v="Female"/>
    <n v="63.7"/>
    <n v="127.4"/>
    <n v="22"/>
    <n v="14"/>
    <s v="TX"/>
    <n v="4"/>
    <n v="1740.3"/>
    <s v="High"/>
    <n v="1"/>
    <s v="Single-Day"/>
    <n v="0"/>
    <n v="0"/>
    <s v="Main Entrance"/>
    <s v="Pixar Pals"/>
    <n v="4.8"/>
    <n v="7"/>
    <x v="309"/>
  </r>
  <r>
    <n v="313"/>
    <n v="100"/>
    <d v="2026-12-01T00:00:00"/>
    <s v="Tuesday"/>
    <n v="12"/>
    <n v="11.42"/>
    <x v="1"/>
    <x v="16"/>
    <s v="Female"/>
    <n v="53.5"/>
    <n v="58.3"/>
    <n v="14"/>
    <n v="11"/>
    <s v="Other"/>
    <n v="5"/>
    <n v="2189.8000000000002"/>
    <s v="Middle"/>
    <n v="0"/>
    <s v="Park Hopper"/>
    <n v="1"/>
    <n v="0"/>
    <s v="Main Entrance"/>
    <s v="Toy Story Lot"/>
    <n v="8.6999999999999993"/>
    <n v="15"/>
    <x v="310"/>
  </r>
  <r>
    <n v="314"/>
    <n v="100"/>
    <d v="2026-12-01T00:00:00"/>
    <s v="Tuesday"/>
    <n v="12"/>
    <n v="11.18"/>
    <x v="1"/>
    <x v="38"/>
    <s v="Male"/>
    <n v="67.8"/>
    <n v="184.8"/>
    <n v="28.1"/>
    <n v="11"/>
    <s v="Other"/>
    <n v="5"/>
    <n v="2189.8000000000002"/>
    <s v="Middle"/>
    <n v="0"/>
    <s v="Park Hopper"/>
    <n v="1"/>
    <n v="0"/>
    <s v="Main Entrance"/>
    <s v="Toy Story Lot"/>
    <n v="8"/>
    <n v="3"/>
    <x v="311"/>
  </r>
  <r>
    <n v="315"/>
    <n v="100"/>
    <d v="2026-12-01T00:00:00"/>
    <s v="Tuesday"/>
    <n v="12"/>
    <n v="11.63"/>
    <x v="1"/>
    <x v="39"/>
    <s v="Female"/>
    <n v="67.400000000000006"/>
    <n v="129.9"/>
    <n v="20.2"/>
    <n v="13"/>
    <s v="Other"/>
    <n v="5"/>
    <n v="2189.8000000000002"/>
    <s v="Middle"/>
    <n v="0"/>
    <s v="Park Hopper"/>
    <n v="1"/>
    <n v="0"/>
    <s v="Main Entrance"/>
    <s v="Toy Story Lot"/>
    <n v="6.5"/>
    <n v="6"/>
    <x v="312"/>
  </r>
  <r>
    <n v="316"/>
    <n v="100"/>
    <d v="2026-12-01T00:00:00"/>
    <s v="Tuesday"/>
    <n v="12"/>
    <n v="11.52"/>
    <x v="1"/>
    <x v="18"/>
    <s v="Female"/>
    <n v="66.599999999999994"/>
    <n v="143.4"/>
    <n v="22.5"/>
    <n v="19"/>
    <s v="Other"/>
    <n v="5"/>
    <n v="2189.8000000000002"/>
    <s v="Middle"/>
    <n v="0"/>
    <s v="Park Hopper"/>
    <n v="1"/>
    <n v="0"/>
    <s v="Main Entrance"/>
    <s v="Toy Story Lot"/>
    <n v="6.8"/>
    <n v="5"/>
    <x v="313"/>
  </r>
  <r>
    <n v="317"/>
    <n v="100"/>
    <d v="2026-12-01T00:00:00"/>
    <s v="Tuesday"/>
    <n v="12"/>
    <n v="11.68"/>
    <x v="1"/>
    <x v="8"/>
    <s v="Female"/>
    <n v="63.4"/>
    <n v="152.1"/>
    <n v="26.5"/>
    <n v="20"/>
    <s v="Other"/>
    <n v="5"/>
    <n v="2189.8000000000002"/>
    <s v="Middle"/>
    <n v="0"/>
    <s v="Park Hopper"/>
    <n v="1"/>
    <n v="0"/>
    <s v="Main Entrance"/>
    <s v="Toy Story Lot"/>
    <n v="6.7"/>
    <n v="12"/>
    <x v="314"/>
  </r>
  <r>
    <n v="318"/>
    <n v="101"/>
    <d v="2026-06-15T00:00:00"/>
    <s v="Monday"/>
    <n v="6"/>
    <n v="9.84"/>
    <x v="0"/>
    <x v="16"/>
    <s v="Female"/>
    <n v="57.9"/>
    <n v="58.8"/>
    <n v="12.1"/>
    <n v="12"/>
    <s v="ND"/>
    <n v="2"/>
    <n v="2175.4"/>
    <s v="Middle"/>
    <n v="1"/>
    <s v="Single-Day"/>
    <n v="0"/>
    <n v="0"/>
    <s v="Main Entrance"/>
    <s v="Mickey &amp; Friends"/>
    <n v="10.4"/>
    <n v="8"/>
    <x v="315"/>
  </r>
  <r>
    <n v="319"/>
    <n v="101"/>
    <d v="2026-06-15T00:00:00"/>
    <s v="Monday"/>
    <n v="6"/>
    <n v="9.86"/>
    <x v="0"/>
    <x v="2"/>
    <s v="Female"/>
    <n v="60.2"/>
    <n v="138.80000000000001"/>
    <n v="26.8"/>
    <n v="16"/>
    <s v="ND"/>
    <n v="2"/>
    <n v="2175.4"/>
    <s v="Middle"/>
    <n v="1"/>
    <s v="Single-Day"/>
    <n v="0"/>
    <n v="0"/>
    <s v="Main Entrance"/>
    <s v="Mickey &amp; Friends"/>
    <n v="10.5"/>
    <n v="11"/>
    <x v="316"/>
  </r>
  <r>
    <n v="320"/>
    <n v="102"/>
    <d v="2026-11-22T00:00:00"/>
    <s v="Sunday"/>
    <n v="11"/>
    <n v="11.13"/>
    <x v="1"/>
    <x v="32"/>
    <s v="Male"/>
    <n v="59.7"/>
    <n v="81.900000000000006"/>
    <n v="16.100000000000001"/>
    <n v="14"/>
    <s v="NV"/>
    <n v="4"/>
    <n v="343"/>
    <s v="Middle"/>
    <n v="1"/>
    <s v="Single-Day"/>
    <n v="1"/>
    <n v="0"/>
    <s v="Main Entrance"/>
    <s v="Pixar Pals"/>
    <n v="8.1999999999999993"/>
    <n v="8"/>
    <x v="317"/>
  </r>
  <r>
    <n v="321"/>
    <n v="102"/>
    <d v="2026-11-22T00:00:00"/>
    <s v="Sunday"/>
    <n v="11"/>
    <n v="11.32"/>
    <x v="1"/>
    <x v="1"/>
    <s v="Male"/>
    <n v="68.2"/>
    <n v="169.9"/>
    <n v="25.7"/>
    <n v="17"/>
    <s v="NV"/>
    <n v="4"/>
    <n v="343"/>
    <s v="Middle"/>
    <n v="1"/>
    <s v="Single-Day"/>
    <n v="1"/>
    <n v="0"/>
    <s v="Main Entrance"/>
    <s v="Pixar Pals"/>
    <n v="8.1"/>
    <n v="10"/>
    <x v="318"/>
  </r>
  <r>
    <n v="322"/>
    <n v="102"/>
    <d v="2026-11-22T00:00:00"/>
    <s v="Sunday"/>
    <n v="11"/>
    <n v="11.35"/>
    <x v="1"/>
    <x v="10"/>
    <s v="Male"/>
    <n v="72.7"/>
    <n v="168.4"/>
    <n v="22.4"/>
    <n v="14"/>
    <s v="NV"/>
    <n v="4"/>
    <n v="343"/>
    <s v="Middle"/>
    <n v="1"/>
    <s v="Single-Day"/>
    <n v="1"/>
    <n v="0"/>
    <s v="Main Entrance"/>
    <s v="Pixar Pals"/>
    <n v="8.3000000000000007"/>
    <n v="7"/>
    <x v="319"/>
  </r>
  <r>
    <n v="323"/>
    <n v="102"/>
    <d v="2026-11-22T00:00:00"/>
    <s v="Sunday"/>
    <n v="11"/>
    <n v="11.05"/>
    <x v="1"/>
    <x v="52"/>
    <s v="Male"/>
    <n v="67.2"/>
    <n v="207"/>
    <n v="32.200000000000003"/>
    <n v="16"/>
    <s v="NV"/>
    <n v="4"/>
    <n v="343"/>
    <s v="Middle"/>
    <n v="1"/>
    <s v="Single-Day"/>
    <n v="1"/>
    <n v="0"/>
    <s v="Main Entrance"/>
    <s v="Pixar Pals"/>
    <n v="5.8"/>
    <n v="6"/>
    <x v="320"/>
  </r>
  <r>
    <n v="324"/>
    <n v="103"/>
    <d v="2026-12-18T00:00:00"/>
    <s v="Friday"/>
    <n v="12"/>
    <n v="10.8"/>
    <x v="0"/>
    <x v="53"/>
    <s v="Female"/>
    <n v="50.9"/>
    <n v="82.1"/>
    <n v="22.4"/>
    <n v="14"/>
    <s v="UT"/>
    <n v="5"/>
    <n v="713.8"/>
    <s v="High"/>
    <n v="1"/>
    <s v="Single-Day"/>
    <n v="0"/>
    <n v="0"/>
    <s v="Main Entrance"/>
    <s v="Mickey &amp; Friends"/>
    <n v="6.9"/>
    <n v="3"/>
    <x v="321"/>
  </r>
  <r>
    <n v="325"/>
    <n v="103"/>
    <d v="2026-12-18T00:00:00"/>
    <s v="Friday"/>
    <n v="12"/>
    <n v="10.75"/>
    <x v="0"/>
    <x v="22"/>
    <s v="Male"/>
    <n v="58.5"/>
    <n v="77.900000000000006"/>
    <n v="15.8"/>
    <n v="15"/>
    <s v="UT"/>
    <n v="5"/>
    <n v="713.8"/>
    <s v="High"/>
    <n v="1"/>
    <s v="Single-Day"/>
    <n v="0"/>
    <n v="0"/>
    <s v="Main Entrance"/>
    <s v="Mickey &amp; Friends"/>
    <n v="9.9"/>
    <n v="8"/>
    <x v="322"/>
  </r>
  <r>
    <n v="326"/>
    <n v="103"/>
    <d v="2026-12-18T00:00:00"/>
    <s v="Friday"/>
    <n v="12"/>
    <n v="10.63"/>
    <x v="0"/>
    <x v="38"/>
    <s v="Female"/>
    <n v="69"/>
    <n v="130.5"/>
    <n v="19.3"/>
    <n v="14"/>
    <s v="UT"/>
    <n v="5"/>
    <n v="713.8"/>
    <s v="High"/>
    <n v="1"/>
    <s v="Single-Day"/>
    <n v="0"/>
    <n v="0"/>
    <s v="Main Entrance"/>
    <s v="Mickey &amp; Friends"/>
    <n v="9.3000000000000007"/>
    <n v="6"/>
    <x v="323"/>
  </r>
  <r>
    <n v="327"/>
    <n v="103"/>
    <d v="2026-12-18T00:00:00"/>
    <s v="Friday"/>
    <n v="12"/>
    <n v="10.78"/>
    <x v="0"/>
    <x v="10"/>
    <s v="Male"/>
    <n v="72.599999999999994"/>
    <n v="243.8"/>
    <n v="32.799999999999997"/>
    <n v="16"/>
    <s v="UT"/>
    <n v="5"/>
    <n v="713.8"/>
    <s v="High"/>
    <n v="1"/>
    <s v="Single-Day"/>
    <n v="0"/>
    <n v="0"/>
    <s v="Main Entrance"/>
    <s v="Mickey &amp; Friends"/>
    <n v="6.3"/>
    <n v="6"/>
    <x v="324"/>
  </r>
  <r>
    <n v="328"/>
    <n v="103"/>
    <d v="2026-12-18T00:00:00"/>
    <s v="Friday"/>
    <n v="12"/>
    <n v="10.57"/>
    <x v="0"/>
    <x v="42"/>
    <s v="Male"/>
    <n v="71"/>
    <n v="141.6"/>
    <n v="20"/>
    <n v="18"/>
    <s v="UT"/>
    <n v="5"/>
    <n v="713.8"/>
    <s v="High"/>
    <n v="1"/>
    <s v="Single-Day"/>
    <n v="0"/>
    <n v="0"/>
    <s v="Main Entrance"/>
    <s v="Mickey &amp; Friends"/>
    <n v="9.5"/>
    <n v="9"/>
    <x v="325"/>
  </r>
  <r>
    <n v="329"/>
    <n v="104"/>
    <d v="2026-07-12T00:00:00"/>
    <s v="Sunday"/>
    <n v="7"/>
    <n v="11.73"/>
    <x v="1"/>
    <x v="1"/>
    <s v="Male"/>
    <n v="67.3"/>
    <n v="136"/>
    <n v="21"/>
    <n v="17"/>
    <s v="CO"/>
    <n v="2"/>
    <n v="1002.1"/>
    <s v="Middle"/>
    <n v="0"/>
    <s v="Park Hopper"/>
    <n v="1"/>
    <n v="0"/>
    <s v="Main Entrance"/>
    <s v="Pixar Pals"/>
    <n v="5.9"/>
    <n v="6"/>
    <x v="326"/>
  </r>
  <r>
    <n v="330"/>
    <n v="104"/>
    <d v="2026-07-12T00:00:00"/>
    <s v="Sunday"/>
    <n v="7"/>
    <n v="12.17"/>
    <x v="1"/>
    <x v="2"/>
    <s v="Female"/>
    <n v="61.4"/>
    <n v="166.5"/>
    <n v="31"/>
    <n v="13"/>
    <s v="CO"/>
    <n v="2"/>
    <n v="1002.1"/>
    <s v="Middle"/>
    <n v="0"/>
    <s v="Park Hopper"/>
    <n v="1"/>
    <n v="0"/>
    <s v="Main Entrance"/>
    <s v="Pixar Pals"/>
    <n v="7.6"/>
    <n v="10"/>
    <x v="327"/>
  </r>
  <r>
    <n v="331"/>
    <n v="105"/>
    <d v="2026-03-30T00:00:00"/>
    <s v="Monday"/>
    <n v="3"/>
    <n v="10.31"/>
    <x v="0"/>
    <x v="59"/>
    <s v="Male"/>
    <n v="68.7"/>
    <n v="116.8"/>
    <n v="17.100000000000001"/>
    <n v="13"/>
    <s v="NV"/>
    <n v="1"/>
    <n v="162.19999999999999"/>
    <s v="Middle"/>
    <n v="0"/>
    <s v="Single-Day"/>
    <n v="0"/>
    <n v="0"/>
    <s v="Main Entrance"/>
    <s v="Mickey &amp; Friends"/>
    <n v="8.5"/>
    <n v="6"/>
    <x v="328"/>
  </r>
  <r>
    <n v="332"/>
    <n v="106"/>
    <d v="2026-04-24T00:00:00"/>
    <s v="Friday"/>
    <n v="4"/>
    <n v="13.3"/>
    <x v="1"/>
    <x v="51"/>
    <s v="Male"/>
    <n v="65.2"/>
    <n v="162.9"/>
    <n v="26.8"/>
    <n v="14"/>
    <s v="AZ"/>
    <n v="3"/>
    <n v="529.70000000000005"/>
    <s v="Low"/>
    <n v="0"/>
    <s v="Single-Day"/>
    <n v="0"/>
    <n v="0"/>
    <s v="Downtown Disney Gate"/>
    <s v="Mickey &amp; Friends"/>
    <n v="5.7"/>
    <n v="9"/>
    <x v="329"/>
  </r>
  <r>
    <n v="333"/>
    <n v="106"/>
    <d v="2026-04-24T00:00:00"/>
    <s v="Friday"/>
    <n v="4"/>
    <n v="13.39"/>
    <x v="1"/>
    <x v="3"/>
    <s v="Male"/>
    <n v="70.5"/>
    <n v="186.7"/>
    <n v="26.3"/>
    <n v="13"/>
    <s v="AZ"/>
    <n v="3"/>
    <n v="529.70000000000005"/>
    <s v="Low"/>
    <n v="0"/>
    <s v="Single-Day"/>
    <n v="0"/>
    <n v="0"/>
    <s v="Downtown Disney Gate"/>
    <s v="Mickey &amp; Friends"/>
    <n v="6.1"/>
    <n v="2"/>
    <x v="330"/>
  </r>
  <r>
    <n v="334"/>
    <n v="106"/>
    <d v="2026-04-24T00:00:00"/>
    <s v="Friday"/>
    <n v="4"/>
    <n v="13.12"/>
    <x v="1"/>
    <x v="26"/>
    <s v="Nonbinary/Other"/>
    <n v="65"/>
    <n v="167.7"/>
    <n v="27.9"/>
    <n v="15"/>
    <s v="AZ"/>
    <n v="3"/>
    <n v="529.70000000000005"/>
    <s v="Low"/>
    <n v="0"/>
    <s v="Single-Day"/>
    <n v="0"/>
    <n v="0"/>
    <s v="Downtown Disney Gate"/>
    <s v="Mickey &amp; Friends"/>
    <n v="6.1"/>
    <n v="4"/>
    <x v="331"/>
  </r>
  <r>
    <n v="335"/>
    <n v="107"/>
    <d v="2026-10-14T00:00:00"/>
    <s v="Wednesday"/>
    <n v="10"/>
    <n v="9.07"/>
    <x v="0"/>
    <x v="35"/>
    <s v="Male"/>
    <n v="70.5"/>
    <n v="182.9"/>
    <n v="26"/>
    <n v="18"/>
    <s v="OR"/>
    <n v="2"/>
    <n v="706.3"/>
    <s v="Middle"/>
    <n v="1"/>
    <s v="Park Hopper"/>
    <n v="0"/>
    <n v="0"/>
    <s v="Hotel Guest Entrance"/>
    <s v="Toy Story Lot"/>
    <n v="7.9"/>
    <n v="7"/>
    <x v="332"/>
  </r>
  <r>
    <n v="336"/>
    <n v="107"/>
    <d v="2026-10-14T00:00:00"/>
    <s v="Wednesday"/>
    <n v="10"/>
    <n v="9.2200000000000006"/>
    <x v="0"/>
    <x v="12"/>
    <s v="Male"/>
    <n v="64.7"/>
    <n v="136.80000000000001"/>
    <n v="23.1"/>
    <n v="12"/>
    <s v="OR"/>
    <n v="2"/>
    <n v="706.3"/>
    <s v="Middle"/>
    <n v="1"/>
    <s v="Park Hopper"/>
    <n v="0"/>
    <n v="0"/>
    <s v="Hotel Guest Entrance"/>
    <s v="Toy Story Lot"/>
    <n v="12.6"/>
    <n v="6"/>
    <x v="333"/>
  </r>
  <r>
    <n v="337"/>
    <n v="108"/>
    <d v="2026-08-28T00:00:00"/>
    <s v="Friday"/>
    <n v="8"/>
    <n v="11.89"/>
    <x v="1"/>
    <x v="3"/>
    <s v="Male"/>
    <n v="69.099999999999994"/>
    <n v="142.19999999999999"/>
    <n v="20.7"/>
    <n v="15"/>
    <s v="TX"/>
    <n v="3"/>
    <n v="1525.9"/>
    <s v="Low"/>
    <n v="1"/>
    <s v="Single-Day"/>
    <n v="0"/>
    <n v="0"/>
    <s v="Main Entrance"/>
    <s v="None/Dropoff/Transit"/>
    <n v="10.7"/>
    <n v="11"/>
    <x v="334"/>
  </r>
  <r>
    <n v="338"/>
    <n v="108"/>
    <d v="2026-08-28T00:00:00"/>
    <s v="Friday"/>
    <n v="8"/>
    <n v="11.79"/>
    <x v="1"/>
    <x v="56"/>
    <s v="Female"/>
    <n v="60.2"/>
    <n v="127.9"/>
    <n v="24.8"/>
    <n v="14"/>
    <s v="TX"/>
    <n v="3"/>
    <n v="1525.9"/>
    <s v="Low"/>
    <n v="1"/>
    <s v="Single-Day"/>
    <n v="0"/>
    <n v="0"/>
    <s v="Main Entrance"/>
    <s v="None/Dropoff/Transit"/>
    <n v="8"/>
    <n v="8"/>
    <x v="335"/>
  </r>
  <r>
    <n v="339"/>
    <n v="108"/>
    <d v="2026-08-28T00:00:00"/>
    <s v="Friday"/>
    <n v="8"/>
    <n v="11.92"/>
    <x v="1"/>
    <x v="20"/>
    <s v="Male"/>
    <n v="70"/>
    <n v="138.5"/>
    <n v="19.8"/>
    <n v="12"/>
    <s v="TX"/>
    <n v="3"/>
    <n v="1525.9"/>
    <s v="Low"/>
    <n v="1"/>
    <s v="Single-Day"/>
    <n v="0"/>
    <n v="0"/>
    <s v="Main Entrance"/>
    <s v="None/Dropoff/Transit"/>
    <n v="6.7"/>
    <n v="9"/>
    <x v="336"/>
  </r>
  <r>
    <n v="340"/>
    <n v="109"/>
    <d v="2026-06-28T00:00:00"/>
    <s v="Sunday"/>
    <n v="6"/>
    <n v="9.15"/>
    <x v="0"/>
    <x v="5"/>
    <s v="Female"/>
    <n v="68.8"/>
    <n v="239.6"/>
    <n v="35.6"/>
    <n v="14"/>
    <s v="AZ"/>
    <n v="2"/>
    <n v="300.2"/>
    <s v="Low"/>
    <n v="0"/>
    <s v="Single-Day"/>
    <n v="1"/>
    <n v="0"/>
    <s v="Hotel Guest Entrance"/>
    <s v="Mickey &amp; Friends"/>
    <n v="8.9"/>
    <n v="11"/>
    <x v="337"/>
  </r>
  <r>
    <n v="341"/>
    <n v="109"/>
    <d v="2026-06-28T00:00:00"/>
    <s v="Sunday"/>
    <n v="6"/>
    <n v="9.27"/>
    <x v="0"/>
    <x v="51"/>
    <s v="Female"/>
    <n v="63.7"/>
    <n v="145.30000000000001"/>
    <n v="25.2"/>
    <n v="17"/>
    <s v="AZ"/>
    <n v="2"/>
    <n v="300.2"/>
    <s v="Low"/>
    <n v="0"/>
    <s v="Single-Day"/>
    <n v="1"/>
    <n v="0"/>
    <s v="Hotel Guest Entrance"/>
    <s v="Mickey &amp; Friends"/>
    <n v="5.4"/>
    <n v="11"/>
    <x v="338"/>
  </r>
  <r>
    <n v="342"/>
    <n v="110"/>
    <d v="2026-08-30T00:00:00"/>
    <s v="Sunday"/>
    <n v="8"/>
    <n v="11.05"/>
    <x v="1"/>
    <x v="69"/>
    <s v="Female"/>
    <n v="64.099999999999994"/>
    <n v="123.6"/>
    <n v="21"/>
    <n v="10"/>
    <s v="WA"/>
    <n v="1"/>
    <n v="1000.4"/>
    <s v="Low"/>
    <n v="1"/>
    <s v="Multi-Day"/>
    <n v="0"/>
    <n v="0"/>
    <s v="Main Entrance"/>
    <s v="Pixar Pals"/>
    <n v="8"/>
    <n v="10"/>
    <x v="339"/>
  </r>
  <r>
    <n v="343"/>
    <n v="111"/>
    <d v="2026-08-20T00:00:00"/>
    <s v="Thursday"/>
    <n v="8"/>
    <n v="10.4"/>
    <x v="0"/>
    <x v="22"/>
    <s v="Male"/>
    <n v="65.5"/>
    <n v="112.2"/>
    <n v="18.399999999999999"/>
    <n v="10"/>
    <s v="Other"/>
    <n v="5"/>
    <n v="1217.9000000000001"/>
    <s v="Middle"/>
    <n v="1"/>
    <s v="Single-Day"/>
    <n v="1"/>
    <n v="0"/>
    <s v="Main Entrance"/>
    <s v="Toy Story Lot"/>
    <n v="8.1"/>
    <n v="12"/>
    <x v="340"/>
  </r>
  <r>
    <n v="344"/>
    <n v="111"/>
    <d v="2026-08-20T00:00:00"/>
    <s v="Thursday"/>
    <n v="8"/>
    <n v="10.39"/>
    <x v="0"/>
    <x v="44"/>
    <s v="Male"/>
    <n v="71.099999999999994"/>
    <n v="142.4"/>
    <n v="19.7"/>
    <n v="12"/>
    <s v="Other"/>
    <n v="5"/>
    <n v="1217.9000000000001"/>
    <s v="Middle"/>
    <n v="1"/>
    <s v="Single-Day"/>
    <n v="1"/>
    <n v="0"/>
    <s v="Main Entrance"/>
    <s v="Toy Story Lot"/>
    <n v="7.5"/>
    <n v="7"/>
    <x v="341"/>
  </r>
  <r>
    <n v="345"/>
    <n v="111"/>
    <d v="2026-08-20T00:00:00"/>
    <s v="Thursday"/>
    <n v="8"/>
    <n v="10.23"/>
    <x v="0"/>
    <x v="23"/>
    <s v="Female"/>
    <n v="62.9"/>
    <n v="128.30000000000001"/>
    <n v="22.7"/>
    <n v="17"/>
    <s v="Other"/>
    <n v="5"/>
    <n v="1217.9000000000001"/>
    <s v="Middle"/>
    <n v="1"/>
    <s v="Single-Day"/>
    <n v="1"/>
    <n v="0"/>
    <s v="Main Entrance"/>
    <s v="Toy Story Lot"/>
    <n v="9.6"/>
    <n v="4"/>
    <x v="342"/>
  </r>
  <r>
    <n v="346"/>
    <n v="111"/>
    <d v="2026-08-20T00:00:00"/>
    <s v="Thursday"/>
    <n v="8"/>
    <n v="10.32"/>
    <x v="0"/>
    <x v="66"/>
    <s v="Male"/>
    <n v="65.900000000000006"/>
    <n v="120.4"/>
    <n v="19.2"/>
    <n v="16"/>
    <s v="Other"/>
    <n v="5"/>
    <n v="1217.9000000000001"/>
    <s v="Middle"/>
    <n v="1"/>
    <s v="Single-Day"/>
    <n v="1"/>
    <n v="0"/>
    <s v="Main Entrance"/>
    <s v="Toy Story Lot"/>
    <n v="9.1"/>
    <n v="6"/>
    <x v="343"/>
  </r>
  <r>
    <n v="347"/>
    <n v="111"/>
    <d v="2026-08-20T00:00:00"/>
    <s v="Thursday"/>
    <n v="8"/>
    <n v="10.220000000000001"/>
    <x v="0"/>
    <x v="57"/>
    <s v="Female"/>
    <n v="64.5"/>
    <n v="145"/>
    <n v="24.4"/>
    <n v="14"/>
    <s v="Other"/>
    <n v="5"/>
    <n v="1217.9000000000001"/>
    <s v="Middle"/>
    <n v="1"/>
    <s v="Single-Day"/>
    <n v="1"/>
    <n v="0"/>
    <s v="Main Entrance"/>
    <s v="Toy Story Lot"/>
    <n v="8"/>
    <n v="8"/>
    <x v="344"/>
  </r>
  <r>
    <n v="348"/>
    <n v="112"/>
    <d v="2026-05-21T00:00:00"/>
    <s v="Thursday"/>
    <n v="5"/>
    <n v="12.03"/>
    <x v="1"/>
    <x v="12"/>
    <s v="Male"/>
    <n v="61.9"/>
    <n v="97.6"/>
    <n v="17.8"/>
    <n v="14"/>
    <s v="CA"/>
    <n v="3"/>
    <n v="67.5"/>
    <s v="Middle"/>
    <n v="1"/>
    <s v="Multi-Day"/>
    <n v="0"/>
    <n v="0"/>
    <s v="Main Entrance"/>
    <s v="Pixar Pals"/>
    <n v="6.1"/>
    <n v="11"/>
    <x v="345"/>
  </r>
  <r>
    <n v="349"/>
    <n v="112"/>
    <d v="2026-05-21T00:00:00"/>
    <s v="Thursday"/>
    <n v="5"/>
    <n v="12.18"/>
    <x v="1"/>
    <x v="53"/>
    <s v="Female"/>
    <n v="43.9"/>
    <n v="54"/>
    <n v="19.600000000000001"/>
    <n v="11"/>
    <s v="CA"/>
    <n v="3"/>
    <n v="67.5"/>
    <s v="Middle"/>
    <n v="1"/>
    <s v="Multi-Day"/>
    <n v="0"/>
    <n v="0"/>
    <s v="Main Entrance"/>
    <s v="Pixar Pals"/>
    <n v="8.8000000000000007"/>
    <n v="6"/>
    <x v="346"/>
  </r>
  <r>
    <n v="350"/>
    <n v="112"/>
    <d v="2026-05-21T00:00:00"/>
    <s v="Thursday"/>
    <n v="5"/>
    <n v="11.98"/>
    <x v="1"/>
    <x v="28"/>
    <s v="Female"/>
    <n v="63.4"/>
    <n v="159.5"/>
    <n v="28"/>
    <n v="13"/>
    <s v="CA"/>
    <n v="3"/>
    <n v="67.5"/>
    <s v="Middle"/>
    <n v="1"/>
    <s v="Multi-Day"/>
    <n v="0"/>
    <n v="0"/>
    <s v="Main Entrance"/>
    <s v="Pixar Pals"/>
    <n v="10.5"/>
    <n v="12"/>
    <x v="347"/>
  </r>
  <r>
    <n v="351"/>
    <n v="113"/>
    <d v="2026-04-09T00:00:00"/>
    <s v="Thursday"/>
    <n v="4"/>
    <n v="9.5399999999999991"/>
    <x v="0"/>
    <x v="72"/>
    <s v="Male"/>
    <n v="67.099999999999994"/>
    <n v="167.5"/>
    <n v="26.3"/>
    <n v="16"/>
    <s v="WA"/>
    <n v="4"/>
    <n v="1330.8"/>
    <s v="Low"/>
    <n v="1"/>
    <s v="Single-Day"/>
    <n v="0"/>
    <n v="0"/>
    <s v="Main Entrance"/>
    <s v="Toy Story Lot"/>
    <n v="8.6999999999999993"/>
    <n v="15"/>
    <x v="348"/>
  </r>
  <r>
    <n v="352"/>
    <n v="113"/>
    <d v="2026-04-09T00:00:00"/>
    <s v="Thursday"/>
    <n v="4"/>
    <n v="9.6199999999999992"/>
    <x v="0"/>
    <x v="31"/>
    <s v="Male"/>
    <n v="74.5"/>
    <n v="304.2"/>
    <n v="38.6"/>
    <n v="14"/>
    <s v="WA"/>
    <n v="4"/>
    <n v="1330.8"/>
    <s v="Low"/>
    <n v="1"/>
    <s v="Single-Day"/>
    <n v="0"/>
    <n v="0"/>
    <s v="Main Entrance"/>
    <s v="Toy Story Lot"/>
    <n v="11.6"/>
    <n v="14"/>
    <x v="349"/>
  </r>
  <r>
    <n v="353"/>
    <n v="113"/>
    <d v="2026-04-09T00:00:00"/>
    <s v="Thursday"/>
    <n v="4"/>
    <n v="9.52"/>
    <x v="0"/>
    <x v="62"/>
    <s v="Female"/>
    <n v="61.8"/>
    <n v="116.4"/>
    <n v="21.5"/>
    <n v="16"/>
    <s v="WA"/>
    <n v="4"/>
    <n v="1330.8"/>
    <s v="Low"/>
    <n v="1"/>
    <s v="Single-Day"/>
    <n v="0"/>
    <n v="0"/>
    <s v="Main Entrance"/>
    <s v="Toy Story Lot"/>
    <n v="8"/>
    <n v="10"/>
    <x v="350"/>
  </r>
  <r>
    <n v="354"/>
    <n v="113"/>
    <d v="2026-04-09T00:00:00"/>
    <s v="Thursday"/>
    <n v="4"/>
    <n v="9.26"/>
    <x v="0"/>
    <x v="16"/>
    <s v="Female"/>
    <n v="63"/>
    <n v="136.4"/>
    <n v="23.9"/>
    <n v="10"/>
    <s v="WA"/>
    <n v="4"/>
    <n v="1330.8"/>
    <s v="Low"/>
    <n v="1"/>
    <s v="Single-Day"/>
    <n v="0"/>
    <n v="0"/>
    <s v="Main Entrance"/>
    <s v="Toy Story Lot"/>
    <n v="11.8"/>
    <n v="13"/>
    <x v="351"/>
  </r>
  <r>
    <n v="355"/>
    <n v="114"/>
    <d v="2026-01-26T00:00:00"/>
    <s v="Monday"/>
    <n v="1"/>
    <n v="12.92"/>
    <x v="1"/>
    <x v="8"/>
    <s v="Female"/>
    <n v="63.8"/>
    <n v="150.6"/>
    <n v="25.9"/>
    <n v="13"/>
    <s v="Other"/>
    <n v="3"/>
    <n v="2198.3000000000002"/>
    <s v="Middle"/>
    <n v="1"/>
    <s v="Single-Day"/>
    <n v="0"/>
    <n v="1"/>
    <s v="Downtown Disney Gate"/>
    <s v="Toy Story Lot"/>
    <n v="7.3"/>
    <n v="6"/>
    <x v="352"/>
  </r>
  <r>
    <n v="356"/>
    <n v="114"/>
    <d v="2026-01-26T00:00:00"/>
    <s v="Monday"/>
    <n v="1"/>
    <n v="13.03"/>
    <x v="1"/>
    <x v="34"/>
    <s v="Male"/>
    <n v="72.8"/>
    <n v="201.1"/>
    <n v="27"/>
    <n v="18"/>
    <s v="Other"/>
    <n v="3"/>
    <n v="2198.3000000000002"/>
    <s v="Middle"/>
    <n v="1"/>
    <s v="Single-Day"/>
    <n v="0"/>
    <n v="1"/>
    <s v="Downtown Disney Gate"/>
    <s v="Toy Story Lot"/>
    <n v="7.6"/>
    <n v="8"/>
    <x v="353"/>
  </r>
  <r>
    <n v="357"/>
    <n v="114"/>
    <d v="2026-01-26T00:00:00"/>
    <s v="Monday"/>
    <n v="1"/>
    <n v="13.05"/>
    <x v="1"/>
    <x v="34"/>
    <s v="Female"/>
    <n v="60.1"/>
    <n v="119"/>
    <n v="23.2"/>
    <n v="13"/>
    <s v="Other"/>
    <n v="3"/>
    <n v="2198.3000000000002"/>
    <s v="Middle"/>
    <n v="1"/>
    <s v="Single-Day"/>
    <n v="0"/>
    <n v="1"/>
    <s v="Downtown Disney Gate"/>
    <s v="Toy Story Lot"/>
    <n v="8.3000000000000007"/>
    <n v="6"/>
    <x v="354"/>
  </r>
  <r>
    <n v="358"/>
    <n v="115"/>
    <d v="2026-02-16T00:00:00"/>
    <s v="Monday"/>
    <n v="2"/>
    <n v="11.76"/>
    <x v="1"/>
    <x v="50"/>
    <s v="Female"/>
    <n v="63.8"/>
    <n v="98.2"/>
    <n v="17"/>
    <n v="13"/>
    <s v="CA"/>
    <n v="3"/>
    <n v="78.2"/>
    <s v="High"/>
    <n v="0"/>
    <s v="Single-Day"/>
    <n v="0"/>
    <n v="1"/>
    <s v="Hotel Guest Entrance"/>
    <s v="None/Walked from Resort"/>
    <n v="7.8"/>
    <n v="3"/>
    <x v="355"/>
  </r>
  <r>
    <n v="359"/>
    <n v="115"/>
    <d v="2026-02-16T00:00:00"/>
    <s v="Monday"/>
    <n v="2"/>
    <n v="11.65"/>
    <x v="1"/>
    <x v="27"/>
    <s v="Male"/>
    <n v="74.900000000000006"/>
    <n v="203.4"/>
    <n v="25.3"/>
    <n v="18"/>
    <s v="CA"/>
    <n v="3"/>
    <n v="78.2"/>
    <s v="High"/>
    <n v="0"/>
    <s v="Single-Day"/>
    <n v="0"/>
    <n v="1"/>
    <s v="Hotel Guest Entrance"/>
    <s v="None/Walked from Resort"/>
    <n v="9"/>
    <n v="9"/>
    <x v="356"/>
  </r>
  <r>
    <n v="360"/>
    <n v="115"/>
    <d v="2026-02-16T00:00:00"/>
    <s v="Monday"/>
    <n v="2"/>
    <n v="11.68"/>
    <x v="1"/>
    <x v="40"/>
    <s v="Male"/>
    <n v="70"/>
    <n v="166.2"/>
    <n v="23.9"/>
    <n v="14"/>
    <s v="CA"/>
    <n v="3"/>
    <n v="78.2"/>
    <s v="High"/>
    <n v="0"/>
    <s v="Single-Day"/>
    <n v="0"/>
    <n v="1"/>
    <s v="Hotel Guest Entrance"/>
    <s v="None/Walked from Resort"/>
    <n v="8.9"/>
    <n v="9"/>
    <x v="357"/>
  </r>
  <r>
    <n v="361"/>
    <n v="116"/>
    <d v="2026-05-16T00:00:00"/>
    <s v="Saturday"/>
    <n v="5"/>
    <n v="11.94"/>
    <x v="1"/>
    <x v="38"/>
    <s v="Female"/>
    <n v="67.400000000000006"/>
    <n v="205.1"/>
    <n v="31.7"/>
    <n v="14"/>
    <s v="CA"/>
    <n v="5"/>
    <n v="161.69999999999999"/>
    <s v="Low"/>
    <n v="0"/>
    <s v="Single-Day"/>
    <n v="0"/>
    <n v="0"/>
    <s v="Downtown Disney Gate"/>
    <s v="Pixar Pals"/>
    <n v="9.1999999999999993"/>
    <n v="11"/>
    <x v="358"/>
  </r>
  <r>
    <n v="362"/>
    <n v="116"/>
    <d v="2026-05-16T00:00:00"/>
    <s v="Saturday"/>
    <n v="5"/>
    <n v="11.82"/>
    <x v="1"/>
    <x v="65"/>
    <s v="Male"/>
    <n v="67.900000000000006"/>
    <n v="104.2"/>
    <n v="16"/>
    <n v="15"/>
    <s v="CA"/>
    <n v="5"/>
    <n v="161.69999999999999"/>
    <s v="Low"/>
    <n v="0"/>
    <s v="Single-Day"/>
    <n v="0"/>
    <n v="0"/>
    <s v="Downtown Disney Gate"/>
    <s v="Pixar Pals"/>
    <n v="6.3"/>
    <n v="5"/>
    <x v="359"/>
  </r>
  <r>
    <n v="363"/>
    <n v="116"/>
    <d v="2026-05-16T00:00:00"/>
    <s v="Saturday"/>
    <n v="5"/>
    <n v="11.78"/>
    <x v="1"/>
    <x v="11"/>
    <s v="Female"/>
    <n v="65.400000000000006"/>
    <n v="131.9"/>
    <n v="21.5"/>
    <n v="12"/>
    <s v="CA"/>
    <n v="5"/>
    <n v="161.69999999999999"/>
    <s v="Low"/>
    <n v="0"/>
    <s v="Single-Day"/>
    <n v="0"/>
    <n v="0"/>
    <s v="Downtown Disney Gate"/>
    <s v="Pixar Pals"/>
    <n v="8.3000000000000007"/>
    <n v="11"/>
    <x v="360"/>
  </r>
  <r>
    <n v="364"/>
    <n v="116"/>
    <d v="2026-05-16T00:00:00"/>
    <s v="Saturday"/>
    <n v="5"/>
    <n v="11.39"/>
    <x v="1"/>
    <x v="60"/>
    <s v="Female"/>
    <n v="64.900000000000006"/>
    <n v="93.5"/>
    <n v="15.5"/>
    <n v="11"/>
    <s v="CA"/>
    <n v="5"/>
    <n v="161.69999999999999"/>
    <s v="Low"/>
    <n v="0"/>
    <s v="Single-Day"/>
    <n v="0"/>
    <n v="0"/>
    <s v="Downtown Disney Gate"/>
    <s v="Pixar Pals"/>
    <n v="7.5"/>
    <n v="7"/>
    <x v="361"/>
  </r>
  <r>
    <n v="365"/>
    <n v="116"/>
    <d v="2026-05-16T00:00:00"/>
    <s v="Saturday"/>
    <n v="5"/>
    <n v="11.7"/>
    <x v="1"/>
    <x v="18"/>
    <s v="Female"/>
    <n v="62.4"/>
    <n v="195.9"/>
    <n v="35.5"/>
    <n v="14"/>
    <s v="CA"/>
    <n v="5"/>
    <n v="161.69999999999999"/>
    <s v="Low"/>
    <n v="0"/>
    <s v="Single-Day"/>
    <n v="0"/>
    <n v="0"/>
    <s v="Downtown Disney Gate"/>
    <s v="Pixar Pals"/>
    <n v="9.6999999999999993"/>
    <n v="5"/>
    <x v="362"/>
  </r>
  <r>
    <n v="366"/>
    <n v="117"/>
    <d v="2026-11-30T00:00:00"/>
    <s v="Monday"/>
    <n v="11"/>
    <n v="12.04"/>
    <x v="1"/>
    <x v="19"/>
    <s v="Male"/>
    <n v="75.2"/>
    <n v="180.4"/>
    <n v="22.5"/>
    <n v="17"/>
    <s v="CA"/>
    <n v="2"/>
    <n v="2"/>
    <s v="Middle"/>
    <n v="0"/>
    <s v="Park Hopper"/>
    <n v="1"/>
    <n v="0"/>
    <s v="Main Entrance"/>
    <s v="Mickey &amp; Friends"/>
    <n v="10.4"/>
    <n v="10"/>
    <x v="363"/>
  </r>
  <r>
    <n v="367"/>
    <n v="117"/>
    <d v="2026-11-30T00:00:00"/>
    <s v="Monday"/>
    <n v="11"/>
    <n v="12.22"/>
    <x v="1"/>
    <x v="22"/>
    <s v="Male"/>
    <n v="68.099999999999994"/>
    <n v="115"/>
    <n v="17.5"/>
    <n v="10"/>
    <s v="CA"/>
    <n v="2"/>
    <n v="2"/>
    <s v="Middle"/>
    <n v="0"/>
    <s v="Park Hopper"/>
    <n v="1"/>
    <n v="0"/>
    <s v="Main Entrance"/>
    <s v="Mickey &amp; Friends"/>
    <n v="9.6"/>
    <n v="9"/>
    <x v="364"/>
  </r>
  <r>
    <n v="368"/>
    <n v="118"/>
    <d v="2026-01-31T00:00:00"/>
    <s v="Saturday"/>
    <n v="1"/>
    <n v="11.14"/>
    <x v="1"/>
    <x v="36"/>
    <s v="Female"/>
    <n v="64.8"/>
    <n v="114.6"/>
    <n v="18.8"/>
    <n v="14"/>
    <s v="ND"/>
    <n v="4"/>
    <n v="1199.5999999999999"/>
    <s v="Middle"/>
    <n v="0"/>
    <s v="Single-Day"/>
    <n v="1"/>
    <n v="1"/>
    <s v="Main Entrance"/>
    <s v="None/Walked from Resort"/>
    <n v="11.3"/>
    <n v="13"/>
    <x v="365"/>
  </r>
  <r>
    <n v="369"/>
    <n v="118"/>
    <d v="2026-01-31T00:00:00"/>
    <s v="Saturday"/>
    <n v="1"/>
    <n v="11.17"/>
    <x v="1"/>
    <x v="17"/>
    <s v="Female"/>
    <n v="63.4"/>
    <n v="142.69999999999999"/>
    <n v="24.9"/>
    <n v="16"/>
    <s v="ND"/>
    <n v="4"/>
    <n v="1199.5999999999999"/>
    <s v="Middle"/>
    <n v="0"/>
    <s v="Single-Day"/>
    <n v="1"/>
    <n v="1"/>
    <s v="Main Entrance"/>
    <s v="None/Walked from Resort"/>
    <n v="9.1999999999999993"/>
    <n v="9"/>
    <x v="366"/>
  </r>
  <r>
    <n v="370"/>
    <n v="118"/>
    <d v="2026-01-31T00:00:00"/>
    <s v="Saturday"/>
    <n v="1"/>
    <n v="11.3"/>
    <x v="1"/>
    <x v="28"/>
    <s v="Female"/>
    <n v="63.1"/>
    <n v="152.4"/>
    <n v="26.8"/>
    <n v="14"/>
    <s v="ND"/>
    <n v="4"/>
    <n v="1199.5999999999999"/>
    <s v="Middle"/>
    <n v="0"/>
    <s v="Single-Day"/>
    <n v="1"/>
    <n v="1"/>
    <s v="Main Entrance"/>
    <s v="None/Walked from Resort"/>
    <n v="7.6"/>
    <n v="11"/>
    <x v="367"/>
  </r>
  <r>
    <n v="371"/>
    <n v="118"/>
    <d v="2026-01-31T00:00:00"/>
    <s v="Saturday"/>
    <n v="1"/>
    <n v="11.29"/>
    <x v="1"/>
    <x v="62"/>
    <s v="Female"/>
    <n v="65.2"/>
    <n v="151.19999999999999"/>
    <n v="25"/>
    <n v="18"/>
    <s v="ND"/>
    <n v="4"/>
    <n v="1199.5999999999999"/>
    <s v="Middle"/>
    <n v="0"/>
    <s v="Single-Day"/>
    <n v="1"/>
    <n v="1"/>
    <s v="Main Entrance"/>
    <s v="None/Walked from Resort"/>
    <n v="10.199999999999999"/>
    <n v="12"/>
    <x v="368"/>
  </r>
  <r>
    <n v="372"/>
    <n v="119"/>
    <d v="2026-02-15T00:00:00"/>
    <s v="Sunday"/>
    <n v="2"/>
    <n v="8.25"/>
    <x v="0"/>
    <x v="64"/>
    <s v="Male"/>
    <n v="50.3"/>
    <n v="81.400000000000006"/>
    <n v="23.1"/>
    <n v="13"/>
    <s v="UT"/>
    <n v="6"/>
    <n v="634.29999999999995"/>
    <s v="High"/>
    <n v="0"/>
    <s v="Single-Day"/>
    <n v="1"/>
    <n v="0"/>
    <s v="Main Entrance"/>
    <s v="Toy Story Lot"/>
    <n v="8.8000000000000007"/>
    <n v="10"/>
    <x v="369"/>
  </r>
  <r>
    <n v="373"/>
    <n v="119"/>
    <d v="2026-02-15T00:00:00"/>
    <s v="Sunday"/>
    <n v="2"/>
    <n v="8.23"/>
    <x v="0"/>
    <x v="24"/>
    <s v="Female"/>
    <n v="66.900000000000006"/>
    <n v="191.7"/>
    <n v="30.1"/>
    <n v="21"/>
    <s v="UT"/>
    <n v="6"/>
    <n v="634.29999999999995"/>
    <s v="High"/>
    <n v="0"/>
    <s v="Single-Day"/>
    <n v="1"/>
    <n v="0"/>
    <s v="Main Entrance"/>
    <s v="Toy Story Lot"/>
    <n v="7.7"/>
    <n v="10"/>
    <x v="370"/>
  </r>
  <r>
    <n v="374"/>
    <n v="119"/>
    <d v="2026-02-15T00:00:00"/>
    <s v="Sunday"/>
    <n v="2"/>
    <n v="8.1300000000000008"/>
    <x v="0"/>
    <x v="8"/>
    <s v="Female"/>
    <n v="61.9"/>
    <n v="166.3"/>
    <n v="30.3"/>
    <n v="15"/>
    <s v="UT"/>
    <n v="6"/>
    <n v="634.29999999999995"/>
    <s v="High"/>
    <n v="0"/>
    <s v="Single-Day"/>
    <n v="1"/>
    <n v="0"/>
    <s v="Main Entrance"/>
    <s v="Toy Story Lot"/>
    <n v="9.3000000000000007"/>
    <n v="9"/>
    <x v="371"/>
  </r>
  <r>
    <n v="375"/>
    <n v="119"/>
    <d v="2026-02-15T00:00:00"/>
    <s v="Sunday"/>
    <n v="2"/>
    <n v="8.11"/>
    <x v="0"/>
    <x v="13"/>
    <s v="Female"/>
    <n v="67.5"/>
    <n v="151.5"/>
    <n v="23.3"/>
    <n v="17"/>
    <s v="UT"/>
    <n v="6"/>
    <n v="634.29999999999995"/>
    <s v="High"/>
    <n v="0"/>
    <s v="Single-Day"/>
    <n v="1"/>
    <n v="0"/>
    <s v="Main Entrance"/>
    <s v="Toy Story Lot"/>
    <n v="6.4"/>
    <n v="13"/>
    <x v="260"/>
  </r>
  <r>
    <n v="376"/>
    <n v="119"/>
    <d v="2026-02-15T00:00:00"/>
    <s v="Sunday"/>
    <n v="2"/>
    <n v="8.15"/>
    <x v="0"/>
    <x v="35"/>
    <s v="Female"/>
    <n v="60.5"/>
    <n v="151.19999999999999"/>
    <n v="28.8"/>
    <n v="16"/>
    <s v="UT"/>
    <n v="6"/>
    <n v="634.29999999999995"/>
    <s v="High"/>
    <n v="0"/>
    <s v="Single-Day"/>
    <n v="1"/>
    <n v="0"/>
    <s v="Main Entrance"/>
    <s v="Toy Story Lot"/>
    <n v="10"/>
    <n v="17"/>
    <x v="372"/>
  </r>
  <r>
    <n v="377"/>
    <n v="119"/>
    <d v="2026-02-15T00:00:00"/>
    <s v="Sunday"/>
    <n v="2"/>
    <n v="7.94"/>
    <x v="0"/>
    <x v="73"/>
    <s v="Male"/>
    <n v="70"/>
    <n v="111.2"/>
    <n v="16"/>
    <n v="14"/>
    <s v="UT"/>
    <n v="6"/>
    <n v="634.29999999999995"/>
    <s v="High"/>
    <n v="0"/>
    <s v="Single-Day"/>
    <n v="1"/>
    <n v="0"/>
    <s v="Main Entrance"/>
    <s v="Toy Story Lot"/>
    <n v="10.1"/>
    <n v="8"/>
    <x v="33"/>
  </r>
  <r>
    <n v="378"/>
    <n v="120"/>
    <d v="2026-09-02T00:00:00"/>
    <s v="Wednesday"/>
    <n v="9"/>
    <n v="9.94"/>
    <x v="0"/>
    <x v="9"/>
    <s v="Female"/>
    <n v="62.3"/>
    <n v="133.80000000000001"/>
    <n v="24.1"/>
    <n v="14"/>
    <s v="IL"/>
    <n v="2"/>
    <n v="2371"/>
    <s v="Middle"/>
    <n v="0"/>
    <s v="Park Hopper"/>
    <n v="1"/>
    <n v="0"/>
    <s v="Main Entrance"/>
    <s v="Pixar Pals"/>
    <n v="7.8"/>
    <n v="12"/>
    <x v="373"/>
  </r>
  <r>
    <n v="379"/>
    <n v="120"/>
    <d v="2026-09-02T00:00:00"/>
    <s v="Wednesday"/>
    <n v="9"/>
    <n v="10.029999999999999"/>
    <x v="0"/>
    <x v="48"/>
    <s v="Female"/>
    <n v="63.9"/>
    <n v="132.69999999999999"/>
    <n v="22.8"/>
    <n v="18"/>
    <s v="IL"/>
    <n v="2"/>
    <n v="2371"/>
    <s v="Middle"/>
    <n v="0"/>
    <s v="Park Hopper"/>
    <n v="1"/>
    <n v="0"/>
    <s v="Main Entrance"/>
    <s v="Pixar Pals"/>
    <n v="7.8"/>
    <n v="3"/>
    <x v="374"/>
  </r>
  <r>
    <n v="380"/>
    <n v="121"/>
    <d v="2026-01-22T00:00:00"/>
    <s v="Thursday"/>
    <n v="1"/>
    <n v="9.69"/>
    <x v="0"/>
    <x v="49"/>
    <s v="Male"/>
    <n v="72.099999999999994"/>
    <n v="207.5"/>
    <n v="28.1"/>
    <n v="15"/>
    <s v="TX"/>
    <n v="3"/>
    <n v="1119.9000000000001"/>
    <s v="Middle"/>
    <n v="0"/>
    <s v="Multi-Day"/>
    <n v="0"/>
    <n v="1"/>
    <s v="Main Entrance"/>
    <s v="None/Walked from Resort"/>
    <n v="9.6"/>
    <n v="10"/>
    <x v="375"/>
  </r>
  <r>
    <n v="381"/>
    <n v="121"/>
    <d v="2026-01-22T00:00:00"/>
    <s v="Thursday"/>
    <n v="1"/>
    <n v="9.6999999999999993"/>
    <x v="0"/>
    <x v="56"/>
    <s v="Female"/>
    <n v="62.6"/>
    <n v="217.4"/>
    <n v="38.799999999999997"/>
    <n v="12"/>
    <s v="TX"/>
    <n v="3"/>
    <n v="1119.9000000000001"/>
    <s v="Middle"/>
    <n v="0"/>
    <s v="Multi-Day"/>
    <n v="0"/>
    <n v="1"/>
    <s v="Main Entrance"/>
    <s v="None/Walked from Resort"/>
    <n v="7.9"/>
    <n v="9"/>
    <x v="376"/>
  </r>
  <r>
    <n v="382"/>
    <n v="121"/>
    <d v="2026-01-22T00:00:00"/>
    <s v="Thursday"/>
    <n v="1"/>
    <n v="9.59"/>
    <x v="0"/>
    <x v="0"/>
    <s v="Male"/>
    <n v="65.2"/>
    <n v="159.6"/>
    <n v="26.5"/>
    <n v="17"/>
    <s v="TX"/>
    <n v="3"/>
    <n v="1119.9000000000001"/>
    <s v="Middle"/>
    <n v="0"/>
    <s v="Multi-Day"/>
    <n v="0"/>
    <n v="1"/>
    <s v="Main Entrance"/>
    <s v="None/Walked from Resort"/>
    <n v="9.3000000000000007"/>
    <n v="11"/>
    <x v="377"/>
  </r>
  <r>
    <n v="383"/>
    <n v="122"/>
    <d v="2026-02-19T00:00:00"/>
    <s v="Thursday"/>
    <n v="2"/>
    <n v="8.0399999999999991"/>
    <x v="0"/>
    <x v="30"/>
    <s v="Female"/>
    <n v="64.400000000000006"/>
    <n v="191.1"/>
    <n v="32.5"/>
    <n v="16"/>
    <s v="NV"/>
    <n v="3"/>
    <n v="332.8"/>
    <s v="Middle"/>
    <n v="1"/>
    <s v="Single-Day"/>
    <n v="1"/>
    <n v="0"/>
    <s v="Main Entrance"/>
    <s v="Mickey &amp; Friends"/>
    <n v="10.5"/>
    <n v="14"/>
    <x v="378"/>
  </r>
  <r>
    <n v="384"/>
    <n v="122"/>
    <d v="2026-02-19T00:00:00"/>
    <s v="Thursday"/>
    <n v="2"/>
    <n v="8.08"/>
    <x v="0"/>
    <x v="5"/>
    <s v="Female"/>
    <n v="56.1"/>
    <n v="104.7"/>
    <n v="23.2"/>
    <n v="13"/>
    <s v="NV"/>
    <n v="3"/>
    <n v="332.8"/>
    <s v="Middle"/>
    <n v="1"/>
    <s v="Single-Day"/>
    <n v="1"/>
    <n v="0"/>
    <s v="Main Entrance"/>
    <s v="Mickey &amp; Friends"/>
    <n v="10.5"/>
    <n v="6"/>
    <x v="379"/>
  </r>
  <r>
    <n v="385"/>
    <n v="122"/>
    <d v="2026-02-19T00:00:00"/>
    <s v="Thursday"/>
    <n v="2"/>
    <n v="7.84"/>
    <x v="0"/>
    <x v="32"/>
    <s v="Female"/>
    <n v="58.8"/>
    <n v="92.7"/>
    <n v="18.899999999999999"/>
    <n v="11"/>
    <s v="NV"/>
    <n v="3"/>
    <n v="332.8"/>
    <s v="Middle"/>
    <n v="1"/>
    <s v="Single-Day"/>
    <n v="1"/>
    <n v="0"/>
    <s v="Main Entrance"/>
    <s v="Mickey &amp; Friends"/>
    <n v="6.4"/>
    <n v="11"/>
    <x v="380"/>
  </r>
  <r>
    <n v="386"/>
    <n v="123"/>
    <d v="2026-08-31T00:00:00"/>
    <s v="Monday"/>
    <n v="8"/>
    <n v="13.93"/>
    <x v="1"/>
    <x v="14"/>
    <s v="Male"/>
    <n v="69.2"/>
    <n v="199.3"/>
    <n v="29.3"/>
    <n v="15"/>
    <s v="CA"/>
    <n v="6"/>
    <n v="13.7"/>
    <s v="Middle"/>
    <n v="1"/>
    <s v="Multi-Day"/>
    <n v="0"/>
    <n v="0"/>
    <s v="Main Entrance"/>
    <s v="Pixar Pals"/>
    <n v="6.8"/>
    <n v="3"/>
    <x v="381"/>
  </r>
  <r>
    <n v="387"/>
    <n v="123"/>
    <d v="2026-08-31T00:00:00"/>
    <s v="Monday"/>
    <n v="8"/>
    <n v="14.05"/>
    <x v="1"/>
    <x v="25"/>
    <s v="Male"/>
    <n v="67.3"/>
    <n v="133.69999999999999"/>
    <n v="20.7"/>
    <n v="18"/>
    <s v="CA"/>
    <n v="6"/>
    <n v="13.7"/>
    <s v="Middle"/>
    <n v="1"/>
    <s v="Multi-Day"/>
    <n v="0"/>
    <n v="0"/>
    <s v="Main Entrance"/>
    <s v="Pixar Pals"/>
    <n v="8.6999999999999993"/>
    <n v="8"/>
    <x v="382"/>
  </r>
  <r>
    <n v="388"/>
    <n v="123"/>
    <d v="2026-08-31T00:00:00"/>
    <s v="Monday"/>
    <n v="8"/>
    <n v="13.9"/>
    <x v="1"/>
    <x v="67"/>
    <s v="Male"/>
    <n v="64.099999999999994"/>
    <n v="166.3"/>
    <n v="28.7"/>
    <n v="13"/>
    <s v="CA"/>
    <n v="6"/>
    <n v="13.7"/>
    <s v="Middle"/>
    <n v="1"/>
    <s v="Multi-Day"/>
    <n v="0"/>
    <n v="0"/>
    <s v="Main Entrance"/>
    <s v="Pixar Pals"/>
    <n v="6.4"/>
    <n v="10"/>
    <x v="383"/>
  </r>
  <r>
    <n v="389"/>
    <n v="123"/>
    <d v="2026-08-31T00:00:00"/>
    <s v="Monday"/>
    <n v="8"/>
    <n v="13.87"/>
    <x v="1"/>
    <x v="35"/>
    <s v="Male"/>
    <n v="68.099999999999994"/>
    <n v="177"/>
    <n v="26.8"/>
    <n v="15"/>
    <s v="CA"/>
    <n v="6"/>
    <n v="13.7"/>
    <s v="Middle"/>
    <n v="1"/>
    <s v="Multi-Day"/>
    <n v="0"/>
    <n v="0"/>
    <s v="Main Entrance"/>
    <s v="Pixar Pals"/>
    <n v="11.6"/>
    <n v="9"/>
    <x v="384"/>
  </r>
  <r>
    <n v="390"/>
    <n v="123"/>
    <d v="2026-08-31T00:00:00"/>
    <s v="Monday"/>
    <n v="8"/>
    <n v="13.86"/>
    <x v="1"/>
    <x v="0"/>
    <s v="Male"/>
    <n v="64.5"/>
    <n v="134.9"/>
    <n v="22.9"/>
    <n v="15"/>
    <s v="CA"/>
    <n v="6"/>
    <n v="13.7"/>
    <s v="Middle"/>
    <n v="1"/>
    <s v="Multi-Day"/>
    <n v="0"/>
    <n v="0"/>
    <s v="Main Entrance"/>
    <s v="Pixar Pals"/>
    <n v="8.9"/>
    <n v="4"/>
    <x v="385"/>
  </r>
  <r>
    <n v="391"/>
    <n v="123"/>
    <d v="2026-08-31T00:00:00"/>
    <s v="Monday"/>
    <n v="8"/>
    <n v="13.85"/>
    <x v="1"/>
    <x v="33"/>
    <s v="Male"/>
    <n v="68.3"/>
    <n v="180.3"/>
    <n v="27.4"/>
    <n v="18"/>
    <s v="CA"/>
    <n v="6"/>
    <n v="13.7"/>
    <s v="Middle"/>
    <n v="1"/>
    <s v="Multi-Day"/>
    <n v="0"/>
    <n v="0"/>
    <s v="Main Entrance"/>
    <s v="Pixar Pals"/>
    <n v="5.3"/>
    <n v="5"/>
    <x v="386"/>
  </r>
  <r>
    <n v="392"/>
    <n v="124"/>
    <d v="2026-08-23T00:00:00"/>
    <s v="Sunday"/>
    <n v="8"/>
    <n v="10.78"/>
    <x v="0"/>
    <x v="36"/>
    <s v="Male"/>
    <n v="70.5"/>
    <n v="153.4"/>
    <n v="21.6"/>
    <n v="18"/>
    <s v="CO"/>
    <n v="5"/>
    <n v="872.4"/>
    <s v="Middle"/>
    <n v="0"/>
    <s v="Park Hopper"/>
    <n v="0"/>
    <n v="1"/>
    <s v="Main Entrance"/>
    <s v="Mickey &amp; Friends"/>
    <n v="9.1999999999999993"/>
    <n v="12"/>
    <x v="387"/>
  </r>
  <r>
    <n v="393"/>
    <n v="124"/>
    <d v="2026-08-23T00:00:00"/>
    <s v="Sunday"/>
    <n v="8"/>
    <n v="10.72"/>
    <x v="0"/>
    <x v="4"/>
    <s v="Female"/>
    <n v="64.099999999999994"/>
    <n v="107.9"/>
    <n v="18.600000000000001"/>
    <n v="13"/>
    <s v="CO"/>
    <n v="5"/>
    <n v="872.4"/>
    <s v="Middle"/>
    <n v="0"/>
    <s v="Park Hopper"/>
    <n v="0"/>
    <n v="1"/>
    <s v="Main Entrance"/>
    <s v="Mickey &amp; Friends"/>
    <n v="9"/>
    <n v="8"/>
    <x v="388"/>
  </r>
  <r>
    <n v="394"/>
    <n v="124"/>
    <d v="2026-08-23T00:00:00"/>
    <s v="Sunday"/>
    <n v="8"/>
    <n v="10.52"/>
    <x v="0"/>
    <x v="59"/>
    <s v="Female"/>
    <n v="61.8"/>
    <n v="114.4"/>
    <n v="21.1"/>
    <n v="16"/>
    <s v="CO"/>
    <n v="5"/>
    <n v="872.4"/>
    <s v="Middle"/>
    <n v="0"/>
    <s v="Park Hopper"/>
    <n v="0"/>
    <n v="1"/>
    <s v="Main Entrance"/>
    <s v="Mickey &amp; Friends"/>
    <n v="11.2"/>
    <n v="8"/>
    <x v="305"/>
  </r>
  <r>
    <n v="395"/>
    <n v="124"/>
    <d v="2026-08-23T00:00:00"/>
    <s v="Sunday"/>
    <n v="8"/>
    <n v="10.9"/>
    <x v="0"/>
    <x v="25"/>
    <s v="Female"/>
    <n v="60.6"/>
    <n v="133.80000000000001"/>
    <n v="25.7"/>
    <n v="15"/>
    <s v="CO"/>
    <n v="5"/>
    <n v="872.4"/>
    <s v="Middle"/>
    <n v="0"/>
    <s v="Park Hopper"/>
    <n v="0"/>
    <n v="1"/>
    <s v="Main Entrance"/>
    <s v="Mickey &amp; Friends"/>
    <n v="8.8000000000000007"/>
    <n v="11"/>
    <x v="389"/>
  </r>
  <r>
    <n v="396"/>
    <n v="124"/>
    <d v="2026-08-23T00:00:00"/>
    <s v="Sunday"/>
    <n v="8"/>
    <n v="10.67"/>
    <x v="0"/>
    <x v="4"/>
    <s v="Female"/>
    <n v="64.8"/>
    <n v="157.19999999999999"/>
    <n v="26.1"/>
    <n v="15"/>
    <s v="CO"/>
    <n v="5"/>
    <n v="872.4"/>
    <s v="Middle"/>
    <n v="0"/>
    <s v="Park Hopper"/>
    <n v="0"/>
    <n v="1"/>
    <s v="Main Entrance"/>
    <s v="Mickey &amp; Friends"/>
    <n v="9.3000000000000007"/>
    <n v="3"/>
    <x v="390"/>
  </r>
  <r>
    <n v="397"/>
    <n v="125"/>
    <d v="2026-03-22T00:00:00"/>
    <s v="Sunday"/>
    <n v="3"/>
    <n v="11.23"/>
    <x v="1"/>
    <x v="33"/>
    <s v="Male"/>
    <n v="66.8"/>
    <n v="207.5"/>
    <n v="32.9"/>
    <n v="19"/>
    <s v="AZ"/>
    <n v="2"/>
    <n v="114.1"/>
    <s v="Middle"/>
    <n v="0"/>
    <s v="Park Hopper"/>
    <n v="0"/>
    <n v="0"/>
    <s v="Main Entrance"/>
    <s v="Mickey &amp; Friends"/>
    <n v="8.1999999999999993"/>
    <n v="6"/>
    <x v="391"/>
  </r>
  <r>
    <n v="398"/>
    <n v="125"/>
    <d v="2026-03-22T00:00:00"/>
    <s v="Sunday"/>
    <n v="3"/>
    <n v="11.49"/>
    <x v="1"/>
    <x v="30"/>
    <s v="Male"/>
    <n v="68.599999999999994"/>
    <n v="150.1"/>
    <n v="22.7"/>
    <n v="14"/>
    <s v="AZ"/>
    <n v="2"/>
    <n v="114.1"/>
    <s v="Middle"/>
    <n v="0"/>
    <s v="Park Hopper"/>
    <n v="0"/>
    <n v="0"/>
    <s v="Main Entrance"/>
    <s v="Mickey &amp; Friends"/>
    <n v="7.4"/>
    <n v="6"/>
    <x v="392"/>
  </r>
  <r>
    <n v="399"/>
    <n v="126"/>
    <d v="2026-11-05T00:00:00"/>
    <s v="Thursday"/>
    <n v="11"/>
    <n v="8.99"/>
    <x v="0"/>
    <x v="13"/>
    <s v="Female"/>
    <n v="61"/>
    <n v="107.8"/>
    <n v="20.399999999999999"/>
    <n v="13"/>
    <s v="IL"/>
    <n v="2"/>
    <n v="1835.1"/>
    <s v="Low"/>
    <n v="0"/>
    <s v="Single-Day"/>
    <n v="0"/>
    <n v="0"/>
    <s v="Downtown Disney Gate"/>
    <s v="Pixar Pals"/>
    <n v="10.5"/>
    <n v="12"/>
    <x v="393"/>
  </r>
  <r>
    <n v="400"/>
    <n v="126"/>
    <d v="2026-11-05T00:00:00"/>
    <s v="Thursday"/>
    <n v="11"/>
    <n v="8.9700000000000006"/>
    <x v="0"/>
    <x v="2"/>
    <s v="Male"/>
    <n v="70.7"/>
    <n v="154.4"/>
    <n v="21.5"/>
    <n v="13"/>
    <s v="IL"/>
    <n v="2"/>
    <n v="1835.1"/>
    <s v="Low"/>
    <n v="0"/>
    <s v="Single-Day"/>
    <n v="0"/>
    <n v="0"/>
    <s v="Downtown Disney Gate"/>
    <s v="Pixar Pals"/>
    <n v="10.7"/>
    <n v="11"/>
    <x v="394"/>
  </r>
  <r>
    <n v="401"/>
    <n v="127"/>
    <d v="2026-02-19T00:00:00"/>
    <s v="Thursday"/>
    <n v="2"/>
    <n v="12.68"/>
    <x v="1"/>
    <x v="8"/>
    <s v="Male"/>
    <n v="70.3"/>
    <n v="166.9"/>
    <n v="23.6"/>
    <n v="15"/>
    <s v="CA"/>
    <n v="3"/>
    <n v="36.5"/>
    <s v="High"/>
    <n v="0"/>
    <s v="Single-Day"/>
    <n v="1"/>
    <n v="0"/>
    <s v="Main Entrance"/>
    <s v="Pixar Pals"/>
    <n v="5.9"/>
    <n v="6"/>
    <x v="395"/>
  </r>
  <r>
    <n v="402"/>
    <n v="127"/>
    <d v="2026-02-19T00:00:00"/>
    <s v="Thursday"/>
    <n v="2"/>
    <n v="12.68"/>
    <x v="1"/>
    <x v="6"/>
    <s v="Female"/>
    <n v="64.400000000000006"/>
    <n v="112.6"/>
    <n v="19.2"/>
    <n v="17"/>
    <s v="CA"/>
    <n v="3"/>
    <n v="36.5"/>
    <s v="High"/>
    <n v="0"/>
    <s v="Single-Day"/>
    <n v="1"/>
    <n v="0"/>
    <s v="Main Entrance"/>
    <s v="Pixar Pals"/>
    <n v="8.6"/>
    <n v="12"/>
    <x v="396"/>
  </r>
  <r>
    <n v="403"/>
    <n v="127"/>
    <d v="2026-02-19T00:00:00"/>
    <s v="Thursday"/>
    <n v="2"/>
    <n v="12.51"/>
    <x v="1"/>
    <x v="40"/>
    <s v="Male"/>
    <n v="56.9"/>
    <n v="82"/>
    <n v="18.100000000000001"/>
    <n v="14"/>
    <s v="CA"/>
    <n v="3"/>
    <n v="36.5"/>
    <s v="High"/>
    <n v="0"/>
    <s v="Single-Day"/>
    <n v="1"/>
    <n v="0"/>
    <s v="Main Entrance"/>
    <s v="Pixar Pals"/>
    <n v="6"/>
    <n v="5"/>
    <x v="397"/>
  </r>
  <r>
    <n v="404"/>
    <n v="128"/>
    <d v="2026-06-13T00:00:00"/>
    <s v="Saturday"/>
    <n v="6"/>
    <n v="11.43"/>
    <x v="1"/>
    <x v="7"/>
    <s v="Female"/>
    <n v="49.6"/>
    <n v="80.7"/>
    <n v="23.1"/>
    <n v="13"/>
    <s v="CO"/>
    <n v="3"/>
    <n v="770.3"/>
    <s v="Low"/>
    <n v="0"/>
    <s v="Single-Day"/>
    <n v="1"/>
    <n v="0"/>
    <s v="Main Entrance"/>
    <s v="Pixar Pals"/>
    <n v="9.1"/>
    <n v="13"/>
    <x v="398"/>
  </r>
  <r>
    <n v="405"/>
    <n v="128"/>
    <d v="2026-06-13T00:00:00"/>
    <s v="Saturday"/>
    <n v="6"/>
    <n v="11.8"/>
    <x v="1"/>
    <x v="27"/>
    <s v="Male"/>
    <n v="69.7"/>
    <n v="180"/>
    <n v="26.1"/>
    <n v="12"/>
    <s v="CO"/>
    <n v="3"/>
    <n v="770.3"/>
    <s v="Low"/>
    <n v="0"/>
    <s v="Single-Day"/>
    <n v="1"/>
    <n v="0"/>
    <s v="Main Entrance"/>
    <s v="Pixar Pals"/>
    <n v="9.6"/>
    <n v="10"/>
    <x v="399"/>
  </r>
  <r>
    <n v="406"/>
    <n v="128"/>
    <d v="2026-06-13T00:00:00"/>
    <s v="Saturday"/>
    <n v="6"/>
    <n v="11.83"/>
    <x v="1"/>
    <x v="8"/>
    <s v="Female"/>
    <n v="65.099999999999994"/>
    <n v="148.5"/>
    <n v="24.6"/>
    <n v="13"/>
    <s v="CO"/>
    <n v="3"/>
    <n v="770.3"/>
    <s v="Low"/>
    <n v="0"/>
    <s v="Single-Day"/>
    <n v="1"/>
    <n v="0"/>
    <s v="Main Entrance"/>
    <s v="Pixar Pals"/>
    <n v="10.199999999999999"/>
    <n v="7"/>
    <x v="400"/>
  </r>
  <r>
    <n v="407"/>
    <n v="129"/>
    <d v="2026-08-25T00:00:00"/>
    <s v="Tuesday"/>
    <n v="8"/>
    <n v="12.07"/>
    <x v="1"/>
    <x v="32"/>
    <s v="Female"/>
    <n v="59.3"/>
    <n v="88.6"/>
    <n v="17.8"/>
    <n v="12"/>
    <s v="UT"/>
    <n v="6"/>
    <n v="879.1"/>
    <s v="High"/>
    <n v="1"/>
    <s v="Multi-Day"/>
    <n v="1"/>
    <n v="0"/>
    <s v="Main Entrance"/>
    <s v="Toy Story Lot"/>
    <n v="9.5"/>
    <n v="11"/>
    <x v="401"/>
  </r>
  <r>
    <n v="408"/>
    <n v="129"/>
    <d v="2026-08-25T00:00:00"/>
    <s v="Tuesday"/>
    <n v="8"/>
    <n v="11.97"/>
    <x v="1"/>
    <x v="54"/>
    <s v="Male"/>
    <n v="66.599999999999994"/>
    <n v="181"/>
    <n v="28.5"/>
    <n v="14"/>
    <s v="UT"/>
    <n v="6"/>
    <n v="879.1"/>
    <s v="High"/>
    <n v="1"/>
    <s v="Multi-Day"/>
    <n v="1"/>
    <n v="0"/>
    <s v="Main Entrance"/>
    <s v="Toy Story Lot"/>
    <n v="9.8000000000000007"/>
    <n v="9"/>
    <x v="402"/>
  </r>
  <r>
    <n v="409"/>
    <n v="129"/>
    <d v="2026-08-25T00:00:00"/>
    <s v="Tuesday"/>
    <n v="8"/>
    <n v="12.07"/>
    <x v="1"/>
    <x v="67"/>
    <s v="Male"/>
    <n v="69.3"/>
    <n v="132.19999999999999"/>
    <n v="19.399999999999999"/>
    <n v="14"/>
    <s v="UT"/>
    <n v="6"/>
    <n v="879.1"/>
    <s v="High"/>
    <n v="1"/>
    <s v="Multi-Day"/>
    <n v="1"/>
    <n v="0"/>
    <s v="Main Entrance"/>
    <s v="Toy Story Lot"/>
    <n v="9.1999999999999993"/>
    <n v="11"/>
    <x v="403"/>
  </r>
  <r>
    <n v="410"/>
    <n v="129"/>
    <d v="2026-08-25T00:00:00"/>
    <s v="Tuesday"/>
    <n v="8"/>
    <n v="12.18"/>
    <x v="1"/>
    <x v="71"/>
    <s v="Male"/>
    <n v="64"/>
    <n v="111.7"/>
    <n v="19"/>
    <n v="18"/>
    <s v="UT"/>
    <n v="6"/>
    <n v="879.1"/>
    <s v="High"/>
    <n v="1"/>
    <s v="Multi-Day"/>
    <n v="1"/>
    <n v="0"/>
    <s v="Main Entrance"/>
    <s v="Toy Story Lot"/>
    <n v="10.6"/>
    <n v="9"/>
    <x v="404"/>
  </r>
  <r>
    <n v="411"/>
    <n v="129"/>
    <d v="2026-08-25T00:00:00"/>
    <s v="Tuesday"/>
    <n v="8"/>
    <n v="11.89"/>
    <x v="1"/>
    <x v="60"/>
    <s v="Male"/>
    <n v="67.5"/>
    <n v="162"/>
    <n v="25.1"/>
    <n v="12"/>
    <s v="UT"/>
    <n v="6"/>
    <n v="879.1"/>
    <s v="High"/>
    <n v="1"/>
    <s v="Multi-Day"/>
    <n v="1"/>
    <n v="0"/>
    <s v="Main Entrance"/>
    <s v="Toy Story Lot"/>
    <n v="7.3"/>
    <n v="5"/>
    <x v="405"/>
  </r>
  <r>
    <n v="412"/>
    <n v="129"/>
    <d v="2026-08-25T00:00:00"/>
    <s v="Tuesday"/>
    <n v="8"/>
    <n v="11.89"/>
    <x v="1"/>
    <x v="37"/>
    <s v="Female"/>
    <n v="61.4"/>
    <n v="120.5"/>
    <n v="22.6"/>
    <n v="17"/>
    <s v="UT"/>
    <n v="6"/>
    <n v="879.1"/>
    <s v="High"/>
    <n v="1"/>
    <s v="Multi-Day"/>
    <n v="1"/>
    <n v="0"/>
    <s v="Main Entrance"/>
    <s v="Toy Story Lot"/>
    <n v="8.3000000000000007"/>
    <n v="9"/>
    <x v="406"/>
  </r>
  <r>
    <n v="413"/>
    <n v="130"/>
    <d v="2026-01-19T00:00:00"/>
    <s v="Monday"/>
    <n v="1"/>
    <n v="8.16"/>
    <x v="0"/>
    <x v="57"/>
    <s v="Male"/>
    <n v="70.7"/>
    <n v="210.4"/>
    <n v="29.8"/>
    <n v="18"/>
    <s v="FL"/>
    <n v="4"/>
    <n v="2316.6999999999998"/>
    <s v="Middle"/>
    <n v="1"/>
    <s v="Single-Day"/>
    <n v="0"/>
    <n v="0"/>
    <s v="Main Entrance"/>
    <s v="Toy Story Lot"/>
    <n v="7"/>
    <n v="9"/>
    <x v="407"/>
  </r>
  <r>
    <n v="414"/>
    <n v="130"/>
    <d v="2026-01-19T00:00:00"/>
    <s v="Monday"/>
    <n v="1"/>
    <n v="8.3000000000000007"/>
    <x v="0"/>
    <x v="20"/>
    <s v="Male"/>
    <n v="70"/>
    <n v="162"/>
    <n v="23.5"/>
    <n v="14"/>
    <s v="FL"/>
    <n v="4"/>
    <n v="2316.6999999999998"/>
    <s v="Middle"/>
    <n v="1"/>
    <s v="Single-Day"/>
    <n v="0"/>
    <n v="0"/>
    <s v="Main Entrance"/>
    <s v="Toy Story Lot"/>
    <n v="9.6999999999999993"/>
    <n v="11"/>
    <x v="408"/>
  </r>
  <r>
    <n v="415"/>
    <n v="130"/>
    <d v="2026-01-19T00:00:00"/>
    <s v="Monday"/>
    <n v="1"/>
    <n v="8.44"/>
    <x v="0"/>
    <x v="8"/>
    <s v="Male"/>
    <n v="67.8"/>
    <n v="160.4"/>
    <n v="24.8"/>
    <n v="14"/>
    <s v="FL"/>
    <n v="4"/>
    <n v="2316.6999999999998"/>
    <s v="Middle"/>
    <n v="1"/>
    <s v="Single-Day"/>
    <n v="0"/>
    <n v="0"/>
    <s v="Main Entrance"/>
    <s v="Toy Story Lot"/>
    <n v="7.8"/>
    <n v="9"/>
    <x v="409"/>
  </r>
  <r>
    <n v="416"/>
    <n v="130"/>
    <d v="2026-01-19T00:00:00"/>
    <s v="Monday"/>
    <n v="1"/>
    <n v="8.42"/>
    <x v="0"/>
    <x v="18"/>
    <s v="Male"/>
    <n v="70.7"/>
    <n v="148.30000000000001"/>
    <n v="20.9"/>
    <n v="17"/>
    <s v="FL"/>
    <n v="4"/>
    <n v="2316.6999999999998"/>
    <s v="Middle"/>
    <n v="1"/>
    <s v="Single-Day"/>
    <n v="0"/>
    <n v="0"/>
    <s v="Main Entrance"/>
    <s v="Toy Story Lot"/>
    <n v="11.3"/>
    <n v="13"/>
    <x v="410"/>
  </r>
  <r>
    <n v="417"/>
    <n v="131"/>
    <d v="2026-05-25T00:00:00"/>
    <s v="Monday"/>
    <n v="5"/>
    <n v="10.82"/>
    <x v="0"/>
    <x v="38"/>
    <s v="Male"/>
    <n v="70.7"/>
    <n v="212.2"/>
    <n v="30.1"/>
    <n v="12"/>
    <s v="CA"/>
    <n v="5"/>
    <n v="16.100000000000001"/>
    <s v="Middle"/>
    <n v="0"/>
    <s v="Single-Day"/>
    <n v="0"/>
    <n v="0"/>
    <s v="Main Entrance"/>
    <s v="Toy Story Lot"/>
    <n v="8.5"/>
    <n v="5"/>
    <x v="411"/>
  </r>
  <r>
    <n v="418"/>
    <n v="131"/>
    <d v="2026-05-25T00:00:00"/>
    <s v="Monday"/>
    <n v="5"/>
    <n v="10.9"/>
    <x v="0"/>
    <x v="38"/>
    <s v="Female"/>
    <n v="65.900000000000006"/>
    <n v="201"/>
    <n v="32.6"/>
    <n v="13"/>
    <s v="CA"/>
    <n v="5"/>
    <n v="16.100000000000001"/>
    <s v="Middle"/>
    <n v="0"/>
    <s v="Single-Day"/>
    <n v="0"/>
    <n v="0"/>
    <s v="Main Entrance"/>
    <s v="Toy Story Lot"/>
    <n v="4.8"/>
    <n v="1"/>
    <x v="412"/>
  </r>
  <r>
    <n v="419"/>
    <n v="131"/>
    <d v="2026-05-25T00:00:00"/>
    <s v="Monday"/>
    <n v="5"/>
    <n v="11.05"/>
    <x v="1"/>
    <x v="69"/>
    <s v="Male"/>
    <n v="67.8"/>
    <n v="207.1"/>
    <n v="31.5"/>
    <n v="14"/>
    <s v="CA"/>
    <n v="5"/>
    <n v="16.100000000000001"/>
    <s v="Middle"/>
    <n v="0"/>
    <s v="Single-Day"/>
    <n v="0"/>
    <n v="0"/>
    <s v="Main Entrance"/>
    <s v="Toy Story Lot"/>
    <n v="7.5"/>
    <n v="5"/>
    <x v="413"/>
  </r>
  <r>
    <n v="420"/>
    <n v="131"/>
    <d v="2026-05-25T00:00:00"/>
    <s v="Monday"/>
    <n v="5"/>
    <n v="10.89"/>
    <x v="0"/>
    <x v="9"/>
    <s v="Male"/>
    <n v="67.7"/>
    <n v="169"/>
    <n v="26.1"/>
    <n v="17"/>
    <s v="CA"/>
    <n v="5"/>
    <n v="16.100000000000001"/>
    <s v="Middle"/>
    <n v="0"/>
    <s v="Single-Day"/>
    <n v="0"/>
    <n v="0"/>
    <s v="Main Entrance"/>
    <s v="Toy Story Lot"/>
    <n v="8.5"/>
    <n v="9"/>
    <x v="414"/>
  </r>
  <r>
    <n v="421"/>
    <n v="131"/>
    <d v="2026-05-25T00:00:00"/>
    <s v="Monday"/>
    <n v="5"/>
    <n v="10.86"/>
    <x v="0"/>
    <x v="50"/>
    <s v="Male"/>
    <n v="69"/>
    <n v="134.6"/>
    <n v="19.7"/>
    <n v="15"/>
    <s v="CA"/>
    <n v="5"/>
    <n v="16.100000000000001"/>
    <s v="Middle"/>
    <n v="0"/>
    <s v="Single-Day"/>
    <n v="0"/>
    <n v="0"/>
    <s v="Main Entrance"/>
    <s v="Toy Story Lot"/>
    <n v="6.1"/>
    <n v="12"/>
    <x v="415"/>
  </r>
  <r>
    <n v="422"/>
    <n v="132"/>
    <d v="2026-07-24T00:00:00"/>
    <s v="Friday"/>
    <n v="7"/>
    <n v="12.63"/>
    <x v="1"/>
    <x v="10"/>
    <s v="Male"/>
    <n v="68.400000000000006"/>
    <n v="167.3"/>
    <n v="25"/>
    <n v="12"/>
    <s v="UT"/>
    <n v="5"/>
    <n v="502.1"/>
    <s v="Low"/>
    <n v="0"/>
    <s v="Park Hopper"/>
    <n v="1"/>
    <n v="0"/>
    <s v="Main Entrance"/>
    <s v="Toy Story Lot"/>
    <n v="5.9"/>
    <n v="2"/>
    <x v="416"/>
  </r>
  <r>
    <n v="423"/>
    <n v="132"/>
    <d v="2026-07-24T00:00:00"/>
    <s v="Friday"/>
    <n v="7"/>
    <n v="12.46"/>
    <x v="1"/>
    <x v="48"/>
    <s v="Male"/>
    <n v="71"/>
    <n v="235.6"/>
    <n v="32.6"/>
    <n v="14"/>
    <s v="UT"/>
    <n v="5"/>
    <n v="502.1"/>
    <s v="Low"/>
    <n v="0"/>
    <s v="Park Hopper"/>
    <n v="1"/>
    <n v="0"/>
    <s v="Main Entrance"/>
    <s v="Toy Story Lot"/>
    <n v="7.8"/>
    <n v="6"/>
    <x v="417"/>
  </r>
  <r>
    <n v="424"/>
    <n v="132"/>
    <d v="2026-07-24T00:00:00"/>
    <s v="Friday"/>
    <n v="7"/>
    <n v="12.71"/>
    <x v="1"/>
    <x v="64"/>
    <s v="Male"/>
    <n v="54.5"/>
    <n v="79"/>
    <n v="18.600000000000001"/>
    <n v="10"/>
    <s v="UT"/>
    <n v="5"/>
    <n v="502.1"/>
    <s v="Low"/>
    <n v="0"/>
    <s v="Park Hopper"/>
    <n v="1"/>
    <n v="0"/>
    <s v="Main Entrance"/>
    <s v="Toy Story Lot"/>
    <n v="7.7"/>
    <n v="9"/>
    <x v="418"/>
  </r>
  <r>
    <n v="425"/>
    <n v="132"/>
    <d v="2026-07-24T00:00:00"/>
    <s v="Friday"/>
    <n v="7"/>
    <n v="12.47"/>
    <x v="1"/>
    <x v="66"/>
    <s v="Female"/>
    <n v="61.9"/>
    <n v="135.9"/>
    <n v="25"/>
    <n v="15"/>
    <s v="UT"/>
    <n v="5"/>
    <n v="502.1"/>
    <s v="Low"/>
    <n v="0"/>
    <s v="Park Hopper"/>
    <n v="1"/>
    <n v="0"/>
    <s v="Main Entrance"/>
    <s v="Toy Story Lot"/>
    <n v="7.9"/>
    <n v="12"/>
    <x v="419"/>
  </r>
  <r>
    <n v="426"/>
    <n v="132"/>
    <d v="2026-07-24T00:00:00"/>
    <s v="Friday"/>
    <n v="7"/>
    <n v="12.51"/>
    <x v="1"/>
    <x v="71"/>
    <s v="Male"/>
    <n v="65.400000000000006"/>
    <n v="117.1"/>
    <n v="19.3"/>
    <n v="14"/>
    <s v="UT"/>
    <n v="5"/>
    <n v="502.1"/>
    <s v="Low"/>
    <n v="0"/>
    <s v="Park Hopper"/>
    <n v="1"/>
    <n v="0"/>
    <s v="Main Entrance"/>
    <s v="Toy Story Lot"/>
    <n v="6.9"/>
    <n v="13"/>
    <x v="420"/>
  </r>
  <r>
    <n v="427"/>
    <n v="133"/>
    <d v="2026-08-16T00:00:00"/>
    <s v="Sunday"/>
    <n v="8"/>
    <n v="9.6999999999999993"/>
    <x v="0"/>
    <x v="54"/>
    <s v="Male"/>
    <n v="65.900000000000006"/>
    <n v="192.2"/>
    <n v="31"/>
    <n v="16"/>
    <s v="NV"/>
    <n v="1"/>
    <n v="328.2"/>
    <s v="Low"/>
    <n v="1"/>
    <s v="Single-Day"/>
    <n v="0"/>
    <n v="0"/>
    <s v="Main Entrance"/>
    <s v="Mickey &amp; Friends"/>
    <n v="11.2"/>
    <n v="10"/>
    <x v="421"/>
  </r>
  <r>
    <n v="428"/>
    <n v="134"/>
    <d v="2026-02-22T00:00:00"/>
    <s v="Sunday"/>
    <n v="2"/>
    <n v="10.96"/>
    <x v="0"/>
    <x v="3"/>
    <s v="Male"/>
    <n v="68.599999999999994"/>
    <n v="166.6"/>
    <n v="24.8"/>
    <n v="15"/>
    <s v="OR"/>
    <n v="3"/>
    <n v="815.1"/>
    <s v="Middle"/>
    <n v="1"/>
    <s v="Multi-Day"/>
    <n v="0"/>
    <n v="0"/>
    <s v="Main Entrance"/>
    <s v="Toy Story Lot"/>
    <n v="6.6"/>
    <n v="6"/>
    <x v="422"/>
  </r>
  <r>
    <n v="429"/>
    <n v="134"/>
    <d v="2026-02-22T00:00:00"/>
    <s v="Sunday"/>
    <n v="2"/>
    <n v="10.83"/>
    <x v="0"/>
    <x v="22"/>
    <s v="Female"/>
    <n v="62.7"/>
    <n v="84.5"/>
    <n v="14.6"/>
    <n v="13"/>
    <s v="OR"/>
    <n v="3"/>
    <n v="815.1"/>
    <s v="Middle"/>
    <n v="1"/>
    <s v="Multi-Day"/>
    <n v="0"/>
    <n v="0"/>
    <s v="Main Entrance"/>
    <s v="Toy Story Lot"/>
    <n v="9.3000000000000007"/>
    <n v="11"/>
    <x v="423"/>
  </r>
  <r>
    <n v="430"/>
    <n v="134"/>
    <d v="2026-02-22T00:00:00"/>
    <s v="Sunday"/>
    <n v="2"/>
    <n v="11"/>
    <x v="0"/>
    <x v="38"/>
    <s v="Male"/>
    <n v="71.400000000000006"/>
    <n v="164.4"/>
    <n v="23"/>
    <n v="12"/>
    <s v="OR"/>
    <n v="3"/>
    <n v="815.1"/>
    <s v="Middle"/>
    <n v="1"/>
    <s v="Multi-Day"/>
    <n v="0"/>
    <n v="0"/>
    <s v="Main Entrance"/>
    <s v="Toy Story Lot"/>
    <n v="9.5"/>
    <n v="7"/>
    <x v="424"/>
  </r>
  <r>
    <n v="431"/>
    <n v="135"/>
    <d v="2026-01-14T00:00:00"/>
    <s v="Wednesday"/>
    <n v="1"/>
    <n v="11.58"/>
    <x v="1"/>
    <x v="8"/>
    <s v="Female"/>
    <n v="63.5"/>
    <n v="142.1"/>
    <n v="24.9"/>
    <n v="13"/>
    <s v="CO"/>
    <n v="2"/>
    <n v="1079.5"/>
    <s v="Low"/>
    <n v="0"/>
    <s v="Single-Day"/>
    <n v="0"/>
    <n v="0"/>
    <s v="Main Entrance"/>
    <s v="Pixar Pals"/>
    <n v="6.7"/>
    <n v="9"/>
    <x v="425"/>
  </r>
  <r>
    <n v="432"/>
    <n v="135"/>
    <d v="2026-01-14T00:00:00"/>
    <s v="Wednesday"/>
    <n v="1"/>
    <n v="11.36"/>
    <x v="1"/>
    <x v="14"/>
    <s v="Female"/>
    <n v="57.5"/>
    <n v="119.4"/>
    <n v="25.4"/>
    <n v="18"/>
    <s v="CO"/>
    <n v="2"/>
    <n v="1079.5"/>
    <s v="Low"/>
    <n v="0"/>
    <s v="Single-Day"/>
    <n v="0"/>
    <n v="0"/>
    <s v="Main Entrance"/>
    <s v="Pixar Pals"/>
    <n v="7.4"/>
    <n v="8"/>
    <x v="426"/>
  </r>
  <r>
    <n v="433"/>
    <n v="136"/>
    <d v="2026-11-07T00:00:00"/>
    <s v="Saturday"/>
    <n v="11"/>
    <n v="11.41"/>
    <x v="1"/>
    <x v="50"/>
    <s v="Female"/>
    <n v="61.2"/>
    <n v="116.6"/>
    <n v="21.8"/>
    <n v="12"/>
    <s v="CA"/>
    <n v="5"/>
    <n v="104.7"/>
    <s v="Low"/>
    <n v="1"/>
    <s v="Single-Day"/>
    <n v="0"/>
    <n v="0"/>
    <s v="Main Entrance"/>
    <s v="Pixar Pals"/>
    <n v="8.8000000000000007"/>
    <n v="14"/>
    <x v="427"/>
  </r>
  <r>
    <n v="434"/>
    <n v="136"/>
    <d v="2026-11-07T00:00:00"/>
    <s v="Saturday"/>
    <n v="11"/>
    <n v="11.27"/>
    <x v="1"/>
    <x v="41"/>
    <s v="Female"/>
    <n v="63.3"/>
    <n v="129.6"/>
    <n v="22.8"/>
    <n v="12"/>
    <s v="CA"/>
    <n v="5"/>
    <n v="104.7"/>
    <s v="Low"/>
    <n v="1"/>
    <s v="Single-Day"/>
    <n v="0"/>
    <n v="0"/>
    <s v="Main Entrance"/>
    <s v="Pixar Pals"/>
    <n v="4.5"/>
    <n v="5"/>
    <x v="428"/>
  </r>
  <r>
    <n v="435"/>
    <n v="136"/>
    <d v="2026-11-07T00:00:00"/>
    <s v="Saturday"/>
    <n v="11"/>
    <n v="11.44"/>
    <x v="1"/>
    <x v="53"/>
    <s v="Female"/>
    <n v="56.2"/>
    <n v="107"/>
    <n v="23.8"/>
    <n v="13"/>
    <s v="CA"/>
    <n v="5"/>
    <n v="104.7"/>
    <s v="Low"/>
    <n v="1"/>
    <s v="Single-Day"/>
    <n v="0"/>
    <n v="0"/>
    <s v="Main Entrance"/>
    <s v="Pixar Pals"/>
    <n v="11.3"/>
    <n v="14"/>
    <x v="429"/>
  </r>
  <r>
    <n v="436"/>
    <n v="136"/>
    <d v="2026-11-07T00:00:00"/>
    <s v="Saturday"/>
    <n v="11"/>
    <n v="11.13"/>
    <x v="1"/>
    <x v="3"/>
    <s v="Male"/>
    <n v="64.099999999999994"/>
    <n v="157.30000000000001"/>
    <n v="26.9"/>
    <n v="13"/>
    <s v="CA"/>
    <n v="5"/>
    <n v="104.7"/>
    <s v="Low"/>
    <n v="1"/>
    <s v="Single-Day"/>
    <n v="0"/>
    <n v="0"/>
    <s v="Main Entrance"/>
    <s v="Pixar Pals"/>
    <n v="8.3000000000000007"/>
    <n v="5"/>
    <x v="62"/>
  </r>
  <r>
    <n v="437"/>
    <n v="136"/>
    <d v="2026-11-07T00:00:00"/>
    <s v="Saturday"/>
    <n v="11"/>
    <n v="10.98"/>
    <x v="0"/>
    <x v="74"/>
    <s v="Male"/>
    <n v="70.099999999999994"/>
    <n v="226.4"/>
    <n v="32.4"/>
    <n v="13"/>
    <s v="CA"/>
    <n v="5"/>
    <n v="104.7"/>
    <s v="Low"/>
    <n v="1"/>
    <s v="Single-Day"/>
    <n v="0"/>
    <n v="0"/>
    <s v="Main Entrance"/>
    <s v="Pixar Pals"/>
    <n v="10"/>
    <n v="12"/>
    <x v="430"/>
  </r>
  <r>
    <n v="438"/>
    <n v="137"/>
    <d v="2026-07-31T00:00:00"/>
    <s v="Friday"/>
    <n v="7"/>
    <n v="9.7799999999999994"/>
    <x v="0"/>
    <x v="34"/>
    <s v="Male"/>
    <n v="70.599999999999994"/>
    <n v="201.8"/>
    <n v="28.4"/>
    <n v="15"/>
    <s v="NV"/>
    <n v="2"/>
    <n v="230.2"/>
    <s v="Middle"/>
    <n v="1"/>
    <s v="Single-Day"/>
    <n v="1"/>
    <n v="0"/>
    <s v="Downtown Disney Gate"/>
    <s v="Toy Story Lot"/>
    <n v="7.9"/>
    <n v="6"/>
    <x v="431"/>
  </r>
  <r>
    <n v="439"/>
    <n v="137"/>
    <d v="2026-07-31T00:00:00"/>
    <s v="Friday"/>
    <n v="7"/>
    <n v="9.9499999999999993"/>
    <x v="0"/>
    <x v="22"/>
    <s v="Female"/>
    <n v="63.2"/>
    <n v="116.7"/>
    <n v="20.399999999999999"/>
    <n v="13"/>
    <s v="NV"/>
    <n v="2"/>
    <n v="230.2"/>
    <s v="Middle"/>
    <n v="1"/>
    <s v="Single-Day"/>
    <n v="1"/>
    <n v="0"/>
    <s v="Downtown Disney Gate"/>
    <s v="Toy Story Lot"/>
    <n v="9.1"/>
    <n v="7"/>
    <x v="432"/>
  </r>
  <r>
    <n v="440"/>
    <n v="138"/>
    <d v="2026-09-07T00:00:00"/>
    <s v="Monday"/>
    <n v="9"/>
    <n v="11.23"/>
    <x v="1"/>
    <x v="54"/>
    <s v="Male"/>
    <n v="64"/>
    <n v="157.69999999999999"/>
    <n v="27.2"/>
    <n v="19"/>
    <s v="CA"/>
    <n v="4"/>
    <n v="15.3"/>
    <s v="High"/>
    <n v="1"/>
    <s v="Multi-Day"/>
    <n v="1"/>
    <n v="1"/>
    <s v="Main Entrance"/>
    <s v="None/Walked from Resort"/>
    <n v="8.9"/>
    <n v="8"/>
    <x v="433"/>
  </r>
  <r>
    <n v="441"/>
    <n v="138"/>
    <d v="2026-09-07T00:00:00"/>
    <s v="Monday"/>
    <n v="9"/>
    <n v="11.26"/>
    <x v="1"/>
    <x v="62"/>
    <s v="Male"/>
    <n v="72.8"/>
    <n v="212.8"/>
    <n v="28"/>
    <n v="20"/>
    <s v="CA"/>
    <n v="4"/>
    <n v="15.3"/>
    <s v="High"/>
    <n v="1"/>
    <s v="Multi-Day"/>
    <n v="1"/>
    <n v="1"/>
    <s v="Main Entrance"/>
    <s v="None/Walked from Resort"/>
    <n v="6.7"/>
    <n v="11"/>
    <x v="434"/>
  </r>
  <r>
    <n v="442"/>
    <n v="138"/>
    <d v="2026-09-07T00:00:00"/>
    <s v="Monday"/>
    <n v="9"/>
    <n v="11.1"/>
    <x v="1"/>
    <x v="41"/>
    <s v="Female"/>
    <n v="70.400000000000006"/>
    <n v="232.6"/>
    <n v="33.1"/>
    <n v="17"/>
    <s v="CA"/>
    <n v="4"/>
    <n v="15.3"/>
    <s v="High"/>
    <n v="1"/>
    <s v="Multi-Day"/>
    <n v="1"/>
    <n v="1"/>
    <s v="Main Entrance"/>
    <s v="None/Walked from Resort"/>
    <n v="8.5"/>
    <n v="10"/>
    <x v="435"/>
  </r>
  <r>
    <n v="443"/>
    <n v="138"/>
    <d v="2026-09-07T00:00:00"/>
    <s v="Monday"/>
    <n v="9"/>
    <n v="11.12"/>
    <x v="1"/>
    <x v="22"/>
    <s v="Female"/>
    <n v="66.5"/>
    <n v="117.2"/>
    <n v="18.399999999999999"/>
    <n v="11"/>
    <s v="CA"/>
    <n v="4"/>
    <n v="15.3"/>
    <s v="High"/>
    <n v="1"/>
    <s v="Multi-Day"/>
    <n v="1"/>
    <n v="1"/>
    <s v="Main Entrance"/>
    <s v="None/Walked from Resort"/>
    <n v="8.1999999999999993"/>
    <n v="8"/>
    <x v="83"/>
  </r>
  <r>
    <n v="444"/>
    <n v="139"/>
    <d v="2026-01-18T00:00:00"/>
    <s v="Sunday"/>
    <n v="1"/>
    <n v="11.11"/>
    <x v="1"/>
    <x v="50"/>
    <s v="Female"/>
    <n v="66.900000000000006"/>
    <n v="156.30000000000001"/>
    <n v="24.5"/>
    <n v="8"/>
    <s v="CA"/>
    <n v="6"/>
    <n v="77.8"/>
    <s v="Low"/>
    <n v="0"/>
    <s v="Single-Day"/>
    <n v="1"/>
    <n v="0"/>
    <s v="Main Entrance"/>
    <s v="None/Dropoff/Transit"/>
    <n v="5.3"/>
    <n v="7"/>
    <x v="436"/>
  </r>
  <r>
    <n v="445"/>
    <n v="139"/>
    <d v="2026-01-18T00:00:00"/>
    <s v="Sunday"/>
    <n v="1"/>
    <n v="11.18"/>
    <x v="1"/>
    <x v="17"/>
    <s v="Female"/>
    <n v="58.9"/>
    <n v="122.5"/>
    <n v="25"/>
    <n v="15"/>
    <s v="CA"/>
    <n v="6"/>
    <n v="77.8"/>
    <s v="Low"/>
    <n v="0"/>
    <s v="Single-Day"/>
    <n v="1"/>
    <n v="0"/>
    <s v="Main Entrance"/>
    <s v="None/Dropoff/Transit"/>
    <n v="8.4"/>
    <n v="8"/>
    <x v="437"/>
  </r>
  <r>
    <n v="446"/>
    <n v="139"/>
    <d v="2026-01-18T00:00:00"/>
    <s v="Sunday"/>
    <n v="1"/>
    <n v="11.16"/>
    <x v="1"/>
    <x v="42"/>
    <s v="Male"/>
    <n v="69.5"/>
    <n v="145.19999999999999"/>
    <n v="21.2"/>
    <n v="14"/>
    <s v="CA"/>
    <n v="6"/>
    <n v="77.8"/>
    <s v="Low"/>
    <n v="0"/>
    <s v="Single-Day"/>
    <n v="1"/>
    <n v="0"/>
    <s v="Main Entrance"/>
    <s v="None/Dropoff/Transit"/>
    <n v="6.5"/>
    <n v="7"/>
    <x v="438"/>
  </r>
  <r>
    <n v="447"/>
    <n v="139"/>
    <d v="2026-01-18T00:00:00"/>
    <s v="Sunday"/>
    <n v="1"/>
    <n v="11.37"/>
    <x v="1"/>
    <x v="44"/>
    <s v="Male"/>
    <n v="68.3"/>
    <n v="132"/>
    <n v="19.899999999999999"/>
    <n v="11"/>
    <s v="CA"/>
    <n v="6"/>
    <n v="77.8"/>
    <s v="Low"/>
    <n v="0"/>
    <s v="Single-Day"/>
    <n v="1"/>
    <n v="0"/>
    <s v="Main Entrance"/>
    <s v="None/Dropoff/Transit"/>
    <n v="6.6"/>
    <n v="5"/>
    <x v="439"/>
  </r>
  <r>
    <n v="448"/>
    <n v="139"/>
    <d v="2026-01-18T00:00:00"/>
    <s v="Sunday"/>
    <n v="1"/>
    <n v="11.06"/>
    <x v="1"/>
    <x v="36"/>
    <s v="Female"/>
    <n v="65.3"/>
    <n v="190.5"/>
    <n v="31.6"/>
    <n v="12"/>
    <s v="CA"/>
    <n v="6"/>
    <n v="77.8"/>
    <s v="Low"/>
    <n v="0"/>
    <s v="Single-Day"/>
    <n v="1"/>
    <n v="0"/>
    <s v="Main Entrance"/>
    <s v="None/Dropoff/Transit"/>
    <n v="5.5"/>
    <n v="7"/>
    <x v="440"/>
  </r>
  <r>
    <n v="449"/>
    <n v="139"/>
    <d v="2026-01-18T00:00:00"/>
    <s v="Sunday"/>
    <n v="1"/>
    <n v="11.23"/>
    <x v="1"/>
    <x v="37"/>
    <s v="Female"/>
    <n v="65.7"/>
    <n v="200.6"/>
    <n v="32.6"/>
    <n v="12"/>
    <s v="CA"/>
    <n v="6"/>
    <n v="77.8"/>
    <s v="Low"/>
    <n v="0"/>
    <s v="Single-Day"/>
    <n v="1"/>
    <n v="0"/>
    <s v="Main Entrance"/>
    <s v="None/Dropoff/Transit"/>
    <n v="4.2"/>
    <n v="6"/>
    <x v="441"/>
  </r>
  <r>
    <n v="450"/>
    <n v="140"/>
    <d v="2026-12-29T00:00:00"/>
    <s v="Tuesday"/>
    <n v="12"/>
    <n v="10.51"/>
    <x v="0"/>
    <x v="72"/>
    <s v="Male"/>
    <n v="75.8"/>
    <n v="241.2"/>
    <n v="29.5"/>
    <n v="16"/>
    <s v="OR"/>
    <n v="3"/>
    <n v="846.2"/>
    <s v="Middle"/>
    <n v="0"/>
    <s v="Single-Day"/>
    <n v="0"/>
    <n v="1"/>
    <s v="Downtown Disney Gate"/>
    <s v="None/Walked from Resort"/>
    <n v="6.9"/>
    <n v="10"/>
    <x v="442"/>
  </r>
  <r>
    <n v="451"/>
    <n v="140"/>
    <d v="2026-12-29T00:00:00"/>
    <s v="Tuesday"/>
    <n v="12"/>
    <n v="10.65"/>
    <x v="0"/>
    <x v="28"/>
    <s v="Male"/>
    <n v="74.599999999999994"/>
    <n v="186.7"/>
    <n v="23.5"/>
    <n v="14"/>
    <s v="OR"/>
    <n v="3"/>
    <n v="846.2"/>
    <s v="Middle"/>
    <n v="0"/>
    <s v="Single-Day"/>
    <n v="0"/>
    <n v="1"/>
    <s v="Downtown Disney Gate"/>
    <s v="None/Walked from Resort"/>
    <n v="7.8"/>
    <n v="4"/>
    <x v="443"/>
  </r>
  <r>
    <n v="452"/>
    <n v="140"/>
    <d v="2026-12-29T00:00:00"/>
    <s v="Tuesday"/>
    <n v="12"/>
    <n v="10.6"/>
    <x v="0"/>
    <x v="38"/>
    <s v="Male"/>
    <n v="65.8"/>
    <n v="148.5"/>
    <n v="24.3"/>
    <n v="17"/>
    <s v="OR"/>
    <n v="3"/>
    <n v="846.2"/>
    <s v="Middle"/>
    <n v="0"/>
    <s v="Single-Day"/>
    <n v="0"/>
    <n v="1"/>
    <s v="Downtown Disney Gate"/>
    <s v="None/Walked from Resort"/>
    <n v="9.6"/>
    <n v="8"/>
    <x v="444"/>
  </r>
  <r>
    <n v="453"/>
    <n v="141"/>
    <d v="2026-01-07T00:00:00"/>
    <s v="Wednesday"/>
    <n v="1"/>
    <n v="10.17"/>
    <x v="0"/>
    <x v="13"/>
    <s v="Male"/>
    <n v="72.5"/>
    <n v="157.6"/>
    <n v="20.9"/>
    <n v="14"/>
    <s v="TX"/>
    <n v="2"/>
    <n v="1347.1"/>
    <s v="Low"/>
    <n v="0"/>
    <s v="Single-Day"/>
    <n v="1"/>
    <n v="1"/>
    <s v="Main Entrance"/>
    <s v="Pixar Pals"/>
    <n v="8.6"/>
    <n v="5"/>
    <x v="445"/>
  </r>
  <r>
    <n v="454"/>
    <n v="141"/>
    <d v="2026-01-07T00:00:00"/>
    <s v="Wednesday"/>
    <n v="1"/>
    <n v="10.26"/>
    <x v="0"/>
    <x v="38"/>
    <s v="Male"/>
    <n v="69.7"/>
    <n v="172.4"/>
    <n v="24.6"/>
    <n v="9"/>
    <s v="TX"/>
    <n v="2"/>
    <n v="1347.1"/>
    <s v="Low"/>
    <n v="0"/>
    <s v="Single-Day"/>
    <n v="1"/>
    <n v="1"/>
    <s v="Main Entrance"/>
    <s v="Pixar Pals"/>
    <n v="8.4"/>
    <n v="12"/>
    <x v="446"/>
  </r>
  <r>
    <n v="455"/>
    <n v="142"/>
    <d v="2026-06-16T00:00:00"/>
    <s v="Tuesday"/>
    <n v="6"/>
    <n v="14"/>
    <x v="1"/>
    <x v="27"/>
    <s v="Male"/>
    <n v="69.900000000000006"/>
    <n v="132.1"/>
    <n v="18.899999999999999"/>
    <n v="16"/>
    <s v="CO"/>
    <n v="4"/>
    <n v="726.8"/>
    <s v="High"/>
    <n v="1"/>
    <s v="Single-Day"/>
    <n v="1"/>
    <n v="0"/>
    <s v="Main Entrance"/>
    <s v="Pixar Pals"/>
    <n v="9.1999999999999993"/>
    <n v="8"/>
    <x v="447"/>
  </r>
  <r>
    <n v="456"/>
    <n v="142"/>
    <d v="2026-06-16T00:00:00"/>
    <s v="Tuesday"/>
    <n v="6"/>
    <n v="14"/>
    <x v="1"/>
    <x v="30"/>
    <s v="Female"/>
    <n v="63.9"/>
    <n v="155.30000000000001"/>
    <n v="26.8"/>
    <n v="14"/>
    <s v="CO"/>
    <n v="4"/>
    <n v="726.8"/>
    <s v="High"/>
    <n v="1"/>
    <s v="Single-Day"/>
    <n v="1"/>
    <n v="0"/>
    <s v="Main Entrance"/>
    <s v="Pixar Pals"/>
    <n v="6.9"/>
    <n v="6"/>
    <x v="448"/>
  </r>
  <r>
    <n v="457"/>
    <n v="142"/>
    <d v="2026-06-16T00:00:00"/>
    <s v="Tuesday"/>
    <n v="6"/>
    <n v="14.23"/>
    <x v="1"/>
    <x v="57"/>
    <s v="Male"/>
    <n v="67.5"/>
    <n v="135.6"/>
    <n v="20.9"/>
    <n v="16"/>
    <s v="CO"/>
    <n v="4"/>
    <n v="726.8"/>
    <s v="High"/>
    <n v="1"/>
    <s v="Single-Day"/>
    <n v="1"/>
    <n v="0"/>
    <s v="Main Entrance"/>
    <s v="Pixar Pals"/>
    <n v="5.5"/>
    <n v="8"/>
    <x v="449"/>
  </r>
  <r>
    <n v="458"/>
    <n v="142"/>
    <d v="2026-06-16T00:00:00"/>
    <s v="Tuesday"/>
    <n v="6"/>
    <n v="14.15"/>
    <x v="1"/>
    <x v="71"/>
    <s v="Female"/>
    <n v="65.900000000000006"/>
    <n v="208.6"/>
    <n v="33.799999999999997"/>
    <n v="18"/>
    <s v="CO"/>
    <n v="4"/>
    <n v="726.8"/>
    <s v="High"/>
    <n v="1"/>
    <s v="Single-Day"/>
    <n v="1"/>
    <n v="0"/>
    <s v="Main Entrance"/>
    <s v="Pixar Pals"/>
    <n v="8.6"/>
    <n v="10"/>
    <x v="450"/>
  </r>
  <r>
    <n v="459"/>
    <n v="143"/>
    <d v="2026-01-06T00:00:00"/>
    <s v="Tuesday"/>
    <n v="1"/>
    <n v="14.13"/>
    <x v="1"/>
    <x v="19"/>
    <s v="Female"/>
    <n v="68.3"/>
    <n v="120"/>
    <n v="18.100000000000001"/>
    <n v="19"/>
    <s v="CA"/>
    <n v="3"/>
    <n v="151.9"/>
    <s v="Middle"/>
    <n v="0"/>
    <s v="Multi-Day"/>
    <n v="1"/>
    <n v="0"/>
    <s v="Main Entrance"/>
    <s v="Pixar Pals"/>
    <n v="7.5"/>
    <n v="6"/>
    <x v="451"/>
  </r>
  <r>
    <n v="460"/>
    <n v="143"/>
    <d v="2026-01-06T00:00:00"/>
    <s v="Tuesday"/>
    <n v="1"/>
    <n v="14.21"/>
    <x v="1"/>
    <x v="43"/>
    <s v="Female"/>
    <n v="64.900000000000006"/>
    <n v="136.4"/>
    <n v="22.9"/>
    <n v="17"/>
    <s v="CA"/>
    <n v="3"/>
    <n v="151.9"/>
    <s v="Middle"/>
    <n v="0"/>
    <s v="Multi-Day"/>
    <n v="1"/>
    <n v="0"/>
    <s v="Main Entrance"/>
    <s v="Pixar Pals"/>
    <n v="7.9"/>
    <n v="9"/>
    <x v="452"/>
  </r>
  <r>
    <n v="461"/>
    <n v="143"/>
    <d v="2026-01-06T00:00:00"/>
    <s v="Tuesday"/>
    <n v="1"/>
    <n v="14.2"/>
    <x v="1"/>
    <x v="62"/>
    <s v="Female"/>
    <n v="64.2"/>
    <n v="171.6"/>
    <n v="29.2"/>
    <n v="16"/>
    <s v="CA"/>
    <n v="3"/>
    <n v="151.9"/>
    <s v="Middle"/>
    <n v="0"/>
    <s v="Multi-Day"/>
    <n v="1"/>
    <n v="0"/>
    <s v="Main Entrance"/>
    <s v="Pixar Pals"/>
    <n v="6.6"/>
    <n v="7"/>
    <x v="453"/>
  </r>
  <r>
    <n v="462"/>
    <n v="144"/>
    <d v="2026-10-12T00:00:00"/>
    <s v="Monday"/>
    <n v="10"/>
    <n v="8.99"/>
    <x v="0"/>
    <x v="28"/>
    <s v="Female"/>
    <n v="57.5"/>
    <n v="109.6"/>
    <n v="23.3"/>
    <n v="18"/>
    <s v="CA"/>
    <n v="3"/>
    <n v="2"/>
    <s v="Middle"/>
    <n v="0"/>
    <s v="Park Hopper"/>
    <n v="1"/>
    <n v="0"/>
    <s v="Main Entrance"/>
    <s v="Mickey &amp; Friends"/>
    <n v="10"/>
    <n v="10"/>
    <x v="454"/>
  </r>
  <r>
    <n v="463"/>
    <n v="144"/>
    <d v="2026-10-12T00:00:00"/>
    <s v="Monday"/>
    <n v="10"/>
    <n v="9.19"/>
    <x v="0"/>
    <x v="16"/>
    <s v="Male"/>
    <n v="49.1"/>
    <n v="72.3"/>
    <n v="21.1"/>
    <n v="14"/>
    <s v="CA"/>
    <n v="3"/>
    <n v="2"/>
    <s v="Middle"/>
    <n v="0"/>
    <s v="Park Hopper"/>
    <n v="1"/>
    <n v="0"/>
    <s v="Main Entrance"/>
    <s v="Mickey &amp; Friends"/>
    <n v="6.7"/>
    <n v="13"/>
    <x v="455"/>
  </r>
  <r>
    <n v="464"/>
    <n v="144"/>
    <d v="2026-10-12T00:00:00"/>
    <s v="Monday"/>
    <n v="10"/>
    <n v="9.19"/>
    <x v="0"/>
    <x v="48"/>
    <s v="Female"/>
    <n v="62.5"/>
    <n v="149.69999999999999"/>
    <n v="27.1"/>
    <n v="17"/>
    <s v="CA"/>
    <n v="3"/>
    <n v="2"/>
    <s v="Middle"/>
    <n v="0"/>
    <s v="Park Hopper"/>
    <n v="1"/>
    <n v="0"/>
    <s v="Main Entrance"/>
    <s v="Mickey &amp; Friends"/>
    <n v="6.7"/>
    <n v="9"/>
    <x v="456"/>
  </r>
  <r>
    <n v="465"/>
    <n v="145"/>
    <d v="2026-08-20T00:00:00"/>
    <s v="Thursday"/>
    <n v="8"/>
    <n v="7.07"/>
    <x v="0"/>
    <x v="18"/>
    <s v="Female"/>
    <n v="63.7"/>
    <n v="135.5"/>
    <n v="23.2"/>
    <n v="15"/>
    <s v="AZ"/>
    <n v="1"/>
    <n v="307.10000000000002"/>
    <s v="Middle"/>
    <n v="1"/>
    <s v="Multi-Day"/>
    <n v="1"/>
    <n v="0"/>
    <s v="Main Entrance"/>
    <s v="Toy Story Lot"/>
    <n v="10.4"/>
    <n v="13"/>
    <x v="457"/>
  </r>
  <r>
    <n v="466"/>
    <n v="146"/>
    <d v="2026-01-01T00:00:00"/>
    <s v="Thursday"/>
    <n v="1"/>
    <n v="9.61"/>
    <x v="0"/>
    <x v="31"/>
    <s v="Male"/>
    <n v="73.7"/>
    <n v="202.6"/>
    <n v="26.3"/>
    <n v="12"/>
    <s v="CA"/>
    <n v="6"/>
    <n v="67.7"/>
    <s v="Low"/>
    <n v="1"/>
    <s v="Single-Day"/>
    <n v="0"/>
    <n v="0"/>
    <s v="Main Entrance"/>
    <s v="Pixar Pals"/>
    <n v="8.6999999999999993"/>
    <n v="7"/>
    <x v="458"/>
  </r>
  <r>
    <n v="467"/>
    <n v="146"/>
    <d v="2026-01-01T00:00:00"/>
    <s v="Thursday"/>
    <n v="1"/>
    <n v="9.82"/>
    <x v="0"/>
    <x v="38"/>
    <s v="Female"/>
    <n v="61.7"/>
    <n v="89.2"/>
    <n v="16.399999999999999"/>
    <n v="9"/>
    <s v="CA"/>
    <n v="6"/>
    <n v="67.7"/>
    <s v="Low"/>
    <n v="1"/>
    <s v="Single-Day"/>
    <n v="0"/>
    <n v="0"/>
    <s v="Main Entrance"/>
    <s v="Pixar Pals"/>
    <n v="9.1"/>
    <n v="11"/>
    <x v="459"/>
  </r>
  <r>
    <n v="468"/>
    <n v="146"/>
    <d v="2026-01-01T00:00:00"/>
    <s v="Thursday"/>
    <n v="1"/>
    <n v="10.01"/>
    <x v="0"/>
    <x v="44"/>
    <s v="Female"/>
    <n v="65.599999999999994"/>
    <n v="153.6"/>
    <n v="25.1"/>
    <n v="11"/>
    <s v="CA"/>
    <n v="6"/>
    <n v="67.7"/>
    <s v="Low"/>
    <n v="1"/>
    <s v="Single-Day"/>
    <n v="0"/>
    <n v="0"/>
    <s v="Main Entrance"/>
    <s v="Pixar Pals"/>
    <n v="7.9"/>
    <n v="10"/>
    <x v="460"/>
  </r>
  <r>
    <n v="469"/>
    <n v="146"/>
    <d v="2026-01-01T00:00:00"/>
    <s v="Thursday"/>
    <n v="1"/>
    <n v="9.8000000000000007"/>
    <x v="0"/>
    <x v="42"/>
    <s v="Female"/>
    <n v="60.1"/>
    <n v="172"/>
    <n v="33.200000000000003"/>
    <n v="15"/>
    <s v="CA"/>
    <n v="6"/>
    <n v="67.7"/>
    <s v="Low"/>
    <n v="1"/>
    <s v="Single-Day"/>
    <n v="0"/>
    <n v="0"/>
    <s v="Main Entrance"/>
    <s v="Pixar Pals"/>
    <n v="10.199999999999999"/>
    <n v="17"/>
    <x v="461"/>
  </r>
  <r>
    <n v="470"/>
    <n v="146"/>
    <d v="2026-01-01T00:00:00"/>
    <s v="Thursday"/>
    <n v="1"/>
    <n v="9.82"/>
    <x v="0"/>
    <x v="49"/>
    <s v="Male"/>
    <n v="70.8"/>
    <n v="229.3"/>
    <n v="32.5"/>
    <n v="12"/>
    <s v="CA"/>
    <n v="6"/>
    <n v="67.7"/>
    <s v="Low"/>
    <n v="1"/>
    <s v="Single-Day"/>
    <n v="0"/>
    <n v="0"/>
    <s v="Main Entrance"/>
    <s v="Pixar Pals"/>
    <n v="10.3"/>
    <n v="13"/>
    <x v="462"/>
  </r>
  <r>
    <n v="471"/>
    <n v="146"/>
    <d v="2026-01-01T00:00:00"/>
    <s v="Thursday"/>
    <n v="1"/>
    <n v="9.5399999999999991"/>
    <x v="0"/>
    <x v="12"/>
    <s v="Male"/>
    <n v="59.2"/>
    <n v="132.19999999999999"/>
    <n v="26.4"/>
    <n v="10"/>
    <s v="CA"/>
    <n v="6"/>
    <n v="67.7"/>
    <s v="Low"/>
    <n v="1"/>
    <s v="Single-Day"/>
    <n v="0"/>
    <n v="0"/>
    <s v="Main Entrance"/>
    <s v="Pixar Pals"/>
    <n v="8.6999999999999993"/>
    <n v="8"/>
    <x v="463"/>
  </r>
  <r>
    <n v="472"/>
    <n v="147"/>
    <d v="2026-04-05T00:00:00"/>
    <s v="Sunday"/>
    <n v="4"/>
    <n v="12.24"/>
    <x v="1"/>
    <x v="20"/>
    <s v="Female"/>
    <n v="63.2"/>
    <n v="92.2"/>
    <n v="16.3"/>
    <n v="13"/>
    <s v="CA"/>
    <n v="3"/>
    <n v="91.4"/>
    <s v="High"/>
    <n v="0"/>
    <s v="Single-Day"/>
    <n v="1"/>
    <n v="0"/>
    <s v="Main Entrance"/>
    <s v="Toy Story Lot"/>
    <n v="8.1"/>
    <n v="5"/>
    <x v="464"/>
  </r>
  <r>
    <n v="473"/>
    <n v="147"/>
    <d v="2026-04-05T00:00:00"/>
    <s v="Sunday"/>
    <n v="4"/>
    <n v="12.37"/>
    <x v="1"/>
    <x v="66"/>
    <s v="Male"/>
    <n v="71.900000000000006"/>
    <n v="168.8"/>
    <n v="23.1"/>
    <n v="19"/>
    <s v="CA"/>
    <n v="3"/>
    <n v="91.4"/>
    <s v="High"/>
    <n v="0"/>
    <s v="Single-Day"/>
    <n v="1"/>
    <n v="0"/>
    <s v="Main Entrance"/>
    <s v="Toy Story Lot"/>
    <n v="4"/>
    <n v="9"/>
    <x v="465"/>
  </r>
  <r>
    <n v="474"/>
    <n v="147"/>
    <d v="2026-04-05T00:00:00"/>
    <s v="Sunday"/>
    <n v="4"/>
    <n v="12.25"/>
    <x v="1"/>
    <x v="9"/>
    <s v="Male"/>
    <n v="70.599999999999994"/>
    <n v="152"/>
    <n v="21.7"/>
    <n v="21"/>
    <s v="CA"/>
    <n v="3"/>
    <n v="91.4"/>
    <s v="High"/>
    <n v="0"/>
    <s v="Single-Day"/>
    <n v="1"/>
    <n v="0"/>
    <s v="Main Entrance"/>
    <s v="Toy Story Lot"/>
    <n v="7.6"/>
    <n v="7"/>
    <x v="466"/>
  </r>
  <r>
    <n v="475"/>
    <n v="148"/>
    <d v="2026-05-27T00:00:00"/>
    <s v="Wednesday"/>
    <n v="5"/>
    <n v="8.73"/>
    <x v="0"/>
    <x v="22"/>
    <s v="Male"/>
    <n v="59"/>
    <n v="118.5"/>
    <n v="24.1"/>
    <n v="12"/>
    <s v="TX"/>
    <n v="1"/>
    <n v="745.5"/>
    <s v="High"/>
    <n v="1"/>
    <s v="Single-Day"/>
    <n v="0"/>
    <n v="1"/>
    <s v="Downtown Disney Gate"/>
    <s v="Pixar Pals"/>
    <n v="9"/>
    <n v="7"/>
    <x v="467"/>
  </r>
  <r>
    <n v="476"/>
    <n v="149"/>
    <d v="2026-03-31T00:00:00"/>
    <s v="Tuesday"/>
    <n v="3"/>
    <n v="8.09"/>
    <x v="0"/>
    <x v="25"/>
    <s v="Male"/>
    <n v="74.400000000000006"/>
    <n v="201.7"/>
    <n v="25.6"/>
    <n v="15"/>
    <s v="MN"/>
    <n v="2"/>
    <n v="1969.8"/>
    <s v="Low"/>
    <n v="1"/>
    <s v="Single-Day"/>
    <n v="1"/>
    <n v="1"/>
    <s v="Main Entrance"/>
    <s v="Mickey &amp; Friends"/>
    <n v="12"/>
    <n v="10"/>
    <x v="468"/>
  </r>
  <r>
    <n v="477"/>
    <n v="149"/>
    <d v="2026-03-31T00:00:00"/>
    <s v="Tuesday"/>
    <n v="3"/>
    <n v="8.0399999999999991"/>
    <x v="0"/>
    <x v="49"/>
    <s v="Male"/>
    <n v="69.8"/>
    <n v="183.3"/>
    <n v="26.5"/>
    <n v="13"/>
    <s v="MN"/>
    <n v="2"/>
    <n v="1969.8"/>
    <s v="Low"/>
    <n v="1"/>
    <s v="Single-Day"/>
    <n v="1"/>
    <n v="1"/>
    <s v="Main Entrance"/>
    <s v="Mickey &amp; Friends"/>
    <n v="8.3000000000000007"/>
    <n v="11"/>
    <x v="469"/>
  </r>
  <r>
    <n v="478"/>
    <n v="150"/>
    <d v="2026-03-13T00:00:00"/>
    <s v="Friday"/>
    <n v="3"/>
    <n v="9.33"/>
    <x v="0"/>
    <x v="41"/>
    <s v="Male"/>
    <n v="70.400000000000006"/>
    <n v="192.2"/>
    <n v="27.5"/>
    <n v="12"/>
    <s v="IL"/>
    <n v="3"/>
    <n v="1491.2"/>
    <s v="High"/>
    <n v="1"/>
    <s v="Single-Day"/>
    <n v="1"/>
    <n v="0"/>
    <s v="Downtown Disney Gate"/>
    <s v="Mickey &amp; Friends"/>
    <n v="9.3000000000000007"/>
    <n v="5"/>
    <x v="470"/>
  </r>
  <r>
    <n v="479"/>
    <n v="150"/>
    <d v="2026-03-13T00:00:00"/>
    <s v="Friday"/>
    <n v="3"/>
    <n v="9.25"/>
    <x v="0"/>
    <x v="11"/>
    <s v="Male"/>
    <n v="69.400000000000006"/>
    <n v="148.19999999999999"/>
    <n v="21.5"/>
    <n v="13"/>
    <s v="IL"/>
    <n v="3"/>
    <n v="1491.2"/>
    <s v="High"/>
    <n v="1"/>
    <s v="Single-Day"/>
    <n v="1"/>
    <n v="0"/>
    <s v="Downtown Disney Gate"/>
    <s v="Mickey &amp; Friends"/>
    <n v="8.1999999999999993"/>
    <n v="7"/>
    <x v="471"/>
  </r>
  <r>
    <n v="480"/>
    <n v="150"/>
    <d v="2026-03-13T00:00:00"/>
    <s v="Friday"/>
    <n v="3"/>
    <n v="9.2899999999999991"/>
    <x v="0"/>
    <x v="6"/>
    <s v="Female"/>
    <n v="66.8"/>
    <n v="178.4"/>
    <n v="28.4"/>
    <n v="18"/>
    <s v="IL"/>
    <n v="3"/>
    <n v="1491.2"/>
    <s v="High"/>
    <n v="1"/>
    <s v="Single-Day"/>
    <n v="1"/>
    <n v="0"/>
    <s v="Downtown Disney Gate"/>
    <s v="Mickey &amp; Friends"/>
    <n v="6.5"/>
    <n v="8"/>
    <x v="472"/>
  </r>
  <r>
    <n v="481"/>
    <n v="151"/>
    <d v="2026-10-30T00:00:00"/>
    <s v="Friday"/>
    <n v="10"/>
    <n v="11.15"/>
    <x v="1"/>
    <x v="64"/>
    <s v="Female"/>
    <n v="55.7"/>
    <n v="65.900000000000006"/>
    <n v="14.9"/>
    <n v="16"/>
    <s v="OR"/>
    <n v="4"/>
    <n v="841.2"/>
    <s v="High"/>
    <n v="1"/>
    <s v="Single-Day"/>
    <n v="0"/>
    <n v="1"/>
    <s v="Main Entrance"/>
    <s v="None/Walked from Resort"/>
    <n v="11.8"/>
    <n v="9"/>
    <x v="473"/>
  </r>
  <r>
    <n v="482"/>
    <n v="151"/>
    <d v="2026-10-30T00:00:00"/>
    <s v="Friday"/>
    <n v="10"/>
    <n v="10.91"/>
    <x v="0"/>
    <x v="51"/>
    <s v="Male"/>
    <n v="76.5"/>
    <n v="197.6"/>
    <n v="23.6"/>
    <n v="16"/>
    <s v="OR"/>
    <n v="4"/>
    <n v="841.2"/>
    <s v="High"/>
    <n v="1"/>
    <s v="Single-Day"/>
    <n v="0"/>
    <n v="1"/>
    <s v="Main Entrance"/>
    <s v="None/Walked from Resort"/>
    <n v="9.6999999999999993"/>
    <n v="14"/>
    <x v="474"/>
  </r>
  <r>
    <n v="483"/>
    <n v="151"/>
    <d v="2026-10-30T00:00:00"/>
    <s v="Friday"/>
    <n v="10"/>
    <n v="11.1"/>
    <x v="1"/>
    <x v="30"/>
    <s v="Male"/>
    <n v="73.2"/>
    <n v="240.4"/>
    <n v="31.5"/>
    <n v="15"/>
    <s v="OR"/>
    <n v="4"/>
    <n v="841.2"/>
    <s v="High"/>
    <n v="1"/>
    <s v="Single-Day"/>
    <n v="0"/>
    <n v="1"/>
    <s v="Main Entrance"/>
    <s v="None/Walked from Resort"/>
    <n v="8.8000000000000007"/>
    <n v="9"/>
    <x v="475"/>
  </r>
  <r>
    <n v="484"/>
    <n v="151"/>
    <d v="2026-10-30T00:00:00"/>
    <s v="Friday"/>
    <n v="10"/>
    <n v="10.77"/>
    <x v="0"/>
    <x v="38"/>
    <s v="Female"/>
    <n v="66.099999999999994"/>
    <n v="224.5"/>
    <n v="36.1"/>
    <n v="14"/>
    <s v="OR"/>
    <n v="4"/>
    <n v="841.2"/>
    <s v="High"/>
    <n v="1"/>
    <s v="Single-Day"/>
    <n v="0"/>
    <n v="1"/>
    <s v="Main Entrance"/>
    <s v="None/Walked from Resort"/>
    <n v="9.4"/>
    <n v="12"/>
    <x v="476"/>
  </r>
  <r>
    <n v="485"/>
    <n v="152"/>
    <d v="2026-10-29T00:00:00"/>
    <s v="Thursday"/>
    <n v="10"/>
    <n v="10.9"/>
    <x v="0"/>
    <x v="34"/>
    <s v="Male"/>
    <n v="72.2"/>
    <n v="202.9"/>
    <n v="27.2"/>
    <n v="19"/>
    <s v="WA"/>
    <n v="3"/>
    <n v="952.5"/>
    <s v="High"/>
    <n v="1"/>
    <s v="Single-Day"/>
    <n v="1"/>
    <n v="1"/>
    <s v="Main Entrance"/>
    <s v="None/Walked from Resort"/>
    <n v="9.8000000000000007"/>
    <n v="9"/>
    <x v="477"/>
  </r>
  <r>
    <n v="486"/>
    <n v="152"/>
    <d v="2026-10-29T00:00:00"/>
    <s v="Thursday"/>
    <n v="10"/>
    <n v="10.88"/>
    <x v="0"/>
    <x v="36"/>
    <s v="Female"/>
    <n v="64"/>
    <n v="125"/>
    <n v="21.6"/>
    <n v="13"/>
    <s v="WA"/>
    <n v="3"/>
    <n v="952.5"/>
    <s v="High"/>
    <n v="1"/>
    <s v="Single-Day"/>
    <n v="1"/>
    <n v="1"/>
    <s v="Main Entrance"/>
    <s v="None/Walked from Resort"/>
    <n v="7.9"/>
    <n v="14"/>
    <x v="478"/>
  </r>
  <r>
    <n v="487"/>
    <n v="152"/>
    <d v="2026-10-29T00:00:00"/>
    <s v="Thursday"/>
    <n v="10"/>
    <n v="10.84"/>
    <x v="0"/>
    <x v="64"/>
    <s v="Female"/>
    <n v="50.9"/>
    <n v="64.3"/>
    <n v="17.399999999999999"/>
    <n v="14"/>
    <s v="WA"/>
    <n v="3"/>
    <n v="952.5"/>
    <s v="High"/>
    <n v="1"/>
    <s v="Single-Day"/>
    <n v="1"/>
    <n v="1"/>
    <s v="Main Entrance"/>
    <s v="None/Walked from Resort"/>
    <n v="10.8"/>
    <n v="13"/>
    <x v="479"/>
  </r>
  <r>
    <n v="488"/>
    <n v="153"/>
    <d v="2026-06-11T00:00:00"/>
    <s v="Thursday"/>
    <n v="6"/>
    <n v="10.98"/>
    <x v="0"/>
    <x v="25"/>
    <s v="Male"/>
    <n v="72"/>
    <n v="133.69999999999999"/>
    <n v="18.3"/>
    <n v="18"/>
    <s v="CA"/>
    <n v="6"/>
    <n v="54.3"/>
    <s v="High"/>
    <n v="1"/>
    <s v="Single-Day"/>
    <n v="0"/>
    <n v="1"/>
    <s v="Main Entrance"/>
    <s v="None/Walked from Resort"/>
    <n v="7.2"/>
    <n v="5"/>
    <x v="480"/>
  </r>
  <r>
    <n v="489"/>
    <n v="153"/>
    <d v="2026-06-11T00:00:00"/>
    <s v="Thursday"/>
    <n v="6"/>
    <n v="10.89"/>
    <x v="0"/>
    <x v="19"/>
    <s v="Female"/>
    <n v="64.5"/>
    <n v="191.4"/>
    <n v="32.299999999999997"/>
    <n v="16"/>
    <s v="CA"/>
    <n v="6"/>
    <n v="54.3"/>
    <s v="High"/>
    <n v="1"/>
    <s v="Single-Day"/>
    <n v="0"/>
    <n v="1"/>
    <s v="Main Entrance"/>
    <s v="None/Walked from Resort"/>
    <n v="11.2"/>
    <n v="9"/>
    <x v="481"/>
  </r>
  <r>
    <n v="490"/>
    <n v="153"/>
    <d v="2026-06-11T00:00:00"/>
    <s v="Thursday"/>
    <n v="6"/>
    <n v="11.11"/>
    <x v="1"/>
    <x v="37"/>
    <s v="Male"/>
    <n v="65.5"/>
    <n v="149.1"/>
    <n v="24.3"/>
    <n v="18"/>
    <s v="CA"/>
    <n v="6"/>
    <n v="54.3"/>
    <s v="High"/>
    <n v="1"/>
    <s v="Single-Day"/>
    <n v="0"/>
    <n v="1"/>
    <s v="Main Entrance"/>
    <s v="None/Walked from Resort"/>
    <n v="9.8000000000000007"/>
    <n v="7"/>
    <x v="482"/>
  </r>
  <r>
    <n v="491"/>
    <n v="153"/>
    <d v="2026-06-11T00:00:00"/>
    <s v="Thursday"/>
    <n v="6"/>
    <n v="11.09"/>
    <x v="1"/>
    <x v="52"/>
    <s v="Female"/>
    <n v="62.6"/>
    <n v="123.8"/>
    <n v="22.1"/>
    <n v="17"/>
    <s v="CA"/>
    <n v="6"/>
    <n v="54.3"/>
    <s v="High"/>
    <n v="1"/>
    <s v="Single-Day"/>
    <n v="0"/>
    <n v="1"/>
    <s v="Main Entrance"/>
    <s v="None/Walked from Resort"/>
    <n v="9"/>
    <n v="10"/>
    <x v="483"/>
  </r>
  <r>
    <n v="492"/>
    <n v="153"/>
    <d v="2026-06-11T00:00:00"/>
    <s v="Thursday"/>
    <n v="6"/>
    <n v="10.95"/>
    <x v="0"/>
    <x v="55"/>
    <s v="Female"/>
    <n v="64.7"/>
    <n v="167"/>
    <n v="27.9"/>
    <n v="18"/>
    <s v="CA"/>
    <n v="6"/>
    <n v="54.3"/>
    <s v="High"/>
    <n v="1"/>
    <s v="Single-Day"/>
    <n v="0"/>
    <n v="1"/>
    <s v="Main Entrance"/>
    <s v="None/Walked from Resort"/>
    <n v="9.1"/>
    <n v="7"/>
    <x v="484"/>
  </r>
  <r>
    <n v="493"/>
    <n v="153"/>
    <d v="2026-06-11T00:00:00"/>
    <s v="Thursday"/>
    <n v="6"/>
    <n v="10.82"/>
    <x v="0"/>
    <x v="64"/>
    <s v="Male"/>
    <n v="50.8"/>
    <n v="94.7"/>
    <n v="25.9"/>
    <n v="16"/>
    <s v="CA"/>
    <n v="6"/>
    <n v="54.3"/>
    <s v="High"/>
    <n v="1"/>
    <s v="Single-Day"/>
    <n v="0"/>
    <n v="1"/>
    <s v="Main Entrance"/>
    <s v="None/Walked from Resort"/>
    <n v="8.1"/>
    <n v="6"/>
    <x v="485"/>
  </r>
  <r>
    <n v="494"/>
    <n v="154"/>
    <d v="2026-02-04T00:00:00"/>
    <s v="Wednesday"/>
    <n v="2"/>
    <n v="11.21"/>
    <x v="1"/>
    <x v="38"/>
    <s v="Female"/>
    <n v="62.8"/>
    <n v="111.6"/>
    <n v="19.899999999999999"/>
    <n v="12"/>
    <s v="TX"/>
    <n v="2"/>
    <n v="1482.7"/>
    <s v="Middle"/>
    <n v="1"/>
    <s v="Park Hopper"/>
    <n v="0"/>
    <n v="0"/>
    <s v="Main Entrance"/>
    <s v="None/Dropoff/Transit"/>
    <n v="9.5"/>
    <n v="6"/>
    <x v="486"/>
  </r>
  <r>
    <n v="495"/>
    <n v="154"/>
    <d v="2026-02-04T00:00:00"/>
    <s v="Wednesday"/>
    <n v="2"/>
    <n v="11.48"/>
    <x v="1"/>
    <x v="11"/>
    <s v="Male"/>
    <n v="72.2"/>
    <n v="211.8"/>
    <n v="28.9"/>
    <n v="14"/>
    <s v="TX"/>
    <n v="2"/>
    <n v="1482.7"/>
    <s v="Middle"/>
    <n v="1"/>
    <s v="Park Hopper"/>
    <n v="0"/>
    <n v="0"/>
    <s v="Main Entrance"/>
    <s v="None/Dropoff/Transit"/>
    <n v="9.1"/>
    <n v="5"/>
    <x v="487"/>
  </r>
  <r>
    <n v="496"/>
    <n v="155"/>
    <d v="2026-12-18T00:00:00"/>
    <s v="Friday"/>
    <n v="12"/>
    <n v="10.11"/>
    <x v="0"/>
    <x v="33"/>
    <s v="Female"/>
    <n v="66.7"/>
    <n v="143.80000000000001"/>
    <n v="22.5"/>
    <n v="16"/>
    <s v="WA"/>
    <n v="2"/>
    <n v="1328.4"/>
    <s v="Middle"/>
    <n v="1"/>
    <s v="Multi-Day"/>
    <n v="0"/>
    <n v="1"/>
    <s v="Main Entrance"/>
    <s v="Mickey &amp; Friends"/>
    <n v="10.6"/>
    <n v="12"/>
    <x v="488"/>
  </r>
  <r>
    <n v="497"/>
    <n v="155"/>
    <d v="2026-12-18T00:00:00"/>
    <s v="Friday"/>
    <n v="12"/>
    <n v="9.9499999999999993"/>
    <x v="0"/>
    <x v="16"/>
    <s v="Nonbinary/Other"/>
    <n v="52.6"/>
    <n v="73.8"/>
    <n v="18.600000000000001"/>
    <n v="16"/>
    <s v="WA"/>
    <n v="2"/>
    <n v="1328.4"/>
    <s v="Middle"/>
    <n v="1"/>
    <s v="Multi-Day"/>
    <n v="0"/>
    <n v="1"/>
    <s v="Main Entrance"/>
    <s v="Mickey &amp; Friends"/>
    <n v="12"/>
    <n v="10"/>
    <x v="489"/>
  </r>
  <r>
    <n v="498"/>
    <n v="156"/>
    <d v="2026-12-04T00:00:00"/>
    <s v="Friday"/>
    <n v="12"/>
    <n v="11.41"/>
    <x v="1"/>
    <x v="10"/>
    <s v="Male"/>
    <n v="68"/>
    <n v="197.1"/>
    <n v="29.9"/>
    <n v="11"/>
    <s v="AZ"/>
    <n v="4"/>
    <n v="384.9"/>
    <s v="Middle"/>
    <n v="0"/>
    <s v="Single-Day"/>
    <n v="0"/>
    <n v="0"/>
    <s v="Downtown Disney Gate"/>
    <s v="Mickey &amp; Friends"/>
    <n v="9.5"/>
    <n v="11"/>
    <x v="490"/>
  </r>
  <r>
    <n v="499"/>
    <n v="156"/>
    <d v="2026-12-04T00:00:00"/>
    <s v="Friday"/>
    <n v="12"/>
    <n v="11.3"/>
    <x v="1"/>
    <x v="19"/>
    <s v="Female"/>
    <n v="64"/>
    <n v="143"/>
    <n v="24.5"/>
    <n v="21"/>
    <s v="AZ"/>
    <n v="4"/>
    <n v="384.9"/>
    <s v="Middle"/>
    <n v="0"/>
    <s v="Single-Day"/>
    <n v="0"/>
    <n v="0"/>
    <s v="Downtown Disney Gate"/>
    <s v="Mickey &amp; Friends"/>
    <n v="7"/>
    <n v="12"/>
    <x v="491"/>
  </r>
  <r>
    <n v="500"/>
    <n v="156"/>
    <d v="2026-12-04T00:00:00"/>
    <s v="Friday"/>
    <n v="12"/>
    <n v="11.02"/>
    <x v="1"/>
    <x v="7"/>
    <s v="Male"/>
    <n v="50.7"/>
    <n v="93.8"/>
    <n v="25.7"/>
    <n v="15"/>
    <s v="AZ"/>
    <n v="4"/>
    <n v="384.9"/>
    <s v="Middle"/>
    <n v="0"/>
    <s v="Single-Day"/>
    <n v="0"/>
    <n v="0"/>
    <s v="Downtown Disney Gate"/>
    <s v="Mickey &amp; Friends"/>
    <n v="10.6"/>
    <n v="14"/>
    <x v="492"/>
  </r>
  <r>
    <n v="501"/>
    <n v="156"/>
    <d v="2026-12-04T00:00:00"/>
    <s v="Friday"/>
    <n v="12"/>
    <n v="11.3"/>
    <x v="1"/>
    <x v="23"/>
    <s v="Male"/>
    <n v="67.599999999999994"/>
    <n v="142.6"/>
    <n v="21.9"/>
    <n v="15"/>
    <s v="AZ"/>
    <n v="4"/>
    <n v="384.9"/>
    <s v="Middle"/>
    <n v="0"/>
    <s v="Single-Day"/>
    <n v="0"/>
    <n v="0"/>
    <s v="Downtown Disney Gate"/>
    <s v="Mickey &amp; Friends"/>
    <n v="8.5"/>
    <n v="2"/>
    <x v="493"/>
  </r>
  <r>
    <n v="502"/>
    <n v="157"/>
    <d v="2026-10-11T00:00:00"/>
    <s v="Sunday"/>
    <n v="10"/>
    <n v="10.61"/>
    <x v="0"/>
    <x v="38"/>
    <s v="Male"/>
    <n v="65.900000000000006"/>
    <n v="181.3"/>
    <n v="29.5"/>
    <n v="9"/>
    <s v="OR"/>
    <n v="3"/>
    <n v="836.4"/>
    <s v="Low"/>
    <n v="0"/>
    <s v="Single-Day"/>
    <n v="0"/>
    <n v="0"/>
    <s v="Main Entrance"/>
    <s v="None/Dropoff/Transit"/>
    <n v="9.3000000000000007"/>
    <n v="8"/>
    <x v="494"/>
  </r>
  <r>
    <n v="503"/>
    <n v="157"/>
    <d v="2026-10-11T00:00:00"/>
    <s v="Sunday"/>
    <n v="10"/>
    <n v="10.83"/>
    <x v="0"/>
    <x v="45"/>
    <s v="Female"/>
    <n v="59.7"/>
    <n v="128.80000000000001"/>
    <n v="25.5"/>
    <n v="16"/>
    <s v="OR"/>
    <n v="3"/>
    <n v="836.4"/>
    <s v="Low"/>
    <n v="0"/>
    <s v="Single-Day"/>
    <n v="0"/>
    <n v="0"/>
    <s v="Main Entrance"/>
    <s v="None/Dropoff/Transit"/>
    <n v="9.6"/>
    <n v="11"/>
    <x v="495"/>
  </r>
  <r>
    <n v="504"/>
    <n v="157"/>
    <d v="2026-10-11T00:00:00"/>
    <s v="Sunday"/>
    <n v="10"/>
    <n v="10.68"/>
    <x v="0"/>
    <x v="59"/>
    <s v="Female"/>
    <n v="63.4"/>
    <n v="129.30000000000001"/>
    <n v="22.6"/>
    <n v="11"/>
    <s v="OR"/>
    <n v="3"/>
    <n v="836.4"/>
    <s v="Low"/>
    <n v="0"/>
    <s v="Single-Day"/>
    <n v="0"/>
    <n v="0"/>
    <s v="Main Entrance"/>
    <s v="None/Dropoff/Transit"/>
    <n v="9.8000000000000007"/>
    <n v="8"/>
    <x v="496"/>
  </r>
  <r>
    <n v="505"/>
    <n v="158"/>
    <d v="2026-06-30T00:00:00"/>
    <s v="Tuesday"/>
    <n v="6"/>
    <n v="11.62"/>
    <x v="1"/>
    <x v="11"/>
    <s v="Female"/>
    <n v="66.3"/>
    <n v="164.3"/>
    <n v="26.4"/>
    <n v="12"/>
    <s v="Other"/>
    <n v="1"/>
    <n v="1231"/>
    <s v="Low"/>
    <n v="1"/>
    <s v="Park Hopper"/>
    <n v="0"/>
    <n v="1"/>
    <s v="Main Entrance"/>
    <s v="Pixar Pals"/>
    <n v="9.9"/>
    <n v="12"/>
    <x v="497"/>
  </r>
  <r>
    <n v="506"/>
    <n v="159"/>
    <d v="2026-05-02T00:00:00"/>
    <s v="Saturday"/>
    <n v="5"/>
    <n v="11.73"/>
    <x v="1"/>
    <x v="40"/>
    <s v="Male"/>
    <n v="70"/>
    <n v="147.9"/>
    <n v="21.1"/>
    <n v="9"/>
    <s v="Other"/>
    <n v="1"/>
    <n v="1282.4000000000001"/>
    <s v="Middle"/>
    <n v="1"/>
    <s v="Single-Day"/>
    <n v="0"/>
    <n v="0"/>
    <s v="Downtown Disney Gate"/>
    <s v="Pixar Pals"/>
    <n v="8.3000000000000007"/>
    <n v="5"/>
    <x v="498"/>
  </r>
  <r>
    <n v="507"/>
    <n v="160"/>
    <d v="2026-04-11T00:00:00"/>
    <s v="Saturday"/>
    <n v="4"/>
    <n v="8.91"/>
    <x v="0"/>
    <x v="38"/>
    <s v="Male"/>
    <n v="67.5"/>
    <n v="163.5"/>
    <n v="25.5"/>
    <n v="16"/>
    <s v="CA"/>
    <n v="1"/>
    <n v="118.5"/>
    <s v="High"/>
    <n v="1"/>
    <s v="Single-Day"/>
    <n v="1"/>
    <n v="1"/>
    <s v="Main Entrance"/>
    <s v="Toy Story Lot"/>
    <n v="10.199999999999999"/>
    <n v="6"/>
    <x v="499"/>
  </r>
  <r>
    <n v="508"/>
    <n v="161"/>
    <d v="2026-04-26T00:00:00"/>
    <s v="Sunday"/>
    <n v="4"/>
    <n v="10.85"/>
    <x v="0"/>
    <x v="32"/>
    <s v="Female"/>
    <n v="59.2"/>
    <n v="101.6"/>
    <n v="20.3"/>
    <n v="14"/>
    <s v="Other"/>
    <n v="5"/>
    <n v="1225.5"/>
    <s v="Middle"/>
    <n v="1"/>
    <s v="Multi-Day"/>
    <n v="0"/>
    <n v="0"/>
    <s v="Downtown Disney Gate"/>
    <s v="Toy Story Lot"/>
    <n v="9.8000000000000007"/>
    <n v="7"/>
    <x v="500"/>
  </r>
  <r>
    <n v="509"/>
    <n v="161"/>
    <d v="2026-04-26T00:00:00"/>
    <s v="Sunday"/>
    <n v="4"/>
    <n v="11.09"/>
    <x v="1"/>
    <x v="61"/>
    <s v="Female"/>
    <n v="70"/>
    <n v="134.80000000000001"/>
    <n v="19.600000000000001"/>
    <n v="13"/>
    <s v="Other"/>
    <n v="5"/>
    <n v="1225.5"/>
    <s v="Middle"/>
    <n v="1"/>
    <s v="Multi-Day"/>
    <n v="0"/>
    <n v="0"/>
    <s v="Downtown Disney Gate"/>
    <s v="Toy Story Lot"/>
    <n v="8"/>
    <n v="3"/>
    <x v="501"/>
  </r>
  <r>
    <n v="510"/>
    <n v="161"/>
    <d v="2026-04-26T00:00:00"/>
    <s v="Sunday"/>
    <n v="4"/>
    <n v="10.93"/>
    <x v="0"/>
    <x v="3"/>
    <s v="Male"/>
    <n v="64.900000000000006"/>
    <n v="146.30000000000001"/>
    <n v="24.4"/>
    <n v="17"/>
    <s v="Other"/>
    <n v="5"/>
    <n v="1225.5"/>
    <s v="Middle"/>
    <n v="1"/>
    <s v="Multi-Day"/>
    <n v="0"/>
    <n v="0"/>
    <s v="Downtown Disney Gate"/>
    <s v="Toy Story Lot"/>
    <n v="8.9"/>
    <n v="7"/>
    <x v="502"/>
  </r>
  <r>
    <n v="511"/>
    <n v="161"/>
    <d v="2026-04-26T00:00:00"/>
    <s v="Sunday"/>
    <n v="4"/>
    <n v="10.94"/>
    <x v="0"/>
    <x v="10"/>
    <s v="Female"/>
    <n v="69.099999999999994"/>
    <n v="208.1"/>
    <n v="30.7"/>
    <n v="13"/>
    <s v="Other"/>
    <n v="5"/>
    <n v="1225.5"/>
    <s v="Middle"/>
    <n v="1"/>
    <s v="Multi-Day"/>
    <n v="0"/>
    <n v="0"/>
    <s v="Downtown Disney Gate"/>
    <s v="Toy Story Lot"/>
    <n v="7.2"/>
    <n v="8"/>
    <x v="503"/>
  </r>
  <r>
    <n v="512"/>
    <n v="161"/>
    <d v="2026-04-26T00:00:00"/>
    <s v="Sunday"/>
    <n v="4"/>
    <n v="10.95"/>
    <x v="0"/>
    <x v="8"/>
    <s v="Male"/>
    <n v="67.599999999999994"/>
    <n v="183.5"/>
    <n v="28.2"/>
    <n v="19"/>
    <s v="Other"/>
    <n v="5"/>
    <n v="1225.5"/>
    <s v="Middle"/>
    <n v="1"/>
    <s v="Multi-Day"/>
    <n v="0"/>
    <n v="0"/>
    <s v="Downtown Disney Gate"/>
    <s v="Toy Story Lot"/>
    <n v="6.7"/>
    <n v="7"/>
    <x v="504"/>
  </r>
  <r>
    <n v="513"/>
    <n v="162"/>
    <d v="2026-01-24T00:00:00"/>
    <s v="Saturday"/>
    <n v="1"/>
    <n v="11.48"/>
    <x v="1"/>
    <x v="44"/>
    <s v="Male"/>
    <n v="70.8"/>
    <n v="112.2"/>
    <n v="15.9"/>
    <n v="15"/>
    <s v="CA"/>
    <n v="4"/>
    <n v="52.8"/>
    <s v="High"/>
    <n v="1"/>
    <s v="Park Hopper"/>
    <n v="0"/>
    <n v="0"/>
    <s v="Downtown Disney Gate"/>
    <s v="Mickey &amp; Friends"/>
    <n v="9.9"/>
    <n v="11"/>
    <x v="275"/>
  </r>
  <r>
    <n v="514"/>
    <n v="162"/>
    <d v="2026-01-24T00:00:00"/>
    <s v="Saturday"/>
    <n v="1"/>
    <n v="11.54"/>
    <x v="1"/>
    <x v="3"/>
    <s v="Female"/>
    <n v="67.7"/>
    <n v="178.5"/>
    <n v="27.2"/>
    <n v="14"/>
    <s v="CA"/>
    <n v="4"/>
    <n v="52.8"/>
    <s v="High"/>
    <n v="1"/>
    <s v="Park Hopper"/>
    <n v="0"/>
    <n v="0"/>
    <s v="Downtown Disney Gate"/>
    <s v="Mickey &amp; Friends"/>
    <n v="5.8"/>
    <n v="7"/>
    <x v="505"/>
  </r>
  <r>
    <n v="515"/>
    <n v="162"/>
    <d v="2026-01-24T00:00:00"/>
    <s v="Saturday"/>
    <n v="1"/>
    <n v="11.72"/>
    <x v="1"/>
    <x v="17"/>
    <s v="Female"/>
    <n v="62.1"/>
    <n v="140.19999999999999"/>
    <n v="25.6"/>
    <n v="16"/>
    <s v="CA"/>
    <n v="4"/>
    <n v="52.8"/>
    <s v="High"/>
    <n v="1"/>
    <s v="Park Hopper"/>
    <n v="0"/>
    <n v="0"/>
    <s v="Downtown Disney Gate"/>
    <s v="Mickey &amp; Friends"/>
    <n v="10.6"/>
    <n v="7"/>
    <x v="506"/>
  </r>
  <r>
    <n v="516"/>
    <n v="162"/>
    <d v="2026-01-24T00:00:00"/>
    <s v="Saturday"/>
    <n v="1"/>
    <n v="11.85"/>
    <x v="1"/>
    <x v="5"/>
    <s v="Male"/>
    <n v="70.7"/>
    <n v="210.7"/>
    <n v="29.8"/>
    <n v="17"/>
    <s v="CA"/>
    <n v="4"/>
    <n v="52.8"/>
    <s v="High"/>
    <n v="1"/>
    <s v="Park Hopper"/>
    <n v="0"/>
    <n v="0"/>
    <s v="Downtown Disney Gate"/>
    <s v="Mickey &amp; Friends"/>
    <n v="8.9"/>
    <n v="10"/>
    <x v="507"/>
  </r>
  <r>
    <n v="517"/>
    <n v="163"/>
    <d v="2026-08-09T00:00:00"/>
    <s v="Sunday"/>
    <n v="8"/>
    <n v="10.24"/>
    <x v="0"/>
    <x v="38"/>
    <s v="Male"/>
    <n v="67"/>
    <n v="191.2"/>
    <n v="29.8"/>
    <n v="11"/>
    <s v="IL"/>
    <n v="1"/>
    <n v="1539.2"/>
    <s v="Middle"/>
    <n v="1"/>
    <s v="Single-Day"/>
    <n v="1"/>
    <n v="0"/>
    <s v="Main Entrance"/>
    <s v="Pixar Pals"/>
    <n v="9.5"/>
    <n v="9"/>
    <x v="508"/>
  </r>
  <r>
    <n v="518"/>
    <n v="164"/>
    <d v="2026-02-07T00:00:00"/>
    <s v="Saturday"/>
    <n v="2"/>
    <n v="10.66"/>
    <x v="0"/>
    <x v="42"/>
    <s v="Female"/>
    <n v="62.9"/>
    <n v="125.4"/>
    <n v="22.2"/>
    <n v="17"/>
    <s v="CA"/>
    <n v="1"/>
    <n v="191.6"/>
    <s v="High"/>
    <n v="0"/>
    <s v="Park Hopper"/>
    <n v="1"/>
    <n v="1"/>
    <s v="Downtown Disney Gate"/>
    <s v="Toy Story Lot"/>
    <n v="7.3"/>
    <n v="9"/>
    <x v="509"/>
  </r>
  <r>
    <n v="519"/>
    <n v="165"/>
    <d v="2026-04-08T00:00:00"/>
    <s v="Wednesday"/>
    <n v="4"/>
    <n v="8.57"/>
    <x v="0"/>
    <x v="15"/>
    <s v="Male"/>
    <n v="64.2"/>
    <n v="180.2"/>
    <n v="30.8"/>
    <n v="14"/>
    <s v="FL"/>
    <n v="6"/>
    <n v="2198.9"/>
    <s v="Middle"/>
    <n v="0"/>
    <s v="Single-Day"/>
    <n v="1"/>
    <n v="0"/>
    <s v="Main Entrance"/>
    <s v="None/Dropoff/Transit"/>
    <n v="10.6"/>
    <n v="9"/>
    <x v="510"/>
  </r>
  <r>
    <n v="520"/>
    <n v="165"/>
    <d v="2026-04-08T00:00:00"/>
    <s v="Wednesday"/>
    <n v="4"/>
    <n v="8.5"/>
    <x v="0"/>
    <x v="66"/>
    <s v="Female"/>
    <n v="66.400000000000006"/>
    <n v="180.7"/>
    <n v="28.7"/>
    <n v="14"/>
    <s v="FL"/>
    <n v="6"/>
    <n v="2198.9"/>
    <s v="Middle"/>
    <n v="0"/>
    <s v="Single-Day"/>
    <n v="1"/>
    <n v="0"/>
    <s v="Main Entrance"/>
    <s v="None/Dropoff/Transit"/>
    <n v="10.6"/>
    <n v="10"/>
    <x v="511"/>
  </r>
  <r>
    <n v="521"/>
    <n v="165"/>
    <d v="2026-04-08T00:00:00"/>
    <s v="Wednesday"/>
    <n v="4"/>
    <n v="8.4700000000000006"/>
    <x v="0"/>
    <x v="40"/>
    <s v="Male"/>
    <n v="55.6"/>
    <n v="82.3"/>
    <n v="19"/>
    <n v="11"/>
    <s v="FL"/>
    <n v="6"/>
    <n v="2198.9"/>
    <s v="Middle"/>
    <n v="0"/>
    <s v="Single-Day"/>
    <n v="1"/>
    <n v="0"/>
    <s v="Main Entrance"/>
    <s v="None/Dropoff/Transit"/>
    <n v="7.9"/>
    <n v="4"/>
    <x v="512"/>
  </r>
  <r>
    <n v="522"/>
    <n v="165"/>
    <d v="2026-04-08T00:00:00"/>
    <s v="Wednesday"/>
    <n v="4"/>
    <n v="8.6999999999999993"/>
    <x v="0"/>
    <x v="4"/>
    <s v="Female"/>
    <n v="59.2"/>
    <n v="135.6"/>
    <n v="27.3"/>
    <n v="17"/>
    <s v="FL"/>
    <n v="6"/>
    <n v="2198.9"/>
    <s v="Middle"/>
    <n v="0"/>
    <s v="Single-Day"/>
    <n v="1"/>
    <n v="0"/>
    <s v="Main Entrance"/>
    <s v="None/Dropoff/Transit"/>
    <n v="6.2"/>
    <n v="9"/>
    <x v="513"/>
  </r>
  <r>
    <n v="523"/>
    <n v="165"/>
    <d v="2026-04-08T00:00:00"/>
    <s v="Wednesday"/>
    <n v="4"/>
    <n v="8.48"/>
    <x v="0"/>
    <x v="71"/>
    <s v="Female"/>
    <n v="62.4"/>
    <n v="159.19999999999999"/>
    <n v="28.8"/>
    <n v="16"/>
    <s v="FL"/>
    <n v="6"/>
    <n v="2198.9"/>
    <s v="Middle"/>
    <n v="0"/>
    <s v="Single-Day"/>
    <n v="1"/>
    <n v="0"/>
    <s v="Main Entrance"/>
    <s v="None/Dropoff/Transit"/>
    <n v="6.9"/>
    <n v="8"/>
    <x v="514"/>
  </r>
  <r>
    <n v="524"/>
    <n v="165"/>
    <d v="2026-04-08T00:00:00"/>
    <s v="Wednesday"/>
    <n v="4"/>
    <n v="8.64"/>
    <x v="0"/>
    <x v="8"/>
    <s v="Male"/>
    <n v="73.3"/>
    <n v="196.3"/>
    <n v="25.8"/>
    <n v="15"/>
    <s v="FL"/>
    <n v="6"/>
    <n v="2198.9"/>
    <s v="Middle"/>
    <n v="0"/>
    <s v="Single-Day"/>
    <n v="1"/>
    <n v="0"/>
    <s v="Main Entrance"/>
    <s v="None/Dropoff/Transit"/>
    <n v="11.1"/>
    <n v="7"/>
    <x v="515"/>
  </r>
  <r>
    <n v="525"/>
    <n v="166"/>
    <d v="2026-04-03T00:00:00"/>
    <s v="Friday"/>
    <n v="4"/>
    <n v="8.7100000000000009"/>
    <x v="0"/>
    <x v="56"/>
    <s v="Male"/>
    <n v="67.5"/>
    <n v="125.2"/>
    <n v="19.5"/>
    <n v="14"/>
    <s v="NV"/>
    <n v="5"/>
    <n v="330.9"/>
    <s v="High"/>
    <n v="1"/>
    <s v="Multi-Day"/>
    <n v="1"/>
    <n v="1"/>
    <s v="Main Entrance"/>
    <s v="None/Walked from Resort"/>
    <n v="9.4"/>
    <n v="12"/>
    <x v="516"/>
  </r>
  <r>
    <n v="526"/>
    <n v="166"/>
    <d v="2026-04-03T00:00:00"/>
    <s v="Friday"/>
    <n v="4"/>
    <n v="8.92"/>
    <x v="0"/>
    <x v="40"/>
    <s v="Male"/>
    <n v="61.2"/>
    <n v="91"/>
    <n v="17.3"/>
    <n v="14"/>
    <s v="NV"/>
    <n v="5"/>
    <n v="330.9"/>
    <s v="High"/>
    <n v="1"/>
    <s v="Multi-Day"/>
    <n v="1"/>
    <n v="1"/>
    <s v="Main Entrance"/>
    <s v="None/Walked from Resort"/>
    <n v="6.9"/>
    <n v="9"/>
    <x v="517"/>
  </r>
  <r>
    <n v="527"/>
    <n v="166"/>
    <d v="2026-04-03T00:00:00"/>
    <s v="Friday"/>
    <n v="4"/>
    <n v="8.75"/>
    <x v="0"/>
    <x v="31"/>
    <s v="Female"/>
    <n v="68.7"/>
    <n v="165.8"/>
    <n v="24.6"/>
    <n v="17"/>
    <s v="NV"/>
    <n v="5"/>
    <n v="330.9"/>
    <s v="High"/>
    <n v="1"/>
    <s v="Multi-Day"/>
    <n v="1"/>
    <n v="1"/>
    <s v="Main Entrance"/>
    <s v="None/Walked from Resort"/>
    <n v="9.8000000000000007"/>
    <n v="2"/>
    <x v="518"/>
  </r>
  <r>
    <n v="528"/>
    <n v="166"/>
    <d v="2026-04-03T00:00:00"/>
    <s v="Friday"/>
    <n v="4"/>
    <n v="8.93"/>
    <x v="0"/>
    <x v="43"/>
    <s v="Male"/>
    <n v="65"/>
    <n v="110.2"/>
    <n v="18.2"/>
    <n v="15"/>
    <s v="NV"/>
    <n v="5"/>
    <n v="330.9"/>
    <s v="High"/>
    <n v="1"/>
    <s v="Multi-Day"/>
    <n v="1"/>
    <n v="1"/>
    <s v="Main Entrance"/>
    <s v="None/Walked from Resort"/>
    <n v="11.9"/>
    <n v="12"/>
    <x v="519"/>
  </r>
  <r>
    <n v="529"/>
    <n v="166"/>
    <d v="2026-04-03T00:00:00"/>
    <s v="Friday"/>
    <n v="4"/>
    <n v="8.91"/>
    <x v="0"/>
    <x v="4"/>
    <s v="Female"/>
    <n v="62.4"/>
    <n v="159.5"/>
    <n v="28.8"/>
    <n v="19"/>
    <s v="NV"/>
    <n v="5"/>
    <n v="330.9"/>
    <s v="High"/>
    <n v="1"/>
    <s v="Multi-Day"/>
    <n v="1"/>
    <n v="1"/>
    <s v="Main Entrance"/>
    <s v="None/Walked from Resort"/>
    <n v="11.1"/>
    <n v="16"/>
    <x v="520"/>
  </r>
  <r>
    <n v="530"/>
    <n v="167"/>
    <d v="2026-10-12T00:00:00"/>
    <s v="Monday"/>
    <n v="10"/>
    <n v="7.34"/>
    <x v="0"/>
    <x v="20"/>
    <s v="Male"/>
    <n v="67.8"/>
    <n v="137.80000000000001"/>
    <n v="21.2"/>
    <n v="15"/>
    <s v="AZ"/>
    <n v="1"/>
    <n v="255.6"/>
    <s v="Middle"/>
    <n v="1"/>
    <s v="Park Hopper"/>
    <n v="1"/>
    <n v="0"/>
    <s v="Main Entrance"/>
    <s v="Mickey &amp; Friends"/>
    <n v="9.6"/>
    <n v="12"/>
    <x v="521"/>
  </r>
  <r>
    <n v="531"/>
    <n v="168"/>
    <d v="2026-10-17T00:00:00"/>
    <s v="Saturday"/>
    <n v="10"/>
    <n v="14.34"/>
    <x v="1"/>
    <x v="57"/>
    <s v="Female"/>
    <n v="67.8"/>
    <n v="159.19999999999999"/>
    <n v="24.6"/>
    <n v="18"/>
    <s v="AZ"/>
    <n v="5"/>
    <n v="378.1"/>
    <s v="Middle"/>
    <n v="1"/>
    <s v="Single-Day"/>
    <n v="0"/>
    <n v="0"/>
    <s v="Main Entrance"/>
    <s v="Pixar Pals"/>
    <n v="7.6"/>
    <n v="6"/>
    <x v="522"/>
  </r>
  <r>
    <n v="532"/>
    <n v="168"/>
    <d v="2026-10-17T00:00:00"/>
    <s v="Saturday"/>
    <n v="10"/>
    <n v="14.46"/>
    <x v="1"/>
    <x v="42"/>
    <s v="Male"/>
    <n v="65.7"/>
    <n v="154.6"/>
    <n v="25.3"/>
    <n v="15"/>
    <s v="AZ"/>
    <n v="5"/>
    <n v="378.1"/>
    <s v="Middle"/>
    <n v="1"/>
    <s v="Single-Day"/>
    <n v="0"/>
    <n v="0"/>
    <s v="Main Entrance"/>
    <s v="Pixar Pals"/>
    <n v="10"/>
    <n v="8"/>
    <x v="523"/>
  </r>
  <r>
    <n v="533"/>
    <n v="168"/>
    <d v="2026-10-17T00:00:00"/>
    <s v="Saturday"/>
    <n v="10"/>
    <n v="14.4"/>
    <x v="1"/>
    <x v="38"/>
    <s v="Male"/>
    <n v="73.5"/>
    <n v="186.6"/>
    <n v="24.6"/>
    <n v="14"/>
    <s v="AZ"/>
    <n v="5"/>
    <n v="378.1"/>
    <s v="Middle"/>
    <n v="1"/>
    <s v="Single-Day"/>
    <n v="0"/>
    <n v="0"/>
    <s v="Main Entrance"/>
    <s v="Pixar Pals"/>
    <n v="6.1"/>
    <n v="8"/>
    <x v="524"/>
  </r>
  <r>
    <n v="534"/>
    <n v="168"/>
    <d v="2026-10-17T00:00:00"/>
    <s v="Saturday"/>
    <n v="10"/>
    <n v="14.24"/>
    <x v="1"/>
    <x v="0"/>
    <s v="Male"/>
    <n v="71.5"/>
    <n v="248.9"/>
    <n v="34.1"/>
    <n v="16"/>
    <s v="AZ"/>
    <n v="5"/>
    <n v="378.1"/>
    <s v="Middle"/>
    <n v="1"/>
    <s v="Single-Day"/>
    <n v="0"/>
    <n v="0"/>
    <s v="Main Entrance"/>
    <s v="Pixar Pals"/>
    <n v="7.9"/>
    <n v="6"/>
    <x v="525"/>
  </r>
  <r>
    <n v="535"/>
    <n v="168"/>
    <d v="2026-10-17T00:00:00"/>
    <s v="Saturday"/>
    <n v="10"/>
    <n v="14.16"/>
    <x v="1"/>
    <x v="57"/>
    <s v="Male"/>
    <n v="69.5"/>
    <n v="157.69999999999999"/>
    <n v="22.9"/>
    <n v="15"/>
    <s v="AZ"/>
    <n v="5"/>
    <n v="378.1"/>
    <s v="Middle"/>
    <n v="1"/>
    <s v="Single-Day"/>
    <n v="0"/>
    <n v="0"/>
    <s v="Main Entrance"/>
    <s v="Pixar Pals"/>
    <n v="8.1999999999999993"/>
    <n v="11"/>
    <x v="526"/>
  </r>
  <r>
    <n v="536"/>
    <n v="169"/>
    <d v="2026-07-28T00:00:00"/>
    <s v="Tuesday"/>
    <n v="7"/>
    <n v="12.91"/>
    <x v="1"/>
    <x v="38"/>
    <s v="Female"/>
    <n v="67.400000000000006"/>
    <n v="140.69999999999999"/>
    <n v="21.6"/>
    <n v="11"/>
    <s v="CA"/>
    <n v="1"/>
    <n v="65.5"/>
    <s v="Middle"/>
    <n v="0"/>
    <s v="Park Hopper"/>
    <n v="0"/>
    <n v="0"/>
    <s v="Main Entrance"/>
    <s v="Toy Story Lot"/>
    <n v="8.8000000000000007"/>
    <n v="9"/>
    <x v="527"/>
  </r>
  <r>
    <n v="537"/>
    <n v="170"/>
    <d v="2026-04-09T00:00:00"/>
    <s v="Thursday"/>
    <n v="4"/>
    <n v="9.1300000000000008"/>
    <x v="0"/>
    <x v="43"/>
    <s v="Male"/>
    <n v="69.2"/>
    <n v="150"/>
    <n v="22.1"/>
    <n v="15"/>
    <s v="CA"/>
    <n v="2"/>
    <n v="2"/>
    <s v="Low"/>
    <n v="0"/>
    <s v="Single-Day"/>
    <n v="0"/>
    <n v="1"/>
    <s v="Main Entrance"/>
    <s v="None/Walked from Resort"/>
    <n v="8.4"/>
    <n v="8"/>
    <x v="528"/>
  </r>
  <r>
    <n v="538"/>
    <n v="170"/>
    <d v="2026-04-09T00:00:00"/>
    <s v="Thursday"/>
    <n v="4"/>
    <n v="9.26"/>
    <x v="0"/>
    <x v="51"/>
    <s v="Female"/>
    <n v="62.7"/>
    <n v="157.6"/>
    <n v="28.2"/>
    <n v="13"/>
    <s v="CA"/>
    <n v="2"/>
    <n v="2"/>
    <s v="Low"/>
    <n v="0"/>
    <s v="Single-Day"/>
    <n v="0"/>
    <n v="1"/>
    <s v="Main Entrance"/>
    <s v="None/Walked from Resort"/>
    <n v="9.8000000000000007"/>
    <n v="8"/>
    <x v="529"/>
  </r>
  <r>
    <n v="539"/>
    <n v="171"/>
    <d v="2026-10-03T00:00:00"/>
    <s v="Saturday"/>
    <n v="10"/>
    <n v="9.32"/>
    <x v="0"/>
    <x v="3"/>
    <s v="Male"/>
    <n v="73.3"/>
    <n v="217"/>
    <n v="28.4"/>
    <n v="18"/>
    <s v="CA"/>
    <n v="6"/>
    <n v="183.4"/>
    <s v="Middle"/>
    <n v="0"/>
    <s v="Single-Day"/>
    <n v="1"/>
    <n v="0"/>
    <s v="Main Entrance"/>
    <s v="Mickey &amp; Friends"/>
    <n v="6.5"/>
    <n v="4"/>
    <x v="530"/>
  </r>
  <r>
    <n v="540"/>
    <n v="171"/>
    <d v="2026-10-03T00:00:00"/>
    <s v="Saturday"/>
    <n v="10"/>
    <n v="9.39"/>
    <x v="0"/>
    <x v="42"/>
    <s v="Female"/>
    <n v="65.599999999999994"/>
    <n v="153.1"/>
    <n v="25.1"/>
    <n v="17"/>
    <s v="CA"/>
    <n v="6"/>
    <n v="183.4"/>
    <s v="Middle"/>
    <n v="0"/>
    <s v="Single-Day"/>
    <n v="1"/>
    <n v="0"/>
    <s v="Main Entrance"/>
    <s v="Mickey &amp; Friends"/>
    <n v="8.8000000000000007"/>
    <n v="11"/>
    <x v="531"/>
  </r>
  <r>
    <n v="541"/>
    <n v="171"/>
    <d v="2026-10-03T00:00:00"/>
    <s v="Saturday"/>
    <n v="10"/>
    <n v="9.44"/>
    <x v="0"/>
    <x v="8"/>
    <s v="Female"/>
    <n v="65.099999999999994"/>
    <n v="167.2"/>
    <n v="27.7"/>
    <n v="14"/>
    <s v="CA"/>
    <n v="6"/>
    <n v="183.4"/>
    <s v="Middle"/>
    <n v="0"/>
    <s v="Single-Day"/>
    <n v="1"/>
    <n v="0"/>
    <s v="Main Entrance"/>
    <s v="Mickey &amp; Friends"/>
    <n v="6.4"/>
    <n v="7"/>
    <x v="532"/>
  </r>
  <r>
    <n v="542"/>
    <n v="171"/>
    <d v="2026-10-03T00:00:00"/>
    <s v="Saturday"/>
    <n v="10"/>
    <n v="9.24"/>
    <x v="0"/>
    <x v="54"/>
    <s v="Female"/>
    <n v="63.8"/>
    <n v="104.3"/>
    <n v="18"/>
    <n v="15"/>
    <s v="CA"/>
    <n v="6"/>
    <n v="183.4"/>
    <s v="Middle"/>
    <n v="0"/>
    <s v="Single-Day"/>
    <n v="1"/>
    <n v="0"/>
    <s v="Main Entrance"/>
    <s v="Mickey &amp; Friends"/>
    <n v="7.2"/>
    <n v="6"/>
    <x v="533"/>
  </r>
  <r>
    <n v="543"/>
    <n v="171"/>
    <d v="2026-10-03T00:00:00"/>
    <s v="Saturday"/>
    <n v="10"/>
    <n v="9.51"/>
    <x v="0"/>
    <x v="75"/>
    <s v="Female"/>
    <n v="63.1"/>
    <n v="125.3"/>
    <n v="22.4"/>
    <n v="17"/>
    <s v="CA"/>
    <n v="6"/>
    <n v="183.4"/>
    <s v="Middle"/>
    <n v="0"/>
    <s v="Single-Day"/>
    <n v="1"/>
    <n v="0"/>
    <s v="Main Entrance"/>
    <s v="Mickey &amp; Friends"/>
    <n v="8"/>
    <n v="3"/>
    <x v="534"/>
  </r>
  <r>
    <n v="544"/>
    <n v="171"/>
    <d v="2026-10-03T00:00:00"/>
    <s v="Saturday"/>
    <n v="10"/>
    <n v="9.32"/>
    <x v="0"/>
    <x v="5"/>
    <s v="Female"/>
    <n v="63.7"/>
    <n v="151.80000000000001"/>
    <n v="26.4"/>
    <n v="14"/>
    <s v="CA"/>
    <n v="6"/>
    <n v="183.4"/>
    <s v="Middle"/>
    <n v="0"/>
    <s v="Single-Day"/>
    <n v="1"/>
    <n v="0"/>
    <s v="Main Entrance"/>
    <s v="Mickey &amp; Friends"/>
    <n v="9.4"/>
    <n v="10"/>
    <x v="535"/>
  </r>
  <r>
    <n v="545"/>
    <n v="172"/>
    <d v="2026-03-19T00:00:00"/>
    <s v="Thursday"/>
    <n v="3"/>
    <n v="12.58"/>
    <x v="1"/>
    <x v="38"/>
    <s v="Female"/>
    <n v="71.3"/>
    <n v="175.3"/>
    <n v="24.3"/>
    <n v="12"/>
    <s v="CA"/>
    <n v="1"/>
    <n v="2"/>
    <s v="Middle"/>
    <n v="1"/>
    <s v="Multi-Day"/>
    <n v="0"/>
    <n v="0"/>
    <s v="Main Entrance"/>
    <s v="Pixar Pals"/>
    <n v="9.1"/>
    <n v="6"/>
    <x v="536"/>
  </r>
  <r>
    <n v="546"/>
    <n v="173"/>
    <d v="2026-10-31T00:00:00"/>
    <s v="Saturday"/>
    <n v="10"/>
    <n v="9.64"/>
    <x v="0"/>
    <x v="52"/>
    <s v="Male"/>
    <n v="67.400000000000006"/>
    <n v="172"/>
    <n v="26.7"/>
    <n v="16"/>
    <s v="CA"/>
    <n v="4"/>
    <n v="160"/>
    <s v="High"/>
    <n v="0"/>
    <s v="Park Hopper"/>
    <n v="0"/>
    <n v="0"/>
    <s v="Main Entrance"/>
    <s v="Mickey &amp; Friends"/>
    <n v="6.3"/>
    <n v="7"/>
    <x v="537"/>
  </r>
  <r>
    <n v="547"/>
    <n v="173"/>
    <d v="2026-10-31T00:00:00"/>
    <s v="Saturday"/>
    <n v="10"/>
    <n v="9.64"/>
    <x v="0"/>
    <x v="19"/>
    <s v="Female"/>
    <n v="56.9"/>
    <n v="133"/>
    <n v="28.9"/>
    <n v="19"/>
    <s v="CA"/>
    <n v="4"/>
    <n v="160"/>
    <s v="High"/>
    <n v="0"/>
    <s v="Park Hopper"/>
    <n v="0"/>
    <n v="0"/>
    <s v="Main Entrance"/>
    <s v="Mickey &amp; Friends"/>
    <n v="10.4"/>
    <n v="13"/>
    <x v="538"/>
  </r>
  <r>
    <n v="548"/>
    <n v="173"/>
    <d v="2026-10-31T00:00:00"/>
    <s v="Saturday"/>
    <n v="10"/>
    <n v="9.44"/>
    <x v="0"/>
    <x v="9"/>
    <s v="Male"/>
    <n v="66"/>
    <n v="215.9"/>
    <n v="35"/>
    <n v="18"/>
    <s v="CA"/>
    <n v="4"/>
    <n v="160"/>
    <s v="High"/>
    <n v="0"/>
    <s v="Park Hopper"/>
    <n v="0"/>
    <n v="0"/>
    <s v="Main Entrance"/>
    <s v="Mickey &amp; Friends"/>
    <n v="10"/>
    <n v="8"/>
    <x v="539"/>
  </r>
  <r>
    <n v="549"/>
    <n v="173"/>
    <d v="2026-10-31T00:00:00"/>
    <s v="Saturday"/>
    <n v="10"/>
    <n v="9.7799999999999994"/>
    <x v="0"/>
    <x v="50"/>
    <s v="Female"/>
    <n v="67.599999999999994"/>
    <n v="126.4"/>
    <n v="19.5"/>
    <n v="13"/>
    <s v="CA"/>
    <n v="4"/>
    <n v="160"/>
    <s v="High"/>
    <n v="0"/>
    <s v="Park Hopper"/>
    <n v="0"/>
    <n v="0"/>
    <s v="Main Entrance"/>
    <s v="Mickey &amp; Friends"/>
    <n v="9.6"/>
    <n v="6"/>
    <x v="540"/>
  </r>
  <r>
    <n v="550"/>
    <n v="174"/>
    <d v="2026-06-20T00:00:00"/>
    <s v="Saturday"/>
    <n v="6"/>
    <n v="11.07"/>
    <x v="1"/>
    <x v="38"/>
    <s v="Male"/>
    <n v="71.7"/>
    <n v="160.4"/>
    <n v="21.7"/>
    <n v="12"/>
    <s v="IA"/>
    <n v="4"/>
    <n v="1630.4"/>
    <s v="Low"/>
    <n v="1"/>
    <s v="Single-Day"/>
    <n v="0"/>
    <n v="0"/>
    <s v="Main Entrance"/>
    <s v="Pixar Pals"/>
    <n v="5.6"/>
    <n v="5"/>
    <x v="541"/>
  </r>
  <r>
    <n v="551"/>
    <n v="174"/>
    <d v="2026-06-20T00:00:00"/>
    <s v="Saturday"/>
    <n v="6"/>
    <n v="10.91"/>
    <x v="0"/>
    <x v="60"/>
    <s v="Male"/>
    <n v="68.099999999999994"/>
    <n v="113.5"/>
    <n v="17.3"/>
    <n v="12"/>
    <s v="IA"/>
    <n v="4"/>
    <n v="1630.4"/>
    <s v="Low"/>
    <n v="1"/>
    <s v="Single-Day"/>
    <n v="0"/>
    <n v="0"/>
    <s v="Main Entrance"/>
    <s v="Pixar Pals"/>
    <n v="6.2"/>
    <n v="6"/>
    <x v="542"/>
  </r>
  <r>
    <n v="552"/>
    <n v="174"/>
    <d v="2026-06-20T00:00:00"/>
    <s v="Saturday"/>
    <n v="6"/>
    <n v="10.98"/>
    <x v="0"/>
    <x v="5"/>
    <s v="Male"/>
    <n v="69"/>
    <n v="235.5"/>
    <n v="34.5"/>
    <n v="16"/>
    <s v="IA"/>
    <n v="4"/>
    <n v="1630.4"/>
    <s v="Low"/>
    <n v="1"/>
    <s v="Single-Day"/>
    <n v="0"/>
    <n v="0"/>
    <s v="Main Entrance"/>
    <s v="Pixar Pals"/>
    <n v="9.6"/>
    <n v="4"/>
    <x v="543"/>
  </r>
  <r>
    <n v="553"/>
    <n v="174"/>
    <d v="2026-06-20T00:00:00"/>
    <s v="Saturday"/>
    <n v="6"/>
    <n v="11.01"/>
    <x v="1"/>
    <x v="31"/>
    <s v="Female"/>
    <n v="62.7"/>
    <n v="128.69999999999999"/>
    <n v="22.9"/>
    <n v="15"/>
    <s v="IA"/>
    <n v="4"/>
    <n v="1630.4"/>
    <s v="Low"/>
    <n v="1"/>
    <s v="Single-Day"/>
    <n v="0"/>
    <n v="0"/>
    <s v="Main Entrance"/>
    <s v="Pixar Pals"/>
    <n v="6.9"/>
    <n v="6"/>
    <x v="544"/>
  </r>
  <r>
    <n v="554"/>
    <n v="175"/>
    <d v="2026-02-23T00:00:00"/>
    <s v="Monday"/>
    <n v="2"/>
    <n v="9.4499999999999993"/>
    <x v="0"/>
    <x v="3"/>
    <s v="Female"/>
    <n v="65.8"/>
    <n v="172.3"/>
    <n v="28"/>
    <n v="14"/>
    <s v="CA"/>
    <n v="5"/>
    <n v="115.2"/>
    <s v="Low"/>
    <n v="0"/>
    <s v="Single-Day"/>
    <n v="0"/>
    <n v="0"/>
    <s v="Main Entrance"/>
    <s v="Mickey &amp; Friends"/>
    <n v="6.4"/>
    <n v="9"/>
    <x v="545"/>
  </r>
  <r>
    <n v="555"/>
    <n v="175"/>
    <d v="2026-02-23T00:00:00"/>
    <s v="Monday"/>
    <n v="2"/>
    <n v="9.61"/>
    <x v="0"/>
    <x v="35"/>
    <s v="Male"/>
    <n v="72.3"/>
    <n v="221.4"/>
    <n v="29.8"/>
    <n v="15"/>
    <s v="CA"/>
    <n v="5"/>
    <n v="115.2"/>
    <s v="Low"/>
    <n v="0"/>
    <s v="Single-Day"/>
    <n v="0"/>
    <n v="0"/>
    <s v="Main Entrance"/>
    <s v="Mickey &amp; Friends"/>
    <n v="7.3"/>
    <n v="13"/>
    <x v="546"/>
  </r>
  <r>
    <n v="556"/>
    <n v="175"/>
    <d v="2026-02-23T00:00:00"/>
    <s v="Monday"/>
    <n v="2"/>
    <n v="9.73"/>
    <x v="0"/>
    <x v="23"/>
    <s v="Female"/>
    <n v="64.400000000000006"/>
    <n v="172.8"/>
    <n v="29.2"/>
    <n v="15"/>
    <s v="CA"/>
    <n v="5"/>
    <n v="115.2"/>
    <s v="Low"/>
    <n v="0"/>
    <s v="Single-Day"/>
    <n v="0"/>
    <n v="0"/>
    <s v="Main Entrance"/>
    <s v="Mickey &amp; Friends"/>
    <n v="9.6"/>
    <n v="11"/>
    <x v="547"/>
  </r>
  <r>
    <n v="557"/>
    <n v="175"/>
    <d v="2026-02-23T00:00:00"/>
    <s v="Monday"/>
    <n v="2"/>
    <n v="9.6199999999999992"/>
    <x v="0"/>
    <x v="68"/>
    <s v="Female"/>
    <n v="60.6"/>
    <n v="138.1"/>
    <n v="26.4"/>
    <n v="12"/>
    <s v="CA"/>
    <n v="5"/>
    <n v="115.2"/>
    <s v="Low"/>
    <n v="0"/>
    <s v="Single-Day"/>
    <n v="0"/>
    <n v="0"/>
    <s v="Main Entrance"/>
    <s v="Mickey &amp; Friends"/>
    <n v="6.1"/>
    <n v="12"/>
    <x v="548"/>
  </r>
  <r>
    <n v="558"/>
    <n v="175"/>
    <d v="2026-02-23T00:00:00"/>
    <s v="Monday"/>
    <n v="2"/>
    <n v="9.5"/>
    <x v="0"/>
    <x v="41"/>
    <s v="Female"/>
    <n v="61.8"/>
    <n v="119.1"/>
    <n v="21.9"/>
    <n v="10"/>
    <s v="CA"/>
    <n v="5"/>
    <n v="115.2"/>
    <s v="Low"/>
    <n v="0"/>
    <s v="Single-Day"/>
    <n v="0"/>
    <n v="0"/>
    <s v="Main Entrance"/>
    <s v="Mickey &amp; Friends"/>
    <n v="8.4"/>
    <n v="0"/>
    <x v="549"/>
  </r>
  <r>
    <n v="559"/>
    <n v="176"/>
    <d v="2026-08-14T00:00:00"/>
    <s v="Friday"/>
    <n v="8"/>
    <n v="11.9"/>
    <x v="1"/>
    <x v="14"/>
    <s v="Female"/>
    <n v="64.3"/>
    <n v="149.5"/>
    <n v="25.3"/>
    <n v="15"/>
    <s v="TX"/>
    <n v="5"/>
    <n v="1211.9000000000001"/>
    <s v="Middle"/>
    <n v="0"/>
    <s v="Park Hopper"/>
    <n v="0"/>
    <n v="0"/>
    <s v="Main Entrance"/>
    <s v="Mickey &amp; Friends"/>
    <n v="8.9"/>
    <n v="5"/>
    <x v="550"/>
  </r>
  <r>
    <n v="560"/>
    <n v="176"/>
    <d v="2026-08-14T00:00:00"/>
    <s v="Friday"/>
    <n v="8"/>
    <n v="11.71"/>
    <x v="1"/>
    <x v="16"/>
    <s v="Female"/>
    <n v="59.6"/>
    <n v="116"/>
    <n v="22.7"/>
    <n v="11"/>
    <s v="TX"/>
    <n v="5"/>
    <n v="1211.9000000000001"/>
    <s v="Middle"/>
    <n v="0"/>
    <s v="Park Hopper"/>
    <n v="0"/>
    <n v="0"/>
    <s v="Main Entrance"/>
    <s v="Mickey &amp; Friends"/>
    <n v="5.4"/>
    <n v="8"/>
    <x v="551"/>
  </r>
  <r>
    <n v="561"/>
    <n v="176"/>
    <d v="2026-08-14T00:00:00"/>
    <s v="Friday"/>
    <n v="8"/>
    <n v="11.76"/>
    <x v="1"/>
    <x v="0"/>
    <s v="Female"/>
    <n v="67.099999999999994"/>
    <n v="172.5"/>
    <n v="26.9"/>
    <n v="12"/>
    <s v="TX"/>
    <n v="5"/>
    <n v="1211.9000000000001"/>
    <s v="Middle"/>
    <n v="0"/>
    <s v="Park Hopper"/>
    <n v="0"/>
    <n v="0"/>
    <s v="Main Entrance"/>
    <s v="Mickey &amp; Friends"/>
    <n v="7.6"/>
    <n v="8"/>
    <x v="552"/>
  </r>
  <r>
    <n v="562"/>
    <n v="176"/>
    <d v="2026-08-14T00:00:00"/>
    <s v="Friday"/>
    <n v="8"/>
    <n v="11.68"/>
    <x v="1"/>
    <x v="38"/>
    <s v="Male"/>
    <n v="68.099999999999994"/>
    <n v="180.2"/>
    <n v="27.2"/>
    <n v="12"/>
    <s v="TX"/>
    <n v="5"/>
    <n v="1211.9000000000001"/>
    <s v="Middle"/>
    <n v="0"/>
    <s v="Park Hopper"/>
    <n v="0"/>
    <n v="0"/>
    <s v="Main Entrance"/>
    <s v="Mickey &amp; Friends"/>
    <n v="10.9"/>
    <n v="9"/>
    <x v="553"/>
  </r>
  <r>
    <n v="563"/>
    <n v="176"/>
    <d v="2026-08-14T00:00:00"/>
    <s v="Friday"/>
    <n v="8"/>
    <n v="11.82"/>
    <x v="1"/>
    <x v="56"/>
    <s v="Female"/>
    <n v="60.8"/>
    <n v="138"/>
    <n v="26.3"/>
    <n v="13"/>
    <s v="TX"/>
    <n v="5"/>
    <n v="1211.9000000000001"/>
    <s v="Middle"/>
    <n v="0"/>
    <s v="Park Hopper"/>
    <n v="0"/>
    <n v="0"/>
    <s v="Main Entrance"/>
    <s v="Mickey &amp; Friends"/>
    <n v="10.8"/>
    <n v="14"/>
    <x v="554"/>
  </r>
  <r>
    <n v="564"/>
    <n v="177"/>
    <d v="2026-12-15T00:00:00"/>
    <s v="Tuesday"/>
    <n v="12"/>
    <n v="10.27"/>
    <x v="0"/>
    <x v="28"/>
    <s v="Male"/>
    <n v="76.8"/>
    <n v="245.1"/>
    <n v="29.2"/>
    <n v="16"/>
    <s v="CO"/>
    <n v="2"/>
    <n v="1157.8"/>
    <s v="Low"/>
    <n v="1"/>
    <s v="Park Hopper"/>
    <n v="0"/>
    <n v="0"/>
    <s v="Main Entrance"/>
    <s v="Pixar Pals"/>
    <n v="8.9"/>
    <n v="11"/>
    <x v="555"/>
  </r>
  <r>
    <n v="565"/>
    <n v="177"/>
    <d v="2026-12-15T00:00:00"/>
    <s v="Tuesday"/>
    <n v="12"/>
    <n v="10.27"/>
    <x v="0"/>
    <x v="33"/>
    <s v="Male"/>
    <n v="60"/>
    <n v="142.5"/>
    <n v="27.7"/>
    <n v="11"/>
    <s v="CO"/>
    <n v="2"/>
    <n v="1157.8"/>
    <s v="Low"/>
    <n v="1"/>
    <s v="Park Hopper"/>
    <n v="0"/>
    <n v="0"/>
    <s v="Main Entrance"/>
    <s v="Pixar Pals"/>
    <n v="9"/>
    <n v="8"/>
    <x v="556"/>
  </r>
  <r>
    <n v="566"/>
    <n v="178"/>
    <d v="2026-03-22T00:00:00"/>
    <s v="Sunday"/>
    <n v="3"/>
    <n v="12.25"/>
    <x v="1"/>
    <x v="59"/>
    <s v="Male"/>
    <n v="68.900000000000006"/>
    <n v="142.30000000000001"/>
    <n v="20.9"/>
    <n v="15"/>
    <s v="CA"/>
    <n v="1"/>
    <n v="10.5"/>
    <s v="Low"/>
    <n v="0"/>
    <s v="Multi-Day"/>
    <n v="0"/>
    <n v="0"/>
    <s v="Main Entrance"/>
    <s v="Pixar Pals"/>
    <n v="6.8"/>
    <n v="8"/>
    <x v="557"/>
  </r>
  <r>
    <n v="567"/>
    <n v="179"/>
    <d v="2026-01-26T00:00:00"/>
    <s v="Monday"/>
    <n v="1"/>
    <n v="9.3000000000000007"/>
    <x v="0"/>
    <x v="40"/>
    <s v="Female"/>
    <n v="58.2"/>
    <n v="99.2"/>
    <n v="20.7"/>
    <n v="15"/>
    <s v="CA"/>
    <n v="5"/>
    <n v="127.2"/>
    <s v="Middle"/>
    <n v="0"/>
    <s v="Multi-Day"/>
    <n v="0"/>
    <n v="0"/>
    <s v="Downtown Disney Gate"/>
    <s v="Toy Story Lot"/>
    <n v="8"/>
    <n v="5"/>
    <x v="558"/>
  </r>
  <r>
    <n v="568"/>
    <n v="179"/>
    <d v="2026-01-26T00:00:00"/>
    <s v="Monday"/>
    <n v="1"/>
    <n v="9.41"/>
    <x v="0"/>
    <x v="36"/>
    <s v="Male"/>
    <n v="68.599999999999994"/>
    <n v="124.5"/>
    <n v="18.7"/>
    <n v="16"/>
    <s v="CA"/>
    <n v="5"/>
    <n v="127.2"/>
    <s v="Middle"/>
    <n v="0"/>
    <s v="Multi-Day"/>
    <n v="0"/>
    <n v="0"/>
    <s v="Downtown Disney Gate"/>
    <s v="Toy Story Lot"/>
    <n v="7.1"/>
    <n v="8"/>
    <x v="559"/>
  </r>
  <r>
    <n v="569"/>
    <n v="179"/>
    <d v="2026-01-26T00:00:00"/>
    <s v="Monday"/>
    <n v="1"/>
    <n v="9.24"/>
    <x v="0"/>
    <x v="60"/>
    <s v="Male"/>
    <n v="65.400000000000006"/>
    <n v="127.8"/>
    <n v="21"/>
    <n v="12"/>
    <s v="CA"/>
    <n v="5"/>
    <n v="127.2"/>
    <s v="Middle"/>
    <n v="0"/>
    <s v="Multi-Day"/>
    <n v="0"/>
    <n v="0"/>
    <s v="Downtown Disney Gate"/>
    <s v="Toy Story Lot"/>
    <n v="7.6"/>
    <n v="9"/>
    <x v="560"/>
  </r>
  <r>
    <n v="570"/>
    <n v="179"/>
    <d v="2026-01-26T00:00:00"/>
    <s v="Monday"/>
    <n v="1"/>
    <n v="9.11"/>
    <x v="0"/>
    <x v="33"/>
    <s v="Female"/>
    <n v="71"/>
    <n v="156.1"/>
    <n v="21.9"/>
    <n v="13"/>
    <s v="CA"/>
    <n v="5"/>
    <n v="127.2"/>
    <s v="Middle"/>
    <n v="0"/>
    <s v="Multi-Day"/>
    <n v="0"/>
    <n v="0"/>
    <s v="Downtown Disney Gate"/>
    <s v="Toy Story Lot"/>
    <n v="7.3"/>
    <n v="8"/>
    <x v="561"/>
  </r>
  <r>
    <n v="571"/>
    <n v="179"/>
    <d v="2026-01-26T00:00:00"/>
    <s v="Monday"/>
    <n v="1"/>
    <n v="9.44"/>
    <x v="0"/>
    <x v="64"/>
    <s v="Female"/>
    <n v="46.4"/>
    <n v="49.8"/>
    <n v="16.100000000000001"/>
    <n v="13"/>
    <s v="CA"/>
    <n v="5"/>
    <n v="127.2"/>
    <s v="Middle"/>
    <n v="0"/>
    <s v="Multi-Day"/>
    <n v="0"/>
    <n v="0"/>
    <s v="Downtown Disney Gate"/>
    <s v="Toy Story Lot"/>
    <n v="9.5"/>
    <n v="12"/>
    <x v="562"/>
  </r>
  <r>
    <n v="572"/>
    <n v="180"/>
    <d v="2026-05-20T00:00:00"/>
    <s v="Wednesday"/>
    <n v="5"/>
    <n v="11.21"/>
    <x v="1"/>
    <x v="67"/>
    <s v="Female"/>
    <n v="62.5"/>
    <n v="155.80000000000001"/>
    <n v="27.9"/>
    <n v="11"/>
    <s v="CA"/>
    <n v="3"/>
    <n v="105.8"/>
    <s v="Low"/>
    <n v="0"/>
    <s v="Single-Day"/>
    <n v="0"/>
    <n v="0"/>
    <s v="Main Entrance"/>
    <s v="Pixar Pals"/>
    <n v="9.4"/>
    <n v="7"/>
    <x v="563"/>
  </r>
  <r>
    <n v="573"/>
    <n v="180"/>
    <d v="2026-05-20T00:00:00"/>
    <s v="Wednesday"/>
    <n v="5"/>
    <n v="11.17"/>
    <x v="1"/>
    <x v="38"/>
    <s v="Female"/>
    <n v="65.3"/>
    <n v="174.3"/>
    <n v="28.8"/>
    <n v="11"/>
    <s v="CA"/>
    <n v="3"/>
    <n v="105.8"/>
    <s v="Low"/>
    <n v="0"/>
    <s v="Single-Day"/>
    <n v="0"/>
    <n v="0"/>
    <s v="Main Entrance"/>
    <s v="Pixar Pals"/>
    <n v="6.2"/>
    <n v="9"/>
    <x v="564"/>
  </r>
  <r>
    <n v="574"/>
    <n v="180"/>
    <d v="2026-05-20T00:00:00"/>
    <s v="Wednesday"/>
    <n v="5"/>
    <n v="10.93"/>
    <x v="0"/>
    <x v="39"/>
    <s v="Male"/>
    <n v="73.599999999999994"/>
    <n v="149.5"/>
    <n v="19.3"/>
    <n v="14"/>
    <s v="CA"/>
    <n v="3"/>
    <n v="105.8"/>
    <s v="Low"/>
    <n v="0"/>
    <s v="Single-Day"/>
    <n v="0"/>
    <n v="0"/>
    <s v="Main Entrance"/>
    <s v="Pixar Pals"/>
    <n v="8.1999999999999993"/>
    <n v="5"/>
    <x v="565"/>
  </r>
  <r>
    <n v="575"/>
    <n v="181"/>
    <d v="2026-05-28T00:00:00"/>
    <s v="Thursday"/>
    <n v="5"/>
    <n v="11.5"/>
    <x v="1"/>
    <x v="20"/>
    <s v="Female"/>
    <n v="63.8"/>
    <n v="100.3"/>
    <n v="17.2"/>
    <n v="14"/>
    <s v="CO"/>
    <n v="2"/>
    <n v="977.7"/>
    <s v="High"/>
    <n v="1"/>
    <s v="Single-Day"/>
    <n v="0"/>
    <n v="1"/>
    <s v="Hotel Guest Entrance"/>
    <s v="None/Walked from Resort"/>
    <n v="10.1"/>
    <n v="14"/>
    <x v="566"/>
  </r>
  <r>
    <n v="576"/>
    <n v="181"/>
    <d v="2026-05-28T00:00:00"/>
    <s v="Thursday"/>
    <n v="5"/>
    <n v="11.5"/>
    <x v="1"/>
    <x v="7"/>
    <s v="Male"/>
    <n v="48.9"/>
    <n v="61.5"/>
    <n v="18.2"/>
    <n v="14"/>
    <s v="CO"/>
    <n v="2"/>
    <n v="977.7"/>
    <s v="High"/>
    <n v="1"/>
    <s v="Single-Day"/>
    <n v="0"/>
    <n v="1"/>
    <s v="Hotel Guest Entrance"/>
    <s v="None/Walked from Resort"/>
    <n v="7.4"/>
    <n v="4"/>
    <x v="567"/>
  </r>
  <r>
    <n v="577"/>
    <n v="182"/>
    <d v="2026-07-14T00:00:00"/>
    <s v="Tuesday"/>
    <n v="7"/>
    <n v="7"/>
    <x v="0"/>
    <x v="23"/>
    <s v="Female"/>
    <n v="60.1"/>
    <n v="110.9"/>
    <n v="21.7"/>
    <n v="17"/>
    <s v="CA"/>
    <n v="3"/>
    <n v="2"/>
    <s v="High"/>
    <n v="0"/>
    <s v="Park Hopper"/>
    <n v="0"/>
    <n v="1"/>
    <s v="Downtown Disney Gate"/>
    <s v="None/Walked from Resort"/>
    <n v="5.9"/>
    <n v="12"/>
    <x v="568"/>
  </r>
  <r>
    <n v="578"/>
    <n v="182"/>
    <d v="2026-07-14T00:00:00"/>
    <s v="Tuesday"/>
    <n v="7"/>
    <n v="7"/>
    <x v="0"/>
    <x v="16"/>
    <s v="Female"/>
    <n v="57.6"/>
    <n v="86.7"/>
    <n v="18.399999999999999"/>
    <n v="14"/>
    <s v="CA"/>
    <n v="3"/>
    <n v="2"/>
    <s v="High"/>
    <n v="0"/>
    <s v="Park Hopper"/>
    <n v="0"/>
    <n v="1"/>
    <s v="Downtown Disney Gate"/>
    <s v="None/Walked from Resort"/>
    <n v="10.5"/>
    <n v="5"/>
    <x v="569"/>
  </r>
  <r>
    <n v="579"/>
    <n v="182"/>
    <d v="2026-07-14T00:00:00"/>
    <s v="Tuesday"/>
    <n v="7"/>
    <n v="7.04"/>
    <x v="0"/>
    <x v="65"/>
    <s v="Male"/>
    <n v="67.8"/>
    <n v="184"/>
    <n v="28.2"/>
    <n v="18"/>
    <s v="CA"/>
    <n v="3"/>
    <n v="2"/>
    <s v="High"/>
    <n v="0"/>
    <s v="Park Hopper"/>
    <n v="0"/>
    <n v="1"/>
    <s v="Downtown Disney Gate"/>
    <s v="None/Walked from Resort"/>
    <n v="9.4"/>
    <n v="6"/>
    <x v="570"/>
  </r>
  <r>
    <n v="580"/>
    <n v="183"/>
    <d v="2026-11-21T00:00:00"/>
    <s v="Saturday"/>
    <n v="11"/>
    <n v="10.54"/>
    <x v="0"/>
    <x v="38"/>
    <s v="Female"/>
    <n v="64.7"/>
    <n v="128.19999999999999"/>
    <n v="21.7"/>
    <n v="15"/>
    <s v="Other"/>
    <n v="3"/>
    <n v="1592.6"/>
    <s v="Middle"/>
    <n v="1"/>
    <s v="Multi-Day"/>
    <n v="0"/>
    <n v="0"/>
    <s v="Main Entrance"/>
    <s v="Pixar Pals"/>
    <n v="11.6"/>
    <n v="11"/>
    <x v="571"/>
  </r>
  <r>
    <n v="581"/>
    <n v="183"/>
    <d v="2026-11-21T00:00:00"/>
    <s v="Saturday"/>
    <n v="11"/>
    <n v="10.43"/>
    <x v="0"/>
    <x v="51"/>
    <s v="Male"/>
    <n v="68.400000000000006"/>
    <n v="211.9"/>
    <n v="31.8"/>
    <n v="17"/>
    <s v="Other"/>
    <n v="3"/>
    <n v="1592.6"/>
    <s v="Middle"/>
    <n v="1"/>
    <s v="Multi-Day"/>
    <n v="0"/>
    <n v="0"/>
    <s v="Main Entrance"/>
    <s v="Pixar Pals"/>
    <n v="7.9"/>
    <n v="8"/>
    <x v="572"/>
  </r>
  <r>
    <n v="582"/>
    <n v="183"/>
    <d v="2026-11-21T00:00:00"/>
    <s v="Saturday"/>
    <n v="11"/>
    <n v="10.68"/>
    <x v="0"/>
    <x v="19"/>
    <s v="Female"/>
    <n v="66.900000000000006"/>
    <n v="158"/>
    <n v="24.7"/>
    <n v="15"/>
    <s v="Other"/>
    <n v="3"/>
    <n v="1592.6"/>
    <s v="Middle"/>
    <n v="1"/>
    <s v="Multi-Day"/>
    <n v="0"/>
    <n v="0"/>
    <s v="Main Entrance"/>
    <s v="Pixar Pals"/>
    <n v="9.4"/>
    <n v="13"/>
    <x v="305"/>
  </r>
  <r>
    <n v="583"/>
    <n v="184"/>
    <d v="2026-12-23T00:00:00"/>
    <s v="Wednesday"/>
    <n v="12"/>
    <n v="8.4600000000000009"/>
    <x v="0"/>
    <x v="5"/>
    <s v="Male"/>
    <n v="66.7"/>
    <n v="179.7"/>
    <n v="28.6"/>
    <n v="17"/>
    <s v="NY"/>
    <n v="1"/>
    <n v="2578.4"/>
    <s v="Middle"/>
    <n v="0"/>
    <s v="Single-Day"/>
    <n v="0"/>
    <n v="0"/>
    <s v="Downtown Disney Gate"/>
    <s v="None/Dropoff/Transit"/>
    <n v="9.6"/>
    <n v="6"/>
    <x v="573"/>
  </r>
  <r>
    <n v="584"/>
    <n v="185"/>
    <d v="2026-10-23T00:00:00"/>
    <s v="Friday"/>
    <n v="10"/>
    <n v="12.21"/>
    <x v="1"/>
    <x v="7"/>
    <s v="Female"/>
    <n v="52"/>
    <n v="57.8"/>
    <n v="14.9"/>
    <n v="14"/>
    <s v="NY"/>
    <n v="3"/>
    <n v="2365.4"/>
    <s v="High"/>
    <n v="1"/>
    <s v="Single-Day"/>
    <n v="0"/>
    <n v="0"/>
    <s v="Main Entrance"/>
    <s v="Pixar Pals"/>
    <n v="9.3000000000000007"/>
    <n v="8"/>
    <x v="574"/>
  </r>
  <r>
    <n v="585"/>
    <n v="185"/>
    <d v="2026-10-23T00:00:00"/>
    <s v="Friday"/>
    <n v="10"/>
    <n v="12.09"/>
    <x v="1"/>
    <x v="12"/>
    <s v="Female"/>
    <n v="65.3"/>
    <n v="125.3"/>
    <n v="20.5"/>
    <n v="13"/>
    <s v="NY"/>
    <n v="3"/>
    <n v="2365.4"/>
    <s v="High"/>
    <n v="1"/>
    <s v="Single-Day"/>
    <n v="0"/>
    <n v="0"/>
    <s v="Main Entrance"/>
    <s v="Pixar Pals"/>
    <n v="9.3000000000000007"/>
    <n v="6"/>
    <x v="575"/>
  </r>
  <r>
    <n v="586"/>
    <n v="185"/>
    <d v="2026-10-23T00:00:00"/>
    <s v="Friday"/>
    <n v="10"/>
    <n v="12.16"/>
    <x v="1"/>
    <x v="32"/>
    <s v="Female"/>
    <n v="57.4"/>
    <n v="64.900000000000006"/>
    <n v="13.7"/>
    <n v="14"/>
    <s v="NY"/>
    <n v="3"/>
    <n v="2365.4"/>
    <s v="High"/>
    <n v="1"/>
    <s v="Single-Day"/>
    <n v="0"/>
    <n v="0"/>
    <s v="Main Entrance"/>
    <s v="Pixar Pals"/>
    <n v="8.4"/>
    <n v="7"/>
    <x v="576"/>
  </r>
  <r>
    <n v="587"/>
    <n v="186"/>
    <d v="2026-07-12T00:00:00"/>
    <s v="Sunday"/>
    <n v="7"/>
    <n v="9.77"/>
    <x v="0"/>
    <x v="22"/>
    <s v="Male"/>
    <n v="61.8"/>
    <n v="112.1"/>
    <n v="20.8"/>
    <n v="13"/>
    <s v="Other"/>
    <n v="5"/>
    <n v="1401.7"/>
    <s v="Middle"/>
    <n v="1"/>
    <s v="Single-Day"/>
    <n v="1"/>
    <n v="0"/>
    <s v="Downtown Disney Gate"/>
    <s v="Mickey &amp; Friends"/>
    <n v="6.7"/>
    <n v="6"/>
    <x v="577"/>
  </r>
  <r>
    <n v="588"/>
    <n v="186"/>
    <d v="2026-07-12T00:00:00"/>
    <s v="Sunday"/>
    <n v="7"/>
    <n v="9.81"/>
    <x v="0"/>
    <x v="56"/>
    <s v="Male"/>
    <n v="70.2"/>
    <n v="166"/>
    <n v="23.7"/>
    <n v="16"/>
    <s v="Other"/>
    <n v="5"/>
    <n v="1401.7"/>
    <s v="Middle"/>
    <n v="1"/>
    <s v="Single-Day"/>
    <n v="1"/>
    <n v="0"/>
    <s v="Downtown Disney Gate"/>
    <s v="Mickey &amp; Friends"/>
    <n v="11.2"/>
    <n v="11"/>
    <x v="578"/>
  </r>
  <r>
    <n v="589"/>
    <n v="186"/>
    <d v="2026-07-12T00:00:00"/>
    <s v="Sunday"/>
    <n v="7"/>
    <n v="9.93"/>
    <x v="0"/>
    <x v="58"/>
    <s v="Female"/>
    <n v="67.099999999999994"/>
    <n v="152.1"/>
    <n v="23.9"/>
    <n v="15"/>
    <s v="Other"/>
    <n v="5"/>
    <n v="1401.7"/>
    <s v="Middle"/>
    <n v="1"/>
    <s v="Single-Day"/>
    <n v="1"/>
    <n v="0"/>
    <s v="Downtown Disney Gate"/>
    <s v="Mickey &amp; Friends"/>
    <n v="9.8000000000000007"/>
    <n v="9"/>
    <x v="579"/>
  </r>
  <r>
    <n v="590"/>
    <n v="186"/>
    <d v="2026-07-12T00:00:00"/>
    <s v="Sunday"/>
    <n v="7"/>
    <n v="9.84"/>
    <x v="0"/>
    <x v="56"/>
    <s v="Male"/>
    <n v="69.2"/>
    <n v="149.6"/>
    <n v="21.8"/>
    <n v="14"/>
    <s v="Other"/>
    <n v="5"/>
    <n v="1401.7"/>
    <s v="Middle"/>
    <n v="1"/>
    <s v="Single-Day"/>
    <n v="1"/>
    <n v="0"/>
    <s v="Downtown Disney Gate"/>
    <s v="Mickey &amp; Friends"/>
    <n v="8.6999999999999993"/>
    <n v="9"/>
    <x v="580"/>
  </r>
  <r>
    <n v="591"/>
    <n v="186"/>
    <d v="2026-07-12T00:00:00"/>
    <s v="Sunday"/>
    <n v="7"/>
    <n v="9.89"/>
    <x v="0"/>
    <x v="2"/>
    <s v="Male"/>
    <n v="69.8"/>
    <n v="181.3"/>
    <n v="26.2"/>
    <n v="12"/>
    <s v="Other"/>
    <n v="5"/>
    <n v="1401.7"/>
    <s v="Middle"/>
    <n v="1"/>
    <s v="Single-Day"/>
    <n v="1"/>
    <n v="0"/>
    <s v="Downtown Disney Gate"/>
    <s v="Mickey &amp; Friends"/>
    <n v="6.2"/>
    <n v="8"/>
    <x v="581"/>
  </r>
  <r>
    <n v="592"/>
    <n v="187"/>
    <d v="2026-12-13T00:00:00"/>
    <s v="Sunday"/>
    <n v="12"/>
    <n v="10.59"/>
    <x v="0"/>
    <x v="40"/>
    <s v="Female"/>
    <n v="61.5"/>
    <n v="93.4"/>
    <n v="17.3"/>
    <n v="10"/>
    <s v="Other"/>
    <n v="1"/>
    <n v="1388.7"/>
    <s v="Low"/>
    <n v="1"/>
    <s v="Park Hopper"/>
    <n v="1"/>
    <n v="0"/>
    <s v="Main Entrance"/>
    <s v="Toy Story Lot"/>
    <n v="7.4"/>
    <n v="4"/>
    <x v="582"/>
  </r>
  <r>
    <n v="593"/>
    <n v="188"/>
    <d v="2026-02-17T00:00:00"/>
    <s v="Tuesday"/>
    <n v="2"/>
    <n v="13.01"/>
    <x v="1"/>
    <x v="3"/>
    <s v="Male"/>
    <n v="69"/>
    <n v="174.8"/>
    <n v="25.9"/>
    <n v="18"/>
    <s v="CA"/>
    <n v="3"/>
    <n v="89.6"/>
    <s v="Middle"/>
    <n v="0"/>
    <s v="Single-Day"/>
    <n v="1"/>
    <n v="0"/>
    <s v="Main Entrance"/>
    <s v="Mickey &amp; Friends"/>
    <n v="7.1"/>
    <n v="4"/>
    <x v="583"/>
  </r>
  <r>
    <n v="594"/>
    <n v="188"/>
    <d v="2026-02-17T00:00:00"/>
    <s v="Tuesday"/>
    <n v="2"/>
    <n v="12.99"/>
    <x v="1"/>
    <x v="21"/>
    <s v="Female"/>
    <n v="67.7"/>
    <n v="185.8"/>
    <n v="28.4"/>
    <n v="15"/>
    <s v="CA"/>
    <n v="3"/>
    <n v="89.6"/>
    <s v="Middle"/>
    <n v="0"/>
    <s v="Single-Day"/>
    <n v="1"/>
    <n v="0"/>
    <s v="Main Entrance"/>
    <s v="Mickey &amp; Friends"/>
    <n v="6.4"/>
    <n v="11"/>
    <x v="584"/>
  </r>
  <r>
    <n v="595"/>
    <n v="188"/>
    <d v="2026-02-17T00:00:00"/>
    <s v="Tuesday"/>
    <n v="2"/>
    <n v="12.93"/>
    <x v="1"/>
    <x v="25"/>
    <s v="Female"/>
    <n v="60.9"/>
    <n v="121.2"/>
    <n v="22.9"/>
    <n v="18"/>
    <s v="CA"/>
    <n v="3"/>
    <n v="89.6"/>
    <s v="Middle"/>
    <n v="0"/>
    <s v="Single-Day"/>
    <n v="1"/>
    <n v="0"/>
    <s v="Main Entrance"/>
    <s v="Mickey &amp; Friends"/>
    <n v="7.1"/>
    <n v="12"/>
    <x v="585"/>
  </r>
  <r>
    <n v="596"/>
    <n v="189"/>
    <d v="2026-06-13T00:00:00"/>
    <s v="Saturday"/>
    <n v="6"/>
    <n v="11.44"/>
    <x v="1"/>
    <x v="33"/>
    <s v="Female"/>
    <n v="60.2"/>
    <n v="168.2"/>
    <n v="32.5"/>
    <n v="18"/>
    <s v="AZ"/>
    <n v="2"/>
    <n v="381.7"/>
    <s v="High"/>
    <n v="1"/>
    <s v="Single-Day"/>
    <n v="0"/>
    <n v="1"/>
    <s v="Downtown Disney Gate"/>
    <s v="None/Walked from Resort"/>
    <n v="9.4"/>
    <n v="11"/>
    <x v="586"/>
  </r>
  <r>
    <n v="597"/>
    <n v="189"/>
    <d v="2026-06-13T00:00:00"/>
    <s v="Saturday"/>
    <n v="6"/>
    <n v="11.83"/>
    <x v="1"/>
    <x v="39"/>
    <s v="Male"/>
    <n v="67.2"/>
    <n v="164.2"/>
    <n v="25.5"/>
    <n v="18"/>
    <s v="AZ"/>
    <n v="2"/>
    <n v="381.7"/>
    <s v="High"/>
    <n v="1"/>
    <s v="Single-Day"/>
    <n v="0"/>
    <n v="1"/>
    <s v="Downtown Disney Gate"/>
    <s v="None/Walked from Resort"/>
    <n v="9.3000000000000007"/>
    <n v="5"/>
    <x v="587"/>
  </r>
  <r>
    <n v="598"/>
    <n v="190"/>
    <d v="2026-01-01T00:00:00"/>
    <s v="Thursday"/>
    <n v="1"/>
    <n v="11.1"/>
    <x v="1"/>
    <x v="38"/>
    <s v="Male"/>
    <n v="66.099999999999994"/>
    <n v="155.30000000000001"/>
    <n v="24.8"/>
    <n v="14"/>
    <s v="WI"/>
    <n v="2"/>
    <n v="2233.1999999999998"/>
    <s v="High"/>
    <n v="1"/>
    <s v="Park Hopper"/>
    <n v="0"/>
    <n v="0"/>
    <s v="Main Entrance"/>
    <s v="None/Dropoff/Transit"/>
    <n v="10.3"/>
    <n v="11"/>
    <x v="588"/>
  </r>
  <r>
    <n v="599"/>
    <n v="190"/>
    <d v="2026-01-01T00:00:00"/>
    <s v="Thursday"/>
    <n v="1"/>
    <n v="11.26"/>
    <x v="1"/>
    <x v="66"/>
    <s v="Female"/>
    <n v="60.4"/>
    <n v="125.5"/>
    <n v="24.1"/>
    <n v="19"/>
    <s v="WI"/>
    <n v="2"/>
    <n v="2233.1999999999998"/>
    <s v="High"/>
    <n v="1"/>
    <s v="Park Hopper"/>
    <n v="0"/>
    <n v="0"/>
    <s v="Main Entrance"/>
    <s v="None/Dropoff/Transit"/>
    <n v="7.9"/>
    <n v="6"/>
    <x v="589"/>
  </r>
  <r>
    <n v="600"/>
    <n v="191"/>
    <d v="2026-02-11T00:00:00"/>
    <s v="Wednesday"/>
    <n v="2"/>
    <n v="11.98"/>
    <x v="1"/>
    <x v="59"/>
    <s v="Female"/>
    <n v="64.5"/>
    <n v="121.8"/>
    <n v="20.8"/>
    <n v="18"/>
    <s v="Other"/>
    <n v="1"/>
    <n v="1692.4"/>
    <s v="High"/>
    <n v="1"/>
    <s v="Single-Day"/>
    <n v="1"/>
    <n v="1"/>
    <s v="Downtown Disney Gate"/>
    <s v="Pixar Pals"/>
    <n v="8.4"/>
    <n v="6"/>
    <x v="590"/>
  </r>
  <r>
    <n v="601"/>
    <n v="192"/>
    <d v="2026-08-19T00:00:00"/>
    <s v="Wednesday"/>
    <n v="8"/>
    <n v="11.62"/>
    <x v="1"/>
    <x v="12"/>
    <s v="Male"/>
    <n v="66.5"/>
    <n v="135.5"/>
    <n v="21.4"/>
    <n v="12"/>
    <s v="AZ"/>
    <n v="1"/>
    <n v="598"/>
    <s v="High"/>
    <n v="0"/>
    <s v="Multi-Day"/>
    <n v="0"/>
    <n v="1"/>
    <s v="Hotel Guest Entrance"/>
    <s v="None/Walked from Resort"/>
    <n v="7.3"/>
    <n v="5"/>
    <x v="591"/>
  </r>
  <r>
    <n v="602"/>
    <n v="193"/>
    <d v="2026-05-08T00:00:00"/>
    <s v="Friday"/>
    <n v="5"/>
    <n v="9.15"/>
    <x v="0"/>
    <x v="37"/>
    <s v="Female"/>
    <n v="67.3"/>
    <n v="104.1"/>
    <n v="16.2"/>
    <n v="13"/>
    <s v="NV"/>
    <n v="1"/>
    <n v="93.6"/>
    <s v="Middle"/>
    <n v="1"/>
    <s v="Single-Day"/>
    <n v="1"/>
    <n v="0"/>
    <s v="Downtown Disney Gate"/>
    <s v="Pixar Pals"/>
    <n v="8.6999999999999993"/>
    <n v="7"/>
    <x v="592"/>
  </r>
  <r>
    <n v="603"/>
    <n v="194"/>
    <d v="2026-06-29T00:00:00"/>
    <s v="Monday"/>
    <n v="6"/>
    <n v="10.74"/>
    <x v="0"/>
    <x v="47"/>
    <s v="Female"/>
    <n v="59.6"/>
    <n v="144.19999999999999"/>
    <n v="28.5"/>
    <n v="16"/>
    <s v="NV"/>
    <n v="3"/>
    <n v="462.1"/>
    <s v="Middle"/>
    <n v="0"/>
    <s v="Park Hopper"/>
    <n v="0"/>
    <n v="1"/>
    <s v="Downtown Disney Gate"/>
    <s v="Pixar Pals"/>
    <n v="9.1"/>
    <n v="6"/>
    <x v="593"/>
  </r>
  <r>
    <n v="604"/>
    <n v="194"/>
    <d v="2026-06-29T00:00:00"/>
    <s v="Monday"/>
    <n v="6"/>
    <n v="10.69"/>
    <x v="0"/>
    <x v="19"/>
    <s v="Male"/>
    <n v="71.7"/>
    <n v="156.6"/>
    <n v="21.4"/>
    <n v="16"/>
    <s v="NV"/>
    <n v="3"/>
    <n v="462.1"/>
    <s v="Middle"/>
    <n v="0"/>
    <s v="Park Hopper"/>
    <n v="0"/>
    <n v="1"/>
    <s v="Downtown Disney Gate"/>
    <s v="Pixar Pals"/>
    <n v="8.5"/>
    <n v="10"/>
    <x v="594"/>
  </r>
  <r>
    <n v="605"/>
    <n v="194"/>
    <d v="2026-06-29T00:00:00"/>
    <s v="Monday"/>
    <n v="6"/>
    <n v="10.82"/>
    <x v="0"/>
    <x v="13"/>
    <s v="Female"/>
    <n v="62.6"/>
    <n v="115"/>
    <n v="20.6"/>
    <n v="14"/>
    <s v="NV"/>
    <n v="3"/>
    <n v="462.1"/>
    <s v="Middle"/>
    <n v="0"/>
    <s v="Park Hopper"/>
    <n v="0"/>
    <n v="1"/>
    <s v="Downtown Disney Gate"/>
    <s v="Pixar Pals"/>
    <n v="6.4"/>
    <n v="3"/>
    <x v="595"/>
  </r>
  <r>
    <n v="606"/>
    <n v="195"/>
    <d v="2026-01-07T00:00:00"/>
    <s v="Wednesday"/>
    <n v="1"/>
    <n v="10.46"/>
    <x v="0"/>
    <x v="31"/>
    <s v="Female"/>
    <n v="65.400000000000006"/>
    <n v="185.8"/>
    <n v="30.6"/>
    <n v="17"/>
    <s v="Other"/>
    <n v="2"/>
    <n v="1748.1"/>
    <s v="High"/>
    <n v="1"/>
    <s v="Single-Day"/>
    <n v="1"/>
    <n v="0"/>
    <s v="Downtown Disney Gate"/>
    <s v="Mickey &amp; Friends"/>
    <n v="5.8"/>
    <n v="12"/>
    <x v="596"/>
  </r>
  <r>
    <n v="607"/>
    <n v="195"/>
    <d v="2026-01-07T00:00:00"/>
    <s v="Wednesday"/>
    <n v="1"/>
    <n v="10.34"/>
    <x v="0"/>
    <x v="5"/>
    <s v="Male"/>
    <n v="66.5"/>
    <n v="195.6"/>
    <n v="31.1"/>
    <n v="18"/>
    <s v="Other"/>
    <n v="2"/>
    <n v="1748.1"/>
    <s v="High"/>
    <n v="1"/>
    <s v="Single-Day"/>
    <n v="1"/>
    <n v="0"/>
    <s v="Downtown Disney Gate"/>
    <s v="Mickey &amp; Friends"/>
    <n v="10.199999999999999"/>
    <n v="4"/>
    <x v="597"/>
  </r>
  <r>
    <n v="608"/>
    <n v="196"/>
    <d v="2026-04-11T00:00:00"/>
    <s v="Saturday"/>
    <n v="4"/>
    <n v="10.58"/>
    <x v="0"/>
    <x v="50"/>
    <s v="Male"/>
    <n v="70"/>
    <n v="129.6"/>
    <n v="18.7"/>
    <n v="14"/>
    <s v="CA"/>
    <n v="4"/>
    <n v="111.3"/>
    <s v="High"/>
    <n v="0"/>
    <s v="Multi-Day"/>
    <n v="1"/>
    <n v="0"/>
    <s v="Main Entrance"/>
    <s v="Mickey &amp; Friends"/>
    <n v="9.6999999999999993"/>
    <n v="9"/>
    <x v="598"/>
  </r>
  <r>
    <n v="609"/>
    <n v="196"/>
    <d v="2026-04-11T00:00:00"/>
    <s v="Saturday"/>
    <n v="4"/>
    <n v="10.87"/>
    <x v="0"/>
    <x v="15"/>
    <s v="Male"/>
    <n v="70.099999999999994"/>
    <n v="200.8"/>
    <n v="28.8"/>
    <n v="16"/>
    <s v="CA"/>
    <n v="4"/>
    <n v="111.3"/>
    <s v="High"/>
    <n v="0"/>
    <s v="Multi-Day"/>
    <n v="1"/>
    <n v="0"/>
    <s v="Main Entrance"/>
    <s v="Mickey &amp; Friends"/>
    <n v="8.5"/>
    <n v="7"/>
    <x v="599"/>
  </r>
  <r>
    <n v="610"/>
    <n v="196"/>
    <d v="2026-04-11T00:00:00"/>
    <s v="Saturday"/>
    <n v="4"/>
    <n v="10.92"/>
    <x v="0"/>
    <x v="39"/>
    <s v="Female"/>
    <n v="68.599999999999994"/>
    <n v="145.30000000000001"/>
    <n v="21.6"/>
    <n v="16"/>
    <s v="CA"/>
    <n v="4"/>
    <n v="111.3"/>
    <s v="High"/>
    <n v="0"/>
    <s v="Multi-Day"/>
    <n v="1"/>
    <n v="0"/>
    <s v="Main Entrance"/>
    <s v="Mickey &amp; Friends"/>
    <n v="7.8"/>
    <n v="6"/>
    <x v="600"/>
  </r>
  <r>
    <n v="611"/>
    <n v="196"/>
    <d v="2026-04-11T00:00:00"/>
    <s v="Saturday"/>
    <n v="4"/>
    <n v="10.87"/>
    <x v="0"/>
    <x v="8"/>
    <s v="Male"/>
    <n v="74.5"/>
    <n v="180.8"/>
    <n v="22.8"/>
    <n v="15"/>
    <s v="CA"/>
    <n v="4"/>
    <n v="111.3"/>
    <s v="High"/>
    <n v="0"/>
    <s v="Multi-Day"/>
    <n v="1"/>
    <n v="0"/>
    <s v="Main Entrance"/>
    <s v="Mickey &amp; Friends"/>
    <n v="7.3"/>
    <n v="12"/>
    <x v="601"/>
  </r>
  <r>
    <n v="612"/>
    <n v="197"/>
    <d v="2026-07-26T00:00:00"/>
    <s v="Sunday"/>
    <n v="7"/>
    <n v="9.86"/>
    <x v="0"/>
    <x v="12"/>
    <s v="Male"/>
    <n v="70"/>
    <n v="140.30000000000001"/>
    <n v="20"/>
    <n v="12"/>
    <s v="CA"/>
    <n v="1"/>
    <n v="55.1"/>
    <s v="Middle"/>
    <n v="1"/>
    <s v="Multi-Day"/>
    <n v="0"/>
    <n v="0"/>
    <s v="Main Entrance"/>
    <s v="Pixar Pals"/>
    <n v="7.7"/>
    <n v="6"/>
    <x v="602"/>
  </r>
  <r>
    <n v="613"/>
    <n v="198"/>
    <d v="2026-06-07T00:00:00"/>
    <s v="Sunday"/>
    <n v="6"/>
    <n v="10.19"/>
    <x v="0"/>
    <x v="23"/>
    <s v="Male"/>
    <n v="66.8"/>
    <n v="146.80000000000001"/>
    <n v="23.1"/>
    <n v="16"/>
    <s v="Other"/>
    <n v="2"/>
    <n v="1884.9"/>
    <s v="High"/>
    <n v="1"/>
    <s v="Park Hopper"/>
    <n v="1"/>
    <n v="0"/>
    <s v="Main Entrance"/>
    <s v="Mickey &amp; Friends"/>
    <n v="8.3000000000000007"/>
    <n v="10"/>
    <x v="603"/>
  </r>
  <r>
    <n v="614"/>
    <n v="198"/>
    <d v="2026-06-07T00:00:00"/>
    <s v="Sunday"/>
    <n v="6"/>
    <n v="10.35"/>
    <x v="0"/>
    <x v="29"/>
    <s v="Male"/>
    <n v="71"/>
    <n v="132.4"/>
    <n v="18.2"/>
    <n v="12"/>
    <s v="Other"/>
    <n v="2"/>
    <n v="1884.9"/>
    <s v="High"/>
    <n v="1"/>
    <s v="Park Hopper"/>
    <n v="1"/>
    <n v="0"/>
    <s v="Main Entrance"/>
    <s v="Mickey &amp; Friends"/>
    <n v="9.1999999999999993"/>
    <n v="8"/>
    <x v="604"/>
  </r>
  <r>
    <n v="615"/>
    <n v="199"/>
    <d v="2026-01-26T00:00:00"/>
    <s v="Monday"/>
    <n v="1"/>
    <n v="10.3"/>
    <x v="0"/>
    <x v="32"/>
    <s v="Male"/>
    <n v="61"/>
    <n v="125.9"/>
    <n v="23.8"/>
    <n v="12"/>
    <s v="NY"/>
    <n v="6"/>
    <n v="2617.6999999999998"/>
    <s v="Middle"/>
    <n v="0"/>
    <s v="Single-Day"/>
    <n v="1"/>
    <n v="0"/>
    <s v="Main Entrance"/>
    <s v="Pixar Pals"/>
    <n v="8.6"/>
    <n v="7"/>
    <x v="605"/>
  </r>
  <r>
    <n v="616"/>
    <n v="199"/>
    <d v="2026-01-26T00:00:00"/>
    <s v="Monday"/>
    <n v="1"/>
    <n v="10.34"/>
    <x v="0"/>
    <x v="23"/>
    <s v="Male"/>
    <n v="68.2"/>
    <n v="189.3"/>
    <n v="28.6"/>
    <n v="15"/>
    <s v="NY"/>
    <n v="6"/>
    <n v="2617.6999999999998"/>
    <s v="Middle"/>
    <n v="0"/>
    <s v="Single-Day"/>
    <n v="1"/>
    <n v="0"/>
    <s v="Main Entrance"/>
    <s v="Pixar Pals"/>
    <n v="7.1"/>
    <n v="10"/>
    <x v="606"/>
  </r>
  <r>
    <n v="617"/>
    <n v="199"/>
    <d v="2026-01-26T00:00:00"/>
    <s v="Monday"/>
    <n v="1"/>
    <n v="10.38"/>
    <x v="0"/>
    <x v="7"/>
    <s v="Male"/>
    <n v="53.8"/>
    <n v="84"/>
    <n v="20.399999999999999"/>
    <n v="10"/>
    <s v="NY"/>
    <n v="6"/>
    <n v="2617.6999999999998"/>
    <s v="Middle"/>
    <n v="0"/>
    <s v="Single-Day"/>
    <n v="1"/>
    <n v="0"/>
    <s v="Main Entrance"/>
    <s v="Pixar Pals"/>
    <n v="8.4"/>
    <n v="11"/>
    <x v="607"/>
  </r>
  <r>
    <n v="618"/>
    <n v="199"/>
    <d v="2026-01-26T00:00:00"/>
    <s v="Monday"/>
    <n v="1"/>
    <n v="10.53"/>
    <x v="0"/>
    <x v="32"/>
    <s v="Male"/>
    <n v="59.6"/>
    <n v="74.8"/>
    <n v="14.9"/>
    <n v="10"/>
    <s v="NY"/>
    <n v="6"/>
    <n v="2617.6999999999998"/>
    <s v="Middle"/>
    <n v="0"/>
    <s v="Single-Day"/>
    <n v="1"/>
    <n v="0"/>
    <s v="Main Entrance"/>
    <s v="Pixar Pals"/>
    <n v="11.4"/>
    <n v="10"/>
    <x v="608"/>
  </r>
  <r>
    <n v="619"/>
    <n v="199"/>
    <d v="2026-01-26T00:00:00"/>
    <s v="Monday"/>
    <n v="1"/>
    <n v="10.119999999999999"/>
    <x v="0"/>
    <x v="15"/>
    <s v="Male"/>
    <n v="66.7"/>
    <n v="207.1"/>
    <n v="32.799999999999997"/>
    <n v="12"/>
    <s v="NY"/>
    <n v="6"/>
    <n v="2617.6999999999998"/>
    <s v="Middle"/>
    <n v="0"/>
    <s v="Single-Day"/>
    <n v="1"/>
    <n v="0"/>
    <s v="Main Entrance"/>
    <s v="Pixar Pals"/>
    <n v="9.5"/>
    <n v="11"/>
    <x v="609"/>
  </r>
  <r>
    <n v="620"/>
    <n v="199"/>
    <d v="2026-01-26T00:00:00"/>
    <s v="Monday"/>
    <n v="1"/>
    <n v="10.35"/>
    <x v="0"/>
    <x v="31"/>
    <s v="Male"/>
    <n v="68.5"/>
    <n v="139.6"/>
    <n v="21.1"/>
    <n v="14"/>
    <s v="NY"/>
    <n v="6"/>
    <n v="2617.6999999999998"/>
    <s v="Middle"/>
    <n v="0"/>
    <s v="Single-Day"/>
    <n v="1"/>
    <n v="0"/>
    <s v="Main Entrance"/>
    <s v="Pixar Pals"/>
    <n v="6.4"/>
    <n v="2"/>
    <x v="610"/>
  </r>
  <r>
    <n v="621"/>
    <n v="200"/>
    <d v="2026-04-05T00:00:00"/>
    <s v="Sunday"/>
    <n v="4"/>
    <n v="7"/>
    <x v="0"/>
    <x v="31"/>
    <s v="Female"/>
    <n v="65"/>
    <n v="133"/>
    <n v="22.3"/>
    <n v="14"/>
    <s v="FL"/>
    <n v="4"/>
    <n v="3409.5"/>
    <s v="Low"/>
    <n v="1"/>
    <s v="Multi-Day"/>
    <n v="1"/>
    <n v="0"/>
    <s v="Main Entrance"/>
    <s v="Pixar Pals"/>
    <n v="7.5"/>
    <n v="6"/>
    <x v="611"/>
  </r>
  <r>
    <n v="622"/>
    <n v="200"/>
    <d v="2026-04-05T00:00:00"/>
    <s v="Sunday"/>
    <n v="4"/>
    <n v="7.04"/>
    <x v="0"/>
    <x v="71"/>
    <s v="Male"/>
    <n v="67"/>
    <n v="127.2"/>
    <n v="20"/>
    <n v="13"/>
    <s v="FL"/>
    <n v="4"/>
    <n v="3409.5"/>
    <s v="Low"/>
    <n v="1"/>
    <s v="Multi-Day"/>
    <n v="1"/>
    <n v="0"/>
    <s v="Main Entrance"/>
    <s v="Pixar Pals"/>
    <n v="9.4"/>
    <n v="13"/>
    <x v="612"/>
  </r>
  <r>
    <n v="623"/>
    <n v="200"/>
    <d v="2026-04-05T00:00:00"/>
    <s v="Sunday"/>
    <n v="4"/>
    <n v="7.12"/>
    <x v="0"/>
    <x v="19"/>
    <s v="Male"/>
    <n v="66.2"/>
    <n v="132.5"/>
    <n v="21.2"/>
    <n v="13"/>
    <s v="FL"/>
    <n v="4"/>
    <n v="3409.5"/>
    <s v="Low"/>
    <n v="1"/>
    <s v="Multi-Day"/>
    <n v="1"/>
    <n v="0"/>
    <s v="Main Entrance"/>
    <s v="Pixar Pals"/>
    <n v="5.8"/>
    <n v="6"/>
    <x v="613"/>
  </r>
  <r>
    <n v="624"/>
    <n v="200"/>
    <d v="2026-04-05T00:00:00"/>
    <s v="Sunday"/>
    <n v="4"/>
    <n v="7"/>
    <x v="0"/>
    <x v="45"/>
    <s v="Female"/>
    <n v="64.8"/>
    <n v="193"/>
    <n v="32.299999999999997"/>
    <n v="15"/>
    <s v="FL"/>
    <n v="4"/>
    <n v="3409.5"/>
    <s v="Low"/>
    <n v="1"/>
    <s v="Multi-Day"/>
    <n v="1"/>
    <n v="0"/>
    <s v="Main Entrance"/>
    <s v="Pixar Pals"/>
    <n v="11.6"/>
    <n v="13"/>
    <x v="614"/>
  </r>
  <r>
    <n v="625"/>
    <n v="201"/>
    <d v="2026-12-09T00:00:00"/>
    <s v="Wednesday"/>
    <n v="12"/>
    <n v="11.91"/>
    <x v="1"/>
    <x v="66"/>
    <s v="Female"/>
    <n v="67.900000000000006"/>
    <n v="147.1"/>
    <n v="22.3"/>
    <n v="15"/>
    <s v="CA"/>
    <n v="2"/>
    <n v="178.6"/>
    <s v="Middle"/>
    <n v="0"/>
    <s v="Multi-Day"/>
    <n v="0"/>
    <n v="0"/>
    <s v="Main Entrance"/>
    <s v="Mickey &amp; Friends"/>
    <n v="8.1999999999999993"/>
    <n v="7"/>
    <x v="615"/>
  </r>
  <r>
    <n v="626"/>
    <n v="201"/>
    <d v="2026-12-09T00:00:00"/>
    <s v="Wednesday"/>
    <n v="12"/>
    <n v="11.85"/>
    <x v="1"/>
    <x v="23"/>
    <s v="Female"/>
    <n v="68.7"/>
    <n v="126"/>
    <n v="19"/>
    <n v="15"/>
    <s v="CA"/>
    <n v="2"/>
    <n v="178.6"/>
    <s v="Middle"/>
    <n v="0"/>
    <s v="Multi-Day"/>
    <n v="0"/>
    <n v="0"/>
    <s v="Main Entrance"/>
    <s v="Mickey &amp; Friends"/>
    <n v="7.7"/>
    <n v="8"/>
    <x v="616"/>
  </r>
  <r>
    <n v="627"/>
    <n v="202"/>
    <d v="2026-06-19T00:00:00"/>
    <s v="Friday"/>
    <n v="6"/>
    <n v="9.85"/>
    <x v="0"/>
    <x v="53"/>
    <s v="Male"/>
    <n v="60.7"/>
    <n v="102.7"/>
    <n v="19.5"/>
    <n v="12"/>
    <s v="UT"/>
    <n v="3"/>
    <n v="925.3"/>
    <s v="High"/>
    <n v="1"/>
    <s v="Multi-Day"/>
    <n v="0"/>
    <n v="1"/>
    <s v="Main Entrance"/>
    <s v="None/Walked from Resort"/>
    <n v="10.9"/>
    <n v="15"/>
    <x v="617"/>
  </r>
  <r>
    <n v="628"/>
    <n v="202"/>
    <d v="2026-06-19T00:00:00"/>
    <s v="Friday"/>
    <n v="6"/>
    <n v="9.89"/>
    <x v="0"/>
    <x v="56"/>
    <s v="Male"/>
    <n v="75.7"/>
    <n v="233.7"/>
    <n v="28.8"/>
    <n v="16"/>
    <s v="UT"/>
    <n v="3"/>
    <n v="925.3"/>
    <s v="High"/>
    <n v="1"/>
    <s v="Multi-Day"/>
    <n v="0"/>
    <n v="1"/>
    <s v="Main Entrance"/>
    <s v="None/Walked from Resort"/>
    <n v="9.1999999999999993"/>
    <n v="11"/>
    <x v="618"/>
  </r>
  <r>
    <n v="629"/>
    <n v="202"/>
    <d v="2026-06-19T00:00:00"/>
    <s v="Friday"/>
    <n v="6"/>
    <n v="10.23"/>
    <x v="0"/>
    <x v="49"/>
    <s v="Female"/>
    <n v="60.9"/>
    <n v="143.19999999999999"/>
    <n v="27.1"/>
    <n v="14"/>
    <s v="UT"/>
    <n v="3"/>
    <n v="925.3"/>
    <s v="High"/>
    <n v="1"/>
    <s v="Multi-Day"/>
    <n v="0"/>
    <n v="1"/>
    <s v="Main Entrance"/>
    <s v="None/Walked from Resort"/>
    <n v="10.6"/>
    <n v="4"/>
    <x v="619"/>
  </r>
  <r>
    <n v="630"/>
    <n v="203"/>
    <d v="2026-09-10T00:00:00"/>
    <s v="Thursday"/>
    <n v="9"/>
    <n v="12.47"/>
    <x v="1"/>
    <x v="8"/>
    <s v="Female"/>
    <n v="68.2"/>
    <n v="167"/>
    <n v="25.4"/>
    <n v="14"/>
    <s v="WI"/>
    <n v="4"/>
    <n v="1999.5"/>
    <s v="Middle"/>
    <n v="1"/>
    <s v="Single-Day"/>
    <n v="0"/>
    <n v="0"/>
    <s v="Main Entrance"/>
    <s v="Pixar Pals"/>
    <n v="7.6"/>
    <n v="4"/>
    <x v="620"/>
  </r>
  <r>
    <n v="631"/>
    <n v="203"/>
    <d v="2026-09-10T00:00:00"/>
    <s v="Thursday"/>
    <n v="9"/>
    <n v="12.35"/>
    <x v="1"/>
    <x v="43"/>
    <s v="Male"/>
    <n v="72.3"/>
    <n v="144.9"/>
    <n v="19.3"/>
    <n v="16"/>
    <s v="WI"/>
    <n v="4"/>
    <n v="1999.5"/>
    <s v="Middle"/>
    <n v="1"/>
    <s v="Single-Day"/>
    <n v="0"/>
    <n v="0"/>
    <s v="Main Entrance"/>
    <s v="Pixar Pals"/>
    <n v="6.3"/>
    <n v="4"/>
    <x v="621"/>
  </r>
  <r>
    <n v="632"/>
    <n v="203"/>
    <d v="2026-09-10T00:00:00"/>
    <s v="Thursday"/>
    <n v="9"/>
    <n v="12.62"/>
    <x v="1"/>
    <x v="60"/>
    <s v="Female"/>
    <n v="67.2"/>
    <n v="176.8"/>
    <n v="27.5"/>
    <n v="13"/>
    <s v="WI"/>
    <n v="4"/>
    <n v="1999.5"/>
    <s v="Middle"/>
    <n v="1"/>
    <s v="Single-Day"/>
    <n v="0"/>
    <n v="0"/>
    <s v="Main Entrance"/>
    <s v="Pixar Pals"/>
    <n v="9.3000000000000007"/>
    <n v="12"/>
    <x v="622"/>
  </r>
  <r>
    <n v="633"/>
    <n v="203"/>
    <d v="2026-09-10T00:00:00"/>
    <s v="Thursday"/>
    <n v="9"/>
    <n v="12.54"/>
    <x v="1"/>
    <x v="11"/>
    <s v="Female"/>
    <n v="62.2"/>
    <n v="140.69999999999999"/>
    <n v="25.5"/>
    <n v="16"/>
    <s v="WI"/>
    <n v="4"/>
    <n v="1999.5"/>
    <s v="Middle"/>
    <n v="1"/>
    <s v="Single-Day"/>
    <n v="0"/>
    <n v="0"/>
    <s v="Main Entrance"/>
    <s v="Pixar Pals"/>
    <n v="7.5"/>
    <n v="7"/>
    <x v="623"/>
  </r>
  <r>
    <n v="634"/>
    <n v="204"/>
    <d v="2026-08-09T00:00:00"/>
    <s v="Sunday"/>
    <n v="8"/>
    <n v="10.88"/>
    <x v="0"/>
    <x v="31"/>
    <s v="Male"/>
    <n v="73.400000000000006"/>
    <n v="200.3"/>
    <n v="26.1"/>
    <n v="17"/>
    <s v="ND"/>
    <n v="3"/>
    <n v="1428.9"/>
    <s v="Middle"/>
    <n v="1"/>
    <s v="Single-Day"/>
    <n v="0"/>
    <n v="0"/>
    <s v="Downtown Disney Gate"/>
    <s v="Mickey &amp; Friends"/>
    <n v="6.8"/>
    <n v="8"/>
    <x v="624"/>
  </r>
  <r>
    <n v="635"/>
    <n v="204"/>
    <d v="2026-08-09T00:00:00"/>
    <s v="Sunday"/>
    <n v="8"/>
    <n v="10.94"/>
    <x v="0"/>
    <x v="33"/>
    <s v="Female"/>
    <n v="63.4"/>
    <n v="160.9"/>
    <n v="28.3"/>
    <n v="15"/>
    <s v="ND"/>
    <n v="3"/>
    <n v="1428.9"/>
    <s v="Middle"/>
    <n v="1"/>
    <s v="Single-Day"/>
    <n v="0"/>
    <n v="0"/>
    <s v="Downtown Disney Gate"/>
    <s v="Mickey &amp; Friends"/>
    <n v="8.6999999999999993"/>
    <n v="6"/>
    <x v="625"/>
  </r>
  <r>
    <n v="636"/>
    <n v="204"/>
    <d v="2026-08-09T00:00:00"/>
    <s v="Sunday"/>
    <n v="8"/>
    <n v="10.88"/>
    <x v="0"/>
    <x v="12"/>
    <s v="Female"/>
    <n v="62.4"/>
    <n v="100.6"/>
    <n v="18.399999999999999"/>
    <n v="14"/>
    <s v="ND"/>
    <n v="3"/>
    <n v="1428.9"/>
    <s v="Middle"/>
    <n v="1"/>
    <s v="Single-Day"/>
    <n v="0"/>
    <n v="0"/>
    <s v="Downtown Disney Gate"/>
    <s v="Mickey &amp; Friends"/>
    <n v="7.4"/>
    <n v="6"/>
    <x v="626"/>
  </r>
  <r>
    <n v="637"/>
    <n v="205"/>
    <d v="2026-05-18T00:00:00"/>
    <s v="Monday"/>
    <n v="5"/>
    <n v="10.38"/>
    <x v="0"/>
    <x v="45"/>
    <s v="Female"/>
    <n v="65.8"/>
    <n v="162.5"/>
    <n v="26.1"/>
    <n v="14"/>
    <s v="Other"/>
    <n v="2"/>
    <n v="1484"/>
    <s v="High"/>
    <n v="1"/>
    <s v="Single-Day"/>
    <n v="0"/>
    <n v="0"/>
    <s v="Main Entrance"/>
    <s v="Mickey &amp; Friends"/>
    <n v="7.5"/>
    <n v="8"/>
    <x v="627"/>
  </r>
  <r>
    <n v="638"/>
    <n v="205"/>
    <d v="2026-05-18T00:00:00"/>
    <s v="Monday"/>
    <n v="5"/>
    <n v="10.14"/>
    <x v="0"/>
    <x v="13"/>
    <s v="Male"/>
    <n v="66.599999999999994"/>
    <n v="158.4"/>
    <n v="25.2"/>
    <n v="18"/>
    <s v="Other"/>
    <n v="2"/>
    <n v="1484"/>
    <s v="High"/>
    <n v="1"/>
    <s v="Single-Day"/>
    <n v="0"/>
    <n v="0"/>
    <s v="Main Entrance"/>
    <s v="Mickey &amp; Friends"/>
    <n v="10"/>
    <n v="5"/>
    <x v="628"/>
  </r>
  <r>
    <n v="639"/>
    <n v="206"/>
    <d v="2026-08-18T00:00:00"/>
    <s v="Tuesday"/>
    <n v="8"/>
    <n v="9.98"/>
    <x v="0"/>
    <x v="45"/>
    <s v="Female"/>
    <n v="66.599999999999994"/>
    <n v="139.4"/>
    <n v="22.1"/>
    <n v="15"/>
    <s v="NV"/>
    <n v="6"/>
    <n v="168.8"/>
    <s v="Middle"/>
    <n v="1"/>
    <s v="Single-Day"/>
    <n v="0"/>
    <n v="1"/>
    <s v="Main Entrance"/>
    <s v="None/Walked from Resort"/>
    <n v="8.1"/>
    <n v="10"/>
    <x v="629"/>
  </r>
  <r>
    <n v="640"/>
    <n v="206"/>
    <d v="2026-08-18T00:00:00"/>
    <s v="Tuesday"/>
    <n v="8"/>
    <n v="9.69"/>
    <x v="0"/>
    <x v="38"/>
    <s v="Female"/>
    <n v="62"/>
    <n v="177.8"/>
    <n v="32.799999999999997"/>
    <n v="16"/>
    <s v="NV"/>
    <n v="6"/>
    <n v="168.8"/>
    <s v="Middle"/>
    <n v="1"/>
    <s v="Single-Day"/>
    <n v="0"/>
    <n v="1"/>
    <s v="Main Entrance"/>
    <s v="None/Walked from Resort"/>
    <n v="7.7"/>
    <n v="6"/>
    <x v="630"/>
  </r>
  <r>
    <n v="641"/>
    <n v="206"/>
    <d v="2026-08-18T00:00:00"/>
    <s v="Tuesday"/>
    <n v="8"/>
    <n v="9.99"/>
    <x v="0"/>
    <x v="8"/>
    <s v="Female"/>
    <n v="66"/>
    <n v="162.69999999999999"/>
    <n v="26.1"/>
    <n v="14"/>
    <s v="NV"/>
    <n v="6"/>
    <n v="168.8"/>
    <s v="Middle"/>
    <n v="1"/>
    <s v="Single-Day"/>
    <n v="0"/>
    <n v="1"/>
    <s v="Main Entrance"/>
    <s v="None/Walked from Resort"/>
    <n v="8.4"/>
    <n v="7"/>
    <x v="631"/>
  </r>
  <r>
    <n v="642"/>
    <n v="206"/>
    <d v="2026-08-18T00:00:00"/>
    <s v="Tuesday"/>
    <n v="8"/>
    <n v="9.82"/>
    <x v="0"/>
    <x v="1"/>
    <s v="Male"/>
    <n v="65.599999999999994"/>
    <n v="144.69999999999999"/>
    <n v="23.6"/>
    <n v="18"/>
    <s v="NV"/>
    <n v="6"/>
    <n v="168.8"/>
    <s v="Middle"/>
    <n v="1"/>
    <s v="Single-Day"/>
    <n v="0"/>
    <n v="1"/>
    <s v="Main Entrance"/>
    <s v="None/Walked from Resort"/>
    <n v="10.9"/>
    <n v="10"/>
    <x v="632"/>
  </r>
  <r>
    <n v="643"/>
    <n v="206"/>
    <d v="2026-08-18T00:00:00"/>
    <s v="Tuesday"/>
    <n v="8"/>
    <n v="9.5500000000000007"/>
    <x v="0"/>
    <x v="32"/>
    <s v="Female"/>
    <n v="62"/>
    <n v="92.9"/>
    <n v="16.899999999999999"/>
    <n v="11"/>
    <s v="NV"/>
    <n v="6"/>
    <n v="168.8"/>
    <s v="Middle"/>
    <n v="1"/>
    <s v="Single-Day"/>
    <n v="0"/>
    <n v="1"/>
    <s v="Main Entrance"/>
    <s v="None/Walked from Resort"/>
    <n v="9.5"/>
    <n v="8"/>
    <x v="633"/>
  </r>
  <r>
    <n v="644"/>
    <n v="206"/>
    <d v="2026-08-18T00:00:00"/>
    <s v="Tuesday"/>
    <n v="8"/>
    <n v="9.83"/>
    <x v="0"/>
    <x v="55"/>
    <s v="Male"/>
    <n v="72"/>
    <n v="192.8"/>
    <n v="26.3"/>
    <n v="13"/>
    <s v="NV"/>
    <n v="6"/>
    <n v="168.8"/>
    <s v="Middle"/>
    <n v="1"/>
    <s v="Single-Day"/>
    <n v="0"/>
    <n v="1"/>
    <s v="Main Entrance"/>
    <s v="None/Walked from Resort"/>
    <n v="9.1"/>
    <n v="11"/>
    <x v="634"/>
  </r>
  <r>
    <n v="645"/>
    <n v="207"/>
    <d v="2026-05-11T00:00:00"/>
    <s v="Monday"/>
    <n v="5"/>
    <n v="12.25"/>
    <x v="1"/>
    <x v="13"/>
    <s v="Male"/>
    <n v="68.599999999999994"/>
    <n v="177.2"/>
    <n v="26.7"/>
    <n v="19"/>
    <s v="AZ"/>
    <n v="4"/>
    <n v="480"/>
    <s v="Middle"/>
    <n v="0"/>
    <s v="Single-Day"/>
    <n v="0"/>
    <n v="0"/>
    <s v="Main Entrance"/>
    <s v="Pixar Pals"/>
    <n v="9.5"/>
    <n v="7"/>
    <x v="635"/>
  </r>
  <r>
    <n v="646"/>
    <n v="207"/>
    <d v="2026-05-11T00:00:00"/>
    <s v="Monday"/>
    <n v="5"/>
    <n v="12.26"/>
    <x v="1"/>
    <x v="13"/>
    <s v="Male"/>
    <n v="67.099999999999994"/>
    <n v="175.6"/>
    <n v="27.5"/>
    <n v="18"/>
    <s v="AZ"/>
    <n v="4"/>
    <n v="480"/>
    <s v="Middle"/>
    <n v="0"/>
    <s v="Single-Day"/>
    <n v="0"/>
    <n v="0"/>
    <s v="Main Entrance"/>
    <s v="Pixar Pals"/>
    <n v="7.8"/>
    <n v="15"/>
    <x v="636"/>
  </r>
  <r>
    <n v="647"/>
    <n v="207"/>
    <d v="2026-05-11T00:00:00"/>
    <s v="Monday"/>
    <n v="5"/>
    <n v="12.38"/>
    <x v="1"/>
    <x v="54"/>
    <s v="Female"/>
    <n v="64"/>
    <n v="90.6"/>
    <n v="15.3"/>
    <n v="15"/>
    <s v="AZ"/>
    <n v="4"/>
    <n v="480"/>
    <s v="Middle"/>
    <n v="0"/>
    <s v="Single-Day"/>
    <n v="0"/>
    <n v="0"/>
    <s v="Main Entrance"/>
    <s v="Pixar Pals"/>
    <n v="6.3"/>
    <n v="5"/>
    <x v="637"/>
  </r>
  <r>
    <n v="648"/>
    <n v="207"/>
    <d v="2026-05-11T00:00:00"/>
    <s v="Monday"/>
    <n v="5"/>
    <n v="12.03"/>
    <x v="1"/>
    <x v="54"/>
    <s v="Female"/>
    <n v="64.8"/>
    <n v="171.3"/>
    <n v="28.7"/>
    <n v="18"/>
    <s v="AZ"/>
    <n v="4"/>
    <n v="480"/>
    <s v="Middle"/>
    <n v="0"/>
    <s v="Single-Day"/>
    <n v="0"/>
    <n v="0"/>
    <s v="Main Entrance"/>
    <s v="Pixar Pals"/>
    <n v="7.9"/>
    <n v="8"/>
    <x v="638"/>
  </r>
  <r>
    <n v="649"/>
    <n v="208"/>
    <d v="2026-01-08T00:00:00"/>
    <s v="Thursday"/>
    <n v="1"/>
    <n v="8.34"/>
    <x v="0"/>
    <x v="38"/>
    <s v="Female"/>
    <n v="58.8"/>
    <n v="166"/>
    <n v="33.9"/>
    <n v="13"/>
    <s v="CA"/>
    <n v="5"/>
    <n v="25.9"/>
    <s v="Middle"/>
    <n v="1"/>
    <s v="Park Hopper"/>
    <n v="1"/>
    <n v="0"/>
    <s v="Main Entrance"/>
    <s v="Pixar Pals"/>
    <n v="9.1999999999999993"/>
    <n v="13"/>
    <x v="639"/>
  </r>
  <r>
    <n v="650"/>
    <n v="208"/>
    <d v="2026-01-08T00:00:00"/>
    <s v="Thursday"/>
    <n v="1"/>
    <n v="8.2899999999999991"/>
    <x v="0"/>
    <x v="58"/>
    <s v="Male"/>
    <n v="73"/>
    <n v="146.30000000000001"/>
    <n v="19.3"/>
    <n v="17"/>
    <s v="CA"/>
    <n v="5"/>
    <n v="25.9"/>
    <s v="Middle"/>
    <n v="1"/>
    <s v="Park Hopper"/>
    <n v="1"/>
    <n v="0"/>
    <s v="Main Entrance"/>
    <s v="Pixar Pals"/>
    <n v="5.8"/>
    <n v="11"/>
    <x v="640"/>
  </r>
  <r>
    <n v="651"/>
    <n v="208"/>
    <d v="2026-01-08T00:00:00"/>
    <s v="Thursday"/>
    <n v="1"/>
    <n v="8.35"/>
    <x v="0"/>
    <x v="36"/>
    <s v="Female"/>
    <n v="65.5"/>
    <n v="164.4"/>
    <n v="27.3"/>
    <n v="14"/>
    <s v="CA"/>
    <n v="5"/>
    <n v="25.9"/>
    <s v="Middle"/>
    <n v="1"/>
    <s v="Park Hopper"/>
    <n v="1"/>
    <n v="0"/>
    <s v="Main Entrance"/>
    <s v="Pixar Pals"/>
    <n v="10.5"/>
    <n v="13"/>
    <x v="641"/>
  </r>
  <r>
    <n v="652"/>
    <n v="208"/>
    <d v="2026-01-08T00:00:00"/>
    <s v="Thursday"/>
    <n v="1"/>
    <n v="8.35"/>
    <x v="0"/>
    <x v="18"/>
    <s v="Female"/>
    <n v="63.4"/>
    <n v="143.6"/>
    <n v="25.3"/>
    <n v="14"/>
    <s v="CA"/>
    <n v="5"/>
    <n v="25.9"/>
    <s v="Middle"/>
    <n v="1"/>
    <s v="Park Hopper"/>
    <n v="1"/>
    <n v="0"/>
    <s v="Main Entrance"/>
    <s v="Pixar Pals"/>
    <n v="10"/>
    <n v="5"/>
    <x v="642"/>
  </r>
  <r>
    <n v="653"/>
    <n v="208"/>
    <d v="2026-01-08T00:00:00"/>
    <s v="Thursday"/>
    <n v="1"/>
    <n v="8.3000000000000007"/>
    <x v="0"/>
    <x v="34"/>
    <s v="Female"/>
    <n v="66.8"/>
    <n v="203.1"/>
    <n v="32.1"/>
    <n v="14"/>
    <s v="CA"/>
    <n v="5"/>
    <n v="25.9"/>
    <s v="Middle"/>
    <n v="1"/>
    <s v="Park Hopper"/>
    <n v="1"/>
    <n v="0"/>
    <s v="Main Entrance"/>
    <s v="Pixar Pals"/>
    <n v="9.8000000000000007"/>
    <n v="11"/>
    <x v="643"/>
  </r>
  <r>
    <n v="654"/>
    <n v="209"/>
    <d v="2026-02-20T00:00:00"/>
    <s v="Friday"/>
    <n v="2"/>
    <n v="12.22"/>
    <x v="1"/>
    <x v="16"/>
    <s v="Male"/>
    <n v="63.5"/>
    <n v="109.3"/>
    <n v="19.2"/>
    <n v="15"/>
    <s v="Other"/>
    <n v="1"/>
    <n v="1976.7"/>
    <s v="Middle"/>
    <n v="0"/>
    <s v="Multi-Day"/>
    <n v="0"/>
    <n v="0"/>
    <s v="Main Entrance"/>
    <s v="Mickey &amp; Friends"/>
    <n v="8.1"/>
    <n v="12"/>
    <x v="644"/>
  </r>
  <r>
    <n v="655"/>
    <n v="210"/>
    <d v="2026-09-09T00:00:00"/>
    <s v="Wednesday"/>
    <n v="9"/>
    <n v="11.48"/>
    <x v="1"/>
    <x v="4"/>
    <s v="Female"/>
    <n v="66.599999999999994"/>
    <n v="183.6"/>
    <n v="29"/>
    <n v="14"/>
    <s v="FL"/>
    <n v="3"/>
    <n v="2291.6999999999998"/>
    <s v="Low"/>
    <n v="0"/>
    <s v="Multi-Day"/>
    <n v="1"/>
    <n v="0"/>
    <s v="Main Entrance"/>
    <s v="Pixar Pals"/>
    <n v="10"/>
    <n v="12"/>
    <x v="645"/>
  </r>
  <r>
    <n v="656"/>
    <n v="210"/>
    <d v="2026-09-09T00:00:00"/>
    <s v="Wednesday"/>
    <n v="9"/>
    <n v="11.17"/>
    <x v="1"/>
    <x v="38"/>
    <s v="Male"/>
    <n v="69.099999999999994"/>
    <n v="220.5"/>
    <n v="32.4"/>
    <n v="14"/>
    <s v="FL"/>
    <n v="3"/>
    <n v="2291.6999999999998"/>
    <s v="Low"/>
    <n v="0"/>
    <s v="Multi-Day"/>
    <n v="1"/>
    <n v="0"/>
    <s v="Main Entrance"/>
    <s v="Pixar Pals"/>
    <n v="6"/>
    <n v="11"/>
    <x v="646"/>
  </r>
  <r>
    <n v="657"/>
    <n v="210"/>
    <d v="2026-09-09T00:00:00"/>
    <s v="Wednesday"/>
    <n v="9"/>
    <n v="11.33"/>
    <x v="1"/>
    <x v="34"/>
    <s v="Male"/>
    <n v="64.599999999999994"/>
    <n v="164"/>
    <n v="27.8"/>
    <n v="14"/>
    <s v="FL"/>
    <n v="3"/>
    <n v="2291.6999999999998"/>
    <s v="Low"/>
    <n v="0"/>
    <s v="Multi-Day"/>
    <n v="1"/>
    <n v="0"/>
    <s v="Main Entrance"/>
    <s v="Pixar Pals"/>
    <n v="10.199999999999999"/>
    <n v="15"/>
    <x v="647"/>
  </r>
  <r>
    <n v="658"/>
    <n v="211"/>
    <d v="2026-05-17T00:00:00"/>
    <s v="Sunday"/>
    <n v="5"/>
    <n v="10.82"/>
    <x v="0"/>
    <x v="70"/>
    <s v="Female"/>
    <n v="70"/>
    <n v="151.19999999999999"/>
    <n v="21.5"/>
    <n v="9"/>
    <s v="CA"/>
    <n v="3"/>
    <n v="62.2"/>
    <s v="High"/>
    <n v="0"/>
    <s v="Park Hopper"/>
    <n v="0"/>
    <n v="0"/>
    <s v="Main Entrance"/>
    <s v="Mickey &amp; Friends"/>
    <n v="6.7"/>
    <n v="7"/>
    <x v="648"/>
  </r>
  <r>
    <n v="659"/>
    <n v="211"/>
    <d v="2026-05-17T00:00:00"/>
    <s v="Sunday"/>
    <n v="5"/>
    <n v="10.6"/>
    <x v="0"/>
    <x v="28"/>
    <s v="Male"/>
    <n v="75.2"/>
    <n v="219.4"/>
    <n v="27.2"/>
    <n v="18"/>
    <s v="CA"/>
    <n v="3"/>
    <n v="62.2"/>
    <s v="High"/>
    <n v="0"/>
    <s v="Park Hopper"/>
    <n v="0"/>
    <n v="0"/>
    <s v="Main Entrance"/>
    <s v="Mickey &amp; Friends"/>
    <n v="9"/>
    <n v="9"/>
    <x v="649"/>
  </r>
  <r>
    <n v="660"/>
    <n v="211"/>
    <d v="2026-05-17T00:00:00"/>
    <s v="Sunday"/>
    <n v="5"/>
    <n v="10.66"/>
    <x v="0"/>
    <x v="0"/>
    <s v="Male"/>
    <n v="70"/>
    <n v="135.4"/>
    <n v="19.399999999999999"/>
    <n v="17"/>
    <s v="CA"/>
    <n v="3"/>
    <n v="62.2"/>
    <s v="High"/>
    <n v="0"/>
    <s v="Park Hopper"/>
    <n v="0"/>
    <n v="0"/>
    <s v="Main Entrance"/>
    <s v="Mickey &amp; Friends"/>
    <n v="8.4"/>
    <n v="11"/>
    <x v="650"/>
  </r>
  <r>
    <n v="661"/>
    <n v="212"/>
    <d v="2026-08-15T00:00:00"/>
    <s v="Saturday"/>
    <n v="8"/>
    <n v="11.63"/>
    <x v="1"/>
    <x v="32"/>
    <s v="Male"/>
    <n v="55.9"/>
    <n v="103.5"/>
    <n v="23.5"/>
    <n v="15"/>
    <s v="CA"/>
    <n v="5"/>
    <n v="2"/>
    <s v="Middle"/>
    <n v="0"/>
    <s v="Multi-Day"/>
    <n v="0"/>
    <n v="0"/>
    <s v="Main Entrance"/>
    <s v="Pixar Pals"/>
    <n v="7.4"/>
    <n v="7"/>
    <x v="651"/>
  </r>
  <r>
    <n v="662"/>
    <n v="212"/>
    <d v="2026-08-15T00:00:00"/>
    <s v="Saturday"/>
    <n v="8"/>
    <n v="11.77"/>
    <x v="1"/>
    <x v="35"/>
    <s v="Male"/>
    <n v="76.2"/>
    <n v="260.60000000000002"/>
    <n v="31.6"/>
    <n v="19"/>
    <s v="CA"/>
    <n v="5"/>
    <n v="2"/>
    <s v="Middle"/>
    <n v="0"/>
    <s v="Multi-Day"/>
    <n v="0"/>
    <n v="0"/>
    <s v="Main Entrance"/>
    <s v="Pixar Pals"/>
    <n v="7.1"/>
    <n v="10"/>
    <x v="652"/>
  </r>
  <r>
    <n v="663"/>
    <n v="212"/>
    <d v="2026-08-15T00:00:00"/>
    <s v="Saturday"/>
    <n v="8"/>
    <n v="11.76"/>
    <x v="1"/>
    <x v="12"/>
    <s v="Male"/>
    <n v="64.099999999999994"/>
    <n v="105.7"/>
    <n v="18.100000000000001"/>
    <n v="15"/>
    <s v="CA"/>
    <n v="5"/>
    <n v="2"/>
    <s v="Middle"/>
    <n v="0"/>
    <s v="Multi-Day"/>
    <n v="0"/>
    <n v="0"/>
    <s v="Main Entrance"/>
    <s v="Pixar Pals"/>
    <n v="7.6"/>
    <n v="13"/>
    <x v="653"/>
  </r>
  <r>
    <n v="664"/>
    <n v="212"/>
    <d v="2026-08-15T00:00:00"/>
    <s v="Saturday"/>
    <n v="8"/>
    <n v="11.45"/>
    <x v="1"/>
    <x v="23"/>
    <s v="Female"/>
    <n v="62.4"/>
    <n v="163.6"/>
    <n v="29.5"/>
    <n v="18"/>
    <s v="CA"/>
    <n v="5"/>
    <n v="2"/>
    <s v="Middle"/>
    <n v="0"/>
    <s v="Multi-Day"/>
    <n v="0"/>
    <n v="0"/>
    <s v="Main Entrance"/>
    <s v="Pixar Pals"/>
    <n v="10.1"/>
    <n v="12"/>
    <x v="654"/>
  </r>
  <r>
    <n v="665"/>
    <n v="212"/>
    <d v="2026-08-15T00:00:00"/>
    <s v="Saturday"/>
    <n v="8"/>
    <n v="11.61"/>
    <x v="1"/>
    <x v="71"/>
    <s v="Female"/>
    <n v="65.900000000000006"/>
    <n v="126.3"/>
    <n v="20.6"/>
    <n v="16"/>
    <s v="CA"/>
    <n v="5"/>
    <n v="2"/>
    <s v="Middle"/>
    <n v="0"/>
    <s v="Multi-Day"/>
    <n v="0"/>
    <n v="0"/>
    <s v="Main Entrance"/>
    <s v="Pixar Pals"/>
    <n v="7.6"/>
    <n v="7"/>
    <x v="655"/>
  </r>
  <r>
    <n v="666"/>
    <n v="213"/>
    <d v="2026-07-25T00:00:00"/>
    <s v="Saturday"/>
    <n v="7"/>
    <n v="8.15"/>
    <x v="0"/>
    <x v="36"/>
    <s v="Male"/>
    <n v="69.5"/>
    <n v="196.3"/>
    <n v="28.5"/>
    <n v="16"/>
    <s v="CA"/>
    <n v="1"/>
    <n v="77.099999999999994"/>
    <s v="Middle"/>
    <n v="1"/>
    <s v="Single-Day"/>
    <n v="1"/>
    <n v="0"/>
    <s v="Main Entrance"/>
    <s v="Toy Story Lot"/>
    <n v="6.3"/>
    <n v="5"/>
    <x v="656"/>
  </r>
  <r>
    <n v="667"/>
    <n v="214"/>
    <d v="2026-04-11T00:00:00"/>
    <s v="Saturday"/>
    <n v="4"/>
    <n v="8.56"/>
    <x v="0"/>
    <x v="17"/>
    <s v="Female"/>
    <n v="60.5"/>
    <n v="153"/>
    <n v="29.4"/>
    <n v="20"/>
    <s v="CA"/>
    <n v="2"/>
    <n v="64.099999999999994"/>
    <s v="High"/>
    <n v="0"/>
    <s v="Multi-Day"/>
    <n v="0"/>
    <n v="0"/>
    <s v="Main Entrance"/>
    <s v="Mickey &amp; Friends"/>
    <n v="11.8"/>
    <n v="6"/>
    <x v="451"/>
  </r>
  <r>
    <n v="668"/>
    <n v="214"/>
    <d v="2026-04-11T00:00:00"/>
    <s v="Saturday"/>
    <n v="4"/>
    <n v="8.56"/>
    <x v="0"/>
    <x v="41"/>
    <s v="Male"/>
    <n v="71.400000000000006"/>
    <n v="147.1"/>
    <n v="20.3"/>
    <n v="15"/>
    <s v="CA"/>
    <n v="2"/>
    <n v="64.099999999999994"/>
    <s v="High"/>
    <n v="0"/>
    <s v="Multi-Day"/>
    <n v="0"/>
    <n v="0"/>
    <s v="Main Entrance"/>
    <s v="Mickey &amp; Friends"/>
    <n v="8"/>
    <n v="8"/>
    <x v="657"/>
  </r>
  <r>
    <n v="669"/>
    <n v="215"/>
    <d v="2026-07-18T00:00:00"/>
    <s v="Saturday"/>
    <n v="7"/>
    <n v="9.18"/>
    <x v="0"/>
    <x v="24"/>
    <s v="Female"/>
    <n v="68.099999999999994"/>
    <n v="207.4"/>
    <n v="31.2"/>
    <n v="16"/>
    <s v="UT"/>
    <n v="2"/>
    <n v="604.9"/>
    <s v="Middle"/>
    <n v="0"/>
    <s v="Multi-Day"/>
    <n v="0"/>
    <n v="0"/>
    <s v="Main Entrance"/>
    <s v="Mickey &amp; Friends"/>
    <n v="6.4"/>
    <n v="5"/>
    <x v="658"/>
  </r>
  <r>
    <n v="670"/>
    <n v="215"/>
    <d v="2026-07-18T00:00:00"/>
    <s v="Saturday"/>
    <n v="7"/>
    <n v="9.31"/>
    <x v="0"/>
    <x v="34"/>
    <s v="Female"/>
    <n v="65"/>
    <n v="170.3"/>
    <n v="28.4"/>
    <n v="16"/>
    <s v="UT"/>
    <n v="2"/>
    <n v="604.9"/>
    <s v="Middle"/>
    <n v="0"/>
    <s v="Multi-Day"/>
    <n v="0"/>
    <n v="0"/>
    <s v="Main Entrance"/>
    <s v="Mickey &amp; Friends"/>
    <n v="8.6"/>
    <n v="6"/>
    <x v="659"/>
  </r>
  <r>
    <n v="671"/>
    <n v="216"/>
    <d v="2026-04-13T00:00:00"/>
    <s v="Monday"/>
    <n v="4"/>
    <n v="11.22"/>
    <x v="1"/>
    <x v="18"/>
    <s v="Male"/>
    <n v="70.599999999999994"/>
    <n v="163.5"/>
    <n v="23.2"/>
    <n v="18"/>
    <s v="CO"/>
    <n v="4"/>
    <n v="1141.0999999999999"/>
    <s v="Middle"/>
    <n v="0"/>
    <s v="Park Hopper"/>
    <n v="1"/>
    <n v="1"/>
    <s v="Main Entrance"/>
    <s v="Toy Story Lot"/>
    <n v="9.5"/>
    <n v="10"/>
    <x v="660"/>
  </r>
  <r>
    <n v="672"/>
    <n v="216"/>
    <d v="2026-04-13T00:00:00"/>
    <s v="Monday"/>
    <n v="4"/>
    <n v="10.97"/>
    <x v="0"/>
    <x v="22"/>
    <s v="Female"/>
    <n v="59.6"/>
    <n v="127.8"/>
    <n v="25.3"/>
    <n v="14"/>
    <s v="CO"/>
    <n v="4"/>
    <n v="1141.0999999999999"/>
    <s v="Middle"/>
    <n v="0"/>
    <s v="Park Hopper"/>
    <n v="1"/>
    <n v="1"/>
    <s v="Main Entrance"/>
    <s v="Toy Story Lot"/>
    <n v="10.5"/>
    <n v="8"/>
    <x v="661"/>
  </r>
  <r>
    <n v="673"/>
    <n v="216"/>
    <d v="2026-04-13T00:00:00"/>
    <s v="Monday"/>
    <n v="4"/>
    <n v="11.26"/>
    <x v="1"/>
    <x v="47"/>
    <s v="Female"/>
    <n v="62.8"/>
    <n v="113.7"/>
    <n v="20.5"/>
    <n v="16"/>
    <s v="CO"/>
    <n v="4"/>
    <n v="1141.0999999999999"/>
    <s v="Middle"/>
    <n v="0"/>
    <s v="Park Hopper"/>
    <n v="1"/>
    <n v="1"/>
    <s v="Main Entrance"/>
    <s v="Toy Story Lot"/>
    <n v="6.8"/>
    <n v="15"/>
    <x v="662"/>
  </r>
  <r>
    <n v="674"/>
    <n v="216"/>
    <d v="2026-04-13T00:00:00"/>
    <s v="Monday"/>
    <n v="4"/>
    <n v="10.96"/>
    <x v="0"/>
    <x v="13"/>
    <s v="Female"/>
    <n v="61"/>
    <n v="134.19999999999999"/>
    <n v="25.3"/>
    <n v="13"/>
    <s v="CO"/>
    <n v="4"/>
    <n v="1141.0999999999999"/>
    <s v="Middle"/>
    <n v="0"/>
    <s v="Park Hopper"/>
    <n v="1"/>
    <n v="1"/>
    <s v="Main Entrance"/>
    <s v="Toy Story Lot"/>
    <n v="9.1999999999999993"/>
    <n v="8"/>
    <x v="663"/>
  </r>
  <r>
    <n v="675"/>
    <n v="217"/>
    <d v="2026-02-21T00:00:00"/>
    <s v="Saturday"/>
    <n v="2"/>
    <n v="10.08"/>
    <x v="0"/>
    <x v="59"/>
    <s v="Female"/>
    <n v="65.7"/>
    <n v="174.8"/>
    <n v="28.5"/>
    <n v="19"/>
    <s v="CA"/>
    <n v="2"/>
    <n v="50.8"/>
    <s v="Middle"/>
    <n v="0"/>
    <s v="Multi-Day"/>
    <n v="1"/>
    <n v="0"/>
    <s v="Main Entrance"/>
    <s v="Toy Story Lot"/>
    <n v="8.9"/>
    <n v="6"/>
    <x v="664"/>
  </r>
  <r>
    <n v="676"/>
    <n v="217"/>
    <d v="2026-02-21T00:00:00"/>
    <s v="Saturday"/>
    <n v="2"/>
    <n v="10.130000000000001"/>
    <x v="0"/>
    <x v="0"/>
    <s v="Female"/>
    <n v="62"/>
    <n v="149.80000000000001"/>
    <n v="27.4"/>
    <n v="18"/>
    <s v="CA"/>
    <n v="2"/>
    <n v="50.8"/>
    <s v="Middle"/>
    <n v="0"/>
    <s v="Multi-Day"/>
    <n v="1"/>
    <n v="0"/>
    <s v="Main Entrance"/>
    <s v="Toy Story Lot"/>
    <n v="6.3"/>
    <n v="7"/>
    <x v="665"/>
  </r>
  <r>
    <n v="677"/>
    <n v="218"/>
    <d v="2026-11-20T00:00:00"/>
    <s v="Friday"/>
    <n v="11"/>
    <n v="10.33"/>
    <x v="0"/>
    <x v="3"/>
    <s v="Female"/>
    <n v="62.7"/>
    <n v="166.5"/>
    <n v="29.4"/>
    <n v="15"/>
    <s v="CO"/>
    <n v="4"/>
    <n v="1139.2"/>
    <s v="Middle"/>
    <n v="0"/>
    <s v="Single-Day"/>
    <n v="0"/>
    <n v="0"/>
    <s v="Main Entrance"/>
    <s v="Toy Story Lot"/>
    <n v="6.8"/>
    <n v="8"/>
    <x v="666"/>
  </r>
  <r>
    <n v="678"/>
    <n v="218"/>
    <d v="2026-11-20T00:00:00"/>
    <s v="Friday"/>
    <n v="11"/>
    <n v="10.24"/>
    <x v="0"/>
    <x v="67"/>
    <s v="Female"/>
    <n v="60.8"/>
    <n v="128.1"/>
    <n v="24.4"/>
    <n v="11"/>
    <s v="CO"/>
    <n v="4"/>
    <n v="1139.2"/>
    <s v="Middle"/>
    <n v="0"/>
    <s v="Single-Day"/>
    <n v="0"/>
    <n v="0"/>
    <s v="Main Entrance"/>
    <s v="Toy Story Lot"/>
    <n v="8.1"/>
    <n v="6"/>
    <x v="667"/>
  </r>
  <r>
    <n v="679"/>
    <n v="218"/>
    <d v="2026-11-20T00:00:00"/>
    <s v="Friday"/>
    <n v="11"/>
    <n v="10.32"/>
    <x v="0"/>
    <x v="59"/>
    <s v="Male"/>
    <n v="68.400000000000006"/>
    <n v="178.5"/>
    <n v="27"/>
    <n v="14"/>
    <s v="CO"/>
    <n v="4"/>
    <n v="1139.2"/>
    <s v="Middle"/>
    <n v="0"/>
    <s v="Single-Day"/>
    <n v="0"/>
    <n v="0"/>
    <s v="Main Entrance"/>
    <s v="Toy Story Lot"/>
    <n v="7.2"/>
    <n v="9"/>
    <x v="668"/>
  </r>
  <r>
    <n v="680"/>
    <n v="218"/>
    <d v="2026-11-20T00:00:00"/>
    <s v="Friday"/>
    <n v="11"/>
    <n v="10.17"/>
    <x v="0"/>
    <x v="62"/>
    <s v="Nonbinary/Other"/>
    <n v="65.400000000000006"/>
    <n v="176.3"/>
    <n v="29.2"/>
    <n v="15"/>
    <s v="CO"/>
    <n v="4"/>
    <n v="1139.2"/>
    <s v="Middle"/>
    <n v="0"/>
    <s v="Single-Day"/>
    <n v="0"/>
    <n v="0"/>
    <s v="Main Entrance"/>
    <s v="Toy Story Lot"/>
    <n v="9.8000000000000007"/>
    <n v="9"/>
    <x v="669"/>
  </r>
  <r>
    <n v="681"/>
    <n v="219"/>
    <d v="2026-04-09T00:00:00"/>
    <s v="Thursday"/>
    <n v="4"/>
    <n v="9.86"/>
    <x v="0"/>
    <x v="52"/>
    <s v="Male"/>
    <n v="67.099999999999994"/>
    <n v="164.4"/>
    <n v="25.7"/>
    <n v="17"/>
    <s v="NY"/>
    <n v="1"/>
    <n v="3367.7"/>
    <s v="High"/>
    <n v="1"/>
    <s v="Multi-Day"/>
    <n v="1"/>
    <n v="1"/>
    <s v="Main Entrance"/>
    <s v="None/Walked from Resort"/>
    <n v="10.3"/>
    <n v="7"/>
    <x v="670"/>
  </r>
  <r>
    <n v="682"/>
    <n v="220"/>
    <d v="2026-03-19T00:00:00"/>
    <s v="Thursday"/>
    <n v="3"/>
    <n v="10.45"/>
    <x v="0"/>
    <x v="58"/>
    <s v="Female"/>
    <n v="67.7"/>
    <n v="142.5"/>
    <n v="21.7"/>
    <n v="10"/>
    <s v="CA"/>
    <n v="6"/>
    <n v="111.2"/>
    <s v="Low"/>
    <n v="1"/>
    <s v="Park Hopper"/>
    <n v="0"/>
    <n v="0"/>
    <s v="Hotel Guest Entrance"/>
    <s v="Mickey &amp; Friends"/>
    <n v="8.1999999999999993"/>
    <n v="5"/>
    <x v="671"/>
  </r>
  <r>
    <n v="683"/>
    <n v="220"/>
    <d v="2026-03-19T00:00:00"/>
    <s v="Thursday"/>
    <n v="3"/>
    <n v="10.58"/>
    <x v="0"/>
    <x v="38"/>
    <s v="Female"/>
    <n v="67"/>
    <n v="185.1"/>
    <n v="29.3"/>
    <n v="9"/>
    <s v="CA"/>
    <n v="6"/>
    <n v="111.2"/>
    <s v="Low"/>
    <n v="1"/>
    <s v="Park Hopper"/>
    <n v="0"/>
    <n v="0"/>
    <s v="Hotel Guest Entrance"/>
    <s v="Mickey &amp; Friends"/>
    <n v="4.5999999999999996"/>
    <n v="3"/>
    <x v="672"/>
  </r>
  <r>
    <n v="684"/>
    <n v="220"/>
    <d v="2026-03-19T00:00:00"/>
    <s v="Thursday"/>
    <n v="3"/>
    <n v="10.37"/>
    <x v="0"/>
    <x v="69"/>
    <s v="Male"/>
    <n v="69.599999999999994"/>
    <n v="184.5"/>
    <n v="26.7"/>
    <n v="16"/>
    <s v="CA"/>
    <n v="6"/>
    <n v="111.2"/>
    <s v="Low"/>
    <n v="1"/>
    <s v="Park Hopper"/>
    <n v="0"/>
    <n v="0"/>
    <s v="Hotel Guest Entrance"/>
    <s v="Mickey &amp; Friends"/>
    <n v="5.2"/>
    <n v="4"/>
    <x v="673"/>
  </r>
  <r>
    <n v="685"/>
    <n v="220"/>
    <d v="2026-03-19T00:00:00"/>
    <s v="Thursday"/>
    <n v="3"/>
    <n v="10.33"/>
    <x v="0"/>
    <x v="35"/>
    <s v="Male"/>
    <n v="69.599999999999994"/>
    <n v="194.3"/>
    <n v="28.3"/>
    <n v="16"/>
    <s v="CA"/>
    <n v="6"/>
    <n v="111.2"/>
    <s v="Low"/>
    <n v="1"/>
    <s v="Park Hopper"/>
    <n v="0"/>
    <n v="0"/>
    <s v="Hotel Guest Entrance"/>
    <s v="Mickey &amp; Friends"/>
    <n v="8.6"/>
    <n v="8"/>
    <x v="674"/>
  </r>
  <r>
    <n v="686"/>
    <n v="220"/>
    <d v="2026-03-19T00:00:00"/>
    <s v="Thursday"/>
    <n v="3"/>
    <n v="10.48"/>
    <x v="0"/>
    <x v="2"/>
    <s v="Male"/>
    <n v="70.8"/>
    <n v="140.6"/>
    <n v="19.7"/>
    <n v="16"/>
    <s v="CA"/>
    <n v="6"/>
    <n v="111.2"/>
    <s v="Low"/>
    <n v="1"/>
    <s v="Park Hopper"/>
    <n v="0"/>
    <n v="0"/>
    <s v="Hotel Guest Entrance"/>
    <s v="Mickey &amp; Friends"/>
    <n v="8.5"/>
    <n v="6"/>
    <x v="675"/>
  </r>
  <r>
    <n v="687"/>
    <n v="220"/>
    <d v="2026-03-19T00:00:00"/>
    <s v="Thursday"/>
    <n v="3"/>
    <n v="10.55"/>
    <x v="0"/>
    <x v="36"/>
    <s v="Female"/>
    <n v="57.7"/>
    <n v="110.2"/>
    <n v="23.3"/>
    <n v="14"/>
    <s v="CA"/>
    <n v="6"/>
    <n v="111.2"/>
    <s v="Low"/>
    <n v="1"/>
    <s v="Park Hopper"/>
    <n v="0"/>
    <n v="0"/>
    <s v="Hotel Guest Entrance"/>
    <s v="Mickey &amp; Friends"/>
    <n v="8.8000000000000007"/>
    <n v="7"/>
    <x v="676"/>
  </r>
  <r>
    <n v="688"/>
    <n v="221"/>
    <d v="2026-05-01T00:00:00"/>
    <s v="Friday"/>
    <n v="5"/>
    <n v="7.88"/>
    <x v="0"/>
    <x v="51"/>
    <s v="Female"/>
    <n v="62"/>
    <n v="150.1"/>
    <n v="27.6"/>
    <n v="14"/>
    <s v="NY"/>
    <n v="5"/>
    <n v="2715.4"/>
    <s v="Low"/>
    <n v="1"/>
    <s v="Park Hopper"/>
    <n v="0"/>
    <n v="0"/>
    <s v="Downtown Disney Gate"/>
    <s v="Mickey &amp; Friends"/>
    <n v="7.1"/>
    <n v="8"/>
    <x v="677"/>
  </r>
  <r>
    <n v="689"/>
    <n v="221"/>
    <d v="2026-05-01T00:00:00"/>
    <s v="Friday"/>
    <n v="5"/>
    <n v="8.0500000000000007"/>
    <x v="0"/>
    <x v="55"/>
    <s v="Female"/>
    <n v="66.3"/>
    <n v="152.19999999999999"/>
    <n v="24.3"/>
    <n v="12"/>
    <s v="NY"/>
    <n v="5"/>
    <n v="2715.4"/>
    <s v="Low"/>
    <n v="1"/>
    <s v="Park Hopper"/>
    <n v="0"/>
    <n v="0"/>
    <s v="Downtown Disney Gate"/>
    <s v="Mickey &amp; Friends"/>
    <n v="7.8"/>
    <n v="8"/>
    <x v="678"/>
  </r>
  <r>
    <n v="690"/>
    <n v="221"/>
    <d v="2026-05-01T00:00:00"/>
    <s v="Friday"/>
    <n v="5"/>
    <n v="8.16"/>
    <x v="0"/>
    <x v="76"/>
    <s v="Male"/>
    <n v="72.7"/>
    <n v="169.4"/>
    <n v="22.7"/>
    <n v="17"/>
    <s v="NY"/>
    <n v="5"/>
    <n v="2715.4"/>
    <s v="Low"/>
    <n v="1"/>
    <s v="Park Hopper"/>
    <n v="0"/>
    <n v="0"/>
    <s v="Downtown Disney Gate"/>
    <s v="Mickey &amp; Friends"/>
    <n v="8.9"/>
    <n v="11"/>
    <x v="679"/>
  </r>
  <r>
    <n v="691"/>
    <n v="221"/>
    <d v="2026-05-01T00:00:00"/>
    <s v="Friday"/>
    <n v="5"/>
    <n v="7.74"/>
    <x v="0"/>
    <x v="11"/>
    <s v="Female"/>
    <n v="65"/>
    <n v="104.2"/>
    <n v="17"/>
    <n v="11"/>
    <s v="NY"/>
    <n v="5"/>
    <n v="2715.4"/>
    <s v="Low"/>
    <n v="1"/>
    <s v="Park Hopper"/>
    <n v="0"/>
    <n v="0"/>
    <s v="Downtown Disney Gate"/>
    <s v="Mickey &amp; Friends"/>
    <n v="11.4"/>
    <n v="7"/>
    <x v="680"/>
  </r>
  <r>
    <n v="692"/>
    <n v="221"/>
    <d v="2026-05-01T00:00:00"/>
    <s v="Friday"/>
    <n v="5"/>
    <n v="8.11"/>
    <x v="0"/>
    <x v="25"/>
    <s v="Female"/>
    <n v="61.4"/>
    <n v="130.80000000000001"/>
    <n v="24.2"/>
    <n v="10"/>
    <s v="NY"/>
    <n v="5"/>
    <n v="2715.4"/>
    <s v="Low"/>
    <n v="1"/>
    <s v="Park Hopper"/>
    <n v="0"/>
    <n v="0"/>
    <s v="Downtown Disney Gate"/>
    <s v="Mickey &amp; Friends"/>
    <n v="9.5"/>
    <n v="13"/>
    <x v="681"/>
  </r>
  <r>
    <n v="693"/>
    <n v="222"/>
    <d v="2026-09-23T00:00:00"/>
    <s v="Wednesday"/>
    <n v="9"/>
    <n v="11.28"/>
    <x v="1"/>
    <x v="21"/>
    <s v="Female"/>
    <n v="62.9"/>
    <n v="163.1"/>
    <n v="28.8"/>
    <n v="14"/>
    <s v="Other"/>
    <n v="2"/>
    <n v="1641.6"/>
    <s v="Middle"/>
    <n v="1"/>
    <s v="Park Hopper"/>
    <n v="1"/>
    <n v="0"/>
    <s v="Main Entrance"/>
    <s v="Toy Story Lot"/>
    <n v="7.1"/>
    <n v="12"/>
    <x v="682"/>
  </r>
  <r>
    <n v="694"/>
    <n v="222"/>
    <d v="2026-09-23T00:00:00"/>
    <s v="Wednesday"/>
    <n v="9"/>
    <n v="11.37"/>
    <x v="1"/>
    <x v="3"/>
    <s v="Female"/>
    <n v="62.7"/>
    <n v="148.30000000000001"/>
    <n v="26.3"/>
    <n v="14"/>
    <s v="Other"/>
    <n v="2"/>
    <n v="1641.6"/>
    <s v="Middle"/>
    <n v="1"/>
    <s v="Park Hopper"/>
    <n v="1"/>
    <n v="0"/>
    <s v="Main Entrance"/>
    <s v="Toy Story Lot"/>
    <n v="6.5"/>
    <n v="11"/>
    <x v="683"/>
  </r>
  <r>
    <n v="695"/>
    <n v="223"/>
    <d v="2026-12-06T00:00:00"/>
    <s v="Sunday"/>
    <n v="12"/>
    <n v="10.59"/>
    <x v="0"/>
    <x v="69"/>
    <s v="Male"/>
    <n v="68.400000000000006"/>
    <n v="192.7"/>
    <n v="29"/>
    <n v="17"/>
    <s v="FL"/>
    <n v="4"/>
    <n v="2529.1999999999998"/>
    <s v="Middle"/>
    <n v="1"/>
    <s v="Multi-Day"/>
    <n v="1"/>
    <n v="0"/>
    <s v="Main Entrance"/>
    <s v="Pixar Pals"/>
    <n v="10.3"/>
    <n v="12"/>
    <x v="684"/>
  </r>
  <r>
    <n v="696"/>
    <n v="223"/>
    <d v="2026-12-06T00:00:00"/>
    <s v="Sunday"/>
    <n v="12"/>
    <n v="10.89"/>
    <x v="0"/>
    <x v="57"/>
    <s v="Female"/>
    <n v="63.9"/>
    <n v="129"/>
    <n v="22.3"/>
    <n v="20"/>
    <s v="FL"/>
    <n v="4"/>
    <n v="2529.1999999999998"/>
    <s v="Middle"/>
    <n v="1"/>
    <s v="Multi-Day"/>
    <n v="1"/>
    <n v="0"/>
    <s v="Main Entrance"/>
    <s v="Pixar Pals"/>
    <n v="10.7"/>
    <n v="10"/>
    <x v="685"/>
  </r>
  <r>
    <n v="697"/>
    <n v="223"/>
    <d v="2026-12-06T00:00:00"/>
    <s v="Sunday"/>
    <n v="12"/>
    <n v="10.65"/>
    <x v="0"/>
    <x v="42"/>
    <s v="Female"/>
    <n v="64.3"/>
    <n v="189.7"/>
    <n v="32.1"/>
    <n v="16"/>
    <s v="FL"/>
    <n v="4"/>
    <n v="2529.1999999999998"/>
    <s v="Middle"/>
    <n v="1"/>
    <s v="Multi-Day"/>
    <n v="1"/>
    <n v="0"/>
    <s v="Main Entrance"/>
    <s v="Pixar Pals"/>
    <n v="10.3"/>
    <n v="9"/>
    <x v="686"/>
  </r>
  <r>
    <n v="698"/>
    <n v="223"/>
    <d v="2026-12-06T00:00:00"/>
    <s v="Sunday"/>
    <n v="12"/>
    <n v="10.53"/>
    <x v="0"/>
    <x v="71"/>
    <s v="Female"/>
    <n v="65.7"/>
    <n v="160.1"/>
    <n v="25.9"/>
    <n v="14"/>
    <s v="FL"/>
    <n v="4"/>
    <n v="2529.1999999999998"/>
    <s v="Middle"/>
    <n v="1"/>
    <s v="Multi-Day"/>
    <n v="1"/>
    <n v="0"/>
    <s v="Main Entrance"/>
    <s v="Pixar Pals"/>
    <n v="9.5"/>
    <n v="14"/>
    <x v="687"/>
  </r>
  <r>
    <n v="699"/>
    <n v="224"/>
    <d v="2026-08-04T00:00:00"/>
    <s v="Tuesday"/>
    <n v="8"/>
    <n v="10.85"/>
    <x v="0"/>
    <x v="48"/>
    <s v="Male"/>
    <n v="66.8"/>
    <n v="183.9"/>
    <n v="28.9"/>
    <n v="14"/>
    <s v="AZ"/>
    <n v="2"/>
    <n v="317.7"/>
    <s v="Middle"/>
    <n v="1"/>
    <s v="Park Hopper"/>
    <n v="0"/>
    <n v="0"/>
    <s v="Main Entrance"/>
    <s v="Mickey &amp; Friends"/>
    <n v="8.6"/>
    <n v="9"/>
    <x v="688"/>
  </r>
  <r>
    <n v="700"/>
    <n v="224"/>
    <d v="2026-08-04T00:00:00"/>
    <s v="Tuesday"/>
    <n v="8"/>
    <n v="10.71"/>
    <x v="0"/>
    <x v="4"/>
    <s v="Male"/>
    <n v="73"/>
    <n v="202.3"/>
    <n v="26.8"/>
    <n v="15"/>
    <s v="AZ"/>
    <n v="2"/>
    <n v="317.7"/>
    <s v="Middle"/>
    <n v="1"/>
    <s v="Park Hopper"/>
    <n v="0"/>
    <n v="0"/>
    <s v="Main Entrance"/>
    <s v="Mickey &amp; Friends"/>
    <n v="7.1"/>
    <n v="8"/>
    <x v="689"/>
  </r>
  <r>
    <n v="701"/>
    <n v="225"/>
    <d v="2026-05-30T00:00:00"/>
    <s v="Saturday"/>
    <n v="5"/>
    <n v="13.31"/>
    <x v="1"/>
    <x v="56"/>
    <s v="Female"/>
    <n v="64.599999999999994"/>
    <n v="126.5"/>
    <n v="21.2"/>
    <n v="18"/>
    <s v="OR"/>
    <n v="4"/>
    <n v="1172.4000000000001"/>
    <s v="High"/>
    <n v="0"/>
    <s v="Park Hopper"/>
    <n v="0"/>
    <n v="0"/>
    <s v="Downtown Disney Gate"/>
    <s v="Toy Story Lot"/>
    <n v="8.1999999999999993"/>
    <n v="11"/>
    <x v="690"/>
  </r>
  <r>
    <n v="702"/>
    <n v="225"/>
    <d v="2026-05-30T00:00:00"/>
    <s v="Saturday"/>
    <n v="5"/>
    <n v="13.27"/>
    <x v="1"/>
    <x v="36"/>
    <s v="Male"/>
    <n v="70.2"/>
    <n v="203.2"/>
    <n v="28.7"/>
    <n v="19"/>
    <s v="OR"/>
    <n v="4"/>
    <n v="1172.4000000000001"/>
    <s v="High"/>
    <n v="0"/>
    <s v="Park Hopper"/>
    <n v="0"/>
    <n v="0"/>
    <s v="Downtown Disney Gate"/>
    <s v="Toy Story Lot"/>
    <n v="6.2"/>
    <n v="6"/>
    <x v="691"/>
  </r>
  <r>
    <n v="703"/>
    <n v="225"/>
    <d v="2026-05-30T00:00:00"/>
    <s v="Saturday"/>
    <n v="5"/>
    <n v="13.05"/>
    <x v="1"/>
    <x v="27"/>
    <s v="Female"/>
    <n v="56.9"/>
    <n v="118.9"/>
    <n v="25.7"/>
    <n v="18"/>
    <s v="OR"/>
    <n v="4"/>
    <n v="1172.4000000000001"/>
    <s v="High"/>
    <n v="0"/>
    <s v="Park Hopper"/>
    <n v="0"/>
    <n v="0"/>
    <s v="Downtown Disney Gate"/>
    <s v="Toy Story Lot"/>
    <n v="7"/>
    <n v="9"/>
    <x v="692"/>
  </r>
  <r>
    <n v="704"/>
    <n v="225"/>
    <d v="2026-05-30T00:00:00"/>
    <s v="Saturday"/>
    <n v="5"/>
    <n v="13.17"/>
    <x v="1"/>
    <x v="9"/>
    <s v="Male"/>
    <n v="69.400000000000006"/>
    <n v="183.5"/>
    <n v="26.8"/>
    <n v="16"/>
    <s v="OR"/>
    <n v="4"/>
    <n v="1172.4000000000001"/>
    <s v="High"/>
    <n v="0"/>
    <s v="Park Hopper"/>
    <n v="0"/>
    <n v="0"/>
    <s v="Downtown Disney Gate"/>
    <s v="Toy Story Lot"/>
    <n v="9.9"/>
    <n v="12"/>
    <x v="693"/>
  </r>
  <r>
    <n v="705"/>
    <n v="226"/>
    <d v="2026-10-23T00:00:00"/>
    <s v="Friday"/>
    <n v="10"/>
    <n v="12.28"/>
    <x v="1"/>
    <x v="25"/>
    <s v="Male"/>
    <n v="62.9"/>
    <n v="125.4"/>
    <n v="22.2"/>
    <n v="12"/>
    <s v="CA"/>
    <n v="5"/>
    <n v="64"/>
    <s v="Low"/>
    <n v="0"/>
    <s v="Single-Day"/>
    <n v="0"/>
    <n v="0"/>
    <s v="Main Entrance"/>
    <s v="Pixar Pals"/>
    <n v="5.9"/>
    <n v="7"/>
    <x v="694"/>
  </r>
  <r>
    <n v="706"/>
    <n v="226"/>
    <d v="2026-10-23T00:00:00"/>
    <s v="Friday"/>
    <n v="10"/>
    <n v="12.4"/>
    <x v="1"/>
    <x v="51"/>
    <s v="Male"/>
    <n v="68.400000000000006"/>
    <n v="165.9"/>
    <n v="25.1"/>
    <n v="11"/>
    <s v="CA"/>
    <n v="5"/>
    <n v="64"/>
    <s v="Low"/>
    <n v="0"/>
    <s v="Single-Day"/>
    <n v="0"/>
    <n v="0"/>
    <s v="Main Entrance"/>
    <s v="Pixar Pals"/>
    <n v="8"/>
    <n v="6"/>
    <x v="695"/>
  </r>
  <r>
    <n v="707"/>
    <n v="226"/>
    <d v="2026-10-23T00:00:00"/>
    <s v="Friday"/>
    <n v="10"/>
    <n v="12.28"/>
    <x v="1"/>
    <x v="72"/>
    <s v="Female"/>
    <n v="62.3"/>
    <n v="159.6"/>
    <n v="28.9"/>
    <n v="15"/>
    <s v="CA"/>
    <n v="5"/>
    <n v="64"/>
    <s v="Low"/>
    <n v="0"/>
    <s v="Single-Day"/>
    <n v="0"/>
    <n v="0"/>
    <s v="Main Entrance"/>
    <s v="Pixar Pals"/>
    <n v="8.9"/>
    <n v="2"/>
    <x v="696"/>
  </r>
  <r>
    <n v="708"/>
    <n v="226"/>
    <d v="2026-10-23T00:00:00"/>
    <s v="Friday"/>
    <n v="10"/>
    <n v="12.08"/>
    <x v="1"/>
    <x v="62"/>
    <s v="Female"/>
    <n v="61.5"/>
    <n v="118"/>
    <n v="21.9"/>
    <n v="11"/>
    <s v="CA"/>
    <n v="5"/>
    <n v="64"/>
    <s v="Low"/>
    <n v="0"/>
    <s v="Single-Day"/>
    <n v="0"/>
    <n v="0"/>
    <s v="Main Entrance"/>
    <s v="Pixar Pals"/>
    <n v="3.5"/>
    <n v="6"/>
    <x v="697"/>
  </r>
  <r>
    <n v="709"/>
    <n v="226"/>
    <d v="2026-10-23T00:00:00"/>
    <s v="Friday"/>
    <n v="10"/>
    <n v="12.18"/>
    <x v="1"/>
    <x v="38"/>
    <s v="Female"/>
    <n v="64.400000000000006"/>
    <n v="170.9"/>
    <n v="28.8"/>
    <n v="10"/>
    <s v="CA"/>
    <n v="5"/>
    <n v="64"/>
    <s v="Low"/>
    <n v="0"/>
    <s v="Single-Day"/>
    <n v="0"/>
    <n v="0"/>
    <s v="Main Entrance"/>
    <s v="Pixar Pals"/>
    <n v="8.4"/>
    <n v="9"/>
    <x v="698"/>
  </r>
  <r>
    <n v="710"/>
    <n v="227"/>
    <d v="2026-11-30T00:00:00"/>
    <s v="Monday"/>
    <n v="11"/>
    <n v="10.16"/>
    <x v="0"/>
    <x v="10"/>
    <s v="Female"/>
    <n v="65"/>
    <n v="149.5"/>
    <n v="24.8"/>
    <n v="12"/>
    <s v="TX"/>
    <n v="1"/>
    <n v="1540.8"/>
    <s v="Low"/>
    <n v="1"/>
    <s v="Single-Day"/>
    <n v="1"/>
    <n v="0"/>
    <s v="Main Entrance"/>
    <s v="Mickey &amp; Friends"/>
    <n v="10.9"/>
    <n v="10"/>
    <x v="699"/>
  </r>
  <r>
    <n v="711"/>
    <n v="228"/>
    <d v="2026-02-18T00:00:00"/>
    <s v="Wednesday"/>
    <n v="2"/>
    <n v="10.83"/>
    <x v="0"/>
    <x v="0"/>
    <s v="Female"/>
    <n v="62.5"/>
    <n v="182"/>
    <n v="32.5"/>
    <n v="16"/>
    <s v="CA"/>
    <n v="1"/>
    <n v="38.9"/>
    <s v="Middle"/>
    <n v="0"/>
    <s v="Multi-Day"/>
    <n v="0"/>
    <n v="0"/>
    <s v="Main Entrance"/>
    <s v="Pixar Pals"/>
    <n v="6.3"/>
    <n v="12"/>
    <x v="700"/>
  </r>
  <r>
    <n v="712"/>
    <n v="229"/>
    <d v="2026-12-05T00:00:00"/>
    <s v="Saturday"/>
    <n v="12"/>
    <n v="10.02"/>
    <x v="0"/>
    <x v="53"/>
    <s v="Male"/>
    <n v="53.7"/>
    <n v="82.4"/>
    <n v="20.3"/>
    <n v="16"/>
    <s v="NV"/>
    <n v="4"/>
    <n v="432.9"/>
    <s v="Middle"/>
    <n v="0"/>
    <s v="Single-Day"/>
    <n v="0"/>
    <n v="0"/>
    <s v="Main Entrance"/>
    <s v="None/Dropoff/Transit"/>
    <n v="9"/>
    <n v="9"/>
    <x v="701"/>
  </r>
  <r>
    <n v="713"/>
    <n v="229"/>
    <d v="2026-12-05T00:00:00"/>
    <s v="Saturday"/>
    <n v="12"/>
    <n v="10.14"/>
    <x v="0"/>
    <x v="71"/>
    <s v="Female"/>
    <n v="61.1"/>
    <n v="132.1"/>
    <n v="24.7"/>
    <n v="14"/>
    <s v="NV"/>
    <n v="4"/>
    <n v="432.9"/>
    <s v="Middle"/>
    <n v="0"/>
    <s v="Single-Day"/>
    <n v="0"/>
    <n v="0"/>
    <s v="Main Entrance"/>
    <s v="None/Dropoff/Transit"/>
    <n v="7.1"/>
    <n v="6"/>
    <x v="702"/>
  </r>
  <r>
    <n v="714"/>
    <n v="229"/>
    <d v="2026-12-05T00:00:00"/>
    <s v="Saturday"/>
    <n v="12"/>
    <n v="10.18"/>
    <x v="0"/>
    <x v="16"/>
    <s v="Male"/>
    <n v="59.2"/>
    <n v="81.7"/>
    <n v="16.5"/>
    <n v="12"/>
    <s v="NV"/>
    <n v="4"/>
    <n v="432.9"/>
    <s v="Middle"/>
    <n v="0"/>
    <s v="Single-Day"/>
    <n v="0"/>
    <n v="0"/>
    <s v="Main Entrance"/>
    <s v="None/Dropoff/Transit"/>
    <n v="8"/>
    <n v="7"/>
    <x v="703"/>
  </r>
  <r>
    <n v="715"/>
    <n v="229"/>
    <d v="2026-12-05T00:00:00"/>
    <s v="Saturday"/>
    <n v="12"/>
    <n v="10.07"/>
    <x v="0"/>
    <x v="32"/>
    <s v="Female"/>
    <n v="61.6"/>
    <n v="89.1"/>
    <n v="16.600000000000001"/>
    <n v="13"/>
    <s v="NV"/>
    <n v="4"/>
    <n v="432.9"/>
    <s v="Middle"/>
    <n v="0"/>
    <s v="Single-Day"/>
    <n v="0"/>
    <n v="0"/>
    <s v="Main Entrance"/>
    <s v="None/Dropoff/Transit"/>
    <n v="6.3"/>
    <n v="2"/>
    <x v="704"/>
  </r>
  <r>
    <n v="716"/>
    <n v="230"/>
    <d v="2026-05-13T00:00:00"/>
    <s v="Wednesday"/>
    <n v="5"/>
    <n v="9.16"/>
    <x v="0"/>
    <x v="69"/>
    <s v="Male"/>
    <n v="72.599999999999994"/>
    <n v="190.6"/>
    <n v="25.4"/>
    <n v="14"/>
    <s v="CA"/>
    <n v="3"/>
    <n v="86.7"/>
    <s v="Middle"/>
    <n v="1"/>
    <s v="Single-Day"/>
    <n v="1"/>
    <n v="0"/>
    <s v="Main Entrance"/>
    <s v="Mickey &amp; Friends"/>
    <n v="6.8"/>
    <n v="9"/>
    <x v="705"/>
  </r>
  <r>
    <n v="717"/>
    <n v="230"/>
    <d v="2026-05-13T00:00:00"/>
    <s v="Wednesday"/>
    <n v="5"/>
    <n v="9.26"/>
    <x v="0"/>
    <x v="3"/>
    <s v="Female"/>
    <n v="62.1"/>
    <n v="155.69999999999999"/>
    <n v="28.2"/>
    <n v="14"/>
    <s v="CA"/>
    <n v="3"/>
    <n v="86.7"/>
    <s v="Middle"/>
    <n v="1"/>
    <s v="Single-Day"/>
    <n v="1"/>
    <n v="0"/>
    <s v="Main Entrance"/>
    <s v="Mickey &amp; Friends"/>
    <n v="6.4"/>
    <n v="10"/>
    <x v="706"/>
  </r>
  <r>
    <n v="718"/>
    <n v="230"/>
    <d v="2026-05-13T00:00:00"/>
    <s v="Wednesday"/>
    <n v="5"/>
    <n v="9.0299999999999994"/>
    <x v="0"/>
    <x v="13"/>
    <s v="Female"/>
    <n v="67.8"/>
    <n v="152.80000000000001"/>
    <n v="23.3"/>
    <n v="11"/>
    <s v="CA"/>
    <n v="3"/>
    <n v="86.7"/>
    <s v="Middle"/>
    <n v="1"/>
    <s v="Single-Day"/>
    <n v="1"/>
    <n v="0"/>
    <s v="Main Entrance"/>
    <s v="Mickey &amp; Friends"/>
    <n v="10.6"/>
    <n v="17"/>
    <x v="435"/>
  </r>
  <r>
    <n v="719"/>
    <n v="231"/>
    <d v="2026-09-22T00:00:00"/>
    <s v="Tuesday"/>
    <n v="9"/>
    <n v="11.28"/>
    <x v="1"/>
    <x v="59"/>
    <s v="Female"/>
    <n v="63.4"/>
    <n v="145.5"/>
    <n v="25.6"/>
    <n v="12"/>
    <s v="WA"/>
    <n v="2"/>
    <n v="1305.2"/>
    <s v="Low"/>
    <n v="0"/>
    <s v="Single-Day"/>
    <n v="0"/>
    <n v="0"/>
    <s v="Main Entrance"/>
    <s v="Mickey &amp; Friends"/>
    <n v="10"/>
    <n v="8"/>
    <x v="707"/>
  </r>
  <r>
    <n v="720"/>
    <n v="231"/>
    <d v="2026-09-22T00:00:00"/>
    <s v="Tuesday"/>
    <n v="9"/>
    <n v="11"/>
    <x v="1"/>
    <x v="53"/>
    <s v="Female"/>
    <n v="56.2"/>
    <n v="101.6"/>
    <n v="22.9"/>
    <n v="10"/>
    <s v="WA"/>
    <n v="2"/>
    <n v="1305.2"/>
    <s v="Low"/>
    <n v="0"/>
    <s v="Single-Day"/>
    <n v="0"/>
    <n v="0"/>
    <s v="Main Entrance"/>
    <s v="Mickey &amp; Friends"/>
    <n v="9.1"/>
    <n v="11"/>
    <x v="708"/>
  </r>
  <r>
    <n v="721"/>
    <n v="232"/>
    <d v="2026-07-01T00:00:00"/>
    <s v="Wednesday"/>
    <n v="7"/>
    <n v="11.07"/>
    <x v="1"/>
    <x v="45"/>
    <s v="Male"/>
    <n v="63.8"/>
    <n v="170.1"/>
    <n v="29.2"/>
    <n v="14"/>
    <s v="CA"/>
    <n v="6"/>
    <n v="83.9"/>
    <s v="Middle"/>
    <n v="0"/>
    <s v="Single-Day"/>
    <n v="0"/>
    <n v="0"/>
    <s v="Downtown Disney Gate"/>
    <s v="Mickey &amp; Friends"/>
    <n v="8.1999999999999993"/>
    <n v="9"/>
    <x v="709"/>
  </r>
  <r>
    <n v="722"/>
    <n v="232"/>
    <d v="2026-07-01T00:00:00"/>
    <s v="Wednesday"/>
    <n v="7"/>
    <n v="10.95"/>
    <x v="0"/>
    <x v="49"/>
    <s v="Female"/>
    <n v="67.099999999999994"/>
    <n v="145.30000000000001"/>
    <n v="22.6"/>
    <n v="15"/>
    <s v="CA"/>
    <n v="6"/>
    <n v="83.9"/>
    <s v="Middle"/>
    <n v="0"/>
    <s v="Single-Day"/>
    <n v="0"/>
    <n v="0"/>
    <s v="Downtown Disney Gate"/>
    <s v="Mickey &amp; Friends"/>
    <n v="9.8000000000000007"/>
    <n v="12"/>
    <x v="710"/>
  </r>
  <r>
    <n v="723"/>
    <n v="232"/>
    <d v="2026-07-01T00:00:00"/>
    <s v="Wednesday"/>
    <n v="7"/>
    <n v="11.05"/>
    <x v="1"/>
    <x v="66"/>
    <s v="Female"/>
    <n v="62.4"/>
    <n v="126.7"/>
    <n v="22.9"/>
    <n v="13"/>
    <s v="CA"/>
    <n v="6"/>
    <n v="83.9"/>
    <s v="Middle"/>
    <n v="0"/>
    <s v="Single-Day"/>
    <n v="0"/>
    <n v="0"/>
    <s v="Downtown Disney Gate"/>
    <s v="Mickey &amp; Friends"/>
    <n v="8.1"/>
    <n v="10"/>
    <x v="711"/>
  </r>
  <r>
    <n v="724"/>
    <n v="232"/>
    <d v="2026-07-01T00:00:00"/>
    <s v="Wednesday"/>
    <n v="7"/>
    <n v="11.16"/>
    <x v="1"/>
    <x v="10"/>
    <s v="Female"/>
    <n v="56.7"/>
    <n v="149.69999999999999"/>
    <n v="32.799999999999997"/>
    <n v="14"/>
    <s v="CA"/>
    <n v="6"/>
    <n v="83.9"/>
    <s v="Middle"/>
    <n v="0"/>
    <s v="Single-Day"/>
    <n v="0"/>
    <n v="0"/>
    <s v="Downtown Disney Gate"/>
    <s v="Mickey &amp; Friends"/>
    <n v="8.4"/>
    <n v="9"/>
    <x v="712"/>
  </r>
  <r>
    <n v="725"/>
    <n v="232"/>
    <d v="2026-07-01T00:00:00"/>
    <s v="Wednesday"/>
    <n v="7"/>
    <n v="11.18"/>
    <x v="1"/>
    <x v="43"/>
    <s v="Male"/>
    <n v="62.9"/>
    <n v="140.9"/>
    <n v="25.5"/>
    <n v="16"/>
    <s v="CA"/>
    <n v="6"/>
    <n v="83.9"/>
    <s v="Middle"/>
    <n v="0"/>
    <s v="Single-Day"/>
    <n v="0"/>
    <n v="0"/>
    <s v="Downtown Disney Gate"/>
    <s v="Mickey &amp; Friends"/>
    <n v="9"/>
    <n v="8"/>
    <x v="713"/>
  </r>
  <r>
    <n v="726"/>
    <n v="232"/>
    <d v="2026-07-01T00:00:00"/>
    <s v="Wednesday"/>
    <n v="7"/>
    <n v="11.05"/>
    <x v="1"/>
    <x v="44"/>
    <s v="Female"/>
    <n v="64"/>
    <n v="167.3"/>
    <n v="28.9"/>
    <n v="11"/>
    <s v="CA"/>
    <n v="6"/>
    <n v="83.9"/>
    <s v="Middle"/>
    <n v="0"/>
    <s v="Single-Day"/>
    <n v="0"/>
    <n v="0"/>
    <s v="Downtown Disney Gate"/>
    <s v="Mickey &amp; Friends"/>
    <n v="7.9"/>
    <n v="1"/>
    <x v="714"/>
  </r>
  <r>
    <n v="727"/>
    <n v="233"/>
    <d v="2026-04-17T00:00:00"/>
    <s v="Friday"/>
    <n v="4"/>
    <n v="14.5"/>
    <x v="1"/>
    <x v="56"/>
    <s v="Female"/>
    <n v="57"/>
    <n v="103.1"/>
    <n v="22.5"/>
    <n v="14"/>
    <s v="Other"/>
    <n v="6"/>
    <n v="1638.5"/>
    <s v="High"/>
    <n v="1"/>
    <s v="Single-Day"/>
    <n v="0"/>
    <n v="0"/>
    <s v="Downtown Disney Gate"/>
    <s v="Pixar Pals"/>
    <n v="6.5"/>
    <n v="6"/>
    <x v="715"/>
  </r>
  <r>
    <n v="728"/>
    <n v="233"/>
    <d v="2026-04-17T00:00:00"/>
    <s v="Friday"/>
    <n v="4"/>
    <n v="14.48"/>
    <x v="1"/>
    <x v="50"/>
    <s v="Male"/>
    <n v="70"/>
    <n v="97.8"/>
    <n v="14"/>
    <n v="11"/>
    <s v="Other"/>
    <n v="6"/>
    <n v="1638.5"/>
    <s v="High"/>
    <n v="1"/>
    <s v="Single-Day"/>
    <n v="0"/>
    <n v="0"/>
    <s v="Downtown Disney Gate"/>
    <s v="Pixar Pals"/>
    <n v="7"/>
    <n v="9"/>
    <x v="716"/>
  </r>
  <r>
    <n v="729"/>
    <n v="233"/>
    <d v="2026-04-17T00:00:00"/>
    <s v="Friday"/>
    <n v="4"/>
    <n v="14.43"/>
    <x v="1"/>
    <x v="33"/>
    <s v="Female"/>
    <n v="66"/>
    <n v="159.5"/>
    <n v="26"/>
    <n v="21"/>
    <s v="Other"/>
    <n v="6"/>
    <n v="1638.5"/>
    <s v="High"/>
    <n v="1"/>
    <s v="Single-Day"/>
    <n v="0"/>
    <n v="0"/>
    <s v="Downtown Disney Gate"/>
    <s v="Pixar Pals"/>
    <n v="9.6999999999999993"/>
    <n v="10"/>
    <x v="253"/>
  </r>
  <r>
    <n v="730"/>
    <n v="233"/>
    <d v="2026-04-17T00:00:00"/>
    <s v="Friday"/>
    <n v="4"/>
    <n v="14.47"/>
    <x v="1"/>
    <x v="0"/>
    <s v="Female"/>
    <n v="66.8"/>
    <n v="139.30000000000001"/>
    <n v="21.8"/>
    <n v="14"/>
    <s v="Other"/>
    <n v="6"/>
    <n v="1638.5"/>
    <s v="High"/>
    <n v="1"/>
    <s v="Single-Day"/>
    <n v="0"/>
    <n v="0"/>
    <s v="Downtown Disney Gate"/>
    <s v="Pixar Pals"/>
    <n v="6.4"/>
    <n v="7"/>
    <x v="717"/>
  </r>
  <r>
    <n v="731"/>
    <n v="233"/>
    <d v="2026-04-17T00:00:00"/>
    <s v="Friday"/>
    <n v="4"/>
    <n v="14.5"/>
    <x v="1"/>
    <x v="26"/>
    <s v="Male"/>
    <n v="68.7"/>
    <n v="237.3"/>
    <n v="35.299999999999997"/>
    <n v="22"/>
    <s v="Other"/>
    <n v="6"/>
    <n v="1638.5"/>
    <s v="High"/>
    <n v="1"/>
    <s v="Single-Day"/>
    <n v="0"/>
    <n v="0"/>
    <s v="Downtown Disney Gate"/>
    <s v="Pixar Pals"/>
    <n v="8.9"/>
    <n v="9"/>
    <x v="718"/>
  </r>
  <r>
    <n v="732"/>
    <n v="233"/>
    <d v="2026-04-17T00:00:00"/>
    <s v="Friday"/>
    <n v="4"/>
    <n v="14.48"/>
    <x v="1"/>
    <x v="35"/>
    <s v="Male"/>
    <n v="70.599999999999994"/>
    <n v="140.1"/>
    <n v="19.600000000000001"/>
    <n v="20"/>
    <s v="Other"/>
    <n v="6"/>
    <n v="1638.5"/>
    <s v="High"/>
    <n v="1"/>
    <s v="Single-Day"/>
    <n v="0"/>
    <n v="0"/>
    <s v="Downtown Disney Gate"/>
    <s v="Pixar Pals"/>
    <n v="8.4"/>
    <n v="10"/>
    <x v="719"/>
  </r>
  <r>
    <n v="733"/>
    <n v="234"/>
    <d v="2026-08-26T00:00:00"/>
    <s v="Wednesday"/>
    <n v="8"/>
    <n v="9.92"/>
    <x v="0"/>
    <x v="32"/>
    <s v="Male"/>
    <n v="54.4"/>
    <n v="74.8"/>
    <n v="17.899999999999999"/>
    <n v="13"/>
    <s v="CA"/>
    <n v="4"/>
    <n v="93.9"/>
    <s v="High"/>
    <n v="0"/>
    <s v="Multi-Day"/>
    <n v="0"/>
    <n v="0"/>
    <s v="Downtown Disney Gate"/>
    <s v="Toy Story Lot"/>
    <n v="7.6"/>
    <n v="5"/>
    <x v="720"/>
  </r>
  <r>
    <n v="734"/>
    <n v="234"/>
    <d v="2026-08-26T00:00:00"/>
    <s v="Wednesday"/>
    <n v="8"/>
    <n v="9.68"/>
    <x v="0"/>
    <x v="45"/>
    <s v="Female"/>
    <n v="65.3"/>
    <n v="134.1"/>
    <n v="22"/>
    <n v="21"/>
    <s v="CA"/>
    <n v="4"/>
    <n v="93.9"/>
    <s v="High"/>
    <n v="0"/>
    <s v="Multi-Day"/>
    <n v="0"/>
    <n v="0"/>
    <s v="Downtown Disney Gate"/>
    <s v="Toy Story Lot"/>
    <n v="9.8000000000000007"/>
    <n v="8"/>
    <x v="721"/>
  </r>
  <r>
    <n v="735"/>
    <n v="234"/>
    <d v="2026-08-26T00:00:00"/>
    <s v="Wednesday"/>
    <n v="8"/>
    <n v="9.69"/>
    <x v="0"/>
    <x v="66"/>
    <s v="Male"/>
    <n v="67.900000000000006"/>
    <n v="141.69999999999999"/>
    <n v="21.8"/>
    <n v="16"/>
    <s v="CA"/>
    <n v="4"/>
    <n v="93.9"/>
    <s v="High"/>
    <n v="0"/>
    <s v="Multi-Day"/>
    <n v="0"/>
    <n v="0"/>
    <s v="Downtown Disney Gate"/>
    <s v="Toy Story Lot"/>
    <n v="8.8000000000000007"/>
    <n v="8"/>
    <x v="722"/>
  </r>
  <r>
    <n v="736"/>
    <n v="234"/>
    <d v="2026-08-26T00:00:00"/>
    <s v="Wednesday"/>
    <n v="8"/>
    <n v="9.84"/>
    <x v="0"/>
    <x v="38"/>
    <s v="Female"/>
    <n v="65.599999999999994"/>
    <n v="128.19999999999999"/>
    <n v="20.9"/>
    <n v="12"/>
    <s v="CA"/>
    <n v="4"/>
    <n v="93.9"/>
    <s v="High"/>
    <n v="0"/>
    <s v="Multi-Day"/>
    <n v="0"/>
    <n v="0"/>
    <s v="Downtown Disney Gate"/>
    <s v="Toy Story Lot"/>
    <n v="7.8"/>
    <n v="12"/>
    <x v="723"/>
  </r>
  <r>
    <n v="737"/>
    <n v="235"/>
    <d v="2026-09-30T00:00:00"/>
    <s v="Wednesday"/>
    <n v="9"/>
    <n v="12.89"/>
    <x v="1"/>
    <x v="33"/>
    <s v="Male"/>
    <n v="63.1"/>
    <n v="162"/>
    <n v="28.5"/>
    <n v="16"/>
    <s v="AZ"/>
    <n v="4"/>
    <n v="351.5"/>
    <s v="Middle"/>
    <n v="1"/>
    <s v="Park Hopper"/>
    <n v="0"/>
    <n v="0"/>
    <s v="Downtown Disney Gate"/>
    <s v="Toy Story Lot"/>
    <n v="7.1"/>
    <n v="9"/>
    <x v="142"/>
  </r>
  <r>
    <n v="738"/>
    <n v="235"/>
    <d v="2026-09-30T00:00:00"/>
    <s v="Wednesday"/>
    <n v="9"/>
    <n v="12.97"/>
    <x v="1"/>
    <x v="14"/>
    <s v="Male"/>
    <n v="69.3"/>
    <n v="199.5"/>
    <n v="29.1"/>
    <n v="17"/>
    <s v="AZ"/>
    <n v="4"/>
    <n v="351.5"/>
    <s v="Middle"/>
    <n v="1"/>
    <s v="Park Hopper"/>
    <n v="0"/>
    <n v="0"/>
    <s v="Downtown Disney Gate"/>
    <s v="Toy Story Lot"/>
    <n v="8.1999999999999993"/>
    <n v="10"/>
    <x v="724"/>
  </r>
  <r>
    <n v="739"/>
    <n v="235"/>
    <d v="2026-09-30T00:00:00"/>
    <s v="Wednesday"/>
    <n v="9"/>
    <n v="12.87"/>
    <x v="1"/>
    <x v="43"/>
    <s v="Female"/>
    <n v="66"/>
    <n v="195.2"/>
    <n v="31.5"/>
    <n v="16"/>
    <s v="AZ"/>
    <n v="4"/>
    <n v="351.5"/>
    <s v="Middle"/>
    <n v="1"/>
    <s v="Park Hopper"/>
    <n v="0"/>
    <n v="0"/>
    <s v="Downtown Disney Gate"/>
    <s v="Toy Story Lot"/>
    <n v="8.1"/>
    <n v="11"/>
    <x v="725"/>
  </r>
  <r>
    <n v="740"/>
    <n v="235"/>
    <d v="2026-09-30T00:00:00"/>
    <s v="Wednesday"/>
    <n v="9"/>
    <n v="12.66"/>
    <x v="1"/>
    <x v="39"/>
    <s v="Male"/>
    <n v="73"/>
    <n v="190.3"/>
    <n v="25.1"/>
    <n v="13"/>
    <s v="AZ"/>
    <n v="4"/>
    <n v="351.5"/>
    <s v="Middle"/>
    <n v="1"/>
    <s v="Park Hopper"/>
    <n v="0"/>
    <n v="0"/>
    <s v="Downtown Disney Gate"/>
    <s v="Toy Story Lot"/>
    <n v="4.4000000000000004"/>
    <n v="4"/>
    <x v="726"/>
  </r>
  <r>
    <n v="741"/>
    <n v="236"/>
    <d v="2026-12-30T00:00:00"/>
    <s v="Wednesday"/>
    <n v="12"/>
    <n v="12.15"/>
    <x v="1"/>
    <x v="20"/>
    <s v="Female"/>
    <n v="70"/>
    <n v="158.30000000000001"/>
    <n v="22.4"/>
    <n v="13"/>
    <s v="CA"/>
    <n v="4"/>
    <n v="73"/>
    <s v="Middle"/>
    <n v="1"/>
    <s v="Multi-Day"/>
    <n v="0"/>
    <n v="0"/>
    <s v="Main Entrance"/>
    <s v="Mickey &amp; Friends"/>
    <n v="6.8"/>
    <n v="11"/>
    <x v="727"/>
  </r>
  <r>
    <n v="742"/>
    <n v="236"/>
    <d v="2026-12-30T00:00:00"/>
    <s v="Wednesday"/>
    <n v="12"/>
    <n v="11.99"/>
    <x v="1"/>
    <x v="34"/>
    <s v="Female"/>
    <n v="63.9"/>
    <n v="170.9"/>
    <n v="29.2"/>
    <n v="16"/>
    <s v="CA"/>
    <n v="4"/>
    <n v="73"/>
    <s v="Middle"/>
    <n v="1"/>
    <s v="Multi-Day"/>
    <n v="0"/>
    <n v="0"/>
    <s v="Main Entrance"/>
    <s v="Mickey &amp; Friends"/>
    <n v="9.1"/>
    <n v="11"/>
    <x v="728"/>
  </r>
  <r>
    <n v="743"/>
    <n v="236"/>
    <d v="2026-12-30T00:00:00"/>
    <s v="Wednesday"/>
    <n v="12"/>
    <n v="12.05"/>
    <x v="1"/>
    <x v="66"/>
    <s v="Male"/>
    <n v="75.7"/>
    <n v="198.9"/>
    <n v="24.3"/>
    <n v="16"/>
    <s v="CA"/>
    <n v="4"/>
    <n v="73"/>
    <s v="Middle"/>
    <n v="1"/>
    <s v="Multi-Day"/>
    <n v="0"/>
    <n v="0"/>
    <s v="Main Entrance"/>
    <s v="Mickey &amp; Friends"/>
    <n v="8.3000000000000007"/>
    <n v="11"/>
    <x v="729"/>
  </r>
  <r>
    <n v="744"/>
    <n v="236"/>
    <d v="2026-12-30T00:00:00"/>
    <s v="Wednesday"/>
    <n v="12"/>
    <n v="12.26"/>
    <x v="1"/>
    <x v="52"/>
    <s v="Female"/>
    <n v="66.400000000000006"/>
    <n v="190.3"/>
    <n v="30.6"/>
    <n v="16"/>
    <s v="CA"/>
    <n v="4"/>
    <n v="73"/>
    <s v="Middle"/>
    <n v="1"/>
    <s v="Multi-Day"/>
    <n v="0"/>
    <n v="0"/>
    <s v="Main Entrance"/>
    <s v="Mickey &amp; Friends"/>
    <n v="5.8"/>
    <n v="6"/>
    <x v="730"/>
  </r>
  <r>
    <n v="745"/>
    <n v="237"/>
    <d v="2026-03-25T00:00:00"/>
    <s v="Wednesday"/>
    <n v="3"/>
    <n v="9.5399999999999991"/>
    <x v="0"/>
    <x v="37"/>
    <s v="Male"/>
    <n v="68.599999999999994"/>
    <n v="199.3"/>
    <n v="29.8"/>
    <n v="13"/>
    <s v="CO"/>
    <n v="2"/>
    <n v="962.9"/>
    <s v="Middle"/>
    <n v="0"/>
    <s v="Single-Day"/>
    <n v="0"/>
    <n v="0"/>
    <s v="Main Entrance"/>
    <s v="Pixar Pals"/>
    <n v="12.3"/>
    <n v="16"/>
    <x v="731"/>
  </r>
  <r>
    <n v="746"/>
    <n v="237"/>
    <d v="2026-03-25T00:00:00"/>
    <s v="Wednesday"/>
    <n v="3"/>
    <n v="9.65"/>
    <x v="0"/>
    <x v="36"/>
    <s v="Male"/>
    <n v="71.5"/>
    <n v="164.6"/>
    <n v="22.7"/>
    <n v="13"/>
    <s v="CO"/>
    <n v="2"/>
    <n v="962.9"/>
    <s v="Middle"/>
    <n v="0"/>
    <s v="Single-Day"/>
    <n v="0"/>
    <n v="0"/>
    <s v="Main Entrance"/>
    <s v="Pixar Pals"/>
    <n v="8.5"/>
    <n v="7"/>
    <x v="732"/>
  </r>
  <r>
    <n v="747"/>
    <n v="238"/>
    <d v="2026-07-09T00:00:00"/>
    <s v="Thursday"/>
    <n v="7"/>
    <n v="10.82"/>
    <x v="0"/>
    <x v="55"/>
    <s v="Female"/>
    <n v="64.7"/>
    <n v="158.19999999999999"/>
    <n v="26.7"/>
    <n v="15"/>
    <s v="AZ"/>
    <n v="3"/>
    <n v="474.2"/>
    <s v="Middle"/>
    <n v="1"/>
    <s v="Multi-Day"/>
    <n v="1"/>
    <n v="0"/>
    <s v="Main Entrance"/>
    <s v="Mickey &amp; Friends"/>
    <n v="6.1"/>
    <n v="8"/>
    <x v="733"/>
  </r>
  <r>
    <n v="748"/>
    <n v="238"/>
    <d v="2026-07-09T00:00:00"/>
    <s v="Thursday"/>
    <n v="7"/>
    <n v="10.74"/>
    <x v="0"/>
    <x v="0"/>
    <s v="Male"/>
    <n v="71.8"/>
    <n v="215.1"/>
    <n v="29.3"/>
    <n v="19"/>
    <s v="AZ"/>
    <n v="3"/>
    <n v="474.2"/>
    <s v="Middle"/>
    <n v="1"/>
    <s v="Multi-Day"/>
    <n v="1"/>
    <n v="0"/>
    <s v="Main Entrance"/>
    <s v="Mickey &amp; Friends"/>
    <n v="8.9"/>
    <n v="7"/>
    <x v="734"/>
  </r>
  <r>
    <n v="749"/>
    <n v="238"/>
    <d v="2026-07-09T00:00:00"/>
    <s v="Thursday"/>
    <n v="7"/>
    <n v="10.72"/>
    <x v="0"/>
    <x v="17"/>
    <s v="Male"/>
    <n v="73.5"/>
    <n v="202.7"/>
    <n v="26.3"/>
    <n v="17"/>
    <s v="AZ"/>
    <n v="3"/>
    <n v="474.2"/>
    <s v="Middle"/>
    <n v="1"/>
    <s v="Multi-Day"/>
    <n v="1"/>
    <n v="0"/>
    <s v="Main Entrance"/>
    <s v="Mickey &amp; Friends"/>
    <n v="10.3"/>
    <n v="11"/>
    <x v="735"/>
  </r>
  <r>
    <n v="750"/>
    <n v="239"/>
    <d v="2026-07-01T00:00:00"/>
    <s v="Wednesday"/>
    <n v="7"/>
    <n v="8.24"/>
    <x v="0"/>
    <x v="72"/>
    <s v="Female"/>
    <n v="65.5"/>
    <n v="185.2"/>
    <n v="30.2"/>
    <n v="14"/>
    <s v="OR"/>
    <n v="3"/>
    <n v="643.1"/>
    <s v="Low"/>
    <n v="1"/>
    <s v="Park Hopper"/>
    <n v="0"/>
    <n v="0"/>
    <s v="Downtown Disney Gate"/>
    <s v="Pixar Pals"/>
    <n v="9.4"/>
    <n v="12"/>
    <x v="736"/>
  </r>
  <r>
    <n v="751"/>
    <n v="239"/>
    <d v="2026-07-01T00:00:00"/>
    <s v="Wednesday"/>
    <n v="7"/>
    <n v="8.42"/>
    <x v="0"/>
    <x v="41"/>
    <s v="Female"/>
    <n v="64.900000000000006"/>
    <n v="186.3"/>
    <n v="30.9"/>
    <n v="10"/>
    <s v="OR"/>
    <n v="3"/>
    <n v="643.1"/>
    <s v="Low"/>
    <n v="1"/>
    <s v="Park Hopper"/>
    <n v="0"/>
    <n v="0"/>
    <s v="Downtown Disney Gate"/>
    <s v="Pixar Pals"/>
    <n v="9.4"/>
    <n v="11"/>
    <x v="737"/>
  </r>
  <r>
    <n v="752"/>
    <n v="239"/>
    <d v="2026-07-01T00:00:00"/>
    <s v="Wednesday"/>
    <n v="7"/>
    <n v="8.08"/>
    <x v="0"/>
    <x v="43"/>
    <s v="Male"/>
    <n v="66.599999999999994"/>
    <n v="108.4"/>
    <n v="17.100000000000001"/>
    <n v="10"/>
    <s v="OR"/>
    <n v="3"/>
    <n v="643.1"/>
    <s v="Low"/>
    <n v="1"/>
    <s v="Park Hopper"/>
    <n v="0"/>
    <n v="0"/>
    <s v="Downtown Disney Gate"/>
    <s v="Pixar Pals"/>
    <n v="7.8"/>
    <n v="4"/>
    <x v="738"/>
  </r>
  <r>
    <n v="753"/>
    <n v="240"/>
    <d v="2026-11-03T00:00:00"/>
    <s v="Tuesday"/>
    <n v="11"/>
    <n v="9.94"/>
    <x v="0"/>
    <x v="2"/>
    <s v="Female"/>
    <n v="64.8"/>
    <n v="128.9"/>
    <n v="21.6"/>
    <n v="11"/>
    <s v="TX"/>
    <n v="2"/>
    <n v="1839.1"/>
    <s v="Low"/>
    <n v="0"/>
    <s v="Single-Day"/>
    <n v="0"/>
    <n v="0"/>
    <s v="Main Entrance"/>
    <s v="Mickey &amp; Friends"/>
    <n v="7.2"/>
    <n v="6"/>
    <x v="739"/>
  </r>
  <r>
    <n v="754"/>
    <n v="240"/>
    <d v="2026-11-03T00:00:00"/>
    <s v="Tuesday"/>
    <n v="11"/>
    <n v="10.11"/>
    <x v="0"/>
    <x v="67"/>
    <s v="Female"/>
    <n v="68.900000000000006"/>
    <n v="153.4"/>
    <n v="22.6"/>
    <n v="12"/>
    <s v="TX"/>
    <n v="2"/>
    <n v="1839.1"/>
    <s v="Low"/>
    <n v="0"/>
    <s v="Single-Day"/>
    <n v="0"/>
    <n v="0"/>
    <s v="Main Entrance"/>
    <s v="Mickey &amp; Friends"/>
    <n v="9"/>
    <n v="8"/>
    <x v="740"/>
  </r>
  <r>
    <n v="755"/>
    <n v="241"/>
    <d v="2026-08-24T00:00:00"/>
    <s v="Monday"/>
    <n v="8"/>
    <n v="14.62"/>
    <x v="1"/>
    <x v="23"/>
    <s v="Male"/>
    <n v="77.900000000000006"/>
    <n v="234"/>
    <n v="27.3"/>
    <n v="17"/>
    <s v="WA"/>
    <n v="6"/>
    <n v="814.3"/>
    <s v="High"/>
    <n v="0"/>
    <s v="Multi-Day"/>
    <n v="0"/>
    <n v="0"/>
    <s v="Main Entrance"/>
    <s v="Pixar Pals"/>
    <n v="10.199999999999999"/>
    <n v="6"/>
    <x v="741"/>
  </r>
  <r>
    <n v="756"/>
    <n v="241"/>
    <d v="2026-08-24T00:00:00"/>
    <s v="Monday"/>
    <n v="8"/>
    <n v="14.55"/>
    <x v="1"/>
    <x v="37"/>
    <s v="Male"/>
    <n v="68.8"/>
    <n v="191.9"/>
    <n v="28.5"/>
    <n v="17"/>
    <s v="WA"/>
    <n v="6"/>
    <n v="814.3"/>
    <s v="High"/>
    <n v="0"/>
    <s v="Multi-Day"/>
    <n v="0"/>
    <n v="0"/>
    <s v="Main Entrance"/>
    <s v="Pixar Pals"/>
    <n v="10"/>
    <n v="15"/>
    <x v="742"/>
  </r>
  <r>
    <n v="757"/>
    <n v="241"/>
    <d v="2026-08-24T00:00:00"/>
    <s v="Monday"/>
    <n v="8"/>
    <n v="14.48"/>
    <x v="1"/>
    <x v="42"/>
    <s v="Male"/>
    <n v="69.099999999999994"/>
    <n v="186.5"/>
    <n v="27.3"/>
    <n v="17"/>
    <s v="WA"/>
    <n v="6"/>
    <n v="814.3"/>
    <s v="High"/>
    <n v="0"/>
    <s v="Multi-Day"/>
    <n v="0"/>
    <n v="0"/>
    <s v="Main Entrance"/>
    <s v="Pixar Pals"/>
    <n v="6.9"/>
    <n v="7"/>
    <x v="743"/>
  </r>
  <r>
    <n v="758"/>
    <n v="241"/>
    <d v="2026-08-24T00:00:00"/>
    <s v="Monday"/>
    <n v="8"/>
    <n v="14.71"/>
    <x v="1"/>
    <x v="37"/>
    <s v="Female"/>
    <n v="62.9"/>
    <n v="161.9"/>
    <n v="29.1"/>
    <n v="18"/>
    <s v="WA"/>
    <n v="6"/>
    <n v="814.3"/>
    <s v="High"/>
    <n v="0"/>
    <s v="Multi-Day"/>
    <n v="0"/>
    <n v="0"/>
    <s v="Main Entrance"/>
    <s v="Pixar Pals"/>
    <n v="6.1"/>
    <n v="6"/>
    <x v="744"/>
  </r>
  <r>
    <n v="759"/>
    <n v="241"/>
    <d v="2026-08-24T00:00:00"/>
    <s v="Monday"/>
    <n v="8"/>
    <n v="14.64"/>
    <x v="1"/>
    <x v="71"/>
    <s v="Male"/>
    <n v="64.3"/>
    <n v="185.5"/>
    <n v="31.5"/>
    <n v="16"/>
    <s v="WA"/>
    <n v="6"/>
    <n v="814.3"/>
    <s v="High"/>
    <n v="0"/>
    <s v="Multi-Day"/>
    <n v="0"/>
    <n v="0"/>
    <s v="Main Entrance"/>
    <s v="Pixar Pals"/>
    <n v="6.3"/>
    <n v="4"/>
    <x v="745"/>
  </r>
  <r>
    <n v="760"/>
    <n v="241"/>
    <d v="2026-08-24T00:00:00"/>
    <s v="Monday"/>
    <n v="8"/>
    <n v="14.51"/>
    <x v="1"/>
    <x v="23"/>
    <s v="Female"/>
    <n v="61.9"/>
    <n v="194.4"/>
    <n v="35.799999999999997"/>
    <n v="21"/>
    <s v="WA"/>
    <n v="6"/>
    <n v="814.3"/>
    <s v="High"/>
    <n v="0"/>
    <s v="Multi-Day"/>
    <n v="0"/>
    <n v="0"/>
    <s v="Main Entrance"/>
    <s v="Pixar Pals"/>
    <n v="7.7"/>
    <n v="7"/>
    <x v="746"/>
  </r>
  <r>
    <n v="761"/>
    <n v="242"/>
    <d v="2026-05-07T00:00:00"/>
    <s v="Thursday"/>
    <n v="5"/>
    <n v="9.44"/>
    <x v="0"/>
    <x v="28"/>
    <s v="Female"/>
    <n v="67"/>
    <n v="173.2"/>
    <n v="27.3"/>
    <n v="15"/>
    <s v="CA"/>
    <n v="5"/>
    <n v="107"/>
    <s v="Middle"/>
    <n v="0"/>
    <s v="Multi-Day"/>
    <n v="0"/>
    <n v="0"/>
    <s v="Main Entrance"/>
    <s v="Mickey &amp; Friends"/>
    <n v="9.6"/>
    <n v="10"/>
    <x v="747"/>
  </r>
  <r>
    <n v="762"/>
    <n v="242"/>
    <d v="2026-05-07T00:00:00"/>
    <s v="Thursday"/>
    <n v="5"/>
    <n v="9.5399999999999991"/>
    <x v="0"/>
    <x v="71"/>
    <s v="Female"/>
    <n v="63.1"/>
    <n v="161.4"/>
    <n v="28.2"/>
    <n v="17"/>
    <s v="CA"/>
    <n v="5"/>
    <n v="107"/>
    <s v="Middle"/>
    <n v="0"/>
    <s v="Multi-Day"/>
    <n v="0"/>
    <n v="0"/>
    <s v="Main Entrance"/>
    <s v="Mickey &amp; Friends"/>
    <n v="9.1"/>
    <n v="12"/>
    <x v="748"/>
  </r>
  <r>
    <n v="763"/>
    <n v="242"/>
    <d v="2026-05-07T00:00:00"/>
    <s v="Thursday"/>
    <n v="5"/>
    <n v="9.43"/>
    <x v="0"/>
    <x v="53"/>
    <s v="Male"/>
    <n v="53.9"/>
    <n v="69.400000000000006"/>
    <n v="16.899999999999999"/>
    <n v="16"/>
    <s v="CA"/>
    <n v="5"/>
    <n v="107"/>
    <s v="Middle"/>
    <n v="0"/>
    <s v="Multi-Day"/>
    <n v="0"/>
    <n v="0"/>
    <s v="Main Entrance"/>
    <s v="Mickey &amp; Friends"/>
    <n v="10.1"/>
    <n v="11"/>
    <x v="749"/>
  </r>
  <r>
    <n v="764"/>
    <n v="242"/>
    <d v="2026-05-07T00:00:00"/>
    <s v="Thursday"/>
    <n v="5"/>
    <n v="9.26"/>
    <x v="0"/>
    <x v="71"/>
    <s v="Male"/>
    <n v="73.099999999999994"/>
    <n v="203.6"/>
    <n v="26.9"/>
    <n v="13"/>
    <s v="CA"/>
    <n v="5"/>
    <n v="107"/>
    <s v="Middle"/>
    <n v="0"/>
    <s v="Multi-Day"/>
    <n v="0"/>
    <n v="0"/>
    <s v="Main Entrance"/>
    <s v="Mickey &amp; Friends"/>
    <n v="7.3"/>
    <n v="7"/>
    <x v="750"/>
  </r>
  <r>
    <n v="765"/>
    <n v="242"/>
    <d v="2026-05-07T00:00:00"/>
    <s v="Thursday"/>
    <n v="5"/>
    <n v="9.5500000000000007"/>
    <x v="0"/>
    <x v="60"/>
    <s v="Male"/>
    <n v="56.7"/>
    <n v="96.4"/>
    <n v="21.3"/>
    <n v="11"/>
    <s v="CA"/>
    <n v="5"/>
    <n v="107"/>
    <s v="Middle"/>
    <n v="0"/>
    <s v="Multi-Day"/>
    <n v="0"/>
    <n v="0"/>
    <s v="Main Entrance"/>
    <s v="Mickey &amp; Friends"/>
    <n v="10.1"/>
    <n v="14"/>
    <x v="751"/>
  </r>
  <r>
    <n v="766"/>
    <n v="243"/>
    <d v="2026-12-01T00:00:00"/>
    <s v="Tuesday"/>
    <n v="12"/>
    <n v="9.18"/>
    <x v="0"/>
    <x v="15"/>
    <s v="Male"/>
    <n v="68.400000000000006"/>
    <n v="129.9"/>
    <n v="19.899999999999999"/>
    <n v="18"/>
    <s v="AZ"/>
    <n v="5"/>
    <n v="423.7"/>
    <s v="High"/>
    <n v="1"/>
    <s v="Park Hopper"/>
    <n v="0"/>
    <n v="0"/>
    <s v="Main Entrance"/>
    <s v="Mickey &amp; Friends"/>
    <n v="9.1999999999999993"/>
    <n v="9"/>
    <x v="752"/>
  </r>
  <r>
    <n v="767"/>
    <n v="243"/>
    <d v="2026-12-01T00:00:00"/>
    <s v="Tuesday"/>
    <n v="12"/>
    <n v="9.4499999999999993"/>
    <x v="0"/>
    <x v="3"/>
    <s v="Female"/>
    <n v="62.4"/>
    <n v="152.80000000000001"/>
    <n v="27.6"/>
    <n v="15"/>
    <s v="AZ"/>
    <n v="5"/>
    <n v="423.7"/>
    <s v="High"/>
    <n v="1"/>
    <s v="Park Hopper"/>
    <n v="0"/>
    <n v="0"/>
    <s v="Main Entrance"/>
    <s v="Mickey &amp; Friends"/>
    <n v="11.5"/>
    <n v="8"/>
    <x v="753"/>
  </r>
  <r>
    <n v="768"/>
    <n v="243"/>
    <d v="2026-12-01T00:00:00"/>
    <s v="Tuesday"/>
    <n v="12"/>
    <n v="9.15"/>
    <x v="0"/>
    <x v="4"/>
    <s v="Female"/>
    <n v="66.5"/>
    <n v="187.4"/>
    <n v="29.8"/>
    <n v="17"/>
    <s v="AZ"/>
    <n v="5"/>
    <n v="423.7"/>
    <s v="High"/>
    <n v="1"/>
    <s v="Park Hopper"/>
    <n v="0"/>
    <n v="0"/>
    <s v="Main Entrance"/>
    <s v="Mickey &amp; Friends"/>
    <n v="8.6999999999999993"/>
    <n v="10"/>
    <x v="754"/>
  </r>
  <r>
    <n v="769"/>
    <n v="243"/>
    <d v="2026-12-01T00:00:00"/>
    <s v="Tuesday"/>
    <n v="12"/>
    <n v="9.2200000000000006"/>
    <x v="0"/>
    <x v="57"/>
    <s v="Male"/>
    <n v="68"/>
    <n v="163.19999999999999"/>
    <n v="24.7"/>
    <n v="14"/>
    <s v="AZ"/>
    <n v="5"/>
    <n v="423.7"/>
    <s v="High"/>
    <n v="1"/>
    <s v="Park Hopper"/>
    <n v="0"/>
    <n v="0"/>
    <s v="Main Entrance"/>
    <s v="Mickey &amp; Friends"/>
    <n v="9.8000000000000007"/>
    <n v="6"/>
    <x v="755"/>
  </r>
  <r>
    <n v="770"/>
    <n v="243"/>
    <d v="2026-12-01T00:00:00"/>
    <s v="Tuesday"/>
    <n v="12"/>
    <n v="9.23"/>
    <x v="0"/>
    <x v="1"/>
    <s v="Female"/>
    <n v="66.5"/>
    <n v="169.7"/>
    <n v="27.1"/>
    <n v="18"/>
    <s v="AZ"/>
    <n v="5"/>
    <n v="423.7"/>
    <s v="High"/>
    <n v="1"/>
    <s v="Park Hopper"/>
    <n v="0"/>
    <n v="0"/>
    <s v="Main Entrance"/>
    <s v="Mickey &amp; Friends"/>
    <n v="7.3"/>
    <n v="4"/>
    <x v="756"/>
  </r>
  <r>
    <n v="771"/>
    <n v="244"/>
    <d v="2026-04-22T00:00:00"/>
    <s v="Wednesday"/>
    <n v="4"/>
    <n v="8.43"/>
    <x v="0"/>
    <x v="57"/>
    <s v="Female"/>
    <n v="61.5"/>
    <n v="136.80000000000001"/>
    <n v="25.5"/>
    <n v="14"/>
    <s v="CA"/>
    <n v="3"/>
    <n v="19.7"/>
    <s v="Middle"/>
    <n v="0"/>
    <s v="Single-Day"/>
    <n v="0"/>
    <n v="0"/>
    <s v="Main Entrance"/>
    <s v="Mickey &amp; Friends"/>
    <n v="7.9"/>
    <n v="6"/>
    <x v="757"/>
  </r>
  <r>
    <n v="772"/>
    <n v="244"/>
    <d v="2026-04-22T00:00:00"/>
    <s v="Wednesday"/>
    <n v="4"/>
    <n v="8.5299999999999994"/>
    <x v="0"/>
    <x v="14"/>
    <s v="Male"/>
    <n v="72.7"/>
    <n v="182.6"/>
    <n v="24.2"/>
    <n v="14"/>
    <s v="CA"/>
    <n v="3"/>
    <n v="19.7"/>
    <s v="Middle"/>
    <n v="0"/>
    <s v="Single-Day"/>
    <n v="0"/>
    <n v="0"/>
    <s v="Main Entrance"/>
    <s v="Mickey &amp; Friends"/>
    <n v="9"/>
    <n v="5"/>
    <x v="758"/>
  </r>
  <r>
    <n v="773"/>
    <n v="244"/>
    <d v="2026-04-22T00:00:00"/>
    <s v="Wednesday"/>
    <n v="4"/>
    <n v="8.42"/>
    <x v="0"/>
    <x v="9"/>
    <s v="Male"/>
    <n v="67.900000000000006"/>
    <n v="201.2"/>
    <n v="30.6"/>
    <n v="13"/>
    <s v="CA"/>
    <n v="3"/>
    <n v="19.7"/>
    <s v="Middle"/>
    <n v="0"/>
    <s v="Single-Day"/>
    <n v="0"/>
    <n v="0"/>
    <s v="Main Entrance"/>
    <s v="Mickey &amp; Friends"/>
    <n v="8.5"/>
    <n v="14"/>
    <x v="759"/>
  </r>
  <r>
    <n v="774"/>
    <n v="245"/>
    <d v="2026-04-14T00:00:00"/>
    <s v="Tuesday"/>
    <n v="4"/>
    <n v="8.15"/>
    <x v="0"/>
    <x v="19"/>
    <s v="Male"/>
    <n v="69.400000000000006"/>
    <n v="158.5"/>
    <n v="22.8"/>
    <n v="18"/>
    <s v="CA"/>
    <n v="3"/>
    <n v="40.4"/>
    <s v="Middle"/>
    <n v="0"/>
    <s v="Multi-Day"/>
    <n v="0"/>
    <n v="0"/>
    <s v="Main Entrance"/>
    <s v="Mickey &amp; Friends"/>
    <n v="7.5"/>
    <n v="10"/>
    <x v="760"/>
  </r>
  <r>
    <n v="775"/>
    <n v="245"/>
    <d v="2026-04-14T00:00:00"/>
    <s v="Tuesday"/>
    <n v="4"/>
    <n v="8.23"/>
    <x v="0"/>
    <x v="16"/>
    <s v="Female"/>
    <n v="56.5"/>
    <n v="92"/>
    <n v="20.5"/>
    <n v="10"/>
    <s v="CA"/>
    <n v="3"/>
    <n v="40.4"/>
    <s v="Middle"/>
    <n v="0"/>
    <s v="Multi-Day"/>
    <n v="0"/>
    <n v="0"/>
    <s v="Main Entrance"/>
    <s v="Mickey &amp; Friends"/>
    <n v="7.5"/>
    <n v="5"/>
    <x v="761"/>
  </r>
  <r>
    <n v="776"/>
    <n v="245"/>
    <d v="2026-04-14T00:00:00"/>
    <s v="Tuesday"/>
    <n v="4"/>
    <n v="8.42"/>
    <x v="0"/>
    <x v="27"/>
    <s v="Male"/>
    <n v="68.599999999999994"/>
    <n v="158.9"/>
    <n v="23.9"/>
    <n v="15"/>
    <s v="CA"/>
    <n v="3"/>
    <n v="40.4"/>
    <s v="Middle"/>
    <n v="0"/>
    <s v="Multi-Day"/>
    <n v="0"/>
    <n v="0"/>
    <s v="Main Entrance"/>
    <s v="Mickey &amp; Friends"/>
    <n v="10.6"/>
    <n v="11"/>
    <x v="762"/>
  </r>
  <r>
    <n v="777"/>
    <n v="246"/>
    <d v="2026-01-25T00:00:00"/>
    <s v="Sunday"/>
    <n v="1"/>
    <n v="10.59"/>
    <x v="0"/>
    <x v="73"/>
    <s v="Male"/>
    <n v="70"/>
    <n v="161.9"/>
    <n v="23.4"/>
    <n v="10"/>
    <s v="MN"/>
    <n v="1"/>
    <n v="1886.1"/>
    <s v="Middle"/>
    <n v="1"/>
    <s v="Single-Day"/>
    <n v="0"/>
    <n v="1"/>
    <s v="Main Entrance"/>
    <s v="Pixar Pals"/>
    <n v="9.5"/>
    <n v="9"/>
    <x v="763"/>
  </r>
  <r>
    <n v="778"/>
    <n v="247"/>
    <d v="2026-02-16T00:00:00"/>
    <s v="Monday"/>
    <n v="2"/>
    <n v="11.86"/>
    <x v="1"/>
    <x v="52"/>
    <s v="Female"/>
    <n v="64.8"/>
    <n v="119.1"/>
    <n v="19.899999999999999"/>
    <n v="19"/>
    <s v="NV"/>
    <n v="5"/>
    <n v="322.2"/>
    <s v="High"/>
    <n v="0"/>
    <s v="Single-Day"/>
    <n v="1"/>
    <n v="1"/>
    <s v="Main Entrance"/>
    <s v="None/Walked from Resort"/>
    <n v="8.1999999999999993"/>
    <n v="12"/>
    <x v="764"/>
  </r>
  <r>
    <n v="779"/>
    <n v="247"/>
    <d v="2026-02-16T00:00:00"/>
    <s v="Monday"/>
    <n v="2"/>
    <n v="12.16"/>
    <x v="1"/>
    <x v="53"/>
    <s v="Male"/>
    <n v="60.6"/>
    <n v="115.3"/>
    <n v="21.9"/>
    <n v="13"/>
    <s v="NV"/>
    <n v="5"/>
    <n v="322.2"/>
    <s v="High"/>
    <n v="0"/>
    <s v="Single-Day"/>
    <n v="1"/>
    <n v="1"/>
    <s v="Main Entrance"/>
    <s v="None/Walked from Resort"/>
    <n v="9.6"/>
    <n v="11"/>
    <x v="765"/>
  </r>
  <r>
    <n v="780"/>
    <n v="247"/>
    <d v="2026-02-16T00:00:00"/>
    <s v="Monday"/>
    <n v="2"/>
    <n v="12.13"/>
    <x v="1"/>
    <x v="43"/>
    <s v="Male"/>
    <n v="67"/>
    <n v="103.6"/>
    <n v="16"/>
    <n v="18"/>
    <s v="NV"/>
    <n v="5"/>
    <n v="322.2"/>
    <s v="High"/>
    <n v="0"/>
    <s v="Single-Day"/>
    <n v="1"/>
    <n v="1"/>
    <s v="Main Entrance"/>
    <s v="None/Walked from Resort"/>
    <n v="5.9"/>
    <n v="8"/>
    <x v="766"/>
  </r>
  <r>
    <n v="781"/>
    <n v="247"/>
    <d v="2026-02-16T00:00:00"/>
    <s v="Monday"/>
    <n v="2"/>
    <n v="12.25"/>
    <x v="1"/>
    <x v="57"/>
    <s v="Male"/>
    <n v="76.5"/>
    <n v="265.10000000000002"/>
    <n v="32"/>
    <n v="17"/>
    <s v="NV"/>
    <n v="5"/>
    <n v="322.2"/>
    <s v="High"/>
    <n v="0"/>
    <s v="Single-Day"/>
    <n v="1"/>
    <n v="1"/>
    <s v="Main Entrance"/>
    <s v="None/Walked from Resort"/>
    <n v="6.9"/>
    <n v="10"/>
    <x v="767"/>
  </r>
  <r>
    <n v="782"/>
    <n v="247"/>
    <d v="2026-02-16T00:00:00"/>
    <s v="Monday"/>
    <n v="2"/>
    <n v="12.06"/>
    <x v="1"/>
    <x v="44"/>
    <s v="Nonbinary/Other"/>
    <n v="73.2"/>
    <n v="172.8"/>
    <n v="22.6"/>
    <n v="16"/>
    <s v="NV"/>
    <n v="5"/>
    <n v="322.2"/>
    <s v="High"/>
    <n v="0"/>
    <s v="Single-Day"/>
    <n v="1"/>
    <n v="1"/>
    <s v="Main Entrance"/>
    <s v="None/Walked from Resort"/>
    <n v="5.3"/>
    <n v="6"/>
    <x v="768"/>
  </r>
  <r>
    <n v="783"/>
    <n v="248"/>
    <d v="2026-06-12T00:00:00"/>
    <s v="Friday"/>
    <n v="6"/>
    <n v="9.5500000000000007"/>
    <x v="0"/>
    <x v="62"/>
    <s v="Male"/>
    <n v="68.8"/>
    <n v="176.2"/>
    <n v="26.2"/>
    <n v="13"/>
    <s v="NY"/>
    <n v="2"/>
    <n v="2773.4"/>
    <s v="Middle"/>
    <n v="1"/>
    <s v="Multi-Day"/>
    <n v="0"/>
    <n v="0"/>
    <s v="Main Entrance"/>
    <s v="Pixar Pals"/>
    <n v="7.7"/>
    <n v="10"/>
    <x v="769"/>
  </r>
  <r>
    <n v="784"/>
    <n v="248"/>
    <d v="2026-06-12T00:00:00"/>
    <s v="Friday"/>
    <n v="6"/>
    <n v="9.6"/>
    <x v="0"/>
    <x v="36"/>
    <s v="Female"/>
    <n v="62"/>
    <n v="164.3"/>
    <n v="30"/>
    <n v="15"/>
    <s v="NY"/>
    <n v="2"/>
    <n v="2773.4"/>
    <s v="Middle"/>
    <n v="1"/>
    <s v="Multi-Day"/>
    <n v="0"/>
    <n v="0"/>
    <s v="Main Entrance"/>
    <s v="Pixar Pals"/>
    <n v="9.3000000000000007"/>
    <n v="11"/>
    <x v="770"/>
  </r>
  <r>
    <n v="785"/>
    <n v="249"/>
    <d v="2026-03-08T00:00:00"/>
    <s v="Sunday"/>
    <n v="3"/>
    <n v="11.53"/>
    <x v="1"/>
    <x v="11"/>
    <s v="Female"/>
    <n v="64"/>
    <n v="142.5"/>
    <n v="24.5"/>
    <n v="15"/>
    <s v="WA"/>
    <n v="3"/>
    <n v="1226.5"/>
    <s v="Middle"/>
    <n v="1"/>
    <s v="Single-Day"/>
    <n v="0"/>
    <n v="0"/>
    <s v="Main Entrance"/>
    <s v="Mickey &amp; Friends"/>
    <n v="9.5"/>
    <n v="14"/>
    <x v="771"/>
  </r>
  <r>
    <n v="786"/>
    <n v="249"/>
    <d v="2026-03-08T00:00:00"/>
    <s v="Sunday"/>
    <n v="3"/>
    <n v="11.42"/>
    <x v="1"/>
    <x v="55"/>
    <s v="Male"/>
    <n v="74.400000000000006"/>
    <n v="233.8"/>
    <n v="29.9"/>
    <n v="17"/>
    <s v="WA"/>
    <n v="3"/>
    <n v="1226.5"/>
    <s v="Middle"/>
    <n v="1"/>
    <s v="Single-Day"/>
    <n v="0"/>
    <n v="0"/>
    <s v="Main Entrance"/>
    <s v="Mickey &amp; Friends"/>
    <n v="8.5"/>
    <n v="6"/>
    <x v="772"/>
  </r>
  <r>
    <n v="787"/>
    <n v="249"/>
    <d v="2026-03-08T00:00:00"/>
    <s v="Sunday"/>
    <n v="3"/>
    <n v="11.46"/>
    <x v="1"/>
    <x v="30"/>
    <s v="Female"/>
    <n v="62.5"/>
    <n v="121"/>
    <n v="21.7"/>
    <n v="19"/>
    <s v="WA"/>
    <n v="3"/>
    <n v="1226.5"/>
    <s v="Middle"/>
    <n v="1"/>
    <s v="Single-Day"/>
    <n v="0"/>
    <n v="0"/>
    <s v="Main Entrance"/>
    <s v="Mickey &amp; Friends"/>
    <n v="8.8000000000000007"/>
    <n v="6"/>
    <x v="773"/>
  </r>
  <r>
    <n v="788"/>
    <n v="250"/>
    <d v="2026-06-22T00:00:00"/>
    <s v="Monday"/>
    <n v="6"/>
    <n v="9.25"/>
    <x v="0"/>
    <x v="57"/>
    <s v="Female"/>
    <n v="69.599999999999994"/>
    <n v="181.4"/>
    <n v="26.6"/>
    <n v="15"/>
    <s v="CA"/>
    <n v="3"/>
    <n v="63.9"/>
    <s v="Middle"/>
    <n v="0"/>
    <s v="Multi-Day"/>
    <n v="0"/>
    <n v="1"/>
    <s v="Main Entrance"/>
    <s v="None/Walked from Resort"/>
    <n v="8.6"/>
    <n v="7"/>
    <x v="774"/>
  </r>
  <r>
    <n v="789"/>
    <n v="250"/>
    <d v="2026-06-22T00:00:00"/>
    <s v="Monday"/>
    <n v="6"/>
    <n v="9.3000000000000007"/>
    <x v="0"/>
    <x v="19"/>
    <s v="Female"/>
    <n v="62.4"/>
    <n v="119.2"/>
    <n v="21.3"/>
    <n v="14"/>
    <s v="CA"/>
    <n v="3"/>
    <n v="63.9"/>
    <s v="Middle"/>
    <n v="0"/>
    <s v="Multi-Day"/>
    <n v="0"/>
    <n v="1"/>
    <s v="Main Entrance"/>
    <s v="None/Walked from Resort"/>
    <n v="7.7"/>
    <n v="9"/>
    <x v="775"/>
  </r>
  <r>
    <n v="790"/>
    <n v="250"/>
    <d v="2026-06-22T00:00:00"/>
    <s v="Monday"/>
    <n v="6"/>
    <n v="9.2799999999999994"/>
    <x v="0"/>
    <x v="32"/>
    <s v="Male"/>
    <n v="61"/>
    <n v="118.6"/>
    <n v="22.4"/>
    <n v="14"/>
    <s v="CA"/>
    <n v="3"/>
    <n v="63.9"/>
    <s v="Middle"/>
    <n v="0"/>
    <s v="Multi-Day"/>
    <n v="0"/>
    <n v="1"/>
    <s v="Main Entrance"/>
    <s v="None/Walked from Resort"/>
    <n v="10.6"/>
    <n v="8"/>
    <x v="776"/>
  </r>
  <r>
    <n v="791"/>
    <n v="251"/>
    <d v="2026-08-01T00:00:00"/>
    <s v="Saturday"/>
    <n v="8"/>
    <n v="12.77"/>
    <x v="1"/>
    <x v="56"/>
    <s v="Male"/>
    <n v="75.400000000000006"/>
    <n v="224.7"/>
    <n v="27.9"/>
    <n v="14"/>
    <s v="CA"/>
    <n v="3"/>
    <n v="25.5"/>
    <s v="Middle"/>
    <n v="0"/>
    <s v="Single-Day"/>
    <n v="1"/>
    <n v="0"/>
    <s v="Main Entrance"/>
    <s v="Pixar Pals"/>
    <n v="7.2"/>
    <n v="10"/>
    <x v="777"/>
  </r>
  <r>
    <n v="792"/>
    <n v="251"/>
    <d v="2026-08-01T00:00:00"/>
    <s v="Saturday"/>
    <n v="8"/>
    <n v="12.47"/>
    <x v="1"/>
    <x v="17"/>
    <s v="Male"/>
    <n v="66.2"/>
    <n v="171.4"/>
    <n v="27.9"/>
    <n v="14"/>
    <s v="CA"/>
    <n v="3"/>
    <n v="25.5"/>
    <s v="Middle"/>
    <n v="0"/>
    <s v="Single-Day"/>
    <n v="1"/>
    <n v="0"/>
    <s v="Main Entrance"/>
    <s v="Pixar Pals"/>
    <n v="9.6"/>
    <n v="9"/>
    <x v="778"/>
  </r>
  <r>
    <n v="793"/>
    <n v="251"/>
    <d v="2026-08-01T00:00:00"/>
    <s v="Saturday"/>
    <n v="8"/>
    <n v="12.65"/>
    <x v="1"/>
    <x v="17"/>
    <s v="Male"/>
    <n v="68.599999999999994"/>
    <n v="156.1"/>
    <n v="23.1"/>
    <n v="17"/>
    <s v="CA"/>
    <n v="3"/>
    <n v="25.5"/>
    <s v="Middle"/>
    <n v="0"/>
    <s v="Single-Day"/>
    <n v="1"/>
    <n v="0"/>
    <s v="Main Entrance"/>
    <s v="Pixar Pals"/>
    <n v="8"/>
    <n v="10"/>
    <x v="779"/>
  </r>
  <r>
    <n v="794"/>
    <n v="252"/>
    <d v="2026-03-29T00:00:00"/>
    <s v="Sunday"/>
    <n v="3"/>
    <n v="8.1300000000000008"/>
    <x v="0"/>
    <x v="30"/>
    <s v="Female"/>
    <n v="62.4"/>
    <n v="165.1"/>
    <n v="29.9"/>
    <n v="14"/>
    <s v="CA"/>
    <n v="3"/>
    <n v="55.8"/>
    <s v="Middle"/>
    <n v="0"/>
    <s v="Park Hopper"/>
    <n v="0"/>
    <n v="0"/>
    <s v="Main Entrance"/>
    <s v="Toy Story Lot"/>
    <n v="8.1"/>
    <n v="10"/>
    <x v="780"/>
  </r>
  <r>
    <n v="795"/>
    <n v="252"/>
    <d v="2026-03-29T00:00:00"/>
    <s v="Sunday"/>
    <n v="3"/>
    <n v="8.06"/>
    <x v="0"/>
    <x v="35"/>
    <s v="Male"/>
    <n v="73.7"/>
    <n v="208.6"/>
    <n v="27.2"/>
    <n v="16"/>
    <s v="CA"/>
    <n v="3"/>
    <n v="55.8"/>
    <s v="Middle"/>
    <n v="0"/>
    <s v="Park Hopper"/>
    <n v="0"/>
    <n v="0"/>
    <s v="Main Entrance"/>
    <s v="Toy Story Lot"/>
    <n v="8.6"/>
    <n v="3"/>
    <x v="781"/>
  </r>
  <r>
    <n v="796"/>
    <n v="252"/>
    <d v="2026-03-29T00:00:00"/>
    <s v="Sunday"/>
    <n v="3"/>
    <n v="7.88"/>
    <x v="0"/>
    <x v="28"/>
    <s v="Male"/>
    <n v="66"/>
    <n v="126.9"/>
    <n v="20.2"/>
    <n v="15"/>
    <s v="CA"/>
    <n v="3"/>
    <n v="55.8"/>
    <s v="Middle"/>
    <n v="0"/>
    <s v="Park Hopper"/>
    <n v="0"/>
    <n v="0"/>
    <s v="Main Entrance"/>
    <s v="Toy Story Lot"/>
    <n v="8.5"/>
    <n v="6"/>
    <x v="782"/>
  </r>
  <r>
    <n v="797"/>
    <n v="253"/>
    <d v="2026-07-28T00:00:00"/>
    <s v="Tuesday"/>
    <n v="7"/>
    <n v="9.6199999999999992"/>
    <x v="0"/>
    <x v="9"/>
    <s v="Male"/>
    <n v="67.599999999999994"/>
    <n v="147.19999999999999"/>
    <n v="22.5"/>
    <n v="14"/>
    <s v="UT"/>
    <n v="3"/>
    <n v="735.4"/>
    <s v="Middle"/>
    <n v="0"/>
    <s v="Park Hopper"/>
    <n v="1"/>
    <n v="0"/>
    <s v="Main Entrance"/>
    <s v="Mickey &amp; Friends"/>
    <n v="8.6"/>
    <n v="9"/>
    <x v="783"/>
  </r>
  <r>
    <n v="798"/>
    <n v="253"/>
    <d v="2026-07-28T00:00:00"/>
    <s v="Tuesday"/>
    <n v="7"/>
    <n v="9.66"/>
    <x v="0"/>
    <x v="9"/>
    <s v="Female"/>
    <n v="66.599999999999994"/>
    <n v="148.1"/>
    <n v="23.5"/>
    <n v="19"/>
    <s v="UT"/>
    <n v="3"/>
    <n v="735.4"/>
    <s v="Middle"/>
    <n v="0"/>
    <s v="Park Hopper"/>
    <n v="1"/>
    <n v="0"/>
    <s v="Main Entrance"/>
    <s v="Mickey &amp; Friends"/>
    <n v="8.4"/>
    <n v="10"/>
    <x v="784"/>
  </r>
  <r>
    <n v="799"/>
    <n v="253"/>
    <d v="2026-07-28T00:00:00"/>
    <s v="Tuesday"/>
    <n v="7"/>
    <n v="9.8800000000000008"/>
    <x v="0"/>
    <x v="69"/>
    <s v="Female"/>
    <n v="63.5"/>
    <n v="148.19999999999999"/>
    <n v="26"/>
    <n v="13"/>
    <s v="UT"/>
    <n v="3"/>
    <n v="735.4"/>
    <s v="Middle"/>
    <n v="0"/>
    <s v="Park Hopper"/>
    <n v="1"/>
    <n v="0"/>
    <s v="Main Entrance"/>
    <s v="Mickey &amp; Friends"/>
    <n v="10.7"/>
    <n v="14"/>
    <x v="785"/>
  </r>
  <r>
    <n v="800"/>
    <n v="254"/>
    <d v="2026-07-05T00:00:00"/>
    <s v="Sunday"/>
    <n v="7"/>
    <n v="12.17"/>
    <x v="1"/>
    <x v="12"/>
    <s v="Female"/>
    <n v="59.4"/>
    <n v="72"/>
    <n v="14.6"/>
    <n v="16"/>
    <s v="NV"/>
    <n v="5"/>
    <n v="208"/>
    <s v="High"/>
    <n v="1"/>
    <s v="Park Hopper"/>
    <n v="0"/>
    <n v="0"/>
    <s v="Downtown Disney Gate"/>
    <s v="Toy Story Lot"/>
    <n v="11"/>
    <n v="13"/>
    <x v="786"/>
  </r>
  <r>
    <n v="801"/>
    <n v="254"/>
    <d v="2026-07-05T00:00:00"/>
    <s v="Sunday"/>
    <n v="7"/>
    <n v="11.9"/>
    <x v="1"/>
    <x v="15"/>
    <s v="Male"/>
    <n v="71.099999999999994"/>
    <n v="182.2"/>
    <n v="25.6"/>
    <n v="16"/>
    <s v="NV"/>
    <n v="5"/>
    <n v="208"/>
    <s v="High"/>
    <n v="1"/>
    <s v="Park Hopper"/>
    <n v="0"/>
    <n v="0"/>
    <s v="Downtown Disney Gate"/>
    <s v="Toy Story Lot"/>
    <n v="9.6"/>
    <n v="10"/>
    <x v="787"/>
  </r>
  <r>
    <n v="802"/>
    <n v="254"/>
    <d v="2026-07-05T00:00:00"/>
    <s v="Sunday"/>
    <n v="7"/>
    <n v="11.97"/>
    <x v="1"/>
    <x v="16"/>
    <s v="Female"/>
    <n v="55.1"/>
    <n v="80.3"/>
    <n v="18.600000000000001"/>
    <n v="13"/>
    <s v="NV"/>
    <n v="5"/>
    <n v="208"/>
    <s v="High"/>
    <n v="1"/>
    <s v="Park Hopper"/>
    <n v="0"/>
    <n v="0"/>
    <s v="Downtown Disney Gate"/>
    <s v="Toy Story Lot"/>
    <n v="9.1999999999999993"/>
    <n v="7"/>
    <x v="788"/>
  </r>
  <r>
    <n v="803"/>
    <n v="254"/>
    <d v="2026-07-05T00:00:00"/>
    <s v="Sunday"/>
    <n v="7"/>
    <n v="12.08"/>
    <x v="1"/>
    <x v="49"/>
    <s v="Male"/>
    <n v="65.400000000000006"/>
    <n v="137.69999999999999"/>
    <n v="22.6"/>
    <n v="17"/>
    <s v="NV"/>
    <n v="5"/>
    <n v="208"/>
    <s v="High"/>
    <n v="1"/>
    <s v="Park Hopper"/>
    <n v="0"/>
    <n v="0"/>
    <s v="Downtown Disney Gate"/>
    <s v="Toy Story Lot"/>
    <n v="7.7"/>
    <n v="8"/>
    <x v="789"/>
  </r>
  <r>
    <n v="804"/>
    <n v="254"/>
    <d v="2026-07-05T00:00:00"/>
    <s v="Sunday"/>
    <n v="7"/>
    <n v="12.28"/>
    <x v="1"/>
    <x v="37"/>
    <s v="Male"/>
    <n v="76"/>
    <n v="195.3"/>
    <n v="23.8"/>
    <n v="13"/>
    <s v="NV"/>
    <n v="5"/>
    <n v="208"/>
    <s v="High"/>
    <n v="1"/>
    <s v="Park Hopper"/>
    <n v="0"/>
    <n v="0"/>
    <s v="Downtown Disney Gate"/>
    <s v="Toy Story Lot"/>
    <n v="7.7"/>
    <n v="3"/>
    <x v="790"/>
  </r>
  <r>
    <n v="805"/>
    <n v="255"/>
    <d v="2026-03-12T00:00:00"/>
    <s v="Thursday"/>
    <n v="3"/>
    <n v="11.48"/>
    <x v="1"/>
    <x v="60"/>
    <s v="Male"/>
    <n v="63.7"/>
    <n v="145.6"/>
    <n v="25.3"/>
    <n v="9"/>
    <s v="CA"/>
    <n v="1"/>
    <n v="35"/>
    <s v="Low"/>
    <n v="0"/>
    <s v="Park Hopper"/>
    <n v="0"/>
    <n v="0"/>
    <s v="Main Entrance"/>
    <s v="None/Dropoff/Transit"/>
    <n v="8.1"/>
    <n v="12"/>
    <x v="791"/>
  </r>
  <r>
    <n v="806"/>
    <n v="256"/>
    <d v="2026-08-06T00:00:00"/>
    <s v="Thursday"/>
    <n v="8"/>
    <n v="12.27"/>
    <x v="1"/>
    <x v="64"/>
    <s v="Male"/>
    <n v="40.6"/>
    <n v="49.2"/>
    <n v="21"/>
    <n v="16"/>
    <s v="Other"/>
    <n v="1"/>
    <n v="1338.1"/>
    <s v="High"/>
    <n v="0"/>
    <s v="Multi-Day"/>
    <n v="1"/>
    <n v="1"/>
    <s v="Main Entrance"/>
    <s v="None/Walked from Resort"/>
    <n v="10"/>
    <n v="14"/>
    <x v="792"/>
  </r>
  <r>
    <n v="807"/>
    <n v="257"/>
    <d v="2026-03-07T00:00:00"/>
    <s v="Saturday"/>
    <n v="3"/>
    <n v="9.35"/>
    <x v="0"/>
    <x v="36"/>
    <s v="Female"/>
    <n v="60.7"/>
    <n v="131.30000000000001"/>
    <n v="25"/>
    <n v="18"/>
    <s v="IL"/>
    <n v="1"/>
    <n v="1957.2"/>
    <s v="High"/>
    <n v="0"/>
    <s v="Multi-Day"/>
    <n v="1"/>
    <n v="0"/>
    <s v="Main Entrance"/>
    <s v="Mickey &amp; Friends"/>
    <n v="9.8000000000000007"/>
    <n v="8"/>
    <x v="793"/>
  </r>
  <r>
    <n v="808"/>
    <n v="258"/>
    <d v="2026-10-19T00:00:00"/>
    <s v="Monday"/>
    <n v="10"/>
    <n v="13.49"/>
    <x v="1"/>
    <x v="59"/>
    <s v="Female"/>
    <n v="67.599999999999994"/>
    <n v="95.4"/>
    <n v="14.6"/>
    <n v="11"/>
    <s v="WI"/>
    <n v="2"/>
    <n v="1812.4"/>
    <s v="Low"/>
    <n v="1"/>
    <s v="Multi-Day"/>
    <n v="0"/>
    <n v="0"/>
    <s v="Main Entrance"/>
    <s v="Mickey &amp; Friends"/>
    <n v="9"/>
    <n v="5"/>
    <x v="794"/>
  </r>
  <r>
    <n v="809"/>
    <n v="258"/>
    <d v="2026-10-19T00:00:00"/>
    <s v="Monday"/>
    <n v="10"/>
    <n v="13.44"/>
    <x v="1"/>
    <x v="72"/>
    <s v="Female"/>
    <n v="65.3"/>
    <n v="107.5"/>
    <n v="17.7"/>
    <n v="15"/>
    <s v="WI"/>
    <n v="2"/>
    <n v="1812.4"/>
    <s v="Low"/>
    <n v="1"/>
    <s v="Multi-Day"/>
    <n v="0"/>
    <n v="0"/>
    <s v="Main Entrance"/>
    <s v="Mickey &amp; Friends"/>
    <n v="11.5"/>
    <n v="16"/>
    <x v="795"/>
  </r>
  <r>
    <n v="810"/>
    <n v="259"/>
    <d v="2026-03-11T00:00:00"/>
    <s v="Wednesday"/>
    <n v="3"/>
    <n v="9.2799999999999994"/>
    <x v="0"/>
    <x v="60"/>
    <s v="Male"/>
    <n v="67.3"/>
    <n v="125.6"/>
    <n v="19.600000000000001"/>
    <n v="12"/>
    <s v="CA"/>
    <n v="4"/>
    <n v="129.4"/>
    <s v="Middle"/>
    <n v="1"/>
    <s v="Single-Day"/>
    <n v="0"/>
    <n v="0"/>
    <s v="Main Entrance"/>
    <s v="Toy Story Lot"/>
    <n v="7.7"/>
    <n v="7"/>
    <x v="796"/>
  </r>
  <r>
    <n v="811"/>
    <n v="259"/>
    <d v="2026-03-11T00:00:00"/>
    <s v="Wednesday"/>
    <n v="3"/>
    <n v="9.44"/>
    <x v="0"/>
    <x v="13"/>
    <s v="Female"/>
    <n v="63.3"/>
    <n v="154.1"/>
    <n v="26.8"/>
    <n v="14"/>
    <s v="CA"/>
    <n v="4"/>
    <n v="129.4"/>
    <s v="Middle"/>
    <n v="1"/>
    <s v="Single-Day"/>
    <n v="0"/>
    <n v="0"/>
    <s v="Main Entrance"/>
    <s v="Toy Story Lot"/>
    <n v="8.3000000000000007"/>
    <n v="7"/>
    <x v="797"/>
  </r>
  <r>
    <n v="812"/>
    <n v="259"/>
    <d v="2026-03-11T00:00:00"/>
    <s v="Wednesday"/>
    <n v="3"/>
    <n v="9.49"/>
    <x v="0"/>
    <x v="18"/>
    <s v="Male"/>
    <n v="62.5"/>
    <n v="157.5"/>
    <n v="28.5"/>
    <n v="16"/>
    <s v="CA"/>
    <n v="4"/>
    <n v="129.4"/>
    <s v="Middle"/>
    <n v="1"/>
    <s v="Single-Day"/>
    <n v="0"/>
    <n v="0"/>
    <s v="Main Entrance"/>
    <s v="Toy Story Lot"/>
    <n v="7.1"/>
    <n v="10"/>
    <x v="798"/>
  </r>
  <r>
    <n v="813"/>
    <n v="259"/>
    <d v="2026-03-11T00:00:00"/>
    <s v="Wednesday"/>
    <n v="3"/>
    <n v="9.42"/>
    <x v="0"/>
    <x v="10"/>
    <s v="Male"/>
    <n v="71.099999999999994"/>
    <n v="192.8"/>
    <n v="27.1"/>
    <n v="14"/>
    <s v="CA"/>
    <n v="4"/>
    <n v="129.4"/>
    <s v="Middle"/>
    <n v="1"/>
    <s v="Single-Day"/>
    <n v="0"/>
    <n v="0"/>
    <s v="Main Entrance"/>
    <s v="Toy Story Lot"/>
    <n v="10.199999999999999"/>
    <n v="8"/>
    <x v="799"/>
  </r>
  <r>
    <n v="814"/>
    <n v="260"/>
    <d v="2026-05-25T00:00:00"/>
    <s v="Monday"/>
    <n v="5"/>
    <n v="8.4600000000000009"/>
    <x v="0"/>
    <x v="15"/>
    <s v="Male"/>
    <n v="75.2"/>
    <n v="222.2"/>
    <n v="27.8"/>
    <n v="15"/>
    <s v="OR"/>
    <n v="2"/>
    <n v="1016.3"/>
    <s v="High"/>
    <n v="0"/>
    <s v="Single-Day"/>
    <n v="1"/>
    <n v="0"/>
    <s v="Main Entrance"/>
    <s v="Mickey &amp; Friends"/>
    <n v="8.4"/>
    <n v="12"/>
    <x v="800"/>
  </r>
  <r>
    <n v="815"/>
    <n v="260"/>
    <d v="2026-05-25T00:00:00"/>
    <s v="Monday"/>
    <n v="5"/>
    <n v="8.42"/>
    <x v="0"/>
    <x v="18"/>
    <s v="Female"/>
    <n v="62.2"/>
    <n v="158.1"/>
    <n v="28.9"/>
    <n v="20"/>
    <s v="OR"/>
    <n v="2"/>
    <n v="1016.3"/>
    <s v="High"/>
    <n v="0"/>
    <s v="Single-Day"/>
    <n v="1"/>
    <n v="0"/>
    <s v="Main Entrance"/>
    <s v="Mickey &amp; Friends"/>
    <n v="6.9"/>
    <n v="8"/>
    <x v="801"/>
  </r>
  <r>
    <n v="816"/>
    <n v="261"/>
    <d v="2026-06-05T00:00:00"/>
    <s v="Friday"/>
    <n v="6"/>
    <n v="9.99"/>
    <x v="0"/>
    <x v="52"/>
    <s v="Male"/>
    <n v="70.8"/>
    <n v="119.4"/>
    <n v="16.899999999999999"/>
    <n v="15"/>
    <s v="Other"/>
    <n v="3"/>
    <n v="1628.5"/>
    <s v="Low"/>
    <n v="1"/>
    <s v="Multi-Day"/>
    <n v="1"/>
    <n v="0"/>
    <s v="Main Entrance"/>
    <s v="None/Dropoff/Transit"/>
    <n v="9.6"/>
    <n v="14"/>
    <x v="802"/>
  </r>
  <r>
    <n v="817"/>
    <n v="261"/>
    <d v="2026-06-05T00:00:00"/>
    <s v="Friday"/>
    <n v="6"/>
    <n v="10.050000000000001"/>
    <x v="0"/>
    <x v="48"/>
    <s v="Female"/>
    <n v="70.5"/>
    <n v="156.1"/>
    <n v="22"/>
    <n v="9"/>
    <s v="Other"/>
    <n v="3"/>
    <n v="1628.5"/>
    <s v="Low"/>
    <n v="1"/>
    <s v="Multi-Day"/>
    <n v="1"/>
    <n v="0"/>
    <s v="Main Entrance"/>
    <s v="None/Dropoff/Transit"/>
    <n v="9.9"/>
    <n v="8"/>
    <x v="803"/>
  </r>
  <r>
    <n v="818"/>
    <n v="261"/>
    <d v="2026-06-05T00:00:00"/>
    <s v="Friday"/>
    <n v="6"/>
    <n v="9.8800000000000008"/>
    <x v="0"/>
    <x v="4"/>
    <s v="Female"/>
    <n v="61.5"/>
    <n v="147.30000000000001"/>
    <n v="27.4"/>
    <n v="11"/>
    <s v="Other"/>
    <n v="3"/>
    <n v="1628.5"/>
    <s v="Low"/>
    <n v="1"/>
    <s v="Multi-Day"/>
    <n v="1"/>
    <n v="0"/>
    <s v="Main Entrance"/>
    <s v="None/Dropoff/Transit"/>
    <n v="9.3000000000000007"/>
    <n v="11"/>
    <x v="804"/>
  </r>
  <r>
    <n v="819"/>
    <n v="262"/>
    <d v="2026-12-22T00:00:00"/>
    <s v="Tuesday"/>
    <n v="12"/>
    <n v="8.5500000000000007"/>
    <x v="0"/>
    <x v="18"/>
    <s v="Female"/>
    <n v="63.9"/>
    <n v="145.69999999999999"/>
    <n v="25.1"/>
    <n v="15"/>
    <s v="WA"/>
    <n v="3"/>
    <n v="1552.4"/>
    <s v="Middle"/>
    <n v="0"/>
    <s v="Single-Day"/>
    <n v="0"/>
    <n v="1"/>
    <s v="Main Entrance"/>
    <s v="None/Walked from Resort"/>
    <n v="10"/>
    <n v="9"/>
    <x v="805"/>
  </r>
  <r>
    <n v="820"/>
    <n v="262"/>
    <d v="2026-12-22T00:00:00"/>
    <s v="Tuesday"/>
    <n v="12"/>
    <n v="8.6199999999999992"/>
    <x v="0"/>
    <x v="48"/>
    <s v="Female"/>
    <n v="63.4"/>
    <n v="187.5"/>
    <n v="32.799999999999997"/>
    <n v="16"/>
    <s v="WA"/>
    <n v="3"/>
    <n v="1552.4"/>
    <s v="Middle"/>
    <n v="0"/>
    <s v="Single-Day"/>
    <n v="0"/>
    <n v="1"/>
    <s v="Main Entrance"/>
    <s v="None/Walked from Resort"/>
    <n v="8.6"/>
    <n v="6"/>
    <x v="806"/>
  </r>
  <r>
    <n v="821"/>
    <n v="262"/>
    <d v="2026-12-22T00:00:00"/>
    <s v="Tuesday"/>
    <n v="12"/>
    <n v="8.39"/>
    <x v="0"/>
    <x v="23"/>
    <s v="Male"/>
    <n v="65.7"/>
    <n v="196.4"/>
    <n v="31.9"/>
    <n v="17"/>
    <s v="WA"/>
    <n v="3"/>
    <n v="1552.4"/>
    <s v="Middle"/>
    <n v="0"/>
    <s v="Single-Day"/>
    <n v="0"/>
    <n v="1"/>
    <s v="Main Entrance"/>
    <s v="None/Walked from Resort"/>
    <n v="12.2"/>
    <n v="9"/>
    <x v="807"/>
  </r>
  <r>
    <n v="822"/>
    <n v="263"/>
    <d v="2026-04-04T00:00:00"/>
    <s v="Saturday"/>
    <n v="4"/>
    <n v="8.51"/>
    <x v="0"/>
    <x v="13"/>
    <s v="Male"/>
    <n v="64.3"/>
    <n v="118.8"/>
    <n v="20.2"/>
    <n v="14"/>
    <s v="UT"/>
    <n v="1"/>
    <n v="579"/>
    <s v="Middle"/>
    <n v="0"/>
    <s v="Single-Day"/>
    <n v="1"/>
    <n v="0"/>
    <s v="Main Entrance"/>
    <s v="Mickey &amp; Friends"/>
    <n v="9.6999999999999993"/>
    <n v="12"/>
    <x v="808"/>
  </r>
  <r>
    <n v="823"/>
    <n v="264"/>
    <d v="2026-07-28T00:00:00"/>
    <s v="Tuesday"/>
    <n v="7"/>
    <n v="11.47"/>
    <x v="1"/>
    <x v="33"/>
    <s v="Male"/>
    <n v="66.900000000000006"/>
    <n v="199.1"/>
    <n v="31"/>
    <n v="17"/>
    <s v="Other"/>
    <n v="3"/>
    <n v="1469.7"/>
    <s v="Middle"/>
    <n v="1"/>
    <s v="Single-Day"/>
    <n v="1"/>
    <n v="0"/>
    <s v="Main Entrance"/>
    <s v="Pixar Pals"/>
    <n v="7.9"/>
    <n v="7"/>
    <x v="809"/>
  </r>
  <r>
    <n v="824"/>
    <n v="264"/>
    <d v="2026-07-28T00:00:00"/>
    <s v="Tuesday"/>
    <n v="7"/>
    <n v="11.42"/>
    <x v="1"/>
    <x v="62"/>
    <s v="Female"/>
    <n v="66.400000000000006"/>
    <n v="193.9"/>
    <n v="30.7"/>
    <n v="17"/>
    <s v="Other"/>
    <n v="3"/>
    <n v="1469.7"/>
    <s v="Middle"/>
    <n v="1"/>
    <s v="Single-Day"/>
    <n v="1"/>
    <n v="0"/>
    <s v="Main Entrance"/>
    <s v="Pixar Pals"/>
    <n v="8.4"/>
    <n v="11"/>
    <x v="810"/>
  </r>
  <r>
    <n v="825"/>
    <n v="264"/>
    <d v="2026-07-28T00:00:00"/>
    <s v="Tuesday"/>
    <n v="7"/>
    <n v="11.37"/>
    <x v="1"/>
    <x v="28"/>
    <s v="Male"/>
    <n v="68.3"/>
    <n v="197.6"/>
    <n v="29.8"/>
    <n v="16"/>
    <s v="Other"/>
    <n v="3"/>
    <n v="1469.7"/>
    <s v="Middle"/>
    <n v="1"/>
    <s v="Single-Day"/>
    <n v="1"/>
    <n v="0"/>
    <s v="Main Entrance"/>
    <s v="Pixar Pals"/>
    <n v="7.2"/>
    <n v="7"/>
    <x v="811"/>
  </r>
  <r>
    <n v="826"/>
    <n v="265"/>
    <d v="2026-01-27T00:00:00"/>
    <s v="Tuesday"/>
    <n v="1"/>
    <n v="11.1"/>
    <x v="1"/>
    <x v="27"/>
    <s v="Female"/>
    <n v="68.400000000000006"/>
    <n v="164"/>
    <n v="24.4"/>
    <n v="19"/>
    <s v="CA"/>
    <n v="1"/>
    <n v="72.900000000000006"/>
    <s v="High"/>
    <n v="0"/>
    <s v="Single-Day"/>
    <n v="1"/>
    <n v="1"/>
    <s v="Hotel Guest Entrance"/>
    <s v="None/Walked from Resort"/>
    <n v="7.7"/>
    <n v="9"/>
    <x v="518"/>
  </r>
  <r>
    <n v="827"/>
    <n v="266"/>
    <d v="2026-04-20T00:00:00"/>
    <s v="Monday"/>
    <n v="4"/>
    <n v="7.04"/>
    <x v="0"/>
    <x v="36"/>
    <s v="Female"/>
    <n v="65"/>
    <n v="164.5"/>
    <n v="27.5"/>
    <n v="14"/>
    <s v="CA"/>
    <n v="3"/>
    <n v="5.2"/>
    <s v="Low"/>
    <n v="0"/>
    <s v="Multi-Day"/>
    <n v="0"/>
    <n v="0"/>
    <s v="Main Entrance"/>
    <s v="Mickey &amp; Friends"/>
    <n v="7.5"/>
    <n v="6"/>
    <x v="812"/>
  </r>
  <r>
    <n v="828"/>
    <n v="266"/>
    <d v="2026-04-20T00:00:00"/>
    <s v="Monday"/>
    <n v="4"/>
    <n v="7.16"/>
    <x v="0"/>
    <x v="40"/>
    <s v="Female"/>
    <n v="61"/>
    <n v="72.599999999999994"/>
    <n v="13.9"/>
    <n v="12"/>
    <s v="CA"/>
    <n v="3"/>
    <n v="5.2"/>
    <s v="Low"/>
    <n v="0"/>
    <s v="Multi-Day"/>
    <n v="0"/>
    <n v="0"/>
    <s v="Main Entrance"/>
    <s v="Mickey &amp; Friends"/>
    <n v="12"/>
    <n v="13"/>
    <x v="813"/>
  </r>
  <r>
    <n v="829"/>
    <n v="266"/>
    <d v="2026-04-20T00:00:00"/>
    <s v="Monday"/>
    <n v="4"/>
    <n v="7.42"/>
    <x v="0"/>
    <x v="55"/>
    <s v="Female"/>
    <n v="65.5"/>
    <n v="160"/>
    <n v="26.3"/>
    <n v="15"/>
    <s v="CA"/>
    <n v="3"/>
    <n v="5.2"/>
    <s v="Low"/>
    <n v="0"/>
    <s v="Multi-Day"/>
    <n v="0"/>
    <n v="0"/>
    <s v="Main Entrance"/>
    <s v="Mickey &amp; Friends"/>
    <n v="7.9"/>
    <n v="5"/>
    <x v="814"/>
  </r>
  <r>
    <n v="830"/>
    <n v="267"/>
    <d v="2026-06-03T00:00:00"/>
    <s v="Wednesday"/>
    <n v="6"/>
    <n v="8.74"/>
    <x v="0"/>
    <x v="5"/>
    <s v="Female"/>
    <n v="58"/>
    <n v="149.4"/>
    <n v="31.2"/>
    <n v="16"/>
    <s v="Other"/>
    <n v="5"/>
    <n v="1384.7"/>
    <s v="Middle"/>
    <n v="0"/>
    <s v="Single-Day"/>
    <n v="1"/>
    <n v="0"/>
    <s v="Hotel Guest Entrance"/>
    <s v="Pixar Pals"/>
    <n v="7.2"/>
    <n v="11"/>
    <x v="815"/>
  </r>
  <r>
    <n v="831"/>
    <n v="267"/>
    <d v="2026-06-03T00:00:00"/>
    <s v="Wednesday"/>
    <n v="6"/>
    <n v="8.68"/>
    <x v="0"/>
    <x v="3"/>
    <s v="Male"/>
    <n v="68.400000000000006"/>
    <n v="152.19999999999999"/>
    <n v="22.9"/>
    <n v="16"/>
    <s v="Other"/>
    <n v="5"/>
    <n v="1384.7"/>
    <s v="Middle"/>
    <n v="0"/>
    <s v="Single-Day"/>
    <n v="1"/>
    <n v="0"/>
    <s v="Hotel Guest Entrance"/>
    <s v="Pixar Pals"/>
    <n v="9.8000000000000007"/>
    <n v="11"/>
    <x v="816"/>
  </r>
  <r>
    <n v="832"/>
    <n v="267"/>
    <d v="2026-06-03T00:00:00"/>
    <s v="Wednesday"/>
    <n v="6"/>
    <n v="8.9"/>
    <x v="0"/>
    <x v="0"/>
    <s v="Female"/>
    <n v="63.3"/>
    <n v="153.19999999999999"/>
    <n v="26.9"/>
    <n v="16"/>
    <s v="Other"/>
    <n v="5"/>
    <n v="1384.7"/>
    <s v="Middle"/>
    <n v="0"/>
    <s v="Single-Day"/>
    <n v="1"/>
    <n v="0"/>
    <s v="Hotel Guest Entrance"/>
    <s v="Pixar Pals"/>
    <n v="9.8000000000000007"/>
    <n v="10"/>
    <x v="817"/>
  </r>
  <r>
    <n v="833"/>
    <n v="267"/>
    <d v="2026-06-03T00:00:00"/>
    <s v="Wednesday"/>
    <n v="6"/>
    <n v="8.67"/>
    <x v="0"/>
    <x v="45"/>
    <s v="Male"/>
    <n v="72.3"/>
    <n v="175"/>
    <n v="23.7"/>
    <n v="19"/>
    <s v="Other"/>
    <n v="5"/>
    <n v="1384.7"/>
    <s v="Middle"/>
    <n v="0"/>
    <s v="Single-Day"/>
    <n v="1"/>
    <n v="0"/>
    <s v="Hotel Guest Entrance"/>
    <s v="Pixar Pals"/>
    <n v="8.3000000000000007"/>
    <n v="8"/>
    <x v="818"/>
  </r>
  <r>
    <n v="834"/>
    <n v="267"/>
    <d v="2026-06-03T00:00:00"/>
    <s v="Wednesday"/>
    <n v="6"/>
    <n v="8.61"/>
    <x v="0"/>
    <x v="59"/>
    <s v="Male"/>
    <n v="67.7"/>
    <n v="169.4"/>
    <n v="26"/>
    <n v="13"/>
    <s v="Other"/>
    <n v="5"/>
    <n v="1384.7"/>
    <s v="Middle"/>
    <n v="0"/>
    <s v="Single-Day"/>
    <n v="1"/>
    <n v="0"/>
    <s v="Hotel Guest Entrance"/>
    <s v="Pixar Pals"/>
    <n v="10.1"/>
    <n v="10"/>
    <x v="819"/>
  </r>
  <r>
    <n v="835"/>
    <n v="268"/>
    <d v="2026-11-05T00:00:00"/>
    <s v="Thursday"/>
    <n v="11"/>
    <n v="13.43"/>
    <x v="1"/>
    <x v="2"/>
    <s v="Female"/>
    <n v="67.2"/>
    <n v="169.4"/>
    <n v="26.6"/>
    <n v="13"/>
    <s v="AZ"/>
    <n v="2"/>
    <n v="415.9"/>
    <s v="Middle"/>
    <n v="0"/>
    <s v="Multi-Day"/>
    <n v="0"/>
    <n v="0"/>
    <s v="Main Entrance"/>
    <s v="Mickey &amp; Friends"/>
    <n v="9.8000000000000007"/>
    <n v="8"/>
    <x v="820"/>
  </r>
  <r>
    <n v="836"/>
    <n v="268"/>
    <d v="2026-11-05T00:00:00"/>
    <s v="Thursday"/>
    <n v="11"/>
    <n v="13.72"/>
    <x v="1"/>
    <x v="9"/>
    <s v="Male"/>
    <n v="72.900000000000006"/>
    <n v="158"/>
    <n v="21.2"/>
    <n v="18"/>
    <s v="AZ"/>
    <n v="2"/>
    <n v="415.9"/>
    <s v="Middle"/>
    <n v="0"/>
    <s v="Multi-Day"/>
    <n v="0"/>
    <n v="0"/>
    <s v="Main Entrance"/>
    <s v="Mickey &amp; Friends"/>
    <n v="8.9"/>
    <n v="9"/>
    <x v="821"/>
  </r>
  <r>
    <n v="837"/>
    <n v="269"/>
    <d v="2026-10-06T00:00:00"/>
    <s v="Tuesday"/>
    <n v="10"/>
    <n v="13.76"/>
    <x v="1"/>
    <x v="0"/>
    <s v="Male"/>
    <n v="68.400000000000006"/>
    <n v="156.80000000000001"/>
    <n v="23.6"/>
    <n v="15"/>
    <s v="CO"/>
    <n v="4"/>
    <n v="640.29999999999995"/>
    <s v="High"/>
    <n v="0"/>
    <s v="Multi-Day"/>
    <n v="0"/>
    <n v="0"/>
    <s v="Main Entrance"/>
    <s v="None/Dropoff/Transit"/>
    <n v="7.2"/>
    <n v="9"/>
    <x v="822"/>
  </r>
  <r>
    <n v="838"/>
    <n v="269"/>
    <d v="2026-10-06T00:00:00"/>
    <s v="Tuesday"/>
    <n v="10"/>
    <n v="13.74"/>
    <x v="1"/>
    <x v="77"/>
    <s v="Male"/>
    <n v="71.400000000000006"/>
    <n v="208.4"/>
    <n v="29"/>
    <n v="20"/>
    <s v="CO"/>
    <n v="4"/>
    <n v="640.29999999999995"/>
    <s v="High"/>
    <n v="0"/>
    <s v="Multi-Day"/>
    <n v="0"/>
    <n v="0"/>
    <s v="Main Entrance"/>
    <s v="None/Dropoff/Transit"/>
    <n v="9.5"/>
    <n v="14"/>
    <x v="823"/>
  </r>
  <r>
    <n v="839"/>
    <n v="269"/>
    <d v="2026-10-06T00:00:00"/>
    <s v="Tuesday"/>
    <n v="10"/>
    <n v="13.86"/>
    <x v="1"/>
    <x v="66"/>
    <s v="Male"/>
    <n v="73.2"/>
    <n v="243.5"/>
    <n v="31.9"/>
    <n v="20"/>
    <s v="CO"/>
    <n v="4"/>
    <n v="640.29999999999995"/>
    <s v="High"/>
    <n v="0"/>
    <s v="Multi-Day"/>
    <n v="0"/>
    <n v="0"/>
    <s v="Main Entrance"/>
    <s v="None/Dropoff/Transit"/>
    <n v="8"/>
    <n v="10"/>
    <x v="824"/>
  </r>
  <r>
    <n v="840"/>
    <n v="269"/>
    <d v="2026-10-06T00:00:00"/>
    <s v="Tuesday"/>
    <n v="10"/>
    <n v="14.14"/>
    <x v="1"/>
    <x v="78"/>
    <s v="Female"/>
    <n v="70"/>
    <n v="98.9"/>
    <n v="14.1"/>
    <n v="15"/>
    <s v="CO"/>
    <n v="4"/>
    <n v="640.29999999999995"/>
    <s v="High"/>
    <n v="0"/>
    <s v="Multi-Day"/>
    <n v="0"/>
    <n v="0"/>
    <s v="Main Entrance"/>
    <s v="None/Dropoff/Transit"/>
    <n v="6.5"/>
    <n v="8"/>
    <x v="825"/>
  </r>
  <r>
    <n v="841"/>
    <n v="270"/>
    <d v="2026-04-27T00:00:00"/>
    <s v="Monday"/>
    <n v="4"/>
    <n v="8.2899999999999991"/>
    <x v="0"/>
    <x v="44"/>
    <s v="Male"/>
    <n v="64.5"/>
    <n v="197"/>
    <n v="33.200000000000003"/>
    <n v="11"/>
    <s v="CA"/>
    <n v="4"/>
    <n v="2"/>
    <s v="Middle"/>
    <n v="0"/>
    <s v="Park Hopper"/>
    <n v="0"/>
    <n v="0"/>
    <s v="Main Entrance"/>
    <s v="Pixar Pals"/>
    <n v="12.8"/>
    <n v="12"/>
    <x v="826"/>
  </r>
  <r>
    <n v="842"/>
    <n v="270"/>
    <d v="2026-04-27T00:00:00"/>
    <s v="Monday"/>
    <n v="4"/>
    <n v="8.32"/>
    <x v="0"/>
    <x v="59"/>
    <s v="Female"/>
    <n v="65.400000000000006"/>
    <n v="150.1"/>
    <n v="24.8"/>
    <n v="16"/>
    <s v="CA"/>
    <n v="4"/>
    <n v="2"/>
    <s v="Middle"/>
    <n v="0"/>
    <s v="Park Hopper"/>
    <n v="0"/>
    <n v="0"/>
    <s v="Main Entrance"/>
    <s v="Pixar Pals"/>
    <n v="6.9"/>
    <n v="8"/>
    <x v="827"/>
  </r>
  <r>
    <n v="843"/>
    <n v="270"/>
    <d v="2026-04-27T00:00:00"/>
    <s v="Monday"/>
    <n v="4"/>
    <n v="8.36"/>
    <x v="0"/>
    <x v="65"/>
    <s v="Female"/>
    <n v="61.4"/>
    <n v="143.80000000000001"/>
    <n v="26.6"/>
    <n v="18"/>
    <s v="CA"/>
    <n v="4"/>
    <n v="2"/>
    <s v="Middle"/>
    <n v="0"/>
    <s v="Park Hopper"/>
    <n v="0"/>
    <n v="0"/>
    <s v="Main Entrance"/>
    <s v="Pixar Pals"/>
    <n v="8.6"/>
    <n v="9"/>
    <x v="828"/>
  </r>
  <r>
    <n v="844"/>
    <n v="270"/>
    <d v="2026-04-27T00:00:00"/>
    <s v="Monday"/>
    <n v="4"/>
    <n v="8.18"/>
    <x v="0"/>
    <x v="67"/>
    <s v="Female"/>
    <n v="68"/>
    <n v="157.19999999999999"/>
    <n v="23.7"/>
    <n v="9"/>
    <s v="CA"/>
    <n v="4"/>
    <n v="2"/>
    <s v="Middle"/>
    <n v="0"/>
    <s v="Park Hopper"/>
    <n v="0"/>
    <n v="0"/>
    <s v="Main Entrance"/>
    <s v="Pixar Pals"/>
    <n v="7.7"/>
    <n v="5"/>
    <x v="829"/>
  </r>
  <r>
    <n v="845"/>
    <n v="271"/>
    <d v="2026-08-30T00:00:00"/>
    <s v="Sunday"/>
    <n v="8"/>
    <n v="10.49"/>
    <x v="0"/>
    <x v="20"/>
    <s v="Female"/>
    <n v="67"/>
    <n v="128"/>
    <n v="20.100000000000001"/>
    <n v="13"/>
    <s v="AZ"/>
    <n v="2"/>
    <n v="468.4"/>
    <s v="Low"/>
    <n v="0"/>
    <s v="Single-Day"/>
    <n v="0"/>
    <n v="0"/>
    <s v="Main Entrance"/>
    <s v="Toy Story Lot"/>
    <n v="8"/>
    <n v="4"/>
    <x v="830"/>
  </r>
  <r>
    <n v="846"/>
    <n v="271"/>
    <d v="2026-08-30T00:00:00"/>
    <s v="Sunday"/>
    <n v="8"/>
    <n v="10.61"/>
    <x v="0"/>
    <x v="3"/>
    <s v="Female"/>
    <n v="65"/>
    <n v="204.5"/>
    <n v="34.200000000000003"/>
    <n v="13"/>
    <s v="AZ"/>
    <n v="2"/>
    <n v="468.4"/>
    <s v="Low"/>
    <n v="0"/>
    <s v="Single-Day"/>
    <n v="0"/>
    <n v="0"/>
    <s v="Main Entrance"/>
    <s v="Toy Story Lot"/>
    <n v="9.3000000000000007"/>
    <n v="7"/>
    <x v="831"/>
  </r>
  <r>
    <n v="847"/>
    <n v="272"/>
    <d v="2026-04-07T00:00:00"/>
    <s v="Tuesday"/>
    <n v="4"/>
    <n v="9.48"/>
    <x v="0"/>
    <x v="27"/>
    <s v="Female"/>
    <n v="63"/>
    <n v="140.6"/>
    <n v="24.8"/>
    <n v="16"/>
    <s v="CO"/>
    <n v="1"/>
    <n v="702.9"/>
    <s v="High"/>
    <n v="1"/>
    <s v="Multi-Day"/>
    <n v="1"/>
    <n v="0"/>
    <s v="Main Entrance"/>
    <s v="Mickey &amp; Friends"/>
    <n v="10"/>
    <n v="11"/>
    <x v="832"/>
  </r>
  <r>
    <n v="848"/>
    <n v="273"/>
    <d v="2026-01-06T00:00:00"/>
    <s v="Tuesday"/>
    <n v="1"/>
    <n v="7"/>
    <x v="0"/>
    <x v="1"/>
    <s v="Female"/>
    <n v="65.5"/>
    <n v="109.2"/>
    <n v="17.8"/>
    <n v="13"/>
    <s v="Other"/>
    <n v="1"/>
    <n v="1610.4"/>
    <s v="Low"/>
    <n v="1"/>
    <s v="Single-Day"/>
    <n v="0"/>
    <n v="0"/>
    <s v="Main Entrance"/>
    <s v="None/Dropoff/Transit"/>
    <n v="10.7"/>
    <n v="11"/>
    <x v="833"/>
  </r>
  <r>
    <n v="849"/>
    <n v="274"/>
    <d v="2026-12-26T00:00:00"/>
    <s v="Saturday"/>
    <n v="12"/>
    <n v="10.66"/>
    <x v="0"/>
    <x v="36"/>
    <s v="Female"/>
    <n v="62.7"/>
    <n v="122"/>
    <n v="21.7"/>
    <n v="14"/>
    <s v="AZ"/>
    <n v="2"/>
    <n v="430.4"/>
    <s v="Low"/>
    <n v="0"/>
    <s v="Park Hopper"/>
    <n v="0"/>
    <n v="0"/>
    <s v="Main Entrance"/>
    <s v="Toy Story Lot"/>
    <n v="9.3000000000000007"/>
    <n v="11"/>
    <x v="834"/>
  </r>
  <r>
    <n v="850"/>
    <n v="274"/>
    <d v="2026-12-26T00:00:00"/>
    <s v="Saturday"/>
    <n v="12"/>
    <n v="10.7"/>
    <x v="0"/>
    <x v="21"/>
    <s v="Male"/>
    <n v="66.5"/>
    <n v="103.3"/>
    <n v="16.600000000000001"/>
    <n v="13"/>
    <s v="AZ"/>
    <n v="2"/>
    <n v="430.4"/>
    <s v="Low"/>
    <n v="0"/>
    <s v="Park Hopper"/>
    <n v="0"/>
    <n v="0"/>
    <s v="Main Entrance"/>
    <s v="Toy Story Lot"/>
    <n v="8.3000000000000007"/>
    <n v="8"/>
    <x v="835"/>
  </r>
  <r>
    <n v="851"/>
    <n v="275"/>
    <d v="2026-04-30T00:00:00"/>
    <s v="Thursday"/>
    <n v="4"/>
    <n v="12.89"/>
    <x v="1"/>
    <x v="20"/>
    <s v="Female"/>
    <n v="69.5"/>
    <n v="115.1"/>
    <n v="16.7"/>
    <n v="11"/>
    <s v="AZ"/>
    <n v="2"/>
    <n v="454.3"/>
    <s v="Low"/>
    <n v="0"/>
    <s v="Single-Day"/>
    <n v="0"/>
    <n v="0"/>
    <s v="Downtown Disney Gate"/>
    <s v="Mickey &amp; Friends"/>
    <n v="7"/>
    <n v="9"/>
    <x v="836"/>
  </r>
  <r>
    <n v="852"/>
    <n v="275"/>
    <d v="2026-04-30T00:00:00"/>
    <s v="Thursday"/>
    <n v="4"/>
    <n v="12.76"/>
    <x v="1"/>
    <x v="41"/>
    <s v="Male"/>
    <n v="65.5"/>
    <n v="176.7"/>
    <n v="29"/>
    <n v="12"/>
    <s v="AZ"/>
    <n v="2"/>
    <n v="454.3"/>
    <s v="Low"/>
    <n v="0"/>
    <s v="Single-Day"/>
    <n v="0"/>
    <n v="0"/>
    <s v="Downtown Disney Gate"/>
    <s v="Mickey &amp; Friends"/>
    <n v="6.7"/>
    <n v="11"/>
    <x v="837"/>
  </r>
  <r>
    <n v="853"/>
    <n v="276"/>
    <d v="2026-07-16T00:00:00"/>
    <s v="Thursday"/>
    <n v="7"/>
    <n v="7.06"/>
    <x v="0"/>
    <x v="55"/>
    <s v="Male"/>
    <n v="70"/>
    <n v="122.2"/>
    <n v="17.5"/>
    <n v="14"/>
    <s v="CO"/>
    <n v="4"/>
    <n v="1174.4000000000001"/>
    <s v="Middle"/>
    <n v="1"/>
    <s v="Multi-Day"/>
    <n v="1"/>
    <n v="1"/>
    <s v="Main Entrance"/>
    <s v="None/Walked from Resort"/>
    <n v="11.6"/>
    <n v="8"/>
    <x v="838"/>
  </r>
  <r>
    <n v="854"/>
    <n v="276"/>
    <d v="2026-07-16T00:00:00"/>
    <s v="Thursday"/>
    <n v="7"/>
    <n v="7"/>
    <x v="0"/>
    <x v="61"/>
    <s v="Male"/>
    <n v="68.5"/>
    <n v="146.6"/>
    <n v="21.8"/>
    <n v="12"/>
    <s v="CO"/>
    <n v="4"/>
    <n v="1174.4000000000001"/>
    <s v="Middle"/>
    <n v="1"/>
    <s v="Multi-Day"/>
    <n v="1"/>
    <n v="1"/>
    <s v="Main Entrance"/>
    <s v="None/Walked from Resort"/>
    <n v="9.3000000000000007"/>
    <n v="11"/>
    <x v="839"/>
  </r>
  <r>
    <n v="855"/>
    <n v="276"/>
    <d v="2026-07-16T00:00:00"/>
    <s v="Thursday"/>
    <n v="7"/>
    <n v="7.19"/>
    <x v="0"/>
    <x v="55"/>
    <s v="Male"/>
    <n v="75.3"/>
    <n v="216.8"/>
    <n v="26.8"/>
    <n v="14"/>
    <s v="CO"/>
    <n v="4"/>
    <n v="1174.4000000000001"/>
    <s v="Middle"/>
    <n v="1"/>
    <s v="Multi-Day"/>
    <n v="1"/>
    <n v="1"/>
    <s v="Main Entrance"/>
    <s v="None/Walked from Resort"/>
    <n v="9.6999999999999993"/>
    <n v="5"/>
    <x v="840"/>
  </r>
  <r>
    <n v="856"/>
    <n v="276"/>
    <d v="2026-07-16T00:00:00"/>
    <s v="Thursday"/>
    <n v="7"/>
    <n v="7"/>
    <x v="0"/>
    <x v="33"/>
    <s v="Male"/>
    <n v="67.900000000000006"/>
    <n v="230.8"/>
    <n v="35.200000000000003"/>
    <n v="16"/>
    <s v="CO"/>
    <n v="4"/>
    <n v="1174.4000000000001"/>
    <s v="Middle"/>
    <n v="1"/>
    <s v="Multi-Day"/>
    <n v="1"/>
    <n v="1"/>
    <s v="Main Entrance"/>
    <s v="None/Walked from Resort"/>
    <n v="9.8000000000000007"/>
    <n v="5"/>
    <x v="841"/>
  </r>
  <r>
    <n v="857"/>
    <n v="277"/>
    <d v="2026-01-08T00:00:00"/>
    <s v="Thursday"/>
    <n v="1"/>
    <n v="9.2899999999999991"/>
    <x v="0"/>
    <x v="21"/>
    <s v="Male"/>
    <n v="69.599999999999994"/>
    <n v="241.2"/>
    <n v="35"/>
    <n v="20"/>
    <s v="AZ"/>
    <n v="3"/>
    <n v="331.7"/>
    <s v="High"/>
    <n v="1"/>
    <s v="Multi-Day"/>
    <n v="0"/>
    <n v="1"/>
    <s v="Downtown Disney Gate"/>
    <s v="Pixar Pals"/>
    <n v="9.6"/>
    <n v="11"/>
    <x v="842"/>
  </r>
  <r>
    <n v="858"/>
    <n v="277"/>
    <d v="2026-01-08T00:00:00"/>
    <s v="Thursday"/>
    <n v="1"/>
    <n v="9.2799999999999994"/>
    <x v="0"/>
    <x v="33"/>
    <s v="Female"/>
    <n v="67.5"/>
    <n v="141.6"/>
    <n v="21.5"/>
    <n v="18"/>
    <s v="AZ"/>
    <n v="3"/>
    <n v="331.7"/>
    <s v="High"/>
    <n v="1"/>
    <s v="Multi-Day"/>
    <n v="0"/>
    <n v="1"/>
    <s v="Downtown Disney Gate"/>
    <s v="Pixar Pals"/>
    <n v="10.9"/>
    <n v="13"/>
    <x v="843"/>
  </r>
  <r>
    <n v="859"/>
    <n v="277"/>
    <d v="2026-01-08T00:00:00"/>
    <s v="Thursday"/>
    <n v="1"/>
    <n v="9.41"/>
    <x v="0"/>
    <x v="39"/>
    <s v="Male"/>
    <n v="67.7"/>
    <n v="196.2"/>
    <n v="30.2"/>
    <n v="17"/>
    <s v="AZ"/>
    <n v="3"/>
    <n v="331.7"/>
    <s v="High"/>
    <n v="1"/>
    <s v="Multi-Day"/>
    <n v="0"/>
    <n v="1"/>
    <s v="Downtown Disney Gate"/>
    <s v="Pixar Pals"/>
    <n v="10.3"/>
    <n v="9"/>
    <x v="844"/>
  </r>
  <r>
    <n v="860"/>
    <n v="278"/>
    <d v="2026-11-14T00:00:00"/>
    <s v="Saturday"/>
    <n v="11"/>
    <n v="9.77"/>
    <x v="0"/>
    <x v="23"/>
    <s v="Male"/>
    <n v="71.2"/>
    <n v="172.7"/>
    <n v="23.9"/>
    <n v="12"/>
    <s v="CA"/>
    <n v="3"/>
    <n v="76.900000000000006"/>
    <s v="Low"/>
    <n v="1"/>
    <s v="Single-Day"/>
    <n v="0"/>
    <n v="0"/>
    <s v="Main Entrance"/>
    <s v="Mickey &amp; Friends"/>
    <n v="9"/>
    <n v="10"/>
    <x v="845"/>
  </r>
  <r>
    <n v="861"/>
    <n v="278"/>
    <d v="2026-11-14T00:00:00"/>
    <s v="Saturday"/>
    <n v="11"/>
    <n v="9.91"/>
    <x v="0"/>
    <x v="15"/>
    <s v="Female"/>
    <n v="60.5"/>
    <n v="120.8"/>
    <n v="23.3"/>
    <n v="14"/>
    <s v="CA"/>
    <n v="3"/>
    <n v="76.900000000000006"/>
    <s v="Low"/>
    <n v="1"/>
    <s v="Single-Day"/>
    <n v="0"/>
    <n v="0"/>
    <s v="Main Entrance"/>
    <s v="Mickey &amp; Friends"/>
    <n v="8.1999999999999993"/>
    <n v="9"/>
    <x v="846"/>
  </r>
  <r>
    <n v="862"/>
    <n v="278"/>
    <d v="2026-11-14T00:00:00"/>
    <s v="Saturday"/>
    <n v="11"/>
    <n v="10.18"/>
    <x v="0"/>
    <x v="49"/>
    <s v="Female"/>
    <n v="62.8"/>
    <n v="154.6"/>
    <n v="27.2"/>
    <n v="13"/>
    <s v="CA"/>
    <n v="3"/>
    <n v="76.900000000000006"/>
    <s v="Low"/>
    <n v="1"/>
    <s v="Single-Day"/>
    <n v="0"/>
    <n v="0"/>
    <s v="Main Entrance"/>
    <s v="Mickey &amp; Friends"/>
    <n v="11.1"/>
    <n v="6"/>
    <x v="847"/>
  </r>
  <r>
    <n v="863"/>
    <n v="279"/>
    <d v="2026-09-18T00:00:00"/>
    <s v="Friday"/>
    <n v="9"/>
    <n v="9.94"/>
    <x v="0"/>
    <x v="57"/>
    <s v="Male"/>
    <n v="66.7"/>
    <n v="116.3"/>
    <n v="18.2"/>
    <n v="17"/>
    <s v="CA"/>
    <n v="3"/>
    <n v="123.3"/>
    <s v="Middle"/>
    <n v="0"/>
    <s v="Single-Day"/>
    <n v="1"/>
    <n v="0"/>
    <s v="Main Entrance"/>
    <s v="Mickey &amp; Friends"/>
    <n v="9.6"/>
    <n v="8"/>
    <x v="848"/>
  </r>
  <r>
    <n v="864"/>
    <n v="279"/>
    <d v="2026-09-18T00:00:00"/>
    <s v="Friday"/>
    <n v="9"/>
    <n v="9.86"/>
    <x v="0"/>
    <x v="22"/>
    <s v="Male"/>
    <n v="61.2"/>
    <n v="128.1"/>
    <n v="23.8"/>
    <n v="12"/>
    <s v="CA"/>
    <n v="3"/>
    <n v="123.3"/>
    <s v="Middle"/>
    <n v="0"/>
    <s v="Single-Day"/>
    <n v="1"/>
    <n v="0"/>
    <s v="Main Entrance"/>
    <s v="Mickey &amp; Friends"/>
    <n v="8.6"/>
    <n v="7"/>
    <x v="207"/>
  </r>
  <r>
    <n v="865"/>
    <n v="279"/>
    <d v="2026-09-18T00:00:00"/>
    <s v="Friday"/>
    <n v="9"/>
    <n v="10.039999999999999"/>
    <x v="0"/>
    <x v="47"/>
    <s v="Male"/>
    <n v="69.5"/>
    <n v="194.7"/>
    <n v="28.4"/>
    <n v="19"/>
    <s v="CA"/>
    <n v="3"/>
    <n v="123.3"/>
    <s v="Middle"/>
    <n v="0"/>
    <s v="Single-Day"/>
    <n v="1"/>
    <n v="0"/>
    <s v="Main Entrance"/>
    <s v="Mickey &amp; Friends"/>
    <n v="9.5"/>
    <n v="11"/>
    <x v="849"/>
  </r>
  <r>
    <n v="866"/>
    <n v="280"/>
    <d v="2026-08-11T00:00:00"/>
    <s v="Tuesday"/>
    <n v="8"/>
    <n v="10.47"/>
    <x v="0"/>
    <x v="19"/>
    <s v="Female"/>
    <n v="65"/>
    <n v="149.19999999999999"/>
    <n v="24.8"/>
    <n v="17"/>
    <s v="AZ"/>
    <n v="5"/>
    <n v="439.9"/>
    <s v="Middle"/>
    <n v="0"/>
    <s v="Single-Day"/>
    <n v="1"/>
    <n v="0"/>
    <s v="Main Entrance"/>
    <s v="Pixar Pals"/>
    <n v="6.4"/>
    <n v="3"/>
    <x v="850"/>
  </r>
  <r>
    <n v="867"/>
    <n v="280"/>
    <d v="2026-08-11T00:00:00"/>
    <s v="Tuesday"/>
    <n v="8"/>
    <n v="10.35"/>
    <x v="0"/>
    <x v="1"/>
    <s v="Male"/>
    <n v="69.2"/>
    <n v="165.4"/>
    <n v="24.5"/>
    <n v="16"/>
    <s v="AZ"/>
    <n v="5"/>
    <n v="439.9"/>
    <s v="Middle"/>
    <n v="0"/>
    <s v="Single-Day"/>
    <n v="1"/>
    <n v="0"/>
    <s v="Main Entrance"/>
    <s v="Pixar Pals"/>
    <n v="7.7"/>
    <n v="12"/>
    <x v="851"/>
  </r>
  <r>
    <n v="868"/>
    <n v="280"/>
    <d v="2026-08-11T00:00:00"/>
    <s v="Tuesday"/>
    <n v="8"/>
    <n v="10.24"/>
    <x v="0"/>
    <x v="39"/>
    <s v="Female"/>
    <n v="66.599999999999994"/>
    <n v="167.6"/>
    <n v="26.4"/>
    <n v="15"/>
    <s v="AZ"/>
    <n v="5"/>
    <n v="439.9"/>
    <s v="Middle"/>
    <n v="0"/>
    <s v="Single-Day"/>
    <n v="1"/>
    <n v="0"/>
    <s v="Main Entrance"/>
    <s v="Pixar Pals"/>
    <n v="8.3000000000000007"/>
    <n v="8"/>
    <x v="852"/>
  </r>
  <r>
    <n v="869"/>
    <n v="280"/>
    <d v="2026-08-11T00:00:00"/>
    <s v="Tuesday"/>
    <n v="8"/>
    <n v="10.29"/>
    <x v="0"/>
    <x v="32"/>
    <s v="Male"/>
    <n v="57.7"/>
    <n v="79.5"/>
    <n v="16.5"/>
    <n v="13"/>
    <s v="AZ"/>
    <n v="5"/>
    <n v="439.9"/>
    <s v="Middle"/>
    <n v="0"/>
    <s v="Single-Day"/>
    <n v="1"/>
    <n v="0"/>
    <s v="Main Entrance"/>
    <s v="Pixar Pals"/>
    <n v="8"/>
    <n v="8"/>
    <x v="853"/>
  </r>
  <r>
    <n v="870"/>
    <n v="280"/>
    <d v="2026-08-11T00:00:00"/>
    <s v="Tuesday"/>
    <n v="8"/>
    <n v="10.33"/>
    <x v="0"/>
    <x v="42"/>
    <s v="Female"/>
    <n v="63.8"/>
    <n v="168.2"/>
    <n v="29.1"/>
    <n v="14"/>
    <s v="AZ"/>
    <n v="5"/>
    <n v="439.9"/>
    <s v="Middle"/>
    <n v="0"/>
    <s v="Single-Day"/>
    <n v="1"/>
    <n v="0"/>
    <s v="Main Entrance"/>
    <s v="Pixar Pals"/>
    <n v="10.6"/>
    <n v="9"/>
    <x v="854"/>
  </r>
  <r>
    <n v="871"/>
    <n v="281"/>
    <d v="2026-09-09T00:00:00"/>
    <s v="Wednesday"/>
    <n v="9"/>
    <n v="10.43"/>
    <x v="0"/>
    <x v="45"/>
    <s v="Female"/>
    <n v="65.2"/>
    <n v="155.6"/>
    <n v="25.8"/>
    <n v="18"/>
    <s v="TX"/>
    <n v="3"/>
    <n v="1522.5"/>
    <s v="High"/>
    <n v="1"/>
    <s v="Single-Day"/>
    <n v="0"/>
    <n v="0"/>
    <s v="Main Entrance"/>
    <s v="Mickey &amp; Friends"/>
    <n v="7.5"/>
    <n v="12"/>
    <x v="855"/>
  </r>
  <r>
    <n v="872"/>
    <n v="281"/>
    <d v="2026-09-09T00:00:00"/>
    <s v="Wednesday"/>
    <n v="9"/>
    <n v="10.6"/>
    <x v="0"/>
    <x v="65"/>
    <s v="Female"/>
    <n v="67.5"/>
    <n v="200"/>
    <n v="31.1"/>
    <n v="21"/>
    <s v="TX"/>
    <n v="3"/>
    <n v="1522.5"/>
    <s v="High"/>
    <n v="1"/>
    <s v="Single-Day"/>
    <n v="0"/>
    <n v="0"/>
    <s v="Main Entrance"/>
    <s v="Mickey &amp; Friends"/>
    <n v="8.9"/>
    <n v="6"/>
    <x v="856"/>
  </r>
  <r>
    <n v="873"/>
    <n v="281"/>
    <d v="2026-09-09T00:00:00"/>
    <s v="Wednesday"/>
    <n v="9"/>
    <n v="10.7"/>
    <x v="0"/>
    <x v="1"/>
    <s v="Female"/>
    <n v="63.4"/>
    <n v="99.5"/>
    <n v="17.600000000000001"/>
    <n v="13"/>
    <s v="TX"/>
    <n v="3"/>
    <n v="1522.5"/>
    <s v="High"/>
    <n v="1"/>
    <s v="Single-Day"/>
    <n v="0"/>
    <n v="0"/>
    <s v="Main Entrance"/>
    <s v="Mickey &amp; Friends"/>
    <n v="7.2"/>
    <n v="8"/>
    <x v="857"/>
  </r>
  <r>
    <n v="874"/>
    <n v="282"/>
    <d v="2026-04-12T00:00:00"/>
    <s v="Sunday"/>
    <n v="4"/>
    <n v="7.9"/>
    <x v="0"/>
    <x v="35"/>
    <s v="Female"/>
    <n v="67.7"/>
    <n v="155.4"/>
    <n v="24"/>
    <n v="19"/>
    <s v="SD"/>
    <n v="4"/>
    <n v="1169.5999999999999"/>
    <s v="High"/>
    <n v="1"/>
    <s v="Single-Day"/>
    <n v="0"/>
    <n v="0"/>
    <s v="Downtown Disney Gate"/>
    <s v="Pixar Pals"/>
    <n v="7.8"/>
    <n v="5"/>
    <x v="858"/>
  </r>
  <r>
    <n v="875"/>
    <n v="282"/>
    <d v="2026-04-12T00:00:00"/>
    <s v="Sunday"/>
    <n v="4"/>
    <n v="7.85"/>
    <x v="0"/>
    <x v="25"/>
    <s v="Male"/>
    <n v="78"/>
    <n v="228.9"/>
    <n v="26.4"/>
    <n v="17"/>
    <s v="SD"/>
    <n v="4"/>
    <n v="1169.5999999999999"/>
    <s v="High"/>
    <n v="1"/>
    <s v="Single-Day"/>
    <n v="0"/>
    <n v="0"/>
    <s v="Downtown Disney Gate"/>
    <s v="Pixar Pals"/>
    <n v="10"/>
    <n v="6"/>
    <x v="859"/>
  </r>
  <r>
    <n v="876"/>
    <n v="282"/>
    <d v="2026-04-12T00:00:00"/>
    <s v="Sunday"/>
    <n v="4"/>
    <n v="8.0299999999999994"/>
    <x v="0"/>
    <x v="64"/>
    <s v="Female"/>
    <n v="48.7"/>
    <n v="79.7"/>
    <n v="23.7"/>
    <n v="15"/>
    <s v="SD"/>
    <n v="4"/>
    <n v="1169.5999999999999"/>
    <s v="High"/>
    <n v="1"/>
    <s v="Single-Day"/>
    <n v="0"/>
    <n v="0"/>
    <s v="Downtown Disney Gate"/>
    <s v="Pixar Pals"/>
    <n v="8.8000000000000007"/>
    <n v="9"/>
    <x v="860"/>
  </r>
  <r>
    <n v="877"/>
    <n v="282"/>
    <d v="2026-04-12T00:00:00"/>
    <s v="Sunday"/>
    <n v="4"/>
    <n v="8.2200000000000006"/>
    <x v="0"/>
    <x v="59"/>
    <s v="Male"/>
    <n v="68.3"/>
    <n v="185.5"/>
    <n v="28"/>
    <n v="17"/>
    <s v="SD"/>
    <n v="4"/>
    <n v="1169.5999999999999"/>
    <s v="High"/>
    <n v="1"/>
    <s v="Single-Day"/>
    <n v="0"/>
    <n v="0"/>
    <s v="Downtown Disney Gate"/>
    <s v="Pixar Pals"/>
    <n v="10.8"/>
    <n v="15"/>
    <x v="861"/>
  </r>
  <r>
    <n v="878"/>
    <n v="283"/>
    <d v="2026-07-12T00:00:00"/>
    <s v="Sunday"/>
    <n v="7"/>
    <n v="14.32"/>
    <x v="1"/>
    <x v="52"/>
    <s v="Male"/>
    <n v="66.7"/>
    <n v="170.3"/>
    <n v="27.1"/>
    <n v="15"/>
    <s v="IL"/>
    <n v="4"/>
    <n v="1831.2"/>
    <s v="Middle"/>
    <n v="0"/>
    <s v="Park Hopper"/>
    <n v="0"/>
    <n v="0"/>
    <s v="Main Entrance"/>
    <s v="Pixar Pals"/>
    <n v="7.5"/>
    <n v="7"/>
    <x v="862"/>
  </r>
  <r>
    <n v="879"/>
    <n v="283"/>
    <d v="2026-07-12T00:00:00"/>
    <s v="Sunday"/>
    <n v="7"/>
    <n v="14.18"/>
    <x v="1"/>
    <x v="39"/>
    <s v="Male"/>
    <n v="68.8"/>
    <n v="186.9"/>
    <n v="27.6"/>
    <n v="15"/>
    <s v="IL"/>
    <n v="4"/>
    <n v="1831.2"/>
    <s v="Middle"/>
    <n v="0"/>
    <s v="Park Hopper"/>
    <n v="0"/>
    <n v="0"/>
    <s v="Main Entrance"/>
    <s v="Pixar Pals"/>
    <n v="7.6"/>
    <n v="6"/>
    <x v="863"/>
  </r>
  <r>
    <n v="880"/>
    <n v="283"/>
    <d v="2026-07-12T00:00:00"/>
    <s v="Sunday"/>
    <n v="7"/>
    <n v="14.31"/>
    <x v="1"/>
    <x v="45"/>
    <s v="Male"/>
    <n v="62"/>
    <n v="119.8"/>
    <n v="21.7"/>
    <n v="17"/>
    <s v="IL"/>
    <n v="4"/>
    <n v="1831.2"/>
    <s v="Middle"/>
    <n v="0"/>
    <s v="Park Hopper"/>
    <n v="0"/>
    <n v="0"/>
    <s v="Main Entrance"/>
    <s v="Pixar Pals"/>
    <n v="6.2"/>
    <n v="8"/>
    <x v="822"/>
  </r>
  <r>
    <n v="881"/>
    <n v="283"/>
    <d v="2026-07-12T00:00:00"/>
    <s v="Sunday"/>
    <n v="7"/>
    <n v="14.23"/>
    <x v="1"/>
    <x v="62"/>
    <s v="Male"/>
    <n v="69.400000000000006"/>
    <n v="143.69999999999999"/>
    <n v="21"/>
    <n v="13"/>
    <s v="IL"/>
    <n v="4"/>
    <n v="1831.2"/>
    <s v="Middle"/>
    <n v="0"/>
    <s v="Park Hopper"/>
    <n v="0"/>
    <n v="0"/>
    <s v="Main Entrance"/>
    <s v="Pixar Pals"/>
    <n v="7.3"/>
    <n v="3"/>
    <x v="864"/>
  </r>
  <r>
    <n v="882"/>
    <n v="284"/>
    <d v="2026-03-23T00:00:00"/>
    <s v="Monday"/>
    <n v="3"/>
    <n v="8.0500000000000007"/>
    <x v="0"/>
    <x v="56"/>
    <s v="Female"/>
    <n v="65.2"/>
    <n v="135.80000000000001"/>
    <n v="22.5"/>
    <n v="14"/>
    <s v="CA"/>
    <n v="6"/>
    <n v="163.9"/>
    <s v="Middle"/>
    <n v="0"/>
    <s v="Single-Day"/>
    <n v="1"/>
    <n v="0"/>
    <s v="Main Entrance"/>
    <s v="Mickey &amp; Friends"/>
    <n v="7"/>
    <n v="8"/>
    <x v="865"/>
  </r>
  <r>
    <n v="883"/>
    <n v="284"/>
    <d v="2026-03-23T00:00:00"/>
    <s v="Monday"/>
    <n v="3"/>
    <n v="8.32"/>
    <x v="0"/>
    <x v="50"/>
    <s v="Female"/>
    <n v="66.8"/>
    <n v="135.6"/>
    <n v="21.1"/>
    <n v="8"/>
    <s v="CA"/>
    <n v="6"/>
    <n v="163.9"/>
    <s v="Middle"/>
    <n v="0"/>
    <s v="Single-Day"/>
    <n v="1"/>
    <n v="0"/>
    <s v="Main Entrance"/>
    <s v="Mickey &amp; Friends"/>
    <n v="9.3000000000000007"/>
    <n v="16"/>
    <x v="866"/>
  </r>
  <r>
    <n v="884"/>
    <n v="284"/>
    <d v="2026-03-23T00:00:00"/>
    <s v="Monday"/>
    <n v="3"/>
    <n v="8.26"/>
    <x v="0"/>
    <x v="46"/>
    <s v="Male"/>
    <n v="67.3"/>
    <n v="201.4"/>
    <n v="31.3"/>
    <n v="16"/>
    <s v="CA"/>
    <n v="6"/>
    <n v="163.9"/>
    <s v="Middle"/>
    <n v="0"/>
    <s v="Single-Day"/>
    <n v="1"/>
    <n v="0"/>
    <s v="Main Entrance"/>
    <s v="Mickey &amp; Friends"/>
    <n v="8.4"/>
    <n v="7"/>
    <x v="867"/>
  </r>
  <r>
    <n v="885"/>
    <n v="284"/>
    <d v="2026-03-23T00:00:00"/>
    <s v="Monday"/>
    <n v="3"/>
    <n v="8.2200000000000006"/>
    <x v="0"/>
    <x v="38"/>
    <s v="Female"/>
    <n v="61.4"/>
    <n v="128.6"/>
    <n v="24.4"/>
    <n v="10"/>
    <s v="CA"/>
    <n v="6"/>
    <n v="163.9"/>
    <s v="Middle"/>
    <n v="0"/>
    <s v="Single-Day"/>
    <n v="1"/>
    <n v="0"/>
    <s v="Main Entrance"/>
    <s v="Mickey &amp; Friends"/>
    <n v="9.5"/>
    <n v="12"/>
    <x v="868"/>
  </r>
  <r>
    <n v="886"/>
    <n v="284"/>
    <d v="2026-03-23T00:00:00"/>
    <s v="Monday"/>
    <n v="3"/>
    <n v="8.27"/>
    <x v="0"/>
    <x v="48"/>
    <s v="Female"/>
    <n v="60.1"/>
    <n v="154.80000000000001"/>
    <n v="29.9"/>
    <n v="13"/>
    <s v="CA"/>
    <n v="6"/>
    <n v="163.9"/>
    <s v="Middle"/>
    <n v="0"/>
    <s v="Single-Day"/>
    <n v="1"/>
    <n v="0"/>
    <s v="Main Entrance"/>
    <s v="Mickey &amp; Friends"/>
    <n v="10.7"/>
    <n v="8"/>
    <x v="869"/>
  </r>
  <r>
    <n v="887"/>
    <n v="284"/>
    <d v="2026-03-23T00:00:00"/>
    <s v="Monday"/>
    <n v="3"/>
    <n v="8.26"/>
    <x v="0"/>
    <x v="18"/>
    <s v="Male"/>
    <n v="67.400000000000006"/>
    <n v="176.9"/>
    <n v="27.4"/>
    <n v="19"/>
    <s v="CA"/>
    <n v="6"/>
    <n v="163.9"/>
    <s v="Middle"/>
    <n v="0"/>
    <s v="Single-Day"/>
    <n v="1"/>
    <n v="0"/>
    <s v="Main Entrance"/>
    <s v="Mickey &amp; Friends"/>
    <n v="10.199999999999999"/>
    <n v="10"/>
    <x v="870"/>
  </r>
  <r>
    <n v="888"/>
    <n v="285"/>
    <d v="2026-02-25T00:00:00"/>
    <s v="Wednesday"/>
    <n v="2"/>
    <n v="8.18"/>
    <x v="0"/>
    <x v="64"/>
    <s v="Female"/>
    <n v="46.3"/>
    <n v="49"/>
    <n v="16.2"/>
    <n v="12"/>
    <s v="MN"/>
    <n v="6"/>
    <n v="2383.3000000000002"/>
    <s v="High"/>
    <n v="1"/>
    <s v="Single-Day"/>
    <n v="1"/>
    <n v="0"/>
    <s v="Downtown Disney Gate"/>
    <s v="Pixar Pals"/>
    <n v="7.4"/>
    <n v="8"/>
    <x v="871"/>
  </r>
  <r>
    <n v="889"/>
    <n v="285"/>
    <d v="2026-02-25T00:00:00"/>
    <s v="Wednesday"/>
    <n v="2"/>
    <n v="8.33"/>
    <x v="0"/>
    <x v="26"/>
    <s v="Female"/>
    <n v="63.1"/>
    <n v="151.4"/>
    <n v="26.8"/>
    <n v="18"/>
    <s v="MN"/>
    <n v="6"/>
    <n v="2383.3000000000002"/>
    <s v="High"/>
    <n v="1"/>
    <s v="Single-Day"/>
    <n v="1"/>
    <n v="0"/>
    <s v="Downtown Disney Gate"/>
    <s v="Pixar Pals"/>
    <n v="10.1"/>
    <n v="11"/>
    <x v="872"/>
  </r>
  <r>
    <n v="890"/>
    <n v="285"/>
    <d v="2026-02-25T00:00:00"/>
    <s v="Wednesday"/>
    <n v="2"/>
    <n v="8.14"/>
    <x v="0"/>
    <x v="36"/>
    <s v="Male"/>
    <n v="70.400000000000006"/>
    <n v="202.9"/>
    <n v="28.5"/>
    <n v="20"/>
    <s v="MN"/>
    <n v="6"/>
    <n v="2383.3000000000002"/>
    <s v="High"/>
    <n v="1"/>
    <s v="Single-Day"/>
    <n v="1"/>
    <n v="0"/>
    <s v="Downtown Disney Gate"/>
    <s v="Pixar Pals"/>
    <n v="11.8"/>
    <n v="12"/>
    <x v="873"/>
  </r>
  <r>
    <n v="891"/>
    <n v="285"/>
    <d v="2026-02-25T00:00:00"/>
    <s v="Wednesday"/>
    <n v="2"/>
    <n v="8.2799999999999994"/>
    <x v="0"/>
    <x v="11"/>
    <s v="Female"/>
    <n v="60.7"/>
    <n v="98.9"/>
    <n v="18.899999999999999"/>
    <n v="16"/>
    <s v="MN"/>
    <n v="6"/>
    <n v="2383.3000000000002"/>
    <s v="High"/>
    <n v="1"/>
    <s v="Single-Day"/>
    <n v="1"/>
    <n v="0"/>
    <s v="Downtown Disney Gate"/>
    <s v="Pixar Pals"/>
    <n v="10.3"/>
    <n v="5"/>
    <x v="874"/>
  </r>
  <r>
    <n v="892"/>
    <n v="285"/>
    <d v="2026-02-25T00:00:00"/>
    <s v="Wednesday"/>
    <n v="2"/>
    <n v="8.15"/>
    <x v="0"/>
    <x v="21"/>
    <s v="Female"/>
    <n v="58.8"/>
    <n v="113.6"/>
    <n v="22.9"/>
    <n v="16"/>
    <s v="MN"/>
    <n v="6"/>
    <n v="2383.3000000000002"/>
    <s v="High"/>
    <n v="1"/>
    <s v="Single-Day"/>
    <n v="1"/>
    <n v="0"/>
    <s v="Downtown Disney Gate"/>
    <s v="Pixar Pals"/>
    <n v="11.4"/>
    <n v="12"/>
    <x v="875"/>
  </r>
  <r>
    <n v="893"/>
    <n v="285"/>
    <d v="2026-02-25T00:00:00"/>
    <s v="Wednesday"/>
    <n v="2"/>
    <n v="8.31"/>
    <x v="0"/>
    <x v="3"/>
    <s v="Female"/>
    <n v="64.3"/>
    <n v="181.4"/>
    <n v="30.9"/>
    <n v="15"/>
    <s v="MN"/>
    <n v="6"/>
    <n v="2383.3000000000002"/>
    <s v="High"/>
    <n v="1"/>
    <s v="Single-Day"/>
    <n v="1"/>
    <n v="0"/>
    <s v="Downtown Disney Gate"/>
    <s v="Pixar Pals"/>
    <n v="10.3"/>
    <n v="12"/>
    <x v="275"/>
  </r>
  <r>
    <n v="894"/>
    <n v="286"/>
    <d v="2026-04-02T00:00:00"/>
    <s v="Thursday"/>
    <n v="4"/>
    <n v="9.31"/>
    <x v="0"/>
    <x v="58"/>
    <s v="Male"/>
    <n v="69.5"/>
    <n v="176.3"/>
    <n v="25.8"/>
    <n v="13"/>
    <s v="CA"/>
    <n v="4"/>
    <n v="87.1"/>
    <s v="Low"/>
    <n v="1"/>
    <s v="Single-Day"/>
    <n v="0"/>
    <n v="0"/>
    <s v="Main Entrance"/>
    <s v="Mickey &amp; Friends"/>
    <n v="8.1999999999999993"/>
    <n v="7"/>
    <x v="876"/>
  </r>
  <r>
    <n v="895"/>
    <n v="286"/>
    <d v="2026-04-02T00:00:00"/>
    <s v="Thursday"/>
    <n v="4"/>
    <n v="9.41"/>
    <x v="0"/>
    <x v="57"/>
    <s v="Female"/>
    <n v="64.2"/>
    <n v="145.69999999999999"/>
    <n v="24.9"/>
    <n v="15"/>
    <s v="CA"/>
    <n v="4"/>
    <n v="87.1"/>
    <s v="Low"/>
    <n v="1"/>
    <s v="Single-Day"/>
    <n v="0"/>
    <n v="0"/>
    <s v="Main Entrance"/>
    <s v="Mickey &amp; Friends"/>
    <n v="9.3000000000000007"/>
    <n v="15"/>
    <x v="877"/>
  </r>
  <r>
    <n v="896"/>
    <n v="286"/>
    <d v="2026-04-02T00:00:00"/>
    <s v="Thursday"/>
    <n v="4"/>
    <n v="9.4"/>
    <x v="0"/>
    <x v="1"/>
    <s v="Female"/>
    <n v="65.5"/>
    <n v="194.2"/>
    <n v="31.8"/>
    <n v="16"/>
    <s v="CA"/>
    <n v="4"/>
    <n v="87.1"/>
    <s v="Low"/>
    <n v="1"/>
    <s v="Single-Day"/>
    <n v="0"/>
    <n v="0"/>
    <s v="Main Entrance"/>
    <s v="Mickey &amp; Friends"/>
    <n v="8.6999999999999993"/>
    <n v="8"/>
    <x v="878"/>
  </r>
  <r>
    <n v="897"/>
    <n v="286"/>
    <d v="2026-04-02T00:00:00"/>
    <s v="Thursday"/>
    <n v="4"/>
    <n v="9.32"/>
    <x v="0"/>
    <x v="27"/>
    <s v="Female"/>
    <n v="65.599999999999994"/>
    <n v="187.7"/>
    <n v="30.5"/>
    <n v="15"/>
    <s v="CA"/>
    <n v="4"/>
    <n v="87.1"/>
    <s v="Low"/>
    <n v="1"/>
    <s v="Single-Day"/>
    <n v="0"/>
    <n v="0"/>
    <s v="Main Entrance"/>
    <s v="Mickey &amp; Friends"/>
    <n v="6.6"/>
    <n v="9"/>
    <x v="879"/>
  </r>
  <r>
    <n v="898"/>
    <n v="287"/>
    <d v="2026-10-15T00:00:00"/>
    <s v="Thursday"/>
    <n v="10"/>
    <n v="7.73"/>
    <x v="0"/>
    <x v="59"/>
    <s v="Female"/>
    <n v="65.8"/>
    <n v="197.5"/>
    <n v="32"/>
    <n v="17"/>
    <s v="NV"/>
    <n v="3"/>
    <n v="279.3"/>
    <s v="Middle"/>
    <n v="0"/>
    <s v="Multi-Day"/>
    <n v="0"/>
    <n v="0"/>
    <s v="Main Entrance"/>
    <s v="Pixar Pals"/>
    <n v="8.1999999999999993"/>
    <n v="10"/>
    <x v="880"/>
  </r>
  <r>
    <n v="899"/>
    <n v="287"/>
    <d v="2026-10-15T00:00:00"/>
    <s v="Thursday"/>
    <n v="10"/>
    <n v="7.46"/>
    <x v="0"/>
    <x v="42"/>
    <s v="Male"/>
    <n v="73"/>
    <n v="180.5"/>
    <n v="23.6"/>
    <n v="19"/>
    <s v="NV"/>
    <n v="3"/>
    <n v="279.3"/>
    <s v="Middle"/>
    <n v="0"/>
    <s v="Multi-Day"/>
    <n v="0"/>
    <n v="0"/>
    <s v="Main Entrance"/>
    <s v="Pixar Pals"/>
    <n v="9.6"/>
    <n v="7"/>
    <x v="168"/>
  </r>
  <r>
    <n v="900"/>
    <n v="287"/>
    <d v="2026-10-15T00:00:00"/>
    <s v="Thursday"/>
    <n v="10"/>
    <n v="7.46"/>
    <x v="0"/>
    <x v="27"/>
    <s v="Male"/>
    <n v="65.900000000000006"/>
    <n v="188.4"/>
    <n v="30.4"/>
    <n v="15"/>
    <s v="NV"/>
    <n v="3"/>
    <n v="279.3"/>
    <s v="Middle"/>
    <n v="0"/>
    <s v="Multi-Day"/>
    <n v="0"/>
    <n v="0"/>
    <s v="Main Entrance"/>
    <s v="Pixar Pals"/>
    <n v="10.4"/>
    <n v="8"/>
    <x v="881"/>
  </r>
  <r>
    <n v="901"/>
    <n v="288"/>
    <d v="2026-02-16T00:00:00"/>
    <s v="Monday"/>
    <n v="2"/>
    <n v="8.85"/>
    <x v="0"/>
    <x v="32"/>
    <s v="Female"/>
    <n v="58.4"/>
    <n v="94.5"/>
    <n v="19.5"/>
    <n v="15"/>
    <s v="Other"/>
    <n v="2"/>
    <n v="2490.5"/>
    <s v="Middle"/>
    <n v="1"/>
    <s v="Single-Day"/>
    <n v="1"/>
    <n v="0"/>
    <s v="Main Entrance"/>
    <s v="Toy Story Lot"/>
    <n v="9.1999999999999993"/>
    <n v="2"/>
    <x v="882"/>
  </r>
  <r>
    <n v="902"/>
    <n v="288"/>
    <d v="2026-02-16T00:00:00"/>
    <s v="Monday"/>
    <n v="2"/>
    <n v="8.75"/>
    <x v="0"/>
    <x v="53"/>
    <s v="Male"/>
    <n v="58.2"/>
    <n v="121.9"/>
    <n v="25.4"/>
    <n v="14"/>
    <s v="Other"/>
    <n v="2"/>
    <n v="2490.5"/>
    <s v="Middle"/>
    <n v="1"/>
    <s v="Single-Day"/>
    <n v="1"/>
    <n v="0"/>
    <s v="Main Entrance"/>
    <s v="Toy Story Lot"/>
    <n v="10.6"/>
    <n v="13"/>
    <x v="883"/>
  </r>
  <r>
    <n v="903"/>
    <n v="289"/>
    <d v="2026-11-03T00:00:00"/>
    <s v="Tuesday"/>
    <n v="11"/>
    <n v="12.07"/>
    <x v="1"/>
    <x v="6"/>
    <s v="Female"/>
    <n v="64.7"/>
    <n v="123"/>
    <n v="20.2"/>
    <n v="16"/>
    <s v="NV"/>
    <n v="3"/>
    <n v="264.7"/>
    <s v="Middle"/>
    <n v="1"/>
    <s v="Single-Day"/>
    <n v="1"/>
    <n v="0"/>
    <s v="Main Entrance"/>
    <s v="Pixar Pals"/>
    <n v="9.5"/>
    <n v="7"/>
    <x v="884"/>
  </r>
  <r>
    <n v="904"/>
    <n v="289"/>
    <d v="2026-11-03T00:00:00"/>
    <s v="Tuesday"/>
    <n v="11"/>
    <n v="12.2"/>
    <x v="1"/>
    <x v="45"/>
    <s v="Male"/>
    <n v="67.5"/>
    <n v="175.3"/>
    <n v="26.9"/>
    <n v="16"/>
    <s v="NV"/>
    <n v="3"/>
    <n v="264.7"/>
    <s v="Middle"/>
    <n v="1"/>
    <s v="Single-Day"/>
    <n v="1"/>
    <n v="0"/>
    <s v="Main Entrance"/>
    <s v="Pixar Pals"/>
    <n v="4.0999999999999996"/>
    <n v="4"/>
    <x v="885"/>
  </r>
  <r>
    <n v="905"/>
    <n v="289"/>
    <d v="2026-11-03T00:00:00"/>
    <s v="Tuesday"/>
    <n v="11"/>
    <n v="12.03"/>
    <x v="1"/>
    <x v="5"/>
    <s v="Female"/>
    <n v="66.8"/>
    <n v="138.5"/>
    <n v="21.8"/>
    <n v="16"/>
    <s v="NV"/>
    <n v="3"/>
    <n v="264.7"/>
    <s v="Middle"/>
    <n v="1"/>
    <s v="Single-Day"/>
    <n v="1"/>
    <n v="0"/>
    <s v="Main Entrance"/>
    <s v="Pixar Pals"/>
    <n v="6.1"/>
    <n v="6"/>
    <x v="886"/>
  </r>
  <r>
    <n v="906"/>
    <n v="290"/>
    <d v="2026-08-14T00:00:00"/>
    <s v="Friday"/>
    <n v="8"/>
    <n v="11.39"/>
    <x v="1"/>
    <x v="45"/>
    <s v="Female"/>
    <n v="64.599999999999994"/>
    <n v="167"/>
    <n v="28.3"/>
    <n v="16"/>
    <s v="TX"/>
    <n v="5"/>
    <n v="1474.4"/>
    <s v="Middle"/>
    <n v="1"/>
    <s v="Park Hopper"/>
    <n v="1"/>
    <n v="0"/>
    <s v="Downtown Disney Gate"/>
    <s v="Toy Story Lot"/>
    <n v="7.1"/>
    <n v="9"/>
    <x v="887"/>
  </r>
  <r>
    <n v="907"/>
    <n v="290"/>
    <d v="2026-08-14T00:00:00"/>
    <s v="Friday"/>
    <n v="8"/>
    <n v="11.36"/>
    <x v="1"/>
    <x v="64"/>
    <s v="Male"/>
    <n v="53.6"/>
    <n v="113.7"/>
    <n v="27.9"/>
    <n v="10"/>
    <s v="TX"/>
    <n v="5"/>
    <n v="1474.4"/>
    <s v="Middle"/>
    <n v="1"/>
    <s v="Park Hopper"/>
    <n v="1"/>
    <n v="0"/>
    <s v="Downtown Disney Gate"/>
    <s v="Toy Story Lot"/>
    <n v="7.1"/>
    <n v="11"/>
    <x v="888"/>
  </r>
  <r>
    <n v="908"/>
    <n v="290"/>
    <d v="2026-08-14T00:00:00"/>
    <s v="Friday"/>
    <n v="8"/>
    <n v="11.4"/>
    <x v="1"/>
    <x v="27"/>
    <s v="Male"/>
    <n v="68"/>
    <n v="200.9"/>
    <n v="30"/>
    <n v="13"/>
    <s v="TX"/>
    <n v="5"/>
    <n v="1474.4"/>
    <s v="Middle"/>
    <n v="1"/>
    <s v="Park Hopper"/>
    <n v="1"/>
    <n v="0"/>
    <s v="Downtown Disney Gate"/>
    <s v="Toy Story Lot"/>
    <n v="7.7"/>
    <n v="5"/>
    <x v="889"/>
  </r>
  <r>
    <n v="909"/>
    <n v="290"/>
    <d v="2026-08-14T00:00:00"/>
    <s v="Friday"/>
    <n v="8"/>
    <n v="11.32"/>
    <x v="1"/>
    <x v="18"/>
    <s v="Male"/>
    <n v="69.900000000000006"/>
    <n v="145"/>
    <n v="20.9"/>
    <n v="13"/>
    <s v="TX"/>
    <n v="5"/>
    <n v="1474.4"/>
    <s v="Middle"/>
    <n v="1"/>
    <s v="Park Hopper"/>
    <n v="1"/>
    <n v="0"/>
    <s v="Downtown Disney Gate"/>
    <s v="Toy Story Lot"/>
    <n v="7.6"/>
    <n v="8"/>
    <x v="890"/>
  </r>
  <r>
    <n v="910"/>
    <n v="290"/>
    <d v="2026-08-14T00:00:00"/>
    <s v="Friday"/>
    <n v="8"/>
    <n v="11.47"/>
    <x v="1"/>
    <x v="59"/>
    <s v="Male"/>
    <n v="69.3"/>
    <n v="139.6"/>
    <n v="20.7"/>
    <n v="13"/>
    <s v="TX"/>
    <n v="5"/>
    <n v="1474.4"/>
    <s v="Middle"/>
    <n v="1"/>
    <s v="Park Hopper"/>
    <n v="1"/>
    <n v="0"/>
    <s v="Downtown Disney Gate"/>
    <s v="Toy Story Lot"/>
    <n v="11.2"/>
    <n v="18"/>
    <x v="891"/>
  </r>
  <r>
    <n v="911"/>
    <n v="291"/>
    <d v="2026-12-02T00:00:00"/>
    <s v="Wednesday"/>
    <n v="12"/>
    <n v="11.14"/>
    <x v="1"/>
    <x v="30"/>
    <s v="Male"/>
    <n v="65.7"/>
    <n v="90.4"/>
    <n v="14.8"/>
    <n v="15"/>
    <s v="CO"/>
    <n v="1"/>
    <n v="889.4"/>
    <s v="Middle"/>
    <n v="0"/>
    <s v="Single-Day"/>
    <n v="1"/>
    <n v="0"/>
    <s v="Main Entrance"/>
    <s v="Toy Story Lot"/>
    <n v="8"/>
    <n v="12"/>
    <x v="892"/>
  </r>
  <r>
    <n v="912"/>
    <n v="292"/>
    <d v="2026-01-13T00:00:00"/>
    <s v="Tuesday"/>
    <n v="1"/>
    <n v="11.7"/>
    <x v="1"/>
    <x v="27"/>
    <s v="Male"/>
    <n v="66.599999999999994"/>
    <n v="133.9"/>
    <n v="21.3"/>
    <n v="15"/>
    <s v="CA"/>
    <n v="1"/>
    <n v="78.5"/>
    <s v="Middle"/>
    <n v="0"/>
    <s v="Single-Day"/>
    <n v="1"/>
    <n v="0"/>
    <s v="Main Entrance"/>
    <s v="Toy Story Lot"/>
    <n v="5.3"/>
    <n v="4"/>
    <x v="893"/>
  </r>
  <r>
    <n v="913"/>
    <n v="293"/>
    <d v="2026-12-03T00:00:00"/>
    <s v="Thursday"/>
    <n v="12"/>
    <n v="11.14"/>
    <x v="1"/>
    <x v="5"/>
    <s v="Male"/>
    <n v="70.900000000000006"/>
    <n v="194"/>
    <n v="27.1"/>
    <n v="12"/>
    <s v="WA"/>
    <n v="2"/>
    <n v="953.6"/>
    <s v="Low"/>
    <n v="0"/>
    <s v="Single-Day"/>
    <n v="0"/>
    <n v="0"/>
    <s v="Main Entrance"/>
    <s v="Pixar Pals"/>
    <n v="9.6999999999999993"/>
    <n v="16"/>
    <x v="894"/>
  </r>
  <r>
    <n v="914"/>
    <n v="293"/>
    <d v="2026-12-03T00:00:00"/>
    <s v="Thursday"/>
    <n v="12"/>
    <n v="11.3"/>
    <x v="1"/>
    <x v="38"/>
    <s v="Male"/>
    <n v="73.900000000000006"/>
    <n v="263.10000000000002"/>
    <n v="33.799999999999997"/>
    <n v="12"/>
    <s v="WA"/>
    <n v="2"/>
    <n v="953.6"/>
    <s v="Low"/>
    <n v="0"/>
    <s v="Single-Day"/>
    <n v="0"/>
    <n v="0"/>
    <s v="Main Entrance"/>
    <s v="Pixar Pals"/>
    <n v="9.1"/>
    <n v="11"/>
    <x v="895"/>
  </r>
  <r>
    <n v="915"/>
    <n v="294"/>
    <d v="2026-05-15T00:00:00"/>
    <s v="Friday"/>
    <n v="5"/>
    <n v="12.18"/>
    <x v="1"/>
    <x v="12"/>
    <s v="Male"/>
    <n v="58.5"/>
    <n v="117.7"/>
    <n v="24.1"/>
    <n v="14"/>
    <s v="CA"/>
    <n v="4"/>
    <n v="53.1"/>
    <s v="High"/>
    <n v="0"/>
    <s v="Single-Day"/>
    <n v="0"/>
    <n v="1"/>
    <s v="Main Entrance"/>
    <s v="Mickey &amp; Friends"/>
    <n v="9.1999999999999993"/>
    <n v="6"/>
    <x v="896"/>
  </r>
  <r>
    <n v="916"/>
    <n v="294"/>
    <d v="2026-05-15T00:00:00"/>
    <s v="Friday"/>
    <n v="5"/>
    <n v="12.21"/>
    <x v="1"/>
    <x v="12"/>
    <s v="Male"/>
    <n v="69.900000000000006"/>
    <n v="160.5"/>
    <n v="23.2"/>
    <n v="15"/>
    <s v="CA"/>
    <n v="4"/>
    <n v="53.1"/>
    <s v="High"/>
    <n v="0"/>
    <s v="Single-Day"/>
    <n v="0"/>
    <n v="1"/>
    <s v="Main Entrance"/>
    <s v="Mickey &amp; Friends"/>
    <n v="6.9"/>
    <n v="8"/>
    <x v="897"/>
  </r>
  <r>
    <n v="917"/>
    <n v="294"/>
    <d v="2026-05-15T00:00:00"/>
    <s v="Friday"/>
    <n v="5"/>
    <n v="12.07"/>
    <x v="1"/>
    <x v="32"/>
    <s v="Female"/>
    <n v="58.5"/>
    <n v="121.7"/>
    <n v="24.8"/>
    <n v="15"/>
    <s v="CA"/>
    <n v="4"/>
    <n v="53.1"/>
    <s v="High"/>
    <n v="0"/>
    <s v="Single-Day"/>
    <n v="0"/>
    <n v="1"/>
    <s v="Main Entrance"/>
    <s v="Mickey &amp; Friends"/>
    <n v="6.1"/>
    <n v="9"/>
    <x v="898"/>
  </r>
  <r>
    <n v="918"/>
    <n v="294"/>
    <d v="2026-05-15T00:00:00"/>
    <s v="Friday"/>
    <n v="5"/>
    <n v="12.02"/>
    <x v="1"/>
    <x v="37"/>
    <s v="Female"/>
    <n v="66.2"/>
    <n v="132.19999999999999"/>
    <n v="20.9"/>
    <n v="18"/>
    <s v="CA"/>
    <n v="4"/>
    <n v="53.1"/>
    <s v="High"/>
    <n v="0"/>
    <s v="Single-Day"/>
    <n v="0"/>
    <n v="1"/>
    <s v="Main Entrance"/>
    <s v="Mickey &amp; Friends"/>
    <n v="8.3000000000000007"/>
    <n v="11"/>
    <x v="899"/>
  </r>
  <r>
    <n v="919"/>
    <n v="295"/>
    <d v="2026-06-24T00:00:00"/>
    <s v="Wednesday"/>
    <n v="6"/>
    <n v="9.84"/>
    <x v="0"/>
    <x v="32"/>
    <s v="Male"/>
    <n v="61.4"/>
    <n v="103.3"/>
    <n v="19.5"/>
    <n v="14"/>
    <s v="Other"/>
    <n v="3"/>
    <n v="1767"/>
    <s v="Low"/>
    <n v="1"/>
    <s v="Single-Day"/>
    <n v="0"/>
    <n v="0"/>
    <s v="Main Entrance"/>
    <s v="Toy Story Lot"/>
    <n v="6.3"/>
    <n v="9"/>
    <x v="900"/>
  </r>
  <r>
    <n v="920"/>
    <n v="295"/>
    <d v="2026-06-24T00:00:00"/>
    <s v="Wednesday"/>
    <n v="6"/>
    <n v="10.029999999999999"/>
    <x v="0"/>
    <x v="52"/>
    <s v="Male"/>
    <n v="69.7"/>
    <n v="154.6"/>
    <n v="22.1"/>
    <n v="14"/>
    <s v="Other"/>
    <n v="3"/>
    <n v="1767"/>
    <s v="Low"/>
    <n v="1"/>
    <s v="Single-Day"/>
    <n v="0"/>
    <n v="0"/>
    <s v="Main Entrance"/>
    <s v="Toy Story Lot"/>
    <n v="9.1999999999999993"/>
    <n v="11"/>
    <x v="901"/>
  </r>
  <r>
    <n v="921"/>
    <n v="295"/>
    <d v="2026-06-24T00:00:00"/>
    <s v="Wednesday"/>
    <n v="6"/>
    <n v="9.77"/>
    <x v="0"/>
    <x v="36"/>
    <s v="Female"/>
    <n v="58.9"/>
    <n v="137.1"/>
    <n v="27.8"/>
    <n v="14"/>
    <s v="Other"/>
    <n v="3"/>
    <n v="1767"/>
    <s v="Low"/>
    <n v="1"/>
    <s v="Single-Day"/>
    <n v="0"/>
    <n v="0"/>
    <s v="Main Entrance"/>
    <s v="Toy Story Lot"/>
    <n v="10.5"/>
    <n v="7"/>
    <x v="902"/>
  </r>
  <r>
    <n v="922"/>
    <n v="296"/>
    <d v="2026-02-11T00:00:00"/>
    <s v="Wednesday"/>
    <n v="2"/>
    <n v="10.92"/>
    <x v="0"/>
    <x v="28"/>
    <s v="Female"/>
    <n v="68.099999999999994"/>
    <n v="219.2"/>
    <n v="33.1"/>
    <n v="16"/>
    <s v="TX"/>
    <n v="4"/>
    <n v="1691.9"/>
    <s v="Middle"/>
    <n v="1"/>
    <s v="Multi-Day"/>
    <n v="0"/>
    <n v="1"/>
    <s v="Hotel Guest Entrance"/>
    <s v="Mickey &amp; Friends"/>
    <n v="8.4"/>
    <n v="4"/>
    <x v="903"/>
  </r>
  <r>
    <n v="923"/>
    <n v="296"/>
    <d v="2026-02-11T00:00:00"/>
    <s v="Wednesday"/>
    <n v="2"/>
    <n v="11.08"/>
    <x v="1"/>
    <x v="53"/>
    <s v="Female"/>
    <n v="51.2"/>
    <n v="49.3"/>
    <n v="13.4"/>
    <n v="12"/>
    <s v="TX"/>
    <n v="4"/>
    <n v="1691.9"/>
    <s v="Middle"/>
    <n v="1"/>
    <s v="Multi-Day"/>
    <n v="0"/>
    <n v="1"/>
    <s v="Hotel Guest Entrance"/>
    <s v="Mickey &amp; Friends"/>
    <n v="7.8"/>
    <n v="13"/>
    <x v="904"/>
  </r>
  <r>
    <n v="924"/>
    <n v="296"/>
    <d v="2026-02-11T00:00:00"/>
    <s v="Wednesday"/>
    <n v="2"/>
    <n v="11.15"/>
    <x v="1"/>
    <x v="27"/>
    <s v="Female"/>
    <n v="69.2"/>
    <n v="192.1"/>
    <n v="28.4"/>
    <n v="14"/>
    <s v="TX"/>
    <n v="4"/>
    <n v="1691.9"/>
    <s v="Middle"/>
    <n v="1"/>
    <s v="Multi-Day"/>
    <n v="0"/>
    <n v="1"/>
    <s v="Hotel Guest Entrance"/>
    <s v="Mickey &amp; Friends"/>
    <n v="9.6999999999999993"/>
    <n v="9"/>
    <x v="905"/>
  </r>
  <r>
    <n v="925"/>
    <n v="296"/>
    <d v="2026-02-11T00:00:00"/>
    <s v="Wednesday"/>
    <n v="2"/>
    <n v="11.1"/>
    <x v="1"/>
    <x v="32"/>
    <s v="Female"/>
    <n v="49.8"/>
    <n v="62.7"/>
    <n v="17.8"/>
    <n v="16"/>
    <s v="TX"/>
    <n v="4"/>
    <n v="1691.9"/>
    <s v="Middle"/>
    <n v="1"/>
    <s v="Multi-Day"/>
    <n v="0"/>
    <n v="1"/>
    <s v="Hotel Guest Entrance"/>
    <s v="Mickey &amp; Friends"/>
    <n v="12.8"/>
    <n v="17"/>
    <x v="906"/>
  </r>
  <r>
    <n v="926"/>
    <n v="297"/>
    <d v="2026-03-13T00:00:00"/>
    <s v="Friday"/>
    <n v="3"/>
    <n v="8.61"/>
    <x v="0"/>
    <x v="40"/>
    <s v="Male"/>
    <n v="63.2"/>
    <n v="109"/>
    <n v="19.3"/>
    <n v="12"/>
    <s v="Other"/>
    <n v="4"/>
    <n v="1783.7"/>
    <s v="Low"/>
    <n v="1"/>
    <s v="Single-Day"/>
    <n v="0"/>
    <n v="0"/>
    <s v="Main Entrance"/>
    <s v="Toy Story Lot"/>
    <n v="10"/>
    <n v="14"/>
    <x v="907"/>
  </r>
  <r>
    <n v="927"/>
    <n v="297"/>
    <d v="2026-03-13T00:00:00"/>
    <s v="Friday"/>
    <n v="3"/>
    <n v="8.4600000000000009"/>
    <x v="0"/>
    <x v="56"/>
    <s v="Female"/>
    <n v="59.5"/>
    <n v="142.30000000000001"/>
    <n v="28.4"/>
    <n v="9"/>
    <s v="Other"/>
    <n v="4"/>
    <n v="1783.7"/>
    <s v="Low"/>
    <n v="1"/>
    <s v="Single-Day"/>
    <n v="0"/>
    <n v="0"/>
    <s v="Main Entrance"/>
    <s v="Toy Story Lot"/>
    <n v="10.8"/>
    <n v="12"/>
    <x v="908"/>
  </r>
  <r>
    <n v="928"/>
    <n v="297"/>
    <d v="2026-03-13T00:00:00"/>
    <s v="Friday"/>
    <n v="3"/>
    <n v="8.4700000000000006"/>
    <x v="0"/>
    <x v="4"/>
    <s v="Male"/>
    <n v="70.7"/>
    <n v="152.80000000000001"/>
    <n v="21.6"/>
    <n v="15"/>
    <s v="Other"/>
    <n v="4"/>
    <n v="1783.7"/>
    <s v="Low"/>
    <n v="1"/>
    <s v="Single-Day"/>
    <n v="0"/>
    <n v="0"/>
    <s v="Main Entrance"/>
    <s v="Toy Story Lot"/>
    <n v="11"/>
    <n v="6"/>
    <x v="909"/>
  </r>
  <r>
    <n v="929"/>
    <n v="297"/>
    <d v="2026-03-13T00:00:00"/>
    <s v="Friday"/>
    <n v="3"/>
    <n v="8.42"/>
    <x v="0"/>
    <x v="17"/>
    <s v="Female"/>
    <n v="61.9"/>
    <n v="158.30000000000001"/>
    <n v="28.9"/>
    <n v="13"/>
    <s v="Other"/>
    <n v="4"/>
    <n v="1783.7"/>
    <s v="Low"/>
    <n v="1"/>
    <s v="Single-Day"/>
    <n v="0"/>
    <n v="0"/>
    <s v="Main Entrance"/>
    <s v="Toy Story Lot"/>
    <n v="6.9"/>
    <n v="3"/>
    <x v="910"/>
  </r>
  <r>
    <n v="930"/>
    <n v="298"/>
    <d v="2026-11-19T00:00:00"/>
    <s v="Thursday"/>
    <n v="11"/>
    <n v="13.32"/>
    <x v="1"/>
    <x v="38"/>
    <s v="Female"/>
    <n v="63.4"/>
    <n v="134.80000000000001"/>
    <n v="23.7"/>
    <n v="16"/>
    <s v="Other"/>
    <n v="4"/>
    <n v="1648.1"/>
    <s v="High"/>
    <n v="0"/>
    <s v="Single-Day"/>
    <n v="0"/>
    <n v="0"/>
    <s v="Main Entrance"/>
    <s v="Toy Story Lot"/>
    <n v="7.4"/>
    <n v="10"/>
    <x v="911"/>
  </r>
  <r>
    <n v="931"/>
    <n v="298"/>
    <d v="2026-11-19T00:00:00"/>
    <s v="Thursday"/>
    <n v="11"/>
    <n v="13.19"/>
    <x v="1"/>
    <x v="32"/>
    <s v="Female"/>
    <n v="69.2"/>
    <n v="138.69999999999999"/>
    <n v="20.399999999999999"/>
    <n v="11"/>
    <s v="Other"/>
    <n v="4"/>
    <n v="1648.1"/>
    <s v="High"/>
    <n v="0"/>
    <s v="Single-Day"/>
    <n v="0"/>
    <n v="0"/>
    <s v="Main Entrance"/>
    <s v="Toy Story Lot"/>
    <n v="8.9"/>
    <n v="3"/>
    <x v="912"/>
  </r>
  <r>
    <n v="932"/>
    <n v="298"/>
    <d v="2026-11-19T00:00:00"/>
    <s v="Thursday"/>
    <n v="11"/>
    <n v="13.47"/>
    <x v="1"/>
    <x v="6"/>
    <s v="Male"/>
    <n v="70"/>
    <n v="250.2"/>
    <n v="35.799999999999997"/>
    <n v="17"/>
    <s v="Other"/>
    <n v="4"/>
    <n v="1648.1"/>
    <s v="High"/>
    <n v="0"/>
    <s v="Single-Day"/>
    <n v="0"/>
    <n v="0"/>
    <s v="Main Entrance"/>
    <s v="Toy Story Lot"/>
    <n v="7.4"/>
    <n v="12"/>
    <x v="913"/>
  </r>
  <r>
    <n v="933"/>
    <n v="298"/>
    <d v="2026-11-19T00:00:00"/>
    <s v="Thursday"/>
    <n v="11"/>
    <n v="13.36"/>
    <x v="1"/>
    <x v="17"/>
    <s v="Female"/>
    <n v="60.8"/>
    <n v="166.7"/>
    <n v="31.6"/>
    <n v="16"/>
    <s v="Other"/>
    <n v="4"/>
    <n v="1648.1"/>
    <s v="High"/>
    <n v="0"/>
    <s v="Single-Day"/>
    <n v="0"/>
    <n v="0"/>
    <s v="Main Entrance"/>
    <s v="Toy Story Lot"/>
    <n v="5"/>
    <n v="5"/>
    <x v="610"/>
  </r>
  <r>
    <n v="934"/>
    <n v="299"/>
    <d v="2026-06-27T00:00:00"/>
    <s v="Saturday"/>
    <n v="6"/>
    <n v="12.24"/>
    <x v="1"/>
    <x v="52"/>
    <s v="Male"/>
    <n v="66.3"/>
    <n v="130.80000000000001"/>
    <n v="21"/>
    <n v="14"/>
    <s v="FL"/>
    <n v="2"/>
    <n v="2117.5"/>
    <s v="High"/>
    <n v="1"/>
    <s v="Single-Day"/>
    <n v="0"/>
    <n v="1"/>
    <s v="Main Entrance"/>
    <s v="None/Walked from Resort"/>
    <n v="11.1"/>
    <n v="11"/>
    <x v="914"/>
  </r>
  <r>
    <n v="935"/>
    <n v="299"/>
    <d v="2026-06-27T00:00:00"/>
    <s v="Saturday"/>
    <n v="6"/>
    <n v="12.26"/>
    <x v="1"/>
    <x v="57"/>
    <s v="Male"/>
    <n v="72.5"/>
    <n v="204.6"/>
    <n v="27.6"/>
    <n v="20"/>
    <s v="FL"/>
    <n v="2"/>
    <n v="2117.5"/>
    <s v="High"/>
    <n v="1"/>
    <s v="Single-Day"/>
    <n v="0"/>
    <n v="1"/>
    <s v="Main Entrance"/>
    <s v="None/Walked from Resort"/>
    <n v="8.6999999999999993"/>
    <n v="6"/>
    <x v="915"/>
  </r>
  <r>
    <n v="936"/>
    <n v="300"/>
    <d v="2026-11-26T00:00:00"/>
    <s v="Thursday"/>
    <n v="11"/>
    <n v="13.18"/>
    <x v="1"/>
    <x v="22"/>
    <s v="Female"/>
    <n v="63"/>
    <n v="145.1"/>
    <n v="25.7"/>
    <n v="14"/>
    <s v="OR"/>
    <n v="4"/>
    <n v="634.5"/>
    <s v="Middle"/>
    <n v="1"/>
    <s v="Park Hopper"/>
    <n v="0"/>
    <n v="0"/>
    <s v="Downtown Disney Gate"/>
    <s v="Pixar Pals"/>
    <n v="7.8"/>
    <n v="8"/>
    <x v="916"/>
  </r>
  <r>
    <n v="937"/>
    <n v="300"/>
    <d v="2026-11-26T00:00:00"/>
    <s v="Thursday"/>
    <n v="11"/>
    <n v="13.14"/>
    <x v="1"/>
    <x v="13"/>
    <s v="Female"/>
    <n v="66.8"/>
    <n v="191.3"/>
    <n v="30.1"/>
    <n v="16"/>
    <s v="OR"/>
    <n v="4"/>
    <n v="634.5"/>
    <s v="Middle"/>
    <n v="1"/>
    <s v="Park Hopper"/>
    <n v="0"/>
    <n v="0"/>
    <s v="Downtown Disney Gate"/>
    <s v="Pixar Pals"/>
    <n v="8.3000000000000007"/>
    <n v="7"/>
    <x v="917"/>
  </r>
  <r>
    <n v="938"/>
    <n v="300"/>
    <d v="2026-11-26T00:00:00"/>
    <s v="Thursday"/>
    <n v="11"/>
    <n v="12.84"/>
    <x v="1"/>
    <x v="38"/>
    <s v="Male"/>
    <n v="68"/>
    <n v="190.8"/>
    <n v="29"/>
    <n v="11"/>
    <s v="OR"/>
    <n v="4"/>
    <n v="634.5"/>
    <s v="Middle"/>
    <n v="1"/>
    <s v="Park Hopper"/>
    <n v="0"/>
    <n v="0"/>
    <s v="Downtown Disney Gate"/>
    <s v="Pixar Pals"/>
    <n v="10.7"/>
    <n v="8"/>
    <x v="918"/>
  </r>
  <r>
    <n v="939"/>
    <n v="300"/>
    <d v="2026-11-26T00:00:00"/>
    <s v="Thursday"/>
    <n v="11"/>
    <n v="13.13"/>
    <x v="1"/>
    <x v="38"/>
    <s v="Male"/>
    <n v="66.099999999999994"/>
    <n v="123"/>
    <n v="19.600000000000001"/>
    <n v="16"/>
    <s v="OR"/>
    <n v="4"/>
    <n v="634.5"/>
    <s v="Middle"/>
    <n v="1"/>
    <s v="Park Hopper"/>
    <n v="0"/>
    <n v="0"/>
    <s v="Downtown Disney Gate"/>
    <s v="Pixar Pals"/>
    <n v="9.3000000000000007"/>
    <n v="10"/>
    <x v="919"/>
  </r>
  <r>
    <n v="940"/>
    <n v="301"/>
    <d v="2026-07-17T00:00:00"/>
    <s v="Friday"/>
    <n v="7"/>
    <n v="9.6"/>
    <x v="0"/>
    <x v="0"/>
    <s v="Female"/>
    <n v="63.7"/>
    <n v="175.4"/>
    <n v="30.6"/>
    <n v="17"/>
    <s v="OR"/>
    <n v="6"/>
    <n v="711"/>
    <s v="Middle"/>
    <n v="1"/>
    <s v="Single-Day"/>
    <n v="0"/>
    <n v="0"/>
    <s v="Main Entrance"/>
    <s v="Pixar Pals"/>
    <n v="10.4"/>
    <n v="6"/>
    <x v="920"/>
  </r>
  <r>
    <n v="941"/>
    <n v="301"/>
    <d v="2026-07-17T00:00:00"/>
    <s v="Friday"/>
    <n v="7"/>
    <n v="9.73"/>
    <x v="0"/>
    <x v="69"/>
    <s v="Female"/>
    <n v="58.8"/>
    <n v="109.8"/>
    <n v="22.5"/>
    <n v="14"/>
    <s v="OR"/>
    <n v="6"/>
    <n v="711"/>
    <s v="Middle"/>
    <n v="1"/>
    <s v="Single-Day"/>
    <n v="0"/>
    <n v="0"/>
    <s v="Main Entrance"/>
    <s v="Pixar Pals"/>
    <n v="6.9"/>
    <n v="9"/>
    <x v="921"/>
  </r>
  <r>
    <n v="942"/>
    <n v="301"/>
    <d v="2026-07-17T00:00:00"/>
    <s v="Friday"/>
    <n v="7"/>
    <n v="9.6999999999999993"/>
    <x v="0"/>
    <x v="64"/>
    <s v="Female"/>
    <n v="57.9"/>
    <n v="94.1"/>
    <n v="19.600000000000001"/>
    <n v="15"/>
    <s v="OR"/>
    <n v="6"/>
    <n v="711"/>
    <s v="Middle"/>
    <n v="1"/>
    <s v="Single-Day"/>
    <n v="0"/>
    <n v="0"/>
    <s v="Main Entrance"/>
    <s v="Pixar Pals"/>
    <n v="7.7"/>
    <n v="9"/>
    <x v="148"/>
  </r>
  <r>
    <n v="943"/>
    <n v="301"/>
    <d v="2026-07-17T00:00:00"/>
    <s v="Friday"/>
    <n v="7"/>
    <n v="9.73"/>
    <x v="0"/>
    <x v="38"/>
    <s v="Nonbinary/Other"/>
    <n v="67.5"/>
    <n v="113.6"/>
    <n v="17.8"/>
    <n v="15"/>
    <s v="OR"/>
    <n v="6"/>
    <n v="711"/>
    <s v="Middle"/>
    <n v="1"/>
    <s v="Single-Day"/>
    <n v="0"/>
    <n v="0"/>
    <s v="Main Entrance"/>
    <s v="Pixar Pals"/>
    <n v="7.5"/>
    <n v="8"/>
    <x v="922"/>
  </r>
  <r>
    <n v="944"/>
    <n v="301"/>
    <d v="2026-07-17T00:00:00"/>
    <s v="Friday"/>
    <n v="7"/>
    <n v="9.6199999999999992"/>
    <x v="0"/>
    <x v="29"/>
    <s v="Male"/>
    <n v="73"/>
    <n v="202.9"/>
    <n v="26.7"/>
    <n v="14"/>
    <s v="OR"/>
    <n v="6"/>
    <n v="711"/>
    <s v="Middle"/>
    <n v="1"/>
    <s v="Single-Day"/>
    <n v="0"/>
    <n v="0"/>
    <s v="Main Entrance"/>
    <s v="Pixar Pals"/>
    <n v="8.9"/>
    <n v="8"/>
    <x v="923"/>
  </r>
  <r>
    <n v="945"/>
    <n v="301"/>
    <d v="2026-07-17T00:00:00"/>
    <s v="Friday"/>
    <n v="7"/>
    <n v="9.83"/>
    <x v="0"/>
    <x v="14"/>
    <s v="Female"/>
    <n v="66.099999999999994"/>
    <n v="157.5"/>
    <n v="25.4"/>
    <n v="18"/>
    <s v="OR"/>
    <n v="6"/>
    <n v="711"/>
    <s v="Middle"/>
    <n v="1"/>
    <s v="Single-Day"/>
    <n v="0"/>
    <n v="0"/>
    <s v="Main Entrance"/>
    <s v="Pixar Pals"/>
    <n v="7.3"/>
    <n v="13"/>
    <x v="924"/>
  </r>
  <r>
    <n v="946"/>
    <n v="302"/>
    <d v="2026-08-23T00:00:00"/>
    <s v="Sunday"/>
    <n v="8"/>
    <n v="11.43"/>
    <x v="1"/>
    <x v="34"/>
    <s v="Female"/>
    <n v="61.5"/>
    <n v="193.5"/>
    <n v="36"/>
    <n v="18"/>
    <s v="CA"/>
    <n v="3"/>
    <n v="104.4"/>
    <s v="High"/>
    <n v="0"/>
    <s v="Single-Day"/>
    <n v="0"/>
    <n v="0"/>
    <s v="Main Entrance"/>
    <s v="Mickey &amp; Friends"/>
    <n v="7.6"/>
    <n v="6"/>
    <x v="925"/>
  </r>
  <r>
    <n v="947"/>
    <n v="302"/>
    <d v="2026-08-23T00:00:00"/>
    <s v="Sunday"/>
    <n v="8"/>
    <n v="11.64"/>
    <x v="1"/>
    <x v="70"/>
    <s v="Female"/>
    <n v="70"/>
    <n v="152.6"/>
    <n v="21.8"/>
    <n v="15"/>
    <s v="CA"/>
    <n v="3"/>
    <n v="104.4"/>
    <s v="High"/>
    <n v="0"/>
    <s v="Single-Day"/>
    <n v="0"/>
    <n v="0"/>
    <s v="Main Entrance"/>
    <s v="Mickey &amp; Friends"/>
    <n v="8.5"/>
    <n v="3"/>
    <x v="926"/>
  </r>
  <r>
    <n v="948"/>
    <n v="302"/>
    <d v="2026-08-23T00:00:00"/>
    <s v="Sunday"/>
    <n v="8"/>
    <n v="11.62"/>
    <x v="1"/>
    <x v="27"/>
    <s v="Female"/>
    <n v="59.8"/>
    <n v="110.7"/>
    <n v="21.9"/>
    <n v="18"/>
    <s v="CA"/>
    <n v="3"/>
    <n v="104.4"/>
    <s v="High"/>
    <n v="0"/>
    <s v="Single-Day"/>
    <n v="0"/>
    <n v="0"/>
    <s v="Main Entrance"/>
    <s v="Mickey &amp; Friends"/>
    <n v="9.3000000000000007"/>
    <n v="7"/>
    <x v="927"/>
  </r>
  <r>
    <n v="949"/>
    <n v="303"/>
    <d v="2026-12-13T00:00:00"/>
    <s v="Sunday"/>
    <n v="12"/>
    <n v="11.21"/>
    <x v="1"/>
    <x v="57"/>
    <s v="Male"/>
    <n v="68.400000000000006"/>
    <n v="154"/>
    <n v="23.2"/>
    <n v="16"/>
    <s v="TX"/>
    <n v="4"/>
    <n v="1103"/>
    <s v="High"/>
    <n v="1"/>
    <s v="Park Hopper"/>
    <n v="1"/>
    <n v="0"/>
    <s v="Main Entrance"/>
    <s v="Toy Story Lot"/>
    <n v="6.1"/>
    <n v="5"/>
    <x v="928"/>
  </r>
  <r>
    <n v="950"/>
    <n v="303"/>
    <d v="2026-12-13T00:00:00"/>
    <s v="Sunday"/>
    <n v="12"/>
    <n v="11.3"/>
    <x v="1"/>
    <x v="25"/>
    <s v="Male"/>
    <n v="71.099999999999994"/>
    <n v="150.5"/>
    <n v="21"/>
    <n v="16"/>
    <s v="TX"/>
    <n v="4"/>
    <n v="1103"/>
    <s v="High"/>
    <n v="1"/>
    <s v="Park Hopper"/>
    <n v="1"/>
    <n v="0"/>
    <s v="Main Entrance"/>
    <s v="Toy Story Lot"/>
    <n v="8.1"/>
    <n v="4"/>
    <x v="929"/>
  </r>
  <r>
    <n v="951"/>
    <n v="303"/>
    <d v="2026-12-13T00:00:00"/>
    <s v="Sunday"/>
    <n v="12"/>
    <n v="11.09"/>
    <x v="1"/>
    <x v="18"/>
    <s v="Male"/>
    <n v="70.3"/>
    <n v="208.1"/>
    <n v="29.8"/>
    <n v="15"/>
    <s v="TX"/>
    <n v="4"/>
    <n v="1103"/>
    <s v="High"/>
    <n v="1"/>
    <s v="Park Hopper"/>
    <n v="1"/>
    <n v="0"/>
    <s v="Main Entrance"/>
    <s v="Toy Story Lot"/>
    <n v="7.4"/>
    <n v="14"/>
    <x v="930"/>
  </r>
  <r>
    <n v="952"/>
    <n v="303"/>
    <d v="2026-12-13T00:00:00"/>
    <s v="Sunday"/>
    <n v="12"/>
    <n v="11.35"/>
    <x v="1"/>
    <x v="12"/>
    <s v="Female"/>
    <n v="67.099999999999994"/>
    <n v="153.19999999999999"/>
    <n v="24"/>
    <n v="16"/>
    <s v="TX"/>
    <n v="4"/>
    <n v="1103"/>
    <s v="High"/>
    <n v="1"/>
    <s v="Park Hopper"/>
    <n v="1"/>
    <n v="0"/>
    <s v="Main Entrance"/>
    <s v="Toy Story Lot"/>
    <n v="7.3"/>
    <n v="6"/>
    <x v="931"/>
  </r>
  <r>
    <n v="953"/>
    <n v="304"/>
    <d v="2026-09-12T00:00:00"/>
    <s v="Saturday"/>
    <n v="9"/>
    <n v="10.7"/>
    <x v="0"/>
    <x v="66"/>
    <s v="Male"/>
    <n v="68.5"/>
    <n v="176.9"/>
    <n v="26.3"/>
    <n v="16"/>
    <s v="UT"/>
    <n v="2"/>
    <n v="690.8"/>
    <s v="Middle"/>
    <n v="1"/>
    <s v="Single-Day"/>
    <n v="0"/>
    <n v="1"/>
    <s v="Main Entrance"/>
    <s v="None/Walked from Resort"/>
    <n v="9.6999999999999993"/>
    <n v="9"/>
    <x v="932"/>
  </r>
  <r>
    <n v="954"/>
    <n v="304"/>
    <d v="2026-09-12T00:00:00"/>
    <s v="Saturday"/>
    <n v="9"/>
    <n v="10.73"/>
    <x v="0"/>
    <x v="8"/>
    <s v="Female"/>
    <n v="64.400000000000006"/>
    <n v="168.5"/>
    <n v="28.6"/>
    <n v="15"/>
    <s v="UT"/>
    <n v="2"/>
    <n v="690.8"/>
    <s v="Middle"/>
    <n v="1"/>
    <s v="Single-Day"/>
    <n v="0"/>
    <n v="1"/>
    <s v="Main Entrance"/>
    <s v="None/Walked from Resort"/>
    <n v="6.8"/>
    <n v="11"/>
    <x v="933"/>
  </r>
  <r>
    <n v="955"/>
    <n v="305"/>
    <d v="2026-12-18T00:00:00"/>
    <s v="Friday"/>
    <n v="12"/>
    <n v="10.26"/>
    <x v="0"/>
    <x v="49"/>
    <s v="Female"/>
    <n v="61.4"/>
    <n v="132"/>
    <n v="24.3"/>
    <n v="16"/>
    <s v="AZ"/>
    <n v="6"/>
    <n v="226"/>
    <s v="Middle"/>
    <n v="1"/>
    <s v="Park Hopper"/>
    <n v="1"/>
    <n v="0"/>
    <s v="Main Entrance"/>
    <s v="Mickey &amp; Friends"/>
    <n v="9.9"/>
    <n v="11"/>
    <x v="934"/>
  </r>
  <r>
    <n v="956"/>
    <n v="305"/>
    <d v="2026-12-18T00:00:00"/>
    <s v="Friday"/>
    <n v="12"/>
    <n v="10.1"/>
    <x v="0"/>
    <x v="33"/>
    <s v="Female"/>
    <n v="65.900000000000006"/>
    <n v="149.4"/>
    <n v="24.2"/>
    <n v="14"/>
    <s v="AZ"/>
    <n v="6"/>
    <n v="226"/>
    <s v="Middle"/>
    <n v="1"/>
    <s v="Park Hopper"/>
    <n v="1"/>
    <n v="0"/>
    <s v="Main Entrance"/>
    <s v="Mickey &amp; Friends"/>
    <n v="8.1"/>
    <n v="8"/>
    <x v="66"/>
  </r>
  <r>
    <n v="957"/>
    <n v="305"/>
    <d v="2026-12-18T00:00:00"/>
    <s v="Friday"/>
    <n v="12"/>
    <n v="10.130000000000001"/>
    <x v="0"/>
    <x v="42"/>
    <s v="Female"/>
    <n v="63.7"/>
    <n v="159.5"/>
    <n v="27.7"/>
    <n v="14"/>
    <s v="AZ"/>
    <n v="6"/>
    <n v="226"/>
    <s v="Middle"/>
    <n v="1"/>
    <s v="Park Hopper"/>
    <n v="1"/>
    <n v="0"/>
    <s v="Main Entrance"/>
    <s v="Mickey &amp; Friends"/>
    <n v="4.9000000000000004"/>
    <n v="5"/>
    <x v="935"/>
  </r>
  <r>
    <n v="958"/>
    <n v="305"/>
    <d v="2026-12-18T00:00:00"/>
    <s v="Friday"/>
    <n v="12"/>
    <n v="10.050000000000001"/>
    <x v="0"/>
    <x v="38"/>
    <s v="Female"/>
    <n v="68"/>
    <n v="197.9"/>
    <n v="30.3"/>
    <n v="10"/>
    <s v="AZ"/>
    <n v="6"/>
    <n v="226"/>
    <s v="Middle"/>
    <n v="1"/>
    <s v="Park Hopper"/>
    <n v="1"/>
    <n v="0"/>
    <s v="Main Entrance"/>
    <s v="Mickey &amp; Friends"/>
    <n v="9.9"/>
    <n v="8"/>
    <x v="936"/>
  </r>
  <r>
    <n v="959"/>
    <n v="305"/>
    <d v="2026-12-18T00:00:00"/>
    <s v="Friday"/>
    <n v="12"/>
    <n v="9.99"/>
    <x v="0"/>
    <x v="30"/>
    <s v="Female"/>
    <n v="64.5"/>
    <n v="138"/>
    <n v="23.3"/>
    <n v="17"/>
    <s v="AZ"/>
    <n v="6"/>
    <n v="226"/>
    <s v="Middle"/>
    <n v="1"/>
    <s v="Park Hopper"/>
    <n v="1"/>
    <n v="0"/>
    <s v="Main Entrance"/>
    <s v="Mickey &amp; Friends"/>
    <n v="7"/>
    <n v="10"/>
    <x v="937"/>
  </r>
  <r>
    <n v="960"/>
    <n v="305"/>
    <d v="2026-12-18T00:00:00"/>
    <s v="Friday"/>
    <n v="12"/>
    <n v="10.06"/>
    <x v="0"/>
    <x v="45"/>
    <s v="Male"/>
    <n v="67.599999999999994"/>
    <n v="163.9"/>
    <n v="25.2"/>
    <n v="17"/>
    <s v="AZ"/>
    <n v="6"/>
    <n v="226"/>
    <s v="Middle"/>
    <n v="1"/>
    <s v="Park Hopper"/>
    <n v="1"/>
    <n v="0"/>
    <s v="Main Entrance"/>
    <s v="Mickey &amp; Friends"/>
    <n v="11.6"/>
    <n v="13"/>
    <x v="938"/>
  </r>
  <r>
    <n v="961"/>
    <n v="306"/>
    <d v="2026-07-09T00:00:00"/>
    <s v="Thursday"/>
    <n v="7"/>
    <n v="11.12"/>
    <x v="1"/>
    <x v="72"/>
    <s v="Male"/>
    <n v="68.400000000000006"/>
    <n v="203.6"/>
    <n v="30.5"/>
    <n v="18"/>
    <s v="CA"/>
    <n v="2"/>
    <n v="113.5"/>
    <s v="High"/>
    <n v="0"/>
    <s v="Multi-Day"/>
    <n v="0"/>
    <n v="0"/>
    <s v="Downtown Disney Gate"/>
    <s v="Mickey &amp; Friends"/>
    <n v="7.2"/>
    <n v="10"/>
    <x v="939"/>
  </r>
  <r>
    <n v="962"/>
    <n v="306"/>
    <d v="2026-07-09T00:00:00"/>
    <s v="Thursday"/>
    <n v="7"/>
    <n v="11.14"/>
    <x v="1"/>
    <x v="60"/>
    <s v="Male"/>
    <n v="70"/>
    <n v="117.5"/>
    <n v="16.600000000000001"/>
    <n v="13"/>
    <s v="CA"/>
    <n v="2"/>
    <n v="113.5"/>
    <s v="High"/>
    <n v="0"/>
    <s v="Multi-Day"/>
    <n v="0"/>
    <n v="0"/>
    <s v="Downtown Disney Gate"/>
    <s v="Mickey &amp; Friends"/>
    <n v="8.6"/>
    <n v="9"/>
    <x v="940"/>
  </r>
  <r>
    <n v="963"/>
    <n v="307"/>
    <d v="2026-09-11T00:00:00"/>
    <s v="Friday"/>
    <n v="9"/>
    <n v="7.94"/>
    <x v="0"/>
    <x v="40"/>
    <s v="Female"/>
    <n v="69.5"/>
    <n v="118.1"/>
    <n v="17.100000000000001"/>
    <n v="6"/>
    <s v="CA"/>
    <n v="3"/>
    <n v="70.8"/>
    <s v="Middle"/>
    <n v="1"/>
    <s v="Multi-Day"/>
    <n v="0"/>
    <n v="1"/>
    <s v="Main Entrance"/>
    <s v="None/Walked from Resort"/>
    <n v="10.3"/>
    <n v="11"/>
    <x v="941"/>
  </r>
  <r>
    <n v="964"/>
    <n v="307"/>
    <d v="2026-09-11T00:00:00"/>
    <s v="Friday"/>
    <n v="9"/>
    <n v="8.09"/>
    <x v="0"/>
    <x v="32"/>
    <s v="Male"/>
    <n v="61"/>
    <n v="97.6"/>
    <n v="18.5"/>
    <n v="14"/>
    <s v="CA"/>
    <n v="3"/>
    <n v="70.8"/>
    <s v="Middle"/>
    <n v="1"/>
    <s v="Multi-Day"/>
    <n v="0"/>
    <n v="1"/>
    <s v="Main Entrance"/>
    <s v="None/Walked from Resort"/>
    <n v="9"/>
    <n v="10"/>
    <x v="942"/>
  </r>
  <r>
    <n v="965"/>
    <n v="307"/>
    <d v="2026-09-11T00:00:00"/>
    <s v="Friday"/>
    <n v="9"/>
    <n v="8.1199999999999992"/>
    <x v="0"/>
    <x v="74"/>
    <s v="Male"/>
    <n v="67.900000000000006"/>
    <n v="190.5"/>
    <n v="29"/>
    <n v="15"/>
    <s v="CA"/>
    <n v="3"/>
    <n v="70.8"/>
    <s v="Middle"/>
    <n v="1"/>
    <s v="Multi-Day"/>
    <n v="0"/>
    <n v="1"/>
    <s v="Main Entrance"/>
    <s v="None/Walked from Resort"/>
    <n v="7.4"/>
    <n v="6"/>
    <x v="943"/>
  </r>
  <r>
    <n v="966"/>
    <n v="308"/>
    <d v="2026-10-19T00:00:00"/>
    <s v="Monday"/>
    <n v="10"/>
    <n v="12.37"/>
    <x v="1"/>
    <x v="21"/>
    <s v="Female"/>
    <n v="63.9"/>
    <n v="127.5"/>
    <n v="21.8"/>
    <n v="18"/>
    <s v="CA"/>
    <n v="2"/>
    <n v="86.9"/>
    <s v="High"/>
    <n v="1"/>
    <s v="Single-Day"/>
    <n v="1"/>
    <n v="0"/>
    <s v="Main Entrance"/>
    <s v="Pixar Pals"/>
    <n v="7.5"/>
    <n v="10"/>
    <x v="944"/>
  </r>
  <r>
    <n v="967"/>
    <n v="308"/>
    <d v="2026-10-19T00:00:00"/>
    <s v="Monday"/>
    <n v="10"/>
    <n v="11.98"/>
    <x v="1"/>
    <x v="40"/>
    <s v="Male"/>
    <n v="70"/>
    <n v="117.8"/>
    <n v="16.899999999999999"/>
    <n v="16"/>
    <s v="CA"/>
    <n v="2"/>
    <n v="86.9"/>
    <s v="High"/>
    <n v="1"/>
    <s v="Single-Day"/>
    <n v="1"/>
    <n v="0"/>
    <s v="Main Entrance"/>
    <s v="Pixar Pals"/>
    <n v="7.8"/>
    <n v="9"/>
    <x v="945"/>
  </r>
  <r>
    <n v="968"/>
    <n v="309"/>
    <d v="2026-07-05T00:00:00"/>
    <s v="Sunday"/>
    <n v="7"/>
    <n v="14.58"/>
    <x v="1"/>
    <x v="60"/>
    <s v="Male"/>
    <n v="68.2"/>
    <n v="122.7"/>
    <n v="18.399999999999999"/>
    <n v="10"/>
    <s v="CA"/>
    <n v="2"/>
    <n v="62.2"/>
    <s v="Low"/>
    <n v="0"/>
    <s v="Park Hopper"/>
    <n v="0"/>
    <n v="0"/>
    <s v="Downtown Disney Gate"/>
    <s v="Pixar Pals"/>
    <n v="7.4"/>
    <n v="8"/>
    <x v="946"/>
  </r>
  <r>
    <n v="969"/>
    <n v="309"/>
    <d v="2026-07-05T00:00:00"/>
    <s v="Sunday"/>
    <n v="7"/>
    <n v="14.51"/>
    <x v="1"/>
    <x v="39"/>
    <s v="Male"/>
    <n v="61.2"/>
    <n v="181.9"/>
    <n v="34.299999999999997"/>
    <n v="15"/>
    <s v="CA"/>
    <n v="2"/>
    <n v="62.2"/>
    <s v="Low"/>
    <n v="0"/>
    <s v="Park Hopper"/>
    <n v="0"/>
    <n v="0"/>
    <s v="Downtown Disney Gate"/>
    <s v="Pixar Pals"/>
    <n v="7.6"/>
    <n v="2"/>
    <x v="947"/>
  </r>
  <r>
    <n v="970"/>
    <n v="310"/>
    <d v="2026-11-10T00:00:00"/>
    <s v="Tuesday"/>
    <n v="11"/>
    <n v="12.15"/>
    <x v="1"/>
    <x v="43"/>
    <s v="Male"/>
    <n v="76.8"/>
    <n v="190.1"/>
    <n v="22.6"/>
    <n v="18"/>
    <s v="WA"/>
    <n v="3"/>
    <n v="1235.4000000000001"/>
    <s v="High"/>
    <n v="1"/>
    <s v="Park Hopper"/>
    <n v="1"/>
    <n v="0"/>
    <s v="Main Entrance"/>
    <s v="Toy Story Lot"/>
    <n v="7"/>
    <n v="9"/>
    <x v="948"/>
  </r>
  <r>
    <n v="971"/>
    <n v="310"/>
    <d v="2026-11-10T00:00:00"/>
    <s v="Tuesday"/>
    <n v="11"/>
    <n v="12.48"/>
    <x v="1"/>
    <x v="72"/>
    <s v="Male"/>
    <n v="76.099999999999994"/>
    <n v="232.7"/>
    <n v="28.3"/>
    <n v="21"/>
    <s v="WA"/>
    <n v="3"/>
    <n v="1235.4000000000001"/>
    <s v="High"/>
    <n v="1"/>
    <s v="Park Hopper"/>
    <n v="1"/>
    <n v="0"/>
    <s v="Main Entrance"/>
    <s v="Toy Story Lot"/>
    <n v="7.4"/>
    <n v="13"/>
    <x v="949"/>
  </r>
  <r>
    <n v="972"/>
    <n v="310"/>
    <d v="2026-11-10T00:00:00"/>
    <s v="Tuesday"/>
    <n v="11"/>
    <n v="12.3"/>
    <x v="1"/>
    <x v="37"/>
    <s v="Male"/>
    <n v="67.400000000000006"/>
    <n v="148"/>
    <n v="22.9"/>
    <n v="17"/>
    <s v="WA"/>
    <n v="3"/>
    <n v="1235.4000000000001"/>
    <s v="High"/>
    <n v="1"/>
    <s v="Park Hopper"/>
    <n v="1"/>
    <n v="0"/>
    <s v="Main Entrance"/>
    <s v="Toy Story Lot"/>
    <n v="10.3"/>
    <n v="15"/>
    <x v="950"/>
  </r>
  <r>
    <n v="973"/>
    <n v="311"/>
    <d v="2026-03-10T00:00:00"/>
    <s v="Tuesday"/>
    <n v="3"/>
    <n v="12.4"/>
    <x v="1"/>
    <x v="3"/>
    <s v="Male"/>
    <n v="63.7"/>
    <n v="128.30000000000001"/>
    <n v="22.4"/>
    <n v="13"/>
    <s v="AZ"/>
    <n v="3"/>
    <n v="365.6"/>
    <s v="Low"/>
    <n v="0"/>
    <s v="Single-Day"/>
    <n v="0"/>
    <n v="0"/>
    <s v="Main Entrance"/>
    <s v="Pixar Pals"/>
    <n v="9.1999999999999993"/>
    <n v="12"/>
    <x v="951"/>
  </r>
  <r>
    <n v="974"/>
    <n v="311"/>
    <d v="2026-03-10T00:00:00"/>
    <s v="Tuesday"/>
    <n v="3"/>
    <n v="12.42"/>
    <x v="1"/>
    <x v="7"/>
    <s v="Male"/>
    <n v="61.4"/>
    <n v="106.3"/>
    <n v="20"/>
    <n v="7"/>
    <s v="AZ"/>
    <n v="3"/>
    <n v="365.6"/>
    <s v="Low"/>
    <n v="0"/>
    <s v="Single-Day"/>
    <n v="0"/>
    <n v="0"/>
    <s v="Main Entrance"/>
    <s v="Pixar Pals"/>
    <n v="9"/>
    <n v="13"/>
    <x v="952"/>
  </r>
  <r>
    <n v="975"/>
    <n v="311"/>
    <d v="2026-03-10T00:00:00"/>
    <s v="Tuesday"/>
    <n v="3"/>
    <n v="12.24"/>
    <x v="1"/>
    <x v="41"/>
    <s v="Female"/>
    <n v="62.1"/>
    <n v="132.9"/>
    <n v="24.2"/>
    <n v="9"/>
    <s v="AZ"/>
    <n v="3"/>
    <n v="365.6"/>
    <s v="Low"/>
    <n v="0"/>
    <s v="Single-Day"/>
    <n v="0"/>
    <n v="0"/>
    <s v="Main Entrance"/>
    <s v="Pixar Pals"/>
    <n v="8.1"/>
    <n v="10"/>
    <x v="953"/>
  </r>
  <r>
    <n v="976"/>
    <n v="312"/>
    <d v="2026-07-22T00:00:00"/>
    <s v="Wednesday"/>
    <n v="7"/>
    <n v="11.64"/>
    <x v="1"/>
    <x v="52"/>
    <s v="Female"/>
    <n v="65"/>
    <n v="177.5"/>
    <n v="29.6"/>
    <n v="17"/>
    <s v="CO"/>
    <n v="5"/>
    <n v="1206"/>
    <s v="Middle"/>
    <n v="1"/>
    <s v="Single-Day"/>
    <n v="0"/>
    <n v="0"/>
    <s v="Main Entrance"/>
    <s v="None/Dropoff/Transit"/>
    <n v="9.1999999999999993"/>
    <n v="7"/>
    <x v="954"/>
  </r>
  <r>
    <n v="977"/>
    <n v="312"/>
    <d v="2026-07-22T00:00:00"/>
    <s v="Wednesday"/>
    <n v="7"/>
    <n v="11.75"/>
    <x v="1"/>
    <x v="72"/>
    <s v="Female"/>
    <n v="62.8"/>
    <n v="160.4"/>
    <n v="28.4"/>
    <n v="16"/>
    <s v="CO"/>
    <n v="5"/>
    <n v="1206"/>
    <s v="Middle"/>
    <n v="1"/>
    <s v="Single-Day"/>
    <n v="0"/>
    <n v="0"/>
    <s v="Main Entrance"/>
    <s v="None/Dropoff/Transit"/>
    <n v="8.3000000000000007"/>
    <n v="7"/>
    <x v="955"/>
  </r>
  <r>
    <n v="978"/>
    <n v="312"/>
    <d v="2026-07-22T00:00:00"/>
    <s v="Wednesday"/>
    <n v="7"/>
    <n v="11.89"/>
    <x v="1"/>
    <x v="38"/>
    <s v="Female"/>
    <n v="65.400000000000006"/>
    <n v="165"/>
    <n v="26.8"/>
    <n v="11"/>
    <s v="CO"/>
    <n v="5"/>
    <n v="1206"/>
    <s v="Middle"/>
    <n v="1"/>
    <s v="Single-Day"/>
    <n v="0"/>
    <n v="0"/>
    <s v="Main Entrance"/>
    <s v="None/Dropoff/Transit"/>
    <n v="10.199999999999999"/>
    <n v="11"/>
    <x v="956"/>
  </r>
  <r>
    <n v="979"/>
    <n v="312"/>
    <d v="2026-07-22T00:00:00"/>
    <s v="Wednesday"/>
    <n v="7"/>
    <n v="11.84"/>
    <x v="1"/>
    <x v="1"/>
    <s v="Male"/>
    <n v="67.3"/>
    <n v="181.9"/>
    <n v="28.1"/>
    <n v="14"/>
    <s v="CO"/>
    <n v="5"/>
    <n v="1206"/>
    <s v="Middle"/>
    <n v="1"/>
    <s v="Single-Day"/>
    <n v="0"/>
    <n v="0"/>
    <s v="Main Entrance"/>
    <s v="None/Dropoff/Transit"/>
    <n v="9"/>
    <n v="5"/>
    <x v="957"/>
  </r>
  <r>
    <n v="980"/>
    <n v="312"/>
    <d v="2026-07-22T00:00:00"/>
    <s v="Wednesday"/>
    <n v="7"/>
    <n v="11.63"/>
    <x v="1"/>
    <x v="27"/>
    <s v="Male"/>
    <n v="65.900000000000006"/>
    <n v="171.5"/>
    <n v="27.7"/>
    <n v="14"/>
    <s v="CO"/>
    <n v="5"/>
    <n v="1206"/>
    <s v="Middle"/>
    <n v="1"/>
    <s v="Single-Day"/>
    <n v="0"/>
    <n v="0"/>
    <s v="Main Entrance"/>
    <s v="None/Dropoff/Transit"/>
    <n v="9"/>
    <n v="12"/>
    <x v="958"/>
  </r>
  <r>
    <n v="981"/>
    <n v="313"/>
    <d v="2026-09-04T00:00:00"/>
    <s v="Friday"/>
    <n v="9"/>
    <n v="12.72"/>
    <x v="1"/>
    <x v="27"/>
    <s v="Female"/>
    <n v="58.2"/>
    <n v="88.9"/>
    <n v="18.399999999999999"/>
    <n v="16"/>
    <s v="TX"/>
    <n v="2"/>
    <n v="1906.5"/>
    <s v="High"/>
    <n v="0"/>
    <s v="Multi-Day"/>
    <n v="0"/>
    <n v="1"/>
    <s v="Main Entrance"/>
    <s v="Mickey &amp; Friends"/>
    <n v="8.5"/>
    <n v="18"/>
    <x v="959"/>
  </r>
  <r>
    <n v="982"/>
    <n v="313"/>
    <d v="2026-09-04T00:00:00"/>
    <s v="Friday"/>
    <n v="9"/>
    <n v="12.75"/>
    <x v="1"/>
    <x v="58"/>
    <s v="Female"/>
    <n v="66.099999999999994"/>
    <n v="176.7"/>
    <n v="28.7"/>
    <n v="16"/>
    <s v="TX"/>
    <n v="2"/>
    <n v="1906.5"/>
    <s v="High"/>
    <n v="0"/>
    <s v="Multi-Day"/>
    <n v="0"/>
    <n v="1"/>
    <s v="Main Entrance"/>
    <s v="Mickey &amp; Friends"/>
    <n v="7.4"/>
    <n v="9"/>
    <x v="960"/>
  </r>
  <r>
    <n v="983"/>
    <n v="314"/>
    <d v="2026-03-21T00:00:00"/>
    <s v="Saturday"/>
    <n v="3"/>
    <n v="11.03"/>
    <x v="1"/>
    <x v="19"/>
    <s v="Female"/>
    <n v="65.3"/>
    <n v="140.6"/>
    <n v="23.2"/>
    <n v="14"/>
    <s v="Other"/>
    <n v="6"/>
    <n v="1874.3"/>
    <s v="Middle"/>
    <n v="1"/>
    <s v="Single-Day"/>
    <n v="0"/>
    <n v="0"/>
    <s v="Main Entrance"/>
    <s v="Mickey &amp; Friends"/>
    <n v="8.3000000000000007"/>
    <n v="12"/>
    <x v="961"/>
  </r>
  <r>
    <n v="984"/>
    <n v="314"/>
    <d v="2026-03-21T00:00:00"/>
    <s v="Saturday"/>
    <n v="3"/>
    <n v="10.94"/>
    <x v="0"/>
    <x v="60"/>
    <s v="Male"/>
    <n v="63.2"/>
    <n v="97.9"/>
    <n v="17.399999999999999"/>
    <n v="9"/>
    <s v="Other"/>
    <n v="6"/>
    <n v="1874.3"/>
    <s v="Middle"/>
    <n v="1"/>
    <s v="Single-Day"/>
    <n v="0"/>
    <n v="0"/>
    <s v="Main Entrance"/>
    <s v="Mickey &amp; Friends"/>
    <n v="9.1999999999999993"/>
    <n v="6"/>
    <x v="962"/>
  </r>
  <r>
    <n v="985"/>
    <n v="314"/>
    <d v="2026-03-21T00:00:00"/>
    <s v="Saturday"/>
    <n v="3"/>
    <n v="11.09"/>
    <x v="1"/>
    <x v="9"/>
    <s v="Female"/>
    <n v="66.3"/>
    <n v="199.9"/>
    <n v="31.9"/>
    <n v="19"/>
    <s v="Other"/>
    <n v="6"/>
    <n v="1874.3"/>
    <s v="Middle"/>
    <n v="1"/>
    <s v="Single-Day"/>
    <n v="0"/>
    <n v="0"/>
    <s v="Main Entrance"/>
    <s v="Mickey &amp; Friends"/>
    <n v="9.1999999999999993"/>
    <n v="10"/>
    <x v="963"/>
  </r>
  <r>
    <n v="986"/>
    <n v="314"/>
    <d v="2026-03-21T00:00:00"/>
    <s v="Saturday"/>
    <n v="3"/>
    <n v="10.89"/>
    <x v="0"/>
    <x v="66"/>
    <s v="Male"/>
    <n v="67.2"/>
    <n v="157.1"/>
    <n v="24.4"/>
    <n v="18"/>
    <s v="Other"/>
    <n v="6"/>
    <n v="1874.3"/>
    <s v="Middle"/>
    <n v="1"/>
    <s v="Single-Day"/>
    <n v="0"/>
    <n v="0"/>
    <s v="Main Entrance"/>
    <s v="Mickey &amp; Friends"/>
    <n v="8.1"/>
    <n v="3"/>
    <x v="964"/>
  </r>
  <r>
    <n v="987"/>
    <n v="314"/>
    <d v="2026-03-21T00:00:00"/>
    <s v="Saturday"/>
    <n v="3"/>
    <n v="11.1"/>
    <x v="1"/>
    <x v="21"/>
    <s v="Female"/>
    <n v="65"/>
    <n v="157"/>
    <n v="26.3"/>
    <n v="14"/>
    <s v="Other"/>
    <n v="6"/>
    <n v="1874.3"/>
    <s v="Middle"/>
    <n v="1"/>
    <s v="Single-Day"/>
    <n v="0"/>
    <n v="0"/>
    <s v="Main Entrance"/>
    <s v="Mickey &amp; Friends"/>
    <n v="8.9"/>
    <n v="6"/>
    <x v="965"/>
  </r>
  <r>
    <n v="988"/>
    <n v="314"/>
    <d v="2026-03-21T00:00:00"/>
    <s v="Saturday"/>
    <n v="3"/>
    <n v="10.88"/>
    <x v="0"/>
    <x v="53"/>
    <s v="Male"/>
    <n v="50.4"/>
    <n v="72.099999999999994"/>
    <n v="20"/>
    <n v="16"/>
    <s v="Other"/>
    <n v="6"/>
    <n v="1874.3"/>
    <s v="Middle"/>
    <n v="1"/>
    <s v="Single-Day"/>
    <n v="0"/>
    <n v="0"/>
    <s v="Main Entrance"/>
    <s v="Mickey &amp; Friends"/>
    <n v="10.3"/>
    <n v="12"/>
    <x v="966"/>
  </r>
  <r>
    <n v="989"/>
    <n v="315"/>
    <d v="2026-02-14T00:00:00"/>
    <s v="Saturday"/>
    <n v="2"/>
    <n v="10.64"/>
    <x v="0"/>
    <x v="20"/>
    <s v="Female"/>
    <n v="70"/>
    <n v="112"/>
    <n v="16.100000000000001"/>
    <n v="9"/>
    <s v="CA"/>
    <n v="2"/>
    <n v="110.1"/>
    <s v="Low"/>
    <n v="0"/>
    <s v="Park Hopper"/>
    <n v="0"/>
    <n v="0"/>
    <s v="Main Entrance"/>
    <s v="Mickey &amp; Friends"/>
    <n v="10.4"/>
    <n v="6"/>
    <x v="967"/>
  </r>
  <r>
    <n v="990"/>
    <n v="315"/>
    <d v="2026-02-14T00:00:00"/>
    <s v="Saturday"/>
    <n v="2"/>
    <n v="10.58"/>
    <x v="0"/>
    <x v="41"/>
    <s v="Male"/>
    <n v="74.900000000000006"/>
    <n v="235.4"/>
    <n v="29.6"/>
    <n v="12"/>
    <s v="CA"/>
    <n v="2"/>
    <n v="110.1"/>
    <s v="Low"/>
    <n v="0"/>
    <s v="Park Hopper"/>
    <n v="0"/>
    <n v="0"/>
    <s v="Main Entrance"/>
    <s v="Mickey &amp; Friends"/>
    <n v="10.9"/>
    <n v="9"/>
    <x v="968"/>
  </r>
  <r>
    <n v="991"/>
    <n v="316"/>
    <d v="2026-08-03T00:00:00"/>
    <s v="Monday"/>
    <n v="8"/>
    <n v="9.44"/>
    <x v="0"/>
    <x v="2"/>
    <s v="Female"/>
    <n v="62.5"/>
    <n v="130.9"/>
    <n v="23.5"/>
    <n v="13"/>
    <s v="WA"/>
    <n v="2"/>
    <n v="1215.4000000000001"/>
    <s v="Low"/>
    <n v="1"/>
    <s v="Multi-Day"/>
    <n v="0"/>
    <n v="0"/>
    <s v="Main Entrance"/>
    <s v="Toy Story Lot"/>
    <n v="7.7"/>
    <n v="8"/>
    <x v="969"/>
  </r>
  <r>
    <n v="992"/>
    <n v="316"/>
    <d v="2026-08-03T00:00:00"/>
    <s v="Monday"/>
    <n v="8"/>
    <n v="9.5299999999999994"/>
    <x v="0"/>
    <x v="23"/>
    <s v="Male"/>
    <n v="65.3"/>
    <n v="125.7"/>
    <n v="20.8"/>
    <n v="16"/>
    <s v="WA"/>
    <n v="2"/>
    <n v="1215.4000000000001"/>
    <s v="Low"/>
    <n v="1"/>
    <s v="Multi-Day"/>
    <n v="0"/>
    <n v="0"/>
    <s v="Main Entrance"/>
    <s v="Toy Story Lot"/>
    <n v="10.1"/>
    <n v="10"/>
    <x v="970"/>
  </r>
  <r>
    <n v="993"/>
    <n v="317"/>
    <d v="2026-11-16T00:00:00"/>
    <s v="Monday"/>
    <n v="11"/>
    <n v="12.48"/>
    <x v="1"/>
    <x v="71"/>
    <s v="Female"/>
    <n v="63.8"/>
    <n v="124.1"/>
    <n v="21.2"/>
    <n v="11"/>
    <s v="Other"/>
    <n v="6"/>
    <n v="1404.1"/>
    <s v="Low"/>
    <n v="0"/>
    <s v="Single-Day"/>
    <n v="0"/>
    <n v="0"/>
    <s v="Main Entrance"/>
    <s v="Mickey &amp; Friends"/>
    <n v="8"/>
    <n v="8"/>
    <x v="971"/>
  </r>
  <r>
    <n v="994"/>
    <n v="317"/>
    <d v="2026-11-16T00:00:00"/>
    <s v="Monday"/>
    <n v="11"/>
    <n v="12.41"/>
    <x v="1"/>
    <x v="73"/>
    <s v="Female"/>
    <n v="70"/>
    <n v="169.4"/>
    <n v="24.3"/>
    <n v="9"/>
    <s v="Other"/>
    <n v="6"/>
    <n v="1404.1"/>
    <s v="Low"/>
    <n v="0"/>
    <s v="Single-Day"/>
    <n v="0"/>
    <n v="0"/>
    <s v="Main Entrance"/>
    <s v="Mickey &amp; Friends"/>
    <n v="8.1999999999999993"/>
    <n v="6"/>
    <x v="972"/>
  </r>
  <r>
    <n v="995"/>
    <n v="317"/>
    <d v="2026-11-16T00:00:00"/>
    <s v="Monday"/>
    <n v="11"/>
    <n v="12.38"/>
    <x v="1"/>
    <x v="41"/>
    <s v="Female"/>
    <n v="63.5"/>
    <n v="127.7"/>
    <n v="22.3"/>
    <n v="18"/>
    <s v="Other"/>
    <n v="6"/>
    <n v="1404.1"/>
    <s v="Low"/>
    <n v="0"/>
    <s v="Single-Day"/>
    <n v="0"/>
    <n v="0"/>
    <s v="Main Entrance"/>
    <s v="Mickey &amp; Friends"/>
    <n v="6.2"/>
    <n v="6"/>
    <x v="973"/>
  </r>
  <r>
    <n v="996"/>
    <n v="317"/>
    <d v="2026-11-16T00:00:00"/>
    <s v="Monday"/>
    <n v="11"/>
    <n v="12.49"/>
    <x v="1"/>
    <x v="25"/>
    <s v="Male"/>
    <n v="68.5"/>
    <n v="187"/>
    <n v="28.3"/>
    <n v="17"/>
    <s v="Other"/>
    <n v="6"/>
    <n v="1404.1"/>
    <s v="Low"/>
    <n v="0"/>
    <s v="Single-Day"/>
    <n v="0"/>
    <n v="0"/>
    <s v="Main Entrance"/>
    <s v="Mickey &amp; Friends"/>
    <n v="8.6999999999999993"/>
    <n v="9"/>
    <x v="974"/>
  </r>
  <r>
    <n v="997"/>
    <n v="317"/>
    <d v="2026-11-16T00:00:00"/>
    <s v="Monday"/>
    <n v="11"/>
    <n v="12.61"/>
    <x v="1"/>
    <x v="23"/>
    <s v="Male"/>
    <n v="70"/>
    <n v="208.1"/>
    <n v="29.7"/>
    <n v="16"/>
    <s v="Other"/>
    <n v="6"/>
    <n v="1404.1"/>
    <s v="Low"/>
    <n v="0"/>
    <s v="Single-Day"/>
    <n v="0"/>
    <n v="0"/>
    <s v="Main Entrance"/>
    <s v="Mickey &amp; Friends"/>
    <n v="4.8"/>
    <n v="8"/>
    <x v="975"/>
  </r>
  <r>
    <n v="998"/>
    <n v="317"/>
    <d v="2026-11-16T00:00:00"/>
    <s v="Monday"/>
    <n v="11"/>
    <n v="12.81"/>
    <x v="1"/>
    <x v="23"/>
    <s v="Female"/>
    <n v="63.2"/>
    <n v="138.4"/>
    <n v="24.4"/>
    <n v="15"/>
    <s v="Other"/>
    <n v="6"/>
    <n v="1404.1"/>
    <s v="Low"/>
    <n v="0"/>
    <s v="Single-Day"/>
    <n v="0"/>
    <n v="0"/>
    <s v="Main Entrance"/>
    <s v="Mickey &amp; Friends"/>
    <n v="8.1"/>
    <n v="6"/>
    <x v="976"/>
  </r>
  <r>
    <n v="999"/>
    <n v="318"/>
    <d v="2026-07-01T00:00:00"/>
    <s v="Wednesday"/>
    <n v="7"/>
    <n v="7.7"/>
    <x v="0"/>
    <x v="37"/>
    <s v="Male"/>
    <n v="70.099999999999994"/>
    <n v="193"/>
    <n v="27.4"/>
    <n v="18"/>
    <s v="AZ"/>
    <n v="3"/>
    <n v="568.70000000000005"/>
    <s v="Low"/>
    <n v="0"/>
    <s v="Park Hopper"/>
    <n v="0"/>
    <n v="1"/>
    <s v="Main Entrance"/>
    <s v="None/Walked from Resort"/>
    <n v="7.1"/>
    <n v="6"/>
    <x v="977"/>
  </r>
  <r>
    <n v="1000"/>
    <n v="318"/>
    <d v="2026-07-01T00:00:00"/>
    <s v="Wednesday"/>
    <n v="7"/>
    <n v="7.73"/>
    <x v="0"/>
    <x v="23"/>
    <s v="Female"/>
    <n v="62.7"/>
    <n v="158.1"/>
    <n v="28.6"/>
    <n v="13"/>
    <s v="AZ"/>
    <n v="3"/>
    <n v="568.70000000000005"/>
    <s v="Low"/>
    <n v="0"/>
    <s v="Park Hopper"/>
    <n v="0"/>
    <n v="1"/>
    <s v="Main Entrance"/>
    <s v="None/Walked from Resort"/>
    <n v="10.8"/>
    <n v="7"/>
    <x v="978"/>
  </r>
  <r>
    <n v="1001"/>
    <n v="318"/>
    <d v="2026-07-01T00:00:00"/>
    <s v="Wednesday"/>
    <n v="7"/>
    <n v="7.65"/>
    <x v="0"/>
    <x v="0"/>
    <s v="Female"/>
    <n v="60.2"/>
    <n v="139.5"/>
    <n v="27.2"/>
    <n v="17"/>
    <s v="AZ"/>
    <n v="3"/>
    <n v="568.70000000000005"/>
    <s v="Low"/>
    <n v="0"/>
    <s v="Park Hopper"/>
    <n v="0"/>
    <n v="1"/>
    <s v="Main Entrance"/>
    <s v="None/Walked from Resort"/>
    <n v="7.1"/>
    <n v="7"/>
    <x v="979"/>
  </r>
  <r>
    <n v="1002"/>
    <n v="319"/>
    <d v="2026-02-08T00:00:00"/>
    <s v="Sunday"/>
    <n v="2"/>
    <n v="10.15"/>
    <x v="0"/>
    <x v="21"/>
    <s v="Female"/>
    <n v="65.400000000000006"/>
    <n v="176.4"/>
    <n v="29.1"/>
    <n v="15"/>
    <s v="MN"/>
    <n v="2"/>
    <n v="2232.1"/>
    <s v="Middle"/>
    <n v="0"/>
    <s v="Park Hopper"/>
    <n v="1"/>
    <n v="1"/>
    <s v="Downtown Disney Gate"/>
    <s v="None/Walked from Resort"/>
    <n v="9.1"/>
    <n v="10"/>
    <x v="980"/>
  </r>
  <r>
    <n v="1003"/>
    <n v="319"/>
    <d v="2026-02-08T00:00:00"/>
    <s v="Sunday"/>
    <n v="2"/>
    <n v="10.17"/>
    <x v="0"/>
    <x v="68"/>
    <s v="Female"/>
    <n v="66.8"/>
    <n v="132"/>
    <n v="20.8"/>
    <n v="15"/>
    <s v="MN"/>
    <n v="2"/>
    <n v="2232.1"/>
    <s v="Middle"/>
    <n v="0"/>
    <s v="Park Hopper"/>
    <n v="1"/>
    <n v="1"/>
    <s v="Downtown Disney Gate"/>
    <s v="None/Walked from Resort"/>
    <n v="9.8000000000000007"/>
    <n v="17"/>
    <x v="981"/>
  </r>
  <r>
    <n v="1004"/>
    <n v="320"/>
    <d v="2026-07-24T00:00:00"/>
    <s v="Friday"/>
    <n v="7"/>
    <n v="9.33"/>
    <x v="0"/>
    <x v="34"/>
    <s v="Male"/>
    <n v="64.3"/>
    <n v="129.19999999999999"/>
    <n v="21.9"/>
    <n v="16"/>
    <s v="Other"/>
    <n v="6"/>
    <n v="1013.2"/>
    <s v="Low"/>
    <n v="1"/>
    <s v="Multi-Day"/>
    <n v="0"/>
    <n v="1"/>
    <s v="Main Entrance"/>
    <s v="Mickey &amp; Friends"/>
    <n v="11.9"/>
    <n v="16"/>
    <x v="570"/>
  </r>
  <r>
    <n v="1005"/>
    <n v="320"/>
    <d v="2026-07-24T00:00:00"/>
    <s v="Friday"/>
    <n v="7"/>
    <n v="9.56"/>
    <x v="0"/>
    <x v="2"/>
    <s v="Male"/>
    <n v="77.3"/>
    <n v="221.5"/>
    <n v="25.8"/>
    <n v="11"/>
    <s v="Other"/>
    <n v="6"/>
    <n v="1013.2"/>
    <s v="Low"/>
    <n v="1"/>
    <s v="Multi-Day"/>
    <n v="0"/>
    <n v="1"/>
    <s v="Main Entrance"/>
    <s v="Mickey &amp; Friends"/>
    <n v="8.6999999999999993"/>
    <n v="11"/>
    <x v="982"/>
  </r>
  <r>
    <n v="1006"/>
    <n v="320"/>
    <d v="2026-07-24T00:00:00"/>
    <s v="Friday"/>
    <n v="7"/>
    <n v="9.3699999999999992"/>
    <x v="0"/>
    <x v="71"/>
    <s v="Male"/>
    <n v="69.2"/>
    <n v="151.5"/>
    <n v="22.2"/>
    <n v="13"/>
    <s v="Other"/>
    <n v="6"/>
    <n v="1013.2"/>
    <s v="Low"/>
    <n v="1"/>
    <s v="Multi-Day"/>
    <n v="0"/>
    <n v="1"/>
    <s v="Main Entrance"/>
    <s v="Mickey &amp; Friends"/>
    <n v="8.4"/>
    <n v="5"/>
    <x v="983"/>
  </r>
  <r>
    <n v="1007"/>
    <n v="320"/>
    <d v="2026-07-24T00:00:00"/>
    <s v="Friday"/>
    <n v="7"/>
    <n v="9.6"/>
    <x v="0"/>
    <x v="74"/>
    <s v="Female"/>
    <n v="64.7"/>
    <n v="119.1"/>
    <n v="20"/>
    <n v="18"/>
    <s v="Other"/>
    <n v="6"/>
    <n v="1013.2"/>
    <s v="Low"/>
    <n v="1"/>
    <s v="Multi-Day"/>
    <n v="0"/>
    <n v="1"/>
    <s v="Main Entrance"/>
    <s v="Mickey &amp; Friends"/>
    <n v="10.8"/>
    <n v="7"/>
    <x v="984"/>
  </r>
  <r>
    <n v="1008"/>
    <n v="320"/>
    <d v="2026-07-24T00:00:00"/>
    <s v="Friday"/>
    <n v="7"/>
    <n v="9.49"/>
    <x v="0"/>
    <x v="5"/>
    <s v="Female"/>
    <n v="62.1"/>
    <n v="150.30000000000001"/>
    <n v="27.3"/>
    <n v="15"/>
    <s v="Other"/>
    <n v="6"/>
    <n v="1013.2"/>
    <s v="Low"/>
    <n v="1"/>
    <s v="Multi-Day"/>
    <n v="0"/>
    <n v="1"/>
    <s v="Main Entrance"/>
    <s v="Mickey &amp; Friends"/>
    <n v="10"/>
    <n v="7"/>
    <x v="985"/>
  </r>
  <r>
    <n v="1009"/>
    <n v="320"/>
    <d v="2026-07-24T00:00:00"/>
    <s v="Friday"/>
    <n v="7"/>
    <n v="9.64"/>
    <x v="0"/>
    <x v="17"/>
    <s v="Male"/>
    <n v="65.599999999999994"/>
    <n v="147.1"/>
    <n v="24.2"/>
    <n v="13"/>
    <s v="Other"/>
    <n v="6"/>
    <n v="1013.2"/>
    <s v="Low"/>
    <n v="1"/>
    <s v="Multi-Day"/>
    <n v="0"/>
    <n v="1"/>
    <s v="Main Entrance"/>
    <s v="Mickey &amp; Friends"/>
    <n v="7.7"/>
    <n v="9"/>
    <x v="986"/>
  </r>
  <r>
    <n v="1010"/>
    <n v="321"/>
    <d v="2026-06-06T00:00:00"/>
    <s v="Saturday"/>
    <n v="6"/>
    <n v="9.85"/>
    <x v="0"/>
    <x v="31"/>
    <s v="Female"/>
    <n v="72"/>
    <n v="185.4"/>
    <n v="25.1"/>
    <n v="15"/>
    <s v="MN"/>
    <n v="3"/>
    <n v="1065.4000000000001"/>
    <s v="Middle"/>
    <n v="1"/>
    <s v="Single-Day"/>
    <n v="0"/>
    <n v="1"/>
    <s v="Main Entrance"/>
    <s v="Mickey &amp; Friends"/>
    <n v="5.8"/>
    <n v="3"/>
    <x v="987"/>
  </r>
  <r>
    <n v="1011"/>
    <n v="321"/>
    <d v="2026-06-06T00:00:00"/>
    <s v="Saturday"/>
    <n v="6"/>
    <n v="9.8800000000000008"/>
    <x v="0"/>
    <x v="32"/>
    <s v="Female"/>
    <n v="55.6"/>
    <n v="75.2"/>
    <n v="17.100000000000001"/>
    <n v="14"/>
    <s v="MN"/>
    <n v="3"/>
    <n v="1065.4000000000001"/>
    <s v="Middle"/>
    <n v="1"/>
    <s v="Single-Day"/>
    <n v="0"/>
    <n v="1"/>
    <s v="Main Entrance"/>
    <s v="Mickey &amp; Friends"/>
    <n v="12.1"/>
    <n v="3"/>
    <x v="988"/>
  </r>
  <r>
    <n v="1012"/>
    <n v="321"/>
    <d v="2026-06-06T00:00:00"/>
    <s v="Saturday"/>
    <n v="6"/>
    <n v="10.06"/>
    <x v="0"/>
    <x v="25"/>
    <s v="Male"/>
    <n v="66.7"/>
    <n v="192.1"/>
    <n v="30.6"/>
    <n v="15"/>
    <s v="MN"/>
    <n v="3"/>
    <n v="1065.4000000000001"/>
    <s v="Middle"/>
    <n v="1"/>
    <s v="Single-Day"/>
    <n v="0"/>
    <n v="1"/>
    <s v="Main Entrance"/>
    <s v="Mickey &amp; Friends"/>
    <n v="7"/>
    <n v="4"/>
    <x v="989"/>
  </r>
  <r>
    <n v="1013"/>
    <n v="322"/>
    <d v="2026-05-19T00:00:00"/>
    <s v="Tuesday"/>
    <n v="5"/>
    <n v="11.3"/>
    <x v="1"/>
    <x v="25"/>
    <s v="Male"/>
    <n v="73.099999999999994"/>
    <n v="215.8"/>
    <n v="28.3"/>
    <n v="13"/>
    <s v="CA"/>
    <n v="2"/>
    <n v="54"/>
    <s v="Low"/>
    <n v="0"/>
    <s v="Single-Day"/>
    <n v="1"/>
    <n v="0"/>
    <s v="Main Entrance"/>
    <s v="Mickey &amp; Friends"/>
    <n v="8.8000000000000007"/>
    <n v="8"/>
    <x v="990"/>
  </r>
  <r>
    <n v="1014"/>
    <n v="322"/>
    <d v="2026-05-19T00:00:00"/>
    <s v="Tuesday"/>
    <n v="5"/>
    <n v="11.41"/>
    <x v="1"/>
    <x v="56"/>
    <s v="Female"/>
    <n v="67.099999999999994"/>
    <n v="154.9"/>
    <n v="24.2"/>
    <n v="14"/>
    <s v="CA"/>
    <n v="2"/>
    <n v="54"/>
    <s v="Low"/>
    <n v="0"/>
    <s v="Single-Day"/>
    <n v="1"/>
    <n v="0"/>
    <s v="Main Entrance"/>
    <s v="Mickey &amp; Friends"/>
    <n v="6.2"/>
    <n v="5"/>
    <x v="991"/>
  </r>
  <r>
    <n v="1015"/>
    <n v="323"/>
    <d v="2026-11-29T00:00:00"/>
    <s v="Sunday"/>
    <n v="11"/>
    <n v="12.31"/>
    <x v="1"/>
    <x v="18"/>
    <s v="Female"/>
    <n v="63.2"/>
    <n v="138.5"/>
    <n v="24.3"/>
    <n v="13"/>
    <s v="IA"/>
    <n v="4"/>
    <n v="1328.5"/>
    <s v="Low"/>
    <n v="1"/>
    <s v="Park Hopper"/>
    <n v="0"/>
    <n v="0"/>
    <s v="Main Entrance"/>
    <s v="Mickey &amp; Friends"/>
    <n v="8.5"/>
    <n v="9"/>
    <x v="992"/>
  </r>
  <r>
    <n v="1016"/>
    <n v="323"/>
    <d v="2026-11-29T00:00:00"/>
    <s v="Sunday"/>
    <n v="11"/>
    <n v="12.37"/>
    <x v="1"/>
    <x v="8"/>
    <s v="Male"/>
    <n v="73.400000000000006"/>
    <n v="172.8"/>
    <n v="22.3"/>
    <n v="14"/>
    <s v="IA"/>
    <n v="4"/>
    <n v="1328.5"/>
    <s v="Low"/>
    <n v="1"/>
    <s v="Park Hopper"/>
    <n v="0"/>
    <n v="0"/>
    <s v="Main Entrance"/>
    <s v="Mickey &amp; Friends"/>
    <n v="6.3"/>
    <n v="9"/>
    <x v="993"/>
  </r>
  <r>
    <n v="1017"/>
    <n v="323"/>
    <d v="2026-11-29T00:00:00"/>
    <s v="Sunday"/>
    <n v="11"/>
    <n v="12.05"/>
    <x v="1"/>
    <x v="27"/>
    <s v="Male"/>
    <n v="68.5"/>
    <n v="139.5"/>
    <n v="21.1"/>
    <n v="14"/>
    <s v="IA"/>
    <n v="4"/>
    <n v="1328.5"/>
    <s v="Low"/>
    <n v="1"/>
    <s v="Park Hopper"/>
    <n v="0"/>
    <n v="0"/>
    <s v="Main Entrance"/>
    <s v="Mickey &amp; Friends"/>
    <n v="7.2"/>
    <n v="8"/>
    <x v="994"/>
  </r>
  <r>
    <n v="1018"/>
    <n v="323"/>
    <d v="2026-11-29T00:00:00"/>
    <s v="Sunday"/>
    <n v="11"/>
    <n v="12.14"/>
    <x v="1"/>
    <x v="23"/>
    <s v="Male"/>
    <n v="68.3"/>
    <n v="172.5"/>
    <n v="25.9"/>
    <n v="9"/>
    <s v="IA"/>
    <n v="4"/>
    <n v="1328.5"/>
    <s v="Low"/>
    <n v="1"/>
    <s v="Park Hopper"/>
    <n v="0"/>
    <n v="0"/>
    <s v="Main Entrance"/>
    <s v="Mickey &amp; Friends"/>
    <n v="8.3000000000000007"/>
    <n v="11"/>
    <x v="995"/>
  </r>
  <r>
    <n v="1019"/>
    <n v="324"/>
    <d v="2026-11-18T00:00:00"/>
    <s v="Wednesday"/>
    <n v="11"/>
    <n v="11.29"/>
    <x v="1"/>
    <x v="8"/>
    <s v="Female"/>
    <n v="62.4"/>
    <n v="130.30000000000001"/>
    <n v="23.5"/>
    <n v="14"/>
    <s v="Other"/>
    <n v="3"/>
    <n v="1767"/>
    <s v="Middle"/>
    <n v="1"/>
    <s v="Multi-Day"/>
    <n v="0"/>
    <n v="0"/>
    <s v="Main Entrance"/>
    <s v="Toy Story Lot"/>
    <n v="7.8"/>
    <n v="4"/>
    <x v="996"/>
  </r>
  <r>
    <n v="1020"/>
    <n v="324"/>
    <d v="2026-11-18T00:00:00"/>
    <s v="Wednesday"/>
    <n v="11"/>
    <n v="10.99"/>
    <x v="0"/>
    <x v="33"/>
    <s v="Male"/>
    <n v="72"/>
    <n v="198.7"/>
    <n v="27.1"/>
    <n v="18"/>
    <s v="Other"/>
    <n v="3"/>
    <n v="1767"/>
    <s v="Middle"/>
    <n v="1"/>
    <s v="Multi-Day"/>
    <n v="0"/>
    <n v="0"/>
    <s v="Main Entrance"/>
    <s v="Toy Story Lot"/>
    <n v="10.1"/>
    <n v="16"/>
    <x v="997"/>
  </r>
  <r>
    <n v="1021"/>
    <n v="324"/>
    <d v="2026-11-18T00:00:00"/>
    <s v="Wednesday"/>
    <n v="11"/>
    <n v="11.13"/>
    <x v="1"/>
    <x v="37"/>
    <s v="Female"/>
    <n v="64.599999999999994"/>
    <n v="113.1"/>
    <n v="18.899999999999999"/>
    <n v="13"/>
    <s v="Other"/>
    <n v="3"/>
    <n v="1767"/>
    <s v="Middle"/>
    <n v="1"/>
    <s v="Multi-Day"/>
    <n v="0"/>
    <n v="0"/>
    <s v="Main Entrance"/>
    <s v="Toy Story Lot"/>
    <n v="8.6"/>
    <n v="10"/>
    <x v="489"/>
  </r>
  <r>
    <n v="1022"/>
    <n v="325"/>
    <d v="2026-07-04T00:00:00"/>
    <s v="Saturday"/>
    <n v="7"/>
    <n v="9.48"/>
    <x v="0"/>
    <x v="43"/>
    <s v="Female"/>
    <n v="62"/>
    <n v="150.5"/>
    <n v="27.5"/>
    <n v="14"/>
    <s v="AZ"/>
    <n v="3"/>
    <n v="224.4"/>
    <s v="Low"/>
    <n v="1"/>
    <s v="Single-Day"/>
    <n v="0"/>
    <n v="0"/>
    <s v="Main Entrance"/>
    <s v="Pixar Pals"/>
    <n v="8.1999999999999993"/>
    <n v="5"/>
    <x v="998"/>
  </r>
  <r>
    <n v="1023"/>
    <n v="325"/>
    <d v="2026-07-04T00:00:00"/>
    <s v="Saturday"/>
    <n v="7"/>
    <n v="9.7200000000000006"/>
    <x v="0"/>
    <x v="14"/>
    <s v="Female"/>
    <n v="62"/>
    <n v="126.3"/>
    <n v="23.2"/>
    <n v="16"/>
    <s v="AZ"/>
    <n v="3"/>
    <n v="224.4"/>
    <s v="Low"/>
    <n v="1"/>
    <s v="Single-Day"/>
    <n v="0"/>
    <n v="0"/>
    <s v="Main Entrance"/>
    <s v="Pixar Pals"/>
    <n v="10.5"/>
    <n v="8"/>
    <x v="999"/>
  </r>
  <r>
    <n v="1024"/>
    <n v="325"/>
    <d v="2026-07-04T00:00:00"/>
    <s v="Saturday"/>
    <n v="7"/>
    <n v="9.61"/>
    <x v="0"/>
    <x v="17"/>
    <s v="Male"/>
    <n v="65.400000000000006"/>
    <n v="109.6"/>
    <n v="17.8"/>
    <n v="15"/>
    <s v="AZ"/>
    <n v="3"/>
    <n v="224.4"/>
    <s v="Low"/>
    <n v="1"/>
    <s v="Single-Day"/>
    <n v="0"/>
    <n v="0"/>
    <s v="Main Entrance"/>
    <s v="Pixar Pals"/>
    <n v="8.4"/>
    <n v="6"/>
    <x v="1000"/>
  </r>
  <r>
    <n v="1025"/>
    <n v="326"/>
    <d v="2026-10-26T00:00:00"/>
    <s v="Monday"/>
    <n v="10"/>
    <n v="11.46"/>
    <x v="1"/>
    <x v="71"/>
    <s v="Female"/>
    <n v="62.1"/>
    <n v="108.3"/>
    <n v="19.8"/>
    <n v="19"/>
    <s v="CA"/>
    <n v="1"/>
    <n v="150.80000000000001"/>
    <s v="High"/>
    <n v="0"/>
    <s v="Single-Day"/>
    <n v="0"/>
    <n v="0"/>
    <s v="Main Entrance"/>
    <s v="Toy Story Lot"/>
    <n v="7.9"/>
    <n v="13"/>
    <x v="1001"/>
  </r>
  <r>
    <n v="1026"/>
    <n v="327"/>
    <d v="2026-02-03T00:00:00"/>
    <s v="Tuesday"/>
    <n v="2"/>
    <n v="8.44"/>
    <x v="0"/>
    <x v="36"/>
    <s v="Male"/>
    <n v="69.5"/>
    <n v="155.30000000000001"/>
    <n v="22.8"/>
    <n v="15"/>
    <s v="Other"/>
    <n v="2"/>
    <n v="1869.3"/>
    <s v="Middle"/>
    <n v="1"/>
    <s v="Single-Day"/>
    <n v="0"/>
    <n v="0"/>
    <s v="Main Entrance"/>
    <s v="Mickey &amp; Friends"/>
    <n v="7.9"/>
    <n v="13"/>
    <x v="1002"/>
  </r>
  <r>
    <n v="1027"/>
    <n v="327"/>
    <d v="2026-02-03T00:00:00"/>
    <s v="Tuesday"/>
    <n v="2"/>
    <n v="8.56"/>
    <x v="0"/>
    <x v="14"/>
    <s v="Male"/>
    <n v="64.400000000000006"/>
    <n v="139.9"/>
    <n v="23.5"/>
    <n v="16"/>
    <s v="Other"/>
    <n v="2"/>
    <n v="1869.3"/>
    <s v="Middle"/>
    <n v="1"/>
    <s v="Single-Day"/>
    <n v="0"/>
    <n v="0"/>
    <s v="Main Entrance"/>
    <s v="Mickey &amp; Friends"/>
    <n v="8.9"/>
    <n v="8"/>
    <x v="1003"/>
  </r>
  <r>
    <n v="1028"/>
    <n v="328"/>
    <d v="2026-02-10T00:00:00"/>
    <s v="Tuesday"/>
    <n v="2"/>
    <n v="9.15"/>
    <x v="0"/>
    <x v="9"/>
    <s v="Male"/>
    <n v="68.5"/>
    <n v="170.9"/>
    <n v="25.1"/>
    <n v="21"/>
    <s v="UT"/>
    <n v="5"/>
    <n v="615"/>
    <s v="High"/>
    <n v="0"/>
    <s v="Park Hopper"/>
    <n v="1"/>
    <n v="1"/>
    <s v="Downtown Disney Gate"/>
    <s v="Pixar Pals"/>
    <n v="11.1"/>
    <n v="14"/>
    <x v="1004"/>
  </r>
  <r>
    <n v="1029"/>
    <n v="328"/>
    <d v="2026-02-10T00:00:00"/>
    <s v="Tuesday"/>
    <n v="2"/>
    <n v="9.09"/>
    <x v="0"/>
    <x v="8"/>
    <s v="Female"/>
    <n v="63.3"/>
    <n v="112.1"/>
    <n v="19.7"/>
    <n v="17"/>
    <s v="UT"/>
    <n v="5"/>
    <n v="615"/>
    <s v="High"/>
    <n v="0"/>
    <s v="Park Hopper"/>
    <n v="1"/>
    <n v="1"/>
    <s v="Downtown Disney Gate"/>
    <s v="Pixar Pals"/>
    <n v="10"/>
    <n v="10"/>
    <x v="1005"/>
  </r>
  <r>
    <n v="1030"/>
    <n v="328"/>
    <d v="2026-02-10T00:00:00"/>
    <s v="Tuesday"/>
    <n v="2"/>
    <n v="8.74"/>
    <x v="0"/>
    <x v="57"/>
    <s v="Female"/>
    <n v="65.7"/>
    <n v="197.3"/>
    <n v="32.1"/>
    <n v="16"/>
    <s v="UT"/>
    <n v="5"/>
    <n v="615"/>
    <s v="High"/>
    <n v="0"/>
    <s v="Park Hopper"/>
    <n v="1"/>
    <n v="1"/>
    <s v="Downtown Disney Gate"/>
    <s v="Pixar Pals"/>
    <n v="8.5"/>
    <n v="9"/>
    <x v="1006"/>
  </r>
  <r>
    <n v="1031"/>
    <n v="328"/>
    <d v="2026-02-10T00:00:00"/>
    <s v="Tuesday"/>
    <n v="2"/>
    <n v="8.91"/>
    <x v="0"/>
    <x v="14"/>
    <s v="Male"/>
    <n v="65.900000000000006"/>
    <n v="152.80000000000001"/>
    <n v="24.7"/>
    <n v="16"/>
    <s v="UT"/>
    <n v="5"/>
    <n v="615"/>
    <s v="High"/>
    <n v="0"/>
    <s v="Park Hopper"/>
    <n v="1"/>
    <n v="1"/>
    <s v="Downtown Disney Gate"/>
    <s v="Pixar Pals"/>
    <n v="11.3"/>
    <n v="16"/>
    <x v="1007"/>
  </r>
  <r>
    <n v="1032"/>
    <n v="328"/>
    <d v="2026-02-10T00:00:00"/>
    <s v="Tuesday"/>
    <n v="2"/>
    <n v="8.9"/>
    <x v="0"/>
    <x v="33"/>
    <s v="Male"/>
    <n v="71.900000000000006"/>
    <n v="201.9"/>
    <n v="27.5"/>
    <n v="16"/>
    <s v="UT"/>
    <n v="5"/>
    <n v="615"/>
    <s v="High"/>
    <n v="0"/>
    <s v="Park Hopper"/>
    <n v="1"/>
    <n v="1"/>
    <s v="Downtown Disney Gate"/>
    <s v="Pixar Pals"/>
    <n v="10.1"/>
    <n v="9"/>
    <x v="257"/>
  </r>
  <r>
    <n v="1033"/>
    <n v="329"/>
    <d v="2026-06-17T00:00:00"/>
    <s v="Wednesday"/>
    <n v="6"/>
    <n v="11.78"/>
    <x v="1"/>
    <x v="17"/>
    <s v="Female"/>
    <n v="64.3"/>
    <n v="144.9"/>
    <n v="24.5"/>
    <n v="17"/>
    <s v="AZ"/>
    <n v="1"/>
    <n v="382"/>
    <s v="Middle"/>
    <n v="0"/>
    <s v="Park Hopper"/>
    <n v="0"/>
    <n v="0"/>
    <s v="Main Entrance"/>
    <s v="Toy Story Lot"/>
    <n v="10.4"/>
    <n v="10"/>
    <x v="1008"/>
  </r>
  <r>
    <n v="1034"/>
    <n v="330"/>
    <d v="2026-04-29T00:00:00"/>
    <s v="Wednesday"/>
    <n v="4"/>
    <n v="9.18"/>
    <x v="0"/>
    <x v="60"/>
    <s v="Male"/>
    <n v="61.4"/>
    <n v="107.7"/>
    <n v="20.100000000000001"/>
    <n v="15"/>
    <s v="OR"/>
    <n v="5"/>
    <n v="1033.5"/>
    <s v="High"/>
    <n v="0"/>
    <s v="Multi-Day"/>
    <n v="1"/>
    <n v="0"/>
    <s v="Main Entrance"/>
    <s v="None/Dropoff/Transit"/>
    <n v="7.1"/>
    <n v="17"/>
    <x v="338"/>
  </r>
  <r>
    <n v="1035"/>
    <n v="330"/>
    <d v="2026-04-29T00:00:00"/>
    <s v="Wednesday"/>
    <n v="4"/>
    <n v="8.82"/>
    <x v="0"/>
    <x v="12"/>
    <s v="Male"/>
    <n v="61.5"/>
    <n v="93"/>
    <n v="17.3"/>
    <n v="16"/>
    <s v="OR"/>
    <n v="5"/>
    <n v="1033.5"/>
    <s v="High"/>
    <n v="0"/>
    <s v="Multi-Day"/>
    <n v="1"/>
    <n v="0"/>
    <s v="Main Entrance"/>
    <s v="None/Dropoff/Transit"/>
    <n v="11"/>
    <n v="8"/>
    <x v="1009"/>
  </r>
  <r>
    <n v="1036"/>
    <n v="330"/>
    <d v="2026-04-29T00:00:00"/>
    <s v="Wednesday"/>
    <n v="4"/>
    <n v="9.08"/>
    <x v="0"/>
    <x v="8"/>
    <s v="Female"/>
    <n v="61"/>
    <n v="144"/>
    <n v="26.9"/>
    <n v="21"/>
    <s v="OR"/>
    <n v="5"/>
    <n v="1033.5"/>
    <s v="High"/>
    <n v="0"/>
    <s v="Multi-Day"/>
    <n v="1"/>
    <n v="0"/>
    <s v="Main Entrance"/>
    <s v="None/Dropoff/Transit"/>
    <n v="10.1"/>
    <n v="12"/>
    <x v="1010"/>
  </r>
  <r>
    <n v="1037"/>
    <n v="330"/>
    <d v="2026-04-29T00:00:00"/>
    <s v="Wednesday"/>
    <n v="4"/>
    <n v="9.11"/>
    <x v="0"/>
    <x v="54"/>
    <s v="Female"/>
    <n v="65.099999999999994"/>
    <n v="154.30000000000001"/>
    <n v="25.4"/>
    <n v="22"/>
    <s v="OR"/>
    <n v="5"/>
    <n v="1033.5"/>
    <s v="High"/>
    <n v="0"/>
    <s v="Multi-Day"/>
    <n v="1"/>
    <n v="0"/>
    <s v="Main Entrance"/>
    <s v="None/Dropoff/Transit"/>
    <n v="6.4"/>
    <n v="8"/>
    <x v="1011"/>
  </r>
  <r>
    <n v="1038"/>
    <n v="330"/>
    <d v="2026-04-29T00:00:00"/>
    <s v="Wednesday"/>
    <n v="4"/>
    <n v="9.14"/>
    <x v="0"/>
    <x v="69"/>
    <s v="Male"/>
    <n v="65.7"/>
    <n v="137.4"/>
    <n v="22.3"/>
    <n v="15"/>
    <s v="OR"/>
    <n v="5"/>
    <n v="1033.5"/>
    <s v="High"/>
    <n v="0"/>
    <s v="Multi-Day"/>
    <n v="1"/>
    <n v="0"/>
    <s v="Main Entrance"/>
    <s v="None/Dropoff/Transit"/>
    <n v="10.199999999999999"/>
    <n v="5"/>
    <x v="1012"/>
  </r>
  <r>
    <n v="1039"/>
    <n v="331"/>
    <d v="2026-10-11T00:00:00"/>
    <s v="Sunday"/>
    <n v="10"/>
    <n v="11.7"/>
    <x v="1"/>
    <x v="38"/>
    <s v="Male"/>
    <n v="69.8"/>
    <n v="190.7"/>
    <n v="27.7"/>
    <n v="14"/>
    <s v="CA"/>
    <n v="3"/>
    <n v="54.3"/>
    <s v="Middle"/>
    <n v="0"/>
    <s v="Multi-Day"/>
    <n v="1"/>
    <n v="0"/>
    <s v="Main Entrance"/>
    <s v="Mickey &amp; Friends"/>
    <n v="8.6"/>
    <n v="6"/>
    <x v="1013"/>
  </r>
  <r>
    <n v="1040"/>
    <n v="331"/>
    <d v="2026-10-11T00:00:00"/>
    <s v="Sunday"/>
    <n v="10"/>
    <n v="11.72"/>
    <x v="1"/>
    <x v="2"/>
    <s v="Female"/>
    <n v="63.1"/>
    <n v="157.4"/>
    <n v="28.1"/>
    <n v="13"/>
    <s v="CA"/>
    <n v="3"/>
    <n v="54.3"/>
    <s v="Middle"/>
    <n v="0"/>
    <s v="Multi-Day"/>
    <n v="1"/>
    <n v="0"/>
    <s v="Main Entrance"/>
    <s v="Mickey &amp; Friends"/>
    <n v="6.4"/>
    <n v="8"/>
    <x v="1014"/>
  </r>
  <r>
    <n v="1041"/>
    <n v="331"/>
    <d v="2026-10-11T00:00:00"/>
    <s v="Sunday"/>
    <n v="10"/>
    <n v="11.75"/>
    <x v="1"/>
    <x v="5"/>
    <s v="Male"/>
    <n v="69.099999999999994"/>
    <n v="215.3"/>
    <n v="31.7"/>
    <n v="12"/>
    <s v="CA"/>
    <n v="3"/>
    <n v="54.3"/>
    <s v="Middle"/>
    <n v="0"/>
    <s v="Multi-Day"/>
    <n v="1"/>
    <n v="0"/>
    <s v="Main Entrance"/>
    <s v="Mickey &amp; Friends"/>
    <n v="6.9"/>
    <n v="11"/>
    <x v="1015"/>
  </r>
  <r>
    <n v="1042"/>
    <n v="332"/>
    <d v="2026-06-22T00:00:00"/>
    <s v="Monday"/>
    <n v="6"/>
    <n v="9.91"/>
    <x v="0"/>
    <x v="59"/>
    <s v="Male"/>
    <n v="69.400000000000006"/>
    <n v="197.3"/>
    <n v="28.7"/>
    <n v="19"/>
    <s v="CA"/>
    <n v="5"/>
    <n v="68.8"/>
    <s v="High"/>
    <n v="1"/>
    <s v="Multi-Day"/>
    <n v="0"/>
    <n v="0"/>
    <s v="Main Entrance"/>
    <s v="Mickey &amp; Friends"/>
    <n v="10.5"/>
    <n v="5"/>
    <x v="1016"/>
  </r>
  <r>
    <n v="1043"/>
    <n v="332"/>
    <d v="2026-06-22T00:00:00"/>
    <s v="Monday"/>
    <n v="6"/>
    <n v="9.43"/>
    <x v="0"/>
    <x v="69"/>
    <s v="Male"/>
    <n v="70.8"/>
    <n v="151.30000000000001"/>
    <n v="21"/>
    <n v="16"/>
    <s v="CA"/>
    <n v="5"/>
    <n v="68.8"/>
    <s v="High"/>
    <n v="1"/>
    <s v="Multi-Day"/>
    <n v="0"/>
    <n v="0"/>
    <s v="Main Entrance"/>
    <s v="Mickey &amp; Friends"/>
    <n v="7.6"/>
    <n v="1"/>
    <x v="1017"/>
  </r>
  <r>
    <n v="1044"/>
    <n v="332"/>
    <d v="2026-06-22T00:00:00"/>
    <s v="Monday"/>
    <n v="6"/>
    <n v="9.5500000000000007"/>
    <x v="0"/>
    <x v="16"/>
    <s v="Female"/>
    <n v="55.3"/>
    <n v="76.2"/>
    <n v="17.600000000000001"/>
    <n v="15"/>
    <s v="CA"/>
    <n v="5"/>
    <n v="68.8"/>
    <s v="High"/>
    <n v="1"/>
    <s v="Multi-Day"/>
    <n v="0"/>
    <n v="0"/>
    <s v="Main Entrance"/>
    <s v="Mickey &amp; Friends"/>
    <n v="10.8"/>
    <n v="9"/>
    <x v="1018"/>
  </r>
  <r>
    <n v="1045"/>
    <n v="332"/>
    <d v="2026-06-22T00:00:00"/>
    <s v="Monday"/>
    <n v="6"/>
    <n v="9.59"/>
    <x v="0"/>
    <x v="7"/>
    <s v="Female"/>
    <n v="51.5"/>
    <n v="81"/>
    <n v="21.4"/>
    <n v="15"/>
    <s v="CA"/>
    <n v="5"/>
    <n v="68.8"/>
    <s v="High"/>
    <n v="1"/>
    <s v="Multi-Day"/>
    <n v="0"/>
    <n v="0"/>
    <s v="Main Entrance"/>
    <s v="Mickey &amp; Friends"/>
    <n v="9"/>
    <n v="8"/>
    <x v="1019"/>
  </r>
  <r>
    <n v="1046"/>
    <n v="332"/>
    <d v="2026-06-22T00:00:00"/>
    <s v="Monday"/>
    <n v="6"/>
    <n v="9.7100000000000009"/>
    <x v="0"/>
    <x v="60"/>
    <s v="Female"/>
    <n v="70"/>
    <n v="136.19999999999999"/>
    <n v="19.7"/>
    <n v="13"/>
    <s v="CA"/>
    <n v="5"/>
    <n v="68.8"/>
    <s v="High"/>
    <n v="1"/>
    <s v="Multi-Day"/>
    <n v="0"/>
    <n v="0"/>
    <s v="Main Entrance"/>
    <s v="Mickey &amp; Friends"/>
    <n v="7.7"/>
    <n v="6"/>
    <x v="1020"/>
  </r>
  <r>
    <n v="1047"/>
    <n v="333"/>
    <d v="2026-03-01T00:00:00"/>
    <s v="Sunday"/>
    <n v="3"/>
    <n v="10.89"/>
    <x v="0"/>
    <x v="15"/>
    <s v="Female"/>
    <n v="64.8"/>
    <n v="178.5"/>
    <n v="29.9"/>
    <n v="15"/>
    <s v="NY"/>
    <n v="4"/>
    <n v="2611.1"/>
    <s v="High"/>
    <n v="1"/>
    <s v="Park Hopper"/>
    <n v="1"/>
    <n v="0"/>
    <s v="Main Entrance"/>
    <s v="Mickey &amp; Friends"/>
    <n v="8.1999999999999993"/>
    <n v="5"/>
    <x v="1021"/>
  </r>
  <r>
    <n v="1048"/>
    <n v="333"/>
    <d v="2026-03-01T00:00:00"/>
    <s v="Sunday"/>
    <n v="3"/>
    <n v="11.03"/>
    <x v="1"/>
    <x v="18"/>
    <s v="Male"/>
    <n v="70.099999999999994"/>
    <n v="142.19999999999999"/>
    <n v="20.399999999999999"/>
    <n v="16"/>
    <s v="NY"/>
    <n v="4"/>
    <n v="2611.1"/>
    <s v="High"/>
    <n v="1"/>
    <s v="Park Hopper"/>
    <n v="1"/>
    <n v="0"/>
    <s v="Main Entrance"/>
    <s v="Mickey &amp; Friends"/>
    <n v="9.6"/>
    <n v="7"/>
    <x v="1022"/>
  </r>
  <r>
    <n v="1049"/>
    <n v="333"/>
    <d v="2026-03-01T00:00:00"/>
    <s v="Sunday"/>
    <n v="3"/>
    <n v="11.04"/>
    <x v="1"/>
    <x v="16"/>
    <s v="Female"/>
    <n v="50.4"/>
    <n v="70.2"/>
    <n v="19.399999999999999"/>
    <n v="16"/>
    <s v="NY"/>
    <n v="4"/>
    <n v="2611.1"/>
    <s v="High"/>
    <n v="1"/>
    <s v="Park Hopper"/>
    <n v="1"/>
    <n v="0"/>
    <s v="Main Entrance"/>
    <s v="Mickey &amp; Friends"/>
    <n v="7.6"/>
    <n v="8"/>
    <x v="1023"/>
  </r>
  <r>
    <n v="1050"/>
    <n v="333"/>
    <d v="2026-03-01T00:00:00"/>
    <s v="Sunday"/>
    <n v="3"/>
    <n v="10.94"/>
    <x v="0"/>
    <x v="4"/>
    <s v="Male"/>
    <n v="76.3"/>
    <n v="113.7"/>
    <n v="13.9"/>
    <n v="18"/>
    <s v="NY"/>
    <n v="4"/>
    <n v="2611.1"/>
    <s v="High"/>
    <n v="1"/>
    <s v="Park Hopper"/>
    <n v="1"/>
    <n v="0"/>
    <s v="Main Entrance"/>
    <s v="Mickey &amp; Friends"/>
    <n v="9"/>
    <n v="7"/>
    <x v="1024"/>
  </r>
  <r>
    <n v="1051"/>
    <n v="334"/>
    <d v="2026-03-23T00:00:00"/>
    <s v="Monday"/>
    <n v="3"/>
    <n v="9.39"/>
    <x v="0"/>
    <x v="49"/>
    <s v="Female"/>
    <n v="60"/>
    <n v="125.6"/>
    <n v="24.2"/>
    <n v="11"/>
    <s v="CA"/>
    <n v="2"/>
    <n v="122.9"/>
    <s v="Middle"/>
    <n v="0"/>
    <s v="Single-Day"/>
    <n v="0"/>
    <n v="0"/>
    <s v="Downtown Disney Gate"/>
    <s v="Mickey &amp; Friends"/>
    <n v="6.1"/>
    <n v="2"/>
    <x v="1025"/>
  </r>
  <r>
    <n v="1052"/>
    <n v="334"/>
    <d v="2026-03-23T00:00:00"/>
    <s v="Monday"/>
    <n v="3"/>
    <n v="9.77"/>
    <x v="0"/>
    <x v="4"/>
    <s v="Female"/>
    <n v="61.2"/>
    <n v="147.6"/>
    <n v="27.9"/>
    <n v="17"/>
    <s v="CA"/>
    <n v="2"/>
    <n v="122.9"/>
    <s v="Middle"/>
    <n v="0"/>
    <s v="Single-Day"/>
    <n v="0"/>
    <n v="0"/>
    <s v="Downtown Disney Gate"/>
    <s v="Mickey &amp; Friends"/>
    <n v="7.2"/>
    <n v="7"/>
    <x v="1026"/>
  </r>
  <r>
    <n v="1053"/>
    <n v="335"/>
    <d v="2026-08-16T00:00:00"/>
    <s v="Sunday"/>
    <n v="8"/>
    <n v="12.03"/>
    <x v="1"/>
    <x v="17"/>
    <s v="Female"/>
    <n v="67.099999999999994"/>
    <n v="172.9"/>
    <n v="27"/>
    <n v="12"/>
    <s v="AZ"/>
    <n v="2"/>
    <n v="398.6"/>
    <s v="Low"/>
    <n v="1"/>
    <s v="Multi-Day"/>
    <n v="0"/>
    <n v="0"/>
    <s v="Downtown Disney Gate"/>
    <s v="Mickey &amp; Friends"/>
    <n v="9.6"/>
    <n v="5"/>
    <x v="1027"/>
  </r>
  <r>
    <n v="1054"/>
    <n v="335"/>
    <d v="2026-08-16T00:00:00"/>
    <s v="Sunday"/>
    <n v="8"/>
    <n v="11.92"/>
    <x v="1"/>
    <x v="55"/>
    <s v="Male"/>
    <n v="69.900000000000006"/>
    <n v="184.7"/>
    <n v="26.5"/>
    <n v="16"/>
    <s v="AZ"/>
    <n v="2"/>
    <n v="398.6"/>
    <s v="Low"/>
    <n v="1"/>
    <s v="Multi-Day"/>
    <n v="0"/>
    <n v="0"/>
    <s v="Downtown Disney Gate"/>
    <s v="Mickey &amp; Friends"/>
    <n v="8.5"/>
    <n v="11"/>
    <x v="1028"/>
  </r>
  <r>
    <n v="1055"/>
    <n v="336"/>
    <d v="2026-03-05T00:00:00"/>
    <s v="Thursday"/>
    <n v="3"/>
    <n v="9.91"/>
    <x v="0"/>
    <x v="39"/>
    <s v="Male"/>
    <n v="67.400000000000006"/>
    <n v="158.1"/>
    <n v="24.6"/>
    <n v="13"/>
    <s v="NV"/>
    <n v="1"/>
    <n v="276.2"/>
    <s v="Middle"/>
    <n v="0"/>
    <s v="Park Hopper"/>
    <n v="1"/>
    <n v="0"/>
    <s v="Main Entrance"/>
    <s v="Pixar Pals"/>
    <n v="10.199999999999999"/>
    <n v="14"/>
    <x v="1029"/>
  </r>
  <r>
    <n v="1056"/>
    <n v="337"/>
    <d v="2026-05-15T00:00:00"/>
    <s v="Friday"/>
    <n v="5"/>
    <n v="11.04"/>
    <x v="1"/>
    <x v="6"/>
    <s v="Male"/>
    <n v="70.7"/>
    <n v="177"/>
    <n v="24.9"/>
    <n v="17"/>
    <s v="Other"/>
    <n v="5"/>
    <n v="1497.3"/>
    <s v="High"/>
    <n v="1"/>
    <s v="Multi-Day"/>
    <n v="0"/>
    <n v="0"/>
    <s v="Downtown Disney Gate"/>
    <s v="Mickey &amp; Friends"/>
    <n v="8.4"/>
    <n v="9"/>
    <x v="1030"/>
  </r>
  <r>
    <n v="1057"/>
    <n v="337"/>
    <d v="2026-05-15T00:00:00"/>
    <s v="Friday"/>
    <n v="5"/>
    <n v="10.6"/>
    <x v="0"/>
    <x v="36"/>
    <s v="Female"/>
    <n v="64.099999999999994"/>
    <n v="145.19999999999999"/>
    <n v="24.9"/>
    <n v="18"/>
    <s v="Other"/>
    <n v="5"/>
    <n v="1497.3"/>
    <s v="High"/>
    <n v="1"/>
    <s v="Multi-Day"/>
    <n v="0"/>
    <n v="0"/>
    <s v="Downtown Disney Gate"/>
    <s v="Mickey &amp; Friends"/>
    <n v="9.4"/>
    <n v="8"/>
    <x v="1031"/>
  </r>
  <r>
    <n v="1058"/>
    <n v="337"/>
    <d v="2026-05-15T00:00:00"/>
    <s v="Friday"/>
    <n v="5"/>
    <n v="10.69"/>
    <x v="0"/>
    <x v="11"/>
    <s v="Female"/>
    <n v="64.599999999999994"/>
    <n v="146.30000000000001"/>
    <n v="24.8"/>
    <n v="18"/>
    <s v="Other"/>
    <n v="5"/>
    <n v="1497.3"/>
    <s v="High"/>
    <n v="1"/>
    <s v="Multi-Day"/>
    <n v="0"/>
    <n v="0"/>
    <s v="Downtown Disney Gate"/>
    <s v="Mickey &amp; Friends"/>
    <n v="6"/>
    <n v="6"/>
    <x v="1032"/>
  </r>
  <r>
    <n v="1059"/>
    <n v="337"/>
    <d v="2026-05-15T00:00:00"/>
    <s v="Friday"/>
    <n v="5"/>
    <n v="10.65"/>
    <x v="0"/>
    <x v="68"/>
    <s v="Male"/>
    <n v="69.8"/>
    <n v="190.4"/>
    <n v="27.6"/>
    <n v="15"/>
    <s v="Other"/>
    <n v="5"/>
    <n v="1497.3"/>
    <s v="High"/>
    <n v="1"/>
    <s v="Multi-Day"/>
    <n v="0"/>
    <n v="0"/>
    <s v="Downtown Disney Gate"/>
    <s v="Mickey &amp; Friends"/>
    <n v="9.1"/>
    <n v="9"/>
    <x v="1033"/>
  </r>
  <r>
    <n v="1060"/>
    <n v="337"/>
    <d v="2026-05-15T00:00:00"/>
    <s v="Friday"/>
    <n v="5"/>
    <n v="10.5"/>
    <x v="0"/>
    <x v="64"/>
    <s v="Female"/>
    <n v="52.1"/>
    <n v="88.6"/>
    <n v="23.1"/>
    <n v="13"/>
    <s v="Other"/>
    <n v="5"/>
    <n v="1497.3"/>
    <s v="High"/>
    <n v="1"/>
    <s v="Multi-Day"/>
    <n v="0"/>
    <n v="0"/>
    <s v="Downtown Disney Gate"/>
    <s v="Mickey &amp; Friends"/>
    <n v="7.3"/>
    <n v="9"/>
    <x v="1034"/>
  </r>
  <r>
    <n v="1061"/>
    <n v="338"/>
    <d v="2026-09-14T00:00:00"/>
    <s v="Monday"/>
    <n v="9"/>
    <n v="15.08"/>
    <x v="2"/>
    <x v="10"/>
    <s v="Male"/>
    <n v="63.4"/>
    <n v="172.2"/>
    <n v="30.2"/>
    <n v="15"/>
    <s v="CA"/>
    <n v="3"/>
    <n v="108.4"/>
    <s v="Middle"/>
    <n v="1"/>
    <s v="Single-Day"/>
    <n v="0"/>
    <n v="0"/>
    <s v="Main Entrance"/>
    <s v="Pixar Pals"/>
    <n v="9.4"/>
    <n v="13"/>
    <x v="977"/>
  </r>
  <r>
    <n v="1062"/>
    <n v="338"/>
    <d v="2026-09-14T00:00:00"/>
    <s v="Monday"/>
    <n v="9"/>
    <n v="15"/>
    <x v="2"/>
    <x v="41"/>
    <s v="Female"/>
    <n v="60.2"/>
    <n v="118.7"/>
    <n v="23.1"/>
    <n v="15"/>
    <s v="CA"/>
    <n v="3"/>
    <n v="108.4"/>
    <s v="Middle"/>
    <n v="1"/>
    <s v="Single-Day"/>
    <n v="0"/>
    <n v="0"/>
    <s v="Main Entrance"/>
    <s v="Pixar Pals"/>
    <n v="7.3"/>
    <n v="11"/>
    <x v="1035"/>
  </r>
  <r>
    <n v="1063"/>
    <n v="338"/>
    <d v="2026-09-14T00:00:00"/>
    <s v="Monday"/>
    <n v="9"/>
    <n v="15"/>
    <x v="2"/>
    <x v="28"/>
    <s v="Male"/>
    <n v="67.7"/>
    <n v="170.3"/>
    <n v="26.1"/>
    <n v="16"/>
    <s v="CA"/>
    <n v="3"/>
    <n v="108.4"/>
    <s v="Middle"/>
    <n v="1"/>
    <s v="Single-Day"/>
    <n v="0"/>
    <n v="0"/>
    <s v="Main Entrance"/>
    <s v="Pixar Pals"/>
    <n v="9.1"/>
    <n v="6"/>
    <x v="1036"/>
  </r>
  <r>
    <n v="1064"/>
    <n v="339"/>
    <d v="2026-07-09T00:00:00"/>
    <s v="Thursday"/>
    <n v="7"/>
    <n v="12.05"/>
    <x v="1"/>
    <x v="51"/>
    <s v="Male"/>
    <n v="72.099999999999994"/>
    <n v="170.9"/>
    <n v="23.2"/>
    <n v="16"/>
    <s v="CA"/>
    <n v="1"/>
    <n v="138.80000000000001"/>
    <s v="High"/>
    <n v="0"/>
    <s v="Single-Day"/>
    <n v="0"/>
    <n v="0"/>
    <s v="Main Entrance"/>
    <s v="Pixar Pals"/>
    <n v="5.3"/>
    <n v="6"/>
    <x v="1037"/>
  </r>
  <r>
    <n v="1065"/>
    <n v="340"/>
    <d v="2026-12-19T00:00:00"/>
    <s v="Saturday"/>
    <n v="12"/>
    <n v="9.42"/>
    <x v="0"/>
    <x v="53"/>
    <s v="Female"/>
    <n v="56.8"/>
    <n v="79.400000000000006"/>
    <n v="17.5"/>
    <n v="10"/>
    <s v="OR"/>
    <n v="2"/>
    <n v="876.1"/>
    <s v="Low"/>
    <n v="1"/>
    <s v="Park Hopper"/>
    <n v="0"/>
    <n v="0"/>
    <s v="Main Entrance"/>
    <s v="Toy Story Lot"/>
    <n v="11.3"/>
    <n v="14"/>
    <x v="1038"/>
  </r>
  <r>
    <n v="1066"/>
    <n v="340"/>
    <d v="2026-12-19T00:00:00"/>
    <s v="Saturday"/>
    <n v="12"/>
    <n v="9.26"/>
    <x v="0"/>
    <x v="23"/>
    <s v="Female"/>
    <n v="64.099999999999994"/>
    <n v="147.5"/>
    <n v="25.2"/>
    <n v="13"/>
    <s v="OR"/>
    <n v="2"/>
    <n v="876.1"/>
    <s v="Low"/>
    <n v="1"/>
    <s v="Park Hopper"/>
    <n v="0"/>
    <n v="0"/>
    <s v="Main Entrance"/>
    <s v="Toy Story Lot"/>
    <n v="8.6999999999999993"/>
    <n v="9"/>
    <x v="1039"/>
  </r>
  <r>
    <n v="1067"/>
    <n v="341"/>
    <d v="2026-10-28T00:00:00"/>
    <s v="Wednesday"/>
    <n v="10"/>
    <n v="11.21"/>
    <x v="1"/>
    <x v="5"/>
    <s v="Male"/>
    <n v="69.599999999999994"/>
    <n v="132.5"/>
    <n v="19.399999999999999"/>
    <n v="12"/>
    <s v="CA"/>
    <n v="1"/>
    <n v="22.6"/>
    <s v="Middle"/>
    <n v="0"/>
    <s v="Single-Day"/>
    <n v="1"/>
    <n v="0"/>
    <s v="Main Entrance"/>
    <s v="None/Dropoff/Transit"/>
    <n v="7.7"/>
    <n v="12"/>
    <x v="1040"/>
  </r>
  <r>
    <n v="1068"/>
    <n v="342"/>
    <d v="2026-11-18T00:00:00"/>
    <s v="Wednesday"/>
    <n v="11"/>
    <n v="10.37"/>
    <x v="0"/>
    <x v="40"/>
    <s v="Female"/>
    <n v="61.8"/>
    <n v="92.6"/>
    <n v="16.8"/>
    <n v="10"/>
    <s v="Other"/>
    <n v="4"/>
    <n v="1299.9000000000001"/>
    <s v="Low"/>
    <n v="1"/>
    <s v="Park Hopper"/>
    <n v="1"/>
    <n v="0"/>
    <s v="Main Entrance"/>
    <s v="Pixar Pals"/>
    <n v="6.8"/>
    <n v="11"/>
    <x v="986"/>
  </r>
  <r>
    <n v="1069"/>
    <n v="342"/>
    <d v="2026-11-18T00:00:00"/>
    <s v="Wednesday"/>
    <n v="11"/>
    <n v="10.49"/>
    <x v="0"/>
    <x v="70"/>
    <s v="Male"/>
    <n v="63.8"/>
    <n v="99.7"/>
    <n v="17.3"/>
    <n v="9"/>
    <s v="Other"/>
    <n v="4"/>
    <n v="1299.9000000000001"/>
    <s v="Low"/>
    <n v="1"/>
    <s v="Park Hopper"/>
    <n v="1"/>
    <n v="0"/>
    <s v="Main Entrance"/>
    <s v="Pixar Pals"/>
    <n v="6.7"/>
    <n v="9"/>
    <x v="1041"/>
  </r>
  <r>
    <n v="1070"/>
    <n v="342"/>
    <d v="2026-11-18T00:00:00"/>
    <s v="Wednesday"/>
    <n v="11"/>
    <n v="10.42"/>
    <x v="0"/>
    <x v="52"/>
    <s v="Female"/>
    <n v="63"/>
    <n v="169.4"/>
    <n v="29.6"/>
    <n v="15"/>
    <s v="Other"/>
    <n v="4"/>
    <n v="1299.9000000000001"/>
    <s v="Low"/>
    <n v="1"/>
    <s v="Park Hopper"/>
    <n v="1"/>
    <n v="0"/>
    <s v="Main Entrance"/>
    <s v="Pixar Pals"/>
    <n v="8.6"/>
    <n v="15"/>
    <x v="1042"/>
  </r>
  <r>
    <n v="1071"/>
    <n v="342"/>
    <d v="2026-11-18T00:00:00"/>
    <s v="Wednesday"/>
    <n v="11"/>
    <n v="10.210000000000001"/>
    <x v="0"/>
    <x v="54"/>
    <s v="Male"/>
    <n v="70.3"/>
    <n v="148.19999999999999"/>
    <n v="21.2"/>
    <n v="15"/>
    <s v="Other"/>
    <n v="4"/>
    <n v="1299.9000000000001"/>
    <s v="Low"/>
    <n v="1"/>
    <s v="Park Hopper"/>
    <n v="1"/>
    <n v="0"/>
    <s v="Main Entrance"/>
    <s v="Pixar Pals"/>
    <n v="10.7"/>
    <n v="17"/>
    <x v="1043"/>
  </r>
  <r>
    <n v="1072"/>
    <n v="343"/>
    <d v="2026-02-25T00:00:00"/>
    <s v="Wednesday"/>
    <n v="2"/>
    <n v="12.69"/>
    <x v="1"/>
    <x v="21"/>
    <s v="Male"/>
    <n v="65.5"/>
    <n v="173.8"/>
    <n v="28.2"/>
    <n v="14"/>
    <s v="CA"/>
    <n v="3"/>
    <n v="134.1"/>
    <s v="Middle"/>
    <n v="0"/>
    <s v="Multi-Day"/>
    <n v="1"/>
    <n v="1"/>
    <s v="Downtown Disney Gate"/>
    <s v="None/Walked from Resort"/>
    <n v="6.2"/>
    <n v="7"/>
    <x v="1044"/>
  </r>
  <r>
    <n v="1073"/>
    <n v="343"/>
    <d v="2026-02-25T00:00:00"/>
    <s v="Wednesday"/>
    <n v="2"/>
    <n v="13.08"/>
    <x v="1"/>
    <x v="32"/>
    <s v="Female"/>
    <n v="59.9"/>
    <n v="108.8"/>
    <n v="21.1"/>
    <n v="14"/>
    <s v="CA"/>
    <n v="3"/>
    <n v="134.1"/>
    <s v="Middle"/>
    <n v="0"/>
    <s v="Multi-Day"/>
    <n v="1"/>
    <n v="1"/>
    <s v="Downtown Disney Gate"/>
    <s v="None/Walked from Resort"/>
    <n v="9.5"/>
    <n v="5"/>
    <x v="819"/>
  </r>
  <r>
    <n v="1074"/>
    <n v="343"/>
    <d v="2026-02-25T00:00:00"/>
    <s v="Wednesday"/>
    <n v="2"/>
    <n v="13.07"/>
    <x v="1"/>
    <x v="24"/>
    <s v="Female"/>
    <n v="65.8"/>
    <n v="104.7"/>
    <n v="17"/>
    <n v="17"/>
    <s v="CA"/>
    <n v="3"/>
    <n v="134.1"/>
    <s v="Middle"/>
    <n v="0"/>
    <s v="Multi-Day"/>
    <n v="1"/>
    <n v="1"/>
    <s v="Downtown Disney Gate"/>
    <s v="None/Walked from Resort"/>
    <n v="11.2"/>
    <n v="14"/>
    <x v="1045"/>
  </r>
  <r>
    <n v="1075"/>
    <n v="344"/>
    <d v="2026-11-16T00:00:00"/>
    <s v="Monday"/>
    <n v="11"/>
    <n v="8.84"/>
    <x v="0"/>
    <x v="18"/>
    <s v="Male"/>
    <n v="73.599999999999994"/>
    <n v="182.4"/>
    <n v="23.6"/>
    <n v="17"/>
    <s v="AZ"/>
    <n v="4"/>
    <n v="440.8"/>
    <s v="High"/>
    <n v="0"/>
    <s v="Multi-Day"/>
    <n v="1"/>
    <n v="1"/>
    <s v="Main Entrance"/>
    <s v="Mickey &amp; Friends"/>
    <n v="8"/>
    <n v="5"/>
    <x v="1046"/>
  </r>
  <r>
    <n v="1076"/>
    <n v="344"/>
    <d v="2026-11-16T00:00:00"/>
    <s v="Monday"/>
    <n v="11"/>
    <n v="9.06"/>
    <x v="0"/>
    <x v="25"/>
    <s v="Male"/>
    <n v="68.099999999999994"/>
    <n v="158.6"/>
    <n v="24.1"/>
    <n v="17"/>
    <s v="AZ"/>
    <n v="4"/>
    <n v="440.8"/>
    <s v="High"/>
    <n v="0"/>
    <s v="Multi-Day"/>
    <n v="1"/>
    <n v="1"/>
    <s v="Main Entrance"/>
    <s v="Mickey &amp; Friends"/>
    <n v="10.9"/>
    <n v="13"/>
    <x v="1047"/>
  </r>
  <r>
    <n v="1077"/>
    <n v="344"/>
    <d v="2026-11-16T00:00:00"/>
    <s v="Monday"/>
    <n v="11"/>
    <n v="9.0399999999999991"/>
    <x v="0"/>
    <x v="16"/>
    <s v="Female"/>
    <n v="55"/>
    <n v="88"/>
    <n v="20.5"/>
    <n v="16"/>
    <s v="AZ"/>
    <n v="4"/>
    <n v="440.8"/>
    <s v="High"/>
    <n v="0"/>
    <s v="Multi-Day"/>
    <n v="1"/>
    <n v="1"/>
    <s v="Main Entrance"/>
    <s v="Mickey &amp; Friends"/>
    <n v="10"/>
    <n v="14"/>
    <x v="1048"/>
  </r>
  <r>
    <n v="1078"/>
    <n v="344"/>
    <d v="2026-11-16T00:00:00"/>
    <s v="Monday"/>
    <n v="11"/>
    <n v="8.9"/>
    <x v="0"/>
    <x v="22"/>
    <s v="Female"/>
    <n v="67.2"/>
    <n v="114.3"/>
    <n v="17.7"/>
    <n v="15"/>
    <s v="AZ"/>
    <n v="4"/>
    <n v="440.8"/>
    <s v="High"/>
    <n v="0"/>
    <s v="Multi-Day"/>
    <n v="1"/>
    <n v="1"/>
    <s v="Main Entrance"/>
    <s v="Mickey &amp; Friends"/>
    <n v="10"/>
    <n v="9"/>
    <x v="1049"/>
  </r>
  <r>
    <n v="1079"/>
    <n v="345"/>
    <d v="2026-10-04T00:00:00"/>
    <s v="Sunday"/>
    <n v="10"/>
    <n v="9.43"/>
    <x v="0"/>
    <x v="61"/>
    <s v="Female"/>
    <n v="70"/>
    <n v="120.8"/>
    <n v="17.399999999999999"/>
    <n v="10"/>
    <s v="CA"/>
    <n v="5"/>
    <n v="175.9"/>
    <s v="High"/>
    <n v="0"/>
    <s v="Single-Day"/>
    <n v="0"/>
    <n v="0"/>
    <s v="Main Entrance"/>
    <s v="Mickey &amp; Friends"/>
    <n v="7.1"/>
    <n v="9"/>
    <x v="1050"/>
  </r>
  <r>
    <n v="1080"/>
    <n v="345"/>
    <d v="2026-10-04T00:00:00"/>
    <s v="Sunday"/>
    <n v="10"/>
    <n v="9.25"/>
    <x v="0"/>
    <x v="52"/>
    <s v="Male"/>
    <n v="69.7"/>
    <n v="199.6"/>
    <n v="29"/>
    <n v="18"/>
    <s v="CA"/>
    <n v="5"/>
    <n v="175.9"/>
    <s v="High"/>
    <n v="0"/>
    <s v="Single-Day"/>
    <n v="0"/>
    <n v="0"/>
    <s v="Main Entrance"/>
    <s v="Mickey &amp; Friends"/>
    <n v="9.1"/>
    <n v="10"/>
    <x v="1051"/>
  </r>
  <r>
    <n v="1081"/>
    <n v="345"/>
    <d v="2026-10-04T00:00:00"/>
    <s v="Sunday"/>
    <n v="10"/>
    <n v="9.08"/>
    <x v="0"/>
    <x v="29"/>
    <s v="Male"/>
    <n v="76.2"/>
    <n v="226.1"/>
    <n v="27.4"/>
    <n v="17"/>
    <s v="CA"/>
    <n v="5"/>
    <n v="175.9"/>
    <s v="High"/>
    <n v="0"/>
    <s v="Single-Day"/>
    <n v="0"/>
    <n v="0"/>
    <s v="Main Entrance"/>
    <s v="Mickey &amp; Friends"/>
    <n v="9.6999999999999993"/>
    <n v="10"/>
    <x v="1052"/>
  </r>
  <r>
    <n v="1082"/>
    <n v="345"/>
    <d v="2026-10-04T00:00:00"/>
    <s v="Sunday"/>
    <n v="10"/>
    <n v="9.14"/>
    <x v="0"/>
    <x v="4"/>
    <s v="Male"/>
    <n v="66.5"/>
    <n v="155.1"/>
    <n v="24.8"/>
    <n v="16"/>
    <s v="CA"/>
    <n v="5"/>
    <n v="175.9"/>
    <s v="High"/>
    <n v="0"/>
    <s v="Single-Day"/>
    <n v="0"/>
    <n v="0"/>
    <s v="Main Entrance"/>
    <s v="Mickey &amp; Friends"/>
    <n v="10.3"/>
    <n v="8"/>
    <x v="1053"/>
  </r>
  <r>
    <n v="1083"/>
    <n v="345"/>
    <d v="2026-10-04T00:00:00"/>
    <s v="Sunday"/>
    <n v="10"/>
    <n v="9.1300000000000008"/>
    <x v="0"/>
    <x v="67"/>
    <s v="Female"/>
    <n v="66.900000000000006"/>
    <n v="169.7"/>
    <n v="26.9"/>
    <n v="17"/>
    <s v="CA"/>
    <n v="5"/>
    <n v="175.9"/>
    <s v="High"/>
    <n v="0"/>
    <s v="Single-Day"/>
    <n v="0"/>
    <n v="0"/>
    <s v="Main Entrance"/>
    <s v="Mickey &amp; Friends"/>
    <n v="9.1"/>
    <n v="8"/>
    <x v="1054"/>
  </r>
  <r>
    <n v="1084"/>
    <n v="346"/>
    <d v="2026-03-24T00:00:00"/>
    <s v="Tuesday"/>
    <n v="3"/>
    <n v="12.65"/>
    <x v="1"/>
    <x v="8"/>
    <s v="Male"/>
    <n v="69"/>
    <n v="191.6"/>
    <n v="28.4"/>
    <n v="18"/>
    <s v="FL"/>
    <n v="6"/>
    <n v="2010"/>
    <s v="Middle"/>
    <n v="1"/>
    <s v="Single-Day"/>
    <n v="0"/>
    <n v="0"/>
    <s v="Main Entrance"/>
    <s v="Pixar Pals"/>
    <n v="8.4"/>
    <n v="4"/>
    <x v="1055"/>
  </r>
  <r>
    <n v="1085"/>
    <n v="346"/>
    <d v="2026-03-24T00:00:00"/>
    <s v="Tuesday"/>
    <n v="3"/>
    <n v="12.39"/>
    <x v="1"/>
    <x v="42"/>
    <s v="Female"/>
    <n v="68"/>
    <n v="119.1"/>
    <n v="18"/>
    <n v="18"/>
    <s v="FL"/>
    <n v="6"/>
    <n v="2010"/>
    <s v="Middle"/>
    <n v="1"/>
    <s v="Single-Day"/>
    <n v="0"/>
    <n v="0"/>
    <s v="Main Entrance"/>
    <s v="Pixar Pals"/>
    <n v="8.3000000000000007"/>
    <n v="10"/>
    <x v="1056"/>
  </r>
  <r>
    <n v="1086"/>
    <n v="346"/>
    <d v="2026-03-24T00:00:00"/>
    <s v="Tuesday"/>
    <n v="3"/>
    <n v="12.53"/>
    <x v="1"/>
    <x v="72"/>
    <s v="Female"/>
    <n v="63.6"/>
    <n v="147.9"/>
    <n v="25.9"/>
    <n v="17"/>
    <s v="FL"/>
    <n v="6"/>
    <n v="2010"/>
    <s v="Middle"/>
    <n v="1"/>
    <s v="Single-Day"/>
    <n v="0"/>
    <n v="0"/>
    <s v="Main Entrance"/>
    <s v="Pixar Pals"/>
    <n v="9.8000000000000007"/>
    <n v="9"/>
    <x v="1057"/>
  </r>
  <r>
    <n v="1087"/>
    <n v="346"/>
    <d v="2026-03-24T00:00:00"/>
    <s v="Tuesday"/>
    <n v="3"/>
    <n v="12.41"/>
    <x v="1"/>
    <x v="49"/>
    <s v="Female"/>
    <n v="67.5"/>
    <n v="168.9"/>
    <n v="26"/>
    <n v="13"/>
    <s v="FL"/>
    <n v="6"/>
    <n v="2010"/>
    <s v="Middle"/>
    <n v="1"/>
    <s v="Single-Day"/>
    <n v="0"/>
    <n v="0"/>
    <s v="Main Entrance"/>
    <s v="Pixar Pals"/>
    <n v="9.3000000000000007"/>
    <n v="4"/>
    <x v="1058"/>
  </r>
  <r>
    <n v="1088"/>
    <n v="346"/>
    <d v="2026-03-24T00:00:00"/>
    <s v="Tuesday"/>
    <n v="3"/>
    <n v="12.63"/>
    <x v="1"/>
    <x v="19"/>
    <s v="Male"/>
    <n v="64.3"/>
    <n v="151.9"/>
    <n v="25.8"/>
    <n v="14"/>
    <s v="FL"/>
    <n v="6"/>
    <n v="2010"/>
    <s v="Middle"/>
    <n v="1"/>
    <s v="Single-Day"/>
    <n v="0"/>
    <n v="0"/>
    <s v="Main Entrance"/>
    <s v="Pixar Pals"/>
    <n v="8.6"/>
    <n v="7"/>
    <x v="1059"/>
  </r>
  <r>
    <n v="1089"/>
    <n v="346"/>
    <d v="2026-03-24T00:00:00"/>
    <s v="Tuesday"/>
    <n v="3"/>
    <n v="12.4"/>
    <x v="1"/>
    <x v="69"/>
    <s v="Male"/>
    <n v="67.400000000000006"/>
    <n v="131.1"/>
    <n v="20.100000000000001"/>
    <n v="15"/>
    <s v="FL"/>
    <n v="6"/>
    <n v="2010"/>
    <s v="Middle"/>
    <n v="1"/>
    <s v="Single-Day"/>
    <n v="0"/>
    <n v="0"/>
    <s v="Main Entrance"/>
    <s v="Pixar Pals"/>
    <n v="7.4"/>
    <n v="3"/>
    <x v="1060"/>
  </r>
  <r>
    <n v="1090"/>
    <n v="347"/>
    <d v="2026-01-25T00:00:00"/>
    <s v="Sunday"/>
    <n v="1"/>
    <n v="11.24"/>
    <x v="1"/>
    <x v="18"/>
    <s v="Female"/>
    <n v="64.400000000000006"/>
    <n v="135.5"/>
    <n v="22.8"/>
    <n v="15"/>
    <s v="CA"/>
    <n v="1"/>
    <n v="165"/>
    <s v="High"/>
    <n v="0"/>
    <s v="Single-Day"/>
    <n v="1"/>
    <n v="1"/>
    <s v="Main Entrance"/>
    <s v="None/Walked from Resort"/>
    <n v="11.7"/>
    <n v="13"/>
    <x v="1061"/>
  </r>
  <r>
    <n v="1091"/>
    <n v="348"/>
    <d v="2026-11-16T00:00:00"/>
    <s v="Monday"/>
    <n v="11"/>
    <n v="10.45"/>
    <x v="0"/>
    <x v="31"/>
    <s v="Female"/>
    <n v="64.900000000000006"/>
    <n v="124.5"/>
    <n v="20.8"/>
    <n v="14"/>
    <s v="CA"/>
    <n v="5"/>
    <n v="2"/>
    <s v="Low"/>
    <n v="0"/>
    <s v="Single-Day"/>
    <n v="0"/>
    <n v="0"/>
    <s v="Main Entrance"/>
    <s v="Pixar Pals"/>
    <n v="6.6"/>
    <n v="12"/>
    <x v="1062"/>
  </r>
  <r>
    <n v="1092"/>
    <n v="348"/>
    <d v="2026-11-16T00:00:00"/>
    <s v="Monday"/>
    <n v="11"/>
    <n v="10.74"/>
    <x v="0"/>
    <x v="20"/>
    <s v="Female"/>
    <n v="67.8"/>
    <n v="137"/>
    <n v="20.7"/>
    <n v="9"/>
    <s v="CA"/>
    <n v="5"/>
    <n v="2"/>
    <s v="Low"/>
    <n v="0"/>
    <s v="Single-Day"/>
    <n v="0"/>
    <n v="0"/>
    <s v="Main Entrance"/>
    <s v="Pixar Pals"/>
    <n v="6.8"/>
    <n v="9"/>
    <x v="1063"/>
  </r>
  <r>
    <n v="1093"/>
    <n v="348"/>
    <d v="2026-11-16T00:00:00"/>
    <s v="Monday"/>
    <n v="11"/>
    <n v="10.59"/>
    <x v="0"/>
    <x v="57"/>
    <s v="Male"/>
    <n v="70.8"/>
    <n v="206.4"/>
    <n v="29"/>
    <n v="14"/>
    <s v="CA"/>
    <n v="5"/>
    <n v="2"/>
    <s v="Low"/>
    <n v="0"/>
    <s v="Single-Day"/>
    <n v="0"/>
    <n v="0"/>
    <s v="Main Entrance"/>
    <s v="Pixar Pals"/>
    <n v="9.1999999999999993"/>
    <n v="8"/>
    <x v="1064"/>
  </r>
  <r>
    <n v="1094"/>
    <n v="348"/>
    <d v="2026-11-16T00:00:00"/>
    <s v="Monday"/>
    <n v="11"/>
    <n v="10.63"/>
    <x v="0"/>
    <x v="29"/>
    <s v="Female"/>
    <n v="64.7"/>
    <n v="131.80000000000001"/>
    <n v="22.3"/>
    <n v="13"/>
    <s v="CA"/>
    <n v="5"/>
    <n v="2"/>
    <s v="Low"/>
    <n v="0"/>
    <s v="Single-Day"/>
    <n v="0"/>
    <n v="0"/>
    <s v="Main Entrance"/>
    <s v="Pixar Pals"/>
    <n v="8.9"/>
    <n v="8"/>
    <x v="1065"/>
  </r>
  <r>
    <n v="1095"/>
    <n v="348"/>
    <d v="2026-11-16T00:00:00"/>
    <s v="Monday"/>
    <n v="11"/>
    <n v="10.49"/>
    <x v="0"/>
    <x v="38"/>
    <s v="Male"/>
    <n v="71.2"/>
    <n v="172.7"/>
    <n v="24.1"/>
    <n v="6"/>
    <s v="CA"/>
    <n v="5"/>
    <n v="2"/>
    <s v="Low"/>
    <n v="0"/>
    <s v="Single-Day"/>
    <n v="0"/>
    <n v="0"/>
    <s v="Main Entrance"/>
    <s v="Pixar Pals"/>
    <n v="8.4"/>
    <n v="5"/>
    <x v="1066"/>
  </r>
  <r>
    <n v="1096"/>
    <n v="349"/>
    <d v="2026-03-05T00:00:00"/>
    <s v="Thursday"/>
    <n v="3"/>
    <n v="12.68"/>
    <x v="1"/>
    <x v="25"/>
    <s v="Female"/>
    <n v="67.2"/>
    <n v="131.80000000000001"/>
    <n v="20.6"/>
    <n v="11"/>
    <s v="NY"/>
    <n v="4"/>
    <n v="2622.3"/>
    <s v="High"/>
    <n v="1"/>
    <s v="Multi-Day"/>
    <n v="0"/>
    <n v="0"/>
    <s v="Main Entrance"/>
    <s v="Toy Story Lot"/>
    <n v="7"/>
    <n v="8"/>
    <x v="1067"/>
  </r>
  <r>
    <n v="1097"/>
    <n v="349"/>
    <d v="2026-03-05T00:00:00"/>
    <s v="Thursday"/>
    <n v="3"/>
    <n v="12.67"/>
    <x v="1"/>
    <x v="28"/>
    <s v="Female"/>
    <n v="62.2"/>
    <n v="157.1"/>
    <n v="28.4"/>
    <n v="21"/>
    <s v="NY"/>
    <n v="4"/>
    <n v="2622.3"/>
    <s v="High"/>
    <n v="1"/>
    <s v="Multi-Day"/>
    <n v="0"/>
    <n v="0"/>
    <s v="Main Entrance"/>
    <s v="Toy Story Lot"/>
    <n v="8.5"/>
    <n v="12"/>
    <x v="1068"/>
  </r>
  <r>
    <n v="1098"/>
    <n v="349"/>
    <d v="2026-03-05T00:00:00"/>
    <s v="Thursday"/>
    <n v="3"/>
    <n v="12.86"/>
    <x v="1"/>
    <x v="28"/>
    <s v="Male"/>
    <n v="76.400000000000006"/>
    <n v="166.8"/>
    <n v="20.2"/>
    <n v="18"/>
    <s v="NY"/>
    <n v="4"/>
    <n v="2622.3"/>
    <s v="High"/>
    <n v="1"/>
    <s v="Multi-Day"/>
    <n v="0"/>
    <n v="0"/>
    <s v="Main Entrance"/>
    <s v="Toy Story Lot"/>
    <n v="6.6"/>
    <n v="0"/>
    <x v="1069"/>
  </r>
  <r>
    <n v="1099"/>
    <n v="349"/>
    <d v="2026-03-05T00:00:00"/>
    <s v="Thursday"/>
    <n v="3"/>
    <n v="12.58"/>
    <x v="1"/>
    <x v="11"/>
    <s v="Female"/>
    <n v="62.7"/>
    <n v="147.80000000000001"/>
    <n v="26.3"/>
    <n v="19"/>
    <s v="NY"/>
    <n v="4"/>
    <n v="2622.3"/>
    <s v="High"/>
    <n v="1"/>
    <s v="Multi-Day"/>
    <n v="0"/>
    <n v="0"/>
    <s v="Main Entrance"/>
    <s v="Toy Story Lot"/>
    <n v="9.8000000000000007"/>
    <n v="6"/>
    <x v="1070"/>
  </r>
  <r>
    <n v="1100"/>
    <n v="350"/>
    <d v="2026-11-01T00:00:00"/>
    <s v="Sunday"/>
    <n v="11"/>
    <n v="11.39"/>
    <x v="1"/>
    <x v="69"/>
    <s v="Male"/>
    <n v="68.5"/>
    <n v="175.5"/>
    <n v="26.4"/>
    <n v="19"/>
    <s v="Other"/>
    <n v="3"/>
    <n v="1784.2"/>
    <s v="High"/>
    <n v="0"/>
    <s v="Multi-Day"/>
    <n v="0"/>
    <n v="0"/>
    <s v="Main Entrance"/>
    <s v="Pixar Pals"/>
    <n v="9.8000000000000007"/>
    <n v="7"/>
    <x v="1071"/>
  </r>
  <r>
    <n v="1101"/>
    <n v="350"/>
    <d v="2026-11-01T00:00:00"/>
    <s v="Sunday"/>
    <n v="11"/>
    <n v="11.35"/>
    <x v="1"/>
    <x v="13"/>
    <s v="Male"/>
    <n v="64.7"/>
    <n v="217"/>
    <n v="36.4"/>
    <n v="17"/>
    <s v="Other"/>
    <n v="3"/>
    <n v="1784.2"/>
    <s v="High"/>
    <n v="0"/>
    <s v="Multi-Day"/>
    <n v="0"/>
    <n v="0"/>
    <s v="Main Entrance"/>
    <s v="Pixar Pals"/>
    <n v="5.6"/>
    <n v="7"/>
    <x v="1072"/>
  </r>
  <r>
    <n v="1102"/>
    <n v="350"/>
    <d v="2026-11-01T00:00:00"/>
    <s v="Sunday"/>
    <n v="11"/>
    <n v="11.41"/>
    <x v="1"/>
    <x v="0"/>
    <s v="Female"/>
    <n v="64.599999999999994"/>
    <n v="148.5"/>
    <n v="25.2"/>
    <n v="16"/>
    <s v="Other"/>
    <n v="3"/>
    <n v="1784.2"/>
    <s v="High"/>
    <n v="0"/>
    <s v="Multi-Day"/>
    <n v="0"/>
    <n v="0"/>
    <s v="Main Entrance"/>
    <s v="Pixar Pals"/>
    <n v="8.3000000000000007"/>
    <n v="1"/>
    <x v="1073"/>
  </r>
  <r>
    <n v="1103"/>
    <n v="351"/>
    <d v="2026-07-11T00:00:00"/>
    <s v="Saturday"/>
    <n v="7"/>
    <n v="10.3"/>
    <x v="0"/>
    <x v="76"/>
    <s v="Female"/>
    <n v="68.2"/>
    <n v="170.8"/>
    <n v="25.7"/>
    <n v="18"/>
    <s v="CA"/>
    <n v="3"/>
    <n v="35.4"/>
    <s v="Middle"/>
    <n v="0"/>
    <s v="Multi-Day"/>
    <n v="0"/>
    <n v="0"/>
    <s v="Main Entrance"/>
    <s v="Mickey &amp; Friends"/>
    <n v="8.3000000000000007"/>
    <n v="5"/>
    <x v="1074"/>
  </r>
  <r>
    <n v="1104"/>
    <n v="351"/>
    <d v="2026-07-11T00:00:00"/>
    <s v="Saturday"/>
    <n v="7"/>
    <n v="10.1"/>
    <x v="0"/>
    <x v="79"/>
    <s v="Male"/>
    <n v="69"/>
    <n v="196.3"/>
    <n v="28.9"/>
    <n v="13"/>
    <s v="CA"/>
    <n v="3"/>
    <n v="35.4"/>
    <s v="Middle"/>
    <n v="0"/>
    <s v="Multi-Day"/>
    <n v="0"/>
    <n v="0"/>
    <s v="Main Entrance"/>
    <s v="Mickey &amp; Friends"/>
    <n v="7.2"/>
    <n v="3"/>
    <x v="1075"/>
  </r>
  <r>
    <n v="1105"/>
    <n v="351"/>
    <d v="2026-07-11T00:00:00"/>
    <s v="Saturday"/>
    <n v="7"/>
    <n v="10.45"/>
    <x v="0"/>
    <x v="18"/>
    <s v="Female"/>
    <n v="62.6"/>
    <n v="122.3"/>
    <n v="21.9"/>
    <n v="12"/>
    <s v="CA"/>
    <n v="3"/>
    <n v="35.4"/>
    <s v="Middle"/>
    <n v="0"/>
    <s v="Multi-Day"/>
    <n v="0"/>
    <n v="0"/>
    <s v="Main Entrance"/>
    <s v="Mickey &amp; Friends"/>
    <n v="8.1999999999999993"/>
    <n v="14"/>
    <x v="1076"/>
  </r>
  <r>
    <n v="1106"/>
    <n v="352"/>
    <d v="2026-05-04T00:00:00"/>
    <s v="Monday"/>
    <n v="5"/>
    <n v="8.75"/>
    <x v="0"/>
    <x v="5"/>
    <s v="Female"/>
    <n v="65.900000000000006"/>
    <n v="120.6"/>
    <n v="19.7"/>
    <n v="19"/>
    <s v="CA"/>
    <n v="1"/>
    <n v="78.8"/>
    <s v="Middle"/>
    <n v="1"/>
    <s v="Park Hopper"/>
    <n v="1"/>
    <n v="0"/>
    <s v="Main Entrance"/>
    <s v="Pixar Pals"/>
    <n v="8.9"/>
    <n v="11"/>
    <x v="1077"/>
  </r>
  <r>
    <n v="1107"/>
    <n v="353"/>
    <d v="2026-03-24T00:00:00"/>
    <s v="Tuesday"/>
    <n v="3"/>
    <n v="10.61"/>
    <x v="0"/>
    <x v="62"/>
    <s v="Male"/>
    <n v="66.7"/>
    <n v="136.19999999999999"/>
    <n v="21.6"/>
    <n v="17"/>
    <s v="NV"/>
    <n v="3"/>
    <n v="159.30000000000001"/>
    <s v="Low"/>
    <n v="0"/>
    <s v="Multi-Day"/>
    <n v="1"/>
    <n v="0"/>
    <s v="Main Entrance"/>
    <s v="Toy Story Lot"/>
    <n v="7.9"/>
    <n v="7"/>
    <x v="1078"/>
  </r>
  <r>
    <n v="1108"/>
    <n v="353"/>
    <d v="2026-03-24T00:00:00"/>
    <s v="Tuesday"/>
    <n v="3"/>
    <n v="10.51"/>
    <x v="0"/>
    <x v="64"/>
    <s v="Female"/>
    <n v="48.2"/>
    <n v="78.900000000000006"/>
    <n v="23.9"/>
    <n v="10"/>
    <s v="NV"/>
    <n v="3"/>
    <n v="159.30000000000001"/>
    <s v="Low"/>
    <n v="0"/>
    <s v="Multi-Day"/>
    <n v="1"/>
    <n v="0"/>
    <s v="Main Entrance"/>
    <s v="Toy Story Lot"/>
    <n v="7.5"/>
    <n v="9"/>
    <x v="1079"/>
  </r>
  <r>
    <n v="1109"/>
    <n v="353"/>
    <d v="2026-03-24T00:00:00"/>
    <s v="Tuesday"/>
    <n v="3"/>
    <n v="10.72"/>
    <x v="0"/>
    <x v="72"/>
    <s v="Male"/>
    <n v="68.099999999999994"/>
    <n v="121.4"/>
    <n v="18.3"/>
    <n v="15"/>
    <s v="NV"/>
    <n v="3"/>
    <n v="159.30000000000001"/>
    <s v="Low"/>
    <n v="0"/>
    <s v="Multi-Day"/>
    <n v="1"/>
    <n v="0"/>
    <s v="Main Entrance"/>
    <s v="Toy Story Lot"/>
    <n v="6.3"/>
    <n v="9"/>
    <x v="1080"/>
  </r>
  <r>
    <n v="1110"/>
    <n v="354"/>
    <d v="2026-11-21T00:00:00"/>
    <s v="Saturday"/>
    <n v="11"/>
    <n v="11.01"/>
    <x v="1"/>
    <x v="12"/>
    <s v="Female"/>
    <n v="61.5"/>
    <n v="118.6"/>
    <n v="22.3"/>
    <n v="17"/>
    <s v="IL"/>
    <n v="5"/>
    <n v="1757.7"/>
    <s v="High"/>
    <n v="0"/>
    <s v="Park Hopper"/>
    <n v="1"/>
    <n v="1"/>
    <s v="Main Entrance"/>
    <s v="Mickey &amp; Friends"/>
    <n v="10.3"/>
    <n v="11"/>
    <x v="1081"/>
  </r>
  <r>
    <n v="1111"/>
    <n v="354"/>
    <d v="2026-11-21T00:00:00"/>
    <s v="Saturday"/>
    <n v="11"/>
    <n v="11.2"/>
    <x v="1"/>
    <x v="12"/>
    <s v="Male"/>
    <n v="66.400000000000006"/>
    <n v="143"/>
    <n v="22.9"/>
    <n v="15"/>
    <s v="IL"/>
    <n v="5"/>
    <n v="1757.7"/>
    <s v="High"/>
    <n v="0"/>
    <s v="Park Hopper"/>
    <n v="1"/>
    <n v="1"/>
    <s v="Main Entrance"/>
    <s v="Mickey &amp; Friends"/>
    <n v="6.3"/>
    <n v="3"/>
    <x v="1036"/>
  </r>
  <r>
    <n v="1112"/>
    <n v="354"/>
    <d v="2026-11-21T00:00:00"/>
    <s v="Saturday"/>
    <n v="11"/>
    <n v="11.09"/>
    <x v="1"/>
    <x v="38"/>
    <s v="Female"/>
    <n v="71.400000000000006"/>
    <n v="160.69999999999999"/>
    <n v="22"/>
    <n v="15"/>
    <s v="IL"/>
    <n v="5"/>
    <n v="1757.7"/>
    <s v="High"/>
    <n v="0"/>
    <s v="Park Hopper"/>
    <n v="1"/>
    <n v="1"/>
    <s v="Main Entrance"/>
    <s v="Mickey &amp; Friends"/>
    <n v="8.6999999999999993"/>
    <n v="10"/>
    <x v="1082"/>
  </r>
  <r>
    <n v="1113"/>
    <n v="354"/>
    <d v="2026-11-21T00:00:00"/>
    <s v="Saturday"/>
    <n v="11"/>
    <n v="10.95"/>
    <x v="0"/>
    <x v="62"/>
    <s v="Female"/>
    <n v="59.7"/>
    <n v="114.7"/>
    <n v="22.6"/>
    <n v="19"/>
    <s v="IL"/>
    <n v="5"/>
    <n v="1757.7"/>
    <s v="High"/>
    <n v="0"/>
    <s v="Park Hopper"/>
    <n v="1"/>
    <n v="1"/>
    <s v="Main Entrance"/>
    <s v="Mickey &amp; Friends"/>
    <n v="8.1"/>
    <n v="4"/>
    <x v="1083"/>
  </r>
  <r>
    <n v="1114"/>
    <n v="354"/>
    <d v="2026-11-21T00:00:00"/>
    <s v="Saturday"/>
    <n v="11"/>
    <n v="11.05"/>
    <x v="1"/>
    <x v="49"/>
    <s v="Female"/>
    <n v="61.1"/>
    <n v="170.2"/>
    <n v="32.200000000000003"/>
    <n v="18"/>
    <s v="IL"/>
    <n v="5"/>
    <n v="1757.7"/>
    <s v="High"/>
    <n v="0"/>
    <s v="Park Hopper"/>
    <n v="1"/>
    <n v="1"/>
    <s v="Main Entrance"/>
    <s v="Mickey &amp; Friends"/>
    <n v="7"/>
    <n v="11"/>
    <x v="1084"/>
  </r>
  <r>
    <n v="1115"/>
    <n v="355"/>
    <d v="2026-03-19T00:00:00"/>
    <s v="Thursday"/>
    <n v="3"/>
    <n v="9.6199999999999992"/>
    <x v="0"/>
    <x v="3"/>
    <s v="Male"/>
    <n v="69.400000000000006"/>
    <n v="211.4"/>
    <n v="31"/>
    <n v="15"/>
    <s v="UT"/>
    <n v="3"/>
    <n v="686.4"/>
    <s v="Middle"/>
    <n v="0"/>
    <s v="Park Hopper"/>
    <n v="0"/>
    <n v="0"/>
    <s v="Downtown Disney Gate"/>
    <s v="Pixar Pals"/>
    <n v="10.5"/>
    <n v="4"/>
    <x v="1085"/>
  </r>
  <r>
    <n v="1116"/>
    <n v="355"/>
    <d v="2026-03-19T00:00:00"/>
    <s v="Thursday"/>
    <n v="3"/>
    <n v="9.61"/>
    <x v="0"/>
    <x v="38"/>
    <s v="Male"/>
    <n v="73"/>
    <n v="214.5"/>
    <n v="28.4"/>
    <n v="16"/>
    <s v="UT"/>
    <n v="3"/>
    <n v="686.4"/>
    <s v="Middle"/>
    <n v="0"/>
    <s v="Park Hopper"/>
    <n v="0"/>
    <n v="0"/>
    <s v="Downtown Disney Gate"/>
    <s v="Pixar Pals"/>
    <n v="11.2"/>
    <n v="4"/>
    <x v="1086"/>
  </r>
  <r>
    <n v="1117"/>
    <n v="355"/>
    <d v="2026-03-19T00:00:00"/>
    <s v="Thursday"/>
    <n v="3"/>
    <n v="9.7200000000000006"/>
    <x v="0"/>
    <x v="31"/>
    <s v="Male"/>
    <n v="71.099999999999994"/>
    <n v="198.2"/>
    <n v="27.7"/>
    <n v="18"/>
    <s v="UT"/>
    <n v="3"/>
    <n v="686.4"/>
    <s v="Middle"/>
    <n v="0"/>
    <s v="Park Hopper"/>
    <n v="0"/>
    <n v="0"/>
    <s v="Downtown Disney Gate"/>
    <s v="Pixar Pals"/>
    <n v="7.1"/>
    <n v="1"/>
    <x v="1087"/>
  </r>
  <r>
    <n v="1118"/>
    <n v="356"/>
    <d v="2026-12-20T00:00:00"/>
    <s v="Sunday"/>
    <n v="12"/>
    <n v="10.7"/>
    <x v="0"/>
    <x v="14"/>
    <s v="Female"/>
    <n v="66.900000000000006"/>
    <n v="186.5"/>
    <n v="29.2"/>
    <n v="12"/>
    <s v="OR"/>
    <n v="4"/>
    <n v="831"/>
    <s v="Low"/>
    <n v="1"/>
    <s v="Park Hopper"/>
    <n v="1"/>
    <n v="0"/>
    <s v="Main Entrance"/>
    <s v="Toy Story Lot"/>
    <n v="9.3000000000000007"/>
    <n v="7"/>
    <x v="1088"/>
  </r>
  <r>
    <n v="1119"/>
    <n v="356"/>
    <d v="2026-12-20T00:00:00"/>
    <s v="Sunday"/>
    <n v="12"/>
    <n v="10.75"/>
    <x v="0"/>
    <x v="18"/>
    <s v="Female"/>
    <n v="63.7"/>
    <n v="145.4"/>
    <n v="25.2"/>
    <n v="15"/>
    <s v="OR"/>
    <n v="4"/>
    <n v="831"/>
    <s v="Low"/>
    <n v="1"/>
    <s v="Park Hopper"/>
    <n v="1"/>
    <n v="0"/>
    <s v="Main Entrance"/>
    <s v="Toy Story Lot"/>
    <n v="7.9"/>
    <n v="5"/>
    <x v="1089"/>
  </r>
  <r>
    <n v="1120"/>
    <n v="356"/>
    <d v="2026-12-20T00:00:00"/>
    <s v="Sunday"/>
    <n v="12"/>
    <n v="10.41"/>
    <x v="0"/>
    <x v="38"/>
    <s v="Female"/>
    <n v="61.7"/>
    <n v="140.30000000000001"/>
    <n v="25.8"/>
    <n v="10"/>
    <s v="OR"/>
    <n v="4"/>
    <n v="831"/>
    <s v="Low"/>
    <n v="1"/>
    <s v="Park Hopper"/>
    <n v="1"/>
    <n v="0"/>
    <s v="Main Entrance"/>
    <s v="Toy Story Lot"/>
    <n v="8.5"/>
    <n v="7"/>
    <x v="1090"/>
  </r>
  <r>
    <n v="1121"/>
    <n v="356"/>
    <d v="2026-12-20T00:00:00"/>
    <s v="Sunday"/>
    <n v="12"/>
    <n v="10.61"/>
    <x v="0"/>
    <x v="38"/>
    <s v="Male"/>
    <n v="71.2"/>
    <n v="186.2"/>
    <n v="25.9"/>
    <n v="9"/>
    <s v="OR"/>
    <n v="4"/>
    <n v="831"/>
    <s v="Low"/>
    <n v="1"/>
    <s v="Park Hopper"/>
    <n v="1"/>
    <n v="0"/>
    <s v="Main Entrance"/>
    <s v="Toy Story Lot"/>
    <n v="9.6999999999999993"/>
    <n v="5"/>
    <x v="1091"/>
  </r>
  <r>
    <n v="1122"/>
    <n v="357"/>
    <d v="2026-11-23T00:00:00"/>
    <s v="Monday"/>
    <n v="11"/>
    <n v="10.08"/>
    <x v="0"/>
    <x v="59"/>
    <s v="Female"/>
    <n v="67.400000000000006"/>
    <n v="139.19999999999999"/>
    <n v="21.5"/>
    <n v="15"/>
    <s v="TX"/>
    <n v="3"/>
    <n v="1937.4"/>
    <s v="Middle"/>
    <n v="1"/>
    <s v="Single-Day"/>
    <n v="0"/>
    <n v="0"/>
    <s v="Main Entrance"/>
    <s v="Mickey &amp; Friends"/>
    <n v="8.8000000000000007"/>
    <n v="8"/>
    <x v="1092"/>
  </r>
  <r>
    <n v="1123"/>
    <n v="357"/>
    <d v="2026-11-23T00:00:00"/>
    <s v="Monday"/>
    <n v="11"/>
    <n v="10.49"/>
    <x v="0"/>
    <x v="45"/>
    <s v="Male"/>
    <n v="68"/>
    <n v="169.4"/>
    <n v="25.7"/>
    <n v="16"/>
    <s v="TX"/>
    <n v="3"/>
    <n v="1937.4"/>
    <s v="Middle"/>
    <n v="1"/>
    <s v="Single-Day"/>
    <n v="0"/>
    <n v="0"/>
    <s v="Main Entrance"/>
    <s v="Mickey &amp; Friends"/>
    <n v="8.6999999999999993"/>
    <n v="12"/>
    <x v="1093"/>
  </r>
  <r>
    <n v="1124"/>
    <n v="357"/>
    <d v="2026-11-23T00:00:00"/>
    <s v="Monday"/>
    <n v="11"/>
    <n v="10.29"/>
    <x v="0"/>
    <x v="38"/>
    <s v="Male"/>
    <n v="67.400000000000006"/>
    <n v="106.5"/>
    <n v="16.8"/>
    <n v="14"/>
    <s v="TX"/>
    <n v="3"/>
    <n v="1937.4"/>
    <s v="Middle"/>
    <n v="1"/>
    <s v="Single-Day"/>
    <n v="0"/>
    <n v="0"/>
    <s v="Main Entrance"/>
    <s v="Mickey &amp; Friends"/>
    <n v="9.8000000000000007"/>
    <n v="6"/>
    <x v="1094"/>
  </r>
  <r>
    <n v="1125"/>
    <n v="358"/>
    <d v="2026-11-05T00:00:00"/>
    <s v="Thursday"/>
    <n v="11"/>
    <n v="12.7"/>
    <x v="1"/>
    <x v="60"/>
    <s v="Female"/>
    <n v="67.900000000000006"/>
    <n v="140.6"/>
    <n v="21.3"/>
    <n v="19"/>
    <s v="CA"/>
    <n v="6"/>
    <n v="19.3"/>
    <s v="High"/>
    <n v="1"/>
    <s v="Multi-Day"/>
    <n v="0"/>
    <n v="0"/>
    <s v="Main Entrance"/>
    <s v="Pixar Pals"/>
    <n v="8"/>
    <n v="12"/>
    <x v="1095"/>
  </r>
  <r>
    <n v="1126"/>
    <n v="358"/>
    <d v="2026-11-05T00:00:00"/>
    <s v="Thursday"/>
    <n v="11"/>
    <n v="12.25"/>
    <x v="1"/>
    <x v="28"/>
    <s v="Male"/>
    <n v="68.900000000000006"/>
    <n v="188.1"/>
    <n v="27.9"/>
    <n v="19"/>
    <s v="CA"/>
    <n v="6"/>
    <n v="19.3"/>
    <s v="High"/>
    <n v="1"/>
    <s v="Multi-Day"/>
    <n v="0"/>
    <n v="0"/>
    <s v="Main Entrance"/>
    <s v="Pixar Pals"/>
    <n v="9.1"/>
    <n v="6"/>
    <x v="1096"/>
  </r>
  <r>
    <n v="1127"/>
    <n v="358"/>
    <d v="2026-11-05T00:00:00"/>
    <s v="Thursday"/>
    <n v="11"/>
    <n v="12.5"/>
    <x v="1"/>
    <x v="38"/>
    <s v="Female"/>
    <n v="65.7"/>
    <n v="145.69999999999999"/>
    <n v="23.5"/>
    <n v="15"/>
    <s v="CA"/>
    <n v="6"/>
    <n v="19.3"/>
    <s v="High"/>
    <n v="1"/>
    <s v="Multi-Day"/>
    <n v="0"/>
    <n v="0"/>
    <s v="Main Entrance"/>
    <s v="Pixar Pals"/>
    <n v="8"/>
    <n v="8"/>
    <x v="1097"/>
  </r>
  <r>
    <n v="1128"/>
    <n v="358"/>
    <d v="2026-11-05T00:00:00"/>
    <s v="Thursday"/>
    <n v="11"/>
    <n v="12.63"/>
    <x v="1"/>
    <x v="29"/>
    <s v="Female"/>
    <n v="57.9"/>
    <n v="129.69999999999999"/>
    <n v="27.2"/>
    <n v="14"/>
    <s v="CA"/>
    <n v="6"/>
    <n v="19.3"/>
    <s v="High"/>
    <n v="1"/>
    <s v="Multi-Day"/>
    <n v="0"/>
    <n v="0"/>
    <s v="Main Entrance"/>
    <s v="Pixar Pals"/>
    <n v="6.1"/>
    <n v="6"/>
    <x v="1098"/>
  </r>
  <r>
    <n v="1129"/>
    <n v="358"/>
    <d v="2026-11-05T00:00:00"/>
    <s v="Thursday"/>
    <n v="11"/>
    <n v="12.59"/>
    <x v="1"/>
    <x v="21"/>
    <s v="Female"/>
    <n v="64.7"/>
    <n v="165.5"/>
    <n v="28"/>
    <n v="18"/>
    <s v="CA"/>
    <n v="6"/>
    <n v="19.3"/>
    <s v="High"/>
    <n v="1"/>
    <s v="Multi-Day"/>
    <n v="0"/>
    <n v="0"/>
    <s v="Main Entrance"/>
    <s v="Pixar Pals"/>
    <n v="5.6"/>
    <n v="5"/>
    <x v="1099"/>
  </r>
  <r>
    <n v="1130"/>
    <n v="358"/>
    <d v="2026-11-05T00:00:00"/>
    <s v="Thursday"/>
    <n v="11"/>
    <n v="12.71"/>
    <x v="1"/>
    <x v="38"/>
    <s v="Female"/>
    <n v="58.6"/>
    <n v="121.8"/>
    <n v="25.1"/>
    <n v="13"/>
    <s v="CA"/>
    <n v="6"/>
    <n v="19.3"/>
    <s v="High"/>
    <n v="1"/>
    <s v="Multi-Day"/>
    <n v="0"/>
    <n v="0"/>
    <s v="Main Entrance"/>
    <s v="Pixar Pals"/>
    <n v="7.1"/>
    <n v="9"/>
    <x v="1100"/>
  </r>
  <r>
    <n v="1131"/>
    <n v="359"/>
    <d v="2026-06-17T00:00:00"/>
    <s v="Wednesday"/>
    <n v="6"/>
    <n v="10.68"/>
    <x v="0"/>
    <x v="4"/>
    <s v="Male"/>
    <n v="77.8"/>
    <n v="259.10000000000002"/>
    <n v="30"/>
    <n v="18"/>
    <s v="NV"/>
    <n v="2"/>
    <n v="382.2"/>
    <s v="High"/>
    <n v="0"/>
    <s v="Single-Day"/>
    <n v="1"/>
    <n v="0"/>
    <s v="Downtown Disney Gate"/>
    <s v="Mickey &amp; Friends"/>
    <n v="8.8000000000000007"/>
    <n v="12"/>
    <x v="1101"/>
  </r>
  <r>
    <n v="1132"/>
    <n v="359"/>
    <d v="2026-06-17T00:00:00"/>
    <s v="Wednesday"/>
    <n v="6"/>
    <n v="10.77"/>
    <x v="0"/>
    <x v="48"/>
    <s v="Female"/>
    <n v="56.9"/>
    <n v="109.1"/>
    <n v="23.8"/>
    <n v="18"/>
    <s v="NV"/>
    <n v="2"/>
    <n v="382.2"/>
    <s v="High"/>
    <n v="0"/>
    <s v="Single-Day"/>
    <n v="1"/>
    <n v="0"/>
    <s v="Downtown Disney Gate"/>
    <s v="Mickey &amp; Friends"/>
    <n v="6.2"/>
    <n v="4"/>
    <x v="1102"/>
  </r>
  <r>
    <n v="1133"/>
    <n v="360"/>
    <d v="2026-03-01T00:00:00"/>
    <s v="Sunday"/>
    <n v="3"/>
    <n v="11.86"/>
    <x v="1"/>
    <x v="31"/>
    <s v="Female"/>
    <n v="63.5"/>
    <n v="122.5"/>
    <n v="21.3"/>
    <n v="16"/>
    <s v="WA"/>
    <n v="2"/>
    <n v="1437.5"/>
    <s v="Middle"/>
    <n v="1"/>
    <s v="Single-Day"/>
    <n v="1"/>
    <n v="0"/>
    <s v="Main Entrance"/>
    <s v="None/Dropoff/Transit"/>
    <n v="7.9"/>
    <n v="16"/>
    <x v="1103"/>
  </r>
  <r>
    <n v="1134"/>
    <n v="360"/>
    <d v="2026-03-01T00:00:00"/>
    <s v="Sunday"/>
    <n v="3"/>
    <n v="12.12"/>
    <x v="1"/>
    <x v="28"/>
    <s v="Male"/>
    <n v="69.900000000000006"/>
    <n v="205.6"/>
    <n v="29.5"/>
    <n v="18"/>
    <s v="WA"/>
    <n v="2"/>
    <n v="1437.5"/>
    <s v="Middle"/>
    <n v="1"/>
    <s v="Single-Day"/>
    <n v="1"/>
    <n v="0"/>
    <s v="Main Entrance"/>
    <s v="None/Dropoff/Transit"/>
    <n v="7.5"/>
    <n v="8"/>
    <x v="1104"/>
  </r>
  <r>
    <n v="1135"/>
    <n v="361"/>
    <d v="2026-05-31T00:00:00"/>
    <s v="Sunday"/>
    <n v="5"/>
    <n v="10.14"/>
    <x v="0"/>
    <x v="26"/>
    <s v="Male"/>
    <n v="70.8"/>
    <n v="166"/>
    <n v="23.2"/>
    <n v="18"/>
    <s v="NV"/>
    <n v="1"/>
    <n v="140.80000000000001"/>
    <s v="Middle"/>
    <n v="0"/>
    <s v="Single-Day"/>
    <n v="0"/>
    <n v="0"/>
    <s v="Main Entrance"/>
    <s v="None/Dropoff/Transit"/>
    <n v="5.3"/>
    <n v="7"/>
    <x v="1105"/>
  </r>
  <r>
    <n v="1136"/>
    <n v="362"/>
    <d v="2026-10-19T00:00:00"/>
    <s v="Monday"/>
    <n v="10"/>
    <n v="12.06"/>
    <x v="1"/>
    <x v="0"/>
    <s v="Male"/>
    <n v="71"/>
    <n v="234.4"/>
    <n v="32.6"/>
    <n v="13"/>
    <s v="Other"/>
    <n v="2"/>
    <n v="1707.3"/>
    <s v="Low"/>
    <n v="0"/>
    <s v="Park Hopper"/>
    <n v="1"/>
    <n v="0"/>
    <s v="Downtown Disney Gate"/>
    <s v="Mickey &amp; Friends"/>
    <n v="7.7"/>
    <n v="9"/>
    <x v="1106"/>
  </r>
  <r>
    <n v="1137"/>
    <n v="362"/>
    <d v="2026-10-19T00:00:00"/>
    <s v="Monday"/>
    <n v="10"/>
    <n v="12.07"/>
    <x v="1"/>
    <x v="56"/>
    <s v="Female"/>
    <n v="65"/>
    <n v="88.8"/>
    <n v="14.8"/>
    <n v="9"/>
    <s v="Other"/>
    <n v="2"/>
    <n v="1707.3"/>
    <s v="Low"/>
    <n v="0"/>
    <s v="Park Hopper"/>
    <n v="1"/>
    <n v="0"/>
    <s v="Downtown Disney Gate"/>
    <s v="Mickey &amp; Friends"/>
    <n v="8"/>
    <n v="7"/>
    <x v="1107"/>
  </r>
  <r>
    <n v="1138"/>
    <n v="363"/>
    <d v="2026-06-09T00:00:00"/>
    <s v="Tuesday"/>
    <n v="6"/>
    <n v="10.220000000000001"/>
    <x v="0"/>
    <x v="38"/>
    <s v="Female"/>
    <n v="64.2"/>
    <n v="128.5"/>
    <n v="21.9"/>
    <n v="14"/>
    <s v="FL"/>
    <n v="5"/>
    <n v="2355.4"/>
    <s v="Middle"/>
    <n v="1"/>
    <s v="Single-Day"/>
    <n v="0"/>
    <n v="0"/>
    <s v="Main Entrance"/>
    <s v="Pixar Pals"/>
    <n v="7.2"/>
    <n v="7"/>
    <x v="1108"/>
  </r>
  <r>
    <n v="1139"/>
    <n v="363"/>
    <d v="2026-06-09T00:00:00"/>
    <s v="Tuesday"/>
    <n v="6"/>
    <n v="10.36"/>
    <x v="0"/>
    <x v="24"/>
    <s v="Male"/>
    <n v="64.7"/>
    <n v="140.80000000000001"/>
    <n v="23.8"/>
    <n v="17"/>
    <s v="FL"/>
    <n v="5"/>
    <n v="2355.4"/>
    <s v="Middle"/>
    <n v="1"/>
    <s v="Single-Day"/>
    <n v="0"/>
    <n v="0"/>
    <s v="Main Entrance"/>
    <s v="Pixar Pals"/>
    <n v="8.4"/>
    <n v="8"/>
    <x v="1109"/>
  </r>
  <r>
    <n v="1140"/>
    <n v="363"/>
    <d v="2026-06-09T00:00:00"/>
    <s v="Tuesday"/>
    <n v="6"/>
    <n v="10.08"/>
    <x v="0"/>
    <x v="47"/>
    <s v="Female"/>
    <n v="69.400000000000006"/>
    <n v="196.5"/>
    <n v="28.7"/>
    <n v="15"/>
    <s v="FL"/>
    <n v="5"/>
    <n v="2355.4"/>
    <s v="Middle"/>
    <n v="1"/>
    <s v="Single-Day"/>
    <n v="0"/>
    <n v="0"/>
    <s v="Main Entrance"/>
    <s v="Pixar Pals"/>
    <n v="6.7"/>
    <n v="9"/>
    <x v="1110"/>
  </r>
  <r>
    <n v="1141"/>
    <n v="363"/>
    <d v="2026-06-09T00:00:00"/>
    <s v="Tuesday"/>
    <n v="6"/>
    <n v="10.210000000000001"/>
    <x v="0"/>
    <x v="71"/>
    <s v="Male"/>
    <n v="67.2"/>
    <n v="169.1"/>
    <n v="26.4"/>
    <n v="12"/>
    <s v="FL"/>
    <n v="5"/>
    <n v="2355.4"/>
    <s v="Middle"/>
    <n v="1"/>
    <s v="Single-Day"/>
    <n v="0"/>
    <n v="0"/>
    <s v="Main Entrance"/>
    <s v="Pixar Pals"/>
    <n v="9.1999999999999993"/>
    <n v="5"/>
    <x v="1111"/>
  </r>
  <r>
    <n v="1142"/>
    <n v="363"/>
    <d v="2026-06-09T00:00:00"/>
    <s v="Tuesday"/>
    <n v="6"/>
    <n v="10.55"/>
    <x v="0"/>
    <x v="17"/>
    <s v="Male"/>
    <n v="71.2"/>
    <n v="130"/>
    <n v="17.899999999999999"/>
    <n v="14"/>
    <s v="FL"/>
    <n v="5"/>
    <n v="2355.4"/>
    <s v="Middle"/>
    <n v="1"/>
    <s v="Single-Day"/>
    <n v="0"/>
    <n v="0"/>
    <s v="Main Entrance"/>
    <s v="Pixar Pals"/>
    <n v="7.2"/>
    <n v="6"/>
    <x v="1112"/>
  </r>
  <r>
    <n v="1143"/>
    <n v="364"/>
    <d v="2026-03-24T00:00:00"/>
    <s v="Tuesday"/>
    <n v="3"/>
    <n v="11.91"/>
    <x v="1"/>
    <x v="34"/>
    <s v="Male"/>
    <n v="66.400000000000006"/>
    <n v="118.2"/>
    <n v="18.8"/>
    <n v="15"/>
    <s v="NV"/>
    <n v="5"/>
    <n v="332"/>
    <s v="Middle"/>
    <n v="1"/>
    <s v="Single-Day"/>
    <n v="0"/>
    <n v="0"/>
    <s v="Main Entrance"/>
    <s v="Mickey &amp; Friends"/>
    <n v="10.3"/>
    <n v="10"/>
    <x v="1113"/>
  </r>
  <r>
    <n v="1144"/>
    <n v="364"/>
    <d v="2026-03-24T00:00:00"/>
    <s v="Tuesday"/>
    <n v="3"/>
    <n v="11.88"/>
    <x v="1"/>
    <x v="45"/>
    <s v="Male"/>
    <n v="68"/>
    <n v="189.8"/>
    <n v="29"/>
    <n v="17"/>
    <s v="NV"/>
    <n v="5"/>
    <n v="332"/>
    <s v="Middle"/>
    <n v="1"/>
    <s v="Single-Day"/>
    <n v="0"/>
    <n v="0"/>
    <s v="Main Entrance"/>
    <s v="Mickey &amp; Friends"/>
    <n v="8.1"/>
    <n v="8"/>
    <x v="1114"/>
  </r>
  <r>
    <n v="1145"/>
    <n v="364"/>
    <d v="2026-03-24T00:00:00"/>
    <s v="Tuesday"/>
    <n v="3"/>
    <n v="11.78"/>
    <x v="1"/>
    <x v="10"/>
    <s v="Female"/>
    <n v="62.5"/>
    <n v="117.9"/>
    <n v="21.1"/>
    <n v="16"/>
    <s v="NV"/>
    <n v="5"/>
    <n v="332"/>
    <s v="Middle"/>
    <n v="1"/>
    <s v="Single-Day"/>
    <n v="0"/>
    <n v="0"/>
    <s v="Main Entrance"/>
    <s v="Mickey &amp; Friends"/>
    <n v="7.7"/>
    <n v="10"/>
    <x v="1115"/>
  </r>
  <r>
    <n v="1146"/>
    <n v="364"/>
    <d v="2026-03-24T00:00:00"/>
    <s v="Tuesday"/>
    <n v="3"/>
    <n v="11.79"/>
    <x v="1"/>
    <x v="3"/>
    <s v="Female"/>
    <n v="63.3"/>
    <n v="167"/>
    <n v="29.3"/>
    <n v="16"/>
    <s v="NV"/>
    <n v="5"/>
    <n v="332"/>
    <s v="Middle"/>
    <n v="1"/>
    <s v="Single-Day"/>
    <n v="0"/>
    <n v="0"/>
    <s v="Main Entrance"/>
    <s v="Mickey &amp; Friends"/>
    <n v="7.1"/>
    <n v="10"/>
    <x v="1116"/>
  </r>
  <r>
    <n v="1147"/>
    <n v="364"/>
    <d v="2026-03-24T00:00:00"/>
    <s v="Tuesday"/>
    <n v="3"/>
    <n v="12.01"/>
    <x v="1"/>
    <x v="38"/>
    <s v="Male"/>
    <n v="68.900000000000006"/>
    <n v="233.6"/>
    <n v="34.5"/>
    <n v="9"/>
    <s v="NV"/>
    <n v="5"/>
    <n v="332"/>
    <s v="Middle"/>
    <n v="1"/>
    <s v="Single-Day"/>
    <n v="0"/>
    <n v="0"/>
    <s v="Main Entrance"/>
    <s v="Mickey &amp; Friends"/>
    <n v="7"/>
    <n v="9"/>
    <x v="1117"/>
  </r>
  <r>
    <n v="1148"/>
    <n v="365"/>
    <d v="2026-03-19T00:00:00"/>
    <s v="Thursday"/>
    <n v="3"/>
    <n v="10.77"/>
    <x v="0"/>
    <x v="74"/>
    <s v="Male"/>
    <n v="60.6"/>
    <n v="161.5"/>
    <n v="30.8"/>
    <n v="18"/>
    <s v="AZ"/>
    <n v="2"/>
    <n v="398.6"/>
    <s v="Middle"/>
    <n v="0"/>
    <s v="Single-Day"/>
    <n v="0"/>
    <n v="0"/>
    <s v="Main Entrance"/>
    <s v="Pixar Pals"/>
    <n v="6.2"/>
    <n v="5"/>
    <x v="1118"/>
  </r>
  <r>
    <n v="1149"/>
    <n v="365"/>
    <d v="2026-03-19T00:00:00"/>
    <s v="Thursday"/>
    <n v="3"/>
    <n v="10.78"/>
    <x v="0"/>
    <x v="35"/>
    <s v="Male"/>
    <n v="72"/>
    <n v="214.1"/>
    <n v="29"/>
    <n v="14"/>
    <s v="AZ"/>
    <n v="2"/>
    <n v="398.6"/>
    <s v="Middle"/>
    <n v="0"/>
    <s v="Single-Day"/>
    <n v="0"/>
    <n v="0"/>
    <s v="Main Entrance"/>
    <s v="Pixar Pals"/>
    <n v="5.3"/>
    <n v="4"/>
    <x v="1119"/>
  </r>
  <r>
    <n v="1150"/>
    <n v="366"/>
    <d v="2026-09-29T00:00:00"/>
    <s v="Tuesday"/>
    <n v="9"/>
    <n v="11.48"/>
    <x v="1"/>
    <x v="39"/>
    <s v="Female"/>
    <n v="65.3"/>
    <n v="166.9"/>
    <n v="27.5"/>
    <n v="18"/>
    <s v="IL"/>
    <n v="1"/>
    <n v="1982.9"/>
    <s v="High"/>
    <n v="0"/>
    <s v="Single-Day"/>
    <n v="0"/>
    <n v="1"/>
    <s v="Main Entrance"/>
    <s v="None/Walked from Resort"/>
    <n v="9.8000000000000007"/>
    <n v="14"/>
    <x v="1120"/>
  </r>
  <r>
    <n v="1151"/>
    <n v="367"/>
    <d v="2026-03-30T00:00:00"/>
    <s v="Monday"/>
    <n v="3"/>
    <n v="9.69"/>
    <x v="0"/>
    <x v="5"/>
    <s v="Male"/>
    <n v="69.3"/>
    <n v="184.4"/>
    <n v="26.9"/>
    <n v="19"/>
    <s v="NV"/>
    <n v="2"/>
    <n v="303.10000000000002"/>
    <s v="High"/>
    <n v="0"/>
    <s v="Park Hopper"/>
    <n v="1"/>
    <n v="0"/>
    <s v="Main Entrance"/>
    <s v="Toy Story Lot"/>
    <n v="9.3000000000000007"/>
    <n v="10"/>
    <x v="1121"/>
  </r>
  <r>
    <n v="1152"/>
    <n v="367"/>
    <d v="2026-03-30T00:00:00"/>
    <s v="Monday"/>
    <n v="3"/>
    <n v="9.6300000000000008"/>
    <x v="0"/>
    <x v="26"/>
    <s v="Male"/>
    <n v="67.2"/>
    <n v="217.2"/>
    <n v="33.799999999999997"/>
    <n v="15"/>
    <s v="NV"/>
    <n v="2"/>
    <n v="303.10000000000002"/>
    <s v="High"/>
    <n v="0"/>
    <s v="Park Hopper"/>
    <n v="1"/>
    <n v="0"/>
    <s v="Main Entrance"/>
    <s v="Toy Story Lot"/>
    <n v="7.3"/>
    <n v="12"/>
    <x v="1122"/>
  </r>
  <r>
    <n v="1153"/>
    <n v="368"/>
    <d v="2026-02-13T00:00:00"/>
    <s v="Friday"/>
    <n v="2"/>
    <n v="8.74"/>
    <x v="0"/>
    <x v="38"/>
    <s v="Female"/>
    <n v="62.6"/>
    <n v="128.30000000000001"/>
    <n v="23.4"/>
    <n v="11"/>
    <s v="CA"/>
    <n v="1"/>
    <n v="83.3"/>
    <s v="High"/>
    <n v="1"/>
    <s v="Park Hopper"/>
    <n v="1"/>
    <n v="1"/>
    <s v="Main Entrance"/>
    <s v="Toy Story Lot"/>
    <n v="9.8000000000000007"/>
    <n v="12"/>
    <x v="1123"/>
  </r>
  <r>
    <n v="1154"/>
    <n v="369"/>
    <d v="2026-01-08T00:00:00"/>
    <s v="Thursday"/>
    <n v="1"/>
    <n v="7"/>
    <x v="0"/>
    <x v="0"/>
    <s v="Male"/>
    <n v="66.5"/>
    <n v="123.9"/>
    <n v="19.600000000000001"/>
    <n v="16"/>
    <s v="IL"/>
    <n v="3"/>
    <n v="2500.5"/>
    <s v="Middle"/>
    <n v="1"/>
    <s v="Multi-Day"/>
    <n v="0"/>
    <n v="0"/>
    <s v="Main Entrance"/>
    <s v="Toy Story Lot"/>
    <n v="9.9"/>
    <n v="11"/>
    <x v="1124"/>
  </r>
  <r>
    <n v="1155"/>
    <n v="369"/>
    <d v="2026-01-08T00:00:00"/>
    <s v="Thursday"/>
    <n v="1"/>
    <n v="7"/>
    <x v="0"/>
    <x v="24"/>
    <s v="Female"/>
    <n v="65"/>
    <n v="175.6"/>
    <n v="29.4"/>
    <n v="13"/>
    <s v="IL"/>
    <n v="3"/>
    <n v="2500.5"/>
    <s v="Middle"/>
    <n v="1"/>
    <s v="Multi-Day"/>
    <n v="0"/>
    <n v="0"/>
    <s v="Main Entrance"/>
    <s v="Toy Story Lot"/>
    <n v="6.9"/>
    <n v="6"/>
    <x v="1125"/>
  </r>
  <r>
    <n v="1156"/>
    <n v="369"/>
    <d v="2026-01-08T00:00:00"/>
    <s v="Thursday"/>
    <n v="1"/>
    <n v="7.06"/>
    <x v="0"/>
    <x v="66"/>
    <s v="Male"/>
    <n v="69.3"/>
    <n v="160.30000000000001"/>
    <n v="23.1"/>
    <n v="19"/>
    <s v="IL"/>
    <n v="3"/>
    <n v="2500.5"/>
    <s v="Middle"/>
    <n v="1"/>
    <s v="Multi-Day"/>
    <n v="0"/>
    <n v="0"/>
    <s v="Main Entrance"/>
    <s v="Toy Story Lot"/>
    <n v="10.9"/>
    <n v="16"/>
    <x v="1126"/>
  </r>
  <r>
    <n v="1157"/>
    <n v="370"/>
    <d v="2026-09-14T00:00:00"/>
    <s v="Monday"/>
    <n v="9"/>
    <n v="10.02"/>
    <x v="0"/>
    <x v="56"/>
    <s v="Male"/>
    <n v="68.900000000000006"/>
    <n v="114.3"/>
    <n v="17"/>
    <n v="13"/>
    <s v="UT"/>
    <n v="4"/>
    <n v="576.79999999999995"/>
    <s v="Low"/>
    <n v="1"/>
    <s v="Single-Day"/>
    <n v="1"/>
    <n v="0"/>
    <s v="Main Entrance"/>
    <s v="Pixar Pals"/>
    <n v="8.1"/>
    <n v="6"/>
    <x v="1127"/>
  </r>
  <r>
    <n v="1158"/>
    <n v="370"/>
    <d v="2026-09-14T00:00:00"/>
    <s v="Monday"/>
    <n v="9"/>
    <n v="10.06"/>
    <x v="0"/>
    <x v="74"/>
    <s v="Male"/>
    <n v="69.900000000000006"/>
    <n v="182"/>
    <n v="26.2"/>
    <n v="14"/>
    <s v="UT"/>
    <n v="4"/>
    <n v="576.79999999999995"/>
    <s v="Low"/>
    <n v="1"/>
    <s v="Single-Day"/>
    <n v="1"/>
    <n v="0"/>
    <s v="Main Entrance"/>
    <s v="Pixar Pals"/>
    <n v="9"/>
    <n v="8"/>
    <x v="1128"/>
  </r>
  <r>
    <n v="1159"/>
    <n v="370"/>
    <d v="2026-09-14T00:00:00"/>
    <s v="Monday"/>
    <n v="9"/>
    <n v="9.7899999999999991"/>
    <x v="0"/>
    <x v="14"/>
    <s v="Male"/>
    <n v="70.3"/>
    <n v="256.3"/>
    <n v="36.4"/>
    <n v="14"/>
    <s v="UT"/>
    <n v="4"/>
    <n v="576.79999999999995"/>
    <s v="Low"/>
    <n v="1"/>
    <s v="Single-Day"/>
    <n v="1"/>
    <n v="0"/>
    <s v="Main Entrance"/>
    <s v="Pixar Pals"/>
    <n v="9.9"/>
    <n v="10"/>
    <x v="1129"/>
  </r>
  <r>
    <n v="1160"/>
    <n v="370"/>
    <d v="2026-09-14T00:00:00"/>
    <s v="Monday"/>
    <n v="9"/>
    <n v="9.86"/>
    <x v="0"/>
    <x v="41"/>
    <s v="Male"/>
    <n v="68.3"/>
    <n v="180.6"/>
    <n v="27.1"/>
    <n v="9"/>
    <s v="UT"/>
    <n v="4"/>
    <n v="576.79999999999995"/>
    <s v="Low"/>
    <n v="1"/>
    <s v="Single-Day"/>
    <n v="1"/>
    <n v="0"/>
    <s v="Main Entrance"/>
    <s v="Pixar Pals"/>
    <n v="7.5"/>
    <n v="10"/>
    <x v="1130"/>
  </r>
  <r>
    <n v="1161"/>
    <n v="371"/>
    <d v="2026-01-10T00:00:00"/>
    <s v="Saturday"/>
    <n v="1"/>
    <n v="8.48"/>
    <x v="0"/>
    <x v="60"/>
    <s v="Male"/>
    <n v="68.900000000000006"/>
    <n v="122.5"/>
    <n v="18"/>
    <n v="11"/>
    <s v="UT"/>
    <n v="1"/>
    <n v="659.4"/>
    <s v="Middle"/>
    <n v="0"/>
    <s v="Multi-Day"/>
    <n v="1"/>
    <n v="0"/>
    <s v="Main Entrance"/>
    <s v="Pixar Pals"/>
    <n v="10.3"/>
    <n v="11"/>
    <x v="1131"/>
  </r>
  <r>
    <n v="1162"/>
    <n v="372"/>
    <d v="2026-01-20T00:00:00"/>
    <s v="Tuesday"/>
    <n v="1"/>
    <n v="9.44"/>
    <x v="0"/>
    <x v="35"/>
    <s v="Female"/>
    <n v="65.599999999999994"/>
    <n v="175.6"/>
    <n v="28.9"/>
    <n v="17"/>
    <s v="CA"/>
    <n v="3"/>
    <n v="45.5"/>
    <s v="Middle"/>
    <n v="1"/>
    <s v="Single-Day"/>
    <n v="0"/>
    <n v="1"/>
    <s v="Downtown Disney Gate"/>
    <s v="None/Walked from Resort"/>
    <n v="7.6"/>
    <n v="11"/>
    <x v="1132"/>
  </r>
  <r>
    <n v="1163"/>
    <n v="372"/>
    <d v="2026-01-20T00:00:00"/>
    <s v="Tuesday"/>
    <n v="1"/>
    <n v="10.08"/>
    <x v="0"/>
    <x v="13"/>
    <s v="Male"/>
    <n v="72"/>
    <n v="214.9"/>
    <n v="29.3"/>
    <n v="11"/>
    <s v="CA"/>
    <n v="3"/>
    <n v="45.5"/>
    <s v="Middle"/>
    <n v="1"/>
    <s v="Single-Day"/>
    <n v="0"/>
    <n v="1"/>
    <s v="Downtown Disney Gate"/>
    <s v="None/Walked from Resort"/>
    <n v="9.1"/>
    <n v="7"/>
    <x v="1133"/>
  </r>
  <r>
    <n v="1164"/>
    <n v="372"/>
    <d v="2026-01-20T00:00:00"/>
    <s v="Tuesday"/>
    <n v="1"/>
    <n v="9.81"/>
    <x v="0"/>
    <x v="8"/>
    <s v="Female"/>
    <n v="61.8"/>
    <n v="187.1"/>
    <n v="34.5"/>
    <n v="14"/>
    <s v="CA"/>
    <n v="3"/>
    <n v="45.5"/>
    <s v="Middle"/>
    <n v="1"/>
    <s v="Single-Day"/>
    <n v="0"/>
    <n v="1"/>
    <s v="Downtown Disney Gate"/>
    <s v="None/Walked from Resort"/>
    <n v="9.8000000000000007"/>
    <n v="5"/>
    <x v="1134"/>
  </r>
  <r>
    <n v="1165"/>
    <n v="373"/>
    <d v="2026-07-22T00:00:00"/>
    <s v="Wednesday"/>
    <n v="7"/>
    <n v="9.57"/>
    <x v="0"/>
    <x v="25"/>
    <s v="Male"/>
    <n v="66.7"/>
    <n v="150.9"/>
    <n v="23.5"/>
    <n v="19"/>
    <s v="CO"/>
    <n v="3"/>
    <n v="1521.8"/>
    <s v="Middle"/>
    <n v="1"/>
    <s v="Multi-Day"/>
    <n v="0"/>
    <n v="1"/>
    <s v="Main Entrance"/>
    <s v="None/Walked from Resort"/>
    <n v="9.1"/>
    <n v="8"/>
    <x v="1135"/>
  </r>
  <r>
    <n v="1166"/>
    <n v="373"/>
    <d v="2026-07-22T00:00:00"/>
    <s v="Wednesday"/>
    <n v="7"/>
    <n v="9.25"/>
    <x v="0"/>
    <x v="26"/>
    <s v="Male"/>
    <n v="72.099999999999994"/>
    <n v="172.5"/>
    <n v="23.1"/>
    <n v="15"/>
    <s v="CO"/>
    <n v="3"/>
    <n v="1521.8"/>
    <s v="Middle"/>
    <n v="1"/>
    <s v="Multi-Day"/>
    <n v="0"/>
    <n v="1"/>
    <s v="Main Entrance"/>
    <s v="None/Walked from Resort"/>
    <n v="9.9"/>
    <n v="8"/>
    <x v="1136"/>
  </r>
  <r>
    <n v="1167"/>
    <n v="373"/>
    <d v="2026-07-22T00:00:00"/>
    <s v="Wednesday"/>
    <n v="7"/>
    <n v="9.2899999999999991"/>
    <x v="0"/>
    <x v="57"/>
    <s v="Female"/>
    <n v="65.5"/>
    <n v="160"/>
    <n v="26.3"/>
    <n v="13"/>
    <s v="CO"/>
    <n v="3"/>
    <n v="1521.8"/>
    <s v="Middle"/>
    <n v="1"/>
    <s v="Multi-Day"/>
    <n v="0"/>
    <n v="1"/>
    <s v="Main Entrance"/>
    <s v="None/Walked from Resort"/>
    <n v="11.4"/>
    <n v="12"/>
    <x v="1137"/>
  </r>
  <r>
    <n v="1168"/>
    <n v="374"/>
    <d v="2026-09-30T00:00:00"/>
    <s v="Wednesday"/>
    <n v="9"/>
    <n v="9.64"/>
    <x v="0"/>
    <x v="15"/>
    <s v="Female"/>
    <n v="61"/>
    <n v="109.3"/>
    <n v="20.5"/>
    <n v="16"/>
    <s v="IA"/>
    <n v="3"/>
    <n v="1879.3"/>
    <s v="High"/>
    <n v="1"/>
    <s v="Single-Day"/>
    <n v="0"/>
    <n v="0"/>
    <s v="Main Entrance"/>
    <s v="Mickey &amp; Friends"/>
    <n v="7.7"/>
    <n v="7"/>
    <x v="1138"/>
  </r>
  <r>
    <n v="1169"/>
    <n v="374"/>
    <d v="2026-09-30T00:00:00"/>
    <s v="Wednesday"/>
    <n v="9"/>
    <n v="9.56"/>
    <x v="0"/>
    <x v="5"/>
    <s v="Female"/>
    <n v="64"/>
    <n v="148.19999999999999"/>
    <n v="25.6"/>
    <n v="15"/>
    <s v="IA"/>
    <n v="3"/>
    <n v="1879.3"/>
    <s v="High"/>
    <n v="1"/>
    <s v="Single-Day"/>
    <n v="0"/>
    <n v="0"/>
    <s v="Main Entrance"/>
    <s v="Mickey &amp; Friends"/>
    <n v="9.4"/>
    <n v="6"/>
    <x v="1139"/>
  </r>
  <r>
    <n v="1170"/>
    <n v="374"/>
    <d v="2026-09-30T00:00:00"/>
    <s v="Wednesday"/>
    <n v="9"/>
    <n v="9.59"/>
    <x v="0"/>
    <x v="47"/>
    <s v="Female"/>
    <n v="69.2"/>
    <n v="223.7"/>
    <n v="32.700000000000003"/>
    <n v="21"/>
    <s v="IA"/>
    <n v="3"/>
    <n v="1879.3"/>
    <s v="High"/>
    <n v="1"/>
    <s v="Single-Day"/>
    <n v="0"/>
    <n v="0"/>
    <s v="Main Entrance"/>
    <s v="Mickey &amp; Friends"/>
    <n v="9.1"/>
    <n v="6"/>
    <x v="1140"/>
  </r>
  <r>
    <n v="1171"/>
    <n v="375"/>
    <d v="2026-01-25T00:00:00"/>
    <s v="Sunday"/>
    <n v="1"/>
    <n v="8.25"/>
    <x v="0"/>
    <x v="32"/>
    <s v="Male"/>
    <n v="62.8"/>
    <n v="113.5"/>
    <n v="20.3"/>
    <n v="9"/>
    <s v="NV"/>
    <n v="3"/>
    <n v="484.2"/>
    <s v="Low"/>
    <n v="1"/>
    <s v="Single-Day"/>
    <n v="0"/>
    <n v="0"/>
    <s v="Main Entrance"/>
    <s v="Toy Story Lot"/>
    <n v="4.5999999999999996"/>
    <n v="4"/>
    <x v="1141"/>
  </r>
  <r>
    <n v="1172"/>
    <n v="375"/>
    <d v="2026-01-25T00:00:00"/>
    <s v="Sunday"/>
    <n v="1"/>
    <n v="8.31"/>
    <x v="0"/>
    <x v="11"/>
    <s v="Male"/>
    <n v="68.900000000000006"/>
    <n v="161.69999999999999"/>
    <n v="23.8"/>
    <n v="16"/>
    <s v="NV"/>
    <n v="3"/>
    <n v="484.2"/>
    <s v="Low"/>
    <n v="1"/>
    <s v="Single-Day"/>
    <n v="0"/>
    <n v="0"/>
    <s v="Main Entrance"/>
    <s v="Toy Story Lot"/>
    <n v="8.6999999999999993"/>
    <n v="8"/>
    <x v="1142"/>
  </r>
  <r>
    <n v="1173"/>
    <n v="375"/>
    <d v="2026-01-25T00:00:00"/>
    <s v="Sunday"/>
    <n v="1"/>
    <n v="8.1199999999999992"/>
    <x v="0"/>
    <x v="41"/>
    <s v="Female"/>
    <n v="58"/>
    <n v="138.30000000000001"/>
    <n v="28.6"/>
    <n v="16"/>
    <s v="NV"/>
    <n v="3"/>
    <n v="484.2"/>
    <s v="Low"/>
    <n v="1"/>
    <s v="Single-Day"/>
    <n v="0"/>
    <n v="0"/>
    <s v="Main Entrance"/>
    <s v="Toy Story Lot"/>
    <n v="8.4"/>
    <n v="8"/>
    <x v="1143"/>
  </r>
  <r>
    <n v="1174"/>
    <n v="376"/>
    <d v="2026-02-13T00:00:00"/>
    <s v="Friday"/>
    <n v="2"/>
    <n v="10.75"/>
    <x v="0"/>
    <x v="72"/>
    <s v="Male"/>
    <n v="69.5"/>
    <n v="202"/>
    <n v="29.2"/>
    <n v="14"/>
    <s v="Other"/>
    <n v="2"/>
    <n v="1461.8"/>
    <s v="Middle"/>
    <n v="0"/>
    <s v="Park Hopper"/>
    <n v="0"/>
    <n v="0"/>
    <s v="Main Entrance"/>
    <s v="Mickey &amp; Friends"/>
    <n v="6.8"/>
    <n v="10"/>
    <x v="1144"/>
  </r>
  <r>
    <n v="1175"/>
    <n v="376"/>
    <d v="2026-02-13T00:00:00"/>
    <s v="Friday"/>
    <n v="2"/>
    <n v="10.88"/>
    <x v="0"/>
    <x v="12"/>
    <s v="Female"/>
    <n v="58.8"/>
    <n v="80.7"/>
    <n v="16.399999999999999"/>
    <n v="15"/>
    <s v="Other"/>
    <n v="2"/>
    <n v="1461.8"/>
    <s v="Middle"/>
    <n v="0"/>
    <s v="Park Hopper"/>
    <n v="0"/>
    <n v="0"/>
    <s v="Main Entrance"/>
    <s v="Mickey &amp; Friends"/>
    <n v="3.6"/>
    <n v="6"/>
    <x v="1145"/>
  </r>
  <r>
    <n v="1176"/>
    <n v="377"/>
    <d v="2026-08-12T00:00:00"/>
    <s v="Wednesday"/>
    <n v="8"/>
    <n v="7.93"/>
    <x v="0"/>
    <x v="25"/>
    <s v="Female"/>
    <n v="61.9"/>
    <n v="143.80000000000001"/>
    <n v="26.2"/>
    <n v="14"/>
    <s v="Other"/>
    <n v="2"/>
    <n v="1599.8"/>
    <s v="Low"/>
    <n v="0"/>
    <s v="Park Hopper"/>
    <n v="1"/>
    <n v="0"/>
    <s v="Main Entrance"/>
    <s v="Mickey &amp; Friends"/>
    <n v="8.5"/>
    <n v="4"/>
    <x v="1146"/>
  </r>
  <r>
    <n v="1177"/>
    <n v="377"/>
    <d v="2026-08-12T00:00:00"/>
    <s v="Wednesday"/>
    <n v="8"/>
    <n v="7.89"/>
    <x v="0"/>
    <x v="38"/>
    <s v="Male"/>
    <n v="61.7"/>
    <n v="162.9"/>
    <n v="30"/>
    <n v="10"/>
    <s v="Other"/>
    <n v="2"/>
    <n v="1599.8"/>
    <s v="Low"/>
    <n v="0"/>
    <s v="Park Hopper"/>
    <n v="1"/>
    <n v="0"/>
    <s v="Main Entrance"/>
    <s v="Mickey &amp; Friends"/>
    <n v="9.8000000000000007"/>
    <n v="14"/>
    <x v="1147"/>
  </r>
  <r>
    <n v="1178"/>
    <n v="378"/>
    <d v="2026-01-29T00:00:00"/>
    <s v="Thursday"/>
    <n v="1"/>
    <n v="12.91"/>
    <x v="1"/>
    <x v="56"/>
    <s v="Female"/>
    <n v="68.2"/>
    <n v="210.8"/>
    <n v="31.7"/>
    <n v="16"/>
    <s v="ND"/>
    <n v="5"/>
    <n v="1696.3"/>
    <s v="Middle"/>
    <n v="1"/>
    <s v="Single-Day"/>
    <n v="1"/>
    <n v="0"/>
    <s v="Downtown Disney Gate"/>
    <s v="Pixar Pals"/>
    <n v="9.1"/>
    <n v="0"/>
    <x v="1148"/>
  </r>
  <r>
    <n v="1179"/>
    <n v="378"/>
    <d v="2026-01-29T00:00:00"/>
    <s v="Thursday"/>
    <n v="1"/>
    <n v="12.99"/>
    <x v="1"/>
    <x v="49"/>
    <s v="Female"/>
    <n v="64.3"/>
    <n v="147.6"/>
    <n v="24.7"/>
    <n v="18"/>
    <s v="ND"/>
    <n v="5"/>
    <n v="1696.3"/>
    <s v="Middle"/>
    <n v="1"/>
    <s v="Single-Day"/>
    <n v="1"/>
    <n v="0"/>
    <s v="Downtown Disney Gate"/>
    <s v="Pixar Pals"/>
    <n v="10.1"/>
    <n v="14"/>
    <x v="504"/>
  </r>
  <r>
    <n v="1180"/>
    <n v="378"/>
    <d v="2026-01-29T00:00:00"/>
    <s v="Thursday"/>
    <n v="1"/>
    <n v="12.8"/>
    <x v="1"/>
    <x v="25"/>
    <s v="Male"/>
    <n v="68.8"/>
    <n v="169.7"/>
    <n v="25.2"/>
    <n v="14"/>
    <s v="ND"/>
    <n v="5"/>
    <n v="1696.3"/>
    <s v="Middle"/>
    <n v="1"/>
    <s v="Single-Day"/>
    <n v="1"/>
    <n v="0"/>
    <s v="Downtown Disney Gate"/>
    <s v="Pixar Pals"/>
    <n v="9.3000000000000007"/>
    <n v="8"/>
    <x v="1149"/>
  </r>
  <r>
    <n v="1181"/>
    <n v="378"/>
    <d v="2026-01-29T00:00:00"/>
    <s v="Thursday"/>
    <n v="1"/>
    <n v="13.03"/>
    <x v="1"/>
    <x v="26"/>
    <s v="Male"/>
    <n v="70.5"/>
    <n v="189.6"/>
    <n v="26.9"/>
    <n v="15"/>
    <s v="ND"/>
    <n v="5"/>
    <n v="1696.3"/>
    <s v="Middle"/>
    <n v="1"/>
    <s v="Single-Day"/>
    <n v="1"/>
    <n v="0"/>
    <s v="Downtown Disney Gate"/>
    <s v="Pixar Pals"/>
    <n v="7.8"/>
    <n v="12"/>
    <x v="1150"/>
  </r>
  <r>
    <n v="1182"/>
    <n v="378"/>
    <d v="2026-01-29T00:00:00"/>
    <s v="Thursday"/>
    <n v="1"/>
    <n v="13.06"/>
    <x v="1"/>
    <x v="39"/>
    <s v="Male"/>
    <n v="71.8"/>
    <n v="230.3"/>
    <n v="31.4"/>
    <n v="15"/>
    <s v="ND"/>
    <n v="5"/>
    <n v="1696.3"/>
    <s v="Middle"/>
    <n v="1"/>
    <s v="Single-Day"/>
    <n v="1"/>
    <n v="0"/>
    <s v="Downtown Disney Gate"/>
    <s v="Pixar Pals"/>
    <n v="8.4"/>
    <n v="11"/>
    <x v="1151"/>
  </r>
  <r>
    <n v="1183"/>
    <n v="379"/>
    <d v="2026-09-20T00:00:00"/>
    <s v="Sunday"/>
    <n v="9"/>
    <n v="10.34"/>
    <x v="0"/>
    <x v="9"/>
    <s v="Male"/>
    <n v="65.400000000000006"/>
    <n v="153.69999999999999"/>
    <n v="25.3"/>
    <n v="13"/>
    <s v="CA"/>
    <n v="4"/>
    <n v="109.8"/>
    <s v="Middle"/>
    <n v="0"/>
    <s v="Single-Day"/>
    <n v="0"/>
    <n v="0"/>
    <s v="Main Entrance"/>
    <s v="None/Dropoff/Transit"/>
    <n v="8"/>
    <n v="10"/>
    <x v="1152"/>
  </r>
  <r>
    <n v="1184"/>
    <n v="379"/>
    <d v="2026-09-20T00:00:00"/>
    <s v="Sunday"/>
    <n v="9"/>
    <n v="10.210000000000001"/>
    <x v="0"/>
    <x v="49"/>
    <s v="Female"/>
    <n v="63.4"/>
    <n v="162.4"/>
    <n v="28.5"/>
    <n v="11"/>
    <s v="CA"/>
    <n v="4"/>
    <n v="109.8"/>
    <s v="Middle"/>
    <n v="0"/>
    <s v="Single-Day"/>
    <n v="0"/>
    <n v="0"/>
    <s v="Main Entrance"/>
    <s v="None/Dropoff/Transit"/>
    <n v="8.8000000000000007"/>
    <n v="14"/>
    <x v="1153"/>
  </r>
  <r>
    <n v="1185"/>
    <n v="379"/>
    <d v="2026-09-20T00:00:00"/>
    <s v="Sunday"/>
    <n v="9"/>
    <n v="10.4"/>
    <x v="0"/>
    <x v="3"/>
    <s v="Male"/>
    <n v="72.099999999999994"/>
    <n v="233"/>
    <n v="31.5"/>
    <n v="12"/>
    <s v="CA"/>
    <n v="4"/>
    <n v="109.8"/>
    <s v="Middle"/>
    <n v="0"/>
    <s v="Single-Day"/>
    <n v="0"/>
    <n v="0"/>
    <s v="Main Entrance"/>
    <s v="None/Dropoff/Transit"/>
    <n v="5.0999999999999996"/>
    <n v="6"/>
    <x v="1154"/>
  </r>
  <r>
    <n v="1186"/>
    <n v="379"/>
    <d v="2026-09-20T00:00:00"/>
    <s v="Sunday"/>
    <n v="9"/>
    <n v="10.36"/>
    <x v="0"/>
    <x v="30"/>
    <s v="Female"/>
    <n v="64.3"/>
    <n v="157"/>
    <n v="26.8"/>
    <n v="12"/>
    <s v="CA"/>
    <n v="4"/>
    <n v="109.8"/>
    <s v="Middle"/>
    <n v="0"/>
    <s v="Single-Day"/>
    <n v="0"/>
    <n v="0"/>
    <s v="Main Entrance"/>
    <s v="None/Dropoff/Transit"/>
    <n v="6.2"/>
    <n v="6"/>
    <x v="1155"/>
  </r>
  <r>
    <n v="1187"/>
    <n v="380"/>
    <d v="2026-12-05T00:00:00"/>
    <s v="Saturday"/>
    <n v="12"/>
    <n v="8.5299999999999994"/>
    <x v="0"/>
    <x v="40"/>
    <s v="Male"/>
    <n v="70"/>
    <n v="141.69999999999999"/>
    <n v="20.2"/>
    <n v="12"/>
    <s v="NV"/>
    <n v="5"/>
    <n v="210"/>
    <s v="Middle"/>
    <n v="1"/>
    <s v="Single-Day"/>
    <n v="1"/>
    <n v="0"/>
    <s v="Main Entrance"/>
    <s v="Mickey &amp; Friends"/>
    <n v="11.3"/>
    <n v="4"/>
    <x v="1156"/>
  </r>
  <r>
    <n v="1188"/>
    <n v="380"/>
    <d v="2026-12-05T00:00:00"/>
    <s v="Saturday"/>
    <n v="12"/>
    <n v="8.5399999999999991"/>
    <x v="0"/>
    <x v="23"/>
    <s v="Female"/>
    <n v="61.5"/>
    <n v="163.80000000000001"/>
    <n v="30.6"/>
    <n v="12"/>
    <s v="NV"/>
    <n v="5"/>
    <n v="210"/>
    <s v="Middle"/>
    <n v="1"/>
    <s v="Single-Day"/>
    <n v="1"/>
    <n v="0"/>
    <s v="Main Entrance"/>
    <s v="Mickey &amp; Friends"/>
    <n v="10.199999999999999"/>
    <n v="7"/>
    <x v="1157"/>
  </r>
  <r>
    <n v="1189"/>
    <n v="380"/>
    <d v="2026-12-05T00:00:00"/>
    <s v="Saturday"/>
    <n v="12"/>
    <n v="8.69"/>
    <x v="0"/>
    <x v="45"/>
    <s v="Female"/>
    <n v="63.4"/>
    <n v="126.5"/>
    <n v="22.2"/>
    <n v="16"/>
    <s v="NV"/>
    <n v="5"/>
    <n v="210"/>
    <s v="Middle"/>
    <n v="1"/>
    <s v="Single-Day"/>
    <n v="1"/>
    <n v="0"/>
    <s v="Main Entrance"/>
    <s v="Mickey &amp; Friends"/>
    <n v="7.4"/>
    <n v="6"/>
    <x v="1158"/>
  </r>
  <r>
    <n v="1190"/>
    <n v="380"/>
    <d v="2026-12-05T00:00:00"/>
    <s v="Saturday"/>
    <n v="12"/>
    <n v="8.7100000000000009"/>
    <x v="0"/>
    <x v="39"/>
    <s v="Female"/>
    <n v="65.7"/>
    <n v="151"/>
    <n v="24.8"/>
    <n v="16"/>
    <s v="NV"/>
    <n v="5"/>
    <n v="210"/>
    <s v="Middle"/>
    <n v="1"/>
    <s v="Single-Day"/>
    <n v="1"/>
    <n v="0"/>
    <s v="Main Entrance"/>
    <s v="Mickey &amp; Friends"/>
    <n v="6.4"/>
    <n v="6"/>
    <x v="1159"/>
  </r>
  <r>
    <n v="1191"/>
    <n v="380"/>
    <d v="2026-12-05T00:00:00"/>
    <s v="Saturday"/>
    <n v="12"/>
    <n v="8.5"/>
    <x v="0"/>
    <x v="58"/>
    <s v="Male"/>
    <n v="65.900000000000006"/>
    <n v="192.7"/>
    <n v="31.4"/>
    <n v="12"/>
    <s v="NV"/>
    <n v="5"/>
    <n v="210"/>
    <s v="Middle"/>
    <n v="1"/>
    <s v="Single-Day"/>
    <n v="1"/>
    <n v="0"/>
    <s v="Main Entrance"/>
    <s v="Mickey &amp; Friends"/>
    <n v="8.6999999999999993"/>
    <n v="14"/>
    <x v="1160"/>
  </r>
  <r>
    <n v="1192"/>
    <n v="381"/>
    <d v="2026-11-26T00:00:00"/>
    <s v="Thursday"/>
    <n v="11"/>
    <n v="11.54"/>
    <x v="1"/>
    <x v="57"/>
    <s v="Male"/>
    <n v="71.8"/>
    <n v="203.9"/>
    <n v="27.7"/>
    <n v="17"/>
    <s v="FL"/>
    <n v="3"/>
    <n v="2828.3"/>
    <s v="High"/>
    <n v="1"/>
    <s v="Multi-Day"/>
    <n v="1"/>
    <n v="0"/>
    <s v="Main Entrance"/>
    <s v="Mickey &amp; Friends"/>
    <n v="8.1999999999999993"/>
    <n v="4"/>
    <x v="1161"/>
  </r>
  <r>
    <n v="1193"/>
    <n v="381"/>
    <d v="2026-11-26T00:00:00"/>
    <s v="Thursday"/>
    <n v="11"/>
    <n v="11.48"/>
    <x v="1"/>
    <x v="54"/>
    <s v="Female"/>
    <n v="60.9"/>
    <n v="147.6"/>
    <n v="27.8"/>
    <n v="16"/>
    <s v="FL"/>
    <n v="3"/>
    <n v="2828.3"/>
    <s v="High"/>
    <n v="1"/>
    <s v="Multi-Day"/>
    <n v="1"/>
    <n v="0"/>
    <s v="Main Entrance"/>
    <s v="Mickey &amp; Friends"/>
    <n v="6.2"/>
    <n v="8"/>
    <x v="1162"/>
  </r>
  <r>
    <n v="1194"/>
    <n v="381"/>
    <d v="2026-11-26T00:00:00"/>
    <s v="Thursday"/>
    <n v="11"/>
    <n v="11.44"/>
    <x v="1"/>
    <x v="14"/>
    <s v="Male"/>
    <n v="65.2"/>
    <n v="190.5"/>
    <n v="31.4"/>
    <n v="18"/>
    <s v="FL"/>
    <n v="3"/>
    <n v="2828.3"/>
    <s v="High"/>
    <n v="1"/>
    <s v="Multi-Day"/>
    <n v="1"/>
    <n v="0"/>
    <s v="Main Entrance"/>
    <s v="Mickey &amp; Friends"/>
    <n v="8.6999999999999993"/>
    <n v="10"/>
    <x v="1163"/>
  </r>
  <r>
    <n v="1195"/>
    <n v="382"/>
    <d v="2026-12-06T00:00:00"/>
    <s v="Sunday"/>
    <n v="12"/>
    <n v="8.89"/>
    <x v="0"/>
    <x v="27"/>
    <s v="Female"/>
    <n v="64.5"/>
    <n v="188.6"/>
    <n v="32.1"/>
    <n v="17"/>
    <s v="NV"/>
    <n v="2"/>
    <n v="300.89999999999998"/>
    <s v="High"/>
    <n v="1"/>
    <s v="Multi-Day"/>
    <n v="1"/>
    <n v="1"/>
    <s v="Main Entrance"/>
    <s v="Toy Story Lot"/>
    <n v="8.9"/>
    <n v="2"/>
    <x v="1164"/>
  </r>
  <r>
    <n v="1196"/>
    <n v="382"/>
    <d v="2026-12-06T00:00:00"/>
    <s v="Sunday"/>
    <n v="12"/>
    <n v="8.92"/>
    <x v="0"/>
    <x v="60"/>
    <s v="Male"/>
    <n v="63.7"/>
    <n v="80.900000000000006"/>
    <n v="13.9"/>
    <n v="16"/>
    <s v="NV"/>
    <n v="2"/>
    <n v="300.89999999999998"/>
    <s v="High"/>
    <n v="1"/>
    <s v="Multi-Day"/>
    <n v="1"/>
    <n v="1"/>
    <s v="Main Entrance"/>
    <s v="Toy Story Lot"/>
    <n v="9.3000000000000007"/>
    <n v="9"/>
    <x v="1165"/>
  </r>
  <r>
    <n v="1197"/>
    <n v="383"/>
    <d v="2026-10-25T00:00:00"/>
    <s v="Sunday"/>
    <n v="10"/>
    <n v="10.73"/>
    <x v="0"/>
    <x v="47"/>
    <s v="Female"/>
    <n v="67.599999999999994"/>
    <n v="182.2"/>
    <n v="28.1"/>
    <n v="15"/>
    <s v="NV"/>
    <n v="3"/>
    <n v="153.19999999999999"/>
    <s v="Middle"/>
    <n v="1"/>
    <s v="Single-Day"/>
    <n v="0"/>
    <n v="0"/>
    <s v="Downtown Disney Gate"/>
    <s v="Toy Story Lot"/>
    <n v="7.7"/>
    <n v="10"/>
    <x v="1166"/>
  </r>
  <r>
    <n v="1198"/>
    <n v="383"/>
    <d v="2026-10-25T00:00:00"/>
    <s v="Sunday"/>
    <n v="10"/>
    <n v="10.48"/>
    <x v="0"/>
    <x v="19"/>
    <s v="Female"/>
    <n v="61.2"/>
    <n v="170.9"/>
    <n v="32.4"/>
    <n v="17"/>
    <s v="NV"/>
    <n v="3"/>
    <n v="153.19999999999999"/>
    <s v="Middle"/>
    <n v="1"/>
    <s v="Single-Day"/>
    <n v="0"/>
    <n v="0"/>
    <s v="Downtown Disney Gate"/>
    <s v="Toy Story Lot"/>
    <n v="11.4"/>
    <n v="11"/>
    <x v="1167"/>
  </r>
  <r>
    <n v="1199"/>
    <n v="383"/>
    <d v="2026-10-25T00:00:00"/>
    <s v="Sunday"/>
    <n v="10"/>
    <n v="10.71"/>
    <x v="0"/>
    <x v="55"/>
    <s v="Male"/>
    <n v="73.900000000000006"/>
    <n v="238.6"/>
    <n v="30.6"/>
    <n v="14"/>
    <s v="NV"/>
    <n v="3"/>
    <n v="153.19999999999999"/>
    <s v="Middle"/>
    <n v="1"/>
    <s v="Single-Day"/>
    <n v="0"/>
    <n v="0"/>
    <s v="Downtown Disney Gate"/>
    <s v="Toy Story Lot"/>
    <n v="9.1"/>
    <n v="9"/>
    <x v="1168"/>
  </r>
  <r>
    <n v="1200"/>
    <n v="384"/>
    <d v="2026-09-12T00:00:00"/>
    <s v="Saturday"/>
    <n v="9"/>
    <n v="10.26"/>
    <x v="0"/>
    <x v="55"/>
    <s v="Male"/>
    <n v="70.5"/>
    <n v="156.9"/>
    <n v="22.5"/>
    <n v="14"/>
    <s v="NY"/>
    <n v="2"/>
    <n v="3035.8"/>
    <s v="High"/>
    <n v="0"/>
    <s v="Single-Day"/>
    <n v="1"/>
    <n v="0"/>
    <s v="Main Entrance"/>
    <s v="Mickey &amp; Friends"/>
    <n v="11.3"/>
    <n v="11"/>
    <x v="1169"/>
  </r>
  <r>
    <n v="1201"/>
    <n v="384"/>
    <d v="2026-09-12T00:00:00"/>
    <s v="Saturday"/>
    <n v="9"/>
    <n v="10.32"/>
    <x v="0"/>
    <x v="18"/>
    <s v="Male"/>
    <n v="67.7"/>
    <n v="161.30000000000001"/>
    <n v="24.8"/>
    <n v="20"/>
    <s v="NY"/>
    <n v="2"/>
    <n v="3035.8"/>
    <s v="High"/>
    <n v="0"/>
    <s v="Single-Day"/>
    <n v="1"/>
    <n v="0"/>
    <s v="Main Entrance"/>
    <s v="Mickey &amp; Friends"/>
    <n v="8.8000000000000007"/>
    <n v="6"/>
    <x v="1170"/>
  </r>
  <r>
    <n v="1202"/>
    <n v="385"/>
    <d v="2026-09-03T00:00:00"/>
    <s v="Thursday"/>
    <n v="9"/>
    <n v="12.7"/>
    <x v="1"/>
    <x v="38"/>
    <s v="Female"/>
    <n v="67.900000000000006"/>
    <n v="128.6"/>
    <n v="19.5"/>
    <n v="12"/>
    <s v="CO"/>
    <n v="4"/>
    <n v="1174.5999999999999"/>
    <s v="Low"/>
    <n v="1"/>
    <s v="Single-Day"/>
    <n v="0"/>
    <n v="0"/>
    <s v="Main Entrance"/>
    <s v="Mickey &amp; Friends"/>
    <n v="10.1"/>
    <n v="14"/>
    <x v="1171"/>
  </r>
  <r>
    <n v="1203"/>
    <n v="385"/>
    <d v="2026-09-03T00:00:00"/>
    <s v="Thursday"/>
    <n v="9"/>
    <n v="12.57"/>
    <x v="1"/>
    <x v="27"/>
    <s v="Male"/>
    <n v="68.2"/>
    <n v="107.6"/>
    <n v="16.2"/>
    <n v="11"/>
    <s v="CO"/>
    <n v="4"/>
    <n v="1174.5999999999999"/>
    <s v="Low"/>
    <n v="1"/>
    <s v="Single-Day"/>
    <n v="0"/>
    <n v="0"/>
    <s v="Main Entrance"/>
    <s v="Mickey &amp; Friends"/>
    <n v="8.8000000000000007"/>
    <n v="11"/>
    <x v="96"/>
  </r>
  <r>
    <n v="1204"/>
    <n v="385"/>
    <d v="2026-09-03T00:00:00"/>
    <s v="Thursday"/>
    <n v="9"/>
    <n v="12.66"/>
    <x v="1"/>
    <x v="13"/>
    <s v="Male"/>
    <n v="68.599999999999994"/>
    <n v="182.5"/>
    <n v="27.1"/>
    <n v="12"/>
    <s v="CO"/>
    <n v="4"/>
    <n v="1174.5999999999999"/>
    <s v="Low"/>
    <n v="1"/>
    <s v="Single-Day"/>
    <n v="0"/>
    <n v="0"/>
    <s v="Main Entrance"/>
    <s v="Mickey &amp; Friends"/>
    <n v="9.6999999999999993"/>
    <n v="10"/>
    <x v="1172"/>
  </r>
  <r>
    <n v="1205"/>
    <n v="385"/>
    <d v="2026-09-03T00:00:00"/>
    <s v="Thursday"/>
    <n v="9"/>
    <n v="12.5"/>
    <x v="1"/>
    <x v="61"/>
    <s v="Female"/>
    <n v="70"/>
    <n v="135.1"/>
    <n v="19.7"/>
    <n v="11"/>
    <s v="CO"/>
    <n v="4"/>
    <n v="1174.5999999999999"/>
    <s v="Low"/>
    <n v="1"/>
    <s v="Single-Day"/>
    <n v="0"/>
    <n v="0"/>
    <s v="Main Entrance"/>
    <s v="Mickey &amp; Friends"/>
    <n v="6.2"/>
    <n v="4"/>
    <x v="1173"/>
  </r>
  <r>
    <n v="1206"/>
    <n v="386"/>
    <d v="2026-08-14T00:00:00"/>
    <s v="Friday"/>
    <n v="8"/>
    <n v="12.44"/>
    <x v="1"/>
    <x v="1"/>
    <s v="Male"/>
    <n v="61.8"/>
    <n v="142.9"/>
    <n v="26.4"/>
    <n v="17"/>
    <s v="Other"/>
    <n v="2"/>
    <n v="1685.2"/>
    <s v="High"/>
    <n v="1"/>
    <s v="Single-Day"/>
    <n v="0"/>
    <n v="1"/>
    <s v="Main Entrance"/>
    <s v="None/Walked from Resort"/>
    <n v="7.1"/>
    <n v="8"/>
    <x v="1174"/>
  </r>
  <r>
    <n v="1207"/>
    <n v="386"/>
    <d v="2026-08-14T00:00:00"/>
    <s v="Friday"/>
    <n v="8"/>
    <n v="12.5"/>
    <x v="1"/>
    <x v="38"/>
    <s v="Female"/>
    <n v="62.4"/>
    <n v="144.4"/>
    <n v="26.1"/>
    <n v="13"/>
    <s v="Other"/>
    <n v="2"/>
    <n v="1685.2"/>
    <s v="High"/>
    <n v="1"/>
    <s v="Single-Day"/>
    <n v="0"/>
    <n v="1"/>
    <s v="Main Entrance"/>
    <s v="None/Walked from Resort"/>
    <n v="7.8"/>
    <n v="9"/>
    <x v="1016"/>
  </r>
  <r>
    <n v="1208"/>
    <n v="387"/>
    <d v="2026-02-01T00:00:00"/>
    <s v="Sunday"/>
    <n v="2"/>
    <n v="11.06"/>
    <x v="1"/>
    <x v="52"/>
    <s v="Male"/>
    <n v="71.2"/>
    <n v="187.9"/>
    <n v="25.7"/>
    <n v="18"/>
    <s v="CA"/>
    <n v="3"/>
    <n v="95.8"/>
    <s v="High"/>
    <n v="0"/>
    <s v="Single-Day"/>
    <n v="1"/>
    <n v="0"/>
    <s v="Main Entrance"/>
    <s v="Mickey &amp; Friends"/>
    <n v="9.1999999999999993"/>
    <n v="7"/>
    <x v="1175"/>
  </r>
  <r>
    <n v="1209"/>
    <n v="387"/>
    <d v="2026-02-01T00:00:00"/>
    <s v="Sunday"/>
    <n v="2"/>
    <n v="11.29"/>
    <x v="1"/>
    <x v="25"/>
    <s v="Female"/>
    <n v="66.3"/>
    <n v="212.7"/>
    <n v="34"/>
    <n v="15"/>
    <s v="CA"/>
    <n v="3"/>
    <n v="95.8"/>
    <s v="High"/>
    <n v="0"/>
    <s v="Single-Day"/>
    <n v="1"/>
    <n v="0"/>
    <s v="Main Entrance"/>
    <s v="Mickey &amp; Friends"/>
    <n v="8.4"/>
    <n v="14"/>
    <x v="25"/>
  </r>
  <r>
    <n v="1210"/>
    <n v="387"/>
    <d v="2026-02-01T00:00:00"/>
    <s v="Sunday"/>
    <n v="2"/>
    <n v="11.26"/>
    <x v="1"/>
    <x v="69"/>
    <s v="Male"/>
    <n v="69.099999999999994"/>
    <n v="174.9"/>
    <n v="25.8"/>
    <n v="15"/>
    <s v="CA"/>
    <n v="3"/>
    <n v="95.8"/>
    <s v="High"/>
    <n v="0"/>
    <s v="Single-Day"/>
    <n v="1"/>
    <n v="0"/>
    <s v="Main Entrance"/>
    <s v="Mickey &amp; Friends"/>
    <n v="8.5"/>
    <n v="13"/>
    <x v="1176"/>
  </r>
  <r>
    <n v="1211"/>
    <n v="388"/>
    <d v="2026-10-26T00:00:00"/>
    <s v="Monday"/>
    <n v="10"/>
    <n v="10.050000000000001"/>
    <x v="0"/>
    <x v="57"/>
    <s v="Female"/>
    <n v="68.099999999999994"/>
    <n v="195"/>
    <n v="29.4"/>
    <n v="20"/>
    <s v="CA"/>
    <n v="1"/>
    <n v="112.3"/>
    <s v="High"/>
    <n v="1"/>
    <s v="Single-Day"/>
    <n v="0"/>
    <n v="0"/>
    <s v="Main Entrance"/>
    <s v="Pixar Pals"/>
    <n v="8.6"/>
    <n v="6"/>
    <x v="1177"/>
  </r>
  <r>
    <n v="1212"/>
    <n v="389"/>
    <d v="2026-07-21T00:00:00"/>
    <s v="Tuesday"/>
    <n v="7"/>
    <n v="11.81"/>
    <x v="1"/>
    <x v="38"/>
    <s v="Male"/>
    <n v="72.5"/>
    <n v="221.6"/>
    <n v="29.6"/>
    <n v="13"/>
    <s v="UT"/>
    <n v="5"/>
    <n v="468.4"/>
    <s v="Low"/>
    <n v="0"/>
    <s v="Multi-Day"/>
    <n v="0"/>
    <n v="0"/>
    <s v="Downtown Disney Gate"/>
    <s v="Pixar Pals"/>
    <n v="10.3"/>
    <n v="11"/>
    <x v="1178"/>
  </r>
  <r>
    <n v="1213"/>
    <n v="389"/>
    <d v="2026-07-21T00:00:00"/>
    <s v="Tuesday"/>
    <n v="7"/>
    <n v="11.64"/>
    <x v="1"/>
    <x v="15"/>
    <s v="Male"/>
    <n v="64.7"/>
    <n v="208.1"/>
    <n v="34.799999999999997"/>
    <n v="12"/>
    <s v="UT"/>
    <n v="5"/>
    <n v="468.4"/>
    <s v="Low"/>
    <n v="0"/>
    <s v="Multi-Day"/>
    <n v="0"/>
    <n v="0"/>
    <s v="Downtown Disney Gate"/>
    <s v="Pixar Pals"/>
    <n v="7.8"/>
    <n v="6"/>
    <x v="1179"/>
  </r>
  <r>
    <n v="1214"/>
    <n v="389"/>
    <d v="2026-07-21T00:00:00"/>
    <s v="Tuesday"/>
    <n v="7"/>
    <n v="11.57"/>
    <x v="1"/>
    <x v="42"/>
    <s v="Male"/>
    <n v="65.099999999999994"/>
    <n v="198.1"/>
    <n v="33"/>
    <n v="12"/>
    <s v="UT"/>
    <n v="5"/>
    <n v="468.4"/>
    <s v="Low"/>
    <n v="0"/>
    <s v="Multi-Day"/>
    <n v="0"/>
    <n v="0"/>
    <s v="Downtown Disney Gate"/>
    <s v="Pixar Pals"/>
    <n v="7.4"/>
    <n v="6"/>
    <x v="1180"/>
  </r>
  <r>
    <n v="1215"/>
    <n v="389"/>
    <d v="2026-07-21T00:00:00"/>
    <s v="Tuesday"/>
    <n v="7"/>
    <n v="11.68"/>
    <x v="1"/>
    <x v="34"/>
    <s v="Female"/>
    <n v="63.4"/>
    <n v="170"/>
    <n v="29.7"/>
    <n v="12"/>
    <s v="UT"/>
    <n v="5"/>
    <n v="468.4"/>
    <s v="Low"/>
    <n v="0"/>
    <s v="Multi-Day"/>
    <n v="0"/>
    <n v="0"/>
    <s v="Downtown Disney Gate"/>
    <s v="Pixar Pals"/>
    <n v="8"/>
    <n v="11"/>
    <x v="1181"/>
  </r>
  <r>
    <n v="1216"/>
    <n v="389"/>
    <d v="2026-07-21T00:00:00"/>
    <s v="Tuesday"/>
    <n v="7"/>
    <n v="11.65"/>
    <x v="1"/>
    <x v="38"/>
    <s v="Male"/>
    <n v="69.7"/>
    <n v="202.2"/>
    <n v="28.9"/>
    <n v="12"/>
    <s v="UT"/>
    <n v="5"/>
    <n v="468.4"/>
    <s v="Low"/>
    <n v="0"/>
    <s v="Multi-Day"/>
    <n v="0"/>
    <n v="0"/>
    <s v="Downtown Disney Gate"/>
    <s v="Pixar Pals"/>
    <n v="8.6999999999999993"/>
    <n v="9"/>
    <x v="1182"/>
  </r>
  <r>
    <n v="1217"/>
    <n v="390"/>
    <d v="2026-05-25T00:00:00"/>
    <s v="Monday"/>
    <n v="5"/>
    <n v="10.51"/>
    <x v="0"/>
    <x v="38"/>
    <s v="Male"/>
    <n v="68.900000000000006"/>
    <n v="159.6"/>
    <n v="23.6"/>
    <n v="12"/>
    <s v="CA"/>
    <n v="3"/>
    <n v="56.4"/>
    <s v="Middle"/>
    <n v="0"/>
    <s v="Multi-Day"/>
    <n v="1"/>
    <n v="0"/>
    <s v="Main Entrance"/>
    <s v="Toy Story Lot"/>
    <n v="8.5"/>
    <n v="10"/>
    <x v="1183"/>
  </r>
  <r>
    <n v="1218"/>
    <n v="390"/>
    <d v="2026-05-25T00:00:00"/>
    <s v="Monday"/>
    <n v="5"/>
    <n v="10.73"/>
    <x v="0"/>
    <x v="49"/>
    <s v="Male"/>
    <n v="70.400000000000006"/>
    <n v="180.6"/>
    <n v="25.8"/>
    <n v="14"/>
    <s v="CA"/>
    <n v="3"/>
    <n v="56.4"/>
    <s v="Middle"/>
    <n v="0"/>
    <s v="Multi-Day"/>
    <n v="1"/>
    <n v="0"/>
    <s v="Main Entrance"/>
    <s v="Toy Story Lot"/>
    <n v="8.9"/>
    <n v="14"/>
    <x v="1184"/>
  </r>
  <r>
    <n v="1219"/>
    <n v="390"/>
    <d v="2026-05-25T00:00:00"/>
    <s v="Monday"/>
    <n v="5"/>
    <n v="10.59"/>
    <x v="0"/>
    <x v="36"/>
    <s v="Female"/>
    <n v="67.900000000000006"/>
    <n v="149.9"/>
    <n v="22.9"/>
    <n v="16"/>
    <s v="CA"/>
    <n v="3"/>
    <n v="56.4"/>
    <s v="Middle"/>
    <n v="0"/>
    <s v="Multi-Day"/>
    <n v="1"/>
    <n v="0"/>
    <s v="Main Entrance"/>
    <s v="Toy Story Lot"/>
    <n v="8.9"/>
    <n v="6"/>
    <x v="1185"/>
  </r>
  <r>
    <n v="1220"/>
    <n v="391"/>
    <d v="2026-06-17T00:00:00"/>
    <s v="Wednesday"/>
    <n v="6"/>
    <n v="9.91"/>
    <x v="0"/>
    <x v="17"/>
    <s v="Male"/>
    <n v="68.2"/>
    <n v="179.5"/>
    <n v="27"/>
    <n v="16"/>
    <s v="NY"/>
    <n v="3"/>
    <n v="2953.8"/>
    <s v="Middle"/>
    <n v="1"/>
    <s v="Single-Day"/>
    <n v="0"/>
    <n v="1"/>
    <s v="Main Entrance"/>
    <s v="None/Walked from Resort"/>
    <n v="10.199999999999999"/>
    <n v="9"/>
    <x v="1186"/>
  </r>
  <r>
    <n v="1221"/>
    <n v="391"/>
    <d v="2026-06-17T00:00:00"/>
    <s v="Wednesday"/>
    <n v="6"/>
    <n v="9.93"/>
    <x v="0"/>
    <x v="34"/>
    <s v="Male"/>
    <n v="67.900000000000006"/>
    <n v="181.9"/>
    <n v="27.7"/>
    <n v="13"/>
    <s v="NY"/>
    <n v="3"/>
    <n v="2953.8"/>
    <s v="Middle"/>
    <n v="1"/>
    <s v="Single-Day"/>
    <n v="0"/>
    <n v="1"/>
    <s v="Main Entrance"/>
    <s v="None/Walked from Resort"/>
    <n v="7.9"/>
    <n v="6"/>
    <x v="1187"/>
  </r>
  <r>
    <n v="1222"/>
    <n v="391"/>
    <d v="2026-06-17T00:00:00"/>
    <s v="Wednesday"/>
    <n v="6"/>
    <n v="10.02"/>
    <x v="0"/>
    <x v="38"/>
    <s v="Male"/>
    <n v="68"/>
    <n v="163.80000000000001"/>
    <n v="24.7"/>
    <n v="13"/>
    <s v="NY"/>
    <n v="3"/>
    <n v="2953.8"/>
    <s v="Middle"/>
    <n v="1"/>
    <s v="Single-Day"/>
    <n v="0"/>
    <n v="1"/>
    <s v="Main Entrance"/>
    <s v="None/Walked from Resort"/>
    <n v="9.4"/>
    <n v="10"/>
    <x v="1188"/>
  </r>
  <r>
    <n v="1223"/>
    <n v="392"/>
    <d v="2026-04-19T00:00:00"/>
    <s v="Sunday"/>
    <n v="4"/>
    <n v="9.33"/>
    <x v="0"/>
    <x v="10"/>
    <s v="Female"/>
    <n v="64.400000000000006"/>
    <n v="199.7"/>
    <n v="33.700000000000003"/>
    <n v="17"/>
    <s v="CA"/>
    <n v="1"/>
    <n v="2"/>
    <s v="Middle"/>
    <n v="0"/>
    <s v="Multi-Day"/>
    <n v="0"/>
    <n v="0"/>
    <s v="Main Entrance"/>
    <s v="Mickey &amp; Friends"/>
    <n v="9.3000000000000007"/>
    <n v="10"/>
    <x v="1189"/>
  </r>
  <r>
    <n v="1224"/>
    <n v="393"/>
    <d v="2026-11-11T00:00:00"/>
    <s v="Wednesday"/>
    <n v="11"/>
    <n v="10.27"/>
    <x v="0"/>
    <x v="36"/>
    <s v="Female"/>
    <n v="62.2"/>
    <n v="127.9"/>
    <n v="23.3"/>
    <n v="14"/>
    <s v="CA"/>
    <n v="3"/>
    <n v="133.1"/>
    <s v="Low"/>
    <n v="0"/>
    <s v="Single-Day"/>
    <n v="0"/>
    <n v="0"/>
    <s v="Main Entrance"/>
    <s v="Toy Story Lot"/>
    <n v="8.8000000000000007"/>
    <n v="15"/>
    <x v="1190"/>
  </r>
  <r>
    <n v="1225"/>
    <n v="393"/>
    <d v="2026-11-11T00:00:00"/>
    <s v="Wednesday"/>
    <n v="11"/>
    <n v="9.91"/>
    <x v="0"/>
    <x v="55"/>
    <s v="Male"/>
    <n v="71"/>
    <n v="154.9"/>
    <n v="21.5"/>
    <n v="15"/>
    <s v="CA"/>
    <n v="3"/>
    <n v="133.1"/>
    <s v="Low"/>
    <n v="0"/>
    <s v="Single-Day"/>
    <n v="0"/>
    <n v="0"/>
    <s v="Main Entrance"/>
    <s v="Toy Story Lot"/>
    <n v="7.2"/>
    <n v="6"/>
    <x v="1191"/>
  </r>
  <r>
    <n v="1226"/>
    <n v="393"/>
    <d v="2026-11-11T00:00:00"/>
    <s v="Wednesday"/>
    <n v="11"/>
    <n v="10.01"/>
    <x v="0"/>
    <x v="32"/>
    <s v="Male"/>
    <n v="57.8"/>
    <n v="99.9"/>
    <n v="20.9"/>
    <n v="7"/>
    <s v="CA"/>
    <n v="3"/>
    <n v="133.1"/>
    <s v="Low"/>
    <n v="0"/>
    <s v="Single-Day"/>
    <n v="0"/>
    <n v="0"/>
    <s v="Main Entrance"/>
    <s v="Toy Story Lot"/>
    <n v="7.7"/>
    <n v="7"/>
    <x v="1192"/>
  </r>
  <r>
    <n v="1227"/>
    <n v="394"/>
    <d v="2026-06-29T00:00:00"/>
    <s v="Monday"/>
    <n v="6"/>
    <n v="11.79"/>
    <x v="1"/>
    <x v="31"/>
    <s v="Male"/>
    <n v="65.7"/>
    <n v="156.19999999999999"/>
    <n v="25.2"/>
    <n v="15"/>
    <s v="CA"/>
    <n v="4"/>
    <n v="25.2"/>
    <s v="Middle"/>
    <n v="0"/>
    <s v="Multi-Day"/>
    <n v="1"/>
    <n v="0"/>
    <s v="Main Entrance"/>
    <s v="None/Dropoff/Transit"/>
    <n v="8"/>
    <n v="8"/>
    <x v="1193"/>
  </r>
  <r>
    <n v="1228"/>
    <n v="394"/>
    <d v="2026-06-29T00:00:00"/>
    <s v="Monday"/>
    <n v="6"/>
    <n v="11.79"/>
    <x v="1"/>
    <x v="52"/>
    <s v="Male"/>
    <n v="71.7"/>
    <n v="193.8"/>
    <n v="26.7"/>
    <n v="18"/>
    <s v="CA"/>
    <n v="4"/>
    <n v="25.2"/>
    <s v="Middle"/>
    <n v="0"/>
    <s v="Multi-Day"/>
    <n v="1"/>
    <n v="0"/>
    <s v="Main Entrance"/>
    <s v="None/Dropoff/Transit"/>
    <n v="8.6"/>
    <n v="7"/>
    <x v="1194"/>
  </r>
  <r>
    <n v="1229"/>
    <n v="394"/>
    <d v="2026-06-29T00:00:00"/>
    <s v="Monday"/>
    <n v="6"/>
    <n v="11.97"/>
    <x v="1"/>
    <x v="26"/>
    <s v="Female"/>
    <n v="61.8"/>
    <n v="105.7"/>
    <n v="19.5"/>
    <n v="14"/>
    <s v="CA"/>
    <n v="4"/>
    <n v="25.2"/>
    <s v="Middle"/>
    <n v="0"/>
    <s v="Multi-Day"/>
    <n v="1"/>
    <n v="0"/>
    <s v="Main Entrance"/>
    <s v="None/Dropoff/Transit"/>
    <n v="6.7"/>
    <n v="7"/>
    <x v="1195"/>
  </r>
  <r>
    <n v="1230"/>
    <n v="394"/>
    <d v="2026-06-29T00:00:00"/>
    <s v="Monday"/>
    <n v="6"/>
    <n v="11.76"/>
    <x v="1"/>
    <x v="56"/>
    <s v="Female"/>
    <n v="68.900000000000006"/>
    <n v="160.69999999999999"/>
    <n v="23.9"/>
    <n v="15"/>
    <s v="CA"/>
    <n v="4"/>
    <n v="25.2"/>
    <s v="Middle"/>
    <n v="0"/>
    <s v="Multi-Day"/>
    <n v="1"/>
    <n v="0"/>
    <s v="Main Entrance"/>
    <s v="None/Dropoff/Transit"/>
    <n v="7.7"/>
    <n v="12"/>
    <x v="1196"/>
  </r>
  <r>
    <n v="1231"/>
    <n v="395"/>
    <d v="2026-11-14T00:00:00"/>
    <s v="Saturday"/>
    <n v="11"/>
    <n v="12.05"/>
    <x v="1"/>
    <x v="33"/>
    <s v="Male"/>
    <n v="74.400000000000006"/>
    <n v="274.10000000000002"/>
    <n v="34.9"/>
    <n v="18"/>
    <s v="Other"/>
    <n v="1"/>
    <n v="1655.9"/>
    <s v="High"/>
    <n v="1"/>
    <s v="Multi-Day"/>
    <n v="0"/>
    <n v="1"/>
    <s v="Main Entrance"/>
    <s v="None/Walked from Resort"/>
    <n v="11.7"/>
    <n v="14"/>
    <x v="1197"/>
  </r>
  <r>
    <n v="1232"/>
    <n v="396"/>
    <d v="2026-04-09T00:00:00"/>
    <s v="Thursday"/>
    <n v="4"/>
    <n v="8.26"/>
    <x v="0"/>
    <x v="25"/>
    <s v="Female"/>
    <n v="64.400000000000006"/>
    <n v="128.6"/>
    <n v="21.5"/>
    <n v="13"/>
    <s v="OR"/>
    <n v="1"/>
    <n v="487.6"/>
    <s v="Low"/>
    <n v="1"/>
    <s v="Single-Day"/>
    <n v="0"/>
    <n v="0"/>
    <s v="Main Entrance"/>
    <s v="Pixar Pals"/>
    <n v="10"/>
    <n v="5"/>
    <x v="1198"/>
  </r>
  <r>
    <n v="1233"/>
    <n v="397"/>
    <d v="2026-11-21T00:00:00"/>
    <s v="Saturday"/>
    <n v="11"/>
    <n v="12.12"/>
    <x v="1"/>
    <x v="10"/>
    <s v="Female"/>
    <n v="59.7"/>
    <n v="140.80000000000001"/>
    <n v="27.7"/>
    <n v="18"/>
    <s v="UT"/>
    <n v="3"/>
    <n v="494.3"/>
    <s v="Middle"/>
    <n v="0"/>
    <s v="Multi-Day"/>
    <n v="1"/>
    <n v="0"/>
    <s v="Main Entrance"/>
    <s v="Mickey &amp; Friends"/>
    <n v="7.5"/>
    <n v="11"/>
    <x v="1199"/>
  </r>
  <r>
    <n v="1234"/>
    <n v="397"/>
    <d v="2026-11-21T00:00:00"/>
    <s v="Saturday"/>
    <n v="11"/>
    <n v="11.89"/>
    <x v="1"/>
    <x v="15"/>
    <s v="Female"/>
    <n v="68.099999999999994"/>
    <n v="169.2"/>
    <n v="25.7"/>
    <n v="12"/>
    <s v="UT"/>
    <n v="3"/>
    <n v="494.3"/>
    <s v="Middle"/>
    <n v="0"/>
    <s v="Multi-Day"/>
    <n v="1"/>
    <n v="0"/>
    <s v="Main Entrance"/>
    <s v="Mickey &amp; Friends"/>
    <n v="6.6"/>
    <n v="7"/>
    <x v="1200"/>
  </r>
  <r>
    <n v="1235"/>
    <n v="397"/>
    <d v="2026-11-21T00:00:00"/>
    <s v="Saturday"/>
    <n v="11"/>
    <n v="12.1"/>
    <x v="1"/>
    <x v="9"/>
    <s v="Male"/>
    <n v="73.599999999999994"/>
    <n v="154.1"/>
    <n v="20"/>
    <n v="18"/>
    <s v="UT"/>
    <n v="3"/>
    <n v="494.3"/>
    <s v="Middle"/>
    <n v="0"/>
    <s v="Multi-Day"/>
    <n v="1"/>
    <n v="0"/>
    <s v="Main Entrance"/>
    <s v="Mickey &amp; Friends"/>
    <n v="7.8"/>
    <n v="3"/>
    <x v="1201"/>
  </r>
  <r>
    <n v="1236"/>
    <n v="398"/>
    <d v="2026-04-21T00:00:00"/>
    <s v="Tuesday"/>
    <n v="4"/>
    <n v="11.45"/>
    <x v="1"/>
    <x v="48"/>
    <s v="Female"/>
    <n v="65.8"/>
    <n v="170.1"/>
    <n v="27.6"/>
    <n v="15"/>
    <s v="Other"/>
    <n v="1"/>
    <n v="1757.2"/>
    <s v="Low"/>
    <n v="1"/>
    <s v="Park Hopper"/>
    <n v="0"/>
    <n v="0"/>
    <s v="Main Entrance"/>
    <s v="Pixar Pals"/>
    <n v="9.5"/>
    <n v="2"/>
    <x v="1202"/>
  </r>
  <r>
    <n v="1237"/>
    <n v="399"/>
    <d v="2026-05-09T00:00:00"/>
    <s v="Saturday"/>
    <n v="5"/>
    <n v="9.36"/>
    <x v="0"/>
    <x v="43"/>
    <s v="Female"/>
    <n v="69.400000000000006"/>
    <n v="271.89999999999998"/>
    <n v="39.799999999999997"/>
    <n v="14"/>
    <s v="Other"/>
    <n v="4"/>
    <n v="1322.4"/>
    <s v="Low"/>
    <n v="1"/>
    <s v="Single-Day"/>
    <n v="0"/>
    <n v="0"/>
    <s v="Downtown Disney Gate"/>
    <s v="Mickey &amp; Friends"/>
    <n v="9.3000000000000007"/>
    <n v="7"/>
    <x v="1203"/>
  </r>
  <r>
    <n v="1238"/>
    <n v="399"/>
    <d v="2026-05-09T00:00:00"/>
    <s v="Saturday"/>
    <n v="5"/>
    <n v="9.3699999999999992"/>
    <x v="0"/>
    <x v="19"/>
    <s v="Female"/>
    <n v="66.099999999999994"/>
    <n v="133.80000000000001"/>
    <n v="21.6"/>
    <n v="13"/>
    <s v="Other"/>
    <n v="4"/>
    <n v="1322.4"/>
    <s v="Low"/>
    <n v="1"/>
    <s v="Single-Day"/>
    <n v="0"/>
    <n v="0"/>
    <s v="Downtown Disney Gate"/>
    <s v="Mickey &amp; Friends"/>
    <n v="8"/>
    <n v="5"/>
    <x v="1204"/>
  </r>
  <r>
    <n v="1239"/>
    <n v="399"/>
    <d v="2026-05-09T00:00:00"/>
    <s v="Saturday"/>
    <n v="5"/>
    <n v="9.39"/>
    <x v="0"/>
    <x v="71"/>
    <s v="Female"/>
    <n v="67.099999999999994"/>
    <n v="211.2"/>
    <n v="33.200000000000003"/>
    <n v="14"/>
    <s v="Other"/>
    <n v="4"/>
    <n v="1322.4"/>
    <s v="Low"/>
    <n v="1"/>
    <s v="Single-Day"/>
    <n v="0"/>
    <n v="0"/>
    <s v="Downtown Disney Gate"/>
    <s v="Mickey &amp; Friends"/>
    <n v="8.4"/>
    <n v="6"/>
    <x v="1205"/>
  </r>
  <r>
    <n v="1240"/>
    <n v="399"/>
    <d v="2026-05-09T00:00:00"/>
    <s v="Saturday"/>
    <n v="5"/>
    <n v="9.44"/>
    <x v="0"/>
    <x v="23"/>
    <s v="Female"/>
    <n v="65.099999999999994"/>
    <n v="154.5"/>
    <n v="25.8"/>
    <n v="12"/>
    <s v="Other"/>
    <n v="4"/>
    <n v="1322.4"/>
    <s v="Low"/>
    <n v="1"/>
    <s v="Single-Day"/>
    <n v="0"/>
    <n v="0"/>
    <s v="Downtown Disney Gate"/>
    <s v="Mickey &amp; Friends"/>
    <n v="10.3"/>
    <n v="4"/>
    <x v="1206"/>
  </r>
  <r>
    <n v="1241"/>
    <n v="400"/>
    <d v="2026-02-11T00:00:00"/>
    <s v="Wednesday"/>
    <n v="2"/>
    <n v="11.35"/>
    <x v="1"/>
    <x v="21"/>
    <s v="Male"/>
    <n v="74.400000000000006"/>
    <n v="234.7"/>
    <n v="29.7"/>
    <n v="13"/>
    <s v="CA"/>
    <n v="5"/>
    <n v="129"/>
    <s v="Low"/>
    <n v="0"/>
    <s v="Single-Day"/>
    <n v="1"/>
    <n v="0"/>
    <s v="Main Entrance"/>
    <s v="Toy Story Lot"/>
    <n v="9.5"/>
    <n v="11"/>
    <x v="1207"/>
  </r>
  <r>
    <n v="1242"/>
    <n v="400"/>
    <d v="2026-02-11T00:00:00"/>
    <s v="Wednesday"/>
    <n v="2"/>
    <n v="11.46"/>
    <x v="1"/>
    <x v="24"/>
    <s v="Female"/>
    <n v="64.099999999999994"/>
    <n v="132.1"/>
    <n v="22.6"/>
    <n v="15"/>
    <s v="CA"/>
    <n v="5"/>
    <n v="129"/>
    <s v="Low"/>
    <n v="0"/>
    <s v="Single-Day"/>
    <n v="1"/>
    <n v="0"/>
    <s v="Main Entrance"/>
    <s v="Toy Story Lot"/>
    <n v="8.9"/>
    <n v="11"/>
    <x v="1208"/>
  </r>
  <r>
    <n v="1243"/>
    <n v="400"/>
    <d v="2026-02-11T00:00:00"/>
    <s v="Wednesday"/>
    <n v="2"/>
    <n v="11.39"/>
    <x v="1"/>
    <x v="9"/>
    <s v="Female"/>
    <n v="61.8"/>
    <n v="116.1"/>
    <n v="21.5"/>
    <n v="14"/>
    <s v="CA"/>
    <n v="5"/>
    <n v="129"/>
    <s v="Low"/>
    <n v="0"/>
    <s v="Single-Day"/>
    <n v="1"/>
    <n v="0"/>
    <s v="Main Entrance"/>
    <s v="Toy Story Lot"/>
    <n v="8.5"/>
    <n v="12"/>
    <x v="1209"/>
  </r>
  <r>
    <n v="1244"/>
    <n v="400"/>
    <d v="2026-02-11T00:00:00"/>
    <s v="Wednesday"/>
    <n v="2"/>
    <n v="11.57"/>
    <x v="1"/>
    <x v="18"/>
    <s v="Male"/>
    <n v="66"/>
    <n v="90.9"/>
    <n v="14.8"/>
    <n v="13"/>
    <s v="CA"/>
    <n v="5"/>
    <n v="129"/>
    <s v="Low"/>
    <n v="0"/>
    <s v="Single-Day"/>
    <n v="1"/>
    <n v="0"/>
    <s v="Main Entrance"/>
    <s v="Toy Story Lot"/>
    <n v="8.5"/>
    <n v="13"/>
    <x v="1210"/>
  </r>
  <r>
    <n v="1245"/>
    <n v="400"/>
    <d v="2026-02-11T00:00:00"/>
    <s v="Wednesday"/>
    <n v="2"/>
    <n v="11.53"/>
    <x v="1"/>
    <x v="57"/>
    <s v="Female"/>
    <n v="64.7"/>
    <n v="170.1"/>
    <n v="28.4"/>
    <n v="15"/>
    <s v="CA"/>
    <n v="5"/>
    <n v="129"/>
    <s v="Low"/>
    <n v="0"/>
    <s v="Single-Day"/>
    <n v="1"/>
    <n v="0"/>
    <s v="Main Entrance"/>
    <s v="Toy Story Lot"/>
    <n v="10.9"/>
    <n v="10"/>
    <x v="1211"/>
  </r>
  <r>
    <n v="1246"/>
    <n v="401"/>
    <d v="2026-11-27T00:00:00"/>
    <s v="Friday"/>
    <n v="11"/>
    <n v="11.87"/>
    <x v="1"/>
    <x v="25"/>
    <s v="Female"/>
    <n v="66.3"/>
    <n v="130.5"/>
    <n v="20.8"/>
    <n v="20"/>
    <s v="NV"/>
    <n v="4"/>
    <n v="71.2"/>
    <s v="High"/>
    <n v="0"/>
    <s v="Park Hopper"/>
    <n v="1"/>
    <n v="0"/>
    <s v="Main Entrance"/>
    <s v="Mickey &amp; Friends"/>
    <n v="9.1"/>
    <n v="10"/>
    <x v="1212"/>
  </r>
  <r>
    <n v="1247"/>
    <n v="401"/>
    <d v="2026-11-27T00:00:00"/>
    <s v="Friday"/>
    <n v="11"/>
    <n v="11.52"/>
    <x v="1"/>
    <x v="30"/>
    <s v="Male"/>
    <n v="69.8"/>
    <n v="161"/>
    <n v="23.3"/>
    <n v="18"/>
    <s v="NV"/>
    <n v="4"/>
    <n v="71.2"/>
    <s v="High"/>
    <n v="0"/>
    <s v="Park Hopper"/>
    <n v="1"/>
    <n v="0"/>
    <s v="Main Entrance"/>
    <s v="Mickey &amp; Friends"/>
    <n v="6.5"/>
    <n v="8"/>
    <x v="1213"/>
  </r>
  <r>
    <n v="1248"/>
    <n v="401"/>
    <d v="2026-11-27T00:00:00"/>
    <s v="Friday"/>
    <n v="11"/>
    <n v="11.84"/>
    <x v="1"/>
    <x v="27"/>
    <s v="Female"/>
    <n v="65.7"/>
    <n v="147.1"/>
    <n v="23.9"/>
    <n v="15"/>
    <s v="NV"/>
    <n v="4"/>
    <n v="71.2"/>
    <s v="High"/>
    <n v="0"/>
    <s v="Park Hopper"/>
    <n v="1"/>
    <n v="0"/>
    <s v="Main Entrance"/>
    <s v="Mickey &amp; Friends"/>
    <n v="8.6"/>
    <n v="12"/>
    <x v="1214"/>
  </r>
  <r>
    <n v="1249"/>
    <n v="401"/>
    <d v="2026-11-27T00:00:00"/>
    <s v="Friday"/>
    <n v="11"/>
    <n v="11.63"/>
    <x v="1"/>
    <x v="25"/>
    <s v="Male"/>
    <n v="67.8"/>
    <n v="162.69999999999999"/>
    <n v="25"/>
    <n v="20"/>
    <s v="NV"/>
    <n v="4"/>
    <n v="71.2"/>
    <s v="High"/>
    <n v="0"/>
    <s v="Park Hopper"/>
    <n v="1"/>
    <n v="0"/>
    <s v="Main Entrance"/>
    <s v="Mickey &amp; Friends"/>
    <n v="7.2"/>
    <n v="9"/>
    <x v="1215"/>
  </r>
  <r>
    <n v="1250"/>
    <n v="402"/>
    <d v="2026-03-27T00:00:00"/>
    <s v="Friday"/>
    <n v="3"/>
    <n v="12.68"/>
    <x v="1"/>
    <x v="14"/>
    <s v="Female"/>
    <n v="63.3"/>
    <n v="151.6"/>
    <n v="27"/>
    <n v="16"/>
    <s v="CA"/>
    <n v="2"/>
    <n v="25.4"/>
    <s v="High"/>
    <n v="0"/>
    <s v="Single-Day"/>
    <n v="0"/>
    <n v="0"/>
    <s v="Main Entrance"/>
    <s v="Pixar Pals"/>
    <n v="9.1"/>
    <n v="4"/>
    <x v="1216"/>
  </r>
  <r>
    <n v="1251"/>
    <n v="402"/>
    <d v="2026-03-27T00:00:00"/>
    <s v="Friday"/>
    <n v="3"/>
    <n v="12.68"/>
    <x v="1"/>
    <x v="27"/>
    <s v="Female"/>
    <n v="64"/>
    <n v="142.6"/>
    <n v="24.5"/>
    <n v="19"/>
    <s v="CA"/>
    <n v="2"/>
    <n v="25.4"/>
    <s v="High"/>
    <n v="0"/>
    <s v="Single-Day"/>
    <n v="0"/>
    <n v="0"/>
    <s v="Main Entrance"/>
    <s v="Pixar Pals"/>
    <n v="6.8"/>
    <n v="8"/>
    <x v="1217"/>
  </r>
  <r>
    <n v="1252"/>
    <n v="403"/>
    <d v="2026-05-07T00:00:00"/>
    <s v="Thursday"/>
    <n v="5"/>
    <n v="9.99"/>
    <x v="0"/>
    <x v="10"/>
    <s v="Male"/>
    <n v="70.2"/>
    <n v="199.7"/>
    <n v="28.2"/>
    <n v="14"/>
    <s v="MN"/>
    <n v="5"/>
    <n v="2204.9"/>
    <s v="High"/>
    <n v="1"/>
    <s v="Multi-Day"/>
    <n v="0"/>
    <n v="0"/>
    <s v="Main Entrance"/>
    <s v="None/Dropoff/Transit"/>
    <n v="8.3000000000000007"/>
    <n v="10"/>
    <x v="1218"/>
  </r>
  <r>
    <n v="1253"/>
    <n v="403"/>
    <d v="2026-05-07T00:00:00"/>
    <s v="Thursday"/>
    <n v="5"/>
    <n v="9.86"/>
    <x v="0"/>
    <x v="15"/>
    <s v="Male"/>
    <n v="64.400000000000006"/>
    <n v="171.4"/>
    <n v="29.2"/>
    <n v="18"/>
    <s v="MN"/>
    <n v="5"/>
    <n v="2204.9"/>
    <s v="High"/>
    <n v="1"/>
    <s v="Multi-Day"/>
    <n v="0"/>
    <n v="0"/>
    <s v="Main Entrance"/>
    <s v="None/Dropoff/Transit"/>
    <n v="10.7"/>
    <n v="12"/>
    <x v="1219"/>
  </r>
  <r>
    <n v="1254"/>
    <n v="403"/>
    <d v="2026-05-07T00:00:00"/>
    <s v="Thursday"/>
    <n v="5"/>
    <n v="9.9"/>
    <x v="0"/>
    <x v="67"/>
    <s v="Male"/>
    <n v="67.400000000000006"/>
    <n v="89.4"/>
    <n v="13.7"/>
    <n v="14"/>
    <s v="MN"/>
    <n v="5"/>
    <n v="2204.9"/>
    <s v="High"/>
    <n v="1"/>
    <s v="Multi-Day"/>
    <n v="0"/>
    <n v="0"/>
    <s v="Main Entrance"/>
    <s v="None/Dropoff/Transit"/>
    <n v="8.5"/>
    <n v="8"/>
    <x v="1220"/>
  </r>
  <r>
    <n v="1255"/>
    <n v="403"/>
    <d v="2026-05-07T00:00:00"/>
    <s v="Thursday"/>
    <n v="5"/>
    <n v="10.029999999999999"/>
    <x v="0"/>
    <x v="45"/>
    <s v="Male"/>
    <n v="71.7"/>
    <n v="174.3"/>
    <n v="23.7"/>
    <n v="18"/>
    <s v="MN"/>
    <n v="5"/>
    <n v="2204.9"/>
    <s v="High"/>
    <n v="1"/>
    <s v="Multi-Day"/>
    <n v="0"/>
    <n v="0"/>
    <s v="Main Entrance"/>
    <s v="None/Dropoff/Transit"/>
    <n v="10.5"/>
    <n v="5"/>
    <x v="1221"/>
  </r>
  <r>
    <n v="1256"/>
    <n v="403"/>
    <d v="2026-05-07T00:00:00"/>
    <s v="Thursday"/>
    <n v="5"/>
    <n v="9.8699999999999992"/>
    <x v="0"/>
    <x v="14"/>
    <s v="Male"/>
    <n v="65.3"/>
    <n v="163.1"/>
    <n v="26.8"/>
    <n v="18"/>
    <s v="MN"/>
    <n v="5"/>
    <n v="2204.9"/>
    <s v="High"/>
    <n v="1"/>
    <s v="Multi-Day"/>
    <n v="0"/>
    <n v="0"/>
    <s v="Main Entrance"/>
    <s v="None/Dropoff/Transit"/>
    <n v="6.9"/>
    <n v="8"/>
    <x v="1222"/>
  </r>
  <r>
    <n v="1257"/>
    <n v="404"/>
    <d v="2026-08-21T00:00:00"/>
    <s v="Friday"/>
    <n v="8"/>
    <n v="10.32"/>
    <x v="0"/>
    <x v="25"/>
    <s v="Female"/>
    <n v="62.4"/>
    <n v="141.5"/>
    <n v="25.5"/>
    <n v="18"/>
    <s v="AZ"/>
    <n v="6"/>
    <n v="323.10000000000002"/>
    <s v="High"/>
    <n v="1"/>
    <s v="Single-Day"/>
    <n v="1"/>
    <n v="1"/>
    <s v="Main Entrance"/>
    <s v="Toy Story Lot"/>
    <n v="9.6"/>
    <n v="10"/>
    <x v="1223"/>
  </r>
  <r>
    <n v="1258"/>
    <n v="404"/>
    <d v="2026-08-21T00:00:00"/>
    <s v="Friday"/>
    <n v="8"/>
    <n v="10.17"/>
    <x v="0"/>
    <x v="28"/>
    <s v="Female"/>
    <n v="65.3"/>
    <n v="137.69999999999999"/>
    <n v="22.3"/>
    <n v="20"/>
    <s v="AZ"/>
    <n v="6"/>
    <n v="323.10000000000002"/>
    <s v="High"/>
    <n v="1"/>
    <s v="Single-Day"/>
    <n v="1"/>
    <n v="1"/>
    <s v="Main Entrance"/>
    <s v="Toy Story Lot"/>
    <n v="9.6"/>
    <n v="9"/>
    <x v="1224"/>
  </r>
  <r>
    <n v="1259"/>
    <n v="404"/>
    <d v="2026-08-21T00:00:00"/>
    <s v="Friday"/>
    <n v="8"/>
    <n v="10.47"/>
    <x v="0"/>
    <x v="18"/>
    <s v="Male"/>
    <n v="67"/>
    <n v="193.7"/>
    <n v="30.6"/>
    <n v="19"/>
    <s v="AZ"/>
    <n v="6"/>
    <n v="323.10000000000002"/>
    <s v="High"/>
    <n v="1"/>
    <s v="Single-Day"/>
    <n v="1"/>
    <n v="1"/>
    <s v="Main Entrance"/>
    <s v="Toy Story Lot"/>
    <n v="8.5"/>
    <n v="9"/>
    <x v="1225"/>
  </r>
  <r>
    <n v="1260"/>
    <n v="404"/>
    <d v="2026-08-21T00:00:00"/>
    <s v="Friday"/>
    <n v="8"/>
    <n v="10.4"/>
    <x v="0"/>
    <x v="18"/>
    <s v="Male"/>
    <n v="72.400000000000006"/>
    <n v="209.6"/>
    <n v="28.3"/>
    <n v="20"/>
    <s v="AZ"/>
    <n v="6"/>
    <n v="323.10000000000002"/>
    <s v="High"/>
    <n v="1"/>
    <s v="Single-Day"/>
    <n v="1"/>
    <n v="1"/>
    <s v="Main Entrance"/>
    <s v="Toy Story Lot"/>
    <n v="7.7"/>
    <n v="8"/>
    <x v="1226"/>
  </r>
  <r>
    <n v="1261"/>
    <n v="404"/>
    <d v="2026-08-21T00:00:00"/>
    <s v="Friday"/>
    <n v="8"/>
    <n v="10.37"/>
    <x v="0"/>
    <x v="36"/>
    <s v="Female"/>
    <n v="62.3"/>
    <n v="131.30000000000001"/>
    <n v="23.7"/>
    <n v="15"/>
    <s v="AZ"/>
    <n v="6"/>
    <n v="323.10000000000002"/>
    <s v="High"/>
    <n v="1"/>
    <s v="Single-Day"/>
    <n v="1"/>
    <n v="1"/>
    <s v="Main Entrance"/>
    <s v="Toy Story Lot"/>
    <n v="9.1999999999999993"/>
    <n v="14"/>
    <x v="1227"/>
  </r>
  <r>
    <n v="1262"/>
    <n v="404"/>
    <d v="2026-08-21T00:00:00"/>
    <s v="Friday"/>
    <n v="8"/>
    <n v="10.34"/>
    <x v="0"/>
    <x v="48"/>
    <s v="Male"/>
    <n v="66.400000000000006"/>
    <n v="163.5"/>
    <n v="26"/>
    <n v="16"/>
    <s v="AZ"/>
    <n v="6"/>
    <n v="323.10000000000002"/>
    <s v="High"/>
    <n v="1"/>
    <s v="Single-Day"/>
    <n v="1"/>
    <n v="1"/>
    <s v="Main Entrance"/>
    <s v="Toy Story Lot"/>
    <n v="10.1"/>
    <n v="13"/>
    <x v="1228"/>
  </r>
  <r>
    <n v="1263"/>
    <n v="405"/>
    <d v="2026-07-18T00:00:00"/>
    <s v="Saturday"/>
    <n v="7"/>
    <n v="10.25"/>
    <x v="0"/>
    <x v="25"/>
    <s v="Male"/>
    <n v="74.900000000000006"/>
    <n v="240.2"/>
    <n v="30.2"/>
    <n v="14"/>
    <s v="CA"/>
    <n v="3"/>
    <n v="85"/>
    <s v="High"/>
    <n v="0"/>
    <s v="Park Hopper"/>
    <n v="1"/>
    <n v="0"/>
    <s v="Main Entrance"/>
    <s v="Mickey &amp; Friends"/>
    <n v="5.7"/>
    <n v="8"/>
    <x v="1229"/>
  </r>
  <r>
    <n v="1264"/>
    <n v="405"/>
    <d v="2026-07-18T00:00:00"/>
    <s v="Saturday"/>
    <n v="7"/>
    <n v="10.220000000000001"/>
    <x v="0"/>
    <x v="5"/>
    <s v="Female"/>
    <n v="66"/>
    <n v="166"/>
    <n v="27"/>
    <n v="19"/>
    <s v="CA"/>
    <n v="3"/>
    <n v="85"/>
    <s v="High"/>
    <n v="0"/>
    <s v="Park Hopper"/>
    <n v="1"/>
    <n v="0"/>
    <s v="Main Entrance"/>
    <s v="Mickey &amp; Friends"/>
    <n v="7.6"/>
    <n v="9"/>
    <x v="1230"/>
  </r>
  <r>
    <n v="1265"/>
    <n v="405"/>
    <d v="2026-07-18T00:00:00"/>
    <s v="Saturday"/>
    <n v="7"/>
    <n v="10.08"/>
    <x v="0"/>
    <x v="60"/>
    <s v="Female"/>
    <n v="65.400000000000006"/>
    <n v="131"/>
    <n v="21.6"/>
    <n v="15"/>
    <s v="CA"/>
    <n v="3"/>
    <n v="85"/>
    <s v="High"/>
    <n v="0"/>
    <s v="Park Hopper"/>
    <n v="1"/>
    <n v="0"/>
    <s v="Main Entrance"/>
    <s v="Mickey &amp; Friends"/>
    <n v="7.5"/>
    <n v="0"/>
    <x v="1231"/>
  </r>
  <r>
    <n v="1266"/>
    <n v="406"/>
    <d v="2026-12-15T00:00:00"/>
    <s v="Tuesday"/>
    <n v="12"/>
    <n v="11.08"/>
    <x v="1"/>
    <x v="25"/>
    <s v="Female"/>
    <n v="63.5"/>
    <n v="161.30000000000001"/>
    <n v="28"/>
    <n v="13"/>
    <s v="IA"/>
    <n v="2"/>
    <n v="2136.6999999999998"/>
    <s v="Middle"/>
    <n v="1"/>
    <s v="Single-Day"/>
    <n v="0"/>
    <n v="0"/>
    <s v="Main Entrance"/>
    <s v="Pixar Pals"/>
    <n v="7.4"/>
    <n v="9"/>
    <x v="1232"/>
  </r>
  <r>
    <n v="1267"/>
    <n v="406"/>
    <d v="2026-12-15T00:00:00"/>
    <s v="Tuesday"/>
    <n v="12"/>
    <n v="11.51"/>
    <x v="1"/>
    <x v="62"/>
    <s v="Male"/>
    <n v="63.9"/>
    <n v="157.30000000000001"/>
    <n v="27.1"/>
    <n v="16"/>
    <s v="IA"/>
    <n v="2"/>
    <n v="2136.6999999999998"/>
    <s v="Middle"/>
    <n v="1"/>
    <s v="Single-Day"/>
    <n v="0"/>
    <n v="0"/>
    <s v="Main Entrance"/>
    <s v="Pixar Pals"/>
    <n v="10.5"/>
    <n v="11"/>
    <x v="1233"/>
  </r>
  <r>
    <n v="1268"/>
    <n v="407"/>
    <d v="2026-12-16T00:00:00"/>
    <s v="Wednesday"/>
    <n v="12"/>
    <n v="11.19"/>
    <x v="1"/>
    <x v="10"/>
    <s v="Female"/>
    <n v="64.7"/>
    <n v="188.9"/>
    <n v="31.7"/>
    <n v="19"/>
    <s v="NY"/>
    <n v="1"/>
    <n v="2824.4"/>
    <s v="High"/>
    <n v="1"/>
    <s v="Multi-Day"/>
    <n v="1"/>
    <n v="1"/>
    <s v="Downtown Disney Gate"/>
    <s v="Pixar Pals"/>
    <n v="8.5"/>
    <n v="5"/>
    <x v="1234"/>
  </r>
  <r>
    <n v="1269"/>
    <n v="408"/>
    <d v="2026-06-24T00:00:00"/>
    <s v="Wednesday"/>
    <n v="6"/>
    <n v="9.86"/>
    <x v="0"/>
    <x v="38"/>
    <s v="Male"/>
    <n v="68.5"/>
    <n v="206.9"/>
    <n v="30.7"/>
    <n v="10"/>
    <s v="CA"/>
    <n v="3"/>
    <n v="130.30000000000001"/>
    <s v="Low"/>
    <n v="0"/>
    <s v="Single-Day"/>
    <n v="0"/>
    <n v="0"/>
    <s v="Main Entrance"/>
    <s v="Toy Story Lot"/>
    <n v="8"/>
    <n v="8"/>
    <x v="1235"/>
  </r>
  <r>
    <n v="1270"/>
    <n v="408"/>
    <d v="2026-06-24T00:00:00"/>
    <s v="Wednesday"/>
    <n v="6"/>
    <n v="9.8000000000000007"/>
    <x v="0"/>
    <x v="65"/>
    <s v="Female"/>
    <n v="65"/>
    <n v="144.69999999999999"/>
    <n v="24.2"/>
    <n v="13"/>
    <s v="CA"/>
    <n v="3"/>
    <n v="130.30000000000001"/>
    <s v="Low"/>
    <n v="0"/>
    <s v="Single-Day"/>
    <n v="0"/>
    <n v="0"/>
    <s v="Main Entrance"/>
    <s v="Toy Story Lot"/>
    <n v="10.7"/>
    <n v="16"/>
    <x v="1236"/>
  </r>
  <r>
    <n v="1271"/>
    <n v="408"/>
    <d v="2026-06-24T00:00:00"/>
    <s v="Wednesday"/>
    <n v="6"/>
    <n v="10.029999999999999"/>
    <x v="0"/>
    <x v="32"/>
    <s v="Male"/>
    <n v="61.4"/>
    <n v="109.8"/>
    <n v="20.6"/>
    <n v="12"/>
    <s v="CA"/>
    <n v="3"/>
    <n v="130.30000000000001"/>
    <s v="Low"/>
    <n v="0"/>
    <s v="Single-Day"/>
    <n v="0"/>
    <n v="0"/>
    <s v="Main Entrance"/>
    <s v="Toy Story Lot"/>
    <n v="7.2"/>
    <n v="6"/>
    <x v="1237"/>
  </r>
  <r>
    <n v="1272"/>
    <n v="409"/>
    <d v="2026-05-18T00:00:00"/>
    <s v="Monday"/>
    <n v="5"/>
    <n v="8.6"/>
    <x v="0"/>
    <x v="38"/>
    <s v="Female"/>
    <n v="63.1"/>
    <n v="144.9"/>
    <n v="25.6"/>
    <n v="11"/>
    <s v="CA"/>
    <n v="3"/>
    <n v="180.3"/>
    <s v="Middle"/>
    <n v="1"/>
    <s v="Single-Day"/>
    <n v="0"/>
    <n v="1"/>
    <s v="Main Entrance"/>
    <s v="None/Walked from Resort"/>
    <n v="12.3"/>
    <n v="11"/>
    <x v="1238"/>
  </r>
  <r>
    <n v="1273"/>
    <n v="409"/>
    <d v="2026-05-18T00:00:00"/>
    <s v="Monday"/>
    <n v="5"/>
    <n v="8.65"/>
    <x v="0"/>
    <x v="51"/>
    <s v="Female"/>
    <n v="69.599999999999994"/>
    <n v="170.5"/>
    <n v="24.8"/>
    <n v="14"/>
    <s v="CA"/>
    <n v="3"/>
    <n v="180.3"/>
    <s v="Middle"/>
    <n v="1"/>
    <s v="Single-Day"/>
    <n v="0"/>
    <n v="1"/>
    <s v="Main Entrance"/>
    <s v="None/Walked from Resort"/>
    <n v="7.7"/>
    <n v="5"/>
    <x v="1239"/>
  </r>
  <r>
    <n v="1274"/>
    <n v="409"/>
    <d v="2026-05-18T00:00:00"/>
    <s v="Monday"/>
    <n v="5"/>
    <n v="8.77"/>
    <x v="0"/>
    <x v="65"/>
    <s v="Male"/>
    <n v="69.099999999999994"/>
    <n v="157.1"/>
    <n v="23.1"/>
    <n v="20"/>
    <s v="CA"/>
    <n v="3"/>
    <n v="180.3"/>
    <s v="Middle"/>
    <n v="1"/>
    <s v="Single-Day"/>
    <n v="0"/>
    <n v="1"/>
    <s v="Main Entrance"/>
    <s v="None/Walked from Resort"/>
    <n v="11.2"/>
    <n v="8"/>
    <x v="1240"/>
  </r>
  <r>
    <n v="1275"/>
    <n v="410"/>
    <d v="2026-10-19T00:00:00"/>
    <s v="Monday"/>
    <n v="10"/>
    <n v="10.29"/>
    <x v="0"/>
    <x v="18"/>
    <s v="Female"/>
    <n v="64.8"/>
    <n v="126.1"/>
    <n v="21"/>
    <n v="10"/>
    <s v="AZ"/>
    <n v="3"/>
    <n v="457.1"/>
    <s v="Low"/>
    <n v="1"/>
    <s v="Park Hopper"/>
    <n v="0"/>
    <n v="0"/>
    <s v="Main Entrance"/>
    <s v="Pixar Pals"/>
    <n v="9.8000000000000007"/>
    <n v="13"/>
    <x v="1241"/>
  </r>
  <r>
    <n v="1276"/>
    <n v="410"/>
    <d v="2026-10-19T00:00:00"/>
    <s v="Monday"/>
    <n v="10"/>
    <n v="10.16"/>
    <x v="0"/>
    <x v="1"/>
    <s v="Female"/>
    <n v="62.7"/>
    <n v="126.8"/>
    <n v="22.9"/>
    <n v="10"/>
    <s v="AZ"/>
    <n v="3"/>
    <n v="457.1"/>
    <s v="Low"/>
    <n v="1"/>
    <s v="Park Hopper"/>
    <n v="0"/>
    <n v="0"/>
    <s v="Main Entrance"/>
    <s v="Pixar Pals"/>
    <n v="10.199999999999999"/>
    <n v="9"/>
    <x v="1242"/>
  </r>
  <r>
    <n v="1277"/>
    <n v="410"/>
    <d v="2026-10-19T00:00:00"/>
    <s v="Monday"/>
    <n v="10"/>
    <n v="10.27"/>
    <x v="0"/>
    <x v="0"/>
    <s v="Male"/>
    <n v="69.7"/>
    <n v="234.7"/>
    <n v="34.1"/>
    <n v="12"/>
    <s v="AZ"/>
    <n v="3"/>
    <n v="457.1"/>
    <s v="Low"/>
    <n v="1"/>
    <s v="Park Hopper"/>
    <n v="0"/>
    <n v="0"/>
    <s v="Main Entrance"/>
    <s v="Pixar Pals"/>
    <n v="6.6"/>
    <n v="6"/>
    <x v="1243"/>
  </r>
  <r>
    <n v="1278"/>
    <n v="411"/>
    <d v="2026-01-14T00:00:00"/>
    <s v="Wednesday"/>
    <n v="1"/>
    <n v="9.11"/>
    <x v="0"/>
    <x v="45"/>
    <s v="Male"/>
    <n v="66.8"/>
    <n v="145"/>
    <n v="23"/>
    <n v="17"/>
    <s v="CA"/>
    <n v="3"/>
    <n v="18.100000000000001"/>
    <s v="High"/>
    <n v="1"/>
    <s v="Single-Day"/>
    <n v="1"/>
    <n v="1"/>
    <s v="Hotel Guest Entrance"/>
    <s v="Toy Story Lot"/>
    <n v="8.4"/>
    <n v="2"/>
    <x v="1244"/>
  </r>
  <r>
    <n v="1279"/>
    <n v="411"/>
    <d v="2026-01-14T00:00:00"/>
    <s v="Wednesday"/>
    <n v="1"/>
    <n v="9.19"/>
    <x v="0"/>
    <x v="37"/>
    <s v="Male"/>
    <n v="72.3"/>
    <n v="160"/>
    <n v="21.6"/>
    <n v="16"/>
    <s v="CA"/>
    <n v="3"/>
    <n v="18.100000000000001"/>
    <s v="High"/>
    <n v="1"/>
    <s v="Single-Day"/>
    <n v="1"/>
    <n v="1"/>
    <s v="Hotel Guest Entrance"/>
    <s v="Toy Story Lot"/>
    <n v="5.3"/>
    <n v="5"/>
    <x v="1245"/>
  </r>
  <r>
    <n v="1280"/>
    <n v="411"/>
    <d v="2026-01-14T00:00:00"/>
    <s v="Wednesday"/>
    <n v="1"/>
    <n v="9.06"/>
    <x v="0"/>
    <x v="27"/>
    <s v="Male"/>
    <n v="70"/>
    <n v="183.7"/>
    <n v="26.4"/>
    <n v="15"/>
    <s v="CA"/>
    <n v="3"/>
    <n v="18.100000000000001"/>
    <s v="High"/>
    <n v="1"/>
    <s v="Single-Day"/>
    <n v="1"/>
    <n v="1"/>
    <s v="Hotel Guest Entrance"/>
    <s v="Toy Story Lot"/>
    <n v="8.1"/>
    <n v="12"/>
    <x v="1246"/>
  </r>
  <r>
    <n v="1281"/>
    <n v="412"/>
    <d v="2026-03-18T00:00:00"/>
    <s v="Wednesday"/>
    <n v="3"/>
    <n v="7.53"/>
    <x v="0"/>
    <x v="21"/>
    <s v="Male"/>
    <n v="68.7"/>
    <n v="175.3"/>
    <n v="26.3"/>
    <n v="16"/>
    <s v="TX"/>
    <n v="2"/>
    <n v="1344.2"/>
    <s v="High"/>
    <n v="1"/>
    <s v="Multi-Day"/>
    <n v="1"/>
    <n v="1"/>
    <s v="Hotel Guest Entrance"/>
    <s v="Mickey &amp; Friends"/>
    <n v="9.1"/>
    <n v="9"/>
    <x v="1247"/>
  </r>
  <r>
    <n v="1282"/>
    <n v="412"/>
    <d v="2026-03-18T00:00:00"/>
    <s v="Wednesday"/>
    <n v="3"/>
    <n v="7.65"/>
    <x v="0"/>
    <x v="60"/>
    <s v="Male"/>
    <n v="65.5"/>
    <n v="129.69999999999999"/>
    <n v="21"/>
    <n v="13"/>
    <s v="TX"/>
    <n v="2"/>
    <n v="1344.2"/>
    <s v="High"/>
    <n v="1"/>
    <s v="Multi-Day"/>
    <n v="1"/>
    <n v="1"/>
    <s v="Hotel Guest Entrance"/>
    <s v="Mickey &amp; Friends"/>
    <n v="11.6"/>
    <n v="10"/>
    <x v="1248"/>
  </r>
  <r>
    <n v="1283"/>
    <n v="413"/>
    <d v="2026-09-11T00:00:00"/>
    <s v="Friday"/>
    <n v="9"/>
    <n v="10.16"/>
    <x v="0"/>
    <x v="44"/>
    <s v="Male"/>
    <n v="70.400000000000006"/>
    <n v="214"/>
    <n v="30.3"/>
    <n v="13"/>
    <s v="CA"/>
    <n v="1"/>
    <n v="166.1"/>
    <s v="Middle"/>
    <n v="0"/>
    <s v="Park Hopper"/>
    <n v="1"/>
    <n v="0"/>
    <s v="Main Entrance"/>
    <s v="None/Dropoff/Transit"/>
    <n v="7.6"/>
    <n v="9"/>
    <x v="1249"/>
  </r>
  <r>
    <n v="1284"/>
    <n v="414"/>
    <d v="2026-05-10T00:00:00"/>
    <s v="Sunday"/>
    <n v="5"/>
    <n v="8.4700000000000006"/>
    <x v="0"/>
    <x v="60"/>
    <s v="Male"/>
    <n v="70"/>
    <n v="135.30000000000001"/>
    <n v="19.399999999999999"/>
    <n v="14"/>
    <s v="FL"/>
    <n v="5"/>
    <n v="2729.9"/>
    <s v="Middle"/>
    <n v="1"/>
    <s v="Multi-Day"/>
    <n v="0"/>
    <n v="0"/>
    <s v="Downtown Disney Gate"/>
    <s v="Pixar Pals"/>
    <n v="11.6"/>
    <n v="7"/>
    <x v="1250"/>
  </r>
  <r>
    <n v="1285"/>
    <n v="414"/>
    <d v="2026-05-10T00:00:00"/>
    <s v="Sunday"/>
    <n v="5"/>
    <n v="8.3800000000000008"/>
    <x v="0"/>
    <x v="51"/>
    <s v="Female"/>
    <n v="66.3"/>
    <n v="164.2"/>
    <n v="26.4"/>
    <n v="15"/>
    <s v="FL"/>
    <n v="5"/>
    <n v="2729.9"/>
    <s v="Middle"/>
    <n v="1"/>
    <s v="Multi-Day"/>
    <n v="0"/>
    <n v="0"/>
    <s v="Downtown Disney Gate"/>
    <s v="Pixar Pals"/>
    <n v="6.9"/>
    <n v="9"/>
    <x v="1251"/>
  </r>
  <r>
    <n v="1286"/>
    <n v="414"/>
    <d v="2026-05-10T00:00:00"/>
    <s v="Sunday"/>
    <n v="5"/>
    <n v="8.3000000000000007"/>
    <x v="0"/>
    <x v="49"/>
    <s v="Male"/>
    <n v="70.7"/>
    <n v="141.1"/>
    <n v="19.7"/>
    <n v="15"/>
    <s v="FL"/>
    <n v="5"/>
    <n v="2729.9"/>
    <s v="Middle"/>
    <n v="1"/>
    <s v="Multi-Day"/>
    <n v="0"/>
    <n v="0"/>
    <s v="Downtown Disney Gate"/>
    <s v="Pixar Pals"/>
    <n v="12.5"/>
    <n v="12"/>
    <x v="1252"/>
  </r>
  <r>
    <n v="1287"/>
    <n v="414"/>
    <d v="2026-05-10T00:00:00"/>
    <s v="Sunday"/>
    <n v="5"/>
    <n v="8.41"/>
    <x v="0"/>
    <x v="48"/>
    <s v="Female"/>
    <n v="65.2"/>
    <n v="166.8"/>
    <n v="27.7"/>
    <n v="14"/>
    <s v="FL"/>
    <n v="5"/>
    <n v="2729.9"/>
    <s v="Middle"/>
    <n v="1"/>
    <s v="Multi-Day"/>
    <n v="0"/>
    <n v="0"/>
    <s v="Downtown Disney Gate"/>
    <s v="Pixar Pals"/>
    <n v="10.3"/>
    <n v="12"/>
    <x v="1253"/>
  </r>
  <r>
    <n v="1288"/>
    <n v="414"/>
    <d v="2026-05-10T00:00:00"/>
    <s v="Sunday"/>
    <n v="5"/>
    <n v="8.24"/>
    <x v="0"/>
    <x v="64"/>
    <s v="Female"/>
    <n v="55.8"/>
    <n v="97.3"/>
    <n v="22.1"/>
    <n v="13"/>
    <s v="FL"/>
    <n v="5"/>
    <n v="2729.9"/>
    <s v="Middle"/>
    <n v="1"/>
    <s v="Multi-Day"/>
    <n v="0"/>
    <n v="0"/>
    <s v="Downtown Disney Gate"/>
    <s v="Pixar Pals"/>
    <n v="8.8000000000000007"/>
    <n v="7"/>
    <x v="1254"/>
  </r>
  <r>
    <n v="1289"/>
    <n v="415"/>
    <d v="2026-03-26T00:00:00"/>
    <s v="Thursday"/>
    <n v="3"/>
    <n v="8.89"/>
    <x v="0"/>
    <x v="55"/>
    <s v="Male"/>
    <n v="68.8"/>
    <n v="197.2"/>
    <n v="29.4"/>
    <n v="15"/>
    <s v="MN"/>
    <n v="2"/>
    <n v="2129.8000000000002"/>
    <s v="High"/>
    <n v="0"/>
    <s v="Single-Day"/>
    <n v="1"/>
    <n v="1"/>
    <s v="Main Entrance"/>
    <s v="Toy Story Lot"/>
    <n v="11.1"/>
    <n v="10"/>
    <x v="1255"/>
  </r>
  <r>
    <n v="1290"/>
    <n v="415"/>
    <d v="2026-03-26T00:00:00"/>
    <s v="Thursday"/>
    <n v="3"/>
    <n v="9.08"/>
    <x v="0"/>
    <x v="64"/>
    <s v="Female"/>
    <n v="60"/>
    <n v="116.1"/>
    <n v="22.8"/>
    <n v="15"/>
    <s v="MN"/>
    <n v="2"/>
    <n v="2129.8000000000002"/>
    <s v="High"/>
    <n v="0"/>
    <s v="Single-Day"/>
    <n v="1"/>
    <n v="1"/>
    <s v="Main Entrance"/>
    <s v="Toy Story Lot"/>
    <n v="10"/>
    <n v="8"/>
    <x v="1256"/>
  </r>
  <r>
    <n v="1291"/>
    <n v="416"/>
    <d v="2026-05-12T00:00:00"/>
    <s v="Tuesday"/>
    <n v="5"/>
    <n v="11"/>
    <x v="1"/>
    <x v="28"/>
    <s v="Male"/>
    <n v="71.099999999999994"/>
    <n v="202.6"/>
    <n v="28.1"/>
    <n v="16"/>
    <s v="Other"/>
    <n v="4"/>
    <n v="2258.8000000000002"/>
    <s v="Middle"/>
    <n v="0"/>
    <s v="Park Hopper"/>
    <n v="1"/>
    <n v="0"/>
    <s v="Main Entrance"/>
    <s v="Mickey &amp; Friends"/>
    <n v="7.9"/>
    <n v="18"/>
    <x v="1257"/>
  </r>
  <r>
    <n v="1292"/>
    <n v="416"/>
    <d v="2026-05-12T00:00:00"/>
    <s v="Tuesday"/>
    <n v="5"/>
    <n v="10.97"/>
    <x v="0"/>
    <x v="29"/>
    <s v="Female"/>
    <n v="66.5"/>
    <n v="137.19999999999999"/>
    <n v="21.9"/>
    <n v="11"/>
    <s v="Other"/>
    <n v="4"/>
    <n v="2258.8000000000002"/>
    <s v="Middle"/>
    <n v="0"/>
    <s v="Park Hopper"/>
    <n v="1"/>
    <n v="0"/>
    <s v="Main Entrance"/>
    <s v="Mickey &amp; Friends"/>
    <n v="7.2"/>
    <n v="6"/>
    <x v="1258"/>
  </r>
  <r>
    <n v="1293"/>
    <n v="416"/>
    <d v="2026-05-12T00:00:00"/>
    <s v="Tuesday"/>
    <n v="5"/>
    <n v="11.08"/>
    <x v="1"/>
    <x v="3"/>
    <s v="Male"/>
    <n v="70.2"/>
    <n v="120.7"/>
    <n v="17.2"/>
    <n v="15"/>
    <s v="Other"/>
    <n v="4"/>
    <n v="2258.8000000000002"/>
    <s v="Middle"/>
    <n v="0"/>
    <s v="Park Hopper"/>
    <n v="1"/>
    <n v="0"/>
    <s v="Main Entrance"/>
    <s v="Mickey &amp; Friends"/>
    <n v="9.1"/>
    <n v="8"/>
    <x v="1015"/>
  </r>
  <r>
    <n v="1294"/>
    <n v="416"/>
    <d v="2026-05-12T00:00:00"/>
    <s v="Tuesday"/>
    <n v="5"/>
    <n v="10.93"/>
    <x v="0"/>
    <x v="50"/>
    <s v="Male"/>
    <n v="68.400000000000006"/>
    <n v="138.5"/>
    <n v="20.9"/>
    <n v="11"/>
    <s v="Other"/>
    <n v="4"/>
    <n v="2258.8000000000002"/>
    <s v="Middle"/>
    <n v="0"/>
    <s v="Park Hopper"/>
    <n v="1"/>
    <n v="0"/>
    <s v="Main Entrance"/>
    <s v="Mickey &amp; Friends"/>
    <n v="8.3000000000000007"/>
    <n v="9"/>
    <x v="1259"/>
  </r>
  <r>
    <n v="1295"/>
    <n v="417"/>
    <d v="2026-02-15T00:00:00"/>
    <s v="Sunday"/>
    <n v="2"/>
    <n v="9.9499999999999993"/>
    <x v="0"/>
    <x v="42"/>
    <s v="Male"/>
    <n v="70.900000000000006"/>
    <n v="135.80000000000001"/>
    <n v="19"/>
    <n v="19"/>
    <s v="CA"/>
    <n v="2"/>
    <n v="75.8"/>
    <s v="High"/>
    <n v="1"/>
    <s v="Single-Day"/>
    <n v="0"/>
    <n v="0"/>
    <s v="Main Entrance"/>
    <s v="Mickey &amp; Friends"/>
    <n v="10.199999999999999"/>
    <n v="9"/>
    <x v="1260"/>
  </r>
  <r>
    <n v="1296"/>
    <n v="417"/>
    <d v="2026-02-15T00:00:00"/>
    <s v="Sunday"/>
    <n v="2"/>
    <n v="10.199999999999999"/>
    <x v="0"/>
    <x v="0"/>
    <s v="Female"/>
    <n v="68.900000000000006"/>
    <n v="118.6"/>
    <n v="17.600000000000001"/>
    <n v="19"/>
    <s v="CA"/>
    <n v="2"/>
    <n v="75.8"/>
    <s v="High"/>
    <n v="1"/>
    <s v="Single-Day"/>
    <n v="0"/>
    <n v="0"/>
    <s v="Main Entrance"/>
    <s v="Mickey &amp; Friends"/>
    <n v="11.9"/>
    <n v="8"/>
    <x v="139"/>
  </r>
  <r>
    <n v="1297"/>
    <n v="418"/>
    <d v="2026-10-19T00:00:00"/>
    <s v="Monday"/>
    <n v="10"/>
    <n v="11.4"/>
    <x v="1"/>
    <x v="27"/>
    <s v="Male"/>
    <n v="71.900000000000006"/>
    <n v="158.4"/>
    <n v="21.4"/>
    <n v="18"/>
    <s v="SD"/>
    <n v="3"/>
    <n v="1969.4"/>
    <s v="High"/>
    <n v="0"/>
    <s v="Single-Day"/>
    <n v="0"/>
    <n v="1"/>
    <s v="Main Entrance"/>
    <s v="Pixar Pals"/>
    <n v="7.2"/>
    <n v="11"/>
    <x v="1261"/>
  </r>
  <r>
    <n v="1298"/>
    <n v="418"/>
    <d v="2026-10-19T00:00:00"/>
    <s v="Monday"/>
    <n v="10"/>
    <n v="11.29"/>
    <x v="1"/>
    <x v="10"/>
    <s v="Male"/>
    <n v="72.2"/>
    <n v="122.5"/>
    <n v="16.7"/>
    <n v="15"/>
    <s v="SD"/>
    <n v="3"/>
    <n v="1969.4"/>
    <s v="High"/>
    <n v="0"/>
    <s v="Single-Day"/>
    <n v="0"/>
    <n v="1"/>
    <s v="Main Entrance"/>
    <s v="Pixar Pals"/>
    <n v="9.6999999999999993"/>
    <n v="7"/>
    <x v="846"/>
  </r>
  <r>
    <n v="1299"/>
    <n v="418"/>
    <d v="2026-10-19T00:00:00"/>
    <s v="Monday"/>
    <n v="10"/>
    <n v="11.35"/>
    <x v="1"/>
    <x v="18"/>
    <s v="Female"/>
    <n v="65"/>
    <n v="116.4"/>
    <n v="19.399999999999999"/>
    <n v="17"/>
    <s v="SD"/>
    <n v="3"/>
    <n v="1969.4"/>
    <s v="High"/>
    <n v="0"/>
    <s v="Single-Day"/>
    <n v="0"/>
    <n v="1"/>
    <s v="Main Entrance"/>
    <s v="Pixar Pals"/>
    <n v="10"/>
    <n v="7"/>
    <x v="1262"/>
  </r>
  <r>
    <n v="1300"/>
    <n v="419"/>
    <d v="2026-06-23T00:00:00"/>
    <s v="Tuesday"/>
    <n v="6"/>
    <n v="10.71"/>
    <x v="0"/>
    <x v="55"/>
    <s v="Female"/>
    <n v="60.3"/>
    <n v="121.1"/>
    <n v="23.2"/>
    <n v="17"/>
    <s v="CA"/>
    <n v="6"/>
    <n v="97"/>
    <s v="Middle"/>
    <n v="1"/>
    <s v="Single-Day"/>
    <n v="1"/>
    <n v="0"/>
    <s v="Main Entrance"/>
    <s v="Mickey &amp; Friends"/>
    <n v="9.9"/>
    <n v="12"/>
    <x v="1263"/>
  </r>
  <r>
    <n v="1301"/>
    <n v="419"/>
    <d v="2026-06-23T00:00:00"/>
    <s v="Tuesday"/>
    <n v="6"/>
    <n v="10.51"/>
    <x v="0"/>
    <x v="10"/>
    <s v="Male"/>
    <n v="68.2"/>
    <n v="126.2"/>
    <n v="18.899999999999999"/>
    <n v="17"/>
    <s v="CA"/>
    <n v="6"/>
    <n v="97"/>
    <s v="Middle"/>
    <n v="1"/>
    <s v="Single-Day"/>
    <n v="1"/>
    <n v="0"/>
    <s v="Main Entrance"/>
    <s v="Mickey &amp; Friends"/>
    <n v="8.9"/>
    <n v="3"/>
    <x v="1264"/>
  </r>
  <r>
    <n v="1302"/>
    <n v="419"/>
    <d v="2026-06-23T00:00:00"/>
    <s v="Tuesday"/>
    <n v="6"/>
    <n v="10.79"/>
    <x v="0"/>
    <x v="32"/>
    <s v="Female"/>
    <n v="57.5"/>
    <n v="64.2"/>
    <n v="13.8"/>
    <n v="12"/>
    <s v="CA"/>
    <n v="6"/>
    <n v="97"/>
    <s v="Middle"/>
    <n v="1"/>
    <s v="Single-Day"/>
    <n v="1"/>
    <n v="0"/>
    <s v="Main Entrance"/>
    <s v="Mickey &amp; Friends"/>
    <n v="10.4"/>
    <n v="9"/>
    <x v="1265"/>
  </r>
  <r>
    <n v="1303"/>
    <n v="419"/>
    <d v="2026-06-23T00:00:00"/>
    <s v="Tuesday"/>
    <n v="6"/>
    <n v="10.73"/>
    <x v="0"/>
    <x v="50"/>
    <s v="Male"/>
    <n v="62.7"/>
    <n v="132.19999999999999"/>
    <n v="23.5"/>
    <n v="10"/>
    <s v="CA"/>
    <n v="6"/>
    <n v="97"/>
    <s v="Middle"/>
    <n v="1"/>
    <s v="Single-Day"/>
    <n v="1"/>
    <n v="0"/>
    <s v="Main Entrance"/>
    <s v="Mickey &amp; Friends"/>
    <n v="9.9"/>
    <n v="8"/>
    <x v="1266"/>
  </r>
  <r>
    <n v="1304"/>
    <n v="419"/>
    <d v="2026-06-23T00:00:00"/>
    <s v="Tuesday"/>
    <n v="6"/>
    <n v="10.83"/>
    <x v="0"/>
    <x v="38"/>
    <s v="Male"/>
    <n v="67.599999999999994"/>
    <n v="160.69999999999999"/>
    <n v="24.6"/>
    <n v="14"/>
    <s v="CA"/>
    <n v="6"/>
    <n v="97"/>
    <s v="Middle"/>
    <n v="1"/>
    <s v="Single-Day"/>
    <n v="1"/>
    <n v="0"/>
    <s v="Main Entrance"/>
    <s v="Mickey &amp; Friends"/>
    <n v="8.1999999999999993"/>
    <n v="11"/>
    <x v="1267"/>
  </r>
  <r>
    <n v="1305"/>
    <n v="419"/>
    <d v="2026-06-23T00:00:00"/>
    <s v="Tuesday"/>
    <n v="6"/>
    <n v="10.66"/>
    <x v="0"/>
    <x v="23"/>
    <s v="Male"/>
    <n v="72.900000000000006"/>
    <n v="143.9"/>
    <n v="19"/>
    <n v="15"/>
    <s v="CA"/>
    <n v="6"/>
    <n v="97"/>
    <s v="Middle"/>
    <n v="1"/>
    <s v="Single-Day"/>
    <n v="1"/>
    <n v="0"/>
    <s v="Main Entrance"/>
    <s v="Mickey &amp; Friends"/>
    <n v="7.3"/>
    <n v="1"/>
    <x v="1268"/>
  </r>
  <r>
    <n v="1306"/>
    <n v="420"/>
    <d v="2026-01-03T00:00:00"/>
    <s v="Saturday"/>
    <n v="1"/>
    <n v="12.37"/>
    <x v="1"/>
    <x v="41"/>
    <s v="Male"/>
    <n v="75"/>
    <n v="223.9"/>
    <n v="27.9"/>
    <n v="14"/>
    <s v="TX"/>
    <n v="1"/>
    <n v="1178.5"/>
    <s v="Low"/>
    <n v="1"/>
    <s v="Multi-Day"/>
    <n v="0"/>
    <n v="0"/>
    <s v="Main Entrance"/>
    <s v="None/Dropoff/Transit"/>
    <n v="8.9"/>
    <n v="7"/>
    <x v="1269"/>
  </r>
  <r>
    <n v="1307"/>
    <n v="421"/>
    <d v="2026-11-17T00:00:00"/>
    <s v="Tuesday"/>
    <n v="11"/>
    <n v="9.6199999999999992"/>
    <x v="0"/>
    <x v="52"/>
    <s v="Female"/>
    <n v="63.2"/>
    <n v="140.4"/>
    <n v="24.4"/>
    <n v="20"/>
    <s v="WI"/>
    <n v="5"/>
    <n v="2505.5"/>
    <s v="High"/>
    <n v="1"/>
    <s v="Single-Day"/>
    <n v="0"/>
    <n v="0"/>
    <s v="Main Entrance"/>
    <s v="Pixar Pals"/>
    <n v="7.3"/>
    <n v="10"/>
    <x v="1270"/>
  </r>
  <r>
    <n v="1308"/>
    <n v="421"/>
    <d v="2026-11-17T00:00:00"/>
    <s v="Tuesday"/>
    <n v="11"/>
    <n v="9.8800000000000008"/>
    <x v="0"/>
    <x v="9"/>
    <s v="Male"/>
    <n v="72.5"/>
    <n v="162.5"/>
    <n v="21.9"/>
    <n v="16"/>
    <s v="WI"/>
    <n v="5"/>
    <n v="2505.5"/>
    <s v="High"/>
    <n v="1"/>
    <s v="Single-Day"/>
    <n v="0"/>
    <n v="0"/>
    <s v="Main Entrance"/>
    <s v="Pixar Pals"/>
    <n v="7.6"/>
    <n v="6"/>
    <x v="1271"/>
  </r>
  <r>
    <n v="1309"/>
    <n v="421"/>
    <d v="2026-11-17T00:00:00"/>
    <s v="Tuesday"/>
    <n v="11"/>
    <n v="9.5500000000000007"/>
    <x v="0"/>
    <x v="51"/>
    <s v="Female"/>
    <n v="63.7"/>
    <n v="172.9"/>
    <n v="30"/>
    <n v="18"/>
    <s v="WI"/>
    <n v="5"/>
    <n v="2505.5"/>
    <s v="High"/>
    <n v="1"/>
    <s v="Single-Day"/>
    <n v="0"/>
    <n v="0"/>
    <s v="Main Entrance"/>
    <s v="Pixar Pals"/>
    <n v="9.1999999999999993"/>
    <n v="10"/>
    <x v="1272"/>
  </r>
  <r>
    <n v="1310"/>
    <n v="421"/>
    <d v="2026-11-17T00:00:00"/>
    <s v="Tuesday"/>
    <n v="11"/>
    <n v="9.3800000000000008"/>
    <x v="0"/>
    <x v="32"/>
    <s v="Female"/>
    <n v="63.4"/>
    <n v="136.9"/>
    <n v="24"/>
    <n v="16"/>
    <s v="WI"/>
    <n v="5"/>
    <n v="2505.5"/>
    <s v="High"/>
    <n v="1"/>
    <s v="Single-Day"/>
    <n v="0"/>
    <n v="0"/>
    <s v="Main Entrance"/>
    <s v="Pixar Pals"/>
    <n v="8.4"/>
    <n v="4"/>
    <x v="1273"/>
  </r>
  <r>
    <n v="1311"/>
    <n v="421"/>
    <d v="2026-11-17T00:00:00"/>
    <s v="Tuesday"/>
    <n v="11"/>
    <n v="9.61"/>
    <x v="0"/>
    <x v="71"/>
    <s v="Female"/>
    <n v="65.8"/>
    <n v="186.3"/>
    <n v="30.4"/>
    <n v="20"/>
    <s v="WI"/>
    <n v="5"/>
    <n v="2505.5"/>
    <s v="High"/>
    <n v="1"/>
    <s v="Single-Day"/>
    <n v="0"/>
    <n v="0"/>
    <s v="Main Entrance"/>
    <s v="Pixar Pals"/>
    <n v="7.9"/>
    <n v="9"/>
    <x v="1274"/>
  </r>
  <r>
    <n v="1312"/>
    <n v="422"/>
    <d v="2026-12-17T00:00:00"/>
    <s v="Thursday"/>
    <n v="12"/>
    <n v="12.08"/>
    <x v="1"/>
    <x v="57"/>
    <s v="Female"/>
    <n v="62.6"/>
    <n v="146.19999999999999"/>
    <n v="26.4"/>
    <n v="16"/>
    <s v="NV"/>
    <n v="4"/>
    <n v="263.89999999999998"/>
    <s v="Low"/>
    <n v="0"/>
    <s v="Single-Day"/>
    <n v="0"/>
    <n v="0"/>
    <s v="Main Entrance"/>
    <s v="Mickey &amp; Friends"/>
    <n v="5"/>
    <n v="3"/>
    <x v="1275"/>
  </r>
  <r>
    <n v="1313"/>
    <n v="422"/>
    <d v="2026-12-17T00:00:00"/>
    <s v="Thursday"/>
    <n v="12"/>
    <n v="11.97"/>
    <x v="1"/>
    <x v="4"/>
    <s v="Male"/>
    <n v="69"/>
    <n v="190.4"/>
    <n v="28.2"/>
    <n v="13"/>
    <s v="NV"/>
    <n v="4"/>
    <n v="263.89999999999998"/>
    <s v="Low"/>
    <n v="0"/>
    <s v="Single-Day"/>
    <n v="0"/>
    <n v="0"/>
    <s v="Main Entrance"/>
    <s v="Mickey &amp; Friends"/>
    <n v="6"/>
    <n v="6"/>
    <x v="1276"/>
  </r>
  <r>
    <n v="1314"/>
    <n v="422"/>
    <d v="2026-12-17T00:00:00"/>
    <s v="Thursday"/>
    <n v="12"/>
    <n v="12.03"/>
    <x v="1"/>
    <x v="59"/>
    <s v="Male"/>
    <n v="67.099999999999994"/>
    <n v="161.19999999999999"/>
    <n v="25.1"/>
    <n v="11"/>
    <s v="NV"/>
    <n v="4"/>
    <n v="263.89999999999998"/>
    <s v="Low"/>
    <n v="0"/>
    <s v="Single-Day"/>
    <n v="0"/>
    <n v="0"/>
    <s v="Main Entrance"/>
    <s v="Mickey &amp; Friends"/>
    <n v="8.5"/>
    <n v="8"/>
    <x v="1277"/>
  </r>
  <r>
    <n v="1315"/>
    <n v="422"/>
    <d v="2026-12-17T00:00:00"/>
    <s v="Thursday"/>
    <n v="12"/>
    <n v="11.98"/>
    <x v="1"/>
    <x v="72"/>
    <s v="Female"/>
    <n v="62.6"/>
    <n v="122"/>
    <n v="21.9"/>
    <n v="14"/>
    <s v="NV"/>
    <n v="4"/>
    <n v="263.89999999999998"/>
    <s v="Low"/>
    <n v="0"/>
    <s v="Single-Day"/>
    <n v="0"/>
    <n v="0"/>
    <s v="Main Entrance"/>
    <s v="Mickey &amp; Friends"/>
    <n v="7.7"/>
    <n v="7"/>
    <x v="1278"/>
  </r>
  <r>
    <n v="1316"/>
    <n v="423"/>
    <d v="2026-01-29T00:00:00"/>
    <s v="Thursday"/>
    <n v="1"/>
    <n v="7"/>
    <x v="0"/>
    <x v="66"/>
    <s v="Female"/>
    <n v="64.7"/>
    <n v="121.8"/>
    <n v="20.5"/>
    <n v="19"/>
    <s v="CA"/>
    <n v="1"/>
    <n v="26.2"/>
    <s v="High"/>
    <n v="0"/>
    <s v="Single-Day"/>
    <n v="0"/>
    <n v="1"/>
    <s v="Hotel Guest Entrance"/>
    <s v="Pixar Pals"/>
    <n v="8.3000000000000007"/>
    <n v="8"/>
    <x v="1279"/>
  </r>
  <r>
    <n v="1317"/>
    <n v="424"/>
    <d v="2026-04-10T00:00:00"/>
    <s v="Friday"/>
    <n v="4"/>
    <n v="8.5299999999999994"/>
    <x v="0"/>
    <x v="69"/>
    <s v="Male"/>
    <n v="66.400000000000006"/>
    <n v="125.6"/>
    <n v="20"/>
    <n v="14"/>
    <s v="CO"/>
    <n v="4"/>
    <n v="1028.5999999999999"/>
    <s v="Middle"/>
    <n v="1"/>
    <s v="Park Hopper"/>
    <n v="1"/>
    <n v="1"/>
    <s v="Main Entrance"/>
    <s v="Toy Story Lot"/>
    <n v="12.2"/>
    <n v="17"/>
    <x v="1280"/>
  </r>
  <r>
    <n v="1318"/>
    <n v="424"/>
    <d v="2026-04-10T00:00:00"/>
    <s v="Friday"/>
    <n v="4"/>
    <n v="8.4499999999999993"/>
    <x v="0"/>
    <x v="36"/>
    <s v="Male"/>
    <n v="72.3"/>
    <n v="180.8"/>
    <n v="24.1"/>
    <n v="18"/>
    <s v="CO"/>
    <n v="4"/>
    <n v="1028.5999999999999"/>
    <s v="Middle"/>
    <n v="1"/>
    <s v="Park Hopper"/>
    <n v="1"/>
    <n v="1"/>
    <s v="Main Entrance"/>
    <s v="Toy Story Lot"/>
    <n v="9.5"/>
    <n v="8"/>
    <x v="1281"/>
  </r>
  <r>
    <n v="1319"/>
    <n v="424"/>
    <d v="2026-04-10T00:00:00"/>
    <s v="Friday"/>
    <n v="4"/>
    <n v="8.4499999999999993"/>
    <x v="0"/>
    <x v="50"/>
    <s v="Female"/>
    <n v="63.8"/>
    <n v="89"/>
    <n v="15.3"/>
    <n v="16"/>
    <s v="CO"/>
    <n v="4"/>
    <n v="1028.5999999999999"/>
    <s v="Middle"/>
    <n v="1"/>
    <s v="Park Hopper"/>
    <n v="1"/>
    <n v="1"/>
    <s v="Main Entrance"/>
    <s v="Toy Story Lot"/>
    <n v="8.6"/>
    <n v="9"/>
    <x v="1282"/>
  </r>
  <r>
    <n v="1320"/>
    <n v="424"/>
    <d v="2026-04-10T00:00:00"/>
    <s v="Friday"/>
    <n v="4"/>
    <n v="8.51"/>
    <x v="0"/>
    <x v="40"/>
    <s v="Male"/>
    <n v="62.5"/>
    <n v="81.7"/>
    <n v="14.9"/>
    <n v="12"/>
    <s v="CO"/>
    <n v="4"/>
    <n v="1028.5999999999999"/>
    <s v="Middle"/>
    <n v="1"/>
    <s v="Park Hopper"/>
    <n v="1"/>
    <n v="1"/>
    <s v="Main Entrance"/>
    <s v="Toy Story Lot"/>
    <n v="11.1"/>
    <n v="10"/>
    <x v="1283"/>
  </r>
  <r>
    <n v="1321"/>
    <n v="425"/>
    <d v="2026-12-09T00:00:00"/>
    <s v="Wednesday"/>
    <n v="12"/>
    <n v="8.4499999999999993"/>
    <x v="0"/>
    <x v="65"/>
    <s v="Female"/>
    <n v="63"/>
    <n v="192"/>
    <n v="34.1"/>
    <n v="16"/>
    <s v="Other"/>
    <n v="6"/>
    <n v="1869.9"/>
    <s v="Middle"/>
    <n v="1"/>
    <s v="Single-Day"/>
    <n v="0"/>
    <n v="0"/>
    <s v="Downtown Disney Gate"/>
    <s v="Mickey &amp; Friends"/>
    <n v="10.7"/>
    <n v="8"/>
    <x v="1284"/>
  </r>
  <r>
    <n v="1322"/>
    <n v="425"/>
    <d v="2026-12-09T00:00:00"/>
    <s v="Wednesday"/>
    <n v="12"/>
    <n v="8.51"/>
    <x v="0"/>
    <x v="61"/>
    <s v="Female"/>
    <n v="66.8"/>
    <n v="111.8"/>
    <n v="17.7"/>
    <n v="11"/>
    <s v="Other"/>
    <n v="6"/>
    <n v="1869.9"/>
    <s v="Middle"/>
    <n v="1"/>
    <s v="Single-Day"/>
    <n v="0"/>
    <n v="0"/>
    <s v="Downtown Disney Gate"/>
    <s v="Mickey &amp; Friends"/>
    <n v="10.5"/>
    <n v="17"/>
    <x v="1285"/>
  </r>
  <r>
    <n v="1323"/>
    <n v="425"/>
    <d v="2026-12-09T00:00:00"/>
    <s v="Wednesday"/>
    <n v="12"/>
    <n v="8.23"/>
    <x v="0"/>
    <x v="20"/>
    <s v="Female"/>
    <n v="63.9"/>
    <n v="114.9"/>
    <n v="19.7"/>
    <n v="16"/>
    <s v="Other"/>
    <n v="6"/>
    <n v="1869.9"/>
    <s v="Middle"/>
    <n v="1"/>
    <s v="Single-Day"/>
    <n v="0"/>
    <n v="0"/>
    <s v="Downtown Disney Gate"/>
    <s v="Mickey &amp; Friends"/>
    <n v="9.1999999999999993"/>
    <n v="6"/>
    <x v="1286"/>
  </r>
  <r>
    <n v="1324"/>
    <n v="425"/>
    <d v="2026-12-09T00:00:00"/>
    <s v="Wednesday"/>
    <n v="12"/>
    <n v="8.4499999999999993"/>
    <x v="0"/>
    <x v="58"/>
    <s v="Male"/>
    <n v="66.900000000000006"/>
    <n v="166.7"/>
    <n v="26.2"/>
    <n v="12"/>
    <s v="Other"/>
    <n v="6"/>
    <n v="1869.9"/>
    <s v="Middle"/>
    <n v="1"/>
    <s v="Single-Day"/>
    <n v="0"/>
    <n v="0"/>
    <s v="Downtown Disney Gate"/>
    <s v="Mickey &amp; Friends"/>
    <n v="8"/>
    <n v="9"/>
    <x v="1287"/>
  </r>
  <r>
    <n v="1325"/>
    <n v="425"/>
    <d v="2026-12-09T00:00:00"/>
    <s v="Wednesday"/>
    <n v="12"/>
    <n v="8.4600000000000009"/>
    <x v="0"/>
    <x v="8"/>
    <s v="Female"/>
    <n v="64.599999999999994"/>
    <n v="143.30000000000001"/>
    <n v="24.1"/>
    <n v="16"/>
    <s v="Other"/>
    <n v="6"/>
    <n v="1869.9"/>
    <s v="Middle"/>
    <n v="1"/>
    <s v="Single-Day"/>
    <n v="0"/>
    <n v="0"/>
    <s v="Downtown Disney Gate"/>
    <s v="Mickey &amp; Friends"/>
    <n v="7"/>
    <n v="7"/>
    <x v="1288"/>
  </r>
  <r>
    <n v="1326"/>
    <n v="425"/>
    <d v="2026-12-09T00:00:00"/>
    <s v="Wednesday"/>
    <n v="12"/>
    <n v="8.44"/>
    <x v="0"/>
    <x v="49"/>
    <s v="Male"/>
    <n v="67.8"/>
    <n v="189.2"/>
    <n v="28.9"/>
    <n v="14"/>
    <s v="Other"/>
    <n v="6"/>
    <n v="1869.9"/>
    <s v="Middle"/>
    <n v="1"/>
    <s v="Single-Day"/>
    <n v="0"/>
    <n v="0"/>
    <s v="Downtown Disney Gate"/>
    <s v="Mickey &amp; Friends"/>
    <n v="7.4"/>
    <n v="11"/>
    <x v="1289"/>
  </r>
  <r>
    <n v="1327"/>
    <n v="426"/>
    <d v="2026-05-25T00:00:00"/>
    <s v="Monday"/>
    <n v="5"/>
    <n v="10.97"/>
    <x v="0"/>
    <x v="52"/>
    <s v="Female"/>
    <n v="64.5"/>
    <n v="162"/>
    <n v="27.5"/>
    <n v="14"/>
    <s v="NV"/>
    <n v="2"/>
    <n v="162.19999999999999"/>
    <s v="Low"/>
    <n v="0"/>
    <s v="Single-Day"/>
    <n v="0"/>
    <n v="0"/>
    <s v="Main Entrance"/>
    <s v="Mickey &amp; Friends"/>
    <n v="8.1"/>
    <n v="7"/>
    <x v="1290"/>
  </r>
  <r>
    <n v="1328"/>
    <n v="426"/>
    <d v="2026-05-25T00:00:00"/>
    <s v="Monday"/>
    <n v="5"/>
    <n v="10.99"/>
    <x v="0"/>
    <x v="8"/>
    <s v="Male"/>
    <n v="64.8"/>
    <n v="146.80000000000001"/>
    <n v="24.7"/>
    <n v="10"/>
    <s v="NV"/>
    <n v="2"/>
    <n v="162.19999999999999"/>
    <s v="Low"/>
    <n v="0"/>
    <s v="Single-Day"/>
    <n v="0"/>
    <n v="0"/>
    <s v="Main Entrance"/>
    <s v="Mickey &amp; Friends"/>
    <n v="8.1"/>
    <n v="11"/>
    <x v="393"/>
  </r>
  <r>
    <n v="1329"/>
    <n v="427"/>
    <d v="2026-03-25T00:00:00"/>
    <s v="Wednesday"/>
    <n v="3"/>
    <n v="15.45"/>
    <x v="2"/>
    <x v="32"/>
    <s v="Female"/>
    <n v="55.7"/>
    <n v="69.599999999999994"/>
    <n v="15.8"/>
    <n v="17"/>
    <s v="CA"/>
    <n v="3"/>
    <n v="106.3"/>
    <s v="High"/>
    <n v="1"/>
    <s v="Multi-Day"/>
    <n v="0"/>
    <n v="0"/>
    <s v="Hotel Guest Entrance"/>
    <s v="Mickey &amp; Friends"/>
    <n v="7.3"/>
    <n v="5"/>
    <x v="1291"/>
  </r>
  <r>
    <n v="1330"/>
    <n v="427"/>
    <d v="2026-03-25T00:00:00"/>
    <s v="Wednesday"/>
    <n v="3"/>
    <n v="15.09"/>
    <x v="2"/>
    <x v="59"/>
    <s v="Female"/>
    <n v="64.8"/>
    <n v="151.4"/>
    <n v="25.5"/>
    <n v="16"/>
    <s v="CA"/>
    <n v="3"/>
    <n v="106.3"/>
    <s v="High"/>
    <n v="1"/>
    <s v="Multi-Day"/>
    <n v="0"/>
    <n v="0"/>
    <s v="Hotel Guest Entrance"/>
    <s v="Mickey &amp; Friends"/>
    <n v="7.4"/>
    <n v="7"/>
    <x v="1292"/>
  </r>
  <r>
    <n v="1331"/>
    <n v="427"/>
    <d v="2026-03-25T00:00:00"/>
    <s v="Wednesday"/>
    <n v="3"/>
    <n v="15.31"/>
    <x v="2"/>
    <x v="11"/>
    <s v="Male"/>
    <n v="67.400000000000006"/>
    <n v="177.4"/>
    <n v="27.3"/>
    <n v="17"/>
    <s v="CA"/>
    <n v="3"/>
    <n v="106.3"/>
    <s v="High"/>
    <n v="1"/>
    <s v="Multi-Day"/>
    <n v="0"/>
    <n v="0"/>
    <s v="Hotel Guest Entrance"/>
    <s v="Mickey &amp; Friends"/>
    <n v="6.1"/>
    <n v="7"/>
    <x v="1293"/>
  </r>
  <r>
    <n v="1332"/>
    <n v="428"/>
    <d v="2026-03-14T00:00:00"/>
    <s v="Saturday"/>
    <n v="3"/>
    <n v="8.36"/>
    <x v="0"/>
    <x v="16"/>
    <s v="Male"/>
    <n v="56.1"/>
    <n v="70.5"/>
    <n v="15.3"/>
    <n v="13"/>
    <s v="AZ"/>
    <n v="5"/>
    <n v="460.8"/>
    <s v="Middle"/>
    <n v="0"/>
    <s v="Single-Day"/>
    <n v="0"/>
    <n v="1"/>
    <s v="Main Entrance"/>
    <s v="None/Walked from Resort"/>
    <n v="7.3"/>
    <n v="10"/>
    <x v="1294"/>
  </r>
  <r>
    <n v="1333"/>
    <n v="428"/>
    <d v="2026-03-14T00:00:00"/>
    <s v="Saturday"/>
    <n v="3"/>
    <n v="8.06"/>
    <x v="0"/>
    <x v="39"/>
    <s v="Male"/>
    <n v="69.099999999999994"/>
    <n v="179.6"/>
    <n v="26.4"/>
    <n v="17"/>
    <s v="AZ"/>
    <n v="5"/>
    <n v="460.8"/>
    <s v="Middle"/>
    <n v="0"/>
    <s v="Single-Day"/>
    <n v="0"/>
    <n v="1"/>
    <s v="Main Entrance"/>
    <s v="None/Walked from Resort"/>
    <n v="8.9"/>
    <n v="5"/>
    <x v="1295"/>
  </r>
  <r>
    <n v="1334"/>
    <n v="428"/>
    <d v="2026-03-14T00:00:00"/>
    <s v="Saturday"/>
    <n v="3"/>
    <n v="8.1999999999999993"/>
    <x v="0"/>
    <x v="38"/>
    <s v="Male"/>
    <n v="70"/>
    <n v="149.69999999999999"/>
    <n v="21.4"/>
    <n v="12"/>
    <s v="AZ"/>
    <n v="5"/>
    <n v="460.8"/>
    <s v="Middle"/>
    <n v="0"/>
    <s v="Single-Day"/>
    <n v="0"/>
    <n v="1"/>
    <s v="Main Entrance"/>
    <s v="None/Walked from Resort"/>
    <n v="11.1"/>
    <n v="14"/>
    <x v="1296"/>
  </r>
  <r>
    <n v="1335"/>
    <n v="428"/>
    <d v="2026-03-14T00:00:00"/>
    <s v="Saturday"/>
    <n v="3"/>
    <n v="8.3000000000000007"/>
    <x v="0"/>
    <x v="17"/>
    <s v="Female"/>
    <n v="67.900000000000006"/>
    <n v="135.80000000000001"/>
    <n v="20.8"/>
    <n v="14"/>
    <s v="AZ"/>
    <n v="5"/>
    <n v="460.8"/>
    <s v="Middle"/>
    <n v="0"/>
    <s v="Single-Day"/>
    <n v="0"/>
    <n v="1"/>
    <s v="Main Entrance"/>
    <s v="None/Walked from Resort"/>
    <n v="8.1999999999999993"/>
    <n v="10"/>
    <x v="1297"/>
  </r>
  <r>
    <n v="1336"/>
    <n v="428"/>
    <d v="2026-03-14T00:00:00"/>
    <s v="Saturday"/>
    <n v="3"/>
    <n v="8.18"/>
    <x v="0"/>
    <x v="66"/>
    <s v="Male"/>
    <n v="65.5"/>
    <n v="149.69999999999999"/>
    <n v="24.5"/>
    <n v="15"/>
    <s v="AZ"/>
    <n v="5"/>
    <n v="460.8"/>
    <s v="Middle"/>
    <n v="0"/>
    <s v="Single-Day"/>
    <n v="0"/>
    <n v="1"/>
    <s v="Main Entrance"/>
    <s v="None/Walked from Resort"/>
    <n v="6.8"/>
    <n v="8"/>
    <x v="1298"/>
  </r>
  <r>
    <n v="1337"/>
    <n v="429"/>
    <d v="2026-01-23T00:00:00"/>
    <s v="Friday"/>
    <n v="1"/>
    <n v="11.49"/>
    <x v="1"/>
    <x v="36"/>
    <s v="Male"/>
    <n v="67.400000000000006"/>
    <n v="176.3"/>
    <n v="27.3"/>
    <n v="16"/>
    <s v="CA"/>
    <n v="6"/>
    <n v="56.8"/>
    <s v="Middle"/>
    <n v="0"/>
    <s v="Single-Day"/>
    <n v="1"/>
    <n v="0"/>
    <s v="Downtown Disney Gate"/>
    <s v="Mickey &amp; Friends"/>
    <n v="8.1"/>
    <n v="8"/>
    <x v="1299"/>
  </r>
  <r>
    <n v="1338"/>
    <n v="429"/>
    <d v="2026-01-23T00:00:00"/>
    <s v="Friday"/>
    <n v="1"/>
    <n v="11.57"/>
    <x v="1"/>
    <x v="31"/>
    <s v="Male"/>
    <n v="70.7"/>
    <n v="130.80000000000001"/>
    <n v="18.100000000000001"/>
    <n v="11"/>
    <s v="CA"/>
    <n v="6"/>
    <n v="56.8"/>
    <s v="Middle"/>
    <n v="0"/>
    <s v="Single-Day"/>
    <n v="1"/>
    <n v="0"/>
    <s v="Downtown Disney Gate"/>
    <s v="Mickey &amp; Friends"/>
    <n v="7.9"/>
    <n v="14"/>
    <x v="1300"/>
  </r>
  <r>
    <n v="1339"/>
    <n v="429"/>
    <d v="2026-01-23T00:00:00"/>
    <s v="Friday"/>
    <n v="1"/>
    <n v="11.63"/>
    <x v="1"/>
    <x v="25"/>
    <s v="Female"/>
    <n v="59.9"/>
    <n v="138.1"/>
    <n v="27"/>
    <n v="18"/>
    <s v="CA"/>
    <n v="6"/>
    <n v="56.8"/>
    <s v="Middle"/>
    <n v="0"/>
    <s v="Single-Day"/>
    <n v="1"/>
    <n v="0"/>
    <s v="Downtown Disney Gate"/>
    <s v="Mickey &amp; Friends"/>
    <n v="8.3000000000000007"/>
    <n v="11"/>
    <x v="1301"/>
  </r>
  <r>
    <n v="1340"/>
    <n v="429"/>
    <d v="2026-01-23T00:00:00"/>
    <s v="Friday"/>
    <n v="1"/>
    <n v="11.58"/>
    <x v="1"/>
    <x v="66"/>
    <s v="Female"/>
    <n v="63"/>
    <n v="131.1"/>
    <n v="23.2"/>
    <n v="14"/>
    <s v="CA"/>
    <n v="6"/>
    <n v="56.8"/>
    <s v="Middle"/>
    <n v="0"/>
    <s v="Single-Day"/>
    <n v="1"/>
    <n v="0"/>
    <s v="Downtown Disney Gate"/>
    <s v="Mickey &amp; Friends"/>
    <n v="10"/>
    <n v="10"/>
    <x v="1302"/>
  </r>
  <r>
    <n v="1341"/>
    <n v="429"/>
    <d v="2026-01-23T00:00:00"/>
    <s v="Friday"/>
    <n v="1"/>
    <n v="11.56"/>
    <x v="1"/>
    <x v="57"/>
    <s v="Male"/>
    <n v="72.400000000000006"/>
    <n v="236.3"/>
    <n v="31.6"/>
    <n v="18"/>
    <s v="CA"/>
    <n v="6"/>
    <n v="56.8"/>
    <s v="Middle"/>
    <n v="0"/>
    <s v="Single-Day"/>
    <n v="1"/>
    <n v="0"/>
    <s v="Downtown Disney Gate"/>
    <s v="Mickey &amp; Friends"/>
    <n v="8.5"/>
    <n v="9"/>
    <x v="1303"/>
  </r>
  <r>
    <n v="1342"/>
    <n v="429"/>
    <d v="2026-01-23T00:00:00"/>
    <s v="Friday"/>
    <n v="1"/>
    <n v="11.62"/>
    <x v="1"/>
    <x v="36"/>
    <s v="Male"/>
    <n v="76.8"/>
    <n v="221.3"/>
    <n v="26.7"/>
    <n v="16"/>
    <s v="CA"/>
    <n v="6"/>
    <n v="56.8"/>
    <s v="Middle"/>
    <n v="0"/>
    <s v="Single-Day"/>
    <n v="1"/>
    <n v="0"/>
    <s v="Downtown Disney Gate"/>
    <s v="Mickey &amp; Friends"/>
    <n v="7.6"/>
    <n v="14"/>
    <x v="1304"/>
  </r>
  <r>
    <n v="1343"/>
    <n v="430"/>
    <d v="2026-07-09T00:00:00"/>
    <s v="Thursday"/>
    <n v="7"/>
    <n v="10.029999999999999"/>
    <x v="0"/>
    <x v="64"/>
    <s v="Male"/>
    <n v="50"/>
    <n v="68.3"/>
    <n v="19.2"/>
    <n v="15"/>
    <s v="CA"/>
    <n v="4"/>
    <n v="26.4"/>
    <s v="Middle"/>
    <n v="0"/>
    <s v="Single-Day"/>
    <n v="0"/>
    <n v="1"/>
    <s v="Main Entrance"/>
    <s v="None/Walked from Resort"/>
    <n v="10.3"/>
    <n v="10"/>
    <x v="788"/>
  </r>
  <r>
    <n v="1344"/>
    <n v="430"/>
    <d v="2026-07-09T00:00:00"/>
    <s v="Thursday"/>
    <n v="7"/>
    <n v="9.77"/>
    <x v="0"/>
    <x v="71"/>
    <s v="Female"/>
    <n v="63.3"/>
    <n v="129.80000000000001"/>
    <n v="22.9"/>
    <n v="16"/>
    <s v="CA"/>
    <n v="4"/>
    <n v="26.4"/>
    <s v="Middle"/>
    <n v="0"/>
    <s v="Single-Day"/>
    <n v="0"/>
    <n v="1"/>
    <s v="Main Entrance"/>
    <s v="None/Walked from Resort"/>
    <n v="11.3"/>
    <n v="4"/>
    <x v="1305"/>
  </r>
  <r>
    <n v="1345"/>
    <n v="430"/>
    <d v="2026-07-09T00:00:00"/>
    <s v="Thursday"/>
    <n v="7"/>
    <n v="9.74"/>
    <x v="0"/>
    <x v="48"/>
    <s v="Male"/>
    <n v="71.599999999999994"/>
    <n v="190.2"/>
    <n v="25.9"/>
    <n v="15"/>
    <s v="CA"/>
    <n v="4"/>
    <n v="26.4"/>
    <s v="Middle"/>
    <n v="0"/>
    <s v="Single-Day"/>
    <n v="0"/>
    <n v="1"/>
    <s v="Main Entrance"/>
    <s v="None/Walked from Resort"/>
    <n v="7.4"/>
    <n v="13"/>
    <x v="1306"/>
  </r>
  <r>
    <n v="1346"/>
    <n v="430"/>
    <d v="2026-07-09T00:00:00"/>
    <s v="Thursday"/>
    <n v="7"/>
    <n v="9.51"/>
    <x v="0"/>
    <x v="17"/>
    <s v="Male"/>
    <n v="74.099999999999994"/>
    <n v="296.10000000000002"/>
    <n v="37.9"/>
    <n v="14"/>
    <s v="CA"/>
    <n v="4"/>
    <n v="26.4"/>
    <s v="Middle"/>
    <n v="0"/>
    <s v="Single-Day"/>
    <n v="0"/>
    <n v="1"/>
    <s v="Main Entrance"/>
    <s v="None/Walked from Resort"/>
    <n v="7.7"/>
    <n v="7"/>
    <x v="1307"/>
  </r>
  <r>
    <n v="1347"/>
    <n v="431"/>
    <d v="2026-10-17T00:00:00"/>
    <s v="Saturday"/>
    <n v="10"/>
    <n v="11.18"/>
    <x v="1"/>
    <x v="71"/>
    <s v="Female"/>
    <n v="63.3"/>
    <n v="118.1"/>
    <n v="21"/>
    <n v="13"/>
    <s v="ND"/>
    <n v="2"/>
    <n v="1976.6"/>
    <s v="Middle"/>
    <n v="0"/>
    <s v="Single-Day"/>
    <n v="0"/>
    <n v="0"/>
    <s v="Main Entrance"/>
    <s v="Toy Story Lot"/>
    <n v="8.6"/>
    <n v="11"/>
    <x v="1308"/>
  </r>
  <r>
    <n v="1348"/>
    <n v="431"/>
    <d v="2026-10-17T00:00:00"/>
    <s v="Saturday"/>
    <n v="10"/>
    <n v="10.83"/>
    <x v="0"/>
    <x v="32"/>
    <s v="Female"/>
    <n v="59"/>
    <n v="95.2"/>
    <n v="19.399999999999999"/>
    <n v="11"/>
    <s v="ND"/>
    <n v="2"/>
    <n v="1976.6"/>
    <s v="Middle"/>
    <n v="0"/>
    <s v="Single-Day"/>
    <n v="0"/>
    <n v="0"/>
    <s v="Main Entrance"/>
    <s v="Toy Story Lot"/>
    <n v="8.6"/>
    <n v="6"/>
    <x v="1309"/>
  </r>
  <r>
    <n v="1349"/>
    <n v="432"/>
    <d v="2026-01-27T00:00:00"/>
    <s v="Tuesday"/>
    <n v="1"/>
    <n v="8.17"/>
    <x v="0"/>
    <x v="15"/>
    <s v="Male"/>
    <n v="68.099999999999994"/>
    <n v="184.5"/>
    <n v="27.8"/>
    <n v="17"/>
    <s v="CA"/>
    <n v="2"/>
    <n v="172"/>
    <s v="High"/>
    <n v="0"/>
    <s v="Single-Day"/>
    <n v="0"/>
    <n v="0"/>
    <s v="Main Entrance"/>
    <s v="Mickey &amp; Friends"/>
    <n v="9.9"/>
    <n v="9"/>
    <x v="1310"/>
  </r>
  <r>
    <n v="1350"/>
    <n v="432"/>
    <d v="2026-01-27T00:00:00"/>
    <s v="Tuesday"/>
    <n v="1"/>
    <n v="8.31"/>
    <x v="0"/>
    <x v="45"/>
    <s v="Male"/>
    <n v="70.5"/>
    <n v="139.69999999999999"/>
    <n v="20.2"/>
    <n v="22"/>
    <s v="CA"/>
    <n v="2"/>
    <n v="172"/>
    <s v="High"/>
    <n v="0"/>
    <s v="Single-Day"/>
    <n v="0"/>
    <n v="0"/>
    <s v="Main Entrance"/>
    <s v="Mickey &amp; Friends"/>
    <n v="9.6999999999999993"/>
    <n v="9"/>
    <x v="453"/>
  </r>
  <r>
    <n v="1351"/>
    <n v="433"/>
    <d v="2026-09-29T00:00:00"/>
    <s v="Tuesday"/>
    <n v="9"/>
    <n v="11.32"/>
    <x v="1"/>
    <x v="56"/>
    <s v="Female"/>
    <n v="64.400000000000006"/>
    <n v="168.1"/>
    <n v="28.5"/>
    <n v="11"/>
    <s v="OR"/>
    <n v="2"/>
    <n v="780"/>
    <s v="Low"/>
    <n v="1"/>
    <s v="Park Hopper"/>
    <n v="0"/>
    <n v="0"/>
    <s v="Main Entrance"/>
    <s v="Mickey &amp; Friends"/>
    <n v="10.8"/>
    <n v="8"/>
    <x v="1311"/>
  </r>
  <r>
    <n v="1352"/>
    <n v="433"/>
    <d v="2026-09-29T00:00:00"/>
    <s v="Tuesday"/>
    <n v="9"/>
    <n v="11.13"/>
    <x v="1"/>
    <x v="8"/>
    <s v="Male"/>
    <n v="71.3"/>
    <n v="228.4"/>
    <n v="31.7"/>
    <n v="14"/>
    <s v="OR"/>
    <n v="2"/>
    <n v="780"/>
    <s v="Low"/>
    <n v="1"/>
    <s v="Park Hopper"/>
    <n v="0"/>
    <n v="0"/>
    <s v="Main Entrance"/>
    <s v="Mickey &amp; Friends"/>
    <n v="9"/>
    <n v="6"/>
    <x v="1312"/>
  </r>
  <r>
    <n v="1353"/>
    <n v="434"/>
    <d v="2026-06-30T00:00:00"/>
    <s v="Tuesday"/>
    <n v="6"/>
    <n v="9.76"/>
    <x v="0"/>
    <x v="15"/>
    <s v="Female"/>
    <n v="64.400000000000006"/>
    <n v="158.30000000000001"/>
    <n v="26.8"/>
    <n v="16"/>
    <s v="Other"/>
    <n v="2"/>
    <n v="1579.4"/>
    <s v="High"/>
    <n v="1"/>
    <s v="Multi-Day"/>
    <n v="1"/>
    <n v="0"/>
    <s v="Main Entrance"/>
    <s v="Mickey &amp; Friends"/>
    <n v="9"/>
    <n v="12"/>
    <x v="1313"/>
  </r>
  <r>
    <n v="1354"/>
    <n v="434"/>
    <d v="2026-06-30T00:00:00"/>
    <s v="Tuesday"/>
    <n v="6"/>
    <n v="10.07"/>
    <x v="0"/>
    <x v="67"/>
    <s v="Male"/>
    <n v="65.400000000000006"/>
    <n v="143.30000000000001"/>
    <n v="23.6"/>
    <n v="12"/>
    <s v="Other"/>
    <n v="2"/>
    <n v="1579.4"/>
    <s v="High"/>
    <n v="1"/>
    <s v="Multi-Day"/>
    <n v="1"/>
    <n v="0"/>
    <s v="Main Entrance"/>
    <s v="Mickey &amp; Friends"/>
    <n v="9.6"/>
    <n v="12"/>
    <x v="1314"/>
  </r>
  <r>
    <n v="1355"/>
    <n v="435"/>
    <d v="2026-12-04T00:00:00"/>
    <s v="Friday"/>
    <n v="12"/>
    <n v="8.6999999999999993"/>
    <x v="0"/>
    <x v="56"/>
    <s v="Male"/>
    <n v="70.7"/>
    <n v="220.2"/>
    <n v="31.1"/>
    <n v="14"/>
    <s v="AZ"/>
    <n v="3"/>
    <n v="428.4"/>
    <s v="Middle"/>
    <n v="1"/>
    <s v="Single-Day"/>
    <n v="0"/>
    <n v="1"/>
    <s v="Hotel Guest Entrance"/>
    <s v="None/Walked from Resort"/>
    <n v="8.9"/>
    <n v="9"/>
    <x v="1315"/>
  </r>
  <r>
    <n v="1356"/>
    <n v="435"/>
    <d v="2026-12-04T00:00:00"/>
    <s v="Friday"/>
    <n v="12"/>
    <n v="8.67"/>
    <x v="0"/>
    <x v="27"/>
    <s v="Male"/>
    <n v="68.400000000000006"/>
    <n v="134.9"/>
    <n v="20.3"/>
    <n v="13"/>
    <s v="AZ"/>
    <n v="3"/>
    <n v="428.4"/>
    <s v="Middle"/>
    <n v="1"/>
    <s v="Single-Day"/>
    <n v="0"/>
    <n v="1"/>
    <s v="Hotel Guest Entrance"/>
    <s v="None/Walked from Resort"/>
    <n v="9.3000000000000007"/>
    <n v="9"/>
    <x v="1266"/>
  </r>
  <r>
    <n v="1357"/>
    <n v="435"/>
    <d v="2026-12-04T00:00:00"/>
    <s v="Friday"/>
    <n v="12"/>
    <n v="8.5500000000000007"/>
    <x v="0"/>
    <x v="15"/>
    <s v="Male"/>
    <n v="73.3"/>
    <n v="196.8"/>
    <n v="25.9"/>
    <n v="13"/>
    <s v="AZ"/>
    <n v="3"/>
    <n v="428.4"/>
    <s v="Middle"/>
    <n v="1"/>
    <s v="Single-Day"/>
    <n v="0"/>
    <n v="1"/>
    <s v="Hotel Guest Entrance"/>
    <s v="None/Walked from Resort"/>
    <n v="5.7"/>
    <n v="5"/>
    <x v="1316"/>
  </r>
  <r>
    <n v="1358"/>
    <n v="436"/>
    <d v="2026-03-02T00:00:00"/>
    <s v="Monday"/>
    <n v="3"/>
    <n v="10.86"/>
    <x v="0"/>
    <x v="19"/>
    <s v="Female"/>
    <n v="64.2"/>
    <n v="152.5"/>
    <n v="25.8"/>
    <n v="19"/>
    <s v="OR"/>
    <n v="4"/>
    <n v="1069.0999999999999"/>
    <s v="High"/>
    <n v="1"/>
    <s v="Single-Day"/>
    <n v="0"/>
    <n v="1"/>
    <s v="Main Entrance"/>
    <s v="None/Walked from Resort"/>
    <n v="8.5"/>
    <n v="6"/>
    <x v="1317"/>
  </r>
  <r>
    <n v="1359"/>
    <n v="436"/>
    <d v="2026-03-02T00:00:00"/>
    <s v="Monday"/>
    <n v="3"/>
    <n v="10.83"/>
    <x v="0"/>
    <x v="45"/>
    <s v="Male"/>
    <n v="69.599999999999994"/>
    <n v="149.5"/>
    <n v="21.9"/>
    <n v="18"/>
    <s v="OR"/>
    <n v="4"/>
    <n v="1069.0999999999999"/>
    <s v="High"/>
    <n v="1"/>
    <s v="Single-Day"/>
    <n v="0"/>
    <n v="1"/>
    <s v="Main Entrance"/>
    <s v="None/Walked from Resort"/>
    <n v="10.199999999999999"/>
    <n v="12"/>
    <x v="408"/>
  </r>
  <r>
    <n v="1360"/>
    <n v="436"/>
    <d v="2026-03-02T00:00:00"/>
    <s v="Monday"/>
    <n v="3"/>
    <n v="11.04"/>
    <x v="1"/>
    <x v="50"/>
    <s v="Female"/>
    <n v="70"/>
    <n v="123.2"/>
    <n v="17.5"/>
    <n v="15"/>
    <s v="OR"/>
    <n v="4"/>
    <n v="1069.0999999999999"/>
    <s v="High"/>
    <n v="1"/>
    <s v="Single-Day"/>
    <n v="0"/>
    <n v="1"/>
    <s v="Main Entrance"/>
    <s v="None/Walked from Resort"/>
    <n v="10"/>
    <n v="11"/>
    <x v="1318"/>
  </r>
  <r>
    <n v="1361"/>
    <n v="436"/>
    <d v="2026-03-02T00:00:00"/>
    <s v="Monday"/>
    <n v="3"/>
    <n v="10.68"/>
    <x v="0"/>
    <x v="52"/>
    <s v="Male"/>
    <n v="71"/>
    <n v="226.3"/>
    <n v="31.4"/>
    <n v="20"/>
    <s v="OR"/>
    <n v="4"/>
    <n v="1069.0999999999999"/>
    <s v="High"/>
    <n v="1"/>
    <s v="Single-Day"/>
    <n v="0"/>
    <n v="1"/>
    <s v="Main Entrance"/>
    <s v="None/Walked from Resort"/>
    <n v="8.6"/>
    <n v="6"/>
    <x v="1319"/>
  </r>
  <r>
    <n v="1362"/>
    <n v="437"/>
    <d v="2026-05-06T00:00:00"/>
    <s v="Wednesday"/>
    <n v="5"/>
    <n v="11.13"/>
    <x v="1"/>
    <x v="49"/>
    <s v="Female"/>
    <n v="66.900000000000006"/>
    <n v="145.1"/>
    <n v="22.7"/>
    <n v="12"/>
    <s v="WA"/>
    <n v="3"/>
    <n v="1034.7"/>
    <s v="Low"/>
    <n v="1"/>
    <s v="Multi-Day"/>
    <n v="0"/>
    <n v="0"/>
    <s v="Main Entrance"/>
    <s v="Mickey &amp; Friends"/>
    <n v="7.8"/>
    <n v="10"/>
    <x v="1320"/>
  </r>
  <r>
    <n v="1363"/>
    <n v="437"/>
    <d v="2026-05-06T00:00:00"/>
    <s v="Wednesday"/>
    <n v="5"/>
    <n v="11.19"/>
    <x v="1"/>
    <x v="38"/>
    <s v="Female"/>
    <n v="61.3"/>
    <n v="132.30000000000001"/>
    <n v="25"/>
    <n v="9"/>
    <s v="WA"/>
    <n v="3"/>
    <n v="1034.7"/>
    <s v="Low"/>
    <n v="1"/>
    <s v="Multi-Day"/>
    <n v="0"/>
    <n v="0"/>
    <s v="Main Entrance"/>
    <s v="Mickey &amp; Friends"/>
    <n v="10"/>
    <n v="11"/>
    <x v="1321"/>
  </r>
  <r>
    <n v="1364"/>
    <n v="437"/>
    <d v="2026-05-06T00:00:00"/>
    <s v="Wednesday"/>
    <n v="5"/>
    <n v="11.26"/>
    <x v="1"/>
    <x v="10"/>
    <s v="Female"/>
    <n v="62.4"/>
    <n v="151.30000000000001"/>
    <n v="27.5"/>
    <n v="14"/>
    <s v="WA"/>
    <n v="3"/>
    <n v="1034.7"/>
    <s v="Low"/>
    <n v="1"/>
    <s v="Multi-Day"/>
    <n v="0"/>
    <n v="0"/>
    <s v="Main Entrance"/>
    <s v="Mickey &amp; Friends"/>
    <n v="9.8000000000000007"/>
    <n v="6"/>
    <x v="1322"/>
  </r>
  <r>
    <n v="1365"/>
    <n v="438"/>
    <d v="2026-08-21T00:00:00"/>
    <s v="Friday"/>
    <n v="8"/>
    <n v="9.9600000000000009"/>
    <x v="0"/>
    <x v="35"/>
    <s v="Male"/>
    <n v="67.8"/>
    <n v="143.69999999999999"/>
    <n v="22.3"/>
    <n v="16"/>
    <s v="CA"/>
    <n v="6"/>
    <n v="67.3"/>
    <s v="High"/>
    <n v="0"/>
    <s v="Single-Day"/>
    <n v="1"/>
    <n v="0"/>
    <s v="Main Entrance"/>
    <s v="Pixar Pals"/>
    <n v="4.5"/>
    <n v="4"/>
    <x v="1323"/>
  </r>
  <r>
    <n v="1366"/>
    <n v="438"/>
    <d v="2026-08-21T00:00:00"/>
    <s v="Friday"/>
    <n v="8"/>
    <n v="9.6199999999999992"/>
    <x v="0"/>
    <x v="21"/>
    <s v="Male"/>
    <n v="65"/>
    <n v="142"/>
    <n v="23.7"/>
    <n v="17"/>
    <s v="CA"/>
    <n v="6"/>
    <n v="67.3"/>
    <s v="High"/>
    <n v="0"/>
    <s v="Single-Day"/>
    <n v="1"/>
    <n v="0"/>
    <s v="Main Entrance"/>
    <s v="Pixar Pals"/>
    <n v="10.199999999999999"/>
    <n v="9"/>
    <x v="1324"/>
  </r>
  <r>
    <n v="1367"/>
    <n v="438"/>
    <d v="2026-08-21T00:00:00"/>
    <s v="Friday"/>
    <n v="8"/>
    <n v="9.7200000000000006"/>
    <x v="0"/>
    <x v="41"/>
    <s v="Female"/>
    <n v="68.099999999999994"/>
    <n v="160.9"/>
    <n v="24.3"/>
    <n v="16"/>
    <s v="CA"/>
    <n v="6"/>
    <n v="67.3"/>
    <s v="High"/>
    <n v="0"/>
    <s v="Single-Day"/>
    <n v="1"/>
    <n v="0"/>
    <s v="Main Entrance"/>
    <s v="Pixar Pals"/>
    <n v="10.1"/>
    <n v="10"/>
    <x v="1325"/>
  </r>
  <r>
    <n v="1368"/>
    <n v="438"/>
    <d v="2026-08-21T00:00:00"/>
    <s v="Friday"/>
    <n v="8"/>
    <n v="9.57"/>
    <x v="0"/>
    <x v="7"/>
    <s v="Female"/>
    <n v="61.6"/>
    <n v="107.1"/>
    <n v="19.899999999999999"/>
    <n v="15"/>
    <s v="CA"/>
    <n v="6"/>
    <n v="67.3"/>
    <s v="High"/>
    <n v="0"/>
    <s v="Single-Day"/>
    <n v="1"/>
    <n v="0"/>
    <s v="Main Entrance"/>
    <s v="Pixar Pals"/>
    <n v="8.1"/>
    <n v="12"/>
    <x v="1326"/>
  </r>
  <r>
    <n v="1369"/>
    <n v="438"/>
    <d v="2026-08-21T00:00:00"/>
    <s v="Friday"/>
    <n v="8"/>
    <n v="9.84"/>
    <x v="0"/>
    <x v="14"/>
    <s v="Female"/>
    <n v="64.900000000000006"/>
    <n v="135.1"/>
    <n v="22.6"/>
    <n v="15"/>
    <s v="CA"/>
    <n v="6"/>
    <n v="67.3"/>
    <s v="High"/>
    <n v="0"/>
    <s v="Single-Day"/>
    <n v="1"/>
    <n v="0"/>
    <s v="Main Entrance"/>
    <s v="Pixar Pals"/>
    <n v="7.5"/>
    <n v="10"/>
    <x v="1327"/>
  </r>
  <r>
    <n v="1370"/>
    <n v="438"/>
    <d v="2026-08-21T00:00:00"/>
    <s v="Friday"/>
    <n v="8"/>
    <n v="9.8699999999999992"/>
    <x v="0"/>
    <x v="55"/>
    <s v="Female"/>
    <n v="63.1"/>
    <n v="172.1"/>
    <n v="30.3"/>
    <n v="18"/>
    <s v="CA"/>
    <n v="6"/>
    <n v="67.3"/>
    <s v="High"/>
    <n v="0"/>
    <s v="Single-Day"/>
    <n v="1"/>
    <n v="0"/>
    <s v="Main Entrance"/>
    <s v="Pixar Pals"/>
    <n v="7.1"/>
    <n v="6"/>
    <x v="1328"/>
  </r>
  <r>
    <n v="1371"/>
    <n v="439"/>
    <d v="2026-05-26T00:00:00"/>
    <s v="Tuesday"/>
    <n v="5"/>
    <n v="10.35"/>
    <x v="0"/>
    <x v="31"/>
    <s v="Male"/>
    <n v="68"/>
    <n v="126.4"/>
    <n v="19.3"/>
    <n v="14"/>
    <s v="CA"/>
    <n v="3"/>
    <n v="127.5"/>
    <s v="Middle"/>
    <n v="0"/>
    <s v="Single-Day"/>
    <n v="0"/>
    <n v="1"/>
    <s v="Main Entrance"/>
    <s v="None/Walked from Resort"/>
    <n v="10.8"/>
    <n v="7"/>
    <x v="1329"/>
  </r>
  <r>
    <n v="1372"/>
    <n v="439"/>
    <d v="2026-05-26T00:00:00"/>
    <s v="Tuesday"/>
    <n v="5"/>
    <n v="10.47"/>
    <x v="0"/>
    <x v="15"/>
    <s v="Female"/>
    <n v="60.5"/>
    <n v="130.19999999999999"/>
    <n v="25"/>
    <n v="12"/>
    <s v="CA"/>
    <n v="3"/>
    <n v="127.5"/>
    <s v="Middle"/>
    <n v="0"/>
    <s v="Single-Day"/>
    <n v="0"/>
    <n v="1"/>
    <s v="Main Entrance"/>
    <s v="None/Walked from Resort"/>
    <n v="8"/>
    <n v="11"/>
    <x v="1330"/>
  </r>
  <r>
    <n v="1373"/>
    <n v="439"/>
    <d v="2026-05-26T00:00:00"/>
    <s v="Tuesday"/>
    <n v="5"/>
    <n v="10.45"/>
    <x v="0"/>
    <x v="53"/>
    <s v="Female"/>
    <n v="56.1"/>
    <n v="95.2"/>
    <n v="21.2"/>
    <n v="18"/>
    <s v="CA"/>
    <n v="3"/>
    <n v="127.5"/>
    <s v="Middle"/>
    <n v="0"/>
    <s v="Single-Day"/>
    <n v="0"/>
    <n v="1"/>
    <s v="Main Entrance"/>
    <s v="None/Walked from Resort"/>
    <n v="6.8"/>
    <n v="8"/>
    <x v="1331"/>
  </r>
  <r>
    <n v="1374"/>
    <n v="440"/>
    <d v="2026-03-15T00:00:00"/>
    <s v="Sunday"/>
    <n v="3"/>
    <n v="10.24"/>
    <x v="0"/>
    <x v="50"/>
    <s v="Male"/>
    <n v="68.599999999999994"/>
    <n v="140.30000000000001"/>
    <n v="20.9"/>
    <n v="12"/>
    <s v="ND"/>
    <n v="2"/>
    <n v="1419.7"/>
    <s v="Middle"/>
    <n v="1"/>
    <s v="Single-Day"/>
    <n v="0"/>
    <n v="1"/>
    <s v="Main Entrance"/>
    <s v="Toy Story Lot"/>
    <n v="8.3000000000000007"/>
    <n v="4"/>
    <x v="1332"/>
  </r>
  <r>
    <n v="1375"/>
    <n v="440"/>
    <d v="2026-03-15T00:00:00"/>
    <s v="Sunday"/>
    <n v="3"/>
    <n v="10.029999999999999"/>
    <x v="0"/>
    <x v="38"/>
    <s v="Female"/>
    <n v="64.8"/>
    <n v="135.19999999999999"/>
    <n v="22.6"/>
    <n v="12"/>
    <s v="ND"/>
    <n v="2"/>
    <n v="1419.7"/>
    <s v="Middle"/>
    <n v="1"/>
    <s v="Single-Day"/>
    <n v="0"/>
    <n v="1"/>
    <s v="Main Entrance"/>
    <s v="Toy Story Lot"/>
    <n v="5.9"/>
    <n v="7"/>
    <x v="1333"/>
  </r>
  <r>
    <n v="1376"/>
    <n v="441"/>
    <d v="2026-02-25T00:00:00"/>
    <s v="Wednesday"/>
    <n v="2"/>
    <n v="10.15"/>
    <x v="0"/>
    <x v="38"/>
    <s v="Male"/>
    <n v="61.9"/>
    <n v="167.5"/>
    <n v="30.9"/>
    <n v="15"/>
    <s v="AZ"/>
    <n v="3"/>
    <n v="255"/>
    <s v="High"/>
    <n v="1"/>
    <s v="Park Hopper"/>
    <n v="1"/>
    <n v="0"/>
    <s v="Main Entrance"/>
    <s v="Mickey &amp; Friends"/>
    <n v="7.1"/>
    <n v="10"/>
    <x v="1334"/>
  </r>
  <r>
    <n v="1377"/>
    <n v="441"/>
    <d v="2026-02-25T00:00:00"/>
    <s v="Wednesday"/>
    <n v="2"/>
    <n v="10.23"/>
    <x v="0"/>
    <x v="21"/>
    <s v="Male"/>
    <n v="67.5"/>
    <n v="200"/>
    <n v="30.7"/>
    <n v="16"/>
    <s v="AZ"/>
    <n v="3"/>
    <n v="255"/>
    <s v="High"/>
    <n v="1"/>
    <s v="Park Hopper"/>
    <n v="1"/>
    <n v="0"/>
    <s v="Main Entrance"/>
    <s v="Mickey &amp; Friends"/>
    <n v="11.2"/>
    <n v="14"/>
    <x v="1335"/>
  </r>
  <r>
    <n v="1378"/>
    <n v="441"/>
    <d v="2026-02-25T00:00:00"/>
    <s v="Wednesday"/>
    <n v="2"/>
    <n v="10.24"/>
    <x v="0"/>
    <x v="9"/>
    <s v="Female"/>
    <n v="64.400000000000006"/>
    <n v="168.2"/>
    <n v="28.2"/>
    <n v="16"/>
    <s v="AZ"/>
    <n v="3"/>
    <n v="255"/>
    <s v="High"/>
    <n v="1"/>
    <s v="Park Hopper"/>
    <n v="1"/>
    <n v="0"/>
    <s v="Main Entrance"/>
    <s v="Mickey &amp; Friends"/>
    <n v="10.1"/>
    <n v="14"/>
    <x v="1336"/>
  </r>
  <r>
    <n v="1379"/>
    <n v="442"/>
    <d v="2026-09-20T00:00:00"/>
    <s v="Sunday"/>
    <n v="9"/>
    <n v="8.5399999999999991"/>
    <x v="0"/>
    <x v="27"/>
    <s v="Male"/>
    <n v="66.599999999999994"/>
    <n v="177.1"/>
    <n v="28.2"/>
    <n v="17"/>
    <s v="CA"/>
    <n v="2"/>
    <n v="64.599999999999994"/>
    <s v="Low"/>
    <n v="1"/>
    <s v="Park Hopper"/>
    <n v="0"/>
    <n v="1"/>
    <s v="Main Entrance"/>
    <s v="None/Walked from Resort"/>
    <n v="8.6999999999999993"/>
    <n v="11"/>
    <x v="1337"/>
  </r>
  <r>
    <n v="1380"/>
    <n v="442"/>
    <d v="2026-09-20T00:00:00"/>
    <s v="Sunday"/>
    <n v="9"/>
    <n v="8.5299999999999994"/>
    <x v="0"/>
    <x v="55"/>
    <s v="Male"/>
    <n v="71.099999999999994"/>
    <n v="175.1"/>
    <n v="24.5"/>
    <n v="15"/>
    <s v="CA"/>
    <n v="2"/>
    <n v="64.599999999999994"/>
    <s v="Low"/>
    <n v="1"/>
    <s v="Park Hopper"/>
    <n v="0"/>
    <n v="1"/>
    <s v="Main Entrance"/>
    <s v="None/Walked from Resort"/>
    <n v="12.7"/>
    <n v="14"/>
    <x v="1338"/>
  </r>
  <r>
    <n v="1381"/>
    <n v="443"/>
    <d v="2026-07-04T00:00:00"/>
    <s v="Saturday"/>
    <n v="7"/>
    <n v="9.35"/>
    <x v="0"/>
    <x v="1"/>
    <s v="Male"/>
    <n v="69.7"/>
    <n v="156.4"/>
    <n v="22.9"/>
    <n v="14"/>
    <s v="CA"/>
    <n v="3"/>
    <n v="62.1"/>
    <s v="Middle"/>
    <n v="0"/>
    <s v="Single-Day"/>
    <n v="1"/>
    <n v="0"/>
    <s v="Main Entrance"/>
    <s v="Mickey &amp; Friends"/>
    <n v="11.1"/>
    <n v="9"/>
    <x v="1339"/>
  </r>
  <r>
    <n v="1382"/>
    <n v="443"/>
    <d v="2026-07-04T00:00:00"/>
    <s v="Saturday"/>
    <n v="7"/>
    <n v="9.18"/>
    <x v="0"/>
    <x v="45"/>
    <s v="Male"/>
    <n v="64.900000000000006"/>
    <n v="178.6"/>
    <n v="29.9"/>
    <n v="12"/>
    <s v="CA"/>
    <n v="3"/>
    <n v="62.1"/>
    <s v="Middle"/>
    <n v="0"/>
    <s v="Single-Day"/>
    <n v="1"/>
    <n v="0"/>
    <s v="Main Entrance"/>
    <s v="Mickey &amp; Friends"/>
    <n v="8.3000000000000007"/>
    <n v="8"/>
    <x v="1340"/>
  </r>
  <r>
    <n v="1383"/>
    <n v="443"/>
    <d v="2026-07-04T00:00:00"/>
    <s v="Saturday"/>
    <n v="7"/>
    <n v="9.26"/>
    <x v="0"/>
    <x v="45"/>
    <s v="Male"/>
    <n v="66.3"/>
    <n v="182.6"/>
    <n v="29.5"/>
    <n v="13"/>
    <s v="CA"/>
    <n v="3"/>
    <n v="62.1"/>
    <s v="Middle"/>
    <n v="0"/>
    <s v="Single-Day"/>
    <n v="1"/>
    <n v="0"/>
    <s v="Main Entrance"/>
    <s v="Mickey &amp; Friends"/>
    <n v="8.5"/>
    <n v="8"/>
    <x v="1341"/>
  </r>
  <r>
    <n v="1384"/>
    <n v="444"/>
    <d v="2026-01-28T00:00:00"/>
    <s v="Wednesday"/>
    <n v="1"/>
    <n v="10.34"/>
    <x v="0"/>
    <x v="2"/>
    <s v="Male"/>
    <n v="63.3"/>
    <n v="170.7"/>
    <n v="30"/>
    <n v="12"/>
    <s v="CA"/>
    <n v="3"/>
    <n v="56.5"/>
    <s v="Low"/>
    <n v="1"/>
    <s v="Single-Day"/>
    <n v="0"/>
    <n v="0"/>
    <s v="Main Entrance"/>
    <s v="Pixar Pals"/>
    <n v="9.5"/>
    <n v="7"/>
    <x v="1342"/>
  </r>
  <r>
    <n v="1385"/>
    <n v="444"/>
    <d v="2026-01-28T00:00:00"/>
    <s v="Wednesday"/>
    <n v="1"/>
    <n v="10.039999999999999"/>
    <x v="0"/>
    <x v="38"/>
    <s v="Male"/>
    <n v="68.900000000000006"/>
    <n v="165.8"/>
    <n v="24.5"/>
    <n v="11"/>
    <s v="CA"/>
    <n v="3"/>
    <n v="56.5"/>
    <s v="Low"/>
    <n v="1"/>
    <s v="Single-Day"/>
    <n v="0"/>
    <n v="0"/>
    <s v="Main Entrance"/>
    <s v="Pixar Pals"/>
    <n v="7.7"/>
    <n v="12"/>
    <x v="1343"/>
  </r>
  <r>
    <n v="1386"/>
    <n v="444"/>
    <d v="2026-01-28T00:00:00"/>
    <s v="Wednesday"/>
    <n v="1"/>
    <n v="10.07"/>
    <x v="0"/>
    <x v="10"/>
    <s v="Male"/>
    <n v="69.5"/>
    <n v="206.3"/>
    <n v="30.2"/>
    <n v="13"/>
    <s v="CA"/>
    <n v="3"/>
    <n v="56.5"/>
    <s v="Low"/>
    <n v="1"/>
    <s v="Single-Day"/>
    <n v="0"/>
    <n v="0"/>
    <s v="Main Entrance"/>
    <s v="Pixar Pals"/>
    <n v="9.3000000000000007"/>
    <n v="6"/>
    <x v="1344"/>
  </r>
  <r>
    <n v="1387"/>
    <n v="445"/>
    <d v="2026-06-26T00:00:00"/>
    <s v="Friday"/>
    <n v="6"/>
    <n v="9"/>
    <x v="0"/>
    <x v="62"/>
    <s v="Female"/>
    <n v="69.7"/>
    <n v="176.8"/>
    <n v="25.7"/>
    <n v="17"/>
    <s v="CA"/>
    <n v="3"/>
    <n v="89.7"/>
    <s v="High"/>
    <n v="1"/>
    <s v="Park Hopper"/>
    <n v="1"/>
    <n v="1"/>
    <s v="Main Entrance"/>
    <s v="Mickey &amp; Friends"/>
    <n v="13.3"/>
    <n v="13"/>
    <x v="1345"/>
  </r>
  <r>
    <n v="1388"/>
    <n v="445"/>
    <d v="2026-06-26T00:00:00"/>
    <s v="Friday"/>
    <n v="6"/>
    <n v="9.27"/>
    <x v="0"/>
    <x v="40"/>
    <s v="Male"/>
    <n v="58"/>
    <n v="82.4"/>
    <n v="17.100000000000001"/>
    <n v="14"/>
    <s v="CA"/>
    <n v="3"/>
    <n v="89.7"/>
    <s v="High"/>
    <n v="1"/>
    <s v="Park Hopper"/>
    <n v="1"/>
    <n v="1"/>
    <s v="Main Entrance"/>
    <s v="Mickey &amp; Friends"/>
    <n v="10.4"/>
    <n v="10"/>
    <x v="1346"/>
  </r>
  <r>
    <n v="1389"/>
    <n v="445"/>
    <d v="2026-06-26T00:00:00"/>
    <s v="Friday"/>
    <n v="6"/>
    <n v="9.14"/>
    <x v="0"/>
    <x v="38"/>
    <s v="Male"/>
    <n v="68.8"/>
    <n v="186.4"/>
    <n v="27.7"/>
    <n v="13"/>
    <s v="CA"/>
    <n v="3"/>
    <n v="89.7"/>
    <s v="High"/>
    <n v="1"/>
    <s v="Park Hopper"/>
    <n v="1"/>
    <n v="1"/>
    <s v="Main Entrance"/>
    <s v="Mickey &amp; Friends"/>
    <n v="8.3000000000000007"/>
    <n v="2"/>
    <x v="1347"/>
  </r>
  <r>
    <n v="1390"/>
    <n v="446"/>
    <d v="2026-07-27T00:00:00"/>
    <s v="Monday"/>
    <n v="7"/>
    <n v="12.13"/>
    <x v="1"/>
    <x v="56"/>
    <s v="Male"/>
    <n v="77.2"/>
    <n v="239.1"/>
    <n v="28.4"/>
    <n v="16"/>
    <s v="CA"/>
    <n v="4"/>
    <n v="68.099999999999994"/>
    <s v="Low"/>
    <n v="1"/>
    <s v="Multi-Day"/>
    <n v="1"/>
    <n v="0"/>
    <s v="Downtown Disney Gate"/>
    <s v="Toy Story Lot"/>
    <n v="8.6"/>
    <n v="9"/>
    <x v="1348"/>
  </r>
  <r>
    <n v="1391"/>
    <n v="446"/>
    <d v="2026-07-27T00:00:00"/>
    <s v="Monday"/>
    <n v="7"/>
    <n v="12.1"/>
    <x v="1"/>
    <x v="69"/>
    <s v="Nonbinary/Other"/>
    <n v="69.099999999999994"/>
    <n v="200.6"/>
    <n v="29.5"/>
    <n v="14"/>
    <s v="CA"/>
    <n v="4"/>
    <n v="68.099999999999994"/>
    <s v="Low"/>
    <n v="1"/>
    <s v="Multi-Day"/>
    <n v="1"/>
    <n v="0"/>
    <s v="Downtown Disney Gate"/>
    <s v="Toy Story Lot"/>
    <n v="5.9"/>
    <n v="10"/>
    <x v="1349"/>
  </r>
  <r>
    <n v="1392"/>
    <n v="446"/>
    <d v="2026-07-27T00:00:00"/>
    <s v="Monday"/>
    <n v="7"/>
    <n v="11.92"/>
    <x v="1"/>
    <x v="18"/>
    <s v="Female"/>
    <n v="64.599999999999994"/>
    <n v="166.2"/>
    <n v="28.2"/>
    <n v="12"/>
    <s v="CA"/>
    <n v="4"/>
    <n v="68.099999999999994"/>
    <s v="Low"/>
    <n v="1"/>
    <s v="Multi-Day"/>
    <n v="1"/>
    <n v="0"/>
    <s v="Downtown Disney Gate"/>
    <s v="Toy Story Lot"/>
    <n v="8"/>
    <n v="6"/>
    <x v="1350"/>
  </r>
  <r>
    <n v="1393"/>
    <n v="446"/>
    <d v="2026-07-27T00:00:00"/>
    <s v="Monday"/>
    <n v="7"/>
    <n v="12.14"/>
    <x v="1"/>
    <x v="66"/>
    <s v="Male"/>
    <n v="74.400000000000006"/>
    <n v="183.4"/>
    <n v="23.3"/>
    <n v="14"/>
    <s v="CA"/>
    <n v="4"/>
    <n v="68.099999999999994"/>
    <s v="Low"/>
    <n v="1"/>
    <s v="Multi-Day"/>
    <n v="1"/>
    <n v="0"/>
    <s v="Downtown Disney Gate"/>
    <s v="Toy Story Lot"/>
    <n v="7.4"/>
    <n v="11"/>
    <x v="1351"/>
  </r>
  <r>
    <n v="1394"/>
    <n v="447"/>
    <d v="2026-01-03T00:00:00"/>
    <s v="Saturday"/>
    <n v="1"/>
    <n v="13.84"/>
    <x v="1"/>
    <x v="14"/>
    <s v="Male"/>
    <n v="71.400000000000006"/>
    <n v="181.8"/>
    <n v="25.1"/>
    <n v="16"/>
    <s v="NV"/>
    <n v="4"/>
    <n v="371.6"/>
    <s v="High"/>
    <n v="0"/>
    <s v="Single-Day"/>
    <n v="1"/>
    <n v="0"/>
    <s v="Main Entrance"/>
    <s v="Toy Story Lot"/>
    <n v="5.0999999999999996"/>
    <n v="5"/>
    <x v="1352"/>
  </r>
  <r>
    <n v="1395"/>
    <n v="447"/>
    <d v="2026-01-03T00:00:00"/>
    <s v="Saturday"/>
    <n v="1"/>
    <n v="13.65"/>
    <x v="1"/>
    <x v="34"/>
    <s v="Male"/>
    <n v="68.3"/>
    <n v="230.8"/>
    <n v="34.5"/>
    <n v="18"/>
    <s v="NV"/>
    <n v="4"/>
    <n v="371.6"/>
    <s v="High"/>
    <n v="0"/>
    <s v="Single-Day"/>
    <n v="1"/>
    <n v="0"/>
    <s v="Main Entrance"/>
    <s v="Toy Story Lot"/>
    <n v="6.5"/>
    <n v="6"/>
    <x v="1353"/>
  </r>
  <r>
    <n v="1396"/>
    <n v="447"/>
    <d v="2026-01-03T00:00:00"/>
    <s v="Saturday"/>
    <n v="1"/>
    <n v="13.87"/>
    <x v="1"/>
    <x v="22"/>
    <s v="Female"/>
    <n v="58"/>
    <n v="102.7"/>
    <n v="21.2"/>
    <n v="15"/>
    <s v="NV"/>
    <n v="4"/>
    <n v="371.6"/>
    <s v="High"/>
    <n v="0"/>
    <s v="Single-Day"/>
    <n v="1"/>
    <n v="0"/>
    <s v="Main Entrance"/>
    <s v="Toy Story Lot"/>
    <n v="8.9"/>
    <n v="9"/>
    <x v="1354"/>
  </r>
  <r>
    <n v="1397"/>
    <n v="447"/>
    <d v="2026-01-03T00:00:00"/>
    <s v="Saturday"/>
    <n v="1"/>
    <n v="13.65"/>
    <x v="1"/>
    <x v="38"/>
    <s v="Female"/>
    <n v="67.8"/>
    <n v="126.6"/>
    <n v="19.399999999999999"/>
    <n v="14"/>
    <s v="NV"/>
    <n v="4"/>
    <n v="371.6"/>
    <s v="High"/>
    <n v="0"/>
    <s v="Single-Day"/>
    <n v="1"/>
    <n v="0"/>
    <s v="Main Entrance"/>
    <s v="Toy Story Lot"/>
    <n v="9.1"/>
    <n v="14"/>
    <x v="363"/>
  </r>
  <r>
    <n v="1398"/>
    <n v="448"/>
    <d v="2026-04-19T00:00:00"/>
    <s v="Sunday"/>
    <n v="4"/>
    <n v="12.35"/>
    <x v="1"/>
    <x v="2"/>
    <s v="Male"/>
    <n v="70.7"/>
    <n v="122"/>
    <n v="17.3"/>
    <n v="13"/>
    <s v="CA"/>
    <n v="3"/>
    <n v="2"/>
    <s v="Middle"/>
    <n v="0"/>
    <s v="Single-Day"/>
    <n v="0"/>
    <n v="0"/>
    <s v="Main Entrance"/>
    <s v="None/Dropoff/Transit"/>
    <n v="8.1"/>
    <n v="12"/>
    <x v="1355"/>
  </r>
  <r>
    <n v="1399"/>
    <n v="448"/>
    <d v="2026-04-19T00:00:00"/>
    <s v="Sunday"/>
    <n v="4"/>
    <n v="12.35"/>
    <x v="1"/>
    <x v="17"/>
    <s v="Female"/>
    <n v="61.7"/>
    <n v="136.30000000000001"/>
    <n v="24.8"/>
    <n v="19"/>
    <s v="CA"/>
    <n v="3"/>
    <n v="2"/>
    <s v="Middle"/>
    <n v="0"/>
    <s v="Single-Day"/>
    <n v="0"/>
    <n v="0"/>
    <s v="Main Entrance"/>
    <s v="None/Dropoff/Transit"/>
    <n v="9.6"/>
    <n v="8"/>
    <x v="1356"/>
  </r>
  <r>
    <n v="1400"/>
    <n v="448"/>
    <d v="2026-04-19T00:00:00"/>
    <s v="Sunday"/>
    <n v="4"/>
    <n v="12.35"/>
    <x v="1"/>
    <x v="1"/>
    <s v="Male"/>
    <n v="68.099999999999994"/>
    <n v="150.30000000000001"/>
    <n v="23"/>
    <n v="16"/>
    <s v="CA"/>
    <n v="3"/>
    <n v="2"/>
    <s v="Middle"/>
    <n v="0"/>
    <s v="Single-Day"/>
    <n v="0"/>
    <n v="0"/>
    <s v="Main Entrance"/>
    <s v="None/Dropoff/Transit"/>
    <n v="5.8"/>
    <n v="5"/>
    <x v="1357"/>
  </r>
  <r>
    <n v="1401"/>
    <n v="449"/>
    <d v="2026-07-30T00:00:00"/>
    <s v="Thursday"/>
    <n v="7"/>
    <n v="8.99"/>
    <x v="0"/>
    <x v="64"/>
    <s v="Female"/>
    <n v="40.799999999999997"/>
    <n v="45"/>
    <n v="19.3"/>
    <n v="13"/>
    <s v="CA"/>
    <n v="2"/>
    <n v="89.5"/>
    <s v="Low"/>
    <n v="0"/>
    <s v="Single-Day"/>
    <n v="0"/>
    <n v="0"/>
    <s v="Main Entrance"/>
    <s v="Pixar Pals"/>
    <n v="8"/>
    <n v="9"/>
    <x v="1358"/>
  </r>
  <r>
    <n v="1402"/>
    <n v="449"/>
    <d v="2026-07-30T00:00:00"/>
    <s v="Thursday"/>
    <n v="7"/>
    <n v="9.0399999999999991"/>
    <x v="0"/>
    <x v="71"/>
    <s v="Male"/>
    <n v="70.3"/>
    <n v="240.7"/>
    <n v="34.6"/>
    <n v="11"/>
    <s v="CA"/>
    <n v="2"/>
    <n v="89.5"/>
    <s v="Low"/>
    <n v="0"/>
    <s v="Single-Day"/>
    <n v="0"/>
    <n v="0"/>
    <s v="Main Entrance"/>
    <s v="Pixar Pals"/>
    <n v="8"/>
    <n v="9"/>
    <x v="1359"/>
  </r>
  <r>
    <n v="1403"/>
    <n v="450"/>
    <d v="2026-02-04T00:00:00"/>
    <s v="Wednesday"/>
    <n v="2"/>
    <n v="12.83"/>
    <x v="1"/>
    <x v="47"/>
    <s v="Female"/>
    <n v="63.5"/>
    <n v="112.4"/>
    <n v="19.7"/>
    <n v="14"/>
    <s v="CA"/>
    <n v="3"/>
    <n v="122.4"/>
    <s v="Middle"/>
    <n v="0"/>
    <s v="Multi-Day"/>
    <n v="0"/>
    <n v="0"/>
    <s v="Main Entrance"/>
    <s v="Mickey &amp; Friends"/>
    <n v="6.9"/>
    <n v="6"/>
    <x v="1360"/>
  </r>
  <r>
    <n v="1404"/>
    <n v="450"/>
    <d v="2026-02-04T00:00:00"/>
    <s v="Wednesday"/>
    <n v="2"/>
    <n v="12.79"/>
    <x v="1"/>
    <x v="51"/>
    <s v="Female"/>
    <n v="62.8"/>
    <n v="123.7"/>
    <n v="22"/>
    <n v="16"/>
    <s v="CA"/>
    <n v="3"/>
    <n v="122.4"/>
    <s v="Middle"/>
    <n v="0"/>
    <s v="Multi-Day"/>
    <n v="0"/>
    <n v="0"/>
    <s v="Main Entrance"/>
    <s v="Mickey &amp; Friends"/>
    <n v="5.7"/>
    <n v="9"/>
    <x v="1361"/>
  </r>
  <r>
    <n v="1405"/>
    <n v="450"/>
    <d v="2026-02-04T00:00:00"/>
    <s v="Wednesday"/>
    <n v="2"/>
    <n v="12.85"/>
    <x v="1"/>
    <x v="15"/>
    <s v="Male"/>
    <n v="67.2"/>
    <n v="170.1"/>
    <n v="26.4"/>
    <n v="17"/>
    <s v="CA"/>
    <n v="3"/>
    <n v="122.4"/>
    <s v="Middle"/>
    <n v="0"/>
    <s v="Multi-Day"/>
    <n v="0"/>
    <n v="0"/>
    <s v="Main Entrance"/>
    <s v="Mickey &amp; Friends"/>
    <n v="9.6999999999999993"/>
    <n v="12"/>
    <x v="1362"/>
  </r>
  <r>
    <n v="1406"/>
    <n v="451"/>
    <d v="2026-12-28T00:00:00"/>
    <s v="Monday"/>
    <n v="12"/>
    <n v="10.46"/>
    <x v="0"/>
    <x v="33"/>
    <s v="Female"/>
    <n v="63.2"/>
    <n v="134"/>
    <n v="23.7"/>
    <n v="15"/>
    <s v="CA"/>
    <n v="1"/>
    <n v="7"/>
    <s v="Middle"/>
    <n v="0"/>
    <s v="Park Hopper"/>
    <n v="0"/>
    <n v="0"/>
    <s v="Main Entrance"/>
    <s v="Toy Story Lot"/>
    <n v="8.6"/>
    <n v="9"/>
    <x v="1363"/>
  </r>
  <r>
    <n v="1407"/>
    <n v="452"/>
    <d v="2026-09-30T00:00:00"/>
    <s v="Wednesday"/>
    <n v="9"/>
    <n v="9.6999999999999993"/>
    <x v="0"/>
    <x v="32"/>
    <s v="Male"/>
    <n v="64.2"/>
    <n v="130.4"/>
    <n v="22"/>
    <n v="12"/>
    <s v="CA"/>
    <n v="3"/>
    <n v="244.1"/>
    <s v="Middle"/>
    <n v="0"/>
    <s v="Multi-Day"/>
    <n v="1"/>
    <n v="0"/>
    <s v="Downtown Disney Gate"/>
    <s v="Mickey &amp; Friends"/>
    <n v="10.5"/>
    <n v="10"/>
    <x v="1364"/>
  </r>
  <r>
    <n v="1408"/>
    <n v="452"/>
    <d v="2026-09-30T00:00:00"/>
    <s v="Wednesday"/>
    <n v="9"/>
    <n v="9.6999999999999993"/>
    <x v="0"/>
    <x v="49"/>
    <s v="Female"/>
    <n v="59.8"/>
    <n v="158.19999999999999"/>
    <n v="31.1"/>
    <n v="15"/>
    <s v="CA"/>
    <n v="3"/>
    <n v="244.1"/>
    <s v="Middle"/>
    <n v="0"/>
    <s v="Multi-Day"/>
    <n v="1"/>
    <n v="0"/>
    <s v="Downtown Disney Gate"/>
    <s v="Mickey &amp; Friends"/>
    <n v="7.9"/>
    <n v="4"/>
    <x v="1365"/>
  </r>
  <r>
    <n v="1409"/>
    <n v="452"/>
    <d v="2026-09-30T00:00:00"/>
    <s v="Wednesday"/>
    <n v="9"/>
    <n v="9.85"/>
    <x v="0"/>
    <x v="16"/>
    <s v="Male"/>
    <n v="57.8"/>
    <n v="73.3"/>
    <n v="15.4"/>
    <n v="10"/>
    <s v="CA"/>
    <n v="3"/>
    <n v="244.1"/>
    <s v="Middle"/>
    <n v="0"/>
    <s v="Multi-Day"/>
    <n v="1"/>
    <n v="0"/>
    <s v="Downtown Disney Gate"/>
    <s v="Mickey &amp; Friends"/>
    <n v="8.3000000000000007"/>
    <n v="8"/>
    <x v="163"/>
  </r>
  <r>
    <n v="1410"/>
    <n v="453"/>
    <d v="2026-12-16T00:00:00"/>
    <s v="Wednesday"/>
    <n v="12"/>
    <n v="10.34"/>
    <x v="0"/>
    <x v="54"/>
    <s v="Male"/>
    <n v="68.900000000000006"/>
    <n v="100.3"/>
    <n v="14.8"/>
    <n v="18"/>
    <s v="CA"/>
    <n v="2"/>
    <n v="68.900000000000006"/>
    <s v="High"/>
    <n v="0"/>
    <s v="Single-Day"/>
    <n v="1"/>
    <n v="0"/>
    <s v="Downtown Disney Gate"/>
    <s v="Toy Story Lot"/>
    <n v="9.1999999999999993"/>
    <n v="9"/>
    <x v="1366"/>
  </r>
  <r>
    <n v="1411"/>
    <n v="453"/>
    <d v="2026-12-16T00:00:00"/>
    <s v="Wednesday"/>
    <n v="12"/>
    <n v="10.42"/>
    <x v="0"/>
    <x v="51"/>
    <s v="Female"/>
    <n v="65.3"/>
    <n v="138.5"/>
    <n v="22.9"/>
    <n v="17"/>
    <s v="CA"/>
    <n v="2"/>
    <n v="68.900000000000006"/>
    <s v="High"/>
    <n v="0"/>
    <s v="Single-Day"/>
    <n v="1"/>
    <n v="0"/>
    <s v="Downtown Disney Gate"/>
    <s v="Toy Story Lot"/>
    <n v="10.3"/>
    <n v="12"/>
    <x v="1367"/>
  </r>
  <r>
    <n v="1412"/>
    <n v="454"/>
    <d v="2026-02-08T00:00:00"/>
    <s v="Sunday"/>
    <n v="2"/>
    <n v="8.61"/>
    <x v="0"/>
    <x v="51"/>
    <s v="Female"/>
    <n v="63.8"/>
    <n v="184.9"/>
    <n v="31.9"/>
    <n v="15"/>
    <s v="TX"/>
    <n v="1"/>
    <n v="1879.7"/>
    <s v="Middle"/>
    <n v="1"/>
    <s v="Park Hopper"/>
    <n v="0"/>
    <n v="0"/>
    <s v="Main Entrance"/>
    <s v="Mickey &amp; Friends"/>
    <n v="9.1999999999999993"/>
    <n v="8"/>
    <x v="1368"/>
  </r>
  <r>
    <n v="1413"/>
    <n v="455"/>
    <d v="2026-06-23T00:00:00"/>
    <s v="Tuesday"/>
    <n v="6"/>
    <n v="9.36"/>
    <x v="0"/>
    <x v="17"/>
    <s v="Female"/>
    <n v="56.8"/>
    <n v="143.30000000000001"/>
    <n v="31.2"/>
    <n v="16"/>
    <s v="CA"/>
    <n v="3"/>
    <n v="46.7"/>
    <s v="Middle"/>
    <n v="0"/>
    <s v="Single-Day"/>
    <n v="1"/>
    <n v="0"/>
    <s v="Main Entrance"/>
    <s v="Mickey &amp; Friends"/>
    <n v="7.5"/>
    <n v="3"/>
    <x v="977"/>
  </r>
  <r>
    <n v="1414"/>
    <n v="455"/>
    <d v="2026-06-23T00:00:00"/>
    <s v="Tuesday"/>
    <n v="6"/>
    <n v="9.2100000000000009"/>
    <x v="0"/>
    <x v="72"/>
    <s v="Female"/>
    <n v="64.2"/>
    <n v="153.6"/>
    <n v="26.1"/>
    <n v="12"/>
    <s v="CA"/>
    <n v="3"/>
    <n v="46.7"/>
    <s v="Middle"/>
    <n v="0"/>
    <s v="Single-Day"/>
    <n v="1"/>
    <n v="0"/>
    <s v="Main Entrance"/>
    <s v="Mickey &amp; Friends"/>
    <n v="10.3"/>
    <n v="12"/>
    <x v="1369"/>
  </r>
  <r>
    <n v="1415"/>
    <n v="455"/>
    <d v="2026-06-23T00:00:00"/>
    <s v="Tuesday"/>
    <n v="6"/>
    <n v="9.1999999999999993"/>
    <x v="0"/>
    <x v="0"/>
    <s v="Female"/>
    <n v="67.2"/>
    <n v="171"/>
    <n v="26.4"/>
    <n v="17"/>
    <s v="CA"/>
    <n v="3"/>
    <n v="46.7"/>
    <s v="Middle"/>
    <n v="0"/>
    <s v="Single-Day"/>
    <n v="1"/>
    <n v="0"/>
    <s v="Main Entrance"/>
    <s v="Mickey &amp; Friends"/>
    <n v="8.5"/>
    <n v="5"/>
    <x v="1370"/>
  </r>
  <r>
    <n v="1416"/>
    <n v="456"/>
    <d v="2026-01-18T00:00:00"/>
    <s v="Sunday"/>
    <n v="1"/>
    <n v="11.45"/>
    <x v="1"/>
    <x v="52"/>
    <s v="Male"/>
    <n v="73.099999999999994"/>
    <n v="260.39999999999998"/>
    <n v="34.1"/>
    <n v="14"/>
    <s v="MN"/>
    <n v="5"/>
    <n v="1795.3"/>
    <s v="Low"/>
    <n v="0"/>
    <s v="Park Hopper"/>
    <n v="0"/>
    <n v="0"/>
    <s v="Main Entrance"/>
    <s v="Mickey &amp; Friends"/>
    <n v="5.0999999999999996"/>
    <n v="6"/>
    <x v="1371"/>
  </r>
  <r>
    <n v="1417"/>
    <n v="456"/>
    <d v="2026-01-18T00:00:00"/>
    <s v="Sunday"/>
    <n v="1"/>
    <n v="11.37"/>
    <x v="1"/>
    <x v="37"/>
    <s v="Female"/>
    <n v="66.3"/>
    <n v="174.2"/>
    <n v="27.6"/>
    <n v="11"/>
    <s v="MN"/>
    <n v="5"/>
    <n v="1795.3"/>
    <s v="Low"/>
    <n v="0"/>
    <s v="Park Hopper"/>
    <n v="0"/>
    <n v="0"/>
    <s v="Main Entrance"/>
    <s v="Mickey &amp; Friends"/>
    <n v="9.5"/>
    <n v="8"/>
    <x v="1372"/>
  </r>
  <r>
    <n v="1418"/>
    <n v="456"/>
    <d v="2026-01-18T00:00:00"/>
    <s v="Sunday"/>
    <n v="1"/>
    <n v="11.59"/>
    <x v="1"/>
    <x v="74"/>
    <s v="Male"/>
    <n v="68.5"/>
    <n v="194.1"/>
    <n v="29"/>
    <n v="15"/>
    <s v="MN"/>
    <n v="5"/>
    <n v="1795.3"/>
    <s v="Low"/>
    <n v="0"/>
    <s v="Park Hopper"/>
    <n v="0"/>
    <n v="0"/>
    <s v="Main Entrance"/>
    <s v="Mickey &amp; Friends"/>
    <n v="9"/>
    <n v="6"/>
    <x v="1373"/>
  </r>
  <r>
    <n v="1419"/>
    <n v="456"/>
    <d v="2026-01-18T00:00:00"/>
    <s v="Sunday"/>
    <n v="1"/>
    <n v="11.2"/>
    <x v="1"/>
    <x v="52"/>
    <s v="Male"/>
    <n v="69.099999999999994"/>
    <n v="172.3"/>
    <n v="25.6"/>
    <n v="14"/>
    <s v="MN"/>
    <n v="5"/>
    <n v="1795.3"/>
    <s v="Low"/>
    <n v="0"/>
    <s v="Park Hopper"/>
    <n v="0"/>
    <n v="0"/>
    <s v="Main Entrance"/>
    <s v="Mickey &amp; Friends"/>
    <n v="8.5"/>
    <n v="9"/>
    <x v="1374"/>
  </r>
  <r>
    <n v="1420"/>
    <n v="456"/>
    <d v="2026-01-18T00:00:00"/>
    <s v="Sunday"/>
    <n v="1"/>
    <n v="11.49"/>
    <x v="1"/>
    <x v="32"/>
    <s v="Female"/>
    <n v="59.4"/>
    <n v="94.4"/>
    <n v="18.600000000000001"/>
    <n v="12"/>
    <s v="MN"/>
    <n v="5"/>
    <n v="1795.3"/>
    <s v="Low"/>
    <n v="0"/>
    <s v="Park Hopper"/>
    <n v="0"/>
    <n v="0"/>
    <s v="Main Entrance"/>
    <s v="Mickey &amp; Friends"/>
    <n v="7.7"/>
    <n v="4"/>
    <x v="1375"/>
  </r>
  <r>
    <n v="1421"/>
    <n v="457"/>
    <d v="2026-07-13T00:00:00"/>
    <s v="Monday"/>
    <n v="7"/>
    <n v="9.66"/>
    <x v="0"/>
    <x v="27"/>
    <s v="Female"/>
    <n v="68.900000000000006"/>
    <n v="179.5"/>
    <n v="26.5"/>
    <n v="18"/>
    <s v="NY"/>
    <n v="2"/>
    <n v="1383"/>
    <s v="Middle"/>
    <n v="0"/>
    <s v="Single-Day"/>
    <n v="1"/>
    <n v="0"/>
    <s v="Main Entrance"/>
    <s v="Mickey &amp; Friends"/>
    <n v="8.9"/>
    <n v="9"/>
    <x v="1376"/>
  </r>
  <r>
    <n v="1422"/>
    <n v="457"/>
    <d v="2026-07-13T00:00:00"/>
    <s v="Monday"/>
    <n v="7"/>
    <n v="9.69"/>
    <x v="0"/>
    <x v="42"/>
    <s v="Female"/>
    <n v="66.7"/>
    <n v="189.5"/>
    <n v="30.1"/>
    <n v="15"/>
    <s v="NY"/>
    <n v="2"/>
    <n v="1383"/>
    <s v="Middle"/>
    <n v="0"/>
    <s v="Single-Day"/>
    <n v="1"/>
    <n v="0"/>
    <s v="Main Entrance"/>
    <s v="Mickey &amp; Friends"/>
    <n v="7.9"/>
    <n v="14"/>
    <x v="1377"/>
  </r>
  <r>
    <n v="1423"/>
    <n v="458"/>
    <d v="2026-10-08T00:00:00"/>
    <s v="Thursday"/>
    <n v="10"/>
    <n v="9.83"/>
    <x v="0"/>
    <x v="41"/>
    <s v="Female"/>
    <n v="62.4"/>
    <n v="121.3"/>
    <n v="22.1"/>
    <n v="15"/>
    <s v="CA"/>
    <n v="2"/>
    <n v="14.6"/>
    <s v="Middle"/>
    <n v="0"/>
    <s v="Single-Day"/>
    <n v="0"/>
    <n v="0"/>
    <s v="Hotel Guest Entrance"/>
    <s v="None/Dropoff/Transit"/>
    <n v="7.6"/>
    <n v="10"/>
    <x v="1378"/>
  </r>
  <r>
    <n v="1424"/>
    <n v="458"/>
    <d v="2026-10-08T00:00:00"/>
    <s v="Thursday"/>
    <n v="10"/>
    <n v="9.89"/>
    <x v="0"/>
    <x v="53"/>
    <s v="Female"/>
    <n v="54.9"/>
    <n v="72.900000000000006"/>
    <n v="16.8"/>
    <n v="12"/>
    <s v="CA"/>
    <n v="2"/>
    <n v="14.6"/>
    <s v="Middle"/>
    <n v="0"/>
    <s v="Single-Day"/>
    <n v="0"/>
    <n v="0"/>
    <s v="Hotel Guest Entrance"/>
    <s v="None/Dropoff/Transit"/>
    <n v="6.7"/>
    <n v="3"/>
    <x v="1379"/>
  </r>
  <r>
    <n v="1425"/>
    <n v="459"/>
    <d v="2026-12-03T00:00:00"/>
    <s v="Thursday"/>
    <n v="12"/>
    <n v="10.94"/>
    <x v="0"/>
    <x v="2"/>
    <s v="Female"/>
    <n v="60.8"/>
    <n v="156.9"/>
    <n v="30"/>
    <n v="17"/>
    <s v="UT"/>
    <n v="2"/>
    <n v="505.1"/>
    <s v="High"/>
    <n v="0"/>
    <s v="Single-Day"/>
    <n v="0"/>
    <n v="0"/>
    <s v="Main Entrance"/>
    <s v="Toy Story Lot"/>
    <n v="9.6"/>
    <n v="10"/>
    <x v="1380"/>
  </r>
  <r>
    <n v="1426"/>
    <n v="459"/>
    <d v="2026-12-03T00:00:00"/>
    <s v="Thursday"/>
    <n v="12"/>
    <n v="10.86"/>
    <x v="0"/>
    <x v="38"/>
    <s v="Male"/>
    <n v="70.099999999999994"/>
    <n v="200.6"/>
    <n v="28.6"/>
    <n v="14"/>
    <s v="UT"/>
    <n v="2"/>
    <n v="505.1"/>
    <s v="High"/>
    <n v="0"/>
    <s v="Single-Day"/>
    <n v="0"/>
    <n v="0"/>
    <s v="Main Entrance"/>
    <s v="Toy Story Lot"/>
    <n v="6.6"/>
    <n v="11"/>
    <x v="1381"/>
  </r>
  <r>
    <n v="1427"/>
    <n v="460"/>
    <d v="2026-06-06T00:00:00"/>
    <s v="Saturday"/>
    <n v="6"/>
    <n v="11.72"/>
    <x v="1"/>
    <x v="48"/>
    <s v="Female"/>
    <n v="65.8"/>
    <n v="208.3"/>
    <n v="33.9"/>
    <n v="16"/>
    <s v="Other"/>
    <n v="4"/>
    <n v="1789.5"/>
    <s v="Middle"/>
    <n v="1"/>
    <s v="Single-Day"/>
    <n v="1"/>
    <n v="0"/>
    <s v="Main Entrance"/>
    <s v="Pixar Pals"/>
    <n v="11.1"/>
    <n v="10"/>
    <x v="1382"/>
  </r>
  <r>
    <n v="1428"/>
    <n v="460"/>
    <d v="2026-06-06T00:00:00"/>
    <s v="Saturday"/>
    <n v="6"/>
    <n v="11.54"/>
    <x v="1"/>
    <x v="55"/>
    <s v="Male"/>
    <n v="73.099999999999994"/>
    <n v="228.2"/>
    <n v="30.1"/>
    <n v="18"/>
    <s v="Other"/>
    <n v="4"/>
    <n v="1789.5"/>
    <s v="Middle"/>
    <n v="1"/>
    <s v="Single-Day"/>
    <n v="1"/>
    <n v="0"/>
    <s v="Main Entrance"/>
    <s v="Pixar Pals"/>
    <n v="8.1"/>
    <n v="12"/>
    <x v="1383"/>
  </r>
  <r>
    <n v="1429"/>
    <n v="460"/>
    <d v="2026-06-06T00:00:00"/>
    <s v="Saturday"/>
    <n v="6"/>
    <n v="11.67"/>
    <x v="1"/>
    <x v="6"/>
    <s v="Male"/>
    <n v="73.900000000000006"/>
    <n v="224.2"/>
    <n v="29"/>
    <n v="15"/>
    <s v="Other"/>
    <n v="4"/>
    <n v="1789.5"/>
    <s v="Middle"/>
    <n v="1"/>
    <s v="Single-Day"/>
    <n v="1"/>
    <n v="0"/>
    <s v="Main Entrance"/>
    <s v="Pixar Pals"/>
    <n v="9.1999999999999993"/>
    <n v="14"/>
    <x v="1384"/>
  </r>
  <r>
    <n v="1430"/>
    <n v="460"/>
    <d v="2026-06-06T00:00:00"/>
    <s v="Saturday"/>
    <n v="6"/>
    <n v="11.95"/>
    <x v="1"/>
    <x v="5"/>
    <s v="Male"/>
    <n v="71.099999999999994"/>
    <n v="183.7"/>
    <n v="25.6"/>
    <n v="15"/>
    <s v="Other"/>
    <n v="4"/>
    <n v="1789.5"/>
    <s v="Middle"/>
    <n v="1"/>
    <s v="Single-Day"/>
    <n v="1"/>
    <n v="0"/>
    <s v="Main Entrance"/>
    <s v="Pixar Pals"/>
    <n v="9.6"/>
    <n v="10"/>
    <x v="1385"/>
  </r>
  <r>
    <n v="1431"/>
    <n v="461"/>
    <d v="2026-05-21T00:00:00"/>
    <s v="Thursday"/>
    <n v="5"/>
    <n v="13.85"/>
    <x v="1"/>
    <x v="48"/>
    <s v="Female"/>
    <n v="63.2"/>
    <n v="154.19999999999999"/>
    <n v="27.5"/>
    <n v="15"/>
    <s v="CA"/>
    <n v="1"/>
    <n v="102.2"/>
    <s v="Middle"/>
    <n v="0"/>
    <s v="Multi-Day"/>
    <n v="0"/>
    <n v="0"/>
    <s v="Main Entrance"/>
    <s v="Mickey &amp; Friends"/>
    <n v="7.8"/>
    <n v="3"/>
    <x v="1295"/>
  </r>
  <r>
    <n v="1432"/>
    <n v="462"/>
    <d v="2026-10-22T00:00:00"/>
    <s v="Thursday"/>
    <n v="10"/>
    <n v="10.26"/>
    <x v="0"/>
    <x v="17"/>
    <s v="Male"/>
    <n v="70"/>
    <n v="188.3"/>
    <n v="27.3"/>
    <n v="17"/>
    <s v="CA"/>
    <n v="2"/>
    <n v="116.9"/>
    <s v="Middle"/>
    <n v="0"/>
    <s v="Single-Day"/>
    <n v="0"/>
    <n v="0"/>
    <s v="Main Entrance"/>
    <s v="Mickey &amp; Friends"/>
    <n v="4.3"/>
    <n v="5"/>
    <x v="1386"/>
  </r>
  <r>
    <n v="1433"/>
    <n v="462"/>
    <d v="2026-10-22T00:00:00"/>
    <s v="Thursday"/>
    <n v="10"/>
    <n v="10.4"/>
    <x v="0"/>
    <x v="3"/>
    <s v="Female"/>
    <n v="64.8"/>
    <n v="110.2"/>
    <n v="18.399999999999999"/>
    <n v="14"/>
    <s v="CA"/>
    <n v="2"/>
    <n v="116.9"/>
    <s v="Middle"/>
    <n v="0"/>
    <s v="Single-Day"/>
    <n v="0"/>
    <n v="0"/>
    <s v="Main Entrance"/>
    <s v="Mickey &amp; Friends"/>
    <n v="8.5"/>
    <n v="8"/>
    <x v="1387"/>
  </r>
  <r>
    <n v="1434"/>
    <n v="463"/>
    <d v="2026-01-01T00:00:00"/>
    <s v="Thursday"/>
    <n v="1"/>
    <n v="12.17"/>
    <x v="1"/>
    <x v="38"/>
    <s v="Female"/>
    <n v="61.1"/>
    <n v="117"/>
    <n v="22.2"/>
    <n v="13"/>
    <s v="OR"/>
    <n v="6"/>
    <n v="1050.9000000000001"/>
    <s v="Middle"/>
    <n v="1"/>
    <s v="Single-Day"/>
    <n v="0"/>
    <n v="1"/>
    <s v="Main Entrance"/>
    <s v="Pixar Pals"/>
    <n v="8.6999999999999993"/>
    <n v="11"/>
    <x v="1388"/>
  </r>
  <r>
    <n v="1435"/>
    <n v="463"/>
    <d v="2026-01-01T00:00:00"/>
    <s v="Thursday"/>
    <n v="1"/>
    <n v="12.06"/>
    <x v="1"/>
    <x v="8"/>
    <s v="Male"/>
    <n v="69.3"/>
    <n v="173.4"/>
    <n v="25.5"/>
    <n v="18"/>
    <s v="OR"/>
    <n v="6"/>
    <n v="1050.9000000000001"/>
    <s v="Middle"/>
    <n v="1"/>
    <s v="Single-Day"/>
    <n v="0"/>
    <n v="1"/>
    <s v="Main Entrance"/>
    <s v="Pixar Pals"/>
    <n v="9"/>
    <n v="9"/>
    <x v="1389"/>
  </r>
  <r>
    <n v="1436"/>
    <n v="463"/>
    <d v="2026-01-01T00:00:00"/>
    <s v="Thursday"/>
    <n v="1"/>
    <n v="12.22"/>
    <x v="1"/>
    <x v="38"/>
    <s v="Male"/>
    <n v="64.900000000000006"/>
    <n v="138.4"/>
    <n v="22.9"/>
    <n v="13"/>
    <s v="OR"/>
    <n v="6"/>
    <n v="1050.9000000000001"/>
    <s v="Middle"/>
    <n v="1"/>
    <s v="Single-Day"/>
    <n v="0"/>
    <n v="1"/>
    <s v="Main Entrance"/>
    <s v="Pixar Pals"/>
    <n v="10.5"/>
    <n v="17"/>
    <x v="1390"/>
  </r>
  <r>
    <n v="1437"/>
    <n v="463"/>
    <d v="2026-01-01T00:00:00"/>
    <s v="Thursday"/>
    <n v="1"/>
    <n v="12.39"/>
    <x v="1"/>
    <x v="15"/>
    <s v="Female"/>
    <n v="63.1"/>
    <n v="167.2"/>
    <n v="29.7"/>
    <n v="13"/>
    <s v="OR"/>
    <n v="6"/>
    <n v="1050.9000000000001"/>
    <s v="Middle"/>
    <n v="1"/>
    <s v="Single-Day"/>
    <n v="0"/>
    <n v="1"/>
    <s v="Main Entrance"/>
    <s v="Pixar Pals"/>
    <n v="9.1999999999999993"/>
    <n v="5"/>
    <x v="1391"/>
  </r>
  <r>
    <n v="1438"/>
    <n v="463"/>
    <d v="2026-01-01T00:00:00"/>
    <s v="Thursday"/>
    <n v="1"/>
    <n v="12.4"/>
    <x v="1"/>
    <x v="21"/>
    <s v="Female"/>
    <n v="69.5"/>
    <n v="159.80000000000001"/>
    <n v="23.2"/>
    <n v="16"/>
    <s v="OR"/>
    <n v="6"/>
    <n v="1050.9000000000001"/>
    <s v="Middle"/>
    <n v="1"/>
    <s v="Single-Day"/>
    <n v="0"/>
    <n v="1"/>
    <s v="Main Entrance"/>
    <s v="Pixar Pals"/>
    <n v="8.1999999999999993"/>
    <n v="7"/>
    <x v="1392"/>
  </r>
  <r>
    <n v="1439"/>
    <n v="463"/>
    <d v="2026-01-01T00:00:00"/>
    <s v="Thursday"/>
    <n v="1"/>
    <n v="12.2"/>
    <x v="1"/>
    <x v="37"/>
    <s v="Male"/>
    <n v="66.900000000000006"/>
    <n v="150.80000000000001"/>
    <n v="23.7"/>
    <n v="13"/>
    <s v="OR"/>
    <n v="6"/>
    <n v="1050.9000000000001"/>
    <s v="Middle"/>
    <n v="1"/>
    <s v="Single-Day"/>
    <n v="0"/>
    <n v="1"/>
    <s v="Main Entrance"/>
    <s v="Pixar Pals"/>
    <n v="11"/>
    <n v="3"/>
    <x v="1393"/>
  </r>
  <r>
    <n v="1440"/>
    <n v="464"/>
    <d v="2026-06-28T00:00:00"/>
    <s v="Sunday"/>
    <n v="6"/>
    <n v="8.1999999999999993"/>
    <x v="0"/>
    <x v="56"/>
    <s v="Female"/>
    <n v="69.3"/>
    <n v="199.4"/>
    <n v="29.3"/>
    <n v="9"/>
    <s v="Other"/>
    <n v="1"/>
    <n v="1946.7"/>
    <s v="Low"/>
    <n v="1"/>
    <s v="Single-Day"/>
    <n v="0"/>
    <n v="0"/>
    <s v="Main Entrance"/>
    <s v="Mickey &amp; Friends"/>
    <n v="9.6999999999999993"/>
    <n v="13"/>
    <x v="1394"/>
  </r>
  <r>
    <n v="1441"/>
    <n v="465"/>
    <d v="2026-03-11T00:00:00"/>
    <s v="Wednesday"/>
    <n v="3"/>
    <n v="11.11"/>
    <x v="1"/>
    <x v="18"/>
    <s v="Female"/>
    <n v="59.2"/>
    <n v="128.80000000000001"/>
    <n v="26.2"/>
    <n v="18"/>
    <s v="CA"/>
    <n v="1"/>
    <n v="116.9"/>
    <s v="High"/>
    <n v="0"/>
    <s v="Single-Day"/>
    <n v="1"/>
    <n v="0"/>
    <s v="Main Entrance"/>
    <s v="None/Dropoff/Transit"/>
    <n v="8.9"/>
    <n v="8"/>
    <x v="1395"/>
  </r>
  <r>
    <n v="1442"/>
    <n v="466"/>
    <d v="2026-08-01T00:00:00"/>
    <s v="Saturday"/>
    <n v="8"/>
    <n v="12.37"/>
    <x v="1"/>
    <x v="51"/>
    <s v="Female"/>
    <n v="69.400000000000006"/>
    <n v="209"/>
    <n v="30.4"/>
    <n v="12"/>
    <s v="CA"/>
    <n v="1"/>
    <n v="125.4"/>
    <s v="Middle"/>
    <n v="0"/>
    <s v="Single-Day"/>
    <n v="0"/>
    <n v="0"/>
    <s v="Main Entrance"/>
    <s v="Pixar Pals"/>
    <n v="7"/>
    <n v="11"/>
    <x v="1396"/>
  </r>
  <r>
    <n v="1443"/>
    <n v="467"/>
    <d v="2026-07-16T00:00:00"/>
    <s v="Thursday"/>
    <n v="7"/>
    <n v="8.2200000000000006"/>
    <x v="0"/>
    <x v="55"/>
    <s v="Nonbinary/Other"/>
    <n v="67.7"/>
    <n v="190.3"/>
    <n v="29.2"/>
    <n v="14"/>
    <s v="IL"/>
    <n v="5"/>
    <n v="1847.3"/>
    <s v="Middle"/>
    <n v="1"/>
    <s v="Single-Day"/>
    <n v="0"/>
    <n v="0"/>
    <s v="Main Entrance"/>
    <s v="Toy Story Lot"/>
    <n v="7.4"/>
    <n v="6"/>
    <x v="1397"/>
  </r>
  <r>
    <n v="1444"/>
    <n v="467"/>
    <d v="2026-07-16T00:00:00"/>
    <s v="Thursday"/>
    <n v="7"/>
    <n v="8.35"/>
    <x v="0"/>
    <x v="33"/>
    <s v="Male"/>
    <n v="66"/>
    <n v="152.30000000000001"/>
    <n v="24.5"/>
    <n v="15"/>
    <s v="IL"/>
    <n v="5"/>
    <n v="1847.3"/>
    <s v="Middle"/>
    <n v="1"/>
    <s v="Single-Day"/>
    <n v="0"/>
    <n v="0"/>
    <s v="Main Entrance"/>
    <s v="Toy Story Lot"/>
    <n v="8.8000000000000007"/>
    <n v="6"/>
    <x v="1398"/>
  </r>
  <r>
    <n v="1445"/>
    <n v="467"/>
    <d v="2026-07-16T00:00:00"/>
    <s v="Thursday"/>
    <n v="7"/>
    <n v="8.48"/>
    <x v="0"/>
    <x v="36"/>
    <s v="Male"/>
    <n v="69.7"/>
    <n v="207.2"/>
    <n v="29.9"/>
    <n v="18"/>
    <s v="IL"/>
    <n v="5"/>
    <n v="1847.3"/>
    <s v="Middle"/>
    <n v="1"/>
    <s v="Single-Day"/>
    <n v="0"/>
    <n v="0"/>
    <s v="Main Entrance"/>
    <s v="Toy Story Lot"/>
    <n v="7.7"/>
    <n v="10"/>
    <x v="1399"/>
  </r>
  <r>
    <n v="1446"/>
    <n v="467"/>
    <d v="2026-07-16T00:00:00"/>
    <s v="Thursday"/>
    <n v="7"/>
    <n v="8.32"/>
    <x v="0"/>
    <x v="66"/>
    <s v="Female"/>
    <n v="64.400000000000006"/>
    <n v="148.1"/>
    <n v="24.8"/>
    <n v="17"/>
    <s v="IL"/>
    <n v="5"/>
    <n v="1847.3"/>
    <s v="Middle"/>
    <n v="1"/>
    <s v="Single-Day"/>
    <n v="0"/>
    <n v="0"/>
    <s v="Main Entrance"/>
    <s v="Toy Story Lot"/>
    <n v="10.4"/>
    <n v="11"/>
    <x v="1400"/>
  </r>
  <r>
    <n v="1447"/>
    <n v="467"/>
    <d v="2026-07-16T00:00:00"/>
    <s v="Thursday"/>
    <n v="7"/>
    <n v="8.5299999999999994"/>
    <x v="0"/>
    <x v="70"/>
    <s v="Female"/>
    <n v="70"/>
    <n v="131.69999999999999"/>
    <n v="18.7"/>
    <n v="13"/>
    <s v="IL"/>
    <n v="5"/>
    <n v="1847.3"/>
    <s v="Middle"/>
    <n v="1"/>
    <s v="Single-Day"/>
    <n v="0"/>
    <n v="0"/>
    <s v="Main Entrance"/>
    <s v="Toy Story Lot"/>
    <n v="8"/>
    <n v="2"/>
    <x v="1401"/>
  </r>
  <r>
    <n v="1448"/>
    <n v="468"/>
    <d v="2026-12-30T00:00:00"/>
    <s v="Wednesday"/>
    <n v="12"/>
    <n v="11.81"/>
    <x v="1"/>
    <x v="9"/>
    <s v="Male"/>
    <n v="68.900000000000006"/>
    <n v="169.2"/>
    <n v="25.3"/>
    <n v="12"/>
    <s v="Other"/>
    <n v="4"/>
    <n v="1894.3"/>
    <s v="Low"/>
    <n v="1"/>
    <s v="Single-Day"/>
    <n v="1"/>
    <n v="0"/>
    <s v="Main Entrance"/>
    <s v="None/Dropoff/Transit"/>
    <n v="8.6999999999999993"/>
    <n v="8"/>
    <x v="1402"/>
  </r>
  <r>
    <n v="1449"/>
    <n v="468"/>
    <d v="2026-12-30T00:00:00"/>
    <s v="Wednesday"/>
    <n v="12"/>
    <n v="11.43"/>
    <x v="1"/>
    <x v="17"/>
    <s v="Female"/>
    <n v="68.599999999999994"/>
    <n v="196.4"/>
    <n v="29.5"/>
    <n v="9"/>
    <s v="Other"/>
    <n v="4"/>
    <n v="1894.3"/>
    <s v="Low"/>
    <n v="1"/>
    <s v="Single-Day"/>
    <n v="1"/>
    <n v="0"/>
    <s v="Main Entrance"/>
    <s v="None/Dropoff/Transit"/>
    <n v="6.7"/>
    <n v="8"/>
    <x v="1403"/>
  </r>
  <r>
    <n v="1450"/>
    <n v="468"/>
    <d v="2026-12-30T00:00:00"/>
    <s v="Wednesday"/>
    <n v="12"/>
    <n v="11.77"/>
    <x v="1"/>
    <x v="38"/>
    <s v="Female"/>
    <n v="61.7"/>
    <n v="134.30000000000001"/>
    <n v="25"/>
    <n v="10"/>
    <s v="Other"/>
    <n v="4"/>
    <n v="1894.3"/>
    <s v="Low"/>
    <n v="1"/>
    <s v="Single-Day"/>
    <n v="1"/>
    <n v="0"/>
    <s v="Main Entrance"/>
    <s v="None/Dropoff/Transit"/>
    <n v="10.3"/>
    <n v="8"/>
    <x v="1404"/>
  </r>
  <r>
    <n v="1451"/>
    <n v="468"/>
    <d v="2026-12-30T00:00:00"/>
    <s v="Wednesday"/>
    <n v="12"/>
    <n v="11.63"/>
    <x v="1"/>
    <x v="5"/>
    <s v="Male"/>
    <n v="70.3"/>
    <n v="239.4"/>
    <n v="34"/>
    <n v="12"/>
    <s v="Other"/>
    <n v="4"/>
    <n v="1894.3"/>
    <s v="Low"/>
    <n v="1"/>
    <s v="Single-Day"/>
    <n v="1"/>
    <n v="0"/>
    <s v="Main Entrance"/>
    <s v="None/Dropoff/Transit"/>
    <n v="7.2"/>
    <n v="10"/>
    <x v="1405"/>
  </r>
  <r>
    <n v="1452"/>
    <n v="469"/>
    <d v="2026-09-17T00:00:00"/>
    <s v="Thursday"/>
    <n v="9"/>
    <n v="11.19"/>
    <x v="1"/>
    <x v="38"/>
    <s v="Male"/>
    <n v="68.2"/>
    <n v="192.6"/>
    <n v="28.9"/>
    <n v="14"/>
    <s v="CA"/>
    <n v="3"/>
    <n v="105"/>
    <s v="Middle"/>
    <n v="0"/>
    <s v="Multi-Day"/>
    <n v="0"/>
    <n v="0"/>
    <s v="Main Entrance"/>
    <s v="None/Dropoff/Transit"/>
    <n v="7.5"/>
    <n v="6"/>
    <x v="296"/>
  </r>
  <r>
    <n v="1453"/>
    <n v="469"/>
    <d v="2026-09-17T00:00:00"/>
    <s v="Thursday"/>
    <n v="9"/>
    <n v="11.04"/>
    <x v="1"/>
    <x v="38"/>
    <s v="Male"/>
    <n v="69.5"/>
    <n v="229.4"/>
    <n v="33.299999999999997"/>
    <n v="13"/>
    <s v="CA"/>
    <n v="3"/>
    <n v="105"/>
    <s v="Middle"/>
    <n v="0"/>
    <s v="Multi-Day"/>
    <n v="0"/>
    <n v="0"/>
    <s v="Main Entrance"/>
    <s v="None/Dropoff/Transit"/>
    <n v="10.199999999999999"/>
    <n v="10"/>
    <x v="1406"/>
  </r>
  <r>
    <n v="1454"/>
    <n v="469"/>
    <d v="2026-09-17T00:00:00"/>
    <s v="Thursday"/>
    <n v="9"/>
    <n v="11.18"/>
    <x v="1"/>
    <x v="19"/>
    <s v="Female"/>
    <n v="61.4"/>
    <n v="80.5"/>
    <n v="15.1"/>
    <n v="15"/>
    <s v="CA"/>
    <n v="3"/>
    <n v="105"/>
    <s v="Middle"/>
    <n v="0"/>
    <s v="Multi-Day"/>
    <n v="0"/>
    <n v="0"/>
    <s v="Main Entrance"/>
    <s v="None/Dropoff/Transit"/>
    <n v="12.1"/>
    <n v="4"/>
    <x v="1407"/>
  </r>
  <r>
    <n v="1455"/>
    <n v="470"/>
    <d v="2026-11-01T00:00:00"/>
    <s v="Sunday"/>
    <n v="11"/>
    <n v="12.23"/>
    <x v="1"/>
    <x v="29"/>
    <s v="Female"/>
    <n v="65.3"/>
    <n v="169.9"/>
    <n v="27.8"/>
    <n v="14"/>
    <s v="CA"/>
    <n v="4"/>
    <n v="82.6"/>
    <s v="High"/>
    <n v="0"/>
    <s v="Single-Day"/>
    <n v="0"/>
    <n v="1"/>
    <s v="Hotel Guest Entrance"/>
    <s v="Pixar Pals"/>
    <n v="6.7"/>
    <n v="7"/>
    <x v="1408"/>
  </r>
  <r>
    <n v="1456"/>
    <n v="470"/>
    <d v="2026-11-01T00:00:00"/>
    <s v="Sunday"/>
    <n v="11"/>
    <n v="12.31"/>
    <x v="1"/>
    <x v="56"/>
    <s v="Male"/>
    <n v="63.8"/>
    <n v="166.5"/>
    <n v="28.8"/>
    <n v="17"/>
    <s v="CA"/>
    <n v="4"/>
    <n v="82.6"/>
    <s v="High"/>
    <n v="0"/>
    <s v="Single-Day"/>
    <n v="0"/>
    <n v="1"/>
    <s v="Hotel Guest Entrance"/>
    <s v="Pixar Pals"/>
    <n v="8.3000000000000007"/>
    <n v="7"/>
    <x v="1409"/>
  </r>
  <r>
    <n v="1457"/>
    <n v="470"/>
    <d v="2026-11-01T00:00:00"/>
    <s v="Sunday"/>
    <n v="11"/>
    <n v="12.66"/>
    <x v="1"/>
    <x v="60"/>
    <s v="Male"/>
    <n v="64.8"/>
    <n v="96.1"/>
    <n v="16.3"/>
    <n v="15"/>
    <s v="CA"/>
    <n v="4"/>
    <n v="82.6"/>
    <s v="High"/>
    <n v="0"/>
    <s v="Single-Day"/>
    <n v="0"/>
    <n v="1"/>
    <s v="Hotel Guest Entrance"/>
    <s v="Pixar Pals"/>
    <n v="8.9"/>
    <n v="7"/>
    <x v="1410"/>
  </r>
  <r>
    <n v="1458"/>
    <n v="470"/>
    <d v="2026-11-01T00:00:00"/>
    <s v="Sunday"/>
    <n v="11"/>
    <n v="12.4"/>
    <x v="1"/>
    <x v="11"/>
    <s v="Female"/>
    <n v="65.7"/>
    <n v="110.9"/>
    <n v="18.2"/>
    <n v="19"/>
    <s v="CA"/>
    <n v="4"/>
    <n v="82.6"/>
    <s v="High"/>
    <n v="0"/>
    <s v="Single-Day"/>
    <n v="0"/>
    <n v="1"/>
    <s v="Hotel Guest Entrance"/>
    <s v="Pixar Pals"/>
    <n v="5"/>
    <n v="4"/>
    <x v="212"/>
  </r>
  <r>
    <n v="1459"/>
    <n v="471"/>
    <d v="2026-01-30T00:00:00"/>
    <s v="Friday"/>
    <n v="1"/>
    <n v="13.98"/>
    <x v="1"/>
    <x v="14"/>
    <s v="Male"/>
    <n v="64.7"/>
    <n v="168.6"/>
    <n v="28.3"/>
    <n v="17"/>
    <s v="CA"/>
    <n v="1"/>
    <n v="74.099999999999994"/>
    <s v="High"/>
    <n v="0"/>
    <s v="Single-Day"/>
    <n v="1"/>
    <n v="0"/>
    <s v="Main Entrance"/>
    <s v="Pixar Pals"/>
    <n v="4.4000000000000004"/>
    <n v="11"/>
    <x v="1185"/>
  </r>
  <r>
    <n v="1460"/>
    <n v="472"/>
    <d v="2026-08-22T00:00:00"/>
    <s v="Saturday"/>
    <n v="8"/>
    <n v="9.73"/>
    <x v="0"/>
    <x v="59"/>
    <s v="Male"/>
    <n v="73.099999999999994"/>
    <n v="202.4"/>
    <n v="26.8"/>
    <n v="13"/>
    <s v="CO"/>
    <n v="2"/>
    <n v="974.7"/>
    <s v="Middle"/>
    <n v="1"/>
    <s v="Multi-Day"/>
    <n v="0"/>
    <n v="0"/>
    <s v="Main Entrance"/>
    <s v="Pixar Pals"/>
    <n v="8.3000000000000007"/>
    <n v="15"/>
    <x v="1411"/>
  </r>
  <r>
    <n v="1461"/>
    <n v="472"/>
    <d v="2026-08-22T00:00:00"/>
    <s v="Saturday"/>
    <n v="8"/>
    <n v="9.3800000000000008"/>
    <x v="0"/>
    <x v="33"/>
    <s v="Female"/>
    <n v="57.8"/>
    <n v="160.69999999999999"/>
    <n v="33.700000000000003"/>
    <n v="16"/>
    <s v="CO"/>
    <n v="2"/>
    <n v="974.7"/>
    <s v="Middle"/>
    <n v="1"/>
    <s v="Multi-Day"/>
    <n v="0"/>
    <n v="0"/>
    <s v="Main Entrance"/>
    <s v="Pixar Pals"/>
    <n v="10.3"/>
    <n v="9"/>
    <x v="1412"/>
  </r>
  <r>
    <n v="1462"/>
    <n v="473"/>
    <d v="2026-04-05T00:00:00"/>
    <s v="Sunday"/>
    <n v="4"/>
    <n v="9.65"/>
    <x v="0"/>
    <x v="29"/>
    <s v="Female"/>
    <n v="62.3"/>
    <n v="161.19999999999999"/>
    <n v="29.4"/>
    <n v="15"/>
    <s v="OR"/>
    <n v="2"/>
    <n v="994.3"/>
    <s v="High"/>
    <n v="1"/>
    <s v="Single-Day"/>
    <n v="0"/>
    <n v="1"/>
    <s v="Main Entrance"/>
    <s v="None/Walked from Resort"/>
    <n v="9.9"/>
    <n v="11"/>
    <x v="1413"/>
  </r>
  <r>
    <n v="1463"/>
    <n v="473"/>
    <d v="2026-04-05T00:00:00"/>
    <s v="Sunday"/>
    <n v="4"/>
    <n v="9.8000000000000007"/>
    <x v="0"/>
    <x v="16"/>
    <s v="Female"/>
    <n v="59.5"/>
    <n v="78.400000000000006"/>
    <n v="15.7"/>
    <n v="14"/>
    <s v="OR"/>
    <n v="2"/>
    <n v="994.3"/>
    <s v="High"/>
    <n v="1"/>
    <s v="Single-Day"/>
    <n v="0"/>
    <n v="1"/>
    <s v="Main Entrance"/>
    <s v="None/Walked from Resort"/>
    <n v="8.8000000000000007"/>
    <n v="11"/>
    <x v="1414"/>
  </r>
  <r>
    <n v="1464"/>
    <n v="474"/>
    <d v="2026-09-23T00:00:00"/>
    <s v="Wednesday"/>
    <n v="9"/>
    <n v="12.67"/>
    <x v="1"/>
    <x v="55"/>
    <s v="Female"/>
    <n v="66.900000000000006"/>
    <n v="155.9"/>
    <n v="24.5"/>
    <n v="16"/>
    <s v="NV"/>
    <n v="2"/>
    <n v="258.2"/>
    <s v="High"/>
    <n v="0"/>
    <s v="Single-Day"/>
    <n v="0"/>
    <n v="0"/>
    <s v="Main Entrance"/>
    <s v="Mickey &amp; Friends"/>
    <n v="5.6"/>
    <n v="7"/>
    <x v="1415"/>
  </r>
  <r>
    <n v="1465"/>
    <n v="474"/>
    <d v="2026-09-23T00:00:00"/>
    <s v="Wednesday"/>
    <n v="9"/>
    <n v="12.9"/>
    <x v="1"/>
    <x v="62"/>
    <s v="Female"/>
    <n v="63.6"/>
    <n v="150"/>
    <n v="25.9"/>
    <n v="16"/>
    <s v="NV"/>
    <n v="2"/>
    <n v="258.2"/>
    <s v="High"/>
    <n v="0"/>
    <s v="Single-Day"/>
    <n v="0"/>
    <n v="0"/>
    <s v="Main Entrance"/>
    <s v="Mickey &amp; Friends"/>
    <n v="10.4"/>
    <n v="5"/>
    <x v="1416"/>
  </r>
  <r>
    <n v="1466"/>
    <n v="475"/>
    <d v="2026-10-30T00:00:00"/>
    <s v="Friday"/>
    <n v="10"/>
    <n v="9.76"/>
    <x v="0"/>
    <x v="68"/>
    <s v="Male"/>
    <n v="70.900000000000006"/>
    <n v="143.5"/>
    <n v="20.100000000000001"/>
    <n v="17"/>
    <s v="AZ"/>
    <n v="4"/>
    <n v="316.39999999999998"/>
    <s v="Middle"/>
    <n v="1"/>
    <s v="Multi-Day"/>
    <n v="0"/>
    <n v="1"/>
    <s v="Main Entrance"/>
    <s v="None/Walked from Resort"/>
    <n v="9"/>
    <n v="5"/>
    <x v="1417"/>
  </r>
  <r>
    <n v="1467"/>
    <n v="475"/>
    <d v="2026-10-30T00:00:00"/>
    <s v="Friday"/>
    <n v="10"/>
    <n v="9.9600000000000009"/>
    <x v="0"/>
    <x v="74"/>
    <s v="Female"/>
    <n v="64.7"/>
    <n v="153.69999999999999"/>
    <n v="25.8"/>
    <n v="16"/>
    <s v="AZ"/>
    <n v="4"/>
    <n v="316.39999999999998"/>
    <s v="Middle"/>
    <n v="1"/>
    <s v="Multi-Day"/>
    <n v="0"/>
    <n v="1"/>
    <s v="Main Entrance"/>
    <s v="None/Walked from Resort"/>
    <n v="9.9"/>
    <n v="7"/>
    <x v="1418"/>
  </r>
  <r>
    <n v="1468"/>
    <n v="475"/>
    <d v="2026-10-30T00:00:00"/>
    <s v="Friday"/>
    <n v="10"/>
    <n v="9.93"/>
    <x v="0"/>
    <x v="64"/>
    <s v="Female"/>
    <n v="50.8"/>
    <n v="53.1"/>
    <n v="14.7"/>
    <n v="14"/>
    <s v="AZ"/>
    <n v="4"/>
    <n v="316.39999999999998"/>
    <s v="Middle"/>
    <n v="1"/>
    <s v="Multi-Day"/>
    <n v="0"/>
    <n v="1"/>
    <s v="Main Entrance"/>
    <s v="None/Walked from Resort"/>
    <n v="8.3000000000000007"/>
    <n v="5"/>
    <x v="1419"/>
  </r>
  <r>
    <n v="1469"/>
    <n v="475"/>
    <d v="2026-10-30T00:00:00"/>
    <s v="Friday"/>
    <n v="10"/>
    <n v="9.7899999999999991"/>
    <x v="0"/>
    <x v="44"/>
    <s v="Female"/>
    <n v="66.2"/>
    <n v="152.5"/>
    <n v="24.5"/>
    <n v="13"/>
    <s v="AZ"/>
    <n v="4"/>
    <n v="316.39999999999998"/>
    <s v="Middle"/>
    <n v="1"/>
    <s v="Multi-Day"/>
    <n v="0"/>
    <n v="1"/>
    <s v="Main Entrance"/>
    <s v="None/Walked from Resort"/>
    <n v="12.2"/>
    <n v="7"/>
    <x v="1420"/>
  </r>
  <r>
    <n v="1470"/>
    <n v="476"/>
    <d v="2026-01-28T00:00:00"/>
    <s v="Wednesday"/>
    <n v="1"/>
    <n v="11.22"/>
    <x v="1"/>
    <x v="4"/>
    <s v="Male"/>
    <n v="72"/>
    <n v="191.9"/>
    <n v="26.1"/>
    <n v="19"/>
    <s v="CA"/>
    <n v="2"/>
    <n v="80.599999999999994"/>
    <s v="Middle"/>
    <n v="1"/>
    <s v="Single-Day"/>
    <n v="0"/>
    <n v="0"/>
    <s v="Main Entrance"/>
    <s v="Toy Story Lot"/>
    <n v="9.8000000000000007"/>
    <n v="11"/>
    <x v="1421"/>
  </r>
  <r>
    <n v="1471"/>
    <n v="476"/>
    <d v="2026-01-28T00:00:00"/>
    <s v="Wednesday"/>
    <n v="1"/>
    <n v="11.35"/>
    <x v="1"/>
    <x v="58"/>
    <s v="Nonbinary/Other"/>
    <n v="70.099999999999994"/>
    <n v="221.4"/>
    <n v="31.7"/>
    <n v="17"/>
    <s v="CA"/>
    <n v="2"/>
    <n v="80.599999999999994"/>
    <s v="Middle"/>
    <n v="1"/>
    <s v="Single-Day"/>
    <n v="0"/>
    <n v="0"/>
    <s v="Main Entrance"/>
    <s v="Toy Story Lot"/>
    <n v="9.6"/>
    <n v="8"/>
    <x v="1422"/>
  </r>
  <r>
    <n v="1472"/>
    <n v="477"/>
    <d v="2026-10-16T00:00:00"/>
    <s v="Friday"/>
    <n v="10"/>
    <n v="11.6"/>
    <x v="1"/>
    <x v="59"/>
    <s v="Male"/>
    <n v="73"/>
    <n v="232"/>
    <n v="30.8"/>
    <n v="13"/>
    <s v="AZ"/>
    <n v="3"/>
    <n v="340.3"/>
    <s v="Low"/>
    <n v="0"/>
    <s v="Park Hopper"/>
    <n v="0"/>
    <n v="0"/>
    <s v="Main Entrance"/>
    <s v="Toy Story Lot"/>
    <n v="6.9"/>
    <n v="9"/>
    <x v="1423"/>
  </r>
  <r>
    <n v="1473"/>
    <n v="477"/>
    <d v="2026-10-16T00:00:00"/>
    <s v="Friday"/>
    <n v="10"/>
    <n v="11.61"/>
    <x v="1"/>
    <x v="22"/>
    <s v="Male"/>
    <n v="61.3"/>
    <n v="114.7"/>
    <n v="21.6"/>
    <n v="12"/>
    <s v="AZ"/>
    <n v="3"/>
    <n v="340.3"/>
    <s v="Low"/>
    <n v="0"/>
    <s v="Park Hopper"/>
    <n v="0"/>
    <n v="0"/>
    <s v="Main Entrance"/>
    <s v="Toy Story Lot"/>
    <n v="8.4"/>
    <n v="11"/>
    <x v="1424"/>
  </r>
  <r>
    <n v="1474"/>
    <n v="477"/>
    <d v="2026-10-16T00:00:00"/>
    <s v="Friday"/>
    <n v="10"/>
    <n v="11.31"/>
    <x v="1"/>
    <x v="44"/>
    <s v="Female"/>
    <n v="65.7"/>
    <n v="139.30000000000001"/>
    <n v="22.8"/>
    <n v="11"/>
    <s v="AZ"/>
    <n v="3"/>
    <n v="340.3"/>
    <s v="Low"/>
    <n v="0"/>
    <s v="Park Hopper"/>
    <n v="0"/>
    <n v="0"/>
    <s v="Main Entrance"/>
    <s v="Toy Story Lot"/>
    <n v="9.8000000000000007"/>
    <n v="10"/>
    <x v="1425"/>
  </r>
  <r>
    <n v="1475"/>
    <n v="478"/>
    <d v="2026-08-03T00:00:00"/>
    <s v="Monday"/>
    <n v="8"/>
    <n v="9.77"/>
    <x v="0"/>
    <x v="52"/>
    <s v="Male"/>
    <n v="71.400000000000006"/>
    <n v="120.3"/>
    <n v="16.600000000000001"/>
    <n v="17"/>
    <s v="NV"/>
    <n v="4"/>
    <n v="274.2"/>
    <s v="Middle"/>
    <n v="1"/>
    <s v="Multi-Day"/>
    <n v="1"/>
    <n v="0"/>
    <s v="Main Entrance"/>
    <s v="Toy Story Lot"/>
    <n v="9.3000000000000007"/>
    <n v="9"/>
    <x v="1407"/>
  </r>
  <r>
    <n v="1476"/>
    <n v="478"/>
    <d v="2026-08-03T00:00:00"/>
    <s v="Monday"/>
    <n v="8"/>
    <n v="9.74"/>
    <x v="0"/>
    <x v="49"/>
    <s v="Female"/>
    <n v="63.9"/>
    <n v="174.7"/>
    <n v="30"/>
    <n v="15"/>
    <s v="NV"/>
    <n v="4"/>
    <n v="274.2"/>
    <s v="Middle"/>
    <n v="1"/>
    <s v="Multi-Day"/>
    <n v="1"/>
    <n v="0"/>
    <s v="Main Entrance"/>
    <s v="Toy Story Lot"/>
    <n v="7.9"/>
    <n v="6"/>
    <x v="1426"/>
  </r>
  <r>
    <n v="1477"/>
    <n v="478"/>
    <d v="2026-08-03T00:00:00"/>
    <s v="Monday"/>
    <n v="8"/>
    <n v="9.82"/>
    <x v="0"/>
    <x v="38"/>
    <s v="Male"/>
    <n v="73.2"/>
    <n v="201.2"/>
    <n v="26.6"/>
    <n v="14"/>
    <s v="NV"/>
    <n v="4"/>
    <n v="274.2"/>
    <s v="Middle"/>
    <n v="1"/>
    <s v="Multi-Day"/>
    <n v="1"/>
    <n v="0"/>
    <s v="Main Entrance"/>
    <s v="Toy Story Lot"/>
    <n v="7.8"/>
    <n v="2"/>
    <x v="1427"/>
  </r>
  <r>
    <n v="1478"/>
    <n v="478"/>
    <d v="2026-08-03T00:00:00"/>
    <s v="Monday"/>
    <n v="8"/>
    <n v="9.67"/>
    <x v="0"/>
    <x v="9"/>
    <s v="Female"/>
    <n v="60.2"/>
    <n v="159.6"/>
    <n v="31.1"/>
    <n v="15"/>
    <s v="NV"/>
    <n v="4"/>
    <n v="274.2"/>
    <s v="Middle"/>
    <n v="1"/>
    <s v="Multi-Day"/>
    <n v="1"/>
    <n v="0"/>
    <s v="Main Entrance"/>
    <s v="Toy Story Lot"/>
    <n v="8.9"/>
    <n v="10"/>
    <x v="1197"/>
  </r>
  <r>
    <n v="1479"/>
    <n v="479"/>
    <d v="2026-05-24T00:00:00"/>
    <s v="Sunday"/>
    <n v="5"/>
    <n v="11.54"/>
    <x v="1"/>
    <x v="56"/>
    <s v="Female"/>
    <n v="65.2"/>
    <n v="117.3"/>
    <n v="19.3"/>
    <n v="15"/>
    <s v="IL"/>
    <n v="3"/>
    <n v="2110.5"/>
    <s v="High"/>
    <n v="1"/>
    <s v="Multi-Day"/>
    <n v="1"/>
    <n v="0"/>
    <s v="Main Entrance"/>
    <s v="Mickey &amp; Friends"/>
    <n v="10.6"/>
    <n v="10"/>
    <x v="1428"/>
  </r>
  <r>
    <n v="1480"/>
    <n v="479"/>
    <d v="2026-05-24T00:00:00"/>
    <s v="Sunday"/>
    <n v="5"/>
    <n v="11.73"/>
    <x v="1"/>
    <x v="41"/>
    <s v="Female"/>
    <n v="65.2"/>
    <n v="184.1"/>
    <n v="30.4"/>
    <n v="17"/>
    <s v="IL"/>
    <n v="3"/>
    <n v="2110.5"/>
    <s v="High"/>
    <n v="1"/>
    <s v="Multi-Day"/>
    <n v="1"/>
    <n v="0"/>
    <s v="Main Entrance"/>
    <s v="Mickey &amp; Friends"/>
    <n v="8.3000000000000007"/>
    <n v="7"/>
    <x v="1429"/>
  </r>
  <r>
    <n v="1481"/>
    <n v="479"/>
    <d v="2026-05-24T00:00:00"/>
    <s v="Sunday"/>
    <n v="5"/>
    <n v="11.56"/>
    <x v="1"/>
    <x v="36"/>
    <s v="Male"/>
    <n v="65.2"/>
    <n v="161.5"/>
    <n v="27"/>
    <n v="19"/>
    <s v="IL"/>
    <n v="3"/>
    <n v="2110.5"/>
    <s v="High"/>
    <n v="1"/>
    <s v="Multi-Day"/>
    <n v="1"/>
    <n v="0"/>
    <s v="Main Entrance"/>
    <s v="Mickey &amp; Friends"/>
    <n v="11.2"/>
    <n v="11"/>
    <x v="1430"/>
  </r>
  <r>
    <n v="1482"/>
    <n v="480"/>
    <d v="2026-03-31T00:00:00"/>
    <s v="Tuesday"/>
    <n v="3"/>
    <n v="8.56"/>
    <x v="0"/>
    <x v="40"/>
    <s v="Female"/>
    <n v="64.8"/>
    <n v="108"/>
    <n v="17.899999999999999"/>
    <n v="15"/>
    <s v="CA"/>
    <n v="6"/>
    <n v="118.2"/>
    <s v="Middle"/>
    <n v="0"/>
    <s v="Single-Day"/>
    <n v="0"/>
    <n v="0"/>
    <s v="Main Entrance"/>
    <s v="Mickey &amp; Friends"/>
    <n v="9.3000000000000007"/>
    <n v="10"/>
    <x v="545"/>
  </r>
  <r>
    <n v="1483"/>
    <n v="480"/>
    <d v="2026-03-31T00:00:00"/>
    <s v="Tuesday"/>
    <n v="3"/>
    <n v="8.5299999999999994"/>
    <x v="0"/>
    <x v="22"/>
    <s v="Female"/>
    <n v="66.3"/>
    <n v="119.1"/>
    <n v="19"/>
    <n v="9"/>
    <s v="CA"/>
    <n v="6"/>
    <n v="118.2"/>
    <s v="Middle"/>
    <n v="0"/>
    <s v="Single-Day"/>
    <n v="0"/>
    <n v="0"/>
    <s v="Main Entrance"/>
    <s v="Mickey &amp; Friends"/>
    <n v="8.8000000000000007"/>
    <n v="2"/>
    <x v="1431"/>
  </r>
  <r>
    <n v="1484"/>
    <n v="480"/>
    <d v="2026-03-31T00:00:00"/>
    <s v="Tuesday"/>
    <n v="3"/>
    <n v="8.59"/>
    <x v="0"/>
    <x v="13"/>
    <s v="Female"/>
    <n v="58.3"/>
    <n v="147.5"/>
    <n v="30.4"/>
    <n v="13"/>
    <s v="CA"/>
    <n v="6"/>
    <n v="118.2"/>
    <s v="Middle"/>
    <n v="0"/>
    <s v="Single-Day"/>
    <n v="0"/>
    <n v="0"/>
    <s v="Main Entrance"/>
    <s v="Mickey &amp; Friends"/>
    <n v="5.3"/>
    <n v="3"/>
    <x v="1432"/>
  </r>
  <r>
    <n v="1485"/>
    <n v="480"/>
    <d v="2026-03-31T00:00:00"/>
    <s v="Tuesday"/>
    <n v="3"/>
    <n v="8.61"/>
    <x v="0"/>
    <x v="36"/>
    <s v="Male"/>
    <n v="71"/>
    <n v="113.5"/>
    <n v="15.7"/>
    <n v="17"/>
    <s v="CA"/>
    <n v="6"/>
    <n v="118.2"/>
    <s v="Middle"/>
    <n v="0"/>
    <s v="Single-Day"/>
    <n v="0"/>
    <n v="0"/>
    <s v="Main Entrance"/>
    <s v="Mickey &amp; Friends"/>
    <n v="8.1"/>
    <n v="8"/>
    <x v="1433"/>
  </r>
  <r>
    <n v="1486"/>
    <n v="480"/>
    <d v="2026-03-31T00:00:00"/>
    <s v="Tuesday"/>
    <n v="3"/>
    <n v="8.4700000000000006"/>
    <x v="0"/>
    <x v="2"/>
    <s v="Female"/>
    <n v="63.8"/>
    <n v="189.3"/>
    <n v="32.6"/>
    <n v="11"/>
    <s v="CA"/>
    <n v="6"/>
    <n v="118.2"/>
    <s v="Middle"/>
    <n v="0"/>
    <s v="Single-Day"/>
    <n v="0"/>
    <n v="0"/>
    <s v="Main Entrance"/>
    <s v="Mickey &amp; Friends"/>
    <n v="9.4"/>
    <n v="8"/>
    <x v="1434"/>
  </r>
  <r>
    <n v="1487"/>
    <n v="480"/>
    <d v="2026-03-31T00:00:00"/>
    <s v="Tuesday"/>
    <n v="3"/>
    <n v="8.65"/>
    <x v="0"/>
    <x v="72"/>
    <s v="Female"/>
    <n v="59"/>
    <n v="122.9"/>
    <n v="24.8"/>
    <n v="16"/>
    <s v="CA"/>
    <n v="6"/>
    <n v="118.2"/>
    <s v="Middle"/>
    <n v="0"/>
    <s v="Single-Day"/>
    <n v="0"/>
    <n v="0"/>
    <s v="Main Entrance"/>
    <s v="Mickey &amp; Friends"/>
    <n v="7.6"/>
    <n v="7"/>
    <x v="991"/>
  </r>
  <r>
    <n v="1488"/>
    <n v="481"/>
    <d v="2026-10-08T00:00:00"/>
    <s v="Thursday"/>
    <n v="10"/>
    <n v="13.66"/>
    <x v="1"/>
    <x v="15"/>
    <s v="Male"/>
    <n v="67.900000000000006"/>
    <n v="112.3"/>
    <n v="17.100000000000001"/>
    <n v="15"/>
    <s v="CA"/>
    <n v="4"/>
    <n v="74.2"/>
    <s v="High"/>
    <n v="1"/>
    <s v="Multi-Day"/>
    <n v="1"/>
    <n v="0"/>
    <s v="Main Entrance"/>
    <s v="Pixar Pals"/>
    <n v="9.6"/>
    <n v="7"/>
    <x v="1435"/>
  </r>
  <r>
    <n v="1489"/>
    <n v="481"/>
    <d v="2026-10-08T00:00:00"/>
    <s v="Thursday"/>
    <n v="10"/>
    <n v="13.21"/>
    <x v="1"/>
    <x v="38"/>
    <s v="Male"/>
    <n v="70"/>
    <n v="158.9"/>
    <n v="22.6"/>
    <n v="14"/>
    <s v="CA"/>
    <n v="4"/>
    <n v="74.2"/>
    <s v="High"/>
    <n v="1"/>
    <s v="Multi-Day"/>
    <n v="1"/>
    <n v="0"/>
    <s v="Main Entrance"/>
    <s v="Pixar Pals"/>
    <n v="8.1999999999999993"/>
    <n v="12"/>
    <x v="1436"/>
  </r>
  <r>
    <n v="1490"/>
    <n v="481"/>
    <d v="2026-10-08T00:00:00"/>
    <s v="Thursday"/>
    <n v="10"/>
    <n v="13.31"/>
    <x v="1"/>
    <x v="36"/>
    <s v="Male"/>
    <n v="69.400000000000006"/>
    <n v="225.3"/>
    <n v="33.1"/>
    <n v="14"/>
    <s v="CA"/>
    <n v="4"/>
    <n v="74.2"/>
    <s v="High"/>
    <n v="1"/>
    <s v="Multi-Day"/>
    <n v="1"/>
    <n v="0"/>
    <s v="Main Entrance"/>
    <s v="Pixar Pals"/>
    <n v="5.9"/>
    <n v="8"/>
    <x v="1437"/>
  </r>
  <r>
    <n v="1491"/>
    <n v="481"/>
    <d v="2026-10-08T00:00:00"/>
    <s v="Thursday"/>
    <n v="10"/>
    <n v="13.69"/>
    <x v="1"/>
    <x v="34"/>
    <s v="Female"/>
    <n v="61"/>
    <n v="129.5"/>
    <n v="24.5"/>
    <n v="19"/>
    <s v="CA"/>
    <n v="4"/>
    <n v="74.2"/>
    <s v="High"/>
    <n v="1"/>
    <s v="Multi-Day"/>
    <n v="1"/>
    <n v="0"/>
    <s v="Main Entrance"/>
    <s v="Pixar Pals"/>
    <n v="6.4"/>
    <n v="8"/>
    <x v="1438"/>
  </r>
  <r>
    <n v="1492"/>
    <n v="482"/>
    <d v="2026-08-01T00:00:00"/>
    <s v="Saturday"/>
    <n v="8"/>
    <n v="10.07"/>
    <x v="0"/>
    <x v="15"/>
    <s v="Female"/>
    <n v="64.900000000000006"/>
    <n v="175.1"/>
    <n v="29.3"/>
    <n v="12"/>
    <s v="AZ"/>
    <n v="4"/>
    <n v="382.5"/>
    <s v="Middle"/>
    <n v="1"/>
    <s v="Single-Day"/>
    <n v="1"/>
    <n v="0"/>
    <s v="Main Entrance"/>
    <s v="None/Dropoff/Transit"/>
    <n v="5.5"/>
    <n v="10"/>
    <x v="1439"/>
  </r>
  <r>
    <n v="1493"/>
    <n v="482"/>
    <d v="2026-08-01T00:00:00"/>
    <s v="Saturday"/>
    <n v="8"/>
    <n v="9.92"/>
    <x v="0"/>
    <x v="31"/>
    <s v="Female"/>
    <n v="65.900000000000006"/>
    <n v="143.6"/>
    <n v="23.1"/>
    <n v="12"/>
    <s v="AZ"/>
    <n v="4"/>
    <n v="382.5"/>
    <s v="Middle"/>
    <n v="1"/>
    <s v="Single-Day"/>
    <n v="1"/>
    <n v="0"/>
    <s v="Main Entrance"/>
    <s v="None/Dropoff/Transit"/>
    <n v="7.1"/>
    <n v="8"/>
    <x v="1440"/>
  </r>
  <r>
    <n v="1494"/>
    <n v="482"/>
    <d v="2026-08-01T00:00:00"/>
    <s v="Saturday"/>
    <n v="8"/>
    <n v="10.01"/>
    <x v="0"/>
    <x v="23"/>
    <s v="Male"/>
    <n v="66.7"/>
    <n v="189.8"/>
    <n v="30.2"/>
    <n v="16"/>
    <s v="AZ"/>
    <n v="4"/>
    <n v="382.5"/>
    <s v="Middle"/>
    <n v="1"/>
    <s v="Single-Day"/>
    <n v="1"/>
    <n v="0"/>
    <s v="Main Entrance"/>
    <s v="None/Dropoff/Transit"/>
    <n v="6.6"/>
    <n v="8"/>
    <x v="1441"/>
  </r>
  <r>
    <n v="1495"/>
    <n v="482"/>
    <d v="2026-08-01T00:00:00"/>
    <s v="Saturday"/>
    <n v="8"/>
    <n v="10.050000000000001"/>
    <x v="0"/>
    <x v="10"/>
    <s v="Female"/>
    <n v="68.400000000000006"/>
    <n v="193.5"/>
    <n v="29.1"/>
    <n v="14"/>
    <s v="AZ"/>
    <n v="4"/>
    <n v="382.5"/>
    <s v="Middle"/>
    <n v="1"/>
    <s v="Single-Day"/>
    <n v="1"/>
    <n v="0"/>
    <s v="Main Entrance"/>
    <s v="None/Dropoff/Transit"/>
    <n v="6.3"/>
    <n v="4"/>
    <x v="1442"/>
  </r>
  <r>
    <n v="1496"/>
    <n v="483"/>
    <d v="2026-11-20T00:00:00"/>
    <s v="Friday"/>
    <n v="11"/>
    <n v="9.35"/>
    <x v="0"/>
    <x v="49"/>
    <s v="Female"/>
    <n v="63.6"/>
    <n v="173.7"/>
    <n v="30.1"/>
    <n v="12"/>
    <s v="TX"/>
    <n v="4"/>
    <n v="1507.6"/>
    <s v="Low"/>
    <n v="1"/>
    <s v="Park Hopper"/>
    <n v="1"/>
    <n v="1"/>
    <s v="Main Entrance"/>
    <s v="None/Walked from Resort"/>
    <n v="7.9"/>
    <n v="12"/>
    <x v="1443"/>
  </r>
  <r>
    <n v="1497"/>
    <n v="483"/>
    <d v="2026-11-20T00:00:00"/>
    <s v="Friday"/>
    <n v="11"/>
    <n v="9.5"/>
    <x v="0"/>
    <x v="7"/>
    <s v="Male"/>
    <n v="53.3"/>
    <n v="84.8"/>
    <n v="21.1"/>
    <n v="12"/>
    <s v="TX"/>
    <n v="4"/>
    <n v="1507.6"/>
    <s v="Low"/>
    <n v="1"/>
    <s v="Park Hopper"/>
    <n v="1"/>
    <n v="1"/>
    <s v="Main Entrance"/>
    <s v="None/Walked from Resort"/>
    <n v="10.3"/>
    <n v="12"/>
    <x v="1444"/>
  </r>
  <r>
    <n v="1498"/>
    <n v="483"/>
    <d v="2026-11-20T00:00:00"/>
    <s v="Friday"/>
    <n v="11"/>
    <n v="9.57"/>
    <x v="0"/>
    <x v="40"/>
    <s v="Female"/>
    <n v="54.8"/>
    <n v="80.3"/>
    <n v="18.8"/>
    <n v="9"/>
    <s v="TX"/>
    <n v="4"/>
    <n v="1507.6"/>
    <s v="Low"/>
    <n v="1"/>
    <s v="Park Hopper"/>
    <n v="1"/>
    <n v="1"/>
    <s v="Main Entrance"/>
    <s v="None/Walked from Resort"/>
    <n v="7.6"/>
    <n v="8"/>
    <x v="1445"/>
  </r>
  <r>
    <n v="1499"/>
    <n v="483"/>
    <d v="2026-11-20T00:00:00"/>
    <s v="Friday"/>
    <n v="11"/>
    <n v="9.4499999999999993"/>
    <x v="0"/>
    <x v="21"/>
    <s v="Female"/>
    <n v="60"/>
    <n v="120.9"/>
    <n v="23.6"/>
    <n v="12"/>
    <s v="TX"/>
    <n v="4"/>
    <n v="1507.6"/>
    <s v="Low"/>
    <n v="1"/>
    <s v="Park Hopper"/>
    <n v="1"/>
    <n v="1"/>
    <s v="Main Entrance"/>
    <s v="None/Walked from Resort"/>
    <n v="10.4"/>
    <n v="11"/>
    <x v="1446"/>
  </r>
  <r>
    <n v="1500"/>
    <n v="484"/>
    <d v="2026-11-11T00:00:00"/>
    <s v="Wednesday"/>
    <n v="11"/>
    <n v="9.2200000000000006"/>
    <x v="0"/>
    <x v="8"/>
    <s v="Male"/>
    <n v="67.900000000000006"/>
    <n v="137.1"/>
    <n v="21.2"/>
    <n v="18"/>
    <s v="CA"/>
    <n v="2"/>
    <n v="94.8"/>
    <s v="High"/>
    <n v="1"/>
    <s v="Single-Day"/>
    <n v="0"/>
    <n v="0"/>
    <s v="Main Entrance"/>
    <s v="Mickey &amp; Friends"/>
    <n v="5.6"/>
    <n v="5"/>
    <x v="1447"/>
  </r>
  <r>
    <n v="1501"/>
    <n v="484"/>
    <d v="2026-11-11T00:00:00"/>
    <s v="Wednesday"/>
    <n v="11"/>
    <n v="9.02"/>
    <x v="0"/>
    <x v="70"/>
    <s v="Male"/>
    <n v="70"/>
    <n v="140.1"/>
    <n v="20.3"/>
    <n v="12"/>
    <s v="CA"/>
    <n v="2"/>
    <n v="94.8"/>
    <s v="High"/>
    <n v="1"/>
    <s v="Single-Day"/>
    <n v="0"/>
    <n v="0"/>
    <s v="Main Entrance"/>
    <s v="Mickey &amp; Friends"/>
    <n v="9"/>
    <n v="11"/>
    <x v="1448"/>
  </r>
  <r>
    <n v="1502"/>
    <n v="485"/>
    <d v="2026-04-02T00:00:00"/>
    <s v="Thursday"/>
    <n v="4"/>
    <n v="7.6"/>
    <x v="0"/>
    <x v="35"/>
    <s v="Male"/>
    <n v="70.8"/>
    <n v="207.4"/>
    <n v="28.8"/>
    <n v="16"/>
    <s v="WA"/>
    <n v="4"/>
    <n v="729.8"/>
    <s v="High"/>
    <n v="1"/>
    <s v="Single-Day"/>
    <n v="0"/>
    <n v="0"/>
    <s v="Main Entrance"/>
    <s v="Pixar Pals"/>
    <n v="9.3000000000000007"/>
    <n v="6"/>
    <x v="1449"/>
  </r>
  <r>
    <n v="1503"/>
    <n v="485"/>
    <d v="2026-04-02T00:00:00"/>
    <s v="Thursday"/>
    <n v="4"/>
    <n v="7.97"/>
    <x v="0"/>
    <x v="42"/>
    <s v="Female"/>
    <n v="66.5"/>
    <n v="148"/>
    <n v="23.3"/>
    <n v="19"/>
    <s v="WA"/>
    <n v="4"/>
    <n v="729.8"/>
    <s v="High"/>
    <n v="1"/>
    <s v="Single-Day"/>
    <n v="0"/>
    <n v="0"/>
    <s v="Main Entrance"/>
    <s v="Pixar Pals"/>
    <n v="7.1"/>
    <n v="5"/>
    <x v="1450"/>
  </r>
  <r>
    <n v="1504"/>
    <n v="485"/>
    <d v="2026-04-02T00:00:00"/>
    <s v="Thursday"/>
    <n v="4"/>
    <n v="7.9"/>
    <x v="0"/>
    <x v="53"/>
    <s v="Female"/>
    <n v="55.9"/>
    <n v="78"/>
    <n v="17.3"/>
    <n v="14"/>
    <s v="WA"/>
    <n v="4"/>
    <n v="729.8"/>
    <s v="High"/>
    <n v="1"/>
    <s v="Single-Day"/>
    <n v="0"/>
    <n v="0"/>
    <s v="Main Entrance"/>
    <s v="Pixar Pals"/>
    <n v="8.5"/>
    <n v="5"/>
    <x v="1451"/>
  </r>
  <r>
    <n v="1505"/>
    <n v="485"/>
    <d v="2026-04-02T00:00:00"/>
    <s v="Thursday"/>
    <n v="4"/>
    <n v="8.0500000000000007"/>
    <x v="0"/>
    <x v="34"/>
    <s v="Male"/>
    <n v="75.2"/>
    <n v="195"/>
    <n v="24.3"/>
    <n v="17"/>
    <s v="WA"/>
    <n v="4"/>
    <n v="729.8"/>
    <s v="High"/>
    <n v="1"/>
    <s v="Single-Day"/>
    <n v="0"/>
    <n v="0"/>
    <s v="Main Entrance"/>
    <s v="Pixar Pals"/>
    <n v="9.6999999999999993"/>
    <n v="10"/>
    <x v="1452"/>
  </r>
  <r>
    <n v="1506"/>
    <n v="486"/>
    <d v="2026-03-18T00:00:00"/>
    <s v="Wednesday"/>
    <n v="3"/>
    <n v="8.81"/>
    <x v="0"/>
    <x v="9"/>
    <s v="Male"/>
    <n v="67.400000000000006"/>
    <n v="203.9"/>
    <n v="31.6"/>
    <n v="16"/>
    <s v="OR"/>
    <n v="3"/>
    <n v="780.2"/>
    <s v="Middle"/>
    <n v="1"/>
    <s v="Park Hopper"/>
    <n v="1"/>
    <n v="0"/>
    <s v="Downtown Disney Gate"/>
    <s v="Toy Story Lot"/>
    <n v="8.6999999999999993"/>
    <n v="12"/>
    <x v="1453"/>
  </r>
  <r>
    <n v="1507"/>
    <n v="486"/>
    <d v="2026-03-18T00:00:00"/>
    <s v="Wednesday"/>
    <n v="3"/>
    <n v="8.7200000000000006"/>
    <x v="0"/>
    <x v="41"/>
    <s v="Male"/>
    <n v="70.599999999999994"/>
    <n v="215.4"/>
    <n v="30.2"/>
    <n v="13"/>
    <s v="OR"/>
    <n v="3"/>
    <n v="780.2"/>
    <s v="Middle"/>
    <n v="1"/>
    <s v="Park Hopper"/>
    <n v="1"/>
    <n v="0"/>
    <s v="Downtown Disney Gate"/>
    <s v="Toy Story Lot"/>
    <n v="9"/>
    <n v="10"/>
    <x v="1454"/>
  </r>
  <r>
    <n v="1508"/>
    <n v="486"/>
    <d v="2026-03-18T00:00:00"/>
    <s v="Wednesday"/>
    <n v="3"/>
    <n v="8.49"/>
    <x v="0"/>
    <x v="54"/>
    <s v="Male"/>
    <n v="62.4"/>
    <n v="147"/>
    <n v="26.5"/>
    <n v="18"/>
    <s v="OR"/>
    <n v="3"/>
    <n v="780.2"/>
    <s v="Middle"/>
    <n v="1"/>
    <s v="Park Hopper"/>
    <n v="1"/>
    <n v="0"/>
    <s v="Downtown Disney Gate"/>
    <s v="Toy Story Lot"/>
    <n v="10.1"/>
    <n v="10"/>
    <x v="1455"/>
  </r>
  <r>
    <n v="1509"/>
    <n v="487"/>
    <d v="2026-02-06T00:00:00"/>
    <s v="Friday"/>
    <n v="2"/>
    <n v="11.32"/>
    <x v="1"/>
    <x v="35"/>
    <s v="Female"/>
    <n v="61.7"/>
    <n v="146.1"/>
    <n v="26.9"/>
    <n v="12"/>
    <s v="AZ"/>
    <n v="2"/>
    <n v="297.7"/>
    <s v="Middle"/>
    <n v="1"/>
    <s v="Park Hopper"/>
    <n v="0"/>
    <n v="0"/>
    <s v="Main Entrance"/>
    <s v="Pixar Pals"/>
    <n v="8.8000000000000007"/>
    <n v="11"/>
    <x v="1456"/>
  </r>
  <r>
    <n v="1510"/>
    <n v="487"/>
    <d v="2026-02-06T00:00:00"/>
    <s v="Friday"/>
    <n v="2"/>
    <n v="11.34"/>
    <x v="1"/>
    <x v="10"/>
    <s v="Male"/>
    <n v="71"/>
    <n v="245.8"/>
    <n v="34.4"/>
    <n v="16"/>
    <s v="AZ"/>
    <n v="2"/>
    <n v="297.7"/>
    <s v="Middle"/>
    <n v="1"/>
    <s v="Park Hopper"/>
    <n v="0"/>
    <n v="0"/>
    <s v="Main Entrance"/>
    <s v="Pixar Pals"/>
    <n v="8.1"/>
    <n v="5"/>
    <x v="1457"/>
  </r>
  <r>
    <n v="1511"/>
    <n v="488"/>
    <d v="2026-10-26T00:00:00"/>
    <s v="Monday"/>
    <n v="10"/>
    <n v="11.4"/>
    <x v="1"/>
    <x v="22"/>
    <s v="Female"/>
    <n v="62.7"/>
    <n v="126.1"/>
    <n v="22.5"/>
    <n v="15"/>
    <s v="WA"/>
    <n v="6"/>
    <n v="1634"/>
    <s v="Middle"/>
    <n v="1"/>
    <s v="Single-Day"/>
    <n v="0"/>
    <n v="1"/>
    <s v="Downtown Disney Gate"/>
    <s v="None/Walked from Resort"/>
    <n v="9"/>
    <n v="11"/>
    <x v="1458"/>
  </r>
  <r>
    <n v="1512"/>
    <n v="488"/>
    <d v="2026-10-26T00:00:00"/>
    <s v="Monday"/>
    <n v="10"/>
    <n v="11.39"/>
    <x v="1"/>
    <x v="69"/>
    <s v="Female"/>
    <n v="63.8"/>
    <n v="159.6"/>
    <n v="27.6"/>
    <n v="13"/>
    <s v="WA"/>
    <n v="6"/>
    <n v="1634"/>
    <s v="Middle"/>
    <n v="1"/>
    <s v="Single-Day"/>
    <n v="0"/>
    <n v="1"/>
    <s v="Downtown Disney Gate"/>
    <s v="None/Walked from Resort"/>
    <n v="6.7"/>
    <n v="4"/>
    <x v="1459"/>
  </r>
  <r>
    <n v="1513"/>
    <n v="488"/>
    <d v="2026-10-26T00:00:00"/>
    <s v="Monday"/>
    <n v="10"/>
    <n v="11.5"/>
    <x v="1"/>
    <x v="23"/>
    <s v="Female"/>
    <n v="65.099999999999994"/>
    <n v="154.69999999999999"/>
    <n v="25.8"/>
    <n v="18"/>
    <s v="WA"/>
    <n v="6"/>
    <n v="1634"/>
    <s v="Middle"/>
    <n v="1"/>
    <s v="Single-Day"/>
    <n v="0"/>
    <n v="1"/>
    <s v="Downtown Disney Gate"/>
    <s v="None/Walked from Resort"/>
    <n v="8.8000000000000007"/>
    <n v="9"/>
    <x v="1460"/>
  </r>
  <r>
    <n v="1514"/>
    <n v="488"/>
    <d v="2026-10-26T00:00:00"/>
    <s v="Monday"/>
    <n v="10"/>
    <n v="11.57"/>
    <x v="1"/>
    <x v="33"/>
    <s v="Female"/>
    <n v="68"/>
    <n v="164.2"/>
    <n v="24.9"/>
    <n v="18"/>
    <s v="WA"/>
    <n v="6"/>
    <n v="1634"/>
    <s v="Middle"/>
    <n v="1"/>
    <s v="Single-Day"/>
    <n v="0"/>
    <n v="1"/>
    <s v="Downtown Disney Gate"/>
    <s v="None/Walked from Resort"/>
    <n v="5.2"/>
    <n v="8"/>
    <x v="1461"/>
  </r>
  <r>
    <n v="1515"/>
    <n v="488"/>
    <d v="2026-10-26T00:00:00"/>
    <s v="Monday"/>
    <n v="10"/>
    <n v="11.39"/>
    <x v="1"/>
    <x v="40"/>
    <s v="Male"/>
    <n v="65.099999999999994"/>
    <n v="121.9"/>
    <n v="20.399999999999999"/>
    <n v="13"/>
    <s v="WA"/>
    <n v="6"/>
    <n v="1634"/>
    <s v="Middle"/>
    <n v="1"/>
    <s v="Single-Day"/>
    <n v="0"/>
    <n v="1"/>
    <s v="Downtown Disney Gate"/>
    <s v="None/Walked from Resort"/>
    <n v="10.6"/>
    <n v="8"/>
    <x v="1462"/>
  </r>
  <r>
    <n v="1516"/>
    <n v="488"/>
    <d v="2026-10-26T00:00:00"/>
    <s v="Monday"/>
    <n v="10"/>
    <n v="11.63"/>
    <x v="1"/>
    <x v="64"/>
    <s v="Female"/>
    <n v="45"/>
    <n v="79.3"/>
    <n v="27.5"/>
    <n v="13"/>
    <s v="WA"/>
    <n v="6"/>
    <n v="1634"/>
    <s v="Middle"/>
    <n v="1"/>
    <s v="Single-Day"/>
    <n v="0"/>
    <n v="1"/>
    <s v="Downtown Disney Gate"/>
    <s v="None/Walked from Resort"/>
    <n v="11.2"/>
    <n v="18"/>
    <x v="1463"/>
  </r>
  <r>
    <n v="1517"/>
    <n v="489"/>
    <d v="2026-08-12T00:00:00"/>
    <s v="Wednesday"/>
    <n v="8"/>
    <n v="13.06"/>
    <x v="1"/>
    <x v="40"/>
    <s v="Female"/>
    <n v="62.3"/>
    <n v="81.400000000000006"/>
    <n v="14.6"/>
    <n v="14"/>
    <s v="CA"/>
    <n v="1"/>
    <n v="54.6"/>
    <s v="Middle"/>
    <n v="0"/>
    <s v="Multi-Day"/>
    <n v="0"/>
    <n v="0"/>
    <s v="Main Entrance"/>
    <s v="None/Dropoff/Transit"/>
    <n v="7.8"/>
    <n v="7"/>
    <x v="1464"/>
  </r>
  <r>
    <n v="1518"/>
    <n v="490"/>
    <d v="2026-02-28T00:00:00"/>
    <s v="Saturday"/>
    <n v="2"/>
    <n v="11.45"/>
    <x v="1"/>
    <x v="8"/>
    <s v="Female"/>
    <n v="69.400000000000006"/>
    <n v="224.3"/>
    <n v="32.799999999999997"/>
    <n v="14"/>
    <s v="NY"/>
    <n v="2"/>
    <n v="1745.9"/>
    <s v="Low"/>
    <n v="0"/>
    <s v="Park Hopper"/>
    <n v="1"/>
    <n v="0"/>
    <s v="Main Entrance"/>
    <s v="Toy Story Lot"/>
    <n v="9.3000000000000007"/>
    <n v="13"/>
    <x v="1465"/>
  </r>
  <r>
    <n v="1519"/>
    <n v="490"/>
    <d v="2026-02-28T00:00:00"/>
    <s v="Saturday"/>
    <n v="2"/>
    <n v="11.29"/>
    <x v="1"/>
    <x v="20"/>
    <s v="Female"/>
    <n v="66.8"/>
    <n v="116"/>
    <n v="18"/>
    <n v="12"/>
    <s v="NY"/>
    <n v="2"/>
    <n v="1745.9"/>
    <s v="Low"/>
    <n v="0"/>
    <s v="Park Hopper"/>
    <n v="1"/>
    <n v="0"/>
    <s v="Main Entrance"/>
    <s v="Toy Story Lot"/>
    <n v="7.1"/>
    <n v="5"/>
    <x v="1466"/>
  </r>
  <r>
    <n v="1520"/>
    <n v="491"/>
    <d v="2026-02-10T00:00:00"/>
    <s v="Tuesday"/>
    <n v="2"/>
    <n v="10.45"/>
    <x v="0"/>
    <x v="48"/>
    <s v="Female"/>
    <n v="66.599999999999994"/>
    <n v="148.5"/>
    <n v="23.5"/>
    <n v="18"/>
    <s v="CA"/>
    <n v="5"/>
    <n v="97.3"/>
    <s v="High"/>
    <n v="0"/>
    <s v="Single-Day"/>
    <n v="1"/>
    <n v="0"/>
    <s v="Main Entrance"/>
    <s v="Pixar Pals"/>
    <n v="9.6"/>
    <n v="8"/>
    <x v="1467"/>
  </r>
  <r>
    <n v="1521"/>
    <n v="491"/>
    <d v="2026-02-10T00:00:00"/>
    <s v="Tuesday"/>
    <n v="2"/>
    <n v="10.45"/>
    <x v="0"/>
    <x v="12"/>
    <s v="Male"/>
    <n v="65.2"/>
    <n v="126.5"/>
    <n v="20.8"/>
    <n v="11"/>
    <s v="CA"/>
    <n v="5"/>
    <n v="97.3"/>
    <s v="High"/>
    <n v="0"/>
    <s v="Single-Day"/>
    <n v="1"/>
    <n v="0"/>
    <s v="Main Entrance"/>
    <s v="Pixar Pals"/>
    <n v="7.7"/>
    <n v="5"/>
    <x v="1468"/>
  </r>
  <r>
    <n v="1522"/>
    <n v="491"/>
    <d v="2026-02-10T00:00:00"/>
    <s v="Tuesday"/>
    <n v="2"/>
    <n v="10.37"/>
    <x v="0"/>
    <x v="60"/>
    <s v="Female"/>
    <n v="62.5"/>
    <n v="121.4"/>
    <n v="21.6"/>
    <n v="13"/>
    <s v="CA"/>
    <n v="5"/>
    <n v="97.3"/>
    <s v="High"/>
    <n v="0"/>
    <s v="Single-Day"/>
    <n v="1"/>
    <n v="0"/>
    <s v="Main Entrance"/>
    <s v="Pixar Pals"/>
    <n v="9.8000000000000007"/>
    <n v="15"/>
    <x v="1469"/>
  </r>
  <r>
    <n v="1523"/>
    <n v="491"/>
    <d v="2026-02-10T00:00:00"/>
    <s v="Tuesday"/>
    <n v="2"/>
    <n v="10.4"/>
    <x v="0"/>
    <x v="70"/>
    <s v="Male"/>
    <n v="70"/>
    <n v="145.30000000000001"/>
    <n v="20.8"/>
    <n v="14"/>
    <s v="CA"/>
    <n v="5"/>
    <n v="97.3"/>
    <s v="High"/>
    <n v="0"/>
    <s v="Single-Day"/>
    <n v="1"/>
    <n v="0"/>
    <s v="Main Entrance"/>
    <s v="Pixar Pals"/>
    <n v="7.6"/>
    <n v="6"/>
    <x v="1470"/>
  </r>
  <r>
    <n v="1524"/>
    <n v="491"/>
    <d v="2026-02-10T00:00:00"/>
    <s v="Tuesday"/>
    <n v="2"/>
    <n v="10.38"/>
    <x v="0"/>
    <x v="69"/>
    <s v="Female"/>
    <n v="64.599999999999994"/>
    <n v="172.9"/>
    <n v="29"/>
    <n v="21"/>
    <s v="CA"/>
    <n v="5"/>
    <n v="97.3"/>
    <s v="High"/>
    <n v="0"/>
    <s v="Single-Day"/>
    <n v="1"/>
    <n v="0"/>
    <s v="Main Entrance"/>
    <s v="Pixar Pals"/>
    <n v="7.1"/>
    <n v="10"/>
    <x v="1471"/>
  </r>
  <r>
    <n v="1525"/>
    <n v="492"/>
    <d v="2026-04-02T00:00:00"/>
    <s v="Thursday"/>
    <n v="4"/>
    <n v="11.16"/>
    <x v="1"/>
    <x v="69"/>
    <s v="Male"/>
    <n v="62.9"/>
    <n v="144.1"/>
    <n v="25.8"/>
    <n v="16"/>
    <s v="CA"/>
    <n v="4"/>
    <n v="75.3"/>
    <s v="Middle"/>
    <n v="0"/>
    <s v="Single-Day"/>
    <n v="0"/>
    <n v="0"/>
    <s v="Main Entrance"/>
    <s v="Pixar Pals"/>
    <n v="8"/>
    <n v="10"/>
    <x v="1472"/>
  </r>
  <r>
    <n v="1526"/>
    <n v="492"/>
    <d v="2026-04-02T00:00:00"/>
    <s v="Thursday"/>
    <n v="4"/>
    <n v="11.22"/>
    <x v="1"/>
    <x v="38"/>
    <s v="Female"/>
    <n v="65.5"/>
    <n v="130.19999999999999"/>
    <n v="21.3"/>
    <n v="12"/>
    <s v="CA"/>
    <n v="4"/>
    <n v="75.3"/>
    <s v="Middle"/>
    <n v="0"/>
    <s v="Single-Day"/>
    <n v="0"/>
    <n v="0"/>
    <s v="Main Entrance"/>
    <s v="Pixar Pals"/>
    <n v="7.8"/>
    <n v="7"/>
    <x v="1473"/>
  </r>
  <r>
    <n v="1527"/>
    <n v="492"/>
    <d v="2026-04-02T00:00:00"/>
    <s v="Thursday"/>
    <n v="4"/>
    <n v="11.21"/>
    <x v="1"/>
    <x v="38"/>
    <s v="Male"/>
    <n v="71.900000000000006"/>
    <n v="198.3"/>
    <n v="26.9"/>
    <n v="13"/>
    <s v="CA"/>
    <n v="4"/>
    <n v="75.3"/>
    <s v="Middle"/>
    <n v="0"/>
    <s v="Single-Day"/>
    <n v="0"/>
    <n v="0"/>
    <s v="Main Entrance"/>
    <s v="Pixar Pals"/>
    <n v="8.9"/>
    <n v="5"/>
    <x v="1474"/>
  </r>
  <r>
    <n v="1528"/>
    <n v="492"/>
    <d v="2026-04-02T00:00:00"/>
    <s v="Thursday"/>
    <n v="4"/>
    <n v="11.24"/>
    <x v="1"/>
    <x v="8"/>
    <s v="Male"/>
    <n v="67"/>
    <n v="181"/>
    <n v="28.5"/>
    <n v="17"/>
    <s v="CA"/>
    <n v="4"/>
    <n v="75.3"/>
    <s v="Middle"/>
    <n v="0"/>
    <s v="Single-Day"/>
    <n v="0"/>
    <n v="0"/>
    <s v="Main Entrance"/>
    <s v="Pixar Pals"/>
    <n v="9.8000000000000007"/>
    <n v="9"/>
    <x v="1475"/>
  </r>
  <r>
    <n v="1529"/>
    <n v="493"/>
    <d v="2026-11-23T00:00:00"/>
    <s v="Monday"/>
    <n v="11"/>
    <n v="9.65"/>
    <x v="0"/>
    <x v="3"/>
    <s v="Female"/>
    <n v="63.3"/>
    <n v="144.80000000000001"/>
    <n v="25.4"/>
    <n v="15"/>
    <s v="CA"/>
    <n v="3"/>
    <n v="83"/>
    <s v="Middle"/>
    <n v="1"/>
    <s v="Multi-Day"/>
    <n v="1"/>
    <n v="0"/>
    <s v="Main Entrance"/>
    <s v="Pixar Pals"/>
    <n v="11.2"/>
    <n v="12"/>
    <x v="1476"/>
  </r>
  <r>
    <n v="1530"/>
    <n v="493"/>
    <d v="2026-11-23T00:00:00"/>
    <s v="Monday"/>
    <n v="11"/>
    <n v="9.69"/>
    <x v="0"/>
    <x v="47"/>
    <s v="Male"/>
    <n v="71.8"/>
    <n v="188.6"/>
    <n v="25.4"/>
    <n v="18"/>
    <s v="CA"/>
    <n v="3"/>
    <n v="83"/>
    <s v="Middle"/>
    <n v="1"/>
    <s v="Multi-Day"/>
    <n v="1"/>
    <n v="0"/>
    <s v="Main Entrance"/>
    <s v="Pixar Pals"/>
    <n v="7"/>
    <n v="5"/>
    <x v="64"/>
  </r>
  <r>
    <n v="1531"/>
    <n v="493"/>
    <d v="2026-11-23T00:00:00"/>
    <s v="Monday"/>
    <n v="11"/>
    <n v="9.61"/>
    <x v="0"/>
    <x v="38"/>
    <s v="Male"/>
    <n v="71.7"/>
    <n v="196.9"/>
    <n v="27.1"/>
    <n v="14"/>
    <s v="CA"/>
    <n v="3"/>
    <n v="83"/>
    <s v="Middle"/>
    <n v="1"/>
    <s v="Multi-Day"/>
    <n v="1"/>
    <n v="0"/>
    <s v="Main Entrance"/>
    <s v="Pixar Pals"/>
    <n v="12"/>
    <n v="10"/>
    <x v="1477"/>
  </r>
  <r>
    <n v="1532"/>
    <n v="494"/>
    <d v="2026-10-13T00:00:00"/>
    <s v="Tuesday"/>
    <n v="10"/>
    <n v="11.8"/>
    <x v="1"/>
    <x v="18"/>
    <s v="Male"/>
    <n v="68.3"/>
    <n v="154.9"/>
    <n v="23.5"/>
    <n v="13"/>
    <s v="UT"/>
    <n v="1"/>
    <n v="612.20000000000005"/>
    <s v="Low"/>
    <n v="1"/>
    <s v="Single-Day"/>
    <n v="0"/>
    <n v="0"/>
    <s v="Main Entrance"/>
    <s v="None/Dropoff/Transit"/>
    <n v="6.9"/>
    <n v="3"/>
    <x v="1478"/>
  </r>
  <r>
    <n v="1533"/>
    <n v="495"/>
    <d v="2026-07-16T00:00:00"/>
    <s v="Thursday"/>
    <n v="7"/>
    <n v="10.67"/>
    <x v="0"/>
    <x v="9"/>
    <s v="Female"/>
    <n v="63.7"/>
    <n v="153.80000000000001"/>
    <n v="26.6"/>
    <n v="15"/>
    <s v="CA"/>
    <n v="1"/>
    <n v="105.5"/>
    <s v="Middle"/>
    <n v="1"/>
    <s v="Park Hopper"/>
    <n v="1"/>
    <n v="0"/>
    <s v="Main Entrance"/>
    <s v="Mickey &amp; Friends"/>
    <n v="8.6"/>
    <n v="18"/>
    <x v="1479"/>
  </r>
  <r>
    <n v="1534"/>
    <n v="496"/>
    <d v="2026-11-25T00:00:00"/>
    <s v="Wednesday"/>
    <n v="11"/>
    <n v="9.86"/>
    <x v="0"/>
    <x v="29"/>
    <s v="Male"/>
    <n v="69.099999999999994"/>
    <n v="159.30000000000001"/>
    <n v="23.4"/>
    <n v="17"/>
    <s v="TX"/>
    <n v="1"/>
    <n v="619.6"/>
    <s v="High"/>
    <n v="1"/>
    <s v="Multi-Day"/>
    <n v="0"/>
    <n v="1"/>
    <s v="Main Entrance"/>
    <s v="None/Walked from Resort"/>
    <n v="9"/>
    <n v="8"/>
    <x v="1480"/>
  </r>
  <r>
    <n v="1535"/>
    <n v="497"/>
    <d v="2026-09-27T00:00:00"/>
    <s v="Sunday"/>
    <n v="9"/>
    <n v="12.87"/>
    <x v="1"/>
    <x v="20"/>
    <s v="Female"/>
    <n v="65.599999999999994"/>
    <n v="129.9"/>
    <n v="21.1"/>
    <n v="13"/>
    <s v="CA"/>
    <n v="5"/>
    <n v="9"/>
    <s v="Middle"/>
    <n v="0"/>
    <s v="Park Hopper"/>
    <n v="0"/>
    <n v="0"/>
    <s v="Downtown Disney Gate"/>
    <s v="Toy Story Lot"/>
    <n v="8.8000000000000007"/>
    <n v="11"/>
    <x v="1481"/>
  </r>
  <r>
    <n v="1536"/>
    <n v="497"/>
    <d v="2026-09-27T00:00:00"/>
    <s v="Sunday"/>
    <n v="9"/>
    <n v="13.39"/>
    <x v="1"/>
    <x v="71"/>
    <s v="Male"/>
    <n v="67.900000000000006"/>
    <n v="173.6"/>
    <n v="26.3"/>
    <n v="14"/>
    <s v="CA"/>
    <n v="5"/>
    <n v="9"/>
    <s v="Middle"/>
    <n v="0"/>
    <s v="Park Hopper"/>
    <n v="0"/>
    <n v="0"/>
    <s v="Downtown Disney Gate"/>
    <s v="Toy Story Lot"/>
    <n v="6.9"/>
    <n v="4"/>
    <x v="101"/>
  </r>
  <r>
    <n v="1537"/>
    <n v="497"/>
    <d v="2026-09-27T00:00:00"/>
    <s v="Sunday"/>
    <n v="9"/>
    <n v="13.2"/>
    <x v="1"/>
    <x v="4"/>
    <s v="Male"/>
    <n v="69.5"/>
    <n v="182"/>
    <n v="26.7"/>
    <n v="14"/>
    <s v="CA"/>
    <n v="5"/>
    <n v="9"/>
    <s v="Middle"/>
    <n v="0"/>
    <s v="Park Hopper"/>
    <n v="0"/>
    <n v="0"/>
    <s v="Downtown Disney Gate"/>
    <s v="Toy Story Lot"/>
    <n v="8.1"/>
    <n v="5"/>
    <x v="1482"/>
  </r>
  <r>
    <n v="1538"/>
    <n v="497"/>
    <d v="2026-09-27T00:00:00"/>
    <s v="Sunday"/>
    <n v="9"/>
    <n v="13.22"/>
    <x v="1"/>
    <x v="1"/>
    <s v="Male"/>
    <n v="69.7"/>
    <n v="192"/>
    <n v="28.2"/>
    <n v="12"/>
    <s v="CA"/>
    <n v="5"/>
    <n v="9"/>
    <s v="Middle"/>
    <n v="0"/>
    <s v="Park Hopper"/>
    <n v="0"/>
    <n v="0"/>
    <s v="Downtown Disney Gate"/>
    <s v="Toy Story Lot"/>
    <n v="7.4"/>
    <n v="7"/>
    <x v="1139"/>
  </r>
  <r>
    <n v="1539"/>
    <n v="497"/>
    <d v="2026-09-27T00:00:00"/>
    <s v="Sunday"/>
    <n v="9"/>
    <n v="12.97"/>
    <x v="1"/>
    <x v="39"/>
    <s v="Female"/>
    <n v="64.8"/>
    <n v="152.6"/>
    <n v="25.5"/>
    <n v="15"/>
    <s v="CA"/>
    <n v="5"/>
    <n v="9"/>
    <s v="Middle"/>
    <n v="0"/>
    <s v="Park Hopper"/>
    <n v="0"/>
    <n v="0"/>
    <s v="Downtown Disney Gate"/>
    <s v="Toy Story Lot"/>
    <n v="9.9"/>
    <n v="6"/>
    <x v="1483"/>
  </r>
  <r>
    <n v="1540"/>
    <n v="498"/>
    <d v="2026-10-04T00:00:00"/>
    <s v="Sunday"/>
    <n v="10"/>
    <n v="9.58"/>
    <x v="0"/>
    <x v="0"/>
    <s v="Male"/>
    <n v="65.900000000000006"/>
    <n v="151.4"/>
    <n v="24.4"/>
    <n v="18"/>
    <s v="Other"/>
    <n v="2"/>
    <n v="1585.9"/>
    <s v="Middle"/>
    <n v="1"/>
    <s v="Single-Day"/>
    <n v="0"/>
    <n v="0"/>
    <s v="Main Entrance"/>
    <s v="None/Dropoff/Transit"/>
    <n v="7.6"/>
    <n v="6"/>
    <x v="1484"/>
  </r>
  <r>
    <n v="1541"/>
    <n v="498"/>
    <d v="2026-10-04T00:00:00"/>
    <s v="Sunday"/>
    <n v="10"/>
    <n v="9.68"/>
    <x v="0"/>
    <x v="62"/>
    <s v="Female"/>
    <n v="63.5"/>
    <n v="154.4"/>
    <n v="26.6"/>
    <n v="13"/>
    <s v="Other"/>
    <n v="2"/>
    <n v="1585.9"/>
    <s v="Middle"/>
    <n v="1"/>
    <s v="Single-Day"/>
    <n v="0"/>
    <n v="0"/>
    <s v="Main Entrance"/>
    <s v="None/Dropoff/Transit"/>
    <n v="6.5"/>
    <n v="10"/>
    <x v="1485"/>
  </r>
  <r>
    <n v="1542"/>
    <n v="499"/>
    <d v="2026-03-23T00:00:00"/>
    <s v="Monday"/>
    <n v="3"/>
    <n v="11.41"/>
    <x v="1"/>
    <x v="42"/>
    <s v="Female"/>
    <n v="64.900000000000006"/>
    <n v="167.4"/>
    <n v="27.8"/>
    <n v="16"/>
    <s v="AZ"/>
    <n v="4"/>
    <n v="412.4"/>
    <s v="Middle"/>
    <n v="1"/>
    <s v="Park Hopper"/>
    <n v="0"/>
    <n v="0"/>
    <s v="Main Entrance"/>
    <s v="Mickey &amp; Friends"/>
    <n v="7"/>
    <n v="10"/>
    <x v="1486"/>
  </r>
  <r>
    <n v="1543"/>
    <n v="499"/>
    <d v="2026-03-23T00:00:00"/>
    <s v="Monday"/>
    <n v="3"/>
    <n v="11.57"/>
    <x v="1"/>
    <x v="48"/>
    <s v="Male"/>
    <n v="67.099999999999994"/>
    <n v="186.4"/>
    <n v="29.1"/>
    <n v="16"/>
    <s v="AZ"/>
    <n v="4"/>
    <n v="412.4"/>
    <s v="Middle"/>
    <n v="1"/>
    <s v="Park Hopper"/>
    <n v="0"/>
    <n v="0"/>
    <s v="Main Entrance"/>
    <s v="Mickey &amp; Friends"/>
    <n v="7.5"/>
    <n v="8"/>
    <x v="1487"/>
  </r>
  <r>
    <n v="1544"/>
    <n v="499"/>
    <d v="2026-03-23T00:00:00"/>
    <s v="Monday"/>
    <n v="3"/>
    <n v="11.33"/>
    <x v="1"/>
    <x v="39"/>
    <s v="Male"/>
    <n v="69.599999999999994"/>
    <n v="186.3"/>
    <n v="27.3"/>
    <n v="15"/>
    <s v="AZ"/>
    <n v="4"/>
    <n v="412.4"/>
    <s v="Middle"/>
    <n v="1"/>
    <s v="Park Hopper"/>
    <n v="0"/>
    <n v="0"/>
    <s v="Main Entrance"/>
    <s v="Mickey &amp; Friends"/>
    <n v="7.8"/>
    <n v="9"/>
    <x v="1488"/>
  </r>
  <r>
    <n v="1545"/>
    <n v="499"/>
    <d v="2026-03-23T00:00:00"/>
    <s v="Monday"/>
    <n v="3"/>
    <n v="11.54"/>
    <x v="1"/>
    <x v="80"/>
    <s v="Male"/>
    <n v="74.099999999999994"/>
    <n v="173.9"/>
    <n v="22.6"/>
    <n v="17"/>
    <s v="AZ"/>
    <n v="4"/>
    <n v="412.4"/>
    <s v="Middle"/>
    <n v="1"/>
    <s v="Park Hopper"/>
    <n v="0"/>
    <n v="0"/>
    <s v="Main Entrance"/>
    <s v="Mickey &amp; Friends"/>
    <n v="8.1999999999999993"/>
    <n v="8"/>
    <x v="1489"/>
  </r>
  <r>
    <n v="1546"/>
    <n v="500"/>
    <d v="2026-03-28T00:00:00"/>
    <s v="Saturday"/>
    <n v="3"/>
    <n v="9.99"/>
    <x v="0"/>
    <x v="30"/>
    <s v="Female"/>
    <n v="64.400000000000006"/>
    <n v="154.19999999999999"/>
    <n v="26"/>
    <n v="16"/>
    <s v="CA"/>
    <n v="3"/>
    <n v="101.6"/>
    <s v="Low"/>
    <n v="1"/>
    <s v="Multi-Day"/>
    <n v="1"/>
    <n v="0"/>
    <s v="Main Entrance"/>
    <s v="Pixar Pals"/>
    <n v="9.1999999999999993"/>
    <n v="13"/>
    <x v="861"/>
  </r>
  <r>
    <n v="1547"/>
    <n v="500"/>
    <d v="2026-03-28T00:00:00"/>
    <s v="Saturday"/>
    <n v="3"/>
    <n v="10.039999999999999"/>
    <x v="0"/>
    <x v="18"/>
    <s v="Male"/>
    <n v="66.8"/>
    <n v="163.1"/>
    <n v="25.6"/>
    <n v="14"/>
    <s v="CA"/>
    <n v="3"/>
    <n v="101.6"/>
    <s v="Low"/>
    <n v="1"/>
    <s v="Multi-Day"/>
    <n v="1"/>
    <n v="0"/>
    <s v="Main Entrance"/>
    <s v="Pixar Pals"/>
    <n v="8.8000000000000007"/>
    <n v="12"/>
    <x v="1490"/>
  </r>
  <r>
    <n v="1548"/>
    <n v="500"/>
    <d v="2026-03-28T00:00:00"/>
    <s v="Saturday"/>
    <n v="3"/>
    <n v="9.6300000000000008"/>
    <x v="0"/>
    <x v="55"/>
    <s v="Female"/>
    <n v="58.8"/>
    <n v="153.30000000000001"/>
    <n v="31.1"/>
    <n v="13"/>
    <s v="CA"/>
    <n v="3"/>
    <n v="101.6"/>
    <s v="Low"/>
    <n v="1"/>
    <s v="Multi-Day"/>
    <n v="1"/>
    <n v="0"/>
    <s v="Main Entrance"/>
    <s v="Pixar Pals"/>
    <n v="8.5"/>
    <n v="6"/>
    <x v="1491"/>
  </r>
  <r>
    <n v="1549"/>
    <n v="501"/>
    <d v="2026-03-14T00:00:00"/>
    <s v="Saturday"/>
    <n v="3"/>
    <n v="11.17"/>
    <x v="1"/>
    <x v="12"/>
    <s v="Female"/>
    <n v="56.1"/>
    <n v="85.2"/>
    <n v="18.899999999999999"/>
    <n v="17"/>
    <s v="NV"/>
    <n v="2"/>
    <n v="260.8"/>
    <s v="High"/>
    <n v="1"/>
    <s v="Single-Day"/>
    <n v="1"/>
    <n v="1"/>
    <s v="Main Entrance"/>
    <s v="None/Walked from Resort"/>
    <n v="7.9"/>
    <n v="6"/>
    <x v="1492"/>
  </r>
  <r>
    <n v="1550"/>
    <n v="501"/>
    <d v="2026-03-14T00:00:00"/>
    <s v="Saturday"/>
    <n v="3"/>
    <n v="11.22"/>
    <x v="1"/>
    <x v="6"/>
    <s v="Female"/>
    <n v="60.1"/>
    <n v="113.6"/>
    <n v="22.3"/>
    <n v="16"/>
    <s v="NV"/>
    <n v="2"/>
    <n v="260.8"/>
    <s v="High"/>
    <n v="1"/>
    <s v="Single-Day"/>
    <n v="1"/>
    <n v="1"/>
    <s v="Main Entrance"/>
    <s v="None/Walked from Resort"/>
    <n v="8.1999999999999993"/>
    <n v="12"/>
    <x v="1493"/>
  </r>
  <r>
    <n v="1551"/>
    <n v="502"/>
    <d v="2026-08-08T00:00:00"/>
    <s v="Saturday"/>
    <n v="8"/>
    <n v="7.57"/>
    <x v="0"/>
    <x v="21"/>
    <s v="Female"/>
    <n v="65.3"/>
    <n v="143.9"/>
    <n v="23.9"/>
    <n v="16"/>
    <s v="CA"/>
    <n v="2"/>
    <n v="117.7"/>
    <s v="Middle"/>
    <n v="1"/>
    <s v="Single-Day"/>
    <n v="0"/>
    <n v="0"/>
    <s v="Main Entrance"/>
    <s v="Pixar Pals"/>
    <n v="9.4"/>
    <n v="8"/>
    <x v="231"/>
  </r>
  <r>
    <n v="1552"/>
    <n v="502"/>
    <d v="2026-08-08T00:00:00"/>
    <s v="Saturday"/>
    <n v="8"/>
    <n v="7.38"/>
    <x v="0"/>
    <x v="21"/>
    <s v="Male"/>
    <n v="70"/>
    <n v="162.80000000000001"/>
    <n v="23.2"/>
    <n v="16"/>
    <s v="CA"/>
    <n v="2"/>
    <n v="117.7"/>
    <s v="Middle"/>
    <n v="1"/>
    <s v="Single-Day"/>
    <n v="0"/>
    <n v="0"/>
    <s v="Main Entrance"/>
    <s v="Pixar Pals"/>
    <n v="10.1"/>
    <n v="9"/>
    <x v="1494"/>
  </r>
  <r>
    <n v="1553"/>
    <n v="503"/>
    <d v="2026-12-09T00:00:00"/>
    <s v="Wednesday"/>
    <n v="12"/>
    <n v="10.48"/>
    <x v="0"/>
    <x v="10"/>
    <s v="Male"/>
    <n v="67.3"/>
    <n v="149.9"/>
    <n v="23.2"/>
    <n v="15"/>
    <s v="TX"/>
    <n v="4"/>
    <n v="890.7"/>
    <s v="Low"/>
    <n v="1"/>
    <s v="Single-Day"/>
    <n v="0"/>
    <n v="0"/>
    <s v="Main Entrance"/>
    <s v="Mickey &amp; Friends"/>
    <n v="7"/>
    <n v="9"/>
    <x v="1495"/>
  </r>
  <r>
    <n v="1554"/>
    <n v="503"/>
    <d v="2026-12-09T00:00:00"/>
    <s v="Wednesday"/>
    <n v="12"/>
    <n v="10.35"/>
    <x v="0"/>
    <x v="50"/>
    <s v="Female"/>
    <n v="60.4"/>
    <n v="94"/>
    <n v="18"/>
    <n v="7"/>
    <s v="TX"/>
    <n v="4"/>
    <n v="890.7"/>
    <s v="Low"/>
    <n v="1"/>
    <s v="Single-Day"/>
    <n v="0"/>
    <n v="0"/>
    <s v="Main Entrance"/>
    <s v="Mickey &amp; Friends"/>
    <n v="9.6999999999999993"/>
    <n v="8"/>
    <x v="1416"/>
  </r>
  <r>
    <n v="1555"/>
    <n v="503"/>
    <d v="2026-12-09T00:00:00"/>
    <s v="Wednesday"/>
    <n v="12"/>
    <n v="10.39"/>
    <x v="0"/>
    <x v="8"/>
    <s v="Male"/>
    <n v="69.8"/>
    <n v="205.8"/>
    <n v="29.5"/>
    <n v="15"/>
    <s v="TX"/>
    <n v="4"/>
    <n v="890.7"/>
    <s v="Low"/>
    <n v="1"/>
    <s v="Single-Day"/>
    <n v="0"/>
    <n v="0"/>
    <s v="Main Entrance"/>
    <s v="Mickey &amp; Friends"/>
    <n v="9.1"/>
    <n v="4"/>
    <x v="806"/>
  </r>
  <r>
    <n v="1556"/>
    <n v="503"/>
    <d v="2026-12-09T00:00:00"/>
    <s v="Wednesday"/>
    <n v="12"/>
    <n v="10.16"/>
    <x v="0"/>
    <x v="25"/>
    <s v="Male"/>
    <n v="69.7"/>
    <n v="204.3"/>
    <n v="29.7"/>
    <n v="15"/>
    <s v="TX"/>
    <n v="4"/>
    <n v="890.7"/>
    <s v="Low"/>
    <n v="1"/>
    <s v="Single-Day"/>
    <n v="0"/>
    <n v="0"/>
    <s v="Main Entrance"/>
    <s v="Mickey &amp; Friends"/>
    <n v="7.7"/>
    <n v="5"/>
    <x v="1496"/>
  </r>
  <r>
    <n v="1557"/>
    <n v="504"/>
    <d v="2026-01-02T00:00:00"/>
    <s v="Friday"/>
    <n v="1"/>
    <n v="11.96"/>
    <x v="1"/>
    <x v="4"/>
    <s v="Male"/>
    <n v="69.400000000000006"/>
    <n v="173.5"/>
    <n v="25.1"/>
    <n v="17"/>
    <s v="CA"/>
    <n v="3"/>
    <n v="2"/>
    <s v="Middle"/>
    <n v="0"/>
    <s v="Single-Day"/>
    <n v="0"/>
    <n v="0"/>
    <s v="Downtown Disney Gate"/>
    <s v="Mickey &amp; Friends"/>
    <n v="5.3"/>
    <n v="8"/>
    <x v="1497"/>
  </r>
  <r>
    <n v="1558"/>
    <n v="504"/>
    <d v="2026-01-02T00:00:00"/>
    <s v="Friday"/>
    <n v="1"/>
    <n v="12.26"/>
    <x v="1"/>
    <x v="44"/>
    <s v="Male"/>
    <n v="70"/>
    <n v="172.9"/>
    <n v="24.7"/>
    <n v="12"/>
    <s v="CA"/>
    <n v="3"/>
    <n v="2"/>
    <s v="Middle"/>
    <n v="0"/>
    <s v="Single-Day"/>
    <n v="0"/>
    <n v="0"/>
    <s v="Downtown Disney Gate"/>
    <s v="Mickey &amp; Friends"/>
    <n v="8.4"/>
    <n v="11"/>
    <x v="1498"/>
  </r>
  <r>
    <n v="1559"/>
    <n v="504"/>
    <d v="2026-01-02T00:00:00"/>
    <s v="Friday"/>
    <n v="1"/>
    <n v="12.25"/>
    <x v="1"/>
    <x v="0"/>
    <s v="Male"/>
    <n v="75.400000000000006"/>
    <n v="185.8"/>
    <n v="22.9"/>
    <n v="14"/>
    <s v="CA"/>
    <n v="3"/>
    <n v="2"/>
    <s v="Middle"/>
    <n v="0"/>
    <s v="Single-Day"/>
    <n v="0"/>
    <n v="0"/>
    <s v="Downtown Disney Gate"/>
    <s v="Mickey &amp; Friends"/>
    <n v="5"/>
    <n v="8"/>
    <x v="1499"/>
  </r>
  <r>
    <n v="1560"/>
    <n v="505"/>
    <d v="2026-08-03T00:00:00"/>
    <s v="Monday"/>
    <n v="8"/>
    <n v="9.26"/>
    <x v="0"/>
    <x v="58"/>
    <s v="Male"/>
    <n v="69.8"/>
    <n v="141.69999999999999"/>
    <n v="20.399999999999999"/>
    <n v="18"/>
    <s v="AZ"/>
    <n v="4"/>
    <n v="518.79999999999995"/>
    <s v="High"/>
    <n v="0"/>
    <s v="Multi-Day"/>
    <n v="1"/>
    <n v="0"/>
    <s v="Main Entrance"/>
    <s v="Toy Story Lot"/>
    <n v="10.5"/>
    <n v="12"/>
    <x v="1500"/>
  </r>
  <r>
    <n v="1561"/>
    <n v="505"/>
    <d v="2026-08-03T00:00:00"/>
    <s v="Monday"/>
    <n v="8"/>
    <n v="9.33"/>
    <x v="0"/>
    <x v="7"/>
    <s v="Female"/>
    <n v="53.1"/>
    <n v="79.3"/>
    <n v="19.8"/>
    <n v="14"/>
    <s v="AZ"/>
    <n v="4"/>
    <n v="518.79999999999995"/>
    <s v="High"/>
    <n v="0"/>
    <s v="Multi-Day"/>
    <n v="1"/>
    <n v="0"/>
    <s v="Main Entrance"/>
    <s v="Toy Story Lot"/>
    <n v="5.6"/>
    <n v="3"/>
    <x v="1159"/>
  </r>
  <r>
    <n v="1562"/>
    <n v="505"/>
    <d v="2026-08-03T00:00:00"/>
    <s v="Monday"/>
    <n v="8"/>
    <n v="9.34"/>
    <x v="0"/>
    <x v="53"/>
    <s v="Male"/>
    <n v="51"/>
    <n v="82.3"/>
    <n v="22.3"/>
    <n v="14"/>
    <s v="AZ"/>
    <n v="4"/>
    <n v="518.79999999999995"/>
    <s v="High"/>
    <n v="0"/>
    <s v="Multi-Day"/>
    <n v="1"/>
    <n v="0"/>
    <s v="Main Entrance"/>
    <s v="Toy Story Lot"/>
    <n v="7.8"/>
    <n v="7"/>
    <x v="1501"/>
  </r>
  <r>
    <n v="1563"/>
    <n v="505"/>
    <d v="2026-08-03T00:00:00"/>
    <s v="Monday"/>
    <n v="8"/>
    <n v="9.34"/>
    <x v="0"/>
    <x v="18"/>
    <s v="Male"/>
    <n v="74.5"/>
    <n v="175.8"/>
    <n v="22"/>
    <n v="21"/>
    <s v="AZ"/>
    <n v="4"/>
    <n v="518.79999999999995"/>
    <s v="High"/>
    <n v="0"/>
    <s v="Multi-Day"/>
    <n v="1"/>
    <n v="0"/>
    <s v="Main Entrance"/>
    <s v="Toy Story Lot"/>
    <n v="11.2"/>
    <n v="18"/>
    <x v="1502"/>
  </r>
  <r>
    <n v="1564"/>
    <n v="506"/>
    <d v="2026-05-31T00:00:00"/>
    <s v="Sunday"/>
    <n v="5"/>
    <n v="8.43"/>
    <x v="0"/>
    <x v="38"/>
    <s v="Female"/>
    <n v="66"/>
    <n v="137.9"/>
    <n v="22"/>
    <n v="14"/>
    <s v="CA"/>
    <n v="4"/>
    <n v="37.5"/>
    <s v="Middle"/>
    <n v="0"/>
    <s v="Multi-Day"/>
    <n v="0"/>
    <n v="0"/>
    <s v="Main Entrance"/>
    <s v="Mickey &amp; Friends"/>
    <n v="8.9"/>
    <n v="14"/>
    <x v="1503"/>
  </r>
  <r>
    <n v="1565"/>
    <n v="506"/>
    <d v="2026-05-31T00:00:00"/>
    <s v="Sunday"/>
    <n v="5"/>
    <n v="8.39"/>
    <x v="0"/>
    <x v="25"/>
    <s v="Male"/>
    <n v="71.5"/>
    <n v="189.5"/>
    <n v="26.2"/>
    <n v="18"/>
    <s v="CA"/>
    <n v="4"/>
    <n v="37.5"/>
    <s v="Middle"/>
    <n v="0"/>
    <s v="Multi-Day"/>
    <n v="0"/>
    <n v="0"/>
    <s v="Main Entrance"/>
    <s v="Mickey &amp; Friends"/>
    <n v="11.4"/>
    <n v="13"/>
    <x v="1504"/>
  </r>
  <r>
    <n v="1566"/>
    <n v="506"/>
    <d v="2026-05-31T00:00:00"/>
    <s v="Sunday"/>
    <n v="5"/>
    <n v="8.32"/>
    <x v="0"/>
    <x v="29"/>
    <s v="Male"/>
    <n v="65.400000000000006"/>
    <n v="124"/>
    <n v="20.399999999999999"/>
    <n v="14"/>
    <s v="CA"/>
    <n v="4"/>
    <n v="37.5"/>
    <s v="Middle"/>
    <n v="0"/>
    <s v="Multi-Day"/>
    <n v="0"/>
    <n v="0"/>
    <s v="Main Entrance"/>
    <s v="Mickey &amp; Friends"/>
    <n v="8.6999999999999993"/>
    <n v="9"/>
    <x v="1505"/>
  </r>
  <r>
    <n v="1567"/>
    <n v="506"/>
    <d v="2026-05-31T00:00:00"/>
    <s v="Sunday"/>
    <n v="5"/>
    <n v="8.35"/>
    <x v="0"/>
    <x v="28"/>
    <s v="Male"/>
    <n v="69"/>
    <n v="201.1"/>
    <n v="29.6"/>
    <n v="12"/>
    <s v="CA"/>
    <n v="4"/>
    <n v="37.5"/>
    <s v="Middle"/>
    <n v="0"/>
    <s v="Multi-Day"/>
    <n v="0"/>
    <n v="0"/>
    <s v="Main Entrance"/>
    <s v="Mickey &amp; Friends"/>
    <n v="7.9"/>
    <n v="9"/>
    <x v="1506"/>
  </r>
  <r>
    <n v="1568"/>
    <n v="507"/>
    <d v="2026-11-11T00:00:00"/>
    <s v="Wednesday"/>
    <n v="11"/>
    <n v="11"/>
    <x v="1"/>
    <x v="39"/>
    <s v="Male"/>
    <n v="65.900000000000006"/>
    <n v="185.2"/>
    <n v="30.1"/>
    <n v="15"/>
    <s v="CA"/>
    <n v="2"/>
    <n v="127.3"/>
    <s v="Middle"/>
    <n v="0"/>
    <s v="Single-Day"/>
    <n v="0"/>
    <n v="0"/>
    <s v="Main Entrance"/>
    <s v="Toy Story Lot"/>
    <n v="4.9000000000000004"/>
    <n v="8"/>
    <x v="1507"/>
  </r>
  <r>
    <n v="1569"/>
    <n v="507"/>
    <d v="2026-11-11T00:00:00"/>
    <s v="Wednesday"/>
    <n v="11"/>
    <n v="10.86"/>
    <x v="0"/>
    <x v="49"/>
    <s v="Female"/>
    <n v="67.900000000000006"/>
    <n v="160.4"/>
    <n v="24.4"/>
    <n v="15"/>
    <s v="CA"/>
    <n v="2"/>
    <n v="127.3"/>
    <s v="Middle"/>
    <n v="0"/>
    <s v="Single-Day"/>
    <n v="0"/>
    <n v="0"/>
    <s v="Main Entrance"/>
    <s v="Toy Story Lot"/>
    <n v="6.2"/>
    <n v="6"/>
    <x v="1508"/>
  </r>
  <r>
    <n v="1570"/>
    <n v="508"/>
    <d v="2026-06-27T00:00:00"/>
    <s v="Saturday"/>
    <n v="6"/>
    <n v="11.64"/>
    <x v="1"/>
    <x v="16"/>
    <s v="Male"/>
    <n v="60.7"/>
    <n v="98.3"/>
    <n v="18.8"/>
    <n v="13"/>
    <s v="CA"/>
    <n v="2"/>
    <n v="104.5"/>
    <s v="Low"/>
    <n v="0"/>
    <s v="Single-Day"/>
    <n v="0"/>
    <n v="0"/>
    <s v="Downtown Disney Gate"/>
    <s v="Toy Story Lot"/>
    <n v="7.5"/>
    <n v="5"/>
    <x v="1509"/>
  </r>
  <r>
    <n v="1571"/>
    <n v="508"/>
    <d v="2026-06-27T00:00:00"/>
    <s v="Saturday"/>
    <n v="6"/>
    <n v="11.57"/>
    <x v="1"/>
    <x v="60"/>
    <s v="Male"/>
    <n v="61.2"/>
    <n v="116.6"/>
    <n v="21.9"/>
    <n v="9"/>
    <s v="CA"/>
    <n v="2"/>
    <n v="104.5"/>
    <s v="Low"/>
    <n v="0"/>
    <s v="Single-Day"/>
    <n v="0"/>
    <n v="0"/>
    <s v="Downtown Disney Gate"/>
    <s v="Toy Story Lot"/>
    <n v="8.1"/>
    <n v="10"/>
    <x v="1510"/>
  </r>
  <r>
    <n v="1572"/>
    <n v="509"/>
    <d v="2026-05-24T00:00:00"/>
    <s v="Sunday"/>
    <n v="5"/>
    <n v="12.37"/>
    <x v="1"/>
    <x v="27"/>
    <s v="Female"/>
    <n v="62.8"/>
    <n v="175.3"/>
    <n v="31.1"/>
    <n v="13"/>
    <s v="NV"/>
    <n v="2"/>
    <n v="304.3"/>
    <s v="Middle"/>
    <n v="0"/>
    <s v="Single-Day"/>
    <n v="0"/>
    <n v="1"/>
    <s v="Main Entrance"/>
    <s v="None/Walked from Resort"/>
    <n v="6.3"/>
    <n v="3"/>
    <x v="1511"/>
  </r>
  <r>
    <n v="1573"/>
    <n v="509"/>
    <d v="2026-05-24T00:00:00"/>
    <s v="Sunday"/>
    <n v="5"/>
    <n v="12.66"/>
    <x v="1"/>
    <x v="8"/>
    <s v="Male"/>
    <n v="71.7"/>
    <n v="173.7"/>
    <n v="23.8"/>
    <n v="14"/>
    <s v="NV"/>
    <n v="2"/>
    <n v="304.3"/>
    <s v="Middle"/>
    <n v="0"/>
    <s v="Single-Day"/>
    <n v="0"/>
    <n v="1"/>
    <s v="Main Entrance"/>
    <s v="None/Walked from Resort"/>
    <n v="6.7"/>
    <n v="10"/>
    <x v="1512"/>
  </r>
  <r>
    <n v="1574"/>
    <n v="510"/>
    <d v="2026-06-23T00:00:00"/>
    <s v="Tuesday"/>
    <n v="6"/>
    <n v="9.84"/>
    <x v="0"/>
    <x v="11"/>
    <s v="Female"/>
    <n v="62.4"/>
    <n v="121.4"/>
    <n v="22.2"/>
    <n v="15"/>
    <s v="CA"/>
    <n v="2"/>
    <n v="100.2"/>
    <s v="Low"/>
    <n v="0"/>
    <s v="Single-Day"/>
    <n v="0"/>
    <n v="0"/>
    <s v="Main Entrance"/>
    <s v="Mickey &amp; Friends"/>
    <n v="6.6"/>
    <n v="7"/>
    <x v="1513"/>
  </r>
  <r>
    <n v="1575"/>
    <n v="510"/>
    <d v="2026-06-23T00:00:00"/>
    <s v="Tuesday"/>
    <n v="6"/>
    <n v="9.7799999999999994"/>
    <x v="0"/>
    <x v="47"/>
    <s v="Female"/>
    <n v="67.599999999999994"/>
    <n v="144.19999999999999"/>
    <n v="22.4"/>
    <n v="15"/>
    <s v="CA"/>
    <n v="2"/>
    <n v="100.2"/>
    <s v="Low"/>
    <n v="0"/>
    <s v="Single-Day"/>
    <n v="0"/>
    <n v="0"/>
    <s v="Main Entrance"/>
    <s v="Mickey &amp; Friends"/>
    <n v="8.3000000000000007"/>
    <n v="9"/>
    <x v="1514"/>
  </r>
  <r>
    <n v="1576"/>
    <n v="511"/>
    <d v="2026-08-02T00:00:00"/>
    <s v="Sunday"/>
    <n v="8"/>
    <n v="9.11"/>
    <x v="0"/>
    <x v="65"/>
    <s v="Female"/>
    <n v="67.599999999999994"/>
    <n v="144.9"/>
    <n v="22.5"/>
    <n v="20"/>
    <s v="AZ"/>
    <n v="3"/>
    <n v="306.7"/>
    <s v="High"/>
    <n v="1"/>
    <s v="Single-Day"/>
    <n v="0"/>
    <n v="1"/>
    <s v="Main Entrance"/>
    <s v="Toy Story Lot"/>
    <n v="10.1"/>
    <n v="6"/>
    <x v="1515"/>
  </r>
  <r>
    <n v="1577"/>
    <n v="511"/>
    <d v="2026-08-02T00:00:00"/>
    <s v="Sunday"/>
    <n v="8"/>
    <n v="9.43"/>
    <x v="0"/>
    <x v="38"/>
    <s v="Male"/>
    <n v="64.900000000000006"/>
    <n v="179.8"/>
    <n v="30.3"/>
    <n v="15"/>
    <s v="AZ"/>
    <n v="3"/>
    <n v="306.7"/>
    <s v="High"/>
    <n v="1"/>
    <s v="Single-Day"/>
    <n v="0"/>
    <n v="1"/>
    <s v="Main Entrance"/>
    <s v="Toy Story Lot"/>
    <n v="12.1"/>
    <n v="12"/>
    <x v="1516"/>
  </r>
  <r>
    <n v="1578"/>
    <n v="511"/>
    <d v="2026-08-02T00:00:00"/>
    <s v="Sunday"/>
    <n v="8"/>
    <n v="9.23"/>
    <x v="0"/>
    <x v="42"/>
    <s v="Female"/>
    <n v="61.2"/>
    <n v="117.6"/>
    <n v="21.9"/>
    <n v="15"/>
    <s v="AZ"/>
    <n v="3"/>
    <n v="306.7"/>
    <s v="High"/>
    <n v="1"/>
    <s v="Single-Day"/>
    <n v="0"/>
    <n v="1"/>
    <s v="Main Entrance"/>
    <s v="Toy Story Lot"/>
    <n v="8.6"/>
    <n v="5"/>
    <x v="901"/>
  </r>
  <r>
    <n v="1579"/>
    <n v="512"/>
    <d v="2026-04-21T00:00:00"/>
    <s v="Tuesday"/>
    <n v="4"/>
    <n v="11.63"/>
    <x v="1"/>
    <x v="47"/>
    <s v="Male"/>
    <n v="65.5"/>
    <n v="175.8"/>
    <n v="28.9"/>
    <n v="15"/>
    <s v="CO"/>
    <n v="3"/>
    <n v="1595"/>
    <s v="Middle"/>
    <n v="1"/>
    <s v="Single-Day"/>
    <n v="0"/>
    <n v="0"/>
    <s v="Hotel Guest Entrance"/>
    <s v="None/Dropoff/Transit"/>
    <n v="8.1"/>
    <n v="1"/>
    <x v="1517"/>
  </r>
  <r>
    <n v="1580"/>
    <n v="512"/>
    <d v="2026-04-21T00:00:00"/>
    <s v="Tuesday"/>
    <n v="4"/>
    <n v="11.55"/>
    <x v="1"/>
    <x v="12"/>
    <s v="Male"/>
    <n v="57.5"/>
    <n v="97"/>
    <n v="20.3"/>
    <n v="13"/>
    <s v="CO"/>
    <n v="3"/>
    <n v="1595"/>
    <s v="Middle"/>
    <n v="1"/>
    <s v="Single-Day"/>
    <n v="0"/>
    <n v="0"/>
    <s v="Hotel Guest Entrance"/>
    <s v="None/Dropoff/Transit"/>
    <n v="6.8"/>
    <n v="8"/>
    <x v="1518"/>
  </r>
  <r>
    <n v="1581"/>
    <n v="512"/>
    <d v="2026-04-21T00:00:00"/>
    <s v="Tuesday"/>
    <n v="4"/>
    <n v="11.88"/>
    <x v="1"/>
    <x v="4"/>
    <s v="Male"/>
    <n v="67.599999999999994"/>
    <n v="207.1"/>
    <n v="32.1"/>
    <n v="19"/>
    <s v="CO"/>
    <n v="3"/>
    <n v="1595"/>
    <s v="Middle"/>
    <n v="1"/>
    <s v="Single-Day"/>
    <n v="0"/>
    <n v="0"/>
    <s v="Hotel Guest Entrance"/>
    <s v="None/Dropoff/Transit"/>
    <n v="8"/>
    <n v="2"/>
    <x v="1519"/>
  </r>
  <r>
    <n v="1582"/>
    <n v="513"/>
    <d v="2026-10-26T00:00:00"/>
    <s v="Monday"/>
    <n v="10"/>
    <n v="11.89"/>
    <x v="1"/>
    <x v="10"/>
    <s v="Female"/>
    <n v="58"/>
    <n v="153.69999999999999"/>
    <n v="31.9"/>
    <n v="15"/>
    <s v="CA"/>
    <n v="2"/>
    <n v="13.2"/>
    <s v="Middle"/>
    <n v="0"/>
    <s v="Multi-Day"/>
    <n v="0"/>
    <n v="1"/>
    <s v="Hotel Guest Entrance"/>
    <s v="None/Walked from Resort"/>
    <n v="9.3000000000000007"/>
    <n v="7"/>
    <x v="1520"/>
  </r>
  <r>
    <n v="1583"/>
    <n v="513"/>
    <d v="2026-10-26T00:00:00"/>
    <s v="Monday"/>
    <n v="10"/>
    <n v="11.9"/>
    <x v="1"/>
    <x v="48"/>
    <s v="Female"/>
    <n v="60"/>
    <n v="152.9"/>
    <n v="29.7"/>
    <n v="18"/>
    <s v="CA"/>
    <n v="2"/>
    <n v="13.2"/>
    <s v="Middle"/>
    <n v="0"/>
    <s v="Multi-Day"/>
    <n v="0"/>
    <n v="1"/>
    <s v="Hotel Guest Entrance"/>
    <s v="None/Walked from Resort"/>
    <n v="8"/>
    <n v="5"/>
    <x v="1521"/>
  </r>
  <r>
    <n v="1584"/>
    <n v="514"/>
    <d v="2026-03-05T00:00:00"/>
    <s v="Thursday"/>
    <n v="3"/>
    <n v="12.04"/>
    <x v="1"/>
    <x v="31"/>
    <s v="Female"/>
    <n v="62.8"/>
    <n v="143.30000000000001"/>
    <n v="25.4"/>
    <n v="14"/>
    <s v="UT"/>
    <n v="2"/>
    <n v="546.79999999999995"/>
    <s v="Middle"/>
    <n v="0"/>
    <s v="Park Hopper"/>
    <n v="1"/>
    <n v="1"/>
    <s v="Main Entrance"/>
    <s v="None/Walked from Resort"/>
    <n v="5.9"/>
    <n v="6"/>
    <x v="1522"/>
  </r>
  <r>
    <n v="1585"/>
    <n v="514"/>
    <d v="2026-03-05T00:00:00"/>
    <s v="Thursday"/>
    <n v="3"/>
    <n v="12.3"/>
    <x v="1"/>
    <x v="39"/>
    <s v="Male"/>
    <n v="69.599999999999994"/>
    <n v="257.7"/>
    <n v="37.5"/>
    <n v="17"/>
    <s v="UT"/>
    <n v="2"/>
    <n v="546.79999999999995"/>
    <s v="Middle"/>
    <n v="0"/>
    <s v="Park Hopper"/>
    <n v="1"/>
    <n v="1"/>
    <s v="Main Entrance"/>
    <s v="None/Walked from Resort"/>
    <n v="10.8"/>
    <n v="9"/>
    <x v="1523"/>
  </r>
  <r>
    <n v="1586"/>
    <n v="515"/>
    <d v="2026-07-02T00:00:00"/>
    <s v="Thursday"/>
    <n v="7"/>
    <n v="10.01"/>
    <x v="0"/>
    <x v="0"/>
    <s v="Male"/>
    <n v="69.599999999999994"/>
    <n v="189.9"/>
    <n v="27.6"/>
    <n v="19"/>
    <s v="TX"/>
    <n v="6"/>
    <n v="1408.6"/>
    <s v="Middle"/>
    <n v="1"/>
    <s v="Single-Day"/>
    <n v="1"/>
    <n v="0"/>
    <s v="Main Entrance"/>
    <s v="Toy Story Lot"/>
    <n v="8.1"/>
    <n v="11"/>
    <x v="288"/>
  </r>
  <r>
    <n v="1587"/>
    <n v="515"/>
    <d v="2026-07-02T00:00:00"/>
    <s v="Thursday"/>
    <n v="7"/>
    <n v="9.74"/>
    <x v="0"/>
    <x v="10"/>
    <s v="Female"/>
    <n v="67"/>
    <n v="162.30000000000001"/>
    <n v="25.2"/>
    <n v="16"/>
    <s v="TX"/>
    <n v="6"/>
    <n v="1408.6"/>
    <s v="Middle"/>
    <n v="1"/>
    <s v="Single-Day"/>
    <n v="1"/>
    <n v="0"/>
    <s v="Main Entrance"/>
    <s v="Toy Story Lot"/>
    <n v="8"/>
    <n v="10"/>
    <x v="1524"/>
  </r>
  <r>
    <n v="1588"/>
    <n v="515"/>
    <d v="2026-07-02T00:00:00"/>
    <s v="Thursday"/>
    <n v="7"/>
    <n v="9.84"/>
    <x v="0"/>
    <x v="41"/>
    <s v="Female"/>
    <n v="65.7"/>
    <n v="180.4"/>
    <n v="29.4"/>
    <n v="14"/>
    <s v="TX"/>
    <n v="6"/>
    <n v="1408.6"/>
    <s v="Middle"/>
    <n v="1"/>
    <s v="Single-Day"/>
    <n v="1"/>
    <n v="0"/>
    <s v="Main Entrance"/>
    <s v="Toy Story Lot"/>
    <n v="8.6"/>
    <n v="7"/>
    <x v="1525"/>
  </r>
  <r>
    <n v="1589"/>
    <n v="515"/>
    <d v="2026-07-02T00:00:00"/>
    <s v="Thursday"/>
    <n v="7"/>
    <n v="9.92"/>
    <x v="0"/>
    <x v="69"/>
    <s v="Female"/>
    <n v="65"/>
    <n v="112.5"/>
    <n v="18.899999999999999"/>
    <n v="14"/>
    <s v="TX"/>
    <n v="6"/>
    <n v="1408.6"/>
    <s v="Middle"/>
    <n v="1"/>
    <s v="Single-Day"/>
    <n v="1"/>
    <n v="0"/>
    <s v="Main Entrance"/>
    <s v="Toy Story Lot"/>
    <n v="7.9"/>
    <n v="7"/>
    <x v="1526"/>
  </r>
  <r>
    <n v="1590"/>
    <n v="515"/>
    <d v="2026-07-02T00:00:00"/>
    <s v="Thursday"/>
    <n v="7"/>
    <n v="9.84"/>
    <x v="0"/>
    <x v="50"/>
    <s v="Male"/>
    <n v="69.2"/>
    <n v="132.6"/>
    <n v="19.600000000000001"/>
    <n v="16"/>
    <s v="TX"/>
    <n v="6"/>
    <n v="1408.6"/>
    <s v="Middle"/>
    <n v="1"/>
    <s v="Single-Day"/>
    <n v="1"/>
    <n v="0"/>
    <s v="Main Entrance"/>
    <s v="Toy Story Lot"/>
    <n v="6.7"/>
    <n v="6"/>
    <x v="1527"/>
  </r>
  <r>
    <n v="1591"/>
    <n v="515"/>
    <d v="2026-07-02T00:00:00"/>
    <s v="Thursday"/>
    <n v="7"/>
    <n v="9.6999999999999993"/>
    <x v="0"/>
    <x v="4"/>
    <s v="Female"/>
    <n v="65.2"/>
    <n v="149.69999999999999"/>
    <n v="24.9"/>
    <n v="15"/>
    <s v="TX"/>
    <n v="6"/>
    <n v="1408.6"/>
    <s v="Middle"/>
    <n v="1"/>
    <s v="Single-Day"/>
    <n v="1"/>
    <n v="0"/>
    <s v="Main Entrance"/>
    <s v="Toy Story Lot"/>
    <n v="8.8000000000000007"/>
    <n v="10"/>
    <x v="1528"/>
  </r>
  <r>
    <n v="1592"/>
    <n v="516"/>
    <d v="2026-07-12T00:00:00"/>
    <s v="Sunday"/>
    <n v="7"/>
    <n v="10.6"/>
    <x v="0"/>
    <x v="6"/>
    <s v="Male"/>
    <n v="68.5"/>
    <n v="164.2"/>
    <n v="24.6"/>
    <n v="12"/>
    <s v="CA"/>
    <n v="2"/>
    <n v="14.8"/>
    <s v="High"/>
    <n v="0"/>
    <s v="Single-Day"/>
    <n v="0"/>
    <n v="1"/>
    <s v="Main Entrance"/>
    <s v="None/Walked from Resort"/>
    <n v="8.9"/>
    <n v="10"/>
    <x v="1529"/>
  </r>
  <r>
    <n v="1593"/>
    <n v="516"/>
    <d v="2026-07-12T00:00:00"/>
    <s v="Sunday"/>
    <n v="7"/>
    <n v="10.37"/>
    <x v="0"/>
    <x v="12"/>
    <s v="Male"/>
    <n v="60.4"/>
    <n v="135.69999999999999"/>
    <n v="25.9"/>
    <n v="14"/>
    <s v="CA"/>
    <n v="2"/>
    <n v="14.8"/>
    <s v="High"/>
    <n v="0"/>
    <s v="Single-Day"/>
    <n v="0"/>
    <n v="1"/>
    <s v="Main Entrance"/>
    <s v="None/Walked from Resort"/>
    <n v="9.4"/>
    <n v="5"/>
    <x v="1530"/>
  </r>
  <r>
    <n v="1594"/>
    <n v="517"/>
    <d v="2026-09-29T00:00:00"/>
    <s v="Tuesday"/>
    <n v="9"/>
    <n v="9.34"/>
    <x v="0"/>
    <x v="52"/>
    <s v="Male"/>
    <n v="68.3"/>
    <n v="162.30000000000001"/>
    <n v="24.4"/>
    <n v="15"/>
    <s v="SD"/>
    <n v="2"/>
    <n v="1548.9"/>
    <s v="Low"/>
    <n v="1"/>
    <s v="Park Hopper"/>
    <n v="0"/>
    <n v="0"/>
    <s v="Downtown Disney Gate"/>
    <s v="Mickey &amp; Friends"/>
    <n v="10"/>
    <n v="14"/>
    <x v="1531"/>
  </r>
  <r>
    <n v="1595"/>
    <n v="517"/>
    <d v="2026-09-29T00:00:00"/>
    <s v="Tuesday"/>
    <n v="9"/>
    <n v="9.4499999999999993"/>
    <x v="0"/>
    <x v="1"/>
    <s v="Male"/>
    <n v="69.8"/>
    <n v="164.9"/>
    <n v="23.9"/>
    <n v="15"/>
    <s v="SD"/>
    <n v="2"/>
    <n v="1548.9"/>
    <s v="Low"/>
    <n v="1"/>
    <s v="Park Hopper"/>
    <n v="0"/>
    <n v="0"/>
    <s v="Downtown Disney Gate"/>
    <s v="Mickey &amp; Friends"/>
    <n v="8"/>
    <n v="10"/>
    <x v="1265"/>
  </r>
  <r>
    <n v="1596"/>
    <n v="518"/>
    <d v="2026-05-12T00:00:00"/>
    <s v="Tuesday"/>
    <n v="5"/>
    <n v="10.76"/>
    <x v="0"/>
    <x v="38"/>
    <s v="Male"/>
    <n v="67.400000000000006"/>
    <n v="148.30000000000001"/>
    <n v="22.8"/>
    <n v="10"/>
    <s v="CO"/>
    <n v="4"/>
    <n v="858"/>
    <s v="Middle"/>
    <n v="1"/>
    <s v="Single-Day"/>
    <n v="0"/>
    <n v="0"/>
    <s v="Main Entrance"/>
    <s v="Toy Story Lot"/>
    <n v="5.3"/>
    <n v="8"/>
    <x v="1532"/>
  </r>
  <r>
    <n v="1597"/>
    <n v="518"/>
    <d v="2026-05-12T00:00:00"/>
    <s v="Tuesday"/>
    <n v="5"/>
    <n v="10.58"/>
    <x v="0"/>
    <x v="2"/>
    <s v="Male"/>
    <n v="70.099999999999994"/>
    <n v="164.5"/>
    <n v="23.8"/>
    <n v="15"/>
    <s v="CO"/>
    <n v="4"/>
    <n v="858"/>
    <s v="Middle"/>
    <n v="1"/>
    <s v="Single-Day"/>
    <n v="0"/>
    <n v="0"/>
    <s v="Main Entrance"/>
    <s v="Toy Story Lot"/>
    <n v="7.9"/>
    <n v="8"/>
    <x v="1533"/>
  </r>
  <r>
    <n v="1598"/>
    <n v="518"/>
    <d v="2026-05-12T00:00:00"/>
    <s v="Tuesday"/>
    <n v="5"/>
    <n v="10.76"/>
    <x v="0"/>
    <x v="23"/>
    <s v="Female"/>
    <n v="63"/>
    <n v="137.30000000000001"/>
    <n v="24.4"/>
    <n v="14"/>
    <s v="CO"/>
    <n v="4"/>
    <n v="858"/>
    <s v="Middle"/>
    <n v="1"/>
    <s v="Single-Day"/>
    <n v="0"/>
    <n v="0"/>
    <s v="Main Entrance"/>
    <s v="Toy Story Lot"/>
    <n v="10.7"/>
    <n v="13"/>
    <x v="1534"/>
  </r>
  <r>
    <n v="1599"/>
    <n v="518"/>
    <d v="2026-05-12T00:00:00"/>
    <s v="Tuesday"/>
    <n v="5"/>
    <n v="10.82"/>
    <x v="0"/>
    <x v="17"/>
    <s v="Male"/>
    <n v="69.7"/>
    <n v="221.3"/>
    <n v="32"/>
    <n v="17"/>
    <s v="CO"/>
    <n v="4"/>
    <n v="858"/>
    <s v="Middle"/>
    <n v="1"/>
    <s v="Single-Day"/>
    <n v="0"/>
    <n v="0"/>
    <s v="Main Entrance"/>
    <s v="Toy Story Lot"/>
    <n v="8.5"/>
    <n v="9"/>
    <x v="1535"/>
  </r>
  <r>
    <n v="1600"/>
    <n v="519"/>
    <d v="2026-02-20T00:00:00"/>
    <s v="Friday"/>
    <n v="2"/>
    <n v="10.51"/>
    <x v="0"/>
    <x v="56"/>
    <s v="Male"/>
    <n v="70.2"/>
    <n v="186.8"/>
    <n v="26.7"/>
    <n v="13"/>
    <s v="TX"/>
    <n v="1"/>
    <n v="1648.7"/>
    <s v="Middle"/>
    <n v="1"/>
    <s v="Single-Day"/>
    <n v="1"/>
    <n v="0"/>
    <s v="Main Entrance"/>
    <s v="Mickey &amp; Friends"/>
    <n v="8.1"/>
    <n v="4"/>
    <x v="1536"/>
  </r>
  <r>
    <n v="1601"/>
    <n v="520"/>
    <d v="2026-11-15T00:00:00"/>
    <s v="Sunday"/>
    <n v="11"/>
    <n v="11.04"/>
    <x v="1"/>
    <x v="1"/>
    <s v="Male"/>
    <n v="68.900000000000006"/>
    <n v="211.7"/>
    <n v="31.3"/>
    <n v="16"/>
    <s v="TX"/>
    <n v="2"/>
    <n v="1370.4"/>
    <s v="Middle"/>
    <n v="1"/>
    <s v="Single-Day"/>
    <n v="0"/>
    <n v="1"/>
    <s v="Main Entrance"/>
    <s v="None/Walked from Resort"/>
    <n v="8.5"/>
    <n v="12"/>
    <x v="1537"/>
  </r>
  <r>
    <n v="1602"/>
    <n v="520"/>
    <d v="2026-11-15T00:00:00"/>
    <s v="Sunday"/>
    <n v="11"/>
    <n v="10.95"/>
    <x v="0"/>
    <x v="36"/>
    <s v="Male"/>
    <n v="68.3"/>
    <n v="200.8"/>
    <n v="30.4"/>
    <n v="16"/>
    <s v="TX"/>
    <n v="2"/>
    <n v="1370.4"/>
    <s v="Middle"/>
    <n v="1"/>
    <s v="Single-Day"/>
    <n v="0"/>
    <n v="1"/>
    <s v="Main Entrance"/>
    <s v="None/Walked from Resort"/>
    <n v="7.4"/>
    <n v="11"/>
    <x v="1538"/>
  </r>
  <r>
    <n v="1603"/>
    <n v="521"/>
    <d v="2026-05-22T00:00:00"/>
    <s v="Friday"/>
    <n v="5"/>
    <n v="8.41"/>
    <x v="0"/>
    <x v="28"/>
    <s v="Female"/>
    <n v="61.4"/>
    <n v="143.6"/>
    <n v="27.1"/>
    <n v="16"/>
    <s v="CA"/>
    <n v="3"/>
    <n v="74"/>
    <s v="Middle"/>
    <n v="0"/>
    <s v="Single-Day"/>
    <n v="0"/>
    <n v="0"/>
    <s v="Main Entrance"/>
    <s v="Toy Story Lot"/>
    <n v="6.2"/>
    <n v="13"/>
    <x v="1539"/>
  </r>
  <r>
    <n v="1604"/>
    <n v="521"/>
    <d v="2026-05-22T00:00:00"/>
    <s v="Friday"/>
    <n v="5"/>
    <n v="8.42"/>
    <x v="0"/>
    <x v="69"/>
    <s v="Female"/>
    <n v="61.9"/>
    <n v="143.5"/>
    <n v="26.1"/>
    <n v="15"/>
    <s v="CA"/>
    <n v="3"/>
    <n v="74"/>
    <s v="Middle"/>
    <n v="0"/>
    <s v="Single-Day"/>
    <n v="0"/>
    <n v="0"/>
    <s v="Main Entrance"/>
    <s v="Toy Story Lot"/>
    <n v="8.4"/>
    <n v="7"/>
    <x v="1540"/>
  </r>
  <r>
    <n v="1605"/>
    <n v="521"/>
    <d v="2026-05-22T00:00:00"/>
    <s v="Friday"/>
    <n v="5"/>
    <n v="8.3699999999999992"/>
    <x v="0"/>
    <x v="25"/>
    <s v="Male"/>
    <n v="73.5"/>
    <n v="163.9"/>
    <n v="21.3"/>
    <n v="16"/>
    <s v="CA"/>
    <n v="3"/>
    <n v="74"/>
    <s v="Middle"/>
    <n v="0"/>
    <s v="Single-Day"/>
    <n v="0"/>
    <n v="0"/>
    <s v="Main Entrance"/>
    <s v="Toy Story Lot"/>
    <n v="6.3"/>
    <n v="6"/>
    <x v="1541"/>
  </r>
  <r>
    <n v="1606"/>
    <n v="522"/>
    <d v="2026-02-01T00:00:00"/>
    <s v="Sunday"/>
    <n v="2"/>
    <n v="10.14"/>
    <x v="0"/>
    <x v="35"/>
    <s v="Female"/>
    <n v="69.400000000000006"/>
    <n v="194.7"/>
    <n v="28.3"/>
    <n v="14"/>
    <s v="TX"/>
    <n v="3"/>
    <n v="1295.8"/>
    <s v="Low"/>
    <n v="0"/>
    <s v="Single-Day"/>
    <n v="1"/>
    <n v="1"/>
    <s v="Downtown Disney Gate"/>
    <s v="None/Walked from Resort"/>
    <n v="4.7"/>
    <n v="5"/>
    <x v="1542"/>
  </r>
  <r>
    <n v="1607"/>
    <n v="522"/>
    <d v="2026-02-01T00:00:00"/>
    <s v="Sunday"/>
    <n v="2"/>
    <n v="10.1"/>
    <x v="0"/>
    <x v="51"/>
    <s v="Male"/>
    <n v="64.900000000000006"/>
    <n v="163"/>
    <n v="27.2"/>
    <n v="14"/>
    <s v="TX"/>
    <n v="3"/>
    <n v="1295.8"/>
    <s v="Low"/>
    <n v="0"/>
    <s v="Single-Day"/>
    <n v="1"/>
    <n v="1"/>
    <s v="Downtown Disney Gate"/>
    <s v="None/Walked from Resort"/>
    <n v="11"/>
    <n v="8"/>
    <x v="1543"/>
  </r>
  <r>
    <n v="1608"/>
    <n v="522"/>
    <d v="2026-02-01T00:00:00"/>
    <s v="Sunday"/>
    <n v="2"/>
    <n v="10.06"/>
    <x v="0"/>
    <x v="38"/>
    <s v="Male"/>
    <n v="68.5"/>
    <n v="140.30000000000001"/>
    <n v="21.1"/>
    <n v="12"/>
    <s v="TX"/>
    <n v="3"/>
    <n v="1295.8"/>
    <s v="Low"/>
    <n v="0"/>
    <s v="Single-Day"/>
    <n v="1"/>
    <n v="1"/>
    <s v="Downtown Disney Gate"/>
    <s v="None/Walked from Resort"/>
    <n v="7.7"/>
    <n v="3"/>
    <x v="1544"/>
  </r>
  <r>
    <n v="1609"/>
    <n v="523"/>
    <d v="2026-09-21T00:00:00"/>
    <s v="Monday"/>
    <n v="9"/>
    <n v="12.57"/>
    <x v="1"/>
    <x v="39"/>
    <s v="Male"/>
    <n v="71.8"/>
    <n v="194.3"/>
    <n v="26.3"/>
    <n v="16"/>
    <s v="WA"/>
    <n v="2"/>
    <n v="970.3"/>
    <s v="Middle"/>
    <n v="0"/>
    <s v="Single-Day"/>
    <n v="0"/>
    <n v="0"/>
    <s v="Main Entrance"/>
    <s v="None/Dropoff/Transit"/>
    <n v="8.6"/>
    <n v="7"/>
    <x v="1545"/>
  </r>
  <r>
    <n v="1610"/>
    <n v="523"/>
    <d v="2026-09-21T00:00:00"/>
    <s v="Monday"/>
    <n v="9"/>
    <n v="12.91"/>
    <x v="1"/>
    <x v="59"/>
    <s v="Female"/>
    <n v="66.3"/>
    <n v="135.69999999999999"/>
    <n v="21.5"/>
    <n v="14"/>
    <s v="WA"/>
    <n v="2"/>
    <n v="970.3"/>
    <s v="Middle"/>
    <n v="0"/>
    <s v="Single-Day"/>
    <n v="0"/>
    <n v="0"/>
    <s v="Main Entrance"/>
    <s v="None/Dropoff/Transit"/>
    <n v="6.2"/>
    <n v="5"/>
    <x v="1546"/>
  </r>
  <r>
    <n v="1611"/>
    <n v="524"/>
    <d v="2026-03-28T00:00:00"/>
    <s v="Saturday"/>
    <n v="3"/>
    <n v="9.52"/>
    <x v="0"/>
    <x v="66"/>
    <s v="Female"/>
    <n v="61.5"/>
    <n v="187.6"/>
    <n v="34.799999999999997"/>
    <n v="13"/>
    <s v="FL"/>
    <n v="5"/>
    <n v="2282"/>
    <s v="Middle"/>
    <n v="0"/>
    <s v="Single-Day"/>
    <n v="0"/>
    <n v="0"/>
    <s v="Main Entrance"/>
    <s v="Pixar Pals"/>
    <n v="8.8000000000000007"/>
    <n v="12"/>
    <x v="1547"/>
  </r>
  <r>
    <n v="1612"/>
    <n v="524"/>
    <d v="2026-03-28T00:00:00"/>
    <s v="Saturday"/>
    <n v="3"/>
    <n v="9.64"/>
    <x v="0"/>
    <x v="10"/>
    <s v="Female"/>
    <n v="65.900000000000006"/>
    <n v="195.4"/>
    <n v="31.7"/>
    <n v="15"/>
    <s v="FL"/>
    <n v="5"/>
    <n v="2282"/>
    <s v="Middle"/>
    <n v="0"/>
    <s v="Single-Day"/>
    <n v="0"/>
    <n v="0"/>
    <s v="Main Entrance"/>
    <s v="Pixar Pals"/>
    <n v="7.6"/>
    <n v="6"/>
    <x v="1548"/>
  </r>
  <r>
    <n v="1613"/>
    <n v="524"/>
    <d v="2026-03-28T00:00:00"/>
    <s v="Saturday"/>
    <n v="3"/>
    <n v="9.34"/>
    <x v="0"/>
    <x v="66"/>
    <s v="Male"/>
    <n v="69.8"/>
    <n v="213.8"/>
    <n v="30.9"/>
    <n v="14"/>
    <s v="FL"/>
    <n v="5"/>
    <n v="2282"/>
    <s v="Middle"/>
    <n v="0"/>
    <s v="Single-Day"/>
    <n v="0"/>
    <n v="0"/>
    <s v="Main Entrance"/>
    <s v="Pixar Pals"/>
    <n v="10"/>
    <n v="8"/>
    <x v="1549"/>
  </r>
  <r>
    <n v="1614"/>
    <n v="524"/>
    <d v="2026-03-28T00:00:00"/>
    <s v="Saturday"/>
    <n v="3"/>
    <n v="9.36"/>
    <x v="0"/>
    <x v="25"/>
    <s v="Male"/>
    <n v="72.7"/>
    <n v="156.9"/>
    <n v="21"/>
    <n v="15"/>
    <s v="FL"/>
    <n v="5"/>
    <n v="2282"/>
    <s v="Middle"/>
    <n v="0"/>
    <s v="Single-Day"/>
    <n v="0"/>
    <n v="0"/>
    <s v="Main Entrance"/>
    <s v="Pixar Pals"/>
    <n v="7.7"/>
    <n v="1"/>
    <x v="1550"/>
  </r>
  <r>
    <n v="1615"/>
    <n v="524"/>
    <d v="2026-03-28T00:00:00"/>
    <s v="Saturday"/>
    <n v="3"/>
    <n v="9.7200000000000006"/>
    <x v="0"/>
    <x v="12"/>
    <s v="Male"/>
    <n v="62.5"/>
    <n v="110.4"/>
    <n v="19.8"/>
    <n v="15"/>
    <s v="FL"/>
    <n v="5"/>
    <n v="2282"/>
    <s v="Middle"/>
    <n v="0"/>
    <s v="Single-Day"/>
    <n v="0"/>
    <n v="0"/>
    <s v="Main Entrance"/>
    <s v="Pixar Pals"/>
    <n v="9.5"/>
    <n v="7"/>
    <x v="1551"/>
  </r>
  <r>
    <n v="1616"/>
    <n v="525"/>
    <d v="2026-07-10T00:00:00"/>
    <s v="Friday"/>
    <n v="7"/>
    <n v="8.75"/>
    <x v="0"/>
    <x v="45"/>
    <s v="Male"/>
    <n v="71.2"/>
    <n v="161.4"/>
    <n v="22.7"/>
    <n v="17"/>
    <s v="AZ"/>
    <n v="4"/>
    <n v="478.5"/>
    <s v="Middle"/>
    <n v="1"/>
    <s v="Park Hopper"/>
    <n v="0"/>
    <n v="0"/>
    <s v="Main Entrance"/>
    <s v="Pixar Pals"/>
    <n v="9.6"/>
    <n v="4"/>
    <x v="1552"/>
  </r>
  <r>
    <n v="1617"/>
    <n v="525"/>
    <d v="2026-07-10T00:00:00"/>
    <s v="Friday"/>
    <n v="7"/>
    <n v="8.94"/>
    <x v="0"/>
    <x v="48"/>
    <s v="Male"/>
    <n v="68.2"/>
    <n v="129.6"/>
    <n v="19.7"/>
    <n v="18"/>
    <s v="AZ"/>
    <n v="4"/>
    <n v="478.5"/>
    <s v="Middle"/>
    <n v="1"/>
    <s v="Park Hopper"/>
    <n v="0"/>
    <n v="0"/>
    <s v="Main Entrance"/>
    <s v="Pixar Pals"/>
    <n v="11.2"/>
    <n v="10"/>
    <x v="1553"/>
  </r>
  <r>
    <n v="1618"/>
    <n v="525"/>
    <d v="2026-07-10T00:00:00"/>
    <s v="Friday"/>
    <n v="7"/>
    <n v="8.9700000000000006"/>
    <x v="0"/>
    <x v="13"/>
    <s v="Male"/>
    <n v="64.8"/>
    <n v="148.19999999999999"/>
    <n v="25"/>
    <n v="13"/>
    <s v="AZ"/>
    <n v="4"/>
    <n v="478.5"/>
    <s v="Middle"/>
    <n v="1"/>
    <s v="Park Hopper"/>
    <n v="0"/>
    <n v="0"/>
    <s v="Main Entrance"/>
    <s v="Pixar Pals"/>
    <n v="9.9"/>
    <n v="10"/>
    <x v="1554"/>
  </r>
  <r>
    <n v="1619"/>
    <n v="525"/>
    <d v="2026-07-10T00:00:00"/>
    <s v="Friday"/>
    <n v="7"/>
    <n v="8.9600000000000009"/>
    <x v="0"/>
    <x v="23"/>
    <s v="Female"/>
    <n v="64.3"/>
    <n v="186.8"/>
    <n v="31.5"/>
    <n v="18"/>
    <s v="AZ"/>
    <n v="4"/>
    <n v="478.5"/>
    <s v="Middle"/>
    <n v="1"/>
    <s v="Park Hopper"/>
    <n v="0"/>
    <n v="0"/>
    <s v="Main Entrance"/>
    <s v="Pixar Pals"/>
    <n v="10.4"/>
    <n v="12"/>
    <x v="1555"/>
  </r>
  <r>
    <n v="1620"/>
    <n v="526"/>
    <d v="2026-02-20T00:00:00"/>
    <s v="Friday"/>
    <n v="2"/>
    <n v="8.99"/>
    <x v="0"/>
    <x v="70"/>
    <s v="Male"/>
    <n v="70"/>
    <n v="144.1"/>
    <n v="20.7"/>
    <n v="12"/>
    <s v="WA"/>
    <n v="2"/>
    <n v="942.3"/>
    <s v="Middle"/>
    <n v="1"/>
    <s v="Park Hopper"/>
    <n v="1"/>
    <n v="1"/>
    <s v="Hotel Guest Entrance"/>
    <s v="None/Walked from Resort"/>
    <n v="8.1999999999999993"/>
    <n v="10"/>
    <x v="1556"/>
  </r>
  <r>
    <n v="1621"/>
    <n v="526"/>
    <d v="2026-02-20T00:00:00"/>
    <s v="Friday"/>
    <n v="2"/>
    <n v="9.23"/>
    <x v="0"/>
    <x v="52"/>
    <s v="Female"/>
    <n v="71.2"/>
    <n v="161.9"/>
    <n v="22.5"/>
    <n v="16"/>
    <s v="WA"/>
    <n v="2"/>
    <n v="942.3"/>
    <s v="Middle"/>
    <n v="1"/>
    <s v="Park Hopper"/>
    <n v="1"/>
    <n v="1"/>
    <s v="Hotel Guest Entrance"/>
    <s v="None/Walked from Resort"/>
    <n v="9"/>
    <n v="8"/>
    <x v="1557"/>
  </r>
  <r>
    <n v="1622"/>
    <n v="527"/>
    <d v="2026-07-30T00:00:00"/>
    <s v="Thursday"/>
    <n v="7"/>
    <n v="11.55"/>
    <x v="1"/>
    <x v="51"/>
    <s v="Male"/>
    <n v="69.400000000000006"/>
    <n v="187.5"/>
    <n v="27.3"/>
    <n v="11"/>
    <s v="WA"/>
    <n v="2"/>
    <n v="940.6"/>
    <s v="Low"/>
    <n v="1"/>
    <s v="Park Hopper"/>
    <n v="0"/>
    <n v="0"/>
    <s v="Main Entrance"/>
    <s v="Toy Story Lot"/>
    <n v="8.9"/>
    <n v="6"/>
    <x v="1558"/>
  </r>
  <r>
    <n v="1623"/>
    <n v="527"/>
    <d v="2026-07-30T00:00:00"/>
    <s v="Thursday"/>
    <n v="7"/>
    <n v="11.42"/>
    <x v="1"/>
    <x v="64"/>
    <s v="Male"/>
    <n v="44.5"/>
    <n v="61.9"/>
    <n v="22"/>
    <n v="12"/>
    <s v="WA"/>
    <n v="2"/>
    <n v="940.6"/>
    <s v="Low"/>
    <n v="1"/>
    <s v="Park Hopper"/>
    <n v="0"/>
    <n v="0"/>
    <s v="Main Entrance"/>
    <s v="Toy Story Lot"/>
    <n v="7.9"/>
    <n v="2"/>
    <x v="1559"/>
  </r>
  <r>
    <n v="1624"/>
    <n v="528"/>
    <d v="2026-06-25T00:00:00"/>
    <s v="Thursday"/>
    <n v="6"/>
    <n v="13"/>
    <x v="1"/>
    <x v="18"/>
    <s v="Male"/>
    <n v="69.900000000000006"/>
    <n v="153.5"/>
    <n v="22.1"/>
    <n v="16"/>
    <s v="OR"/>
    <n v="1"/>
    <n v="1053.4000000000001"/>
    <s v="Low"/>
    <n v="0"/>
    <s v="Multi-Day"/>
    <n v="0"/>
    <n v="0"/>
    <s v="Main Entrance"/>
    <s v="Toy Story Lot"/>
    <n v="7.3"/>
    <n v="9"/>
    <x v="1560"/>
  </r>
  <r>
    <n v="1625"/>
    <n v="529"/>
    <d v="2026-03-30T00:00:00"/>
    <s v="Monday"/>
    <n v="3"/>
    <n v="12.5"/>
    <x v="1"/>
    <x v="36"/>
    <s v="Male"/>
    <n v="70.900000000000006"/>
    <n v="197.1"/>
    <n v="27.5"/>
    <n v="14"/>
    <s v="AZ"/>
    <n v="3"/>
    <n v="198.8"/>
    <s v="Middle"/>
    <n v="1"/>
    <s v="Single-Day"/>
    <n v="0"/>
    <n v="0"/>
    <s v="Main Entrance"/>
    <s v="Toy Story Lot"/>
    <n v="8"/>
    <n v="10"/>
    <x v="1561"/>
  </r>
  <r>
    <n v="1626"/>
    <n v="529"/>
    <d v="2026-03-30T00:00:00"/>
    <s v="Monday"/>
    <n v="3"/>
    <n v="12.59"/>
    <x v="1"/>
    <x v="34"/>
    <s v="Female"/>
    <n v="62.9"/>
    <n v="138.69999999999999"/>
    <n v="24.4"/>
    <n v="16"/>
    <s v="AZ"/>
    <n v="3"/>
    <n v="198.8"/>
    <s v="Middle"/>
    <n v="1"/>
    <s v="Single-Day"/>
    <n v="0"/>
    <n v="0"/>
    <s v="Main Entrance"/>
    <s v="Toy Story Lot"/>
    <n v="7.4"/>
    <n v="3"/>
    <x v="1562"/>
  </r>
  <r>
    <n v="1627"/>
    <n v="529"/>
    <d v="2026-03-30T00:00:00"/>
    <s v="Monday"/>
    <n v="3"/>
    <n v="12.53"/>
    <x v="1"/>
    <x v="64"/>
    <s v="Male"/>
    <n v="49.9"/>
    <n v="73.099999999999994"/>
    <n v="20.7"/>
    <n v="14"/>
    <s v="AZ"/>
    <n v="3"/>
    <n v="198.8"/>
    <s v="Middle"/>
    <n v="1"/>
    <s v="Single-Day"/>
    <n v="0"/>
    <n v="0"/>
    <s v="Main Entrance"/>
    <s v="Toy Story Lot"/>
    <n v="4.4000000000000004"/>
    <n v="5"/>
    <x v="1563"/>
  </r>
  <r>
    <n v="1628"/>
    <n v="530"/>
    <d v="2026-11-29T00:00:00"/>
    <s v="Sunday"/>
    <n v="11"/>
    <n v="7.12"/>
    <x v="0"/>
    <x v="27"/>
    <s v="Female"/>
    <n v="65.7"/>
    <n v="215.5"/>
    <n v="35.200000000000003"/>
    <n v="8"/>
    <s v="MN"/>
    <n v="5"/>
    <n v="1883.8"/>
    <s v="Low"/>
    <n v="0"/>
    <s v="Single-Day"/>
    <n v="0"/>
    <n v="0"/>
    <s v="Main Entrance"/>
    <s v="Pixar Pals"/>
    <n v="6.3"/>
    <n v="5"/>
    <x v="1564"/>
  </r>
  <r>
    <n v="1629"/>
    <n v="530"/>
    <d v="2026-11-29T00:00:00"/>
    <s v="Sunday"/>
    <n v="11"/>
    <n v="7"/>
    <x v="0"/>
    <x v="52"/>
    <s v="Male"/>
    <n v="67.5"/>
    <n v="150.5"/>
    <n v="23.1"/>
    <n v="15"/>
    <s v="MN"/>
    <n v="5"/>
    <n v="1883.8"/>
    <s v="Low"/>
    <n v="0"/>
    <s v="Single-Day"/>
    <n v="0"/>
    <n v="0"/>
    <s v="Main Entrance"/>
    <s v="Pixar Pals"/>
    <n v="7.4"/>
    <n v="8"/>
    <x v="1565"/>
  </r>
  <r>
    <n v="1630"/>
    <n v="530"/>
    <d v="2026-11-29T00:00:00"/>
    <s v="Sunday"/>
    <n v="11"/>
    <n v="7.23"/>
    <x v="0"/>
    <x v="56"/>
    <s v="Male"/>
    <n v="70.099999999999994"/>
    <n v="146.6"/>
    <n v="20.9"/>
    <n v="12"/>
    <s v="MN"/>
    <n v="5"/>
    <n v="1883.8"/>
    <s v="Low"/>
    <n v="0"/>
    <s v="Single-Day"/>
    <n v="0"/>
    <n v="0"/>
    <s v="Main Entrance"/>
    <s v="Pixar Pals"/>
    <n v="10.9"/>
    <n v="5"/>
    <x v="1017"/>
  </r>
  <r>
    <n v="1631"/>
    <n v="530"/>
    <d v="2026-11-29T00:00:00"/>
    <s v="Sunday"/>
    <n v="11"/>
    <n v="7"/>
    <x v="0"/>
    <x v="35"/>
    <s v="Male"/>
    <n v="70"/>
    <n v="163.9"/>
    <n v="23.4"/>
    <n v="15"/>
    <s v="MN"/>
    <n v="5"/>
    <n v="1883.8"/>
    <s v="Low"/>
    <n v="0"/>
    <s v="Single-Day"/>
    <n v="0"/>
    <n v="0"/>
    <s v="Main Entrance"/>
    <s v="Pixar Pals"/>
    <n v="9"/>
    <n v="7"/>
    <x v="1566"/>
  </r>
  <r>
    <n v="1632"/>
    <n v="530"/>
    <d v="2026-11-29T00:00:00"/>
    <s v="Sunday"/>
    <n v="11"/>
    <n v="7.07"/>
    <x v="0"/>
    <x v="36"/>
    <s v="Male"/>
    <n v="71.5"/>
    <n v="209"/>
    <n v="28.7"/>
    <n v="11"/>
    <s v="MN"/>
    <n v="5"/>
    <n v="1883.8"/>
    <s v="Low"/>
    <n v="0"/>
    <s v="Single-Day"/>
    <n v="0"/>
    <n v="0"/>
    <s v="Main Entrance"/>
    <s v="Pixar Pals"/>
    <n v="7.9"/>
    <n v="5"/>
    <x v="1567"/>
  </r>
  <r>
    <n v="1633"/>
    <n v="531"/>
    <d v="2026-12-10T00:00:00"/>
    <s v="Thursday"/>
    <n v="12"/>
    <n v="11.52"/>
    <x v="1"/>
    <x v="2"/>
    <s v="Female"/>
    <n v="60"/>
    <n v="110.4"/>
    <n v="21.4"/>
    <n v="14"/>
    <s v="Other"/>
    <n v="3"/>
    <n v="848"/>
    <s v="High"/>
    <n v="1"/>
    <s v="Single-Day"/>
    <n v="0"/>
    <n v="1"/>
    <s v="Main Entrance"/>
    <s v="Pixar Pals"/>
    <n v="8.3000000000000007"/>
    <n v="7"/>
    <x v="1568"/>
  </r>
  <r>
    <n v="1634"/>
    <n v="531"/>
    <d v="2026-12-10T00:00:00"/>
    <s v="Thursday"/>
    <n v="12"/>
    <n v="11.44"/>
    <x v="1"/>
    <x v="31"/>
    <s v="Male"/>
    <n v="69.400000000000006"/>
    <n v="146.5"/>
    <n v="21.6"/>
    <n v="18"/>
    <s v="Other"/>
    <n v="3"/>
    <n v="848"/>
    <s v="High"/>
    <n v="1"/>
    <s v="Single-Day"/>
    <n v="0"/>
    <n v="1"/>
    <s v="Main Entrance"/>
    <s v="Pixar Pals"/>
    <n v="7.4"/>
    <n v="8"/>
    <x v="1569"/>
  </r>
  <r>
    <n v="1635"/>
    <n v="531"/>
    <d v="2026-12-10T00:00:00"/>
    <s v="Thursday"/>
    <n v="12"/>
    <n v="11.35"/>
    <x v="1"/>
    <x v="2"/>
    <s v="Male"/>
    <n v="74.099999999999994"/>
    <n v="197.7"/>
    <n v="25.1"/>
    <n v="22"/>
    <s v="Other"/>
    <n v="3"/>
    <n v="848"/>
    <s v="High"/>
    <n v="1"/>
    <s v="Single-Day"/>
    <n v="0"/>
    <n v="1"/>
    <s v="Main Entrance"/>
    <s v="Pixar Pals"/>
    <n v="10.7"/>
    <n v="9"/>
    <x v="1570"/>
  </r>
  <r>
    <n v="1636"/>
    <n v="532"/>
    <d v="2026-06-07T00:00:00"/>
    <s v="Sunday"/>
    <n v="6"/>
    <n v="10.34"/>
    <x v="0"/>
    <x v="16"/>
    <s v="Female"/>
    <n v="62.9"/>
    <n v="86.4"/>
    <n v="15.6"/>
    <n v="12"/>
    <s v="IA"/>
    <n v="2"/>
    <n v="1910.7"/>
    <s v="Middle"/>
    <n v="1"/>
    <s v="Park Hopper"/>
    <n v="0"/>
    <n v="0"/>
    <s v="Main Entrance"/>
    <s v="Pixar Pals"/>
    <n v="7.8"/>
    <n v="2"/>
    <x v="1571"/>
  </r>
  <r>
    <n v="1637"/>
    <n v="532"/>
    <d v="2026-06-07T00:00:00"/>
    <s v="Sunday"/>
    <n v="6"/>
    <n v="10.26"/>
    <x v="0"/>
    <x v="10"/>
    <s v="Female"/>
    <n v="61.3"/>
    <n v="122.7"/>
    <n v="22.8"/>
    <n v="18"/>
    <s v="IA"/>
    <n v="2"/>
    <n v="1910.7"/>
    <s v="Middle"/>
    <n v="1"/>
    <s v="Park Hopper"/>
    <n v="0"/>
    <n v="0"/>
    <s v="Main Entrance"/>
    <s v="Pixar Pals"/>
    <n v="10.6"/>
    <n v="3"/>
    <x v="1572"/>
  </r>
  <r>
    <n v="1638"/>
    <n v="533"/>
    <d v="2026-08-30T00:00:00"/>
    <s v="Sunday"/>
    <n v="8"/>
    <n v="11.35"/>
    <x v="1"/>
    <x v="9"/>
    <s v="Male"/>
    <n v="73.3"/>
    <n v="190.3"/>
    <n v="24.7"/>
    <n v="14"/>
    <s v="FL"/>
    <n v="1"/>
    <n v="2160.6"/>
    <s v="Low"/>
    <n v="1"/>
    <s v="Single-Day"/>
    <n v="0"/>
    <n v="0"/>
    <s v="Main Entrance"/>
    <s v="Toy Story Lot"/>
    <n v="9.3000000000000007"/>
    <n v="8"/>
    <x v="1573"/>
  </r>
  <r>
    <n v="1639"/>
    <n v="534"/>
    <d v="2026-01-08T00:00:00"/>
    <s v="Thursday"/>
    <n v="1"/>
    <n v="9.57"/>
    <x v="0"/>
    <x v="40"/>
    <s v="Female"/>
    <n v="64.8"/>
    <n v="89"/>
    <n v="15"/>
    <n v="12"/>
    <s v="CA"/>
    <n v="4"/>
    <n v="79.599999999999994"/>
    <s v="Low"/>
    <n v="0"/>
    <s v="Single-Day"/>
    <n v="0"/>
    <n v="0"/>
    <s v="Main Entrance"/>
    <s v="Mickey &amp; Friends"/>
    <n v="7.1"/>
    <n v="8"/>
    <x v="1574"/>
  </r>
  <r>
    <n v="1640"/>
    <n v="534"/>
    <d v="2026-01-08T00:00:00"/>
    <s v="Thursday"/>
    <n v="1"/>
    <n v="9.27"/>
    <x v="0"/>
    <x v="21"/>
    <s v="Male"/>
    <n v="71.2"/>
    <n v="233.6"/>
    <n v="32.299999999999997"/>
    <n v="13"/>
    <s v="CA"/>
    <n v="4"/>
    <n v="79.599999999999994"/>
    <s v="Low"/>
    <n v="0"/>
    <s v="Single-Day"/>
    <n v="0"/>
    <n v="0"/>
    <s v="Main Entrance"/>
    <s v="Mickey &amp; Friends"/>
    <n v="9.1999999999999993"/>
    <n v="11"/>
    <x v="1575"/>
  </r>
  <r>
    <n v="1641"/>
    <n v="534"/>
    <d v="2026-01-08T00:00:00"/>
    <s v="Thursday"/>
    <n v="1"/>
    <n v="9.39"/>
    <x v="0"/>
    <x v="31"/>
    <s v="Male"/>
    <n v="75.3"/>
    <n v="278.89999999999998"/>
    <n v="34.6"/>
    <n v="10"/>
    <s v="CA"/>
    <n v="4"/>
    <n v="79.599999999999994"/>
    <s v="Low"/>
    <n v="0"/>
    <s v="Single-Day"/>
    <n v="0"/>
    <n v="0"/>
    <s v="Main Entrance"/>
    <s v="Mickey &amp; Friends"/>
    <n v="9.1999999999999993"/>
    <n v="12"/>
    <x v="1576"/>
  </r>
  <r>
    <n v="1642"/>
    <n v="534"/>
    <d v="2026-01-08T00:00:00"/>
    <s v="Thursday"/>
    <n v="1"/>
    <n v="9.6999999999999993"/>
    <x v="0"/>
    <x v="69"/>
    <s v="Male"/>
    <n v="68.900000000000006"/>
    <n v="203.9"/>
    <n v="30"/>
    <n v="13"/>
    <s v="CA"/>
    <n v="4"/>
    <n v="79.599999999999994"/>
    <s v="Low"/>
    <n v="0"/>
    <s v="Single-Day"/>
    <n v="0"/>
    <n v="0"/>
    <s v="Main Entrance"/>
    <s v="Mickey &amp; Friends"/>
    <n v="9.6"/>
    <n v="10"/>
    <x v="1577"/>
  </r>
  <r>
    <n v="1643"/>
    <n v="535"/>
    <d v="2026-07-04T00:00:00"/>
    <s v="Saturday"/>
    <n v="7"/>
    <n v="8.7100000000000009"/>
    <x v="0"/>
    <x v="60"/>
    <s v="Female"/>
    <n v="56.6"/>
    <n v="77.400000000000006"/>
    <n v="16.899999999999999"/>
    <n v="13"/>
    <s v="AZ"/>
    <n v="5"/>
    <n v="355.4"/>
    <s v="Low"/>
    <n v="0"/>
    <s v="Single-Day"/>
    <n v="1"/>
    <n v="0"/>
    <s v="Main Entrance"/>
    <s v="Toy Story Lot"/>
    <n v="8"/>
    <n v="12"/>
    <x v="1578"/>
  </r>
  <r>
    <n v="1644"/>
    <n v="535"/>
    <d v="2026-07-04T00:00:00"/>
    <s v="Saturday"/>
    <n v="7"/>
    <n v="8.9700000000000006"/>
    <x v="0"/>
    <x v="34"/>
    <s v="Male"/>
    <n v="74"/>
    <n v="205.8"/>
    <n v="26.6"/>
    <n v="17"/>
    <s v="AZ"/>
    <n v="5"/>
    <n v="355.4"/>
    <s v="Low"/>
    <n v="0"/>
    <s v="Single-Day"/>
    <n v="1"/>
    <n v="0"/>
    <s v="Main Entrance"/>
    <s v="Toy Story Lot"/>
    <n v="8.4"/>
    <n v="6"/>
    <x v="1579"/>
  </r>
  <r>
    <n v="1645"/>
    <n v="535"/>
    <d v="2026-07-04T00:00:00"/>
    <s v="Saturday"/>
    <n v="7"/>
    <n v="8.89"/>
    <x v="0"/>
    <x v="67"/>
    <s v="Male"/>
    <n v="69.2"/>
    <n v="198"/>
    <n v="29.3"/>
    <n v="9"/>
    <s v="AZ"/>
    <n v="5"/>
    <n v="355.4"/>
    <s v="Low"/>
    <n v="0"/>
    <s v="Single-Day"/>
    <n v="1"/>
    <n v="0"/>
    <s v="Main Entrance"/>
    <s v="Toy Story Lot"/>
    <n v="8.9"/>
    <n v="4"/>
    <x v="1561"/>
  </r>
  <r>
    <n v="1646"/>
    <n v="535"/>
    <d v="2026-07-04T00:00:00"/>
    <s v="Saturday"/>
    <n v="7"/>
    <n v="8.74"/>
    <x v="0"/>
    <x v="8"/>
    <s v="Male"/>
    <n v="62.9"/>
    <n v="156.80000000000001"/>
    <n v="27.8"/>
    <n v="13"/>
    <s v="AZ"/>
    <n v="5"/>
    <n v="355.4"/>
    <s v="Low"/>
    <n v="0"/>
    <s v="Single-Day"/>
    <n v="1"/>
    <n v="0"/>
    <s v="Main Entrance"/>
    <s v="Toy Story Lot"/>
    <n v="7.3"/>
    <n v="4"/>
    <x v="1580"/>
  </r>
  <r>
    <n v="1647"/>
    <n v="535"/>
    <d v="2026-07-04T00:00:00"/>
    <s v="Saturday"/>
    <n v="7"/>
    <n v="9.07"/>
    <x v="0"/>
    <x v="64"/>
    <s v="Male"/>
    <n v="50.5"/>
    <n v="79.099999999999994"/>
    <n v="21.6"/>
    <n v="9"/>
    <s v="AZ"/>
    <n v="5"/>
    <n v="355.4"/>
    <s v="Low"/>
    <n v="0"/>
    <s v="Single-Day"/>
    <n v="1"/>
    <n v="0"/>
    <s v="Main Entrance"/>
    <s v="Toy Story Lot"/>
    <n v="11.6"/>
    <n v="8"/>
    <x v="1581"/>
  </r>
  <r>
    <n v="1648"/>
    <n v="536"/>
    <d v="2026-05-28T00:00:00"/>
    <s v="Thursday"/>
    <n v="5"/>
    <n v="8.23"/>
    <x v="0"/>
    <x v="36"/>
    <s v="Male"/>
    <n v="69.900000000000006"/>
    <n v="145"/>
    <n v="20.9"/>
    <n v="17"/>
    <s v="FL"/>
    <n v="2"/>
    <n v="2910.4"/>
    <s v="Middle"/>
    <n v="1"/>
    <s v="Single-Day"/>
    <n v="1"/>
    <n v="1"/>
    <s v="Main Entrance"/>
    <s v="None/Walked from Resort"/>
    <n v="8.1"/>
    <n v="5"/>
    <x v="1582"/>
  </r>
  <r>
    <n v="1649"/>
    <n v="536"/>
    <d v="2026-05-28T00:00:00"/>
    <s v="Thursday"/>
    <n v="5"/>
    <n v="8.09"/>
    <x v="0"/>
    <x v="33"/>
    <s v="Female"/>
    <n v="63.2"/>
    <n v="170.3"/>
    <n v="29.9"/>
    <n v="17"/>
    <s v="FL"/>
    <n v="2"/>
    <n v="2910.4"/>
    <s v="Middle"/>
    <n v="1"/>
    <s v="Single-Day"/>
    <n v="1"/>
    <n v="1"/>
    <s v="Main Entrance"/>
    <s v="None/Walked from Resort"/>
    <n v="9.9"/>
    <n v="7"/>
    <x v="1583"/>
  </r>
  <r>
    <n v="1650"/>
    <n v="537"/>
    <d v="2026-06-22T00:00:00"/>
    <s v="Monday"/>
    <n v="6"/>
    <n v="8.0399999999999991"/>
    <x v="0"/>
    <x v="47"/>
    <s v="Male"/>
    <n v="69.099999999999994"/>
    <n v="136"/>
    <n v="20"/>
    <n v="15"/>
    <s v="CA"/>
    <n v="1"/>
    <n v="141.19999999999999"/>
    <s v="Middle"/>
    <n v="0"/>
    <s v="Park Hopper"/>
    <n v="1"/>
    <n v="1"/>
    <s v="Main Entrance"/>
    <s v="None/Walked from Resort"/>
    <n v="6.6"/>
    <n v="3"/>
    <x v="1584"/>
  </r>
  <r>
    <n v="1651"/>
    <n v="538"/>
    <d v="2026-04-15T00:00:00"/>
    <s v="Wednesday"/>
    <n v="4"/>
    <n v="7.33"/>
    <x v="0"/>
    <x v="22"/>
    <s v="Female"/>
    <n v="63.1"/>
    <n v="92.9"/>
    <n v="16.2"/>
    <n v="14"/>
    <s v="Other"/>
    <n v="4"/>
    <n v="1613"/>
    <s v="Middle"/>
    <n v="0"/>
    <s v="Single-Day"/>
    <n v="0"/>
    <n v="0"/>
    <s v="Hotel Guest Entrance"/>
    <s v="Mickey &amp; Friends"/>
    <n v="8"/>
    <n v="6"/>
    <x v="1585"/>
  </r>
  <r>
    <n v="1652"/>
    <n v="538"/>
    <d v="2026-04-15T00:00:00"/>
    <s v="Wednesday"/>
    <n v="4"/>
    <n v="7.49"/>
    <x v="0"/>
    <x v="20"/>
    <s v="Female"/>
    <n v="69.5"/>
    <n v="120.8"/>
    <n v="17.5"/>
    <n v="15"/>
    <s v="Other"/>
    <n v="4"/>
    <n v="1613"/>
    <s v="Middle"/>
    <n v="0"/>
    <s v="Single-Day"/>
    <n v="0"/>
    <n v="0"/>
    <s v="Hotel Guest Entrance"/>
    <s v="Mickey &amp; Friends"/>
    <n v="7.8"/>
    <n v="11"/>
    <x v="1094"/>
  </r>
  <r>
    <n v="1653"/>
    <n v="538"/>
    <d v="2026-04-15T00:00:00"/>
    <s v="Wednesday"/>
    <n v="4"/>
    <n v="7.7"/>
    <x v="0"/>
    <x v="68"/>
    <s v="Male"/>
    <n v="69.3"/>
    <n v="176.7"/>
    <n v="25.7"/>
    <n v="14"/>
    <s v="Other"/>
    <n v="4"/>
    <n v="1613"/>
    <s v="Middle"/>
    <n v="0"/>
    <s v="Single-Day"/>
    <n v="0"/>
    <n v="0"/>
    <s v="Hotel Guest Entrance"/>
    <s v="Mickey &amp; Friends"/>
    <n v="9.1"/>
    <n v="9"/>
    <x v="1586"/>
  </r>
  <r>
    <n v="1654"/>
    <n v="538"/>
    <d v="2026-04-15T00:00:00"/>
    <s v="Wednesday"/>
    <n v="4"/>
    <n v="7.57"/>
    <x v="0"/>
    <x v="38"/>
    <s v="Female"/>
    <n v="61.2"/>
    <n v="130"/>
    <n v="24.3"/>
    <n v="12"/>
    <s v="Other"/>
    <n v="4"/>
    <n v="1613"/>
    <s v="Middle"/>
    <n v="0"/>
    <s v="Single-Day"/>
    <n v="0"/>
    <n v="0"/>
    <s v="Hotel Guest Entrance"/>
    <s v="Mickey &amp; Friends"/>
    <n v="8.3000000000000007"/>
    <n v="7"/>
    <x v="1587"/>
  </r>
  <r>
    <n v="1655"/>
    <n v="539"/>
    <d v="2026-06-17T00:00:00"/>
    <s v="Wednesday"/>
    <n v="6"/>
    <n v="12.26"/>
    <x v="1"/>
    <x v="39"/>
    <s v="Male"/>
    <n v="71.3"/>
    <n v="219.4"/>
    <n v="30.4"/>
    <n v="11"/>
    <s v="CA"/>
    <n v="2"/>
    <n v="68.5"/>
    <s v="Low"/>
    <n v="0"/>
    <s v="Multi-Day"/>
    <n v="0"/>
    <n v="0"/>
    <s v="Main Entrance"/>
    <s v="Toy Story Lot"/>
    <n v="8.9"/>
    <n v="9"/>
    <x v="42"/>
  </r>
  <r>
    <n v="1656"/>
    <n v="539"/>
    <d v="2026-06-17T00:00:00"/>
    <s v="Wednesday"/>
    <n v="6"/>
    <n v="12.12"/>
    <x v="1"/>
    <x v="1"/>
    <s v="Male"/>
    <n v="75.3"/>
    <n v="194.6"/>
    <n v="24.3"/>
    <n v="14"/>
    <s v="CA"/>
    <n v="2"/>
    <n v="68.5"/>
    <s v="Low"/>
    <n v="0"/>
    <s v="Multi-Day"/>
    <n v="0"/>
    <n v="0"/>
    <s v="Main Entrance"/>
    <s v="Toy Story Lot"/>
    <n v="9.1"/>
    <n v="13"/>
    <x v="1588"/>
  </r>
  <r>
    <n v="1657"/>
    <n v="540"/>
    <d v="2026-07-18T00:00:00"/>
    <s v="Saturday"/>
    <n v="7"/>
    <n v="11.37"/>
    <x v="1"/>
    <x v="42"/>
    <s v="Male"/>
    <n v="72.900000000000006"/>
    <n v="197.7"/>
    <n v="26"/>
    <n v="14"/>
    <s v="ND"/>
    <n v="6"/>
    <n v="1781.6"/>
    <s v="Low"/>
    <n v="1"/>
    <s v="Multi-Day"/>
    <n v="0"/>
    <n v="1"/>
    <s v="Hotel Guest Entrance"/>
    <s v="None/Walked from Resort"/>
    <n v="7.4"/>
    <n v="8"/>
    <x v="1589"/>
  </r>
  <r>
    <n v="1658"/>
    <n v="540"/>
    <d v="2026-07-18T00:00:00"/>
    <s v="Saturday"/>
    <n v="7"/>
    <n v="11.16"/>
    <x v="1"/>
    <x v="12"/>
    <s v="Female"/>
    <n v="54.5"/>
    <n v="71.400000000000006"/>
    <n v="17.2"/>
    <n v="15"/>
    <s v="ND"/>
    <n v="6"/>
    <n v="1781.6"/>
    <s v="Low"/>
    <n v="1"/>
    <s v="Multi-Day"/>
    <n v="0"/>
    <n v="1"/>
    <s v="Hotel Guest Entrance"/>
    <s v="None/Walked from Resort"/>
    <n v="12.1"/>
    <n v="7"/>
    <x v="1590"/>
  </r>
  <r>
    <n v="1659"/>
    <n v="540"/>
    <d v="2026-07-18T00:00:00"/>
    <s v="Saturday"/>
    <n v="7"/>
    <n v="11.21"/>
    <x v="1"/>
    <x v="47"/>
    <s v="Male"/>
    <n v="74.3"/>
    <n v="179.6"/>
    <n v="22.9"/>
    <n v="15"/>
    <s v="ND"/>
    <n v="6"/>
    <n v="1781.6"/>
    <s v="Low"/>
    <n v="1"/>
    <s v="Multi-Day"/>
    <n v="0"/>
    <n v="1"/>
    <s v="Hotel Guest Entrance"/>
    <s v="None/Walked from Resort"/>
    <n v="8.6999999999999993"/>
    <n v="8"/>
    <x v="1591"/>
  </r>
  <r>
    <n v="1660"/>
    <n v="540"/>
    <d v="2026-07-18T00:00:00"/>
    <s v="Saturday"/>
    <n v="7"/>
    <n v="11.18"/>
    <x v="1"/>
    <x v="7"/>
    <s v="Male"/>
    <n v="55.3"/>
    <n v="94.3"/>
    <n v="21.7"/>
    <n v="10"/>
    <s v="ND"/>
    <n v="6"/>
    <n v="1781.6"/>
    <s v="Low"/>
    <n v="1"/>
    <s v="Multi-Day"/>
    <n v="0"/>
    <n v="1"/>
    <s v="Hotel Guest Entrance"/>
    <s v="None/Walked from Resort"/>
    <n v="9.6999999999999993"/>
    <n v="7"/>
    <x v="1592"/>
  </r>
  <r>
    <n v="1661"/>
    <n v="540"/>
    <d v="2026-07-18T00:00:00"/>
    <s v="Saturday"/>
    <n v="7"/>
    <n v="11.15"/>
    <x v="1"/>
    <x v="45"/>
    <s v="Female"/>
    <n v="62.4"/>
    <n v="114.6"/>
    <n v="20.8"/>
    <n v="14"/>
    <s v="ND"/>
    <n v="6"/>
    <n v="1781.6"/>
    <s v="Low"/>
    <n v="1"/>
    <s v="Multi-Day"/>
    <n v="0"/>
    <n v="1"/>
    <s v="Hotel Guest Entrance"/>
    <s v="None/Walked from Resort"/>
    <n v="10"/>
    <n v="9"/>
    <x v="1593"/>
  </r>
  <r>
    <n v="1662"/>
    <n v="540"/>
    <d v="2026-07-18T00:00:00"/>
    <s v="Saturday"/>
    <n v="7"/>
    <n v="11.23"/>
    <x v="1"/>
    <x v="55"/>
    <s v="Female"/>
    <n v="64.8"/>
    <n v="149.9"/>
    <n v="25.4"/>
    <n v="13"/>
    <s v="ND"/>
    <n v="6"/>
    <n v="1781.6"/>
    <s v="Low"/>
    <n v="1"/>
    <s v="Multi-Day"/>
    <n v="0"/>
    <n v="1"/>
    <s v="Hotel Guest Entrance"/>
    <s v="None/Walked from Resort"/>
    <n v="6.8"/>
    <n v="6"/>
    <x v="1594"/>
  </r>
  <r>
    <n v="1663"/>
    <n v="541"/>
    <d v="2026-07-07T00:00:00"/>
    <s v="Tuesday"/>
    <n v="7"/>
    <n v="7.98"/>
    <x v="0"/>
    <x v="35"/>
    <s v="Male"/>
    <n v="66.2"/>
    <n v="190.7"/>
    <n v="30.5"/>
    <n v="14"/>
    <s v="CA"/>
    <n v="2"/>
    <n v="75.900000000000006"/>
    <s v="Middle"/>
    <n v="1"/>
    <s v="Multi-Day"/>
    <n v="1"/>
    <n v="0"/>
    <s v="Main Entrance"/>
    <s v="None/Dropoff/Transit"/>
    <n v="10.6"/>
    <n v="8"/>
    <x v="1595"/>
  </r>
  <r>
    <n v="1664"/>
    <n v="541"/>
    <d v="2026-07-07T00:00:00"/>
    <s v="Tuesday"/>
    <n v="7"/>
    <n v="8.1"/>
    <x v="0"/>
    <x v="71"/>
    <s v="Male"/>
    <n v="70.599999999999994"/>
    <n v="155.80000000000001"/>
    <n v="22.1"/>
    <n v="15"/>
    <s v="CA"/>
    <n v="2"/>
    <n v="75.900000000000006"/>
    <s v="Middle"/>
    <n v="1"/>
    <s v="Multi-Day"/>
    <n v="1"/>
    <n v="0"/>
    <s v="Main Entrance"/>
    <s v="None/Dropoff/Transit"/>
    <n v="9.6"/>
    <n v="10"/>
    <x v="1596"/>
  </r>
  <r>
    <n v="1665"/>
    <n v="542"/>
    <d v="2026-05-10T00:00:00"/>
    <s v="Sunday"/>
    <n v="5"/>
    <n v="11.92"/>
    <x v="1"/>
    <x v="0"/>
    <s v="Male"/>
    <n v="66.900000000000006"/>
    <n v="187"/>
    <n v="29.6"/>
    <n v="14"/>
    <s v="AZ"/>
    <n v="3"/>
    <n v="273.3"/>
    <s v="High"/>
    <n v="0"/>
    <s v="Multi-Day"/>
    <n v="0"/>
    <n v="0"/>
    <s v="Main Entrance"/>
    <s v="Mickey &amp; Friends"/>
    <n v="8"/>
    <n v="13"/>
    <x v="1597"/>
  </r>
  <r>
    <n v="1666"/>
    <n v="542"/>
    <d v="2026-05-10T00:00:00"/>
    <s v="Sunday"/>
    <n v="5"/>
    <n v="11.71"/>
    <x v="1"/>
    <x v="45"/>
    <s v="Male"/>
    <n v="72.099999999999994"/>
    <n v="220.8"/>
    <n v="29.9"/>
    <n v="14"/>
    <s v="AZ"/>
    <n v="3"/>
    <n v="273.3"/>
    <s v="High"/>
    <n v="0"/>
    <s v="Multi-Day"/>
    <n v="0"/>
    <n v="0"/>
    <s v="Main Entrance"/>
    <s v="Mickey &amp; Friends"/>
    <n v="9.1999999999999993"/>
    <n v="6"/>
    <x v="1598"/>
  </r>
  <r>
    <n v="1667"/>
    <n v="542"/>
    <d v="2026-05-10T00:00:00"/>
    <s v="Sunday"/>
    <n v="5"/>
    <n v="11.76"/>
    <x v="1"/>
    <x v="20"/>
    <s v="Male"/>
    <n v="69.8"/>
    <n v="94.7"/>
    <n v="13.8"/>
    <n v="13"/>
    <s v="AZ"/>
    <n v="3"/>
    <n v="273.3"/>
    <s v="High"/>
    <n v="0"/>
    <s v="Multi-Day"/>
    <n v="0"/>
    <n v="0"/>
    <s v="Main Entrance"/>
    <s v="Mickey &amp; Friends"/>
    <n v="8.9"/>
    <n v="8"/>
    <x v="1599"/>
  </r>
  <r>
    <n v="1668"/>
    <n v="543"/>
    <d v="2026-10-09T00:00:00"/>
    <s v="Friday"/>
    <n v="10"/>
    <n v="12.96"/>
    <x v="1"/>
    <x v="38"/>
    <s v="Female"/>
    <n v="69"/>
    <n v="122.1"/>
    <n v="18.3"/>
    <n v="12"/>
    <s v="TX"/>
    <n v="2"/>
    <n v="1614.3"/>
    <s v="Low"/>
    <n v="1"/>
    <s v="Multi-Day"/>
    <n v="1"/>
    <n v="0"/>
    <s v="Downtown Disney Gate"/>
    <s v="Pixar Pals"/>
    <n v="6.7"/>
    <n v="7"/>
    <x v="1600"/>
  </r>
  <r>
    <n v="1669"/>
    <n v="543"/>
    <d v="2026-10-09T00:00:00"/>
    <s v="Friday"/>
    <n v="10"/>
    <n v="12.71"/>
    <x v="1"/>
    <x v="13"/>
    <s v="Female"/>
    <n v="63.2"/>
    <n v="128.5"/>
    <n v="22.6"/>
    <n v="11"/>
    <s v="TX"/>
    <n v="2"/>
    <n v="1614.3"/>
    <s v="Low"/>
    <n v="1"/>
    <s v="Multi-Day"/>
    <n v="1"/>
    <n v="0"/>
    <s v="Downtown Disney Gate"/>
    <s v="Pixar Pals"/>
    <n v="8.6999999999999993"/>
    <n v="10"/>
    <x v="1601"/>
  </r>
  <r>
    <n v="1670"/>
    <n v="544"/>
    <d v="2026-07-18T00:00:00"/>
    <s v="Saturday"/>
    <n v="7"/>
    <n v="9.18"/>
    <x v="0"/>
    <x v="44"/>
    <s v="Female"/>
    <n v="63.7"/>
    <n v="168.3"/>
    <n v="29.1"/>
    <n v="14"/>
    <s v="CO"/>
    <n v="4"/>
    <n v="951.5"/>
    <s v="Middle"/>
    <n v="1"/>
    <s v="Multi-Day"/>
    <n v="1"/>
    <n v="0"/>
    <s v="Main Entrance"/>
    <s v="Mickey &amp; Friends"/>
    <n v="10.9"/>
    <n v="14"/>
    <x v="1602"/>
  </r>
  <r>
    <n v="1671"/>
    <n v="544"/>
    <d v="2026-07-18T00:00:00"/>
    <s v="Saturday"/>
    <n v="7"/>
    <n v="9.27"/>
    <x v="0"/>
    <x v="37"/>
    <s v="Female"/>
    <n v="61.9"/>
    <n v="111.3"/>
    <n v="20.399999999999999"/>
    <n v="16"/>
    <s v="CO"/>
    <n v="4"/>
    <n v="951.5"/>
    <s v="Middle"/>
    <n v="1"/>
    <s v="Multi-Day"/>
    <n v="1"/>
    <n v="0"/>
    <s v="Main Entrance"/>
    <s v="Mickey &amp; Friends"/>
    <n v="9.4"/>
    <n v="9"/>
    <x v="1603"/>
  </r>
  <r>
    <n v="1672"/>
    <n v="544"/>
    <d v="2026-07-18T00:00:00"/>
    <s v="Saturday"/>
    <n v="7"/>
    <n v="9.18"/>
    <x v="0"/>
    <x v="38"/>
    <s v="Female"/>
    <n v="66.599999999999994"/>
    <n v="157.6"/>
    <n v="25.1"/>
    <n v="11"/>
    <s v="CO"/>
    <n v="4"/>
    <n v="951.5"/>
    <s v="Middle"/>
    <n v="1"/>
    <s v="Multi-Day"/>
    <n v="1"/>
    <n v="0"/>
    <s v="Main Entrance"/>
    <s v="Mickey &amp; Friends"/>
    <n v="8.6"/>
    <n v="7"/>
    <x v="1604"/>
  </r>
  <r>
    <n v="1673"/>
    <n v="544"/>
    <d v="2026-07-18T00:00:00"/>
    <s v="Saturday"/>
    <n v="7"/>
    <n v="9.34"/>
    <x v="0"/>
    <x v="62"/>
    <s v="Male"/>
    <n v="66.8"/>
    <n v="211.3"/>
    <n v="33.4"/>
    <n v="17"/>
    <s v="CO"/>
    <n v="4"/>
    <n v="951.5"/>
    <s v="Middle"/>
    <n v="1"/>
    <s v="Multi-Day"/>
    <n v="1"/>
    <n v="0"/>
    <s v="Main Entrance"/>
    <s v="Mickey &amp; Friends"/>
    <n v="8"/>
    <n v="7"/>
    <x v="1605"/>
  </r>
  <r>
    <n v="1674"/>
    <n v="545"/>
    <d v="2026-04-29T00:00:00"/>
    <s v="Wednesday"/>
    <n v="4"/>
    <n v="9.77"/>
    <x v="0"/>
    <x v="52"/>
    <s v="Male"/>
    <n v="67.400000000000006"/>
    <n v="145.1"/>
    <n v="22.5"/>
    <n v="16"/>
    <s v="WA"/>
    <n v="2"/>
    <n v="1171.9000000000001"/>
    <s v="High"/>
    <n v="0"/>
    <s v="Multi-Day"/>
    <n v="0"/>
    <n v="0"/>
    <s v="Downtown Disney Gate"/>
    <s v="Mickey &amp; Friends"/>
    <n v="8.4"/>
    <n v="9"/>
    <x v="1606"/>
  </r>
  <r>
    <n v="1675"/>
    <n v="545"/>
    <d v="2026-04-29T00:00:00"/>
    <s v="Wednesday"/>
    <n v="4"/>
    <n v="9.74"/>
    <x v="0"/>
    <x v="38"/>
    <s v="Female"/>
    <n v="65.3"/>
    <n v="188.5"/>
    <n v="30.9"/>
    <n v="15"/>
    <s v="WA"/>
    <n v="2"/>
    <n v="1171.9000000000001"/>
    <s v="High"/>
    <n v="0"/>
    <s v="Multi-Day"/>
    <n v="0"/>
    <n v="0"/>
    <s v="Downtown Disney Gate"/>
    <s v="Mickey &amp; Friends"/>
    <n v="6.6"/>
    <n v="7"/>
    <x v="851"/>
  </r>
  <r>
    <n v="1676"/>
    <n v="546"/>
    <d v="2026-05-16T00:00:00"/>
    <s v="Saturday"/>
    <n v="5"/>
    <n v="11.4"/>
    <x v="1"/>
    <x v="21"/>
    <s v="Male"/>
    <n v="70.3"/>
    <n v="194.2"/>
    <n v="27.5"/>
    <n v="15"/>
    <s v="CA"/>
    <n v="1"/>
    <n v="154.69999999999999"/>
    <s v="Low"/>
    <n v="0"/>
    <s v="Multi-Day"/>
    <n v="0"/>
    <n v="0"/>
    <s v="Main Entrance"/>
    <s v="Pixar Pals"/>
    <n v="7.5"/>
    <n v="5"/>
    <x v="1607"/>
  </r>
  <r>
    <n v="1677"/>
    <n v="547"/>
    <d v="2026-09-29T00:00:00"/>
    <s v="Tuesday"/>
    <n v="9"/>
    <n v="11.13"/>
    <x v="1"/>
    <x v="71"/>
    <s v="Male"/>
    <n v="68"/>
    <n v="198.2"/>
    <n v="30.4"/>
    <n v="13"/>
    <s v="TX"/>
    <n v="4"/>
    <n v="2555.6"/>
    <s v="Middle"/>
    <n v="0"/>
    <s v="Park Hopper"/>
    <n v="1"/>
    <n v="0"/>
    <s v="Downtown Disney Gate"/>
    <s v="Mickey &amp; Friends"/>
    <n v="8.5"/>
    <n v="5"/>
    <x v="1608"/>
  </r>
  <r>
    <n v="1678"/>
    <n v="547"/>
    <d v="2026-09-29T00:00:00"/>
    <s v="Tuesday"/>
    <n v="9"/>
    <n v="11"/>
    <x v="0"/>
    <x v="71"/>
    <s v="Female"/>
    <n v="62.9"/>
    <n v="126.1"/>
    <n v="22.2"/>
    <n v="13"/>
    <s v="TX"/>
    <n v="4"/>
    <n v="2555.6"/>
    <s v="Middle"/>
    <n v="0"/>
    <s v="Park Hopper"/>
    <n v="1"/>
    <n v="0"/>
    <s v="Downtown Disney Gate"/>
    <s v="Mickey &amp; Friends"/>
    <n v="9.3000000000000007"/>
    <n v="5"/>
    <x v="1609"/>
  </r>
  <r>
    <n v="1679"/>
    <n v="547"/>
    <d v="2026-09-29T00:00:00"/>
    <s v="Tuesday"/>
    <n v="9"/>
    <n v="11.23"/>
    <x v="1"/>
    <x v="42"/>
    <s v="Male"/>
    <n v="69.599999999999994"/>
    <n v="165.1"/>
    <n v="24"/>
    <n v="16"/>
    <s v="TX"/>
    <n v="4"/>
    <n v="2555.6"/>
    <s v="Middle"/>
    <n v="0"/>
    <s v="Park Hopper"/>
    <n v="1"/>
    <n v="0"/>
    <s v="Downtown Disney Gate"/>
    <s v="Mickey &amp; Friends"/>
    <n v="6.3"/>
    <n v="9"/>
    <x v="1610"/>
  </r>
  <r>
    <n v="1680"/>
    <n v="547"/>
    <d v="2026-09-29T00:00:00"/>
    <s v="Tuesday"/>
    <n v="9"/>
    <n v="11.01"/>
    <x v="1"/>
    <x v="27"/>
    <s v="Female"/>
    <n v="61"/>
    <n v="161.30000000000001"/>
    <n v="30.3"/>
    <n v="17"/>
    <s v="TX"/>
    <n v="4"/>
    <n v="2555.6"/>
    <s v="Middle"/>
    <n v="0"/>
    <s v="Park Hopper"/>
    <n v="1"/>
    <n v="0"/>
    <s v="Downtown Disney Gate"/>
    <s v="Mickey &amp; Friends"/>
    <n v="6.1"/>
    <n v="2"/>
    <x v="1611"/>
  </r>
  <r>
    <n v="1681"/>
    <n v="548"/>
    <d v="2026-09-01T00:00:00"/>
    <s v="Tuesday"/>
    <n v="9"/>
    <n v="8.7100000000000009"/>
    <x v="0"/>
    <x v="7"/>
    <s v="Male"/>
    <n v="60"/>
    <n v="67.2"/>
    <n v="13.2"/>
    <n v="17"/>
    <s v="Other"/>
    <n v="3"/>
    <n v="1685.6"/>
    <s v="High"/>
    <n v="1"/>
    <s v="Multi-Day"/>
    <n v="1"/>
    <n v="1"/>
    <s v="Hotel Guest Entrance"/>
    <s v="Toy Story Lot"/>
    <n v="7.9"/>
    <n v="6"/>
    <x v="1612"/>
  </r>
  <r>
    <n v="1682"/>
    <n v="548"/>
    <d v="2026-09-01T00:00:00"/>
    <s v="Tuesday"/>
    <n v="9"/>
    <n v="8.2899999999999991"/>
    <x v="0"/>
    <x v="1"/>
    <s v="Male"/>
    <n v="64.2"/>
    <n v="158.69999999999999"/>
    <n v="27"/>
    <n v="16"/>
    <s v="Other"/>
    <n v="3"/>
    <n v="1685.6"/>
    <s v="High"/>
    <n v="1"/>
    <s v="Multi-Day"/>
    <n v="1"/>
    <n v="1"/>
    <s v="Hotel Guest Entrance"/>
    <s v="Toy Story Lot"/>
    <n v="8.6"/>
    <n v="17"/>
    <x v="275"/>
  </r>
  <r>
    <n v="1683"/>
    <n v="548"/>
    <d v="2026-09-01T00:00:00"/>
    <s v="Tuesday"/>
    <n v="9"/>
    <n v="8.86"/>
    <x v="0"/>
    <x v="8"/>
    <s v="Female"/>
    <n v="61.2"/>
    <n v="165.3"/>
    <n v="31.2"/>
    <n v="20"/>
    <s v="Other"/>
    <n v="3"/>
    <n v="1685.6"/>
    <s v="High"/>
    <n v="1"/>
    <s v="Multi-Day"/>
    <n v="1"/>
    <n v="1"/>
    <s v="Hotel Guest Entrance"/>
    <s v="Toy Story Lot"/>
    <n v="7.3"/>
    <n v="14"/>
    <x v="1613"/>
  </r>
  <r>
    <n v="1684"/>
    <n v="549"/>
    <d v="2026-01-19T00:00:00"/>
    <s v="Monday"/>
    <n v="1"/>
    <n v="9.73"/>
    <x v="0"/>
    <x v="40"/>
    <s v="Female"/>
    <n v="68.3"/>
    <n v="112.5"/>
    <n v="17"/>
    <n v="14"/>
    <s v="CA"/>
    <n v="6"/>
    <n v="142.30000000000001"/>
    <s v="Middle"/>
    <n v="0"/>
    <s v="Single-Day"/>
    <n v="0"/>
    <n v="0"/>
    <s v="Main Entrance"/>
    <s v="None/Dropoff/Transit"/>
    <n v="7.4"/>
    <n v="9"/>
    <x v="1614"/>
  </r>
  <r>
    <n v="1685"/>
    <n v="549"/>
    <d v="2026-01-19T00:00:00"/>
    <s v="Monday"/>
    <n v="1"/>
    <n v="9.9"/>
    <x v="0"/>
    <x v="22"/>
    <s v="Female"/>
    <n v="59.5"/>
    <n v="100.5"/>
    <n v="20"/>
    <n v="13"/>
    <s v="CA"/>
    <n v="6"/>
    <n v="142.30000000000001"/>
    <s v="Middle"/>
    <n v="0"/>
    <s v="Single-Day"/>
    <n v="0"/>
    <n v="0"/>
    <s v="Main Entrance"/>
    <s v="None/Dropoff/Transit"/>
    <n v="8.3000000000000007"/>
    <n v="10"/>
    <x v="1615"/>
  </r>
  <r>
    <n v="1686"/>
    <n v="549"/>
    <d v="2026-01-19T00:00:00"/>
    <s v="Monday"/>
    <n v="1"/>
    <n v="9.74"/>
    <x v="0"/>
    <x v="15"/>
    <s v="Male"/>
    <n v="68.2"/>
    <n v="135.19999999999999"/>
    <n v="20.5"/>
    <n v="12"/>
    <s v="CA"/>
    <n v="6"/>
    <n v="142.30000000000001"/>
    <s v="Middle"/>
    <n v="0"/>
    <s v="Single-Day"/>
    <n v="0"/>
    <n v="0"/>
    <s v="Main Entrance"/>
    <s v="None/Dropoff/Transit"/>
    <n v="6.3"/>
    <n v="6"/>
    <x v="1616"/>
  </r>
  <r>
    <n v="1687"/>
    <n v="549"/>
    <d v="2026-01-19T00:00:00"/>
    <s v="Monday"/>
    <n v="1"/>
    <n v="9.69"/>
    <x v="0"/>
    <x v="17"/>
    <s v="Male"/>
    <n v="68.099999999999994"/>
    <n v="147.1"/>
    <n v="22"/>
    <n v="15"/>
    <s v="CA"/>
    <n v="6"/>
    <n v="142.30000000000001"/>
    <s v="Middle"/>
    <n v="0"/>
    <s v="Single-Day"/>
    <n v="0"/>
    <n v="0"/>
    <s v="Main Entrance"/>
    <s v="None/Dropoff/Transit"/>
    <n v="6.9"/>
    <n v="6"/>
    <x v="1617"/>
  </r>
  <r>
    <n v="1688"/>
    <n v="549"/>
    <d v="2026-01-19T00:00:00"/>
    <s v="Monday"/>
    <n v="1"/>
    <n v="9.51"/>
    <x v="0"/>
    <x v="39"/>
    <s v="Male"/>
    <n v="68.5"/>
    <n v="171.6"/>
    <n v="26"/>
    <n v="15"/>
    <s v="CA"/>
    <n v="6"/>
    <n v="142.30000000000001"/>
    <s v="Middle"/>
    <n v="0"/>
    <s v="Single-Day"/>
    <n v="0"/>
    <n v="0"/>
    <s v="Main Entrance"/>
    <s v="None/Dropoff/Transit"/>
    <n v="7.5"/>
    <n v="8"/>
    <x v="1618"/>
  </r>
  <r>
    <n v="1689"/>
    <n v="549"/>
    <d v="2026-01-19T00:00:00"/>
    <s v="Monday"/>
    <n v="1"/>
    <n v="9.56"/>
    <x v="0"/>
    <x v="3"/>
    <s v="Female"/>
    <n v="66.400000000000006"/>
    <n v="159.6"/>
    <n v="25.3"/>
    <n v="15"/>
    <s v="CA"/>
    <n v="6"/>
    <n v="142.30000000000001"/>
    <s v="Middle"/>
    <n v="0"/>
    <s v="Single-Day"/>
    <n v="0"/>
    <n v="0"/>
    <s v="Main Entrance"/>
    <s v="None/Dropoff/Transit"/>
    <n v="9.3000000000000007"/>
    <n v="15"/>
    <x v="1619"/>
  </r>
  <r>
    <n v="1690"/>
    <n v="550"/>
    <d v="2026-02-28T00:00:00"/>
    <s v="Saturday"/>
    <n v="2"/>
    <n v="7.87"/>
    <x v="0"/>
    <x v="12"/>
    <s v="Male"/>
    <n v="58.9"/>
    <n v="98.4"/>
    <n v="19.899999999999999"/>
    <n v="13"/>
    <s v="FL"/>
    <n v="2"/>
    <n v="1940.4"/>
    <s v="Middle"/>
    <n v="1"/>
    <s v="Park Hopper"/>
    <n v="1"/>
    <n v="0"/>
    <s v="Main Entrance"/>
    <s v="Toy Story Lot"/>
    <n v="10"/>
    <n v="16"/>
    <x v="1620"/>
  </r>
  <r>
    <n v="1691"/>
    <n v="550"/>
    <d v="2026-02-28T00:00:00"/>
    <s v="Saturday"/>
    <n v="2"/>
    <n v="7.77"/>
    <x v="0"/>
    <x v="46"/>
    <s v="Male"/>
    <n v="68.400000000000006"/>
    <n v="181.4"/>
    <n v="27.3"/>
    <n v="16"/>
    <s v="FL"/>
    <n v="2"/>
    <n v="1940.4"/>
    <s v="Middle"/>
    <n v="1"/>
    <s v="Park Hopper"/>
    <n v="1"/>
    <n v="0"/>
    <s v="Main Entrance"/>
    <s v="Toy Story Lot"/>
    <n v="10.199999999999999"/>
    <n v="13"/>
    <x v="1621"/>
  </r>
  <r>
    <n v="1692"/>
    <n v="551"/>
    <d v="2026-05-30T00:00:00"/>
    <s v="Saturday"/>
    <n v="5"/>
    <n v="8.41"/>
    <x v="0"/>
    <x v="45"/>
    <s v="Male"/>
    <n v="71.599999999999994"/>
    <n v="162.9"/>
    <n v="22.5"/>
    <n v="12"/>
    <s v="OR"/>
    <n v="3"/>
    <n v="496.4"/>
    <s v="Low"/>
    <n v="1"/>
    <s v="Multi-Day"/>
    <n v="1"/>
    <n v="0"/>
    <s v="Main Entrance"/>
    <s v="Toy Story Lot"/>
    <n v="9.6"/>
    <n v="11"/>
    <x v="1622"/>
  </r>
  <r>
    <n v="1693"/>
    <n v="551"/>
    <d v="2026-05-30T00:00:00"/>
    <s v="Saturday"/>
    <n v="5"/>
    <n v="8.19"/>
    <x v="0"/>
    <x v="1"/>
    <s v="Female"/>
    <n v="62.6"/>
    <n v="118.7"/>
    <n v="21"/>
    <n v="12"/>
    <s v="OR"/>
    <n v="3"/>
    <n v="496.4"/>
    <s v="Low"/>
    <n v="1"/>
    <s v="Multi-Day"/>
    <n v="1"/>
    <n v="0"/>
    <s v="Main Entrance"/>
    <s v="Toy Story Lot"/>
    <n v="11"/>
    <n v="18"/>
    <x v="1623"/>
  </r>
  <r>
    <n v="1694"/>
    <n v="551"/>
    <d v="2026-05-30T00:00:00"/>
    <s v="Saturday"/>
    <n v="5"/>
    <n v="8.35"/>
    <x v="0"/>
    <x v="43"/>
    <s v="Female"/>
    <n v="60.8"/>
    <n v="131"/>
    <n v="25"/>
    <n v="14"/>
    <s v="OR"/>
    <n v="3"/>
    <n v="496.4"/>
    <s v="Low"/>
    <n v="1"/>
    <s v="Multi-Day"/>
    <n v="1"/>
    <n v="0"/>
    <s v="Main Entrance"/>
    <s v="Toy Story Lot"/>
    <n v="8.9"/>
    <n v="12"/>
    <x v="1624"/>
  </r>
  <r>
    <n v="1695"/>
    <n v="552"/>
    <d v="2026-02-28T00:00:00"/>
    <s v="Saturday"/>
    <n v="2"/>
    <n v="10.46"/>
    <x v="0"/>
    <x v="54"/>
    <s v="Male"/>
    <n v="69.400000000000006"/>
    <n v="145.30000000000001"/>
    <n v="21.5"/>
    <n v="16"/>
    <s v="CA"/>
    <n v="3"/>
    <n v="116.9"/>
    <s v="Middle"/>
    <n v="0"/>
    <s v="Single-Day"/>
    <n v="0"/>
    <n v="0"/>
    <s v="Main Entrance"/>
    <s v="Toy Story Lot"/>
    <n v="7.6"/>
    <n v="8"/>
    <x v="1625"/>
  </r>
  <r>
    <n v="1696"/>
    <n v="552"/>
    <d v="2026-02-28T00:00:00"/>
    <s v="Saturday"/>
    <n v="2"/>
    <n v="10.56"/>
    <x v="0"/>
    <x v="55"/>
    <s v="Male"/>
    <n v="71.5"/>
    <n v="211"/>
    <n v="29"/>
    <n v="14"/>
    <s v="CA"/>
    <n v="3"/>
    <n v="116.9"/>
    <s v="Middle"/>
    <n v="0"/>
    <s v="Single-Day"/>
    <n v="0"/>
    <n v="0"/>
    <s v="Main Entrance"/>
    <s v="Toy Story Lot"/>
    <n v="6.5"/>
    <n v="6"/>
    <x v="1626"/>
  </r>
  <r>
    <n v="1697"/>
    <n v="552"/>
    <d v="2026-02-28T00:00:00"/>
    <s v="Saturday"/>
    <n v="2"/>
    <n v="10.38"/>
    <x v="0"/>
    <x v="41"/>
    <s v="Female"/>
    <n v="67.8"/>
    <n v="126.3"/>
    <n v="19.5"/>
    <n v="15"/>
    <s v="CA"/>
    <n v="3"/>
    <n v="116.9"/>
    <s v="Middle"/>
    <n v="0"/>
    <s v="Single-Day"/>
    <n v="0"/>
    <n v="0"/>
    <s v="Main Entrance"/>
    <s v="Toy Story Lot"/>
    <n v="7.1"/>
    <n v="6"/>
    <x v="1627"/>
  </r>
  <r>
    <n v="1698"/>
    <n v="553"/>
    <d v="2026-05-10T00:00:00"/>
    <s v="Sunday"/>
    <n v="5"/>
    <n v="8.35"/>
    <x v="0"/>
    <x v="75"/>
    <s v="Male"/>
    <n v="64.7"/>
    <n v="157.80000000000001"/>
    <n v="26.4"/>
    <n v="16"/>
    <s v="CA"/>
    <n v="4"/>
    <n v="59.3"/>
    <s v="Middle"/>
    <n v="0"/>
    <s v="Park Hopper"/>
    <n v="0"/>
    <n v="0"/>
    <s v="Main Entrance"/>
    <s v="Toy Story Lot"/>
    <n v="8.6"/>
    <n v="11"/>
    <x v="459"/>
  </r>
  <r>
    <n v="1699"/>
    <n v="553"/>
    <d v="2026-05-10T00:00:00"/>
    <s v="Sunday"/>
    <n v="5"/>
    <n v="8.39"/>
    <x v="0"/>
    <x v="35"/>
    <s v="Female"/>
    <n v="68.3"/>
    <n v="186.8"/>
    <n v="28"/>
    <n v="15"/>
    <s v="CA"/>
    <n v="4"/>
    <n v="59.3"/>
    <s v="Middle"/>
    <n v="0"/>
    <s v="Park Hopper"/>
    <n v="0"/>
    <n v="0"/>
    <s v="Main Entrance"/>
    <s v="Toy Story Lot"/>
    <n v="8.3000000000000007"/>
    <n v="9"/>
    <x v="1628"/>
  </r>
  <r>
    <n v="1700"/>
    <n v="553"/>
    <d v="2026-05-10T00:00:00"/>
    <s v="Sunday"/>
    <n v="5"/>
    <n v="8.1199999999999992"/>
    <x v="0"/>
    <x v="48"/>
    <s v="Female"/>
    <n v="59.5"/>
    <n v="144.4"/>
    <n v="28.8"/>
    <n v="11"/>
    <s v="CA"/>
    <n v="4"/>
    <n v="59.3"/>
    <s v="Middle"/>
    <n v="0"/>
    <s v="Park Hopper"/>
    <n v="0"/>
    <n v="0"/>
    <s v="Main Entrance"/>
    <s v="Toy Story Lot"/>
    <n v="7.1"/>
    <n v="6"/>
    <x v="1629"/>
  </r>
  <r>
    <n v="1701"/>
    <n v="553"/>
    <d v="2026-05-10T00:00:00"/>
    <s v="Sunday"/>
    <n v="5"/>
    <n v="8.3800000000000008"/>
    <x v="0"/>
    <x v="42"/>
    <s v="Female"/>
    <n v="63.4"/>
    <n v="144.30000000000001"/>
    <n v="25"/>
    <n v="15"/>
    <s v="CA"/>
    <n v="4"/>
    <n v="59.3"/>
    <s v="Middle"/>
    <n v="0"/>
    <s v="Park Hopper"/>
    <n v="0"/>
    <n v="0"/>
    <s v="Main Entrance"/>
    <s v="Toy Story Lot"/>
    <n v="8"/>
    <n v="6"/>
    <x v="1630"/>
  </r>
  <r>
    <n v="1702"/>
    <n v="554"/>
    <d v="2026-04-25T00:00:00"/>
    <s v="Saturday"/>
    <n v="4"/>
    <n v="12.06"/>
    <x v="1"/>
    <x v="67"/>
    <s v="Male"/>
    <n v="74.2"/>
    <n v="169.3"/>
    <n v="21.7"/>
    <n v="9"/>
    <s v="WA"/>
    <n v="4"/>
    <n v="1058"/>
    <s v="Middle"/>
    <n v="0"/>
    <s v="Park Hopper"/>
    <n v="0"/>
    <n v="0"/>
    <s v="Main Entrance"/>
    <s v="Mickey &amp; Friends"/>
    <n v="6.4"/>
    <n v="4"/>
    <x v="1631"/>
  </r>
  <r>
    <n v="1703"/>
    <n v="554"/>
    <d v="2026-04-25T00:00:00"/>
    <s v="Saturday"/>
    <n v="4"/>
    <n v="11.85"/>
    <x v="1"/>
    <x v="38"/>
    <s v="Male"/>
    <n v="61.6"/>
    <n v="156.5"/>
    <n v="28.8"/>
    <n v="13"/>
    <s v="WA"/>
    <n v="4"/>
    <n v="1058"/>
    <s v="Middle"/>
    <n v="0"/>
    <s v="Park Hopper"/>
    <n v="0"/>
    <n v="0"/>
    <s v="Main Entrance"/>
    <s v="Mickey &amp; Friends"/>
    <n v="8.6"/>
    <n v="6"/>
    <x v="1632"/>
  </r>
  <r>
    <n v="1704"/>
    <n v="554"/>
    <d v="2026-04-25T00:00:00"/>
    <s v="Saturday"/>
    <n v="4"/>
    <n v="12.06"/>
    <x v="1"/>
    <x v="14"/>
    <s v="Male"/>
    <n v="69.900000000000006"/>
    <n v="174.1"/>
    <n v="25"/>
    <n v="17"/>
    <s v="WA"/>
    <n v="4"/>
    <n v="1058"/>
    <s v="Middle"/>
    <n v="0"/>
    <s v="Park Hopper"/>
    <n v="0"/>
    <n v="0"/>
    <s v="Main Entrance"/>
    <s v="Mickey &amp; Friends"/>
    <n v="6.2"/>
    <n v="4"/>
    <x v="1633"/>
  </r>
  <r>
    <n v="1705"/>
    <n v="554"/>
    <d v="2026-04-25T00:00:00"/>
    <s v="Saturday"/>
    <n v="4"/>
    <n v="11.92"/>
    <x v="1"/>
    <x v="14"/>
    <s v="Female"/>
    <n v="66"/>
    <n v="168.5"/>
    <n v="27.1"/>
    <n v="16"/>
    <s v="WA"/>
    <n v="4"/>
    <n v="1058"/>
    <s v="Middle"/>
    <n v="0"/>
    <s v="Park Hopper"/>
    <n v="0"/>
    <n v="0"/>
    <s v="Main Entrance"/>
    <s v="Mickey &amp; Friends"/>
    <n v="7.4"/>
    <n v="6"/>
    <x v="1634"/>
  </r>
  <r>
    <n v="1706"/>
    <n v="555"/>
    <d v="2026-12-12T00:00:00"/>
    <s v="Saturday"/>
    <n v="12"/>
    <n v="8.9700000000000006"/>
    <x v="0"/>
    <x v="33"/>
    <s v="Female"/>
    <n v="65.400000000000006"/>
    <n v="168"/>
    <n v="27.7"/>
    <n v="17"/>
    <s v="CA"/>
    <n v="4"/>
    <n v="145.19999999999999"/>
    <s v="Middle"/>
    <n v="0"/>
    <s v="Single-Day"/>
    <n v="0"/>
    <n v="0"/>
    <s v="Downtown Disney Gate"/>
    <s v="Mickey &amp; Friends"/>
    <n v="6.1"/>
    <n v="10"/>
    <x v="1635"/>
  </r>
  <r>
    <n v="1707"/>
    <n v="555"/>
    <d v="2026-12-12T00:00:00"/>
    <s v="Saturday"/>
    <n v="12"/>
    <n v="9.1300000000000008"/>
    <x v="0"/>
    <x v="77"/>
    <s v="Female"/>
    <n v="60.9"/>
    <n v="134.1"/>
    <n v="25.3"/>
    <n v="19"/>
    <s v="CA"/>
    <n v="4"/>
    <n v="145.19999999999999"/>
    <s v="Middle"/>
    <n v="0"/>
    <s v="Single-Day"/>
    <n v="0"/>
    <n v="0"/>
    <s v="Downtown Disney Gate"/>
    <s v="Mickey &amp; Friends"/>
    <n v="11.1"/>
    <n v="11"/>
    <x v="1636"/>
  </r>
  <r>
    <n v="1708"/>
    <n v="555"/>
    <d v="2026-12-12T00:00:00"/>
    <s v="Saturday"/>
    <n v="12"/>
    <n v="9.56"/>
    <x v="0"/>
    <x v="2"/>
    <s v="Male"/>
    <n v="72.900000000000006"/>
    <n v="206.4"/>
    <n v="27.4"/>
    <n v="14"/>
    <s v="CA"/>
    <n v="4"/>
    <n v="145.19999999999999"/>
    <s v="Middle"/>
    <n v="0"/>
    <s v="Single-Day"/>
    <n v="0"/>
    <n v="0"/>
    <s v="Downtown Disney Gate"/>
    <s v="Mickey &amp; Friends"/>
    <n v="9.8000000000000007"/>
    <n v="7"/>
    <x v="1637"/>
  </r>
  <r>
    <n v="1709"/>
    <n v="555"/>
    <d v="2026-12-12T00:00:00"/>
    <s v="Saturday"/>
    <n v="12"/>
    <n v="9.1300000000000008"/>
    <x v="0"/>
    <x v="31"/>
    <s v="Female"/>
    <n v="64.2"/>
    <n v="151"/>
    <n v="25.7"/>
    <n v="13"/>
    <s v="CA"/>
    <n v="4"/>
    <n v="145.19999999999999"/>
    <s v="Middle"/>
    <n v="0"/>
    <s v="Single-Day"/>
    <n v="0"/>
    <n v="0"/>
    <s v="Downtown Disney Gate"/>
    <s v="Mickey &amp; Friends"/>
    <n v="5.5"/>
    <n v="8"/>
    <x v="1638"/>
  </r>
  <r>
    <n v="1710"/>
    <n v="556"/>
    <d v="2026-12-17T00:00:00"/>
    <s v="Thursday"/>
    <n v="12"/>
    <n v="11.58"/>
    <x v="1"/>
    <x v="71"/>
    <s v="Male"/>
    <n v="71.099999999999994"/>
    <n v="210.5"/>
    <n v="29"/>
    <n v="18"/>
    <s v="OR"/>
    <n v="3"/>
    <n v="745"/>
    <s v="High"/>
    <n v="1"/>
    <s v="Single-Day"/>
    <n v="1"/>
    <n v="0"/>
    <s v="Main Entrance"/>
    <s v="Mickey &amp; Friends"/>
    <n v="6.6"/>
    <n v="9"/>
    <x v="1639"/>
  </r>
  <r>
    <n v="1711"/>
    <n v="556"/>
    <d v="2026-12-17T00:00:00"/>
    <s v="Thursday"/>
    <n v="12"/>
    <n v="11.65"/>
    <x v="1"/>
    <x v="35"/>
    <s v="Female"/>
    <n v="63.8"/>
    <n v="109.2"/>
    <n v="18.899999999999999"/>
    <n v="17"/>
    <s v="OR"/>
    <n v="3"/>
    <n v="745"/>
    <s v="High"/>
    <n v="1"/>
    <s v="Single-Day"/>
    <n v="1"/>
    <n v="0"/>
    <s v="Main Entrance"/>
    <s v="Mickey &amp; Friends"/>
    <n v="8.6999999999999993"/>
    <n v="9"/>
    <x v="1640"/>
  </r>
  <r>
    <n v="1712"/>
    <n v="556"/>
    <d v="2026-12-17T00:00:00"/>
    <s v="Thursday"/>
    <n v="12"/>
    <n v="11.44"/>
    <x v="1"/>
    <x v="4"/>
    <s v="Male"/>
    <n v="76.7"/>
    <n v="251.5"/>
    <n v="30.2"/>
    <n v="17"/>
    <s v="OR"/>
    <n v="3"/>
    <n v="745"/>
    <s v="High"/>
    <n v="1"/>
    <s v="Single-Day"/>
    <n v="1"/>
    <n v="0"/>
    <s v="Main Entrance"/>
    <s v="Mickey &amp; Friends"/>
    <n v="3.9"/>
    <n v="7"/>
    <x v="1641"/>
  </r>
  <r>
    <n v="1713"/>
    <n v="557"/>
    <d v="2026-11-28T00:00:00"/>
    <s v="Saturday"/>
    <n v="11"/>
    <n v="10.76"/>
    <x v="0"/>
    <x v="21"/>
    <s v="Female"/>
    <n v="63.8"/>
    <n v="145.30000000000001"/>
    <n v="25.1"/>
    <n v="17"/>
    <s v="WA"/>
    <n v="3"/>
    <n v="1327.5"/>
    <s v="Middle"/>
    <n v="0"/>
    <s v="Single-Day"/>
    <n v="0"/>
    <n v="1"/>
    <s v="Main Entrance"/>
    <s v="None/Walked from Resort"/>
    <n v="10.199999999999999"/>
    <n v="14"/>
    <x v="1642"/>
  </r>
  <r>
    <n v="1714"/>
    <n v="557"/>
    <d v="2026-11-28T00:00:00"/>
    <s v="Saturday"/>
    <n v="11"/>
    <n v="10.74"/>
    <x v="0"/>
    <x v="12"/>
    <s v="Male"/>
    <n v="62"/>
    <n v="112"/>
    <n v="20.399999999999999"/>
    <n v="11"/>
    <s v="WA"/>
    <n v="3"/>
    <n v="1327.5"/>
    <s v="Middle"/>
    <n v="0"/>
    <s v="Single-Day"/>
    <n v="0"/>
    <n v="1"/>
    <s v="Main Entrance"/>
    <s v="None/Walked from Resort"/>
    <n v="11.7"/>
    <n v="10"/>
    <x v="1643"/>
  </r>
  <r>
    <n v="1715"/>
    <n v="557"/>
    <d v="2026-11-28T00:00:00"/>
    <s v="Saturday"/>
    <n v="11"/>
    <n v="10.66"/>
    <x v="0"/>
    <x v="38"/>
    <s v="Male"/>
    <n v="66"/>
    <n v="225.3"/>
    <n v="36.299999999999997"/>
    <n v="14"/>
    <s v="WA"/>
    <n v="3"/>
    <n v="1327.5"/>
    <s v="Middle"/>
    <n v="0"/>
    <s v="Single-Day"/>
    <n v="0"/>
    <n v="1"/>
    <s v="Main Entrance"/>
    <s v="None/Walked from Resort"/>
    <n v="7.2"/>
    <n v="11"/>
    <x v="1644"/>
  </r>
  <r>
    <n v="1716"/>
    <n v="558"/>
    <d v="2026-02-19T00:00:00"/>
    <s v="Thursday"/>
    <n v="2"/>
    <n v="9.9600000000000009"/>
    <x v="0"/>
    <x v="48"/>
    <s v="Male"/>
    <n v="66.7"/>
    <n v="150.1"/>
    <n v="23.7"/>
    <n v="14"/>
    <s v="CA"/>
    <n v="3"/>
    <n v="59"/>
    <s v="Middle"/>
    <n v="1"/>
    <s v="Single-Day"/>
    <n v="1"/>
    <n v="0"/>
    <s v="Main Entrance"/>
    <s v="Mickey &amp; Friends"/>
    <n v="11.2"/>
    <n v="6"/>
    <x v="1645"/>
  </r>
  <r>
    <n v="1717"/>
    <n v="558"/>
    <d v="2026-02-19T00:00:00"/>
    <s v="Thursday"/>
    <n v="2"/>
    <n v="9.91"/>
    <x v="0"/>
    <x v="71"/>
    <s v="Female"/>
    <n v="56.3"/>
    <n v="137.30000000000001"/>
    <n v="30.1"/>
    <n v="13"/>
    <s v="CA"/>
    <n v="3"/>
    <n v="59"/>
    <s v="Middle"/>
    <n v="1"/>
    <s v="Single-Day"/>
    <n v="1"/>
    <n v="0"/>
    <s v="Main Entrance"/>
    <s v="Mickey &amp; Friends"/>
    <n v="7.4"/>
    <n v="9"/>
    <x v="1646"/>
  </r>
  <r>
    <n v="1718"/>
    <n v="558"/>
    <d v="2026-02-19T00:00:00"/>
    <s v="Thursday"/>
    <n v="2"/>
    <n v="9.83"/>
    <x v="0"/>
    <x v="19"/>
    <s v="Female"/>
    <n v="67.599999999999994"/>
    <n v="196"/>
    <n v="30.3"/>
    <n v="15"/>
    <s v="CA"/>
    <n v="3"/>
    <n v="59"/>
    <s v="Middle"/>
    <n v="1"/>
    <s v="Single-Day"/>
    <n v="1"/>
    <n v="0"/>
    <s v="Main Entrance"/>
    <s v="Mickey &amp; Friends"/>
    <n v="8.4"/>
    <n v="6"/>
    <x v="1647"/>
  </r>
  <r>
    <n v="1719"/>
    <n v="559"/>
    <d v="2026-02-01T00:00:00"/>
    <s v="Sunday"/>
    <n v="2"/>
    <n v="8.33"/>
    <x v="0"/>
    <x v="26"/>
    <s v="Female"/>
    <n v="65.099999999999994"/>
    <n v="158.69999999999999"/>
    <n v="26.5"/>
    <n v="14"/>
    <s v="CA"/>
    <n v="1"/>
    <n v="66.5"/>
    <s v="Low"/>
    <n v="1"/>
    <s v="Park Hopper"/>
    <n v="1"/>
    <n v="0"/>
    <s v="Main Entrance"/>
    <s v="Toy Story Lot"/>
    <n v="9.1"/>
    <n v="7"/>
    <x v="1648"/>
  </r>
  <r>
    <n v="1720"/>
    <n v="560"/>
    <d v="2026-04-13T00:00:00"/>
    <s v="Monday"/>
    <n v="4"/>
    <n v="9.06"/>
    <x v="0"/>
    <x v="42"/>
    <s v="Female"/>
    <n v="65.900000000000006"/>
    <n v="146.4"/>
    <n v="23.8"/>
    <n v="13"/>
    <s v="CA"/>
    <n v="3"/>
    <n v="148.5"/>
    <s v="Middle"/>
    <n v="0"/>
    <s v="Single-Day"/>
    <n v="0"/>
    <n v="1"/>
    <s v="Main Entrance"/>
    <s v="Pixar Pals"/>
    <n v="11.5"/>
    <n v="13"/>
    <x v="1649"/>
  </r>
  <r>
    <n v="1721"/>
    <n v="560"/>
    <d v="2026-04-13T00:00:00"/>
    <s v="Monday"/>
    <n v="4"/>
    <n v="8.9700000000000006"/>
    <x v="0"/>
    <x v="41"/>
    <s v="Female"/>
    <n v="68.3"/>
    <n v="102.7"/>
    <n v="15.2"/>
    <n v="14"/>
    <s v="CA"/>
    <n v="3"/>
    <n v="148.5"/>
    <s v="Middle"/>
    <n v="0"/>
    <s v="Single-Day"/>
    <n v="0"/>
    <n v="1"/>
    <s v="Main Entrance"/>
    <s v="Pixar Pals"/>
    <n v="9.4"/>
    <n v="6"/>
    <x v="1650"/>
  </r>
  <r>
    <n v="1722"/>
    <n v="560"/>
    <d v="2026-04-13T00:00:00"/>
    <s v="Monday"/>
    <n v="4"/>
    <n v="9.1999999999999993"/>
    <x v="0"/>
    <x v="53"/>
    <s v="Male"/>
    <n v="51.1"/>
    <n v="74.7"/>
    <n v="20.100000000000001"/>
    <n v="14"/>
    <s v="CA"/>
    <n v="3"/>
    <n v="148.5"/>
    <s v="Middle"/>
    <n v="0"/>
    <s v="Single-Day"/>
    <n v="0"/>
    <n v="1"/>
    <s v="Main Entrance"/>
    <s v="Pixar Pals"/>
    <n v="9.4"/>
    <n v="11"/>
    <x v="1651"/>
  </r>
  <r>
    <n v="1723"/>
    <n v="561"/>
    <d v="2026-04-20T00:00:00"/>
    <s v="Monday"/>
    <n v="4"/>
    <n v="7.15"/>
    <x v="0"/>
    <x v="32"/>
    <s v="Female"/>
    <n v="51.7"/>
    <n v="82.9"/>
    <n v="21.9"/>
    <n v="12"/>
    <s v="FL"/>
    <n v="4"/>
    <n v="2133.6"/>
    <s v="Middle"/>
    <n v="0"/>
    <s v="Multi-Day"/>
    <n v="1"/>
    <n v="0"/>
    <s v="Main Entrance"/>
    <s v="Pixar Pals"/>
    <n v="10.199999999999999"/>
    <n v="7"/>
    <x v="1652"/>
  </r>
  <r>
    <n v="1724"/>
    <n v="561"/>
    <d v="2026-04-20T00:00:00"/>
    <s v="Monday"/>
    <n v="4"/>
    <n v="7.02"/>
    <x v="0"/>
    <x v="9"/>
    <s v="Female"/>
    <n v="62.7"/>
    <n v="134.19999999999999"/>
    <n v="24"/>
    <n v="14"/>
    <s v="FL"/>
    <n v="4"/>
    <n v="2133.6"/>
    <s v="Middle"/>
    <n v="0"/>
    <s v="Multi-Day"/>
    <n v="1"/>
    <n v="0"/>
    <s v="Main Entrance"/>
    <s v="Pixar Pals"/>
    <n v="7.7"/>
    <n v="11"/>
    <x v="1653"/>
  </r>
  <r>
    <n v="1725"/>
    <n v="561"/>
    <d v="2026-04-20T00:00:00"/>
    <s v="Monday"/>
    <n v="4"/>
    <n v="7"/>
    <x v="0"/>
    <x v="4"/>
    <s v="Male"/>
    <n v="69"/>
    <n v="235.1"/>
    <n v="34.5"/>
    <n v="16"/>
    <s v="FL"/>
    <n v="4"/>
    <n v="2133.6"/>
    <s v="Middle"/>
    <n v="0"/>
    <s v="Multi-Day"/>
    <n v="1"/>
    <n v="0"/>
    <s v="Main Entrance"/>
    <s v="Pixar Pals"/>
    <n v="10.5"/>
    <n v="13"/>
    <x v="1654"/>
  </r>
  <r>
    <n v="1726"/>
    <n v="561"/>
    <d v="2026-04-20T00:00:00"/>
    <s v="Monday"/>
    <n v="4"/>
    <n v="7.04"/>
    <x v="0"/>
    <x v="39"/>
    <s v="Male"/>
    <n v="74.3"/>
    <n v="246.2"/>
    <n v="31.3"/>
    <n v="13"/>
    <s v="FL"/>
    <n v="4"/>
    <n v="2133.6"/>
    <s v="Middle"/>
    <n v="0"/>
    <s v="Multi-Day"/>
    <n v="1"/>
    <n v="0"/>
    <s v="Main Entrance"/>
    <s v="Pixar Pals"/>
    <n v="8.6"/>
    <n v="15"/>
    <x v="1655"/>
  </r>
  <r>
    <n v="1727"/>
    <n v="562"/>
    <d v="2026-07-03T00:00:00"/>
    <s v="Friday"/>
    <n v="7"/>
    <n v="12.79"/>
    <x v="1"/>
    <x v="70"/>
    <s v="Female"/>
    <n v="70"/>
    <n v="134.6"/>
    <n v="19.399999999999999"/>
    <n v="15"/>
    <s v="CO"/>
    <n v="1"/>
    <n v="1087.9000000000001"/>
    <s v="High"/>
    <n v="1"/>
    <s v="Multi-Day"/>
    <n v="0"/>
    <n v="0"/>
    <s v="Main Entrance"/>
    <s v="Toy Story Lot"/>
    <n v="7.5"/>
    <n v="12"/>
    <x v="1656"/>
  </r>
  <r>
    <n v="1728"/>
    <n v="563"/>
    <d v="2026-01-15T00:00:00"/>
    <s v="Thursday"/>
    <n v="1"/>
    <n v="13.31"/>
    <x v="1"/>
    <x v="64"/>
    <s v="Female"/>
    <n v="55.5"/>
    <n v="88"/>
    <n v="19.7"/>
    <n v="15"/>
    <s v="CA"/>
    <n v="3"/>
    <n v="72.8"/>
    <s v="High"/>
    <n v="0"/>
    <s v="Multi-Day"/>
    <n v="0"/>
    <n v="0"/>
    <s v="Main Entrance"/>
    <s v="Mickey &amp; Friends"/>
    <n v="6"/>
    <n v="10"/>
    <x v="1657"/>
  </r>
  <r>
    <n v="1729"/>
    <n v="563"/>
    <d v="2026-01-15T00:00:00"/>
    <s v="Thursday"/>
    <n v="1"/>
    <n v="13.38"/>
    <x v="1"/>
    <x v="48"/>
    <s v="Female"/>
    <n v="58.8"/>
    <n v="134.1"/>
    <n v="27.3"/>
    <n v="17"/>
    <s v="CA"/>
    <n v="3"/>
    <n v="72.8"/>
    <s v="High"/>
    <n v="0"/>
    <s v="Multi-Day"/>
    <n v="0"/>
    <n v="0"/>
    <s v="Main Entrance"/>
    <s v="Mickey &amp; Friends"/>
    <n v="8"/>
    <n v="5"/>
    <x v="1658"/>
  </r>
  <r>
    <n v="1730"/>
    <n v="563"/>
    <d v="2026-01-15T00:00:00"/>
    <s v="Thursday"/>
    <n v="1"/>
    <n v="13.43"/>
    <x v="1"/>
    <x v="47"/>
    <s v="Female"/>
    <n v="63"/>
    <n v="161.5"/>
    <n v="28.6"/>
    <n v="22"/>
    <s v="CA"/>
    <n v="3"/>
    <n v="72.8"/>
    <s v="High"/>
    <n v="0"/>
    <s v="Multi-Day"/>
    <n v="0"/>
    <n v="0"/>
    <s v="Main Entrance"/>
    <s v="Mickey &amp; Friends"/>
    <n v="7"/>
    <n v="8"/>
    <x v="1659"/>
  </r>
  <r>
    <n v="1731"/>
    <n v="564"/>
    <d v="2026-01-11T00:00:00"/>
    <s v="Sunday"/>
    <n v="1"/>
    <n v="7.84"/>
    <x v="0"/>
    <x v="11"/>
    <s v="Male"/>
    <n v="66"/>
    <n v="207.8"/>
    <n v="33.4"/>
    <n v="13"/>
    <s v="WA"/>
    <n v="3"/>
    <n v="1303.4000000000001"/>
    <s v="Low"/>
    <n v="1"/>
    <s v="Multi-Day"/>
    <n v="1"/>
    <n v="0"/>
    <s v="Main Entrance"/>
    <s v="Mickey &amp; Friends"/>
    <n v="8.6999999999999993"/>
    <n v="10"/>
    <x v="1660"/>
  </r>
  <r>
    <n v="1732"/>
    <n v="564"/>
    <d v="2026-01-11T00:00:00"/>
    <s v="Sunday"/>
    <n v="1"/>
    <n v="8.0500000000000007"/>
    <x v="0"/>
    <x v="6"/>
    <s v="Male"/>
    <n v="70.599999999999994"/>
    <n v="194.1"/>
    <n v="27.3"/>
    <n v="13"/>
    <s v="WA"/>
    <n v="3"/>
    <n v="1303.4000000000001"/>
    <s v="Low"/>
    <n v="1"/>
    <s v="Multi-Day"/>
    <n v="1"/>
    <n v="0"/>
    <s v="Main Entrance"/>
    <s v="Mickey &amp; Friends"/>
    <n v="6.5"/>
    <n v="12"/>
    <x v="1661"/>
  </r>
  <r>
    <n v="1733"/>
    <n v="564"/>
    <d v="2026-01-11T00:00:00"/>
    <s v="Sunday"/>
    <n v="1"/>
    <n v="7.94"/>
    <x v="0"/>
    <x v="22"/>
    <s v="Male"/>
    <n v="64"/>
    <n v="116.2"/>
    <n v="20.2"/>
    <n v="11"/>
    <s v="WA"/>
    <n v="3"/>
    <n v="1303.4000000000001"/>
    <s v="Low"/>
    <n v="1"/>
    <s v="Multi-Day"/>
    <n v="1"/>
    <n v="0"/>
    <s v="Main Entrance"/>
    <s v="Mickey &amp; Friends"/>
    <n v="10.8"/>
    <n v="12"/>
    <x v="1662"/>
  </r>
  <r>
    <n v="1734"/>
    <n v="565"/>
    <d v="2026-08-15T00:00:00"/>
    <s v="Saturday"/>
    <n v="8"/>
    <n v="11.48"/>
    <x v="1"/>
    <x v="71"/>
    <s v="Male"/>
    <n v="68.099999999999994"/>
    <n v="115.3"/>
    <n v="17.600000000000001"/>
    <n v="11"/>
    <s v="Other"/>
    <n v="2"/>
    <n v="1594.9"/>
    <s v="Middle"/>
    <n v="1"/>
    <s v="Park Hopper"/>
    <n v="1"/>
    <n v="0"/>
    <s v="Main Entrance"/>
    <s v="Pixar Pals"/>
    <n v="7.2"/>
    <n v="12"/>
    <x v="1663"/>
  </r>
  <r>
    <n v="1735"/>
    <n v="565"/>
    <d v="2026-08-15T00:00:00"/>
    <s v="Saturday"/>
    <n v="8"/>
    <n v="11.41"/>
    <x v="1"/>
    <x v="50"/>
    <s v="Male"/>
    <n v="70"/>
    <n v="146.1"/>
    <n v="20.8"/>
    <n v="11"/>
    <s v="Other"/>
    <n v="2"/>
    <n v="1594.9"/>
    <s v="Middle"/>
    <n v="1"/>
    <s v="Park Hopper"/>
    <n v="1"/>
    <n v="0"/>
    <s v="Main Entrance"/>
    <s v="Pixar Pals"/>
    <n v="6.4"/>
    <n v="11"/>
    <x v="1664"/>
  </r>
  <r>
    <n v="1736"/>
    <n v="566"/>
    <d v="2026-09-18T00:00:00"/>
    <s v="Friday"/>
    <n v="9"/>
    <n v="12.31"/>
    <x v="1"/>
    <x v="68"/>
    <s v="Female"/>
    <n v="63.4"/>
    <n v="156.5"/>
    <n v="27.7"/>
    <n v="14"/>
    <s v="NV"/>
    <n v="6"/>
    <n v="259.60000000000002"/>
    <s v="Middle"/>
    <n v="1"/>
    <s v="Multi-Day"/>
    <n v="0"/>
    <n v="0"/>
    <s v="Main Entrance"/>
    <s v="Mickey &amp; Friends"/>
    <n v="9.6999999999999993"/>
    <n v="9"/>
    <x v="1665"/>
  </r>
  <r>
    <n v="1737"/>
    <n v="566"/>
    <d v="2026-09-18T00:00:00"/>
    <s v="Friday"/>
    <n v="9"/>
    <n v="12.1"/>
    <x v="1"/>
    <x v="44"/>
    <s v="Female"/>
    <n v="66.900000000000006"/>
    <n v="152.19999999999999"/>
    <n v="23.9"/>
    <n v="11"/>
    <s v="NV"/>
    <n v="6"/>
    <n v="259.60000000000002"/>
    <s v="Middle"/>
    <n v="1"/>
    <s v="Multi-Day"/>
    <n v="0"/>
    <n v="0"/>
    <s v="Main Entrance"/>
    <s v="Mickey &amp; Friends"/>
    <n v="8.6999999999999993"/>
    <n v="7"/>
    <x v="1666"/>
  </r>
  <r>
    <n v="1738"/>
    <n v="566"/>
    <d v="2026-09-18T00:00:00"/>
    <s v="Friday"/>
    <n v="9"/>
    <n v="12.04"/>
    <x v="1"/>
    <x v="64"/>
    <s v="Male"/>
    <n v="55.1"/>
    <n v="77.7"/>
    <n v="18"/>
    <n v="14"/>
    <s v="NV"/>
    <n v="6"/>
    <n v="259.60000000000002"/>
    <s v="Middle"/>
    <n v="1"/>
    <s v="Multi-Day"/>
    <n v="0"/>
    <n v="0"/>
    <s v="Main Entrance"/>
    <s v="Mickey &amp; Friends"/>
    <n v="9"/>
    <n v="6"/>
    <x v="1667"/>
  </r>
  <r>
    <n v="1739"/>
    <n v="566"/>
    <d v="2026-09-18T00:00:00"/>
    <s v="Friday"/>
    <n v="9"/>
    <n v="11.95"/>
    <x v="1"/>
    <x v="7"/>
    <s v="Female"/>
    <n v="55.4"/>
    <n v="82"/>
    <n v="18.899999999999999"/>
    <n v="14"/>
    <s v="NV"/>
    <n v="6"/>
    <n v="259.60000000000002"/>
    <s v="Middle"/>
    <n v="1"/>
    <s v="Multi-Day"/>
    <n v="0"/>
    <n v="0"/>
    <s v="Main Entrance"/>
    <s v="Mickey &amp; Friends"/>
    <n v="9.3000000000000007"/>
    <n v="9"/>
    <x v="1668"/>
  </r>
  <r>
    <n v="1740"/>
    <n v="566"/>
    <d v="2026-09-18T00:00:00"/>
    <s v="Friday"/>
    <n v="9"/>
    <n v="12.25"/>
    <x v="1"/>
    <x v="72"/>
    <s v="Female"/>
    <n v="64.599999999999994"/>
    <n v="226.4"/>
    <n v="38.200000000000003"/>
    <n v="14"/>
    <s v="NV"/>
    <n v="6"/>
    <n v="259.60000000000002"/>
    <s v="Middle"/>
    <n v="1"/>
    <s v="Multi-Day"/>
    <n v="0"/>
    <n v="0"/>
    <s v="Main Entrance"/>
    <s v="Mickey &amp; Friends"/>
    <n v="5.9"/>
    <n v="8"/>
    <x v="1669"/>
  </r>
  <r>
    <n v="1741"/>
    <n v="566"/>
    <d v="2026-09-18T00:00:00"/>
    <s v="Friday"/>
    <n v="9"/>
    <n v="12.14"/>
    <x v="1"/>
    <x v="38"/>
    <s v="Female"/>
    <n v="64.7"/>
    <n v="87.4"/>
    <n v="14.9"/>
    <n v="11"/>
    <s v="NV"/>
    <n v="6"/>
    <n v="259.60000000000002"/>
    <s v="Middle"/>
    <n v="1"/>
    <s v="Multi-Day"/>
    <n v="0"/>
    <n v="0"/>
    <s v="Main Entrance"/>
    <s v="Mickey &amp; Friends"/>
    <n v="7.6"/>
    <n v="7"/>
    <x v="1670"/>
  </r>
  <r>
    <n v="1742"/>
    <n v="567"/>
    <d v="2026-01-05T00:00:00"/>
    <s v="Monday"/>
    <n v="1"/>
    <n v="9.92"/>
    <x v="0"/>
    <x v="33"/>
    <s v="Female"/>
    <n v="61.3"/>
    <n v="181.1"/>
    <n v="34"/>
    <n v="13"/>
    <s v="NV"/>
    <n v="2"/>
    <n v="361.2"/>
    <s v="Low"/>
    <n v="1"/>
    <s v="Park Hopper"/>
    <n v="0"/>
    <n v="0"/>
    <s v="Downtown Disney Gate"/>
    <s v="Mickey &amp; Friends"/>
    <n v="9.3000000000000007"/>
    <n v="12"/>
    <x v="1671"/>
  </r>
  <r>
    <n v="1743"/>
    <n v="567"/>
    <d v="2026-01-05T00:00:00"/>
    <s v="Monday"/>
    <n v="1"/>
    <n v="9.82"/>
    <x v="0"/>
    <x v="16"/>
    <s v="Female"/>
    <n v="54.8"/>
    <n v="73.099999999999994"/>
    <n v="17.399999999999999"/>
    <n v="10"/>
    <s v="NV"/>
    <n v="2"/>
    <n v="361.2"/>
    <s v="Low"/>
    <n v="1"/>
    <s v="Park Hopper"/>
    <n v="0"/>
    <n v="0"/>
    <s v="Downtown Disney Gate"/>
    <s v="Mickey &amp; Friends"/>
    <n v="9.8000000000000007"/>
    <n v="11"/>
    <x v="1672"/>
  </r>
  <r>
    <n v="1744"/>
    <n v="568"/>
    <d v="2026-05-08T00:00:00"/>
    <s v="Friday"/>
    <n v="5"/>
    <n v="7.56"/>
    <x v="0"/>
    <x v="45"/>
    <s v="Female"/>
    <n v="60.6"/>
    <n v="132.69999999999999"/>
    <n v="25.3"/>
    <n v="16"/>
    <s v="OR"/>
    <n v="1"/>
    <n v="470.9"/>
    <s v="Middle"/>
    <n v="1"/>
    <s v="Single-Day"/>
    <n v="0"/>
    <n v="0"/>
    <s v="Main Entrance"/>
    <s v="Pixar Pals"/>
    <n v="8"/>
    <n v="12"/>
    <x v="1673"/>
  </r>
  <r>
    <n v="1745"/>
    <n v="569"/>
    <d v="2026-10-10T00:00:00"/>
    <s v="Saturday"/>
    <n v="10"/>
    <n v="10.87"/>
    <x v="0"/>
    <x v="58"/>
    <s v="Female"/>
    <n v="62.4"/>
    <n v="166.7"/>
    <n v="29.9"/>
    <n v="10"/>
    <s v="AZ"/>
    <n v="1"/>
    <n v="311.5"/>
    <s v="Low"/>
    <n v="0"/>
    <s v="Single-Day"/>
    <n v="0"/>
    <n v="0"/>
    <s v="Main Entrance"/>
    <s v="Toy Story Lot"/>
    <n v="8.1999999999999993"/>
    <n v="9"/>
    <x v="1674"/>
  </r>
  <r>
    <n v="1746"/>
    <n v="570"/>
    <d v="2026-06-08T00:00:00"/>
    <s v="Monday"/>
    <n v="6"/>
    <n v="13.22"/>
    <x v="1"/>
    <x v="26"/>
    <s v="Female"/>
    <n v="64.5"/>
    <n v="148.1"/>
    <n v="25.1"/>
    <n v="14"/>
    <s v="CA"/>
    <n v="3"/>
    <n v="79.3"/>
    <s v="Middle"/>
    <n v="1"/>
    <s v="Multi-Day"/>
    <n v="1"/>
    <n v="0"/>
    <s v="Main Entrance"/>
    <s v="Pixar Pals"/>
    <n v="8.6999999999999993"/>
    <n v="11"/>
    <x v="1675"/>
  </r>
  <r>
    <n v="1747"/>
    <n v="570"/>
    <d v="2026-06-08T00:00:00"/>
    <s v="Monday"/>
    <n v="6"/>
    <n v="12.82"/>
    <x v="1"/>
    <x v="59"/>
    <s v="Male"/>
    <n v="60.4"/>
    <n v="155.69999999999999"/>
    <n v="30"/>
    <n v="14"/>
    <s v="CA"/>
    <n v="3"/>
    <n v="79.3"/>
    <s v="Middle"/>
    <n v="1"/>
    <s v="Multi-Day"/>
    <n v="1"/>
    <n v="0"/>
    <s v="Main Entrance"/>
    <s v="Pixar Pals"/>
    <n v="6.7"/>
    <n v="3"/>
    <x v="1676"/>
  </r>
  <r>
    <n v="1748"/>
    <n v="570"/>
    <d v="2026-06-08T00:00:00"/>
    <s v="Monday"/>
    <n v="6"/>
    <n v="13.06"/>
    <x v="1"/>
    <x v="29"/>
    <s v="Male"/>
    <n v="68.099999999999994"/>
    <n v="202.4"/>
    <n v="30.8"/>
    <n v="12"/>
    <s v="CA"/>
    <n v="3"/>
    <n v="79.3"/>
    <s v="Middle"/>
    <n v="1"/>
    <s v="Multi-Day"/>
    <n v="1"/>
    <n v="0"/>
    <s v="Main Entrance"/>
    <s v="Pixar Pals"/>
    <n v="9.6"/>
    <n v="11"/>
    <x v="916"/>
  </r>
  <r>
    <n v="1749"/>
    <n v="571"/>
    <d v="2026-06-12T00:00:00"/>
    <s v="Friday"/>
    <n v="6"/>
    <n v="9.85"/>
    <x v="0"/>
    <x v="45"/>
    <s v="Female"/>
    <n v="62.4"/>
    <n v="171.3"/>
    <n v="31.1"/>
    <n v="17"/>
    <s v="CA"/>
    <n v="5"/>
    <n v="195.4"/>
    <s v="Middle"/>
    <n v="0"/>
    <s v="Multi-Day"/>
    <n v="0"/>
    <n v="0"/>
    <s v="Main Entrance"/>
    <s v="Mickey &amp; Friends"/>
    <n v="6.3"/>
    <n v="7"/>
    <x v="1677"/>
  </r>
  <r>
    <n v="1750"/>
    <n v="571"/>
    <d v="2026-06-12T00:00:00"/>
    <s v="Friday"/>
    <n v="6"/>
    <n v="9.74"/>
    <x v="0"/>
    <x v="30"/>
    <s v="Male"/>
    <n v="70.5"/>
    <n v="241.5"/>
    <n v="34.200000000000003"/>
    <n v="13"/>
    <s v="CA"/>
    <n v="5"/>
    <n v="195.4"/>
    <s v="Middle"/>
    <n v="0"/>
    <s v="Multi-Day"/>
    <n v="0"/>
    <n v="0"/>
    <s v="Main Entrance"/>
    <s v="Mickey &amp; Friends"/>
    <n v="9.1999999999999993"/>
    <n v="3"/>
    <x v="1678"/>
  </r>
  <r>
    <n v="1751"/>
    <n v="571"/>
    <d v="2026-06-12T00:00:00"/>
    <s v="Friday"/>
    <n v="6"/>
    <n v="9.67"/>
    <x v="0"/>
    <x v="20"/>
    <s v="Male"/>
    <n v="63.5"/>
    <n v="137.30000000000001"/>
    <n v="24.2"/>
    <n v="13"/>
    <s v="CA"/>
    <n v="5"/>
    <n v="195.4"/>
    <s v="Middle"/>
    <n v="0"/>
    <s v="Multi-Day"/>
    <n v="0"/>
    <n v="0"/>
    <s v="Main Entrance"/>
    <s v="Mickey &amp; Friends"/>
    <n v="6.1"/>
    <n v="6"/>
    <x v="1679"/>
  </r>
  <r>
    <n v="1752"/>
    <n v="571"/>
    <d v="2026-06-12T00:00:00"/>
    <s v="Friday"/>
    <n v="6"/>
    <n v="9.6300000000000008"/>
    <x v="0"/>
    <x v="16"/>
    <s v="Female"/>
    <n v="49.8"/>
    <n v="84"/>
    <n v="23.9"/>
    <n v="13"/>
    <s v="CA"/>
    <n v="5"/>
    <n v="195.4"/>
    <s v="Middle"/>
    <n v="0"/>
    <s v="Multi-Day"/>
    <n v="0"/>
    <n v="0"/>
    <s v="Main Entrance"/>
    <s v="Mickey &amp; Friends"/>
    <n v="6"/>
    <n v="9"/>
    <x v="1680"/>
  </r>
  <r>
    <n v="1753"/>
    <n v="571"/>
    <d v="2026-06-12T00:00:00"/>
    <s v="Friday"/>
    <n v="6"/>
    <n v="9.6999999999999993"/>
    <x v="0"/>
    <x v="32"/>
    <s v="Female"/>
    <n v="55"/>
    <n v="83.4"/>
    <n v="19"/>
    <n v="11"/>
    <s v="CA"/>
    <n v="5"/>
    <n v="195.4"/>
    <s v="Middle"/>
    <n v="0"/>
    <s v="Multi-Day"/>
    <n v="0"/>
    <n v="0"/>
    <s v="Main Entrance"/>
    <s v="Mickey &amp; Friends"/>
    <n v="10.6"/>
    <n v="7"/>
    <x v="1681"/>
  </r>
  <r>
    <n v="1754"/>
    <n v="572"/>
    <d v="2026-12-13T00:00:00"/>
    <s v="Sunday"/>
    <n v="12"/>
    <n v="10.37"/>
    <x v="0"/>
    <x v="37"/>
    <s v="Female"/>
    <n v="65.5"/>
    <n v="207.7"/>
    <n v="34.1"/>
    <n v="13"/>
    <s v="CA"/>
    <n v="4"/>
    <n v="63.3"/>
    <s v="Middle"/>
    <n v="0"/>
    <s v="Multi-Day"/>
    <n v="0"/>
    <n v="0"/>
    <s v="Hotel Guest Entrance"/>
    <s v="Pixar Pals"/>
    <n v="8.1"/>
    <n v="9"/>
    <x v="1682"/>
  </r>
  <r>
    <n v="1755"/>
    <n v="572"/>
    <d v="2026-12-13T00:00:00"/>
    <s v="Sunday"/>
    <n v="12"/>
    <n v="10.49"/>
    <x v="0"/>
    <x v="16"/>
    <s v="Male"/>
    <n v="59"/>
    <n v="108"/>
    <n v="21.5"/>
    <n v="15"/>
    <s v="CA"/>
    <n v="4"/>
    <n v="63.3"/>
    <s v="Middle"/>
    <n v="0"/>
    <s v="Multi-Day"/>
    <n v="0"/>
    <n v="0"/>
    <s v="Hotel Guest Entrance"/>
    <s v="Pixar Pals"/>
    <n v="8.4"/>
    <n v="8"/>
    <x v="1683"/>
  </r>
  <r>
    <n v="1756"/>
    <n v="572"/>
    <d v="2026-12-13T00:00:00"/>
    <s v="Sunday"/>
    <n v="12"/>
    <n v="10.6"/>
    <x v="0"/>
    <x v="7"/>
    <s v="Female"/>
    <n v="55"/>
    <n v="99.9"/>
    <n v="23.2"/>
    <n v="13"/>
    <s v="CA"/>
    <n v="4"/>
    <n v="63.3"/>
    <s v="Middle"/>
    <n v="0"/>
    <s v="Multi-Day"/>
    <n v="0"/>
    <n v="0"/>
    <s v="Hotel Guest Entrance"/>
    <s v="Pixar Pals"/>
    <n v="8"/>
    <n v="9"/>
    <x v="1684"/>
  </r>
  <r>
    <n v="1757"/>
    <n v="572"/>
    <d v="2026-12-13T00:00:00"/>
    <s v="Sunday"/>
    <n v="12"/>
    <n v="10.63"/>
    <x v="0"/>
    <x v="50"/>
    <s v="Male"/>
    <n v="64.2"/>
    <n v="156.30000000000001"/>
    <n v="26.7"/>
    <n v="16"/>
    <s v="CA"/>
    <n v="4"/>
    <n v="63.3"/>
    <s v="Middle"/>
    <n v="0"/>
    <s v="Multi-Day"/>
    <n v="0"/>
    <n v="0"/>
    <s v="Hotel Guest Entrance"/>
    <s v="Pixar Pals"/>
    <n v="8.4"/>
    <n v="4"/>
    <x v="1685"/>
  </r>
  <r>
    <n v="1758"/>
    <n v="573"/>
    <d v="2026-02-23T00:00:00"/>
    <s v="Monday"/>
    <n v="2"/>
    <n v="10.199999999999999"/>
    <x v="0"/>
    <x v="67"/>
    <s v="Male"/>
    <n v="66.3"/>
    <n v="180.9"/>
    <n v="29"/>
    <n v="18"/>
    <s v="TX"/>
    <n v="2"/>
    <n v="1420.8"/>
    <s v="High"/>
    <n v="1"/>
    <s v="Single-Day"/>
    <n v="1"/>
    <n v="1"/>
    <s v="Main Entrance"/>
    <s v="None/Walked from Resort"/>
    <n v="10.9"/>
    <n v="14"/>
    <x v="1686"/>
  </r>
  <r>
    <n v="1759"/>
    <n v="573"/>
    <d v="2026-02-23T00:00:00"/>
    <s v="Monday"/>
    <n v="2"/>
    <n v="10.25"/>
    <x v="0"/>
    <x v="20"/>
    <s v="Male"/>
    <n v="70"/>
    <n v="149.9"/>
    <n v="21.3"/>
    <n v="16"/>
    <s v="TX"/>
    <n v="2"/>
    <n v="1420.8"/>
    <s v="High"/>
    <n v="1"/>
    <s v="Single-Day"/>
    <n v="1"/>
    <n v="1"/>
    <s v="Main Entrance"/>
    <s v="None/Walked from Resort"/>
    <n v="6.7"/>
    <n v="9"/>
    <x v="1687"/>
  </r>
  <r>
    <n v="1760"/>
    <n v="574"/>
    <d v="2026-12-20T00:00:00"/>
    <s v="Sunday"/>
    <n v="12"/>
    <n v="9.64"/>
    <x v="0"/>
    <x v="45"/>
    <s v="Female"/>
    <n v="63.7"/>
    <n v="163.19999999999999"/>
    <n v="28.5"/>
    <n v="16"/>
    <s v="CA"/>
    <n v="3"/>
    <n v="47.9"/>
    <s v="Middle"/>
    <n v="0"/>
    <s v="Single-Day"/>
    <n v="1"/>
    <n v="0"/>
    <s v="Main Entrance"/>
    <s v="Mickey &amp; Friends"/>
    <n v="9.1999999999999993"/>
    <n v="4"/>
    <x v="1688"/>
  </r>
  <r>
    <n v="1761"/>
    <n v="574"/>
    <d v="2026-12-20T00:00:00"/>
    <s v="Sunday"/>
    <n v="12"/>
    <n v="10.15"/>
    <x v="0"/>
    <x v="32"/>
    <s v="Female"/>
    <n v="64.2"/>
    <n v="106.2"/>
    <n v="17.8"/>
    <n v="13"/>
    <s v="CA"/>
    <n v="3"/>
    <n v="47.9"/>
    <s v="Middle"/>
    <n v="0"/>
    <s v="Single-Day"/>
    <n v="1"/>
    <n v="0"/>
    <s v="Main Entrance"/>
    <s v="Mickey &amp; Friends"/>
    <n v="7.7"/>
    <n v="9"/>
    <x v="1689"/>
  </r>
  <r>
    <n v="1762"/>
    <n v="574"/>
    <d v="2026-12-20T00:00:00"/>
    <s v="Sunday"/>
    <n v="12"/>
    <n v="9.91"/>
    <x v="0"/>
    <x v="81"/>
    <s v="Female"/>
    <n v="66.3"/>
    <n v="165.2"/>
    <n v="26.6"/>
    <n v="19"/>
    <s v="CA"/>
    <n v="3"/>
    <n v="47.9"/>
    <s v="Middle"/>
    <n v="0"/>
    <s v="Single-Day"/>
    <n v="1"/>
    <n v="0"/>
    <s v="Main Entrance"/>
    <s v="Mickey &amp; Friends"/>
    <n v="5.6"/>
    <n v="5"/>
    <x v="1690"/>
  </r>
  <r>
    <n v="1763"/>
    <n v="575"/>
    <d v="2026-12-17T00:00:00"/>
    <s v="Thursday"/>
    <n v="12"/>
    <n v="9.67"/>
    <x v="0"/>
    <x v="40"/>
    <s v="Female"/>
    <n v="60.8"/>
    <n v="118.9"/>
    <n v="22.5"/>
    <n v="18"/>
    <s v="CA"/>
    <n v="4"/>
    <n v="82.3"/>
    <s v="High"/>
    <n v="1"/>
    <s v="Single-Day"/>
    <n v="0"/>
    <n v="0"/>
    <s v="Main Entrance"/>
    <s v="None/Dropoff/Transit"/>
    <n v="11.2"/>
    <n v="15"/>
    <x v="1691"/>
  </r>
  <r>
    <n v="1764"/>
    <n v="575"/>
    <d v="2026-12-17T00:00:00"/>
    <s v="Thursday"/>
    <n v="12"/>
    <n v="9.6"/>
    <x v="0"/>
    <x v="35"/>
    <s v="Female"/>
    <n v="63.4"/>
    <n v="154.5"/>
    <n v="26.9"/>
    <n v="20"/>
    <s v="CA"/>
    <n v="4"/>
    <n v="82.3"/>
    <s v="High"/>
    <n v="1"/>
    <s v="Single-Day"/>
    <n v="0"/>
    <n v="0"/>
    <s v="Main Entrance"/>
    <s v="None/Dropoff/Transit"/>
    <n v="8.1999999999999993"/>
    <n v="7"/>
    <x v="1692"/>
  </r>
  <r>
    <n v="1765"/>
    <n v="575"/>
    <d v="2026-12-17T00:00:00"/>
    <s v="Thursday"/>
    <n v="12"/>
    <n v="9.83"/>
    <x v="0"/>
    <x v="38"/>
    <s v="Male"/>
    <n v="65.5"/>
    <n v="161.69999999999999"/>
    <n v="26.4"/>
    <n v="12"/>
    <s v="CA"/>
    <n v="4"/>
    <n v="82.3"/>
    <s v="High"/>
    <n v="1"/>
    <s v="Single-Day"/>
    <n v="0"/>
    <n v="0"/>
    <s v="Main Entrance"/>
    <s v="None/Dropoff/Transit"/>
    <n v="7.4"/>
    <n v="5"/>
    <x v="1693"/>
  </r>
  <r>
    <n v="1766"/>
    <n v="575"/>
    <d v="2026-12-17T00:00:00"/>
    <s v="Thursday"/>
    <n v="12"/>
    <n v="9.77"/>
    <x v="0"/>
    <x v="34"/>
    <s v="Female"/>
    <n v="63"/>
    <n v="198.4"/>
    <n v="35.5"/>
    <n v="15"/>
    <s v="CA"/>
    <n v="4"/>
    <n v="82.3"/>
    <s v="High"/>
    <n v="1"/>
    <s v="Single-Day"/>
    <n v="0"/>
    <n v="0"/>
    <s v="Main Entrance"/>
    <s v="None/Dropoff/Transit"/>
    <n v="7.2"/>
    <n v="10"/>
    <x v="1694"/>
  </r>
  <r>
    <n v="1767"/>
    <n v="576"/>
    <d v="2026-07-18T00:00:00"/>
    <s v="Saturday"/>
    <n v="7"/>
    <n v="7.22"/>
    <x v="0"/>
    <x v="50"/>
    <s v="Male"/>
    <n v="60"/>
    <n v="71.2"/>
    <n v="14.1"/>
    <n v="13"/>
    <s v="CA"/>
    <n v="3"/>
    <n v="89.9"/>
    <s v="Middle"/>
    <n v="0"/>
    <s v="Single-Day"/>
    <n v="0"/>
    <n v="0"/>
    <s v="Main Entrance"/>
    <s v="Pixar Pals"/>
    <n v="9.1999999999999993"/>
    <n v="7"/>
    <x v="1695"/>
  </r>
  <r>
    <n v="1768"/>
    <n v="576"/>
    <d v="2026-07-18T00:00:00"/>
    <s v="Saturday"/>
    <n v="7"/>
    <n v="7.11"/>
    <x v="0"/>
    <x v="16"/>
    <s v="Female"/>
    <n v="57.7"/>
    <n v="90.5"/>
    <n v="19"/>
    <n v="12"/>
    <s v="CA"/>
    <n v="3"/>
    <n v="89.9"/>
    <s v="Middle"/>
    <n v="0"/>
    <s v="Single-Day"/>
    <n v="0"/>
    <n v="0"/>
    <s v="Main Entrance"/>
    <s v="Pixar Pals"/>
    <n v="9"/>
    <n v="11"/>
    <x v="1696"/>
  </r>
  <r>
    <n v="1769"/>
    <n v="576"/>
    <d v="2026-07-18T00:00:00"/>
    <s v="Saturday"/>
    <n v="7"/>
    <n v="7"/>
    <x v="0"/>
    <x v="31"/>
    <s v="Male"/>
    <n v="64"/>
    <n v="89"/>
    <n v="15.4"/>
    <n v="15"/>
    <s v="CA"/>
    <n v="3"/>
    <n v="89.9"/>
    <s v="Middle"/>
    <n v="0"/>
    <s v="Single-Day"/>
    <n v="0"/>
    <n v="0"/>
    <s v="Main Entrance"/>
    <s v="Pixar Pals"/>
    <n v="9.6"/>
    <n v="6"/>
    <x v="1697"/>
  </r>
  <r>
    <n v="1770"/>
    <n v="577"/>
    <d v="2026-01-18T00:00:00"/>
    <s v="Sunday"/>
    <n v="1"/>
    <n v="8.93"/>
    <x v="0"/>
    <x v="25"/>
    <s v="Male"/>
    <n v="65.7"/>
    <n v="132.4"/>
    <n v="21.6"/>
    <n v="12"/>
    <s v="TX"/>
    <n v="6"/>
    <n v="1417.7"/>
    <s v="Middle"/>
    <n v="0"/>
    <s v="Multi-Day"/>
    <n v="0"/>
    <n v="0"/>
    <s v="Main Entrance"/>
    <s v="Pixar Pals"/>
    <n v="8"/>
    <n v="1"/>
    <x v="1698"/>
  </r>
  <r>
    <n v="1771"/>
    <n v="577"/>
    <d v="2026-01-18T00:00:00"/>
    <s v="Sunday"/>
    <n v="1"/>
    <n v="8.3699999999999992"/>
    <x v="0"/>
    <x v="36"/>
    <s v="Female"/>
    <n v="64.2"/>
    <n v="126.1"/>
    <n v="21.4"/>
    <n v="14"/>
    <s v="TX"/>
    <n v="6"/>
    <n v="1417.7"/>
    <s v="Middle"/>
    <n v="0"/>
    <s v="Multi-Day"/>
    <n v="0"/>
    <n v="0"/>
    <s v="Main Entrance"/>
    <s v="Pixar Pals"/>
    <n v="10.199999999999999"/>
    <n v="11"/>
    <x v="1646"/>
  </r>
  <r>
    <n v="1772"/>
    <n v="577"/>
    <d v="2026-01-18T00:00:00"/>
    <s v="Sunday"/>
    <n v="1"/>
    <n v="8.5"/>
    <x v="0"/>
    <x v="40"/>
    <s v="Male"/>
    <n v="62.5"/>
    <n v="119.3"/>
    <n v="21.3"/>
    <n v="13"/>
    <s v="TX"/>
    <n v="6"/>
    <n v="1417.7"/>
    <s v="Middle"/>
    <n v="0"/>
    <s v="Multi-Day"/>
    <n v="0"/>
    <n v="0"/>
    <s v="Main Entrance"/>
    <s v="Pixar Pals"/>
    <n v="10.8"/>
    <n v="7"/>
    <x v="1699"/>
  </r>
  <r>
    <n v="1773"/>
    <n v="577"/>
    <d v="2026-01-18T00:00:00"/>
    <s v="Sunday"/>
    <n v="1"/>
    <n v="8.66"/>
    <x v="0"/>
    <x v="23"/>
    <s v="Female"/>
    <n v="64.3"/>
    <n v="185.2"/>
    <n v="31.6"/>
    <n v="17"/>
    <s v="TX"/>
    <n v="6"/>
    <n v="1417.7"/>
    <s v="Middle"/>
    <n v="0"/>
    <s v="Multi-Day"/>
    <n v="0"/>
    <n v="0"/>
    <s v="Main Entrance"/>
    <s v="Pixar Pals"/>
    <n v="8.1999999999999993"/>
    <n v="7"/>
    <x v="1700"/>
  </r>
  <r>
    <n v="1774"/>
    <n v="577"/>
    <d v="2026-01-18T00:00:00"/>
    <s v="Sunday"/>
    <n v="1"/>
    <n v="8.39"/>
    <x v="0"/>
    <x v="16"/>
    <s v="Male"/>
    <n v="62.2"/>
    <n v="123.7"/>
    <n v="22.3"/>
    <n v="9"/>
    <s v="TX"/>
    <n v="6"/>
    <n v="1417.7"/>
    <s v="Middle"/>
    <n v="0"/>
    <s v="Multi-Day"/>
    <n v="0"/>
    <n v="0"/>
    <s v="Main Entrance"/>
    <s v="Pixar Pals"/>
    <n v="7.2"/>
    <n v="5"/>
    <x v="1701"/>
  </r>
  <r>
    <n v="1775"/>
    <n v="577"/>
    <d v="2026-01-18T00:00:00"/>
    <s v="Sunday"/>
    <n v="1"/>
    <n v="8.2799999999999994"/>
    <x v="0"/>
    <x v="22"/>
    <s v="Male"/>
    <n v="64.3"/>
    <n v="139.9"/>
    <n v="23.8"/>
    <n v="14"/>
    <s v="TX"/>
    <n v="6"/>
    <n v="1417.7"/>
    <s v="Middle"/>
    <n v="0"/>
    <s v="Multi-Day"/>
    <n v="0"/>
    <n v="0"/>
    <s v="Main Entrance"/>
    <s v="Pixar Pals"/>
    <n v="8.6"/>
    <n v="7"/>
    <x v="1702"/>
  </r>
  <r>
    <n v="1776"/>
    <n v="578"/>
    <d v="2026-03-17T00:00:00"/>
    <s v="Tuesday"/>
    <n v="3"/>
    <n v="11.54"/>
    <x v="1"/>
    <x v="50"/>
    <s v="Male"/>
    <n v="67.900000000000006"/>
    <n v="119.5"/>
    <n v="18.2"/>
    <n v="11"/>
    <s v="CA"/>
    <n v="3"/>
    <n v="76"/>
    <s v="Low"/>
    <n v="0"/>
    <s v="Multi-Day"/>
    <n v="0"/>
    <n v="0"/>
    <s v="Main Entrance"/>
    <s v="Mickey &amp; Friends"/>
    <n v="7.2"/>
    <n v="6"/>
    <x v="1703"/>
  </r>
  <r>
    <n v="1777"/>
    <n v="578"/>
    <d v="2026-03-17T00:00:00"/>
    <s v="Tuesday"/>
    <n v="3"/>
    <n v="11.55"/>
    <x v="1"/>
    <x v="10"/>
    <s v="Female"/>
    <n v="61.7"/>
    <n v="170.1"/>
    <n v="31.4"/>
    <n v="10"/>
    <s v="CA"/>
    <n v="3"/>
    <n v="76"/>
    <s v="Low"/>
    <n v="0"/>
    <s v="Multi-Day"/>
    <n v="0"/>
    <n v="0"/>
    <s v="Main Entrance"/>
    <s v="Mickey &amp; Friends"/>
    <n v="9.1999999999999993"/>
    <n v="6"/>
    <x v="1704"/>
  </r>
  <r>
    <n v="1778"/>
    <n v="578"/>
    <d v="2026-03-17T00:00:00"/>
    <s v="Tuesday"/>
    <n v="3"/>
    <n v="11.77"/>
    <x v="1"/>
    <x v="48"/>
    <s v="Male"/>
    <n v="70.2"/>
    <n v="205.9"/>
    <n v="29.5"/>
    <n v="14"/>
    <s v="CA"/>
    <n v="3"/>
    <n v="76"/>
    <s v="Low"/>
    <n v="0"/>
    <s v="Multi-Day"/>
    <n v="0"/>
    <n v="0"/>
    <s v="Main Entrance"/>
    <s v="Mickey &amp; Friends"/>
    <n v="8.1999999999999993"/>
    <n v="8"/>
    <x v="1705"/>
  </r>
  <r>
    <n v="1779"/>
    <n v="579"/>
    <d v="2026-07-16T00:00:00"/>
    <s v="Thursday"/>
    <n v="7"/>
    <n v="10.91"/>
    <x v="0"/>
    <x v="38"/>
    <s v="Male"/>
    <n v="69.400000000000006"/>
    <n v="159.6"/>
    <n v="23.3"/>
    <n v="11"/>
    <s v="Other"/>
    <n v="3"/>
    <n v="1464"/>
    <s v="Middle"/>
    <n v="0"/>
    <s v="Multi-Day"/>
    <n v="0"/>
    <n v="0"/>
    <s v="Main Entrance"/>
    <s v="Mickey &amp; Friends"/>
    <n v="11.1"/>
    <n v="9"/>
    <x v="1706"/>
  </r>
  <r>
    <n v="1780"/>
    <n v="579"/>
    <d v="2026-07-16T00:00:00"/>
    <s v="Thursday"/>
    <n v="7"/>
    <n v="10.81"/>
    <x v="0"/>
    <x v="47"/>
    <s v="Female"/>
    <n v="66"/>
    <n v="144.30000000000001"/>
    <n v="23.3"/>
    <n v="19"/>
    <s v="Other"/>
    <n v="3"/>
    <n v="1464"/>
    <s v="Middle"/>
    <n v="0"/>
    <s v="Multi-Day"/>
    <n v="0"/>
    <n v="0"/>
    <s v="Main Entrance"/>
    <s v="Mickey &amp; Friends"/>
    <n v="7.2"/>
    <n v="6"/>
    <x v="1707"/>
  </r>
  <r>
    <n v="1781"/>
    <n v="579"/>
    <d v="2026-07-16T00:00:00"/>
    <s v="Thursday"/>
    <n v="7"/>
    <n v="10.7"/>
    <x v="0"/>
    <x v="49"/>
    <s v="Female"/>
    <n v="64.8"/>
    <n v="172.3"/>
    <n v="29"/>
    <n v="12"/>
    <s v="Other"/>
    <n v="3"/>
    <n v="1464"/>
    <s v="Middle"/>
    <n v="0"/>
    <s v="Multi-Day"/>
    <n v="0"/>
    <n v="0"/>
    <s v="Main Entrance"/>
    <s v="Mickey &amp; Friends"/>
    <n v="6.2"/>
    <n v="6"/>
    <x v="1708"/>
  </r>
  <r>
    <n v="1782"/>
    <n v="580"/>
    <d v="2026-04-04T00:00:00"/>
    <s v="Saturday"/>
    <n v="4"/>
    <n v="12.48"/>
    <x v="1"/>
    <x v="51"/>
    <s v="Male"/>
    <n v="67.099999999999994"/>
    <n v="195.2"/>
    <n v="30.4"/>
    <n v="13"/>
    <s v="CO"/>
    <n v="3"/>
    <n v="1034.0999999999999"/>
    <s v="Middle"/>
    <n v="1"/>
    <s v="Single-Day"/>
    <n v="0"/>
    <n v="0"/>
    <s v="Main Entrance"/>
    <s v="Mickey &amp; Friends"/>
    <n v="8.3000000000000007"/>
    <n v="11"/>
    <x v="1709"/>
  </r>
  <r>
    <n v="1783"/>
    <n v="580"/>
    <d v="2026-04-04T00:00:00"/>
    <s v="Saturday"/>
    <n v="4"/>
    <n v="12.36"/>
    <x v="1"/>
    <x v="43"/>
    <s v="Male"/>
    <n v="67.3"/>
    <n v="188.1"/>
    <n v="29.1"/>
    <n v="15"/>
    <s v="CO"/>
    <n v="3"/>
    <n v="1034.0999999999999"/>
    <s v="Middle"/>
    <n v="1"/>
    <s v="Single-Day"/>
    <n v="0"/>
    <n v="0"/>
    <s v="Main Entrance"/>
    <s v="Mickey &amp; Friends"/>
    <n v="8"/>
    <n v="6"/>
    <x v="1710"/>
  </r>
  <r>
    <n v="1784"/>
    <n v="580"/>
    <d v="2026-04-04T00:00:00"/>
    <s v="Saturday"/>
    <n v="4"/>
    <n v="12.45"/>
    <x v="1"/>
    <x v="79"/>
    <s v="Male"/>
    <n v="68.8"/>
    <n v="139.1"/>
    <n v="20.7"/>
    <n v="14"/>
    <s v="CO"/>
    <n v="3"/>
    <n v="1034.0999999999999"/>
    <s v="Middle"/>
    <n v="1"/>
    <s v="Single-Day"/>
    <n v="0"/>
    <n v="0"/>
    <s v="Main Entrance"/>
    <s v="Mickey &amp; Friends"/>
    <n v="7.5"/>
    <n v="8"/>
    <x v="1711"/>
  </r>
  <r>
    <n v="1785"/>
    <n v="581"/>
    <d v="2026-02-05T00:00:00"/>
    <s v="Thursday"/>
    <n v="2"/>
    <n v="9.81"/>
    <x v="0"/>
    <x v="4"/>
    <s v="Male"/>
    <n v="67.099999999999994"/>
    <n v="202"/>
    <n v="31.2"/>
    <n v="17"/>
    <s v="OR"/>
    <n v="3"/>
    <n v="1033.8"/>
    <s v="High"/>
    <n v="1"/>
    <s v="Single-Day"/>
    <n v="0"/>
    <n v="0"/>
    <s v="Downtown Disney Gate"/>
    <s v="None/Dropoff/Transit"/>
    <n v="9.3000000000000007"/>
    <n v="4"/>
    <x v="1712"/>
  </r>
  <r>
    <n v="1786"/>
    <n v="581"/>
    <d v="2026-02-05T00:00:00"/>
    <s v="Thursday"/>
    <n v="2"/>
    <n v="9.76"/>
    <x v="0"/>
    <x v="38"/>
    <s v="Female"/>
    <n v="62.4"/>
    <n v="148.6"/>
    <n v="26.6"/>
    <n v="18"/>
    <s v="OR"/>
    <n v="3"/>
    <n v="1033.8"/>
    <s v="High"/>
    <n v="1"/>
    <s v="Single-Day"/>
    <n v="0"/>
    <n v="0"/>
    <s v="Downtown Disney Gate"/>
    <s v="None/Dropoff/Transit"/>
    <n v="6.5"/>
    <n v="5"/>
    <x v="1713"/>
  </r>
  <r>
    <n v="1787"/>
    <n v="581"/>
    <d v="2026-02-05T00:00:00"/>
    <s v="Thursday"/>
    <n v="2"/>
    <n v="9.7799999999999994"/>
    <x v="0"/>
    <x v="48"/>
    <s v="Female"/>
    <n v="59.3"/>
    <n v="113.2"/>
    <n v="22.4"/>
    <n v="16"/>
    <s v="OR"/>
    <n v="3"/>
    <n v="1033.8"/>
    <s v="High"/>
    <n v="1"/>
    <s v="Single-Day"/>
    <n v="0"/>
    <n v="0"/>
    <s v="Downtown Disney Gate"/>
    <s v="None/Dropoff/Transit"/>
    <n v="7.3"/>
    <n v="11"/>
    <x v="1714"/>
  </r>
  <r>
    <n v="1788"/>
    <n v="582"/>
    <d v="2026-03-06T00:00:00"/>
    <s v="Friday"/>
    <n v="3"/>
    <n v="11.47"/>
    <x v="1"/>
    <x v="36"/>
    <s v="Female"/>
    <n v="60.4"/>
    <n v="135.5"/>
    <n v="26.4"/>
    <n v="12"/>
    <s v="TX"/>
    <n v="1"/>
    <n v="961.8"/>
    <s v="Low"/>
    <n v="1"/>
    <s v="Single-Day"/>
    <n v="0"/>
    <n v="0"/>
    <s v="Main Entrance"/>
    <s v="Toy Story Lot"/>
    <n v="8.1999999999999993"/>
    <n v="8"/>
    <x v="1715"/>
  </r>
  <r>
    <n v="1789"/>
    <n v="583"/>
    <d v="2026-12-27T00:00:00"/>
    <s v="Sunday"/>
    <n v="12"/>
    <n v="10.84"/>
    <x v="0"/>
    <x v="11"/>
    <s v="Female"/>
    <n v="59.9"/>
    <n v="130.5"/>
    <n v="25.7"/>
    <n v="11"/>
    <s v="CA"/>
    <n v="5"/>
    <n v="138.5"/>
    <s v="Low"/>
    <n v="0"/>
    <s v="Multi-Day"/>
    <n v="0"/>
    <n v="0"/>
    <s v="Downtown Disney Gate"/>
    <s v="Pixar Pals"/>
    <n v="9.9"/>
    <n v="11"/>
    <x v="1456"/>
  </r>
  <r>
    <n v="1790"/>
    <n v="583"/>
    <d v="2026-12-27T00:00:00"/>
    <s v="Sunday"/>
    <n v="12"/>
    <n v="10.75"/>
    <x v="0"/>
    <x v="59"/>
    <s v="Female"/>
    <n v="61"/>
    <n v="117.3"/>
    <n v="22"/>
    <n v="13"/>
    <s v="CA"/>
    <n v="5"/>
    <n v="138.5"/>
    <s v="Low"/>
    <n v="0"/>
    <s v="Multi-Day"/>
    <n v="0"/>
    <n v="0"/>
    <s v="Downtown Disney Gate"/>
    <s v="Pixar Pals"/>
    <n v="10.8"/>
    <n v="11"/>
    <x v="1716"/>
  </r>
  <r>
    <n v="1791"/>
    <n v="583"/>
    <d v="2026-12-27T00:00:00"/>
    <s v="Sunday"/>
    <n v="12"/>
    <n v="10.94"/>
    <x v="0"/>
    <x v="60"/>
    <s v="Female"/>
    <n v="65.7"/>
    <n v="154.5"/>
    <n v="25.2"/>
    <n v="12"/>
    <s v="CA"/>
    <n v="5"/>
    <n v="138.5"/>
    <s v="Low"/>
    <n v="0"/>
    <s v="Multi-Day"/>
    <n v="0"/>
    <n v="0"/>
    <s v="Downtown Disney Gate"/>
    <s v="Pixar Pals"/>
    <n v="8.9"/>
    <n v="5"/>
    <x v="1717"/>
  </r>
  <r>
    <n v="1792"/>
    <n v="583"/>
    <d v="2026-12-27T00:00:00"/>
    <s v="Sunday"/>
    <n v="12"/>
    <n v="10.84"/>
    <x v="0"/>
    <x v="54"/>
    <s v="Male"/>
    <n v="68.8"/>
    <n v="146.69999999999999"/>
    <n v="21.8"/>
    <n v="14"/>
    <s v="CA"/>
    <n v="5"/>
    <n v="138.5"/>
    <s v="Low"/>
    <n v="0"/>
    <s v="Multi-Day"/>
    <n v="0"/>
    <n v="0"/>
    <s v="Downtown Disney Gate"/>
    <s v="Pixar Pals"/>
    <n v="9.1"/>
    <n v="11"/>
    <x v="1718"/>
  </r>
  <r>
    <n v="1793"/>
    <n v="583"/>
    <d v="2026-12-27T00:00:00"/>
    <s v="Sunday"/>
    <n v="12"/>
    <n v="10.63"/>
    <x v="0"/>
    <x v="69"/>
    <s v="Male"/>
    <n v="72"/>
    <n v="163.30000000000001"/>
    <n v="22.1"/>
    <n v="8"/>
    <s v="CA"/>
    <n v="5"/>
    <n v="138.5"/>
    <s v="Low"/>
    <n v="0"/>
    <s v="Multi-Day"/>
    <n v="0"/>
    <n v="0"/>
    <s v="Downtown Disney Gate"/>
    <s v="Pixar Pals"/>
    <n v="7.9"/>
    <n v="7"/>
    <x v="1719"/>
  </r>
  <r>
    <n v="1794"/>
    <n v="584"/>
    <d v="2026-10-09T00:00:00"/>
    <s v="Friday"/>
    <n v="10"/>
    <n v="11.86"/>
    <x v="1"/>
    <x v="48"/>
    <s v="Male"/>
    <n v="68.8"/>
    <n v="154.30000000000001"/>
    <n v="23.2"/>
    <n v="12"/>
    <s v="CA"/>
    <n v="4"/>
    <n v="3.1"/>
    <s v="Low"/>
    <n v="0"/>
    <s v="Park Hopper"/>
    <n v="0"/>
    <n v="0"/>
    <s v="Main Entrance"/>
    <s v="Mickey &amp; Friends"/>
    <n v="6.5"/>
    <n v="7"/>
    <x v="1720"/>
  </r>
  <r>
    <n v="1795"/>
    <n v="584"/>
    <d v="2026-10-09T00:00:00"/>
    <s v="Friday"/>
    <n v="10"/>
    <n v="11.26"/>
    <x v="1"/>
    <x v="67"/>
    <s v="Female"/>
    <n v="67.400000000000006"/>
    <n v="149.1"/>
    <n v="22.7"/>
    <n v="14"/>
    <s v="CA"/>
    <n v="4"/>
    <n v="3.1"/>
    <s v="Low"/>
    <n v="0"/>
    <s v="Park Hopper"/>
    <n v="0"/>
    <n v="0"/>
    <s v="Main Entrance"/>
    <s v="Mickey &amp; Friends"/>
    <n v="5"/>
    <n v="8"/>
    <x v="1721"/>
  </r>
  <r>
    <n v="1796"/>
    <n v="584"/>
    <d v="2026-10-09T00:00:00"/>
    <s v="Friday"/>
    <n v="10"/>
    <n v="11.64"/>
    <x v="1"/>
    <x v="51"/>
    <s v="Male"/>
    <n v="70.400000000000006"/>
    <n v="193.9"/>
    <n v="27.4"/>
    <n v="12"/>
    <s v="CA"/>
    <n v="4"/>
    <n v="3.1"/>
    <s v="Low"/>
    <n v="0"/>
    <s v="Park Hopper"/>
    <n v="0"/>
    <n v="0"/>
    <s v="Main Entrance"/>
    <s v="Mickey &amp; Friends"/>
    <n v="6.8"/>
    <n v="5"/>
    <x v="1722"/>
  </r>
  <r>
    <n v="1797"/>
    <n v="584"/>
    <d v="2026-10-09T00:00:00"/>
    <s v="Friday"/>
    <n v="10"/>
    <n v="11.67"/>
    <x v="1"/>
    <x v="19"/>
    <s v="Male"/>
    <n v="69.8"/>
    <n v="250.4"/>
    <n v="36.1"/>
    <n v="12"/>
    <s v="CA"/>
    <n v="4"/>
    <n v="3.1"/>
    <s v="Low"/>
    <n v="0"/>
    <s v="Park Hopper"/>
    <n v="0"/>
    <n v="0"/>
    <s v="Main Entrance"/>
    <s v="Mickey &amp; Friends"/>
    <n v="8"/>
    <n v="9"/>
    <x v="1723"/>
  </r>
  <r>
    <n v="1798"/>
    <n v="585"/>
    <d v="2026-07-29T00:00:00"/>
    <s v="Wednesday"/>
    <n v="7"/>
    <n v="10.6"/>
    <x v="0"/>
    <x v="64"/>
    <s v="Female"/>
    <n v="53.4"/>
    <n v="91.2"/>
    <n v="22.4"/>
    <n v="12"/>
    <s v="CA"/>
    <n v="3"/>
    <n v="157.19999999999999"/>
    <s v="Middle"/>
    <n v="0"/>
    <s v="Park Hopper"/>
    <n v="0"/>
    <n v="1"/>
    <s v="Main Entrance"/>
    <s v="Mickey &amp; Friends"/>
    <n v="9"/>
    <n v="5"/>
    <x v="1724"/>
  </r>
  <r>
    <n v="1799"/>
    <n v="585"/>
    <d v="2026-07-29T00:00:00"/>
    <s v="Wednesday"/>
    <n v="7"/>
    <n v="10.69"/>
    <x v="0"/>
    <x v="0"/>
    <s v="Male"/>
    <n v="69.599999999999994"/>
    <n v="128"/>
    <n v="18.399999999999999"/>
    <n v="17"/>
    <s v="CA"/>
    <n v="3"/>
    <n v="157.19999999999999"/>
    <s v="Middle"/>
    <n v="0"/>
    <s v="Park Hopper"/>
    <n v="0"/>
    <n v="1"/>
    <s v="Main Entrance"/>
    <s v="Mickey &amp; Friends"/>
    <n v="6.9"/>
    <n v="9"/>
    <x v="1725"/>
  </r>
  <r>
    <n v="1800"/>
    <n v="585"/>
    <d v="2026-07-29T00:00:00"/>
    <s v="Wednesday"/>
    <n v="7"/>
    <n v="10.66"/>
    <x v="0"/>
    <x v="54"/>
    <s v="Male"/>
    <n v="71.7"/>
    <n v="198"/>
    <n v="27.1"/>
    <n v="16"/>
    <s v="CA"/>
    <n v="3"/>
    <n v="157.19999999999999"/>
    <s v="Middle"/>
    <n v="0"/>
    <s v="Park Hopper"/>
    <n v="0"/>
    <n v="1"/>
    <s v="Main Entrance"/>
    <s v="Mickey &amp; Friends"/>
    <n v="11.7"/>
    <n v="7"/>
    <x v="1726"/>
  </r>
  <r>
    <n v="1801"/>
    <n v="586"/>
    <d v="2026-03-14T00:00:00"/>
    <s v="Saturday"/>
    <n v="3"/>
    <n v="11.42"/>
    <x v="1"/>
    <x v="66"/>
    <s v="Male"/>
    <n v="68.5"/>
    <n v="125.8"/>
    <n v="18.600000000000001"/>
    <n v="20"/>
    <s v="TX"/>
    <n v="2"/>
    <n v="1184"/>
    <s v="High"/>
    <n v="1"/>
    <s v="Single-Day"/>
    <n v="0"/>
    <n v="0"/>
    <s v="Main Entrance"/>
    <s v="Pixar Pals"/>
    <n v="8.6999999999999993"/>
    <n v="8"/>
    <x v="1727"/>
  </r>
  <r>
    <n v="1802"/>
    <n v="586"/>
    <d v="2026-03-14T00:00:00"/>
    <s v="Saturday"/>
    <n v="3"/>
    <n v="11.52"/>
    <x v="1"/>
    <x v="20"/>
    <s v="Female"/>
    <n v="70"/>
    <n v="130.80000000000001"/>
    <n v="18.8"/>
    <n v="13"/>
    <s v="TX"/>
    <n v="2"/>
    <n v="1184"/>
    <s v="High"/>
    <n v="1"/>
    <s v="Single-Day"/>
    <n v="0"/>
    <n v="0"/>
    <s v="Main Entrance"/>
    <s v="Pixar Pals"/>
    <n v="9"/>
    <n v="9"/>
    <x v="1728"/>
  </r>
  <r>
    <n v="1803"/>
    <n v="587"/>
    <d v="2026-11-23T00:00:00"/>
    <s v="Monday"/>
    <n v="11"/>
    <n v="9.77"/>
    <x v="0"/>
    <x v="22"/>
    <s v="Male"/>
    <n v="62.1"/>
    <n v="88.4"/>
    <n v="16"/>
    <n v="14"/>
    <s v="CA"/>
    <n v="5"/>
    <n v="51"/>
    <s v="Middle"/>
    <n v="0"/>
    <s v="Park Hopper"/>
    <n v="1"/>
    <n v="0"/>
    <s v="Main Entrance"/>
    <s v="Mickey &amp; Friends"/>
    <n v="9.4"/>
    <n v="8"/>
    <x v="702"/>
  </r>
  <r>
    <n v="1804"/>
    <n v="587"/>
    <d v="2026-11-23T00:00:00"/>
    <s v="Monday"/>
    <n v="11"/>
    <n v="10.029999999999999"/>
    <x v="0"/>
    <x v="15"/>
    <s v="Female"/>
    <n v="65"/>
    <n v="189.4"/>
    <n v="31.6"/>
    <n v="17"/>
    <s v="CA"/>
    <n v="5"/>
    <n v="51"/>
    <s v="Middle"/>
    <n v="0"/>
    <s v="Park Hopper"/>
    <n v="1"/>
    <n v="0"/>
    <s v="Main Entrance"/>
    <s v="Mickey &amp; Friends"/>
    <n v="8.1999999999999993"/>
    <n v="11"/>
    <x v="1729"/>
  </r>
  <r>
    <n v="1805"/>
    <n v="587"/>
    <d v="2026-11-23T00:00:00"/>
    <s v="Monday"/>
    <n v="11"/>
    <n v="10.16"/>
    <x v="0"/>
    <x v="6"/>
    <s v="Male"/>
    <n v="68.400000000000006"/>
    <n v="151.6"/>
    <n v="22.8"/>
    <n v="16"/>
    <s v="CA"/>
    <n v="5"/>
    <n v="51"/>
    <s v="Middle"/>
    <n v="0"/>
    <s v="Park Hopper"/>
    <n v="1"/>
    <n v="0"/>
    <s v="Main Entrance"/>
    <s v="Mickey &amp; Friends"/>
    <n v="7"/>
    <n v="15"/>
    <x v="1730"/>
  </r>
  <r>
    <n v="1806"/>
    <n v="587"/>
    <d v="2026-11-23T00:00:00"/>
    <s v="Monday"/>
    <n v="11"/>
    <n v="9.92"/>
    <x v="0"/>
    <x v="48"/>
    <s v="Female"/>
    <n v="62.7"/>
    <n v="177.4"/>
    <n v="31.7"/>
    <n v="13"/>
    <s v="CA"/>
    <n v="5"/>
    <n v="51"/>
    <s v="Middle"/>
    <n v="0"/>
    <s v="Park Hopper"/>
    <n v="1"/>
    <n v="0"/>
    <s v="Main Entrance"/>
    <s v="Mickey &amp; Friends"/>
    <n v="7.5"/>
    <n v="9"/>
    <x v="1731"/>
  </r>
  <r>
    <n v="1807"/>
    <n v="587"/>
    <d v="2026-11-23T00:00:00"/>
    <s v="Monday"/>
    <n v="11"/>
    <n v="9.89"/>
    <x v="0"/>
    <x v="18"/>
    <s v="Female"/>
    <n v="65.599999999999994"/>
    <n v="125.6"/>
    <n v="20.5"/>
    <n v="15"/>
    <s v="CA"/>
    <n v="5"/>
    <n v="51"/>
    <s v="Middle"/>
    <n v="0"/>
    <s v="Park Hopper"/>
    <n v="1"/>
    <n v="0"/>
    <s v="Main Entrance"/>
    <s v="Mickey &amp; Friends"/>
    <n v="8.6999999999999993"/>
    <n v="4"/>
    <x v="1732"/>
  </r>
  <r>
    <n v="1808"/>
    <n v="588"/>
    <d v="2026-08-11T00:00:00"/>
    <s v="Tuesday"/>
    <n v="8"/>
    <n v="10.55"/>
    <x v="0"/>
    <x v="33"/>
    <s v="Male"/>
    <n v="66.7"/>
    <n v="186.3"/>
    <n v="29.5"/>
    <n v="17"/>
    <s v="Other"/>
    <n v="4"/>
    <n v="1277"/>
    <s v="High"/>
    <n v="0"/>
    <s v="Single-Day"/>
    <n v="0"/>
    <n v="0"/>
    <s v="Downtown Disney Gate"/>
    <s v="Mickey &amp; Friends"/>
    <n v="5.4"/>
    <n v="5"/>
    <x v="1733"/>
  </r>
  <r>
    <n v="1809"/>
    <n v="588"/>
    <d v="2026-08-11T00:00:00"/>
    <s v="Tuesday"/>
    <n v="8"/>
    <n v="10.61"/>
    <x v="0"/>
    <x v="1"/>
    <s v="Male"/>
    <n v="71"/>
    <n v="146.1"/>
    <n v="20.399999999999999"/>
    <n v="17"/>
    <s v="Other"/>
    <n v="4"/>
    <n v="1277"/>
    <s v="High"/>
    <n v="0"/>
    <s v="Single-Day"/>
    <n v="0"/>
    <n v="0"/>
    <s v="Downtown Disney Gate"/>
    <s v="Mickey &amp; Friends"/>
    <n v="8"/>
    <n v="7"/>
    <x v="1734"/>
  </r>
  <r>
    <n v="1810"/>
    <n v="588"/>
    <d v="2026-08-11T00:00:00"/>
    <s v="Tuesday"/>
    <n v="8"/>
    <n v="10.4"/>
    <x v="0"/>
    <x v="64"/>
    <s v="Male"/>
    <n v="54.6"/>
    <n v="58.2"/>
    <n v="13.7"/>
    <n v="14"/>
    <s v="Other"/>
    <n v="4"/>
    <n v="1277"/>
    <s v="High"/>
    <n v="0"/>
    <s v="Single-Day"/>
    <n v="0"/>
    <n v="0"/>
    <s v="Downtown Disney Gate"/>
    <s v="Mickey &amp; Friends"/>
    <n v="9.3000000000000007"/>
    <n v="7"/>
    <x v="1735"/>
  </r>
  <r>
    <n v="1811"/>
    <n v="588"/>
    <d v="2026-08-11T00:00:00"/>
    <s v="Tuesday"/>
    <n v="8"/>
    <n v="10.46"/>
    <x v="0"/>
    <x v="30"/>
    <s v="Male"/>
    <n v="68.8"/>
    <n v="183.3"/>
    <n v="27.1"/>
    <n v="20"/>
    <s v="Other"/>
    <n v="4"/>
    <n v="1277"/>
    <s v="High"/>
    <n v="0"/>
    <s v="Single-Day"/>
    <n v="0"/>
    <n v="0"/>
    <s v="Downtown Disney Gate"/>
    <s v="Mickey &amp; Friends"/>
    <n v="10.5"/>
    <n v="10"/>
    <x v="1736"/>
  </r>
  <r>
    <n v="1812"/>
    <n v="589"/>
    <d v="2026-01-18T00:00:00"/>
    <s v="Sunday"/>
    <n v="1"/>
    <n v="9.06"/>
    <x v="0"/>
    <x v="44"/>
    <s v="Male"/>
    <n v="71.599999999999994"/>
    <n v="164.5"/>
    <n v="22.4"/>
    <n v="15"/>
    <s v="TX"/>
    <n v="4"/>
    <n v="778"/>
    <s v="High"/>
    <n v="1"/>
    <s v="Single-Day"/>
    <n v="1"/>
    <n v="0"/>
    <s v="Main Entrance"/>
    <s v="Mickey &amp; Friends"/>
    <n v="7.7"/>
    <n v="14"/>
    <x v="1737"/>
  </r>
  <r>
    <n v="1813"/>
    <n v="589"/>
    <d v="2026-01-18T00:00:00"/>
    <s v="Sunday"/>
    <n v="1"/>
    <n v="9.1199999999999992"/>
    <x v="0"/>
    <x v="36"/>
    <s v="Male"/>
    <n v="68.400000000000006"/>
    <n v="195.4"/>
    <n v="29.4"/>
    <n v="17"/>
    <s v="TX"/>
    <n v="4"/>
    <n v="778"/>
    <s v="High"/>
    <n v="1"/>
    <s v="Single-Day"/>
    <n v="1"/>
    <n v="0"/>
    <s v="Main Entrance"/>
    <s v="Mickey &amp; Friends"/>
    <n v="11.6"/>
    <n v="13"/>
    <x v="1738"/>
  </r>
  <r>
    <n v="1814"/>
    <n v="589"/>
    <d v="2026-01-18T00:00:00"/>
    <s v="Sunday"/>
    <n v="1"/>
    <n v="9.01"/>
    <x v="0"/>
    <x v="41"/>
    <s v="Male"/>
    <n v="68"/>
    <n v="196.1"/>
    <n v="30.2"/>
    <n v="14"/>
    <s v="TX"/>
    <n v="4"/>
    <n v="778"/>
    <s v="High"/>
    <n v="1"/>
    <s v="Single-Day"/>
    <n v="1"/>
    <n v="0"/>
    <s v="Main Entrance"/>
    <s v="Mickey &amp; Friends"/>
    <n v="8.8000000000000007"/>
    <n v="7"/>
    <x v="1739"/>
  </r>
  <r>
    <n v="1815"/>
    <n v="589"/>
    <d v="2026-01-18T00:00:00"/>
    <s v="Sunday"/>
    <n v="1"/>
    <n v="9.2200000000000006"/>
    <x v="0"/>
    <x v="4"/>
    <s v="Male"/>
    <n v="67.5"/>
    <n v="209.8"/>
    <n v="32.799999999999997"/>
    <n v="18"/>
    <s v="TX"/>
    <n v="4"/>
    <n v="778"/>
    <s v="High"/>
    <n v="1"/>
    <s v="Single-Day"/>
    <n v="1"/>
    <n v="0"/>
    <s v="Main Entrance"/>
    <s v="Mickey &amp; Friends"/>
    <n v="7.4"/>
    <n v="9"/>
    <x v="332"/>
  </r>
  <r>
    <n v="1816"/>
    <n v="590"/>
    <d v="2026-01-01T00:00:00"/>
    <s v="Thursday"/>
    <n v="1"/>
    <n v="9.73"/>
    <x v="0"/>
    <x v="37"/>
    <s v="Male"/>
    <n v="74.900000000000006"/>
    <n v="218.5"/>
    <n v="27.4"/>
    <n v="15"/>
    <s v="OR"/>
    <n v="3"/>
    <n v="959.4"/>
    <s v="Middle"/>
    <n v="0"/>
    <s v="Single-Day"/>
    <n v="0"/>
    <n v="1"/>
    <s v="Main Entrance"/>
    <s v="None/Walked from Resort"/>
    <n v="8.9"/>
    <n v="5"/>
    <x v="1740"/>
  </r>
  <r>
    <n v="1817"/>
    <n v="590"/>
    <d v="2026-01-01T00:00:00"/>
    <s v="Thursday"/>
    <n v="1"/>
    <n v="9.82"/>
    <x v="0"/>
    <x v="72"/>
    <s v="Male"/>
    <n v="72.5"/>
    <n v="230.5"/>
    <n v="30.8"/>
    <n v="16"/>
    <s v="OR"/>
    <n v="3"/>
    <n v="959.4"/>
    <s v="Middle"/>
    <n v="0"/>
    <s v="Single-Day"/>
    <n v="0"/>
    <n v="1"/>
    <s v="Main Entrance"/>
    <s v="None/Walked from Resort"/>
    <n v="9"/>
    <n v="12"/>
    <x v="1741"/>
  </r>
  <r>
    <n v="1818"/>
    <n v="590"/>
    <d v="2026-01-01T00:00:00"/>
    <s v="Thursday"/>
    <n v="1"/>
    <n v="9.93"/>
    <x v="0"/>
    <x v="56"/>
    <s v="Male"/>
    <n v="66.7"/>
    <n v="166"/>
    <n v="26.4"/>
    <n v="15"/>
    <s v="OR"/>
    <n v="3"/>
    <n v="959.4"/>
    <s v="Middle"/>
    <n v="0"/>
    <s v="Single-Day"/>
    <n v="0"/>
    <n v="1"/>
    <s v="Main Entrance"/>
    <s v="None/Walked from Resort"/>
    <n v="10.6"/>
    <n v="16"/>
    <x v="1742"/>
  </r>
  <r>
    <n v="1819"/>
    <n v="591"/>
    <d v="2026-01-01T00:00:00"/>
    <s v="Thursday"/>
    <n v="1"/>
    <n v="8.9"/>
    <x v="0"/>
    <x v="69"/>
    <s v="Female"/>
    <n v="63.5"/>
    <n v="200.2"/>
    <n v="34.9"/>
    <n v="14"/>
    <s v="UT"/>
    <n v="3"/>
    <n v="445.1"/>
    <s v="Middle"/>
    <n v="1"/>
    <s v="Single-Day"/>
    <n v="1"/>
    <n v="0"/>
    <s v="Main Entrance"/>
    <s v="Mickey &amp; Friends"/>
    <n v="9.1"/>
    <n v="8"/>
    <x v="1743"/>
  </r>
  <r>
    <n v="1820"/>
    <n v="591"/>
    <d v="2026-01-01T00:00:00"/>
    <s v="Thursday"/>
    <n v="1"/>
    <n v="9.0500000000000007"/>
    <x v="0"/>
    <x v="15"/>
    <s v="Female"/>
    <n v="66.5"/>
    <n v="201.6"/>
    <n v="32.1"/>
    <n v="15"/>
    <s v="UT"/>
    <n v="3"/>
    <n v="445.1"/>
    <s v="Middle"/>
    <n v="1"/>
    <s v="Single-Day"/>
    <n v="1"/>
    <n v="0"/>
    <s v="Main Entrance"/>
    <s v="Mickey &amp; Friends"/>
    <n v="7.6"/>
    <n v="11"/>
    <x v="1744"/>
  </r>
  <r>
    <n v="1821"/>
    <n v="591"/>
    <d v="2026-01-01T00:00:00"/>
    <s v="Thursday"/>
    <n v="1"/>
    <n v="9.26"/>
    <x v="0"/>
    <x v="10"/>
    <s v="Female"/>
    <n v="69.7"/>
    <n v="232"/>
    <n v="33.6"/>
    <n v="14"/>
    <s v="UT"/>
    <n v="3"/>
    <n v="445.1"/>
    <s v="Middle"/>
    <n v="1"/>
    <s v="Single-Day"/>
    <n v="1"/>
    <n v="0"/>
    <s v="Main Entrance"/>
    <s v="Mickey &amp; Friends"/>
    <n v="7.5"/>
    <n v="7"/>
    <x v="1745"/>
  </r>
  <r>
    <n v="1822"/>
    <n v="592"/>
    <d v="2026-09-23T00:00:00"/>
    <s v="Wednesday"/>
    <n v="9"/>
    <n v="12.72"/>
    <x v="1"/>
    <x v="35"/>
    <s v="Female"/>
    <n v="66"/>
    <n v="172.7"/>
    <n v="27.7"/>
    <n v="16"/>
    <s v="CA"/>
    <n v="1"/>
    <n v="2"/>
    <s v="Middle"/>
    <n v="0"/>
    <s v="Single-Day"/>
    <n v="0"/>
    <n v="1"/>
    <s v="Main Entrance"/>
    <s v="None/Walked from Resort"/>
    <n v="6.7"/>
    <n v="11"/>
    <x v="1746"/>
  </r>
  <r>
    <n v="1823"/>
    <n v="593"/>
    <d v="2026-03-08T00:00:00"/>
    <s v="Sunday"/>
    <n v="3"/>
    <n v="9.3000000000000007"/>
    <x v="0"/>
    <x v="62"/>
    <s v="Female"/>
    <n v="67.7"/>
    <n v="142.30000000000001"/>
    <n v="21.6"/>
    <n v="11"/>
    <s v="CA"/>
    <n v="1"/>
    <n v="55.5"/>
    <s v="Low"/>
    <n v="1"/>
    <s v="Multi-Day"/>
    <n v="0"/>
    <n v="0"/>
    <s v="Main Entrance"/>
    <s v="Toy Story Lot"/>
    <n v="8.6999999999999993"/>
    <n v="7"/>
    <x v="1747"/>
  </r>
  <r>
    <n v="1824"/>
    <n v="594"/>
    <d v="2026-09-05T00:00:00"/>
    <s v="Saturday"/>
    <n v="9"/>
    <n v="11.22"/>
    <x v="1"/>
    <x v="62"/>
    <s v="Female"/>
    <n v="62.7"/>
    <n v="134.9"/>
    <n v="24"/>
    <n v="17"/>
    <s v="CO"/>
    <n v="3"/>
    <n v="837.5"/>
    <s v="Middle"/>
    <n v="0"/>
    <s v="Single-Day"/>
    <n v="0"/>
    <n v="1"/>
    <s v="Main Entrance"/>
    <s v="Mickey &amp; Friends"/>
    <n v="10.1"/>
    <n v="12"/>
    <x v="1748"/>
  </r>
  <r>
    <n v="1825"/>
    <n v="594"/>
    <d v="2026-09-05T00:00:00"/>
    <s v="Saturday"/>
    <n v="9"/>
    <n v="11.1"/>
    <x v="1"/>
    <x v="48"/>
    <s v="Female"/>
    <n v="66.3"/>
    <n v="150.5"/>
    <n v="23.9"/>
    <n v="18"/>
    <s v="CO"/>
    <n v="3"/>
    <n v="837.5"/>
    <s v="Middle"/>
    <n v="0"/>
    <s v="Single-Day"/>
    <n v="0"/>
    <n v="1"/>
    <s v="Main Entrance"/>
    <s v="Mickey &amp; Friends"/>
    <n v="9.6999999999999993"/>
    <n v="11"/>
    <x v="1749"/>
  </r>
  <r>
    <n v="1826"/>
    <n v="594"/>
    <d v="2026-09-05T00:00:00"/>
    <s v="Saturday"/>
    <n v="9"/>
    <n v="11.11"/>
    <x v="1"/>
    <x v="0"/>
    <s v="Female"/>
    <n v="63.3"/>
    <n v="162.5"/>
    <n v="28.4"/>
    <n v="17"/>
    <s v="CO"/>
    <n v="3"/>
    <n v="837.5"/>
    <s v="Middle"/>
    <n v="0"/>
    <s v="Single-Day"/>
    <n v="0"/>
    <n v="1"/>
    <s v="Main Entrance"/>
    <s v="Mickey &amp; Friends"/>
    <n v="7.6"/>
    <n v="6"/>
    <x v="1750"/>
  </r>
  <r>
    <n v="1827"/>
    <n v="595"/>
    <d v="2026-09-28T00:00:00"/>
    <s v="Monday"/>
    <n v="9"/>
    <n v="11.51"/>
    <x v="1"/>
    <x v="37"/>
    <s v="Male"/>
    <n v="66.2"/>
    <n v="184.5"/>
    <n v="29.8"/>
    <n v="14"/>
    <s v="CA"/>
    <n v="3"/>
    <n v="32.799999999999997"/>
    <s v="Low"/>
    <n v="0"/>
    <s v="Multi-Day"/>
    <n v="1"/>
    <n v="0"/>
    <s v="Downtown Disney Gate"/>
    <s v="None/Dropoff/Transit"/>
    <n v="10.4"/>
    <n v="15"/>
    <x v="1751"/>
  </r>
  <r>
    <n v="1828"/>
    <n v="595"/>
    <d v="2026-09-28T00:00:00"/>
    <s v="Monday"/>
    <n v="9"/>
    <n v="11.37"/>
    <x v="1"/>
    <x v="24"/>
    <s v="Female"/>
    <n v="65.7"/>
    <n v="163"/>
    <n v="26.7"/>
    <n v="16"/>
    <s v="CA"/>
    <n v="3"/>
    <n v="32.799999999999997"/>
    <s v="Low"/>
    <n v="0"/>
    <s v="Multi-Day"/>
    <n v="1"/>
    <n v="0"/>
    <s v="Downtown Disney Gate"/>
    <s v="None/Dropoff/Transit"/>
    <n v="9.3000000000000007"/>
    <n v="13"/>
    <x v="1752"/>
  </r>
  <r>
    <n v="1829"/>
    <n v="595"/>
    <d v="2026-09-28T00:00:00"/>
    <s v="Monday"/>
    <n v="9"/>
    <n v="11.33"/>
    <x v="1"/>
    <x v="44"/>
    <s v="Female"/>
    <n v="61.7"/>
    <n v="141.9"/>
    <n v="26.2"/>
    <n v="13"/>
    <s v="CA"/>
    <n v="3"/>
    <n v="32.799999999999997"/>
    <s v="Low"/>
    <n v="0"/>
    <s v="Multi-Day"/>
    <n v="1"/>
    <n v="0"/>
    <s v="Downtown Disney Gate"/>
    <s v="None/Dropoff/Transit"/>
    <n v="7.4"/>
    <n v="6"/>
    <x v="1753"/>
  </r>
  <r>
    <n v="1830"/>
    <n v="596"/>
    <d v="2026-12-15T00:00:00"/>
    <s v="Tuesday"/>
    <n v="12"/>
    <n v="9.3800000000000008"/>
    <x v="0"/>
    <x v="38"/>
    <s v="Female"/>
    <n v="67.8"/>
    <n v="183.7"/>
    <n v="28.1"/>
    <n v="13"/>
    <s v="Other"/>
    <n v="3"/>
    <n v="1422.6"/>
    <s v="High"/>
    <n v="1"/>
    <s v="Single-Day"/>
    <n v="0"/>
    <n v="1"/>
    <s v="Main Entrance"/>
    <s v="None/Walked from Resort"/>
    <n v="9.3000000000000007"/>
    <n v="10"/>
    <x v="1754"/>
  </r>
  <r>
    <n v="1831"/>
    <n v="596"/>
    <d v="2026-12-15T00:00:00"/>
    <s v="Tuesday"/>
    <n v="12"/>
    <n v="9.3699999999999992"/>
    <x v="0"/>
    <x v="37"/>
    <s v="Male"/>
    <n v="67.400000000000006"/>
    <n v="164.5"/>
    <n v="25.3"/>
    <n v="15"/>
    <s v="Other"/>
    <n v="3"/>
    <n v="1422.6"/>
    <s v="High"/>
    <n v="1"/>
    <s v="Single-Day"/>
    <n v="0"/>
    <n v="1"/>
    <s v="Main Entrance"/>
    <s v="None/Walked from Resort"/>
    <n v="8.6999999999999993"/>
    <n v="9"/>
    <x v="1755"/>
  </r>
  <r>
    <n v="1832"/>
    <n v="596"/>
    <d v="2026-12-15T00:00:00"/>
    <s v="Tuesday"/>
    <n v="12"/>
    <n v="9.34"/>
    <x v="0"/>
    <x v="75"/>
    <s v="Female"/>
    <n v="66.900000000000006"/>
    <n v="190.9"/>
    <n v="30.1"/>
    <n v="19"/>
    <s v="Other"/>
    <n v="3"/>
    <n v="1422.6"/>
    <s v="High"/>
    <n v="1"/>
    <s v="Single-Day"/>
    <n v="0"/>
    <n v="1"/>
    <s v="Main Entrance"/>
    <s v="None/Walked from Resort"/>
    <n v="10.6"/>
    <n v="0"/>
    <x v="1756"/>
  </r>
  <r>
    <n v="1833"/>
    <n v="597"/>
    <d v="2026-01-10T00:00:00"/>
    <s v="Saturday"/>
    <n v="1"/>
    <n v="13.79"/>
    <x v="1"/>
    <x v="15"/>
    <s v="Female"/>
    <n v="66.599999999999994"/>
    <n v="168.2"/>
    <n v="26.6"/>
    <n v="14"/>
    <s v="Other"/>
    <n v="4"/>
    <n v="1093.8"/>
    <s v="High"/>
    <n v="1"/>
    <s v="Single-Day"/>
    <n v="0"/>
    <n v="0"/>
    <s v="Main Entrance"/>
    <s v="Toy Story Lot"/>
    <n v="8.1"/>
    <n v="4"/>
    <x v="1757"/>
  </r>
  <r>
    <n v="1834"/>
    <n v="597"/>
    <d v="2026-01-10T00:00:00"/>
    <s v="Saturday"/>
    <n v="1"/>
    <n v="13.95"/>
    <x v="1"/>
    <x v="41"/>
    <s v="Male"/>
    <n v="62.7"/>
    <n v="129.80000000000001"/>
    <n v="23.1"/>
    <n v="18"/>
    <s v="Other"/>
    <n v="4"/>
    <n v="1093.8"/>
    <s v="High"/>
    <n v="1"/>
    <s v="Single-Day"/>
    <n v="0"/>
    <n v="0"/>
    <s v="Main Entrance"/>
    <s v="Toy Story Lot"/>
    <n v="8.6"/>
    <n v="10"/>
    <x v="1758"/>
  </r>
  <r>
    <n v="1835"/>
    <n v="597"/>
    <d v="2026-01-10T00:00:00"/>
    <s v="Saturday"/>
    <n v="1"/>
    <n v="13.85"/>
    <x v="1"/>
    <x v="26"/>
    <s v="Female"/>
    <n v="64.5"/>
    <n v="161.6"/>
    <n v="27.2"/>
    <n v="20"/>
    <s v="Other"/>
    <n v="4"/>
    <n v="1093.8"/>
    <s v="High"/>
    <n v="1"/>
    <s v="Single-Day"/>
    <n v="0"/>
    <n v="0"/>
    <s v="Main Entrance"/>
    <s v="Toy Story Lot"/>
    <n v="6.5"/>
    <n v="10"/>
    <x v="1759"/>
  </r>
  <r>
    <n v="1836"/>
    <n v="597"/>
    <d v="2026-01-10T00:00:00"/>
    <s v="Saturday"/>
    <n v="1"/>
    <n v="13.77"/>
    <x v="1"/>
    <x v="76"/>
    <s v="Female"/>
    <n v="62.5"/>
    <n v="168.3"/>
    <n v="30.3"/>
    <n v="21"/>
    <s v="Other"/>
    <n v="4"/>
    <n v="1093.8"/>
    <s v="High"/>
    <n v="1"/>
    <s v="Single-Day"/>
    <n v="0"/>
    <n v="0"/>
    <s v="Main Entrance"/>
    <s v="Toy Story Lot"/>
    <n v="8.8000000000000007"/>
    <n v="6"/>
    <x v="1760"/>
  </r>
  <r>
    <n v="1837"/>
    <n v="598"/>
    <d v="2026-09-03T00:00:00"/>
    <s v="Thursday"/>
    <n v="9"/>
    <n v="9.81"/>
    <x v="0"/>
    <x v="15"/>
    <s v="Female"/>
    <n v="65.5"/>
    <n v="125.7"/>
    <n v="20.399999999999999"/>
    <n v="13"/>
    <s v="NV"/>
    <n v="1"/>
    <n v="264.60000000000002"/>
    <s v="Middle"/>
    <n v="1"/>
    <s v="Single-Day"/>
    <n v="0"/>
    <n v="0"/>
    <s v="Main Entrance"/>
    <s v="Toy Story Lot"/>
    <n v="10.1"/>
    <n v="12"/>
    <x v="1761"/>
  </r>
  <r>
    <n v="1838"/>
    <n v="599"/>
    <d v="2026-04-11T00:00:00"/>
    <s v="Saturday"/>
    <n v="4"/>
    <n v="9.1"/>
    <x v="0"/>
    <x v="34"/>
    <s v="Female"/>
    <n v="64.900000000000006"/>
    <n v="157.4"/>
    <n v="26.3"/>
    <n v="13"/>
    <s v="TX"/>
    <n v="1"/>
    <n v="1312.6"/>
    <s v="Low"/>
    <n v="1"/>
    <s v="Multi-Day"/>
    <n v="0"/>
    <n v="0"/>
    <s v="Main Entrance"/>
    <s v="Mickey &amp; Friends"/>
    <n v="11.2"/>
    <n v="11"/>
    <x v="1762"/>
  </r>
  <r>
    <n v="1839"/>
    <n v="600"/>
    <d v="2026-06-19T00:00:00"/>
    <s v="Friday"/>
    <n v="6"/>
    <n v="7.81"/>
    <x v="0"/>
    <x v="33"/>
    <s v="Male"/>
    <n v="68.5"/>
    <n v="191.5"/>
    <n v="28.5"/>
    <n v="18"/>
    <s v="Other"/>
    <n v="2"/>
    <n v="2017.8"/>
    <s v="Middle"/>
    <n v="1"/>
    <s v="Single-Day"/>
    <n v="1"/>
    <n v="0"/>
    <s v="Main Entrance"/>
    <s v="None/Dropoff/Transit"/>
    <n v="10.5"/>
    <n v="7"/>
    <x v="1763"/>
  </r>
  <r>
    <n v="1840"/>
    <n v="600"/>
    <d v="2026-06-19T00:00:00"/>
    <s v="Friday"/>
    <n v="6"/>
    <n v="7.96"/>
    <x v="0"/>
    <x v="69"/>
    <s v="Male"/>
    <n v="67.2"/>
    <n v="182.3"/>
    <n v="28.5"/>
    <n v="15"/>
    <s v="Other"/>
    <n v="2"/>
    <n v="2017.8"/>
    <s v="Middle"/>
    <n v="1"/>
    <s v="Single-Day"/>
    <n v="1"/>
    <n v="0"/>
    <s v="Main Entrance"/>
    <s v="None/Dropoff/Transit"/>
    <n v="8.1999999999999993"/>
    <n v="12"/>
    <x v="1764"/>
  </r>
  <r>
    <n v="1841"/>
    <n v="601"/>
    <d v="2026-10-01T00:00:00"/>
    <s v="Thursday"/>
    <n v="10"/>
    <n v="9.9499999999999993"/>
    <x v="0"/>
    <x v="19"/>
    <s v="Male"/>
    <n v="72.7"/>
    <n v="164.7"/>
    <n v="21.9"/>
    <n v="12"/>
    <s v="OR"/>
    <n v="3"/>
    <n v="1065.9000000000001"/>
    <s v="Low"/>
    <n v="1"/>
    <s v="Multi-Day"/>
    <n v="0"/>
    <n v="0"/>
    <s v="Main Entrance"/>
    <s v="Pixar Pals"/>
    <n v="9.1"/>
    <n v="8"/>
    <x v="1765"/>
  </r>
  <r>
    <n v="1842"/>
    <n v="601"/>
    <d v="2026-10-01T00:00:00"/>
    <s v="Thursday"/>
    <n v="10"/>
    <n v="10.25"/>
    <x v="0"/>
    <x v="3"/>
    <s v="Female"/>
    <n v="61.9"/>
    <n v="128.30000000000001"/>
    <n v="23.6"/>
    <n v="14"/>
    <s v="OR"/>
    <n v="3"/>
    <n v="1065.9000000000001"/>
    <s v="Low"/>
    <n v="1"/>
    <s v="Multi-Day"/>
    <n v="0"/>
    <n v="0"/>
    <s v="Main Entrance"/>
    <s v="Pixar Pals"/>
    <n v="8.3000000000000007"/>
    <n v="9"/>
    <x v="1766"/>
  </r>
  <r>
    <n v="1843"/>
    <n v="601"/>
    <d v="2026-10-01T00:00:00"/>
    <s v="Thursday"/>
    <n v="10"/>
    <n v="9.8800000000000008"/>
    <x v="0"/>
    <x v="50"/>
    <s v="Male"/>
    <n v="70"/>
    <n v="151.4"/>
    <n v="21.6"/>
    <n v="11"/>
    <s v="OR"/>
    <n v="3"/>
    <n v="1065.9000000000001"/>
    <s v="Low"/>
    <n v="1"/>
    <s v="Multi-Day"/>
    <n v="0"/>
    <n v="0"/>
    <s v="Main Entrance"/>
    <s v="Pixar Pals"/>
    <n v="9"/>
    <n v="7"/>
    <x v="1767"/>
  </r>
  <r>
    <n v="1844"/>
    <n v="602"/>
    <d v="2026-03-02T00:00:00"/>
    <s v="Monday"/>
    <n v="3"/>
    <n v="9.56"/>
    <x v="0"/>
    <x v="25"/>
    <s v="Female"/>
    <n v="64.5"/>
    <n v="138.19999999999999"/>
    <n v="23.4"/>
    <n v="13"/>
    <s v="NV"/>
    <n v="1"/>
    <n v="309.3"/>
    <s v="Low"/>
    <n v="0"/>
    <s v="Single-Day"/>
    <n v="0"/>
    <n v="0"/>
    <s v="Main Entrance"/>
    <s v="Pixar Pals"/>
    <n v="8.1999999999999993"/>
    <n v="9"/>
    <x v="1768"/>
  </r>
  <r>
    <n v="1845"/>
    <n v="603"/>
    <d v="2026-01-18T00:00:00"/>
    <s v="Sunday"/>
    <n v="1"/>
    <n v="12.15"/>
    <x v="1"/>
    <x v="59"/>
    <s v="Male"/>
    <n v="74.099999999999994"/>
    <n v="244.1"/>
    <n v="31.5"/>
    <n v="13"/>
    <s v="Other"/>
    <n v="2"/>
    <n v="2422.6999999999998"/>
    <s v="Middle"/>
    <n v="1"/>
    <s v="Single-Day"/>
    <n v="1"/>
    <n v="0"/>
    <s v="Main Entrance"/>
    <s v="Pixar Pals"/>
    <n v="7.2"/>
    <n v="13"/>
    <x v="1769"/>
  </r>
  <r>
    <n v="1846"/>
    <n v="603"/>
    <d v="2026-01-18T00:00:00"/>
    <s v="Sunday"/>
    <n v="1"/>
    <n v="12.26"/>
    <x v="1"/>
    <x v="59"/>
    <s v="Male"/>
    <n v="68.7"/>
    <n v="165.8"/>
    <n v="24.7"/>
    <n v="18"/>
    <s v="Other"/>
    <n v="2"/>
    <n v="2422.6999999999998"/>
    <s v="Middle"/>
    <n v="1"/>
    <s v="Single-Day"/>
    <n v="1"/>
    <n v="0"/>
    <s v="Main Entrance"/>
    <s v="Pixar Pals"/>
    <n v="9.6"/>
    <n v="13"/>
    <x v="1770"/>
  </r>
  <r>
    <n v="1847"/>
    <n v="604"/>
    <d v="2026-07-07T00:00:00"/>
    <s v="Tuesday"/>
    <n v="7"/>
    <n v="11.37"/>
    <x v="1"/>
    <x v="64"/>
    <s v="Female"/>
    <n v="50.4"/>
    <n v="75.8"/>
    <n v="21"/>
    <n v="10"/>
    <s v="WA"/>
    <n v="6"/>
    <n v="726.4"/>
    <s v="Middle"/>
    <n v="0"/>
    <s v="Park Hopper"/>
    <n v="0"/>
    <n v="0"/>
    <s v="Main Entrance"/>
    <s v="Mickey &amp; Friends"/>
    <n v="7.1"/>
    <n v="10"/>
    <x v="1771"/>
  </r>
  <r>
    <n v="1848"/>
    <n v="604"/>
    <d v="2026-07-07T00:00:00"/>
    <s v="Tuesday"/>
    <n v="7"/>
    <n v="11.22"/>
    <x v="1"/>
    <x v="22"/>
    <s v="Female"/>
    <n v="58.7"/>
    <n v="76.5"/>
    <n v="15.7"/>
    <n v="11"/>
    <s v="WA"/>
    <n v="6"/>
    <n v="726.4"/>
    <s v="Middle"/>
    <n v="0"/>
    <s v="Park Hopper"/>
    <n v="0"/>
    <n v="0"/>
    <s v="Main Entrance"/>
    <s v="Mickey &amp; Friends"/>
    <n v="10.6"/>
    <n v="3"/>
    <x v="1772"/>
  </r>
  <r>
    <n v="1849"/>
    <n v="604"/>
    <d v="2026-07-07T00:00:00"/>
    <s v="Tuesday"/>
    <n v="7"/>
    <n v="11.19"/>
    <x v="1"/>
    <x v="70"/>
    <s v="Male"/>
    <n v="70"/>
    <n v="149.6"/>
    <n v="21.5"/>
    <n v="16"/>
    <s v="WA"/>
    <n v="6"/>
    <n v="726.4"/>
    <s v="Middle"/>
    <n v="0"/>
    <s v="Park Hopper"/>
    <n v="0"/>
    <n v="0"/>
    <s v="Main Entrance"/>
    <s v="Mickey &amp; Friends"/>
    <n v="8.6999999999999993"/>
    <n v="9"/>
    <x v="1327"/>
  </r>
  <r>
    <n v="1850"/>
    <n v="604"/>
    <d v="2026-07-07T00:00:00"/>
    <s v="Tuesday"/>
    <n v="7"/>
    <n v="11.19"/>
    <x v="1"/>
    <x v="67"/>
    <s v="Male"/>
    <n v="63.8"/>
    <n v="134.5"/>
    <n v="23.5"/>
    <n v="12"/>
    <s v="WA"/>
    <n v="6"/>
    <n v="726.4"/>
    <s v="Middle"/>
    <n v="0"/>
    <s v="Park Hopper"/>
    <n v="0"/>
    <n v="0"/>
    <s v="Main Entrance"/>
    <s v="Mickey &amp; Friends"/>
    <n v="7.8"/>
    <n v="6"/>
    <x v="1773"/>
  </r>
  <r>
    <n v="1851"/>
    <n v="604"/>
    <d v="2026-07-07T00:00:00"/>
    <s v="Tuesday"/>
    <n v="7"/>
    <n v="11.46"/>
    <x v="1"/>
    <x v="55"/>
    <s v="Male"/>
    <n v="66.400000000000006"/>
    <n v="155.5"/>
    <n v="24.9"/>
    <n v="14"/>
    <s v="WA"/>
    <n v="6"/>
    <n v="726.4"/>
    <s v="Middle"/>
    <n v="0"/>
    <s v="Park Hopper"/>
    <n v="0"/>
    <n v="0"/>
    <s v="Main Entrance"/>
    <s v="Mickey &amp; Friends"/>
    <n v="9.5"/>
    <n v="10"/>
    <x v="1774"/>
  </r>
  <r>
    <n v="1852"/>
    <n v="604"/>
    <d v="2026-07-07T00:00:00"/>
    <s v="Tuesday"/>
    <n v="7"/>
    <n v="11.31"/>
    <x v="1"/>
    <x v="62"/>
    <s v="Female"/>
    <n v="66.3"/>
    <n v="179"/>
    <n v="28.7"/>
    <n v="15"/>
    <s v="WA"/>
    <n v="6"/>
    <n v="726.4"/>
    <s v="Middle"/>
    <n v="0"/>
    <s v="Park Hopper"/>
    <n v="0"/>
    <n v="0"/>
    <s v="Main Entrance"/>
    <s v="Mickey &amp; Friends"/>
    <n v="10.6"/>
    <n v="8"/>
    <x v="1775"/>
  </r>
  <r>
    <n v="1853"/>
    <n v="605"/>
    <d v="2026-10-08T00:00:00"/>
    <s v="Thursday"/>
    <n v="10"/>
    <n v="12.69"/>
    <x v="1"/>
    <x v="60"/>
    <s v="Female"/>
    <n v="62"/>
    <n v="110.4"/>
    <n v="20.100000000000001"/>
    <n v="12"/>
    <s v="NV"/>
    <n v="3"/>
    <n v="275"/>
    <s v="Middle"/>
    <n v="1"/>
    <s v="Multi-Day"/>
    <n v="0"/>
    <n v="0"/>
    <s v="Main Entrance"/>
    <s v="Mickey &amp; Friends"/>
    <n v="7.7"/>
    <n v="12"/>
    <x v="1776"/>
  </r>
  <r>
    <n v="1854"/>
    <n v="605"/>
    <d v="2026-10-08T00:00:00"/>
    <s v="Thursday"/>
    <n v="10"/>
    <n v="12.62"/>
    <x v="1"/>
    <x v="48"/>
    <s v="Female"/>
    <n v="61.7"/>
    <n v="115.4"/>
    <n v="21.2"/>
    <n v="19"/>
    <s v="NV"/>
    <n v="3"/>
    <n v="275"/>
    <s v="Middle"/>
    <n v="1"/>
    <s v="Multi-Day"/>
    <n v="0"/>
    <n v="0"/>
    <s v="Main Entrance"/>
    <s v="Mickey &amp; Friends"/>
    <n v="7.7"/>
    <n v="11"/>
    <x v="1777"/>
  </r>
  <r>
    <n v="1855"/>
    <n v="605"/>
    <d v="2026-10-08T00:00:00"/>
    <s v="Thursday"/>
    <n v="10"/>
    <n v="12.76"/>
    <x v="1"/>
    <x v="71"/>
    <s v="Male"/>
    <n v="70"/>
    <n v="212.8"/>
    <n v="30.4"/>
    <n v="15"/>
    <s v="NV"/>
    <n v="3"/>
    <n v="275"/>
    <s v="Middle"/>
    <n v="1"/>
    <s v="Multi-Day"/>
    <n v="0"/>
    <n v="0"/>
    <s v="Main Entrance"/>
    <s v="Mickey &amp; Friends"/>
    <n v="7.3"/>
    <n v="4"/>
    <x v="1778"/>
  </r>
  <r>
    <n v="1856"/>
    <n v="606"/>
    <d v="2026-11-24T00:00:00"/>
    <s v="Tuesday"/>
    <n v="11"/>
    <n v="10.82"/>
    <x v="0"/>
    <x v="35"/>
    <s v="Male"/>
    <n v="68"/>
    <n v="167.7"/>
    <n v="25.4"/>
    <n v="15"/>
    <s v="AZ"/>
    <n v="1"/>
    <n v="482"/>
    <s v="Middle"/>
    <n v="0"/>
    <s v="Single-Day"/>
    <n v="0"/>
    <n v="0"/>
    <s v="Main Entrance"/>
    <s v="Mickey &amp; Friends"/>
    <n v="9"/>
    <n v="7"/>
    <x v="1779"/>
  </r>
  <r>
    <n v="1857"/>
    <n v="607"/>
    <d v="2026-07-06T00:00:00"/>
    <s v="Monday"/>
    <n v="7"/>
    <n v="10.62"/>
    <x v="0"/>
    <x v="72"/>
    <s v="Female"/>
    <n v="60.8"/>
    <n v="140.69999999999999"/>
    <n v="26.9"/>
    <n v="13"/>
    <s v="CA"/>
    <n v="2"/>
    <n v="119.3"/>
    <s v="Middle"/>
    <n v="1"/>
    <s v="Park Hopper"/>
    <n v="0"/>
    <n v="1"/>
    <s v="Main Entrance"/>
    <s v="Mickey &amp; Friends"/>
    <n v="11"/>
    <n v="13"/>
    <x v="1780"/>
  </r>
  <r>
    <n v="1858"/>
    <n v="607"/>
    <d v="2026-07-06T00:00:00"/>
    <s v="Monday"/>
    <n v="7"/>
    <n v="10.74"/>
    <x v="0"/>
    <x v="50"/>
    <s v="Female"/>
    <n v="70"/>
    <n v="137.9"/>
    <n v="20"/>
    <n v="9"/>
    <s v="CA"/>
    <n v="2"/>
    <n v="119.3"/>
    <s v="Middle"/>
    <n v="1"/>
    <s v="Park Hopper"/>
    <n v="0"/>
    <n v="1"/>
    <s v="Main Entrance"/>
    <s v="Mickey &amp; Friends"/>
    <n v="9.4"/>
    <n v="8"/>
    <x v="1781"/>
  </r>
  <r>
    <n v="1859"/>
    <n v="608"/>
    <d v="2026-11-19T00:00:00"/>
    <s v="Thursday"/>
    <n v="11"/>
    <n v="8.82"/>
    <x v="0"/>
    <x v="54"/>
    <s v="Male"/>
    <n v="69.2"/>
    <n v="207.1"/>
    <n v="30.6"/>
    <n v="15"/>
    <s v="CA"/>
    <n v="3"/>
    <n v="134"/>
    <s v="Low"/>
    <n v="0"/>
    <s v="Single-Day"/>
    <n v="0"/>
    <n v="0"/>
    <s v="Main Entrance"/>
    <s v="Toy Story Lot"/>
    <n v="10"/>
    <n v="5"/>
    <x v="1782"/>
  </r>
  <r>
    <n v="1860"/>
    <n v="608"/>
    <d v="2026-11-19T00:00:00"/>
    <s v="Thursday"/>
    <n v="11"/>
    <n v="8.7899999999999991"/>
    <x v="0"/>
    <x v="13"/>
    <s v="Male"/>
    <n v="70.7"/>
    <n v="193.1"/>
    <n v="27.2"/>
    <n v="14"/>
    <s v="CA"/>
    <n v="3"/>
    <n v="134"/>
    <s v="Low"/>
    <n v="0"/>
    <s v="Single-Day"/>
    <n v="0"/>
    <n v="0"/>
    <s v="Main Entrance"/>
    <s v="Toy Story Lot"/>
    <n v="12.7"/>
    <n v="12"/>
    <x v="1783"/>
  </r>
  <r>
    <n v="1861"/>
    <n v="608"/>
    <d v="2026-11-19T00:00:00"/>
    <s v="Thursday"/>
    <n v="11"/>
    <n v="8.8000000000000007"/>
    <x v="0"/>
    <x v="39"/>
    <s v="Male"/>
    <n v="71.400000000000006"/>
    <n v="190.7"/>
    <n v="26.5"/>
    <n v="15"/>
    <s v="CA"/>
    <n v="3"/>
    <n v="134"/>
    <s v="Low"/>
    <n v="0"/>
    <s v="Single-Day"/>
    <n v="0"/>
    <n v="0"/>
    <s v="Main Entrance"/>
    <s v="Toy Story Lot"/>
    <n v="9.1999999999999993"/>
    <n v="6"/>
    <x v="1784"/>
  </r>
  <r>
    <n v="1862"/>
    <n v="609"/>
    <d v="2026-06-21T00:00:00"/>
    <s v="Sunday"/>
    <n v="6"/>
    <n v="9.77"/>
    <x v="0"/>
    <x v="14"/>
    <s v="Female"/>
    <n v="64.599999999999994"/>
    <n v="114"/>
    <n v="19.3"/>
    <n v="16"/>
    <s v="CA"/>
    <n v="1"/>
    <n v="43.5"/>
    <s v="Middle"/>
    <n v="0"/>
    <s v="Park Hopper"/>
    <n v="1"/>
    <n v="0"/>
    <s v="Main Entrance"/>
    <s v="Mickey &amp; Friends"/>
    <n v="7.5"/>
    <n v="7"/>
    <x v="1785"/>
  </r>
  <r>
    <n v="1863"/>
    <n v="610"/>
    <d v="2026-01-10T00:00:00"/>
    <s v="Saturday"/>
    <n v="1"/>
    <n v="11.98"/>
    <x v="1"/>
    <x v="78"/>
    <s v="Female"/>
    <n v="70"/>
    <n v="109.3"/>
    <n v="15.9"/>
    <n v="12"/>
    <s v="AZ"/>
    <n v="4"/>
    <n v="424.4"/>
    <s v="Middle"/>
    <n v="0"/>
    <s v="Single-Day"/>
    <n v="1"/>
    <n v="0"/>
    <s v="Main Entrance"/>
    <s v="Mickey &amp; Friends"/>
    <n v="6.8"/>
    <n v="8"/>
    <x v="1786"/>
  </r>
  <r>
    <n v="1864"/>
    <n v="610"/>
    <d v="2026-01-10T00:00:00"/>
    <s v="Saturday"/>
    <n v="1"/>
    <n v="11.9"/>
    <x v="1"/>
    <x v="53"/>
    <s v="Male"/>
    <n v="52"/>
    <n v="76.7"/>
    <n v="20.2"/>
    <n v="12"/>
    <s v="AZ"/>
    <n v="4"/>
    <n v="424.4"/>
    <s v="Middle"/>
    <n v="0"/>
    <s v="Single-Day"/>
    <n v="1"/>
    <n v="0"/>
    <s v="Main Entrance"/>
    <s v="Mickey &amp; Friends"/>
    <n v="4.5"/>
    <n v="8"/>
    <x v="1787"/>
  </r>
  <r>
    <n v="1865"/>
    <n v="610"/>
    <d v="2026-01-10T00:00:00"/>
    <s v="Saturday"/>
    <n v="1"/>
    <n v="12.04"/>
    <x v="1"/>
    <x v="72"/>
    <s v="Male"/>
    <n v="67.599999999999994"/>
    <n v="171"/>
    <n v="26.4"/>
    <n v="18"/>
    <s v="AZ"/>
    <n v="4"/>
    <n v="424.4"/>
    <s v="Middle"/>
    <n v="0"/>
    <s v="Single-Day"/>
    <n v="1"/>
    <n v="0"/>
    <s v="Main Entrance"/>
    <s v="Mickey &amp; Friends"/>
    <n v="6.4"/>
    <n v="4"/>
    <x v="1788"/>
  </r>
  <r>
    <n v="1866"/>
    <n v="610"/>
    <d v="2026-01-10T00:00:00"/>
    <s v="Saturday"/>
    <n v="1"/>
    <n v="11.94"/>
    <x v="1"/>
    <x v="31"/>
    <s v="Male"/>
    <n v="71.7"/>
    <n v="210.9"/>
    <n v="28.9"/>
    <n v="18"/>
    <s v="AZ"/>
    <n v="4"/>
    <n v="424.4"/>
    <s v="Middle"/>
    <n v="0"/>
    <s v="Single-Day"/>
    <n v="1"/>
    <n v="0"/>
    <s v="Main Entrance"/>
    <s v="Mickey &amp; Friends"/>
    <n v="8.3000000000000007"/>
    <n v="6"/>
    <x v="1789"/>
  </r>
  <r>
    <n v="1867"/>
    <n v="611"/>
    <d v="2026-05-11T00:00:00"/>
    <s v="Monday"/>
    <n v="5"/>
    <n v="8.91"/>
    <x v="0"/>
    <x v="0"/>
    <s v="Male"/>
    <n v="66.3"/>
    <n v="152.4"/>
    <n v="24.2"/>
    <n v="16"/>
    <s v="NY"/>
    <n v="5"/>
    <n v="3618.2"/>
    <s v="Middle"/>
    <n v="0"/>
    <s v="Single-Day"/>
    <n v="0"/>
    <n v="1"/>
    <s v="Main Entrance"/>
    <s v="Pixar Pals"/>
    <n v="11.6"/>
    <n v="12"/>
    <x v="1790"/>
  </r>
  <r>
    <n v="1868"/>
    <n v="611"/>
    <d v="2026-05-11T00:00:00"/>
    <s v="Monday"/>
    <n v="5"/>
    <n v="8.81"/>
    <x v="0"/>
    <x v="18"/>
    <s v="Male"/>
    <n v="68.2"/>
    <n v="179.4"/>
    <n v="27.3"/>
    <n v="16"/>
    <s v="NY"/>
    <n v="5"/>
    <n v="3618.2"/>
    <s v="Middle"/>
    <n v="0"/>
    <s v="Single-Day"/>
    <n v="0"/>
    <n v="1"/>
    <s v="Main Entrance"/>
    <s v="Pixar Pals"/>
    <n v="9.3000000000000007"/>
    <n v="10"/>
    <x v="1791"/>
  </r>
  <r>
    <n v="1869"/>
    <n v="611"/>
    <d v="2026-05-11T00:00:00"/>
    <s v="Monday"/>
    <n v="5"/>
    <n v="8.7200000000000006"/>
    <x v="0"/>
    <x v="57"/>
    <s v="Female"/>
    <n v="64.8"/>
    <n v="128.69999999999999"/>
    <n v="21.6"/>
    <n v="14"/>
    <s v="NY"/>
    <n v="5"/>
    <n v="3618.2"/>
    <s v="Middle"/>
    <n v="0"/>
    <s v="Single-Day"/>
    <n v="0"/>
    <n v="1"/>
    <s v="Main Entrance"/>
    <s v="Pixar Pals"/>
    <n v="7.3"/>
    <n v="7"/>
    <x v="1792"/>
  </r>
  <r>
    <n v="1870"/>
    <n v="611"/>
    <d v="2026-05-11T00:00:00"/>
    <s v="Monday"/>
    <n v="5"/>
    <n v="8.9"/>
    <x v="0"/>
    <x v="9"/>
    <s v="Female"/>
    <n v="61.4"/>
    <n v="108.4"/>
    <n v="20.2"/>
    <n v="14"/>
    <s v="NY"/>
    <n v="5"/>
    <n v="3618.2"/>
    <s v="Middle"/>
    <n v="0"/>
    <s v="Single-Day"/>
    <n v="0"/>
    <n v="1"/>
    <s v="Main Entrance"/>
    <s v="Pixar Pals"/>
    <n v="8.8000000000000007"/>
    <n v="9"/>
    <x v="1793"/>
  </r>
  <r>
    <n v="1871"/>
    <n v="611"/>
    <d v="2026-05-11T00:00:00"/>
    <s v="Monday"/>
    <n v="5"/>
    <n v="8.98"/>
    <x v="0"/>
    <x v="30"/>
    <s v="Female"/>
    <n v="66.2"/>
    <n v="185.1"/>
    <n v="29.8"/>
    <n v="16"/>
    <s v="NY"/>
    <n v="5"/>
    <n v="3618.2"/>
    <s v="Middle"/>
    <n v="0"/>
    <s v="Single-Day"/>
    <n v="0"/>
    <n v="1"/>
    <s v="Main Entrance"/>
    <s v="Pixar Pals"/>
    <n v="8.5"/>
    <n v="7"/>
    <x v="1794"/>
  </r>
  <r>
    <n v="1872"/>
    <n v="612"/>
    <d v="2026-11-06T00:00:00"/>
    <s v="Friday"/>
    <n v="11"/>
    <n v="9.6199999999999992"/>
    <x v="0"/>
    <x v="23"/>
    <s v="Female"/>
    <n v="63.1"/>
    <n v="118.4"/>
    <n v="20.9"/>
    <n v="14"/>
    <s v="CO"/>
    <n v="2"/>
    <n v="1192.5"/>
    <s v="Middle"/>
    <n v="1"/>
    <s v="Single-Day"/>
    <n v="0"/>
    <n v="0"/>
    <s v="Main Entrance"/>
    <s v="Pixar Pals"/>
    <n v="11.3"/>
    <n v="11"/>
    <x v="1795"/>
  </r>
  <r>
    <n v="1873"/>
    <n v="612"/>
    <d v="2026-11-06T00:00:00"/>
    <s v="Friday"/>
    <n v="11"/>
    <n v="9.6"/>
    <x v="0"/>
    <x v="19"/>
    <s v="Male"/>
    <n v="78"/>
    <n v="224.6"/>
    <n v="26"/>
    <n v="17"/>
    <s v="CO"/>
    <n v="2"/>
    <n v="1192.5"/>
    <s v="Middle"/>
    <n v="1"/>
    <s v="Single-Day"/>
    <n v="0"/>
    <n v="0"/>
    <s v="Main Entrance"/>
    <s v="Pixar Pals"/>
    <n v="9.9"/>
    <n v="9"/>
    <x v="1796"/>
  </r>
  <r>
    <n v="1874"/>
    <n v="613"/>
    <d v="2026-04-21T00:00:00"/>
    <s v="Tuesday"/>
    <n v="4"/>
    <n v="10.57"/>
    <x v="0"/>
    <x v="71"/>
    <s v="Male"/>
    <n v="73.2"/>
    <n v="187.7"/>
    <n v="24.6"/>
    <n v="14"/>
    <s v="CA"/>
    <n v="5"/>
    <n v="130.6"/>
    <s v="Low"/>
    <n v="1"/>
    <s v="Single-Day"/>
    <n v="0"/>
    <n v="1"/>
    <s v="Hotel Guest Entrance"/>
    <s v="Toy Story Lot"/>
    <n v="8.8000000000000007"/>
    <n v="7"/>
    <x v="1797"/>
  </r>
  <r>
    <n v="1875"/>
    <n v="613"/>
    <d v="2026-04-21T00:00:00"/>
    <s v="Tuesday"/>
    <n v="4"/>
    <n v="10.31"/>
    <x v="0"/>
    <x v="16"/>
    <s v="Male"/>
    <n v="53.6"/>
    <n v="84.6"/>
    <n v="20.7"/>
    <n v="9"/>
    <s v="CA"/>
    <n v="5"/>
    <n v="130.6"/>
    <s v="Low"/>
    <n v="1"/>
    <s v="Single-Day"/>
    <n v="0"/>
    <n v="1"/>
    <s v="Hotel Guest Entrance"/>
    <s v="Toy Story Lot"/>
    <n v="12.1"/>
    <n v="13"/>
    <x v="1798"/>
  </r>
  <r>
    <n v="1876"/>
    <n v="613"/>
    <d v="2026-04-21T00:00:00"/>
    <s v="Tuesday"/>
    <n v="4"/>
    <n v="10.31"/>
    <x v="0"/>
    <x v="14"/>
    <s v="Male"/>
    <n v="64.7"/>
    <n v="169.8"/>
    <n v="28.5"/>
    <n v="18"/>
    <s v="CA"/>
    <n v="5"/>
    <n v="130.6"/>
    <s v="Low"/>
    <n v="1"/>
    <s v="Single-Day"/>
    <n v="0"/>
    <n v="1"/>
    <s v="Hotel Guest Entrance"/>
    <s v="Toy Story Lot"/>
    <n v="8.4"/>
    <n v="5"/>
    <x v="1244"/>
  </r>
  <r>
    <n v="1877"/>
    <n v="613"/>
    <d v="2026-04-21T00:00:00"/>
    <s v="Tuesday"/>
    <n v="4"/>
    <n v="10.39"/>
    <x v="0"/>
    <x v="15"/>
    <s v="Female"/>
    <n v="58.9"/>
    <n v="154.19999999999999"/>
    <n v="31.3"/>
    <n v="13"/>
    <s v="CA"/>
    <n v="5"/>
    <n v="130.6"/>
    <s v="Low"/>
    <n v="1"/>
    <s v="Single-Day"/>
    <n v="0"/>
    <n v="1"/>
    <s v="Hotel Guest Entrance"/>
    <s v="Toy Story Lot"/>
    <n v="11.3"/>
    <n v="11"/>
    <x v="1799"/>
  </r>
  <r>
    <n v="1878"/>
    <n v="613"/>
    <d v="2026-04-21T00:00:00"/>
    <s v="Tuesday"/>
    <n v="4"/>
    <n v="10.35"/>
    <x v="0"/>
    <x v="13"/>
    <s v="Male"/>
    <n v="66.3"/>
    <n v="158.19999999999999"/>
    <n v="25.1"/>
    <n v="11"/>
    <s v="CA"/>
    <n v="5"/>
    <n v="130.6"/>
    <s v="Low"/>
    <n v="1"/>
    <s v="Single-Day"/>
    <n v="0"/>
    <n v="1"/>
    <s v="Hotel Guest Entrance"/>
    <s v="Toy Story Lot"/>
    <n v="8.6999999999999993"/>
    <n v="9"/>
    <x v="1800"/>
  </r>
  <r>
    <n v="1879"/>
    <n v="614"/>
    <d v="2026-05-16T00:00:00"/>
    <s v="Saturday"/>
    <n v="5"/>
    <n v="9.1300000000000008"/>
    <x v="0"/>
    <x v="53"/>
    <s v="Male"/>
    <n v="55.3"/>
    <n v="90"/>
    <n v="20.7"/>
    <n v="17"/>
    <s v="Other"/>
    <n v="5"/>
    <n v="1661.1"/>
    <s v="High"/>
    <n v="0"/>
    <s v="Multi-Day"/>
    <n v="1"/>
    <n v="1"/>
    <s v="Hotel Guest Entrance"/>
    <s v="None/Walked from Resort"/>
    <n v="10.5"/>
    <n v="14"/>
    <x v="1801"/>
  </r>
  <r>
    <n v="1880"/>
    <n v="614"/>
    <d v="2026-05-16T00:00:00"/>
    <s v="Saturday"/>
    <n v="5"/>
    <n v="9.16"/>
    <x v="0"/>
    <x v="31"/>
    <s v="Female"/>
    <n v="62.7"/>
    <n v="139.5"/>
    <n v="25"/>
    <n v="19"/>
    <s v="Other"/>
    <n v="5"/>
    <n v="1661.1"/>
    <s v="High"/>
    <n v="0"/>
    <s v="Multi-Day"/>
    <n v="1"/>
    <n v="1"/>
    <s v="Hotel Guest Entrance"/>
    <s v="None/Walked from Resort"/>
    <n v="9.8000000000000007"/>
    <n v="11"/>
    <x v="1802"/>
  </r>
  <r>
    <n v="1881"/>
    <n v="614"/>
    <d v="2026-05-16T00:00:00"/>
    <s v="Saturday"/>
    <n v="5"/>
    <n v="9.16"/>
    <x v="0"/>
    <x v="69"/>
    <s v="Male"/>
    <n v="69.900000000000006"/>
    <n v="194.3"/>
    <n v="27.8"/>
    <n v="15"/>
    <s v="Other"/>
    <n v="5"/>
    <n v="1661.1"/>
    <s v="High"/>
    <n v="0"/>
    <s v="Multi-Day"/>
    <n v="1"/>
    <n v="1"/>
    <s v="Hotel Guest Entrance"/>
    <s v="None/Walked from Resort"/>
    <n v="8.6999999999999993"/>
    <n v="15"/>
    <x v="1803"/>
  </r>
  <r>
    <n v="1882"/>
    <n v="614"/>
    <d v="2026-05-16T00:00:00"/>
    <s v="Saturday"/>
    <n v="5"/>
    <n v="9.2200000000000006"/>
    <x v="0"/>
    <x v="51"/>
    <s v="Female"/>
    <n v="64.2"/>
    <n v="155.30000000000001"/>
    <n v="26.4"/>
    <n v="15"/>
    <s v="Other"/>
    <n v="5"/>
    <n v="1661.1"/>
    <s v="High"/>
    <n v="0"/>
    <s v="Multi-Day"/>
    <n v="1"/>
    <n v="1"/>
    <s v="Hotel Guest Entrance"/>
    <s v="None/Walked from Resort"/>
    <n v="10"/>
    <n v="9"/>
    <x v="1804"/>
  </r>
  <r>
    <n v="1883"/>
    <n v="614"/>
    <d v="2026-05-16T00:00:00"/>
    <s v="Saturday"/>
    <n v="5"/>
    <n v="9.02"/>
    <x v="0"/>
    <x v="59"/>
    <s v="Female"/>
    <n v="57.1"/>
    <n v="96.7"/>
    <n v="20.7"/>
    <n v="17"/>
    <s v="Other"/>
    <n v="5"/>
    <n v="1661.1"/>
    <s v="High"/>
    <n v="0"/>
    <s v="Multi-Day"/>
    <n v="1"/>
    <n v="1"/>
    <s v="Hotel Guest Entrance"/>
    <s v="None/Walked from Resort"/>
    <n v="8.5"/>
    <n v="8"/>
    <x v="1805"/>
  </r>
  <r>
    <n v="1884"/>
    <n v="615"/>
    <d v="2026-11-09T00:00:00"/>
    <s v="Monday"/>
    <n v="11"/>
    <n v="11.47"/>
    <x v="1"/>
    <x v="64"/>
    <s v="Female"/>
    <n v="52.9"/>
    <n v="79.099999999999994"/>
    <n v="20"/>
    <n v="7"/>
    <s v="CA"/>
    <n v="2"/>
    <n v="79.8"/>
    <s v="Low"/>
    <n v="1"/>
    <s v="Single-Day"/>
    <n v="0"/>
    <n v="0"/>
    <s v="Main Entrance"/>
    <s v="Mickey &amp; Friends"/>
    <n v="5.0999999999999996"/>
    <n v="1"/>
    <x v="1806"/>
  </r>
  <r>
    <n v="1885"/>
    <n v="615"/>
    <d v="2026-11-09T00:00:00"/>
    <s v="Monday"/>
    <n v="11"/>
    <n v="11.64"/>
    <x v="1"/>
    <x v="51"/>
    <s v="Male"/>
    <n v="68.400000000000006"/>
    <n v="164.6"/>
    <n v="24.5"/>
    <n v="10"/>
    <s v="CA"/>
    <n v="2"/>
    <n v="79.8"/>
    <s v="Low"/>
    <n v="1"/>
    <s v="Single-Day"/>
    <n v="0"/>
    <n v="0"/>
    <s v="Main Entrance"/>
    <s v="Mickey &amp; Friends"/>
    <n v="5.3"/>
    <n v="3"/>
    <x v="1807"/>
  </r>
  <r>
    <n v="1886"/>
    <n v="616"/>
    <d v="2026-04-13T00:00:00"/>
    <s v="Monday"/>
    <n v="4"/>
    <n v="12.52"/>
    <x v="1"/>
    <x v="18"/>
    <s v="Female"/>
    <n v="67.5"/>
    <n v="195.3"/>
    <n v="29.9"/>
    <n v="18"/>
    <s v="UT"/>
    <n v="4"/>
    <n v="500"/>
    <s v="Middle"/>
    <n v="0"/>
    <s v="Multi-Day"/>
    <n v="0"/>
    <n v="0"/>
    <s v="Main Entrance"/>
    <s v="Toy Story Lot"/>
    <n v="7.5"/>
    <n v="11"/>
    <x v="1808"/>
  </r>
  <r>
    <n v="1887"/>
    <n v="616"/>
    <d v="2026-04-13T00:00:00"/>
    <s v="Monday"/>
    <n v="4"/>
    <n v="12.53"/>
    <x v="1"/>
    <x v="47"/>
    <s v="Female"/>
    <n v="65.900000000000006"/>
    <n v="181.8"/>
    <n v="29.6"/>
    <n v="18"/>
    <s v="UT"/>
    <n v="4"/>
    <n v="500"/>
    <s v="Middle"/>
    <n v="0"/>
    <s v="Multi-Day"/>
    <n v="0"/>
    <n v="0"/>
    <s v="Main Entrance"/>
    <s v="Toy Story Lot"/>
    <n v="6.7"/>
    <n v="7"/>
    <x v="1809"/>
  </r>
  <r>
    <n v="1888"/>
    <n v="616"/>
    <d v="2026-04-13T00:00:00"/>
    <s v="Monday"/>
    <n v="4"/>
    <n v="12.53"/>
    <x v="1"/>
    <x v="60"/>
    <s v="Female"/>
    <n v="65.8"/>
    <n v="117.9"/>
    <n v="19"/>
    <n v="13"/>
    <s v="UT"/>
    <n v="4"/>
    <n v="500"/>
    <s v="Middle"/>
    <n v="0"/>
    <s v="Multi-Day"/>
    <n v="0"/>
    <n v="0"/>
    <s v="Main Entrance"/>
    <s v="Toy Story Lot"/>
    <n v="8.4"/>
    <n v="6"/>
    <x v="1810"/>
  </r>
  <r>
    <n v="1889"/>
    <n v="616"/>
    <d v="2026-04-13T00:00:00"/>
    <s v="Monday"/>
    <n v="4"/>
    <n v="12.68"/>
    <x v="1"/>
    <x v="56"/>
    <s v="Male"/>
    <n v="72.400000000000006"/>
    <n v="211.3"/>
    <n v="28.4"/>
    <n v="13"/>
    <s v="UT"/>
    <n v="4"/>
    <n v="500"/>
    <s v="Middle"/>
    <n v="0"/>
    <s v="Multi-Day"/>
    <n v="0"/>
    <n v="0"/>
    <s v="Main Entrance"/>
    <s v="Toy Story Lot"/>
    <n v="7.9"/>
    <n v="10"/>
    <x v="1811"/>
  </r>
  <r>
    <n v="1890"/>
    <n v="617"/>
    <d v="2026-03-04T00:00:00"/>
    <s v="Wednesday"/>
    <n v="3"/>
    <n v="10.6"/>
    <x v="0"/>
    <x v="40"/>
    <s v="Male"/>
    <n v="61.7"/>
    <n v="112.2"/>
    <n v="20.7"/>
    <n v="14"/>
    <s v="WA"/>
    <n v="1"/>
    <n v="1317.2"/>
    <s v="Middle"/>
    <n v="0"/>
    <s v="Single-Day"/>
    <n v="0"/>
    <n v="0"/>
    <s v="Main Entrance"/>
    <s v="Toy Story Lot"/>
    <n v="7.2"/>
    <n v="11"/>
    <x v="1812"/>
  </r>
  <r>
    <n v="1891"/>
    <n v="618"/>
    <d v="2026-11-07T00:00:00"/>
    <s v="Saturday"/>
    <n v="11"/>
    <n v="12.94"/>
    <x v="1"/>
    <x v="8"/>
    <s v="Female"/>
    <n v="69.5"/>
    <n v="163"/>
    <n v="23.5"/>
    <n v="15"/>
    <s v="NY"/>
    <n v="3"/>
    <n v="1489"/>
    <s v="Middle"/>
    <n v="0"/>
    <s v="Park Hopper"/>
    <n v="0"/>
    <n v="0"/>
    <s v="Main Entrance"/>
    <s v="Mickey &amp; Friends"/>
    <n v="8.1999999999999993"/>
    <n v="8"/>
    <x v="1813"/>
  </r>
  <r>
    <n v="1892"/>
    <n v="618"/>
    <d v="2026-11-07T00:00:00"/>
    <s v="Saturday"/>
    <n v="11"/>
    <n v="12.98"/>
    <x v="1"/>
    <x v="57"/>
    <s v="Female"/>
    <n v="61"/>
    <n v="146.1"/>
    <n v="27.5"/>
    <n v="17"/>
    <s v="NY"/>
    <n v="3"/>
    <n v="1489"/>
    <s v="Middle"/>
    <n v="0"/>
    <s v="Park Hopper"/>
    <n v="0"/>
    <n v="0"/>
    <s v="Main Entrance"/>
    <s v="Mickey &amp; Friends"/>
    <n v="6.5"/>
    <n v="8"/>
    <x v="1814"/>
  </r>
  <r>
    <n v="1893"/>
    <n v="618"/>
    <d v="2026-11-07T00:00:00"/>
    <s v="Saturday"/>
    <n v="11"/>
    <n v="12.85"/>
    <x v="1"/>
    <x v="69"/>
    <s v="Female"/>
    <n v="64.3"/>
    <n v="149.80000000000001"/>
    <n v="25.7"/>
    <n v="14"/>
    <s v="NY"/>
    <n v="3"/>
    <n v="1489"/>
    <s v="Middle"/>
    <n v="0"/>
    <s v="Park Hopper"/>
    <n v="0"/>
    <n v="0"/>
    <s v="Main Entrance"/>
    <s v="Mickey &amp; Friends"/>
    <n v="9.8000000000000007"/>
    <n v="12"/>
    <x v="1815"/>
  </r>
  <r>
    <n v="1894"/>
    <n v="619"/>
    <d v="2026-03-28T00:00:00"/>
    <s v="Saturday"/>
    <n v="3"/>
    <n v="8.8000000000000007"/>
    <x v="0"/>
    <x v="37"/>
    <s v="Male"/>
    <n v="69.900000000000006"/>
    <n v="169.4"/>
    <n v="24.5"/>
    <n v="14"/>
    <s v="NV"/>
    <n v="1"/>
    <n v="304.10000000000002"/>
    <s v="Low"/>
    <n v="0"/>
    <s v="Single-Day"/>
    <n v="1"/>
    <n v="0"/>
    <s v="Main Entrance"/>
    <s v="Mickey &amp; Friends"/>
    <n v="10"/>
    <n v="8"/>
    <x v="1816"/>
  </r>
  <r>
    <n v="1895"/>
    <n v="620"/>
    <d v="2026-05-13T00:00:00"/>
    <s v="Wednesday"/>
    <n v="5"/>
    <n v="8.66"/>
    <x v="0"/>
    <x v="54"/>
    <s v="Female"/>
    <n v="61.5"/>
    <n v="121.5"/>
    <n v="22.7"/>
    <n v="15"/>
    <s v="CA"/>
    <n v="2"/>
    <n v="2.6"/>
    <s v="Middle"/>
    <n v="0"/>
    <s v="Single-Day"/>
    <n v="1"/>
    <n v="0"/>
    <s v="Main Entrance"/>
    <s v="Pixar Pals"/>
    <n v="6.9"/>
    <n v="7"/>
    <x v="1817"/>
  </r>
  <r>
    <n v="1896"/>
    <n v="620"/>
    <d v="2026-05-13T00:00:00"/>
    <s v="Wednesday"/>
    <n v="5"/>
    <n v="8.67"/>
    <x v="0"/>
    <x v="43"/>
    <s v="Male"/>
    <n v="66.900000000000006"/>
    <n v="209.4"/>
    <n v="33"/>
    <n v="15"/>
    <s v="CA"/>
    <n v="2"/>
    <n v="2.6"/>
    <s v="Middle"/>
    <n v="0"/>
    <s v="Single-Day"/>
    <n v="1"/>
    <n v="0"/>
    <s v="Main Entrance"/>
    <s v="Pixar Pals"/>
    <n v="8.1"/>
    <n v="5"/>
    <x v="1818"/>
  </r>
  <r>
    <n v="1897"/>
    <n v="621"/>
    <d v="2026-12-21T00:00:00"/>
    <s v="Monday"/>
    <n v="12"/>
    <n v="12.47"/>
    <x v="1"/>
    <x v="47"/>
    <s v="Female"/>
    <n v="63.6"/>
    <n v="165"/>
    <n v="28.8"/>
    <n v="15"/>
    <s v="CA"/>
    <n v="4"/>
    <n v="81.2"/>
    <s v="Middle"/>
    <n v="1"/>
    <s v="Single-Day"/>
    <n v="0"/>
    <n v="0"/>
    <s v="Main Entrance"/>
    <s v="Pixar Pals"/>
    <n v="10"/>
    <n v="3"/>
    <x v="1819"/>
  </r>
  <r>
    <n v="1898"/>
    <n v="621"/>
    <d v="2026-12-21T00:00:00"/>
    <s v="Monday"/>
    <n v="12"/>
    <n v="12.65"/>
    <x v="1"/>
    <x v="0"/>
    <s v="Male"/>
    <n v="71.7"/>
    <n v="175.1"/>
    <n v="24"/>
    <n v="18"/>
    <s v="CA"/>
    <n v="4"/>
    <n v="81.2"/>
    <s v="Middle"/>
    <n v="1"/>
    <s v="Single-Day"/>
    <n v="0"/>
    <n v="0"/>
    <s v="Main Entrance"/>
    <s v="Pixar Pals"/>
    <n v="6.8"/>
    <n v="10"/>
    <x v="1820"/>
  </r>
  <r>
    <n v="1899"/>
    <n v="621"/>
    <d v="2026-12-21T00:00:00"/>
    <s v="Monday"/>
    <n v="12"/>
    <n v="12.51"/>
    <x v="1"/>
    <x v="40"/>
    <s v="Female"/>
    <n v="69.099999999999994"/>
    <n v="113.6"/>
    <n v="16.3"/>
    <n v="12"/>
    <s v="CA"/>
    <n v="4"/>
    <n v="81.2"/>
    <s v="Middle"/>
    <n v="1"/>
    <s v="Single-Day"/>
    <n v="0"/>
    <n v="0"/>
    <s v="Main Entrance"/>
    <s v="Pixar Pals"/>
    <n v="7"/>
    <n v="7"/>
    <x v="1821"/>
  </r>
  <r>
    <n v="1900"/>
    <n v="621"/>
    <d v="2026-12-21T00:00:00"/>
    <s v="Monday"/>
    <n v="12"/>
    <n v="12.37"/>
    <x v="1"/>
    <x v="27"/>
    <s v="Male"/>
    <n v="68.7"/>
    <n v="155.69999999999999"/>
    <n v="23.3"/>
    <n v="12"/>
    <s v="CA"/>
    <n v="4"/>
    <n v="81.2"/>
    <s v="Middle"/>
    <n v="1"/>
    <s v="Single-Day"/>
    <n v="0"/>
    <n v="0"/>
    <s v="Main Entrance"/>
    <s v="Pixar Pals"/>
    <n v="6.5"/>
    <n v="8"/>
    <x v="1822"/>
  </r>
  <r>
    <n v="1901"/>
    <n v="622"/>
    <d v="2026-02-05T00:00:00"/>
    <s v="Thursday"/>
    <n v="2"/>
    <n v="10.220000000000001"/>
    <x v="0"/>
    <x v="58"/>
    <s v="Female"/>
    <n v="64.900000000000006"/>
    <n v="175.4"/>
    <n v="29.3"/>
    <n v="17"/>
    <s v="CA"/>
    <n v="5"/>
    <n v="103.9"/>
    <s v="High"/>
    <n v="1"/>
    <s v="Single-Day"/>
    <n v="0"/>
    <n v="0"/>
    <s v="Main Entrance"/>
    <s v="Toy Story Lot"/>
    <n v="6.6"/>
    <n v="7"/>
    <x v="1823"/>
  </r>
  <r>
    <n v="1902"/>
    <n v="622"/>
    <d v="2026-02-05T00:00:00"/>
    <s v="Thursday"/>
    <n v="2"/>
    <n v="10.29"/>
    <x v="0"/>
    <x v="37"/>
    <s v="Male"/>
    <n v="63.7"/>
    <n v="117.8"/>
    <n v="20.5"/>
    <n v="14"/>
    <s v="CA"/>
    <n v="5"/>
    <n v="103.9"/>
    <s v="High"/>
    <n v="1"/>
    <s v="Single-Day"/>
    <n v="0"/>
    <n v="0"/>
    <s v="Main Entrance"/>
    <s v="Toy Story Lot"/>
    <n v="11.9"/>
    <n v="9"/>
    <x v="1824"/>
  </r>
  <r>
    <n v="1903"/>
    <n v="622"/>
    <d v="2026-02-05T00:00:00"/>
    <s v="Thursday"/>
    <n v="2"/>
    <n v="10.119999999999999"/>
    <x v="0"/>
    <x v="16"/>
    <s v="Male"/>
    <n v="52.2"/>
    <n v="70.3"/>
    <n v="18.100000000000001"/>
    <n v="13"/>
    <s v="CA"/>
    <n v="5"/>
    <n v="103.9"/>
    <s v="High"/>
    <n v="1"/>
    <s v="Single-Day"/>
    <n v="0"/>
    <n v="0"/>
    <s v="Main Entrance"/>
    <s v="Toy Story Lot"/>
    <n v="7.5"/>
    <n v="9"/>
    <x v="1825"/>
  </r>
  <r>
    <n v="1904"/>
    <n v="622"/>
    <d v="2026-02-05T00:00:00"/>
    <s v="Thursday"/>
    <n v="2"/>
    <n v="10.3"/>
    <x v="0"/>
    <x v="15"/>
    <s v="Female"/>
    <n v="65.8"/>
    <n v="152.19999999999999"/>
    <n v="24.9"/>
    <n v="17"/>
    <s v="CA"/>
    <n v="5"/>
    <n v="103.9"/>
    <s v="High"/>
    <n v="1"/>
    <s v="Single-Day"/>
    <n v="0"/>
    <n v="0"/>
    <s v="Main Entrance"/>
    <s v="Toy Story Lot"/>
    <n v="8.6"/>
    <n v="9"/>
    <x v="1826"/>
  </r>
  <r>
    <n v="1905"/>
    <n v="622"/>
    <d v="2026-02-05T00:00:00"/>
    <s v="Thursday"/>
    <n v="2"/>
    <n v="10.46"/>
    <x v="0"/>
    <x v="41"/>
    <s v="Female"/>
    <n v="67.099999999999994"/>
    <n v="154"/>
    <n v="24.1"/>
    <n v="14"/>
    <s v="CA"/>
    <n v="5"/>
    <n v="103.9"/>
    <s v="High"/>
    <n v="1"/>
    <s v="Single-Day"/>
    <n v="0"/>
    <n v="0"/>
    <s v="Main Entrance"/>
    <s v="Toy Story Lot"/>
    <n v="9.6"/>
    <n v="5"/>
    <x v="1827"/>
  </r>
  <r>
    <n v="1906"/>
    <n v="623"/>
    <d v="2026-10-20T00:00:00"/>
    <s v="Tuesday"/>
    <n v="10"/>
    <n v="11.18"/>
    <x v="1"/>
    <x v="59"/>
    <s v="Male"/>
    <n v="65.7"/>
    <n v="145.6"/>
    <n v="23.5"/>
    <n v="18"/>
    <s v="AZ"/>
    <n v="3"/>
    <n v="99.4"/>
    <s v="High"/>
    <n v="1"/>
    <s v="Single-Day"/>
    <n v="1"/>
    <n v="1"/>
    <s v="Hotel Guest Entrance"/>
    <s v="Mickey &amp; Friends"/>
    <n v="9"/>
    <n v="13"/>
    <x v="1828"/>
  </r>
  <r>
    <n v="1907"/>
    <n v="623"/>
    <d v="2026-10-20T00:00:00"/>
    <s v="Tuesday"/>
    <n v="10"/>
    <n v="11.19"/>
    <x v="1"/>
    <x v="74"/>
    <s v="Male"/>
    <n v="74.7"/>
    <n v="175.3"/>
    <n v="22"/>
    <n v="18"/>
    <s v="AZ"/>
    <n v="3"/>
    <n v="99.4"/>
    <s v="High"/>
    <n v="1"/>
    <s v="Single-Day"/>
    <n v="1"/>
    <n v="1"/>
    <s v="Hotel Guest Entrance"/>
    <s v="Mickey &amp; Friends"/>
    <n v="10.1"/>
    <n v="15"/>
    <x v="1829"/>
  </r>
  <r>
    <n v="1908"/>
    <n v="623"/>
    <d v="2026-10-20T00:00:00"/>
    <s v="Tuesday"/>
    <n v="10"/>
    <n v="11.09"/>
    <x v="1"/>
    <x v="52"/>
    <s v="Female"/>
    <n v="64.599999999999994"/>
    <n v="158.1"/>
    <n v="26.8"/>
    <n v="21"/>
    <s v="AZ"/>
    <n v="3"/>
    <n v="99.4"/>
    <s v="High"/>
    <n v="1"/>
    <s v="Single-Day"/>
    <n v="1"/>
    <n v="1"/>
    <s v="Hotel Guest Entrance"/>
    <s v="Mickey &amp; Friends"/>
    <n v="10"/>
    <n v="12"/>
    <x v="1830"/>
  </r>
  <r>
    <n v="1909"/>
    <n v="624"/>
    <d v="2026-01-26T00:00:00"/>
    <s v="Monday"/>
    <n v="1"/>
    <n v="11.86"/>
    <x v="1"/>
    <x v="42"/>
    <s v="Male"/>
    <n v="71.2"/>
    <n v="188.8"/>
    <n v="26"/>
    <n v="16"/>
    <s v="OR"/>
    <n v="1"/>
    <n v="854.1"/>
    <s v="Low"/>
    <n v="1"/>
    <s v="Single-Day"/>
    <n v="0"/>
    <n v="0"/>
    <s v="Downtown Disney Gate"/>
    <s v="None/Dropoff/Transit"/>
    <n v="9.5"/>
    <n v="7"/>
    <x v="1831"/>
  </r>
  <r>
    <n v="1910"/>
    <n v="625"/>
    <d v="2026-09-27T00:00:00"/>
    <s v="Sunday"/>
    <n v="9"/>
    <n v="11.95"/>
    <x v="1"/>
    <x v="9"/>
    <s v="Male"/>
    <n v="71.599999999999994"/>
    <n v="166.7"/>
    <n v="23.1"/>
    <n v="16"/>
    <s v="CA"/>
    <n v="3"/>
    <n v="141.1"/>
    <s v="High"/>
    <n v="1"/>
    <s v="Park Hopper"/>
    <n v="0"/>
    <n v="0"/>
    <s v="Main Entrance"/>
    <s v="Mickey &amp; Friends"/>
    <n v="8.6999999999999993"/>
    <n v="12"/>
    <x v="1832"/>
  </r>
  <r>
    <n v="1911"/>
    <n v="625"/>
    <d v="2026-09-27T00:00:00"/>
    <s v="Sunday"/>
    <n v="9"/>
    <n v="12.2"/>
    <x v="1"/>
    <x v="23"/>
    <s v="Female"/>
    <n v="66"/>
    <n v="140.1"/>
    <n v="22.6"/>
    <n v="19"/>
    <s v="CA"/>
    <n v="3"/>
    <n v="141.1"/>
    <s v="High"/>
    <n v="1"/>
    <s v="Park Hopper"/>
    <n v="0"/>
    <n v="0"/>
    <s v="Main Entrance"/>
    <s v="Mickey &amp; Friends"/>
    <n v="10.199999999999999"/>
    <n v="8"/>
    <x v="1833"/>
  </r>
  <r>
    <n v="1912"/>
    <n v="625"/>
    <d v="2026-09-27T00:00:00"/>
    <s v="Sunday"/>
    <n v="9"/>
    <n v="12.07"/>
    <x v="1"/>
    <x v="28"/>
    <s v="Female"/>
    <n v="65.900000000000006"/>
    <n v="130.19999999999999"/>
    <n v="21.3"/>
    <n v="19"/>
    <s v="CA"/>
    <n v="3"/>
    <n v="141.1"/>
    <s v="High"/>
    <n v="1"/>
    <s v="Park Hopper"/>
    <n v="0"/>
    <n v="0"/>
    <s v="Main Entrance"/>
    <s v="Mickey &amp; Friends"/>
    <n v="6"/>
    <n v="10"/>
    <x v="1834"/>
  </r>
  <r>
    <n v="1913"/>
    <n v="626"/>
    <d v="2026-09-20T00:00:00"/>
    <s v="Sunday"/>
    <n v="9"/>
    <n v="9.51"/>
    <x v="0"/>
    <x v="48"/>
    <s v="Male"/>
    <n v="70.8"/>
    <n v="225.3"/>
    <n v="31.7"/>
    <n v="19"/>
    <s v="AZ"/>
    <n v="2"/>
    <n v="476.6"/>
    <s v="High"/>
    <n v="0"/>
    <s v="Single-Day"/>
    <n v="0"/>
    <n v="1"/>
    <s v="Hotel Guest Entrance"/>
    <s v="None/Walked from Resort"/>
    <n v="8"/>
    <n v="5"/>
    <x v="1714"/>
  </r>
  <r>
    <n v="1914"/>
    <n v="626"/>
    <d v="2026-09-20T00:00:00"/>
    <s v="Sunday"/>
    <n v="9"/>
    <n v="9.3800000000000008"/>
    <x v="0"/>
    <x v="35"/>
    <s v="Female"/>
    <n v="65.099999999999994"/>
    <n v="206.8"/>
    <n v="34.299999999999997"/>
    <n v="17"/>
    <s v="AZ"/>
    <n v="2"/>
    <n v="476.6"/>
    <s v="High"/>
    <n v="0"/>
    <s v="Single-Day"/>
    <n v="0"/>
    <n v="1"/>
    <s v="Hotel Guest Entrance"/>
    <s v="None/Walked from Resort"/>
    <n v="6.8"/>
    <n v="6"/>
    <x v="1835"/>
  </r>
  <r>
    <n v="1915"/>
    <n v="627"/>
    <d v="2026-07-17T00:00:00"/>
    <s v="Friday"/>
    <n v="7"/>
    <n v="12.41"/>
    <x v="1"/>
    <x v="20"/>
    <s v="Male"/>
    <n v="62.5"/>
    <n v="117.7"/>
    <n v="21.4"/>
    <n v="13"/>
    <s v="NV"/>
    <n v="3"/>
    <n v="294.8"/>
    <s v="High"/>
    <n v="1"/>
    <s v="Park Hopper"/>
    <n v="1"/>
    <n v="0"/>
    <s v="Downtown Disney Gate"/>
    <s v="Mickey &amp; Friends"/>
    <n v="8.8000000000000007"/>
    <n v="9"/>
    <x v="1836"/>
  </r>
  <r>
    <n v="1916"/>
    <n v="627"/>
    <d v="2026-07-17T00:00:00"/>
    <s v="Friday"/>
    <n v="7"/>
    <n v="12.4"/>
    <x v="1"/>
    <x v="10"/>
    <s v="Male"/>
    <n v="67.7"/>
    <n v="156.30000000000001"/>
    <n v="24.1"/>
    <n v="14"/>
    <s v="NV"/>
    <n v="3"/>
    <n v="294.8"/>
    <s v="High"/>
    <n v="1"/>
    <s v="Park Hopper"/>
    <n v="1"/>
    <n v="0"/>
    <s v="Downtown Disney Gate"/>
    <s v="Mickey &amp; Friends"/>
    <n v="9"/>
    <n v="9"/>
    <x v="1837"/>
  </r>
  <r>
    <n v="1917"/>
    <n v="627"/>
    <d v="2026-07-17T00:00:00"/>
    <s v="Friday"/>
    <n v="7"/>
    <n v="12.24"/>
    <x v="1"/>
    <x v="12"/>
    <s v="Female"/>
    <n v="60.8"/>
    <n v="91.2"/>
    <n v="17.3"/>
    <n v="17"/>
    <s v="NV"/>
    <n v="3"/>
    <n v="294.8"/>
    <s v="High"/>
    <n v="1"/>
    <s v="Park Hopper"/>
    <n v="1"/>
    <n v="0"/>
    <s v="Downtown Disney Gate"/>
    <s v="Mickey &amp; Friends"/>
    <n v="5.7"/>
    <n v="8"/>
    <x v="1838"/>
  </r>
  <r>
    <n v="1918"/>
    <n v="628"/>
    <d v="2026-04-16T00:00:00"/>
    <s v="Thursday"/>
    <n v="4"/>
    <n v="9.8000000000000007"/>
    <x v="0"/>
    <x v="2"/>
    <s v="Female"/>
    <n v="65.2"/>
    <n v="162.69999999999999"/>
    <n v="26.7"/>
    <n v="17"/>
    <s v="CO"/>
    <n v="2"/>
    <n v="855.1"/>
    <s v="High"/>
    <n v="0"/>
    <s v="Single-Day"/>
    <n v="1"/>
    <n v="0"/>
    <s v="Downtown Disney Gate"/>
    <s v="None/Dropoff/Transit"/>
    <n v="11.6"/>
    <n v="5"/>
    <x v="1839"/>
  </r>
  <r>
    <n v="1919"/>
    <n v="628"/>
    <d v="2026-04-16T00:00:00"/>
    <s v="Thursday"/>
    <n v="4"/>
    <n v="9.83"/>
    <x v="0"/>
    <x v="69"/>
    <s v="Female"/>
    <n v="63.2"/>
    <n v="159.1"/>
    <n v="27.8"/>
    <n v="17"/>
    <s v="CO"/>
    <n v="2"/>
    <n v="855.1"/>
    <s v="High"/>
    <n v="0"/>
    <s v="Single-Day"/>
    <n v="1"/>
    <n v="0"/>
    <s v="Downtown Disney Gate"/>
    <s v="None/Dropoff/Transit"/>
    <n v="11"/>
    <n v="8"/>
    <x v="1350"/>
  </r>
  <r>
    <n v="1920"/>
    <n v="629"/>
    <d v="2026-09-05T00:00:00"/>
    <s v="Saturday"/>
    <n v="9"/>
    <n v="11.03"/>
    <x v="1"/>
    <x v="9"/>
    <s v="Female"/>
    <n v="63.9"/>
    <n v="182"/>
    <n v="31.2"/>
    <n v="16"/>
    <s v="CA"/>
    <n v="2"/>
    <n v="121.1"/>
    <s v="Low"/>
    <n v="1"/>
    <s v="Single-Day"/>
    <n v="0"/>
    <n v="0"/>
    <s v="Main Entrance"/>
    <s v="Mickey &amp; Friends"/>
    <n v="7.8"/>
    <n v="9"/>
    <x v="1840"/>
  </r>
  <r>
    <n v="1921"/>
    <n v="629"/>
    <d v="2026-09-05T00:00:00"/>
    <s v="Saturday"/>
    <n v="9"/>
    <n v="11.07"/>
    <x v="1"/>
    <x v="39"/>
    <s v="Female"/>
    <n v="65.2"/>
    <n v="162.4"/>
    <n v="26.8"/>
    <n v="13"/>
    <s v="CA"/>
    <n v="2"/>
    <n v="121.1"/>
    <s v="Low"/>
    <n v="1"/>
    <s v="Single-Day"/>
    <n v="0"/>
    <n v="0"/>
    <s v="Main Entrance"/>
    <s v="Mickey &amp; Friends"/>
    <n v="10.3"/>
    <n v="16"/>
    <x v="1841"/>
  </r>
  <r>
    <n v="1922"/>
    <n v="630"/>
    <d v="2026-05-26T00:00:00"/>
    <s v="Tuesday"/>
    <n v="5"/>
    <n v="11.18"/>
    <x v="1"/>
    <x v="71"/>
    <s v="Female"/>
    <n v="62.6"/>
    <n v="138.19999999999999"/>
    <n v="25.1"/>
    <n v="15"/>
    <s v="SD"/>
    <n v="3"/>
    <n v="1848.8"/>
    <s v="Low"/>
    <n v="1"/>
    <s v="Multi-Day"/>
    <n v="0"/>
    <n v="0"/>
    <s v="Main Entrance"/>
    <s v="Mickey &amp; Friends"/>
    <n v="10.1"/>
    <n v="15"/>
    <x v="1842"/>
  </r>
  <r>
    <n v="1923"/>
    <n v="630"/>
    <d v="2026-05-26T00:00:00"/>
    <s v="Tuesday"/>
    <n v="5"/>
    <n v="11.36"/>
    <x v="1"/>
    <x v="3"/>
    <s v="Female"/>
    <n v="66.599999999999994"/>
    <n v="173.3"/>
    <n v="27.7"/>
    <n v="13"/>
    <s v="SD"/>
    <n v="3"/>
    <n v="1848.8"/>
    <s v="Low"/>
    <n v="1"/>
    <s v="Multi-Day"/>
    <n v="0"/>
    <n v="0"/>
    <s v="Main Entrance"/>
    <s v="Mickey &amp; Friends"/>
    <n v="8.6999999999999993"/>
    <n v="7"/>
    <x v="1843"/>
  </r>
  <r>
    <n v="1924"/>
    <n v="630"/>
    <d v="2026-05-26T00:00:00"/>
    <s v="Tuesday"/>
    <n v="5"/>
    <n v="11.18"/>
    <x v="1"/>
    <x v="9"/>
    <s v="Male"/>
    <n v="71"/>
    <n v="211.2"/>
    <n v="29.5"/>
    <n v="17"/>
    <s v="SD"/>
    <n v="3"/>
    <n v="1848.8"/>
    <s v="Low"/>
    <n v="1"/>
    <s v="Multi-Day"/>
    <n v="0"/>
    <n v="0"/>
    <s v="Main Entrance"/>
    <s v="Mickey &amp; Friends"/>
    <n v="10.7"/>
    <n v="11"/>
    <x v="1844"/>
  </r>
  <r>
    <n v="1925"/>
    <n v="631"/>
    <d v="2026-09-03T00:00:00"/>
    <s v="Thursday"/>
    <n v="9"/>
    <n v="11.05"/>
    <x v="1"/>
    <x v="34"/>
    <s v="Male"/>
    <n v="65.7"/>
    <n v="112.7"/>
    <n v="18.3"/>
    <n v="20"/>
    <s v="AZ"/>
    <n v="2"/>
    <n v="411.1"/>
    <s v="High"/>
    <n v="1"/>
    <s v="Park Hopper"/>
    <n v="0"/>
    <n v="0"/>
    <s v="Main Entrance"/>
    <s v="Pixar Pals"/>
    <n v="11.1"/>
    <n v="12"/>
    <x v="1845"/>
  </r>
  <r>
    <n v="1926"/>
    <n v="631"/>
    <d v="2026-09-03T00:00:00"/>
    <s v="Thursday"/>
    <n v="9"/>
    <n v="11.08"/>
    <x v="1"/>
    <x v="27"/>
    <s v="Female"/>
    <n v="65.599999999999994"/>
    <n v="172.8"/>
    <n v="28.2"/>
    <n v="14"/>
    <s v="AZ"/>
    <n v="2"/>
    <n v="411.1"/>
    <s v="High"/>
    <n v="1"/>
    <s v="Park Hopper"/>
    <n v="0"/>
    <n v="0"/>
    <s v="Main Entrance"/>
    <s v="Pixar Pals"/>
    <n v="7"/>
    <n v="4"/>
    <x v="1846"/>
  </r>
  <r>
    <n v="1927"/>
    <n v="632"/>
    <d v="2026-11-18T00:00:00"/>
    <s v="Wednesday"/>
    <n v="11"/>
    <n v="9.68"/>
    <x v="0"/>
    <x v="16"/>
    <s v="Male"/>
    <n v="62.7"/>
    <n v="101.7"/>
    <n v="18.100000000000001"/>
    <n v="11"/>
    <s v="MN"/>
    <n v="5"/>
    <n v="1995.8"/>
    <s v="Middle"/>
    <n v="0"/>
    <s v="Park Hopper"/>
    <n v="1"/>
    <n v="0"/>
    <s v="Downtown Disney Gate"/>
    <s v="Pixar Pals"/>
    <n v="10"/>
    <n v="9"/>
    <x v="1847"/>
  </r>
  <r>
    <n v="1928"/>
    <n v="632"/>
    <d v="2026-11-18T00:00:00"/>
    <s v="Wednesday"/>
    <n v="11"/>
    <n v="9.42"/>
    <x v="0"/>
    <x v="59"/>
    <s v="Female"/>
    <n v="61.2"/>
    <n v="134.6"/>
    <n v="25.2"/>
    <n v="15"/>
    <s v="MN"/>
    <n v="5"/>
    <n v="1995.8"/>
    <s v="Middle"/>
    <n v="0"/>
    <s v="Park Hopper"/>
    <n v="1"/>
    <n v="0"/>
    <s v="Downtown Disney Gate"/>
    <s v="Pixar Pals"/>
    <n v="8.4"/>
    <n v="15"/>
    <x v="1848"/>
  </r>
  <r>
    <n v="1929"/>
    <n v="632"/>
    <d v="2026-11-18T00:00:00"/>
    <s v="Wednesday"/>
    <n v="11"/>
    <n v="9.51"/>
    <x v="0"/>
    <x v="43"/>
    <s v="Male"/>
    <n v="71.599999999999994"/>
    <n v="184.7"/>
    <n v="25.5"/>
    <n v="16"/>
    <s v="MN"/>
    <n v="5"/>
    <n v="1995.8"/>
    <s v="Middle"/>
    <n v="0"/>
    <s v="Park Hopper"/>
    <n v="1"/>
    <n v="0"/>
    <s v="Downtown Disney Gate"/>
    <s v="Pixar Pals"/>
    <n v="8.1999999999999993"/>
    <n v="9"/>
    <x v="1849"/>
  </r>
  <r>
    <n v="1930"/>
    <n v="632"/>
    <d v="2026-11-18T00:00:00"/>
    <s v="Wednesday"/>
    <n v="11"/>
    <n v="9.52"/>
    <x v="0"/>
    <x v="19"/>
    <s v="Female"/>
    <n v="64"/>
    <n v="169.7"/>
    <n v="29.1"/>
    <n v="14"/>
    <s v="MN"/>
    <n v="5"/>
    <n v="1995.8"/>
    <s v="Middle"/>
    <n v="0"/>
    <s v="Park Hopper"/>
    <n v="1"/>
    <n v="0"/>
    <s v="Downtown Disney Gate"/>
    <s v="Pixar Pals"/>
    <n v="9.9"/>
    <n v="12"/>
    <x v="1850"/>
  </r>
  <r>
    <n v="1931"/>
    <n v="632"/>
    <d v="2026-11-18T00:00:00"/>
    <s v="Wednesday"/>
    <n v="11"/>
    <n v="9.43"/>
    <x v="0"/>
    <x v="19"/>
    <s v="Male"/>
    <n v="71.900000000000006"/>
    <n v="153.4"/>
    <n v="20.9"/>
    <n v="18"/>
    <s v="MN"/>
    <n v="5"/>
    <n v="1995.8"/>
    <s v="Middle"/>
    <n v="0"/>
    <s v="Park Hopper"/>
    <n v="1"/>
    <n v="0"/>
    <s v="Downtown Disney Gate"/>
    <s v="Pixar Pals"/>
    <n v="6.7"/>
    <n v="5"/>
    <x v="1851"/>
  </r>
  <r>
    <n v="1932"/>
    <n v="633"/>
    <d v="2026-05-27T00:00:00"/>
    <s v="Wednesday"/>
    <n v="5"/>
    <n v="12.72"/>
    <x v="1"/>
    <x v="16"/>
    <s v="Male"/>
    <n v="67.2"/>
    <n v="110.6"/>
    <n v="17.3"/>
    <n v="12"/>
    <s v="CA"/>
    <n v="3"/>
    <n v="77.099999999999994"/>
    <s v="Low"/>
    <n v="0"/>
    <s v="Park Hopper"/>
    <n v="0"/>
    <n v="0"/>
    <s v="Main Entrance"/>
    <s v="Pixar Pals"/>
    <n v="6.1"/>
    <n v="6"/>
    <x v="1852"/>
  </r>
  <r>
    <n v="1933"/>
    <n v="633"/>
    <d v="2026-05-27T00:00:00"/>
    <s v="Wednesday"/>
    <n v="5"/>
    <n v="12.47"/>
    <x v="1"/>
    <x v="38"/>
    <s v="Male"/>
    <n v="67.599999999999994"/>
    <n v="176.6"/>
    <n v="26.7"/>
    <n v="12"/>
    <s v="CA"/>
    <n v="3"/>
    <n v="77.099999999999994"/>
    <s v="Low"/>
    <n v="0"/>
    <s v="Park Hopper"/>
    <n v="0"/>
    <n v="0"/>
    <s v="Main Entrance"/>
    <s v="Pixar Pals"/>
    <n v="7.6"/>
    <n v="10"/>
    <x v="1853"/>
  </r>
  <r>
    <n v="1934"/>
    <n v="633"/>
    <d v="2026-05-27T00:00:00"/>
    <s v="Wednesday"/>
    <n v="5"/>
    <n v="12.57"/>
    <x v="1"/>
    <x v="29"/>
    <s v="Female"/>
    <n v="63.8"/>
    <n v="171.3"/>
    <n v="29.5"/>
    <n v="9"/>
    <s v="CA"/>
    <n v="3"/>
    <n v="77.099999999999994"/>
    <s v="Low"/>
    <n v="0"/>
    <s v="Park Hopper"/>
    <n v="0"/>
    <n v="0"/>
    <s v="Main Entrance"/>
    <s v="Pixar Pals"/>
    <n v="9.4"/>
    <n v="7"/>
    <x v="1854"/>
  </r>
  <r>
    <n v="1935"/>
    <n v="634"/>
    <d v="2026-12-09T00:00:00"/>
    <s v="Wednesday"/>
    <n v="12"/>
    <n v="8.5"/>
    <x v="0"/>
    <x v="70"/>
    <s v="Male"/>
    <n v="70"/>
    <n v="139.4"/>
    <n v="20.100000000000001"/>
    <n v="14"/>
    <s v="UT"/>
    <n v="2"/>
    <n v="864.7"/>
    <s v="Middle"/>
    <n v="0"/>
    <s v="Single-Day"/>
    <n v="0"/>
    <n v="1"/>
    <s v="Main Entrance"/>
    <s v="None/Walked from Resort"/>
    <n v="6.2"/>
    <n v="6"/>
    <x v="1855"/>
  </r>
  <r>
    <n v="1936"/>
    <n v="634"/>
    <d v="2026-12-09T00:00:00"/>
    <s v="Wednesday"/>
    <n v="12"/>
    <n v="8.68"/>
    <x v="0"/>
    <x v="40"/>
    <s v="Female"/>
    <n v="62.6"/>
    <n v="126.4"/>
    <n v="22.5"/>
    <n v="15"/>
    <s v="UT"/>
    <n v="2"/>
    <n v="864.7"/>
    <s v="Middle"/>
    <n v="0"/>
    <s v="Single-Day"/>
    <n v="0"/>
    <n v="1"/>
    <s v="Main Entrance"/>
    <s v="None/Walked from Resort"/>
    <n v="7.4"/>
    <n v="8"/>
    <x v="1856"/>
  </r>
  <r>
    <n v="1937"/>
    <n v="635"/>
    <d v="2026-08-28T00:00:00"/>
    <s v="Friday"/>
    <n v="8"/>
    <n v="10.57"/>
    <x v="0"/>
    <x v="69"/>
    <s v="Male"/>
    <n v="68.3"/>
    <n v="183"/>
    <n v="27.7"/>
    <n v="11"/>
    <s v="CA"/>
    <n v="1"/>
    <n v="100.8"/>
    <s v="Low"/>
    <n v="0"/>
    <s v="Multi-Day"/>
    <n v="0"/>
    <n v="0"/>
    <s v="Main Entrance"/>
    <s v="Pixar Pals"/>
    <n v="10.199999999999999"/>
    <n v="3"/>
    <x v="1857"/>
  </r>
  <r>
    <n v="1938"/>
    <n v="636"/>
    <d v="2026-03-22T00:00:00"/>
    <s v="Sunday"/>
    <n v="3"/>
    <n v="9"/>
    <x v="0"/>
    <x v="67"/>
    <s v="Female"/>
    <n v="65.900000000000006"/>
    <n v="167.3"/>
    <n v="27.3"/>
    <n v="15"/>
    <s v="CA"/>
    <n v="4"/>
    <n v="33.6"/>
    <s v="High"/>
    <n v="0"/>
    <s v="Single-Day"/>
    <n v="1"/>
    <n v="0"/>
    <s v="Main Entrance"/>
    <s v="Pixar Pals"/>
    <n v="8"/>
    <n v="0"/>
    <x v="1858"/>
  </r>
  <r>
    <n v="1939"/>
    <n v="636"/>
    <d v="2026-03-22T00:00:00"/>
    <s v="Sunday"/>
    <n v="3"/>
    <n v="8.94"/>
    <x v="0"/>
    <x v="1"/>
    <s v="Male"/>
    <n v="69"/>
    <n v="140.1"/>
    <n v="20.399999999999999"/>
    <n v="18"/>
    <s v="CA"/>
    <n v="4"/>
    <n v="33.6"/>
    <s v="High"/>
    <n v="0"/>
    <s v="Single-Day"/>
    <n v="1"/>
    <n v="0"/>
    <s v="Main Entrance"/>
    <s v="Pixar Pals"/>
    <n v="5"/>
    <n v="7"/>
    <x v="1859"/>
  </r>
  <r>
    <n v="1940"/>
    <n v="636"/>
    <d v="2026-03-22T00:00:00"/>
    <s v="Sunday"/>
    <n v="3"/>
    <n v="8.8699999999999992"/>
    <x v="0"/>
    <x v="64"/>
    <s v="Female"/>
    <n v="57.4"/>
    <n v="69.8"/>
    <n v="14.8"/>
    <n v="15"/>
    <s v="CA"/>
    <n v="4"/>
    <n v="33.6"/>
    <s v="High"/>
    <n v="0"/>
    <s v="Single-Day"/>
    <n v="1"/>
    <n v="0"/>
    <s v="Main Entrance"/>
    <s v="Pixar Pals"/>
    <n v="9.5"/>
    <n v="3"/>
    <x v="1860"/>
  </r>
  <r>
    <n v="1941"/>
    <n v="636"/>
    <d v="2026-03-22T00:00:00"/>
    <s v="Sunday"/>
    <n v="3"/>
    <n v="9"/>
    <x v="0"/>
    <x v="82"/>
    <s v="Male"/>
    <n v="67.099999999999994"/>
    <n v="129.1"/>
    <n v="20.100000000000001"/>
    <n v="18"/>
    <s v="CA"/>
    <n v="4"/>
    <n v="33.6"/>
    <s v="High"/>
    <n v="0"/>
    <s v="Single-Day"/>
    <n v="1"/>
    <n v="0"/>
    <s v="Main Entrance"/>
    <s v="Pixar Pals"/>
    <n v="7.4"/>
    <n v="13"/>
    <x v="1861"/>
  </r>
  <r>
    <n v="1942"/>
    <n v="637"/>
    <d v="2026-06-30T00:00:00"/>
    <s v="Tuesday"/>
    <n v="6"/>
    <n v="9.33"/>
    <x v="0"/>
    <x v="25"/>
    <s v="Male"/>
    <n v="67.7"/>
    <n v="148.1"/>
    <n v="22.6"/>
    <n v="15"/>
    <s v="CA"/>
    <n v="1"/>
    <n v="71.400000000000006"/>
    <s v="Low"/>
    <n v="0"/>
    <s v="Single-Day"/>
    <n v="0"/>
    <n v="0"/>
    <s v="Main Entrance"/>
    <s v="Mickey &amp; Friends"/>
    <n v="10.6"/>
    <n v="2"/>
    <x v="1862"/>
  </r>
  <r>
    <n v="1943"/>
    <n v="638"/>
    <d v="2026-12-17T00:00:00"/>
    <s v="Thursday"/>
    <n v="12"/>
    <n v="8.17"/>
    <x v="0"/>
    <x v="61"/>
    <s v="Male"/>
    <n v="70"/>
    <n v="120.6"/>
    <n v="17.3"/>
    <n v="12"/>
    <s v="OR"/>
    <n v="5"/>
    <n v="1090"/>
    <s v="High"/>
    <n v="0"/>
    <s v="Single-Day"/>
    <n v="0"/>
    <n v="0"/>
    <s v="Main Entrance"/>
    <s v="Mickey &amp; Friends"/>
    <n v="9.3000000000000007"/>
    <n v="9"/>
    <x v="1863"/>
  </r>
  <r>
    <n v="1944"/>
    <n v="638"/>
    <d v="2026-12-17T00:00:00"/>
    <s v="Thursday"/>
    <n v="12"/>
    <n v="8.25"/>
    <x v="0"/>
    <x v="8"/>
    <s v="Male"/>
    <n v="73"/>
    <n v="160.5"/>
    <n v="21.3"/>
    <n v="16"/>
    <s v="OR"/>
    <n v="5"/>
    <n v="1090"/>
    <s v="High"/>
    <n v="0"/>
    <s v="Single-Day"/>
    <n v="0"/>
    <n v="0"/>
    <s v="Main Entrance"/>
    <s v="Mickey &amp; Friends"/>
    <n v="8.6"/>
    <n v="10"/>
    <x v="1864"/>
  </r>
  <r>
    <n v="1945"/>
    <n v="638"/>
    <d v="2026-12-17T00:00:00"/>
    <s v="Thursday"/>
    <n v="12"/>
    <n v="8.1999999999999993"/>
    <x v="0"/>
    <x v="69"/>
    <s v="Female"/>
    <n v="61.8"/>
    <n v="114.4"/>
    <n v="21"/>
    <n v="18"/>
    <s v="OR"/>
    <n v="5"/>
    <n v="1090"/>
    <s v="High"/>
    <n v="0"/>
    <s v="Single-Day"/>
    <n v="0"/>
    <n v="0"/>
    <s v="Main Entrance"/>
    <s v="Mickey &amp; Friends"/>
    <n v="7.5"/>
    <n v="3"/>
    <x v="1865"/>
  </r>
  <r>
    <n v="1946"/>
    <n v="638"/>
    <d v="2026-12-17T00:00:00"/>
    <s v="Thursday"/>
    <n v="12"/>
    <n v="8.2899999999999991"/>
    <x v="0"/>
    <x v="30"/>
    <s v="Male"/>
    <n v="70"/>
    <n v="139.6"/>
    <n v="20.100000000000001"/>
    <n v="16"/>
    <s v="OR"/>
    <n v="5"/>
    <n v="1090"/>
    <s v="High"/>
    <n v="0"/>
    <s v="Single-Day"/>
    <n v="0"/>
    <n v="0"/>
    <s v="Main Entrance"/>
    <s v="Mickey &amp; Friends"/>
    <n v="7.5"/>
    <n v="4"/>
    <x v="1866"/>
  </r>
  <r>
    <n v="1947"/>
    <n v="638"/>
    <d v="2026-12-17T00:00:00"/>
    <s v="Thursday"/>
    <n v="12"/>
    <n v="8.1"/>
    <x v="0"/>
    <x v="41"/>
    <s v="Female"/>
    <n v="64.400000000000006"/>
    <n v="147.1"/>
    <n v="24.9"/>
    <n v="16"/>
    <s v="OR"/>
    <n v="5"/>
    <n v="1090"/>
    <s v="High"/>
    <n v="0"/>
    <s v="Single-Day"/>
    <n v="0"/>
    <n v="0"/>
    <s v="Main Entrance"/>
    <s v="Mickey &amp; Friends"/>
    <n v="6.3"/>
    <n v="8"/>
    <x v="1867"/>
  </r>
  <r>
    <n v="1948"/>
    <n v="639"/>
    <d v="2026-08-02T00:00:00"/>
    <s v="Sunday"/>
    <n v="8"/>
    <n v="10.5"/>
    <x v="0"/>
    <x v="25"/>
    <s v="Female"/>
    <n v="66"/>
    <n v="175.6"/>
    <n v="28.4"/>
    <n v="12"/>
    <s v="CA"/>
    <n v="1"/>
    <n v="119.3"/>
    <s v="Low"/>
    <n v="0"/>
    <s v="Multi-Day"/>
    <n v="0"/>
    <n v="0"/>
    <s v="Downtown Disney Gate"/>
    <s v="Mickey &amp; Friends"/>
    <n v="7.3"/>
    <n v="4"/>
    <x v="20"/>
  </r>
  <r>
    <n v="1949"/>
    <n v="640"/>
    <d v="2026-01-12T00:00:00"/>
    <s v="Monday"/>
    <n v="1"/>
    <n v="10.61"/>
    <x v="0"/>
    <x v="31"/>
    <s v="Male"/>
    <n v="67.8"/>
    <n v="195.1"/>
    <n v="29.7"/>
    <n v="15"/>
    <s v="CA"/>
    <n v="3"/>
    <n v="39.4"/>
    <s v="High"/>
    <n v="0"/>
    <s v="Multi-Day"/>
    <n v="0"/>
    <n v="1"/>
    <s v="Hotel Guest Entrance"/>
    <s v="Mickey &amp; Friends"/>
    <n v="7.6"/>
    <n v="9"/>
    <x v="1868"/>
  </r>
  <r>
    <n v="1950"/>
    <n v="640"/>
    <d v="2026-01-12T00:00:00"/>
    <s v="Monday"/>
    <n v="1"/>
    <n v="10.78"/>
    <x v="0"/>
    <x v="15"/>
    <s v="Female"/>
    <n v="66.3"/>
    <n v="153.69999999999999"/>
    <n v="24.5"/>
    <n v="17"/>
    <s v="CA"/>
    <n v="3"/>
    <n v="39.4"/>
    <s v="High"/>
    <n v="0"/>
    <s v="Multi-Day"/>
    <n v="0"/>
    <n v="1"/>
    <s v="Hotel Guest Entrance"/>
    <s v="Mickey &amp; Friends"/>
    <n v="8.9"/>
    <n v="7"/>
    <x v="1869"/>
  </r>
  <r>
    <n v="1951"/>
    <n v="640"/>
    <d v="2026-01-12T00:00:00"/>
    <s v="Monday"/>
    <n v="1"/>
    <n v="10.74"/>
    <x v="0"/>
    <x v="10"/>
    <s v="Female"/>
    <n v="65.400000000000006"/>
    <n v="114.6"/>
    <n v="18.5"/>
    <n v="16"/>
    <s v="CA"/>
    <n v="3"/>
    <n v="39.4"/>
    <s v="High"/>
    <n v="0"/>
    <s v="Multi-Day"/>
    <n v="0"/>
    <n v="1"/>
    <s v="Hotel Guest Entrance"/>
    <s v="Mickey &amp; Friends"/>
    <n v="10.6"/>
    <n v="9"/>
    <x v="1870"/>
  </r>
  <r>
    <n v="1952"/>
    <n v="641"/>
    <d v="2026-09-06T00:00:00"/>
    <s v="Sunday"/>
    <n v="9"/>
    <n v="12.73"/>
    <x v="1"/>
    <x v="27"/>
    <s v="Female"/>
    <n v="62.2"/>
    <n v="165.2"/>
    <n v="30"/>
    <n v="14"/>
    <s v="FL"/>
    <n v="2"/>
    <n v="2915.2"/>
    <s v="Middle"/>
    <n v="1"/>
    <s v="Single-Day"/>
    <n v="0"/>
    <n v="1"/>
    <s v="Hotel Guest Entrance"/>
    <s v="None/Walked from Resort"/>
    <n v="9"/>
    <n v="6"/>
    <x v="848"/>
  </r>
  <r>
    <n v="1953"/>
    <n v="641"/>
    <d v="2026-09-06T00:00:00"/>
    <s v="Sunday"/>
    <n v="9"/>
    <n v="12.7"/>
    <x v="1"/>
    <x v="34"/>
    <s v="Male"/>
    <n v="69.7"/>
    <n v="232.3"/>
    <n v="33.9"/>
    <n v="17"/>
    <s v="FL"/>
    <n v="2"/>
    <n v="2915.2"/>
    <s v="Middle"/>
    <n v="1"/>
    <s v="Single-Day"/>
    <n v="0"/>
    <n v="1"/>
    <s v="Hotel Guest Entrance"/>
    <s v="None/Walked from Resort"/>
    <n v="6.9"/>
    <n v="7"/>
    <x v="1871"/>
  </r>
  <r>
    <n v="1954"/>
    <n v="642"/>
    <d v="2026-09-22T00:00:00"/>
    <s v="Tuesday"/>
    <n v="9"/>
    <n v="11.46"/>
    <x v="1"/>
    <x v="38"/>
    <s v="Male"/>
    <n v="70.400000000000006"/>
    <n v="221.2"/>
    <n v="31.3"/>
    <n v="14"/>
    <s v="CA"/>
    <n v="1"/>
    <n v="54.7"/>
    <s v="Low"/>
    <n v="1"/>
    <s v="Single-Day"/>
    <n v="0"/>
    <n v="0"/>
    <s v="Main Entrance"/>
    <s v="Pixar Pals"/>
    <n v="7.9"/>
    <n v="9"/>
    <x v="1872"/>
  </r>
  <r>
    <n v="1955"/>
    <n v="643"/>
    <d v="2026-03-29T00:00:00"/>
    <s v="Sunday"/>
    <n v="3"/>
    <n v="10.33"/>
    <x v="0"/>
    <x v="44"/>
    <s v="Female"/>
    <n v="56.4"/>
    <n v="65.599999999999994"/>
    <n v="14.4"/>
    <n v="9"/>
    <s v="CA"/>
    <n v="4"/>
    <n v="35.4"/>
    <s v="Low"/>
    <n v="0"/>
    <s v="Single-Day"/>
    <n v="0"/>
    <n v="0"/>
    <s v="Downtown Disney Gate"/>
    <s v="Pixar Pals"/>
    <n v="7.4"/>
    <n v="0"/>
    <x v="1873"/>
  </r>
  <r>
    <n v="1956"/>
    <n v="643"/>
    <d v="2026-03-29T00:00:00"/>
    <s v="Sunday"/>
    <n v="3"/>
    <n v="10.38"/>
    <x v="0"/>
    <x v="49"/>
    <s v="Male"/>
    <n v="66.400000000000006"/>
    <n v="153.30000000000001"/>
    <n v="24.8"/>
    <n v="14"/>
    <s v="CA"/>
    <n v="4"/>
    <n v="35.4"/>
    <s v="Low"/>
    <n v="0"/>
    <s v="Single-Day"/>
    <n v="0"/>
    <n v="0"/>
    <s v="Downtown Disney Gate"/>
    <s v="Pixar Pals"/>
    <n v="5.7"/>
    <n v="4"/>
    <x v="1874"/>
  </r>
  <r>
    <n v="1957"/>
    <n v="643"/>
    <d v="2026-03-29T00:00:00"/>
    <s v="Sunday"/>
    <n v="3"/>
    <n v="10.4"/>
    <x v="0"/>
    <x v="69"/>
    <s v="Male"/>
    <n v="68.3"/>
    <n v="171.5"/>
    <n v="26"/>
    <n v="16"/>
    <s v="CA"/>
    <n v="4"/>
    <n v="35.4"/>
    <s v="Low"/>
    <n v="0"/>
    <s v="Single-Day"/>
    <n v="0"/>
    <n v="0"/>
    <s v="Downtown Disney Gate"/>
    <s v="Pixar Pals"/>
    <n v="7.2"/>
    <n v="5"/>
    <x v="1875"/>
  </r>
  <r>
    <n v="1958"/>
    <n v="643"/>
    <d v="2026-03-29T00:00:00"/>
    <s v="Sunday"/>
    <n v="3"/>
    <n v="10.59"/>
    <x v="0"/>
    <x v="45"/>
    <s v="Female"/>
    <n v="63.1"/>
    <n v="145.6"/>
    <n v="25.7"/>
    <n v="12"/>
    <s v="CA"/>
    <n v="4"/>
    <n v="35.4"/>
    <s v="Low"/>
    <n v="0"/>
    <s v="Single-Day"/>
    <n v="0"/>
    <n v="0"/>
    <s v="Downtown Disney Gate"/>
    <s v="Pixar Pals"/>
    <n v="8"/>
    <n v="9"/>
    <x v="598"/>
  </r>
  <r>
    <n v="1959"/>
    <n v="644"/>
    <d v="2026-02-06T00:00:00"/>
    <s v="Friday"/>
    <n v="2"/>
    <n v="11.23"/>
    <x v="1"/>
    <x v="27"/>
    <s v="Male"/>
    <n v="68"/>
    <n v="138.30000000000001"/>
    <n v="21.1"/>
    <n v="17"/>
    <s v="TX"/>
    <n v="1"/>
    <n v="1215.8"/>
    <s v="High"/>
    <n v="0"/>
    <s v="Park Hopper"/>
    <n v="1"/>
    <n v="1"/>
    <s v="Main Entrance"/>
    <s v="Toy Story Lot"/>
    <n v="7.1"/>
    <n v="6"/>
    <x v="1876"/>
  </r>
  <r>
    <n v="1960"/>
    <n v="645"/>
    <d v="2026-08-05T00:00:00"/>
    <s v="Wednesday"/>
    <n v="8"/>
    <n v="9.0399999999999991"/>
    <x v="0"/>
    <x v="55"/>
    <s v="Female"/>
    <n v="66.8"/>
    <n v="107.5"/>
    <n v="17"/>
    <n v="15"/>
    <s v="Other"/>
    <n v="4"/>
    <n v="1087.8"/>
    <s v="Low"/>
    <n v="1"/>
    <s v="Multi-Day"/>
    <n v="1"/>
    <n v="0"/>
    <s v="Main Entrance"/>
    <s v="Toy Story Lot"/>
    <n v="10.4"/>
    <n v="13"/>
    <x v="1877"/>
  </r>
  <r>
    <n v="1961"/>
    <n v="645"/>
    <d v="2026-08-05T00:00:00"/>
    <s v="Wednesday"/>
    <n v="8"/>
    <n v="9.0299999999999994"/>
    <x v="0"/>
    <x v="39"/>
    <s v="Female"/>
    <n v="61"/>
    <n v="116.6"/>
    <n v="22.1"/>
    <n v="15"/>
    <s v="Other"/>
    <n v="4"/>
    <n v="1087.8"/>
    <s v="Low"/>
    <n v="1"/>
    <s v="Multi-Day"/>
    <n v="1"/>
    <n v="0"/>
    <s v="Main Entrance"/>
    <s v="Toy Story Lot"/>
    <n v="13.5"/>
    <n v="9"/>
    <x v="1878"/>
  </r>
  <r>
    <n v="1962"/>
    <n v="645"/>
    <d v="2026-08-05T00:00:00"/>
    <s v="Wednesday"/>
    <n v="8"/>
    <n v="9.0299999999999994"/>
    <x v="0"/>
    <x v="57"/>
    <s v="Male"/>
    <n v="66.5"/>
    <n v="172.4"/>
    <n v="27.1"/>
    <n v="14"/>
    <s v="Other"/>
    <n v="4"/>
    <n v="1087.8"/>
    <s v="Low"/>
    <n v="1"/>
    <s v="Multi-Day"/>
    <n v="1"/>
    <n v="0"/>
    <s v="Main Entrance"/>
    <s v="Toy Story Lot"/>
    <n v="10.199999999999999"/>
    <n v="6"/>
    <x v="1879"/>
  </r>
  <r>
    <n v="1963"/>
    <n v="645"/>
    <d v="2026-08-05T00:00:00"/>
    <s v="Wednesday"/>
    <n v="8"/>
    <n v="9.0399999999999991"/>
    <x v="0"/>
    <x v="52"/>
    <s v="Male"/>
    <n v="63.6"/>
    <n v="166.7"/>
    <n v="29"/>
    <n v="16"/>
    <s v="Other"/>
    <n v="4"/>
    <n v="1087.8"/>
    <s v="Low"/>
    <n v="1"/>
    <s v="Multi-Day"/>
    <n v="1"/>
    <n v="0"/>
    <s v="Main Entrance"/>
    <s v="Toy Story Lot"/>
    <n v="11.2"/>
    <n v="5"/>
    <x v="1880"/>
  </r>
  <r>
    <n v="1964"/>
    <n v="646"/>
    <d v="2026-08-24T00:00:00"/>
    <s v="Monday"/>
    <n v="8"/>
    <n v="7.38"/>
    <x v="0"/>
    <x v="18"/>
    <s v="Female"/>
    <n v="63.1"/>
    <n v="121.1"/>
    <n v="21.4"/>
    <n v="17"/>
    <s v="CA"/>
    <n v="2"/>
    <n v="2"/>
    <s v="High"/>
    <n v="0"/>
    <s v="Multi-Day"/>
    <n v="0"/>
    <n v="1"/>
    <s v="Hotel Guest Entrance"/>
    <s v="None/Walked from Resort"/>
    <n v="7.8"/>
    <n v="5"/>
    <x v="1881"/>
  </r>
  <r>
    <n v="1965"/>
    <n v="646"/>
    <d v="2026-08-24T00:00:00"/>
    <s v="Monday"/>
    <n v="8"/>
    <n v="7.39"/>
    <x v="0"/>
    <x v="64"/>
    <s v="Female"/>
    <n v="47.4"/>
    <n v="56"/>
    <n v="17.7"/>
    <n v="16"/>
    <s v="CA"/>
    <n v="2"/>
    <n v="2"/>
    <s v="High"/>
    <n v="0"/>
    <s v="Multi-Day"/>
    <n v="0"/>
    <n v="1"/>
    <s v="Hotel Guest Entrance"/>
    <s v="None/Walked from Resort"/>
    <n v="10.1"/>
    <n v="11"/>
    <x v="1225"/>
  </r>
  <r>
    <n v="1966"/>
    <n v="647"/>
    <d v="2026-05-31T00:00:00"/>
    <s v="Sunday"/>
    <n v="5"/>
    <n v="9.77"/>
    <x v="0"/>
    <x v="18"/>
    <s v="Male"/>
    <n v="74.400000000000006"/>
    <n v="256.60000000000002"/>
    <n v="32.4"/>
    <n v="20"/>
    <s v="NV"/>
    <n v="3"/>
    <n v="364.9"/>
    <s v="Middle"/>
    <n v="0"/>
    <s v="Single-Day"/>
    <n v="0"/>
    <n v="0"/>
    <s v="Downtown Disney Gate"/>
    <s v="Mickey &amp; Friends"/>
    <n v="4.8"/>
    <n v="5"/>
    <x v="1882"/>
  </r>
  <r>
    <n v="1967"/>
    <n v="647"/>
    <d v="2026-05-31T00:00:00"/>
    <s v="Sunday"/>
    <n v="5"/>
    <n v="9.7200000000000006"/>
    <x v="0"/>
    <x v="16"/>
    <s v="Female"/>
    <n v="47.3"/>
    <n v="51.1"/>
    <n v="15.9"/>
    <n v="16"/>
    <s v="NV"/>
    <n v="3"/>
    <n v="364.9"/>
    <s v="Middle"/>
    <n v="0"/>
    <s v="Single-Day"/>
    <n v="0"/>
    <n v="0"/>
    <s v="Downtown Disney Gate"/>
    <s v="Mickey &amp; Friends"/>
    <n v="9.1"/>
    <n v="9"/>
    <x v="1883"/>
  </r>
  <r>
    <n v="1968"/>
    <n v="647"/>
    <d v="2026-05-31T00:00:00"/>
    <s v="Sunday"/>
    <n v="5"/>
    <n v="9.7200000000000006"/>
    <x v="0"/>
    <x v="23"/>
    <s v="Male"/>
    <n v="70.099999999999994"/>
    <n v="153.69999999999999"/>
    <n v="22.2"/>
    <n v="18"/>
    <s v="NV"/>
    <n v="3"/>
    <n v="364.9"/>
    <s v="Middle"/>
    <n v="0"/>
    <s v="Single-Day"/>
    <n v="0"/>
    <n v="0"/>
    <s v="Downtown Disney Gate"/>
    <s v="Mickey &amp; Friends"/>
    <n v="9.3000000000000007"/>
    <n v="10"/>
    <x v="1884"/>
  </r>
  <r>
    <n v="1969"/>
    <n v="648"/>
    <d v="2026-12-03T00:00:00"/>
    <s v="Thursday"/>
    <n v="12"/>
    <n v="8.75"/>
    <x v="0"/>
    <x v="23"/>
    <s v="Male"/>
    <n v="67.5"/>
    <n v="112.3"/>
    <n v="17"/>
    <n v="12"/>
    <s v="CA"/>
    <n v="5"/>
    <n v="116.3"/>
    <s v="Middle"/>
    <n v="0"/>
    <s v="Park Hopper"/>
    <n v="0"/>
    <n v="0"/>
    <s v="Main Entrance"/>
    <s v="Toy Story Lot"/>
    <n v="8.8000000000000007"/>
    <n v="10"/>
    <x v="1885"/>
  </r>
  <r>
    <n v="1970"/>
    <n v="648"/>
    <d v="2026-12-03T00:00:00"/>
    <s v="Thursday"/>
    <n v="12"/>
    <n v="8.76"/>
    <x v="0"/>
    <x v="29"/>
    <s v="Male"/>
    <n v="65.599999999999994"/>
    <n v="185.3"/>
    <n v="30.2"/>
    <n v="10"/>
    <s v="CA"/>
    <n v="5"/>
    <n v="116.3"/>
    <s v="Middle"/>
    <n v="0"/>
    <s v="Park Hopper"/>
    <n v="0"/>
    <n v="0"/>
    <s v="Main Entrance"/>
    <s v="Toy Story Lot"/>
    <n v="10.7"/>
    <n v="10"/>
    <x v="1886"/>
  </r>
  <r>
    <n v="1971"/>
    <n v="648"/>
    <d v="2026-12-03T00:00:00"/>
    <s v="Thursday"/>
    <n v="12"/>
    <n v="8.82"/>
    <x v="0"/>
    <x v="17"/>
    <s v="Male"/>
    <n v="68.599999999999994"/>
    <n v="203.5"/>
    <n v="30.3"/>
    <n v="14"/>
    <s v="CA"/>
    <n v="5"/>
    <n v="116.3"/>
    <s v="Middle"/>
    <n v="0"/>
    <s v="Park Hopper"/>
    <n v="0"/>
    <n v="0"/>
    <s v="Main Entrance"/>
    <s v="Toy Story Lot"/>
    <n v="10.3"/>
    <n v="3"/>
    <x v="1887"/>
  </r>
  <r>
    <n v="1972"/>
    <n v="648"/>
    <d v="2026-12-03T00:00:00"/>
    <s v="Thursday"/>
    <n v="12"/>
    <n v="8.64"/>
    <x v="0"/>
    <x v="53"/>
    <s v="Female"/>
    <n v="55.5"/>
    <n v="92.3"/>
    <n v="21.2"/>
    <n v="13"/>
    <s v="CA"/>
    <n v="5"/>
    <n v="116.3"/>
    <s v="Middle"/>
    <n v="0"/>
    <s v="Park Hopper"/>
    <n v="0"/>
    <n v="0"/>
    <s v="Main Entrance"/>
    <s v="Toy Story Lot"/>
    <n v="7.8"/>
    <n v="6"/>
    <x v="1888"/>
  </r>
  <r>
    <n v="1973"/>
    <n v="648"/>
    <d v="2026-12-03T00:00:00"/>
    <s v="Thursday"/>
    <n v="12"/>
    <n v="8.65"/>
    <x v="0"/>
    <x v="69"/>
    <s v="Male"/>
    <n v="70.5"/>
    <n v="213.4"/>
    <n v="30.1"/>
    <n v="14"/>
    <s v="CA"/>
    <n v="5"/>
    <n v="116.3"/>
    <s v="Middle"/>
    <n v="0"/>
    <s v="Park Hopper"/>
    <n v="0"/>
    <n v="0"/>
    <s v="Main Entrance"/>
    <s v="Toy Story Lot"/>
    <n v="7.2"/>
    <n v="7"/>
    <x v="1889"/>
  </r>
  <r>
    <n v="1974"/>
    <n v="649"/>
    <d v="2026-01-17T00:00:00"/>
    <s v="Saturday"/>
    <n v="1"/>
    <n v="7.52"/>
    <x v="0"/>
    <x v="39"/>
    <s v="Male"/>
    <n v="73.599999999999994"/>
    <n v="184.7"/>
    <n v="24"/>
    <n v="12"/>
    <s v="UT"/>
    <n v="3"/>
    <n v="454.4"/>
    <s v="Middle"/>
    <n v="1"/>
    <s v="Multi-Day"/>
    <n v="0"/>
    <n v="0"/>
    <s v="Main Entrance"/>
    <s v="None/Dropoff/Transit"/>
    <n v="9.4"/>
    <n v="10"/>
    <x v="1890"/>
  </r>
  <r>
    <n v="1975"/>
    <n v="649"/>
    <d v="2026-01-17T00:00:00"/>
    <s v="Saturday"/>
    <n v="1"/>
    <n v="7.59"/>
    <x v="0"/>
    <x v="43"/>
    <s v="Male"/>
    <n v="66.900000000000006"/>
    <n v="139.80000000000001"/>
    <n v="21.8"/>
    <n v="21"/>
    <s v="UT"/>
    <n v="3"/>
    <n v="454.4"/>
    <s v="Middle"/>
    <n v="1"/>
    <s v="Multi-Day"/>
    <n v="0"/>
    <n v="0"/>
    <s v="Main Entrance"/>
    <s v="None/Dropoff/Transit"/>
    <n v="9.6999999999999993"/>
    <n v="11"/>
    <x v="1891"/>
  </r>
  <r>
    <n v="1976"/>
    <n v="649"/>
    <d v="2026-01-17T00:00:00"/>
    <s v="Saturday"/>
    <n v="1"/>
    <n v="7.22"/>
    <x v="0"/>
    <x v="51"/>
    <s v="Female"/>
    <n v="63.1"/>
    <n v="148.69999999999999"/>
    <n v="26.5"/>
    <n v="16"/>
    <s v="UT"/>
    <n v="3"/>
    <n v="454.4"/>
    <s v="Middle"/>
    <n v="1"/>
    <s v="Multi-Day"/>
    <n v="0"/>
    <n v="0"/>
    <s v="Main Entrance"/>
    <s v="None/Dropoff/Transit"/>
    <n v="9.5"/>
    <n v="7"/>
    <x v="1892"/>
  </r>
  <r>
    <n v="1977"/>
    <n v="650"/>
    <d v="2026-12-22T00:00:00"/>
    <s v="Tuesday"/>
    <n v="12"/>
    <n v="12.63"/>
    <x v="1"/>
    <x v="52"/>
    <s v="Female"/>
    <n v="64.099999999999994"/>
    <n v="172.9"/>
    <n v="29.7"/>
    <n v="17"/>
    <s v="Other"/>
    <n v="3"/>
    <n v="1219.5999999999999"/>
    <s v="Middle"/>
    <n v="1"/>
    <s v="Multi-Day"/>
    <n v="1"/>
    <n v="1"/>
    <s v="Main Entrance"/>
    <s v="None/Walked from Resort"/>
    <n v="8"/>
    <n v="5"/>
    <x v="1893"/>
  </r>
  <r>
    <n v="1978"/>
    <n v="650"/>
    <d v="2026-12-22T00:00:00"/>
    <s v="Tuesday"/>
    <n v="12"/>
    <n v="12.75"/>
    <x v="1"/>
    <x v="42"/>
    <s v="Male"/>
    <n v="72.099999999999994"/>
    <n v="211.8"/>
    <n v="28.8"/>
    <n v="16"/>
    <s v="Other"/>
    <n v="3"/>
    <n v="1219.5999999999999"/>
    <s v="Middle"/>
    <n v="1"/>
    <s v="Multi-Day"/>
    <n v="1"/>
    <n v="1"/>
    <s v="Main Entrance"/>
    <s v="None/Walked from Resort"/>
    <n v="9.9"/>
    <n v="15"/>
    <x v="1894"/>
  </r>
  <r>
    <n v="1979"/>
    <n v="650"/>
    <d v="2026-12-22T00:00:00"/>
    <s v="Tuesday"/>
    <n v="12"/>
    <n v="12.74"/>
    <x v="1"/>
    <x v="40"/>
    <s v="Female"/>
    <n v="68.8"/>
    <n v="126"/>
    <n v="18.5"/>
    <n v="14"/>
    <s v="Other"/>
    <n v="3"/>
    <n v="1219.5999999999999"/>
    <s v="Middle"/>
    <n v="1"/>
    <s v="Multi-Day"/>
    <n v="1"/>
    <n v="1"/>
    <s v="Main Entrance"/>
    <s v="None/Walked from Resort"/>
    <n v="7.7"/>
    <n v="4"/>
    <x v="1895"/>
  </r>
  <r>
    <n v="1980"/>
    <n v="651"/>
    <d v="2026-05-08T00:00:00"/>
    <s v="Friday"/>
    <n v="5"/>
    <n v="12.71"/>
    <x v="1"/>
    <x v="40"/>
    <s v="Female"/>
    <n v="66.599999999999994"/>
    <n v="126.3"/>
    <n v="20"/>
    <n v="13"/>
    <s v="UT"/>
    <n v="1"/>
    <n v="537.6"/>
    <s v="Middle"/>
    <n v="0"/>
    <s v="Single-Day"/>
    <n v="0"/>
    <n v="1"/>
    <s v="Main Entrance"/>
    <s v="None/Walked from Resort"/>
    <n v="7.4"/>
    <n v="8"/>
    <x v="1896"/>
  </r>
  <r>
    <n v="1981"/>
    <n v="652"/>
    <d v="2026-08-03T00:00:00"/>
    <s v="Monday"/>
    <n v="8"/>
    <n v="11.46"/>
    <x v="1"/>
    <x v="33"/>
    <s v="Male"/>
    <n v="69.5"/>
    <n v="187.1"/>
    <n v="27.4"/>
    <n v="21"/>
    <s v="IL"/>
    <n v="4"/>
    <n v="2496"/>
    <s v="High"/>
    <n v="1"/>
    <s v="Single-Day"/>
    <n v="0"/>
    <n v="1"/>
    <s v="Main Entrance"/>
    <s v="Mickey &amp; Friends"/>
    <n v="8.6"/>
    <n v="10"/>
    <x v="1897"/>
  </r>
  <r>
    <n v="1982"/>
    <n v="652"/>
    <d v="2026-08-03T00:00:00"/>
    <s v="Monday"/>
    <n v="8"/>
    <n v="11.57"/>
    <x v="1"/>
    <x v="18"/>
    <s v="Male"/>
    <n v="67.599999999999994"/>
    <n v="181.8"/>
    <n v="28"/>
    <n v="13"/>
    <s v="IL"/>
    <n v="4"/>
    <n v="2496"/>
    <s v="High"/>
    <n v="1"/>
    <s v="Single-Day"/>
    <n v="0"/>
    <n v="1"/>
    <s v="Main Entrance"/>
    <s v="Mickey &amp; Friends"/>
    <n v="5.9"/>
    <n v="8"/>
    <x v="1804"/>
  </r>
  <r>
    <n v="1983"/>
    <n v="652"/>
    <d v="2026-08-03T00:00:00"/>
    <s v="Monday"/>
    <n v="8"/>
    <n v="11.61"/>
    <x v="1"/>
    <x v="49"/>
    <s v="Male"/>
    <n v="65.400000000000006"/>
    <n v="152"/>
    <n v="25.2"/>
    <n v="18"/>
    <s v="IL"/>
    <n v="4"/>
    <n v="2496"/>
    <s v="High"/>
    <n v="1"/>
    <s v="Single-Day"/>
    <n v="0"/>
    <n v="1"/>
    <s v="Main Entrance"/>
    <s v="Mickey &amp; Friends"/>
    <n v="9.9"/>
    <n v="6"/>
    <x v="1898"/>
  </r>
  <r>
    <n v="1984"/>
    <n v="652"/>
    <d v="2026-08-03T00:00:00"/>
    <s v="Monday"/>
    <n v="8"/>
    <n v="11.72"/>
    <x v="1"/>
    <x v="44"/>
    <s v="Male"/>
    <n v="69.599999999999994"/>
    <n v="209.2"/>
    <n v="30.1"/>
    <n v="16"/>
    <s v="IL"/>
    <n v="4"/>
    <n v="2496"/>
    <s v="High"/>
    <n v="1"/>
    <s v="Single-Day"/>
    <n v="0"/>
    <n v="1"/>
    <s v="Main Entrance"/>
    <s v="Mickey &amp; Friends"/>
    <n v="8.5"/>
    <n v="6"/>
    <x v="1899"/>
  </r>
  <r>
    <n v="1985"/>
    <n v="653"/>
    <d v="2026-10-28T00:00:00"/>
    <s v="Wednesday"/>
    <n v="10"/>
    <n v="10.14"/>
    <x v="0"/>
    <x v="38"/>
    <s v="Male"/>
    <n v="75.2"/>
    <n v="208.6"/>
    <n v="26.1"/>
    <n v="16"/>
    <s v="CO"/>
    <n v="5"/>
    <n v="965.5"/>
    <s v="High"/>
    <n v="0"/>
    <s v="Multi-Day"/>
    <n v="1"/>
    <n v="0"/>
    <s v="Main Entrance"/>
    <s v="Toy Story Lot"/>
    <n v="9.1999999999999993"/>
    <n v="2"/>
    <x v="1900"/>
  </r>
  <r>
    <n v="1986"/>
    <n v="653"/>
    <d v="2026-10-28T00:00:00"/>
    <s v="Wednesday"/>
    <n v="10"/>
    <n v="10.11"/>
    <x v="0"/>
    <x v="58"/>
    <s v="Male"/>
    <n v="69.8"/>
    <n v="207.4"/>
    <n v="29.8"/>
    <n v="18"/>
    <s v="CO"/>
    <n v="5"/>
    <n v="965.5"/>
    <s v="High"/>
    <n v="0"/>
    <s v="Multi-Day"/>
    <n v="1"/>
    <n v="0"/>
    <s v="Main Entrance"/>
    <s v="Toy Story Lot"/>
    <n v="7.3"/>
    <n v="4"/>
    <x v="1901"/>
  </r>
  <r>
    <n v="1987"/>
    <n v="653"/>
    <d v="2026-10-28T00:00:00"/>
    <s v="Wednesday"/>
    <n v="10"/>
    <n v="10.11"/>
    <x v="0"/>
    <x v="16"/>
    <s v="Male"/>
    <n v="59.9"/>
    <n v="107.7"/>
    <n v="21.1"/>
    <n v="15"/>
    <s v="CO"/>
    <n v="5"/>
    <n v="965.5"/>
    <s v="High"/>
    <n v="0"/>
    <s v="Multi-Day"/>
    <n v="1"/>
    <n v="0"/>
    <s v="Main Entrance"/>
    <s v="Toy Story Lot"/>
    <n v="7.4"/>
    <n v="9"/>
    <x v="643"/>
  </r>
  <r>
    <n v="1988"/>
    <n v="653"/>
    <d v="2026-10-28T00:00:00"/>
    <s v="Wednesday"/>
    <n v="10"/>
    <n v="10.1"/>
    <x v="0"/>
    <x v="38"/>
    <s v="Female"/>
    <n v="61.6"/>
    <n v="163"/>
    <n v="30"/>
    <n v="17"/>
    <s v="CO"/>
    <n v="5"/>
    <n v="965.5"/>
    <s v="High"/>
    <n v="0"/>
    <s v="Multi-Day"/>
    <n v="1"/>
    <n v="0"/>
    <s v="Main Entrance"/>
    <s v="Toy Story Lot"/>
    <n v="7.8"/>
    <n v="6"/>
    <x v="1902"/>
  </r>
  <r>
    <n v="1989"/>
    <n v="653"/>
    <d v="2026-10-28T00:00:00"/>
    <s v="Wednesday"/>
    <n v="10"/>
    <n v="10.14"/>
    <x v="0"/>
    <x v="3"/>
    <s v="Male"/>
    <n v="69.099999999999994"/>
    <n v="199.9"/>
    <n v="29.6"/>
    <n v="13"/>
    <s v="CO"/>
    <n v="5"/>
    <n v="965.5"/>
    <s v="High"/>
    <n v="0"/>
    <s v="Multi-Day"/>
    <n v="1"/>
    <n v="0"/>
    <s v="Main Entrance"/>
    <s v="Toy Story Lot"/>
    <n v="8.6"/>
    <n v="6"/>
    <x v="925"/>
  </r>
  <r>
    <n v="1990"/>
    <n v="654"/>
    <d v="2026-11-30T00:00:00"/>
    <s v="Monday"/>
    <n v="11"/>
    <n v="10.98"/>
    <x v="0"/>
    <x v="38"/>
    <s v="Male"/>
    <n v="70.5"/>
    <n v="169.6"/>
    <n v="24.3"/>
    <n v="17"/>
    <s v="FL"/>
    <n v="2"/>
    <n v="3039.6"/>
    <s v="High"/>
    <n v="1"/>
    <s v="Single-Day"/>
    <n v="1"/>
    <n v="0"/>
    <s v="Downtown Disney Gate"/>
    <s v="Pixar Pals"/>
    <n v="11.3"/>
    <n v="13"/>
    <x v="1903"/>
  </r>
  <r>
    <n v="1991"/>
    <n v="654"/>
    <d v="2026-11-30T00:00:00"/>
    <s v="Monday"/>
    <n v="11"/>
    <n v="10.98"/>
    <x v="0"/>
    <x v="30"/>
    <s v="Male"/>
    <n v="67.7"/>
    <n v="154.69999999999999"/>
    <n v="23.5"/>
    <n v="16"/>
    <s v="FL"/>
    <n v="2"/>
    <n v="3039.6"/>
    <s v="High"/>
    <n v="1"/>
    <s v="Single-Day"/>
    <n v="1"/>
    <n v="0"/>
    <s v="Downtown Disney Gate"/>
    <s v="Pixar Pals"/>
    <n v="6.6"/>
    <n v="8"/>
    <x v="1904"/>
  </r>
  <r>
    <n v="1992"/>
    <n v="655"/>
    <d v="2026-08-29T00:00:00"/>
    <s v="Saturday"/>
    <n v="8"/>
    <n v="9.25"/>
    <x v="0"/>
    <x v="64"/>
    <s v="Female"/>
    <n v="45.5"/>
    <n v="59.8"/>
    <n v="20.399999999999999"/>
    <n v="17"/>
    <s v="CA"/>
    <n v="5"/>
    <n v="107.8"/>
    <s v="High"/>
    <n v="0"/>
    <s v="Single-Day"/>
    <n v="0"/>
    <n v="1"/>
    <s v="Main Entrance"/>
    <s v="Toy Story Lot"/>
    <n v="7"/>
    <n v="7"/>
    <x v="1905"/>
  </r>
  <r>
    <n v="1993"/>
    <n v="655"/>
    <d v="2026-08-29T00:00:00"/>
    <s v="Saturday"/>
    <n v="8"/>
    <n v="9.08"/>
    <x v="0"/>
    <x v="38"/>
    <s v="Male"/>
    <n v="71"/>
    <n v="224.6"/>
    <n v="31.5"/>
    <n v="14"/>
    <s v="CA"/>
    <n v="5"/>
    <n v="107.8"/>
    <s v="High"/>
    <n v="0"/>
    <s v="Single-Day"/>
    <n v="0"/>
    <n v="1"/>
    <s v="Main Entrance"/>
    <s v="Toy Story Lot"/>
    <n v="10.4"/>
    <n v="11"/>
    <x v="1906"/>
  </r>
  <r>
    <n v="1994"/>
    <n v="655"/>
    <d v="2026-08-29T00:00:00"/>
    <s v="Saturday"/>
    <n v="8"/>
    <n v="9.23"/>
    <x v="0"/>
    <x v="38"/>
    <s v="Female"/>
    <n v="62.4"/>
    <n v="145"/>
    <n v="25.9"/>
    <n v="15"/>
    <s v="CA"/>
    <n v="5"/>
    <n v="107.8"/>
    <s v="High"/>
    <n v="0"/>
    <s v="Single-Day"/>
    <n v="0"/>
    <n v="1"/>
    <s v="Main Entrance"/>
    <s v="Toy Story Lot"/>
    <n v="10.5"/>
    <n v="9"/>
    <x v="1907"/>
  </r>
  <r>
    <n v="1995"/>
    <n v="655"/>
    <d v="2026-08-29T00:00:00"/>
    <s v="Saturday"/>
    <n v="8"/>
    <n v="9.41"/>
    <x v="0"/>
    <x v="42"/>
    <s v="Female"/>
    <n v="66.8"/>
    <n v="156.69999999999999"/>
    <n v="25"/>
    <n v="18"/>
    <s v="CA"/>
    <n v="5"/>
    <n v="107.8"/>
    <s v="High"/>
    <n v="0"/>
    <s v="Single-Day"/>
    <n v="0"/>
    <n v="1"/>
    <s v="Main Entrance"/>
    <s v="Toy Story Lot"/>
    <n v="9.8000000000000007"/>
    <n v="8"/>
    <x v="1908"/>
  </r>
  <r>
    <n v="1996"/>
    <n v="655"/>
    <d v="2026-08-29T00:00:00"/>
    <s v="Saturday"/>
    <n v="8"/>
    <n v="9.36"/>
    <x v="0"/>
    <x v="4"/>
    <s v="Male"/>
    <n v="65.3"/>
    <n v="179.1"/>
    <n v="29.6"/>
    <n v="19"/>
    <s v="CA"/>
    <n v="5"/>
    <n v="107.8"/>
    <s v="High"/>
    <n v="0"/>
    <s v="Single-Day"/>
    <n v="0"/>
    <n v="1"/>
    <s v="Main Entrance"/>
    <s v="Toy Story Lot"/>
    <n v="6.7"/>
    <n v="2"/>
    <x v="1909"/>
  </r>
  <r>
    <n v="1997"/>
    <n v="656"/>
    <d v="2026-11-25T00:00:00"/>
    <s v="Wednesday"/>
    <n v="11"/>
    <n v="8.77"/>
    <x v="0"/>
    <x v="28"/>
    <s v="Female"/>
    <n v="60.3"/>
    <n v="141.9"/>
    <n v="27.3"/>
    <n v="13"/>
    <s v="CA"/>
    <n v="4"/>
    <n v="105.2"/>
    <s v="Low"/>
    <n v="0"/>
    <s v="Single-Day"/>
    <n v="0"/>
    <n v="0"/>
    <s v="Main Entrance"/>
    <s v="Mickey &amp; Friends"/>
    <n v="9.1999999999999993"/>
    <n v="8"/>
    <x v="1910"/>
  </r>
  <r>
    <n v="1998"/>
    <n v="656"/>
    <d v="2026-11-25T00:00:00"/>
    <s v="Wednesday"/>
    <n v="11"/>
    <n v="8.98"/>
    <x v="0"/>
    <x v="54"/>
    <s v="Female"/>
    <n v="61.9"/>
    <n v="111.3"/>
    <n v="20.399999999999999"/>
    <n v="13"/>
    <s v="CA"/>
    <n v="4"/>
    <n v="105.2"/>
    <s v="Low"/>
    <n v="0"/>
    <s v="Single-Day"/>
    <n v="0"/>
    <n v="0"/>
    <s v="Main Entrance"/>
    <s v="Mickey &amp; Friends"/>
    <n v="9.4"/>
    <n v="8"/>
    <x v="1911"/>
  </r>
  <r>
    <n v="1999"/>
    <n v="656"/>
    <d v="2026-11-25T00:00:00"/>
    <s v="Wednesday"/>
    <n v="11"/>
    <n v="8.69"/>
    <x v="0"/>
    <x v="37"/>
    <s v="Male"/>
    <n v="75.2"/>
    <n v="210.5"/>
    <n v="26.1"/>
    <n v="12"/>
    <s v="CA"/>
    <n v="4"/>
    <n v="105.2"/>
    <s v="Low"/>
    <n v="0"/>
    <s v="Single-Day"/>
    <n v="0"/>
    <n v="0"/>
    <s v="Main Entrance"/>
    <s v="Mickey &amp; Friends"/>
    <n v="10.6"/>
    <n v="4"/>
    <x v="1912"/>
  </r>
  <r>
    <n v="2000"/>
    <n v="656"/>
    <d v="2026-11-25T00:00:00"/>
    <s v="Wednesday"/>
    <n v="11"/>
    <n v="8.84"/>
    <x v="0"/>
    <x v="25"/>
    <s v="Male"/>
    <n v="71.5"/>
    <n v="145.9"/>
    <n v="19.8"/>
    <n v="16"/>
    <s v="CA"/>
    <n v="4"/>
    <n v="105.2"/>
    <s v="Low"/>
    <n v="0"/>
    <s v="Single-Day"/>
    <n v="0"/>
    <n v="0"/>
    <s v="Main Entrance"/>
    <s v="Mickey &amp; Friends"/>
    <n v="11.1"/>
    <n v="8"/>
    <x v="1913"/>
  </r>
  <r>
    <n v="2001"/>
    <n v="657"/>
    <d v="2026-09-23T00:00:00"/>
    <s v="Wednesday"/>
    <n v="9"/>
    <n v="11.16"/>
    <x v="1"/>
    <x v="18"/>
    <s v="Female"/>
    <n v="67.8"/>
    <n v="217.4"/>
    <n v="33.200000000000003"/>
    <n v="15"/>
    <s v="Other"/>
    <n v="3"/>
    <n v="896.5"/>
    <s v="High"/>
    <n v="0"/>
    <s v="Multi-Day"/>
    <n v="1"/>
    <n v="0"/>
    <s v="Downtown Disney Gate"/>
    <s v="Mickey &amp; Friends"/>
    <n v="5.7"/>
    <n v="12"/>
    <x v="1914"/>
  </r>
  <r>
    <n v="2002"/>
    <n v="657"/>
    <d v="2026-09-23T00:00:00"/>
    <s v="Wednesday"/>
    <n v="9"/>
    <n v="10.93"/>
    <x v="0"/>
    <x v="40"/>
    <s v="Male"/>
    <n v="68.3"/>
    <n v="127.3"/>
    <n v="19.399999999999999"/>
    <n v="14"/>
    <s v="Other"/>
    <n v="3"/>
    <n v="896.5"/>
    <s v="High"/>
    <n v="0"/>
    <s v="Multi-Day"/>
    <n v="1"/>
    <n v="0"/>
    <s v="Downtown Disney Gate"/>
    <s v="Mickey &amp; Friends"/>
    <n v="7.6"/>
    <n v="9"/>
    <x v="1361"/>
  </r>
  <r>
    <n v="2003"/>
    <n v="657"/>
    <d v="2026-09-23T00:00:00"/>
    <s v="Wednesday"/>
    <n v="9"/>
    <n v="10.86"/>
    <x v="0"/>
    <x v="20"/>
    <s v="Male"/>
    <n v="70"/>
    <n v="120"/>
    <n v="16.7"/>
    <n v="14"/>
    <s v="Other"/>
    <n v="3"/>
    <n v="896.5"/>
    <s v="High"/>
    <n v="0"/>
    <s v="Multi-Day"/>
    <n v="1"/>
    <n v="0"/>
    <s v="Downtown Disney Gate"/>
    <s v="Mickey &amp; Friends"/>
    <n v="5.2"/>
    <n v="5"/>
    <x v="1915"/>
  </r>
  <r>
    <n v="2004"/>
    <n v="658"/>
    <d v="2026-08-10T00:00:00"/>
    <s v="Monday"/>
    <n v="8"/>
    <n v="11.03"/>
    <x v="1"/>
    <x v="5"/>
    <s v="Male"/>
    <n v="68"/>
    <n v="198.2"/>
    <n v="30"/>
    <n v="16"/>
    <s v="WA"/>
    <n v="1"/>
    <n v="1115.3"/>
    <s v="Middle"/>
    <n v="1"/>
    <s v="Single-Day"/>
    <n v="1"/>
    <n v="0"/>
    <s v="Main Entrance"/>
    <s v="Toy Story Lot"/>
    <n v="6.9"/>
    <n v="3"/>
    <x v="1916"/>
  </r>
  <r>
    <n v="2005"/>
    <n v="659"/>
    <d v="2026-01-11T00:00:00"/>
    <s v="Sunday"/>
    <n v="1"/>
    <n v="11.51"/>
    <x v="1"/>
    <x v="19"/>
    <s v="Male"/>
    <n v="68.5"/>
    <n v="119.5"/>
    <n v="17.8"/>
    <n v="19"/>
    <s v="CA"/>
    <n v="1"/>
    <n v="99.4"/>
    <s v="High"/>
    <n v="0"/>
    <s v="Single-Day"/>
    <n v="1"/>
    <n v="1"/>
    <s v="Main Entrance"/>
    <s v="Pixar Pals"/>
    <n v="5.0999999999999996"/>
    <n v="2"/>
    <x v="1917"/>
  </r>
  <r>
    <n v="2006"/>
    <n v="660"/>
    <d v="2026-07-21T00:00:00"/>
    <s v="Tuesday"/>
    <n v="7"/>
    <n v="8.33"/>
    <x v="0"/>
    <x v="54"/>
    <s v="Nonbinary/Other"/>
    <n v="69.900000000000006"/>
    <n v="167.7"/>
    <n v="24.1"/>
    <n v="16"/>
    <s v="WA"/>
    <n v="5"/>
    <n v="732.5"/>
    <s v="Middle"/>
    <n v="1"/>
    <s v="Park Hopper"/>
    <n v="0"/>
    <n v="1"/>
    <s v="Main Entrance"/>
    <s v="None/Walked from Resort"/>
    <n v="10.3"/>
    <n v="11"/>
    <x v="1918"/>
  </r>
  <r>
    <n v="2007"/>
    <n v="660"/>
    <d v="2026-07-21T00:00:00"/>
    <s v="Tuesday"/>
    <n v="7"/>
    <n v="8.3699999999999992"/>
    <x v="0"/>
    <x v="61"/>
    <s v="Male"/>
    <n v="68.400000000000006"/>
    <n v="131"/>
    <n v="19.8"/>
    <n v="15"/>
    <s v="WA"/>
    <n v="5"/>
    <n v="732.5"/>
    <s v="Middle"/>
    <n v="1"/>
    <s v="Park Hopper"/>
    <n v="0"/>
    <n v="1"/>
    <s v="Main Entrance"/>
    <s v="None/Walked from Resort"/>
    <n v="11.4"/>
    <n v="8"/>
    <x v="1919"/>
  </r>
  <r>
    <n v="2008"/>
    <n v="660"/>
    <d v="2026-07-21T00:00:00"/>
    <s v="Tuesday"/>
    <n v="7"/>
    <n v="8.27"/>
    <x v="0"/>
    <x v="63"/>
    <s v="Male"/>
    <n v="66.900000000000006"/>
    <n v="208.9"/>
    <n v="33"/>
    <n v="15"/>
    <s v="WA"/>
    <n v="5"/>
    <n v="732.5"/>
    <s v="Middle"/>
    <n v="1"/>
    <s v="Park Hopper"/>
    <n v="0"/>
    <n v="1"/>
    <s v="Main Entrance"/>
    <s v="None/Walked from Resort"/>
    <n v="9.8000000000000007"/>
    <n v="6"/>
    <x v="1920"/>
  </r>
  <r>
    <n v="2009"/>
    <n v="660"/>
    <d v="2026-07-21T00:00:00"/>
    <s v="Tuesday"/>
    <n v="7"/>
    <n v="8.27"/>
    <x v="0"/>
    <x v="51"/>
    <s v="Female"/>
    <n v="63.5"/>
    <n v="163.9"/>
    <n v="28.6"/>
    <n v="18"/>
    <s v="WA"/>
    <n v="5"/>
    <n v="732.5"/>
    <s v="Middle"/>
    <n v="1"/>
    <s v="Park Hopper"/>
    <n v="0"/>
    <n v="1"/>
    <s v="Main Entrance"/>
    <s v="None/Walked from Resort"/>
    <n v="9"/>
    <n v="4"/>
    <x v="1921"/>
  </r>
  <r>
    <n v="2010"/>
    <n v="660"/>
    <d v="2026-07-21T00:00:00"/>
    <s v="Tuesday"/>
    <n v="7"/>
    <n v="8.2100000000000009"/>
    <x v="0"/>
    <x v="12"/>
    <s v="Female"/>
    <n v="66.900000000000006"/>
    <n v="124"/>
    <n v="19.3"/>
    <n v="15"/>
    <s v="WA"/>
    <n v="5"/>
    <n v="732.5"/>
    <s v="Middle"/>
    <n v="1"/>
    <s v="Park Hopper"/>
    <n v="0"/>
    <n v="1"/>
    <s v="Main Entrance"/>
    <s v="None/Walked from Resort"/>
    <n v="9.9"/>
    <n v="15"/>
    <x v="1922"/>
  </r>
  <r>
    <n v="2011"/>
    <n v="661"/>
    <d v="2026-02-17T00:00:00"/>
    <s v="Tuesday"/>
    <n v="2"/>
    <n v="10.6"/>
    <x v="0"/>
    <x v="40"/>
    <s v="Male"/>
    <n v="66.599999999999994"/>
    <n v="128"/>
    <n v="20.3"/>
    <n v="14"/>
    <s v="NY"/>
    <n v="3"/>
    <n v="2420.8000000000002"/>
    <s v="Middle"/>
    <n v="1"/>
    <s v="Park Hopper"/>
    <n v="1"/>
    <n v="0"/>
    <s v="Main Entrance"/>
    <s v="Mickey &amp; Friends"/>
    <n v="10.7"/>
    <n v="9"/>
    <x v="1923"/>
  </r>
  <r>
    <n v="2012"/>
    <n v="661"/>
    <d v="2026-02-17T00:00:00"/>
    <s v="Tuesday"/>
    <n v="2"/>
    <n v="10.45"/>
    <x v="0"/>
    <x v="64"/>
    <s v="Female"/>
    <n v="53.1"/>
    <n v="88"/>
    <n v="21.8"/>
    <n v="14"/>
    <s v="NY"/>
    <n v="3"/>
    <n v="2420.8000000000002"/>
    <s v="Middle"/>
    <n v="1"/>
    <s v="Park Hopper"/>
    <n v="1"/>
    <n v="0"/>
    <s v="Main Entrance"/>
    <s v="Mickey &amp; Friends"/>
    <n v="8.3000000000000007"/>
    <n v="11"/>
    <x v="1924"/>
  </r>
  <r>
    <n v="2013"/>
    <n v="661"/>
    <d v="2026-02-17T00:00:00"/>
    <s v="Tuesday"/>
    <n v="2"/>
    <n v="10.65"/>
    <x v="0"/>
    <x v="49"/>
    <s v="Female"/>
    <n v="63.8"/>
    <n v="147.5"/>
    <n v="25.4"/>
    <n v="17"/>
    <s v="NY"/>
    <n v="3"/>
    <n v="2420.8000000000002"/>
    <s v="Middle"/>
    <n v="1"/>
    <s v="Park Hopper"/>
    <n v="1"/>
    <n v="0"/>
    <s v="Main Entrance"/>
    <s v="Mickey &amp; Friends"/>
    <n v="11.5"/>
    <n v="9"/>
    <x v="1925"/>
  </r>
  <r>
    <n v="2014"/>
    <n v="662"/>
    <d v="2026-01-22T00:00:00"/>
    <s v="Thursday"/>
    <n v="1"/>
    <n v="10.92"/>
    <x v="0"/>
    <x v="9"/>
    <s v="Female"/>
    <n v="67.7"/>
    <n v="214.1"/>
    <n v="32.9"/>
    <n v="14"/>
    <s v="AZ"/>
    <n v="6"/>
    <n v="222.9"/>
    <s v="Low"/>
    <n v="1"/>
    <s v="Multi-Day"/>
    <n v="0"/>
    <n v="0"/>
    <s v="Main Entrance"/>
    <s v="Mickey &amp; Friends"/>
    <n v="8.6"/>
    <n v="12"/>
    <x v="1926"/>
  </r>
  <r>
    <n v="2015"/>
    <n v="662"/>
    <d v="2026-01-22T00:00:00"/>
    <s v="Thursday"/>
    <n v="1"/>
    <n v="10.99"/>
    <x v="0"/>
    <x v="2"/>
    <s v="Male"/>
    <n v="72.900000000000006"/>
    <n v="180.8"/>
    <n v="23.7"/>
    <n v="17"/>
    <s v="AZ"/>
    <n v="6"/>
    <n v="222.9"/>
    <s v="Low"/>
    <n v="1"/>
    <s v="Multi-Day"/>
    <n v="0"/>
    <n v="0"/>
    <s v="Main Entrance"/>
    <s v="Mickey &amp; Friends"/>
    <n v="7.9"/>
    <n v="1"/>
    <x v="1927"/>
  </r>
  <r>
    <n v="2016"/>
    <n v="662"/>
    <d v="2026-01-22T00:00:00"/>
    <s v="Thursday"/>
    <n v="1"/>
    <n v="10.99"/>
    <x v="0"/>
    <x v="38"/>
    <s v="Female"/>
    <n v="63.2"/>
    <n v="127.5"/>
    <n v="22.7"/>
    <n v="11"/>
    <s v="AZ"/>
    <n v="6"/>
    <n v="222.9"/>
    <s v="Low"/>
    <n v="1"/>
    <s v="Multi-Day"/>
    <n v="0"/>
    <n v="0"/>
    <s v="Main Entrance"/>
    <s v="Mickey &amp; Friends"/>
    <n v="9.1"/>
    <n v="10"/>
    <x v="1928"/>
  </r>
  <r>
    <n v="2017"/>
    <n v="662"/>
    <d v="2026-01-22T00:00:00"/>
    <s v="Thursday"/>
    <n v="1"/>
    <n v="10.88"/>
    <x v="0"/>
    <x v="18"/>
    <s v="Male"/>
    <n v="69.400000000000006"/>
    <n v="157.5"/>
    <n v="22.8"/>
    <n v="16"/>
    <s v="AZ"/>
    <n v="6"/>
    <n v="222.9"/>
    <s v="Low"/>
    <n v="1"/>
    <s v="Multi-Day"/>
    <n v="0"/>
    <n v="0"/>
    <s v="Main Entrance"/>
    <s v="Mickey &amp; Friends"/>
    <n v="6.3"/>
    <n v="4"/>
    <x v="1929"/>
  </r>
  <r>
    <n v="2018"/>
    <n v="662"/>
    <d v="2026-01-22T00:00:00"/>
    <s v="Thursday"/>
    <n v="1"/>
    <n v="11.18"/>
    <x v="1"/>
    <x v="34"/>
    <s v="Male"/>
    <n v="68.5"/>
    <n v="149.6"/>
    <n v="22"/>
    <n v="13"/>
    <s v="AZ"/>
    <n v="6"/>
    <n v="222.9"/>
    <s v="Low"/>
    <n v="1"/>
    <s v="Multi-Day"/>
    <n v="0"/>
    <n v="0"/>
    <s v="Main Entrance"/>
    <s v="Mickey &amp; Friends"/>
    <n v="8.6"/>
    <n v="10"/>
    <x v="1930"/>
  </r>
  <r>
    <n v="2019"/>
    <n v="662"/>
    <d v="2026-01-22T00:00:00"/>
    <s v="Thursday"/>
    <n v="1"/>
    <n v="10.98"/>
    <x v="0"/>
    <x v="10"/>
    <s v="Female"/>
    <n v="62"/>
    <n v="174.4"/>
    <n v="32"/>
    <n v="10"/>
    <s v="AZ"/>
    <n v="6"/>
    <n v="222.9"/>
    <s v="Low"/>
    <n v="1"/>
    <s v="Multi-Day"/>
    <n v="0"/>
    <n v="0"/>
    <s v="Main Entrance"/>
    <s v="Mickey &amp; Friends"/>
    <n v="12.4"/>
    <n v="15"/>
    <x v="1931"/>
  </r>
  <r>
    <n v="2020"/>
    <n v="663"/>
    <d v="2026-04-15T00:00:00"/>
    <s v="Wednesday"/>
    <n v="4"/>
    <n v="11.97"/>
    <x v="1"/>
    <x v="8"/>
    <s v="Male"/>
    <n v="69.5"/>
    <n v="181.7"/>
    <n v="26.2"/>
    <n v="18"/>
    <s v="NV"/>
    <n v="4"/>
    <n v="211.3"/>
    <s v="Middle"/>
    <n v="0"/>
    <s v="Multi-Day"/>
    <n v="1"/>
    <n v="0"/>
    <s v="Main Entrance"/>
    <s v="Toy Story Lot"/>
    <n v="7.5"/>
    <n v="12"/>
    <x v="1932"/>
  </r>
  <r>
    <n v="2021"/>
    <n v="663"/>
    <d v="2026-04-15T00:00:00"/>
    <s v="Wednesday"/>
    <n v="4"/>
    <n v="12.11"/>
    <x v="1"/>
    <x v="5"/>
    <s v="Male"/>
    <n v="69.8"/>
    <n v="190.7"/>
    <n v="27.2"/>
    <n v="13"/>
    <s v="NV"/>
    <n v="4"/>
    <n v="211.3"/>
    <s v="Middle"/>
    <n v="0"/>
    <s v="Multi-Day"/>
    <n v="1"/>
    <n v="0"/>
    <s v="Main Entrance"/>
    <s v="Toy Story Lot"/>
    <n v="5.2"/>
    <n v="8"/>
    <x v="1933"/>
  </r>
  <r>
    <n v="2022"/>
    <n v="663"/>
    <d v="2026-04-15T00:00:00"/>
    <s v="Wednesday"/>
    <n v="4"/>
    <n v="12.06"/>
    <x v="1"/>
    <x v="8"/>
    <s v="Male"/>
    <n v="67.3"/>
    <n v="173.1"/>
    <n v="27"/>
    <n v="13"/>
    <s v="NV"/>
    <n v="4"/>
    <n v="211.3"/>
    <s v="Middle"/>
    <n v="0"/>
    <s v="Multi-Day"/>
    <n v="1"/>
    <n v="0"/>
    <s v="Main Entrance"/>
    <s v="Toy Story Lot"/>
    <n v="8.3000000000000007"/>
    <n v="9"/>
    <x v="1934"/>
  </r>
  <r>
    <n v="2023"/>
    <n v="663"/>
    <d v="2026-04-15T00:00:00"/>
    <s v="Wednesday"/>
    <n v="4"/>
    <n v="12.03"/>
    <x v="1"/>
    <x v="4"/>
    <s v="Female"/>
    <n v="63.1"/>
    <n v="142.6"/>
    <n v="25.3"/>
    <n v="17"/>
    <s v="NV"/>
    <n v="4"/>
    <n v="211.3"/>
    <s v="Middle"/>
    <n v="0"/>
    <s v="Multi-Day"/>
    <n v="1"/>
    <n v="0"/>
    <s v="Main Entrance"/>
    <s v="Toy Story Lot"/>
    <n v="8.9"/>
    <n v="10"/>
    <x v="1935"/>
  </r>
  <r>
    <n v="2024"/>
    <n v="664"/>
    <d v="2026-07-30T00:00:00"/>
    <s v="Thursday"/>
    <n v="7"/>
    <n v="8.8699999999999992"/>
    <x v="0"/>
    <x v="41"/>
    <s v="Male"/>
    <n v="65.7"/>
    <n v="139.4"/>
    <n v="22.8"/>
    <n v="16"/>
    <s v="CA"/>
    <n v="3"/>
    <n v="136.80000000000001"/>
    <s v="Middle"/>
    <n v="1"/>
    <s v="Single-Day"/>
    <n v="1"/>
    <n v="0"/>
    <s v="Main Entrance"/>
    <s v="Mickey &amp; Friends"/>
    <n v="12.9"/>
    <n v="15"/>
    <x v="1936"/>
  </r>
  <r>
    <n v="2025"/>
    <n v="664"/>
    <d v="2026-07-30T00:00:00"/>
    <s v="Thursday"/>
    <n v="7"/>
    <n v="8.77"/>
    <x v="0"/>
    <x v="62"/>
    <s v="Female"/>
    <n v="59.4"/>
    <n v="113"/>
    <n v="22.6"/>
    <n v="15"/>
    <s v="CA"/>
    <n v="3"/>
    <n v="136.80000000000001"/>
    <s v="Middle"/>
    <n v="1"/>
    <s v="Single-Day"/>
    <n v="1"/>
    <n v="0"/>
    <s v="Main Entrance"/>
    <s v="Mickey &amp; Friends"/>
    <n v="8.4"/>
    <n v="13"/>
    <x v="1937"/>
  </r>
  <r>
    <n v="2026"/>
    <n v="664"/>
    <d v="2026-07-30T00:00:00"/>
    <s v="Thursday"/>
    <n v="7"/>
    <n v="8.85"/>
    <x v="0"/>
    <x v="4"/>
    <s v="Male"/>
    <n v="69.099999999999994"/>
    <n v="165.1"/>
    <n v="24.4"/>
    <n v="16"/>
    <s v="CA"/>
    <n v="3"/>
    <n v="136.80000000000001"/>
    <s v="Middle"/>
    <n v="1"/>
    <s v="Single-Day"/>
    <n v="1"/>
    <n v="0"/>
    <s v="Main Entrance"/>
    <s v="Mickey &amp; Friends"/>
    <n v="4.5999999999999996"/>
    <n v="5"/>
    <x v="1938"/>
  </r>
  <r>
    <n v="2027"/>
    <n v="665"/>
    <d v="2026-07-29T00:00:00"/>
    <s v="Wednesday"/>
    <n v="7"/>
    <n v="10.77"/>
    <x v="0"/>
    <x v="4"/>
    <s v="Female"/>
    <n v="67.7"/>
    <n v="174.7"/>
    <n v="26.5"/>
    <n v="12"/>
    <s v="CO"/>
    <n v="3"/>
    <n v="913.5"/>
    <s v="Middle"/>
    <n v="1"/>
    <s v="Multi-Day"/>
    <n v="0"/>
    <n v="0"/>
    <s v="Main Entrance"/>
    <s v="Mickey &amp; Friends"/>
    <n v="9.4"/>
    <n v="13"/>
    <x v="1939"/>
  </r>
  <r>
    <n v="2028"/>
    <n v="665"/>
    <d v="2026-07-29T00:00:00"/>
    <s v="Wednesday"/>
    <n v="7"/>
    <n v="10.75"/>
    <x v="0"/>
    <x v="17"/>
    <s v="Male"/>
    <n v="70.5"/>
    <n v="132.19999999999999"/>
    <n v="18.399999999999999"/>
    <n v="14"/>
    <s v="CO"/>
    <n v="3"/>
    <n v="913.5"/>
    <s v="Middle"/>
    <n v="1"/>
    <s v="Multi-Day"/>
    <n v="0"/>
    <n v="0"/>
    <s v="Main Entrance"/>
    <s v="Mickey &amp; Friends"/>
    <n v="8.3000000000000007"/>
    <n v="9"/>
    <x v="1940"/>
  </r>
  <r>
    <n v="2029"/>
    <n v="665"/>
    <d v="2026-07-29T00:00:00"/>
    <s v="Wednesday"/>
    <n v="7"/>
    <n v="10.62"/>
    <x v="0"/>
    <x v="27"/>
    <s v="Male"/>
    <n v="72.599999999999994"/>
    <n v="116.3"/>
    <n v="15.4"/>
    <n v="14"/>
    <s v="CO"/>
    <n v="3"/>
    <n v="913.5"/>
    <s v="Middle"/>
    <n v="1"/>
    <s v="Multi-Day"/>
    <n v="0"/>
    <n v="0"/>
    <s v="Main Entrance"/>
    <s v="Mickey &amp; Friends"/>
    <n v="10.1"/>
    <n v="4"/>
    <x v="1941"/>
  </r>
  <r>
    <n v="2030"/>
    <n v="666"/>
    <d v="2026-12-05T00:00:00"/>
    <s v="Saturday"/>
    <n v="12"/>
    <n v="11.33"/>
    <x v="1"/>
    <x v="50"/>
    <s v="Male"/>
    <n v="63.1"/>
    <n v="115.7"/>
    <n v="20.3"/>
    <n v="7"/>
    <s v="OR"/>
    <n v="4"/>
    <n v="868.8"/>
    <s v="Middle"/>
    <n v="0"/>
    <s v="Park Hopper"/>
    <n v="0"/>
    <n v="0"/>
    <s v="Main Entrance"/>
    <s v="Mickey &amp; Friends"/>
    <n v="7"/>
    <n v="9"/>
    <x v="1942"/>
  </r>
  <r>
    <n v="2031"/>
    <n v="666"/>
    <d v="2026-12-05T00:00:00"/>
    <s v="Saturday"/>
    <n v="12"/>
    <n v="11.4"/>
    <x v="1"/>
    <x v="45"/>
    <s v="Female"/>
    <n v="70.099999999999994"/>
    <n v="194.9"/>
    <n v="28"/>
    <n v="14"/>
    <s v="OR"/>
    <n v="4"/>
    <n v="868.8"/>
    <s v="Middle"/>
    <n v="0"/>
    <s v="Park Hopper"/>
    <n v="0"/>
    <n v="0"/>
    <s v="Main Entrance"/>
    <s v="Mickey &amp; Friends"/>
    <n v="8.1999999999999993"/>
    <n v="8"/>
    <x v="1943"/>
  </r>
  <r>
    <n v="2032"/>
    <n v="666"/>
    <d v="2026-12-05T00:00:00"/>
    <s v="Saturday"/>
    <n v="12"/>
    <n v="11.31"/>
    <x v="1"/>
    <x v="44"/>
    <s v="Female"/>
    <n v="67.5"/>
    <n v="171.5"/>
    <n v="26.8"/>
    <n v="15"/>
    <s v="OR"/>
    <n v="4"/>
    <n v="868.8"/>
    <s v="Middle"/>
    <n v="0"/>
    <s v="Park Hopper"/>
    <n v="0"/>
    <n v="0"/>
    <s v="Main Entrance"/>
    <s v="Mickey &amp; Friends"/>
    <n v="8.6"/>
    <n v="7"/>
    <x v="1944"/>
  </r>
  <r>
    <n v="2033"/>
    <n v="666"/>
    <d v="2026-12-05T00:00:00"/>
    <s v="Saturday"/>
    <n v="12"/>
    <n v="11.31"/>
    <x v="1"/>
    <x v="16"/>
    <s v="Female"/>
    <n v="55.6"/>
    <n v="86"/>
    <n v="19.399999999999999"/>
    <n v="13"/>
    <s v="OR"/>
    <n v="4"/>
    <n v="868.8"/>
    <s v="Middle"/>
    <n v="0"/>
    <s v="Park Hopper"/>
    <n v="0"/>
    <n v="0"/>
    <s v="Main Entrance"/>
    <s v="Mickey &amp; Friends"/>
    <n v="5"/>
    <n v="5"/>
    <x v="1945"/>
  </r>
  <r>
    <n v="2034"/>
    <n v="667"/>
    <d v="2026-03-06T00:00:00"/>
    <s v="Friday"/>
    <n v="3"/>
    <n v="10.08"/>
    <x v="0"/>
    <x v="16"/>
    <s v="Female"/>
    <n v="52.4"/>
    <n v="96.2"/>
    <n v="24.8"/>
    <n v="15"/>
    <s v="SD"/>
    <n v="2"/>
    <n v="1820.2"/>
    <s v="High"/>
    <n v="1"/>
    <s v="Single-Day"/>
    <n v="0"/>
    <n v="1"/>
    <s v="Main Entrance"/>
    <s v="None/Walked from Resort"/>
    <n v="9.1"/>
    <n v="6"/>
    <x v="1946"/>
  </r>
  <r>
    <n v="2035"/>
    <n v="667"/>
    <d v="2026-03-06T00:00:00"/>
    <s v="Friday"/>
    <n v="3"/>
    <n v="9.9700000000000006"/>
    <x v="0"/>
    <x v="42"/>
    <s v="Male"/>
    <n v="70.2"/>
    <n v="160.6"/>
    <n v="22.8"/>
    <n v="16"/>
    <s v="SD"/>
    <n v="2"/>
    <n v="1820.2"/>
    <s v="High"/>
    <n v="1"/>
    <s v="Single-Day"/>
    <n v="0"/>
    <n v="1"/>
    <s v="Main Entrance"/>
    <s v="None/Walked from Resort"/>
    <n v="10.199999999999999"/>
    <n v="9"/>
    <x v="1947"/>
  </r>
  <r>
    <n v="2036"/>
    <n v="668"/>
    <d v="2026-04-18T00:00:00"/>
    <s v="Saturday"/>
    <n v="4"/>
    <n v="12.53"/>
    <x v="1"/>
    <x v="3"/>
    <s v="Female"/>
    <n v="64.599999999999994"/>
    <n v="133.9"/>
    <n v="22.6"/>
    <n v="15"/>
    <s v="Other"/>
    <n v="1"/>
    <n v="1281.9000000000001"/>
    <s v="High"/>
    <n v="0"/>
    <s v="Multi-Day"/>
    <n v="1"/>
    <n v="0"/>
    <s v="Main Entrance"/>
    <s v="Toy Story Lot"/>
    <n v="7.8"/>
    <n v="11"/>
    <x v="1948"/>
  </r>
  <r>
    <n v="2037"/>
    <n v="669"/>
    <d v="2026-09-24T00:00:00"/>
    <s v="Thursday"/>
    <n v="9"/>
    <n v="9.2200000000000006"/>
    <x v="0"/>
    <x v="29"/>
    <s v="Male"/>
    <n v="65.2"/>
    <n v="166"/>
    <n v="27.4"/>
    <n v="12"/>
    <s v="TX"/>
    <n v="1"/>
    <n v="1573.1"/>
    <s v="Middle"/>
    <n v="1"/>
    <s v="Multi-Day"/>
    <n v="0"/>
    <n v="1"/>
    <s v="Main Entrance"/>
    <s v="Mickey &amp; Friends"/>
    <n v="13"/>
    <n v="9"/>
    <x v="1949"/>
  </r>
  <r>
    <n v="2038"/>
    <n v="670"/>
    <d v="2026-08-13T00:00:00"/>
    <s v="Thursday"/>
    <n v="8"/>
    <n v="13.28"/>
    <x v="1"/>
    <x v="21"/>
    <s v="Female"/>
    <n v="65.900000000000006"/>
    <n v="143.30000000000001"/>
    <n v="23.3"/>
    <n v="14"/>
    <s v="AZ"/>
    <n v="3"/>
    <n v="490.3"/>
    <s v="Middle"/>
    <n v="1"/>
    <s v="Park Hopper"/>
    <n v="0"/>
    <n v="0"/>
    <s v="Main Entrance"/>
    <s v="Toy Story Lot"/>
    <n v="6.2"/>
    <n v="8"/>
    <x v="1950"/>
  </r>
  <r>
    <n v="2039"/>
    <n v="670"/>
    <d v="2026-08-13T00:00:00"/>
    <s v="Thursday"/>
    <n v="8"/>
    <n v="13.45"/>
    <x v="1"/>
    <x v="33"/>
    <s v="Male"/>
    <n v="63.5"/>
    <n v="155.4"/>
    <n v="27.2"/>
    <n v="16"/>
    <s v="AZ"/>
    <n v="3"/>
    <n v="490.3"/>
    <s v="Middle"/>
    <n v="1"/>
    <s v="Park Hopper"/>
    <n v="0"/>
    <n v="0"/>
    <s v="Main Entrance"/>
    <s v="Toy Story Lot"/>
    <n v="8.1999999999999993"/>
    <n v="12"/>
    <x v="1951"/>
  </r>
  <r>
    <n v="2040"/>
    <n v="670"/>
    <d v="2026-08-13T00:00:00"/>
    <s v="Thursday"/>
    <n v="8"/>
    <n v="13.54"/>
    <x v="1"/>
    <x v="35"/>
    <s v="Male"/>
    <n v="70.099999999999994"/>
    <n v="225.9"/>
    <n v="32.5"/>
    <n v="13"/>
    <s v="AZ"/>
    <n v="3"/>
    <n v="490.3"/>
    <s v="Middle"/>
    <n v="1"/>
    <s v="Park Hopper"/>
    <n v="0"/>
    <n v="0"/>
    <s v="Main Entrance"/>
    <s v="Toy Story Lot"/>
    <n v="7.8"/>
    <n v="5"/>
    <x v="1952"/>
  </r>
  <r>
    <n v="2041"/>
    <n v="671"/>
    <d v="2026-06-27T00:00:00"/>
    <s v="Saturday"/>
    <n v="6"/>
    <n v="7.08"/>
    <x v="0"/>
    <x v="33"/>
    <s v="Male"/>
    <n v="75.3"/>
    <n v="166.8"/>
    <n v="20.7"/>
    <n v="14"/>
    <s v="UT"/>
    <n v="2"/>
    <n v="530.29999999999995"/>
    <s v="Low"/>
    <n v="0"/>
    <s v="Single-Day"/>
    <n v="0"/>
    <n v="1"/>
    <s v="Main Entrance"/>
    <s v="Mickey &amp; Friends"/>
    <n v="10.4"/>
    <n v="8"/>
    <x v="1032"/>
  </r>
  <r>
    <n v="2042"/>
    <n v="671"/>
    <d v="2026-06-27T00:00:00"/>
    <s v="Saturday"/>
    <n v="6"/>
    <n v="7.14"/>
    <x v="0"/>
    <x v="39"/>
    <s v="Female"/>
    <n v="61.4"/>
    <n v="110.6"/>
    <n v="20.7"/>
    <n v="15"/>
    <s v="UT"/>
    <n v="2"/>
    <n v="530.29999999999995"/>
    <s v="Low"/>
    <n v="0"/>
    <s v="Single-Day"/>
    <n v="0"/>
    <n v="1"/>
    <s v="Main Entrance"/>
    <s v="Mickey &amp; Friends"/>
    <n v="8"/>
    <n v="7"/>
    <x v="1953"/>
  </r>
  <r>
    <n v="2043"/>
    <n v="672"/>
    <d v="2026-03-26T00:00:00"/>
    <s v="Thursday"/>
    <n v="3"/>
    <n v="8.06"/>
    <x v="0"/>
    <x v="15"/>
    <s v="Female"/>
    <n v="63.5"/>
    <n v="145.4"/>
    <n v="25.3"/>
    <n v="12"/>
    <s v="CA"/>
    <n v="5"/>
    <n v="114.2"/>
    <s v="Middle"/>
    <n v="0"/>
    <s v="Single-Day"/>
    <n v="0"/>
    <n v="1"/>
    <s v="Main Entrance"/>
    <s v="None/Walked from Resort"/>
    <n v="9.1"/>
    <n v="10"/>
    <x v="1954"/>
  </r>
  <r>
    <n v="2044"/>
    <n v="672"/>
    <d v="2026-03-26T00:00:00"/>
    <s v="Thursday"/>
    <n v="3"/>
    <n v="8.0500000000000007"/>
    <x v="0"/>
    <x v="57"/>
    <s v="Male"/>
    <n v="68.8"/>
    <n v="168.7"/>
    <n v="25.2"/>
    <n v="14"/>
    <s v="CA"/>
    <n v="5"/>
    <n v="114.2"/>
    <s v="Middle"/>
    <n v="0"/>
    <s v="Single-Day"/>
    <n v="0"/>
    <n v="1"/>
    <s v="Main Entrance"/>
    <s v="None/Walked from Resort"/>
    <n v="8.4"/>
    <n v="10"/>
    <x v="1955"/>
  </r>
  <r>
    <n v="2045"/>
    <n v="672"/>
    <d v="2026-03-26T00:00:00"/>
    <s v="Thursday"/>
    <n v="3"/>
    <n v="7.92"/>
    <x v="0"/>
    <x v="56"/>
    <s v="Male"/>
    <n v="72.400000000000006"/>
    <n v="194.7"/>
    <n v="26.2"/>
    <n v="21"/>
    <s v="CA"/>
    <n v="5"/>
    <n v="114.2"/>
    <s v="Middle"/>
    <n v="0"/>
    <s v="Single-Day"/>
    <n v="0"/>
    <n v="1"/>
    <s v="Main Entrance"/>
    <s v="None/Walked from Resort"/>
    <n v="8.6999999999999993"/>
    <n v="9"/>
    <x v="1956"/>
  </r>
  <r>
    <n v="2046"/>
    <n v="672"/>
    <d v="2026-03-26T00:00:00"/>
    <s v="Thursday"/>
    <n v="3"/>
    <n v="8.0299999999999994"/>
    <x v="0"/>
    <x v="45"/>
    <s v="Female"/>
    <n v="60.3"/>
    <n v="135.4"/>
    <n v="26.3"/>
    <n v="13"/>
    <s v="CA"/>
    <n v="5"/>
    <n v="114.2"/>
    <s v="Middle"/>
    <n v="0"/>
    <s v="Single-Day"/>
    <n v="0"/>
    <n v="1"/>
    <s v="Main Entrance"/>
    <s v="None/Walked from Resort"/>
    <n v="8.3000000000000007"/>
    <n v="8"/>
    <x v="1957"/>
  </r>
  <r>
    <n v="2047"/>
    <n v="672"/>
    <d v="2026-03-26T00:00:00"/>
    <s v="Thursday"/>
    <n v="3"/>
    <n v="7.89"/>
    <x v="0"/>
    <x v="19"/>
    <s v="Male"/>
    <n v="70.5"/>
    <n v="128.5"/>
    <n v="17.899999999999999"/>
    <n v="14"/>
    <s v="CA"/>
    <n v="5"/>
    <n v="114.2"/>
    <s v="Middle"/>
    <n v="0"/>
    <s v="Single-Day"/>
    <n v="0"/>
    <n v="1"/>
    <s v="Main Entrance"/>
    <s v="None/Walked from Resort"/>
    <n v="6.9"/>
    <n v="0"/>
    <x v="1958"/>
  </r>
  <r>
    <n v="2048"/>
    <n v="673"/>
    <d v="2026-09-10T00:00:00"/>
    <s v="Thursday"/>
    <n v="9"/>
    <n v="12.31"/>
    <x v="1"/>
    <x v="22"/>
    <s v="Male"/>
    <n v="67.900000000000006"/>
    <n v="162.19999999999999"/>
    <n v="24.4"/>
    <n v="10"/>
    <s v="Other"/>
    <n v="1"/>
    <n v="1710.1"/>
    <s v="Low"/>
    <n v="0"/>
    <s v="Park Hopper"/>
    <n v="1"/>
    <n v="1"/>
    <s v="Main Entrance"/>
    <s v="None/Walked from Resort"/>
    <n v="8.6999999999999993"/>
    <n v="11"/>
    <x v="1959"/>
  </r>
  <r>
    <n v="2049"/>
    <n v="674"/>
    <d v="2026-02-08T00:00:00"/>
    <s v="Sunday"/>
    <n v="2"/>
    <n v="11.02"/>
    <x v="1"/>
    <x v="43"/>
    <s v="Female"/>
    <n v="64.900000000000006"/>
    <n v="200.8"/>
    <n v="33.5"/>
    <n v="16"/>
    <s v="CA"/>
    <n v="5"/>
    <n v="61.1"/>
    <s v="Middle"/>
    <n v="1"/>
    <s v="Single-Day"/>
    <n v="0"/>
    <n v="0"/>
    <s v="Main Entrance"/>
    <s v="Pixar Pals"/>
    <n v="8.4"/>
    <n v="9"/>
    <x v="1960"/>
  </r>
  <r>
    <n v="2050"/>
    <n v="674"/>
    <d v="2026-02-08T00:00:00"/>
    <s v="Sunday"/>
    <n v="2"/>
    <n v="10.97"/>
    <x v="0"/>
    <x v="20"/>
    <s v="Female"/>
    <n v="65.099999999999994"/>
    <n v="102.3"/>
    <n v="17.100000000000001"/>
    <n v="13"/>
    <s v="CA"/>
    <n v="5"/>
    <n v="61.1"/>
    <s v="Middle"/>
    <n v="1"/>
    <s v="Single-Day"/>
    <n v="0"/>
    <n v="0"/>
    <s v="Main Entrance"/>
    <s v="Pixar Pals"/>
    <n v="6"/>
    <n v="3"/>
    <x v="1961"/>
  </r>
  <r>
    <n v="2051"/>
    <n v="674"/>
    <d v="2026-02-08T00:00:00"/>
    <s v="Sunday"/>
    <n v="2"/>
    <n v="11.21"/>
    <x v="1"/>
    <x v="63"/>
    <s v="Male"/>
    <n v="72.3"/>
    <n v="228.9"/>
    <n v="30.8"/>
    <n v="17"/>
    <s v="CA"/>
    <n v="5"/>
    <n v="61.1"/>
    <s v="Middle"/>
    <n v="1"/>
    <s v="Single-Day"/>
    <n v="0"/>
    <n v="0"/>
    <s v="Main Entrance"/>
    <s v="Pixar Pals"/>
    <n v="10.4"/>
    <n v="13"/>
    <x v="1962"/>
  </r>
  <r>
    <n v="2052"/>
    <n v="674"/>
    <d v="2026-02-08T00:00:00"/>
    <s v="Sunday"/>
    <n v="2"/>
    <n v="11.11"/>
    <x v="1"/>
    <x v="4"/>
    <s v="Female"/>
    <n v="62.7"/>
    <n v="127.5"/>
    <n v="22.8"/>
    <n v="16"/>
    <s v="CA"/>
    <n v="5"/>
    <n v="61.1"/>
    <s v="Middle"/>
    <n v="1"/>
    <s v="Single-Day"/>
    <n v="0"/>
    <n v="0"/>
    <s v="Main Entrance"/>
    <s v="Pixar Pals"/>
    <n v="7.7"/>
    <n v="4"/>
    <x v="1963"/>
  </r>
  <r>
    <n v="2053"/>
    <n v="674"/>
    <d v="2026-02-08T00:00:00"/>
    <s v="Sunday"/>
    <n v="2"/>
    <n v="11.15"/>
    <x v="1"/>
    <x v="38"/>
    <s v="Male"/>
    <n v="71.8"/>
    <n v="192.3"/>
    <n v="26.4"/>
    <n v="13"/>
    <s v="CA"/>
    <n v="5"/>
    <n v="61.1"/>
    <s v="Middle"/>
    <n v="1"/>
    <s v="Single-Day"/>
    <n v="0"/>
    <n v="0"/>
    <s v="Main Entrance"/>
    <s v="Pixar Pals"/>
    <n v="9.1999999999999993"/>
    <n v="7"/>
    <x v="1964"/>
  </r>
  <r>
    <n v="2054"/>
    <n v="675"/>
    <d v="2026-05-10T00:00:00"/>
    <s v="Sunday"/>
    <n v="5"/>
    <n v="8.42"/>
    <x v="0"/>
    <x v="43"/>
    <s v="Male"/>
    <n v="73.7"/>
    <n v="217.2"/>
    <n v="28.2"/>
    <n v="20"/>
    <s v="Other"/>
    <n v="5"/>
    <n v="1262.0999999999999"/>
    <s v="High"/>
    <n v="1"/>
    <s v="Single-Day"/>
    <n v="0"/>
    <n v="0"/>
    <s v="Downtown Disney Gate"/>
    <s v="Mickey &amp; Friends"/>
    <n v="6.2"/>
    <n v="8"/>
    <x v="1965"/>
  </r>
  <r>
    <n v="2055"/>
    <n v="675"/>
    <d v="2026-05-10T00:00:00"/>
    <s v="Sunday"/>
    <n v="5"/>
    <n v="8.6"/>
    <x v="0"/>
    <x v="50"/>
    <s v="Male"/>
    <n v="70"/>
    <n v="99.9"/>
    <n v="14.4"/>
    <n v="17"/>
    <s v="Other"/>
    <n v="5"/>
    <n v="1262.0999999999999"/>
    <s v="High"/>
    <n v="1"/>
    <s v="Single-Day"/>
    <n v="0"/>
    <n v="0"/>
    <s v="Downtown Disney Gate"/>
    <s v="Mickey &amp; Friends"/>
    <n v="9.1999999999999993"/>
    <n v="8"/>
    <x v="1966"/>
  </r>
  <r>
    <n v="2056"/>
    <n v="675"/>
    <d v="2026-05-10T00:00:00"/>
    <s v="Sunday"/>
    <n v="5"/>
    <n v="8.3699999999999992"/>
    <x v="0"/>
    <x v="35"/>
    <s v="Male"/>
    <n v="63.3"/>
    <n v="137.19999999999999"/>
    <n v="24.1"/>
    <n v="22"/>
    <s v="Other"/>
    <n v="5"/>
    <n v="1262.0999999999999"/>
    <s v="High"/>
    <n v="1"/>
    <s v="Single-Day"/>
    <n v="0"/>
    <n v="0"/>
    <s v="Downtown Disney Gate"/>
    <s v="Mickey &amp; Friends"/>
    <n v="9.6999999999999993"/>
    <n v="12"/>
    <x v="497"/>
  </r>
  <r>
    <n v="2057"/>
    <n v="675"/>
    <d v="2026-05-10T00:00:00"/>
    <s v="Sunday"/>
    <n v="5"/>
    <n v="8.0500000000000007"/>
    <x v="0"/>
    <x v="38"/>
    <s v="Male"/>
    <n v="71.8"/>
    <n v="247.3"/>
    <n v="33.6"/>
    <n v="15"/>
    <s v="Other"/>
    <n v="5"/>
    <n v="1262.0999999999999"/>
    <s v="High"/>
    <n v="1"/>
    <s v="Single-Day"/>
    <n v="0"/>
    <n v="0"/>
    <s v="Downtown Disney Gate"/>
    <s v="Mickey &amp; Friends"/>
    <n v="7.5"/>
    <n v="6"/>
    <x v="1967"/>
  </r>
  <r>
    <n v="2058"/>
    <n v="675"/>
    <d v="2026-05-10T00:00:00"/>
    <s v="Sunday"/>
    <n v="5"/>
    <n v="8.25"/>
    <x v="0"/>
    <x v="8"/>
    <s v="Male"/>
    <n v="74.2"/>
    <n v="218.1"/>
    <n v="28"/>
    <n v="18"/>
    <s v="Other"/>
    <n v="5"/>
    <n v="1262.0999999999999"/>
    <s v="High"/>
    <n v="1"/>
    <s v="Single-Day"/>
    <n v="0"/>
    <n v="0"/>
    <s v="Downtown Disney Gate"/>
    <s v="Mickey &amp; Friends"/>
    <n v="6.9"/>
    <n v="5"/>
    <x v="1968"/>
  </r>
  <r>
    <n v="2059"/>
    <n v="676"/>
    <d v="2026-09-24T00:00:00"/>
    <s v="Thursday"/>
    <n v="9"/>
    <n v="11.96"/>
    <x v="1"/>
    <x v="33"/>
    <s v="Female"/>
    <n v="64.900000000000006"/>
    <n v="139.4"/>
    <n v="23.5"/>
    <n v="17"/>
    <s v="NY"/>
    <n v="2"/>
    <n v="2418.6999999999998"/>
    <s v="Middle"/>
    <n v="0"/>
    <s v="Multi-Day"/>
    <n v="0"/>
    <n v="1"/>
    <s v="Main Entrance"/>
    <s v="Toy Story Lot"/>
    <n v="10.8"/>
    <n v="9"/>
    <x v="1969"/>
  </r>
  <r>
    <n v="2060"/>
    <n v="676"/>
    <d v="2026-09-24T00:00:00"/>
    <s v="Thursday"/>
    <n v="9"/>
    <n v="11.75"/>
    <x v="1"/>
    <x v="44"/>
    <s v="Female"/>
    <n v="65.599999999999994"/>
    <n v="122.3"/>
    <n v="20"/>
    <n v="16"/>
    <s v="NY"/>
    <n v="2"/>
    <n v="2418.6999999999998"/>
    <s v="Middle"/>
    <n v="0"/>
    <s v="Multi-Day"/>
    <n v="0"/>
    <n v="1"/>
    <s v="Main Entrance"/>
    <s v="Toy Story Lot"/>
    <n v="9.3000000000000007"/>
    <n v="7"/>
    <x v="1970"/>
  </r>
  <r>
    <n v="2061"/>
    <n v="677"/>
    <d v="2026-08-15T00:00:00"/>
    <s v="Saturday"/>
    <n v="8"/>
    <n v="9.32"/>
    <x v="0"/>
    <x v="18"/>
    <s v="Male"/>
    <n v="76.400000000000006"/>
    <n v="211.3"/>
    <n v="25.8"/>
    <n v="16"/>
    <s v="CA"/>
    <n v="4"/>
    <n v="163.5"/>
    <s v="Middle"/>
    <n v="0"/>
    <s v="Single-Day"/>
    <n v="0"/>
    <n v="0"/>
    <s v="Main Entrance"/>
    <s v="None/Dropoff/Transit"/>
    <n v="6.3"/>
    <n v="6"/>
    <x v="1971"/>
  </r>
  <r>
    <n v="2062"/>
    <n v="677"/>
    <d v="2026-08-15T00:00:00"/>
    <s v="Saturday"/>
    <n v="8"/>
    <n v="9.26"/>
    <x v="0"/>
    <x v="23"/>
    <s v="Male"/>
    <n v="72.400000000000006"/>
    <n v="216.4"/>
    <n v="28.9"/>
    <n v="15"/>
    <s v="CA"/>
    <n v="4"/>
    <n v="163.5"/>
    <s v="Middle"/>
    <n v="0"/>
    <s v="Single-Day"/>
    <n v="0"/>
    <n v="0"/>
    <s v="Main Entrance"/>
    <s v="None/Dropoff/Transit"/>
    <n v="9.5"/>
    <n v="11"/>
    <x v="1972"/>
  </r>
  <r>
    <n v="2063"/>
    <n v="677"/>
    <d v="2026-08-15T00:00:00"/>
    <s v="Saturday"/>
    <n v="8"/>
    <n v="9.51"/>
    <x v="0"/>
    <x v="50"/>
    <s v="Male"/>
    <n v="65.900000000000006"/>
    <n v="128.9"/>
    <n v="20.6"/>
    <n v="13"/>
    <s v="CA"/>
    <n v="4"/>
    <n v="163.5"/>
    <s v="Middle"/>
    <n v="0"/>
    <s v="Single-Day"/>
    <n v="0"/>
    <n v="0"/>
    <s v="Main Entrance"/>
    <s v="None/Dropoff/Transit"/>
    <n v="8.1999999999999993"/>
    <n v="9"/>
    <x v="1973"/>
  </r>
  <r>
    <n v="2064"/>
    <n v="677"/>
    <d v="2026-08-15T00:00:00"/>
    <s v="Saturday"/>
    <n v="8"/>
    <n v="9.4700000000000006"/>
    <x v="0"/>
    <x v="43"/>
    <s v="Male"/>
    <n v="65.2"/>
    <n v="166.5"/>
    <n v="27.6"/>
    <n v="14"/>
    <s v="CA"/>
    <n v="4"/>
    <n v="163.5"/>
    <s v="Middle"/>
    <n v="0"/>
    <s v="Single-Day"/>
    <n v="0"/>
    <n v="0"/>
    <s v="Main Entrance"/>
    <s v="None/Dropoff/Transit"/>
    <n v="9"/>
    <n v="7"/>
    <x v="134"/>
  </r>
  <r>
    <n v="2065"/>
    <n v="678"/>
    <d v="2026-11-26T00:00:00"/>
    <s v="Thursday"/>
    <n v="11"/>
    <n v="8.8000000000000007"/>
    <x v="0"/>
    <x v="26"/>
    <s v="Female"/>
    <n v="66.7"/>
    <n v="184.8"/>
    <n v="29.1"/>
    <n v="16"/>
    <s v="CO"/>
    <n v="3"/>
    <n v="745.1"/>
    <s v="Middle"/>
    <n v="1"/>
    <s v="Single-Day"/>
    <n v="1"/>
    <n v="0"/>
    <s v="Downtown Disney Gate"/>
    <s v="Mickey &amp; Friends"/>
    <n v="8.4"/>
    <n v="7"/>
    <x v="1974"/>
  </r>
  <r>
    <n v="2066"/>
    <n v="678"/>
    <d v="2026-11-26T00:00:00"/>
    <s v="Thursday"/>
    <n v="11"/>
    <n v="8.6"/>
    <x v="0"/>
    <x v="41"/>
    <s v="Female"/>
    <n v="64.599999999999994"/>
    <n v="131.19999999999999"/>
    <n v="22"/>
    <n v="15"/>
    <s v="CO"/>
    <n v="3"/>
    <n v="745.1"/>
    <s v="Middle"/>
    <n v="1"/>
    <s v="Single-Day"/>
    <n v="1"/>
    <n v="0"/>
    <s v="Downtown Disney Gate"/>
    <s v="Mickey &amp; Friends"/>
    <n v="9.6"/>
    <n v="13"/>
    <x v="1975"/>
  </r>
  <r>
    <n v="2067"/>
    <n v="678"/>
    <d v="2026-11-26T00:00:00"/>
    <s v="Thursday"/>
    <n v="11"/>
    <n v="8.68"/>
    <x v="0"/>
    <x v="4"/>
    <s v="Female"/>
    <n v="62.4"/>
    <n v="118.4"/>
    <n v="21.2"/>
    <n v="18"/>
    <s v="CO"/>
    <n v="3"/>
    <n v="745.1"/>
    <s v="Middle"/>
    <n v="1"/>
    <s v="Single-Day"/>
    <n v="1"/>
    <n v="0"/>
    <s v="Downtown Disney Gate"/>
    <s v="Mickey &amp; Friends"/>
    <n v="9.6999999999999993"/>
    <n v="11"/>
    <x v="1976"/>
  </r>
  <r>
    <n v="2068"/>
    <n v="679"/>
    <d v="2026-05-11T00:00:00"/>
    <s v="Monday"/>
    <n v="5"/>
    <n v="9.92"/>
    <x v="0"/>
    <x v="38"/>
    <s v="Female"/>
    <n v="60.5"/>
    <n v="132.80000000000001"/>
    <n v="25.5"/>
    <n v="12"/>
    <s v="CA"/>
    <n v="4"/>
    <n v="2"/>
    <s v="Low"/>
    <n v="0"/>
    <s v="Single-Day"/>
    <n v="0"/>
    <n v="0"/>
    <s v="Main Entrance"/>
    <s v="Mickey &amp; Friends"/>
    <n v="9.8000000000000007"/>
    <n v="16"/>
    <x v="1977"/>
  </r>
  <r>
    <n v="2069"/>
    <n v="679"/>
    <d v="2026-05-11T00:00:00"/>
    <s v="Monday"/>
    <n v="5"/>
    <n v="9.7100000000000009"/>
    <x v="0"/>
    <x v="32"/>
    <s v="Male"/>
    <n v="55.4"/>
    <n v="92.9"/>
    <n v="21.3"/>
    <n v="13"/>
    <s v="CA"/>
    <n v="4"/>
    <n v="2"/>
    <s v="Low"/>
    <n v="0"/>
    <s v="Single-Day"/>
    <n v="0"/>
    <n v="0"/>
    <s v="Main Entrance"/>
    <s v="Mickey &amp; Friends"/>
    <n v="8.6"/>
    <n v="7"/>
    <x v="1978"/>
  </r>
  <r>
    <n v="2070"/>
    <n v="679"/>
    <d v="2026-05-11T00:00:00"/>
    <s v="Monday"/>
    <n v="5"/>
    <n v="9.86"/>
    <x v="0"/>
    <x v="53"/>
    <s v="Female"/>
    <n v="56.6"/>
    <n v="87.2"/>
    <n v="19.2"/>
    <n v="10"/>
    <s v="CA"/>
    <n v="4"/>
    <n v="2"/>
    <s v="Low"/>
    <n v="0"/>
    <s v="Single-Day"/>
    <n v="0"/>
    <n v="0"/>
    <s v="Main Entrance"/>
    <s v="Mickey &amp; Friends"/>
    <n v="6.6"/>
    <n v="4"/>
    <x v="1979"/>
  </r>
  <r>
    <n v="2071"/>
    <n v="679"/>
    <d v="2026-05-11T00:00:00"/>
    <s v="Monday"/>
    <n v="5"/>
    <n v="9.86"/>
    <x v="0"/>
    <x v="21"/>
    <s v="Female"/>
    <n v="64.900000000000006"/>
    <n v="153.1"/>
    <n v="25.6"/>
    <n v="14"/>
    <s v="CA"/>
    <n v="4"/>
    <n v="2"/>
    <s v="Low"/>
    <n v="0"/>
    <s v="Single-Day"/>
    <n v="0"/>
    <n v="0"/>
    <s v="Main Entrance"/>
    <s v="Mickey &amp; Friends"/>
    <n v="6"/>
    <n v="5"/>
    <x v="1980"/>
  </r>
  <r>
    <n v="2072"/>
    <n v="680"/>
    <d v="2026-02-26T00:00:00"/>
    <s v="Thursday"/>
    <n v="2"/>
    <n v="10.79"/>
    <x v="0"/>
    <x v="35"/>
    <s v="Male"/>
    <n v="71.2"/>
    <n v="139.19999999999999"/>
    <n v="19.100000000000001"/>
    <n v="15"/>
    <s v="CA"/>
    <n v="3"/>
    <n v="73.3"/>
    <s v="Middle"/>
    <n v="0"/>
    <s v="Multi-Day"/>
    <n v="0"/>
    <n v="0"/>
    <s v="Downtown Disney Gate"/>
    <s v="Mickey &amp; Friends"/>
    <n v="9"/>
    <n v="6"/>
    <x v="1981"/>
  </r>
  <r>
    <n v="2073"/>
    <n v="680"/>
    <d v="2026-02-26T00:00:00"/>
    <s v="Thursday"/>
    <n v="2"/>
    <n v="10.42"/>
    <x v="0"/>
    <x v="56"/>
    <s v="Female"/>
    <n v="63.4"/>
    <n v="112"/>
    <n v="19.600000000000001"/>
    <n v="11"/>
    <s v="CA"/>
    <n v="3"/>
    <n v="73.3"/>
    <s v="Middle"/>
    <n v="0"/>
    <s v="Multi-Day"/>
    <n v="0"/>
    <n v="0"/>
    <s v="Downtown Disney Gate"/>
    <s v="Mickey &amp; Friends"/>
    <n v="5"/>
    <n v="7"/>
    <x v="1982"/>
  </r>
  <r>
    <n v="2074"/>
    <n v="680"/>
    <d v="2026-02-26T00:00:00"/>
    <s v="Thursday"/>
    <n v="2"/>
    <n v="10.88"/>
    <x v="0"/>
    <x v="33"/>
    <s v="Male"/>
    <n v="64.900000000000006"/>
    <n v="167.1"/>
    <n v="28"/>
    <n v="17"/>
    <s v="CA"/>
    <n v="3"/>
    <n v="73.3"/>
    <s v="Middle"/>
    <n v="0"/>
    <s v="Multi-Day"/>
    <n v="0"/>
    <n v="0"/>
    <s v="Downtown Disney Gate"/>
    <s v="Mickey &amp; Friends"/>
    <n v="7.7"/>
    <n v="6"/>
    <x v="1983"/>
  </r>
  <r>
    <n v="2075"/>
    <n v="681"/>
    <d v="2026-07-12T00:00:00"/>
    <s v="Sunday"/>
    <n v="7"/>
    <n v="8.99"/>
    <x v="0"/>
    <x v="40"/>
    <s v="Female"/>
    <n v="63.3"/>
    <n v="122.9"/>
    <n v="21.7"/>
    <n v="12"/>
    <s v="CA"/>
    <n v="5"/>
    <n v="139"/>
    <s v="High"/>
    <n v="0"/>
    <s v="Park Hopper"/>
    <n v="0"/>
    <n v="0"/>
    <s v="Main Entrance"/>
    <s v="Pixar Pals"/>
    <n v="7.6"/>
    <n v="4"/>
    <x v="1984"/>
  </r>
  <r>
    <n v="2076"/>
    <n v="681"/>
    <d v="2026-07-12T00:00:00"/>
    <s v="Sunday"/>
    <n v="7"/>
    <n v="9.07"/>
    <x v="0"/>
    <x v="52"/>
    <s v="Female"/>
    <n v="64.3"/>
    <n v="128.30000000000001"/>
    <n v="21.4"/>
    <n v="19"/>
    <s v="CA"/>
    <n v="5"/>
    <n v="139"/>
    <s v="High"/>
    <n v="0"/>
    <s v="Park Hopper"/>
    <n v="0"/>
    <n v="0"/>
    <s v="Main Entrance"/>
    <s v="Pixar Pals"/>
    <n v="8"/>
    <n v="9"/>
    <x v="1985"/>
  </r>
  <r>
    <n v="2077"/>
    <n v="681"/>
    <d v="2026-07-12T00:00:00"/>
    <s v="Sunday"/>
    <n v="7"/>
    <n v="9.1300000000000008"/>
    <x v="0"/>
    <x v="13"/>
    <s v="Male"/>
    <n v="72.900000000000006"/>
    <n v="213.5"/>
    <n v="28.4"/>
    <n v="15"/>
    <s v="CA"/>
    <n v="5"/>
    <n v="139"/>
    <s v="High"/>
    <n v="0"/>
    <s v="Park Hopper"/>
    <n v="0"/>
    <n v="0"/>
    <s v="Main Entrance"/>
    <s v="Pixar Pals"/>
    <n v="9.6"/>
    <n v="11"/>
    <x v="1986"/>
  </r>
  <r>
    <n v="2078"/>
    <n v="681"/>
    <d v="2026-07-12T00:00:00"/>
    <s v="Sunday"/>
    <n v="7"/>
    <n v="9.2799999999999994"/>
    <x v="0"/>
    <x v="64"/>
    <s v="Male"/>
    <n v="54.6"/>
    <n v="86.2"/>
    <n v="20.6"/>
    <n v="14"/>
    <s v="CA"/>
    <n v="5"/>
    <n v="139"/>
    <s v="High"/>
    <n v="0"/>
    <s v="Park Hopper"/>
    <n v="0"/>
    <n v="0"/>
    <s v="Main Entrance"/>
    <s v="Pixar Pals"/>
    <n v="10.199999999999999"/>
    <n v="11"/>
    <x v="1987"/>
  </r>
  <r>
    <n v="2079"/>
    <n v="681"/>
    <d v="2026-07-12T00:00:00"/>
    <s v="Sunday"/>
    <n v="7"/>
    <n v="9.0500000000000007"/>
    <x v="0"/>
    <x v="22"/>
    <s v="Male"/>
    <n v="51.9"/>
    <n v="72.3"/>
    <n v="19"/>
    <n v="12"/>
    <s v="CA"/>
    <n v="5"/>
    <n v="139"/>
    <s v="High"/>
    <n v="0"/>
    <s v="Park Hopper"/>
    <n v="0"/>
    <n v="0"/>
    <s v="Main Entrance"/>
    <s v="Pixar Pals"/>
    <n v="8.9"/>
    <n v="7"/>
    <x v="1988"/>
  </r>
  <r>
    <n v="2080"/>
    <n v="682"/>
    <d v="2026-03-25T00:00:00"/>
    <s v="Wednesday"/>
    <n v="3"/>
    <n v="9.23"/>
    <x v="0"/>
    <x v="3"/>
    <s v="Male"/>
    <n v="67.8"/>
    <n v="150.69999999999999"/>
    <n v="22.8"/>
    <n v="9"/>
    <s v="CA"/>
    <n v="1"/>
    <n v="83.5"/>
    <s v="Low"/>
    <n v="0"/>
    <s v="Single-Day"/>
    <n v="1"/>
    <n v="0"/>
    <s v="Main Entrance"/>
    <s v="Pixar Pals"/>
    <n v="6.7"/>
    <n v="2"/>
    <x v="1989"/>
  </r>
  <r>
    <n v="2081"/>
    <n v="683"/>
    <d v="2026-05-27T00:00:00"/>
    <s v="Wednesday"/>
    <n v="5"/>
    <n v="13.9"/>
    <x v="1"/>
    <x v="39"/>
    <s v="Male"/>
    <n v="66.3"/>
    <n v="120.8"/>
    <n v="18.899999999999999"/>
    <n v="18"/>
    <s v="NV"/>
    <n v="2"/>
    <n v="262.10000000000002"/>
    <s v="High"/>
    <n v="0"/>
    <s v="Single-Day"/>
    <n v="0"/>
    <n v="1"/>
    <s v="Main Entrance"/>
    <s v="Pixar Pals"/>
    <n v="7.5"/>
    <n v="10"/>
    <x v="1990"/>
  </r>
  <r>
    <n v="2082"/>
    <n v="683"/>
    <d v="2026-05-27T00:00:00"/>
    <s v="Wednesday"/>
    <n v="5"/>
    <n v="13.94"/>
    <x v="1"/>
    <x v="60"/>
    <s v="Female"/>
    <n v="57.9"/>
    <n v="98"/>
    <n v="20.6"/>
    <n v="16"/>
    <s v="NV"/>
    <n v="2"/>
    <n v="262.10000000000002"/>
    <s v="High"/>
    <n v="0"/>
    <s v="Single-Day"/>
    <n v="0"/>
    <n v="1"/>
    <s v="Main Entrance"/>
    <s v="Pixar Pals"/>
    <n v="9.6999999999999993"/>
    <n v="5"/>
    <x v="1991"/>
  </r>
  <r>
    <n v="2083"/>
    <n v="684"/>
    <d v="2026-06-11T00:00:00"/>
    <s v="Thursday"/>
    <n v="6"/>
    <n v="9.34"/>
    <x v="0"/>
    <x v="36"/>
    <s v="Male"/>
    <n v="67.8"/>
    <n v="150.69999999999999"/>
    <n v="23.1"/>
    <n v="16"/>
    <s v="NV"/>
    <n v="3"/>
    <n v="151.9"/>
    <s v="Middle"/>
    <n v="1"/>
    <s v="Multi-Day"/>
    <n v="0"/>
    <n v="1"/>
    <s v="Main Entrance"/>
    <s v="Mickey &amp; Friends"/>
    <n v="10.199999999999999"/>
    <n v="8"/>
    <x v="1992"/>
  </r>
  <r>
    <n v="2084"/>
    <n v="684"/>
    <d v="2026-06-11T00:00:00"/>
    <s v="Thursday"/>
    <n v="6"/>
    <n v="9.4600000000000009"/>
    <x v="0"/>
    <x v="17"/>
    <s v="Female"/>
    <n v="60.7"/>
    <n v="105.1"/>
    <n v="20.3"/>
    <n v="15"/>
    <s v="NV"/>
    <n v="3"/>
    <n v="151.9"/>
    <s v="Middle"/>
    <n v="1"/>
    <s v="Multi-Day"/>
    <n v="0"/>
    <n v="1"/>
    <s v="Main Entrance"/>
    <s v="Mickey &amp; Friends"/>
    <n v="11.3"/>
    <n v="9"/>
    <x v="1993"/>
  </r>
  <r>
    <n v="2085"/>
    <n v="684"/>
    <d v="2026-06-11T00:00:00"/>
    <s v="Thursday"/>
    <n v="6"/>
    <n v="9.3699999999999992"/>
    <x v="0"/>
    <x v="34"/>
    <s v="Male"/>
    <n v="66.3"/>
    <n v="121.8"/>
    <n v="19.399999999999999"/>
    <n v="17"/>
    <s v="NV"/>
    <n v="3"/>
    <n v="151.9"/>
    <s v="Middle"/>
    <n v="1"/>
    <s v="Multi-Day"/>
    <n v="0"/>
    <n v="1"/>
    <s v="Main Entrance"/>
    <s v="Mickey &amp; Friends"/>
    <n v="10.5"/>
    <n v="11"/>
    <x v="1994"/>
  </r>
  <r>
    <n v="2086"/>
    <n v="685"/>
    <d v="2026-06-07T00:00:00"/>
    <s v="Sunday"/>
    <n v="6"/>
    <n v="11.02"/>
    <x v="1"/>
    <x v="21"/>
    <s v="Male"/>
    <n v="70.3"/>
    <n v="185.6"/>
    <n v="26.5"/>
    <n v="16"/>
    <s v="Other"/>
    <n v="1"/>
    <n v="2286.6"/>
    <s v="High"/>
    <n v="1"/>
    <s v="Single-Day"/>
    <n v="0"/>
    <n v="1"/>
    <s v="Main Entrance"/>
    <s v="None/Walked from Resort"/>
    <n v="7.3"/>
    <n v="7"/>
    <x v="1995"/>
  </r>
  <r>
    <n v="2087"/>
    <n v="686"/>
    <d v="2026-03-23T00:00:00"/>
    <s v="Monday"/>
    <n v="3"/>
    <n v="8.6"/>
    <x v="0"/>
    <x v="44"/>
    <s v="Female"/>
    <n v="69.099999999999994"/>
    <n v="167.3"/>
    <n v="24.6"/>
    <n v="12"/>
    <s v="Other"/>
    <n v="3"/>
    <n v="1792.1"/>
    <s v="Middle"/>
    <n v="0"/>
    <s v="Multi-Day"/>
    <n v="1"/>
    <n v="1"/>
    <s v="Downtown Disney Gate"/>
    <s v="None/Walked from Resort"/>
    <n v="11.1"/>
    <n v="18"/>
    <x v="1996"/>
  </r>
  <r>
    <n v="2088"/>
    <n v="686"/>
    <d v="2026-03-23T00:00:00"/>
    <s v="Monday"/>
    <n v="3"/>
    <n v="8.65"/>
    <x v="0"/>
    <x v="60"/>
    <s v="Male"/>
    <n v="60"/>
    <n v="64.599999999999994"/>
    <n v="12.5"/>
    <n v="13"/>
    <s v="Other"/>
    <n v="3"/>
    <n v="1792.1"/>
    <s v="Middle"/>
    <n v="0"/>
    <s v="Multi-Day"/>
    <n v="1"/>
    <n v="1"/>
    <s v="Downtown Disney Gate"/>
    <s v="None/Walked from Resort"/>
    <n v="10"/>
    <n v="8"/>
    <x v="1997"/>
  </r>
  <r>
    <n v="2089"/>
    <n v="686"/>
    <d v="2026-03-23T00:00:00"/>
    <s v="Monday"/>
    <n v="3"/>
    <n v="8.59"/>
    <x v="0"/>
    <x v="34"/>
    <s v="Male"/>
    <n v="72.400000000000006"/>
    <n v="156.80000000000001"/>
    <n v="21"/>
    <n v="17"/>
    <s v="Other"/>
    <n v="3"/>
    <n v="1792.1"/>
    <s v="Middle"/>
    <n v="0"/>
    <s v="Multi-Day"/>
    <n v="1"/>
    <n v="1"/>
    <s v="Downtown Disney Gate"/>
    <s v="None/Walked from Resort"/>
    <n v="8.8000000000000007"/>
    <n v="5"/>
    <x v="1998"/>
  </r>
  <r>
    <n v="2090"/>
    <n v="687"/>
    <d v="2026-08-28T00:00:00"/>
    <s v="Friday"/>
    <n v="8"/>
    <n v="7.86"/>
    <x v="0"/>
    <x v="14"/>
    <s v="Male"/>
    <n v="72.599999999999994"/>
    <n v="190.6"/>
    <n v="25.1"/>
    <n v="18"/>
    <s v="Other"/>
    <n v="4"/>
    <n v="1044.5"/>
    <s v="Middle"/>
    <n v="1"/>
    <s v="Single-Day"/>
    <n v="1"/>
    <n v="0"/>
    <s v="Main Entrance"/>
    <s v="None/Dropoff/Transit"/>
    <n v="8.4"/>
    <n v="9"/>
    <x v="1999"/>
  </r>
  <r>
    <n v="2091"/>
    <n v="687"/>
    <d v="2026-08-28T00:00:00"/>
    <s v="Friday"/>
    <n v="8"/>
    <n v="7.96"/>
    <x v="0"/>
    <x v="38"/>
    <s v="Male"/>
    <n v="70.7"/>
    <n v="188.5"/>
    <n v="26.9"/>
    <n v="13"/>
    <s v="Other"/>
    <n v="4"/>
    <n v="1044.5"/>
    <s v="Middle"/>
    <n v="1"/>
    <s v="Single-Day"/>
    <n v="1"/>
    <n v="0"/>
    <s v="Main Entrance"/>
    <s v="None/Dropoff/Transit"/>
    <n v="7.1"/>
    <n v="2"/>
    <x v="2000"/>
  </r>
  <r>
    <n v="2092"/>
    <n v="687"/>
    <d v="2026-08-28T00:00:00"/>
    <s v="Friday"/>
    <n v="8"/>
    <n v="8.0399999999999991"/>
    <x v="0"/>
    <x v="45"/>
    <s v="Female"/>
    <n v="61.8"/>
    <n v="143"/>
    <n v="26.2"/>
    <n v="16"/>
    <s v="Other"/>
    <n v="4"/>
    <n v="1044.5"/>
    <s v="Middle"/>
    <n v="1"/>
    <s v="Single-Day"/>
    <n v="1"/>
    <n v="0"/>
    <s v="Main Entrance"/>
    <s v="None/Dropoff/Transit"/>
    <n v="8.6"/>
    <n v="8"/>
    <x v="2001"/>
  </r>
  <r>
    <n v="2093"/>
    <n v="687"/>
    <d v="2026-08-28T00:00:00"/>
    <s v="Friday"/>
    <n v="8"/>
    <n v="8.1199999999999992"/>
    <x v="0"/>
    <x v="38"/>
    <s v="Male"/>
    <n v="70.8"/>
    <n v="212.5"/>
    <n v="30"/>
    <n v="13"/>
    <s v="Other"/>
    <n v="4"/>
    <n v="1044.5"/>
    <s v="Middle"/>
    <n v="1"/>
    <s v="Single-Day"/>
    <n v="1"/>
    <n v="0"/>
    <s v="Main Entrance"/>
    <s v="None/Dropoff/Transit"/>
    <n v="8.4"/>
    <n v="12"/>
    <x v="2002"/>
  </r>
  <r>
    <n v="2094"/>
    <n v="688"/>
    <d v="2026-08-22T00:00:00"/>
    <s v="Saturday"/>
    <n v="8"/>
    <n v="8.67"/>
    <x v="0"/>
    <x v="7"/>
    <s v="Male"/>
    <n v="53.3"/>
    <n v="65.8"/>
    <n v="16.2"/>
    <n v="12"/>
    <s v="IL"/>
    <n v="1"/>
    <n v="2386.6"/>
    <s v="Middle"/>
    <n v="0"/>
    <s v="Single-Day"/>
    <n v="0"/>
    <n v="1"/>
    <s v="Main Entrance"/>
    <s v="Toy Story Lot"/>
    <n v="10"/>
    <n v="7"/>
    <x v="2003"/>
  </r>
  <r>
    <n v="2095"/>
    <n v="689"/>
    <d v="2026-11-29T00:00:00"/>
    <s v="Sunday"/>
    <n v="11"/>
    <n v="11.25"/>
    <x v="1"/>
    <x v="7"/>
    <s v="Male"/>
    <n v="52.6"/>
    <n v="74.7"/>
    <n v="19.2"/>
    <n v="14"/>
    <s v="TX"/>
    <n v="1"/>
    <n v="1942.6"/>
    <s v="High"/>
    <n v="1"/>
    <s v="Single-Day"/>
    <n v="1"/>
    <n v="0"/>
    <s v="Main Entrance"/>
    <s v="Pixar Pals"/>
    <n v="5.8"/>
    <n v="8"/>
    <x v="2004"/>
  </r>
  <r>
    <n v="2096"/>
    <n v="690"/>
    <d v="2026-06-21T00:00:00"/>
    <s v="Sunday"/>
    <n v="6"/>
    <n v="8.9499999999999993"/>
    <x v="0"/>
    <x v="28"/>
    <s v="Male"/>
    <n v="69.5"/>
    <n v="161.1"/>
    <n v="23.3"/>
    <n v="15"/>
    <s v="Other"/>
    <n v="3"/>
    <n v="2484.3000000000002"/>
    <s v="Middle"/>
    <n v="1"/>
    <s v="Park Hopper"/>
    <n v="1"/>
    <n v="1"/>
    <s v="Main Entrance"/>
    <s v="Mickey &amp; Friends"/>
    <n v="10.7"/>
    <n v="12"/>
    <x v="2005"/>
  </r>
  <r>
    <n v="2097"/>
    <n v="690"/>
    <d v="2026-06-21T00:00:00"/>
    <s v="Sunday"/>
    <n v="6"/>
    <n v="9.24"/>
    <x v="0"/>
    <x v="50"/>
    <s v="Male"/>
    <n v="67.8"/>
    <n v="125.3"/>
    <n v="19"/>
    <n v="12"/>
    <s v="Other"/>
    <n v="3"/>
    <n v="2484.3000000000002"/>
    <s v="Middle"/>
    <n v="1"/>
    <s v="Park Hopper"/>
    <n v="1"/>
    <n v="1"/>
    <s v="Main Entrance"/>
    <s v="Mickey &amp; Friends"/>
    <n v="8.8000000000000007"/>
    <n v="13"/>
    <x v="2006"/>
  </r>
  <r>
    <n v="2098"/>
    <n v="690"/>
    <d v="2026-06-21T00:00:00"/>
    <s v="Sunday"/>
    <n v="6"/>
    <n v="8.9700000000000006"/>
    <x v="0"/>
    <x v="2"/>
    <s v="Female"/>
    <n v="59.5"/>
    <n v="112.7"/>
    <n v="22.1"/>
    <n v="16"/>
    <s v="Other"/>
    <n v="3"/>
    <n v="2484.3000000000002"/>
    <s v="Middle"/>
    <n v="1"/>
    <s v="Park Hopper"/>
    <n v="1"/>
    <n v="1"/>
    <s v="Main Entrance"/>
    <s v="Mickey &amp; Friends"/>
    <n v="9.5"/>
    <n v="11"/>
    <x v="2007"/>
  </r>
  <r>
    <n v="2099"/>
    <n v="691"/>
    <d v="2026-03-23T00:00:00"/>
    <s v="Monday"/>
    <n v="3"/>
    <n v="9.19"/>
    <x v="0"/>
    <x v="2"/>
    <s v="Female"/>
    <n v="59.4"/>
    <n v="143.19999999999999"/>
    <n v="28.6"/>
    <n v="12"/>
    <s v="CA"/>
    <n v="2"/>
    <n v="45.1"/>
    <s v="Middle"/>
    <n v="0"/>
    <s v="Single-Day"/>
    <n v="0"/>
    <n v="0"/>
    <s v="Main Entrance"/>
    <s v="Mickey &amp; Friends"/>
    <n v="9.1"/>
    <n v="4"/>
    <x v="2008"/>
  </r>
  <r>
    <n v="2100"/>
    <n v="691"/>
    <d v="2026-03-23T00:00:00"/>
    <s v="Monday"/>
    <n v="3"/>
    <n v="9.4"/>
    <x v="0"/>
    <x v="16"/>
    <s v="Female"/>
    <n v="57.1"/>
    <n v="76.599999999999994"/>
    <n v="16.399999999999999"/>
    <n v="13"/>
    <s v="CA"/>
    <n v="2"/>
    <n v="45.1"/>
    <s v="Middle"/>
    <n v="0"/>
    <s v="Single-Day"/>
    <n v="0"/>
    <n v="0"/>
    <s v="Main Entrance"/>
    <s v="Mickey &amp; Friends"/>
    <n v="8.6999999999999993"/>
    <n v="8"/>
    <x v="2009"/>
  </r>
  <r>
    <n v="2101"/>
    <n v="692"/>
    <d v="2026-01-29T00:00:00"/>
    <s v="Thursday"/>
    <n v="1"/>
    <n v="9.99"/>
    <x v="0"/>
    <x v="7"/>
    <s v="Female"/>
    <n v="55.9"/>
    <n v="85.9"/>
    <n v="19.3"/>
    <n v="11"/>
    <s v="NY"/>
    <n v="3"/>
    <n v="3027.6"/>
    <s v="Middle"/>
    <n v="0"/>
    <s v="Park Hopper"/>
    <n v="1"/>
    <n v="0"/>
    <s v="Main Entrance"/>
    <s v="Toy Story Lot"/>
    <n v="5.8"/>
    <n v="8"/>
    <x v="2010"/>
  </r>
  <r>
    <n v="2102"/>
    <n v="692"/>
    <d v="2026-01-29T00:00:00"/>
    <s v="Thursday"/>
    <n v="1"/>
    <n v="10.039999999999999"/>
    <x v="0"/>
    <x v="54"/>
    <s v="Male"/>
    <n v="69.3"/>
    <n v="160.9"/>
    <n v="23.4"/>
    <n v="16"/>
    <s v="NY"/>
    <n v="3"/>
    <n v="3027.6"/>
    <s v="Middle"/>
    <n v="0"/>
    <s v="Park Hopper"/>
    <n v="1"/>
    <n v="0"/>
    <s v="Main Entrance"/>
    <s v="Toy Story Lot"/>
    <n v="8.8000000000000007"/>
    <n v="9"/>
    <x v="2011"/>
  </r>
  <r>
    <n v="2103"/>
    <n v="692"/>
    <d v="2026-01-29T00:00:00"/>
    <s v="Thursday"/>
    <n v="1"/>
    <n v="10.17"/>
    <x v="0"/>
    <x v="69"/>
    <s v="Female"/>
    <n v="66.400000000000006"/>
    <n v="153"/>
    <n v="24.3"/>
    <n v="14"/>
    <s v="NY"/>
    <n v="3"/>
    <n v="3027.6"/>
    <s v="Middle"/>
    <n v="0"/>
    <s v="Park Hopper"/>
    <n v="1"/>
    <n v="0"/>
    <s v="Main Entrance"/>
    <s v="Toy Story Lot"/>
    <n v="7.3"/>
    <n v="10"/>
    <x v="2012"/>
  </r>
  <r>
    <n v="2104"/>
    <n v="693"/>
    <d v="2026-02-02T00:00:00"/>
    <s v="Monday"/>
    <n v="2"/>
    <n v="8.76"/>
    <x v="0"/>
    <x v="16"/>
    <s v="Female"/>
    <n v="65.5"/>
    <n v="122.2"/>
    <n v="20.2"/>
    <n v="11"/>
    <s v="CO"/>
    <n v="2"/>
    <n v="1310.9"/>
    <s v="High"/>
    <n v="1"/>
    <s v="Multi-Day"/>
    <n v="1"/>
    <n v="0"/>
    <s v="Main Entrance"/>
    <s v="None/Dropoff/Transit"/>
    <n v="11.3"/>
    <n v="9"/>
    <x v="2013"/>
  </r>
  <r>
    <n v="2105"/>
    <n v="693"/>
    <d v="2026-02-02T00:00:00"/>
    <s v="Monday"/>
    <n v="2"/>
    <n v="8.7200000000000006"/>
    <x v="0"/>
    <x v="28"/>
    <s v="Male"/>
    <n v="66.099999999999994"/>
    <n v="130.80000000000001"/>
    <n v="21.1"/>
    <n v="18"/>
    <s v="CO"/>
    <n v="2"/>
    <n v="1310.9"/>
    <s v="High"/>
    <n v="1"/>
    <s v="Multi-Day"/>
    <n v="1"/>
    <n v="0"/>
    <s v="Main Entrance"/>
    <s v="None/Dropoff/Transit"/>
    <n v="6.6"/>
    <n v="9"/>
    <x v="2014"/>
  </r>
  <r>
    <n v="2106"/>
    <n v="694"/>
    <d v="2026-12-10T00:00:00"/>
    <s v="Thursday"/>
    <n v="12"/>
    <n v="8.6300000000000008"/>
    <x v="0"/>
    <x v="52"/>
    <s v="Female"/>
    <n v="60.8"/>
    <n v="149.5"/>
    <n v="28.3"/>
    <n v="13"/>
    <s v="Other"/>
    <n v="2"/>
    <n v="1829.4"/>
    <s v="Middle"/>
    <n v="0"/>
    <s v="Park Hopper"/>
    <n v="1"/>
    <n v="0"/>
    <s v="Main Entrance"/>
    <s v="Pixar Pals"/>
    <n v="8.6"/>
    <n v="10"/>
    <x v="2015"/>
  </r>
  <r>
    <n v="2107"/>
    <n v="694"/>
    <d v="2026-12-10T00:00:00"/>
    <s v="Thursday"/>
    <n v="12"/>
    <n v="8.74"/>
    <x v="0"/>
    <x v="19"/>
    <s v="Male"/>
    <n v="72.400000000000006"/>
    <n v="197.6"/>
    <n v="26.5"/>
    <n v="17"/>
    <s v="Other"/>
    <n v="2"/>
    <n v="1829.4"/>
    <s v="Middle"/>
    <n v="0"/>
    <s v="Park Hopper"/>
    <n v="1"/>
    <n v="0"/>
    <s v="Main Entrance"/>
    <s v="Pixar Pals"/>
    <n v="8"/>
    <n v="11"/>
    <x v="2016"/>
  </r>
  <r>
    <n v="2108"/>
    <n v="695"/>
    <d v="2026-07-10T00:00:00"/>
    <s v="Friday"/>
    <n v="7"/>
    <n v="10.57"/>
    <x v="0"/>
    <x v="13"/>
    <s v="Female"/>
    <n v="59.1"/>
    <n v="143.19999999999999"/>
    <n v="28.7"/>
    <n v="16"/>
    <s v="TX"/>
    <n v="3"/>
    <n v="1165"/>
    <s v="High"/>
    <n v="1"/>
    <s v="Single-Day"/>
    <n v="1"/>
    <n v="1"/>
    <s v="Hotel Guest Entrance"/>
    <s v="None/Walked from Resort"/>
    <n v="9.6999999999999993"/>
    <n v="10"/>
    <x v="1965"/>
  </r>
  <r>
    <n v="2109"/>
    <n v="695"/>
    <d v="2026-07-10T00:00:00"/>
    <s v="Friday"/>
    <n v="7"/>
    <n v="10.36"/>
    <x v="0"/>
    <x v="38"/>
    <s v="Male"/>
    <n v="72.8"/>
    <n v="212.4"/>
    <n v="28.2"/>
    <n v="15"/>
    <s v="TX"/>
    <n v="3"/>
    <n v="1165"/>
    <s v="High"/>
    <n v="1"/>
    <s v="Single-Day"/>
    <n v="1"/>
    <n v="1"/>
    <s v="Hotel Guest Entrance"/>
    <s v="None/Walked from Resort"/>
    <n v="10.9"/>
    <n v="12"/>
    <x v="2017"/>
  </r>
  <r>
    <n v="2110"/>
    <n v="695"/>
    <d v="2026-07-10T00:00:00"/>
    <s v="Friday"/>
    <n v="7"/>
    <n v="10.52"/>
    <x v="0"/>
    <x v="38"/>
    <s v="Female"/>
    <n v="64.7"/>
    <n v="143"/>
    <n v="23.9"/>
    <n v="15"/>
    <s v="TX"/>
    <n v="3"/>
    <n v="1165"/>
    <s v="High"/>
    <n v="1"/>
    <s v="Single-Day"/>
    <n v="1"/>
    <n v="1"/>
    <s v="Hotel Guest Entrance"/>
    <s v="None/Walked from Resort"/>
    <n v="9.3000000000000007"/>
    <n v="12"/>
    <x v="2018"/>
  </r>
  <r>
    <n v="2111"/>
    <n v="696"/>
    <d v="2026-01-20T00:00:00"/>
    <s v="Tuesday"/>
    <n v="1"/>
    <n v="9.7200000000000006"/>
    <x v="0"/>
    <x v="2"/>
    <s v="Male"/>
    <n v="70.7"/>
    <n v="164.5"/>
    <n v="23.4"/>
    <n v="16"/>
    <s v="MN"/>
    <n v="5"/>
    <n v="1759.8"/>
    <s v="High"/>
    <n v="1"/>
    <s v="Single-Day"/>
    <n v="0"/>
    <n v="0"/>
    <s v="Main Entrance"/>
    <s v="Mickey &amp; Friends"/>
    <n v="8"/>
    <n v="12"/>
    <x v="2019"/>
  </r>
  <r>
    <n v="2112"/>
    <n v="696"/>
    <d v="2026-01-20T00:00:00"/>
    <s v="Tuesday"/>
    <n v="1"/>
    <n v="9.92"/>
    <x v="0"/>
    <x v="23"/>
    <s v="Female"/>
    <n v="62.6"/>
    <n v="111.1"/>
    <n v="19.5"/>
    <n v="16"/>
    <s v="MN"/>
    <n v="5"/>
    <n v="1759.8"/>
    <s v="High"/>
    <n v="1"/>
    <s v="Single-Day"/>
    <n v="0"/>
    <n v="0"/>
    <s v="Main Entrance"/>
    <s v="Mickey &amp; Friends"/>
    <n v="7.8"/>
    <n v="8"/>
    <x v="2020"/>
  </r>
  <r>
    <n v="2113"/>
    <n v="696"/>
    <d v="2026-01-20T00:00:00"/>
    <s v="Tuesday"/>
    <n v="1"/>
    <n v="10.029999999999999"/>
    <x v="0"/>
    <x v="50"/>
    <s v="Female"/>
    <n v="62.9"/>
    <n v="112"/>
    <n v="20.2"/>
    <n v="17"/>
    <s v="MN"/>
    <n v="5"/>
    <n v="1759.8"/>
    <s v="High"/>
    <n v="1"/>
    <s v="Single-Day"/>
    <n v="0"/>
    <n v="0"/>
    <s v="Main Entrance"/>
    <s v="Mickey &amp; Friends"/>
    <n v="7.7"/>
    <n v="2"/>
    <x v="2021"/>
  </r>
  <r>
    <n v="2114"/>
    <n v="696"/>
    <d v="2026-01-20T00:00:00"/>
    <s v="Tuesday"/>
    <n v="1"/>
    <n v="9.94"/>
    <x v="0"/>
    <x v="12"/>
    <s v="Female"/>
    <n v="66.2"/>
    <n v="136.1"/>
    <n v="21.9"/>
    <n v="15"/>
    <s v="MN"/>
    <n v="5"/>
    <n v="1759.8"/>
    <s v="High"/>
    <n v="1"/>
    <s v="Single-Day"/>
    <n v="0"/>
    <n v="0"/>
    <s v="Main Entrance"/>
    <s v="Mickey &amp; Friends"/>
    <n v="9.8000000000000007"/>
    <n v="11"/>
    <x v="2022"/>
  </r>
  <r>
    <n v="2115"/>
    <n v="696"/>
    <d v="2026-01-20T00:00:00"/>
    <s v="Tuesday"/>
    <n v="1"/>
    <n v="9.92"/>
    <x v="0"/>
    <x v="66"/>
    <s v="Female"/>
    <n v="61.6"/>
    <n v="145.80000000000001"/>
    <n v="26.9"/>
    <n v="17"/>
    <s v="MN"/>
    <n v="5"/>
    <n v="1759.8"/>
    <s v="High"/>
    <n v="1"/>
    <s v="Single-Day"/>
    <n v="0"/>
    <n v="0"/>
    <s v="Main Entrance"/>
    <s v="Mickey &amp; Friends"/>
    <n v="7.4"/>
    <n v="11"/>
    <x v="2023"/>
  </r>
  <r>
    <n v="2116"/>
    <n v="697"/>
    <d v="2026-10-21T00:00:00"/>
    <s v="Wednesday"/>
    <n v="10"/>
    <n v="9.42"/>
    <x v="0"/>
    <x v="30"/>
    <s v="Female"/>
    <n v="59.8"/>
    <n v="124.5"/>
    <n v="24.4"/>
    <n v="11"/>
    <s v="CA"/>
    <n v="3"/>
    <n v="96.8"/>
    <s v="Low"/>
    <n v="0"/>
    <s v="Single-Day"/>
    <n v="0"/>
    <n v="0"/>
    <s v="Main Entrance"/>
    <s v="Mickey &amp; Friends"/>
    <n v="6.5"/>
    <n v="8"/>
    <x v="1192"/>
  </r>
  <r>
    <n v="2117"/>
    <n v="697"/>
    <d v="2026-10-21T00:00:00"/>
    <s v="Wednesday"/>
    <n v="10"/>
    <n v="9.26"/>
    <x v="0"/>
    <x v="56"/>
    <s v="Male"/>
    <n v="70.3"/>
    <n v="165.7"/>
    <n v="23.8"/>
    <n v="12"/>
    <s v="CA"/>
    <n v="3"/>
    <n v="96.8"/>
    <s v="Low"/>
    <n v="0"/>
    <s v="Single-Day"/>
    <n v="0"/>
    <n v="0"/>
    <s v="Main Entrance"/>
    <s v="Mickey &amp; Friends"/>
    <n v="7.1"/>
    <n v="6"/>
    <x v="2024"/>
  </r>
  <r>
    <n v="2118"/>
    <n v="697"/>
    <d v="2026-10-21T00:00:00"/>
    <s v="Wednesday"/>
    <n v="10"/>
    <n v="9.42"/>
    <x v="0"/>
    <x v="18"/>
    <s v="Male"/>
    <n v="67.7"/>
    <n v="173.1"/>
    <n v="26.5"/>
    <n v="14"/>
    <s v="CA"/>
    <n v="3"/>
    <n v="96.8"/>
    <s v="Low"/>
    <n v="0"/>
    <s v="Single-Day"/>
    <n v="0"/>
    <n v="0"/>
    <s v="Main Entrance"/>
    <s v="Mickey &amp; Friends"/>
    <n v="9.1"/>
    <n v="11"/>
    <x v="31"/>
  </r>
  <r>
    <n v="2119"/>
    <n v="698"/>
    <d v="2026-04-11T00:00:00"/>
    <s v="Saturday"/>
    <n v="4"/>
    <n v="12.46"/>
    <x v="1"/>
    <x v="48"/>
    <s v="Male"/>
    <n v="65.5"/>
    <n v="130.9"/>
    <n v="21.4"/>
    <n v="16"/>
    <s v="Other"/>
    <n v="3"/>
    <n v="1649.4"/>
    <s v="Middle"/>
    <n v="1"/>
    <s v="Single-Day"/>
    <n v="1"/>
    <n v="0"/>
    <s v="Main Entrance"/>
    <s v="Toy Story Lot"/>
    <n v="10.5"/>
    <n v="12"/>
    <x v="2025"/>
  </r>
  <r>
    <n v="2120"/>
    <n v="698"/>
    <d v="2026-04-11T00:00:00"/>
    <s v="Saturday"/>
    <n v="4"/>
    <n v="12.51"/>
    <x v="1"/>
    <x v="6"/>
    <s v="Female"/>
    <n v="65.400000000000006"/>
    <n v="170.8"/>
    <n v="28.1"/>
    <n v="14"/>
    <s v="Other"/>
    <n v="3"/>
    <n v="1649.4"/>
    <s v="Middle"/>
    <n v="1"/>
    <s v="Single-Day"/>
    <n v="1"/>
    <n v="0"/>
    <s v="Main Entrance"/>
    <s v="Toy Story Lot"/>
    <n v="6.3"/>
    <n v="13"/>
    <x v="2026"/>
  </r>
  <r>
    <n v="2121"/>
    <n v="698"/>
    <d v="2026-04-11T00:00:00"/>
    <s v="Saturday"/>
    <n v="4"/>
    <n v="12.47"/>
    <x v="1"/>
    <x v="4"/>
    <s v="Male"/>
    <n v="72.7"/>
    <n v="230.1"/>
    <n v="30.8"/>
    <n v="15"/>
    <s v="Other"/>
    <n v="3"/>
    <n v="1649.4"/>
    <s v="Middle"/>
    <n v="1"/>
    <s v="Single-Day"/>
    <n v="1"/>
    <n v="0"/>
    <s v="Main Entrance"/>
    <s v="Toy Story Lot"/>
    <n v="9.8000000000000007"/>
    <n v="10"/>
    <x v="2027"/>
  </r>
  <r>
    <n v="2122"/>
    <n v="699"/>
    <d v="2026-11-16T00:00:00"/>
    <s v="Monday"/>
    <n v="11"/>
    <n v="10.56"/>
    <x v="0"/>
    <x v="38"/>
    <s v="Male"/>
    <n v="63.8"/>
    <n v="155.1"/>
    <n v="26.6"/>
    <n v="8"/>
    <s v="NV"/>
    <n v="2"/>
    <n v="304.89999999999998"/>
    <s v="Low"/>
    <n v="0"/>
    <s v="Multi-Day"/>
    <n v="0"/>
    <n v="0"/>
    <s v="Main Entrance"/>
    <s v="None/Dropoff/Transit"/>
    <n v="9"/>
    <n v="8"/>
    <x v="2028"/>
  </r>
  <r>
    <n v="2123"/>
    <n v="699"/>
    <d v="2026-11-16T00:00:00"/>
    <s v="Monday"/>
    <n v="11"/>
    <n v="10.59"/>
    <x v="0"/>
    <x v="24"/>
    <s v="Female"/>
    <n v="68.3"/>
    <n v="186.7"/>
    <n v="28.4"/>
    <n v="13"/>
    <s v="NV"/>
    <n v="2"/>
    <n v="304.89999999999998"/>
    <s v="Low"/>
    <n v="0"/>
    <s v="Multi-Day"/>
    <n v="0"/>
    <n v="0"/>
    <s v="Main Entrance"/>
    <s v="None/Dropoff/Transit"/>
    <n v="6.5"/>
    <n v="5"/>
    <x v="2029"/>
  </r>
  <r>
    <n v="2124"/>
    <n v="700"/>
    <d v="2026-05-14T00:00:00"/>
    <s v="Thursday"/>
    <n v="5"/>
    <n v="8.83"/>
    <x v="0"/>
    <x v="47"/>
    <s v="Nonbinary/Other"/>
    <n v="67.599999999999994"/>
    <n v="140.80000000000001"/>
    <n v="21.7"/>
    <n v="13"/>
    <s v="CA"/>
    <n v="5"/>
    <n v="64.2"/>
    <s v="Low"/>
    <n v="1"/>
    <s v="Single-Day"/>
    <n v="0"/>
    <n v="0"/>
    <s v="Main Entrance"/>
    <s v="Toy Story Lot"/>
    <n v="7.9"/>
    <n v="6"/>
    <x v="2030"/>
  </r>
  <r>
    <n v="2125"/>
    <n v="700"/>
    <d v="2026-05-14T00:00:00"/>
    <s v="Thursday"/>
    <n v="5"/>
    <n v="8.6"/>
    <x v="0"/>
    <x v="38"/>
    <s v="Male"/>
    <n v="69.8"/>
    <n v="178.8"/>
    <n v="25.8"/>
    <n v="12"/>
    <s v="CA"/>
    <n v="5"/>
    <n v="64.2"/>
    <s v="Low"/>
    <n v="1"/>
    <s v="Single-Day"/>
    <n v="0"/>
    <n v="0"/>
    <s v="Main Entrance"/>
    <s v="Toy Story Lot"/>
    <n v="6.1"/>
    <n v="10"/>
    <x v="605"/>
  </r>
  <r>
    <n v="2126"/>
    <n v="700"/>
    <d v="2026-05-14T00:00:00"/>
    <s v="Thursday"/>
    <n v="5"/>
    <n v="8.6199999999999992"/>
    <x v="0"/>
    <x v="6"/>
    <s v="Male"/>
    <n v="73.099999999999994"/>
    <n v="173.7"/>
    <n v="22.9"/>
    <n v="11"/>
    <s v="CA"/>
    <n v="5"/>
    <n v="64.2"/>
    <s v="Low"/>
    <n v="1"/>
    <s v="Single-Day"/>
    <n v="0"/>
    <n v="0"/>
    <s v="Main Entrance"/>
    <s v="Toy Story Lot"/>
    <n v="8.9"/>
    <n v="8"/>
    <x v="2031"/>
  </r>
  <r>
    <n v="2127"/>
    <n v="700"/>
    <d v="2026-05-14T00:00:00"/>
    <s v="Thursday"/>
    <n v="5"/>
    <n v="8.5"/>
    <x v="0"/>
    <x v="67"/>
    <s v="Male"/>
    <n v="70"/>
    <n v="155.5"/>
    <n v="22.2"/>
    <n v="7"/>
    <s v="CA"/>
    <n v="5"/>
    <n v="64.2"/>
    <s v="Low"/>
    <n v="1"/>
    <s v="Single-Day"/>
    <n v="0"/>
    <n v="0"/>
    <s v="Main Entrance"/>
    <s v="Toy Story Lot"/>
    <n v="8.1"/>
    <n v="9"/>
    <x v="2032"/>
  </r>
  <r>
    <n v="2128"/>
    <n v="700"/>
    <d v="2026-05-14T00:00:00"/>
    <s v="Thursday"/>
    <n v="5"/>
    <n v="8.74"/>
    <x v="0"/>
    <x v="72"/>
    <s v="Male"/>
    <n v="70.900000000000006"/>
    <n v="215.1"/>
    <n v="30.1"/>
    <n v="15"/>
    <s v="CA"/>
    <n v="5"/>
    <n v="64.2"/>
    <s v="Low"/>
    <n v="1"/>
    <s v="Single-Day"/>
    <n v="0"/>
    <n v="0"/>
    <s v="Main Entrance"/>
    <s v="Toy Story Lot"/>
    <n v="9.5"/>
    <n v="11"/>
    <x v="2033"/>
  </r>
  <r>
    <n v="2129"/>
    <n v="701"/>
    <d v="2026-12-13T00:00:00"/>
    <s v="Sunday"/>
    <n v="12"/>
    <n v="11.36"/>
    <x v="1"/>
    <x v="64"/>
    <s v="Female"/>
    <n v="48.4"/>
    <n v="53.3"/>
    <n v="15.8"/>
    <n v="9"/>
    <s v="NY"/>
    <n v="3"/>
    <n v="2536.6"/>
    <s v="Low"/>
    <n v="1"/>
    <s v="Single-Day"/>
    <n v="0"/>
    <n v="0"/>
    <s v="Downtown Disney Gate"/>
    <s v="Toy Story Lot"/>
    <n v="8.6999999999999993"/>
    <n v="5"/>
    <x v="2034"/>
  </r>
  <r>
    <n v="2130"/>
    <n v="701"/>
    <d v="2026-12-13T00:00:00"/>
    <s v="Sunday"/>
    <n v="12"/>
    <n v="11.57"/>
    <x v="1"/>
    <x v="34"/>
    <s v="Female"/>
    <n v="58"/>
    <n v="110"/>
    <n v="22.9"/>
    <n v="15"/>
    <s v="NY"/>
    <n v="3"/>
    <n v="2536.6"/>
    <s v="Low"/>
    <n v="1"/>
    <s v="Single-Day"/>
    <n v="0"/>
    <n v="0"/>
    <s v="Downtown Disney Gate"/>
    <s v="Toy Story Lot"/>
    <n v="6.8"/>
    <n v="7"/>
    <x v="2035"/>
  </r>
  <r>
    <n v="2131"/>
    <n v="701"/>
    <d v="2026-12-13T00:00:00"/>
    <s v="Sunday"/>
    <n v="12"/>
    <n v="11.36"/>
    <x v="1"/>
    <x v="73"/>
    <s v="Female"/>
    <n v="70"/>
    <n v="117.6"/>
    <n v="16.600000000000001"/>
    <n v="10"/>
    <s v="NY"/>
    <n v="3"/>
    <n v="2536.6"/>
    <s v="Low"/>
    <n v="1"/>
    <s v="Single-Day"/>
    <n v="0"/>
    <n v="0"/>
    <s v="Downtown Disney Gate"/>
    <s v="Toy Story Lot"/>
    <n v="7.2"/>
    <n v="3"/>
    <x v="2036"/>
  </r>
  <r>
    <n v="2132"/>
    <n v="702"/>
    <d v="2026-05-14T00:00:00"/>
    <s v="Thursday"/>
    <n v="5"/>
    <n v="11.26"/>
    <x v="1"/>
    <x v="7"/>
    <s v="Male"/>
    <n v="51.6"/>
    <n v="61.2"/>
    <n v="16.100000000000001"/>
    <n v="11"/>
    <s v="TX"/>
    <n v="3"/>
    <n v="1459.6"/>
    <s v="Middle"/>
    <n v="1"/>
    <s v="Single-Day"/>
    <n v="1"/>
    <n v="0"/>
    <s v="Main Entrance"/>
    <s v="Mickey &amp; Friends"/>
    <n v="4.9000000000000004"/>
    <n v="7"/>
    <x v="2037"/>
  </r>
  <r>
    <n v="2133"/>
    <n v="702"/>
    <d v="2026-05-14T00:00:00"/>
    <s v="Thursday"/>
    <n v="5"/>
    <n v="11.15"/>
    <x v="1"/>
    <x v="0"/>
    <s v="Female"/>
    <n v="62.8"/>
    <n v="182.4"/>
    <n v="32.5"/>
    <n v="15"/>
    <s v="TX"/>
    <n v="3"/>
    <n v="1459.6"/>
    <s v="Middle"/>
    <n v="1"/>
    <s v="Single-Day"/>
    <n v="1"/>
    <n v="0"/>
    <s v="Main Entrance"/>
    <s v="Mickey &amp; Friends"/>
    <n v="9.1"/>
    <n v="9"/>
    <x v="2038"/>
  </r>
  <r>
    <n v="2134"/>
    <n v="702"/>
    <d v="2026-05-14T00:00:00"/>
    <s v="Thursday"/>
    <n v="5"/>
    <n v="11.18"/>
    <x v="1"/>
    <x v="20"/>
    <s v="Male"/>
    <n v="63.4"/>
    <n v="107.8"/>
    <n v="18.5"/>
    <n v="13"/>
    <s v="TX"/>
    <n v="3"/>
    <n v="1459.6"/>
    <s v="Middle"/>
    <n v="1"/>
    <s v="Single-Day"/>
    <n v="1"/>
    <n v="0"/>
    <s v="Main Entrance"/>
    <s v="Mickey &amp; Friends"/>
    <n v="11.9"/>
    <n v="7"/>
    <x v="2039"/>
  </r>
  <r>
    <n v="2135"/>
    <n v="703"/>
    <d v="2026-05-31T00:00:00"/>
    <s v="Sunday"/>
    <n v="5"/>
    <n v="9.41"/>
    <x v="0"/>
    <x v="48"/>
    <s v="Male"/>
    <n v="70.900000000000006"/>
    <n v="169"/>
    <n v="23.7"/>
    <n v="11"/>
    <s v="NV"/>
    <n v="4"/>
    <n v="229.6"/>
    <s v="Low"/>
    <n v="0"/>
    <s v="Single-Day"/>
    <n v="0"/>
    <n v="0"/>
    <s v="Main Entrance"/>
    <s v="Pixar Pals"/>
    <n v="8.9"/>
    <n v="3"/>
    <x v="2040"/>
  </r>
  <r>
    <n v="2136"/>
    <n v="703"/>
    <d v="2026-05-31T00:00:00"/>
    <s v="Sunday"/>
    <n v="5"/>
    <n v="9.23"/>
    <x v="0"/>
    <x v="49"/>
    <s v="Male"/>
    <n v="68.5"/>
    <n v="145.1"/>
    <n v="21.6"/>
    <n v="12"/>
    <s v="NV"/>
    <n v="4"/>
    <n v="229.6"/>
    <s v="Low"/>
    <n v="0"/>
    <s v="Single-Day"/>
    <n v="0"/>
    <n v="0"/>
    <s v="Main Entrance"/>
    <s v="Pixar Pals"/>
    <n v="10"/>
    <n v="12"/>
    <x v="2041"/>
  </r>
  <r>
    <n v="2137"/>
    <n v="703"/>
    <d v="2026-05-31T00:00:00"/>
    <s v="Sunday"/>
    <n v="5"/>
    <n v="9.56"/>
    <x v="0"/>
    <x v="38"/>
    <s v="Male"/>
    <n v="66.5"/>
    <n v="172.6"/>
    <n v="27.5"/>
    <n v="11"/>
    <s v="NV"/>
    <n v="4"/>
    <n v="229.6"/>
    <s v="Low"/>
    <n v="0"/>
    <s v="Single-Day"/>
    <n v="0"/>
    <n v="0"/>
    <s v="Main Entrance"/>
    <s v="Pixar Pals"/>
    <n v="8.3000000000000007"/>
    <n v="5"/>
    <x v="2042"/>
  </r>
  <r>
    <n v="2138"/>
    <n v="703"/>
    <d v="2026-05-31T00:00:00"/>
    <s v="Sunday"/>
    <n v="5"/>
    <n v="9.43"/>
    <x v="0"/>
    <x v="62"/>
    <s v="Male"/>
    <n v="66.400000000000006"/>
    <n v="159.6"/>
    <n v="25.6"/>
    <n v="12"/>
    <s v="NV"/>
    <n v="4"/>
    <n v="229.6"/>
    <s v="Low"/>
    <n v="0"/>
    <s v="Single-Day"/>
    <n v="0"/>
    <n v="0"/>
    <s v="Main Entrance"/>
    <s v="Pixar Pals"/>
    <n v="9"/>
    <n v="5"/>
    <x v="2043"/>
  </r>
  <r>
    <n v="2139"/>
    <n v="704"/>
    <d v="2026-07-30T00:00:00"/>
    <s v="Thursday"/>
    <n v="7"/>
    <n v="8.1"/>
    <x v="0"/>
    <x v="1"/>
    <s v="Female"/>
    <n v="60.6"/>
    <n v="159.5"/>
    <n v="30.5"/>
    <n v="15"/>
    <s v="NV"/>
    <n v="3"/>
    <n v="282.10000000000002"/>
    <s v="Middle"/>
    <n v="0"/>
    <s v="Single-Day"/>
    <n v="0"/>
    <n v="0"/>
    <s v="Main Entrance"/>
    <s v="Pixar Pals"/>
    <n v="9.8000000000000007"/>
    <n v="9"/>
    <x v="2044"/>
  </r>
  <r>
    <n v="2140"/>
    <n v="704"/>
    <d v="2026-07-30T00:00:00"/>
    <s v="Thursday"/>
    <n v="7"/>
    <n v="8.2100000000000009"/>
    <x v="0"/>
    <x v="72"/>
    <s v="Male"/>
    <n v="68.3"/>
    <n v="187.9"/>
    <n v="28.4"/>
    <n v="16"/>
    <s v="NV"/>
    <n v="3"/>
    <n v="282.10000000000002"/>
    <s v="Middle"/>
    <n v="0"/>
    <s v="Single-Day"/>
    <n v="0"/>
    <n v="0"/>
    <s v="Main Entrance"/>
    <s v="Pixar Pals"/>
    <n v="7.8"/>
    <n v="6"/>
    <x v="2045"/>
  </r>
  <r>
    <n v="2141"/>
    <n v="704"/>
    <d v="2026-07-30T00:00:00"/>
    <s v="Thursday"/>
    <n v="7"/>
    <n v="8.0399999999999991"/>
    <x v="0"/>
    <x v="38"/>
    <s v="Male"/>
    <n v="65.7"/>
    <n v="171.1"/>
    <n v="27.9"/>
    <n v="13"/>
    <s v="NV"/>
    <n v="3"/>
    <n v="282.10000000000002"/>
    <s v="Middle"/>
    <n v="0"/>
    <s v="Single-Day"/>
    <n v="0"/>
    <n v="0"/>
    <s v="Main Entrance"/>
    <s v="Pixar Pals"/>
    <n v="9.8000000000000007"/>
    <n v="6"/>
    <x v="2046"/>
  </r>
  <r>
    <n v="2142"/>
    <n v="705"/>
    <d v="2026-11-24T00:00:00"/>
    <s v="Tuesday"/>
    <n v="11"/>
    <n v="10.56"/>
    <x v="0"/>
    <x v="13"/>
    <s v="Female"/>
    <n v="61.1"/>
    <n v="151.19999999999999"/>
    <n v="28.4"/>
    <n v="14"/>
    <s v="FL"/>
    <n v="1"/>
    <n v="2081.1999999999998"/>
    <s v="Low"/>
    <n v="1"/>
    <s v="Park Hopper"/>
    <n v="0"/>
    <n v="1"/>
    <s v="Hotel Guest Entrance"/>
    <s v="None/Walked from Resort"/>
    <n v="10.199999999999999"/>
    <n v="4"/>
    <x v="2047"/>
  </r>
  <r>
    <n v="2143"/>
    <n v="706"/>
    <d v="2026-11-21T00:00:00"/>
    <s v="Saturday"/>
    <n v="11"/>
    <n v="11.76"/>
    <x v="1"/>
    <x v="28"/>
    <s v="Female"/>
    <n v="65.8"/>
    <n v="148"/>
    <n v="23.8"/>
    <n v="14"/>
    <s v="CO"/>
    <n v="4"/>
    <n v="1188.9000000000001"/>
    <s v="Low"/>
    <n v="1"/>
    <s v="Park Hopper"/>
    <n v="0"/>
    <n v="0"/>
    <s v="Main Entrance"/>
    <s v="Toy Story Lot"/>
    <n v="7.2"/>
    <n v="10"/>
    <x v="2048"/>
  </r>
  <r>
    <n v="2144"/>
    <n v="706"/>
    <d v="2026-11-21T00:00:00"/>
    <s v="Saturday"/>
    <n v="11"/>
    <n v="11.41"/>
    <x v="1"/>
    <x v="64"/>
    <s v="Female"/>
    <n v="54.6"/>
    <n v="87.1"/>
    <n v="20.399999999999999"/>
    <n v="16"/>
    <s v="CO"/>
    <n v="4"/>
    <n v="1188.9000000000001"/>
    <s v="Low"/>
    <n v="1"/>
    <s v="Park Hopper"/>
    <n v="0"/>
    <n v="0"/>
    <s v="Main Entrance"/>
    <s v="Toy Story Lot"/>
    <n v="9.4"/>
    <n v="6"/>
    <x v="2049"/>
  </r>
  <r>
    <n v="2145"/>
    <n v="706"/>
    <d v="2026-11-21T00:00:00"/>
    <s v="Saturday"/>
    <n v="11"/>
    <n v="11.57"/>
    <x v="1"/>
    <x v="6"/>
    <s v="Female"/>
    <n v="68.7"/>
    <n v="198.2"/>
    <n v="29.6"/>
    <n v="16"/>
    <s v="CO"/>
    <n v="4"/>
    <n v="1188.9000000000001"/>
    <s v="Low"/>
    <n v="1"/>
    <s v="Park Hopper"/>
    <n v="0"/>
    <n v="0"/>
    <s v="Main Entrance"/>
    <s v="Toy Story Lot"/>
    <n v="9.6"/>
    <n v="7"/>
    <x v="2050"/>
  </r>
  <r>
    <n v="2146"/>
    <n v="706"/>
    <d v="2026-11-21T00:00:00"/>
    <s v="Saturday"/>
    <n v="11"/>
    <n v="11.57"/>
    <x v="1"/>
    <x v="4"/>
    <s v="Male"/>
    <n v="67.900000000000006"/>
    <n v="210"/>
    <n v="32.1"/>
    <n v="17"/>
    <s v="CO"/>
    <n v="4"/>
    <n v="1188.9000000000001"/>
    <s v="Low"/>
    <n v="1"/>
    <s v="Park Hopper"/>
    <n v="0"/>
    <n v="0"/>
    <s v="Main Entrance"/>
    <s v="Toy Story Lot"/>
    <n v="5.2"/>
    <n v="3"/>
    <x v="2051"/>
  </r>
  <r>
    <n v="2147"/>
    <n v="707"/>
    <d v="2026-08-31T00:00:00"/>
    <s v="Monday"/>
    <n v="8"/>
    <n v="10.91"/>
    <x v="0"/>
    <x v="55"/>
    <s v="Male"/>
    <n v="65.5"/>
    <n v="162.30000000000001"/>
    <n v="26.7"/>
    <n v="15"/>
    <s v="NV"/>
    <n v="2"/>
    <n v="422.8"/>
    <s v="Low"/>
    <n v="0"/>
    <s v="Single-Day"/>
    <n v="0"/>
    <n v="0"/>
    <s v="Downtown Disney Gate"/>
    <s v="Mickey &amp; Friends"/>
    <n v="9.4"/>
    <n v="7"/>
    <x v="2052"/>
  </r>
  <r>
    <n v="2148"/>
    <n v="707"/>
    <d v="2026-08-31T00:00:00"/>
    <s v="Monday"/>
    <n v="8"/>
    <n v="10.95"/>
    <x v="0"/>
    <x v="41"/>
    <s v="Male"/>
    <n v="65.3"/>
    <n v="146.4"/>
    <n v="23.9"/>
    <n v="13"/>
    <s v="NV"/>
    <n v="2"/>
    <n v="422.8"/>
    <s v="Low"/>
    <n v="0"/>
    <s v="Single-Day"/>
    <n v="0"/>
    <n v="0"/>
    <s v="Downtown Disney Gate"/>
    <s v="Mickey &amp; Friends"/>
    <n v="8.1999999999999993"/>
    <n v="8"/>
    <x v="2053"/>
  </r>
  <r>
    <n v="2149"/>
    <n v="708"/>
    <d v="2026-09-14T00:00:00"/>
    <s v="Monday"/>
    <n v="9"/>
    <n v="11.32"/>
    <x v="1"/>
    <x v="59"/>
    <s v="Male"/>
    <n v="73.7"/>
    <n v="190.4"/>
    <n v="24.7"/>
    <n v="19"/>
    <s v="CA"/>
    <n v="4"/>
    <n v="95.7"/>
    <s v="Middle"/>
    <n v="1"/>
    <s v="Park Hopper"/>
    <n v="1"/>
    <n v="0"/>
    <s v="Main Entrance"/>
    <s v="Pixar Pals"/>
    <n v="7"/>
    <n v="6"/>
    <x v="2054"/>
  </r>
  <r>
    <n v="2150"/>
    <n v="708"/>
    <d v="2026-09-14T00:00:00"/>
    <s v="Monday"/>
    <n v="9"/>
    <n v="11.27"/>
    <x v="1"/>
    <x v="56"/>
    <s v="Female"/>
    <n v="67.599999999999994"/>
    <n v="181.4"/>
    <n v="27.8"/>
    <n v="13"/>
    <s v="CA"/>
    <n v="4"/>
    <n v="95.7"/>
    <s v="Middle"/>
    <n v="1"/>
    <s v="Park Hopper"/>
    <n v="1"/>
    <n v="0"/>
    <s v="Main Entrance"/>
    <s v="Pixar Pals"/>
    <n v="7.2"/>
    <n v="7"/>
    <x v="2055"/>
  </r>
  <r>
    <n v="2151"/>
    <n v="708"/>
    <d v="2026-09-14T00:00:00"/>
    <s v="Monday"/>
    <n v="9"/>
    <n v="11.42"/>
    <x v="1"/>
    <x v="5"/>
    <s v="Nonbinary/Other"/>
    <n v="63.2"/>
    <n v="181.1"/>
    <n v="32"/>
    <n v="15"/>
    <s v="CA"/>
    <n v="4"/>
    <n v="95.7"/>
    <s v="Middle"/>
    <n v="1"/>
    <s v="Park Hopper"/>
    <n v="1"/>
    <n v="0"/>
    <s v="Main Entrance"/>
    <s v="Pixar Pals"/>
    <n v="7"/>
    <n v="6"/>
    <x v="2056"/>
  </r>
  <r>
    <n v="2152"/>
    <n v="708"/>
    <d v="2026-09-14T00:00:00"/>
    <s v="Monday"/>
    <n v="9"/>
    <n v="11.28"/>
    <x v="1"/>
    <x v="37"/>
    <s v="Male"/>
    <n v="73.400000000000006"/>
    <n v="199.6"/>
    <n v="26.2"/>
    <n v="18"/>
    <s v="CA"/>
    <n v="4"/>
    <n v="95.7"/>
    <s v="Middle"/>
    <n v="1"/>
    <s v="Park Hopper"/>
    <n v="1"/>
    <n v="0"/>
    <s v="Main Entrance"/>
    <s v="Pixar Pals"/>
    <n v="8.8000000000000007"/>
    <n v="11"/>
    <x v="66"/>
  </r>
  <r>
    <n v="2153"/>
    <n v="709"/>
    <d v="2026-04-20T00:00:00"/>
    <s v="Monday"/>
    <n v="4"/>
    <n v="7.93"/>
    <x v="0"/>
    <x v="36"/>
    <s v="Female"/>
    <n v="64.5"/>
    <n v="140.9"/>
    <n v="23.8"/>
    <n v="15"/>
    <s v="TX"/>
    <n v="2"/>
    <n v="1099.3"/>
    <s v="Low"/>
    <n v="1"/>
    <s v="Multi-Day"/>
    <n v="0"/>
    <n v="0"/>
    <s v="Downtown Disney Gate"/>
    <s v="None/Dropoff/Transit"/>
    <n v="7.1"/>
    <n v="3"/>
    <x v="2057"/>
  </r>
  <r>
    <n v="2154"/>
    <n v="709"/>
    <d v="2026-04-20T00:00:00"/>
    <s v="Monday"/>
    <n v="4"/>
    <n v="8"/>
    <x v="0"/>
    <x v="10"/>
    <s v="Male"/>
    <n v="66.2"/>
    <n v="173.8"/>
    <n v="27.9"/>
    <n v="12"/>
    <s v="TX"/>
    <n v="2"/>
    <n v="1099.3"/>
    <s v="Low"/>
    <n v="1"/>
    <s v="Multi-Day"/>
    <n v="0"/>
    <n v="0"/>
    <s v="Downtown Disney Gate"/>
    <s v="None/Dropoff/Transit"/>
    <n v="10.1"/>
    <n v="13"/>
    <x v="1302"/>
  </r>
  <r>
    <n v="2155"/>
    <n v="710"/>
    <d v="2026-04-17T00:00:00"/>
    <s v="Friday"/>
    <n v="4"/>
    <n v="10.18"/>
    <x v="0"/>
    <x v="29"/>
    <s v="Male"/>
    <n v="69"/>
    <n v="160.5"/>
    <n v="23.6"/>
    <n v="11"/>
    <s v="CA"/>
    <n v="4"/>
    <n v="130.9"/>
    <s v="Low"/>
    <n v="0"/>
    <s v="Multi-Day"/>
    <n v="0"/>
    <n v="0"/>
    <s v="Main Entrance"/>
    <s v="Mickey &amp; Friends"/>
    <n v="9.6"/>
    <n v="12"/>
    <x v="2058"/>
  </r>
  <r>
    <n v="2156"/>
    <n v="710"/>
    <d v="2026-04-17T00:00:00"/>
    <s v="Friday"/>
    <n v="4"/>
    <n v="10.28"/>
    <x v="0"/>
    <x v="28"/>
    <s v="Female"/>
    <n v="63.3"/>
    <n v="159.4"/>
    <n v="27.9"/>
    <n v="12"/>
    <s v="CA"/>
    <n v="4"/>
    <n v="130.9"/>
    <s v="Low"/>
    <n v="0"/>
    <s v="Multi-Day"/>
    <n v="0"/>
    <n v="0"/>
    <s v="Main Entrance"/>
    <s v="Mickey &amp; Friends"/>
    <n v="7.3"/>
    <n v="10"/>
    <x v="2059"/>
  </r>
  <r>
    <n v="2157"/>
    <n v="710"/>
    <d v="2026-04-17T00:00:00"/>
    <s v="Friday"/>
    <n v="4"/>
    <n v="10.31"/>
    <x v="0"/>
    <x v="7"/>
    <s v="Female"/>
    <n v="55.2"/>
    <n v="84.7"/>
    <n v="19.399999999999999"/>
    <n v="11"/>
    <s v="CA"/>
    <n v="4"/>
    <n v="130.9"/>
    <s v="Low"/>
    <n v="0"/>
    <s v="Multi-Day"/>
    <n v="0"/>
    <n v="0"/>
    <s v="Main Entrance"/>
    <s v="Mickey &amp; Friends"/>
    <n v="7.7"/>
    <n v="11"/>
    <x v="2060"/>
  </r>
  <r>
    <n v="2158"/>
    <n v="710"/>
    <d v="2026-04-17T00:00:00"/>
    <s v="Friday"/>
    <n v="4"/>
    <n v="10.39"/>
    <x v="0"/>
    <x v="64"/>
    <s v="Male"/>
    <n v="49.9"/>
    <n v="51.7"/>
    <n v="14.5"/>
    <n v="11"/>
    <s v="CA"/>
    <n v="4"/>
    <n v="130.9"/>
    <s v="Low"/>
    <n v="0"/>
    <s v="Multi-Day"/>
    <n v="0"/>
    <n v="0"/>
    <s v="Main Entrance"/>
    <s v="Mickey &amp; Friends"/>
    <n v="6.1"/>
    <n v="6"/>
    <x v="2061"/>
  </r>
  <r>
    <n v="2159"/>
    <n v="711"/>
    <d v="2026-01-29T00:00:00"/>
    <s v="Thursday"/>
    <n v="1"/>
    <n v="9.85"/>
    <x v="0"/>
    <x v="45"/>
    <s v="Male"/>
    <n v="70"/>
    <n v="144.69999999999999"/>
    <n v="20.6"/>
    <n v="12"/>
    <s v="WA"/>
    <n v="2"/>
    <n v="1179.5"/>
    <s v="Low"/>
    <n v="1"/>
    <s v="Single-Day"/>
    <n v="0"/>
    <n v="0"/>
    <s v="Main Entrance"/>
    <s v="Pixar Pals"/>
    <n v="8"/>
    <n v="11"/>
    <x v="2062"/>
  </r>
  <r>
    <n v="2160"/>
    <n v="711"/>
    <d v="2026-01-29T00:00:00"/>
    <s v="Thursday"/>
    <n v="1"/>
    <n v="9.9499999999999993"/>
    <x v="0"/>
    <x v="80"/>
    <s v="Male"/>
    <n v="72.7"/>
    <n v="221.9"/>
    <n v="29.7"/>
    <n v="14"/>
    <s v="WA"/>
    <n v="2"/>
    <n v="1179.5"/>
    <s v="Low"/>
    <n v="1"/>
    <s v="Single-Day"/>
    <n v="0"/>
    <n v="0"/>
    <s v="Main Entrance"/>
    <s v="Pixar Pals"/>
    <n v="8.8000000000000007"/>
    <n v="5"/>
    <x v="2063"/>
  </r>
  <r>
    <n v="2161"/>
    <n v="712"/>
    <d v="2026-07-01T00:00:00"/>
    <s v="Wednesday"/>
    <n v="7"/>
    <n v="10.3"/>
    <x v="0"/>
    <x v="38"/>
    <s v="Female"/>
    <n v="64.3"/>
    <n v="153.69999999999999"/>
    <n v="25.9"/>
    <n v="12"/>
    <s v="NV"/>
    <n v="4"/>
    <n v="210.5"/>
    <s v="Middle"/>
    <n v="0"/>
    <s v="Park Hopper"/>
    <n v="0"/>
    <n v="1"/>
    <s v="Main Entrance"/>
    <s v="Pixar Pals"/>
    <n v="10"/>
    <n v="8"/>
    <x v="2064"/>
  </r>
  <r>
    <n v="2162"/>
    <n v="712"/>
    <d v="2026-07-01T00:00:00"/>
    <s v="Wednesday"/>
    <n v="7"/>
    <n v="9.94"/>
    <x v="0"/>
    <x v="17"/>
    <s v="Female"/>
    <n v="69"/>
    <n v="203.6"/>
    <n v="30.1"/>
    <n v="15"/>
    <s v="NV"/>
    <n v="4"/>
    <n v="210.5"/>
    <s v="Middle"/>
    <n v="0"/>
    <s v="Park Hopper"/>
    <n v="0"/>
    <n v="1"/>
    <s v="Main Entrance"/>
    <s v="Pixar Pals"/>
    <n v="10.3"/>
    <n v="4"/>
    <x v="2065"/>
  </r>
  <r>
    <n v="2163"/>
    <n v="712"/>
    <d v="2026-07-01T00:00:00"/>
    <s v="Wednesday"/>
    <n v="7"/>
    <n v="10.199999999999999"/>
    <x v="0"/>
    <x v="62"/>
    <s v="Female"/>
    <n v="62.5"/>
    <n v="161.1"/>
    <n v="29"/>
    <n v="15"/>
    <s v="NV"/>
    <n v="4"/>
    <n v="210.5"/>
    <s v="Middle"/>
    <n v="0"/>
    <s v="Park Hopper"/>
    <n v="0"/>
    <n v="1"/>
    <s v="Main Entrance"/>
    <s v="Pixar Pals"/>
    <n v="10.199999999999999"/>
    <n v="9"/>
    <x v="2066"/>
  </r>
  <r>
    <n v="2164"/>
    <n v="712"/>
    <d v="2026-07-01T00:00:00"/>
    <s v="Wednesday"/>
    <n v="7"/>
    <n v="10.08"/>
    <x v="0"/>
    <x v="37"/>
    <s v="Female"/>
    <n v="63.7"/>
    <n v="220.3"/>
    <n v="37.9"/>
    <n v="14"/>
    <s v="NV"/>
    <n v="4"/>
    <n v="210.5"/>
    <s v="Middle"/>
    <n v="0"/>
    <s v="Park Hopper"/>
    <n v="0"/>
    <n v="1"/>
    <s v="Main Entrance"/>
    <s v="Pixar Pals"/>
    <n v="10.5"/>
    <n v="11"/>
    <x v="2067"/>
  </r>
  <r>
    <n v="2165"/>
    <n v="713"/>
    <d v="2026-12-17T00:00:00"/>
    <s v="Thursday"/>
    <n v="12"/>
    <n v="11.41"/>
    <x v="1"/>
    <x v="19"/>
    <s v="Female"/>
    <n v="64.599999999999994"/>
    <n v="113.7"/>
    <n v="18.899999999999999"/>
    <n v="17"/>
    <s v="AZ"/>
    <n v="4"/>
    <n v="362.5"/>
    <s v="Middle"/>
    <n v="0"/>
    <s v="Multi-Day"/>
    <n v="1"/>
    <n v="0"/>
    <s v="Main Entrance"/>
    <s v="Mickey &amp; Friends"/>
    <n v="6.8"/>
    <n v="6"/>
    <x v="2068"/>
  </r>
  <r>
    <n v="2166"/>
    <n v="713"/>
    <d v="2026-12-17T00:00:00"/>
    <s v="Thursday"/>
    <n v="12"/>
    <n v="11.39"/>
    <x v="1"/>
    <x v="72"/>
    <s v="Female"/>
    <n v="68.8"/>
    <n v="153.4"/>
    <n v="22.8"/>
    <n v="14"/>
    <s v="AZ"/>
    <n v="4"/>
    <n v="362.5"/>
    <s v="Middle"/>
    <n v="0"/>
    <s v="Multi-Day"/>
    <n v="1"/>
    <n v="0"/>
    <s v="Main Entrance"/>
    <s v="Mickey &amp; Friends"/>
    <n v="8.5"/>
    <n v="13"/>
    <x v="2069"/>
  </r>
  <r>
    <n v="2167"/>
    <n v="713"/>
    <d v="2026-12-17T00:00:00"/>
    <s v="Thursday"/>
    <n v="12"/>
    <n v="11.39"/>
    <x v="1"/>
    <x v="61"/>
    <s v="Male"/>
    <n v="70"/>
    <n v="132.5"/>
    <n v="19"/>
    <n v="14"/>
    <s v="AZ"/>
    <n v="4"/>
    <n v="362.5"/>
    <s v="Middle"/>
    <n v="0"/>
    <s v="Multi-Day"/>
    <n v="1"/>
    <n v="0"/>
    <s v="Main Entrance"/>
    <s v="Mickey &amp; Friends"/>
    <n v="5.3"/>
    <n v="4"/>
    <x v="2070"/>
  </r>
  <r>
    <n v="2168"/>
    <n v="713"/>
    <d v="2026-12-17T00:00:00"/>
    <s v="Thursday"/>
    <n v="12"/>
    <n v="11.63"/>
    <x v="1"/>
    <x v="57"/>
    <s v="Female"/>
    <n v="63.9"/>
    <n v="133.5"/>
    <n v="22.9"/>
    <n v="15"/>
    <s v="AZ"/>
    <n v="4"/>
    <n v="362.5"/>
    <s v="Middle"/>
    <n v="0"/>
    <s v="Multi-Day"/>
    <n v="1"/>
    <n v="0"/>
    <s v="Main Entrance"/>
    <s v="Mickey &amp; Friends"/>
    <n v="7.7"/>
    <n v="10"/>
    <x v="2071"/>
  </r>
  <r>
    <n v="2169"/>
    <n v="714"/>
    <d v="2026-09-26T00:00:00"/>
    <s v="Saturday"/>
    <n v="9"/>
    <n v="9.84"/>
    <x v="0"/>
    <x v="15"/>
    <s v="Male"/>
    <n v="69.7"/>
    <n v="182.1"/>
    <n v="26.2"/>
    <n v="14"/>
    <s v="FL"/>
    <n v="2"/>
    <n v="2097"/>
    <s v="High"/>
    <n v="1"/>
    <s v="Single-Day"/>
    <n v="0"/>
    <n v="0"/>
    <s v="Main Entrance"/>
    <s v="None/Dropoff/Transit"/>
    <n v="9"/>
    <n v="15"/>
    <x v="2072"/>
  </r>
  <r>
    <n v="2170"/>
    <n v="714"/>
    <d v="2026-09-26T00:00:00"/>
    <s v="Saturday"/>
    <n v="9"/>
    <n v="9.64"/>
    <x v="0"/>
    <x v="15"/>
    <s v="Male"/>
    <n v="73"/>
    <n v="181.6"/>
    <n v="24"/>
    <n v="18"/>
    <s v="FL"/>
    <n v="2"/>
    <n v="2097"/>
    <s v="High"/>
    <n v="1"/>
    <s v="Single-Day"/>
    <n v="0"/>
    <n v="0"/>
    <s v="Main Entrance"/>
    <s v="None/Dropoff/Transit"/>
    <n v="6.5"/>
    <n v="7"/>
    <x v="2073"/>
  </r>
  <r>
    <n v="2171"/>
    <n v="715"/>
    <d v="2026-07-04T00:00:00"/>
    <s v="Saturday"/>
    <n v="7"/>
    <n v="11.35"/>
    <x v="1"/>
    <x v="54"/>
    <s v="Female"/>
    <n v="65.7"/>
    <n v="167.4"/>
    <n v="27.3"/>
    <n v="13"/>
    <s v="CA"/>
    <n v="3"/>
    <n v="159.5"/>
    <s v="Middle"/>
    <n v="0"/>
    <s v="Single-Day"/>
    <n v="0"/>
    <n v="0"/>
    <s v="Downtown Disney Gate"/>
    <s v="None/Dropoff/Transit"/>
    <n v="9.6999999999999993"/>
    <n v="7"/>
    <x v="2074"/>
  </r>
  <r>
    <n v="2172"/>
    <n v="715"/>
    <d v="2026-07-04T00:00:00"/>
    <s v="Saturday"/>
    <n v="7"/>
    <n v="11.53"/>
    <x v="1"/>
    <x v="76"/>
    <s v="Male"/>
    <n v="63.3"/>
    <n v="117.6"/>
    <n v="20.9"/>
    <n v="14"/>
    <s v="CA"/>
    <n v="3"/>
    <n v="159.5"/>
    <s v="Middle"/>
    <n v="0"/>
    <s v="Single-Day"/>
    <n v="0"/>
    <n v="0"/>
    <s v="Downtown Disney Gate"/>
    <s v="None/Dropoff/Transit"/>
    <n v="6.6"/>
    <n v="5"/>
    <x v="2075"/>
  </r>
  <r>
    <n v="2173"/>
    <n v="715"/>
    <d v="2026-07-04T00:00:00"/>
    <s v="Saturday"/>
    <n v="7"/>
    <n v="11.43"/>
    <x v="1"/>
    <x v="2"/>
    <s v="Female"/>
    <n v="66.599999999999994"/>
    <n v="181.5"/>
    <n v="28.8"/>
    <n v="15"/>
    <s v="CA"/>
    <n v="3"/>
    <n v="159.5"/>
    <s v="Middle"/>
    <n v="0"/>
    <s v="Single-Day"/>
    <n v="0"/>
    <n v="0"/>
    <s v="Downtown Disney Gate"/>
    <s v="None/Dropoff/Transit"/>
    <n v="8.4"/>
    <n v="13"/>
    <x v="2076"/>
  </r>
  <r>
    <n v="2174"/>
    <n v="716"/>
    <d v="2026-01-17T00:00:00"/>
    <s v="Saturday"/>
    <n v="1"/>
    <n v="13.87"/>
    <x v="1"/>
    <x v="21"/>
    <s v="Female"/>
    <n v="70.5"/>
    <n v="239.1"/>
    <n v="33.799999999999997"/>
    <n v="13"/>
    <s v="AZ"/>
    <n v="4"/>
    <n v="179.9"/>
    <s v="Low"/>
    <n v="1"/>
    <s v="Single-Day"/>
    <n v="0"/>
    <n v="0"/>
    <s v="Main Entrance"/>
    <s v="None/Dropoff/Transit"/>
    <n v="6.5"/>
    <n v="4"/>
    <x v="733"/>
  </r>
  <r>
    <n v="2175"/>
    <n v="716"/>
    <d v="2026-01-17T00:00:00"/>
    <s v="Saturday"/>
    <n v="1"/>
    <n v="14.08"/>
    <x v="1"/>
    <x v="60"/>
    <s v="Female"/>
    <n v="70"/>
    <n v="155.5"/>
    <n v="22.2"/>
    <n v="9"/>
    <s v="AZ"/>
    <n v="4"/>
    <n v="179.9"/>
    <s v="Low"/>
    <n v="1"/>
    <s v="Single-Day"/>
    <n v="0"/>
    <n v="0"/>
    <s v="Main Entrance"/>
    <s v="None/Dropoff/Transit"/>
    <n v="6"/>
    <n v="3"/>
    <x v="2077"/>
  </r>
  <r>
    <n v="2176"/>
    <n v="716"/>
    <d v="2026-01-17T00:00:00"/>
    <s v="Saturday"/>
    <n v="1"/>
    <n v="13.97"/>
    <x v="1"/>
    <x v="37"/>
    <s v="Female"/>
    <n v="65.400000000000006"/>
    <n v="164.6"/>
    <n v="27"/>
    <n v="12"/>
    <s v="AZ"/>
    <n v="4"/>
    <n v="179.9"/>
    <s v="Low"/>
    <n v="1"/>
    <s v="Single-Day"/>
    <n v="0"/>
    <n v="0"/>
    <s v="Main Entrance"/>
    <s v="None/Dropoff/Transit"/>
    <n v="6"/>
    <n v="4"/>
    <x v="2078"/>
  </r>
  <r>
    <n v="2177"/>
    <n v="716"/>
    <d v="2026-01-17T00:00:00"/>
    <s v="Saturday"/>
    <n v="1"/>
    <n v="13.93"/>
    <x v="1"/>
    <x v="71"/>
    <s v="Female"/>
    <n v="59.9"/>
    <n v="112.4"/>
    <n v="21.9"/>
    <n v="15"/>
    <s v="AZ"/>
    <n v="4"/>
    <n v="179.9"/>
    <s v="Low"/>
    <n v="1"/>
    <s v="Single-Day"/>
    <n v="0"/>
    <n v="0"/>
    <s v="Main Entrance"/>
    <s v="None/Dropoff/Transit"/>
    <n v="8.6999999999999993"/>
    <n v="13"/>
    <x v="2079"/>
  </r>
  <r>
    <n v="2178"/>
    <n v="717"/>
    <d v="2026-07-16T00:00:00"/>
    <s v="Thursday"/>
    <n v="7"/>
    <n v="10.96"/>
    <x v="0"/>
    <x v="60"/>
    <s v="Female"/>
    <n v="59.2"/>
    <n v="99.9"/>
    <n v="20.2"/>
    <n v="11"/>
    <s v="UT"/>
    <n v="1"/>
    <n v="406.5"/>
    <s v="Middle"/>
    <n v="1"/>
    <s v="Park Hopper"/>
    <n v="1"/>
    <n v="0"/>
    <s v="Main Entrance"/>
    <s v="Mickey &amp; Friends"/>
    <n v="8.4"/>
    <n v="13"/>
    <x v="2080"/>
  </r>
  <r>
    <n v="2179"/>
    <n v="718"/>
    <d v="2026-04-07T00:00:00"/>
    <s v="Tuesday"/>
    <n v="4"/>
    <n v="9.75"/>
    <x v="0"/>
    <x v="38"/>
    <s v="Male"/>
    <n v="75.099999999999994"/>
    <n v="176.8"/>
    <n v="22"/>
    <n v="11"/>
    <s v="UT"/>
    <n v="4"/>
    <n v="741.5"/>
    <s v="High"/>
    <n v="1"/>
    <s v="Park Hopper"/>
    <n v="1"/>
    <n v="1"/>
    <s v="Main Entrance"/>
    <s v="None/Walked from Resort"/>
    <n v="8.9"/>
    <n v="17"/>
    <x v="2081"/>
  </r>
  <r>
    <n v="2180"/>
    <n v="718"/>
    <d v="2026-04-07T00:00:00"/>
    <s v="Tuesday"/>
    <n v="4"/>
    <n v="9.86"/>
    <x v="0"/>
    <x v="29"/>
    <s v="Female"/>
    <n v="63.3"/>
    <n v="155.19999999999999"/>
    <n v="27.3"/>
    <n v="16"/>
    <s v="UT"/>
    <n v="4"/>
    <n v="741.5"/>
    <s v="High"/>
    <n v="1"/>
    <s v="Park Hopper"/>
    <n v="1"/>
    <n v="1"/>
    <s v="Main Entrance"/>
    <s v="None/Walked from Resort"/>
    <n v="9.9"/>
    <n v="12"/>
    <x v="2082"/>
  </r>
  <r>
    <n v="2181"/>
    <n v="718"/>
    <d v="2026-04-07T00:00:00"/>
    <s v="Tuesday"/>
    <n v="4"/>
    <n v="9.98"/>
    <x v="0"/>
    <x v="4"/>
    <s v="Male"/>
    <n v="72.599999999999994"/>
    <n v="223.4"/>
    <n v="29.7"/>
    <n v="17"/>
    <s v="UT"/>
    <n v="4"/>
    <n v="741.5"/>
    <s v="High"/>
    <n v="1"/>
    <s v="Park Hopper"/>
    <n v="1"/>
    <n v="1"/>
    <s v="Main Entrance"/>
    <s v="None/Walked from Resort"/>
    <n v="8.8000000000000007"/>
    <n v="8"/>
    <x v="2083"/>
  </r>
  <r>
    <n v="2182"/>
    <n v="718"/>
    <d v="2026-04-07T00:00:00"/>
    <s v="Tuesday"/>
    <n v="4"/>
    <n v="9.92"/>
    <x v="0"/>
    <x v="44"/>
    <s v="Female"/>
    <n v="65.7"/>
    <n v="165.7"/>
    <n v="26.9"/>
    <n v="13"/>
    <s v="UT"/>
    <n v="4"/>
    <n v="741.5"/>
    <s v="High"/>
    <n v="1"/>
    <s v="Park Hopper"/>
    <n v="1"/>
    <n v="1"/>
    <s v="Main Entrance"/>
    <s v="None/Walked from Resort"/>
    <n v="11.1"/>
    <n v="10"/>
    <x v="2084"/>
  </r>
  <r>
    <n v="2183"/>
    <n v="719"/>
    <d v="2026-02-12T00:00:00"/>
    <s v="Thursday"/>
    <n v="2"/>
    <n v="9.82"/>
    <x v="0"/>
    <x v="43"/>
    <s v="Female"/>
    <n v="64.5"/>
    <n v="147.5"/>
    <n v="25"/>
    <n v="13"/>
    <s v="NY"/>
    <n v="4"/>
    <n v="3310.9"/>
    <s v="High"/>
    <n v="1"/>
    <s v="Park Hopper"/>
    <n v="0"/>
    <n v="0"/>
    <s v="Main Entrance"/>
    <s v="Pixar Pals"/>
    <n v="12.9"/>
    <n v="9"/>
    <x v="2085"/>
  </r>
  <r>
    <n v="2184"/>
    <n v="719"/>
    <d v="2026-02-12T00:00:00"/>
    <s v="Thursday"/>
    <n v="2"/>
    <n v="9.8699999999999992"/>
    <x v="0"/>
    <x v="9"/>
    <s v="Female"/>
    <n v="68"/>
    <n v="198.1"/>
    <n v="30.4"/>
    <n v="20"/>
    <s v="NY"/>
    <n v="4"/>
    <n v="3310.9"/>
    <s v="High"/>
    <n v="1"/>
    <s v="Park Hopper"/>
    <n v="0"/>
    <n v="0"/>
    <s v="Main Entrance"/>
    <s v="Pixar Pals"/>
    <n v="9.4"/>
    <n v="12"/>
    <x v="2086"/>
  </r>
  <r>
    <n v="2185"/>
    <n v="719"/>
    <d v="2026-02-12T00:00:00"/>
    <s v="Thursday"/>
    <n v="2"/>
    <n v="9.57"/>
    <x v="0"/>
    <x v="19"/>
    <s v="Female"/>
    <n v="62.8"/>
    <n v="181.2"/>
    <n v="32.200000000000003"/>
    <n v="16"/>
    <s v="NY"/>
    <n v="4"/>
    <n v="3310.9"/>
    <s v="High"/>
    <n v="1"/>
    <s v="Park Hopper"/>
    <n v="0"/>
    <n v="0"/>
    <s v="Main Entrance"/>
    <s v="Pixar Pals"/>
    <n v="9.1"/>
    <n v="7"/>
    <x v="2087"/>
  </r>
  <r>
    <n v="2186"/>
    <n v="719"/>
    <d v="2026-02-12T00:00:00"/>
    <s v="Thursday"/>
    <n v="2"/>
    <n v="9.84"/>
    <x v="0"/>
    <x v="25"/>
    <s v="Female"/>
    <n v="60.4"/>
    <n v="115"/>
    <n v="22.4"/>
    <n v="22"/>
    <s v="NY"/>
    <n v="4"/>
    <n v="3310.9"/>
    <s v="High"/>
    <n v="1"/>
    <s v="Park Hopper"/>
    <n v="0"/>
    <n v="0"/>
    <s v="Main Entrance"/>
    <s v="Pixar Pals"/>
    <n v="9.5"/>
    <n v="8"/>
    <x v="2088"/>
  </r>
  <r>
    <n v="2187"/>
    <n v="720"/>
    <d v="2026-04-21T00:00:00"/>
    <s v="Tuesday"/>
    <n v="4"/>
    <n v="9.69"/>
    <x v="0"/>
    <x v="25"/>
    <s v="Male"/>
    <n v="71.099999999999994"/>
    <n v="193.1"/>
    <n v="26.9"/>
    <n v="14"/>
    <s v="Other"/>
    <n v="1"/>
    <n v="1702.8"/>
    <s v="Middle"/>
    <n v="1"/>
    <s v="Multi-Day"/>
    <n v="0"/>
    <n v="0"/>
    <s v="Main Entrance"/>
    <s v="Toy Story Lot"/>
    <n v="10.4"/>
    <n v="9"/>
    <x v="2089"/>
  </r>
  <r>
    <n v="2188"/>
    <n v="721"/>
    <d v="2026-11-14T00:00:00"/>
    <s v="Saturday"/>
    <n v="11"/>
    <n v="12.21"/>
    <x v="1"/>
    <x v="69"/>
    <s v="Female"/>
    <n v="60.3"/>
    <n v="115.5"/>
    <n v="22.3"/>
    <n v="13"/>
    <s v="OR"/>
    <n v="1"/>
    <n v="1125.7"/>
    <s v="Middle"/>
    <n v="1"/>
    <s v="Multi-Day"/>
    <n v="0"/>
    <n v="0"/>
    <s v="Main Entrance"/>
    <s v="Mickey &amp; Friends"/>
    <n v="10.6"/>
    <n v="13"/>
    <x v="2090"/>
  </r>
  <r>
    <n v="2189"/>
    <n v="722"/>
    <d v="2026-07-19T00:00:00"/>
    <s v="Sunday"/>
    <n v="7"/>
    <n v="12.13"/>
    <x v="1"/>
    <x v="23"/>
    <s v="Male"/>
    <n v="68.900000000000006"/>
    <n v="162.19999999999999"/>
    <n v="24"/>
    <n v="14"/>
    <s v="CA"/>
    <n v="4"/>
    <n v="27.5"/>
    <s v="Low"/>
    <n v="0"/>
    <s v="Single-Day"/>
    <n v="1"/>
    <n v="0"/>
    <s v="Main Entrance"/>
    <s v="Toy Story Lot"/>
    <n v="6.3"/>
    <n v="6"/>
    <x v="2091"/>
  </r>
  <r>
    <n v="2190"/>
    <n v="722"/>
    <d v="2026-07-19T00:00:00"/>
    <s v="Sunday"/>
    <n v="7"/>
    <n v="11.77"/>
    <x v="1"/>
    <x v="17"/>
    <s v="Male"/>
    <n v="64.5"/>
    <n v="194"/>
    <n v="32.700000000000003"/>
    <n v="16"/>
    <s v="CA"/>
    <n v="4"/>
    <n v="27.5"/>
    <s v="Low"/>
    <n v="0"/>
    <s v="Single-Day"/>
    <n v="1"/>
    <n v="0"/>
    <s v="Main Entrance"/>
    <s v="Toy Story Lot"/>
    <n v="7"/>
    <n v="6"/>
    <x v="2092"/>
  </r>
  <r>
    <n v="2191"/>
    <n v="722"/>
    <d v="2026-07-19T00:00:00"/>
    <s v="Sunday"/>
    <n v="7"/>
    <n v="12.02"/>
    <x v="1"/>
    <x v="7"/>
    <s v="Female"/>
    <n v="49.8"/>
    <n v="75"/>
    <n v="21.4"/>
    <n v="13"/>
    <s v="CA"/>
    <n v="4"/>
    <n v="27.5"/>
    <s v="Low"/>
    <n v="0"/>
    <s v="Single-Day"/>
    <n v="1"/>
    <n v="0"/>
    <s v="Main Entrance"/>
    <s v="Toy Story Lot"/>
    <n v="8.1999999999999993"/>
    <n v="12"/>
    <x v="2093"/>
  </r>
  <r>
    <n v="2192"/>
    <n v="722"/>
    <d v="2026-07-19T00:00:00"/>
    <s v="Sunday"/>
    <n v="7"/>
    <n v="12.03"/>
    <x v="1"/>
    <x v="2"/>
    <s v="Female"/>
    <n v="64.599999999999994"/>
    <n v="177.8"/>
    <n v="29.8"/>
    <n v="12"/>
    <s v="CA"/>
    <n v="4"/>
    <n v="27.5"/>
    <s v="Low"/>
    <n v="0"/>
    <s v="Single-Day"/>
    <n v="1"/>
    <n v="0"/>
    <s v="Main Entrance"/>
    <s v="Toy Story Lot"/>
    <n v="7.9"/>
    <n v="11"/>
    <x v="2094"/>
  </r>
  <r>
    <n v="2193"/>
    <n v="723"/>
    <d v="2026-11-25T00:00:00"/>
    <s v="Wednesday"/>
    <n v="11"/>
    <n v="8.69"/>
    <x v="0"/>
    <x v="47"/>
    <s v="Male"/>
    <n v="68.599999999999994"/>
    <n v="135.80000000000001"/>
    <n v="20.2"/>
    <n v="14"/>
    <s v="CA"/>
    <n v="2"/>
    <n v="2"/>
    <s v="Low"/>
    <n v="1"/>
    <s v="Park Hopper"/>
    <n v="1"/>
    <n v="0"/>
    <s v="Main Entrance"/>
    <s v="Toy Story Lot"/>
    <n v="11.8"/>
    <n v="14"/>
    <x v="2095"/>
  </r>
  <r>
    <n v="2194"/>
    <n v="723"/>
    <d v="2026-11-25T00:00:00"/>
    <s v="Wednesday"/>
    <n v="11"/>
    <n v="8.8000000000000007"/>
    <x v="0"/>
    <x v="0"/>
    <s v="Female"/>
    <n v="65"/>
    <n v="162.80000000000001"/>
    <n v="27"/>
    <n v="15"/>
    <s v="CA"/>
    <n v="2"/>
    <n v="2"/>
    <s v="Low"/>
    <n v="1"/>
    <s v="Park Hopper"/>
    <n v="1"/>
    <n v="0"/>
    <s v="Main Entrance"/>
    <s v="Toy Story Lot"/>
    <n v="10.9"/>
    <n v="10"/>
    <x v="1847"/>
  </r>
  <r>
    <n v="2195"/>
    <n v="724"/>
    <d v="2026-03-11T00:00:00"/>
    <s v="Wednesday"/>
    <n v="3"/>
    <n v="9.68"/>
    <x v="0"/>
    <x v="33"/>
    <s v="Female"/>
    <n v="66.2"/>
    <n v="161"/>
    <n v="25.7"/>
    <n v="12"/>
    <s v="NY"/>
    <n v="2"/>
    <n v="2059.6"/>
    <s v="Low"/>
    <n v="1"/>
    <s v="Single-Day"/>
    <n v="1"/>
    <n v="0"/>
    <s v="Main Entrance"/>
    <s v="Pixar Pals"/>
    <n v="7.1"/>
    <n v="3"/>
    <x v="759"/>
  </r>
  <r>
    <n v="2196"/>
    <n v="724"/>
    <d v="2026-03-11T00:00:00"/>
    <s v="Wednesday"/>
    <n v="3"/>
    <n v="9.89"/>
    <x v="0"/>
    <x v="41"/>
    <s v="Female"/>
    <n v="64"/>
    <n v="150.80000000000001"/>
    <n v="26.1"/>
    <n v="10"/>
    <s v="NY"/>
    <n v="2"/>
    <n v="2059.6"/>
    <s v="Low"/>
    <n v="1"/>
    <s v="Single-Day"/>
    <n v="1"/>
    <n v="0"/>
    <s v="Main Entrance"/>
    <s v="Pixar Pals"/>
    <n v="6.8"/>
    <n v="5"/>
    <x v="2096"/>
  </r>
  <r>
    <n v="2197"/>
    <n v="725"/>
    <d v="2026-10-05T00:00:00"/>
    <s v="Monday"/>
    <n v="10"/>
    <n v="9.16"/>
    <x v="0"/>
    <x v="51"/>
    <s v="Male"/>
    <n v="70.400000000000006"/>
    <n v="169.9"/>
    <n v="23.9"/>
    <n v="14"/>
    <s v="CA"/>
    <n v="3"/>
    <n v="39.799999999999997"/>
    <s v="Middle"/>
    <n v="0"/>
    <s v="Multi-Day"/>
    <n v="0"/>
    <n v="0"/>
    <s v="Main Entrance"/>
    <s v="Toy Story Lot"/>
    <n v="10.5"/>
    <n v="11"/>
    <x v="2097"/>
  </r>
  <r>
    <n v="2198"/>
    <n v="725"/>
    <d v="2026-10-05T00:00:00"/>
    <s v="Monday"/>
    <n v="10"/>
    <n v="9.27"/>
    <x v="0"/>
    <x v="50"/>
    <s v="Female"/>
    <n v="70"/>
    <n v="156.4"/>
    <n v="22.4"/>
    <n v="14"/>
    <s v="CA"/>
    <n v="3"/>
    <n v="39.799999999999997"/>
    <s v="Middle"/>
    <n v="0"/>
    <s v="Multi-Day"/>
    <n v="0"/>
    <n v="0"/>
    <s v="Main Entrance"/>
    <s v="Toy Story Lot"/>
    <n v="5.9"/>
    <n v="3"/>
    <x v="2098"/>
  </r>
  <r>
    <n v="2199"/>
    <n v="725"/>
    <d v="2026-10-05T00:00:00"/>
    <s v="Monday"/>
    <n v="10"/>
    <n v="9.08"/>
    <x v="0"/>
    <x v="37"/>
    <s v="Female"/>
    <n v="62.6"/>
    <n v="174.5"/>
    <n v="31.3"/>
    <n v="12"/>
    <s v="CA"/>
    <n v="3"/>
    <n v="39.799999999999997"/>
    <s v="Middle"/>
    <n v="0"/>
    <s v="Multi-Day"/>
    <n v="0"/>
    <n v="0"/>
    <s v="Main Entrance"/>
    <s v="Toy Story Lot"/>
    <n v="7.9"/>
    <n v="10"/>
    <x v="2099"/>
  </r>
  <r>
    <n v="2200"/>
    <n v="726"/>
    <d v="2026-01-22T00:00:00"/>
    <s v="Thursday"/>
    <n v="1"/>
    <n v="11.48"/>
    <x v="1"/>
    <x v="4"/>
    <s v="Female"/>
    <n v="66.8"/>
    <n v="154.9"/>
    <n v="24.4"/>
    <n v="12"/>
    <s v="ND"/>
    <n v="5"/>
    <n v="1797.3"/>
    <s v="Middle"/>
    <n v="1"/>
    <s v="Single-Day"/>
    <n v="0"/>
    <n v="0"/>
    <s v="Main Entrance"/>
    <s v="Pixar Pals"/>
    <n v="7.3"/>
    <n v="8"/>
    <x v="31"/>
  </r>
  <r>
    <n v="2201"/>
    <n v="726"/>
    <d v="2026-01-22T00:00:00"/>
    <s v="Thursday"/>
    <n v="1"/>
    <n v="11.61"/>
    <x v="1"/>
    <x v="22"/>
    <s v="Female"/>
    <n v="57.9"/>
    <n v="73.099999999999994"/>
    <n v="15.4"/>
    <n v="11"/>
    <s v="ND"/>
    <n v="5"/>
    <n v="1797.3"/>
    <s v="Middle"/>
    <n v="1"/>
    <s v="Single-Day"/>
    <n v="0"/>
    <n v="0"/>
    <s v="Main Entrance"/>
    <s v="Pixar Pals"/>
    <n v="6.9"/>
    <n v="1"/>
    <x v="2100"/>
  </r>
  <r>
    <n v="2202"/>
    <n v="726"/>
    <d v="2026-01-22T00:00:00"/>
    <s v="Thursday"/>
    <n v="1"/>
    <n v="11.24"/>
    <x v="1"/>
    <x v="71"/>
    <s v="Female"/>
    <n v="63.9"/>
    <n v="133.1"/>
    <n v="23.1"/>
    <n v="18"/>
    <s v="ND"/>
    <n v="5"/>
    <n v="1797.3"/>
    <s v="Middle"/>
    <n v="1"/>
    <s v="Single-Day"/>
    <n v="0"/>
    <n v="0"/>
    <s v="Main Entrance"/>
    <s v="Pixar Pals"/>
    <n v="6.8"/>
    <n v="10"/>
    <x v="1365"/>
  </r>
  <r>
    <n v="2203"/>
    <n v="726"/>
    <d v="2026-01-22T00:00:00"/>
    <s v="Thursday"/>
    <n v="1"/>
    <n v="11.7"/>
    <x v="1"/>
    <x v="54"/>
    <s v="Male"/>
    <n v="71"/>
    <n v="181"/>
    <n v="25.1"/>
    <n v="15"/>
    <s v="ND"/>
    <n v="5"/>
    <n v="1797.3"/>
    <s v="Middle"/>
    <n v="1"/>
    <s v="Single-Day"/>
    <n v="0"/>
    <n v="0"/>
    <s v="Main Entrance"/>
    <s v="Pixar Pals"/>
    <n v="8.4"/>
    <n v="12"/>
    <x v="2101"/>
  </r>
  <r>
    <n v="2204"/>
    <n v="726"/>
    <d v="2026-01-22T00:00:00"/>
    <s v="Thursday"/>
    <n v="1"/>
    <n v="11.64"/>
    <x v="1"/>
    <x v="58"/>
    <s v="Female"/>
    <n v="68.099999999999994"/>
    <n v="102.6"/>
    <n v="15.6"/>
    <n v="13"/>
    <s v="ND"/>
    <n v="5"/>
    <n v="1797.3"/>
    <s v="Middle"/>
    <n v="1"/>
    <s v="Single-Day"/>
    <n v="0"/>
    <n v="0"/>
    <s v="Main Entrance"/>
    <s v="Pixar Pals"/>
    <n v="6.7"/>
    <n v="6"/>
    <x v="2102"/>
  </r>
  <r>
    <n v="2205"/>
    <n v="727"/>
    <d v="2026-01-06T00:00:00"/>
    <s v="Tuesday"/>
    <n v="1"/>
    <n v="11.63"/>
    <x v="1"/>
    <x v="69"/>
    <s v="Male"/>
    <n v="71.7"/>
    <n v="205.8"/>
    <n v="28.1"/>
    <n v="13"/>
    <s v="OR"/>
    <n v="1"/>
    <n v="951.5"/>
    <s v="Middle"/>
    <n v="0"/>
    <s v="Park Hopper"/>
    <n v="1"/>
    <n v="0"/>
    <s v="Main Entrance"/>
    <s v="Pixar Pals"/>
    <n v="8.4"/>
    <n v="15"/>
    <x v="2103"/>
  </r>
  <r>
    <n v="2206"/>
    <n v="728"/>
    <d v="2026-09-12T00:00:00"/>
    <s v="Saturday"/>
    <n v="9"/>
    <n v="12.44"/>
    <x v="1"/>
    <x v="18"/>
    <s v="Female"/>
    <n v="66.400000000000006"/>
    <n v="167.4"/>
    <n v="26.8"/>
    <n v="16"/>
    <s v="Other"/>
    <n v="3"/>
    <n v="1576.1"/>
    <s v="High"/>
    <n v="1"/>
    <s v="Multi-Day"/>
    <n v="1"/>
    <n v="0"/>
    <s v="Main Entrance"/>
    <s v="Mickey &amp; Friends"/>
    <n v="10.6"/>
    <n v="11"/>
    <x v="2104"/>
  </r>
  <r>
    <n v="2207"/>
    <n v="728"/>
    <d v="2026-09-12T00:00:00"/>
    <s v="Saturday"/>
    <n v="9"/>
    <n v="12.42"/>
    <x v="1"/>
    <x v="25"/>
    <s v="Male"/>
    <n v="72.7"/>
    <n v="199.1"/>
    <n v="26.3"/>
    <n v="19"/>
    <s v="Other"/>
    <n v="3"/>
    <n v="1576.1"/>
    <s v="High"/>
    <n v="1"/>
    <s v="Multi-Day"/>
    <n v="1"/>
    <n v="0"/>
    <s v="Main Entrance"/>
    <s v="Mickey &amp; Friends"/>
    <n v="8"/>
    <n v="11"/>
    <x v="2105"/>
  </r>
  <r>
    <n v="2208"/>
    <n v="728"/>
    <d v="2026-09-12T00:00:00"/>
    <s v="Saturday"/>
    <n v="9"/>
    <n v="12.46"/>
    <x v="1"/>
    <x v="19"/>
    <s v="Male"/>
    <n v="70.8"/>
    <n v="209.3"/>
    <n v="29.4"/>
    <n v="14"/>
    <s v="Other"/>
    <n v="3"/>
    <n v="1576.1"/>
    <s v="High"/>
    <n v="1"/>
    <s v="Multi-Day"/>
    <n v="1"/>
    <n v="0"/>
    <s v="Main Entrance"/>
    <s v="Mickey &amp; Friends"/>
    <n v="8.8000000000000007"/>
    <n v="8"/>
    <x v="2106"/>
  </r>
  <r>
    <n v="2209"/>
    <n v="729"/>
    <d v="2026-07-09T00:00:00"/>
    <s v="Thursday"/>
    <n v="7"/>
    <n v="9.4"/>
    <x v="0"/>
    <x v="2"/>
    <s v="Female"/>
    <n v="60.9"/>
    <n v="139.4"/>
    <n v="26.5"/>
    <n v="14"/>
    <s v="OR"/>
    <n v="2"/>
    <n v="828.6"/>
    <s v="Middle"/>
    <n v="0"/>
    <s v="Single-Day"/>
    <n v="1"/>
    <n v="0"/>
    <s v="Main Entrance"/>
    <s v="Toy Story Lot"/>
    <n v="9.5"/>
    <n v="11"/>
    <x v="2107"/>
  </r>
  <r>
    <n v="2210"/>
    <n v="729"/>
    <d v="2026-07-09T00:00:00"/>
    <s v="Thursday"/>
    <n v="7"/>
    <n v="9.74"/>
    <x v="0"/>
    <x v="22"/>
    <s v="Male"/>
    <n v="58.8"/>
    <n v="101.9"/>
    <n v="20.8"/>
    <n v="12"/>
    <s v="OR"/>
    <n v="2"/>
    <n v="828.6"/>
    <s v="Middle"/>
    <n v="0"/>
    <s v="Single-Day"/>
    <n v="1"/>
    <n v="0"/>
    <s v="Main Entrance"/>
    <s v="Toy Story Lot"/>
    <n v="8.1999999999999993"/>
    <n v="8"/>
    <x v="2108"/>
  </r>
  <r>
    <n v="2211"/>
    <n v="730"/>
    <d v="2026-12-16T00:00:00"/>
    <s v="Wednesday"/>
    <n v="12"/>
    <n v="10.01"/>
    <x v="0"/>
    <x v="60"/>
    <s v="Female"/>
    <n v="68.7"/>
    <n v="144.30000000000001"/>
    <n v="21.6"/>
    <n v="13"/>
    <s v="FL"/>
    <n v="3"/>
    <n v="2609.1999999999998"/>
    <s v="Middle"/>
    <n v="0"/>
    <s v="Single-Day"/>
    <n v="0"/>
    <n v="0"/>
    <s v="Main Entrance"/>
    <s v="Toy Story Lot"/>
    <n v="7.9"/>
    <n v="8"/>
    <x v="2109"/>
  </r>
  <r>
    <n v="2212"/>
    <n v="730"/>
    <d v="2026-12-16T00:00:00"/>
    <s v="Wednesday"/>
    <n v="12"/>
    <n v="9.84"/>
    <x v="0"/>
    <x v="20"/>
    <s v="Male"/>
    <n v="68.7"/>
    <n v="141.69999999999999"/>
    <n v="21.1"/>
    <n v="12"/>
    <s v="FL"/>
    <n v="3"/>
    <n v="2609.1999999999998"/>
    <s v="Middle"/>
    <n v="0"/>
    <s v="Single-Day"/>
    <n v="0"/>
    <n v="0"/>
    <s v="Main Entrance"/>
    <s v="Toy Story Lot"/>
    <n v="9.5"/>
    <n v="5"/>
    <x v="2110"/>
  </r>
  <r>
    <n v="2213"/>
    <n v="730"/>
    <d v="2026-12-16T00:00:00"/>
    <s v="Wednesday"/>
    <n v="12"/>
    <n v="9.77"/>
    <x v="0"/>
    <x v="25"/>
    <s v="Male"/>
    <n v="65.099999999999994"/>
    <n v="158.1"/>
    <n v="26.1"/>
    <n v="12"/>
    <s v="FL"/>
    <n v="3"/>
    <n v="2609.1999999999998"/>
    <s v="Middle"/>
    <n v="0"/>
    <s v="Single-Day"/>
    <n v="0"/>
    <n v="0"/>
    <s v="Main Entrance"/>
    <s v="Toy Story Lot"/>
    <n v="10.3"/>
    <n v="5"/>
    <x v="2111"/>
  </r>
  <r>
    <n v="2214"/>
    <n v="731"/>
    <d v="2026-01-02T00:00:00"/>
    <s v="Friday"/>
    <n v="1"/>
    <n v="13.14"/>
    <x v="1"/>
    <x v="14"/>
    <s v="Female"/>
    <n v="63.7"/>
    <n v="128.5"/>
    <n v="22.1"/>
    <n v="18"/>
    <s v="FL"/>
    <n v="1"/>
    <n v="2794.6"/>
    <s v="High"/>
    <n v="1"/>
    <s v="Multi-Day"/>
    <n v="0"/>
    <n v="1"/>
    <s v="Main Entrance"/>
    <s v="Mickey &amp; Friends"/>
    <n v="9.1"/>
    <n v="5"/>
    <x v="2112"/>
  </r>
  <r>
    <n v="2215"/>
    <n v="732"/>
    <d v="2026-10-01T00:00:00"/>
    <s v="Thursday"/>
    <n v="10"/>
    <n v="10.62"/>
    <x v="0"/>
    <x v="30"/>
    <s v="Female"/>
    <n v="62.8"/>
    <n v="132.5"/>
    <n v="23.8"/>
    <n v="14"/>
    <s v="CA"/>
    <n v="3"/>
    <n v="150.30000000000001"/>
    <s v="Middle"/>
    <n v="0"/>
    <s v="Single-Day"/>
    <n v="1"/>
    <n v="0"/>
    <s v="Main Entrance"/>
    <s v="Toy Story Lot"/>
    <n v="10.6"/>
    <n v="13"/>
    <x v="2113"/>
  </r>
  <r>
    <n v="2216"/>
    <n v="732"/>
    <d v="2026-10-01T00:00:00"/>
    <s v="Thursday"/>
    <n v="10"/>
    <n v="10.56"/>
    <x v="0"/>
    <x v="61"/>
    <s v="Female"/>
    <n v="70"/>
    <n v="130.9"/>
    <n v="18.600000000000001"/>
    <n v="10"/>
    <s v="CA"/>
    <n v="3"/>
    <n v="150.30000000000001"/>
    <s v="Middle"/>
    <n v="0"/>
    <s v="Single-Day"/>
    <n v="1"/>
    <n v="0"/>
    <s v="Main Entrance"/>
    <s v="Toy Story Lot"/>
    <n v="10.6"/>
    <n v="6"/>
    <x v="2114"/>
  </r>
  <r>
    <n v="2217"/>
    <n v="732"/>
    <d v="2026-10-01T00:00:00"/>
    <s v="Thursday"/>
    <n v="10"/>
    <n v="10.4"/>
    <x v="0"/>
    <x v="36"/>
    <s v="Female"/>
    <n v="63.8"/>
    <n v="159.30000000000001"/>
    <n v="27.5"/>
    <n v="14"/>
    <s v="CA"/>
    <n v="3"/>
    <n v="150.30000000000001"/>
    <s v="Middle"/>
    <n v="0"/>
    <s v="Single-Day"/>
    <n v="1"/>
    <n v="0"/>
    <s v="Main Entrance"/>
    <s v="Toy Story Lot"/>
    <n v="6.8"/>
    <n v="3"/>
    <x v="2115"/>
  </r>
  <r>
    <n v="2218"/>
    <n v="733"/>
    <d v="2026-08-06T00:00:00"/>
    <s v="Thursday"/>
    <n v="8"/>
    <n v="10.39"/>
    <x v="0"/>
    <x v="11"/>
    <s v="Male"/>
    <n v="65.2"/>
    <n v="168.8"/>
    <n v="27.8"/>
    <n v="16"/>
    <s v="CA"/>
    <n v="2"/>
    <n v="53.5"/>
    <s v="Middle"/>
    <n v="0"/>
    <s v="Single-Day"/>
    <n v="1"/>
    <n v="0"/>
    <s v="Hotel Guest Entrance"/>
    <s v="Mickey &amp; Friends"/>
    <n v="6.4"/>
    <n v="10"/>
    <x v="2116"/>
  </r>
  <r>
    <n v="2219"/>
    <n v="733"/>
    <d v="2026-08-06T00:00:00"/>
    <s v="Thursday"/>
    <n v="8"/>
    <n v="10.28"/>
    <x v="0"/>
    <x v="57"/>
    <s v="Female"/>
    <n v="63.5"/>
    <n v="114"/>
    <n v="19.7"/>
    <n v="17"/>
    <s v="CA"/>
    <n v="2"/>
    <n v="53.5"/>
    <s v="Middle"/>
    <n v="0"/>
    <s v="Single-Day"/>
    <n v="1"/>
    <n v="0"/>
    <s v="Hotel Guest Entrance"/>
    <s v="Mickey &amp; Friends"/>
    <n v="7.6"/>
    <n v="13"/>
    <x v="1222"/>
  </r>
  <r>
    <n v="2220"/>
    <n v="734"/>
    <d v="2026-02-06T00:00:00"/>
    <s v="Friday"/>
    <n v="2"/>
    <n v="10.69"/>
    <x v="0"/>
    <x v="69"/>
    <s v="Male"/>
    <n v="69.099999999999994"/>
    <n v="127"/>
    <n v="18.600000000000001"/>
    <n v="13"/>
    <s v="CA"/>
    <n v="4"/>
    <n v="156"/>
    <s v="Low"/>
    <n v="0"/>
    <s v="Multi-Day"/>
    <n v="0"/>
    <n v="0"/>
    <s v="Main Entrance"/>
    <s v="Toy Story Lot"/>
    <n v="10.199999999999999"/>
    <n v="8"/>
    <x v="2117"/>
  </r>
  <r>
    <n v="2221"/>
    <n v="734"/>
    <d v="2026-02-06T00:00:00"/>
    <s v="Friday"/>
    <n v="2"/>
    <n v="10.69"/>
    <x v="0"/>
    <x v="36"/>
    <s v="Male"/>
    <n v="66.099999999999994"/>
    <n v="145.6"/>
    <n v="23.6"/>
    <n v="10"/>
    <s v="CA"/>
    <n v="4"/>
    <n v="156"/>
    <s v="Low"/>
    <n v="0"/>
    <s v="Multi-Day"/>
    <n v="0"/>
    <n v="0"/>
    <s v="Main Entrance"/>
    <s v="Toy Story Lot"/>
    <n v="7.9"/>
    <n v="8"/>
    <x v="2118"/>
  </r>
  <r>
    <n v="2222"/>
    <n v="734"/>
    <d v="2026-02-06T00:00:00"/>
    <s v="Friday"/>
    <n v="2"/>
    <n v="10.46"/>
    <x v="0"/>
    <x v="54"/>
    <s v="Male"/>
    <n v="72.7"/>
    <n v="155"/>
    <n v="20.2"/>
    <n v="13"/>
    <s v="CA"/>
    <n v="4"/>
    <n v="156"/>
    <s v="Low"/>
    <n v="0"/>
    <s v="Multi-Day"/>
    <n v="0"/>
    <n v="0"/>
    <s v="Main Entrance"/>
    <s v="Toy Story Lot"/>
    <n v="5.7"/>
    <n v="8"/>
    <x v="2119"/>
  </r>
  <r>
    <n v="2223"/>
    <n v="734"/>
    <d v="2026-02-06T00:00:00"/>
    <s v="Friday"/>
    <n v="2"/>
    <n v="10.73"/>
    <x v="0"/>
    <x v="80"/>
    <s v="Male"/>
    <n v="72.2"/>
    <n v="208.4"/>
    <n v="28.2"/>
    <n v="15"/>
    <s v="CA"/>
    <n v="4"/>
    <n v="156"/>
    <s v="Low"/>
    <n v="0"/>
    <s v="Multi-Day"/>
    <n v="0"/>
    <n v="0"/>
    <s v="Main Entrance"/>
    <s v="Toy Story Lot"/>
    <n v="7.8"/>
    <n v="8"/>
    <x v="2120"/>
  </r>
  <r>
    <n v="2224"/>
    <n v="735"/>
    <d v="2026-09-18T00:00:00"/>
    <s v="Friday"/>
    <n v="9"/>
    <n v="12.62"/>
    <x v="1"/>
    <x v="15"/>
    <s v="Male"/>
    <n v="73.400000000000006"/>
    <n v="213.7"/>
    <n v="27.9"/>
    <n v="17"/>
    <s v="IL"/>
    <n v="4"/>
    <n v="2267.9"/>
    <s v="High"/>
    <n v="0"/>
    <s v="Single-Day"/>
    <n v="1"/>
    <n v="0"/>
    <s v="Main Entrance"/>
    <s v="Pixar Pals"/>
    <n v="7.7"/>
    <n v="12"/>
    <x v="2121"/>
  </r>
  <r>
    <n v="2225"/>
    <n v="735"/>
    <d v="2026-09-18T00:00:00"/>
    <s v="Friday"/>
    <n v="9"/>
    <n v="12.45"/>
    <x v="1"/>
    <x v="76"/>
    <s v="Female"/>
    <n v="64.5"/>
    <n v="178.1"/>
    <n v="29.9"/>
    <n v="19"/>
    <s v="IL"/>
    <n v="4"/>
    <n v="2267.9"/>
    <s v="High"/>
    <n v="0"/>
    <s v="Single-Day"/>
    <n v="1"/>
    <n v="0"/>
    <s v="Main Entrance"/>
    <s v="Pixar Pals"/>
    <n v="7.4"/>
    <n v="12"/>
    <x v="2122"/>
  </r>
  <r>
    <n v="2226"/>
    <n v="735"/>
    <d v="2026-09-18T00:00:00"/>
    <s v="Friday"/>
    <n v="9"/>
    <n v="12.59"/>
    <x v="1"/>
    <x v="36"/>
    <s v="Male"/>
    <n v="71.8"/>
    <n v="160.9"/>
    <n v="22"/>
    <n v="17"/>
    <s v="IL"/>
    <n v="4"/>
    <n v="2267.9"/>
    <s v="High"/>
    <n v="0"/>
    <s v="Single-Day"/>
    <n v="1"/>
    <n v="0"/>
    <s v="Main Entrance"/>
    <s v="Pixar Pals"/>
    <n v="5.0999999999999996"/>
    <n v="7"/>
    <x v="2123"/>
  </r>
  <r>
    <n v="2227"/>
    <n v="735"/>
    <d v="2026-09-18T00:00:00"/>
    <s v="Friday"/>
    <n v="9"/>
    <n v="12.49"/>
    <x v="1"/>
    <x v="53"/>
    <s v="Male"/>
    <n v="58.2"/>
    <n v="86.8"/>
    <n v="17.8"/>
    <n v="13"/>
    <s v="IL"/>
    <n v="4"/>
    <n v="2267.9"/>
    <s v="High"/>
    <n v="0"/>
    <s v="Single-Day"/>
    <n v="1"/>
    <n v="0"/>
    <s v="Main Entrance"/>
    <s v="Pixar Pals"/>
    <n v="8.1"/>
    <n v="10"/>
    <x v="2124"/>
  </r>
  <r>
    <n v="2228"/>
    <n v="736"/>
    <d v="2026-09-08T00:00:00"/>
    <s v="Tuesday"/>
    <n v="9"/>
    <n v="10.77"/>
    <x v="0"/>
    <x v="17"/>
    <s v="Male"/>
    <n v="72.2"/>
    <n v="170"/>
    <n v="23"/>
    <n v="15"/>
    <s v="CO"/>
    <n v="3"/>
    <n v="1029.5999999999999"/>
    <s v="High"/>
    <n v="0"/>
    <s v="Multi-Day"/>
    <n v="1"/>
    <n v="0"/>
    <s v="Main Entrance"/>
    <s v="Mickey &amp; Friends"/>
    <n v="6.4"/>
    <n v="9"/>
    <x v="2125"/>
  </r>
  <r>
    <n v="2229"/>
    <n v="736"/>
    <d v="2026-09-08T00:00:00"/>
    <s v="Tuesday"/>
    <n v="9"/>
    <n v="10.9"/>
    <x v="0"/>
    <x v="8"/>
    <s v="Female"/>
    <n v="63.6"/>
    <n v="173.1"/>
    <n v="29.9"/>
    <n v="19"/>
    <s v="CO"/>
    <n v="3"/>
    <n v="1029.5999999999999"/>
    <s v="High"/>
    <n v="0"/>
    <s v="Multi-Day"/>
    <n v="1"/>
    <n v="0"/>
    <s v="Main Entrance"/>
    <s v="Mickey &amp; Friends"/>
    <n v="8.3000000000000007"/>
    <n v="10"/>
    <x v="2126"/>
  </r>
  <r>
    <n v="2230"/>
    <n v="736"/>
    <d v="2026-09-08T00:00:00"/>
    <s v="Tuesday"/>
    <n v="9"/>
    <n v="11.14"/>
    <x v="1"/>
    <x v="27"/>
    <s v="Male"/>
    <n v="70.8"/>
    <n v="204.3"/>
    <n v="28.4"/>
    <n v="21"/>
    <s v="CO"/>
    <n v="3"/>
    <n v="1029.5999999999999"/>
    <s v="High"/>
    <n v="0"/>
    <s v="Multi-Day"/>
    <n v="1"/>
    <n v="0"/>
    <s v="Main Entrance"/>
    <s v="Mickey &amp; Friends"/>
    <n v="7.5"/>
    <n v="6"/>
    <x v="2127"/>
  </r>
  <r>
    <n v="2231"/>
    <n v="737"/>
    <d v="2026-04-03T00:00:00"/>
    <s v="Friday"/>
    <n v="4"/>
    <n v="10.82"/>
    <x v="0"/>
    <x v="50"/>
    <s v="Male"/>
    <n v="70"/>
    <n v="153.69999999999999"/>
    <n v="22"/>
    <n v="13"/>
    <s v="CA"/>
    <n v="3"/>
    <n v="2.5"/>
    <s v="Middle"/>
    <n v="1"/>
    <s v="Single-Day"/>
    <n v="1"/>
    <n v="0"/>
    <s v="Downtown Disney Gate"/>
    <s v="Mickey &amp; Friends"/>
    <n v="8.1999999999999993"/>
    <n v="9"/>
    <x v="2128"/>
  </r>
  <r>
    <n v="2232"/>
    <n v="737"/>
    <d v="2026-04-03T00:00:00"/>
    <s v="Friday"/>
    <n v="4"/>
    <n v="10.65"/>
    <x v="0"/>
    <x v="54"/>
    <s v="Nonbinary/Other"/>
    <n v="67.599999999999994"/>
    <n v="182"/>
    <n v="28"/>
    <n v="18"/>
    <s v="CA"/>
    <n v="3"/>
    <n v="2.5"/>
    <s v="Middle"/>
    <n v="1"/>
    <s v="Single-Day"/>
    <n v="1"/>
    <n v="0"/>
    <s v="Downtown Disney Gate"/>
    <s v="Mickey &amp; Friends"/>
    <n v="9.6"/>
    <n v="10"/>
    <x v="2129"/>
  </r>
  <r>
    <n v="2233"/>
    <n v="737"/>
    <d v="2026-04-03T00:00:00"/>
    <s v="Friday"/>
    <n v="4"/>
    <n v="10.77"/>
    <x v="0"/>
    <x v="34"/>
    <s v="Male"/>
    <n v="74.900000000000006"/>
    <n v="239"/>
    <n v="29.9"/>
    <n v="15"/>
    <s v="CA"/>
    <n v="3"/>
    <n v="2.5"/>
    <s v="Middle"/>
    <n v="1"/>
    <s v="Single-Day"/>
    <n v="1"/>
    <n v="0"/>
    <s v="Downtown Disney Gate"/>
    <s v="Mickey &amp; Friends"/>
    <n v="8.3000000000000007"/>
    <n v="5"/>
    <x v="2130"/>
  </r>
  <r>
    <n v="2234"/>
    <n v="738"/>
    <d v="2026-07-30T00:00:00"/>
    <s v="Thursday"/>
    <n v="7"/>
    <n v="8.99"/>
    <x v="0"/>
    <x v="9"/>
    <s v="Female"/>
    <n v="63.1"/>
    <n v="146.1"/>
    <n v="25.7"/>
    <n v="13"/>
    <s v="CA"/>
    <n v="2"/>
    <n v="66.8"/>
    <s v="Middle"/>
    <n v="0"/>
    <s v="Multi-Day"/>
    <n v="1"/>
    <n v="0"/>
    <s v="Downtown Disney Gate"/>
    <s v="None/Dropoff/Transit"/>
    <n v="8.9"/>
    <n v="7"/>
    <x v="2131"/>
  </r>
  <r>
    <n v="2235"/>
    <n v="738"/>
    <d v="2026-07-30T00:00:00"/>
    <s v="Thursday"/>
    <n v="7"/>
    <n v="9.06"/>
    <x v="0"/>
    <x v="21"/>
    <s v="Male"/>
    <n v="66.7"/>
    <n v="176.8"/>
    <n v="27.8"/>
    <n v="14"/>
    <s v="CA"/>
    <n v="2"/>
    <n v="66.8"/>
    <s v="Middle"/>
    <n v="0"/>
    <s v="Multi-Day"/>
    <n v="1"/>
    <n v="0"/>
    <s v="Downtown Disney Gate"/>
    <s v="None/Dropoff/Transit"/>
    <n v="7"/>
    <n v="9"/>
    <x v="2132"/>
  </r>
  <r>
    <n v="2236"/>
    <n v="739"/>
    <d v="2026-02-02T00:00:00"/>
    <s v="Monday"/>
    <n v="2"/>
    <n v="12.07"/>
    <x v="1"/>
    <x v="58"/>
    <s v="Male"/>
    <n v="68.400000000000006"/>
    <n v="140.4"/>
    <n v="21.1"/>
    <n v="14"/>
    <s v="IL"/>
    <n v="5"/>
    <n v="2418.3000000000002"/>
    <s v="Middle"/>
    <n v="1"/>
    <s v="Single-Day"/>
    <n v="1"/>
    <n v="0"/>
    <s v="Main Entrance"/>
    <s v="Mickey &amp; Friends"/>
    <n v="8"/>
    <n v="0"/>
    <x v="2133"/>
  </r>
  <r>
    <n v="2237"/>
    <n v="739"/>
    <d v="2026-02-02T00:00:00"/>
    <s v="Monday"/>
    <n v="2"/>
    <n v="12.06"/>
    <x v="1"/>
    <x v="48"/>
    <s v="Male"/>
    <n v="63"/>
    <n v="142.4"/>
    <n v="25.3"/>
    <n v="16"/>
    <s v="IL"/>
    <n v="5"/>
    <n v="2418.3000000000002"/>
    <s v="Middle"/>
    <n v="1"/>
    <s v="Single-Day"/>
    <n v="1"/>
    <n v="0"/>
    <s v="Main Entrance"/>
    <s v="Mickey &amp; Friends"/>
    <n v="8.5"/>
    <n v="11"/>
    <x v="2134"/>
  </r>
  <r>
    <n v="2238"/>
    <n v="739"/>
    <d v="2026-02-02T00:00:00"/>
    <s v="Monday"/>
    <n v="2"/>
    <n v="12.08"/>
    <x v="1"/>
    <x v="37"/>
    <s v="Male"/>
    <n v="71.8"/>
    <n v="143.30000000000001"/>
    <n v="19.3"/>
    <n v="13"/>
    <s v="IL"/>
    <n v="5"/>
    <n v="2418.3000000000002"/>
    <s v="Middle"/>
    <n v="1"/>
    <s v="Single-Day"/>
    <n v="1"/>
    <n v="0"/>
    <s v="Main Entrance"/>
    <s v="Mickey &amp; Friends"/>
    <n v="4.5999999999999996"/>
    <n v="6"/>
    <x v="2135"/>
  </r>
  <r>
    <n v="2239"/>
    <n v="739"/>
    <d v="2026-02-02T00:00:00"/>
    <s v="Monday"/>
    <n v="2"/>
    <n v="12.26"/>
    <x v="1"/>
    <x v="47"/>
    <s v="Male"/>
    <n v="66.8"/>
    <n v="186.5"/>
    <n v="29.4"/>
    <n v="17"/>
    <s v="IL"/>
    <n v="5"/>
    <n v="2418.3000000000002"/>
    <s v="Middle"/>
    <n v="1"/>
    <s v="Single-Day"/>
    <n v="1"/>
    <n v="0"/>
    <s v="Main Entrance"/>
    <s v="Mickey &amp; Friends"/>
    <n v="5.5"/>
    <n v="6"/>
    <x v="2136"/>
  </r>
  <r>
    <n v="2240"/>
    <n v="739"/>
    <d v="2026-02-02T00:00:00"/>
    <s v="Monday"/>
    <n v="2"/>
    <n v="12.04"/>
    <x v="1"/>
    <x v="66"/>
    <s v="Male"/>
    <n v="66.900000000000006"/>
    <n v="210.2"/>
    <n v="33"/>
    <n v="12"/>
    <s v="IL"/>
    <n v="5"/>
    <n v="2418.3000000000002"/>
    <s v="Middle"/>
    <n v="1"/>
    <s v="Single-Day"/>
    <n v="1"/>
    <n v="0"/>
    <s v="Main Entrance"/>
    <s v="Mickey &amp; Friends"/>
    <n v="8.1"/>
    <n v="10"/>
    <x v="2137"/>
  </r>
  <r>
    <n v="2241"/>
    <n v="740"/>
    <d v="2026-01-12T00:00:00"/>
    <s v="Monday"/>
    <n v="1"/>
    <n v="8.42"/>
    <x v="0"/>
    <x v="4"/>
    <s v="Female"/>
    <n v="60.9"/>
    <n v="145.1"/>
    <n v="27.3"/>
    <n v="15"/>
    <s v="CO"/>
    <n v="3"/>
    <n v="736.5"/>
    <s v="High"/>
    <n v="1"/>
    <s v="Single-Day"/>
    <n v="0"/>
    <n v="0"/>
    <s v="Main Entrance"/>
    <s v="None/Dropoff/Transit"/>
    <n v="9.1"/>
    <n v="6"/>
    <x v="2138"/>
  </r>
  <r>
    <n v="2242"/>
    <n v="740"/>
    <d v="2026-01-12T00:00:00"/>
    <s v="Monday"/>
    <n v="1"/>
    <n v="8.44"/>
    <x v="0"/>
    <x v="58"/>
    <s v="Female"/>
    <n v="62.4"/>
    <n v="146.19999999999999"/>
    <n v="26.4"/>
    <n v="18"/>
    <s v="CO"/>
    <n v="3"/>
    <n v="736.5"/>
    <s v="High"/>
    <n v="1"/>
    <s v="Single-Day"/>
    <n v="0"/>
    <n v="0"/>
    <s v="Main Entrance"/>
    <s v="None/Dropoff/Transit"/>
    <n v="6.9"/>
    <n v="9"/>
    <x v="2139"/>
  </r>
  <r>
    <n v="2243"/>
    <n v="740"/>
    <d v="2026-01-12T00:00:00"/>
    <s v="Monday"/>
    <n v="1"/>
    <n v="8.51"/>
    <x v="0"/>
    <x v="45"/>
    <s v="Female"/>
    <n v="66.3"/>
    <n v="167.1"/>
    <n v="26.8"/>
    <n v="19"/>
    <s v="CO"/>
    <n v="3"/>
    <n v="736.5"/>
    <s v="High"/>
    <n v="1"/>
    <s v="Single-Day"/>
    <n v="0"/>
    <n v="0"/>
    <s v="Main Entrance"/>
    <s v="None/Dropoff/Transit"/>
    <n v="8"/>
    <n v="5"/>
    <x v="2140"/>
  </r>
  <r>
    <n v="2244"/>
    <n v="741"/>
    <d v="2026-10-19T00:00:00"/>
    <s v="Monday"/>
    <n v="10"/>
    <n v="10.220000000000001"/>
    <x v="0"/>
    <x v="41"/>
    <s v="Male"/>
    <n v="65.5"/>
    <n v="108.4"/>
    <n v="17.8"/>
    <n v="15"/>
    <s v="IA"/>
    <n v="5"/>
    <n v="2306.1"/>
    <s v="Middle"/>
    <n v="0"/>
    <s v="Single-Day"/>
    <n v="0"/>
    <n v="0"/>
    <s v="Main Entrance"/>
    <s v="Toy Story Lot"/>
    <n v="8.4"/>
    <n v="8"/>
    <x v="2141"/>
  </r>
  <r>
    <n v="2245"/>
    <n v="741"/>
    <d v="2026-10-19T00:00:00"/>
    <s v="Monday"/>
    <n v="10"/>
    <n v="9.89"/>
    <x v="0"/>
    <x v="45"/>
    <s v="Male"/>
    <n v="69.599999999999994"/>
    <n v="228.5"/>
    <n v="33.4"/>
    <n v="15"/>
    <s v="IA"/>
    <n v="5"/>
    <n v="2306.1"/>
    <s v="Middle"/>
    <n v="0"/>
    <s v="Single-Day"/>
    <n v="0"/>
    <n v="0"/>
    <s v="Main Entrance"/>
    <s v="Toy Story Lot"/>
    <n v="10.3"/>
    <n v="4"/>
    <x v="2142"/>
  </r>
  <r>
    <n v="2246"/>
    <n v="741"/>
    <d v="2026-10-19T00:00:00"/>
    <s v="Monday"/>
    <n v="10"/>
    <n v="10.039999999999999"/>
    <x v="0"/>
    <x v="14"/>
    <s v="Male"/>
    <n v="66.599999999999994"/>
    <n v="239.6"/>
    <n v="38.1"/>
    <n v="14"/>
    <s v="IA"/>
    <n v="5"/>
    <n v="2306.1"/>
    <s v="Middle"/>
    <n v="0"/>
    <s v="Single-Day"/>
    <n v="0"/>
    <n v="0"/>
    <s v="Main Entrance"/>
    <s v="Toy Story Lot"/>
    <n v="7.7"/>
    <n v="9"/>
    <x v="2143"/>
  </r>
  <r>
    <n v="2247"/>
    <n v="741"/>
    <d v="2026-10-19T00:00:00"/>
    <s v="Monday"/>
    <n v="10"/>
    <n v="9.9499999999999993"/>
    <x v="0"/>
    <x v="38"/>
    <s v="Male"/>
    <n v="64.2"/>
    <n v="139.19999999999999"/>
    <n v="23.9"/>
    <n v="13"/>
    <s v="IA"/>
    <n v="5"/>
    <n v="2306.1"/>
    <s v="Middle"/>
    <n v="0"/>
    <s v="Single-Day"/>
    <n v="0"/>
    <n v="0"/>
    <s v="Main Entrance"/>
    <s v="Toy Story Lot"/>
    <n v="7"/>
    <n v="4"/>
    <x v="1618"/>
  </r>
  <r>
    <n v="2248"/>
    <n v="741"/>
    <d v="2026-10-19T00:00:00"/>
    <s v="Monday"/>
    <n v="10"/>
    <n v="9.86"/>
    <x v="0"/>
    <x v="64"/>
    <s v="Male"/>
    <n v="55"/>
    <n v="85.6"/>
    <n v="19.899999999999999"/>
    <n v="12"/>
    <s v="IA"/>
    <n v="5"/>
    <n v="2306.1"/>
    <s v="Middle"/>
    <n v="0"/>
    <s v="Single-Day"/>
    <n v="0"/>
    <n v="0"/>
    <s v="Main Entrance"/>
    <s v="Toy Story Lot"/>
    <n v="8.1999999999999993"/>
    <n v="13"/>
    <x v="2144"/>
  </r>
  <r>
    <n v="2249"/>
    <n v="742"/>
    <d v="2026-04-19T00:00:00"/>
    <s v="Sunday"/>
    <n v="4"/>
    <n v="12.48"/>
    <x v="1"/>
    <x v="53"/>
    <s v="Male"/>
    <n v="51.9"/>
    <n v="85.9"/>
    <n v="22.7"/>
    <n v="11"/>
    <s v="CO"/>
    <n v="3"/>
    <n v="723.6"/>
    <s v="Low"/>
    <n v="1"/>
    <s v="Single-Day"/>
    <n v="0"/>
    <n v="0"/>
    <s v="Main Entrance"/>
    <s v="Toy Story Lot"/>
    <n v="6.4"/>
    <n v="9"/>
    <x v="2145"/>
  </r>
  <r>
    <n v="2250"/>
    <n v="742"/>
    <d v="2026-04-19T00:00:00"/>
    <s v="Sunday"/>
    <n v="4"/>
    <n v="12.51"/>
    <x v="1"/>
    <x v="36"/>
    <s v="Male"/>
    <n v="66.900000000000006"/>
    <n v="219.5"/>
    <n v="34.4"/>
    <n v="16"/>
    <s v="CO"/>
    <n v="3"/>
    <n v="723.6"/>
    <s v="Low"/>
    <n v="1"/>
    <s v="Single-Day"/>
    <n v="0"/>
    <n v="0"/>
    <s v="Main Entrance"/>
    <s v="Toy Story Lot"/>
    <n v="8.8000000000000007"/>
    <n v="8"/>
    <x v="1931"/>
  </r>
  <r>
    <n v="2251"/>
    <n v="742"/>
    <d v="2026-04-19T00:00:00"/>
    <s v="Sunday"/>
    <n v="4"/>
    <n v="12.67"/>
    <x v="1"/>
    <x v="37"/>
    <s v="Female"/>
    <n v="62.5"/>
    <n v="144.5"/>
    <n v="26.1"/>
    <n v="14"/>
    <s v="CO"/>
    <n v="3"/>
    <n v="723.6"/>
    <s v="Low"/>
    <n v="1"/>
    <s v="Single-Day"/>
    <n v="0"/>
    <n v="0"/>
    <s v="Main Entrance"/>
    <s v="Toy Story Lot"/>
    <n v="6.8"/>
    <n v="9"/>
    <x v="2146"/>
  </r>
  <r>
    <n v="2252"/>
    <n v="743"/>
    <d v="2026-02-15T00:00:00"/>
    <s v="Sunday"/>
    <n v="2"/>
    <n v="11.17"/>
    <x v="1"/>
    <x v="16"/>
    <s v="Female"/>
    <n v="62.8"/>
    <n v="91.2"/>
    <n v="16.100000000000001"/>
    <n v="14"/>
    <s v="CA"/>
    <n v="4"/>
    <n v="2"/>
    <s v="High"/>
    <n v="0"/>
    <s v="Multi-Day"/>
    <n v="1"/>
    <n v="1"/>
    <s v="Main Entrance"/>
    <s v="None/Walked from Resort"/>
    <n v="6.3"/>
    <n v="8"/>
    <x v="2147"/>
  </r>
  <r>
    <n v="2253"/>
    <n v="743"/>
    <d v="2026-02-15T00:00:00"/>
    <s v="Sunday"/>
    <n v="2"/>
    <n v="10.96"/>
    <x v="0"/>
    <x v="71"/>
    <s v="Female"/>
    <n v="62.2"/>
    <n v="138.1"/>
    <n v="25.1"/>
    <n v="18"/>
    <s v="CA"/>
    <n v="4"/>
    <n v="2"/>
    <s v="High"/>
    <n v="0"/>
    <s v="Multi-Day"/>
    <n v="1"/>
    <n v="1"/>
    <s v="Main Entrance"/>
    <s v="None/Walked from Resort"/>
    <n v="8.6"/>
    <n v="5"/>
    <x v="2148"/>
  </r>
  <r>
    <n v="2254"/>
    <n v="743"/>
    <d v="2026-02-15T00:00:00"/>
    <s v="Sunday"/>
    <n v="2"/>
    <n v="10.94"/>
    <x v="0"/>
    <x v="66"/>
    <s v="Female"/>
    <n v="68.599999999999994"/>
    <n v="185.1"/>
    <n v="27.3"/>
    <n v="19"/>
    <s v="CA"/>
    <n v="4"/>
    <n v="2"/>
    <s v="High"/>
    <n v="0"/>
    <s v="Multi-Day"/>
    <n v="1"/>
    <n v="1"/>
    <s v="Main Entrance"/>
    <s v="None/Walked from Resort"/>
    <n v="9.3000000000000007"/>
    <n v="11"/>
    <x v="2149"/>
  </r>
  <r>
    <n v="2255"/>
    <n v="743"/>
    <d v="2026-02-15T00:00:00"/>
    <s v="Sunday"/>
    <n v="2"/>
    <n v="11.08"/>
    <x v="1"/>
    <x v="62"/>
    <s v="Female"/>
    <n v="65.8"/>
    <n v="125.9"/>
    <n v="20.6"/>
    <n v="18"/>
    <s v="CA"/>
    <n v="4"/>
    <n v="2"/>
    <s v="High"/>
    <n v="0"/>
    <s v="Multi-Day"/>
    <n v="1"/>
    <n v="1"/>
    <s v="Main Entrance"/>
    <s v="None/Walked from Resort"/>
    <n v="7.4"/>
    <n v="7"/>
    <x v="2150"/>
  </r>
  <r>
    <n v="2256"/>
    <n v="744"/>
    <d v="2026-03-20T00:00:00"/>
    <s v="Friday"/>
    <n v="3"/>
    <n v="11.35"/>
    <x v="1"/>
    <x v="52"/>
    <s v="Female"/>
    <n v="64"/>
    <n v="175.2"/>
    <n v="30.2"/>
    <n v="17"/>
    <s v="CO"/>
    <n v="4"/>
    <n v="969.4"/>
    <s v="Middle"/>
    <n v="1"/>
    <s v="Park Hopper"/>
    <n v="1"/>
    <n v="0"/>
    <s v="Main Entrance"/>
    <s v="Mickey &amp; Friends"/>
    <n v="6.4"/>
    <n v="4"/>
    <x v="2151"/>
  </r>
  <r>
    <n v="2257"/>
    <n v="744"/>
    <d v="2026-03-20T00:00:00"/>
    <s v="Friday"/>
    <n v="3"/>
    <n v="11.18"/>
    <x v="1"/>
    <x v="71"/>
    <s v="Male"/>
    <n v="68"/>
    <n v="175"/>
    <n v="26.6"/>
    <n v="16"/>
    <s v="CO"/>
    <n v="4"/>
    <n v="969.4"/>
    <s v="Middle"/>
    <n v="1"/>
    <s v="Park Hopper"/>
    <n v="1"/>
    <n v="0"/>
    <s v="Main Entrance"/>
    <s v="Mickey &amp; Friends"/>
    <n v="8.9"/>
    <n v="5"/>
    <x v="2152"/>
  </r>
  <r>
    <n v="2258"/>
    <n v="744"/>
    <d v="2026-03-20T00:00:00"/>
    <s v="Friday"/>
    <n v="3"/>
    <n v="11.32"/>
    <x v="1"/>
    <x v="56"/>
    <s v="Male"/>
    <n v="66"/>
    <n v="137.1"/>
    <n v="21.9"/>
    <n v="11"/>
    <s v="CO"/>
    <n v="4"/>
    <n v="969.4"/>
    <s v="Middle"/>
    <n v="1"/>
    <s v="Park Hopper"/>
    <n v="1"/>
    <n v="0"/>
    <s v="Main Entrance"/>
    <s v="Mickey &amp; Friends"/>
    <n v="7.4"/>
    <n v="4"/>
    <x v="2153"/>
  </r>
  <r>
    <n v="2259"/>
    <n v="744"/>
    <d v="2026-03-20T00:00:00"/>
    <s v="Friday"/>
    <n v="3"/>
    <n v="11.43"/>
    <x v="1"/>
    <x v="37"/>
    <s v="Female"/>
    <n v="69.599999999999994"/>
    <n v="171.4"/>
    <n v="24.9"/>
    <n v="14"/>
    <s v="CO"/>
    <n v="4"/>
    <n v="969.4"/>
    <s v="Middle"/>
    <n v="1"/>
    <s v="Park Hopper"/>
    <n v="1"/>
    <n v="0"/>
    <s v="Main Entrance"/>
    <s v="Mickey &amp; Friends"/>
    <n v="6.3"/>
    <n v="12"/>
    <x v="2154"/>
  </r>
  <r>
    <n v="2260"/>
    <n v="745"/>
    <d v="2026-08-26T00:00:00"/>
    <s v="Wednesday"/>
    <n v="8"/>
    <n v="11.05"/>
    <x v="1"/>
    <x v="10"/>
    <s v="Nonbinary/Other"/>
    <n v="73"/>
    <n v="186.8"/>
    <n v="24.6"/>
    <n v="13"/>
    <s v="WA"/>
    <n v="3"/>
    <n v="455.8"/>
    <s v="Middle"/>
    <n v="1"/>
    <s v="Multi-Day"/>
    <n v="1"/>
    <n v="0"/>
    <s v="Hotel Guest Entrance"/>
    <s v="Toy Story Lot"/>
    <n v="9.5"/>
    <n v="5"/>
    <x v="2155"/>
  </r>
  <r>
    <n v="2261"/>
    <n v="745"/>
    <d v="2026-08-26T00:00:00"/>
    <s v="Wednesday"/>
    <n v="8"/>
    <n v="10.96"/>
    <x v="0"/>
    <x v="64"/>
    <s v="Male"/>
    <n v="54.9"/>
    <n v="77.5"/>
    <n v="18.100000000000001"/>
    <n v="17"/>
    <s v="WA"/>
    <n v="3"/>
    <n v="455.8"/>
    <s v="Middle"/>
    <n v="1"/>
    <s v="Multi-Day"/>
    <n v="1"/>
    <n v="0"/>
    <s v="Hotel Guest Entrance"/>
    <s v="Toy Story Lot"/>
    <n v="8.3000000000000007"/>
    <n v="10"/>
    <x v="2156"/>
  </r>
  <r>
    <n v="2262"/>
    <n v="745"/>
    <d v="2026-08-26T00:00:00"/>
    <s v="Wednesday"/>
    <n v="8"/>
    <n v="10.88"/>
    <x v="0"/>
    <x v="58"/>
    <s v="Male"/>
    <n v="67.599999999999994"/>
    <n v="137.19999999999999"/>
    <n v="21"/>
    <n v="12"/>
    <s v="WA"/>
    <n v="3"/>
    <n v="455.8"/>
    <s v="Middle"/>
    <n v="1"/>
    <s v="Multi-Day"/>
    <n v="1"/>
    <n v="0"/>
    <s v="Hotel Guest Entrance"/>
    <s v="Toy Story Lot"/>
    <n v="8.1"/>
    <n v="10"/>
    <x v="137"/>
  </r>
  <r>
    <n v="2263"/>
    <n v="746"/>
    <d v="2026-07-28T00:00:00"/>
    <s v="Tuesday"/>
    <n v="7"/>
    <n v="11.79"/>
    <x v="1"/>
    <x v="43"/>
    <s v="Female"/>
    <n v="64.099999999999994"/>
    <n v="166.5"/>
    <n v="28.5"/>
    <n v="15"/>
    <s v="WA"/>
    <n v="3"/>
    <n v="878.6"/>
    <s v="High"/>
    <n v="0"/>
    <s v="Park Hopper"/>
    <n v="1"/>
    <n v="0"/>
    <s v="Main Entrance"/>
    <s v="None/Dropoff/Transit"/>
    <n v="9.3000000000000007"/>
    <n v="9"/>
    <x v="2157"/>
  </r>
  <r>
    <n v="2264"/>
    <n v="746"/>
    <d v="2026-07-28T00:00:00"/>
    <s v="Tuesday"/>
    <n v="7"/>
    <n v="11.9"/>
    <x v="1"/>
    <x v="10"/>
    <s v="Male"/>
    <n v="68.2"/>
    <n v="188.1"/>
    <n v="28.2"/>
    <n v="17"/>
    <s v="WA"/>
    <n v="3"/>
    <n v="878.6"/>
    <s v="High"/>
    <n v="0"/>
    <s v="Park Hopper"/>
    <n v="1"/>
    <n v="0"/>
    <s v="Main Entrance"/>
    <s v="None/Dropoff/Transit"/>
    <n v="8.3000000000000007"/>
    <n v="11"/>
    <x v="2158"/>
  </r>
  <r>
    <n v="2265"/>
    <n v="746"/>
    <d v="2026-07-28T00:00:00"/>
    <s v="Tuesday"/>
    <n v="7"/>
    <n v="11.77"/>
    <x v="1"/>
    <x v="24"/>
    <s v="Male"/>
    <n v="69.900000000000006"/>
    <n v="194.3"/>
    <n v="27.7"/>
    <n v="20"/>
    <s v="WA"/>
    <n v="3"/>
    <n v="878.6"/>
    <s v="High"/>
    <n v="0"/>
    <s v="Park Hopper"/>
    <n v="1"/>
    <n v="0"/>
    <s v="Main Entrance"/>
    <s v="None/Dropoff/Transit"/>
    <n v="8.3000000000000007"/>
    <n v="13"/>
    <x v="2159"/>
  </r>
  <r>
    <n v="2266"/>
    <n v="747"/>
    <d v="2026-02-01T00:00:00"/>
    <s v="Sunday"/>
    <n v="2"/>
    <n v="9.9499999999999993"/>
    <x v="0"/>
    <x v="27"/>
    <s v="Male"/>
    <n v="71.2"/>
    <n v="208.2"/>
    <n v="29"/>
    <n v="16"/>
    <s v="TX"/>
    <n v="2"/>
    <n v="1038.4000000000001"/>
    <s v="High"/>
    <n v="0"/>
    <s v="Single-Day"/>
    <n v="0"/>
    <n v="1"/>
    <s v="Hotel Guest Entrance"/>
    <s v="None/Walked from Resort"/>
    <n v="8.3000000000000007"/>
    <n v="10"/>
    <x v="2160"/>
  </r>
  <r>
    <n v="2267"/>
    <n v="747"/>
    <d v="2026-02-01T00:00:00"/>
    <s v="Sunday"/>
    <n v="2"/>
    <n v="9.7899999999999991"/>
    <x v="0"/>
    <x v="43"/>
    <s v="Female"/>
    <n v="61.3"/>
    <n v="143.30000000000001"/>
    <n v="26.9"/>
    <n v="18"/>
    <s v="TX"/>
    <n v="2"/>
    <n v="1038.4000000000001"/>
    <s v="High"/>
    <n v="0"/>
    <s v="Single-Day"/>
    <n v="0"/>
    <n v="1"/>
    <s v="Hotel Guest Entrance"/>
    <s v="None/Walked from Resort"/>
    <n v="9.1999999999999993"/>
    <n v="10"/>
    <x v="2161"/>
  </r>
  <r>
    <n v="2268"/>
    <n v="748"/>
    <d v="2026-06-03T00:00:00"/>
    <s v="Wednesday"/>
    <n v="6"/>
    <n v="10.63"/>
    <x v="0"/>
    <x v="51"/>
    <s v="Female"/>
    <n v="65.400000000000006"/>
    <n v="112.5"/>
    <n v="18.5"/>
    <n v="13"/>
    <s v="CA"/>
    <n v="4"/>
    <n v="2"/>
    <s v="Middle"/>
    <n v="1"/>
    <s v="Single-Day"/>
    <n v="0"/>
    <n v="0"/>
    <s v="Main Entrance"/>
    <s v="Mickey &amp; Friends"/>
    <n v="7.3"/>
    <n v="3"/>
    <x v="2162"/>
  </r>
  <r>
    <n v="2269"/>
    <n v="748"/>
    <d v="2026-06-03T00:00:00"/>
    <s v="Wednesday"/>
    <n v="6"/>
    <n v="10.41"/>
    <x v="0"/>
    <x v="38"/>
    <s v="Male"/>
    <n v="63.4"/>
    <n v="211.4"/>
    <n v="36.9"/>
    <n v="12"/>
    <s v="CA"/>
    <n v="4"/>
    <n v="2"/>
    <s v="Middle"/>
    <n v="1"/>
    <s v="Single-Day"/>
    <n v="0"/>
    <n v="0"/>
    <s v="Main Entrance"/>
    <s v="Mickey &amp; Friends"/>
    <n v="11.2"/>
    <n v="10"/>
    <x v="2163"/>
  </r>
  <r>
    <n v="2270"/>
    <n v="748"/>
    <d v="2026-06-03T00:00:00"/>
    <s v="Wednesday"/>
    <n v="6"/>
    <n v="10.49"/>
    <x v="0"/>
    <x v="39"/>
    <s v="Male"/>
    <n v="72.099999999999994"/>
    <n v="214.4"/>
    <n v="28.9"/>
    <n v="16"/>
    <s v="CA"/>
    <n v="4"/>
    <n v="2"/>
    <s v="Middle"/>
    <n v="1"/>
    <s v="Single-Day"/>
    <n v="0"/>
    <n v="0"/>
    <s v="Main Entrance"/>
    <s v="Mickey &amp; Friends"/>
    <n v="9.5"/>
    <n v="7"/>
    <x v="2164"/>
  </r>
  <r>
    <n v="2271"/>
    <n v="748"/>
    <d v="2026-06-03T00:00:00"/>
    <s v="Wednesday"/>
    <n v="6"/>
    <n v="10.35"/>
    <x v="0"/>
    <x v="70"/>
    <s v="Female"/>
    <n v="70"/>
    <n v="117.3"/>
    <n v="16.899999999999999"/>
    <n v="13"/>
    <s v="CA"/>
    <n v="4"/>
    <n v="2"/>
    <s v="Middle"/>
    <n v="1"/>
    <s v="Single-Day"/>
    <n v="0"/>
    <n v="0"/>
    <s v="Main Entrance"/>
    <s v="Mickey &amp; Friends"/>
    <n v="8.6999999999999993"/>
    <n v="7"/>
    <x v="2165"/>
  </r>
  <r>
    <n v="2272"/>
    <n v="749"/>
    <d v="2026-05-22T00:00:00"/>
    <s v="Friday"/>
    <n v="5"/>
    <n v="10.46"/>
    <x v="0"/>
    <x v="72"/>
    <s v="Female"/>
    <n v="66.8"/>
    <n v="192.8"/>
    <n v="30.7"/>
    <n v="15"/>
    <s v="CA"/>
    <n v="2"/>
    <n v="93.3"/>
    <s v="Middle"/>
    <n v="1"/>
    <s v="Single-Day"/>
    <n v="0"/>
    <n v="0"/>
    <s v="Main Entrance"/>
    <s v="None/Dropoff/Transit"/>
    <n v="12.2"/>
    <n v="11"/>
    <x v="2166"/>
  </r>
  <r>
    <n v="2273"/>
    <n v="749"/>
    <d v="2026-05-22T00:00:00"/>
    <s v="Friday"/>
    <n v="5"/>
    <n v="10.119999999999999"/>
    <x v="0"/>
    <x v="12"/>
    <s v="Male"/>
    <n v="61.1"/>
    <n v="66.3"/>
    <n v="12.4"/>
    <n v="12"/>
    <s v="CA"/>
    <n v="2"/>
    <n v="93.3"/>
    <s v="Middle"/>
    <n v="1"/>
    <s v="Single-Day"/>
    <n v="0"/>
    <n v="0"/>
    <s v="Main Entrance"/>
    <s v="None/Dropoff/Transit"/>
    <n v="8.8000000000000007"/>
    <n v="4"/>
    <x v="2167"/>
  </r>
  <r>
    <n v="2274"/>
    <n v="750"/>
    <d v="2026-08-27T00:00:00"/>
    <s v="Thursday"/>
    <n v="8"/>
    <n v="9.92"/>
    <x v="0"/>
    <x v="71"/>
    <s v="Male"/>
    <n v="69.3"/>
    <n v="171.2"/>
    <n v="25"/>
    <n v="16"/>
    <s v="AZ"/>
    <n v="4"/>
    <n v="192.8"/>
    <s v="High"/>
    <n v="1"/>
    <s v="Single-Day"/>
    <n v="0"/>
    <n v="0"/>
    <s v="Main Entrance"/>
    <s v="Mickey &amp; Friends"/>
    <n v="6.2"/>
    <n v="10"/>
    <x v="2168"/>
  </r>
  <r>
    <n v="2275"/>
    <n v="750"/>
    <d v="2026-08-27T00:00:00"/>
    <s v="Thursday"/>
    <n v="8"/>
    <n v="10.039999999999999"/>
    <x v="0"/>
    <x v="3"/>
    <s v="Female"/>
    <n v="61.9"/>
    <n v="127.1"/>
    <n v="23.5"/>
    <n v="18"/>
    <s v="AZ"/>
    <n v="4"/>
    <n v="192.8"/>
    <s v="High"/>
    <n v="1"/>
    <s v="Single-Day"/>
    <n v="0"/>
    <n v="0"/>
    <s v="Main Entrance"/>
    <s v="Mickey &amp; Friends"/>
    <n v="7.3"/>
    <n v="6"/>
    <x v="2169"/>
  </r>
  <r>
    <n v="2276"/>
    <n v="750"/>
    <d v="2026-08-27T00:00:00"/>
    <s v="Thursday"/>
    <n v="8"/>
    <n v="10.07"/>
    <x v="0"/>
    <x v="71"/>
    <s v="Female"/>
    <n v="64.7"/>
    <n v="155.19999999999999"/>
    <n v="26.1"/>
    <n v="15"/>
    <s v="AZ"/>
    <n v="4"/>
    <n v="192.8"/>
    <s v="High"/>
    <n v="1"/>
    <s v="Single-Day"/>
    <n v="0"/>
    <n v="0"/>
    <s v="Main Entrance"/>
    <s v="Mickey &amp; Friends"/>
    <n v="10.6"/>
    <n v="8"/>
    <x v="2170"/>
  </r>
  <r>
    <n v="2277"/>
    <n v="750"/>
    <d v="2026-08-27T00:00:00"/>
    <s v="Thursday"/>
    <n v="8"/>
    <n v="10.23"/>
    <x v="0"/>
    <x v="19"/>
    <s v="Male"/>
    <n v="68.400000000000006"/>
    <n v="169"/>
    <n v="25.3"/>
    <n v="18"/>
    <s v="AZ"/>
    <n v="4"/>
    <n v="192.8"/>
    <s v="High"/>
    <n v="1"/>
    <s v="Single-Day"/>
    <n v="0"/>
    <n v="0"/>
    <s v="Main Entrance"/>
    <s v="Mickey &amp; Friends"/>
    <n v="11.4"/>
    <n v="5"/>
    <x v="1574"/>
  </r>
  <r>
    <n v="2278"/>
    <n v="751"/>
    <d v="2026-02-18T00:00:00"/>
    <s v="Wednesday"/>
    <n v="2"/>
    <n v="10.5"/>
    <x v="0"/>
    <x v="34"/>
    <s v="Male"/>
    <n v="73.099999999999994"/>
    <n v="187.3"/>
    <n v="24.7"/>
    <n v="16"/>
    <s v="WA"/>
    <n v="2"/>
    <n v="1492.2"/>
    <s v="High"/>
    <n v="1"/>
    <s v="Single-Day"/>
    <n v="0"/>
    <n v="0"/>
    <s v="Main Entrance"/>
    <s v="Pixar Pals"/>
    <n v="8.1999999999999993"/>
    <n v="10"/>
    <x v="2171"/>
  </r>
  <r>
    <n v="2279"/>
    <n v="751"/>
    <d v="2026-02-18T00:00:00"/>
    <s v="Wednesday"/>
    <n v="2"/>
    <n v="10.51"/>
    <x v="0"/>
    <x v="38"/>
    <s v="Female"/>
    <n v="66.599999999999994"/>
    <n v="160.6"/>
    <n v="25.6"/>
    <n v="14"/>
    <s v="WA"/>
    <n v="2"/>
    <n v="1492.2"/>
    <s v="High"/>
    <n v="1"/>
    <s v="Single-Day"/>
    <n v="0"/>
    <n v="0"/>
    <s v="Main Entrance"/>
    <s v="Pixar Pals"/>
    <n v="4.5"/>
    <n v="3"/>
    <x v="2172"/>
  </r>
  <r>
    <n v="2280"/>
    <n v="752"/>
    <d v="2026-12-17T00:00:00"/>
    <s v="Thursday"/>
    <n v="12"/>
    <n v="10.57"/>
    <x v="0"/>
    <x v="6"/>
    <s v="Female"/>
    <n v="68.7"/>
    <n v="174.9"/>
    <n v="26.3"/>
    <n v="14"/>
    <s v="CA"/>
    <n v="3"/>
    <n v="95.6"/>
    <s v="Middle"/>
    <n v="0"/>
    <s v="Single-Day"/>
    <n v="1"/>
    <n v="0"/>
    <s v="Downtown Disney Gate"/>
    <s v="Mickey &amp; Friends"/>
    <n v="7.3"/>
    <n v="6"/>
    <x v="1187"/>
  </r>
  <r>
    <n v="2281"/>
    <n v="752"/>
    <d v="2026-12-17T00:00:00"/>
    <s v="Thursday"/>
    <n v="12"/>
    <n v="10.58"/>
    <x v="0"/>
    <x v="45"/>
    <s v="Female"/>
    <n v="64.3"/>
    <n v="125.7"/>
    <n v="21.7"/>
    <n v="14"/>
    <s v="CA"/>
    <n v="3"/>
    <n v="95.6"/>
    <s v="Middle"/>
    <n v="0"/>
    <s v="Single-Day"/>
    <n v="1"/>
    <n v="0"/>
    <s v="Downtown Disney Gate"/>
    <s v="Mickey &amp; Friends"/>
    <n v="10.199999999999999"/>
    <n v="13"/>
    <x v="2173"/>
  </r>
  <r>
    <n v="2282"/>
    <n v="752"/>
    <d v="2026-12-17T00:00:00"/>
    <s v="Thursday"/>
    <n v="12"/>
    <n v="10.67"/>
    <x v="0"/>
    <x v="27"/>
    <s v="Female"/>
    <n v="63.6"/>
    <n v="149.6"/>
    <n v="26.3"/>
    <n v="15"/>
    <s v="CA"/>
    <n v="3"/>
    <n v="95.6"/>
    <s v="Middle"/>
    <n v="0"/>
    <s v="Single-Day"/>
    <n v="1"/>
    <n v="0"/>
    <s v="Downtown Disney Gate"/>
    <s v="Mickey &amp; Friends"/>
    <n v="10.6"/>
    <n v="7"/>
    <x v="2174"/>
  </r>
  <r>
    <n v="2283"/>
    <n v="753"/>
    <d v="2026-12-23T00:00:00"/>
    <s v="Wednesday"/>
    <n v="12"/>
    <n v="9.52"/>
    <x v="0"/>
    <x v="41"/>
    <s v="Female"/>
    <n v="65.2"/>
    <n v="162"/>
    <n v="26.7"/>
    <n v="17"/>
    <s v="CA"/>
    <n v="1"/>
    <n v="2"/>
    <s v="High"/>
    <n v="0"/>
    <s v="Multi-Day"/>
    <n v="0"/>
    <n v="0"/>
    <s v="Main Entrance"/>
    <s v="Mickey &amp; Friends"/>
    <n v="11.3"/>
    <n v="8"/>
    <x v="2175"/>
  </r>
  <r>
    <n v="2284"/>
    <n v="754"/>
    <d v="2026-07-18T00:00:00"/>
    <s v="Saturday"/>
    <n v="7"/>
    <n v="10.54"/>
    <x v="0"/>
    <x v="4"/>
    <s v="Male"/>
    <n v="70.099999999999994"/>
    <n v="177.5"/>
    <n v="25.6"/>
    <n v="15"/>
    <s v="Other"/>
    <n v="3"/>
    <n v="1616.2"/>
    <s v="Middle"/>
    <n v="0"/>
    <s v="Park Hopper"/>
    <n v="0"/>
    <n v="1"/>
    <s v="Main Entrance"/>
    <s v="None/Walked from Resort"/>
    <n v="5.9"/>
    <n v="4"/>
    <x v="2176"/>
  </r>
  <r>
    <n v="2285"/>
    <n v="754"/>
    <d v="2026-07-18T00:00:00"/>
    <s v="Saturday"/>
    <n v="7"/>
    <n v="10.55"/>
    <x v="0"/>
    <x v="79"/>
    <s v="Female"/>
    <n v="61.7"/>
    <n v="119.7"/>
    <n v="22.1"/>
    <n v="13"/>
    <s v="Other"/>
    <n v="3"/>
    <n v="1616.2"/>
    <s v="Middle"/>
    <n v="0"/>
    <s v="Park Hopper"/>
    <n v="0"/>
    <n v="1"/>
    <s v="Main Entrance"/>
    <s v="None/Walked from Resort"/>
    <n v="13.2"/>
    <n v="10"/>
    <x v="2177"/>
  </r>
  <r>
    <n v="2286"/>
    <n v="754"/>
    <d v="2026-07-18T00:00:00"/>
    <s v="Saturday"/>
    <n v="7"/>
    <n v="10.4"/>
    <x v="0"/>
    <x v="61"/>
    <s v="Female"/>
    <n v="68.5"/>
    <n v="146.80000000000001"/>
    <n v="22"/>
    <n v="13"/>
    <s v="Other"/>
    <n v="3"/>
    <n v="1616.2"/>
    <s v="Middle"/>
    <n v="0"/>
    <s v="Park Hopper"/>
    <n v="0"/>
    <n v="1"/>
    <s v="Main Entrance"/>
    <s v="None/Walked from Resort"/>
    <n v="8.5"/>
    <n v="13"/>
    <x v="2178"/>
  </r>
  <r>
    <n v="2287"/>
    <n v="755"/>
    <d v="2026-11-26T00:00:00"/>
    <s v="Thursday"/>
    <n v="11"/>
    <n v="9.33"/>
    <x v="0"/>
    <x v="55"/>
    <s v="Nonbinary/Other"/>
    <n v="65.5"/>
    <n v="155"/>
    <n v="25.4"/>
    <n v="16"/>
    <s v="NV"/>
    <n v="5"/>
    <n v="290.2"/>
    <s v="Middle"/>
    <n v="0"/>
    <s v="Single-Day"/>
    <n v="0"/>
    <n v="0"/>
    <s v="Main Entrance"/>
    <s v="Pixar Pals"/>
    <n v="10.1"/>
    <n v="6"/>
    <x v="1569"/>
  </r>
  <r>
    <n v="2288"/>
    <n v="755"/>
    <d v="2026-11-26T00:00:00"/>
    <s v="Thursday"/>
    <n v="11"/>
    <n v="9.3800000000000008"/>
    <x v="0"/>
    <x v="12"/>
    <s v="Male"/>
    <n v="64.8"/>
    <n v="89.7"/>
    <n v="15"/>
    <n v="13"/>
    <s v="NV"/>
    <n v="5"/>
    <n v="290.2"/>
    <s v="Middle"/>
    <n v="0"/>
    <s v="Single-Day"/>
    <n v="0"/>
    <n v="0"/>
    <s v="Main Entrance"/>
    <s v="Pixar Pals"/>
    <n v="7.9"/>
    <n v="1"/>
    <x v="2179"/>
  </r>
  <r>
    <n v="2289"/>
    <n v="755"/>
    <d v="2026-11-26T00:00:00"/>
    <s v="Thursday"/>
    <n v="11"/>
    <n v="9.2799999999999994"/>
    <x v="0"/>
    <x v="8"/>
    <s v="Male"/>
    <n v="68.3"/>
    <n v="200.7"/>
    <n v="30.3"/>
    <n v="13"/>
    <s v="NV"/>
    <n v="5"/>
    <n v="290.2"/>
    <s v="Middle"/>
    <n v="0"/>
    <s v="Single-Day"/>
    <n v="0"/>
    <n v="0"/>
    <s v="Main Entrance"/>
    <s v="Pixar Pals"/>
    <n v="6.2"/>
    <n v="8"/>
    <x v="2180"/>
  </r>
  <r>
    <n v="2290"/>
    <n v="755"/>
    <d v="2026-11-26T00:00:00"/>
    <s v="Thursday"/>
    <n v="11"/>
    <n v="9.01"/>
    <x v="0"/>
    <x v="49"/>
    <s v="Female"/>
    <n v="62.6"/>
    <n v="103.9"/>
    <n v="18.7"/>
    <n v="16"/>
    <s v="NV"/>
    <n v="5"/>
    <n v="290.2"/>
    <s v="Middle"/>
    <n v="0"/>
    <s v="Single-Day"/>
    <n v="0"/>
    <n v="0"/>
    <s v="Main Entrance"/>
    <s v="Pixar Pals"/>
    <n v="8.1"/>
    <n v="10"/>
    <x v="2181"/>
  </r>
  <r>
    <n v="2291"/>
    <n v="755"/>
    <d v="2026-11-26T00:00:00"/>
    <s v="Thursday"/>
    <n v="11"/>
    <n v="9.07"/>
    <x v="0"/>
    <x v="16"/>
    <s v="Male"/>
    <n v="57.8"/>
    <n v="89.5"/>
    <n v="18.899999999999999"/>
    <n v="13"/>
    <s v="NV"/>
    <n v="5"/>
    <n v="290.2"/>
    <s v="Middle"/>
    <n v="0"/>
    <s v="Single-Day"/>
    <n v="0"/>
    <n v="0"/>
    <s v="Main Entrance"/>
    <s v="Pixar Pals"/>
    <n v="8.3000000000000007"/>
    <n v="8"/>
    <x v="2182"/>
  </r>
  <r>
    <n v="2292"/>
    <n v="756"/>
    <d v="2026-03-29T00:00:00"/>
    <s v="Sunday"/>
    <n v="3"/>
    <n v="7.13"/>
    <x v="0"/>
    <x v="68"/>
    <s v="Female"/>
    <n v="63.3"/>
    <n v="108"/>
    <n v="18.8"/>
    <n v="19"/>
    <s v="AZ"/>
    <n v="1"/>
    <n v="542.29999999999995"/>
    <s v="High"/>
    <n v="1"/>
    <s v="Single-Day"/>
    <n v="1"/>
    <n v="0"/>
    <s v="Main Entrance"/>
    <s v="None/Dropoff/Transit"/>
    <n v="10"/>
    <n v="10"/>
    <x v="2183"/>
  </r>
  <r>
    <n v="2293"/>
    <n v="757"/>
    <d v="2026-08-14T00:00:00"/>
    <s v="Friday"/>
    <n v="8"/>
    <n v="8.5399999999999991"/>
    <x v="0"/>
    <x v="39"/>
    <s v="Male"/>
    <n v="67.099999999999994"/>
    <n v="160.4"/>
    <n v="24.9"/>
    <n v="17"/>
    <s v="CO"/>
    <n v="4"/>
    <n v="787.7"/>
    <s v="Middle"/>
    <n v="1"/>
    <s v="Multi-Day"/>
    <n v="1"/>
    <n v="0"/>
    <s v="Hotel Guest Entrance"/>
    <s v="Toy Story Lot"/>
    <n v="8.6999999999999993"/>
    <n v="10"/>
    <x v="2184"/>
  </r>
  <r>
    <n v="2294"/>
    <n v="757"/>
    <d v="2026-08-14T00:00:00"/>
    <s v="Friday"/>
    <n v="8"/>
    <n v="8.65"/>
    <x v="0"/>
    <x v="69"/>
    <s v="Female"/>
    <n v="65.599999999999994"/>
    <n v="182.9"/>
    <n v="29.7"/>
    <n v="16"/>
    <s v="CO"/>
    <n v="4"/>
    <n v="787.7"/>
    <s v="Middle"/>
    <n v="1"/>
    <s v="Multi-Day"/>
    <n v="1"/>
    <n v="0"/>
    <s v="Hotel Guest Entrance"/>
    <s v="Toy Story Lot"/>
    <n v="8.1"/>
    <n v="4"/>
    <x v="2185"/>
  </r>
  <r>
    <n v="2295"/>
    <n v="757"/>
    <d v="2026-08-14T00:00:00"/>
    <s v="Friday"/>
    <n v="8"/>
    <n v="8.65"/>
    <x v="0"/>
    <x v="17"/>
    <s v="Female"/>
    <n v="66.599999999999994"/>
    <n v="156.19999999999999"/>
    <n v="24.7"/>
    <n v="17"/>
    <s v="CO"/>
    <n v="4"/>
    <n v="787.7"/>
    <s v="Middle"/>
    <n v="1"/>
    <s v="Multi-Day"/>
    <n v="1"/>
    <n v="0"/>
    <s v="Hotel Guest Entrance"/>
    <s v="Toy Story Lot"/>
    <n v="9.9"/>
    <n v="5"/>
    <x v="2186"/>
  </r>
  <r>
    <n v="2296"/>
    <n v="757"/>
    <d v="2026-08-14T00:00:00"/>
    <s v="Friday"/>
    <n v="8"/>
    <n v="8.5399999999999991"/>
    <x v="0"/>
    <x v="18"/>
    <s v="Female"/>
    <n v="63.6"/>
    <n v="118.9"/>
    <n v="20.7"/>
    <n v="22"/>
    <s v="CO"/>
    <n v="4"/>
    <n v="787.7"/>
    <s v="Middle"/>
    <n v="1"/>
    <s v="Multi-Day"/>
    <n v="1"/>
    <n v="0"/>
    <s v="Hotel Guest Entrance"/>
    <s v="Toy Story Lot"/>
    <n v="9.6999999999999993"/>
    <n v="14"/>
    <x v="2187"/>
  </r>
  <r>
    <n v="2297"/>
    <n v="758"/>
    <d v="2026-08-09T00:00:00"/>
    <s v="Sunday"/>
    <n v="8"/>
    <n v="11.28"/>
    <x v="1"/>
    <x v="37"/>
    <s v="Female"/>
    <n v="67.900000000000006"/>
    <n v="164.2"/>
    <n v="24.9"/>
    <n v="16"/>
    <s v="AZ"/>
    <n v="3"/>
    <n v="367"/>
    <s v="High"/>
    <n v="1"/>
    <s v="Multi-Day"/>
    <n v="1"/>
    <n v="1"/>
    <s v="Main Entrance"/>
    <s v="None/Walked from Resort"/>
    <n v="9.6"/>
    <n v="4"/>
    <x v="2188"/>
  </r>
  <r>
    <n v="2298"/>
    <n v="758"/>
    <d v="2026-08-09T00:00:00"/>
    <s v="Sunday"/>
    <n v="8"/>
    <n v="11.2"/>
    <x v="1"/>
    <x v="10"/>
    <s v="Male"/>
    <n v="71.2"/>
    <n v="195.4"/>
    <n v="26.9"/>
    <n v="18"/>
    <s v="AZ"/>
    <n v="3"/>
    <n v="367"/>
    <s v="High"/>
    <n v="1"/>
    <s v="Multi-Day"/>
    <n v="1"/>
    <n v="1"/>
    <s v="Main Entrance"/>
    <s v="None/Walked from Resort"/>
    <n v="8.3000000000000007"/>
    <n v="8"/>
    <x v="2189"/>
  </r>
  <r>
    <n v="2299"/>
    <n v="758"/>
    <d v="2026-08-09T00:00:00"/>
    <s v="Sunday"/>
    <n v="8"/>
    <n v="11.37"/>
    <x v="1"/>
    <x v="57"/>
    <s v="Female"/>
    <n v="59.1"/>
    <n v="117.6"/>
    <n v="23.6"/>
    <n v="19"/>
    <s v="AZ"/>
    <n v="3"/>
    <n v="367"/>
    <s v="High"/>
    <n v="1"/>
    <s v="Multi-Day"/>
    <n v="1"/>
    <n v="1"/>
    <s v="Main Entrance"/>
    <s v="None/Walked from Resort"/>
    <n v="9.1999999999999993"/>
    <n v="18"/>
    <x v="2190"/>
  </r>
  <r>
    <n v="2300"/>
    <n v="759"/>
    <d v="2026-04-26T00:00:00"/>
    <s v="Sunday"/>
    <n v="4"/>
    <n v="12.6"/>
    <x v="1"/>
    <x v="25"/>
    <s v="Female"/>
    <n v="62.5"/>
    <n v="133.80000000000001"/>
    <n v="24.1"/>
    <n v="17"/>
    <s v="CO"/>
    <n v="2"/>
    <n v="778.1"/>
    <s v="Middle"/>
    <n v="1"/>
    <s v="Park Hopper"/>
    <n v="1"/>
    <n v="0"/>
    <s v="Main Entrance"/>
    <s v="Pixar Pals"/>
    <n v="8.1999999999999993"/>
    <n v="7"/>
    <x v="979"/>
  </r>
  <r>
    <n v="2301"/>
    <n v="759"/>
    <d v="2026-04-26T00:00:00"/>
    <s v="Sunday"/>
    <n v="4"/>
    <n v="12.32"/>
    <x v="1"/>
    <x v="66"/>
    <s v="Male"/>
    <n v="67.599999999999994"/>
    <n v="172.7"/>
    <n v="26.4"/>
    <n v="15"/>
    <s v="CO"/>
    <n v="2"/>
    <n v="778.1"/>
    <s v="Middle"/>
    <n v="1"/>
    <s v="Park Hopper"/>
    <n v="1"/>
    <n v="0"/>
    <s v="Main Entrance"/>
    <s v="Pixar Pals"/>
    <n v="7.6"/>
    <n v="6"/>
    <x v="2191"/>
  </r>
  <r>
    <n v="2302"/>
    <n v="760"/>
    <d v="2026-05-20T00:00:00"/>
    <s v="Wednesday"/>
    <n v="5"/>
    <n v="10.039999999999999"/>
    <x v="0"/>
    <x v="54"/>
    <s v="Nonbinary/Other"/>
    <n v="59.5"/>
    <n v="95.5"/>
    <n v="19.100000000000001"/>
    <n v="18"/>
    <s v="SD"/>
    <n v="2"/>
    <n v="1903.2"/>
    <s v="Middle"/>
    <n v="1"/>
    <s v="Multi-Day"/>
    <n v="0"/>
    <n v="0"/>
    <s v="Main Entrance"/>
    <s v="None/Dropoff/Transit"/>
    <n v="9.3000000000000007"/>
    <n v="7"/>
    <x v="2192"/>
  </r>
  <r>
    <n v="2303"/>
    <n v="760"/>
    <d v="2026-05-20T00:00:00"/>
    <s v="Wednesday"/>
    <n v="5"/>
    <n v="10.27"/>
    <x v="0"/>
    <x v="55"/>
    <s v="Female"/>
    <n v="63.8"/>
    <n v="109"/>
    <n v="19"/>
    <n v="17"/>
    <s v="SD"/>
    <n v="2"/>
    <n v="1903.2"/>
    <s v="Middle"/>
    <n v="1"/>
    <s v="Multi-Day"/>
    <n v="0"/>
    <n v="0"/>
    <s v="Main Entrance"/>
    <s v="None/Dropoff/Transit"/>
    <n v="10.5"/>
    <n v="14"/>
    <x v="2193"/>
  </r>
  <r>
    <n v="2304"/>
    <n v="761"/>
    <d v="2026-07-07T00:00:00"/>
    <s v="Tuesday"/>
    <n v="7"/>
    <n v="9.57"/>
    <x v="0"/>
    <x v="56"/>
    <s v="Male"/>
    <n v="69.900000000000006"/>
    <n v="147.30000000000001"/>
    <n v="21.3"/>
    <n v="14"/>
    <s v="FL"/>
    <n v="5"/>
    <n v="2568.6999999999998"/>
    <s v="Low"/>
    <n v="1"/>
    <s v="Park Hopper"/>
    <n v="0"/>
    <n v="0"/>
    <s v="Downtown Disney Gate"/>
    <s v="Mickey &amp; Friends"/>
    <n v="8"/>
    <n v="10"/>
    <x v="2194"/>
  </r>
  <r>
    <n v="2305"/>
    <n v="761"/>
    <d v="2026-07-07T00:00:00"/>
    <s v="Tuesday"/>
    <n v="7"/>
    <n v="9.51"/>
    <x v="0"/>
    <x v="33"/>
    <s v="Male"/>
    <n v="67.7"/>
    <n v="156.5"/>
    <n v="24.2"/>
    <n v="17"/>
    <s v="FL"/>
    <n v="5"/>
    <n v="2568.6999999999998"/>
    <s v="Low"/>
    <n v="1"/>
    <s v="Park Hopper"/>
    <n v="0"/>
    <n v="0"/>
    <s v="Downtown Disney Gate"/>
    <s v="Mickey &amp; Friends"/>
    <n v="7.5"/>
    <n v="9"/>
    <x v="2195"/>
  </r>
  <r>
    <n v="2306"/>
    <n v="761"/>
    <d v="2026-07-07T00:00:00"/>
    <s v="Tuesday"/>
    <n v="7"/>
    <n v="9.66"/>
    <x v="0"/>
    <x v="42"/>
    <s v="Female"/>
    <n v="67.099999999999994"/>
    <n v="135.19999999999999"/>
    <n v="21"/>
    <n v="15"/>
    <s v="FL"/>
    <n v="5"/>
    <n v="2568.6999999999998"/>
    <s v="Low"/>
    <n v="1"/>
    <s v="Park Hopper"/>
    <n v="0"/>
    <n v="0"/>
    <s v="Downtown Disney Gate"/>
    <s v="Mickey &amp; Friends"/>
    <n v="10.5"/>
    <n v="9"/>
    <x v="2196"/>
  </r>
  <r>
    <n v="2307"/>
    <n v="761"/>
    <d v="2026-07-07T00:00:00"/>
    <s v="Tuesday"/>
    <n v="7"/>
    <n v="9.64"/>
    <x v="0"/>
    <x v="27"/>
    <s v="Female"/>
    <n v="61.6"/>
    <n v="123"/>
    <n v="23"/>
    <n v="13"/>
    <s v="FL"/>
    <n v="5"/>
    <n v="2568.6999999999998"/>
    <s v="Low"/>
    <n v="1"/>
    <s v="Park Hopper"/>
    <n v="0"/>
    <n v="0"/>
    <s v="Downtown Disney Gate"/>
    <s v="Mickey &amp; Friends"/>
    <n v="9.3000000000000007"/>
    <n v="9"/>
    <x v="2197"/>
  </r>
  <r>
    <n v="2308"/>
    <n v="761"/>
    <d v="2026-07-07T00:00:00"/>
    <s v="Tuesday"/>
    <n v="7"/>
    <n v="9.67"/>
    <x v="0"/>
    <x v="55"/>
    <s v="Female"/>
    <n v="64.900000000000006"/>
    <n v="145.9"/>
    <n v="24.6"/>
    <n v="13"/>
    <s v="FL"/>
    <n v="5"/>
    <n v="2568.6999999999998"/>
    <s v="Low"/>
    <n v="1"/>
    <s v="Park Hopper"/>
    <n v="0"/>
    <n v="0"/>
    <s v="Downtown Disney Gate"/>
    <s v="Mickey &amp; Friends"/>
    <n v="12"/>
    <n v="12"/>
    <x v="2198"/>
  </r>
  <r>
    <n v="2309"/>
    <n v="762"/>
    <d v="2026-11-01T00:00:00"/>
    <s v="Sunday"/>
    <n v="11"/>
    <n v="12.45"/>
    <x v="1"/>
    <x v="17"/>
    <s v="Male"/>
    <n v="71.400000000000006"/>
    <n v="193.3"/>
    <n v="26.5"/>
    <n v="18"/>
    <s v="CA"/>
    <n v="6"/>
    <n v="78.099999999999994"/>
    <s v="High"/>
    <n v="0"/>
    <s v="Park Hopper"/>
    <n v="0"/>
    <n v="0"/>
    <s v="Hotel Guest Entrance"/>
    <s v="Toy Story Lot"/>
    <n v="7.1"/>
    <n v="5"/>
    <x v="2199"/>
  </r>
  <r>
    <n v="2310"/>
    <n v="762"/>
    <d v="2026-11-01T00:00:00"/>
    <s v="Sunday"/>
    <n v="11"/>
    <n v="12.6"/>
    <x v="1"/>
    <x v="78"/>
    <s v="Female"/>
    <n v="69"/>
    <n v="136.9"/>
    <n v="20.5"/>
    <n v="16"/>
    <s v="CA"/>
    <n v="6"/>
    <n v="78.099999999999994"/>
    <s v="High"/>
    <n v="0"/>
    <s v="Park Hopper"/>
    <n v="0"/>
    <n v="0"/>
    <s v="Hotel Guest Entrance"/>
    <s v="Toy Story Lot"/>
    <n v="8.9"/>
    <n v="6"/>
    <x v="2200"/>
  </r>
  <r>
    <n v="2311"/>
    <n v="762"/>
    <d v="2026-11-01T00:00:00"/>
    <s v="Sunday"/>
    <n v="11"/>
    <n v="12.49"/>
    <x v="1"/>
    <x v="29"/>
    <s v="Male"/>
    <n v="74.400000000000006"/>
    <n v="248.8"/>
    <n v="31.6"/>
    <n v="13"/>
    <s v="CA"/>
    <n v="6"/>
    <n v="78.099999999999994"/>
    <s v="High"/>
    <n v="0"/>
    <s v="Park Hopper"/>
    <n v="0"/>
    <n v="0"/>
    <s v="Hotel Guest Entrance"/>
    <s v="Toy Story Lot"/>
    <n v="7.6"/>
    <n v="12"/>
    <x v="2201"/>
  </r>
  <r>
    <n v="2312"/>
    <n v="762"/>
    <d v="2026-11-01T00:00:00"/>
    <s v="Sunday"/>
    <n v="11"/>
    <n v="12.22"/>
    <x v="1"/>
    <x v="19"/>
    <s v="Male"/>
    <n v="67.5"/>
    <n v="183.1"/>
    <n v="28.3"/>
    <n v="17"/>
    <s v="CA"/>
    <n v="6"/>
    <n v="78.099999999999994"/>
    <s v="High"/>
    <n v="0"/>
    <s v="Park Hopper"/>
    <n v="0"/>
    <n v="0"/>
    <s v="Hotel Guest Entrance"/>
    <s v="Toy Story Lot"/>
    <n v="8.5"/>
    <n v="12"/>
    <x v="2202"/>
  </r>
  <r>
    <n v="2313"/>
    <n v="762"/>
    <d v="2026-11-01T00:00:00"/>
    <s v="Sunday"/>
    <n v="11"/>
    <n v="12.63"/>
    <x v="1"/>
    <x v="76"/>
    <s v="Male"/>
    <n v="71.599999999999994"/>
    <n v="220.7"/>
    <n v="30.5"/>
    <n v="18"/>
    <s v="CA"/>
    <n v="6"/>
    <n v="78.099999999999994"/>
    <s v="High"/>
    <n v="0"/>
    <s v="Park Hopper"/>
    <n v="0"/>
    <n v="0"/>
    <s v="Hotel Guest Entrance"/>
    <s v="Toy Story Lot"/>
    <n v="7.6"/>
    <n v="9"/>
    <x v="2203"/>
  </r>
  <r>
    <n v="2314"/>
    <n v="762"/>
    <d v="2026-11-01T00:00:00"/>
    <s v="Sunday"/>
    <n v="11"/>
    <n v="12.3"/>
    <x v="1"/>
    <x v="19"/>
    <s v="Male"/>
    <n v="69.099999999999994"/>
    <n v="170.9"/>
    <n v="25.1"/>
    <n v="19"/>
    <s v="CA"/>
    <n v="6"/>
    <n v="78.099999999999994"/>
    <s v="High"/>
    <n v="0"/>
    <s v="Park Hopper"/>
    <n v="0"/>
    <n v="0"/>
    <s v="Hotel Guest Entrance"/>
    <s v="Toy Story Lot"/>
    <n v="4.5999999999999996"/>
    <n v="7"/>
    <x v="2204"/>
  </r>
  <r>
    <n v="2315"/>
    <n v="763"/>
    <d v="2026-04-08T00:00:00"/>
    <s v="Wednesday"/>
    <n v="4"/>
    <n v="8.83"/>
    <x v="0"/>
    <x v="33"/>
    <s v="Female"/>
    <n v="63.2"/>
    <n v="119.7"/>
    <n v="20.9"/>
    <n v="16"/>
    <s v="CA"/>
    <n v="3"/>
    <n v="128.5"/>
    <s v="High"/>
    <n v="0"/>
    <s v="Single-Day"/>
    <n v="0"/>
    <n v="1"/>
    <s v="Main Entrance"/>
    <s v="Pixar Pals"/>
    <n v="10.3"/>
    <n v="7"/>
    <x v="2205"/>
  </r>
  <r>
    <n v="2316"/>
    <n v="763"/>
    <d v="2026-04-08T00:00:00"/>
    <s v="Wednesday"/>
    <n v="4"/>
    <n v="8.6999999999999993"/>
    <x v="0"/>
    <x v="57"/>
    <s v="Male"/>
    <n v="64.8"/>
    <n v="163.69999999999999"/>
    <n v="27.5"/>
    <n v="16"/>
    <s v="CA"/>
    <n v="3"/>
    <n v="128.5"/>
    <s v="High"/>
    <n v="0"/>
    <s v="Single-Day"/>
    <n v="0"/>
    <n v="1"/>
    <s v="Main Entrance"/>
    <s v="Pixar Pals"/>
    <n v="9.3000000000000007"/>
    <n v="8"/>
    <x v="2206"/>
  </r>
  <r>
    <n v="2317"/>
    <n v="763"/>
    <d v="2026-04-08T00:00:00"/>
    <s v="Wednesday"/>
    <n v="4"/>
    <n v="8.58"/>
    <x v="0"/>
    <x v="48"/>
    <s v="Male"/>
    <n v="74.400000000000006"/>
    <n v="169.8"/>
    <n v="21.6"/>
    <n v="16"/>
    <s v="CA"/>
    <n v="3"/>
    <n v="128.5"/>
    <s v="High"/>
    <n v="0"/>
    <s v="Single-Day"/>
    <n v="0"/>
    <n v="1"/>
    <s v="Main Entrance"/>
    <s v="Pixar Pals"/>
    <n v="8.4"/>
    <n v="10"/>
    <x v="2207"/>
  </r>
  <r>
    <n v="2318"/>
    <n v="764"/>
    <d v="2026-08-20T00:00:00"/>
    <s v="Thursday"/>
    <n v="8"/>
    <n v="11.56"/>
    <x v="1"/>
    <x v="8"/>
    <s v="Female"/>
    <n v="63.3"/>
    <n v="113.4"/>
    <n v="19.8"/>
    <n v="17"/>
    <s v="CA"/>
    <n v="3"/>
    <n v="57.2"/>
    <s v="Low"/>
    <n v="0"/>
    <s v="Park Hopper"/>
    <n v="1"/>
    <n v="0"/>
    <s v="Main Entrance"/>
    <s v="Pixar Pals"/>
    <n v="8.3000000000000007"/>
    <n v="8"/>
    <x v="1100"/>
  </r>
  <r>
    <n v="2319"/>
    <n v="764"/>
    <d v="2026-08-20T00:00:00"/>
    <s v="Thursday"/>
    <n v="8"/>
    <n v="11.16"/>
    <x v="1"/>
    <x v="19"/>
    <s v="Male"/>
    <n v="70"/>
    <n v="213.1"/>
    <n v="30.4"/>
    <n v="18"/>
    <s v="CA"/>
    <n v="3"/>
    <n v="57.2"/>
    <s v="Low"/>
    <n v="0"/>
    <s v="Park Hopper"/>
    <n v="1"/>
    <n v="0"/>
    <s v="Main Entrance"/>
    <s v="Pixar Pals"/>
    <n v="5.9"/>
    <n v="4"/>
    <x v="2208"/>
  </r>
  <r>
    <n v="2320"/>
    <n v="764"/>
    <d v="2026-08-20T00:00:00"/>
    <s v="Thursday"/>
    <n v="8"/>
    <n v="11.29"/>
    <x v="1"/>
    <x v="54"/>
    <s v="Female"/>
    <n v="61.6"/>
    <n v="135.5"/>
    <n v="24.8"/>
    <n v="11"/>
    <s v="CA"/>
    <n v="3"/>
    <n v="57.2"/>
    <s v="Low"/>
    <n v="0"/>
    <s v="Park Hopper"/>
    <n v="1"/>
    <n v="0"/>
    <s v="Main Entrance"/>
    <s v="Pixar Pals"/>
    <n v="8.3000000000000007"/>
    <n v="8"/>
    <x v="2209"/>
  </r>
  <r>
    <n v="2321"/>
    <n v="765"/>
    <d v="2026-04-19T00:00:00"/>
    <s v="Sunday"/>
    <n v="4"/>
    <n v="13.7"/>
    <x v="1"/>
    <x v="30"/>
    <s v="Female"/>
    <n v="65.7"/>
    <n v="151.1"/>
    <n v="24.5"/>
    <n v="12"/>
    <s v="CA"/>
    <n v="1"/>
    <n v="49.4"/>
    <s v="Low"/>
    <n v="1"/>
    <s v="Single-Day"/>
    <n v="0"/>
    <n v="0"/>
    <s v="Main Entrance"/>
    <s v="Toy Story Lot"/>
    <n v="8"/>
    <n v="6"/>
    <x v="2210"/>
  </r>
  <r>
    <n v="2322"/>
    <n v="766"/>
    <d v="2026-10-23T00:00:00"/>
    <s v="Friday"/>
    <n v="10"/>
    <n v="11.37"/>
    <x v="1"/>
    <x v="4"/>
    <s v="Female"/>
    <n v="66.599999999999994"/>
    <n v="139.1"/>
    <n v="22.1"/>
    <n v="17"/>
    <s v="MN"/>
    <n v="2"/>
    <n v="2020.7"/>
    <s v="High"/>
    <n v="0"/>
    <s v="Single-Day"/>
    <n v="1"/>
    <n v="0"/>
    <s v="Main Entrance"/>
    <s v="Toy Story Lot"/>
    <n v="8.5"/>
    <n v="10"/>
    <x v="2211"/>
  </r>
  <r>
    <n v="2323"/>
    <n v="766"/>
    <d v="2026-10-23T00:00:00"/>
    <s v="Friday"/>
    <n v="10"/>
    <n v="11.41"/>
    <x v="1"/>
    <x v="80"/>
    <s v="Male"/>
    <n v="70.2"/>
    <n v="193.9"/>
    <n v="27.9"/>
    <n v="18"/>
    <s v="MN"/>
    <n v="2"/>
    <n v="2020.7"/>
    <s v="High"/>
    <n v="0"/>
    <s v="Single-Day"/>
    <n v="1"/>
    <n v="0"/>
    <s v="Main Entrance"/>
    <s v="Toy Story Lot"/>
    <n v="9.1"/>
    <n v="12"/>
    <x v="2212"/>
  </r>
  <r>
    <n v="2324"/>
    <n v="767"/>
    <d v="2026-06-29T00:00:00"/>
    <s v="Monday"/>
    <n v="6"/>
    <n v="12.06"/>
    <x v="1"/>
    <x v="69"/>
    <s v="Female"/>
    <n v="67.2"/>
    <n v="156.69999999999999"/>
    <n v="24.4"/>
    <n v="12"/>
    <s v="NV"/>
    <n v="3"/>
    <n v="25.5"/>
    <s v="Low"/>
    <n v="1"/>
    <s v="Multi-Day"/>
    <n v="1"/>
    <n v="0"/>
    <s v="Main Entrance"/>
    <s v="Mickey &amp; Friends"/>
    <n v="7.6"/>
    <n v="4"/>
    <x v="2213"/>
  </r>
  <r>
    <n v="2325"/>
    <n v="767"/>
    <d v="2026-06-29T00:00:00"/>
    <s v="Monday"/>
    <n v="6"/>
    <n v="11.95"/>
    <x v="1"/>
    <x v="14"/>
    <s v="Female"/>
    <n v="66.2"/>
    <n v="154"/>
    <n v="24.9"/>
    <n v="12"/>
    <s v="NV"/>
    <n v="3"/>
    <n v="25.5"/>
    <s v="Low"/>
    <n v="1"/>
    <s v="Multi-Day"/>
    <n v="1"/>
    <n v="0"/>
    <s v="Main Entrance"/>
    <s v="Mickey &amp; Friends"/>
    <n v="6.6"/>
    <n v="5"/>
    <x v="2214"/>
  </r>
  <r>
    <n v="2326"/>
    <n v="767"/>
    <d v="2026-06-29T00:00:00"/>
    <s v="Monday"/>
    <n v="6"/>
    <n v="12.1"/>
    <x v="1"/>
    <x v="38"/>
    <s v="Male"/>
    <n v="62.6"/>
    <n v="177.2"/>
    <n v="32"/>
    <n v="14"/>
    <s v="NV"/>
    <n v="3"/>
    <n v="25.5"/>
    <s v="Low"/>
    <n v="1"/>
    <s v="Multi-Day"/>
    <n v="1"/>
    <n v="0"/>
    <s v="Main Entrance"/>
    <s v="Mickey &amp; Friends"/>
    <n v="9.1"/>
    <n v="13"/>
    <x v="2215"/>
  </r>
  <r>
    <n v="2327"/>
    <n v="768"/>
    <d v="2026-11-30T00:00:00"/>
    <s v="Monday"/>
    <n v="11"/>
    <n v="11.27"/>
    <x v="1"/>
    <x v="6"/>
    <s v="Female"/>
    <n v="62.5"/>
    <n v="132"/>
    <n v="24"/>
    <n v="10"/>
    <s v="CA"/>
    <n v="5"/>
    <n v="212.4"/>
    <s v="Low"/>
    <n v="1"/>
    <s v="Multi-Day"/>
    <n v="0"/>
    <n v="0"/>
    <s v="Main Entrance"/>
    <s v="Pixar Pals"/>
    <n v="9.5"/>
    <n v="2"/>
    <x v="1536"/>
  </r>
  <r>
    <n v="2328"/>
    <n v="768"/>
    <d v="2026-11-30T00:00:00"/>
    <s v="Monday"/>
    <n v="11"/>
    <n v="11.21"/>
    <x v="1"/>
    <x v="39"/>
    <s v="Male"/>
    <n v="69.400000000000006"/>
    <n v="153.69999999999999"/>
    <n v="22.4"/>
    <n v="12"/>
    <s v="CA"/>
    <n v="5"/>
    <n v="212.4"/>
    <s v="Low"/>
    <n v="1"/>
    <s v="Multi-Day"/>
    <n v="0"/>
    <n v="0"/>
    <s v="Main Entrance"/>
    <s v="Pixar Pals"/>
    <n v="9"/>
    <n v="6"/>
    <x v="2216"/>
  </r>
  <r>
    <n v="2329"/>
    <n v="768"/>
    <d v="2026-11-30T00:00:00"/>
    <s v="Monday"/>
    <n v="11"/>
    <n v="11.12"/>
    <x v="1"/>
    <x v="16"/>
    <s v="Male"/>
    <n v="53"/>
    <n v="81.900000000000006"/>
    <n v="20.2"/>
    <n v="12"/>
    <s v="CA"/>
    <n v="5"/>
    <n v="212.4"/>
    <s v="Low"/>
    <n v="1"/>
    <s v="Multi-Day"/>
    <n v="0"/>
    <n v="0"/>
    <s v="Main Entrance"/>
    <s v="Pixar Pals"/>
    <n v="9.6"/>
    <n v="6"/>
    <x v="2217"/>
  </r>
  <r>
    <n v="2330"/>
    <n v="768"/>
    <d v="2026-11-30T00:00:00"/>
    <s v="Monday"/>
    <n v="11"/>
    <n v="11.15"/>
    <x v="1"/>
    <x v="14"/>
    <s v="Female"/>
    <n v="67.8"/>
    <n v="140.69999999999999"/>
    <n v="21.7"/>
    <n v="13"/>
    <s v="CA"/>
    <n v="5"/>
    <n v="212.4"/>
    <s v="Low"/>
    <n v="1"/>
    <s v="Multi-Day"/>
    <n v="0"/>
    <n v="0"/>
    <s v="Main Entrance"/>
    <s v="Pixar Pals"/>
    <n v="9.1"/>
    <n v="8"/>
    <x v="2218"/>
  </r>
  <r>
    <n v="2331"/>
    <n v="768"/>
    <d v="2026-11-30T00:00:00"/>
    <s v="Monday"/>
    <n v="11"/>
    <n v="11.2"/>
    <x v="1"/>
    <x v="6"/>
    <s v="Female"/>
    <n v="58.9"/>
    <n v="163"/>
    <n v="33.1"/>
    <n v="14"/>
    <s v="CA"/>
    <n v="5"/>
    <n v="212.4"/>
    <s v="Low"/>
    <n v="1"/>
    <s v="Multi-Day"/>
    <n v="0"/>
    <n v="0"/>
    <s v="Main Entrance"/>
    <s v="Pixar Pals"/>
    <n v="8.9"/>
    <n v="13"/>
    <x v="2219"/>
  </r>
  <r>
    <n v="2332"/>
    <n v="769"/>
    <d v="2026-07-19T00:00:00"/>
    <s v="Sunday"/>
    <n v="7"/>
    <n v="11.34"/>
    <x v="1"/>
    <x v="7"/>
    <s v="Female"/>
    <n v="54.2"/>
    <n v="59.2"/>
    <n v="14.1"/>
    <n v="9"/>
    <s v="SD"/>
    <n v="4"/>
    <n v="1887.2"/>
    <s v="Low"/>
    <n v="1"/>
    <s v="Single-Day"/>
    <n v="0"/>
    <n v="0"/>
    <s v="Main Entrance"/>
    <s v="Pixar Pals"/>
    <n v="7.2"/>
    <n v="6"/>
    <x v="2220"/>
  </r>
  <r>
    <n v="2333"/>
    <n v="769"/>
    <d v="2026-07-19T00:00:00"/>
    <s v="Sunday"/>
    <n v="7"/>
    <n v="11.13"/>
    <x v="1"/>
    <x v="0"/>
    <s v="Female"/>
    <n v="61.5"/>
    <n v="95.9"/>
    <n v="17.7"/>
    <n v="12"/>
    <s v="SD"/>
    <n v="4"/>
    <n v="1887.2"/>
    <s v="Low"/>
    <n v="1"/>
    <s v="Single-Day"/>
    <n v="0"/>
    <n v="0"/>
    <s v="Main Entrance"/>
    <s v="Pixar Pals"/>
    <n v="8.6999999999999993"/>
    <n v="5"/>
    <x v="2221"/>
  </r>
  <r>
    <n v="2334"/>
    <n v="769"/>
    <d v="2026-07-19T00:00:00"/>
    <s v="Sunday"/>
    <n v="7"/>
    <n v="11.23"/>
    <x v="1"/>
    <x v="42"/>
    <s v="Female"/>
    <n v="68.400000000000006"/>
    <n v="224.2"/>
    <n v="33.700000000000003"/>
    <n v="17"/>
    <s v="SD"/>
    <n v="4"/>
    <n v="1887.2"/>
    <s v="Low"/>
    <n v="1"/>
    <s v="Single-Day"/>
    <n v="0"/>
    <n v="0"/>
    <s v="Main Entrance"/>
    <s v="Pixar Pals"/>
    <n v="10.3"/>
    <n v="10"/>
    <x v="2222"/>
  </r>
  <r>
    <n v="2335"/>
    <n v="769"/>
    <d v="2026-07-19T00:00:00"/>
    <s v="Sunday"/>
    <n v="7"/>
    <n v="11.23"/>
    <x v="1"/>
    <x v="13"/>
    <s v="Female"/>
    <n v="62"/>
    <n v="133.30000000000001"/>
    <n v="24.5"/>
    <n v="12"/>
    <s v="SD"/>
    <n v="4"/>
    <n v="1887.2"/>
    <s v="Low"/>
    <n v="1"/>
    <s v="Single-Day"/>
    <n v="0"/>
    <n v="0"/>
    <s v="Main Entrance"/>
    <s v="Pixar Pals"/>
    <n v="8.5"/>
    <n v="9"/>
    <x v="2223"/>
  </r>
  <r>
    <n v="2336"/>
    <n v="770"/>
    <d v="2026-05-20T00:00:00"/>
    <s v="Wednesday"/>
    <n v="5"/>
    <n v="12.43"/>
    <x v="1"/>
    <x v="69"/>
    <s v="Male"/>
    <n v="69.099999999999994"/>
    <n v="175.2"/>
    <n v="25.8"/>
    <n v="15"/>
    <s v="CA"/>
    <n v="5"/>
    <n v="146.19999999999999"/>
    <s v="High"/>
    <n v="1"/>
    <s v="Multi-Day"/>
    <n v="1"/>
    <n v="0"/>
    <s v="Main Entrance"/>
    <s v="Pixar Pals"/>
    <n v="7.5"/>
    <n v="10"/>
    <x v="2224"/>
  </r>
  <r>
    <n v="2337"/>
    <n v="770"/>
    <d v="2026-05-20T00:00:00"/>
    <s v="Wednesday"/>
    <n v="5"/>
    <n v="12.58"/>
    <x v="1"/>
    <x v="16"/>
    <s v="Male"/>
    <n v="52.5"/>
    <n v="74.900000000000006"/>
    <n v="18.899999999999999"/>
    <n v="14"/>
    <s v="CA"/>
    <n v="5"/>
    <n v="146.19999999999999"/>
    <s v="High"/>
    <n v="1"/>
    <s v="Multi-Day"/>
    <n v="1"/>
    <n v="0"/>
    <s v="Main Entrance"/>
    <s v="Pixar Pals"/>
    <n v="9"/>
    <n v="8"/>
    <x v="2225"/>
  </r>
  <r>
    <n v="2338"/>
    <n v="770"/>
    <d v="2026-05-20T00:00:00"/>
    <s v="Wednesday"/>
    <n v="5"/>
    <n v="12.42"/>
    <x v="1"/>
    <x v="62"/>
    <s v="Male"/>
    <n v="77.5"/>
    <n v="215.7"/>
    <n v="25.1"/>
    <n v="18"/>
    <s v="CA"/>
    <n v="5"/>
    <n v="146.19999999999999"/>
    <s v="High"/>
    <n v="1"/>
    <s v="Multi-Day"/>
    <n v="1"/>
    <n v="0"/>
    <s v="Main Entrance"/>
    <s v="Pixar Pals"/>
    <n v="9.4"/>
    <n v="7"/>
    <x v="2226"/>
  </r>
  <r>
    <n v="2339"/>
    <n v="770"/>
    <d v="2026-05-20T00:00:00"/>
    <s v="Wednesday"/>
    <n v="5"/>
    <n v="12.38"/>
    <x v="1"/>
    <x v="57"/>
    <s v="Male"/>
    <n v="68.5"/>
    <n v="162.5"/>
    <n v="24.2"/>
    <n v="17"/>
    <s v="CA"/>
    <n v="5"/>
    <n v="146.19999999999999"/>
    <s v="High"/>
    <n v="1"/>
    <s v="Multi-Day"/>
    <n v="1"/>
    <n v="0"/>
    <s v="Main Entrance"/>
    <s v="Pixar Pals"/>
    <n v="10.4"/>
    <n v="11"/>
    <x v="2227"/>
  </r>
  <r>
    <n v="2340"/>
    <n v="770"/>
    <d v="2026-05-20T00:00:00"/>
    <s v="Wednesday"/>
    <n v="5"/>
    <n v="12.41"/>
    <x v="1"/>
    <x v="30"/>
    <s v="Male"/>
    <n v="72.900000000000006"/>
    <n v="245.6"/>
    <n v="32.4"/>
    <n v="16"/>
    <s v="CA"/>
    <n v="5"/>
    <n v="146.19999999999999"/>
    <s v="High"/>
    <n v="1"/>
    <s v="Multi-Day"/>
    <n v="1"/>
    <n v="0"/>
    <s v="Main Entrance"/>
    <s v="Pixar Pals"/>
    <n v="11.4"/>
    <n v="8"/>
    <x v="1367"/>
  </r>
  <r>
    <n v="2341"/>
    <n v="771"/>
    <d v="2026-04-05T00:00:00"/>
    <s v="Sunday"/>
    <n v="4"/>
    <n v="11.12"/>
    <x v="1"/>
    <x v="22"/>
    <s v="Female"/>
    <n v="64.099999999999994"/>
    <n v="88.1"/>
    <n v="14.9"/>
    <n v="15"/>
    <s v="NV"/>
    <n v="2"/>
    <n v="236.5"/>
    <s v="High"/>
    <n v="0"/>
    <s v="Single-Day"/>
    <n v="0"/>
    <n v="0"/>
    <s v="Main Entrance"/>
    <s v="Mickey &amp; Friends"/>
    <n v="5.8"/>
    <n v="6"/>
    <x v="2228"/>
  </r>
  <r>
    <n v="2342"/>
    <n v="771"/>
    <d v="2026-04-05T00:00:00"/>
    <s v="Sunday"/>
    <n v="4"/>
    <n v="10.83"/>
    <x v="0"/>
    <x v="59"/>
    <s v="Female"/>
    <n v="61.7"/>
    <n v="147.5"/>
    <n v="27.4"/>
    <n v="18"/>
    <s v="NV"/>
    <n v="2"/>
    <n v="236.5"/>
    <s v="High"/>
    <n v="0"/>
    <s v="Single-Day"/>
    <n v="0"/>
    <n v="0"/>
    <s v="Main Entrance"/>
    <s v="Mickey &amp; Friends"/>
    <n v="7.6"/>
    <n v="8"/>
    <x v="2229"/>
  </r>
  <r>
    <n v="2343"/>
    <n v="772"/>
    <d v="2026-04-21T00:00:00"/>
    <s v="Tuesday"/>
    <n v="4"/>
    <n v="9.06"/>
    <x v="0"/>
    <x v="49"/>
    <s v="Female"/>
    <n v="68.400000000000006"/>
    <n v="200.1"/>
    <n v="30.1"/>
    <n v="18"/>
    <s v="IL"/>
    <n v="2"/>
    <n v="1845.2"/>
    <s v="High"/>
    <n v="1"/>
    <s v="Multi-Day"/>
    <n v="1"/>
    <n v="1"/>
    <s v="Main Entrance"/>
    <s v="None/Walked from Resort"/>
    <n v="10.7"/>
    <n v="11"/>
    <x v="2230"/>
  </r>
  <r>
    <n v="2344"/>
    <n v="772"/>
    <d v="2026-04-21T00:00:00"/>
    <s v="Tuesday"/>
    <n v="4"/>
    <n v="8.9499999999999993"/>
    <x v="0"/>
    <x v="42"/>
    <s v="Male"/>
    <n v="62.9"/>
    <n v="97.2"/>
    <n v="17.399999999999999"/>
    <n v="21"/>
    <s v="IL"/>
    <n v="2"/>
    <n v="1845.2"/>
    <s v="High"/>
    <n v="1"/>
    <s v="Multi-Day"/>
    <n v="1"/>
    <n v="1"/>
    <s v="Main Entrance"/>
    <s v="None/Walked from Resort"/>
    <n v="7"/>
    <n v="11"/>
    <x v="2231"/>
  </r>
  <r>
    <n v="2345"/>
    <n v="773"/>
    <d v="2026-07-26T00:00:00"/>
    <s v="Sunday"/>
    <n v="7"/>
    <n v="9.69"/>
    <x v="0"/>
    <x v="14"/>
    <s v="Male"/>
    <n v="67"/>
    <n v="154.80000000000001"/>
    <n v="24.1"/>
    <n v="11"/>
    <s v="UT"/>
    <n v="5"/>
    <n v="744.5"/>
    <s v="Middle"/>
    <n v="0"/>
    <s v="Single-Day"/>
    <n v="1"/>
    <n v="0"/>
    <s v="Downtown Disney Gate"/>
    <s v="Pixar Pals"/>
    <n v="7.2"/>
    <n v="7"/>
    <x v="2232"/>
  </r>
  <r>
    <n v="2346"/>
    <n v="773"/>
    <d v="2026-07-26T00:00:00"/>
    <s v="Sunday"/>
    <n v="7"/>
    <n v="9.86"/>
    <x v="0"/>
    <x v="10"/>
    <s v="Male"/>
    <n v="70.900000000000006"/>
    <n v="157.80000000000001"/>
    <n v="22.1"/>
    <n v="15"/>
    <s v="UT"/>
    <n v="5"/>
    <n v="744.5"/>
    <s v="Middle"/>
    <n v="0"/>
    <s v="Single-Day"/>
    <n v="1"/>
    <n v="0"/>
    <s v="Downtown Disney Gate"/>
    <s v="Pixar Pals"/>
    <n v="9.5"/>
    <n v="9"/>
    <x v="2233"/>
  </r>
  <r>
    <n v="2347"/>
    <n v="773"/>
    <d v="2026-07-26T00:00:00"/>
    <s v="Sunday"/>
    <n v="7"/>
    <n v="10.210000000000001"/>
    <x v="0"/>
    <x v="1"/>
    <s v="Male"/>
    <n v="73.2"/>
    <n v="161.19999999999999"/>
    <n v="20.9"/>
    <n v="12"/>
    <s v="UT"/>
    <n v="5"/>
    <n v="744.5"/>
    <s v="Middle"/>
    <n v="0"/>
    <s v="Single-Day"/>
    <n v="1"/>
    <n v="0"/>
    <s v="Downtown Disney Gate"/>
    <s v="Pixar Pals"/>
    <n v="6.2"/>
    <n v="5"/>
    <x v="2234"/>
  </r>
  <r>
    <n v="2348"/>
    <n v="773"/>
    <d v="2026-07-26T00:00:00"/>
    <s v="Sunday"/>
    <n v="7"/>
    <n v="10.130000000000001"/>
    <x v="0"/>
    <x v="62"/>
    <s v="Male"/>
    <n v="70.3"/>
    <n v="184.8"/>
    <n v="26"/>
    <n v="18"/>
    <s v="UT"/>
    <n v="5"/>
    <n v="744.5"/>
    <s v="Middle"/>
    <n v="0"/>
    <s v="Single-Day"/>
    <n v="1"/>
    <n v="0"/>
    <s v="Downtown Disney Gate"/>
    <s v="Pixar Pals"/>
    <n v="6.4"/>
    <n v="6"/>
    <x v="2235"/>
  </r>
  <r>
    <n v="2349"/>
    <n v="773"/>
    <d v="2026-07-26T00:00:00"/>
    <s v="Sunday"/>
    <n v="7"/>
    <n v="10.15"/>
    <x v="0"/>
    <x v="34"/>
    <s v="Male"/>
    <n v="67.5"/>
    <n v="161.30000000000001"/>
    <n v="25.1"/>
    <n v="18"/>
    <s v="UT"/>
    <n v="5"/>
    <n v="744.5"/>
    <s v="Middle"/>
    <n v="0"/>
    <s v="Single-Day"/>
    <n v="1"/>
    <n v="0"/>
    <s v="Downtown Disney Gate"/>
    <s v="Pixar Pals"/>
    <n v="8.3000000000000007"/>
    <n v="6"/>
    <x v="2236"/>
  </r>
  <r>
    <n v="2350"/>
    <n v="774"/>
    <d v="2026-11-15T00:00:00"/>
    <s v="Sunday"/>
    <n v="11"/>
    <n v="9.1199999999999992"/>
    <x v="0"/>
    <x v="71"/>
    <s v="Female"/>
    <n v="60"/>
    <n v="165"/>
    <n v="32.200000000000003"/>
    <n v="12"/>
    <s v="Other"/>
    <n v="3"/>
    <n v="1337.1"/>
    <s v="Middle"/>
    <n v="1"/>
    <s v="Multi-Day"/>
    <n v="1"/>
    <n v="0"/>
    <s v="Main Entrance"/>
    <s v="Toy Story Lot"/>
    <n v="10.199999999999999"/>
    <n v="10"/>
    <x v="2237"/>
  </r>
  <r>
    <n v="2351"/>
    <n v="774"/>
    <d v="2026-11-15T00:00:00"/>
    <s v="Sunday"/>
    <n v="11"/>
    <n v="9.08"/>
    <x v="0"/>
    <x v="55"/>
    <s v="Male"/>
    <n v="72.599999999999994"/>
    <n v="230.1"/>
    <n v="30.5"/>
    <n v="16"/>
    <s v="Other"/>
    <n v="3"/>
    <n v="1337.1"/>
    <s v="Middle"/>
    <n v="1"/>
    <s v="Multi-Day"/>
    <n v="1"/>
    <n v="0"/>
    <s v="Main Entrance"/>
    <s v="Toy Story Lot"/>
    <n v="7.5"/>
    <n v="8"/>
    <x v="2238"/>
  </r>
  <r>
    <n v="2352"/>
    <n v="774"/>
    <d v="2026-11-15T00:00:00"/>
    <s v="Sunday"/>
    <n v="11"/>
    <n v="8.9600000000000009"/>
    <x v="0"/>
    <x v="52"/>
    <s v="Female"/>
    <n v="65.3"/>
    <n v="211.2"/>
    <n v="34.9"/>
    <n v="17"/>
    <s v="Other"/>
    <n v="3"/>
    <n v="1337.1"/>
    <s v="Middle"/>
    <n v="1"/>
    <s v="Multi-Day"/>
    <n v="1"/>
    <n v="0"/>
    <s v="Main Entrance"/>
    <s v="Toy Story Lot"/>
    <n v="6.7"/>
    <n v="7"/>
    <x v="2239"/>
  </r>
  <r>
    <n v="2353"/>
    <n v="775"/>
    <d v="2026-12-25T00:00:00"/>
    <s v="Friday"/>
    <n v="12"/>
    <n v="10.029999999999999"/>
    <x v="0"/>
    <x v="57"/>
    <s v="Female"/>
    <n v="66.8"/>
    <n v="166.5"/>
    <n v="26.4"/>
    <n v="19"/>
    <s v="UT"/>
    <n v="3"/>
    <n v="721.8"/>
    <s v="High"/>
    <n v="1"/>
    <s v="Single-Day"/>
    <n v="1"/>
    <n v="0"/>
    <s v="Main Entrance"/>
    <s v="Mickey &amp; Friends"/>
    <n v="9.1999999999999993"/>
    <n v="14"/>
    <x v="2240"/>
  </r>
  <r>
    <n v="2354"/>
    <n v="775"/>
    <d v="2026-12-25T00:00:00"/>
    <s v="Friday"/>
    <n v="12"/>
    <n v="10.34"/>
    <x v="0"/>
    <x v="39"/>
    <s v="Male"/>
    <n v="72.400000000000006"/>
    <n v="210"/>
    <n v="28.1"/>
    <n v="12"/>
    <s v="UT"/>
    <n v="3"/>
    <n v="721.8"/>
    <s v="High"/>
    <n v="1"/>
    <s v="Single-Day"/>
    <n v="1"/>
    <n v="0"/>
    <s v="Main Entrance"/>
    <s v="Mickey &amp; Friends"/>
    <n v="11.8"/>
    <n v="12"/>
    <x v="2241"/>
  </r>
  <r>
    <n v="2355"/>
    <n v="775"/>
    <d v="2026-12-25T00:00:00"/>
    <s v="Friday"/>
    <n v="12"/>
    <n v="10.09"/>
    <x v="0"/>
    <x v="16"/>
    <s v="Male"/>
    <n v="59.5"/>
    <n v="108.1"/>
    <n v="21.3"/>
    <n v="16"/>
    <s v="UT"/>
    <n v="3"/>
    <n v="721.8"/>
    <s v="High"/>
    <n v="1"/>
    <s v="Single-Day"/>
    <n v="1"/>
    <n v="0"/>
    <s v="Main Entrance"/>
    <s v="Mickey &amp; Friends"/>
    <n v="5.3"/>
    <n v="9"/>
    <x v="2242"/>
  </r>
  <r>
    <n v="2356"/>
    <n v="776"/>
    <d v="2026-05-18T00:00:00"/>
    <s v="Monday"/>
    <n v="5"/>
    <n v="12.46"/>
    <x v="1"/>
    <x v="15"/>
    <s v="Female"/>
    <n v="63.2"/>
    <n v="156.69999999999999"/>
    <n v="27.7"/>
    <n v="18"/>
    <s v="CA"/>
    <n v="5"/>
    <n v="116.3"/>
    <s v="High"/>
    <n v="0"/>
    <s v="Multi-Day"/>
    <n v="0"/>
    <n v="0"/>
    <s v="Main Entrance"/>
    <s v="Toy Story Lot"/>
    <n v="9"/>
    <n v="7"/>
    <x v="2243"/>
  </r>
  <r>
    <n v="2357"/>
    <n v="776"/>
    <d v="2026-05-18T00:00:00"/>
    <s v="Monday"/>
    <n v="5"/>
    <n v="12.29"/>
    <x v="1"/>
    <x v="42"/>
    <s v="Female"/>
    <n v="68.2"/>
    <n v="213.2"/>
    <n v="32.1"/>
    <n v="18"/>
    <s v="CA"/>
    <n v="5"/>
    <n v="116.3"/>
    <s v="High"/>
    <n v="0"/>
    <s v="Multi-Day"/>
    <n v="0"/>
    <n v="0"/>
    <s v="Main Entrance"/>
    <s v="Toy Story Lot"/>
    <n v="7.1"/>
    <n v="10"/>
    <x v="2244"/>
  </r>
  <r>
    <n v="2358"/>
    <n v="776"/>
    <d v="2026-05-18T00:00:00"/>
    <s v="Monday"/>
    <n v="5"/>
    <n v="12.47"/>
    <x v="1"/>
    <x v="32"/>
    <s v="Male"/>
    <n v="62.4"/>
    <n v="106.5"/>
    <n v="18.8"/>
    <n v="13"/>
    <s v="CA"/>
    <n v="5"/>
    <n v="116.3"/>
    <s v="High"/>
    <n v="0"/>
    <s v="Multi-Day"/>
    <n v="0"/>
    <n v="0"/>
    <s v="Main Entrance"/>
    <s v="Toy Story Lot"/>
    <n v="9.4"/>
    <n v="7"/>
    <x v="2245"/>
  </r>
  <r>
    <n v="2359"/>
    <n v="776"/>
    <d v="2026-05-18T00:00:00"/>
    <s v="Monday"/>
    <n v="5"/>
    <n v="12.31"/>
    <x v="1"/>
    <x v="9"/>
    <s v="Male"/>
    <n v="70.900000000000006"/>
    <n v="188"/>
    <n v="26.4"/>
    <n v="19"/>
    <s v="CA"/>
    <n v="5"/>
    <n v="116.3"/>
    <s v="High"/>
    <n v="0"/>
    <s v="Multi-Day"/>
    <n v="0"/>
    <n v="0"/>
    <s v="Main Entrance"/>
    <s v="Toy Story Lot"/>
    <n v="8.1999999999999993"/>
    <n v="6"/>
    <x v="2111"/>
  </r>
  <r>
    <n v="2360"/>
    <n v="776"/>
    <d v="2026-05-18T00:00:00"/>
    <s v="Monday"/>
    <n v="5"/>
    <n v="12.42"/>
    <x v="1"/>
    <x v="51"/>
    <s v="Male"/>
    <n v="66.400000000000006"/>
    <n v="147.6"/>
    <n v="23.4"/>
    <n v="16"/>
    <s v="CA"/>
    <n v="5"/>
    <n v="116.3"/>
    <s v="High"/>
    <n v="0"/>
    <s v="Multi-Day"/>
    <n v="0"/>
    <n v="0"/>
    <s v="Main Entrance"/>
    <s v="Toy Story Lot"/>
    <n v="3.8"/>
    <n v="2"/>
    <x v="2246"/>
  </r>
  <r>
    <n v="2361"/>
    <n v="777"/>
    <d v="2026-04-13T00:00:00"/>
    <s v="Monday"/>
    <n v="4"/>
    <n v="9.7899999999999991"/>
    <x v="0"/>
    <x v="3"/>
    <s v="Female"/>
    <n v="61.7"/>
    <n v="126.5"/>
    <n v="23.5"/>
    <n v="14"/>
    <s v="IL"/>
    <n v="4"/>
    <n v="1622.9"/>
    <s v="Middle"/>
    <n v="1"/>
    <s v="Single-Day"/>
    <n v="1"/>
    <n v="0"/>
    <s v="Main Entrance"/>
    <s v="Mickey &amp; Friends"/>
    <n v="9.9"/>
    <n v="5"/>
    <x v="2247"/>
  </r>
  <r>
    <n v="2362"/>
    <n v="777"/>
    <d v="2026-04-13T00:00:00"/>
    <s v="Monday"/>
    <n v="4"/>
    <n v="9.5500000000000007"/>
    <x v="0"/>
    <x v="57"/>
    <s v="Male"/>
    <n v="66.3"/>
    <n v="119.9"/>
    <n v="19.2"/>
    <n v="17"/>
    <s v="IL"/>
    <n v="4"/>
    <n v="1622.9"/>
    <s v="Middle"/>
    <n v="1"/>
    <s v="Single-Day"/>
    <n v="1"/>
    <n v="0"/>
    <s v="Main Entrance"/>
    <s v="Mickey &amp; Friends"/>
    <n v="7.2"/>
    <n v="5"/>
    <x v="2248"/>
  </r>
  <r>
    <n v="2363"/>
    <n v="777"/>
    <d v="2026-04-13T00:00:00"/>
    <s v="Monday"/>
    <n v="4"/>
    <n v="9.49"/>
    <x v="0"/>
    <x v="2"/>
    <s v="Male"/>
    <n v="71.099999999999994"/>
    <n v="225.4"/>
    <n v="31.4"/>
    <n v="15"/>
    <s v="IL"/>
    <n v="4"/>
    <n v="1622.9"/>
    <s v="Middle"/>
    <n v="1"/>
    <s v="Single-Day"/>
    <n v="1"/>
    <n v="0"/>
    <s v="Main Entrance"/>
    <s v="Mickey &amp; Friends"/>
    <n v="9.6999999999999993"/>
    <n v="9"/>
    <x v="2249"/>
  </r>
  <r>
    <n v="2364"/>
    <n v="777"/>
    <d v="2026-04-13T00:00:00"/>
    <s v="Monday"/>
    <n v="4"/>
    <n v="9.4600000000000009"/>
    <x v="0"/>
    <x v="2"/>
    <s v="Male"/>
    <n v="70.900000000000006"/>
    <n v="174.7"/>
    <n v="24.5"/>
    <n v="15"/>
    <s v="IL"/>
    <n v="4"/>
    <n v="1622.9"/>
    <s v="Middle"/>
    <n v="1"/>
    <s v="Single-Day"/>
    <n v="1"/>
    <n v="0"/>
    <s v="Main Entrance"/>
    <s v="Mickey &amp; Friends"/>
    <n v="7.4"/>
    <n v="4"/>
    <x v="2250"/>
  </r>
  <r>
    <n v="2365"/>
    <n v="778"/>
    <d v="2026-10-25T00:00:00"/>
    <s v="Sunday"/>
    <n v="10"/>
    <n v="11.65"/>
    <x v="1"/>
    <x v="49"/>
    <s v="Female"/>
    <n v="64.8"/>
    <n v="148.80000000000001"/>
    <n v="25"/>
    <n v="13"/>
    <s v="CA"/>
    <n v="2"/>
    <n v="74.2"/>
    <s v="Middle"/>
    <n v="0"/>
    <s v="Park Hopper"/>
    <n v="0"/>
    <n v="0"/>
    <s v="Main Entrance"/>
    <s v="Mickey &amp; Friends"/>
    <n v="7.1"/>
    <n v="10"/>
    <x v="1710"/>
  </r>
  <r>
    <n v="2366"/>
    <n v="778"/>
    <d v="2026-10-25T00:00:00"/>
    <s v="Sunday"/>
    <n v="10"/>
    <n v="11.58"/>
    <x v="1"/>
    <x v="76"/>
    <s v="Female"/>
    <n v="66.3"/>
    <n v="183.8"/>
    <n v="29.4"/>
    <n v="15"/>
    <s v="CA"/>
    <n v="2"/>
    <n v="74.2"/>
    <s v="Middle"/>
    <n v="0"/>
    <s v="Park Hopper"/>
    <n v="0"/>
    <n v="0"/>
    <s v="Main Entrance"/>
    <s v="Mickey &amp; Friends"/>
    <n v="6.4"/>
    <n v="6"/>
    <x v="2251"/>
  </r>
  <r>
    <n v="2367"/>
    <n v="779"/>
    <d v="2026-06-15T00:00:00"/>
    <s v="Monday"/>
    <n v="6"/>
    <n v="9.25"/>
    <x v="0"/>
    <x v="60"/>
    <s v="Male"/>
    <n v="67.3"/>
    <n v="130.9"/>
    <n v="20.100000000000001"/>
    <n v="13"/>
    <s v="SD"/>
    <n v="6"/>
    <n v="1732.4"/>
    <s v="Middle"/>
    <n v="1"/>
    <s v="Park Hopper"/>
    <n v="1"/>
    <n v="0"/>
    <s v="Main Entrance"/>
    <s v="Mickey &amp; Friends"/>
    <n v="7.6"/>
    <n v="12"/>
    <x v="2252"/>
  </r>
  <r>
    <n v="2368"/>
    <n v="779"/>
    <d v="2026-06-15T00:00:00"/>
    <s v="Monday"/>
    <n v="6"/>
    <n v="9.6199999999999992"/>
    <x v="0"/>
    <x v="38"/>
    <s v="Male"/>
    <n v="71"/>
    <n v="171.4"/>
    <n v="24.1"/>
    <n v="13"/>
    <s v="SD"/>
    <n v="6"/>
    <n v="1732.4"/>
    <s v="Middle"/>
    <n v="1"/>
    <s v="Park Hopper"/>
    <n v="1"/>
    <n v="0"/>
    <s v="Main Entrance"/>
    <s v="Mickey &amp; Friends"/>
    <n v="10.6"/>
    <n v="8"/>
    <x v="941"/>
  </r>
  <r>
    <n v="2369"/>
    <n v="779"/>
    <d v="2026-06-15T00:00:00"/>
    <s v="Monday"/>
    <n v="6"/>
    <n v="9.66"/>
    <x v="0"/>
    <x v="57"/>
    <s v="Female"/>
    <n v="63.6"/>
    <n v="131.80000000000001"/>
    <n v="22.9"/>
    <n v="16"/>
    <s v="SD"/>
    <n v="6"/>
    <n v="1732.4"/>
    <s v="Middle"/>
    <n v="1"/>
    <s v="Park Hopper"/>
    <n v="1"/>
    <n v="0"/>
    <s v="Main Entrance"/>
    <s v="Mickey &amp; Friends"/>
    <n v="7.6"/>
    <n v="4"/>
    <x v="2253"/>
  </r>
  <r>
    <n v="2370"/>
    <n v="779"/>
    <d v="2026-06-15T00:00:00"/>
    <s v="Monday"/>
    <n v="6"/>
    <n v="9.49"/>
    <x v="0"/>
    <x v="19"/>
    <s v="Female"/>
    <n v="63.3"/>
    <n v="140.9"/>
    <n v="24.7"/>
    <n v="15"/>
    <s v="SD"/>
    <n v="6"/>
    <n v="1732.4"/>
    <s v="Middle"/>
    <n v="1"/>
    <s v="Park Hopper"/>
    <n v="1"/>
    <n v="0"/>
    <s v="Main Entrance"/>
    <s v="Mickey &amp; Friends"/>
    <n v="10"/>
    <n v="12"/>
    <x v="2254"/>
  </r>
  <r>
    <n v="2371"/>
    <n v="779"/>
    <d v="2026-06-15T00:00:00"/>
    <s v="Monday"/>
    <n v="6"/>
    <n v="9.68"/>
    <x v="0"/>
    <x v="28"/>
    <s v="Female"/>
    <n v="60.9"/>
    <n v="115.4"/>
    <n v="22"/>
    <n v="12"/>
    <s v="SD"/>
    <n v="6"/>
    <n v="1732.4"/>
    <s v="Middle"/>
    <n v="1"/>
    <s v="Park Hopper"/>
    <n v="1"/>
    <n v="0"/>
    <s v="Main Entrance"/>
    <s v="Mickey &amp; Friends"/>
    <n v="9.4"/>
    <n v="12"/>
    <x v="2255"/>
  </r>
  <r>
    <n v="2372"/>
    <n v="779"/>
    <d v="2026-06-15T00:00:00"/>
    <s v="Monday"/>
    <n v="6"/>
    <n v="9.4499999999999993"/>
    <x v="0"/>
    <x v="22"/>
    <s v="Male"/>
    <n v="66.3"/>
    <n v="107.8"/>
    <n v="17.3"/>
    <n v="11"/>
    <s v="SD"/>
    <n v="6"/>
    <n v="1732.4"/>
    <s v="Middle"/>
    <n v="1"/>
    <s v="Park Hopper"/>
    <n v="1"/>
    <n v="0"/>
    <s v="Main Entrance"/>
    <s v="Mickey &amp; Friends"/>
    <n v="4.5"/>
    <n v="8"/>
    <x v="2256"/>
  </r>
  <r>
    <n v="2373"/>
    <n v="780"/>
    <d v="2026-07-25T00:00:00"/>
    <s v="Saturday"/>
    <n v="7"/>
    <n v="10.36"/>
    <x v="0"/>
    <x v="70"/>
    <s v="Female"/>
    <n v="70"/>
    <n v="156.9"/>
    <n v="22.6"/>
    <n v="16"/>
    <s v="OR"/>
    <n v="4"/>
    <n v="843.8"/>
    <s v="High"/>
    <n v="1"/>
    <s v="Multi-Day"/>
    <n v="0"/>
    <n v="1"/>
    <s v="Main Entrance"/>
    <s v="None/Walked from Resort"/>
    <n v="11"/>
    <n v="5"/>
    <x v="2257"/>
  </r>
  <r>
    <n v="2374"/>
    <n v="780"/>
    <d v="2026-07-25T00:00:00"/>
    <s v="Saturday"/>
    <n v="7"/>
    <n v="10.37"/>
    <x v="0"/>
    <x v="45"/>
    <s v="Male"/>
    <n v="65.8"/>
    <n v="126.7"/>
    <n v="20.6"/>
    <n v="19"/>
    <s v="OR"/>
    <n v="4"/>
    <n v="843.8"/>
    <s v="High"/>
    <n v="1"/>
    <s v="Multi-Day"/>
    <n v="0"/>
    <n v="1"/>
    <s v="Main Entrance"/>
    <s v="None/Walked from Resort"/>
    <n v="9.4"/>
    <n v="10"/>
    <x v="367"/>
  </r>
  <r>
    <n v="2375"/>
    <n v="780"/>
    <d v="2026-07-25T00:00:00"/>
    <s v="Saturday"/>
    <n v="7"/>
    <n v="10.44"/>
    <x v="0"/>
    <x v="14"/>
    <s v="Male"/>
    <n v="72"/>
    <n v="133.9"/>
    <n v="18.3"/>
    <n v="13"/>
    <s v="OR"/>
    <n v="4"/>
    <n v="843.8"/>
    <s v="High"/>
    <n v="1"/>
    <s v="Multi-Day"/>
    <n v="0"/>
    <n v="1"/>
    <s v="Main Entrance"/>
    <s v="None/Walked from Resort"/>
    <n v="8.6999999999999993"/>
    <n v="5"/>
    <x v="2258"/>
  </r>
  <r>
    <n v="2376"/>
    <n v="780"/>
    <d v="2026-07-25T00:00:00"/>
    <s v="Saturday"/>
    <n v="7"/>
    <n v="10.41"/>
    <x v="0"/>
    <x v="39"/>
    <s v="Female"/>
    <n v="63.2"/>
    <n v="188.7"/>
    <n v="33.299999999999997"/>
    <n v="17"/>
    <s v="OR"/>
    <n v="4"/>
    <n v="843.8"/>
    <s v="High"/>
    <n v="1"/>
    <s v="Multi-Day"/>
    <n v="0"/>
    <n v="1"/>
    <s v="Main Entrance"/>
    <s v="None/Walked from Resort"/>
    <n v="6.3"/>
    <n v="5"/>
    <x v="2259"/>
  </r>
  <r>
    <n v="2377"/>
    <n v="781"/>
    <d v="2026-04-14T00:00:00"/>
    <s v="Tuesday"/>
    <n v="4"/>
    <n v="14.47"/>
    <x v="1"/>
    <x v="3"/>
    <s v="Female"/>
    <n v="70"/>
    <n v="163.19999999999999"/>
    <n v="23.5"/>
    <n v="13"/>
    <s v="IL"/>
    <n v="2"/>
    <n v="2152.1999999999998"/>
    <s v="Middle"/>
    <n v="0"/>
    <s v="Single-Day"/>
    <n v="0"/>
    <n v="0"/>
    <s v="Downtown Disney Gate"/>
    <s v="Pixar Pals"/>
    <n v="5.8"/>
    <n v="11"/>
    <x v="2260"/>
  </r>
  <r>
    <n v="2378"/>
    <n v="781"/>
    <d v="2026-04-14T00:00:00"/>
    <s v="Tuesday"/>
    <n v="4"/>
    <n v="14.4"/>
    <x v="1"/>
    <x v="52"/>
    <s v="Female"/>
    <n v="63.3"/>
    <n v="134.4"/>
    <n v="23.5"/>
    <n v="17"/>
    <s v="IL"/>
    <n v="2"/>
    <n v="2152.1999999999998"/>
    <s v="Middle"/>
    <n v="0"/>
    <s v="Single-Day"/>
    <n v="0"/>
    <n v="0"/>
    <s v="Downtown Disney Gate"/>
    <s v="Pixar Pals"/>
    <n v="7.2"/>
    <n v="8"/>
    <x v="630"/>
  </r>
  <r>
    <n v="2379"/>
    <n v="782"/>
    <d v="2026-10-14T00:00:00"/>
    <s v="Wednesday"/>
    <n v="10"/>
    <n v="8.19"/>
    <x v="0"/>
    <x v="9"/>
    <s v="Female"/>
    <n v="58.8"/>
    <n v="143.80000000000001"/>
    <n v="29.3"/>
    <n v="19"/>
    <s v="TX"/>
    <n v="5"/>
    <n v="1005.6"/>
    <s v="High"/>
    <n v="1"/>
    <s v="Single-Day"/>
    <n v="0"/>
    <n v="1"/>
    <s v="Downtown Disney Gate"/>
    <s v="Pixar Pals"/>
    <n v="13.7"/>
    <n v="16"/>
    <x v="2261"/>
  </r>
  <r>
    <n v="2380"/>
    <n v="782"/>
    <d v="2026-10-14T00:00:00"/>
    <s v="Wednesday"/>
    <n v="10"/>
    <n v="8.32"/>
    <x v="0"/>
    <x v="58"/>
    <s v="Female"/>
    <n v="62.3"/>
    <n v="140.6"/>
    <n v="25.5"/>
    <n v="16"/>
    <s v="TX"/>
    <n v="5"/>
    <n v="1005.6"/>
    <s v="High"/>
    <n v="1"/>
    <s v="Single-Day"/>
    <n v="0"/>
    <n v="1"/>
    <s v="Downtown Disney Gate"/>
    <s v="Pixar Pals"/>
    <n v="10.6"/>
    <n v="9"/>
    <x v="2262"/>
  </r>
  <r>
    <n v="2381"/>
    <n v="782"/>
    <d v="2026-10-14T00:00:00"/>
    <s v="Wednesday"/>
    <n v="10"/>
    <n v="8.27"/>
    <x v="0"/>
    <x v="6"/>
    <s v="Female"/>
    <n v="65.900000000000006"/>
    <n v="162.80000000000001"/>
    <n v="26.4"/>
    <n v="15"/>
    <s v="TX"/>
    <n v="5"/>
    <n v="1005.6"/>
    <s v="High"/>
    <n v="1"/>
    <s v="Single-Day"/>
    <n v="0"/>
    <n v="1"/>
    <s v="Downtown Disney Gate"/>
    <s v="Pixar Pals"/>
    <n v="11.9"/>
    <n v="8"/>
    <x v="2263"/>
  </r>
  <r>
    <n v="2382"/>
    <n v="782"/>
    <d v="2026-10-14T00:00:00"/>
    <s v="Wednesday"/>
    <n v="10"/>
    <n v="8.3800000000000008"/>
    <x v="0"/>
    <x v="57"/>
    <s v="Male"/>
    <n v="66.400000000000006"/>
    <n v="134"/>
    <n v="21.4"/>
    <n v="18"/>
    <s v="TX"/>
    <n v="5"/>
    <n v="1005.6"/>
    <s v="High"/>
    <n v="1"/>
    <s v="Single-Day"/>
    <n v="0"/>
    <n v="1"/>
    <s v="Downtown Disney Gate"/>
    <s v="Pixar Pals"/>
    <n v="9.9"/>
    <n v="10"/>
    <x v="2264"/>
  </r>
  <r>
    <n v="2383"/>
    <n v="782"/>
    <d v="2026-10-14T00:00:00"/>
    <s v="Wednesday"/>
    <n v="10"/>
    <n v="8.2100000000000009"/>
    <x v="0"/>
    <x v="28"/>
    <s v="Female"/>
    <n v="61.3"/>
    <n v="143.1"/>
    <n v="26.7"/>
    <n v="19"/>
    <s v="TX"/>
    <n v="5"/>
    <n v="1005.6"/>
    <s v="High"/>
    <n v="1"/>
    <s v="Single-Day"/>
    <n v="0"/>
    <n v="1"/>
    <s v="Downtown Disney Gate"/>
    <s v="Pixar Pals"/>
    <n v="11.6"/>
    <n v="10"/>
    <x v="2265"/>
  </r>
  <r>
    <n v="2384"/>
    <n v="783"/>
    <d v="2026-08-01T00:00:00"/>
    <s v="Saturday"/>
    <n v="8"/>
    <n v="10.92"/>
    <x v="0"/>
    <x v="27"/>
    <s v="Male"/>
    <n v="67.599999999999994"/>
    <n v="214.4"/>
    <n v="32.799999999999997"/>
    <n v="15"/>
    <s v="CA"/>
    <n v="3"/>
    <n v="62.1"/>
    <s v="High"/>
    <n v="0"/>
    <s v="Park Hopper"/>
    <n v="0"/>
    <n v="1"/>
    <s v="Main Entrance"/>
    <s v="None/Walked from Resort"/>
    <n v="10.5"/>
    <n v="9"/>
    <x v="2266"/>
  </r>
  <r>
    <n v="2385"/>
    <n v="783"/>
    <d v="2026-08-01T00:00:00"/>
    <s v="Saturday"/>
    <n v="8"/>
    <n v="10.66"/>
    <x v="0"/>
    <x v="18"/>
    <s v="Female"/>
    <n v="69.099999999999994"/>
    <n v="175.5"/>
    <n v="25.9"/>
    <n v="18"/>
    <s v="CA"/>
    <n v="3"/>
    <n v="62.1"/>
    <s v="High"/>
    <n v="0"/>
    <s v="Park Hopper"/>
    <n v="0"/>
    <n v="1"/>
    <s v="Main Entrance"/>
    <s v="None/Walked from Resort"/>
    <n v="5.7"/>
    <n v="4"/>
    <x v="1090"/>
  </r>
  <r>
    <n v="2386"/>
    <n v="783"/>
    <d v="2026-08-01T00:00:00"/>
    <s v="Saturday"/>
    <n v="8"/>
    <n v="10.79"/>
    <x v="0"/>
    <x v="78"/>
    <s v="Male"/>
    <n v="70"/>
    <n v="173.5"/>
    <n v="24.8"/>
    <n v="18"/>
    <s v="CA"/>
    <n v="3"/>
    <n v="62.1"/>
    <s v="High"/>
    <n v="0"/>
    <s v="Park Hopper"/>
    <n v="0"/>
    <n v="1"/>
    <s v="Main Entrance"/>
    <s v="None/Walked from Resort"/>
    <n v="9.8000000000000007"/>
    <n v="2"/>
    <x v="2267"/>
  </r>
  <r>
    <n v="2387"/>
    <n v="784"/>
    <d v="2026-06-16T00:00:00"/>
    <s v="Tuesday"/>
    <n v="6"/>
    <n v="8.9700000000000006"/>
    <x v="0"/>
    <x v="11"/>
    <s v="Female"/>
    <n v="67.599999999999994"/>
    <n v="172.5"/>
    <n v="26.7"/>
    <n v="14"/>
    <s v="IL"/>
    <n v="3"/>
    <n v="1804.7"/>
    <s v="Middle"/>
    <n v="1"/>
    <s v="Single-Day"/>
    <n v="1"/>
    <n v="1"/>
    <s v="Main Entrance"/>
    <s v="None/Walked from Resort"/>
    <n v="12.6"/>
    <n v="11"/>
    <x v="2268"/>
  </r>
  <r>
    <n v="2388"/>
    <n v="784"/>
    <d v="2026-06-16T00:00:00"/>
    <s v="Tuesday"/>
    <n v="6"/>
    <n v="9.1300000000000008"/>
    <x v="0"/>
    <x v="11"/>
    <s v="Female"/>
    <n v="66.7"/>
    <n v="159.5"/>
    <n v="25.1"/>
    <n v="14"/>
    <s v="IL"/>
    <n v="3"/>
    <n v="1804.7"/>
    <s v="Middle"/>
    <n v="1"/>
    <s v="Single-Day"/>
    <n v="1"/>
    <n v="1"/>
    <s v="Main Entrance"/>
    <s v="None/Walked from Resort"/>
    <n v="9.6"/>
    <n v="16"/>
    <x v="2269"/>
  </r>
  <r>
    <n v="2389"/>
    <n v="784"/>
    <d v="2026-06-16T00:00:00"/>
    <s v="Tuesday"/>
    <n v="6"/>
    <n v="9.07"/>
    <x v="0"/>
    <x v="13"/>
    <s v="Female"/>
    <n v="71.599999999999994"/>
    <n v="163.4"/>
    <n v="22.5"/>
    <n v="18"/>
    <s v="IL"/>
    <n v="3"/>
    <n v="1804.7"/>
    <s v="Middle"/>
    <n v="1"/>
    <s v="Single-Day"/>
    <n v="1"/>
    <n v="1"/>
    <s v="Main Entrance"/>
    <s v="None/Walked from Resort"/>
    <n v="9.4"/>
    <n v="3"/>
    <x v="2270"/>
  </r>
  <r>
    <n v="2390"/>
    <n v="785"/>
    <d v="2026-07-19T00:00:00"/>
    <s v="Sunday"/>
    <n v="7"/>
    <n v="9.48"/>
    <x v="0"/>
    <x v="67"/>
    <s v="Female"/>
    <n v="59.3"/>
    <n v="144.19999999999999"/>
    <n v="28.7"/>
    <n v="9"/>
    <s v="WA"/>
    <n v="1"/>
    <n v="1555"/>
    <s v="Low"/>
    <n v="1"/>
    <s v="Multi-Day"/>
    <n v="1"/>
    <n v="0"/>
    <s v="Main Entrance"/>
    <s v="Toy Story Lot"/>
    <n v="8.1999999999999993"/>
    <n v="11"/>
    <x v="2271"/>
  </r>
  <r>
    <n v="2391"/>
    <n v="786"/>
    <d v="2026-06-29T00:00:00"/>
    <s v="Monday"/>
    <n v="6"/>
    <n v="9.23"/>
    <x v="0"/>
    <x v="61"/>
    <s v="Male"/>
    <n v="70"/>
    <n v="128.30000000000001"/>
    <n v="18.100000000000001"/>
    <n v="18"/>
    <s v="CA"/>
    <n v="3"/>
    <n v="89.3"/>
    <s v="High"/>
    <n v="1"/>
    <s v="Single-Day"/>
    <n v="1"/>
    <n v="0"/>
    <s v="Downtown Disney Gate"/>
    <s v="Pixar Pals"/>
    <n v="9.5"/>
    <n v="9"/>
    <x v="2272"/>
  </r>
  <r>
    <n v="2392"/>
    <n v="786"/>
    <d v="2026-06-29T00:00:00"/>
    <s v="Monday"/>
    <n v="6"/>
    <n v="9.14"/>
    <x v="0"/>
    <x v="24"/>
    <s v="Female"/>
    <n v="66.599999999999994"/>
    <n v="205.1"/>
    <n v="32.799999999999997"/>
    <n v="18"/>
    <s v="CA"/>
    <n v="3"/>
    <n v="89.3"/>
    <s v="High"/>
    <n v="1"/>
    <s v="Single-Day"/>
    <n v="1"/>
    <n v="0"/>
    <s v="Downtown Disney Gate"/>
    <s v="Pixar Pals"/>
    <n v="8.1"/>
    <n v="6"/>
    <x v="2273"/>
  </r>
  <r>
    <n v="2393"/>
    <n v="786"/>
    <d v="2026-06-29T00:00:00"/>
    <s v="Monday"/>
    <n v="6"/>
    <n v="9.08"/>
    <x v="0"/>
    <x v="31"/>
    <s v="Male"/>
    <n v="74.900000000000006"/>
    <n v="235.4"/>
    <n v="29.4"/>
    <n v="17"/>
    <s v="CA"/>
    <n v="3"/>
    <n v="89.3"/>
    <s v="High"/>
    <n v="1"/>
    <s v="Single-Day"/>
    <n v="1"/>
    <n v="0"/>
    <s v="Downtown Disney Gate"/>
    <s v="Pixar Pals"/>
    <n v="7.2"/>
    <n v="9"/>
    <x v="2274"/>
  </r>
  <r>
    <n v="2394"/>
    <n v="787"/>
    <d v="2026-09-21T00:00:00"/>
    <s v="Monday"/>
    <n v="9"/>
    <n v="11.36"/>
    <x v="1"/>
    <x v="22"/>
    <s v="Male"/>
    <n v="62.9"/>
    <n v="101.5"/>
    <n v="18.100000000000001"/>
    <n v="15"/>
    <s v="NV"/>
    <n v="4"/>
    <n v="248.6"/>
    <s v="High"/>
    <n v="0"/>
    <s v="Multi-Day"/>
    <n v="1"/>
    <n v="0"/>
    <s v="Main Entrance"/>
    <s v="Mickey &amp; Friends"/>
    <n v="8.1999999999999993"/>
    <n v="9"/>
    <x v="2275"/>
  </r>
  <r>
    <n v="2395"/>
    <n v="787"/>
    <d v="2026-09-21T00:00:00"/>
    <s v="Monday"/>
    <n v="9"/>
    <n v="11.26"/>
    <x v="1"/>
    <x v="2"/>
    <s v="Female"/>
    <n v="63.8"/>
    <n v="150.80000000000001"/>
    <n v="25.8"/>
    <n v="15"/>
    <s v="NV"/>
    <n v="4"/>
    <n v="248.6"/>
    <s v="High"/>
    <n v="0"/>
    <s v="Multi-Day"/>
    <n v="1"/>
    <n v="0"/>
    <s v="Main Entrance"/>
    <s v="Mickey &amp; Friends"/>
    <n v="10.8"/>
    <n v="7"/>
    <x v="2276"/>
  </r>
  <r>
    <n v="2396"/>
    <n v="787"/>
    <d v="2026-09-21T00:00:00"/>
    <s v="Monday"/>
    <n v="9"/>
    <n v="11.26"/>
    <x v="1"/>
    <x v="41"/>
    <s v="Female"/>
    <n v="65.2"/>
    <n v="169.4"/>
    <n v="28.1"/>
    <n v="18"/>
    <s v="NV"/>
    <n v="4"/>
    <n v="248.6"/>
    <s v="High"/>
    <n v="0"/>
    <s v="Multi-Day"/>
    <n v="1"/>
    <n v="0"/>
    <s v="Main Entrance"/>
    <s v="Mickey &amp; Friends"/>
    <n v="8.6"/>
    <n v="5"/>
    <x v="2277"/>
  </r>
  <r>
    <n v="2397"/>
    <n v="787"/>
    <d v="2026-09-21T00:00:00"/>
    <s v="Monday"/>
    <n v="9"/>
    <n v="11.25"/>
    <x v="1"/>
    <x v="26"/>
    <s v="Female"/>
    <n v="62.1"/>
    <n v="169.3"/>
    <n v="30.6"/>
    <n v="19"/>
    <s v="NV"/>
    <n v="4"/>
    <n v="248.6"/>
    <s v="High"/>
    <n v="0"/>
    <s v="Multi-Day"/>
    <n v="1"/>
    <n v="0"/>
    <s v="Main Entrance"/>
    <s v="Mickey &amp; Friends"/>
    <n v="10.1"/>
    <n v="13"/>
    <x v="2278"/>
  </r>
  <r>
    <n v="2398"/>
    <n v="788"/>
    <d v="2026-11-02T00:00:00"/>
    <s v="Monday"/>
    <n v="11"/>
    <n v="10.41"/>
    <x v="0"/>
    <x v="40"/>
    <s v="Female"/>
    <n v="70"/>
    <n v="126"/>
    <n v="18.3"/>
    <n v="17"/>
    <s v="AZ"/>
    <n v="2"/>
    <n v="212.3"/>
    <s v="Middle"/>
    <n v="1"/>
    <s v="Single-Day"/>
    <n v="0"/>
    <n v="0"/>
    <s v="Main Entrance"/>
    <s v="Mickey &amp; Friends"/>
    <n v="8.9"/>
    <n v="6"/>
    <x v="2279"/>
  </r>
  <r>
    <n v="2399"/>
    <n v="788"/>
    <d v="2026-11-02T00:00:00"/>
    <s v="Monday"/>
    <n v="11"/>
    <n v="10.31"/>
    <x v="0"/>
    <x v="28"/>
    <s v="Male"/>
    <n v="70.900000000000006"/>
    <n v="189.7"/>
    <n v="26.2"/>
    <n v="15"/>
    <s v="AZ"/>
    <n v="2"/>
    <n v="212.3"/>
    <s v="Middle"/>
    <n v="1"/>
    <s v="Single-Day"/>
    <n v="0"/>
    <n v="0"/>
    <s v="Main Entrance"/>
    <s v="Mickey &amp; Friends"/>
    <n v="6.3"/>
    <n v="6"/>
    <x v="2280"/>
  </r>
  <r>
    <n v="2400"/>
    <n v="789"/>
    <d v="2026-05-21T00:00:00"/>
    <s v="Thursday"/>
    <n v="5"/>
    <n v="9.2100000000000009"/>
    <x v="0"/>
    <x v="12"/>
    <s v="Male"/>
    <n v="60.9"/>
    <n v="109.1"/>
    <n v="20.5"/>
    <n v="9"/>
    <s v="AZ"/>
    <n v="2"/>
    <n v="345.9"/>
    <s v="Low"/>
    <n v="1"/>
    <s v="Park Hopper"/>
    <n v="0"/>
    <n v="0"/>
    <s v="Main Entrance"/>
    <s v="None/Dropoff/Transit"/>
    <n v="9.8000000000000007"/>
    <n v="8"/>
    <x v="2281"/>
  </r>
  <r>
    <n v="2401"/>
    <n v="789"/>
    <d v="2026-05-21T00:00:00"/>
    <s v="Thursday"/>
    <n v="5"/>
    <n v="9.19"/>
    <x v="0"/>
    <x v="38"/>
    <s v="Female"/>
    <n v="62.4"/>
    <n v="150.1"/>
    <n v="27.1"/>
    <n v="14"/>
    <s v="AZ"/>
    <n v="2"/>
    <n v="345.9"/>
    <s v="Low"/>
    <n v="1"/>
    <s v="Park Hopper"/>
    <n v="0"/>
    <n v="0"/>
    <s v="Main Entrance"/>
    <s v="None/Dropoff/Transit"/>
    <n v="6.5"/>
    <n v="6"/>
    <x v="2282"/>
  </r>
  <r>
    <n v="2402"/>
    <n v="790"/>
    <d v="2026-03-17T00:00:00"/>
    <s v="Tuesday"/>
    <n v="3"/>
    <n v="10.220000000000001"/>
    <x v="0"/>
    <x v="11"/>
    <s v="Male"/>
    <n v="68.599999999999994"/>
    <n v="140.4"/>
    <n v="21"/>
    <n v="15"/>
    <s v="UT"/>
    <n v="4"/>
    <n v="645.70000000000005"/>
    <s v="Middle"/>
    <n v="0"/>
    <s v="Single-Day"/>
    <n v="0"/>
    <n v="0"/>
    <s v="Main Entrance"/>
    <s v="Toy Story Lot"/>
    <n v="7.2"/>
    <n v="7"/>
    <x v="1567"/>
  </r>
  <r>
    <n v="2403"/>
    <n v="790"/>
    <d v="2026-03-17T00:00:00"/>
    <s v="Tuesday"/>
    <n v="3"/>
    <n v="10.17"/>
    <x v="0"/>
    <x v="43"/>
    <s v="Female"/>
    <n v="62.1"/>
    <n v="148"/>
    <n v="26.9"/>
    <n v="18"/>
    <s v="UT"/>
    <n v="4"/>
    <n v="645.70000000000005"/>
    <s v="Middle"/>
    <n v="0"/>
    <s v="Single-Day"/>
    <n v="0"/>
    <n v="0"/>
    <s v="Main Entrance"/>
    <s v="Toy Story Lot"/>
    <n v="8.3000000000000007"/>
    <n v="13"/>
    <x v="2283"/>
  </r>
  <r>
    <n v="2404"/>
    <n v="790"/>
    <d v="2026-03-17T00:00:00"/>
    <s v="Tuesday"/>
    <n v="3"/>
    <n v="10.25"/>
    <x v="0"/>
    <x v="45"/>
    <s v="Female"/>
    <n v="61.4"/>
    <n v="150.1"/>
    <n v="28.1"/>
    <n v="17"/>
    <s v="UT"/>
    <n v="4"/>
    <n v="645.70000000000005"/>
    <s v="Middle"/>
    <n v="0"/>
    <s v="Single-Day"/>
    <n v="0"/>
    <n v="0"/>
    <s v="Main Entrance"/>
    <s v="Toy Story Lot"/>
    <n v="7.2"/>
    <n v="6"/>
    <x v="2024"/>
  </r>
  <r>
    <n v="2405"/>
    <n v="790"/>
    <d v="2026-03-17T00:00:00"/>
    <s v="Tuesday"/>
    <n v="3"/>
    <n v="10.17"/>
    <x v="0"/>
    <x v="78"/>
    <s v="Female"/>
    <n v="70"/>
    <n v="141.4"/>
    <n v="20"/>
    <n v="17"/>
    <s v="UT"/>
    <n v="4"/>
    <n v="645.70000000000005"/>
    <s v="Middle"/>
    <n v="0"/>
    <s v="Single-Day"/>
    <n v="0"/>
    <n v="0"/>
    <s v="Main Entrance"/>
    <s v="Toy Story Lot"/>
    <n v="9.6999999999999993"/>
    <n v="1"/>
    <x v="1680"/>
  </r>
  <r>
    <n v="2406"/>
    <n v="791"/>
    <d v="2026-07-21T00:00:00"/>
    <s v="Tuesday"/>
    <n v="7"/>
    <n v="9.99"/>
    <x v="0"/>
    <x v="55"/>
    <s v="Female"/>
    <n v="62.6"/>
    <n v="136.1"/>
    <n v="24.4"/>
    <n v="18"/>
    <s v="Other"/>
    <n v="4"/>
    <n v="1820.3"/>
    <s v="High"/>
    <n v="0"/>
    <s v="Park Hopper"/>
    <n v="1"/>
    <n v="1"/>
    <s v="Main Entrance"/>
    <s v="None/Walked from Resort"/>
    <n v="12"/>
    <n v="13"/>
    <x v="2284"/>
  </r>
  <r>
    <n v="2407"/>
    <n v="791"/>
    <d v="2026-07-21T00:00:00"/>
    <s v="Tuesday"/>
    <n v="7"/>
    <n v="9.91"/>
    <x v="0"/>
    <x v="3"/>
    <s v="Male"/>
    <n v="66"/>
    <n v="176.7"/>
    <n v="28.5"/>
    <n v="15"/>
    <s v="Other"/>
    <n v="4"/>
    <n v="1820.3"/>
    <s v="High"/>
    <n v="0"/>
    <s v="Park Hopper"/>
    <n v="1"/>
    <n v="1"/>
    <s v="Main Entrance"/>
    <s v="None/Walked from Resort"/>
    <n v="8.5"/>
    <n v="10"/>
    <x v="2285"/>
  </r>
  <r>
    <n v="2408"/>
    <n v="791"/>
    <d v="2026-07-21T00:00:00"/>
    <s v="Tuesday"/>
    <n v="7"/>
    <n v="9.73"/>
    <x v="0"/>
    <x v="65"/>
    <s v="Male"/>
    <n v="73.7"/>
    <n v="210.7"/>
    <n v="26.9"/>
    <n v="17"/>
    <s v="Other"/>
    <n v="4"/>
    <n v="1820.3"/>
    <s v="High"/>
    <n v="0"/>
    <s v="Park Hopper"/>
    <n v="1"/>
    <n v="1"/>
    <s v="Main Entrance"/>
    <s v="None/Walked from Resort"/>
    <n v="7.5"/>
    <n v="5"/>
    <x v="2286"/>
  </r>
  <r>
    <n v="2409"/>
    <n v="791"/>
    <d v="2026-07-21T00:00:00"/>
    <s v="Tuesday"/>
    <n v="7"/>
    <n v="9.9700000000000006"/>
    <x v="0"/>
    <x v="51"/>
    <s v="Female"/>
    <n v="63.4"/>
    <n v="145"/>
    <n v="25.6"/>
    <n v="17"/>
    <s v="Other"/>
    <n v="4"/>
    <n v="1820.3"/>
    <s v="High"/>
    <n v="0"/>
    <s v="Park Hopper"/>
    <n v="1"/>
    <n v="1"/>
    <s v="Main Entrance"/>
    <s v="None/Walked from Resort"/>
    <n v="8.3000000000000007"/>
    <n v="0"/>
    <x v="2287"/>
  </r>
  <r>
    <n v="2410"/>
    <n v="792"/>
    <d v="2026-10-27T00:00:00"/>
    <s v="Tuesday"/>
    <n v="10"/>
    <n v="8"/>
    <x v="0"/>
    <x v="6"/>
    <s v="Male"/>
    <n v="67.5"/>
    <n v="198.7"/>
    <n v="30.7"/>
    <n v="15"/>
    <s v="NV"/>
    <n v="2"/>
    <n v="341"/>
    <s v="Middle"/>
    <n v="1"/>
    <s v="Park Hopper"/>
    <n v="0"/>
    <n v="0"/>
    <s v="Main Entrance"/>
    <s v="Toy Story Lot"/>
    <n v="7.2"/>
    <n v="7"/>
    <x v="2288"/>
  </r>
  <r>
    <n v="2411"/>
    <n v="792"/>
    <d v="2026-10-27T00:00:00"/>
    <s v="Tuesday"/>
    <n v="10"/>
    <n v="8.17"/>
    <x v="0"/>
    <x v="17"/>
    <s v="Male"/>
    <n v="68.400000000000006"/>
    <n v="196.6"/>
    <n v="29.8"/>
    <n v="15"/>
    <s v="NV"/>
    <n v="2"/>
    <n v="341"/>
    <s v="Middle"/>
    <n v="1"/>
    <s v="Park Hopper"/>
    <n v="0"/>
    <n v="0"/>
    <s v="Main Entrance"/>
    <s v="Toy Story Lot"/>
    <n v="10"/>
    <n v="13"/>
    <x v="2289"/>
  </r>
  <r>
    <n v="2412"/>
    <n v="793"/>
    <d v="2026-11-13T00:00:00"/>
    <s v="Friday"/>
    <n v="11"/>
    <n v="9.69"/>
    <x v="0"/>
    <x v="9"/>
    <s v="Female"/>
    <n v="67.099999999999994"/>
    <n v="129.1"/>
    <n v="20.100000000000001"/>
    <n v="17"/>
    <s v="NV"/>
    <n v="3"/>
    <n v="257.3"/>
    <s v="High"/>
    <n v="0"/>
    <s v="Single-Day"/>
    <n v="1"/>
    <n v="1"/>
    <s v="Hotel Guest Entrance"/>
    <s v="None/Walked from Resort"/>
    <n v="9.8000000000000007"/>
    <n v="12"/>
    <x v="918"/>
  </r>
  <r>
    <n v="2413"/>
    <n v="793"/>
    <d v="2026-11-13T00:00:00"/>
    <s v="Friday"/>
    <n v="11"/>
    <n v="9.66"/>
    <x v="0"/>
    <x v="62"/>
    <s v="Female"/>
    <n v="67.2"/>
    <n v="149.69999999999999"/>
    <n v="23.2"/>
    <n v="18"/>
    <s v="NV"/>
    <n v="3"/>
    <n v="257.3"/>
    <s v="High"/>
    <n v="0"/>
    <s v="Single-Day"/>
    <n v="1"/>
    <n v="1"/>
    <s v="Hotel Guest Entrance"/>
    <s v="None/Walked from Resort"/>
    <n v="8.9"/>
    <n v="13"/>
    <x v="2290"/>
  </r>
  <r>
    <n v="2414"/>
    <n v="793"/>
    <d v="2026-11-13T00:00:00"/>
    <s v="Friday"/>
    <n v="11"/>
    <n v="9.94"/>
    <x v="0"/>
    <x v="56"/>
    <s v="Female"/>
    <n v="65.7"/>
    <n v="123.4"/>
    <n v="20.2"/>
    <n v="16"/>
    <s v="NV"/>
    <n v="3"/>
    <n v="257.3"/>
    <s v="High"/>
    <n v="0"/>
    <s v="Single-Day"/>
    <n v="1"/>
    <n v="1"/>
    <s v="Hotel Guest Entrance"/>
    <s v="None/Walked from Resort"/>
    <n v="8"/>
    <n v="14"/>
    <x v="2291"/>
  </r>
  <r>
    <n v="2415"/>
    <n v="794"/>
    <d v="2026-01-10T00:00:00"/>
    <s v="Saturday"/>
    <n v="1"/>
    <n v="11.26"/>
    <x v="1"/>
    <x v="42"/>
    <s v="Female"/>
    <n v="60.8"/>
    <n v="168.7"/>
    <n v="32.200000000000003"/>
    <n v="16"/>
    <s v="NV"/>
    <n v="6"/>
    <n v="221.8"/>
    <s v="Low"/>
    <n v="0"/>
    <s v="Single-Day"/>
    <n v="0"/>
    <n v="0"/>
    <s v="Main Entrance"/>
    <s v="Pixar Pals"/>
    <n v="7.4"/>
    <n v="4"/>
    <x v="2292"/>
  </r>
  <r>
    <n v="2416"/>
    <n v="794"/>
    <d v="2026-01-10T00:00:00"/>
    <s v="Saturday"/>
    <n v="1"/>
    <n v="11.58"/>
    <x v="1"/>
    <x v="19"/>
    <s v="Male"/>
    <n v="73"/>
    <n v="219.2"/>
    <n v="28.9"/>
    <n v="15"/>
    <s v="NV"/>
    <n v="6"/>
    <n v="221.8"/>
    <s v="Low"/>
    <n v="0"/>
    <s v="Single-Day"/>
    <n v="0"/>
    <n v="0"/>
    <s v="Main Entrance"/>
    <s v="Pixar Pals"/>
    <n v="5.8"/>
    <n v="5"/>
    <x v="2293"/>
  </r>
  <r>
    <n v="2417"/>
    <n v="794"/>
    <d v="2026-01-10T00:00:00"/>
    <s v="Saturday"/>
    <n v="1"/>
    <n v="11.33"/>
    <x v="1"/>
    <x v="25"/>
    <s v="Male"/>
    <n v="70.900000000000006"/>
    <n v="218.1"/>
    <n v="30.5"/>
    <n v="12"/>
    <s v="NV"/>
    <n v="6"/>
    <n v="221.8"/>
    <s v="Low"/>
    <n v="0"/>
    <s v="Single-Day"/>
    <n v="0"/>
    <n v="0"/>
    <s v="Main Entrance"/>
    <s v="Pixar Pals"/>
    <n v="7.8"/>
    <n v="5"/>
    <x v="234"/>
  </r>
  <r>
    <n v="2418"/>
    <n v="794"/>
    <d v="2026-01-10T00:00:00"/>
    <s v="Saturday"/>
    <n v="1"/>
    <n v="11.47"/>
    <x v="1"/>
    <x v="69"/>
    <s v="Female"/>
    <n v="67.5"/>
    <n v="184.4"/>
    <n v="28.3"/>
    <n v="11"/>
    <s v="NV"/>
    <n v="6"/>
    <n v="221.8"/>
    <s v="Low"/>
    <n v="0"/>
    <s v="Single-Day"/>
    <n v="0"/>
    <n v="0"/>
    <s v="Main Entrance"/>
    <s v="Pixar Pals"/>
    <n v="6.9"/>
    <n v="6"/>
    <x v="2294"/>
  </r>
  <r>
    <n v="2419"/>
    <n v="794"/>
    <d v="2026-01-10T00:00:00"/>
    <s v="Saturday"/>
    <n v="1"/>
    <n v="11.31"/>
    <x v="1"/>
    <x v="50"/>
    <s v="Male"/>
    <n v="66.8"/>
    <n v="154.6"/>
    <n v="24.5"/>
    <n v="8"/>
    <s v="NV"/>
    <n v="6"/>
    <n v="221.8"/>
    <s v="Low"/>
    <n v="0"/>
    <s v="Single-Day"/>
    <n v="0"/>
    <n v="0"/>
    <s v="Main Entrance"/>
    <s v="Pixar Pals"/>
    <n v="4.9000000000000004"/>
    <n v="6"/>
    <x v="2295"/>
  </r>
  <r>
    <n v="2420"/>
    <n v="794"/>
    <d v="2026-01-10T00:00:00"/>
    <s v="Saturday"/>
    <n v="1"/>
    <n v="11.45"/>
    <x v="1"/>
    <x v="69"/>
    <s v="Female"/>
    <n v="60.5"/>
    <n v="134.5"/>
    <n v="25.7"/>
    <n v="14"/>
    <s v="NV"/>
    <n v="6"/>
    <n v="221.8"/>
    <s v="Low"/>
    <n v="0"/>
    <s v="Single-Day"/>
    <n v="0"/>
    <n v="0"/>
    <s v="Main Entrance"/>
    <s v="Pixar Pals"/>
    <n v="7.4"/>
    <n v="9"/>
    <x v="2296"/>
  </r>
  <r>
    <n v="2421"/>
    <n v="795"/>
    <d v="2026-09-20T00:00:00"/>
    <s v="Sunday"/>
    <n v="9"/>
    <n v="11.98"/>
    <x v="1"/>
    <x v="53"/>
    <s v="Male"/>
    <n v="54.1"/>
    <n v="59.4"/>
    <n v="14.3"/>
    <n v="10"/>
    <s v="NY"/>
    <n v="2"/>
    <n v="2806.2"/>
    <s v="Middle"/>
    <n v="0"/>
    <s v="Single-Day"/>
    <n v="0"/>
    <n v="0"/>
    <s v="Main Entrance"/>
    <s v="Pixar Pals"/>
    <n v="8.1"/>
    <n v="9"/>
    <x v="2297"/>
  </r>
  <r>
    <n v="2422"/>
    <n v="795"/>
    <d v="2026-09-20T00:00:00"/>
    <s v="Sunday"/>
    <n v="9"/>
    <n v="12.06"/>
    <x v="1"/>
    <x v="0"/>
    <s v="Female"/>
    <n v="61.7"/>
    <n v="148.19999999999999"/>
    <n v="27"/>
    <n v="17"/>
    <s v="NY"/>
    <n v="2"/>
    <n v="2806.2"/>
    <s v="Middle"/>
    <n v="0"/>
    <s v="Single-Day"/>
    <n v="0"/>
    <n v="0"/>
    <s v="Main Entrance"/>
    <s v="Pixar Pals"/>
    <n v="10.3"/>
    <n v="11"/>
    <x v="2298"/>
  </r>
  <r>
    <n v="2423"/>
    <n v="796"/>
    <d v="2026-06-29T00:00:00"/>
    <s v="Monday"/>
    <n v="6"/>
    <n v="11.27"/>
    <x v="1"/>
    <x v="11"/>
    <s v="Female"/>
    <n v="59.8"/>
    <n v="85.3"/>
    <n v="16.8"/>
    <n v="15"/>
    <s v="CA"/>
    <n v="4"/>
    <n v="165.8"/>
    <s v="Middle"/>
    <n v="0"/>
    <s v="Park Hopper"/>
    <n v="0"/>
    <n v="0"/>
    <s v="Main Entrance"/>
    <s v="Mickey &amp; Friends"/>
    <n v="7.1"/>
    <n v="14"/>
    <x v="2299"/>
  </r>
  <r>
    <n v="2424"/>
    <n v="796"/>
    <d v="2026-06-29T00:00:00"/>
    <s v="Monday"/>
    <n v="6"/>
    <n v="11.15"/>
    <x v="1"/>
    <x v="65"/>
    <s v="Female"/>
    <n v="66.099999999999994"/>
    <n v="96.1"/>
    <n v="15.3"/>
    <n v="14"/>
    <s v="CA"/>
    <n v="4"/>
    <n v="165.8"/>
    <s v="Middle"/>
    <n v="0"/>
    <s v="Park Hopper"/>
    <n v="0"/>
    <n v="0"/>
    <s v="Main Entrance"/>
    <s v="Mickey &amp; Friends"/>
    <n v="9.6999999999999993"/>
    <n v="6"/>
    <x v="532"/>
  </r>
  <r>
    <n v="2425"/>
    <n v="796"/>
    <d v="2026-06-29T00:00:00"/>
    <s v="Monday"/>
    <n v="6"/>
    <n v="11.39"/>
    <x v="1"/>
    <x v="38"/>
    <s v="Female"/>
    <n v="68.7"/>
    <n v="158"/>
    <n v="23.4"/>
    <n v="13"/>
    <s v="CA"/>
    <n v="4"/>
    <n v="165.8"/>
    <s v="Middle"/>
    <n v="0"/>
    <s v="Park Hopper"/>
    <n v="0"/>
    <n v="0"/>
    <s v="Main Entrance"/>
    <s v="Mickey &amp; Friends"/>
    <n v="7.7"/>
    <n v="12"/>
    <x v="2300"/>
  </r>
  <r>
    <n v="2426"/>
    <n v="796"/>
    <d v="2026-06-29T00:00:00"/>
    <s v="Monday"/>
    <n v="6"/>
    <n v="11.22"/>
    <x v="1"/>
    <x v="2"/>
    <s v="Male"/>
    <n v="70.2"/>
    <n v="218"/>
    <n v="31.1"/>
    <n v="14"/>
    <s v="CA"/>
    <n v="4"/>
    <n v="165.8"/>
    <s v="Middle"/>
    <n v="0"/>
    <s v="Park Hopper"/>
    <n v="0"/>
    <n v="0"/>
    <s v="Main Entrance"/>
    <s v="Mickey &amp; Friends"/>
    <n v="8.1"/>
    <n v="7"/>
    <x v="2301"/>
  </r>
  <r>
    <n v="2427"/>
    <n v="797"/>
    <d v="2026-06-09T00:00:00"/>
    <s v="Tuesday"/>
    <n v="6"/>
    <n v="9.25"/>
    <x v="0"/>
    <x v="17"/>
    <s v="Female"/>
    <n v="66.3"/>
    <n v="136.5"/>
    <n v="21.8"/>
    <n v="14"/>
    <s v="CA"/>
    <n v="3"/>
    <n v="124.6"/>
    <s v="Low"/>
    <n v="0"/>
    <s v="Single-Day"/>
    <n v="1"/>
    <n v="0"/>
    <s v="Main Entrance"/>
    <s v="Toy Story Lot"/>
    <n v="6.3"/>
    <n v="4"/>
    <x v="2302"/>
  </r>
  <r>
    <n v="2428"/>
    <n v="797"/>
    <d v="2026-06-09T00:00:00"/>
    <s v="Tuesday"/>
    <n v="6"/>
    <n v="9.42"/>
    <x v="0"/>
    <x v="71"/>
    <s v="Female"/>
    <n v="69.2"/>
    <n v="220"/>
    <n v="32.200000000000003"/>
    <n v="15"/>
    <s v="CA"/>
    <n v="3"/>
    <n v="124.6"/>
    <s v="Low"/>
    <n v="0"/>
    <s v="Single-Day"/>
    <n v="1"/>
    <n v="0"/>
    <s v="Main Entrance"/>
    <s v="Toy Story Lot"/>
    <n v="7.3"/>
    <n v="13"/>
    <x v="2303"/>
  </r>
  <r>
    <n v="2429"/>
    <n v="797"/>
    <d v="2026-06-09T00:00:00"/>
    <s v="Tuesday"/>
    <n v="6"/>
    <n v="9.11"/>
    <x v="0"/>
    <x v="56"/>
    <s v="Female"/>
    <n v="65.7"/>
    <n v="147.5"/>
    <n v="24.1"/>
    <n v="10"/>
    <s v="CA"/>
    <n v="3"/>
    <n v="124.6"/>
    <s v="Low"/>
    <n v="0"/>
    <s v="Single-Day"/>
    <n v="1"/>
    <n v="0"/>
    <s v="Main Entrance"/>
    <s v="Toy Story Lot"/>
    <n v="7.5"/>
    <n v="9"/>
    <x v="2304"/>
  </r>
  <r>
    <n v="2430"/>
    <n v="798"/>
    <d v="2026-06-23T00:00:00"/>
    <s v="Tuesday"/>
    <n v="6"/>
    <n v="12.48"/>
    <x v="1"/>
    <x v="16"/>
    <s v="Female"/>
    <n v="54.2"/>
    <n v="76.5"/>
    <n v="18.399999999999999"/>
    <n v="11"/>
    <s v="UT"/>
    <n v="1"/>
    <n v="586.6"/>
    <s v="Low"/>
    <n v="0"/>
    <s v="Single-Day"/>
    <n v="1"/>
    <n v="0"/>
    <s v="Main Entrance"/>
    <s v="None/Dropoff/Transit"/>
    <n v="5.4"/>
    <n v="7"/>
    <x v="2305"/>
  </r>
  <r>
    <n v="2431"/>
    <n v="799"/>
    <d v="2026-07-17T00:00:00"/>
    <s v="Friday"/>
    <n v="7"/>
    <n v="7"/>
    <x v="0"/>
    <x v="56"/>
    <s v="Female"/>
    <n v="67.2"/>
    <n v="189"/>
    <n v="29.2"/>
    <n v="15"/>
    <s v="TX"/>
    <n v="5"/>
    <n v="1971.6"/>
    <s v="High"/>
    <n v="0"/>
    <s v="Single-Day"/>
    <n v="0"/>
    <n v="0"/>
    <s v="Downtown Disney Gate"/>
    <s v="None/Dropoff/Transit"/>
    <n v="8"/>
    <n v="8"/>
    <x v="2306"/>
  </r>
  <r>
    <n v="2432"/>
    <n v="799"/>
    <d v="2026-07-17T00:00:00"/>
    <s v="Friday"/>
    <n v="7"/>
    <n v="7"/>
    <x v="0"/>
    <x v="27"/>
    <s v="Male"/>
    <n v="68.2"/>
    <n v="152.5"/>
    <n v="23.1"/>
    <n v="20"/>
    <s v="TX"/>
    <n v="5"/>
    <n v="1971.6"/>
    <s v="High"/>
    <n v="0"/>
    <s v="Single-Day"/>
    <n v="0"/>
    <n v="0"/>
    <s v="Downtown Disney Gate"/>
    <s v="None/Dropoff/Transit"/>
    <n v="9.1999999999999993"/>
    <n v="7"/>
    <x v="2307"/>
  </r>
  <r>
    <n v="2433"/>
    <n v="799"/>
    <d v="2026-07-17T00:00:00"/>
    <s v="Friday"/>
    <n v="7"/>
    <n v="7.05"/>
    <x v="0"/>
    <x v="36"/>
    <s v="Female"/>
    <n v="58.5"/>
    <n v="135.30000000000001"/>
    <n v="27.8"/>
    <n v="18"/>
    <s v="TX"/>
    <n v="5"/>
    <n v="1971.6"/>
    <s v="High"/>
    <n v="0"/>
    <s v="Single-Day"/>
    <n v="0"/>
    <n v="0"/>
    <s v="Downtown Disney Gate"/>
    <s v="None/Dropoff/Transit"/>
    <n v="11.4"/>
    <n v="10"/>
    <x v="2308"/>
  </r>
  <r>
    <n v="2434"/>
    <n v="799"/>
    <d v="2026-07-17T00:00:00"/>
    <s v="Friday"/>
    <n v="7"/>
    <n v="7.06"/>
    <x v="0"/>
    <x v="40"/>
    <s v="Female"/>
    <n v="63.8"/>
    <n v="95.2"/>
    <n v="16.399999999999999"/>
    <n v="13"/>
    <s v="TX"/>
    <n v="5"/>
    <n v="1971.6"/>
    <s v="High"/>
    <n v="0"/>
    <s v="Single-Day"/>
    <n v="0"/>
    <n v="0"/>
    <s v="Downtown Disney Gate"/>
    <s v="None/Dropoff/Transit"/>
    <n v="8.5"/>
    <n v="7"/>
    <x v="2309"/>
  </r>
  <r>
    <n v="2435"/>
    <n v="799"/>
    <d v="2026-07-17T00:00:00"/>
    <s v="Friday"/>
    <n v="7"/>
    <n v="7"/>
    <x v="0"/>
    <x v="1"/>
    <s v="Male"/>
    <n v="71.2"/>
    <n v="198.6"/>
    <n v="27.3"/>
    <n v="17"/>
    <s v="TX"/>
    <n v="5"/>
    <n v="1971.6"/>
    <s v="High"/>
    <n v="0"/>
    <s v="Single-Day"/>
    <n v="0"/>
    <n v="0"/>
    <s v="Downtown Disney Gate"/>
    <s v="None/Dropoff/Transit"/>
    <n v="8"/>
    <n v="6"/>
    <x v="2310"/>
  </r>
  <r>
    <n v="2436"/>
    <n v="800"/>
    <d v="2026-08-29T00:00:00"/>
    <s v="Saturday"/>
    <n v="8"/>
    <n v="7.29"/>
    <x v="0"/>
    <x v="14"/>
    <s v="Male"/>
    <n v="70.8"/>
    <n v="157.6"/>
    <n v="22"/>
    <n v="15"/>
    <s v="CA"/>
    <n v="2"/>
    <n v="90.7"/>
    <s v="Low"/>
    <n v="0"/>
    <s v="Multi-Day"/>
    <n v="0"/>
    <n v="0"/>
    <s v="Main Entrance"/>
    <s v="Mickey &amp; Friends"/>
    <n v="10.7"/>
    <n v="1"/>
    <x v="2311"/>
  </r>
  <r>
    <n v="2437"/>
    <n v="800"/>
    <d v="2026-08-29T00:00:00"/>
    <s v="Saturday"/>
    <n v="8"/>
    <n v="7.39"/>
    <x v="0"/>
    <x v="33"/>
    <s v="Female"/>
    <n v="65"/>
    <n v="170.6"/>
    <n v="28.5"/>
    <n v="14"/>
    <s v="CA"/>
    <n v="2"/>
    <n v="90.7"/>
    <s v="Low"/>
    <n v="0"/>
    <s v="Multi-Day"/>
    <n v="0"/>
    <n v="0"/>
    <s v="Main Entrance"/>
    <s v="Mickey &amp; Friends"/>
    <n v="7.3"/>
    <n v="4"/>
    <x v="2312"/>
  </r>
  <r>
    <n v="2438"/>
    <n v="801"/>
    <d v="2026-11-21T00:00:00"/>
    <s v="Saturday"/>
    <n v="11"/>
    <n v="8.73"/>
    <x v="0"/>
    <x v="35"/>
    <s v="Female"/>
    <n v="66"/>
    <n v="171.5"/>
    <n v="27.6"/>
    <n v="18"/>
    <s v="CA"/>
    <n v="4"/>
    <n v="95.2"/>
    <s v="Middle"/>
    <n v="1"/>
    <s v="Multi-Day"/>
    <n v="1"/>
    <n v="0"/>
    <s v="Main Entrance"/>
    <s v="Pixar Pals"/>
    <n v="10"/>
    <n v="9"/>
    <x v="2313"/>
  </r>
  <r>
    <n v="2439"/>
    <n v="801"/>
    <d v="2026-11-21T00:00:00"/>
    <s v="Saturday"/>
    <n v="11"/>
    <n v="8.61"/>
    <x v="0"/>
    <x v="38"/>
    <s v="Male"/>
    <n v="62.8"/>
    <n v="165.2"/>
    <n v="29.5"/>
    <n v="11"/>
    <s v="CA"/>
    <n v="4"/>
    <n v="95.2"/>
    <s v="Middle"/>
    <n v="1"/>
    <s v="Multi-Day"/>
    <n v="1"/>
    <n v="0"/>
    <s v="Main Entrance"/>
    <s v="Pixar Pals"/>
    <n v="8.1999999999999993"/>
    <n v="6"/>
    <x v="2314"/>
  </r>
  <r>
    <n v="2440"/>
    <n v="801"/>
    <d v="2026-11-21T00:00:00"/>
    <s v="Saturday"/>
    <n v="11"/>
    <n v="8.84"/>
    <x v="0"/>
    <x v="45"/>
    <s v="Male"/>
    <n v="69"/>
    <n v="162.1"/>
    <n v="23.9"/>
    <n v="19"/>
    <s v="CA"/>
    <n v="4"/>
    <n v="95.2"/>
    <s v="Middle"/>
    <n v="1"/>
    <s v="Multi-Day"/>
    <n v="1"/>
    <n v="0"/>
    <s v="Main Entrance"/>
    <s v="Pixar Pals"/>
    <n v="7.9"/>
    <n v="9"/>
    <x v="2315"/>
  </r>
  <r>
    <n v="2441"/>
    <n v="801"/>
    <d v="2026-11-21T00:00:00"/>
    <s v="Saturday"/>
    <n v="11"/>
    <n v="8.7200000000000006"/>
    <x v="0"/>
    <x v="23"/>
    <s v="Male"/>
    <n v="72.5"/>
    <n v="178.8"/>
    <n v="23.8"/>
    <n v="14"/>
    <s v="CA"/>
    <n v="4"/>
    <n v="95.2"/>
    <s v="Middle"/>
    <n v="1"/>
    <s v="Multi-Day"/>
    <n v="1"/>
    <n v="0"/>
    <s v="Main Entrance"/>
    <s v="Pixar Pals"/>
    <n v="9.6"/>
    <n v="16"/>
    <x v="2316"/>
  </r>
  <r>
    <n v="2442"/>
    <n v="802"/>
    <d v="2026-07-05T00:00:00"/>
    <s v="Sunday"/>
    <n v="7"/>
    <n v="8.56"/>
    <x v="0"/>
    <x v="48"/>
    <s v="Male"/>
    <n v="66.5"/>
    <n v="114"/>
    <n v="18.100000000000001"/>
    <n v="11"/>
    <s v="UT"/>
    <n v="4"/>
    <n v="757.2"/>
    <s v="Low"/>
    <n v="0"/>
    <s v="Single-Day"/>
    <n v="0"/>
    <n v="0"/>
    <s v="Main Entrance"/>
    <s v="Mickey &amp; Friends"/>
    <n v="10.4"/>
    <n v="9"/>
    <x v="159"/>
  </r>
  <r>
    <n v="2443"/>
    <n v="802"/>
    <d v="2026-07-05T00:00:00"/>
    <s v="Sunday"/>
    <n v="7"/>
    <n v="8.56"/>
    <x v="0"/>
    <x v="38"/>
    <s v="Male"/>
    <n v="65"/>
    <n v="173.4"/>
    <n v="28.8"/>
    <n v="7"/>
    <s v="UT"/>
    <n v="4"/>
    <n v="757.2"/>
    <s v="Low"/>
    <n v="0"/>
    <s v="Single-Day"/>
    <n v="0"/>
    <n v="0"/>
    <s v="Main Entrance"/>
    <s v="Mickey &amp; Friends"/>
    <n v="6.3"/>
    <n v="4"/>
    <x v="2317"/>
  </r>
  <r>
    <n v="2444"/>
    <n v="802"/>
    <d v="2026-07-05T00:00:00"/>
    <s v="Sunday"/>
    <n v="7"/>
    <n v="8.4499999999999993"/>
    <x v="0"/>
    <x v="27"/>
    <s v="Male"/>
    <n v="67.8"/>
    <n v="153.5"/>
    <n v="23.4"/>
    <n v="11"/>
    <s v="UT"/>
    <n v="4"/>
    <n v="757.2"/>
    <s v="Low"/>
    <n v="0"/>
    <s v="Single-Day"/>
    <n v="0"/>
    <n v="0"/>
    <s v="Main Entrance"/>
    <s v="Mickey &amp; Friends"/>
    <n v="4.5"/>
    <n v="6"/>
    <x v="2318"/>
  </r>
  <r>
    <n v="2445"/>
    <n v="802"/>
    <d v="2026-07-05T00:00:00"/>
    <s v="Sunday"/>
    <n v="7"/>
    <n v="8.34"/>
    <x v="0"/>
    <x v="45"/>
    <s v="Male"/>
    <n v="66.2"/>
    <n v="179.2"/>
    <n v="28.6"/>
    <n v="12"/>
    <s v="UT"/>
    <n v="4"/>
    <n v="757.2"/>
    <s v="Low"/>
    <n v="0"/>
    <s v="Single-Day"/>
    <n v="0"/>
    <n v="0"/>
    <s v="Main Entrance"/>
    <s v="Mickey &amp; Friends"/>
    <n v="8.6"/>
    <n v="11"/>
    <x v="21"/>
  </r>
  <r>
    <n v="2446"/>
    <n v="803"/>
    <d v="2026-04-29T00:00:00"/>
    <s v="Wednesday"/>
    <n v="4"/>
    <n v="10.11"/>
    <x v="0"/>
    <x v="27"/>
    <s v="Male"/>
    <n v="69.7"/>
    <n v="171.9"/>
    <n v="25"/>
    <n v="15"/>
    <s v="IA"/>
    <n v="4"/>
    <n v="1542.7"/>
    <s v="Middle"/>
    <n v="1"/>
    <s v="Park Hopper"/>
    <n v="0"/>
    <n v="0"/>
    <s v="Main Entrance"/>
    <s v="Toy Story Lot"/>
    <n v="9.4"/>
    <n v="10"/>
    <x v="2319"/>
  </r>
  <r>
    <n v="2447"/>
    <n v="803"/>
    <d v="2026-04-29T00:00:00"/>
    <s v="Wednesday"/>
    <n v="4"/>
    <n v="10.14"/>
    <x v="0"/>
    <x v="38"/>
    <s v="Female"/>
    <n v="64.900000000000006"/>
    <n v="192.5"/>
    <n v="32.1"/>
    <n v="9"/>
    <s v="IA"/>
    <n v="4"/>
    <n v="1542.7"/>
    <s v="Middle"/>
    <n v="1"/>
    <s v="Park Hopper"/>
    <n v="0"/>
    <n v="0"/>
    <s v="Main Entrance"/>
    <s v="Toy Story Lot"/>
    <n v="9"/>
    <n v="5"/>
    <x v="499"/>
  </r>
  <r>
    <n v="2448"/>
    <n v="803"/>
    <d v="2026-04-29T00:00:00"/>
    <s v="Wednesday"/>
    <n v="4"/>
    <n v="10.28"/>
    <x v="0"/>
    <x v="24"/>
    <s v="Male"/>
    <n v="69.7"/>
    <n v="210.4"/>
    <n v="30.3"/>
    <n v="21"/>
    <s v="IA"/>
    <n v="4"/>
    <n v="1542.7"/>
    <s v="Middle"/>
    <n v="1"/>
    <s v="Park Hopper"/>
    <n v="0"/>
    <n v="0"/>
    <s v="Main Entrance"/>
    <s v="Toy Story Lot"/>
    <n v="10.7"/>
    <n v="6"/>
    <x v="2320"/>
  </r>
  <r>
    <n v="2449"/>
    <n v="803"/>
    <d v="2026-04-29T00:00:00"/>
    <s v="Wednesday"/>
    <n v="4"/>
    <n v="10.17"/>
    <x v="0"/>
    <x v="23"/>
    <s v="Male"/>
    <n v="73.099999999999994"/>
    <n v="154.80000000000001"/>
    <n v="20.3"/>
    <n v="21"/>
    <s v="IA"/>
    <n v="4"/>
    <n v="1542.7"/>
    <s v="Middle"/>
    <n v="1"/>
    <s v="Park Hopper"/>
    <n v="0"/>
    <n v="0"/>
    <s v="Main Entrance"/>
    <s v="Toy Story Lot"/>
    <n v="9.1999999999999993"/>
    <n v="3"/>
    <x v="2321"/>
  </r>
  <r>
    <n v="2450"/>
    <n v="804"/>
    <d v="2026-02-08T00:00:00"/>
    <s v="Sunday"/>
    <n v="2"/>
    <n v="12.16"/>
    <x v="1"/>
    <x v="53"/>
    <s v="Female"/>
    <n v="53.3"/>
    <n v="70.7"/>
    <n v="17.8"/>
    <n v="11"/>
    <s v="CA"/>
    <n v="2"/>
    <n v="2"/>
    <s v="Middle"/>
    <n v="1"/>
    <s v="Multi-Day"/>
    <n v="1"/>
    <n v="1"/>
    <s v="Downtown Disney Gate"/>
    <s v="Mickey &amp; Friends"/>
    <n v="9.6"/>
    <n v="8"/>
    <x v="2322"/>
  </r>
  <r>
    <n v="2451"/>
    <n v="804"/>
    <d v="2026-02-08T00:00:00"/>
    <s v="Sunday"/>
    <n v="2"/>
    <n v="12.24"/>
    <x v="1"/>
    <x v="60"/>
    <s v="Male"/>
    <n v="70"/>
    <n v="121.8"/>
    <n v="17.3"/>
    <n v="12"/>
    <s v="CA"/>
    <n v="2"/>
    <n v="2"/>
    <s v="Middle"/>
    <n v="1"/>
    <s v="Multi-Day"/>
    <n v="1"/>
    <n v="1"/>
    <s v="Downtown Disney Gate"/>
    <s v="Mickey &amp; Friends"/>
    <n v="7.2"/>
    <n v="10"/>
    <x v="2323"/>
  </r>
  <r>
    <n v="2452"/>
    <n v="805"/>
    <d v="2026-01-25T00:00:00"/>
    <s v="Sunday"/>
    <n v="1"/>
    <n v="9.82"/>
    <x v="0"/>
    <x v="16"/>
    <s v="Female"/>
    <n v="60.5"/>
    <n v="121.3"/>
    <n v="23.6"/>
    <n v="14"/>
    <s v="OR"/>
    <n v="4"/>
    <n v="766.9"/>
    <s v="High"/>
    <n v="1"/>
    <s v="Park Hopper"/>
    <n v="0"/>
    <n v="0"/>
    <s v="Main Entrance"/>
    <s v="Mickey &amp; Friends"/>
    <n v="13.6"/>
    <n v="9"/>
    <x v="2324"/>
  </r>
  <r>
    <n v="2453"/>
    <n v="805"/>
    <d v="2026-01-25T00:00:00"/>
    <s v="Sunday"/>
    <n v="1"/>
    <n v="9.77"/>
    <x v="0"/>
    <x v="5"/>
    <s v="Female"/>
    <n v="60.9"/>
    <n v="150"/>
    <n v="28.7"/>
    <n v="16"/>
    <s v="OR"/>
    <n v="4"/>
    <n v="766.9"/>
    <s v="High"/>
    <n v="1"/>
    <s v="Park Hopper"/>
    <n v="0"/>
    <n v="0"/>
    <s v="Main Entrance"/>
    <s v="Mickey &amp; Friends"/>
    <n v="10.9"/>
    <n v="4"/>
    <x v="2325"/>
  </r>
  <r>
    <n v="2454"/>
    <n v="805"/>
    <d v="2026-01-25T00:00:00"/>
    <s v="Sunday"/>
    <n v="1"/>
    <n v="9.64"/>
    <x v="0"/>
    <x v="8"/>
    <s v="Male"/>
    <n v="66.099999999999994"/>
    <n v="135.69999999999999"/>
    <n v="22"/>
    <n v="16"/>
    <s v="OR"/>
    <n v="4"/>
    <n v="766.9"/>
    <s v="High"/>
    <n v="1"/>
    <s v="Park Hopper"/>
    <n v="0"/>
    <n v="0"/>
    <s v="Main Entrance"/>
    <s v="Mickey &amp; Friends"/>
    <n v="10"/>
    <n v="9"/>
    <x v="2326"/>
  </r>
  <r>
    <n v="2455"/>
    <n v="805"/>
    <d v="2026-01-25T00:00:00"/>
    <s v="Sunday"/>
    <n v="1"/>
    <n v="9.67"/>
    <x v="0"/>
    <x v="37"/>
    <s v="Male"/>
    <n v="70.099999999999994"/>
    <n v="160.9"/>
    <n v="23.2"/>
    <n v="17"/>
    <s v="OR"/>
    <n v="4"/>
    <n v="766.9"/>
    <s v="High"/>
    <n v="1"/>
    <s v="Park Hopper"/>
    <n v="0"/>
    <n v="0"/>
    <s v="Main Entrance"/>
    <s v="Mickey &amp; Friends"/>
    <n v="9.4"/>
    <n v="4"/>
    <x v="1684"/>
  </r>
  <r>
    <n v="2456"/>
    <n v="806"/>
    <d v="2026-04-07T00:00:00"/>
    <s v="Tuesday"/>
    <n v="4"/>
    <n v="10.73"/>
    <x v="0"/>
    <x v="43"/>
    <s v="Female"/>
    <n v="65.099999999999994"/>
    <n v="140.80000000000001"/>
    <n v="23.2"/>
    <n v="13"/>
    <s v="NV"/>
    <n v="3"/>
    <n v="351"/>
    <s v="Low"/>
    <n v="0"/>
    <s v="Single-Day"/>
    <n v="1"/>
    <n v="0"/>
    <s v="Main Entrance"/>
    <s v="None/Dropoff/Transit"/>
    <n v="7.3"/>
    <n v="11"/>
    <x v="2327"/>
  </r>
  <r>
    <n v="2457"/>
    <n v="806"/>
    <d v="2026-04-07T00:00:00"/>
    <s v="Tuesday"/>
    <n v="4"/>
    <n v="10.81"/>
    <x v="0"/>
    <x v="22"/>
    <s v="Female"/>
    <n v="60.2"/>
    <n v="96.1"/>
    <n v="18.7"/>
    <n v="12"/>
    <s v="NV"/>
    <n v="3"/>
    <n v="351"/>
    <s v="Low"/>
    <n v="0"/>
    <s v="Single-Day"/>
    <n v="1"/>
    <n v="0"/>
    <s v="Main Entrance"/>
    <s v="None/Dropoff/Transit"/>
    <n v="9.3000000000000007"/>
    <n v="5"/>
    <x v="2328"/>
  </r>
  <r>
    <n v="2458"/>
    <n v="806"/>
    <d v="2026-04-07T00:00:00"/>
    <s v="Tuesday"/>
    <n v="4"/>
    <n v="11.01"/>
    <x v="1"/>
    <x v="15"/>
    <s v="Female"/>
    <n v="61.3"/>
    <n v="155"/>
    <n v="29.3"/>
    <n v="13"/>
    <s v="NV"/>
    <n v="3"/>
    <n v="351"/>
    <s v="Low"/>
    <n v="0"/>
    <s v="Single-Day"/>
    <n v="1"/>
    <n v="0"/>
    <s v="Main Entrance"/>
    <s v="None/Dropoff/Transit"/>
    <n v="5.7"/>
    <n v="7"/>
    <x v="2329"/>
  </r>
  <r>
    <n v="2459"/>
    <n v="807"/>
    <d v="2026-02-28T00:00:00"/>
    <s v="Saturday"/>
    <n v="2"/>
    <n v="9.0399999999999991"/>
    <x v="0"/>
    <x v="70"/>
    <s v="Male"/>
    <n v="69.5"/>
    <n v="126"/>
    <n v="18.3"/>
    <n v="14"/>
    <s v="NV"/>
    <n v="2"/>
    <n v="192.3"/>
    <s v="High"/>
    <n v="1"/>
    <s v="Single-Day"/>
    <n v="0"/>
    <n v="0"/>
    <s v="Hotel Guest Entrance"/>
    <s v="Pixar Pals"/>
    <n v="10.4"/>
    <n v="12"/>
    <x v="2330"/>
  </r>
  <r>
    <n v="2460"/>
    <n v="807"/>
    <d v="2026-02-28T00:00:00"/>
    <s v="Saturday"/>
    <n v="2"/>
    <n v="8.98"/>
    <x v="0"/>
    <x v="32"/>
    <s v="Male"/>
    <n v="63.6"/>
    <n v="82.1"/>
    <n v="14.1"/>
    <n v="16"/>
    <s v="NV"/>
    <n v="2"/>
    <n v="192.3"/>
    <s v="High"/>
    <n v="1"/>
    <s v="Single-Day"/>
    <n v="0"/>
    <n v="0"/>
    <s v="Hotel Guest Entrance"/>
    <s v="Pixar Pals"/>
    <n v="6.1"/>
    <n v="6"/>
    <x v="2331"/>
  </r>
  <r>
    <n v="2461"/>
    <n v="808"/>
    <d v="2026-04-25T00:00:00"/>
    <s v="Saturday"/>
    <n v="4"/>
    <n v="7.66"/>
    <x v="0"/>
    <x v="40"/>
    <s v="Male"/>
    <n v="67"/>
    <n v="121.7"/>
    <n v="18.8"/>
    <n v="14"/>
    <s v="NV"/>
    <n v="4"/>
    <n v="307.5"/>
    <s v="High"/>
    <n v="0"/>
    <s v="Single-Day"/>
    <n v="1"/>
    <n v="1"/>
    <s v="Main Entrance"/>
    <s v="Mickey &amp; Friends"/>
    <n v="12.3"/>
    <n v="11"/>
    <x v="2332"/>
  </r>
  <r>
    <n v="2462"/>
    <n v="808"/>
    <d v="2026-04-25T00:00:00"/>
    <s v="Saturday"/>
    <n v="4"/>
    <n v="7.8"/>
    <x v="0"/>
    <x v="38"/>
    <s v="Female"/>
    <n v="69"/>
    <n v="188.8"/>
    <n v="27.8"/>
    <n v="19"/>
    <s v="NV"/>
    <n v="4"/>
    <n v="307.5"/>
    <s v="High"/>
    <n v="0"/>
    <s v="Single-Day"/>
    <n v="1"/>
    <n v="1"/>
    <s v="Main Entrance"/>
    <s v="Mickey &amp; Friends"/>
    <n v="8"/>
    <n v="10"/>
    <x v="2333"/>
  </r>
  <r>
    <n v="2463"/>
    <n v="808"/>
    <d v="2026-04-25T00:00:00"/>
    <s v="Saturday"/>
    <n v="4"/>
    <n v="7.79"/>
    <x v="0"/>
    <x v="36"/>
    <s v="Female"/>
    <n v="63.4"/>
    <n v="137.69999999999999"/>
    <n v="24.1"/>
    <n v="16"/>
    <s v="NV"/>
    <n v="4"/>
    <n v="307.5"/>
    <s v="High"/>
    <n v="0"/>
    <s v="Single-Day"/>
    <n v="1"/>
    <n v="1"/>
    <s v="Main Entrance"/>
    <s v="Mickey &amp; Friends"/>
    <n v="7.4"/>
    <n v="3"/>
    <x v="2334"/>
  </r>
  <r>
    <n v="2464"/>
    <n v="808"/>
    <d v="2026-04-25T00:00:00"/>
    <s v="Saturday"/>
    <n v="4"/>
    <n v="7.72"/>
    <x v="0"/>
    <x v="72"/>
    <s v="Female"/>
    <n v="58"/>
    <n v="138.80000000000001"/>
    <n v="28.9"/>
    <n v="19"/>
    <s v="NV"/>
    <n v="4"/>
    <n v="307.5"/>
    <s v="High"/>
    <n v="0"/>
    <s v="Single-Day"/>
    <n v="1"/>
    <n v="1"/>
    <s v="Main Entrance"/>
    <s v="Mickey &amp; Friends"/>
    <n v="9.6"/>
    <n v="14"/>
    <x v="2335"/>
  </r>
  <r>
    <n v="2465"/>
    <n v="809"/>
    <d v="2026-11-12T00:00:00"/>
    <s v="Thursday"/>
    <n v="11"/>
    <n v="12.29"/>
    <x v="1"/>
    <x v="33"/>
    <s v="Male"/>
    <n v="72.7"/>
    <n v="188.2"/>
    <n v="25.2"/>
    <n v="15"/>
    <s v="TX"/>
    <n v="4"/>
    <n v="998.3"/>
    <s v="Low"/>
    <n v="1"/>
    <s v="Single-Day"/>
    <n v="0"/>
    <n v="0"/>
    <s v="Main Entrance"/>
    <s v="Mickey &amp; Friends"/>
    <n v="8.1999999999999993"/>
    <n v="7"/>
    <x v="2336"/>
  </r>
  <r>
    <n v="2466"/>
    <n v="809"/>
    <d v="2026-11-12T00:00:00"/>
    <s v="Thursday"/>
    <n v="11"/>
    <n v="12.31"/>
    <x v="1"/>
    <x v="70"/>
    <s v="Male"/>
    <n v="69.8"/>
    <n v="143.4"/>
    <n v="20.9"/>
    <n v="11"/>
    <s v="TX"/>
    <n v="4"/>
    <n v="998.3"/>
    <s v="Low"/>
    <n v="1"/>
    <s v="Single-Day"/>
    <n v="0"/>
    <n v="0"/>
    <s v="Main Entrance"/>
    <s v="Mickey &amp; Friends"/>
    <n v="5.7"/>
    <n v="8"/>
    <x v="2337"/>
  </r>
  <r>
    <n v="2467"/>
    <n v="809"/>
    <d v="2026-11-12T00:00:00"/>
    <s v="Thursday"/>
    <n v="11"/>
    <n v="12.5"/>
    <x v="1"/>
    <x v="25"/>
    <s v="Male"/>
    <n v="73.599999999999994"/>
    <n v="198"/>
    <n v="25.7"/>
    <n v="13"/>
    <s v="TX"/>
    <n v="4"/>
    <n v="998.3"/>
    <s v="Low"/>
    <n v="1"/>
    <s v="Single-Day"/>
    <n v="0"/>
    <n v="0"/>
    <s v="Main Entrance"/>
    <s v="Mickey &amp; Friends"/>
    <n v="9.6"/>
    <n v="9"/>
    <x v="2338"/>
  </r>
  <r>
    <n v="2468"/>
    <n v="809"/>
    <d v="2026-11-12T00:00:00"/>
    <s v="Thursday"/>
    <n v="11"/>
    <n v="12.19"/>
    <x v="1"/>
    <x v="8"/>
    <s v="Female"/>
    <n v="67.8"/>
    <n v="197.9"/>
    <n v="30.3"/>
    <n v="9"/>
    <s v="TX"/>
    <n v="4"/>
    <n v="998.3"/>
    <s v="Low"/>
    <n v="1"/>
    <s v="Single-Day"/>
    <n v="0"/>
    <n v="0"/>
    <s v="Main Entrance"/>
    <s v="Mickey &amp; Friends"/>
    <n v="5.0999999999999996"/>
    <n v="6"/>
    <x v="1797"/>
  </r>
  <r>
    <n v="2469"/>
    <n v="810"/>
    <d v="2026-10-08T00:00:00"/>
    <s v="Thursday"/>
    <n v="10"/>
    <n v="11.23"/>
    <x v="1"/>
    <x v="8"/>
    <s v="Male"/>
    <n v="68.900000000000006"/>
    <n v="191.3"/>
    <n v="28.3"/>
    <n v="16"/>
    <s v="Other"/>
    <n v="2"/>
    <n v="2209.1999999999998"/>
    <s v="Middle"/>
    <n v="0"/>
    <s v="Multi-Day"/>
    <n v="0"/>
    <n v="1"/>
    <s v="Hotel Guest Entrance"/>
    <s v="Pixar Pals"/>
    <n v="7.6"/>
    <n v="7"/>
    <x v="2339"/>
  </r>
  <r>
    <n v="2470"/>
    <n v="810"/>
    <d v="2026-10-08T00:00:00"/>
    <s v="Thursday"/>
    <n v="10"/>
    <n v="10.92"/>
    <x v="0"/>
    <x v="32"/>
    <s v="Male"/>
    <n v="58.5"/>
    <n v="73.8"/>
    <n v="15.3"/>
    <n v="13"/>
    <s v="Other"/>
    <n v="2"/>
    <n v="2209.1999999999998"/>
    <s v="Middle"/>
    <n v="0"/>
    <s v="Multi-Day"/>
    <n v="0"/>
    <n v="1"/>
    <s v="Hotel Guest Entrance"/>
    <s v="Pixar Pals"/>
    <n v="8.4"/>
    <n v="9"/>
    <x v="2340"/>
  </r>
  <r>
    <n v="2471"/>
    <n v="811"/>
    <d v="2026-06-05T00:00:00"/>
    <s v="Friday"/>
    <n v="6"/>
    <n v="13.8"/>
    <x v="1"/>
    <x v="10"/>
    <s v="Female"/>
    <n v="63.6"/>
    <n v="160.1"/>
    <n v="27.9"/>
    <n v="14"/>
    <s v="AZ"/>
    <n v="4"/>
    <n v="424.2"/>
    <s v="Middle"/>
    <n v="0"/>
    <s v="Single-Day"/>
    <n v="0"/>
    <n v="0"/>
    <s v="Main Entrance"/>
    <s v="Mickey &amp; Friends"/>
    <n v="7.2"/>
    <n v="9"/>
    <x v="2341"/>
  </r>
  <r>
    <n v="2472"/>
    <n v="811"/>
    <d v="2026-06-05T00:00:00"/>
    <s v="Friday"/>
    <n v="6"/>
    <n v="13.49"/>
    <x v="1"/>
    <x v="58"/>
    <s v="Female"/>
    <n v="66.400000000000006"/>
    <n v="150.80000000000001"/>
    <n v="24"/>
    <n v="12"/>
    <s v="AZ"/>
    <n v="4"/>
    <n v="424.2"/>
    <s v="Middle"/>
    <n v="0"/>
    <s v="Single-Day"/>
    <n v="0"/>
    <n v="0"/>
    <s v="Main Entrance"/>
    <s v="Mickey &amp; Friends"/>
    <n v="4.9000000000000004"/>
    <n v="1"/>
    <x v="2342"/>
  </r>
  <r>
    <n v="2473"/>
    <n v="811"/>
    <d v="2026-06-05T00:00:00"/>
    <s v="Friday"/>
    <n v="6"/>
    <n v="13.67"/>
    <x v="1"/>
    <x v="33"/>
    <s v="Female"/>
    <n v="65.5"/>
    <n v="139.80000000000001"/>
    <n v="23"/>
    <n v="15"/>
    <s v="AZ"/>
    <n v="4"/>
    <n v="424.2"/>
    <s v="Middle"/>
    <n v="0"/>
    <s v="Single-Day"/>
    <n v="0"/>
    <n v="0"/>
    <s v="Main Entrance"/>
    <s v="Mickey &amp; Friends"/>
    <n v="6"/>
    <n v="7"/>
    <x v="2343"/>
  </r>
  <r>
    <n v="2474"/>
    <n v="811"/>
    <d v="2026-06-05T00:00:00"/>
    <s v="Friday"/>
    <n v="6"/>
    <n v="13.71"/>
    <x v="1"/>
    <x v="34"/>
    <s v="Female"/>
    <n v="69.900000000000006"/>
    <n v="185.7"/>
    <n v="26.6"/>
    <n v="18"/>
    <s v="AZ"/>
    <n v="4"/>
    <n v="424.2"/>
    <s v="Middle"/>
    <n v="0"/>
    <s v="Single-Day"/>
    <n v="0"/>
    <n v="0"/>
    <s v="Main Entrance"/>
    <s v="Mickey &amp; Friends"/>
    <n v="5"/>
    <n v="7"/>
    <x v="2344"/>
  </r>
  <r>
    <n v="2475"/>
    <n v="812"/>
    <d v="2026-05-26T00:00:00"/>
    <s v="Tuesday"/>
    <n v="5"/>
    <n v="11.05"/>
    <x v="1"/>
    <x v="7"/>
    <s v="Male"/>
    <n v="54.5"/>
    <n v="98.4"/>
    <n v="23.5"/>
    <n v="8"/>
    <s v="Other"/>
    <n v="2"/>
    <n v="1766.3"/>
    <s v="Low"/>
    <n v="0"/>
    <s v="Park Hopper"/>
    <n v="0"/>
    <n v="1"/>
    <s v="Main Entrance"/>
    <s v="None/Walked from Resort"/>
    <n v="9.3000000000000007"/>
    <n v="7"/>
    <x v="2345"/>
  </r>
  <r>
    <n v="2476"/>
    <n v="812"/>
    <d v="2026-05-26T00:00:00"/>
    <s v="Tuesday"/>
    <n v="5"/>
    <n v="10.78"/>
    <x v="0"/>
    <x v="25"/>
    <s v="Female"/>
    <n v="67"/>
    <n v="199.2"/>
    <n v="31.2"/>
    <n v="13"/>
    <s v="Other"/>
    <n v="2"/>
    <n v="1766.3"/>
    <s v="Low"/>
    <n v="0"/>
    <s v="Park Hopper"/>
    <n v="0"/>
    <n v="1"/>
    <s v="Main Entrance"/>
    <s v="None/Walked from Resort"/>
    <n v="11.9"/>
    <n v="11"/>
    <x v="2346"/>
  </r>
  <r>
    <n v="2477"/>
    <n v="813"/>
    <d v="2026-02-21T00:00:00"/>
    <s v="Saturday"/>
    <n v="2"/>
    <n v="10.73"/>
    <x v="0"/>
    <x v="10"/>
    <s v="Female"/>
    <n v="66"/>
    <n v="203.5"/>
    <n v="32.799999999999997"/>
    <n v="13"/>
    <s v="MN"/>
    <n v="5"/>
    <n v="2216.5"/>
    <s v="Middle"/>
    <n v="1"/>
    <s v="Single-Day"/>
    <n v="0"/>
    <n v="0"/>
    <s v="Main Entrance"/>
    <s v="Mickey &amp; Friends"/>
    <n v="9.4"/>
    <n v="13"/>
    <x v="2347"/>
  </r>
  <r>
    <n v="2478"/>
    <n v="813"/>
    <d v="2026-02-21T00:00:00"/>
    <s v="Saturday"/>
    <n v="2"/>
    <n v="10.85"/>
    <x v="0"/>
    <x v="41"/>
    <s v="Female"/>
    <n v="67.8"/>
    <n v="181.7"/>
    <n v="27.9"/>
    <n v="18"/>
    <s v="MN"/>
    <n v="5"/>
    <n v="2216.5"/>
    <s v="Middle"/>
    <n v="1"/>
    <s v="Single-Day"/>
    <n v="0"/>
    <n v="0"/>
    <s v="Main Entrance"/>
    <s v="Mickey &amp; Friends"/>
    <n v="7.5"/>
    <n v="6"/>
    <x v="2348"/>
  </r>
  <r>
    <n v="2479"/>
    <n v="813"/>
    <d v="2026-02-21T00:00:00"/>
    <s v="Saturday"/>
    <n v="2"/>
    <n v="10.7"/>
    <x v="0"/>
    <x v="21"/>
    <s v="Male"/>
    <n v="69.8"/>
    <n v="133.6"/>
    <n v="19.100000000000001"/>
    <n v="18"/>
    <s v="MN"/>
    <n v="5"/>
    <n v="2216.5"/>
    <s v="Middle"/>
    <n v="1"/>
    <s v="Single-Day"/>
    <n v="0"/>
    <n v="0"/>
    <s v="Main Entrance"/>
    <s v="Mickey &amp; Friends"/>
    <n v="7.8"/>
    <n v="7"/>
    <x v="2349"/>
  </r>
  <r>
    <n v="2480"/>
    <n v="813"/>
    <d v="2026-02-21T00:00:00"/>
    <s v="Saturday"/>
    <n v="2"/>
    <n v="10.83"/>
    <x v="0"/>
    <x v="32"/>
    <s v="Male"/>
    <n v="59.1"/>
    <n v="104.1"/>
    <n v="21"/>
    <n v="10"/>
    <s v="MN"/>
    <n v="5"/>
    <n v="2216.5"/>
    <s v="Middle"/>
    <n v="1"/>
    <s v="Single-Day"/>
    <n v="0"/>
    <n v="0"/>
    <s v="Main Entrance"/>
    <s v="Mickey &amp; Friends"/>
    <n v="8.1999999999999993"/>
    <n v="7"/>
    <x v="2350"/>
  </r>
  <r>
    <n v="2481"/>
    <n v="813"/>
    <d v="2026-02-21T00:00:00"/>
    <s v="Saturday"/>
    <n v="2"/>
    <n v="10.48"/>
    <x v="0"/>
    <x v="13"/>
    <s v="Female"/>
    <n v="62.7"/>
    <n v="128"/>
    <n v="22.6"/>
    <n v="17"/>
    <s v="MN"/>
    <n v="5"/>
    <n v="2216.5"/>
    <s v="Middle"/>
    <n v="1"/>
    <s v="Single-Day"/>
    <n v="0"/>
    <n v="0"/>
    <s v="Main Entrance"/>
    <s v="Mickey &amp; Friends"/>
    <n v="10.4"/>
    <n v="11"/>
    <x v="2351"/>
  </r>
  <r>
    <n v="2482"/>
    <n v="814"/>
    <d v="2026-04-17T00:00:00"/>
    <s v="Friday"/>
    <n v="4"/>
    <n v="10.46"/>
    <x v="0"/>
    <x v="28"/>
    <s v="Male"/>
    <n v="72.7"/>
    <n v="199"/>
    <n v="26.3"/>
    <n v="15"/>
    <s v="CA"/>
    <n v="3"/>
    <n v="42.5"/>
    <s v="Middle"/>
    <n v="0"/>
    <s v="Single-Day"/>
    <n v="0"/>
    <n v="0"/>
    <s v="Main Entrance"/>
    <s v="Toy Story Lot"/>
    <n v="7.3"/>
    <n v="8"/>
    <x v="2352"/>
  </r>
  <r>
    <n v="2483"/>
    <n v="814"/>
    <d v="2026-04-17T00:00:00"/>
    <s v="Friday"/>
    <n v="4"/>
    <n v="10.25"/>
    <x v="0"/>
    <x v="43"/>
    <s v="Female"/>
    <n v="66.5"/>
    <n v="145.9"/>
    <n v="23.2"/>
    <n v="17"/>
    <s v="CA"/>
    <n v="3"/>
    <n v="42.5"/>
    <s v="Middle"/>
    <n v="0"/>
    <s v="Single-Day"/>
    <n v="0"/>
    <n v="0"/>
    <s v="Main Entrance"/>
    <s v="Toy Story Lot"/>
    <n v="7.9"/>
    <n v="10"/>
    <x v="2353"/>
  </r>
  <r>
    <n v="2484"/>
    <n v="814"/>
    <d v="2026-04-17T00:00:00"/>
    <s v="Friday"/>
    <n v="4"/>
    <n v="10.52"/>
    <x v="0"/>
    <x v="40"/>
    <s v="Female"/>
    <n v="62.1"/>
    <n v="106.7"/>
    <n v="19.600000000000001"/>
    <n v="14"/>
    <s v="CA"/>
    <n v="3"/>
    <n v="42.5"/>
    <s v="Middle"/>
    <n v="0"/>
    <s v="Single-Day"/>
    <n v="0"/>
    <n v="0"/>
    <s v="Main Entrance"/>
    <s v="Toy Story Lot"/>
    <n v="6"/>
    <n v="5"/>
    <x v="2354"/>
  </r>
  <r>
    <n v="2485"/>
    <n v="815"/>
    <d v="2026-03-14T00:00:00"/>
    <s v="Saturday"/>
    <n v="3"/>
    <n v="9.5"/>
    <x v="0"/>
    <x v="60"/>
    <s v="Female"/>
    <n v="65.599999999999994"/>
    <n v="133.9"/>
    <n v="21.9"/>
    <n v="15"/>
    <s v="CA"/>
    <n v="1"/>
    <n v="85.3"/>
    <s v="Low"/>
    <n v="0"/>
    <s v="Single-Day"/>
    <n v="0"/>
    <n v="0"/>
    <s v="Main Entrance"/>
    <s v="Pixar Pals"/>
    <n v="6.7"/>
    <n v="5"/>
    <x v="2355"/>
  </r>
  <r>
    <n v="2486"/>
    <n v="816"/>
    <d v="2026-12-05T00:00:00"/>
    <s v="Saturday"/>
    <n v="12"/>
    <n v="10.38"/>
    <x v="0"/>
    <x v="38"/>
    <s v="Male"/>
    <n v="76.5"/>
    <n v="245.5"/>
    <n v="29.7"/>
    <n v="13"/>
    <s v="CA"/>
    <n v="1"/>
    <n v="112.4"/>
    <s v="High"/>
    <n v="0"/>
    <s v="Single-Day"/>
    <n v="1"/>
    <n v="0"/>
    <s v="Main Entrance"/>
    <s v="Pixar Pals"/>
    <n v="10.1"/>
    <n v="7"/>
    <x v="2356"/>
  </r>
  <r>
    <n v="2487"/>
    <n v="817"/>
    <d v="2026-01-21T00:00:00"/>
    <s v="Wednesday"/>
    <n v="1"/>
    <n v="9.57"/>
    <x v="0"/>
    <x v="4"/>
    <s v="Male"/>
    <n v="65.7"/>
    <n v="193.7"/>
    <n v="31.7"/>
    <n v="14"/>
    <s v="CA"/>
    <n v="3"/>
    <n v="4.9000000000000004"/>
    <s v="Middle"/>
    <n v="0"/>
    <s v="Single-Day"/>
    <n v="0"/>
    <n v="0"/>
    <s v="Main Entrance"/>
    <s v="None/Dropoff/Transit"/>
    <n v="8.9"/>
    <n v="11"/>
    <x v="2357"/>
  </r>
  <r>
    <n v="2488"/>
    <n v="817"/>
    <d v="2026-01-21T00:00:00"/>
    <s v="Wednesday"/>
    <n v="1"/>
    <n v="9.83"/>
    <x v="0"/>
    <x v="69"/>
    <s v="Male"/>
    <n v="72.099999999999994"/>
    <n v="197.8"/>
    <n v="26.9"/>
    <n v="14"/>
    <s v="CA"/>
    <n v="3"/>
    <n v="4.9000000000000004"/>
    <s v="Middle"/>
    <n v="0"/>
    <s v="Single-Day"/>
    <n v="0"/>
    <n v="0"/>
    <s v="Main Entrance"/>
    <s v="None/Dropoff/Transit"/>
    <n v="6.2"/>
    <n v="9"/>
    <x v="2358"/>
  </r>
  <r>
    <n v="2489"/>
    <n v="817"/>
    <d v="2026-01-21T00:00:00"/>
    <s v="Wednesday"/>
    <n v="1"/>
    <n v="9.89"/>
    <x v="0"/>
    <x v="5"/>
    <s v="Female"/>
    <n v="61"/>
    <n v="126.8"/>
    <n v="23.9"/>
    <n v="16"/>
    <s v="CA"/>
    <n v="3"/>
    <n v="4.9000000000000004"/>
    <s v="Middle"/>
    <n v="0"/>
    <s v="Single-Day"/>
    <n v="0"/>
    <n v="0"/>
    <s v="Main Entrance"/>
    <s v="None/Dropoff/Transit"/>
    <n v="11.6"/>
    <n v="9"/>
    <x v="2359"/>
  </r>
  <r>
    <n v="2490"/>
    <n v="818"/>
    <d v="2026-09-04T00:00:00"/>
    <s v="Friday"/>
    <n v="9"/>
    <n v="13.64"/>
    <x v="1"/>
    <x v="45"/>
    <s v="Male"/>
    <n v="75.3"/>
    <n v="229.5"/>
    <n v="28.6"/>
    <n v="15"/>
    <s v="CA"/>
    <n v="3"/>
    <n v="90"/>
    <s v="Low"/>
    <n v="0"/>
    <s v="Single-Day"/>
    <n v="0"/>
    <n v="0"/>
    <s v="Main Entrance"/>
    <s v="Toy Story Lot"/>
    <n v="8.6"/>
    <n v="10"/>
    <x v="2360"/>
  </r>
  <r>
    <n v="2491"/>
    <n v="818"/>
    <d v="2026-09-04T00:00:00"/>
    <s v="Friday"/>
    <n v="9"/>
    <n v="13.52"/>
    <x v="1"/>
    <x v="12"/>
    <s v="Male"/>
    <n v="56.8"/>
    <n v="85.3"/>
    <n v="18.8"/>
    <n v="14"/>
    <s v="CA"/>
    <n v="3"/>
    <n v="90"/>
    <s v="Low"/>
    <n v="0"/>
    <s v="Single-Day"/>
    <n v="0"/>
    <n v="0"/>
    <s v="Main Entrance"/>
    <s v="Toy Story Lot"/>
    <n v="6.7"/>
    <n v="7"/>
    <x v="2361"/>
  </r>
  <r>
    <n v="2492"/>
    <n v="818"/>
    <d v="2026-09-04T00:00:00"/>
    <s v="Friday"/>
    <n v="9"/>
    <n v="13.61"/>
    <x v="1"/>
    <x v="2"/>
    <s v="Female"/>
    <n v="62.7"/>
    <n v="180.9"/>
    <n v="32.4"/>
    <n v="12"/>
    <s v="CA"/>
    <n v="3"/>
    <n v="90"/>
    <s v="Low"/>
    <n v="0"/>
    <s v="Single-Day"/>
    <n v="0"/>
    <n v="0"/>
    <s v="Main Entrance"/>
    <s v="Toy Story Lot"/>
    <n v="7"/>
    <n v="8"/>
    <x v="2362"/>
  </r>
  <r>
    <n v="2493"/>
    <n v="819"/>
    <d v="2026-03-05T00:00:00"/>
    <s v="Thursday"/>
    <n v="3"/>
    <n v="11.68"/>
    <x v="1"/>
    <x v="3"/>
    <s v="Female"/>
    <n v="64.8"/>
    <n v="158.6"/>
    <n v="26.7"/>
    <n v="15"/>
    <s v="MN"/>
    <n v="4"/>
    <n v="1655.1"/>
    <s v="Middle"/>
    <n v="1"/>
    <s v="Multi-Day"/>
    <n v="0"/>
    <n v="1"/>
    <s v="Main Entrance"/>
    <s v="None/Walked from Resort"/>
    <n v="6.9"/>
    <n v="10"/>
    <x v="2363"/>
  </r>
  <r>
    <n v="2494"/>
    <n v="819"/>
    <d v="2026-03-05T00:00:00"/>
    <s v="Thursday"/>
    <n v="3"/>
    <n v="11.84"/>
    <x v="1"/>
    <x v="37"/>
    <s v="Female"/>
    <n v="67.2"/>
    <n v="193.1"/>
    <n v="30.1"/>
    <n v="13"/>
    <s v="MN"/>
    <n v="4"/>
    <n v="1655.1"/>
    <s v="Middle"/>
    <n v="1"/>
    <s v="Multi-Day"/>
    <n v="0"/>
    <n v="1"/>
    <s v="Main Entrance"/>
    <s v="None/Walked from Resort"/>
    <n v="9.4"/>
    <n v="13"/>
    <x v="2364"/>
  </r>
  <r>
    <n v="2495"/>
    <n v="819"/>
    <d v="2026-03-05T00:00:00"/>
    <s v="Thursday"/>
    <n v="3"/>
    <n v="11.63"/>
    <x v="1"/>
    <x v="44"/>
    <s v="Male"/>
    <n v="67.599999999999994"/>
    <n v="142.6"/>
    <n v="21.9"/>
    <n v="13"/>
    <s v="MN"/>
    <n v="4"/>
    <n v="1655.1"/>
    <s v="Middle"/>
    <n v="1"/>
    <s v="Multi-Day"/>
    <n v="0"/>
    <n v="1"/>
    <s v="Main Entrance"/>
    <s v="None/Walked from Resort"/>
    <n v="9.1999999999999993"/>
    <n v="9"/>
    <x v="2365"/>
  </r>
  <r>
    <n v="2496"/>
    <n v="819"/>
    <d v="2026-03-05T00:00:00"/>
    <s v="Thursday"/>
    <n v="3"/>
    <n v="11.92"/>
    <x v="1"/>
    <x v="21"/>
    <s v="Female"/>
    <n v="62.7"/>
    <n v="179.6"/>
    <n v="32.1"/>
    <n v="11"/>
    <s v="MN"/>
    <n v="4"/>
    <n v="1655.1"/>
    <s v="Middle"/>
    <n v="1"/>
    <s v="Multi-Day"/>
    <n v="0"/>
    <n v="1"/>
    <s v="Main Entrance"/>
    <s v="None/Walked from Resort"/>
    <n v="11.5"/>
    <n v="9"/>
    <x v="2366"/>
  </r>
  <r>
    <n v="2497"/>
    <n v="820"/>
    <d v="2026-05-26T00:00:00"/>
    <s v="Tuesday"/>
    <n v="5"/>
    <n v="7.76"/>
    <x v="0"/>
    <x v="7"/>
    <s v="Male"/>
    <n v="53"/>
    <n v="69.7"/>
    <n v="17.399999999999999"/>
    <n v="15"/>
    <s v="ND"/>
    <n v="2"/>
    <n v="1183.2"/>
    <s v="High"/>
    <n v="1"/>
    <s v="Multi-Day"/>
    <n v="0"/>
    <n v="1"/>
    <s v="Main Entrance"/>
    <s v="None/Walked from Resort"/>
    <n v="7.8"/>
    <n v="7"/>
    <x v="2367"/>
  </r>
  <r>
    <n v="2498"/>
    <n v="820"/>
    <d v="2026-05-26T00:00:00"/>
    <s v="Tuesday"/>
    <n v="5"/>
    <n v="7.78"/>
    <x v="0"/>
    <x v="40"/>
    <s v="Female"/>
    <n v="67"/>
    <n v="141.1"/>
    <n v="22.1"/>
    <n v="10"/>
    <s v="ND"/>
    <n v="2"/>
    <n v="1183.2"/>
    <s v="High"/>
    <n v="1"/>
    <s v="Multi-Day"/>
    <n v="0"/>
    <n v="1"/>
    <s v="Main Entrance"/>
    <s v="None/Walked from Resort"/>
    <n v="9.3000000000000007"/>
    <n v="6"/>
    <x v="2368"/>
  </r>
  <r>
    <n v="2499"/>
    <n v="821"/>
    <d v="2026-01-12T00:00:00"/>
    <s v="Monday"/>
    <n v="1"/>
    <n v="8.92"/>
    <x v="0"/>
    <x v="49"/>
    <s v="Male"/>
    <n v="70.5"/>
    <n v="179.8"/>
    <n v="25.4"/>
    <n v="14"/>
    <s v="CA"/>
    <n v="2"/>
    <n v="136.9"/>
    <s v="Middle"/>
    <n v="0"/>
    <s v="Single-Day"/>
    <n v="0"/>
    <n v="0"/>
    <s v="Downtown Disney Gate"/>
    <s v="Mickey &amp; Friends"/>
    <n v="9.1"/>
    <n v="5"/>
    <x v="2369"/>
  </r>
  <r>
    <n v="2500"/>
    <n v="821"/>
    <d v="2026-01-12T00:00:00"/>
    <s v="Monday"/>
    <n v="1"/>
    <n v="9.2200000000000006"/>
    <x v="0"/>
    <x v="1"/>
    <s v="Male"/>
    <n v="67.3"/>
    <n v="158"/>
    <n v="24.6"/>
    <n v="15"/>
    <s v="CA"/>
    <n v="2"/>
    <n v="136.9"/>
    <s v="Middle"/>
    <n v="0"/>
    <s v="Single-Day"/>
    <n v="0"/>
    <n v="0"/>
    <s v="Downtown Disney Gate"/>
    <s v="Mickey &amp; Friends"/>
    <n v="9.1999999999999993"/>
    <n v="8"/>
    <x v="2370"/>
  </r>
  <r>
    <n v="2501"/>
    <n v="822"/>
    <d v="2026-11-20T00:00:00"/>
    <s v="Friday"/>
    <n v="11"/>
    <n v="11.27"/>
    <x v="1"/>
    <x v="12"/>
    <s v="Female"/>
    <n v="69.5"/>
    <n v="116.9"/>
    <n v="17.100000000000001"/>
    <n v="13"/>
    <s v="MN"/>
    <n v="5"/>
    <n v="2533.1999999999998"/>
    <s v="Middle"/>
    <n v="0"/>
    <s v="Park Hopper"/>
    <n v="0"/>
    <n v="1"/>
    <s v="Main Entrance"/>
    <s v="Mickey &amp; Friends"/>
    <n v="8.1999999999999993"/>
    <n v="10"/>
    <x v="2371"/>
  </r>
  <r>
    <n v="2502"/>
    <n v="822"/>
    <d v="2026-11-20T00:00:00"/>
    <s v="Friday"/>
    <n v="11"/>
    <n v="11.14"/>
    <x v="1"/>
    <x v="19"/>
    <s v="Male"/>
    <n v="67.099999999999994"/>
    <n v="175.7"/>
    <n v="27.4"/>
    <n v="17"/>
    <s v="MN"/>
    <n v="5"/>
    <n v="2533.1999999999998"/>
    <s v="Middle"/>
    <n v="0"/>
    <s v="Park Hopper"/>
    <n v="0"/>
    <n v="1"/>
    <s v="Main Entrance"/>
    <s v="Mickey &amp; Friends"/>
    <n v="10.1"/>
    <n v="1"/>
    <x v="2372"/>
  </r>
  <r>
    <n v="2503"/>
    <n v="822"/>
    <d v="2026-11-20T00:00:00"/>
    <s v="Friday"/>
    <n v="11"/>
    <n v="11.21"/>
    <x v="1"/>
    <x v="41"/>
    <s v="Male"/>
    <n v="73.3"/>
    <n v="177.3"/>
    <n v="23.2"/>
    <n v="17"/>
    <s v="MN"/>
    <n v="5"/>
    <n v="2533.1999999999998"/>
    <s v="Middle"/>
    <n v="0"/>
    <s v="Park Hopper"/>
    <n v="0"/>
    <n v="1"/>
    <s v="Main Entrance"/>
    <s v="Mickey &amp; Friends"/>
    <n v="7"/>
    <n v="7"/>
    <x v="2373"/>
  </r>
  <r>
    <n v="2504"/>
    <n v="822"/>
    <d v="2026-11-20T00:00:00"/>
    <s v="Friday"/>
    <n v="11"/>
    <n v="11.29"/>
    <x v="1"/>
    <x v="72"/>
    <s v="Female"/>
    <n v="63.8"/>
    <n v="141.4"/>
    <n v="24.4"/>
    <n v="17"/>
    <s v="MN"/>
    <n v="5"/>
    <n v="2533.1999999999998"/>
    <s v="Middle"/>
    <n v="0"/>
    <s v="Park Hopper"/>
    <n v="0"/>
    <n v="1"/>
    <s v="Main Entrance"/>
    <s v="Mickey &amp; Friends"/>
    <n v="8.1"/>
    <n v="5"/>
    <x v="2374"/>
  </r>
  <r>
    <n v="2505"/>
    <n v="822"/>
    <d v="2026-11-20T00:00:00"/>
    <s v="Friday"/>
    <n v="11"/>
    <n v="11.34"/>
    <x v="1"/>
    <x v="48"/>
    <s v="Male"/>
    <n v="70.099999999999994"/>
    <n v="248.2"/>
    <n v="35.5"/>
    <n v="16"/>
    <s v="MN"/>
    <n v="5"/>
    <n v="2533.1999999999998"/>
    <s v="Middle"/>
    <n v="0"/>
    <s v="Park Hopper"/>
    <n v="0"/>
    <n v="1"/>
    <s v="Main Entrance"/>
    <s v="Mickey &amp; Friends"/>
    <n v="8"/>
    <n v="8"/>
    <x v="2375"/>
  </r>
  <r>
    <n v="2506"/>
    <n v="823"/>
    <d v="2026-06-15T00:00:00"/>
    <s v="Monday"/>
    <n v="6"/>
    <n v="9.7899999999999991"/>
    <x v="0"/>
    <x v="71"/>
    <s v="Male"/>
    <n v="73.5"/>
    <n v="200.9"/>
    <n v="26.3"/>
    <n v="18"/>
    <s v="Other"/>
    <n v="3"/>
    <n v="1569.9"/>
    <s v="Middle"/>
    <n v="1"/>
    <s v="Single-Day"/>
    <n v="0"/>
    <n v="0"/>
    <s v="Main Entrance"/>
    <s v="Toy Story Lot"/>
    <n v="5.7"/>
    <n v="4"/>
    <x v="2376"/>
  </r>
  <r>
    <n v="2507"/>
    <n v="823"/>
    <d v="2026-06-15T00:00:00"/>
    <s v="Monday"/>
    <n v="6"/>
    <n v="9.9600000000000009"/>
    <x v="0"/>
    <x v="12"/>
    <s v="Nonbinary/Other"/>
    <n v="60.7"/>
    <n v="130.80000000000001"/>
    <n v="25.3"/>
    <n v="12"/>
    <s v="Other"/>
    <n v="3"/>
    <n v="1569.9"/>
    <s v="Middle"/>
    <n v="1"/>
    <s v="Single-Day"/>
    <n v="0"/>
    <n v="0"/>
    <s v="Main Entrance"/>
    <s v="Toy Story Lot"/>
    <n v="6.2"/>
    <n v="6"/>
    <x v="2377"/>
  </r>
  <r>
    <n v="2508"/>
    <n v="823"/>
    <d v="2026-06-15T00:00:00"/>
    <s v="Monday"/>
    <n v="6"/>
    <n v="9.81"/>
    <x v="0"/>
    <x v="36"/>
    <s v="Male"/>
    <n v="70.7"/>
    <n v="172.2"/>
    <n v="24.5"/>
    <n v="17"/>
    <s v="Other"/>
    <n v="3"/>
    <n v="1569.9"/>
    <s v="Middle"/>
    <n v="1"/>
    <s v="Single-Day"/>
    <n v="0"/>
    <n v="0"/>
    <s v="Main Entrance"/>
    <s v="Toy Story Lot"/>
    <n v="9.1999999999999993"/>
    <n v="14"/>
    <x v="2378"/>
  </r>
  <r>
    <n v="2509"/>
    <n v="824"/>
    <d v="2026-06-27T00:00:00"/>
    <s v="Saturday"/>
    <n v="6"/>
    <n v="11.82"/>
    <x v="1"/>
    <x v="43"/>
    <s v="Female"/>
    <n v="64.400000000000006"/>
    <n v="160.80000000000001"/>
    <n v="27.3"/>
    <n v="13"/>
    <s v="CA"/>
    <n v="1"/>
    <n v="115.2"/>
    <s v="Middle"/>
    <n v="0"/>
    <s v="Single-Day"/>
    <n v="0"/>
    <n v="0"/>
    <s v="Main Entrance"/>
    <s v="None/Dropoff/Transit"/>
    <n v="9.5"/>
    <n v="6"/>
    <x v="2379"/>
  </r>
  <r>
    <n v="2510"/>
    <n v="825"/>
    <d v="2026-06-16T00:00:00"/>
    <s v="Tuesday"/>
    <n v="6"/>
    <n v="9.92"/>
    <x v="0"/>
    <x v="21"/>
    <s v="Female"/>
    <n v="61"/>
    <n v="129.69999999999999"/>
    <n v="24.5"/>
    <n v="17"/>
    <s v="CA"/>
    <n v="4"/>
    <n v="35.5"/>
    <s v="Middle"/>
    <n v="1"/>
    <s v="Park Hopper"/>
    <n v="1"/>
    <n v="0"/>
    <s v="Main Entrance"/>
    <s v="Mickey &amp; Friends"/>
    <n v="7.1"/>
    <n v="4"/>
    <x v="2380"/>
  </r>
  <r>
    <n v="2511"/>
    <n v="825"/>
    <d v="2026-06-16T00:00:00"/>
    <s v="Tuesday"/>
    <n v="6"/>
    <n v="10.02"/>
    <x v="0"/>
    <x v="20"/>
    <s v="Male"/>
    <n v="70"/>
    <n v="149.9"/>
    <n v="21.3"/>
    <n v="16"/>
    <s v="CA"/>
    <n v="4"/>
    <n v="35.5"/>
    <s v="Middle"/>
    <n v="1"/>
    <s v="Park Hopper"/>
    <n v="1"/>
    <n v="0"/>
    <s v="Main Entrance"/>
    <s v="Mickey &amp; Friends"/>
    <n v="8.3000000000000007"/>
    <n v="6"/>
    <x v="2381"/>
  </r>
  <r>
    <n v="2512"/>
    <n v="825"/>
    <d v="2026-06-16T00:00:00"/>
    <s v="Tuesday"/>
    <n v="6"/>
    <n v="10.09"/>
    <x v="0"/>
    <x v="27"/>
    <s v="Female"/>
    <n v="64.8"/>
    <n v="150.19999999999999"/>
    <n v="25.2"/>
    <n v="14"/>
    <s v="CA"/>
    <n v="4"/>
    <n v="35.5"/>
    <s v="Middle"/>
    <n v="1"/>
    <s v="Park Hopper"/>
    <n v="1"/>
    <n v="0"/>
    <s v="Main Entrance"/>
    <s v="Mickey &amp; Friends"/>
    <n v="8.6999999999999993"/>
    <n v="11"/>
    <x v="2006"/>
  </r>
  <r>
    <n v="2513"/>
    <n v="825"/>
    <d v="2026-06-16T00:00:00"/>
    <s v="Tuesday"/>
    <n v="6"/>
    <n v="10.220000000000001"/>
    <x v="0"/>
    <x v="2"/>
    <s v="Female"/>
    <n v="71.8"/>
    <n v="200.6"/>
    <n v="27.5"/>
    <n v="19"/>
    <s v="CA"/>
    <n v="4"/>
    <n v="35.5"/>
    <s v="Middle"/>
    <n v="1"/>
    <s v="Park Hopper"/>
    <n v="1"/>
    <n v="0"/>
    <s v="Main Entrance"/>
    <s v="Mickey &amp; Friends"/>
    <n v="9.8000000000000007"/>
    <n v="14"/>
    <x v="2382"/>
  </r>
  <r>
    <n v="2514"/>
    <n v="826"/>
    <d v="2026-03-06T00:00:00"/>
    <s v="Friday"/>
    <n v="3"/>
    <n v="9.25"/>
    <x v="0"/>
    <x v="16"/>
    <s v="Female"/>
    <n v="57.1"/>
    <n v="114.8"/>
    <n v="24.6"/>
    <n v="11"/>
    <s v="CA"/>
    <n v="1"/>
    <n v="81.599999999999994"/>
    <s v="Low"/>
    <n v="0"/>
    <s v="Single-Day"/>
    <n v="0"/>
    <n v="0"/>
    <s v="Main Entrance"/>
    <s v="Mickey &amp; Friends"/>
    <n v="9"/>
    <n v="7"/>
    <x v="2383"/>
  </r>
  <r>
    <n v="2515"/>
    <n v="827"/>
    <d v="2026-05-02T00:00:00"/>
    <s v="Saturday"/>
    <n v="5"/>
    <n v="10.71"/>
    <x v="0"/>
    <x v="55"/>
    <s v="Female"/>
    <n v="64"/>
    <n v="156.69999999999999"/>
    <n v="26.9"/>
    <n v="17"/>
    <s v="CA"/>
    <n v="4"/>
    <n v="46.6"/>
    <s v="High"/>
    <n v="1"/>
    <s v="Single-Day"/>
    <n v="1"/>
    <n v="1"/>
    <s v="Main Entrance"/>
    <s v="None/Walked from Resort"/>
    <n v="11.9"/>
    <n v="12"/>
    <x v="2384"/>
  </r>
  <r>
    <n v="2516"/>
    <n v="827"/>
    <d v="2026-05-02T00:00:00"/>
    <s v="Saturday"/>
    <n v="5"/>
    <n v="10.85"/>
    <x v="0"/>
    <x v="38"/>
    <s v="Female"/>
    <n v="63.1"/>
    <n v="139.30000000000001"/>
    <n v="24.7"/>
    <n v="15"/>
    <s v="CA"/>
    <n v="4"/>
    <n v="46.6"/>
    <s v="High"/>
    <n v="1"/>
    <s v="Single-Day"/>
    <n v="1"/>
    <n v="1"/>
    <s v="Main Entrance"/>
    <s v="None/Walked from Resort"/>
    <n v="8.6"/>
    <n v="14"/>
    <x v="2385"/>
  </r>
  <r>
    <n v="2517"/>
    <n v="827"/>
    <d v="2026-05-02T00:00:00"/>
    <s v="Saturday"/>
    <n v="5"/>
    <n v="10.52"/>
    <x v="0"/>
    <x v="71"/>
    <s v="Male"/>
    <n v="69.8"/>
    <n v="179"/>
    <n v="26.1"/>
    <n v="17"/>
    <s v="CA"/>
    <n v="4"/>
    <n v="46.6"/>
    <s v="High"/>
    <n v="1"/>
    <s v="Single-Day"/>
    <n v="1"/>
    <n v="1"/>
    <s v="Main Entrance"/>
    <s v="None/Walked from Resort"/>
    <n v="8.5"/>
    <n v="3"/>
    <x v="2386"/>
  </r>
  <r>
    <n v="2518"/>
    <n v="827"/>
    <d v="2026-05-02T00:00:00"/>
    <s v="Saturday"/>
    <n v="5"/>
    <n v="10.79"/>
    <x v="0"/>
    <x v="28"/>
    <s v="Male"/>
    <n v="68.5"/>
    <n v="142.80000000000001"/>
    <n v="21.4"/>
    <n v="17"/>
    <s v="CA"/>
    <n v="4"/>
    <n v="46.6"/>
    <s v="High"/>
    <n v="1"/>
    <s v="Single-Day"/>
    <n v="1"/>
    <n v="1"/>
    <s v="Main Entrance"/>
    <s v="None/Walked from Resort"/>
    <n v="6.9"/>
    <n v="11"/>
    <x v="2387"/>
  </r>
  <r>
    <n v="2519"/>
    <n v="828"/>
    <d v="2026-05-04T00:00:00"/>
    <s v="Monday"/>
    <n v="5"/>
    <n v="13.4"/>
    <x v="1"/>
    <x v="32"/>
    <s v="Male"/>
    <n v="70"/>
    <n v="110.2"/>
    <n v="15.9"/>
    <n v="13"/>
    <s v="WA"/>
    <n v="1"/>
    <n v="1216.8"/>
    <s v="Middle"/>
    <n v="0"/>
    <s v="Single-Day"/>
    <n v="0"/>
    <n v="0"/>
    <s v="Main Entrance"/>
    <s v="Toy Story Lot"/>
    <n v="5.8"/>
    <n v="8"/>
    <x v="2388"/>
  </r>
  <r>
    <n v="2520"/>
    <n v="829"/>
    <d v="2026-11-16T00:00:00"/>
    <s v="Monday"/>
    <n v="11"/>
    <n v="10.01"/>
    <x v="0"/>
    <x v="51"/>
    <s v="Female"/>
    <n v="62.8"/>
    <n v="144"/>
    <n v="25.7"/>
    <n v="13"/>
    <s v="Other"/>
    <n v="2"/>
    <n v="1788.5"/>
    <s v="Low"/>
    <n v="1"/>
    <s v="Single-Day"/>
    <n v="0"/>
    <n v="0"/>
    <s v="Main Entrance"/>
    <s v="Mickey &amp; Friends"/>
    <n v="6.4"/>
    <n v="8"/>
    <x v="2389"/>
  </r>
  <r>
    <n v="2521"/>
    <n v="829"/>
    <d v="2026-11-16T00:00:00"/>
    <s v="Monday"/>
    <n v="11"/>
    <n v="10"/>
    <x v="0"/>
    <x v="0"/>
    <s v="Male"/>
    <n v="64.900000000000006"/>
    <n v="113.5"/>
    <n v="19.100000000000001"/>
    <n v="14"/>
    <s v="Other"/>
    <n v="2"/>
    <n v="1788.5"/>
    <s v="Low"/>
    <n v="1"/>
    <s v="Single-Day"/>
    <n v="0"/>
    <n v="0"/>
    <s v="Main Entrance"/>
    <s v="Mickey &amp; Friends"/>
    <n v="9.5"/>
    <n v="6"/>
    <x v="2390"/>
  </r>
  <r>
    <n v="2522"/>
    <n v="830"/>
    <d v="2026-11-30T00:00:00"/>
    <s v="Monday"/>
    <n v="11"/>
    <n v="10.99"/>
    <x v="0"/>
    <x v="47"/>
    <s v="Male"/>
    <n v="71.400000000000006"/>
    <n v="206.5"/>
    <n v="28.5"/>
    <n v="13"/>
    <s v="CA"/>
    <n v="2"/>
    <n v="51.5"/>
    <s v="Low"/>
    <n v="0"/>
    <s v="Multi-Day"/>
    <n v="0"/>
    <n v="0"/>
    <s v="Main Entrance"/>
    <s v="Pixar Pals"/>
    <n v="8.1999999999999993"/>
    <n v="4"/>
    <x v="2391"/>
  </r>
  <r>
    <n v="2523"/>
    <n v="830"/>
    <d v="2026-11-30T00:00:00"/>
    <s v="Monday"/>
    <n v="11"/>
    <n v="11.02"/>
    <x v="1"/>
    <x v="22"/>
    <s v="Female"/>
    <n v="55.2"/>
    <n v="91.6"/>
    <n v="21.2"/>
    <n v="12"/>
    <s v="CA"/>
    <n v="2"/>
    <n v="51.5"/>
    <s v="Low"/>
    <n v="0"/>
    <s v="Multi-Day"/>
    <n v="0"/>
    <n v="0"/>
    <s v="Main Entrance"/>
    <s v="Pixar Pals"/>
    <n v="6"/>
    <n v="7"/>
    <x v="2041"/>
  </r>
  <r>
    <n v="2524"/>
    <n v="831"/>
    <d v="2026-02-18T00:00:00"/>
    <s v="Wednesday"/>
    <n v="2"/>
    <n v="7.51"/>
    <x v="0"/>
    <x v="48"/>
    <s v="Female"/>
    <n v="60.4"/>
    <n v="181.7"/>
    <n v="34.6"/>
    <n v="15"/>
    <s v="NV"/>
    <n v="3"/>
    <n v="422.2"/>
    <s v="Middle"/>
    <n v="0"/>
    <s v="Single-Day"/>
    <n v="0"/>
    <n v="0"/>
    <s v="Main Entrance"/>
    <s v="Pixar Pals"/>
    <n v="7.2"/>
    <n v="6"/>
    <x v="2392"/>
  </r>
  <r>
    <n v="2525"/>
    <n v="831"/>
    <d v="2026-02-18T00:00:00"/>
    <s v="Wednesday"/>
    <n v="2"/>
    <n v="7.48"/>
    <x v="0"/>
    <x v="71"/>
    <s v="Male"/>
    <n v="71.2"/>
    <n v="201.1"/>
    <n v="27.7"/>
    <n v="15"/>
    <s v="NV"/>
    <n v="3"/>
    <n v="422.2"/>
    <s v="Middle"/>
    <n v="0"/>
    <s v="Single-Day"/>
    <n v="0"/>
    <n v="0"/>
    <s v="Main Entrance"/>
    <s v="Pixar Pals"/>
    <n v="8.5"/>
    <n v="7"/>
    <x v="2393"/>
  </r>
  <r>
    <n v="2526"/>
    <n v="831"/>
    <d v="2026-02-18T00:00:00"/>
    <s v="Wednesday"/>
    <n v="2"/>
    <n v="7.74"/>
    <x v="0"/>
    <x v="79"/>
    <s v="Female"/>
    <n v="68.5"/>
    <n v="204.7"/>
    <n v="30.5"/>
    <n v="18"/>
    <s v="NV"/>
    <n v="3"/>
    <n v="422.2"/>
    <s v="Middle"/>
    <n v="0"/>
    <s v="Single-Day"/>
    <n v="0"/>
    <n v="0"/>
    <s v="Main Entrance"/>
    <s v="Pixar Pals"/>
    <n v="9.1999999999999993"/>
    <n v="7"/>
    <x v="2394"/>
  </r>
  <r>
    <n v="2527"/>
    <n v="832"/>
    <d v="2026-12-15T00:00:00"/>
    <s v="Tuesday"/>
    <n v="12"/>
    <n v="10.99"/>
    <x v="0"/>
    <x v="45"/>
    <s v="Male"/>
    <n v="69.900000000000006"/>
    <n v="199.6"/>
    <n v="28.9"/>
    <n v="18"/>
    <s v="Other"/>
    <n v="2"/>
    <n v="1149.0999999999999"/>
    <s v="Middle"/>
    <n v="1"/>
    <s v="Single-Day"/>
    <n v="0"/>
    <n v="0"/>
    <s v="Main Entrance"/>
    <s v="Mickey &amp; Friends"/>
    <n v="5.9"/>
    <n v="4"/>
    <x v="2395"/>
  </r>
  <r>
    <n v="2528"/>
    <n v="832"/>
    <d v="2026-12-15T00:00:00"/>
    <s v="Tuesday"/>
    <n v="12"/>
    <n v="11.21"/>
    <x v="1"/>
    <x v="59"/>
    <s v="Male"/>
    <n v="68.5"/>
    <n v="229.4"/>
    <n v="34.5"/>
    <n v="15"/>
    <s v="Other"/>
    <n v="2"/>
    <n v="1149.0999999999999"/>
    <s v="Middle"/>
    <n v="1"/>
    <s v="Single-Day"/>
    <n v="0"/>
    <n v="0"/>
    <s v="Main Entrance"/>
    <s v="Mickey &amp; Friends"/>
    <n v="9.9"/>
    <n v="7"/>
    <x v="2396"/>
  </r>
  <r>
    <n v="2529"/>
    <n v="833"/>
    <d v="2026-05-22T00:00:00"/>
    <s v="Friday"/>
    <n v="5"/>
    <n v="9.44"/>
    <x v="0"/>
    <x v="0"/>
    <s v="Female"/>
    <n v="64"/>
    <n v="107.1"/>
    <n v="18.399999999999999"/>
    <n v="15"/>
    <s v="CA"/>
    <n v="3"/>
    <n v="75.599999999999994"/>
    <s v="Low"/>
    <n v="1"/>
    <s v="Park Hopper"/>
    <n v="1"/>
    <n v="1"/>
    <s v="Downtown Disney Gate"/>
    <s v="None/Walked from Resort"/>
    <n v="12"/>
    <n v="15"/>
    <x v="2397"/>
  </r>
  <r>
    <n v="2530"/>
    <n v="833"/>
    <d v="2026-05-22T00:00:00"/>
    <s v="Friday"/>
    <n v="5"/>
    <n v="9.5500000000000007"/>
    <x v="0"/>
    <x v="45"/>
    <s v="Female"/>
    <n v="61.8"/>
    <n v="166.2"/>
    <n v="30.3"/>
    <n v="12"/>
    <s v="CA"/>
    <n v="3"/>
    <n v="75.599999999999994"/>
    <s v="Low"/>
    <n v="1"/>
    <s v="Park Hopper"/>
    <n v="1"/>
    <n v="1"/>
    <s v="Downtown Disney Gate"/>
    <s v="None/Walked from Resort"/>
    <n v="11.1"/>
    <n v="17"/>
    <x v="2398"/>
  </r>
  <r>
    <n v="2531"/>
    <n v="833"/>
    <d v="2026-05-22T00:00:00"/>
    <s v="Friday"/>
    <n v="5"/>
    <n v="9.5500000000000007"/>
    <x v="0"/>
    <x v="14"/>
    <s v="Female"/>
    <n v="65.599999999999994"/>
    <n v="137.5"/>
    <n v="22.4"/>
    <n v="16"/>
    <s v="CA"/>
    <n v="3"/>
    <n v="75.599999999999994"/>
    <s v="Low"/>
    <n v="1"/>
    <s v="Park Hopper"/>
    <n v="1"/>
    <n v="1"/>
    <s v="Downtown Disney Gate"/>
    <s v="None/Walked from Resort"/>
    <n v="9.4"/>
    <n v="9"/>
    <x v="2399"/>
  </r>
  <r>
    <n v="2532"/>
    <n v="834"/>
    <d v="2026-06-13T00:00:00"/>
    <s v="Saturday"/>
    <n v="6"/>
    <n v="10.62"/>
    <x v="0"/>
    <x v="41"/>
    <s v="Male"/>
    <n v="71.5"/>
    <n v="212.4"/>
    <n v="29.3"/>
    <n v="14"/>
    <s v="CA"/>
    <n v="2"/>
    <n v="104.7"/>
    <s v="High"/>
    <n v="0"/>
    <s v="Single-Day"/>
    <n v="0"/>
    <n v="1"/>
    <s v="Main Entrance"/>
    <s v="None/Walked from Resort"/>
    <n v="9.6"/>
    <n v="5"/>
    <x v="2400"/>
  </r>
  <r>
    <n v="2533"/>
    <n v="834"/>
    <d v="2026-06-13T00:00:00"/>
    <s v="Saturday"/>
    <n v="6"/>
    <n v="10.47"/>
    <x v="0"/>
    <x v="69"/>
    <s v="Female"/>
    <n v="66.400000000000006"/>
    <n v="183.6"/>
    <n v="29.1"/>
    <n v="17"/>
    <s v="CA"/>
    <n v="2"/>
    <n v="104.7"/>
    <s v="High"/>
    <n v="0"/>
    <s v="Single-Day"/>
    <n v="0"/>
    <n v="1"/>
    <s v="Main Entrance"/>
    <s v="None/Walked from Resort"/>
    <n v="7.9"/>
    <n v="2"/>
    <x v="2401"/>
  </r>
  <r>
    <n v="2534"/>
    <n v="835"/>
    <d v="2026-03-11T00:00:00"/>
    <s v="Wednesday"/>
    <n v="3"/>
    <n v="8.56"/>
    <x v="0"/>
    <x v="67"/>
    <s v="Female"/>
    <n v="65.400000000000006"/>
    <n v="124.1"/>
    <n v="20.3"/>
    <n v="14"/>
    <s v="NY"/>
    <n v="4"/>
    <n v="2718"/>
    <s v="High"/>
    <n v="1"/>
    <s v="Multi-Day"/>
    <n v="1"/>
    <n v="0"/>
    <s v="Downtown Disney Gate"/>
    <s v="None/Dropoff/Transit"/>
    <n v="6.5"/>
    <n v="5"/>
    <x v="2402"/>
  </r>
  <r>
    <n v="2535"/>
    <n v="835"/>
    <d v="2026-03-11T00:00:00"/>
    <s v="Wednesday"/>
    <n v="3"/>
    <n v="8.6999999999999993"/>
    <x v="0"/>
    <x v="17"/>
    <s v="Female"/>
    <n v="65.900000000000006"/>
    <n v="192.2"/>
    <n v="31.2"/>
    <n v="17"/>
    <s v="NY"/>
    <n v="4"/>
    <n v="2718"/>
    <s v="High"/>
    <n v="1"/>
    <s v="Multi-Day"/>
    <n v="1"/>
    <n v="0"/>
    <s v="Downtown Disney Gate"/>
    <s v="None/Dropoff/Transit"/>
    <n v="8.4"/>
    <n v="5"/>
    <x v="2403"/>
  </r>
  <r>
    <n v="2536"/>
    <n v="835"/>
    <d v="2026-03-11T00:00:00"/>
    <s v="Wednesday"/>
    <n v="3"/>
    <n v="8.44"/>
    <x v="0"/>
    <x v="9"/>
    <s v="Female"/>
    <n v="59.6"/>
    <n v="124.1"/>
    <n v="24.6"/>
    <n v="16"/>
    <s v="NY"/>
    <n v="4"/>
    <n v="2718"/>
    <s v="High"/>
    <n v="1"/>
    <s v="Multi-Day"/>
    <n v="1"/>
    <n v="0"/>
    <s v="Downtown Disney Gate"/>
    <s v="None/Dropoff/Transit"/>
    <n v="8.1999999999999993"/>
    <n v="9"/>
    <x v="2404"/>
  </r>
  <r>
    <n v="2537"/>
    <n v="835"/>
    <d v="2026-03-11T00:00:00"/>
    <s v="Wednesday"/>
    <n v="3"/>
    <n v="8.5399999999999991"/>
    <x v="0"/>
    <x v="21"/>
    <s v="Male"/>
    <n v="64.900000000000006"/>
    <n v="172.9"/>
    <n v="28.9"/>
    <n v="16"/>
    <s v="NY"/>
    <n v="4"/>
    <n v="2718"/>
    <s v="High"/>
    <n v="1"/>
    <s v="Multi-Day"/>
    <n v="1"/>
    <n v="0"/>
    <s v="Downtown Disney Gate"/>
    <s v="None/Dropoff/Transit"/>
    <n v="8.6999999999999993"/>
    <n v="9"/>
    <x v="2405"/>
  </r>
  <r>
    <n v="2538"/>
    <n v="836"/>
    <d v="2026-12-24T00:00:00"/>
    <s v="Thursday"/>
    <n v="12"/>
    <n v="9.0399999999999991"/>
    <x v="0"/>
    <x v="0"/>
    <s v="Female"/>
    <n v="65.599999999999994"/>
    <n v="169.4"/>
    <n v="27.7"/>
    <n v="15"/>
    <s v="NV"/>
    <n v="6"/>
    <n v="175.4"/>
    <s v="Low"/>
    <n v="1"/>
    <s v="Multi-Day"/>
    <n v="0"/>
    <n v="0"/>
    <s v="Main Entrance"/>
    <s v="Toy Story Lot"/>
    <n v="7.6"/>
    <n v="3"/>
    <x v="2406"/>
  </r>
  <r>
    <n v="2539"/>
    <n v="836"/>
    <d v="2026-12-24T00:00:00"/>
    <s v="Thursday"/>
    <n v="12"/>
    <n v="9.11"/>
    <x v="0"/>
    <x v="50"/>
    <s v="Female"/>
    <n v="62.6"/>
    <n v="105.5"/>
    <n v="19.2"/>
    <n v="8"/>
    <s v="NV"/>
    <n v="6"/>
    <n v="175.4"/>
    <s v="Low"/>
    <n v="1"/>
    <s v="Multi-Day"/>
    <n v="0"/>
    <n v="0"/>
    <s v="Main Entrance"/>
    <s v="Toy Story Lot"/>
    <n v="6.3"/>
    <n v="8"/>
    <x v="2407"/>
  </r>
  <r>
    <n v="2540"/>
    <n v="836"/>
    <d v="2026-12-24T00:00:00"/>
    <s v="Thursday"/>
    <n v="12"/>
    <n v="9.17"/>
    <x v="0"/>
    <x v="70"/>
    <s v="Female"/>
    <n v="70"/>
    <n v="180.8"/>
    <n v="26.2"/>
    <n v="14"/>
    <s v="NV"/>
    <n v="6"/>
    <n v="175.4"/>
    <s v="Low"/>
    <n v="1"/>
    <s v="Multi-Day"/>
    <n v="0"/>
    <n v="0"/>
    <s v="Main Entrance"/>
    <s v="Toy Story Lot"/>
    <n v="10"/>
    <n v="10"/>
    <x v="2408"/>
  </r>
  <r>
    <n v="2541"/>
    <n v="836"/>
    <d v="2026-12-24T00:00:00"/>
    <s v="Thursday"/>
    <n v="12"/>
    <n v="9.1"/>
    <x v="0"/>
    <x v="60"/>
    <s v="Male"/>
    <n v="66.3"/>
    <n v="130.6"/>
    <n v="20.8"/>
    <n v="13"/>
    <s v="NV"/>
    <n v="6"/>
    <n v="175.4"/>
    <s v="Low"/>
    <n v="1"/>
    <s v="Multi-Day"/>
    <n v="0"/>
    <n v="0"/>
    <s v="Main Entrance"/>
    <s v="Toy Story Lot"/>
    <n v="9.5"/>
    <n v="5"/>
    <x v="2409"/>
  </r>
  <r>
    <n v="2542"/>
    <n v="836"/>
    <d v="2026-12-24T00:00:00"/>
    <s v="Thursday"/>
    <n v="12"/>
    <n v="9.27"/>
    <x v="0"/>
    <x v="42"/>
    <s v="Male"/>
    <n v="70.599999999999994"/>
    <n v="160.69999999999999"/>
    <n v="22.4"/>
    <n v="12"/>
    <s v="NV"/>
    <n v="6"/>
    <n v="175.4"/>
    <s v="Low"/>
    <n v="1"/>
    <s v="Multi-Day"/>
    <n v="0"/>
    <n v="0"/>
    <s v="Main Entrance"/>
    <s v="Toy Story Lot"/>
    <n v="7.9"/>
    <n v="8"/>
    <x v="2410"/>
  </r>
  <r>
    <n v="2543"/>
    <n v="836"/>
    <d v="2026-12-24T00:00:00"/>
    <s v="Thursday"/>
    <n v="12"/>
    <n v="9.07"/>
    <x v="0"/>
    <x v="71"/>
    <s v="Nonbinary/Other"/>
    <n v="65.900000000000006"/>
    <n v="197.1"/>
    <n v="32.1"/>
    <n v="15"/>
    <s v="NV"/>
    <n v="6"/>
    <n v="175.4"/>
    <s v="Low"/>
    <n v="1"/>
    <s v="Multi-Day"/>
    <n v="0"/>
    <n v="0"/>
    <s v="Main Entrance"/>
    <s v="Toy Story Lot"/>
    <n v="8.1"/>
    <n v="9"/>
    <x v="2348"/>
  </r>
  <r>
    <n v="2544"/>
    <n v="837"/>
    <d v="2026-06-19T00:00:00"/>
    <s v="Friday"/>
    <n v="6"/>
    <n v="10.36"/>
    <x v="0"/>
    <x v="27"/>
    <s v="Female"/>
    <n v="65"/>
    <n v="152.69999999999999"/>
    <n v="25.6"/>
    <n v="16"/>
    <s v="AZ"/>
    <n v="5"/>
    <n v="363.6"/>
    <s v="Middle"/>
    <n v="1"/>
    <s v="Multi-Day"/>
    <n v="1"/>
    <n v="1"/>
    <s v="Main Entrance"/>
    <s v="Pixar Pals"/>
    <n v="9.1999999999999993"/>
    <n v="14"/>
    <x v="2411"/>
  </r>
  <r>
    <n v="2545"/>
    <n v="837"/>
    <d v="2026-06-19T00:00:00"/>
    <s v="Friday"/>
    <n v="6"/>
    <n v="10.31"/>
    <x v="0"/>
    <x v="41"/>
    <s v="Female"/>
    <n v="65.400000000000006"/>
    <n v="113.7"/>
    <n v="19.2"/>
    <n v="15"/>
    <s v="AZ"/>
    <n v="5"/>
    <n v="363.6"/>
    <s v="Middle"/>
    <n v="1"/>
    <s v="Multi-Day"/>
    <n v="1"/>
    <n v="1"/>
    <s v="Main Entrance"/>
    <s v="Pixar Pals"/>
    <n v="11.7"/>
    <n v="9"/>
    <x v="2412"/>
  </r>
  <r>
    <n v="2546"/>
    <n v="837"/>
    <d v="2026-06-19T00:00:00"/>
    <s v="Friday"/>
    <n v="6"/>
    <n v="10.49"/>
    <x v="0"/>
    <x v="21"/>
    <s v="Female"/>
    <n v="58.5"/>
    <n v="133.6"/>
    <n v="27.5"/>
    <n v="17"/>
    <s v="AZ"/>
    <n v="5"/>
    <n v="363.6"/>
    <s v="Middle"/>
    <n v="1"/>
    <s v="Multi-Day"/>
    <n v="1"/>
    <n v="1"/>
    <s v="Main Entrance"/>
    <s v="Pixar Pals"/>
    <n v="10.199999999999999"/>
    <n v="11"/>
    <x v="2413"/>
  </r>
  <r>
    <n v="2547"/>
    <n v="837"/>
    <d v="2026-06-19T00:00:00"/>
    <s v="Friday"/>
    <n v="6"/>
    <n v="10.63"/>
    <x v="0"/>
    <x v="32"/>
    <s v="Female"/>
    <n v="64.5"/>
    <n v="161"/>
    <n v="27.4"/>
    <n v="14"/>
    <s v="AZ"/>
    <n v="5"/>
    <n v="363.6"/>
    <s v="Middle"/>
    <n v="1"/>
    <s v="Multi-Day"/>
    <n v="1"/>
    <n v="1"/>
    <s v="Main Entrance"/>
    <s v="Pixar Pals"/>
    <n v="9.4"/>
    <n v="6"/>
    <x v="2414"/>
  </r>
  <r>
    <n v="2548"/>
    <n v="837"/>
    <d v="2026-06-19T00:00:00"/>
    <s v="Friday"/>
    <n v="6"/>
    <n v="10.36"/>
    <x v="0"/>
    <x v="39"/>
    <s v="Female"/>
    <n v="63"/>
    <n v="109.6"/>
    <n v="19.8"/>
    <n v="16"/>
    <s v="AZ"/>
    <n v="5"/>
    <n v="363.6"/>
    <s v="Middle"/>
    <n v="1"/>
    <s v="Multi-Day"/>
    <n v="1"/>
    <n v="1"/>
    <s v="Main Entrance"/>
    <s v="Pixar Pals"/>
    <n v="13"/>
    <n v="14"/>
    <x v="2415"/>
  </r>
  <r>
    <n v="2549"/>
    <n v="838"/>
    <d v="2026-05-13T00:00:00"/>
    <s v="Wednesday"/>
    <n v="5"/>
    <n v="12"/>
    <x v="1"/>
    <x v="50"/>
    <s v="Female"/>
    <n v="67.2"/>
    <n v="111.4"/>
    <n v="17.3"/>
    <n v="14"/>
    <s v="CA"/>
    <n v="4"/>
    <n v="252.9"/>
    <s v="Middle"/>
    <n v="1"/>
    <s v="Park Hopper"/>
    <n v="0"/>
    <n v="1"/>
    <s v="Downtown Disney Gate"/>
    <s v="None/Walked from Resort"/>
    <n v="7.1"/>
    <n v="9"/>
    <x v="2416"/>
  </r>
  <r>
    <n v="2550"/>
    <n v="838"/>
    <d v="2026-05-13T00:00:00"/>
    <s v="Wednesday"/>
    <n v="5"/>
    <n v="11.94"/>
    <x v="1"/>
    <x v="5"/>
    <s v="Male"/>
    <n v="69.3"/>
    <n v="130.6"/>
    <n v="19.600000000000001"/>
    <n v="18"/>
    <s v="CA"/>
    <n v="4"/>
    <n v="252.9"/>
    <s v="Middle"/>
    <n v="1"/>
    <s v="Park Hopper"/>
    <n v="0"/>
    <n v="1"/>
    <s v="Downtown Disney Gate"/>
    <s v="None/Walked from Resort"/>
    <n v="10.1"/>
    <n v="9"/>
    <x v="2417"/>
  </r>
  <r>
    <n v="2551"/>
    <n v="838"/>
    <d v="2026-05-13T00:00:00"/>
    <s v="Wednesday"/>
    <n v="5"/>
    <n v="11.95"/>
    <x v="1"/>
    <x v="20"/>
    <s v="Male"/>
    <n v="70"/>
    <n v="154.4"/>
    <n v="22.3"/>
    <n v="11"/>
    <s v="CA"/>
    <n v="4"/>
    <n v="252.9"/>
    <s v="Middle"/>
    <n v="1"/>
    <s v="Park Hopper"/>
    <n v="0"/>
    <n v="1"/>
    <s v="Downtown Disney Gate"/>
    <s v="None/Walked from Resort"/>
    <n v="10.6"/>
    <n v="11"/>
    <x v="2418"/>
  </r>
  <r>
    <n v="2552"/>
    <n v="838"/>
    <d v="2026-05-13T00:00:00"/>
    <s v="Wednesday"/>
    <n v="5"/>
    <n v="11.93"/>
    <x v="1"/>
    <x v="2"/>
    <s v="Female"/>
    <n v="62.5"/>
    <n v="168.2"/>
    <n v="30.2"/>
    <n v="15"/>
    <s v="CA"/>
    <n v="4"/>
    <n v="252.9"/>
    <s v="Middle"/>
    <n v="1"/>
    <s v="Park Hopper"/>
    <n v="0"/>
    <n v="1"/>
    <s v="Downtown Disney Gate"/>
    <s v="None/Walked from Resort"/>
    <n v="10.5"/>
    <n v="15"/>
    <x v="2419"/>
  </r>
  <r>
    <n v="2553"/>
    <n v="839"/>
    <d v="2026-11-16T00:00:00"/>
    <s v="Monday"/>
    <n v="11"/>
    <n v="15.33"/>
    <x v="2"/>
    <x v="62"/>
    <s v="Female"/>
    <n v="68.2"/>
    <n v="166.5"/>
    <n v="25.2"/>
    <n v="16"/>
    <s v="NV"/>
    <n v="2"/>
    <n v="402.1"/>
    <s v="High"/>
    <n v="0"/>
    <s v="Single-Day"/>
    <n v="0"/>
    <n v="0"/>
    <s v="Main Entrance"/>
    <s v="Mickey &amp; Friends"/>
    <n v="7.5"/>
    <n v="6"/>
    <x v="2420"/>
  </r>
  <r>
    <n v="2554"/>
    <n v="839"/>
    <d v="2026-11-16T00:00:00"/>
    <s v="Monday"/>
    <n v="11"/>
    <n v="15.13"/>
    <x v="2"/>
    <x v="48"/>
    <s v="Male"/>
    <n v="70.400000000000006"/>
    <n v="159.1"/>
    <n v="22.6"/>
    <n v="16"/>
    <s v="NV"/>
    <n v="2"/>
    <n v="402.1"/>
    <s v="High"/>
    <n v="0"/>
    <s v="Single-Day"/>
    <n v="0"/>
    <n v="0"/>
    <s v="Main Entrance"/>
    <s v="Mickey &amp; Friends"/>
    <n v="6"/>
    <n v="7"/>
    <x v="2421"/>
  </r>
  <r>
    <n v="2555"/>
    <n v="840"/>
    <d v="2026-10-28T00:00:00"/>
    <s v="Wednesday"/>
    <n v="10"/>
    <n v="9.52"/>
    <x v="0"/>
    <x v="71"/>
    <s v="Female"/>
    <n v="64.400000000000006"/>
    <n v="184.2"/>
    <n v="30.8"/>
    <n v="18"/>
    <s v="WA"/>
    <n v="5"/>
    <n v="1389.5"/>
    <s v="Middle"/>
    <n v="1"/>
    <s v="Multi-Day"/>
    <n v="0"/>
    <n v="1"/>
    <s v="Hotel Guest Entrance"/>
    <s v="Mickey &amp; Friends"/>
    <n v="9.5"/>
    <n v="14"/>
    <x v="2422"/>
  </r>
  <r>
    <n v="2556"/>
    <n v="840"/>
    <d v="2026-10-28T00:00:00"/>
    <s v="Wednesday"/>
    <n v="10"/>
    <n v="9.58"/>
    <x v="0"/>
    <x v="62"/>
    <s v="Female"/>
    <n v="57.5"/>
    <n v="102.8"/>
    <n v="21.8"/>
    <n v="14"/>
    <s v="WA"/>
    <n v="5"/>
    <n v="1389.5"/>
    <s v="Middle"/>
    <n v="1"/>
    <s v="Multi-Day"/>
    <n v="0"/>
    <n v="1"/>
    <s v="Hotel Guest Entrance"/>
    <s v="Mickey &amp; Friends"/>
    <n v="8.9"/>
    <n v="12"/>
    <x v="2423"/>
  </r>
  <r>
    <n v="2557"/>
    <n v="840"/>
    <d v="2026-10-28T00:00:00"/>
    <s v="Wednesday"/>
    <n v="10"/>
    <n v="9.77"/>
    <x v="0"/>
    <x v="31"/>
    <s v="Female"/>
    <n v="63.1"/>
    <n v="139.6"/>
    <n v="24.6"/>
    <n v="17"/>
    <s v="WA"/>
    <n v="5"/>
    <n v="1389.5"/>
    <s v="Middle"/>
    <n v="1"/>
    <s v="Multi-Day"/>
    <n v="0"/>
    <n v="1"/>
    <s v="Hotel Guest Entrance"/>
    <s v="Mickey &amp; Friends"/>
    <n v="9.6"/>
    <n v="9"/>
    <x v="2424"/>
  </r>
  <r>
    <n v="2558"/>
    <n v="840"/>
    <d v="2026-10-28T00:00:00"/>
    <s v="Wednesday"/>
    <n v="10"/>
    <n v="9.6199999999999992"/>
    <x v="0"/>
    <x v="33"/>
    <s v="Female"/>
    <n v="60.9"/>
    <n v="164.7"/>
    <n v="31.1"/>
    <n v="14"/>
    <s v="WA"/>
    <n v="5"/>
    <n v="1389.5"/>
    <s v="Middle"/>
    <n v="1"/>
    <s v="Multi-Day"/>
    <n v="0"/>
    <n v="1"/>
    <s v="Hotel Guest Entrance"/>
    <s v="Mickey &amp; Friends"/>
    <n v="8.4"/>
    <n v="5"/>
    <x v="2425"/>
  </r>
  <r>
    <n v="2559"/>
    <n v="840"/>
    <d v="2026-10-28T00:00:00"/>
    <s v="Wednesday"/>
    <n v="10"/>
    <n v="9.76"/>
    <x v="0"/>
    <x v="11"/>
    <s v="Female"/>
    <n v="61.7"/>
    <n v="147.80000000000001"/>
    <n v="27.3"/>
    <n v="16"/>
    <s v="WA"/>
    <n v="5"/>
    <n v="1389.5"/>
    <s v="Middle"/>
    <n v="1"/>
    <s v="Multi-Day"/>
    <n v="0"/>
    <n v="1"/>
    <s v="Hotel Guest Entrance"/>
    <s v="Mickey &amp; Friends"/>
    <n v="7.1"/>
    <n v="4"/>
    <x v="2426"/>
  </r>
  <r>
    <n v="2560"/>
    <n v="841"/>
    <d v="2026-01-06T00:00:00"/>
    <s v="Tuesday"/>
    <n v="1"/>
    <n v="10.029999999999999"/>
    <x v="0"/>
    <x v="69"/>
    <s v="Male"/>
    <n v="68.2"/>
    <n v="95.1"/>
    <n v="14.4"/>
    <n v="14"/>
    <s v="UT"/>
    <n v="5"/>
    <n v="661"/>
    <s v="Middle"/>
    <n v="0"/>
    <s v="Multi-Day"/>
    <n v="1"/>
    <n v="0"/>
    <s v="Main Entrance"/>
    <s v="Pixar Pals"/>
    <n v="8.6999999999999993"/>
    <n v="18"/>
    <x v="2427"/>
  </r>
  <r>
    <n v="2561"/>
    <n v="841"/>
    <d v="2026-01-06T00:00:00"/>
    <s v="Tuesday"/>
    <n v="1"/>
    <n v="10.039999999999999"/>
    <x v="0"/>
    <x v="39"/>
    <s v="Male"/>
    <n v="68.099999999999994"/>
    <n v="148.19999999999999"/>
    <n v="22.2"/>
    <n v="17"/>
    <s v="UT"/>
    <n v="5"/>
    <n v="661"/>
    <s v="Middle"/>
    <n v="0"/>
    <s v="Multi-Day"/>
    <n v="1"/>
    <n v="0"/>
    <s v="Main Entrance"/>
    <s v="Pixar Pals"/>
    <n v="3.5"/>
    <n v="6"/>
    <x v="630"/>
  </r>
  <r>
    <n v="2562"/>
    <n v="841"/>
    <d v="2026-01-06T00:00:00"/>
    <s v="Tuesday"/>
    <n v="1"/>
    <n v="10.15"/>
    <x v="0"/>
    <x v="60"/>
    <s v="Female"/>
    <n v="63.6"/>
    <n v="123.4"/>
    <n v="21.5"/>
    <n v="15"/>
    <s v="UT"/>
    <n v="5"/>
    <n v="661"/>
    <s v="Middle"/>
    <n v="0"/>
    <s v="Multi-Day"/>
    <n v="1"/>
    <n v="0"/>
    <s v="Main Entrance"/>
    <s v="Pixar Pals"/>
    <n v="9.5"/>
    <n v="11"/>
    <x v="2428"/>
  </r>
  <r>
    <n v="2563"/>
    <n v="841"/>
    <d v="2026-01-06T00:00:00"/>
    <s v="Tuesday"/>
    <n v="1"/>
    <n v="10.23"/>
    <x v="0"/>
    <x v="30"/>
    <s v="Female"/>
    <n v="64.5"/>
    <n v="113.8"/>
    <n v="19.100000000000001"/>
    <n v="16"/>
    <s v="UT"/>
    <n v="5"/>
    <n v="661"/>
    <s v="Middle"/>
    <n v="0"/>
    <s v="Multi-Day"/>
    <n v="1"/>
    <n v="0"/>
    <s v="Main Entrance"/>
    <s v="Pixar Pals"/>
    <n v="8"/>
    <n v="14"/>
    <x v="2429"/>
  </r>
  <r>
    <n v="2564"/>
    <n v="841"/>
    <d v="2026-01-06T00:00:00"/>
    <s v="Tuesday"/>
    <n v="1"/>
    <n v="10.08"/>
    <x v="0"/>
    <x v="2"/>
    <s v="Female"/>
    <n v="61.7"/>
    <n v="135.30000000000001"/>
    <n v="24.9"/>
    <n v="18"/>
    <s v="UT"/>
    <n v="5"/>
    <n v="661"/>
    <s v="Middle"/>
    <n v="0"/>
    <s v="Multi-Day"/>
    <n v="1"/>
    <n v="0"/>
    <s v="Main Entrance"/>
    <s v="Pixar Pals"/>
    <n v="8.3000000000000007"/>
    <n v="8"/>
    <x v="2430"/>
  </r>
  <r>
    <n v="2565"/>
    <n v="842"/>
    <d v="2026-09-12T00:00:00"/>
    <s v="Saturday"/>
    <n v="9"/>
    <n v="9.15"/>
    <x v="0"/>
    <x v="66"/>
    <s v="Male"/>
    <n v="72.2"/>
    <n v="183.6"/>
    <n v="24.7"/>
    <n v="14"/>
    <s v="OR"/>
    <n v="2"/>
    <n v="794.5"/>
    <s v="Middle"/>
    <n v="1"/>
    <s v="Single-Day"/>
    <n v="0"/>
    <n v="0"/>
    <s v="Main Entrance"/>
    <s v="Mickey &amp; Friends"/>
    <n v="9.5"/>
    <n v="3"/>
    <x v="2431"/>
  </r>
  <r>
    <n v="2566"/>
    <n v="842"/>
    <d v="2026-09-12T00:00:00"/>
    <s v="Saturday"/>
    <n v="9"/>
    <n v="9.15"/>
    <x v="0"/>
    <x v="58"/>
    <s v="Male"/>
    <n v="67.400000000000006"/>
    <n v="160.9"/>
    <n v="24.8"/>
    <n v="15"/>
    <s v="OR"/>
    <n v="2"/>
    <n v="794.5"/>
    <s v="Middle"/>
    <n v="1"/>
    <s v="Single-Day"/>
    <n v="0"/>
    <n v="0"/>
    <s v="Main Entrance"/>
    <s v="Mickey &amp; Friends"/>
    <n v="9.6999999999999993"/>
    <n v="9"/>
    <x v="2432"/>
  </r>
  <r>
    <n v="2567"/>
    <n v="843"/>
    <d v="2026-12-08T00:00:00"/>
    <s v="Tuesday"/>
    <n v="12"/>
    <n v="10.57"/>
    <x v="0"/>
    <x v="16"/>
    <s v="Nonbinary/Other"/>
    <n v="56.9"/>
    <n v="78.2"/>
    <n v="16.8"/>
    <n v="10"/>
    <s v="CA"/>
    <n v="1"/>
    <n v="81.400000000000006"/>
    <s v="Middle"/>
    <n v="1"/>
    <s v="Single-Day"/>
    <n v="0"/>
    <n v="1"/>
    <s v="Main Entrance"/>
    <s v="None/Walked from Resort"/>
    <n v="6.6"/>
    <n v="2"/>
    <x v="2433"/>
  </r>
  <r>
    <n v="2568"/>
    <n v="844"/>
    <d v="2026-04-27T00:00:00"/>
    <s v="Monday"/>
    <n v="4"/>
    <n v="9.5"/>
    <x v="0"/>
    <x v="30"/>
    <s v="Female"/>
    <n v="66.8"/>
    <n v="148"/>
    <n v="23.4"/>
    <n v="18"/>
    <s v="AZ"/>
    <n v="5"/>
    <n v="345.2"/>
    <s v="Middle"/>
    <n v="1"/>
    <s v="Single-Day"/>
    <n v="0"/>
    <n v="0"/>
    <s v="Main Entrance"/>
    <s v="Pixar Pals"/>
    <n v="11.2"/>
    <n v="11"/>
    <x v="2434"/>
  </r>
  <r>
    <n v="2569"/>
    <n v="844"/>
    <d v="2026-04-27T00:00:00"/>
    <s v="Monday"/>
    <n v="4"/>
    <n v="9.61"/>
    <x v="0"/>
    <x v="36"/>
    <s v="Male"/>
    <n v="64.599999999999994"/>
    <n v="146"/>
    <n v="24.4"/>
    <n v="10"/>
    <s v="AZ"/>
    <n v="5"/>
    <n v="345.2"/>
    <s v="Middle"/>
    <n v="1"/>
    <s v="Single-Day"/>
    <n v="0"/>
    <n v="0"/>
    <s v="Main Entrance"/>
    <s v="Pixar Pals"/>
    <n v="7.6"/>
    <n v="10"/>
    <x v="2435"/>
  </r>
  <r>
    <n v="2570"/>
    <n v="844"/>
    <d v="2026-04-27T00:00:00"/>
    <s v="Monday"/>
    <n v="4"/>
    <n v="9.52"/>
    <x v="0"/>
    <x v="7"/>
    <s v="Female"/>
    <n v="57.7"/>
    <n v="102.3"/>
    <n v="21.6"/>
    <n v="14"/>
    <s v="AZ"/>
    <n v="5"/>
    <n v="345.2"/>
    <s v="Middle"/>
    <n v="1"/>
    <s v="Single-Day"/>
    <n v="0"/>
    <n v="0"/>
    <s v="Main Entrance"/>
    <s v="Pixar Pals"/>
    <n v="10.1"/>
    <n v="13"/>
    <x v="2436"/>
  </r>
  <r>
    <n v="2571"/>
    <n v="844"/>
    <d v="2026-04-27T00:00:00"/>
    <s v="Monday"/>
    <n v="4"/>
    <n v="9.3699999999999992"/>
    <x v="0"/>
    <x v="70"/>
    <s v="Female"/>
    <n v="70"/>
    <n v="142.1"/>
    <n v="20.5"/>
    <n v="13"/>
    <s v="AZ"/>
    <n v="5"/>
    <n v="345.2"/>
    <s v="Middle"/>
    <n v="1"/>
    <s v="Single-Day"/>
    <n v="0"/>
    <n v="0"/>
    <s v="Main Entrance"/>
    <s v="Pixar Pals"/>
    <n v="11.2"/>
    <n v="12"/>
    <x v="2437"/>
  </r>
  <r>
    <n v="2572"/>
    <n v="844"/>
    <d v="2026-04-27T00:00:00"/>
    <s v="Monday"/>
    <n v="4"/>
    <n v="9.57"/>
    <x v="0"/>
    <x v="29"/>
    <s v="Male"/>
    <n v="64.099999999999994"/>
    <n v="156"/>
    <n v="26.6"/>
    <n v="12"/>
    <s v="AZ"/>
    <n v="5"/>
    <n v="345.2"/>
    <s v="Middle"/>
    <n v="1"/>
    <s v="Single-Day"/>
    <n v="0"/>
    <n v="0"/>
    <s v="Main Entrance"/>
    <s v="Pixar Pals"/>
    <n v="6.4"/>
    <n v="9"/>
    <x v="2438"/>
  </r>
  <r>
    <n v="2573"/>
    <n v="845"/>
    <d v="2026-02-10T00:00:00"/>
    <s v="Tuesday"/>
    <n v="2"/>
    <n v="12.28"/>
    <x v="1"/>
    <x v="59"/>
    <s v="Female"/>
    <n v="62.9"/>
    <n v="165.3"/>
    <n v="29.4"/>
    <n v="16"/>
    <s v="CA"/>
    <n v="2"/>
    <n v="72.3"/>
    <s v="High"/>
    <n v="0"/>
    <s v="Single-Day"/>
    <n v="0"/>
    <n v="1"/>
    <s v="Main Entrance"/>
    <s v="Mickey &amp; Friends"/>
    <n v="8.1"/>
    <n v="11"/>
    <x v="2439"/>
  </r>
  <r>
    <n v="2574"/>
    <n v="845"/>
    <d v="2026-02-10T00:00:00"/>
    <s v="Tuesday"/>
    <n v="2"/>
    <n v="12.21"/>
    <x v="1"/>
    <x v="8"/>
    <s v="Female"/>
    <n v="61.2"/>
    <n v="170.6"/>
    <n v="32.200000000000003"/>
    <n v="18"/>
    <s v="CA"/>
    <n v="2"/>
    <n v="72.3"/>
    <s v="High"/>
    <n v="0"/>
    <s v="Single-Day"/>
    <n v="0"/>
    <n v="1"/>
    <s v="Main Entrance"/>
    <s v="Mickey &amp; Friends"/>
    <n v="8.4"/>
    <n v="1"/>
    <x v="2440"/>
  </r>
  <r>
    <n v="2575"/>
    <n v="846"/>
    <d v="2026-05-12T00:00:00"/>
    <s v="Tuesday"/>
    <n v="5"/>
    <n v="7.9"/>
    <x v="0"/>
    <x v="36"/>
    <s v="Female"/>
    <n v="60.9"/>
    <n v="138"/>
    <n v="26.1"/>
    <n v="16"/>
    <s v="NV"/>
    <n v="1"/>
    <n v="264.5"/>
    <s v="Middle"/>
    <n v="0"/>
    <s v="Multi-Day"/>
    <n v="0"/>
    <n v="0"/>
    <s v="Main Entrance"/>
    <s v="Mickey &amp; Friends"/>
    <n v="9.5"/>
    <n v="8"/>
    <x v="2441"/>
  </r>
  <r>
    <n v="2576"/>
    <n v="847"/>
    <d v="2026-08-10T00:00:00"/>
    <s v="Monday"/>
    <n v="8"/>
    <n v="10.38"/>
    <x v="0"/>
    <x v="71"/>
    <s v="Male"/>
    <n v="70.2"/>
    <n v="139.1"/>
    <n v="19.899999999999999"/>
    <n v="20"/>
    <s v="CA"/>
    <n v="1"/>
    <n v="85.6"/>
    <s v="Middle"/>
    <n v="0"/>
    <s v="Single-Day"/>
    <n v="0"/>
    <n v="0"/>
    <s v="Downtown Disney Gate"/>
    <s v="Pixar Pals"/>
    <n v="4.5999999999999996"/>
    <n v="6"/>
    <x v="2442"/>
  </r>
  <r>
    <n v="2577"/>
    <n v="848"/>
    <d v="2026-04-07T00:00:00"/>
    <s v="Tuesday"/>
    <n v="4"/>
    <n v="9.89"/>
    <x v="0"/>
    <x v="69"/>
    <s v="Male"/>
    <n v="63.6"/>
    <n v="140.6"/>
    <n v="24.4"/>
    <n v="14"/>
    <s v="CA"/>
    <n v="2"/>
    <n v="50.4"/>
    <s v="Low"/>
    <n v="0"/>
    <s v="Multi-Day"/>
    <n v="0"/>
    <n v="0"/>
    <s v="Downtown Disney Gate"/>
    <s v="Pixar Pals"/>
    <n v="7.7"/>
    <n v="10"/>
    <x v="2443"/>
  </r>
  <r>
    <n v="2578"/>
    <n v="848"/>
    <d v="2026-04-07T00:00:00"/>
    <s v="Tuesday"/>
    <n v="4"/>
    <n v="9.77"/>
    <x v="0"/>
    <x v="19"/>
    <s v="Female"/>
    <n v="64.400000000000006"/>
    <n v="207.2"/>
    <n v="35.4"/>
    <n v="16"/>
    <s v="CA"/>
    <n v="2"/>
    <n v="50.4"/>
    <s v="Low"/>
    <n v="0"/>
    <s v="Multi-Day"/>
    <n v="0"/>
    <n v="0"/>
    <s v="Downtown Disney Gate"/>
    <s v="Pixar Pals"/>
    <n v="8.1"/>
    <n v="8"/>
    <x v="2444"/>
  </r>
  <r>
    <n v="2579"/>
    <n v="849"/>
    <d v="2026-12-15T00:00:00"/>
    <s v="Tuesday"/>
    <n v="12"/>
    <n v="9.82"/>
    <x v="0"/>
    <x v="19"/>
    <s v="Female"/>
    <n v="60.5"/>
    <n v="143.80000000000001"/>
    <n v="27.2"/>
    <n v="17"/>
    <s v="Other"/>
    <n v="3"/>
    <n v="1078.7"/>
    <s v="High"/>
    <n v="0"/>
    <s v="Single-Day"/>
    <n v="0"/>
    <n v="1"/>
    <s v="Main Entrance"/>
    <s v="None/Walked from Resort"/>
    <n v="9.1"/>
    <n v="5"/>
    <x v="2445"/>
  </r>
  <r>
    <n v="2580"/>
    <n v="849"/>
    <d v="2026-12-15T00:00:00"/>
    <s v="Tuesday"/>
    <n v="12"/>
    <n v="9.68"/>
    <x v="0"/>
    <x v="40"/>
    <s v="Female"/>
    <n v="60.8"/>
    <n v="124.7"/>
    <n v="23.9"/>
    <n v="16"/>
    <s v="Other"/>
    <n v="3"/>
    <n v="1078.7"/>
    <s v="High"/>
    <n v="0"/>
    <s v="Single-Day"/>
    <n v="0"/>
    <n v="1"/>
    <s v="Main Entrance"/>
    <s v="None/Walked from Resort"/>
    <n v="8.8000000000000007"/>
    <n v="8"/>
    <x v="2446"/>
  </r>
  <r>
    <n v="2581"/>
    <n v="849"/>
    <d v="2026-12-15T00:00:00"/>
    <s v="Tuesday"/>
    <n v="12"/>
    <n v="9.64"/>
    <x v="0"/>
    <x v="1"/>
    <s v="Female"/>
    <n v="64.2"/>
    <n v="157.80000000000001"/>
    <n v="27"/>
    <n v="16"/>
    <s v="Other"/>
    <n v="3"/>
    <n v="1078.7"/>
    <s v="High"/>
    <n v="0"/>
    <s v="Single-Day"/>
    <n v="0"/>
    <n v="1"/>
    <s v="Main Entrance"/>
    <s v="None/Walked from Resort"/>
    <n v="11.9"/>
    <n v="13"/>
    <x v="2447"/>
  </r>
  <r>
    <n v="2582"/>
    <n v="850"/>
    <d v="2026-08-05T00:00:00"/>
    <s v="Wednesday"/>
    <n v="8"/>
    <n v="11.26"/>
    <x v="1"/>
    <x v="51"/>
    <s v="Male"/>
    <n v="64.2"/>
    <n v="133.6"/>
    <n v="22.9"/>
    <n v="16"/>
    <s v="CA"/>
    <n v="6"/>
    <n v="18.8"/>
    <s v="Middle"/>
    <n v="0"/>
    <s v="Multi-Day"/>
    <n v="0"/>
    <n v="0"/>
    <s v="Main Entrance"/>
    <s v="Mickey &amp; Friends"/>
    <n v="6.4"/>
    <n v="9"/>
    <x v="2448"/>
  </r>
  <r>
    <n v="2583"/>
    <n v="850"/>
    <d v="2026-08-05T00:00:00"/>
    <s v="Wednesday"/>
    <n v="8"/>
    <n v="11.3"/>
    <x v="1"/>
    <x v="38"/>
    <s v="Male"/>
    <n v="71.099999999999994"/>
    <n v="181.5"/>
    <n v="25.3"/>
    <n v="10"/>
    <s v="CA"/>
    <n v="6"/>
    <n v="18.8"/>
    <s v="Middle"/>
    <n v="0"/>
    <s v="Multi-Day"/>
    <n v="0"/>
    <n v="0"/>
    <s v="Main Entrance"/>
    <s v="Mickey &amp; Friends"/>
    <n v="8.4"/>
    <n v="10"/>
    <x v="2449"/>
  </r>
  <r>
    <n v="2584"/>
    <n v="850"/>
    <d v="2026-08-05T00:00:00"/>
    <s v="Wednesday"/>
    <n v="8"/>
    <n v="11.44"/>
    <x v="1"/>
    <x v="0"/>
    <s v="Male"/>
    <n v="70.5"/>
    <n v="153.5"/>
    <n v="21.6"/>
    <n v="20"/>
    <s v="CA"/>
    <n v="6"/>
    <n v="18.8"/>
    <s v="Middle"/>
    <n v="0"/>
    <s v="Multi-Day"/>
    <n v="0"/>
    <n v="0"/>
    <s v="Main Entrance"/>
    <s v="Mickey &amp; Friends"/>
    <n v="9"/>
    <n v="13"/>
    <x v="2450"/>
  </r>
  <r>
    <n v="2585"/>
    <n v="850"/>
    <d v="2026-08-05T00:00:00"/>
    <s v="Wednesday"/>
    <n v="8"/>
    <n v="11.31"/>
    <x v="1"/>
    <x v="40"/>
    <s v="Male"/>
    <n v="65.3"/>
    <n v="156.5"/>
    <n v="25.6"/>
    <n v="12"/>
    <s v="CA"/>
    <n v="6"/>
    <n v="18.8"/>
    <s v="Middle"/>
    <n v="0"/>
    <s v="Multi-Day"/>
    <n v="0"/>
    <n v="0"/>
    <s v="Main Entrance"/>
    <s v="Mickey &amp; Friends"/>
    <n v="8.1999999999999993"/>
    <n v="11"/>
    <x v="2451"/>
  </r>
  <r>
    <n v="2586"/>
    <n v="850"/>
    <d v="2026-08-05T00:00:00"/>
    <s v="Wednesday"/>
    <n v="8"/>
    <n v="11.41"/>
    <x v="1"/>
    <x v="35"/>
    <s v="Female"/>
    <n v="65.599999999999994"/>
    <n v="120.9"/>
    <n v="19.5"/>
    <n v="16"/>
    <s v="CA"/>
    <n v="6"/>
    <n v="18.8"/>
    <s v="Middle"/>
    <n v="0"/>
    <s v="Multi-Day"/>
    <n v="0"/>
    <n v="0"/>
    <s v="Main Entrance"/>
    <s v="Mickey &amp; Friends"/>
    <n v="8.5"/>
    <n v="6"/>
    <x v="2452"/>
  </r>
  <r>
    <n v="2587"/>
    <n v="850"/>
    <d v="2026-08-05T00:00:00"/>
    <s v="Wednesday"/>
    <n v="8"/>
    <n v="11.3"/>
    <x v="1"/>
    <x v="29"/>
    <s v="Male"/>
    <n v="72.5"/>
    <n v="173.7"/>
    <n v="23.2"/>
    <n v="17"/>
    <s v="CA"/>
    <n v="6"/>
    <n v="18.8"/>
    <s v="Middle"/>
    <n v="0"/>
    <s v="Multi-Day"/>
    <n v="0"/>
    <n v="0"/>
    <s v="Main Entrance"/>
    <s v="Mickey &amp; Friends"/>
    <n v="8"/>
    <n v="7"/>
    <x v="2453"/>
  </r>
  <r>
    <n v="2588"/>
    <n v="851"/>
    <d v="2026-11-06T00:00:00"/>
    <s v="Friday"/>
    <n v="11"/>
    <n v="10.33"/>
    <x v="0"/>
    <x v="48"/>
    <s v="Male"/>
    <n v="66.7"/>
    <n v="194.4"/>
    <n v="30.8"/>
    <n v="18"/>
    <s v="CA"/>
    <n v="4"/>
    <n v="97.1"/>
    <s v="High"/>
    <n v="1"/>
    <s v="Single-Day"/>
    <n v="0"/>
    <n v="0"/>
    <s v="Main Entrance"/>
    <s v="None/Dropoff/Transit"/>
    <n v="8.8000000000000007"/>
    <n v="6"/>
    <x v="2454"/>
  </r>
  <r>
    <n v="2589"/>
    <n v="851"/>
    <d v="2026-11-06T00:00:00"/>
    <s v="Friday"/>
    <n v="11"/>
    <n v="9.76"/>
    <x v="0"/>
    <x v="21"/>
    <s v="Male"/>
    <n v="76.8"/>
    <n v="227.3"/>
    <n v="27.1"/>
    <n v="14"/>
    <s v="CA"/>
    <n v="4"/>
    <n v="97.1"/>
    <s v="High"/>
    <n v="1"/>
    <s v="Single-Day"/>
    <n v="0"/>
    <n v="0"/>
    <s v="Main Entrance"/>
    <s v="None/Dropoff/Transit"/>
    <n v="8.6"/>
    <n v="8"/>
    <x v="2455"/>
  </r>
  <r>
    <n v="2590"/>
    <n v="851"/>
    <d v="2026-11-06T00:00:00"/>
    <s v="Friday"/>
    <n v="11"/>
    <n v="10.09"/>
    <x v="0"/>
    <x v="31"/>
    <s v="Male"/>
    <n v="68.8"/>
    <n v="191.6"/>
    <n v="28.3"/>
    <n v="21"/>
    <s v="CA"/>
    <n v="4"/>
    <n v="97.1"/>
    <s v="High"/>
    <n v="1"/>
    <s v="Single-Day"/>
    <n v="0"/>
    <n v="0"/>
    <s v="Main Entrance"/>
    <s v="None/Dropoff/Transit"/>
    <n v="5.7"/>
    <n v="4"/>
    <x v="2456"/>
  </r>
  <r>
    <n v="2591"/>
    <n v="851"/>
    <d v="2026-11-06T00:00:00"/>
    <s v="Friday"/>
    <n v="11"/>
    <n v="9.8800000000000008"/>
    <x v="0"/>
    <x v="21"/>
    <s v="Female"/>
    <n v="65.3"/>
    <n v="158.80000000000001"/>
    <n v="26.3"/>
    <n v="17"/>
    <s v="CA"/>
    <n v="4"/>
    <n v="97.1"/>
    <s v="High"/>
    <n v="1"/>
    <s v="Single-Day"/>
    <n v="0"/>
    <n v="0"/>
    <s v="Main Entrance"/>
    <s v="None/Dropoff/Transit"/>
    <n v="9.4"/>
    <n v="10"/>
    <x v="2457"/>
  </r>
  <r>
    <n v="2592"/>
    <n v="852"/>
    <d v="2026-05-04T00:00:00"/>
    <s v="Monday"/>
    <n v="5"/>
    <n v="9.89"/>
    <x v="0"/>
    <x v="8"/>
    <s v="Male"/>
    <n v="68.599999999999994"/>
    <n v="177.6"/>
    <n v="26.4"/>
    <n v="17"/>
    <s v="FL"/>
    <n v="4"/>
    <n v="1666.2"/>
    <s v="Middle"/>
    <n v="1"/>
    <s v="Park Hopper"/>
    <n v="1"/>
    <n v="0"/>
    <s v="Main Entrance"/>
    <s v="Toy Story Lot"/>
    <n v="6.9"/>
    <n v="5"/>
    <x v="2458"/>
  </r>
  <r>
    <n v="2593"/>
    <n v="852"/>
    <d v="2026-05-04T00:00:00"/>
    <s v="Monday"/>
    <n v="5"/>
    <n v="9.9700000000000006"/>
    <x v="0"/>
    <x v="39"/>
    <s v="Female"/>
    <n v="63.3"/>
    <n v="131.9"/>
    <n v="23.1"/>
    <n v="14"/>
    <s v="FL"/>
    <n v="4"/>
    <n v="1666.2"/>
    <s v="Middle"/>
    <n v="1"/>
    <s v="Park Hopper"/>
    <n v="1"/>
    <n v="0"/>
    <s v="Main Entrance"/>
    <s v="Toy Story Lot"/>
    <n v="11.4"/>
    <n v="10"/>
    <x v="2459"/>
  </r>
  <r>
    <n v="2594"/>
    <n v="852"/>
    <d v="2026-05-04T00:00:00"/>
    <s v="Monday"/>
    <n v="5"/>
    <n v="9.93"/>
    <x v="0"/>
    <x v="49"/>
    <s v="Male"/>
    <n v="69.5"/>
    <n v="201.8"/>
    <n v="29.6"/>
    <n v="14"/>
    <s v="FL"/>
    <n v="4"/>
    <n v="1666.2"/>
    <s v="Middle"/>
    <n v="1"/>
    <s v="Park Hopper"/>
    <n v="1"/>
    <n v="0"/>
    <s v="Main Entrance"/>
    <s v="Toy Story Lot"/>
    <n v="10"/>
    <n v="7"/>
    <x v="2460"/>
  </r>
  <r>
    <n v="2595"/>
    <n v="852"/>
    <d v="2026-05-04T00:00:00"/>
    <s v="Monday"/>
    <n v="5"/>
    <n v="9.91"/>
    <x v="0"/>
    <x v="43"/>
    <s v="Male"/>
    <n v="74.2"/>
    <n v="137.9"/>
    <n v="17.600000000000001"/>
    <n v="13"/>
    <s v="FL"/>
    <n v="4"/>
    <n v="1666.2"/>
    <s v="Middle"/>
    <n v="1"/>
    <s v="Park Hopper"/>
    <n v="1"/>
    <n v="0"/>
    <s v="Main Entrance"/>
    <s v="Toy Story Lot"/>
    <n v="7"/>
    <n v="7"/>
    <x v="2461"/>
  </r>
  <r>
    <n v="2596"/>
    <n v="853"/>
    <d v="2026-06-01T00:00:00"/>
    <s v="Monday"/>
    <n v="6"/>
    <n v="10.89"/>
    <x v="0"/>
    <x v="19"/>
    <s v="Female"/>
    <n v="61.2"/>
    <n v="127.1"/>
    <n v="24"/>
    <n v="16"/>
    <s v="CA"/>
    <n v="3"/>
    <n v="40.5"/>
    <s v="Middle"/>
    <n v="1"/>
    <s v="Park Hopper"/>
    <n v="0"/>
    <n v="0"/>
    <s v="Main Entrance"/>
    <s v="Mickey &amp; Friends"/>
    <n v="9.4"/>
    <n v="6"/>
    <x v="2462"/>
  </r>
  <r>
    <n v="2597"/>
    <n v="853"/>
    <d v="2026-06-01T00:00:00"/>
    <s v="Monday"/>
    <n v="6"/>
    <n v="10.66"/>
    <x v="0"/>
    <x v="76"/>
    <s v="Male"/>
    <n v="73.599999999999994"/>
    <n v="155.6"/>
    <n v="20.3"/>
    <n v="16"/>
    <s v="CA"/>
    <n v="3"/>
    <n v="40.5"/>
    <s v="Middle"/>
    <n v="1"/>
    <s v="Park Hopper"/>
    <n v="0"/>
    <n v="0"/>
    <s v="Main Entrance"/>
    <s v="Mickey &amp; Friends"/>
    <n v="4.5999999999999996"/>
    <n v="6"/>
    <x v="2463"/>
  </r>
  <r>
    <n v="2598"/>
    <n v="853"/>
    <d v="2026-06-01T00:00:00"/>
    <s v="Monday"/>
    <n v="6"/>
    <n v="10.75"/>
    <x v="0"/>
    <x v="43"/>
    <s v="Male"/>
    <n v="66.8"/>
    <n v="192"/>
    <n v="30.1"/>
    <n v="14"/>
    <s v="CA"/>
    <n v="3"/>
    <n v="40.5"/>
    <s v="Middle"/>
    <n v="1"/>
    <s v="Park Hopper"/>
    <n v="0"/>
    <n v="0"/>
    <s v="Main Entrance"/>
    <s v="Mickey &amp; Friends"/>
    <n v="9.8000000000000007"/>
    <n v="8"/>
    <x v="2464"/>
  </r>
  <r>
    <n v="2599"/>
    <n v="854"/>
    <d v="2026-02-23T00:00:00"/>
    <s v="Monday"/>
    <n v="2"/>
    <n v="9.9700000000000006"/>
    <x v="0"/>
    <x v="0"/>
    <s v="Female"/>
    <n v="66.400000000000006"/>
    <n v="148.69999999999999"/>
    <n v="23.9"/>
    <n v="12"/>
    <s v="NY"/>
    <n v="2"/>
    <n v="2483.9"/>
    <s v="Middle"/>
    <n v="0"/>
    <s v="Single-Day"/>
    <n v="1"/>
    <n v="0"/>
    <s v="Main Entrance"/>
    <s v="Pixar Pals"/>
    <n v="9.9"/>
    <n v="6"/>
    <x v="2465"/>
  </r>
  <r>
    <n v="2600"/>
    <n v="854"/>
    <d v="2026-02-23T00:00:00"/>
    <s v="Monday"/>
    <n v="2"/>
    <n v="10.06"/>
    <x v="0"/>
    <x v="56"/>
    <s v="Male"/>
    <n v="70.5"/>
    <n v="215.8"/>
    <n v="30.6"/>
    <n v="17"/>
    <s v="NY"/>
    <n v="2"/>
    <n v="2483.9"/>
    <s v="Middle"/>
    <n v="0"/>
    <s v="Single-Day"/>
    <n v="1"/>
    <n v="0"/>
    <s v="Main Entrance"/>
    <s v="Pixar Pals"/>
    <n v="6.9"/>
    <n v="13"/>
    <x v="2466"/>
  </r>
  <r>
    <n v="2601"/>
    <n v="855"/>
    <d v="2026-08-30T00:00:00"/>
    <s v="Sunday"/>
    <n v="8"/>
    <n v="14.04"/>
    <x v="1"/>
    <x v="14"/>
    <s v="Male"/>
    <n v="69.5"/>
    <n v="173.2"/>
    <n v="25.2"/>
    <n v="14"/>
    <s v="CA"/>
    <n v="1"/>
    <n v="87"/>
    <s v="Low"/>
    <n v="0"/>
    <s v="Multi-Day"/>
    <n v="0"/>
    <n v="0"/>
    <s v="Main Entrance"/>
    <s v="Mickey &amp; Friends"/>
    <n v="8.1999999999999993"/>
    <n v="10"/>
    <x v="2467"/>
  </r>
  <r>
    <n v="2602"/>
    <n v="856"/>
    <d v="2026-02-08T00:00:00"/>
    <s v="Sunday"/>
    <n v="2"/>
    <n v="10.56"/>
    <x v="0"/>
    <x v="45"/>
    <s v="Female"/>
    <n v="62.1"/>
    <n v="106.3"/>
    <n v="19.600000000000001"/>
    <n v="15"/>
    <s v="MN"/>
    <n v="1"/>
    <n v="2379.3000000000002"/>
    <s v="Middle"/>
    <n v="1"/>
    <s v="Single-Day"/>
    <n v="0"/>
    <n v="0"/>
    <s v="Main Entrance"/>
    <s v="Toy Story Lot"/>
    <n v="8.1"/>
    <n v="5"/>
    <x v="2468"/>
  </r>
  <r>
    <n v="2603"/>
    <n v="857"/>
    <d v="2026-11-04T00:00:00"/>
    <s v="Wednesday"/>
    <n v="11"/>
    <n v="8.4700000000000006"/>
    <x v="0"/>
    <x v="40"/>
    <s v="Nonbinary/Other"/>
    <n v="67.2"/>
    <n v="130.4"/>
    <n v="20.399999999999999"/>
    <n v="14"/>
    <s v="AZ"/>
    <n v="6"/>
    <n v="277.3"/>
    <s v="Middle"/>
    <n v="1"/>
    <s v="Single-Day"/>
    <n v="0"/>
    <n v="0"/>
    <s v="Main Entrance"/>
    <s v="Mickey &amp; Friends"/>
    <n v="6.2"/>
    <n v="9"/>
    <x v="2469"/>
  </r>
  <r>
    <n v="2604"/>
    <n v="857"/>
    <d v="2026-11-04T00:00:00"/>
    <s v="Wednesday"/>
    <n v="11"/>
    <n v="8.57"/>
    <x v="0"/>
    <x v="55"/>
    <s v="Male"/>
    <n v="69.7"/>
    <n v="162.9"/>
    <n v="23.4"/>
    <n v="16"/>
    <s v="AZ"/>
    <n v="6"/>
    <n v="277.3"/>
    <s v="Middle"/>
    <n v="1"/>
    <s v="Single-Day"/>
    <n v="0"/>
    <n v="0"/>
    <s v="Main Entrance"/>
    <s v="Mickey &amp; Friends"/>
    <n v="6.3"/>
    <n v="8"/>
    <x v="2470"/>
  </r>
  <r>
    <n v="2605"/>
    <n v="857"/>
    <d v="2026-11-04T00:00:00"/>
    <s v="Wednesday"/>
    <n v="11"/>
    <n v="8.56"/>
    <x v="0"/>
    <x v="1"/>
    <s v="Female"/>
    <n v="67.900000000000006"/>
    <n v="219.3"/>
    <n v="33.5"/>
    <n v="17"/>
    <s v="AZ"/>
    <n v="6"/>
    <n v="277.3"/>
    <s v="Middle"/>
    <n v="1"/>
    <s v="Single-Day"/>
    <n v="0"/>
    <n v="0"/>
    <s v="Main Entrance"/>
    <s v="Mickey &amp; Friends"/>
    <n v="7.4"/>
    <n v="10"/>
    <x v="217"/>
  </r>
  <r>
    <n v="2606"/>
    <n v="857"/>
    <d v="2026-11-04T00:00:00"/>
    <s v="Wednesday"/>
    <n v="11"/>
    <n v="8.6999999999999993"/>
    <x v="0"/>
    <x v="64"/>
    <s v="Male"/>
    <n v="54.5"/>
    <n v="101.3"/>
    <n v="24.2"/>
    <n v="12"/>
    <s v="AZ"/>
    <n v="6"/>
    <n v="277.3"/>
    <s v="Middle"/>
    <n v="1"/>
    <s v="Single-Day"/>
    <n v="0"/>
    <n v="0"/>
    <s v="Main Entrance"/>
    <s v="Mickey &amp; Friends"/>
    <n v="7.6"/>
    <n v="9"/>
    <x v="443"/>
  </r>
  <r>
    <n v="2607"/>
    <n v="857"/>
    <d v="2026-11-04T00:00:00"/>
    <s v="Wednesday"/>
    <n v="11"/>
    <n v="8.6999999999999993"/>
    <x v="0"/>
    <x v="66"/>
    <s v="Male"/>
    <n v="61.6"/>
    <n v="99.7"/>
    <n v="18.600000000000001"/>
    <n v="15"/>
    <s v="AZ"/>
    <n v="6"/>
    <n v="277.3"/>
    <s v="Middle"/>
    <n v="1"/>
    <s v="Single-Day"/>
    <n v="0"/>
    <n v="0"/>
    <s v="Main Entrance"/>
    <s v="Mickey &amp; Friends"/>
    <n v="10.9"/>
    <n v="5"/>
    <x v="2471"/>
  </r>
  <r>
    <n v="2608"/>
    <n v="857"/>
    <d v="2026-11-04T00:00:00"/>
    <s v="Wednesday"/>
    <n v="11"/>
    <n v="8.66"/>
    <x v="0"/>
    <x v="23"/>
    <s v="Male"/>
    <n v="70.400000000000006"/>
    <n v="185.6"/>
    <n v="26.1"/>
    <n v="17"/>
    <s v="AZ"/>
    <n v="6"/>
    <n v="277.3"/>
    <s v="Middle"/>
    <n v="1"/>
    <s v="Single-Day"/>
    <n v="0"/>
    <n v="0"/>
    <s v="Main Entrance"/>
    <s v="Mickey &amp; Friends"/>
    <n v="8.5"/>
    <n v="8"/>
    <x v="2472"/>
  </r>
  <r>
    <n v="2609"/>
    <n v="858"/>
    <d v="2026-05-12T00:00:00"/>
    <s v="Tuesday"/>
    <n v="5"/>
    <n v="11.32"/>
    <x v="1"/>
    <x v="0"/>
    <s v="Female"/>
    <n v="62.5"/>
    <n v="168.1"/>
    <n v="30.5"/>
    <n v="16"/>
    <s v="OR"/>
    <n v="5"/>
    <n v="667.8"/>
    <s v="Middle"/>
    <n v="1"/>
    <s v="Park Hopper"/>
    <n v="1"/>
    <n v="0"/>
    <s v="Downtown Disney Gate"/>
    <s v="Mickey &amp; Friends"/>
    <n v="9"/>
    <n v="8"/>
    <x v="2473"/>
  </r>
  <r>
    <n v="2610"/>
    <n v="858"/>
    <d v="2026-05-12T00:00:00"/>
    <s v="Tuesday"/>
    <n v="5"/>
    <n v="11.4"/>
    <x v="1"/>
    <x v="35"/>
    <s v="Male"/>
    <n v="60.7"/>
    <n v="110"/>
    <n v="21.2"/>
    <n v="18"/>
    <s v="OR"/>
    <n v="5"/>
    <n v="667.8"/>
    <s v="Middle"/>
    <n v="1"/>
    <s v="Park Hopper"/>
    <n v="1"/>
    <n v="0"/>
    <s v="Downtown Disney Gate"/>
    <s v="Mickey &amp; Friends"/>
    <n v="9.6"/>
    <n v="2"/>
    <x v="2474"/>
  </r>
  <r>
    <n v="2611"/>
    <n v="858"/>
    <d v="2026-05-12T00:00:00"/>
    <s v="Tuesday"/>
    <n v="5"/>
    <n v="11.41"/>
    <x v="1"/>
    <x v="33"/>
    <s v="Male"/>
    <n v="72.099999999999994"/>
    <n v="167"/>
    <n v="22.6"/>
    <n v="21"/>
    <s v="OR"/>
    <n v="5"/>
    <n v="667.8"/>
    <s v="Middle"/>
    <n v="1"/>
    <s v="Park Hopper"/>
    <n v="1"/>
    <n v="0"/>
    <s v="Downtown Disney Gate"/>
    <s v="Mickey &amp; Friends"/>
    <n v="9"/>
    <n v="13"/>
    <x v="2475"/>
  </r>
  <r>
    <n v="2612"/>
    <n v="858"/>
    <d v="2026-05-12T00:00:00"/>
    <s v="Tuesday"/>
    <n v="5"/>
    <n v="11.07"/>
    <x v="1"/>
    <x v="2"/>
    <s v="Female"/>
    <n v="61.8"/>
    <n v="138.9"/>
    <n v="25.7"/>
    <n v="14"/>
    <s v="OR"/>
    <n v="5"/>
    <n v="667.8"/>
    <s v="Middle"/>
    <n v="1"/>
    <s v="Park Hopper"/>
    <n v="1"/>
    <n v="0"/>
    <s v="Downtown Disney Gate"/>
    <s v="Mickey &amp; Friends"/>
    <n v="7.2"/>
    <n v="12"/>
    <x v="2476"/>
  </r>
  <r>
    <n v="2613"/>
    <n v="858"/>
    <d v="2026-05-12T00:00:00"/>
    <s v="Tuesday"/>
    <n v="5"/>
    <n v="11.48"/>
    <x v="1"/>
    <x v="21"/>
    <s v="Female"/>
    <n v="63.1"/>
    <n v="118.1"/>
    <n v="20.6"/>
    <n v="16"/>
    <s v="OR"/>
    <n v="5"/>
    <n v="667.8"/>
    <s v="Middle"/>
    <n v="1"/>
    <s v="Park Hopper"/>
    <n v="1"/>
    <n v="0"/>
    <s v="Downtown Disney Gate"/>
    <s v="Mickey &amp; Friends"/>
    <n v="8.4"/>
    <n v="6"/>
    <x v="2477"/>
  </r>
  <r>
    <n v="2614"/>
    <n v="859"/>
    <d v="2026-09-11T00:00:00"/>
    <s v="Friday"/>
    <n v="9"/>
    <n v="11.33"/>
    <x v="1"/>
    <x v="50"/>
    <s v="Male"/>
    <n v="63.6"/>
    <n v="128.4"/>
    <n v="22.4"/>
    <n v="12"/>
    <s v="CA"/>
    <n v="2"/>
    <n v="49.7"/>
    <s v="Low"/>
    <n v="0"/>
    <s v="Park Hopper"/>
    <n v="1"/>
    <n v="0"/>
    <s v="Main Entrance"/>
    <s v="Toy Story Lot"/>
    <n v="8.1999999999999993"/>
    <n v="2"/>
    <x v="2478"/>
  </r>
  <r>
    <n v="2615"/>
    <n v="859"/>
    <d v="2026-09-11T00:00:00"/>
    <s v="Friday"/>
    <n v="9"/>
    <n v="11.44"/>
    <x v="1"/>
    <x v="4"/>
    <s v="Male"/>
    <n v="68.5"/>
    <n v="116.7"/>
    <n v="17.2"/>
    <n v="12"/>
    <s v="CA"/>
    <n v="2"/>
    <n v="49.7"/>
    <s v="Low"/>
    <n v="0"/>
    <s v="Park Hopper"/>
    <n v="1"/>
    <n v="0"/>
    <s v="Main Entrance"/>
    <s v="Toy Story Lot"/>
    <n v="10.3"/>
    <n v="8"/>
    <x v="2479"/>
  </r>
  <r>
    <n v="2616"/>
    <n v="860"/>
    <d v="2026-02-05T00:00:00"/>
    <s v="Thursday"/>
    <n v="2"/>
    <n v="10.73"/>
    <x v="0"/>
    <x v="4"/>
    <s v="Female"/>
    <n v="65.5"/>
    <n v="147.9"/>
    <n v="24.5"/>
    <n v="15"/>
    <s v="CA"/>
    <n v="3"/>
    <n v="100"/>
    <s v="Middle"/>
    <n v="0"/>
    <s v="Multi-Day"/>
    <n v="1"/>
    <n v="0"/>
    <s v="Downtown Disney Gate"/>
    <s v="Pixar Pals"/>
    <n v="8.1999999999999993"/>
    <n v="14"/>
    <x v="2473"/>
  </r>
  <r>
    <n v="2617"/>
    <n v="860"/>
    <d v="2026-02-05T00:00:00"/>
    <s v="Thursday"/>
    <n v="2"/>
    <n v="10.8"/>
    <x v="0"/>
    <x v="48"/>
    <s v="Male"/>
    <n v="70.900000000000006"/>
    <n v="151.4"/>
    <n v="21"/>
    <n v="19"/>
    <s v="CA"/>
    <n v="3"/>
    <n v="100"/>
    <s v="Middle"/>
    <n v="0"/>
    <s v="Multi-Day"/>
    <n v="1"/>
    <n v="0"/>
    <s v="Downtown Disney Gate"/>
    <s v="Pixar Pals"/>
    <n v="8.6999999999999993"/>
    <n v="9"/>
    <x v="2480"/>
  </r>
  <r>
    <n v="2618"/>
    <n v="860"/>
    <d v="2026-02-05T00:00:00"/>
    <s v="Thursday"/>
    <n v="2"/>
    <n v="10.8"/>
    <x v="0"/>
    <x v="38"/>
    <s v="Male"/>
    <n v="64.8"/>
    <n v="179.3"/>
    <n v="30.1"/>
    <n v="12"/>
    <s v="CA"/>
    <n v="3"/>
    <n v="100"/>
    <s v="Middle"/>
    <n v="0"/>
    <s v="Multi-Day"/>
    <n v="1"/>
    <n v="0"/>
    <s v="Downtown Disney Gate"/>
    <s v="Pixar Pals"/>
    <n v="11"/>
    <n v="18"/>
    <x v="2481"/>
  </r>
  <r>
    <n v="2619"/>
    <n v="861"/>
    <d v="2026-01-12T00:00:00"/>
    <s v="Monday"/>
    <n v="1"/>
    <n v="9.9600000000000009"/>
    <x v="0"/>
    <x v="28"/>
    <s v="Female"/>
    <n v="65.5"/>
    <n v="179.5"/>
    <n v="29.5"/>
    <n v="16"/>
    <s v="CA"/>
    <n v="4"/>
    <n v="124.2"/>
    <s v="Low"/>
    <n v="1"/>
    <s v="Single-Day"/>
    <n v="0"/>
    <n v="0"/>
    <s v="Main Entrance"/>
    <s v="Toy Story Lot"/>
    <n v="8.8000000000000007"/>
    <n v="6"/>
    <x v="2482"/>
  </r>
  <r>
    <n v="2620"/>
    <n v="861"/>
    <d v="2026-01-12T00:00:00"/>
    <s v="Monday"/>
    <n v="1"/>
    <n v="10.02"/>
    <x v="0"/>
    <x v="4"/>
    <s v="Female"/>
    <n v="62.4"/>
    <n v="134"/>
    <n v="24"/>
    <n v="14"/>
    <s v="CA"/>
    <n v="4"/>
    <n v="124.2"/>
    <s v="Low"/>
    <n v="1"/>
    <s v="Single-Day"/>
    <n v="0"/>
    <n v="0"/>
    <s v="Main Entrance"/>
    <s v="Toy Story Lot"/>
    <n v="6.2"/>
    <n v="8"/>
    <x v="2483"/>
  </r>
  <r>
    <n v="2621"/>
    <n v="861"/>
    <d v="2026-01-12T00:00:00"/>
    <s v="Monday"/>
    <n v="1"/>
    <n v="10.050000000000001"/>
    <x v="0"/>
    <x v="8"/>
    <s v="Female"/>
    <n v="67"/>
    <n v="198.6"/>
    <n v="30.9"/>
    <n v="15"/>
    <s v="CA"/>
    <n v="4"/>
    <n v="124.2"/>
    <s v="Low"/>
    <n v="1"/>
    <s v="Single-Day"/>
    <n v="0"/>
    <n v="0"/>
    <s v="Main Entrance"/>
    <s v="Toy Story Lot"/>
    <n v="10.6"/>
    <n v="14"/>
    <x v="2484"/>
  </r>
  <r>
    <n v="2622"/>
    <n v="861"/>
    <d v="2026-01-12T00:00:00"/>
    <s v="Monday"/>
    <n v="1"/>
    <n v="10.02"/>
    <x v="0"/>
    <x v="59"/>
    <s v="Male"/>
    <n v="75.2"/>
    <n v="202.5"/>
    <n v="25.1"/>
    <n v="12"/>
    <s v="CA"/>
    <n v="4"/>
    <n v="124.2"/>
    <s v="Low"/>
    <n v="1"/>
    <s v="Single-Day"/>
    <n v="0"/>
    <n v="0"/>
    <s v="Main Entrance"/>
    <s v="Toy Story Lot"/>
    <n v="6.2"/>
    <n v="5"/>
    <x v="2485"/>
  </r>
  <r>
    <n v="2623"/>
    <n v="862"/>
    <d v="2026-08-14T00:00:00"/>
    <s v="Friday"/>
    <n v="8"/>
    <n v="10.31"/>
    <x v="0"/>
    <x v="8"/>
    <s v="Male"/>
    <n v="63.5"/>
    <n v="165.8"/>
    <n v="28.8"/>
    <n v="14"/>
    <s v="UT"/>
    <n v="4"/>
    <n v="915"/>
    <s v="Middle"/>
    <n v="0"/>
    <s v="Single-Day"/>
    <n v="0"/>
    <n v="1"/>
    <s v="Main Entrance"/>
    <s v="None/Walked from Resort"/>
    <n v="8.1999999999999993"/>
    <n v="10"/>
    <x v="2486"/>
  </r>
  <r>
    <n v="2624"/>
    <n v="862"/>
    <d v="2026-08-14T00:00:00"/>
    <s v="Friday"/>
    <n v="8"/>
    <n v="10.199999999999999"/>
    <x v="0"/>
    <x v="38"/>
    <s v="Female"/>
    <n v="61.3"/>
    <n v="116.1"/>
    <n v="21.8"/>
    <n v="12"/>
    <s v="UT"/>
    <n v="4"/>
    <n v="915"/>
    <s v="Middle"/>
    <n v="0"/>
    <s v="Single-Day"/>
    <n v="0"/>
    <n v="1"/>
    <s v="Main Entrance"/>
    <s v="None/Walked from Resort"/>
    <n v="7.5"/>
    <n v="5"/>
    <x v="2487"/>
  </r>
  <r>
    <n v="2625"/>
    <n v="862"/>
    <d v="2026-08-14T00:00:00"/>
    <s v="Friday"/>
    <n v="8"/>
    <n v="9.98"/>
    <x v="0"/>
    <x v="17"/>
    <s v="Female"/>
    <n v="67.400000000000006"/>
    <n v="164.8"/>
    <n v="25.9"/>
    <n v="15"/>
    <s v="UT"/>
    <n v="4"/>
    <n v="915"/>
    <s v="Middle"/>
    <n v="0"/>
    <s v="Single-Day"/>
    <n v="0"/>
    <n v="1"/>
    <s v="Main Entrance"/>
    <s v="None/Walked from Resort"/>
    <n v="10"/>
    <n v="10"/>
    <x v="2488"/>
  </r>
  <r>
    <n v="2626"/>
    <n v="862"/>
    <d v="2026-08-14T00:00:00"/>
    <s v="Friday"/>
    <n v="8"/>
    <n v="10.3"/>
    <x v="0"/>
    <x v="38"/>
    <s v="Male"/>
    <n v="69.5"/>
    <n v="190.1"/>
    <n v="27.6"/>
    <n v="13"/>
    <s v="UT"/>
    <n v="4"/>
    <n v="915"/>
    <s v="Middle"/>
    <n v="0"/>
    <s v="Single-Day"/>
    <n v="0"/>
    <n v="1"/>
    <s v="Main Entrance"/>
    <s v="None/Walked from Resort"/>
    <n v="6"/>
    <n v="5"/>
    <x v="2489"/>
  </r>
  <r>
    <n v="2627"/>
    <n v="863"/>
    <d v="2026-10-31T00:00:00"/>
    <s v="Saturday"/>
    <n v="10"/>
    <n v="11.29"/>
    <x v="1"/>
    <x v="23"/>
    <s v="Male"/>
    <n v="67.3"/>
    <n v="207.6"/>
    <n v="32.200000000000003"/>
    <n v="11"/>
    <s v="UT"/>
    <n v="5"/>
    <n v="844.8"/>
    <s v="Low"/>
    <n v="0"/>
    <s v="Multi-Day"/>
    <n v="0"/>
    <n v="0"/>
    <s v="Main Entrance"/>
    <s v="Mickey &amp; Friends"/>
    <n v="8.4"/>
    <n v="7"/>
    <x v="2490"/>
  </r>
  <r>
    <n v="2628"/>
    <n v="863"/>
    <d v="2026-10-31T00:00:00"/>
    <s v="Saturday"/>
    <n v="10"/>
    <n v="11.59"/>
    <x v="1"/>
    <x v="1"/>
    <s v="Female"/>
    <n v="69.599999999999994"/>
    <n v="170.8"/>
    <n v="24.7"/>
    <n v="14"/>
    <s v="UT"/>
    <n v="5"/>
    <n v="844.8"/>
    <s v="Low"/>
    <n v="0"/>
    <s v="Multi-Day"/>
    <n v="0"/>
    <n v="0"/>
    <s v="Main Entrance"/>
    <s v="Mickey &amp; Friends"/>
    <n v="5.3"/>
    <n v="5"/>
    <x v="2491"/>
  </r>
  <r>
    <n v="2629"/>
    <n v="863"/>
    <d v="2026-10-31T00:00:00"/>
    <s v="Saturday"/>
    <n v="10"/>
    <n v="11.19"/>
    <x v="1"/>
    <x v="17"/>
    <s v="Male"/>
    <n v="69.8"/>
    <n v="212.9"/>
    <n v="30.6"/>
    <n v="11"/>
    <s v="UT"/>
    <n v="5"/>
    <n v="844.8"/>
    <s v="Low"/>
    <n v="0"/>
    <s v="Multi-Day"/>
    <n v="0"/>
    <n v="0"/>
    <s v="Main Entrance"/>
    <s v="Mickey &amp; Friends"/>
    <n v="5.8"/>
    <n v="6"/>
    <x v="2492"/>
  </r>
  <r>
    <n v="2630"/>
    <n v="863"/>
    <d v="2026-10-31T00:00:00"/>
    <s v="Saturday"/>
    <n v="10"/>
    <n v="11.43"/>
    <x v="1"/>
    <x v="0"/>
    <s v="Male"/>
    <n v="66.900000000000006"/>
    <n v="149.9"/>
    <n v="23.6"/>
    <n v="11"/>
    <s v="UT"/>
    <n v="5"/>
    <n v="844.8"/>
    <s v="Low"/>
    <n v="0"/>
    <s v="Multi-Day"/>
    <n v="0"/>
    <n v="0"/>
    <s v="Main Entrance"/>
    <s v="Mickey &amp; Friends"/>
    <n v="7.9"/>
    <n v="7"/>
    <x v="2493"/>
  </r>
  <r>
    <n v="2631"/>
    <n v="863"/>
    <d v="2026-10-31T00:00:00"/>
    <s v="Saturday"/>
    <n v="10"/>
    <n v="11.37"/>
    <x v="1"/>
    <x v="15"/>
    <s v="Female"/>
    <n v="62.7"/>
    <n v="143.4"/>
    <n v="25.2"/>
    <n v="14"/>
    <s v="UT"/>
    <n v="5"/>
    <n v="844.8"/>
    <s v="Low"/>
    <n v="0"/>
    <s v="Multi-Day"/>
    <n v="0"/>
    <n v="0"/>
    <s v="Main Entrance"/>
    <s v="Mickey &amp; Friends"/>
    <n v="9.6999999999999993"/>
    <n v="11"/>
    <x v="2494"/>
  </r>
  <r>
    <n v="2632"/>
    <n v="864"/>
    <d v="2026-07-28T00:00:00"/>
    <s v="Tuesday"/>
    <n v="7"/>
    <n v="9.99"/>
    <x v="0"/>
    <x v="17"/>
    <s v="Female"/>
    <n v="59"/>
    <n v="97.1"/>
    <n v="19.5"/>
    <n v="15"/>
    <s v="CA"/>
    <n v="5"/>
    <n v="4.5999999999999996"/>
    <s v="Middle"/>
    <n v="1"/>
    <s v="Single-Day"/>
    <n v="0"/>
    <n v="0"/>
    <s v="Main Entrance"/>
    <s v="Toy Story Lot"/>
    <n v="8.6"/>
    <n v="7"/>
    <x v="2495"/>
  </r>
  <r>
    <n v="2633"/>
    <n v="864"/>
    <d v="2026-07-28T00:00:00"/>
    <s v="Tuesday"/>
    <n v="7"/>
    <n v="10.050000000000001"/>
    <x v="0"/>
    <x v="31"/>
    <s v="Male"/>
    <n v="67.400000000000006"/>
    <n v="152.1"/>
    <n v="23.7"/>
    <n v="18"/>
    <s v="CA"/>
    <n v="5"/>
    <n v="4.5999999999999996"/>
    <s v="Middle"/>
    <n v="1"/>
    <s v="Single-Day"/>
    <n v="0"/>
    <n v="0"/>
    <s v="Main Entrance"/>
    <s v="Toy Story Lot"/>
    <n v="9.9"/>
    <n v="8"/>
    <x v="2496"/>
  </r>
  <r>
    <n v="2634"/>
    <n v="864"/>
    <d v="2026-07-28T00:00:00"/>
    <s v="Tuesday"/>
    <n v="7"/>
    <n v="9.8699999999999992"/>
    <x v="0"/>
    <x v="64"/>
    <s v="Male"/>
    <n v="48.7"/>
    <n v="47.3"/>
    <n v="14.2"/>
    <n v="15"/>
    <s v="CA"/>
    <n v="5"/>
    <n v="4.5999999999999996"/>
    <s v="Middle"/>
    <n v="1"/>
    <s v="Single-Day"/>
    <n v="0"/>
    <n v="0"/>
    <s v="Main Entrance"/>
    <s v="Toy Story Lot"/>
    <n v="10.1"/>
    <n v="8"/>
    <x v="1652"/>
  </r>
  <r>
    <n v="2635"/>
    <n v="864"/>
    <d v="2026-07-28T00:00:00"/>
    <s v="Tuesday"/>
    <n v="7"/>
    <n v="9.91"/>
    <x v="0"/>
    <x v="9"/>
    <s v="Male"/>
    <n v="69.8"/>
    <n v="169.3"/>
    <n v="24.5"/>
    <n v="18"/>
    <s v="CA"/>
    <n v="5"/>
    <n v="4.5999999999999996"/>
    <s v="Middle"/>
    <n v="1"/>
    <s v="Single-Day"/>
    <n v="0"/>
    <n v="0"/>
    <s v="Main Entrance"/>
    <s v="Toy Story Lot"/>
    <n v="10.1"/>
    <n v="12"/>
    <x v="2497"/>
  </r>
  <r>
    <n v="2636"/>
    <n v="864"/>
    <d v="2026-07-28T00:00:00"/>
    <s v="Tuesday"/>
    <n v="7"/>
    <n v="10.08"/>
    <x v="0"/>
    <x v="54"/>
    <s v="Female"/>
    <n v="61.4"/>
    <n v="200.6"/>
    <n v="37.9"/>
    <n v="20"/>
    <s v="CA"/>
    <n v="5"/>
    <n v="4.5999999999999996"/>
    <s v="Middle"/>
    <n v="1"/>
    <s v="Single-Day"/>
    <n v="0"/>
    <n v="0"/>
    <s v="Main Entrance"/>
    <s v="Toy Story Lot"/>
    <n v="10.7"/>
    <n v="4"/>
    <x v="2498"/>
  </r>
  <r>
    <n v="2637"/>
    <n v="865"/>
    <d v="2026-08-19T00:00:00"/>
    <s v="Wednesday"/>
    <n v="8"/>
    <n v="11.25"/>
    <x v="1"/>
    <x v="6"/>
    <s v="Female"/>
    <n v="63.9"/>
    <n v="153.1"/>
    <n v="26.3"/>
    <n v="11"/>
    <s v="CA"/>
    <n v="3"/>
    <n v="2"/>
    <s v="Low"/>
    <n v="1"/>
    <s v="Multi-Day"/>
    <n v="0"/>
    <n v="0"/>
    <s v="Main Entrance"/>
    <s v="Pixar Pals"/>
    <n v="10.1"/>
    <n v="6"/>
    <x v="1535"/>
  </r>
  <r>
    <n v="2638"/>
    <n v="865"/>
    <d v="2026-08-19T00:00:00"/>
    <s v="Wednesday"/>
    <n v="8"/>
    <n v="11.52"/>
    <x v="1"/>
    <x v="45"/>
    <s v="Female"/>
    <n v="64.599999999999994"/>
    <n v="135.19999999999999"/>
    <n v="22.8"/>
    <n v="17"/>
    <s v="CA"/>
    <n v="3"/>
    <n v="2"/>
    <s v="Low"/>
    <n v="1"/>
    <s v="Multi-Day"/>
    <n v="0"/>
    <n v="0"/>
    <s v="Main Entrance"/>
    <s v="Pixar Pals"/>
    <n v="5.7"/>
    <n v="8"/>
    <x v="2499"/>
  </r>
  <r>
    <n v="2639"/>
    <n v="865"/>
    <d v="2026-08-19T00:00:00"/>
    <s v="Wednesday"/>
    <n v="8"/>
    <n v="11.42"/>
    <x v="1"/>
    <x v="0"/>
    <s v="Female"/>
    <n v="62.4"/>
    <n v="157.9"/>
    <n v="28.5"/>
    <n v="11"/>
    <s v="CA"/>
    <n v="3"/>
    <n v="2"/>
    <s v="Low"/>
    <n v="1"/>
    <s v="Multi-Day"/>
    <n v="0"/>
    <n v="0"/>
    <s v="Main Entrance"/>
    <s v="Pixar Pals"/>
    <n v="8.1"/>
    <n v="10"/>
    <x v="2320"/>
  </r>
  <r>
    <n v="2640"/>
    <n v="866"/>
    <d v="2026-10-19T00:00:00"/>
    <s v="Monday"/>
    <n v="10"/>
    <n v="12.28"/>
    <x v="1"/>
    <x v="27"/>
    <s v="Female"/>
    <n v="65.2"/>
    <n v="151.19999999999999"/>
    <n v="24.9"/>
    <n v="18"/>
    <s v="WA"/>
    <n v="4"/>
    <n v="1071.5"/>
    <s v="High"/>
    <n v="1"/>
    <s v="Single-Day"/>
    <n v="1"/>
    <n v="1"/>
    <s v="Main Entrance"/>
    <s v="Toy Story Lot"/>
    <n v="9.9"/>
    <n v="7"/>
    <x v="2500"/>
  </r>
  <r>
    <n v="2641"/>
    <n v="866"/>
    <d v="2026-10-19T00:00:00"/>
    <s v="Monday"/>
    <n v="10"/>
    <n v="12.28"/>
    <x v="1"/>
    <x v="37"/>
    <s v="Female"/>
    <n v="67.599999999999994"/>
    <n v="139.69999999999999"/>
    <n v="21.5"/>
    <n v="20"/>
    <s v="WA"/>
    <n v="4"/>
    <n v="1071.5"/>
    <s v="High"/>
    <n v="1"/>
    <s v="Single-Day"/>
    <n v="1"/>
    <n v="1"/>
    <s v="Main Entrance"/>
    <s v="Toy Story Lot"/>
    <n v="9.6999999999999993"/>
    <n v="13"/>
    <x v="275"/>
  </r>
  <r>
    <n v="2642"/>
    <n v="866"/>
    <d v="2026-10-19T00:00:00"/>
    <s v="Monday"/>
    <n v="10"/>
    <n v="12.35"/>
    <x v="1"/>
    <x v="38"/>
    <s v="Female"/>
    <n v="65.2"/>
    <n v="188.2"/>
    <n v="30.9"/>
    <n v="16"/>
    <s v="WA"/>
    <n v="4"/>
    <n v="1071.5"/>
    <s v="High"/>
    <n v="1"/>
    <s v="Single-Day"/>
    <n v="1"/>
    <n v="1"/>
    <s v="Main Entrance"/>
    <s v="Toy Story Lot"/>
    <n v="8.6999999999999993"/>
    <n v="10"/>
    <x v="2501"/>
  </r>
  <r>
    <n v="2643"/>
    <n v="866"/>
    <d v="2026-10-19T00:00:00"/>
    <s v="Monday"/>
    <n v="10"/>
    <n v="12.25"/>
    <x v="1"/>
    <x v="39"/>
    <s v="Male"/>
    <n v="70.3"/>
    <n v="191.7"/>
    <n v="27.4"/>
    <n v="16"/>
    <s v="WA"/>
    <n v="4"/>
    <n v="1071.5"/>
    <s v="High"/>
    <n v="1"/>
    <s v="Single-Day"/>
    <n v="1"/>
    <n v="1"/>
    <s v="Main Entrance"/>
    <s v="Toy Story Lot"/>
    <n v="11.6"/>
    <n v="15"/>
    <x v="2502"/>
  </r>
  <r>
    <n v="2644"/>
    <n v="867"/>
    <d v="2026-09-29T00:00:00"/>
    <s v="Tuesday"/>
    <n v="9"/>
    <n v="10.59"/>
    <x v="0"/>
    <x v="4"/>
    <s v="Male"/>
    <n v="69"/>
    <n v="158.9"/>
    <n v="23.4"/>
    <n v="20"/>
    <s v="TX"/>
    <n v="2"/>
    <n v="1729.3"/>
    <s v="Middle"/>
    <n v="1"/>
    <s v="Multi-Day"/>
    <n v="0"/>
    <n v="0"/>
    <s v="Main Entrance"/>
    <s v="Pixar Pals"/>
    <n v="8.9"/>
    <n v="9"/>
    <x v="2503"/>
  </r>
  <r>
    <n v="2645"/>
    <n v="867"/>
    <d v="2026-09-29T00:00:00"/>
    <s v="Tuesday"/>
    <n v="9"/>
    <n v="10.67"/>
    <x v="0"/>
    <x v="55"/>
    <s v="Male"/>
    <n v="72.8"/>
    <n v="219.4"/>
    <n v="29.2"/>
    <n v="11"/>
    <s v="TX"/>
    <n v="2"/>
    <n v="1729.3"/>
    <s v="Middle"/>
    <n v="1"/>
    <s v="Multi-Day"/>
    <n v="0"/>
    <n v="0"/>
    <s v="Main Entrance"/>
    <s v="Pixar Pals"/>
    <n v="10.6"/>
    <n v="5"/>
    <x v="2504"/>
  </r>
  <r>
    <n v="2646"/>
    <n v="868"/>
    <d v="2026-04-19T00:00:00"/>
    <s v="Sunday"/>
    <n v="4"/>
    <n v="10"/>
    <x v="0"/>
    <x v="30"/>
    <s v="Female"/>
    <n v="63.2"/>
    <n v="145.6"/>
    <n v="25.4"/>
    <n v="15"/>
    <s v="UT"/>
    <n v="1"/>
    <n v="779.3"/>
    <s v="Middle"/>
    <n v="1"/>
    <s v="Park Hopper"/>
    <n v="0"/>
    <n v="0"/>
    <s v="Main Entrance"/>
    <s v="Toy Story Lot"/>
    <n v="9.4"/>
    <n v="7"/>
    <x v="2505"/>
  </r>
  <r>
    <n v="2647"/>
    <n v="869"/>
    <d v="2026-06-24T00:00:00"/>
    <s v="Wednesday"/>
    <n v="6"/>
    <n v="9.24"/>
    <x v="0"/>
    <x v="39"/>
    <s v="Female"/>
    <n v="62.5"/>
    <n v="164.5"/>
    <n v="29.6"/>
    <n v="13"/>
    <s v="Other"/>
    <n v="3"/>
    <n v="1773.4"/>
    <s v="Middle"/>
    <n v="1"/>
    <s v="Multi-Day"/>
    <n v="1"/>
    <n v="0"/>
    <s v="Main Entrance"/>
    <s v="Pixar Pals"/>
    <n v="8.5"/>
    <n v="3"/>
    <x v="2506"/>
  </r>
  <r>
    <n v="2648"/>
    <n v="869"/>
    <d v="2026-06-24T00:00:00"/>
    <s v="Wednesday"/>
    <n v="6"/>
    <n v="9.26"/>
    <x v="0"/>
    <x v="8"/>
    <s v="Female"/>
    <n v="60.7"/>
    <n v="156.80000000000001"/>
    <n v="29.9"/>
    <n v="20"/>
    <s v="Other"/>
    <n v="3"/>
    <n v="1773.4"/>
    <s v="Middle"/>
    <n v="1"/>
    <s v="Multi-Day"/>
    <n v="1"/>
    <n v="0"/>
    <s v="Main Entrance"/>
    <s v="Pixar Pals"/>
    <n v="7.6"/>
    <n v="9"/>
    <x v="2507"/>
  </r>
  <r>
    <n v="2649"/>
    <n v="869"/>
    <d v="2026-06-24T00:00:00"/>
    <s v="Wednesday"/>
    <n v="6"/>
    <n v="9.2799999999999994"/>
    <x v="0"/>
    <x v="45"/>
    <s v="Male"/>
    <n v="70.7"/>
    <n v="186.9"/>
    <n v="26.4"/>
    <n v="13"/>
    <s v="Other"/>
    <n v="3"/>
    <n v="1773.4"/>
    <s v="Middle"/>
    <n v="1"/>
    <s v="Multi-Day"/>
    <n v="1"/>
    <n v="0"/>
    <s v="Main Entrance"/>
    <s v="Pixar Pals"/>
    <n v="8.9"/>
    <n v="7"/>
    <x v="2508"/>
  </r>
  <r>
    <n v="2650"/>
    <n v="870"/>
    <d v="2026-09-20T00:00:00"/>
    <s v="Sunday"/>
    <n v="9"/>
    <n v="12.06"/>
    <x v="1"/>
    <x v="4"/>
    <s v="Male"/>
    <n v="71.400000000000006"/>
    <n v="249.3"/>
    <n v="34.6"/>
    <n v="16"/>
    <s v="OR"/>
    <n v="2"/>
    <n v="709.6"/>
    <s v="Middle"/>
    <n v="0"/>
    <s v="Single-Day"/>
    <n v="1"/>
    <n v="0"/>
    <s v="Main Entrance"/>
    <s v="Pixar Pals"/>
    <n v="9.8000000000000007"/>
    <n v="9"/>
    <x v="2509"/>
  </r>
  <r>
    <n v="2651"/>
    <n v="870"/>
    <d v="2026-09-20T00:00:00"/>
    <s v="Sunday"/>
    <n v="9"/>
    <n v="12.27"/>
    <x v="1"/>
    <x v="15"/>
    <s v="Female"/>
    <n v="58.5"/>
    <n v="128.9"/>
    <n v="26.4"/>
    <n v="11"/>
    <s v="OR"/>
    <n v="2"/>
    <n v="709.6"/>
    <s v="Middle"/>
    <n v="0"/>
    <s v="Single-Day"/>
    <n v="1"/>
    <n v="0"/>
    <s v="Main Entrance"/>
    <s v="Pixar Pals"/>
    <n v="11.7"/>
    <n v="18"/>
    <x v="2510"/>
  </r>
  <r>
    <n v="2652"/>
    <n v="871"/>
    <d v="2026-11-22T00:00:00"/>
    <s v="Sunday"/>
    <n v="11"/>
    <n v="9.6199999999999992"/>
    <x v="0"/>
    <x v="43"/>
    <s v="Female"/>
    <n v="56"/>
    <n v="127.8"/>
    <n v="28.5"/>
    <n v="14"/>
    <s v="AZ"/>
    <n v="4"/>
    <n v="539.70000000000005"/>
    <s v="Middle"/>
    <n v="1"/>
    <s v="Single-Day"/>
    <n v="0"/>
    <n v="1"/>
    <s v="Main Entrance"/>
    <s v="None/Walked from Resort"/>
    <n v="8.1"/>
    <n v="7"/>
    <x v="2511"/>
  </r>
  <r>
    <n v="2653"/>
    <n v="871"/>
    <d v="2026-11-22T00:00:00"/>
    <s v="Sunday"/>
    <n v="11"/>
    <n v="9.4700000000000006"/>
    <x v="0"/>
    <x v="49"/>
    <s v="Male"/>
    <n v="70"/>
    <n v="161.6"/>
    <n v="23.4"/>
    <n v="14"/>
    <s v="AZ"/>
    <n v="4"/>
    <n v="539.70000000000005"/>
    <s v="Middle"/>
    <n v="1"/>
    <s v="Single-Day"/>
    <n v="0"/>
    <n v="1"/>
    <s v="Main Entrance"/>
    <s v="None/Walked from Resort"/>
    <n v="7.3"/>
    <n v="5"/>
    <x v="2512"/>
  </r>
  <r>
    <n v="2654"/>
    <n v="871"/>
    <d v="2026-11-22T00:00:00"/>
    <s v="Sunday"/>
    <n v="11"/>
    <n v="9.2899999999999991"/>
    <x v="0"/>
    <x v="19"/>
    <s v="Female"/>
    <n v="61.9"/>
    <n v="134.9"/>
    <n v="24.6"/>
    <n v="15"/>
    <s v="AZ"/>
    <n v="4"/>
    <n v="539.70000000000005"/>
    <s v="Middle"/>
    <n v="1"/>
    <s v="Single-Day"/>
    <n v="0"/>
    <n v="1"/>
    <s v="Main Entrance"/>
    <s v="None/Walked from Resort"/>
    <n v="9.6999999999999993"/>
    <n v="13"/>
    <x v="2513"/>
  </r>
  <r>
    <n v="2655"/>
    <n v="871"/>
    <d v="2026-11-22T00:00:00"/>
    <s v="Sunday"/>
    <n v="11"/>
    <n v="9.48"/>
    <x v="0"/>
    <x v="79"/>
    <s v="Male"/>
    <n v="65.400000000000006"/>
    <n v="156.4"/>
    <n v="25.7"/>
    <n v="15"/>
    <s v="AZ"/>
    <n v="4"/>
    <n v="539.70000000000005"/>
    <s v="Middle"/>
    <n v="1"/>
    <s v="Single-Day"/>
    <n v="0"/>
    <n v="1"/>
    <s v="Main Entrance"/>
    <s v="None/Walked from Resort"/>
    <n v="9.4"/>
    <n v="10"/>
    <x v="2514"/>
  </r>
  <r>
    <n v="2656"/>
    <n v="872"/>
    <d v="2026-02-04T00:00:00"/>
    <s v="Wednesday"/>
    <n v="2"/>
    <n v="11.49"/>
    <x v="1"/>
    <x v="2"/>
    <s v="Male"/>
    <n v="67.2"/>
    <n v="171.3"/>
    <n v="26.7"/>
    <n v="16"/>
    <s v="AZ"/>
    <n v="3"/>
    <n v="358.6"/>
    <s v="Middle"/>
    <n v="1"/>
    <s v="Multi-Day"/>
    <n v="0"/>
    <n v="0"/>
    <s v="Downtown Disney Gate"/>
    <s v="Pixar Pals"/>
    <n v="8"/>
    <n v="14"/>
    <x v="2515"/>
  </r>
  <r>
    <n v="2657"/>
    <n v="872"/>
    <d v="2026-02-04T00:00:00"/>
    <s v="Wednesday"/>
    <n v="2"/>
    <n v="11.44"/>
    <x v="1"/>
    <x v="62"/>
    <s v="Male"/>
    <n v="75.2"/>
    <n v="212.3"/>
    <n v="26.2"/>
    <n v="18"/>
    <s v="AZ"/>
    <n v="3"/>
    <n v="358.6"/>
    <s v="Middle"/>
    <n v="1"/>
    <s v="Multi-Day"/>
    <n v="0"/>
    <n v="0"/>
    <s v="Downtown Disney Gate"/>
    <s v="Pixar Pals"/>
    <n v="7.4"/>
    <n v="3"/>
    <x v="2516"/>
  </r>
  <r>
    <n v="2658"/>
    <n v="872"/>
    <d v="2026-02-04T00:00:00"/>
    <s v="Wednesday"/>
    <n v="2"/>
    <n v="11.18"/>
    <x v="1"/>
    <x v="22"/>
    <s v="Male"/>
    <n v="56.5"/>
    <n v="65.3"/>
    <n v="14.3"/>
    <n v="16"/>
    <s v="AZ"/>
    <n v="3"/>
    <n v="358.6"/>
    <s v="Middle"/>
    <n v="1"/>
    <s v="Multi-Day"/>
    <n v="0"/>
    <n v="0"/>
    <s v="Downtown Disney Gate"/>
    <s v="Pixar Pals"/>
    <n v="9.1"/>
    <n v="12"/>
    <x v="2517"/>
  </r>
  <r>
    <n v="2659"/>
    <n v="873"/>
    <d v="2026-07-11T00:00:00"/>
    <s v="Saturday"/>
    <n v="7"/>
    <n v="12.93"/>
    <x v="1"/>
    <x v="64"/>
    <s v="Female"/>
    <n v="51.6"/>
    <n v="64.8"/>
    <n v="17.100000000000001"/>
    <n v="16"/>
    <s v="NV"/>
    <n v="4"/>
    <n v="277.60000000000002"/>
    <s v="Middle"/>
    <n v="1"/>
    <s v="Multi-Day"/>
    <n v="0"/>
    <n v="0"/>
    <s v="Main Entrance"/>
    <s v="Pixar Pals"/>
    <n v="8.3000000000000007"/>
    <n v="7"/>
    <x v="285"/>
  </r>
  <r>
    <n v="2660"/>
    <n v="873"/>
    <d v="2026-07-11T00:00:00"/>
    <s v="Saturday"/>
    <n v="7"/>
    <n v="12.93"/>
    <x v="1"/>
    <x v="41"/>
    <s v="Female"/>
    <n v="61.3"/>
    <n v="141.80000000000001"/>
    <n v="26.4"/>
    <n v="15"/>
    <s v="NV"/>
    <n v="4"/>
    <n v="277.60000000000002"/>
    <s v="Middle"/>
    <n v="1"/>
    <s v="Multi-Day"/>
    <n v="0"/>
    <n v="0"/>
    <s v="Main Entrance"/>
    <s v="Pixar Pals"/>
    <n v="8.6"/>
    <n v="6"/>
    <x v="2518"/>
  </r>
  <r>
    <n v="2661"/>
    <n v="873"/>
    <d v="2026-07-11T00:00:00"/>
    <s v="Saturday"/>
    <n v="7"/>
    <n v="12.82"/>
    <x v="1"/>
    <x v="59"/>
    <s v="Female"/>
    <n v="60.9"/>
    <n v="128"/>
    <n v="24.3"/>
    <n v="12"/>
    <s v="NV"/>
    <n v="4"/>
    <n v="277.60000000000002"/>
    <s v="Middle"/>
    <n v="1"/>
    <s v="Multi-Day"/>
    <n v="0"/>
    <n v="0"/>
    <s v="Main Entrance"/>
    <s v="Pixar Pals"/>
    <n v="11.2"/>
    <n v="10"/>
    <x v="2519"/>
  </r>
  <r>
    <n v="2662"/>
    <n v="873"/>
    <d v="2026-07-11T00:00:00"/>
    <s v="Saturday"/>
    <n v="7"/>
    <n v="12.9"/>
    <x v="1"/>
    <x v="66"/>
    <s v="Male"/>
    <n v="69.900000000000006"/>
    <n v="177.8"/>
    <n v="25.5"/>
    <n v="13"/>
    <s v="NV"/>
    <n v="4"/>
    <n v="277.60000000000002"/>
    <s v="Middle"/>
    <n v="1"/>
    <s v="Multi-Day"/>
    <n v="0"/>
    <n v="0"/>
    <s v="Main Entrance"/>
    <s v="Pixar Pals"/>
    <n v="7.3"/>
    <n v="3"/>
    <x v="2520"/>
  </r>
  <r>
    <n v="2663"/>
    <n v="874"/>
    <d v="2026-01-12T00:00:00"/>
    <s v="Monday"/>
    <n v="1"/>
    <n v="11.53"/>
    <x v="1"/>
    <x v="10"/>
    <s v="Male"/>
    <n v="70.3"/>
    <n v="183.3"/>
    <n v="26.2"/>
    <n v="13"/>
    <s v="NY"/>
    <n v="3"/>
    <n v="4299.3"/>
    <s v="Middle"/>
    <n v="1"/>
    <s v="Park Hopper"/>
    <n v="1"/>
    <n v="0"/>
    <s v="Downtown Disney Gate"/>
    <s v="Pixar Pals"/>
    <n v="6.8"/>
    <n v="7"/>
    <x v="2521"/>
  </r>
  <r>
    <n v="2664"/>
    <n v="874"/>
    <d v="2026-01-12T00:00:00"/>
    <s v="Monday"/>
    <n v="1"/>
    <n v="11.2"/>
    <x v="1"/>
    <x v="41"/>
    <s v="Female"/>
    <n v="69.099999999999994"/>
    <n v="168.5"/>
    <n v="24.6"/>
    <n v="12"/>
    <s v="NY"/>
    <n v="3"/>
    <n v="4299.3"/>
    <s v="Middle"/>
    <n v="1"/>
    <s v="Park Hopper"/>
    <n v="1"/>
    <n v="0"/>
    <s v="Downtown Disney Gate"/>
    <s v="Pixar Pals"/>
    <n v="10.6"/>
    <n v="13"/>
    <x v="2522"/>
  </r>
  <r>
    <n v="2665"/>
    <n v="874"/>
    <d v="2026-01-12T00:00:00"/>
    <s v="Monday"/>
    <n v="1"/>
    <n v="11.32"/>
    <x v="1"/>
    <x v="1"/>
    <s v="Male"/>
    <n v="70.900000000000006"/>
    <n v="183.9"/>
    <n v="25.6"/>
    <n v="10"/>
    <s v="NY"/>
    <n v="3"/>
    <n v="4299.3"/>
    <s v="Middle"/>
    <n v="1"/>
    <s v="Park Hopper"/>
    <n v="1"/>
    <n v="0"/>
    <s v="Downtown Disney Gate"/>
    <s v="Pixar Pals"/>
    <n v="8.8000000000000007"/>
    <n v="7"/>
    <x v="2523"/>
  </r>
  <r>
    <n v="2666"/>
    <n v="875"/>
    <d v="2026-09-28T00:00:00"/>
    <s v="Monday"/>
    <n v="9"/>
    <n v="10.32"/>
    <x v="0"/>
    <x v="71"/>
    <s v="Female"/>
    <n v="62.9"/>
    <n v="153"/>
    <n v="27.3"/>
    <n v="13"/>
    <s v="CA"/>
    <n v="2"/>
    <n v="17.600000000000001"/>
    <s v="Low"/>
    <n v="0"/>
    <s v="Single-Day"/>
    <n v="0"/>
    <n v="1"/>
    <s v="Downtown Disney Gate"/>
    <s v="Pixar Pals"/>
    <n v="6.1"/>
    <n v="4"/>
    <x v="2524"/>
  </r>
  <r>
    <n v="2667"/>
    <n v="875"/>
    <d v="2026-09-28T00:00:00"/>
    <s v="Monday"/>
    <n v="9"/>
    <n v="10.32"/>
    <x v="0"/>
    <x v="31"/>
    <s v="Male"/>
    <n v="68.5"/>
    <n v="130.1"/>
    <n v="19.600000000000001"/>
    <n v="17"/>
    <s v="CA"/>
    <n v="2"/>
    <n v="17.600000000000001"/>
    <s v="Low"/>
    <n v="0"/>
    <s v="Single-Day"/>
    <n v="0"/>
    <n v="1"/>
    <s v="Downtown Disney Gate"/>
    <s v="Pixar Pals"/>
    <n v="10.7"/>
    <n v="6"/>
    <x v="2525"/>
  </r>
  <r>
    <n v="2668"/>
    <n v="876"/>
    <d v="2026-08-22T00:00:00"/>
    <s v="Saturday"/>
    <n v="8"/>
    <n v="11.01"/>
    <x v="1"/>
    <x v="6"/>
    <s v="Female"/>
    <n v="61"/>
    <n v="109.2"/>
    <n v="20.7"/>
    <n v="14"/>
    <s v="CA"/>
    <n v="6"/>
    <n v="2"/>
    <s v="Middle"/>
    <n v="0"/>
    <s v="Single-Day"/>
    <n v="0"/>
    <n v="0"/>
    <s v="Main Entrance"/>
    <s v="None/Dropoff/Transit"/>
    <n v="7.3"/>
    <n v="4"/>
    <x v="2526"/>
  </r>
  <r>
    <n v="2669"/>
    <n v="876"/>
    <d v="2026-08-22T00:00:00"/>
    <s v="Saturday"/>
    <n v="8"/>
    <n v="11.17"/>
    <x v="1"/>
    <x v="34"/>
    <s v="Male"/>
    <n v="67.599999999999994"/>
    <n v="205.3"/>
    <n v="31.6"/>
    <n v="15"/>
    <s v="CA"/>
    <n v="6"/>
    <n v="2"/>
    <s v="Middle"/>
    <n v="0"/>
    <s v="Single-Day"/>
    <n v="0"/>
    <n v="0"/>
    <s v="Main Entrance"/>
    <s v="None/Dropoff/Transit"/>
    <n v="6.7"/>
    <n v="5"/>
    <x v="2527"/>
  </r>
  <r>
    <n v="2670"/>
    <n v="876"/>
    <d v="2026-08-22T00:00:00"/>
    <s v="Saturday"/>
    <n v="8"/>
    <n v="10.93"/>
    <x v="0"/>
    <x v="43"/>
    <s v="Female"/>
    <n v="66.2"/>
    <n v="145"/>
    <n v="23.2"/>
    <n v="17"/>
    <s v="CA"/>
    <n v="6"/>
    <n v="2"/>
    <s v="Middle"/>
    <n v="0"/>
    <s v="Single-Day"/>
    <n v="0"/>
    <n v="0"/>
    <s v="Main Entrance"/>
    <s v="None/Dropoff/Transit"/>
    <n v="8.5"/>
    <n v="3"/>
    <x v="2528"/>
  </r>
  <r>
    <n v="2671"/>
    <n v="876"/>
    <d v="2026-08-22T00:00:00"/>
    <s v="Saturday"/>
    <n v="8"/>
    <n v="10.95"/>
    <x v="0"/>
    <x v="7"/>
    <s v="Nonbinary/Other"/>
    <n v="51.6"/>
    <n v="81.5"/>
    <n v="21.4"/>
    <n v="13"/>
    <s v="CA"/>
    <n v="6"/>
    <n v="2"/>
    <s v="Middle"/>
    <n v="0"/>
    <s v="Single-Day"/>
    <n v="0"/>
    <n v="0"/>
    <s v="Main Entrance"/>
    <s v="None/Dropoff/Transit"/>
    <n v="7.4"/>
    <n v="6"/>
    <x v="2360"/>
  </r>
  <r>
    <n v="2672"/>
    <n v="876"/>
    <d v="2026-08-22T00:00:00"/>
    <s v="Saturday"/>
    <n v="8"/>
    <n v="10.83"/>
    <x v="0"/>
    <x v="39"/>
    <s v="Male"/>
    <n v="69.8"/>
    <n v="173.8"/>
    <n v="25.2"/>
    <n v="15"/>
    <s v="CA"/>
    <n v="6"/>
    <n v="2"/>
    <s v="Middle"/>
    <n v="0"/>
    <s v="Single-Day"/>
    <n v="0"/>
    <n v="0"/>
    <s v="Main Entrance"/>
    <s v="None/Dropoff/Transit"/>
    <n v="8.1999999999999993"/>
    <n v="13"/>
    <x v="2529"/>
  </r>
  <r>
    <n v="2673"/>
    <n v="876"/>
    <d v="2026-08-22T00:00:00"/>
    <s v="Saturday"/>
    <n v="8"/>
    <n v="10.77"/>
    <x v="0"/>
    <x v="12"/>
    <s v="Female"/>
    <n v="65.599999999999994"/>
    <n v="109.7"/>
    <n v="17.899999999999999"/>
    <n v="14"/>
    <s v="CA"/>
    <n v="6"/>
    <n v="2"/>
    <s v="Middle"/>
    <n v="0"/>
    <s v="Single-Day"/>
    <n v="0"/>
    <n v="0"/>
    <s v="Main Entrance"/>
    <s v="None/Dropoff/Transit"/>
    <n v="5.3"/>
    <n v="4"/>
    <x v="2530"/>
  </r>
  <r>
    <n v="2674"/>
    <n v="877"/>
    <d v="2026-01-17T00:00:00"/>
    <s v="Saturday"/>
    <n v="1"/>
    <n v="8.69"/>
    <x v="0"/>
    <x v="69"/>
    <s v="Female"/>
    <n v="63.3"/>
    <n v="139.6"/>
    <n v="24.3"/>
    <n v="17"/>
    <s v="TX"/>
    <n v="1"/>
    <n v="1674"/>
    <s v="Middle"/>
    <n v="0"/>
    <s v="Single-Day"/>
    <n v="0"/>
    <n v="0"/>
    <s v="Main Entrance"/>
    <s v="Mickey &amp; Friends"/>
    <n v="9.6999999999999993"/>
    <n v="11"/>
    <x v="2531"/>
  </r>
  <r>
    <n v="2675"/>
    <n v="878"/>
    <d v="2026-10-31T00:00:00"/>
    <s v="Saturday"/>
    <n v="10"/>
    <n v="12.27"/>
    <x v="1"/>
    <x v="35"/>
    <s v="Female"/>
    <n v="65.099999999999994"/>
    <n v="172.1"/>
    <n v="28.5"/>
    <n v="14"/>
    <s v="Other"/>
    <n v="2"/>
    <n v="1011.3"/>
    <s v="Low"/>
    <n v="1"/>
    <s v="Multi-Day"/>
    <n v="0"/>
    <n v="0"/>
    <s v="Main Entrance"/>
    <s v="Toy Story Lot"/>
    <n v="8.8000000000000007"/>
    <n v="11"/>
    <x v="2532"/>
  </r>
  <r>
    <n v="2676"/>
    <n v="878"/>
    <d v="2026-10-31T00:00:00"/>
    <s v="Saturday"/>
    <n v="10"/>
    <n v="12.18"/>
    <x v="1"/>
    <x v="6"/>
    <s v="Male"/>
    <n v="69"/>
    <n v="176.1"/>
    <n v="26"/>
    <n v="13"/>
    <s v="Other"/>
    <n v="2"/>
    <n v="1011.3"/>
    <s v="Low"/>
    <n v="1"/>
    <s v="Multi-Day"/>
    <n v="0"/>
    <n v="0"/>
    <s v="Main Entrance"/>
    <s v="Toy Story Lot"/>
    <n v="9.6999999999999993"/>
    <n v="8"/>
    <x v="2533"/>
  </r>
  <r>
    <n v="2677"/>
    <n v="879"/>
    <d v="2026-12-03T00:00:00"/>
    <s v="Thursday"/>
    <n v="12"/>
    <n v="10.85"/>
    <x v="0"/>
    <x v="51"/>
    <s v="Male"/>
    <n v="69.5"/>
    <n v="176.2"/>
    <n v="25.9"/>
    <n v="13"/>
    <s v="TX"/>
    <n v="4"/>
    <n v="891.8"/>
    <s v="Middle"/>
    <n v="1"/>
    <s v="Single-Day"/>
    <n v="0"/>
    <n v="0"/>
    <s v="Main Entrance"/>
    <s v="Mickey &amp; Friends"/>
    <n v="7.7"/>
    <n v="8"/>
    <x v="2534"/>
  </r>
  <r>
    <n v="2678"/>
    <n v="879"/>
    <d v="2026-12-03T00:00:00"/>
    <s v="Thursday"/>
    <n v="12"/>
    <n v="10.74"/>
    <x v="0"/>
    <x v="59"/>
    <s v="Female"/>
    <n v="65.099999999999994"/>
    <n v="174.1"/>
    <n v="28.7"/>
    <n v="13"/>
    <s v="TX"/>
    <n v="4"/>
    <n v="891.8"/>
    <s v="Middle"/>
    <n v="1"/>
    <s v="Single-Day"/>
    <n v="0"/>
    <n v="0"/>
    <s v="Main Entrance"/>
    <s v="Mickey &amp; Friends"/>
    <n v="7.4"/>
    <n v="9"/>
    <x v="2535"/>
  </r>
  <r>
    <n v="2679"/>
    <n v="879"/>
    <d v="2026-12-03T00:00:00"/>
    <s v="Thursday"/>
    <n v="12"/>
    <n v="10.87"/>
    <x v="0"/>
    <x v="20"/>
    <s v="Male"/>
    <n v="70"/>
    <n v="136.4"/>
    <n v="19.5"/>
    <n v="14"/>
    <s v="TX"/>
    <n v="4"/>
    <n v="891.8"/>
    <s v="Middle"/>
    <n v="1"/>
    <s v="Single-Day"/>
    <n v="0"/>
    <n v="0"/>
    <s v="Main Entrance"/>
    <s v="Mickey &amp; Friends"/>
    <n v="10.6"/>
    <n v="16"/>
    <x v="2536"/>
  </r>
  <r>
    <n v="2680"/>
    <n v="879"/>
    <d v="2026-12-03T00:00:00"/>
    <s v="Thursday"/>
    <n v="12"/>
    <n v="10.87"/>
    <x v="0"/>
    <x v="13"/>
    <s v="Female"/>
    <n v="62.2"/>
    <n v="137.80000000000001"/>
    <n v="24.8"/>
    <n v="14"/>
    <s v="TX"/>
    <n v="4"/>
    <n v="891.8"/>
    <s v="Middle"/>
    <n v="1"/>
    <s v="Single-Day"/>
    <n v="0"/>
    <n v="0"/>
    <s v="Main Entrance"/>
    <s v="Mickey &amp; Friends"/>
    <n v="8.6999999999999993"/>
    <n v="8"/>
    <x v="248"/>
  </r>
  <r>
    <n v="2681"/>
    <n v="880"/>
    <d v="2026-08-07T00:00:00"/>
    <s v="Friday"/>
    <n v="8"/>
    <n v="7.82"/>
    <x v="0"/>
    <x v="38"/>
    <s v="Male"/>
    <n v="74.599999999999994"/>
    <n v="209.6"/>
    <n v="26.5"/>
    <n v="14"/>
    <s v="UT"/>
    <n v="5"/>
    <n v="566.79999999999995"/>
    <s v="Middle"/>
    <n v="1"/>
    <s v="Single-Day"/>
    <n v="1"/>
    <n v="0"/>
    <s v="Main Entrance"/>
    <s v="Mickey &amp; Friends"/>
    <n v="9"/>
    <n v="11"/>
    <x v="2537"/>
  </r>
  <r>
    <n v="2682"/>
    <n v="880"/>
    <d v="2026-08-07T00:00:00"/>
    <s v="Friday"/>
    <n v="8"/>
    <n v="7.58"/>
    <x v="0"/>
    <x v="51"/>
    <s v="Male"/>
    <n v="75.099999999999994"/>
    <n v="173.3"/>
    <n v="21.6"/>
    <n v="10"/>
    <s v="UT"/>
    <n v="5"/>
    <n v="566.79999999999995"/>
    <s v="Middle"/>
    <n v="1"/>
    <s v="Single-Day"/>
    <n v="1"/>
    <n v="0"/>
    <s v="Main Entrance"/>
    <s v="Mickey &amp; Friends"/>
    <n v="7.2"/>
    <n v="15"/>
    <x v="2538"/>
  </r>
  <r>
    <n v="2683"/>
    <n v="880"/>
    <d v="2026-08-07T00:00:00"/>
    <s v="Friday"/>
    <n v="8"/>
    <n v="7.63"/>
    <x v="0"/>
    <x v="28"/>
    <s v="Female"/>
    <n v="64.3"/>
    <n v="128"/>
    <n v="21.6"/>
    <n v="14"/>
    <s v="UT"/>
    <n v="5"/>
    <n v="566.79999999999995"/>
    <s v="Middle"/>
    <n v="1"/>
    <s v="Single-Day"/>
    <n v="1"/>
    <n v="0"/>
    <s v="Main Entrance"/>
    <s v="Mickey &amp; Friends"/>
    <n v="9.6999999999999993"/>
    <n v="12"/>
    <x v="2539"/>
  </r>
  <r>
    <n v="2684"/>
    <n v="880"/>
    <d v="2026-08-07T00:00:00"/>
    <s v="Friday"/>
    <n v="8"/>
    <n v="7.69"/>
    <x v="0"/>
    <x v="3"/>
    <s v="Female"/>
    <n v="57.7"/>
    <n v="129.1"/>
    <n v="27.2"/>
    <n v="15"/>
    <s v="UT"/>
    <n v="5"/>
    <n v="566.79999999999995"/>
    <s v="Middle"/>
    <n v="1"/>
    <s v="Single-Day"/>
    <n v="1"/>
    <n v="0"/>
    <s v="Main Entrance"/>
    <s v="Mickey &amp; Friends"/>
    <n v="10.1"/>
    <n v="9"/>
    <x v="2540"/>
  </r>
  <r>
    <n v="2685"/>
    <n v="880"/>
    <d v="2026-08-07T00:00:00"/>
    <s v="Friday"/>
    <n v="8"/>
    <n v="7.5"/>
    <x v="0"/>
    <x v="69"/>
    <s v="Male"/>
    <n v="67.5"/>
    <n v="136.69999999999999"/>
    <n v="21.1"/>
    <n v="16"/>
    <s v="UT"/>
    <n v="5"/>
    <n v="566.79999999999995"/>
    <s v="Middle"/>
    <n v="1"/>
    <s v="Single-Day"/>
    <n v="1"/>
    <n v="0"/>
    <s v="Main Entrance"/>
    <s v="Mickey &amp; Friends"/>
    <n v="7.8"/>
    <n v="10"/>
    <x v="2541"/>
  </r>
  <r>
    <n v="2686"/>
    <n v="881"/>
    <d v="2026-01-08T00:00:00"/>
    <s v="Thursday"/>
    <n v="1"/>
    <n v="12.23"/>
    <x v="1"/>
    <x v="48"/>
    <s v="Male"/>
    <n v="69.599999999999994"/>
    <n v="157.69999999999999"/>
    <n v="22.7"/>
    <n v="19"/>
    <s v="IL"/>
    <n v="1"/>
    <n v="2289.1999999999998"/>
    <s v="Low"/>
    <n v="1"/>
    <s v="Multi-Day"/>
    <n v="0"/>
    <n v="1"/>
    <s v="Main Entrance"/>
    <s v="Pixar Pals"/>
    <n v="8.6999999999999993"/>
    <n v="12"/>
    <x v="2542"/>
  </r>
  <r>
    <n v="2687"/>
    <n v="882"/>
    <d v="2026-07-15T00:00:00"/>
    <s v="Wednesday"/>
    <n v="7"/>
    <n v="11.48"/>
    <x v="1"/>
    <x v="18"/>
    <s v="Female"/>
    <n v="67"/>
    <n v="152.30000000000001"/>
    <n v="23.9"/>
    <n v="15"/>
    <s v="CA"/>
    <n v="1"/>
    <n v="85"/>
    <s v="Middle"/>
    <n v="0"/>
    <s v="Single-Day"/>
    <n v="0"/>
    <n v="1"/>
    <s v="Main Entrance"/>
    <s v="None/Walked from Resort"/>
    <n v="10.1"/>
    <n v="10"/>
    <x v="2543"/>
  </r>
  <r>
    <n v="2688"/>
    <n v="883"/>
    <d v="2026-02-07T00:00:00"/>
    <s v="Saturday"/>
    <n v="2"/>
    <n v="10.57"/>
    <x v="0"/>
    <x v="0"/>
    <s v="Female"/>
    <n v="61.8"/>
    <n v="170.2"/>
    <n v="31.2"/>
    <n v="13"/>
    <s v="CA"/>
    <n v="5"/>
    <n v="40.6"/>
    <s v="Middle"/>
    <n v="0"/>
    <s v="Single-Day"/>
    <n v="1"/>
    <n v="0"/>
    <s v="Main Entrance"/>
    <s v="Mickey &amp; Friends"/>
    <n v="7.2"/>
    <n v="4"/>
    <x v="2544"/>
  </r>
  <r>
    <n v="2689"/>
    <n v="883"/>
    <d v="2026-02-07T00:00:00"/>
    <s v="Saturday"/>
    <n v="2"/>
    <n v="10.46"/>
    <x v="0"/>
    <x v="40"/>
    <s v="Male"/>
    <n v="67.900000000000006"/>
    <n v="125"/>
    <n v="18.899999999999999"/>
    <n v="13"/>
    <s v="CA"/>
    <n v="5"/>
    <n v="40.6"/>
    <s v="Middle"/>
    <n v="0"/>
    <s v="Single-Day"/>
    <n v="1"/>
    <n v="0"/>
    <s v="Main Entrance"/>
    <s v="Mickey &amp; Friends"/>
    <n v="8.3000000000000007"/>
    <n v="11"/>
    <x v="2545"/>
  </r>
  <r>
    <n v="2690"/>
    <n v="883"/>
    <d v="2026-02-07T00:00:00"/>
    <s v="Saturday"/>
    <n v="2"/>
    <n v="10.4"/>
    <x v="0"/>
    <x v="21"/>
    <s v="Female"/>
    <n v="64.5"/>
    <n v="197.2"/>
    <n v="33.4"/>
    <n v="13"/>
    <s v="CA"/>
    <n v="5"/>
    <n v="40.6"/>
    <s v="Middle"/>
    <n v="0"/>
    <s v="Single-Day"/>
    <n v="1"/>
    <n v="0"/>
    <s v="Main Entrance"/>
    <s v="Mickey &amp; Friends"/>
    <n v="8.6"/>
    <n v="6"/>
    <x v="2546"/>
  </r>
  <r>
    <n v="2691"/>
    <n v="883"/>
    <d v="2026-02-07T00:00:00"/>
    <s v="Saturday"/>
    <n v="2"/>
    <n v="10.37"/>
    <x v="0"/>
    <x v="52"/>
    <s v="Female"/>
    <n v="63.3"/>
    <n v="148.6"/>
    <n v="26"/>
    <n v="16"/>
    <s v="CA"/>
    <n v="5"/>
    <n v="40.6"/>
    <s v="Middle"/>
    <n v="0"/>
    <s v="Single-Day"/>
    <n v="1"/>
    <n v="0"/>
    <s v="Main Entrance"/>
    <s v="Mickey &amp; Friends"/>
    <n v="7.3"/>
    <n v="9"/>
    <x v="2547"/>
  </r>
  <r>
    <n v="2692"/>
    <n v="883"/>
    <d v="2026-02-07T00:00:00"/>
    <s v="Saturday"/>
    <n v="2"/>
    <n v="10.32"/>
    <x v="0"/>
    <x v="4"/>
    <s v="Female"/>
    <n v="64.8"/>
    <n v="166"/>
    <n v="27.7"/>
    <n v="16"/>
    <s v="CA"/>
    <n v="5"/>
    <n v="40.6"/>
    <s v="Middle"/>
    <n v="0"/>
    <s v="Single-Day"/>
    <n v="1"/>
    <n v="0"/>
    <s v="Main Entrance"/>
    <s v="Mickey &amp; Friends"/>
    <n v="5.9"/>
    <n v="13"/>
    <x v="2548"/>
  </r>
  <r>
    <n v="2693"/>
    <n v="884"/>
    <d v="2026-01-29T00:00:00"/>
    <s v="Thursday"/>
    <n v="1"/>
    <n v="9.6199999999999992"/>
    <x v="0"/>
    <x v="1"/>
    <s v="Female"/>
    <n v="69.400000000000006"/>
    <n v="151.1"/>
    <n v="22"/>
    <n v="17"/>
    <s v="WI"/>
    <n v="4"/>
    <n v="2248.1"/>
    <s v="High"/>
    <n v="1"/>
    <s v="Park Hopper"/>
    <n v="0"/>
    <n v="1"/>
    <s v="Main Entrance"/>
    <s v="None/Walked from Resort"/>
    <n v="8.6"/>
    <n v="9"/>
    <x v="1364"/>
  </r>
  <r>
    <n v="2694"/>
    <n v="884"/>
    <d v="2026-01-29T00:00:00"/>
    <s v="Thursday"/>
    <n v="1"/>
    <n v="9.18"/>
    <x v="0"/>
    <x v="3"/>
    <s v="Female"/>
    <n v="66"/>
    <n v="131.5"/>
    <n v="21.2"/>
    <n v="15"/>
    <s v="WI"/>
    <n v="4"/>
    <n v="2248.1"/>
    <s v="High"/>
    <n v="1"/>
    <s v="Park Hopper"/>
    <n v="0"/>
    <n v="1"/>
    <s v="Main Entrance"/>
    <s v="None/Walked from Resort"/>
    <n v="10.3"/>
    <n v="11"/>
    <x v="1182"/>
  </r>
  <r>
    <n v="2695"/>
    <n v="884"/>
    <d v="2026-01-29T00:00:00"/>
    <s v="Thursday"/>
    <n v="1"/>
    <n v="9.49"/>
    <x v="0"/>
    <x v="0"/>
    <s v="Female"/>
    <n v="64.3"/>
    <n v="161.1"/>
    <n v="27.2"/>
    <n v="17"/>
    <s v="WI"/>
    <n v="4"/>
    <n v="2248.1"/>
    <s v="High"/>
    <n v="1"/>
    <s v="Park Hopper"/>
    <n v="0"/>
    <n v="1"/>
    <s v="Main Entrance"/>
    <s v="None/Walked from Resort"/>
    <n v="11.8"/>
    <n v="11"/>
    <x v="2549"/>
  </r>
  <r>
    <n v="2696"/>
    <n v="884"/>
    <d v="2026-01-29T00:00:00"/>
    <s v="Thursday"/>
    <n v="1"/>
    <n v="9.6300000000000008"/>
    <x v="0"/>
    <x v="72"/>
    <s v="Male"/>
    <n v="69.7"/>
    <n v="154.30000000000001"/>
    <n v="22.5"/>
    <n v="17"/>
    <s v="WI"/>
    <n v="4"/>
    <n v="2248.1"/>
    <s v="High"/>
    <n v="1"/>
    <s v="Park Hopper"/>
    <n v="0"/>
    <n v="1"/>
    <s v="Main Entrance"/>
    <s v="None/Walked from Resort"/>
    <n v="11.6"/>
    <n v="14"/>
    <x v="2550"/>
  </r>
  <r>
    <n v="2697"/>
    <n v="885"/>
    <d v="2026-07-01T00:00:00"/>
    <s v="Wednesday"/>
    <n v="7"/>
    <n v="11.16"/>
    <x v="1"/>
    <x v="5"/>
    <s v="Female"/>
    <n v="63.3"/>
    <n v="147.5"/>
    <n v="25.7"/>
    <n v="18"/>
    <s v="OR"/>
    <n v="1"/>
    <n v="959.4"/>
    <s v="High"/>
    <n v="0"/>
    <s v="Park Hopper"/>
    <n v="1"/>
    <n v="1"/>
    <s v="Downtown Disney Gate"/>
    <s v="Pixar Pals"/>
    <n v="7.2"/>
    <n v="9"/>
    <x v="2474"/>
  </r>
  <r>
    <n v="2698"/>
    <n v="886"/>
    <d v="2026-09-28T00:00:00"/>
    <s v="Monday"/>
    <n v="9"/>
    <n v="11.41"/>
    <x v="1"/>
    <x v="39"/>
    <s v="Male"/>
    <n v="68.3"/>
    <n v="162.80000000000001"/>
    <n v="24.6"/>
    <n v="17"/>
    <s v="CA"/>
    <n v="3"/>
    <n v="74.599999999999994"/>
    <s v="Middle"/>
    <n v="0"/>
    <s v="Multi-Day"/>
    <n v="0"/>
    <n v="0"/>
    <s v="Main Entrance"/>
    <s v="None/Dropoff/Transit"/>
    <n v="8.6999999999999993"/>
    <n v="8"/>
    <x v="1782"/>
  </r>
  <r>
    <n v="2699"/>
    <n v="886"/>
    <d v="2026-09-28T00:00:00"/>
    <s v="Monday"/>
    <n v="9"/>
    <n v="11.32"/>
    <x v="1"/>
    <x v="31"/>
    <s v="Male"/>
    <n v="68.8"/>
    <n v="149.5"/>
    <n v="22"/>
    <n v="15"/>
    <s v="CA"/>
    <n v="3"/>
    <n v="74.599999999999994"/>
    <s v="Middle"/>
    <n v="0"/>
    <s v="Multi-Day"/>
    <n v="0"/>
    <n v="0"/>
    <s v="Main Entrance"/>
    <s v="None/Dropoff/Transit"/>
    <n v="6.8"/>
    <n v="5"/>
    <x v="2551"/>
  </r>
  <r>
    <n v="2700"/>
    <n v="886"/>
    <d v="2026-09-28T00:00:00"/>
    <s v="Monday"/>
    <n v="9"/>
    <n v="11.35"/>
    <x v="1"/>
    <x v="36"/>
    <s v="Male"/>
    <n v="70.7"/>
    <n v="182.2"/>
    <n v="25.5"/>
    <n v="15"/>
    <s v="CA"/>
    <n v="3"/>
    <n v="74.599999999999994"/>
    <s v="Middle"/>
    <n v="0"/>
    <s v="Multi-Day"/>
    <n v="0"/>
    <n v="0"/>
    <s v="Main Entrance"/>
    <s v="None/Dropoff/Transit"/>
    <n v="10"/>
    <n v="14"/>
    <x v="2552"/>
  </r>
  <r>
    <n v="2701"/>
    <n v="887"/>
    <d v="2026-04-08T00:00:00"/>
    <s v="Wednesday"/>
    <n v="4"/>
    <n v="8.76"/>
    <x v="0"/>
    <x v="33"/>
    <s v="Male"/>
    <n v="70.3"/>
    <n v="223.7"/>
    <n v="31.5"/>
    <n v="14"/>
    <s v="NY"/>
    <n v="3"/>
    <n v="2987"/>
    <s v="Low"/>
    <n v="1"/>
    <s v="Single-Day"/>
    <n v="0"/>
    <n v="1"/>
    <s v="Main Entrance"/>
    <s v="Toy Story Lot"/>
    <n v="6.1"/>
    <n v="5"/>
    <x v="2553"/>
  </r>
  <r>
    <n v="2702"/>
    <n v="887"/>
    <d v="2026-04-08T00:00:00"/>
    <s v="Wednesday"/>
    <n v="4"/>
    <n v="8.86"/>
    <x v="0"/>
    <x v="35"/>
    <s v="Male"/>
    <n v="69.099999999999994"/>
    <n v="182.2"/>
    <n v="26.9"/>
    <n v="16"/>
    <s v="NY"/>
    <n v="3"/>
    <n v="2987"/>
    <s v="Low"/>
    <n v="1"/>
    <s v="Single-Day"/>
    <n v="0"/>
    <n v="1"/>
    <s v="Main Entrance"/>
    <s v="Toy Story Lot"/>
    <n v="9.9"/>
    <n v="8"/>
    <x v="2554"/>
  </r>
  <r>
    <n v="2703"/>
    <n v="887"/>
    <d v="2026-04-08T00:00:00"/>
    <s v="Wednesday"/>
    <n v="4"/>
    <n v="8.86"/>
    <x v="0"/>
    <x v="36"/>
    <s v="Male"/>
    <n v="72.5"/>
    <n v="141.69999999999999"/>
    <n v="19"/>
    <n v="10"/>
    <s v="NY"/>
    <n v="3"/>
    <n v="2987"/>
    <s v="Low"/>
    <n v="1"/>
    <s v="Single-Day"/>
    <n v="0"/>
    <n v="1"/>
    <s v="Main Entrance"/>
    <s v="Toy Story Lot"/>
    <n v="6.8"/>
    <n v="10"/>
    <x v="2555"/>
  </r>
  <r>
    <n v="2704"/>
    <n v="888"/>
    <d v="2026-09-20T00:00:00"/>
    <s v="Sunday"/>
    <n v="9"/>
    <n v="10.89"/>
    <x v="0"/>
    <x v="73"/>
    <s v="Female"/>
    <n v="70"/>
    <n v="159"/>
    <n v="22.6"/>
    <n v="11"/>
    <s v="NV"/>
    <n v="4"/>
    <n v="320.8"/>
    <s v="Low"/>
    <n v="0"/>
    <s v="Single-Day"/>
    <n v="0"/>
    <n v="0"/>
    <s v="Main Entrance"/>
    <s v="Toy Story Lot"/>
    <n v="4.5"/>
    <n v="6"/>
    <x v="2556"/>
  </r>
  <r>
    <n v="2705"/>
    <n v="888"/>
    <d v="2026-09-20T00:00:00"/>
    <s v="Sunday"/>
    <n v="9"/>
    <n v="10.76"/>
    <x v="0"/>
    <x v="33"/>
    <s v="Female"/>
    <n v="61.8"/>
    <n v="92.6"/>
    <n v="17"/>
    <n v="14"/>
    <s v="NV"/>
    <n v="4"/>
    <n v="320.8"/>
    <s v="Low"/>
    <n v="0"/>
    <s v="Single-Day"/>
    <n v="0"/>
    <n v="0"/>
    <s v="Main Entrance"/>
    <s v="Toy Story Lot"/>
    <n v="9"/>
    <n v="12"/>
    <x v="2557"/>
  </r>
  <r>
    <n v="2706"/>
    <n v="888"/>
    <d v="2026-09-20T00:00:00"/>
    <s v="Sunday"/>
    <n v="9"/>
    <n v="10.8"/>
    <x v="0"/>
    <x v="74"/>
    <s v="Female"/>
    <n v="66.5"/>
    <n v="149.4"/>
    <n v="23.7"/>
    <n v="11"/>
    <s v="NV"/>
    <n v="4"/>
    <n v="320.8"/>
    <s v="Low"/>
    <n v="0"/>
    <s v="Single-Day"/>
    <n v="0"/>
    <n v="0"/>
    <s v="Main Entrance"/>
    <s v="Toy Story Lot"/>
    <n v="8.1999999999999993"/>
    <n v="7"/>
    <x v="2558"/>
  </r>
  <r>
    <n v="2707"/>
    <n v="888"/>
    <d v="2026-09-20T00:00:00"/>
    <s v="Sunday"/>
    <n v="9"/>
    <n v="10.81"/>
    <x v="0"/>
    <x v="37"/>
    <s v="Female"/>
    <n v="60.9"/>
    <n v="155.69999999999999"/>
    <n v="29.6"/>
    <n v="16"/>
    <s v="NV"/>
    <n v="4"/>
    <n v="320.8"/>
    <s v="Low"/>
    <n v="0"/>
    <s v="Single-Day"/>
    <n v="0"/>
    <n v="0"/>
    <s v="Main Entrance"/>
    <s v="Toy Story Lot"/>
    <n v="4.4000000000000004"/>
    <n v="4"/>
    <x v="2559"/>
  </r>
  <r>
    <n v="2708"/>
    <n v="889"/>
    <d v="2026-09-28T00:00:00"/>
    <s v="Monday"/>
    <n v="9"/>
    <n v="11.64"/>
    <x v="1"/>
    <x v="20"/>
    <s v="Female"/>
    <n v="70"/>
    <n v="128.69999999999999"/>
    <n v="18.5"/>
    <n v="11"/>
    <s v="IL"/>
    <n v="5"/>
    <n v="1818.5"/>
    <s v="Low"/>
    <n v="1"/>
    <s v="Single-Day"/>
    <n v="1"/>
    <n v="0"/>
    <s v="Main Entrance"/>
    <s v="Mickey &amp; Friends"/>
    <n v="7.4"/>
    <n v="11"/>
    <x v="2560"/>
  </r>
  <r>
    <n v="2709"/>
    <n v="889"/>
    <d v="2026-09-28T00:00:00"/>
    <s v="Monday"/>
    <n v="9"/>
    <n v="11.37"/>
    <x v="1"/>
    <x v="64"/>
    <s v="Female"/>
    <n v="52.7"/>
    <n v="73.900000000000006"/>
    <n v="18.7"/>
    <n v="12"/>
    <s v="IL"/>
    <n v="5"/>
    <n v="1818.5"/>
    <s v="Low"/>
    <n v="1"/>
    <s v="Single-Day"/>
    <n v="1"/>
    <n v="0"/>
    <s v="Main Entrance"/>
    <s v="Mickey &amp; Friends"/>
    <n v="10.5"/>
    <n v="11"/>
    <x v="2561"/>
  </r>
  <r>
    <n v="2710"/>
    <n v="889"/>
    <d v="2026-09-28T00:00:00"/>
    <s v="Monday"/>
    <n v="9"/>
    <n v="11.55"/>
    <x v="1"/>
    <x v="25"/>
    <s v="Female"/>
    <n v="66.900000000000006"/>
    <n v="174.1"/>
    <n v="27.4"/>
    <n v="15"/>
    <s v="IL"/>
    <n v="5"/>
    <n v="1818.5"/>
    <s v="Low"/>
    <n v="1"/>
    <s v="Single-Day"/>
    <n v="1"/>
    <n v="0"/>
    <s v="Main Entrance"/>
    <s v="Mickey &amp; Friends"/>
    <n v="6.7"/>
    <n v="5"/>
    <x v="2562"/>
  </r>
  <r>
    <n v="2711"/>
    <n v="889"/>
    <d v="2026-09-28T00:00:00"/>
    <s v="Monday"/>
    <n v="9"/>
    <n v="11.48"/>
    <x v="1"/>
    <x v="64"/>
    <s v="Male"/>
    <n v="47.8"/>
    <n v="78.3"/>
    <n v="23.9"/>
    <n v="7"/>
    <s v="IL"/>
    <n v="5"/>
    <n v="1818.5"/>
    <s v="Low"/>
    <n v="1"/>
    <s v="Single-Day"/>
    <n v="1"/>
    <n v="0"/>
    <s v="Main Entrance"/>
    <s v="Mickey &amp; Friends"/>
    <n v="8.6999999999999993"/>
    <n v="11"/>
    <x v="2427"/>
  </r>
  <r>
    <n v="2712"/>
    <n v="889"/>
    <d v="2026-09-28T00:00:00"/>
    <s v="Monday"/>
    <n v="9"/>
    <n v="11.44"/>
    <x v="1"/>
    <x v="38"/>
    <s v="Female"/>
    <n v="64.400000000000006"/>
    <n v="111.8"/>
    <n v="19"/>
    <n v="11"/>
    <s v="IL"/>
    <n v="5"/>
    <n v="1818.5"/>
    <s v="Low"/>
    <n v="1"/>
    <s v="Single-Day"/>
    <n v="1"/>
    <n v="0"/>
    <s v="Main Entrance"/>
    <s v="Mickey &amp; Friends"/>
    <n v="6.5"/>
    <n v="7"/>
    <x v="2563"/>
  </r>
  <r>
    <n v="2713"/>
    <n v="890"/>
    <d v="2026-04-29T00:00:00"/>
    <s v="Wednesday"/>
    <n v="4"/>
    <n v="7.78"/>
    <x v="0"/>
    <x v="12"/>
    <s v="Male"/>
    <n v="70"/>
    <n v="144"/>
    <n v="20.8"/>
    <n v="12"/>
    <s v="CA"/>
    <n v="2"/>
    <n v="144.19999999999999"/>
    <s v="Middle"/>
    <n v="1"/>
    <s v="Single-Day"/>
    <n v="0"/>
    <n v="0"/>
    <s v="Main Entrance"/>
    <s v="Mickey &amp; Friends"/>
    <n v="10.6"/>
    <n v="8"/>
    <x v="2564"/>
  </r>
  <r>
    <n v="2714"/>
    <n v="890"/>
    <d v="2026-04-29T00:00:00"/>
    <s v="Wednesday"/>
    <n v="4"/>
    <n v="7.76"/>
    <x v="0"/>
    <x v="42"/>
    <s v="Female"/>
    <n v="68"/>
    <n v="101.1"/>
    <n v="15.5"/>
    <n v="14"/>
    <s v="CA"/>
    <n v="2"/>
    <n v="144.19999999999999"/>
    <s v="Middle"/>
    <n v="1"/>
    <s v="Single-Day"/>
    <n v="0"/>
    <n v="0"/>
    <s v="Main Entrance"/>
    <s v="Mickey &amp; Friends"/>
    <n v="9.3000000000000007"/>
    <n v="11"/>
    <x v="2565"/>
  </r>
  <r>
    <n v="2715"/>
    <n v="891"/>
    <d v="2026-01-27T00:00:00"/>
    <s v="Tuesday"/>
    <n v="1"/>
    <n v="11.58"/>
    <x v="1"/>
    <x v="30"/>
    <s v="Male"/>
    <n v="66.900000000000006"/>
    <n v="150.19999999999999"/>
    <n v="23.9"/>
    <n v="12"/>
    <s v="NV"/>
    <n v="4"/>
    <n v="244.6"/>
    <s v="Low"/>
    <n v="1"/>
    <s v="Multi-Day"/>
    <n v="0"/>
    <n v="0"/>
    <s v="Downtown Disney Gate"/>
    <s v="None/Dropoff/Transit"/>
    <n v="8.8000000000000007"/>
    <n v="10"/>
    <x v="2566"/>
  </r>
  <r>
    <n v="2716"/>
    <n v="891"/>
    <d v="2026-01-27T00:00:00"/>
    <s v="Tuesday"/>
    <n v="1"/>
    <n v="11.33"/>
    <x v="1"/>
    <x v="47"/>
    <s v="Male"/>
    <n v="70.900000000000006"/>
    <n v="173.2"/>
    <n v="24.4"/>
    <n v="15"/>
    <s v="NV"/>
    <n v="4"/>
    <n v="244.6"/>
    <s v="Low"/>
    <n v="1"/>
    <s v="Multi-Day"/>
    <n v="0"/>
    <n v="0"/>
    <s v="Downtown Disney Gate"/>
    <s v="None/Dropoff/Transit"/>
    <n v="7.7"/>
    <n v="8"/>
    <x v="2567"/>
  </r>
  <r>
    <n v="2717"/>
    <n v="891"/>
    <d v="2026-01-27T00:00:00"/>
    <s v="Tuesday"/>
    <n v="1"/>
    <n v="11.72"/>
    <x v="1"/>
    <x v="8"/>
    <s v="Male"/>
    <n v="71.400000000000006"/>
    <n v="158.5"/>
    <n v="21.6"/>
    <n v="12"/>
    <s v="NV"/>
    <n v="4"/>
    <n v="244.6"/>
    <s v="Low"/>
    <n v="1"/>
    <s v="Multi-Day"/>
    <n v="0"/>
    <n v="0"/>
    <s v="Downtown Disney Gate"/>
    <s v="None/Dropoff/Transit"/>
    <n v="7.6"/>
    <n v="4"/>
    <x v="2568"/>
  </r>
  <r>
    <n v="2718"/>
    <n v="891"/>
    <d v="2026-01-27T00:00:00"/>
    <s v="Tuesday"/>
    <n v="1"/>
    <n v="11.43"/>
    <x v="1"/>
    <x v="2"/>
    <s v="Male"/>
    <n v="67.900000000000006"/>
    <n v="138.5"/>
    <n v="21.2"/>
    <n v="10"/>
    <s v="NV"/>
    <n v="4"/>
    <n v="244.6"/>
    <s v="Low"/>
    <n v="1"/>
    <s v="Multi-Day"/>
    <n v="0"/>
    <n v="0"/>
    <s v="Downtown Disney Gate"/>
    <s v="None/Dropoff/Transit"/>
    <n v="10.6"/>
    <n v="12"/>
    <x v="2569"/>
  </r>
  <r>
    <n v="2719"/>
    <n v="892"/>
    <d v="2026-12-09T00:00:00"/>
    <s v="Wednesday"/>
    <n v="12"/>
    <n v="7.33"/>
    <x v="0"/>
    <x v="1"/>
    <s v="Male"/>
    <n v="74.5"/>
    <n v="152.4"/>
    <n v="19.3"/>
    <n v="15"/>
    <s v="CA"/>
    <n v="1"/>
    <n v="28.4"/>
    <s v="Middle"/>
    <n v="0"/>
    <s v="Single-Day"/>
    <n v="1"/>
    <n v="0"/>
    <s v="Main Entrance"/>
    <s v="Toy Story Lot"/>
    <n v="8.6"/>
    <n v="9"/>
    <x v="2570"/>
  </r>
  <r>
    <n v="2720"/>
    <n v="893"/>
    <d v="2026-01-01T00:00:00"/>
    <s v="Thursday"/>
    <n v="1"/>
    <n v="10.33"/>
    <x v="0"/>
    <x v="57"/>
    <s v="Male"/>
    <n v="65.2"/>
    <n v="156.6"/>
    <n v="25.9"/>
    <n v="14"/>
    <s v="CA"/>
    <n v="3"/>
    <n v="164.4"/>
    <s v="Middle"/>
    <n v="0"/>
    <s v="Park Hopper"/>
    <n v="1"/>
    <n v="0"/>
    <s v="Main Entrance"/>
    <s v="Toy Story Lot"/>
    <n v="7.4"/>
    <n v="9"/>
    <x v="2571"/>
  </r>
  <r>
    <n v="2721"/>
    <n v="893"/>
    <d v="2026-01-01T00:00:00"/>
    <s v="Thursday"/>
    <n v="1"/>
    <n v="10.14"/>
    <x v="0"/>
    <x v="30"/>
    <s v="Male"/>
    <n v="68"/>
    <n v="142.30000000000001"/>
    <n v="21.5"/>
    <n v="18"/>
    <s v="CA"/>
    <n v="3"/>
    <n v="164.4"/>
    <s v="Middle"/>
    <n v="0"/>
    <s v="Park Hopper"/>
    <n v="1"/>
    <n v="0"/>
    <s v="Main Entrance"/>
    <s v="Toy Story Lot"/>
    <n v="6.9"/>
    <n v="14"/>
    <x v="2572"/>
  </r>
  <r>
    <n v="2722"/>
    <n v="893"/>
    <d v="2026-01-01T00:00:00"/>
    <s v="Thursday"/>
    <n v="1"/>
    <n v="10.17"/>
    <x v="0"/>
    <x v="55"/>
    <s v="Male"/>
    <n v="73.7"/>
    <n v="244.4"/>
    <n v="31.5"/>
    <n v="19"/>
    <s v="CA"/>
    <n v="3"/>
    <n v="164.4"/>
    <s v="Middle"/>
    <n v="0"/>
    <s v="Park Hopper"/>
    <n v="1"/>
    <n v="0"/>
    <s v="Main Entrance"/>
    <s v="Toy Story Lot"/>
    <n v="5.9"/>
    <n v="13"/>
    <x v="2573"/>
  </r>
  <r>
    <n v="2723"/>
    <n v="894"/>
    <d v="2026-05-12T00:00:00"/>
    <s v="Tuesday"/>
    <n v="5"/>
    <n v="10.48"/>
    <x v="0"/>
    <x v="16"/>
    <s v="Male"/>
    <n v="58.9"/>
    <n v="109.2"/>
    <n v="22.2"/>
    <n v="18"/>
    <s v="CA"/>
    <n v="2"/>
    <n v="53.6"/>
    <s v="Middle"/>
    <n v="1"/>
    <s v="Single-Day"/>
    <n v="0"/>
    <n v="0"/>
    <s v="Main Entrance"/>
    <s v="Pixar Pals"/>
    <n v="9.1999999999999993"/>
    <n v="6"/>
    <x v="2574"/>
  </r>
  <r>
    <n v="2724"/>
    <n v="894"/>
    <d v="2026-05-12T00:00:00"/>
    <s v="Tuesday"/>
    <n v="5"/>
    <n v="10.3"/>
    <x v="0"/>
    <x v="5"/>
    <s v="Male"/>
    <n v="67.599999999999994"/>
    <n v="152.80000000000001"/>
    <n v="23.8"/>
    <n v="19"/>
    <s v="CA"/>
    <n v="2"/>
    <n v="53.6"/>
    <s v="Middle"/>
    <n v="1"/>
    <s v="Single-Day"/>
    <n v="0"/>
    <n v="0"/>
    <s v="Main Entrance"/>
    <s v="Pixar Pals"/>
    <n v="9.5"/>
    <n v="9"/>
    <x v="2575"/>
  </r>
  <r>
    <n v="2725"/>
    <n v="895"/>
    <d v="2026-03-29T00:00:00"/>
    <s v="Sunday"/>
    <n v="3"/>
    <n v="10.050000000000001"/>
    <x v="0"/>
    <x v="17"/>
    <s v="Male"/>
    <n v="69.7"/>
    <n v="190.1"/>
    <n v="27.4"/>
    <n v="19"/>
    <s v="UT"/>
    <n v="3"/>
    <n v="319.2"/>
    <s v="High"/>
    <n v="0"/>
    <s v="Single-Day"/>
    <n v="1"/>
    <n v="0"/>
    <s v="Main Entrance"/>
    <s v="Mickey &amp; Friends"/>
    <n v="8.9"/>
    <n v="13"/>
    <x v="2576"/>
  </r>
  <r>
    <n v="2726"/>
    <n v="895"/>
    <d v="2026-03-29T00:00:00"/>
    <s v="Sunday"/>
    <n v="3"/>
    <n v="10.18"/>
    <x v="0"/>
    <x v="15"/>
    <s v="Male"/>
    <n v="70.2"/>
    <n v="214.4"/>
    <n v="30.2"/>
    <n v="12"/>
    <s v="UT"/>
    <n v="3"/>
    <n v="319.2"/>
    <s v="High"/>
    <n v="0"/>
    <s v="Single-Day"/>
    <n v="1"/>
    <n v="0"/>
    <s v="Main Entrance"/>
    <s v="Mickey &amp; Friends"/>
    <n v="9.9"/>
    <n v="9"/>
    <x v="2577"/>
  </r>
  <r>
    <n v="2727"/>
    <n v="895"/>
    <d v="2026-03-29T00:00:00"/>
    <s v="Sunday"/>
    <n v="3"/>
    <n v="10.08"/>
    <x v="0"/>
    <x v="25"/>
    <s v="Male"/>
    <n v="63.3"/>
    <n v="149.19999999999999"/>
    <n v="26.4"/>
    <n v="18"/>
    <s v="UT"/>
    <n v="3"/>
    <n v="319.2"/>
    <s v="High"/>
    <n v="0"/>
    <s v="Single-Day"/>
    <n v="1"/>
    <n v="0"/>
    <s v="Main Entrance"/>
    <s v="Mickey &amp; Friends"/>
    <n v="7.3"/>
    <n v="11"/>
    <x v="2578"/>
  </r>
  <r>
    <n v="2728"/>
    <n v="896"/>
    <d v="2026-09-13T00:00:00"/>
    <s v="Sunday"/>
    <n v="9"/>
    <n v="8.9700000000000006"/>
    <x v="0"/>
    <x v="55"/>
    <s v="Male"/>
    <n v="71.2"/>
    <n v="221.9"/>
    <n v="30.7"/>
    <n v="11"/>
    <s v="CA"/>
    <n v="4"/>
    <n v="112.9"/>
    <s v="Low"/>
    <n v="1"/>
    <s v="Park Hopper"/>
    <n v="0"/>
    <n v="0"/>
    <s v="Main Entrance"/>
    <s v="Pixar Pals"/>
    <n v="8.8000000000000007"/>
    <n v="12"/>
    <x v="2579"/>
  </r>
  <r>
    <n v="2729"/>
    <n v="896"/>
    <d v="2026-09-13T00:00:00"/>
    <s v="Sunday"/>
    <n v="9"/>
    <n v="9.15"/>
    <x v="0"/>
    <x v="64"/>
    <s v="Female"/>
    <n v="48.3"/>
    <n v="58"/>
    <n v="17.399999999999999"/>
    <n v="15"/>
    <s v="CA"/>
    <n v="4"/>
    <n v="112.9"/>
    <s v="Low"/>
    <n v="1"/>
    <s v="Park Hopper"/>
    <n v="0"/>
    <n v="0"/>
    <s v="Main Entrance"/>
    <s v="Pixar Pals"/>
    <n v="12.1"/>
    <n v="11"/>
    <x v="102"/>
  </r>
  <r>
    <n v="2730"/>
    <n v="896"/>
    <d v="2026-09-13T00:00:00"/>
    <s v="Sunday"/>
    <n v="9"/>
    <n v="9.2200000000000006"/>
    <x v="0"/>
    <x v="57"/>
    <s v="Male"/>
    <n v="71.5"/>
    <n v="185.6"/>
    <n v="25.5"/>
    <n v="13"/>
    <s v="CA"/>
    <n v="4"/>
    <n v="112.9"/>
    <s v="Low"/>
    <n v="1"/>
    <s v="Park Hopper"/>
    <n v="0"/>
    <n v="0"/>
    <s v="Main Entrance"/>
    <s v="Pixar Pals"/>
    <n v="8.1999999999999993"/>
    <n v="5"/>
    <x v="2580"/>
  </r>
  <r>
    <n v="2731"/>
    <n v="896"/>
    <d v="2026-09-13T00:00:00"/>
    <s v="Sunday"/>
    <n v="9"/>
    <n v="9.33"/>
    <x v="0"/>
    <x v="18"/>
    <s v="Female"/>
    <n v="61"/>
    <n v="153.5"/>
    <n v="29.1"/>
    <n v="14"/>
    <s v="CA"/>
    <n v="4"/>
    <n v="112.9"/>
    <s v="Low"/>
    <n v="1"/>
    <s v="Park Hopper"/>
    <n v="0"/>
    <n v="0"/>
    <s v="Main Entrance"/>
    <s v="Pixar Pals"/>
    <n v="8.3000000000000007"/>
    <n v="4"/>
    <x v="2581"/>
  </r>
  <r>
    <n v="2732"/>
    <n v="897"/>
    <d v="2026-10-26T00:00:00"/>
    <s v="Monday"/>
    <n v="10"/>
    <n v="9.92"/>
    <x v="0"/>
    <x v="44"/>
    <s v="Male"/>
    <n v="66.3"/>
    <n v="152.69999999999999"/>
    <n v="24.2"/>
    <n v="12"/>
    <s v="CA"/>
    <n v="1"/>
    <n v="127.6"/>
    <s v="Middle"/>
    <n v="1"/>
    <s v="Multi-Day"/>
    <n v="0"/>
    <n v="0"/>
    <s v="Downtown Disney Gate"/>
    <s v="Toy Story Lot"/>
    <n v="8.3000000000000007"/>
    <n v="9"/>
    <x v="2582"/>
  </r>
  <r>
    <n v="2733"/>
    <n v="898"/>
    <d v="2026-02-09T00:00:00"/>
    <s v="Monday"/>
    <n v="2"/>
    <n v="11.79"/>
    <x v="1"/>
    <x v="69"/>
    <s v="Female"/>
    <n v="64.900000000000006"/>
    <n v="182.8"/>
    <n v="30.6"/>
    <n v="14"/>
    <s v="Other"/>
    <n v="1"/>
    <n v="1878.9"/>
    <s v="Middle"/>
    <n v="1"/>
    <s v="Single-Day"/>
    <n v="0"/>
    <n v="0"/>
    <s v="Main Entrance"/>
    <s v="None/Dropoff/Transit"/>
    <n v="7.9"/>
    <n v="7"/>
    <x v="2583"/>
  </r>
  <r>
    <n v="2734"/>
    <n v="899"/>
    <d v="2026-10-17T00:00:00"/>
    <s v="Saturday"/>
    <n v="10"/>
    <n v="9.19"/>
    <x v="0"/>
    <x v="21"/>
    <s v="Female"/>
    <n v="58.6"/>
    <n v="117.3"/>
    <n v="24.3"/>
    <n v="20"/>
    <s v="CA"/>
    <n v="3"/>
    <n v="2"/>
    <s v="High"/>
    <n v="1"/>
    <s v="Multi-Day"/>
    <n v="0"/>
    <n v="0"/>
    <s v="Main Entrance"/>
    <s v="Mickey &amp; Friends"/>
    <n v="8.5"/>
    <n v="4"/>
    <x v="2584"/>
  </r>
  <r>
    <n v="2735"/>
    <n v="899"/>
    <d v="2026-10-17T00:00:00"/>
    <s v="Saturday"/>
    <n v="10"/>
    <n v="9.36"/>
    <x v="0"/>
    <x v="45"/>
    <s v="Female"/>
    <n v="61.7"/>
    <n v="138.6"/>
    <n v="25.4"/>
    <n v="20"/>
    <s v="CA"/>
    <n v="3"/>
    <n v="2"/>
    <s v="High"/>
    <n v="1"/>
    <s v="Multi-Day"/>
    <n v="0"/>
    <n v="0"/>
    <s v="Main Entrance"/>
    <s v="Mickey &amp; Friends"/>
    <n v="6.7"/>
    <n v="6"/>
    <x v="2585"/>
  </r>
  <r>
    <n v="2736"/>
    <n v="899"/>
    <d v="2026-10-17T00:00:00"/>
    <s v="Saturday"/>
    <n v="10"/>
    <n v="9.44"/>
    <x v="0"/>
    <x v="3"/>
    <s v="Male"/>
    <n v="67.7"/>
    <n v="172.3"/>
    <n v="26.2"/>
    <n v="16"/>
    <s v="CA"/>
    <n v="3"/>
    <n v="2"/>
    <s v="High"/>
    <n v="1"/>
    <s v="Multi-Day"/>
    <n v="0"/>
    <n v="0"/>
    <s v="Main Entrance"/>
    <s v="Mickey &amp; Friends"/>
    <n v="7.5"/>
    <n v="7"/>
    <x v="2586"/>
  </r>
  <r>
    <n v="2737"/>
    <n v="900"/>
    <d v="2026-12-30T00:00:00"/>
    <s v="Wednesday"/>
    <n v="12"/>
    <n v="10.63"/>
    <x v="0"/>
    <x v="51"/>
    <s v="Male"/>
    <n v="66.900000000000006"/>
    <n v="170.7"/>
    <n v="26.9"/>
    <n v="14"/>
    <s v="NV"/>
    <n v="4"/>
    <n v="283.8"/>
    <s v="High"/>
    <n v="1"/>
    <s v="Single-Day"/>
    <n v="0"/>
    <n v="0"/>
    <s v="Main Entrance"/>
    <s v="Mickey &amp; Friends"/>
    <n v="5.0999999999999996"/>
    <n v="2"/>
    <x v="2587"/>
  </r>
  <r>
    <n v="2738"/>
    <n v="900"/>
    <d v="2026-12-30T00:00:00"/>
    <s v="Wednesday"/>
    <n v="12"/>
    <n v="10.67"/>
    <x v="0"/>
    <x v="52"/>
    <s v="Male"/>
    <n v="70.599999999999994"/>
    <n v="173.9"/>
    <n v="24.5"/>
    <n v="20"/>
    <s v="NV"/>
    <n v="4"/>
    <n v="283.8"/>
    <s v="High"/>
    <n v="1"/>
    <s v="Single-Day"/>
    <n v="0"/>
    <n v="0"/>
    <s v="Main Entrance"/>
    <s v="Mickey &amp; Friends"/>
    <n v="7.1"/>
    <n v="6"/>
    <x v="2588"/>
  </r>
  <r>
    <n v="2739"/>
    <n v="900"/>
    <d v="2026-12-30T00:00:00"/>
    <s v="Wednesday"/>
    <n v="12"/>
    <n v="10.59"/>
    <x v="0"/>
    <x v="52"/>
    <s v="Male"/>
    <n v="68.2"/>
    <n v="194.1"/>
    <n v="29.4"/>
    <n v="19"/>
    <s v="NV"/>
    <n v="4"/>
    <n v="283.8"/>
    <s v="High"/>
    <n v="1"/>
    <s v="Single-Day"/>
    <n v="0"/>
    <n v="0"/>
    <s v="Main Entrance"/>
    <s v="Mickey &amp; Friends"/>
    <n v="8.6"/>
    <n v="7"/>
    <x v="2589"/>
  </r>
  <r>
    <n v="2740"/>
    <n v="900"/>
    <d v="2026-12-30T00:00:00"/>
    <s v="Wednesday"/>
    <n v="12"/>
    <n v="10.75"/>
    <x v="0"/>
    <x v="9"/>
    <s v="Male"/>
    <n v="71.599999999999994"/>
    <n v="219.5"/>
    <n v="30.1"/>
    <n v="20"/>
    <s v="NV"/>
    <n v="4"/>
    <n v="283.8"/>
    <s v="High"/>
    <n v="1"/>
    <s v="Single-Day"/>
    <n v="0"/>
    <n v="0"/>
    <s v="Main Entrance"/>
    <s v="Mickey &amp; Friends"/>
    <n v="7.2"/>
    <n v="9"/>
    <x v="2590"/>
  </r>
  <r>
    <n v="2741"/>
    <n v="901"/>
    <d v="2026-01-14T00:00:00"/>
    <s v="Wednesday"/>
    <n v="1"/>
    <n v="9.76"/>
    <x v="0"/>
    <x v="38"/>
    <s v="Male"/>
    <n v="69.5"/>
    <n v="198.8"/>
    <n v="28.8"/>
    <n v="15"/>
    <s v="CA"/>
    <n v="1"/>
    <n v="80.400000000000006"/>
    <s v="High"/>
    <n v="0"/>
    <s v="Single-Day"/>
    <n v="1"/>
    <n v="0"/>
    <s v="Main Entrance"/>
    <s v="Pixar Pals"/>
    <n v="7.6"/>
    <n v="12"/>
    <x v="2591"/>
  </r>
  <r>
    <n v="2742"/>
    <n v="902"/>
    <d v="2026-04-22T00:00:00"/>
    <s v="Wednesday"/>
    <n v="4"/>
    <n v="9.66"/>
    <x v="0"/>
    <x v="71"/>
    <s v="Female"/>
    <n v="61.8"/>
    <n v="154.9"/>
    <n v="28.5"/>
    <n v="20"/>
    <s v="CA"/>
    <n v="3"/>
    <n v="81.400000000000006"/>
    <s v="High"/>
    <n v="0"/>
    <s v="Single-Day"/>
    <n v="1"/>
    <n v="0"/>
    <s v="Main Entrance"/>
    <s v="Toy Story Lot"/>
    <n v="7.7"/>
    <n v="9"/>
    <x v="2592"/>
  </r>
  <r>
    <n v="2743"/>
    <n v="902"/>
    <d v="2026-04-22T00:00:00"/>
    <s v="Wednesday"/>
    <n v="4"/>
    <n v="10.16"/>
    <x v="0"/>
    <x v="47"/>
    <s v="Male"/>
    <n v="72.099999999999994"/>
    <n v="148.80000000000001"/>
    <n v="20.3"/>
    <n v="17"/>
    <s v="CA"/>
    <n v="3"/>
    <n v="81.400000000000006"/>
    <s v="High"/>
    <n v="0"/>
    <s v="Single-Day"/>
    <n v="1"/>
    <n v="0"/>
    <s v="Main Entrance"/>
    <s v="Toy Story Lot"/>
    <n v="9"/>
    <n v="6"/>
    <x v="2593"/>
  </r>
  <r>
    <n v="2744"/>
    <n v="902"/>
    <d v="2026-04-22T00:00:00"/>
    <s v="Wednesday"/>
    <n v="4"/>
    <n v="9.9600000000000009"/>
    <x v="0"/>
    <x v="16"/>
    <s v="Male"/>
    <n v="59.2"/>
    <n v="134.5"/>
    <n v="27"/>
    <n v="12"/>
    <s v="CA"/>
    <n v="3"/>
    <n v="81.400000000000006"/>
    <s v="High"/>
    <n v="0"/>
    <s v="Single-Day"/>
    <n v="1"/>
    <n v="0"/>
    <s v="Main Entrance"/>
    <s v="Toy Story Lot"/>
    <n v="8.6"/>
    <n v="5"/>
    <x v="2594"/>
  </r>
  <r>
    <n v="2745"/>
    <n v="903"/>
    <d v="2026-05-01T00:00:00"/>
    <s v="Friday"/>
    <n v="5"/>
    <n v="12.2"/>
    <x v="1"/>
    <x v="1"/>
    <s v="Male"/>
    <n v="74.099999999999994"/>
    <n v="205.5"/>
    <n v="26.2"/>
    <n v="10"/>
    <s v="Other"/>
    <n v="3"/>
    <n v="893.4"/>
    <s v="Low"/>
    <n v="0"/>
    <s v="Single-Day"/>
    <n v="1"/>
    <n v="0"/>
    <s v="Main Entrance"/>
    <s v="Toy Story Lot"/>
    <n v="8.4"/>
    <n v="10"/>
    <x v="2595"/>
  </r>
  <r>
    <n v="2746"/>
    <n v="903"/>
    <d v="2026-05-01T00:00:00"/>
    <s v="Friday"/>
    <n v="5"/>
    <n v="12.54"/>
    <x v="1"/>
    <x v="40"/>
    <s v="Female"/>
    <n v="64.599999999999994"/>
    <n v="89.5"/>
    <n v="15.3"/>
    <n v="12"/>
    <s v="Other"/>
    <n v="3"/>
    <n v="893.4"/>
    <s v="Low"/>
    <n v="0"/>
    <s v="Single-Day"/>
    <n v="1"/>
    <n v="0"/>
    <s v="Main Entrance"/>
    <s v="Toy Story Lot"/>
    <n v="8.1"/>
    <n v="8"/>
    <x v="2596"/>
  </r>
  <r>
    <n v="2747"/>
    <n v="903"/>
    <d v="2026-05-01T00:00:00"/>
    <s v="Friday"/>
    <n v="5"/>
    <n v="12.23"/>
    <x v="1"/>
    <x v="3"/>
    <s v="Male"/>
    <n v="64.7"/>
    <n v="172.3"/>
    <n v="29"/>
    <n v="14"/>
    <s v="Other"/>
    <n v="3"/>
    <n v="893.4"/>
    <s v="Low"/>
    <n v="0"/>
    <s v="Single-Day"/>
    <n v="1"/>
    <n v="0"/>
    <s v="Main Entrance"/>
    <s v="Toy Story Lot"/>
    <n v="11.5"/>
    <n v="9"/>
    <x v="2597"/>
  </r>
  <r>
    <n v="2748"/>
    <n v="904"/>
    <d v="2026-08-03T00:00:00"/>
    <s v="Monday"/>
    <n v="8"/>
    <n v="8.9600000000000009"/>
    <x v="0"/>
    <x v="18"/>
    <s v="Female"/>
    <n v="61.1"/>
    <n v="154.69999999999999"/>
    <n v="29.1"/>
    <n v="13"/>
    <s v="TX"/>
    <n v="4"/>
    <n v="1070.4000000000001"/>
    <s v="Low"/>
    <n v="1"/>
    <s v="Single-Day"/>
    <n v="0"/>
    <n v="0"/>
    <s v="Main Entrance"/>
    <s v="Toy Story Lot"/>
    <n v="7.2"/>
    <n v="8"/>
    <x v="2598"/>
  </r>
  <r>
    <n v="2749"/>
    <n v="904"/>
    <d v="2026-08-03T00:00:00"/>
    <s v="Monday"/>
    <n v="8"/>
    <n v="9.23"/>
    <x v="0"/>
    <x v="47"/>
    <s v="Female"/>
    <n v="64.099999999999994"/>
    <n v="82.8"/>
    <n v="14.2"/>
    <n v="15"/>
    <s v="TX"/>
    <n v="4"/>
    <n v="1070.4000000000001"/>
    <s v="Low"/>
    <n v="1"/>
    <s v="Single-Day"/>
    <n v="0"/>
    <n v="0"/>
    <s v="Main Entrance"/>
    <s v="Toy Story Lot"/>
    <n v="6.6"/>
    <n v="8"/>
    <x v="2599"/>
  </r>
  <r>
    <n v="2750"/>
    <n v="904"/>
    <d v="2026-08-03T00:00:00"/>
    <s v="Monday"/>
    <n v="8"/>
    <n v="8.99"/>
    <x v="0"/>
    <x v="38"/>
    <s v="Female"/>
    <n v="65.3"/>
    <n v="200"/>
    <n v="33"/>
    <n v="7"/>
    <s v="TX"/>
    <n v="4"/>
    <n v="1070.4000000000001"/>
    <s v="Low"/>
    <n v="1"/>
    <s v="Single-Day"/>
    <n v="0"/>
    <n v="0"/>
    <s v="Main Entrance"/>
    <s v="Toy Story Lot"/>
    <n v="9.1999999999999993"/>
    <n v="4"/>
    <x v="2600"/>
  </r>
  <r>
    <n v="2751"/>
    <n v="904"/>
    <d v="2026-08-03T00:00:00"/>
    <s v="Monday"/>
    <n v="8"/>
    <n v="9.01"/>
    <x v="0"/>
    <x v="45"/>
    <s v="Female"/>
    <n v="66.099999999999994"/>
    <n v="171.9"/>
    <n v="27.6"/>
    <n v="15"/>
    <s v="TX"/>
    <n v="4"/>
    <n v="1070.4000000000001"/>
    <s v="Low"/>
    <n v="1"/>
    <s v="Single-Day"/>
    <n v="0"/>
    <n v="0"/>
    <s v="Main Entrance"/>
    <s v="Toy Story Lot"/>
    <n v="3.6"/>
    <n v="4"/>
    <x v="2601"/>
  </r>
  <r>
    <n v="2752"/>
    <n v="905"/>
    <d v="2026-07-04T00:00:00"/>
    <s v="Saturday"/>
    <n v="7"/>
    <n v="10.99"/>
    <x v="0"/>
    <x v="23"/>
    <s v="Male"/>
    <n v="66.400000000000006"/>
    <n v="149.6"/>
    <n v="24"/>
    <n v="18"/>
    <s v="OR"/>
    <n v="2"/>
    <n v="1088.4000000000001"/>
    <s v="High"/>
    <n v="0"/>
    <s v="Single-Day"/>
    <n v="1"/>
    <n v="1"/>
    <s v="Main Entrance"/>
    <s v="None/Walked from Resort"/>
    <n v="5.5"/>
    <n v="8"/>
    <x v="2602"/>
  </r>
  <r>
    <n v="2753"/>
    <n v="905"/>
    <d v="2026-07-04T00:00:00"/>
    <s v="Saturday"/>
    <n v="7"/>
    <n v="11.11"/>
    <x v="1"/>
    <x v="62"/>
    <s v="Female"/>
    <n v="64.7"/>
    <n v="227.5"/>
    <n v="38.5"/>
    <n v="19"/>
    <s v="OR"/>
    <n v="2"/>
    <n v="1088.4000000000001"/>
    <s v="High"/>
    <n v="0"/>
    <s v="Single-Day"/>
    <n v="1"/>
    <n v="1"/>
    <s v="Main Entrance"/>
    <s v="None/Walked from Resort"/>
    <n v="8.1"/>
    <n v="5"/>
    <x v="2603"/>
  </r>
  <r>
    <n v="2754"/>
    <n v="906"/>
    <d v="2026-05-06T00:00:00"/>
    <s v="Wednesday"/>
    <n v="5"/>
    <n v="9.4600000000000009"/>
    <x v="0"/>
    <x v="34"/>
    <s v="Male"/>
    <n v="65.8"/>
    <n v="210"/>
    <n v="34.299999999999997"/>
    <n v="20"/>
    <s v="AZ"/>
    <n v="2"/>
    <n v="331.2"/>
    <s v="High"/>
    <n v="1"/>
    <s v="Park Hopper"/>
    <n v="1"/>
    <n v="1"/>
    <s v="Hotel Guest Entrance"/>
    <s v="None/Walked from Resort"/>
    <n v="9.5"/>
    <n v="9"/>
    <x v="2604"/>
  </r>
  <r>
    <n v="2755"/>
    <n v="906"/>
    <d v="2026-05-06T00:00:00"/>
    <s v="Wednesday"/>
    <n v="5"/>
    <n v="9.64"/>
    <x v="0"/>
    <x v="8"/>
    <s v="Male"/>
    <n v="71.400000000000006"/>
    <n v="246"/>
    <n v="33.6"/>
    <n v="20"/>
    <s v="AZ"/>
    <n v="2"/>
    <n v="331.2"/>
    <s v="High"/>
    <n v="1"/>
    <s v="Park Hopper"/>
    <n v="1"/>
    <n v="1"/>
    <s v="Hotel Guest Entrance"/>
    <s v="None/Walked from Resort"/>
    <n v="8.6999999999999993"/>
    <n v="12"/>
    <x v="2605"/>
  </r>
  <r>
    <n v="2756"/>
    <n v="907"/>
    <d v="2026-07-09T00:00:00"/>
    <s v="Thursday"/>
    <n v="7"/>
    <n v="9.75"/>
    <x v="0"/>
    <x v="17"/>
    <s v="Male"/>
    <n v="67.900000000000006"/>
    <n v="183.7"/>
    <n v="28.3"/>
    <n v="16"/>
    <s v="UT"/>
    <n v="1"/>
    <n v="874.4"/>
    <s v="Middle"/>
    <n v="1"/>
    <s v="Single-Day"/>
    <n v="0"/>
    <n v="0"/>
    <s v="Main Entrance"/>
    <s v="Mickey &amp; Friends"/>
    <n v="7.3"/>
    <n v="9"/>
    <x v="2606"/>
  </r>
  <r>
    <n v="2757"/>
    <n v="908"/>
    <d v="2026-02-15T00:00:00"/>
    <s v="Sunday"/>
    <n v="2"/>
    <n v="13.53"/>
    <x v="1"/>
    <x v="12"/>
    <s v="Male"/>
    <n v="60.4"/>
    <n v="93.9"/>
    <n v="18.100000000000001"/>
    <n v="18"/>
    <s v="FL"/>
    <n v="6"/>
    <n v="2127.3000000000002"/>
    <s v="High"/>
    <n v="1"/>
    <s v="Single-Day"/>
    <n v="0"/>
    <n v="0"/>
    <s v="Main Entrance"/>
    <s v="Pixar Pals"/>
    <n v="6.8"/>
    <n v="5"/>
    <x v="2593"/>
  </r>
  <r>
    <n v="2758"/>
    <n v="908"/>
    <d v="2026-02-15T00:00:00"/>
    <s v="Sunday"/>
    <n v="2"/>
    <n v="13.19"/>
    <x v="1"/>
    <x v="28"/>
    <s v="Male"/>
    <n v="71.400000000000006"/>
    <n v="161.6"/>
    <n v="22.5"/>
    <n v="14"/>
    <s v="FL"/>
    <n v="6"/>
    <n v="2127.3000000000002"/>
    <s v="High"/>
    <n v="1"/>
    <s v="Single-Day"/>
    <n v="0"/>
    <n v="0"/>
    <s v="Main Entrance"/>
    <s v="Pixar Pals"/>
    <n v="6.2"/>
    <n v="7"/>
    <x v="2607"/>
  </r>
  <r>
    <n v="2759"/>
    <n v="908"/>
    <d v="2026-02-15T00:00:00"/>
    <s v="Sunday"/>
    <n v="2"/>
    <n v="13.48"/>
    <x v="1"/>
    <x v="32"/>
    <s v="Female"/>
    <n v="57.9"/>
    <n v="91.6"/>
    <n v="19.3"/>
    <n v="13"/>
    <s v="FL"/>
    <n v="6"/>
    <n v="2127.3000000000002"/>
    <s v="High"/>
    <n v="1"/>
    <s v="Single-Day"/>
    <n v="0"/>
    <n v="0"/>
    <s v="Main Entrance"/>
    <s v="Pixar Pals"/>
    <n v="7.3"/>
    <n v="5"/>
    <x v="2608"/>
  </r>
  <r>
    <n v="2760"/>
    <n v="908"/>
    <d v="2026-02-15T00:00:00"/>
    <s v="Sunday"/>
    <n v="2"/>
    <n v="13.32"/>
    <x v="1"/>
    <x v="62"/>
    <s v="Female"/>
    <n v="66.400000000000006"/>
    <n v="178.6"/>
    <n v="28.6"/>
    <n v="18"/>
    <s v="FL"/>
    <n v="6"/>
    <n v="2127.3000000000002"/>
    <s v="High"/>
    <n v="1"/>
    <s v="Single-Day"/>
    <n v="0"/>
    <n v="0"/>
    <s v="Main Entrance"/>
    <s v="Pixar Pals"/>
    <n v="7.9"/>
    <n v="3"/>
    <x v="2609"/>
  </r>
  <r>
    <n v="2761"/>
    <n v="908"/>
    <d v="2026-02-15T00:00:00"/>
    <s v="Sunday"/>
    <n v="2"/>
    <n v="13.16"/>
    <x v="1"/>
    <x v="32"/>
    <s v="Male"/>
    <n v="59.8"/>
    <n v="80.8"/>
    <n v="15.7"/>
    <n v="14"/>
    <s v="FL"/>
    <n v="6"/>
    <n v="2127.3000000000002"/>
    <s v="High"/>
    <n v="1"/>
    <s v="Single-Day"/>
    <n v="0"/>
    <n v="0"/>
    <s v="Main Entrance"/>
    <s v="Pixar Pals"/>
    <n v="9.1"/>
    <n v="7"/>
    <x v="2610"/>
  </r>
  <r>
    <n v="2762"/>
    <n v="908"/>
    <d v="2026-02-15T00:00:00"/>
    <s v="Sunday"/>
    <n v="2"/>
    <n v="13.37"/>
    <x v="1"/>
    <x v="30"/>
    <s v="Male"/>
    <n v="63.7"/>
    <n v="161.6"/>
    <n v="27.7"/>
    <n v="14"/>
    <s v="FL"/>
    <n v="6"/>
    <n v="2127.3000000000002"/>
    <s v="High"/>
    <n v="1"/>
    <s v="Single-Day"/>
    <n v="0"/>
    <n v="0"/>
    <s v="Main Entrance"/>
    <s v="Pixar Pals"/>
    <n v="8.9"/>
    <n v="7"/>
    <x v="2611"/>
  </r>
  <r>
    <n v="2763"/>
    <n v="909"/>
    <d v="2026-03-12T00:00:00"/>
    <s v="Thursday"/>
    <n v="3"/>
    <n v="13.25"/>
    <x v="1"/>
    <x v="5"/>
    <s v="Male"/>
    <n v="69.7"/>
    <n v="214"/>
    <n v="31.1"/>
    <n v="14"/>
    <s v="IL"/>
    <n v="2"/>
    <n v="2301.1"/>
    <s v="Middle"/>
    <n v="1"/>
    <s v="Single-Day"/>
    <n v="0"/>
    <n v="0"/>
    <s v="Main Entrance"/>
    <s v="Mickey &amp; Friends"/>
    <n v="10.1"/>
    <n v="9"/>
    <x v="2612"/>
  </r>
  <r>
    <n v="2764"/>
    <n v="909"/>
    <d v="2026-03-12T00:00:00"/>
    <s v="Thursday"/>
    <n v="3"/>
    <n v="13.15"/>
    <x v="1"/>
    <x v="28"/>
    <s v="Male"/>
    <n v="67.5"/>
    <n v="195.6"/>
    <n v="30.2"/>
    <n v="16"/>
    <s v="IL"/>
    <n v="2"/>
    <n v="2301.1"/>
    <s v="Middle"/>
    <n v="1"/>
    <s v="Single-Day"/>
    <n v="0"/>
    <n v="0"/>
    <s v="Main Entrance"/>
    <s v="Mickey &amp; Friends"/>
    <n v="5.9"/>
    <n v="12"/>
    <x v="2613"/>
  </r>
  <r>
    <n v="2765"/>
    <n v="910"/>
    <d v="2026-09-25T00:00:00"/>
    <s v="Friday"/>
    <n v="9"/>
    <n v="14.71"/>
    <x v="1"/>
    <x v="9"/>
    <s v="Male"/>
    <n v="69.900000000000006"/>
    <n v="175.6"/>
    <n v="25.5"/>
    <n v="15"/>
    <s v="TX"/>
    <n v="3"/>
    <n v="1399.8"/>
    <s v="Middle"/>
    <n v="1"/>
    <s v="Single-Day"/>
    <n v="0"/>
    <n v="0"/>
    <s v="Main Entrance"/>
    <s v="Pixar Pals"/>
    <n v="8.1999999999999993"/>
    <n v="6"/>
    <x v="2614"/>
  </r>
  <r>
    <n v="2766"/>
    <n v="910"/>
    <d v="2026-09-25T00:00:00"/>
    <s v="Friday"/>
    <n v="9"/>
    <n v="14.58"/>
    <x v="1"/>
    <x v="30"/>
    <s v="Female"/>
    <n v="65"/>
    <n v="132.4"/>
    <n v="22"/>
    <n v="16"/>
    <s v="TX"/>
    <n v="3"/>
    <n v="1399.8"/>
    <s v="Middle"/>
    <n v="1"/>
    <s v="Single-Day"/>
    <n v="0"/>
    <n v="0"/>
    <s v="Main Entrance"/>
    <s v="Pixar Pals"/>
    <n v="6.9"/>
    <n v="9"/>
    <x v="2615"/>
  </r>
  <r>
    <n v="2767"/>
    <n v="910"/>
    <d v="2026-09-25T00:00:00"/>
    <s v="Friday"/>
    <n v="9"/>
    <n v="14.78"/>
    <x v="1"/>
    <x v="50"/>
    <s v="Female"/>
    <n v="62.4"/>
    <n v="137.4"/>
    <n v="24.9"/>
    <n v="13"/>
    <s v="TX"/>
    <n v="3"/>
    <n v="1399.8"/>
    <s v="Middle"/>
    <n v="1"/>
    <s v="Single-Day"/>
    <n v="0"/>
    <n v="0"/>
    <s v="Main Entrance"/>
    <s v="Pixar Pals"/>
    <n v="7.8"/>
    <n v="9"/>
    <x v="2616"/>
  </r>
  <r>
    <n v="2768"/>
    <n v="911"/>
    <d v="2026-12-28T00:00:00"/>
    <s v="Monday"/>
    <n v="12"/>
    <n v="10.75"/>
    <x v="0"/>
    <x v="64"/>
    <s v="Male"/>
    <n v="53.1"/>
    <n v="103.4"/>
    <n v="25.6"/>
    <n v="11"/>
    <s v="CA"/>
    <n v="5"/>
    <n v="56.8"/>
    <s v="Middle"/>
    <n v="0"/>
    <s v="Single-Day"/>
    <n v="0"/>
    <n v="0"/>
    <s v="Main Entrance"/>
    <s v="Mickey &amp; Friends"/>
    <n v="7.5"/>
    <n v="5"/>
    <x v="2617"/>
  </r>
  <r>
    <n v="2769"/>
    <n v="911"/>
    <d v="2026-12-28T00:00:00"/>
    <s v="Monday"/>
    <n v="12"/>
    <n v="10.9"/>
    <x v="0"/>
    <x v="48"/>
    <s v="Female"/>
    <n v="68.8"/>
    <n v="95.4"/>
    <n v="13.9"/>
    <n v="19"/>
    <s v="CA"/>
    <n v="5"/>
    <n v="56.8"/>
    <s v="Middle"/>
    <n v="0"/>
    <s v="Single-Day"/>
    <n v="0"/>
    <n v="0"/>
    <s v="Main Entrance"/>
    <s v="Mickey &amp; Friends"/>
    <n v="9.6999999999999993"/>
    <n v="9"/>
    <x v="2618"/>
  </r>
  <r>
    <n v="2770"/>
    <n v="911"/>
    <d v="2026-12-28T00:00:00"/>
    <s v="Monday"/>
    <n v="12"/>
    <n v="11.05"/>
    <x v="1"/>
    <x v="49"/>
    <s v="Female"/>
    <n v="66.2"/>
    <n v="135.19999999999999"/>
    <n v="21.7"/>
    <n v="16"/>
    <s v="CA"/>
    <n v="5"/>
    <n v="56.8"/>
    <s v="Middle"/>
    <n v="0"/>
    <s v="Single-Day"/>
    <n v="0"/>
    <n v="0"/>
    <s v="Main Entrance"/>
    <s v="Mickey &amp; Friends"/>
    <n v="6.9"/>
    <n v="6"/>
    <x v="2619"/>
  </r>
  <r>
    <n v="2771"/>
    <n v="911"/>
    <d v="2026-12-28T00:00:00"/>
    <s v="Monday"/>
    <n v="12"/>
    <n v="10.68"/>
    <x v="0"/>
    <x v="59"/>
    <s v="Male"/>
    <n v="68.099999999999994"/>
    <n v="160.9"/>
    <n v="24.4"/>
    <n v="15"/>
    <s v="CA"/>
    <n v="5"/>
    <n v="56.8"/>
    <s v="Middle"/>
    <n v="0"/>
    <s v="Single-Day"/>
    <n v="0"/>
    <n v="0"/>
    <s v="Main Entrance"/>
    <s v="Mickey &amp; Friends"/>
    <n v="7.4"/>
    <n v="7"/>
    <x v="2620"/>
  </r>
  <r>
    <n v="2772"/>
    <n v="911"/>
    <d v="2026-12-28T00:00:00"/>
    <s v="Monday"/>
    <n v="12"/>
    <n v="10.78"/>
    <x v="0"/>
    <x v="50"/>
    <s v="Male"/>
    <n v="62.1"/>
    <n v="122.9"/>
    <n v="22.3"/>
    <n v="13"/>
    <s v="CA"/>
    <n v="5"/>
    <n v="56.8"/>
    <s v="Middle"/>
    <n v="0"/>
    <s v="Single-Day"/>
    <n v="0"/>
    <n v="0"/>
    <s v="Main Entrance"/>
    <s v="Mickey &amp; Friends"/>
    <n v="9.5"/>
    <n v="9"/>
    <x v="2621"/>
  </r>
  <r>
    <n v="2773"/>
    <n v="912"/>
    <d v="2026-01-22T00:00:00"/>
    <s v="Thursday"/>
    <n v="1"/>
    <n v="9.9600000000000009"/>
    <x v="0"/>
    <x v="17"/>
    <s v="Female"/>
    <n v="63.9"/>
    <n v="160.4"/>
    <n v="27.7"/>
    <n v="16"/>
    <s v="CA"/>
    <n v="4"/>
    <n v="194.8"/>
    <s v="Middle"/>
    <n v="0"/>
    <s v="Park Hopper"/>
    <n v="0"/>
    <n v="0"/>
    <s v="Main Entrance"/>
    <s v="Toy Story Lot"/>
    <n v="7.9"/>
    <n v="11"/>
    <x v="2622"/>
  </r>
  <r>
    <n v="2774"/>
    <n v="912"/>
    <d v="2026-01-22T00:00:00"/>
    <s v="Thursday"/>
    <n v="1"/>
    <n v="9.42"/>
    <x v="0"/>
    <x v="13"/>
    <s v="Female"/>
    <n v="65.599999999999994"/>
    <n v="161.9"/>
    <n v="26.6"/>
    <n v="13"/>
    <s v="CA"/>
    <n v="4"/>
    <n v="194.8"/>
    <s v="Middle"/>
    <n v="0"/>
    <s v="Park Hopper"/>
    <n v="0"/>
    <n v="0"/>
    <s v="Main Entrance"/>
    <s v="Toy Story Lot"/>
    <n v="4.7"/>
    <n v="4"/>
    <x v="2623"/>
  </r>
  <r>
    <n v="2775"/>
    <n v="912"/>
    <d v="2026-01-22T00:00:00"/>
    <s v="Thursday"/>
    <n v="1"/>
    <n v="9.67"/>
    <x v="0"/>
    <x v="71"/>
    <s v="Female"/>
    <n v="57.4"/>
    <n v="106.6"/>
    <n v="22.7"/>
    <n v="16"/>
    <s v="CA"/>
    <n v="4"/>
    <n v="194.8"/>
    <s v="Middle"/>
    <n v="0"/>
    <s v="Park Hopper"/>
    <n v="0"/>
    <n v="0"/>
    <s v="Main Entrance"/>
    <s v="Toy Story Lot"/>
    <n v="11"/>
    <n v="7"/>
    <x v="2624"/>
  </r>
  <r>
    <n v="2776"/>
    <n v="912"/>
    <d v="2026-01-22T00:00:00"/>
    <s v="Thursday"/>
    <n v="1"/>
    <n v="9.6999999999999993"/>
    <x v="0"/>
    <x v="44"/>
    <s v="Female"/>
    <n v="66.7"/>
    <n v="138.69999999999999"/>
    <n v="22"/>
    <n v="10"/>
    <s v="CA"/>
    <n v="4"/>
    <n v="194.8"/>
    <s v="Middle"/>
    <n v="0"/>
    <s v="Park Hopper"/>
    <n v="0"/>
    <n v="0"/>
    <s v="Main Entrance"/>
    <s v="Toy Story Lot"/>
    <n v="9.4"/>
    <n v="11"/>
    <x v="2625"/>
  </r>
  <r>
    <n v="2777"/>
    <n v="913"/>
    <d v="2026-03-13T00:00:00"/>
    <s v="Friday"/>
    <n v="3"/>
    <n v="12.64"/>
    <x v="1"/>
    <x v="23"/>
    <s v="Male"/>
    <n v="70"/>
    <n v="192.2"/>
    <n v="27.8"/>
    <n v="11"/>
    <s v="FL"/>
    <n v="4"/>
    <n v="1757.9"/>
    <s v="Low"/>
    <n v="0"/>
    <s v="Single-Day"/>
    <n v="0"/>
    <n v="0"/>
    <s v="Main Entrance"/>
    <s v="Mickey &amp; Friends"/>
    <n v="8.1"/>
    <n v="7"/>
    <x v="2626"/>
  </r>
  <r>
    <n v="2778"/>
    <n v="913"/>
    <d v="2026-03-13T00:00:00"/>
    <s v="Friday"/>
    <n v="3"/>
    <n v="12.64"/>
    <x v="1"/>
    <x v="59"/>
    <s v="Male"/>
    <n v="68.2"/>
    <n v="192.3"/>
    <n v="28.9"/>
    <n v="15"/>
    <s v="FL"/>
    <n v="4"/>
    <n v="1757.9"/>
    <s v="Low"/>
    <n v="0"/>
    <s v="Single-Day"/>
    <n v="0"/>
    <n v="0"/>
    <s v="Main Entrance"/>
    <s v="Mickey &amp; Friends"/>
    <n v="9"/>
    <n v="9"/>
    <x v="2627"/>
  </r>
  <r>
    <n v="2779"/>
    <n v="913"/>
    <d v="2026-03-13T00:00:00"/>
    <s v="Friday"/>
    <n v="3"/>
    <n v="12.47"/>
    <x v="1"/>
    <x v="52"/>
    <s v="Female"/>
    <n v="60.5"/>
    <n v="133.30000000000001"/>
    <n v="25.5"/>
    <n v="12"/>
    <s v="FL"/>
    <n v="4"/>
    <n v="1757.9"/>
    <s v="Low"/>
    <n v="0"/>
    <s v="Single-Day"/>
    <n v="0"/>
    <n v="0"/>
    <s v="Main Entrance"/>
    <s v="Mickey &amp; Friends"/>
    <n v="5.3"/>
    <n v="6"/>
    <x v="2628"/>
  </r>
  <r>
    <n v="2780"/>
    <n v="913"/>
    <d v="2026-03-13T00:00:00"/>
    <s v="Friday"/>
    <n v="3"/>
    <n v="12.37"/>
    <x v="1"/>
    <x v="52"/>
    <s v="Male"/>
    <n v="67"/>
    <n v="185.7"/>
    <n v="28.9"/>
    <n v="13"/>
    <s v="FL"/>
    <n v="4"/>
    <n v="1757.9"/>
    <s v="Low"/>
    <n v="0"/>
    <s v="Single-Day"/>
    <n v="0"/>
    <n v="0"/>
    <s v="Main Entrance"/>
    <s v="Mickey &amp; Friends"/>
    <n v="7.6"/>
    <n v="7"/>
    <x v="1473"/>
  </r>
  <r>
    <n v="2781"/>
    <n v="914"/>
    <d v="2026-04-10T00:00:00"/>
    <s v="Friday"/>
    <n v="4"/>
    <n v="10.16"/>
    <x v="0"/>
    <x v="27"/>
    <s v="Male"/>
    <n v="69.2"/>
    <n v="177.8"/>
    <n v="25.9"/>
    <n v="14"/>
    <s v="IL"/>
    <n v="4"/>
    <n v="2167.8000000000002"/>
    <s v="High"/>
    <n v="0"/>
    <s v="Single-Day"/>
    <n v="0"/>
    <n v="0"/>
    <s v="Main Entrance"/>
    <s v="Mickey &amp; Friends"/>
    <n v="6.3"/>
    <n v="7"/>
    <x v="2629"/>
  </r>
  <r>
    <n v="2782"/>
    <n v="914"/>
    <d v="2026-04-10T00:00:00"/>
    <s v="Friday"/>
    <n v="4"/>
    <n v="10.33"/>
    <x v="0"/>
    <x v="51"/>
    <s v="Female"/>
    <n v="68.3"/>
    <n v="164.9"/>
    <n v="24.8"/>
    <n v="15"/>
    <s v="IL"/>
    <n v="4"/>
    <n v="2167.8000000000002"/>
    <s v="High"/>
    <n v="0"/>
    <s v="Single-Day"/>
    <n v="0"/>
    <n v="0"/>
    <s v="Main Entrance"/>
    <s v="Mickey &amp; Friends"/>
    <n v="7.2"/>
    <n v="10"/>
    <x v="2630"/>
  </r>
  <r>
    <n v="2783"/>
    <n v="914"/>
    <d v="2026-04-10T00:00:00"/>
    <s v="Friday"/>
    <n v="4"/>
    <n v="10.41"/>
    <x v="0"/>
    <x v="44"/>
    <s v="Female"/>
    <n v="61.8"/>
    <n v="172.5"/>
    <n v="32"/>
    <n v="12"/>
    <s v="IL"/>
    <n v="4"/>
    <n v="2167.8000000000002"/>
    <s v="High"/>
    <n v="0"/>
    <s v="Single-Day"/>
    <n v="0"/>
    <n v="0"/>
    <s v="Main Entrance"/>
    <s v="Mickey &amp; Friends"/>
    <n v="7"/>
    <n v="6"/>
    <x v="2631"/>
  </r>
  <r>
    <n v="2784"/>
    <n v="914"/>
    <d v="2026-04-10T00:00:00"/>
    <s v="Friday"/>
    <n v="4"/>
    <n v="10.33"/>
    <x v="0"/>
    <x v="48"/>
    <s v="Male"/>
    <n v="65"/>
    <n v="193.2"/>
    <n v="32.1"/>
    <n v="17"/>
    <s v="IL"/>
    <n v="4"/>
    <n v="2167.8000000000002"/>
    <s v="High"/>
    <n v="0"/>
    <s v="Single-Day"/>
    <n v="0"/>
    <n v="0"/>
    <s v="Main Entrance"/>
    <s v="Mickey &amp; Friends"/>
    <n v="8.4"/>
    <n v="7"/>
    <x v="2632"/>
  </r>
  <r>
    <n v="2785"/>
    <n v="915"/>
    <d v="2026-09-08T00:00:00"/>
    <s v="Tuesday"/>
    <n v="9"/>
    <n v="10.32"/>
    <x v="0"/>
    <x v="14"/>
    <s v="Female"/>
    <n v="61.8"/>
    <n v="121.6"/>
    <n v="22.5"/>
    <n v="14"/>
    <s v="IL"/>
    <n v="1"/>
    <n v="1823"/>
    <s v="High"/>
    <n v="0"/>
    <s v="Single-Day"/>
    <n v="1"/>
    <n v="1"/>
    <s v="Main Entrance"/>
    <s v="None/Walked from Resort"/>
    <n v="9.3000000000000007"/>
    <n v="11"/>
    <x v="2633"/>
  </r>
  <r>
    <n v="2786"/>
    <n v="916"/>
    <d v="2026-04-25T00:00:00"/>
    <s v="Saturday"/>
    <n v="4"/>
    <n v="9.6"/>
    <x v="0"/>
    <x v="22"/>
    <s v="Male"/>
    <n v="65.599999999999994"/>
    <n v="119.4"/>
    <n v="19.600000000000001"/>
    <n v="12"/>
    <s v="FL"/>
    <n v="6"/>
    <n v="2413.9"/>
    <s v="High"/>
    <n v="1"/>
    <s v="Single-Day"/>
    <n v="0"/>
    <n v="1"/>
    <s v="Main Entrance"/>
    <s v="Pixar Pals"/>
    <n v="9.1999999999999993"/>
    <n v="11"/>
    <x v="2634"/>
  </r>
  <r>
    <n v="2787"/>
    <n v="916"/>
    <d v="2026-04-25T00:00:00"/>
    <s v="Saturday"/>
    <n v="4"/>
    <n v="9.39"/>
    <x v="0"/>
    <x v="38"/>
    <s v="Female"/>
    <n v="61.3"/>
    <n v="141.4"/>
    <n v="26.3"/>
    <n v="14"/>
    <s v="FL"/>
    <n v="6"/>
    <n v="2413.9"/>
    <s v="High"/>
    <n v="1"/>
    <s v="Single-Day"/>
    <n v="0"/>
    <n v="1"/>
    <s v="Main Entrance"/>
    <s v="Pixar Pals"/>
    <n v="9"/>
    <n v="10"/>
    <x v="2635"/>
  </r>
  <r>
    <n v="2788"/>
    <n v="916"/>
    <d v="2026-04-25T00:00:00"/>
    <s v="Saturday"/>
    <n v="4"/>
    <n v="9.65"/>
    <x v="0"/>
    <x v="71"/>
    <s v="Female"/>
    <n v="61.8"/>
    <n v="143.30000000000001"/>
    <n v="26.4"/>
    <n v="15"/>
    <s v="FL"/>
    <n v="6"/>
    <n v="2413.9"/>
    <s v="High"/>
    <n v="1"/>
    <s v="Single-Day"/>
    <n v="0"/>
    <n v="1"/>
    <s v="Main Entrance"/>
    <s v="Pixar Pals"/>
    <n v="7.8"/>
    <n v="10"/>
    <x v="2636"/>
  </r>
  <r>
    <n v="2789"/>
    <n v="916"/>
    <d v="2026-04-25T00:00:00"/>
    <s v="Saturday"/>
    <n v="4"/>
    <n v="9.44"/>
    <x v="0"/>
    <x v="48"/>
    <s v="Female"/>
    <n v="58.8"/>
    <n v="125.5"/>
    <n v="25.4"/>
    <n v="15"/>
    <s v="FL"/>
    <n v="6"/>
    <n v="2413.9"/>
    <s v="High"/>
    <n v="1"/>
    <s v="Single-Day"/>
    <n v="0"/>
    <n v="1"/>
    <s v="Main Entrance"/>
    <s v="Pixar Pals"/>
    <n v="8.8000000000000007"/>
    <n v="9"/>
    <x v="2637"/>
  </r>
  <r>
    <n v="2790"/>
    <n v="916"/>
    <d v="2026-04-25T00:00:00"/>
    <s v="Saturday"/>
    <n v="4"/>
    <n v="9.36"/>
    <x v="0"/>
    <x v="48"/>
    <s v="Female"/>
    <n v="68.2"/>
    <n v="193.6"/>
    <n v="29.5"/>
    <n v="17"/>
    <s v="FL"/>
    <n v="6"/>
    <n v="2413.9"/>
    <s v="High"/>
    <n v="1"/>
    <s v="Single-Day"/>
    <n v="0"/>
    <n v="1"/>
    <s v="Main Entrance"/>
    <s v="Pixar Pals"/>
    <n v="5.2"/>
    <n v="6"/>
    <x v="2638"/>
  </r>
  <r>
    <n v="2791"/>
    <n v="916"/>
    <d v="2026-04-25T00:00:00"/>
    <s v="Saturday"/>
    <n v="4"/>
    <n v="9.33"/>
    <x v="0"/>
    <x v="61"/>
    <s v="Male"/>
    <n v="70"/>
    <n v="158.4"/>
    <n v="22.6"/>
    <n v="12"/>
    <s v="FL"/>
    <n v="6"/>
    <n v="2413.9"/>
    <s v="High"/>
    <n v="1"/>
    <s v="Single-Day"/>
    <n v="0"/>
    <n v="1"/>
    <s v="Main Entrance"/>
    <s v="Pixar Pals"/>
    <n v="5.9"/>
    <n v="3"/>
    <x v="2639"/>
  </r>
  <r>
    <n v="2792"/>
    <n v="917"/>
    <d v="2026-03-10T00:00:00"/>
    <s v="Tuesday"/>
    <n v="3"/>
    <n v="13.07"/>
    <x v="1"/>
    <x v="48"/>
    <s v="Female"/>
    <n v="63.7"/>
    <n v="138.1"/>
    <n v="24"/>
    <n v="15"/>
    <s v="CA"/>
    <n v="2"/>
    <n v="72.900000000000006"/>
    <s v="Middle"/>
    <n v="1"/>
    <s v="Multi-Day"/>
    <n v="1"/>
    <n v="0"/>
    <s v="Main Entrance"/>
    <s v="Pixar Pals"/>
    <n v="8"/>
    <n v="6"/>
    <x v="2640"/>
  </r>
  <r>
    <n v="2793"/>
    <n v="917"/>
    <d v="2026-03-10T00:00:00"/>
    <s v="Tuesday"/>
    <n v="3"/>
    <n v="13.06"/>
    <x v="1"/>
    <x v="57"/>
    <s v="Female"/>
    <n v="63.6"/>
    <n v="134.1"/>
    <n v="23.4"/>
    <n v="16"/>
    <s v="CA"/>
    <n v="2"/>
    <n v="72.900000000000006"/>
    <s v="Middle"/>
    <n v="1"/>
    <s v="Multi-Day"/>
    <n v="1"/>
    <n v="0"/>
    <s v="Main Entrance"/>
    <s v="Pixar Pals"/>
    <n v="8.3000000000000007"/>
    <n v="8"/>
    <x v="2641"/>
  </r>
  <r>
    <n v="2794"/>
    <n v="918"/>
    <d v="2026-01-20T00:00:00"/>
    <s v="Tuesday"/>
    <n v="1"/>
    <n v="12.41"/>
    <x v="1"/>
    <x v="60"/>
    <s v="Male"/>
    <n v="64.5"/>
    <n v="101.9"/>
    <n v="17.2"/>
    <n v="13"/>
    <s v="Other"/>
    <n v="3"/>
    <n v="1418.6"/>
    <s v="Low"/>
    <n v="1"/>
    <s v="Multi-Day"/>
    <n v="0"/>
    <n v="0"/>
    <s v="Main Entrance"/>
    <s v="Mickey &amp; Friends"/>
    <n v="9.4"/>
    <n v="4"/>
    <x v="2642"/>
  </r>
  <r>
    <n v="2795"/>
    <n v="918"/>
    <d v="2026-01-20T00:00:00"/>
    <s v="Tuesday"/>
    <n v="1"/>
    <n v="12.49"/>
    <x v="1"/>
    <x v="56"/>
    <s v="Female"/>
    <n v="65.099999999999994"/>
    <n v="179.3"/>
    <n v="29.6"/>
    <n v="12"/>
    <s v="Other"/>
    <n v="3"/>
    <n v="1418.6"/>
    <s v="Low"/>
    <n v="1"/>
    <s v="Multi-Day"/>
    <n v="0"/>
    <n v="0"/>
    <s v="Main Entrance"/>
    <s v="Mickey &amp; Friends"/>
    <n v="7.9"/>
    <n v="10"/>
    <x v="2643"/>
  </r>
  <r>
    <n v="2796"/>
    <n v="918"/>
    <d v="2026-01-20T00:00:00"/>
    <s v="Tuesday"/>
    <n v="1"/>
    <n v="12.51"/>
    <x v="1"/>
    <x v="20"/>
    <s v="Male"/>
    <n v="65.3"/>
    <n v="108.8"/>
    <n v="18.100000000000001"/>
    <n v="11"/>
    <s v="Other"/>
    <n v="3"/>
    <n v="1418.6"/>
    <s v="Low"/>
    <n v="1"/>
    <s v="Multi-Day"/>
    <n v="0"/>
    <n v="0"/>
    <s v="Main Entrance"/>
    <s v="Mickey &amp; Friends"/>
    <n v="7.7"/>
    <n v="7"/>
    <x v="2644"/>
  </r>
  <r>
    <n v="2797"/>
    <n v="919"/>
    <d v="2026-01-02T00:00:00"/>
    <s v="Friday"/>
    <n v="1"/>
    <n v="11.93"/>
    <x v="1"/>
    <x v="36"/>
    <s v="Male"/>
    <n v="67.400000000000006"/>
    <n v="188.9"/>
    <n v="28.9"/>
    <n v="13"/>
    <s v="UT"/>
    <n v="3"/>
    <n v="656.9"/>
    <s v="Middle"/>
    <n v="1"/>
    <s v="Single-Day"/>
    <n v="0"/>
    <n v="1"/>
    <s v="Hotel Guest Entrance"/>
    <s v="None/Walked from Resort"/>
    <n v="10"/>
    <n v="4"/>
    <x v="2645"/>
  </r>
  <r>
    <n v="2798"/>
    <n v="919"/>
    <d v="2026-01-02T00:00:00"/>
    <s v="Friday"/>
    <n v="1"/>
    <n v="11.67"/>
    <x v="1"/>
    <x v="8"/>
    <s v="Male"/>
    <n v="69.2"/>
    <n v="177.6"/>
    <n v="26.1"/>
    <n v="13"/>
    <s v="UT"/>
    <n v="3"/>
    <n v="656.9"/>
    <s v="Middle"/>
    <n v="1"/>
    <s v="Single-Day"/>
    <n v="0"/>
    <n v="1"/>
    <s v="Hotel Guest Entrance"/>
    <s v="None/Walked from Resort"/>
    <n v="11.5"/>
    <n v="3"/>
    <x v="2646"/>
  </r>
  <r>
    <n v="2799"/>
    <n v="919"/>
    <d v="2026-01-02T00:00:00"/>
    <s v="Friday"/>
    <n v="1"/>
    <n v="11.64"/>
    <x v="1"/>
    <x v="69"/>
    <s v="Male"/>
    <n v="68.5"/>
    <n v="210.8"/>
    <n v="31.4"/>
    <n v="16"/>
    <s v="UT"/>
    <n v="3"/>
    <n v="656.9"/>
    <s v="Middle"/>
    <n v="1"/>
    <s v="Single-Day"/>
    <n v="0"/>
    <n v="1"/>
    <s v="Hotel Guest Entrance"/>
    <s v="None/Walked from Resort"/>
    <n v="8.8000000000000007"/>
    <n v="8"/>
    <x v="2647"/>
  </r>
  <r>
    <n v="2800"/>
    <n v="920"/>
    <d v="2026-01-15T00:00:00"/>
    <s v="Thursday"/>
    <n v="1"/>
    <n v="13.02"/>
    <x v="1"/>
    <x v="33"/>
    <s v="Male"/>
    <n v="67.900000000000006"/>
    <n v="188.7"/>
    <n v="28.7"/>
    <n v="19"/>
    <s v="AZ"/>
    <n v="3"/>
    <n v="384.5"/>
    <s v="Middle"/>
    <n v="1"/>
    <s v="Single-Day"/>
    <n v="0"/>
    <n v="0"/>
    <s v="Main Entrance"/>
    <s v="Mickey &amp; Friends"/>
    <n v="7.9"/>
    <n v="8"/>
    <x v="2648"/>
  </r>
  <r>
    <n v="2801"/>
    <n v="920"/>
    <d v="2026-01-15T00:00:00"/>
    <s v="Thursday"/>
    <n v="1"/>
    <n v="13"/>
    <x v="1"/>
    <x v="5"/>
    <s v="Female"/>
    <n v="63.1"/>
    <n v="174.9"/>
    <n v="30.8"/>
    <n v="14"/>
    <s v="AZ"/>
    <n v="3"/>
    <n v="384.5"/>
    <s v="Middle"/>
    <n v="1"/>
    <s v="Single-Day"/>
    <n v="0"/>
    <n v="0"/>
    <s v="Main Entrance"/>
    <s v="Mickey &amp; Friends"/>
    <n v="6.4"/>
    <n v="11"/>
    <x v="737"/>
  </r>
  <r>
    <n v="2802"/>
    <n v="920"/>
    <d v="2026-01-15T00:00:00"/>
    <s v="Thursday"/>
    <n v="1"/>
    <n v="13.02"/>
    <x v="1"/>
    <x v="26"/>
    <s v="Male"/>
    <n v="65.3"/>
    <n v="186.1"/>
    <n v="30.8"/>
    <n v="16"/>
    <s v="AZ"/>
    <n v="3"/>
    <n v="384.5"/>
    <s v="Middle"/>
    <n v="1"/>
    <s v="Single-Day"/>
    <n v="0"/>
    <n v="0"/>
    <s v="Main Entrance"/>
    <s v="Mickey &amp; Friends"/>
    <n v="8.3000000000000007"/>
    <n v="7"/>
    <x v="2649"/>
  </r>
  <r>
    <n v="2803"/>
    <n v="921"/>
    <d v="2026-05-31T00:00:00"/>
    <s v="Sunday"/>
    <n v="5"/>
    <n v="9.99"/>
    <x v="0"/>
    <x v="25"/>
    <s v="Female"/>
    <n v="70.599999999999994"/>
    <n v="174.9"/>
    <n v="24.5"/>
    <n v="16"/>
    <s v="AZ"/>
    <n v="2"/>
    <n v="408.1"/>
    <s v="High"/>
    <n v="1"/>
    <s v="Single-Day"/>
    <n v="0"/>
    <n v="0"/>
    <s v="Main Entrance"/>
    <s v="Mickey &amp; Friends"/>
    <n v="6.8"/>
    <n v="5"/>
    <x v="2650"/>
  </r>
  <r>
    <n v="2804"/>
    <n v="921"/>
    <d v="2026-05-31T00:00:00"/>
    <s v="Sunday"/>
    <n v="5"/>
    <n v="9.9700000000000006"/>
    <x v="0"/>
    <x v="36"/>
    <s v="Female"/>
    <n v="67.5"/>
    <n v="136.5"/>
    <n v="21.1"/>
    <n v="18"/>
    <s v="AZ"/>
    <n v="2"/>
    <n v="408.1"/>
    <s v="High"/>
    <n v="1"/>
    <s v="Single-Day"/>
    <n v="0"/>
    <n v="0"/>
    <s v="Main Entrance"/>
    <s v="Mickey &amp; Friends"/>
    <n v="10.1"/>
    <n v="7"/>
    <x v="2651"/>
  </r>
  <r>
    <n v="2805"/>
    <n v="922"/>
    <d v="2026-04-30T00:00:00"/>
    <s v="Thursday"/>
    <n v="4"/>
    <n v="10.67"/>
    <x v="0"/>
    <x v="9"/>
    <s v="Male"/>
    <n v="68.599999999999994"/>
    <n v="178.9"/>
    <n v="26.6"/>
    <n v="19"/>
    <s v="CA"/>
    <n v="2"/>
    <n v="28.9"/>
    <s v="Middle"/>
    <n v="1"/>
    <s v="Single-Day"/>
    <n v="0"/>
    <n v="0"/>
    <s v="Downtown Disney Gate"/>
    <s v="Toy Story Lot"/>
    <n v="6.1"/>
    <n v="6"/>
    <x v="2652"/>
  </r>
  <r>
    <n v="2806"/>
    <n v="922"/>
    <d v="2026-04-30T00:00:00"/>
    <s v="Thursday"/>
    <n v="4"/>
    <n v="10.54"/>
    <x v="0"/>
    <x v="72"/>
    <s v="Male"/>
    <n v="70.7"/>
    <n v="188.5"/>
    <n v="26.7"/>
    <n v="17"/>
    <s v="CA"/>
    <n v="2"/>
    <n v="28.9"/>
    <s v="Middle"/>
    <n v="1"/>
    <s v="Single-Day"/>
    <n v="0"/>
    <n v="0"/>
    <s v="Downtown Disney Gate"/>
    <s v="Toy Story Lot"/>
    <n v="5"/>
    <n v="5"/>
    <x v="2653"/>
  </r>
  <r>
    <n v="2807"/>
    <n v="923"/>
    <d v="2026-02-18T00:00:00"/>
    <s v="Wednesday"/>
    <n v="2"/>
    <n v="11.27"/>
    <x v="1"/>
    <x v="34"/>
    <s v="Female"/>
    <n v="57.3"/>
    <n v="113.2"/>
    <n v="24.1"/>
    <n v="17"/>
    <s v="CA"/>
    <n v="4"/>
    <n v="67.3"/>
    <s v="Middle"/>
    <n v="0"/>
    <s v="Single-Day"/>
    <n v="0"/>
    <n v="0"/>
    <s v="Main Entrance"/>
    <s v="Toy Story Lot"/>
    <n v="7.9"/>
    <n v="5"/>
    <x v="2654"/>
  </r>
  <r>
    <n v="2808"/>
    <n v="923"/>
    <d v="2026-02-18T00:00:00"/>
    <s v="Wednesday"/>
    <n v="2"/>
    <n v="10.98"/>
    <x v="0"/>
    <x v="51"/>
    <s v="Female"/>
    <n v="64.5"/>
    <n v="144.4"/>
    <n v="24.4"/>
    <n v="16"/>
    <s v="CA"/>
    <n v="4"/>
    <n v="67.3"/>
    <s v="Middle"/>
    <n v="0"/>
    <s v="Single-Day"/>
    <n v="0"/>
    <n v="0"/>
    <s v="Main Entrance"/>
    <s v="Toy Story Lot"/>
    <n v="5.3"/>
    <n v="4"/>
    <x v="2655"/>
  </r>
  <r>
    <n v="2809"/>
    <n v="923"/>
    <d v="2026-02-18T00:00:00"/>
    <s v="Wednesday"/>
    <n v="2"/>
    <n v="11.06"/>
    <x v="1"/>
    <x v="34"/>
    <s v="Female"/>
    <n v="63.5"/>
    <n v="131.80000000000001"/>
    <n v="23"/>
    <n v="17"/>
    <s v="CA"/>
    <n v="4"/>
    <n v="67.3"/>
    <s v="Middle"/>
    <n v="0"/>
    <s v="Single-Day"/>
    <n v="0"/>
    <n v="0"/>
    <s v="Main Entrance"/>
    <s v="Toy Story Lot"/>
    <n v="6.5"/>
    <n v="6"/>
    <x v="2656"/>
  </r>
  <r>
    <n v="2810"/>
    <n v="923"/>
    <d v="2026-02-18T00:00:00"/>
    <s v="Wednesday"/>
    <n v="2"/>
    <n v="10.97"/>
    <x v="0"/>
    <x v="25"/>
    <s v="Female"/>
    <n v="60.8"/>
    <n v="155.9"/>
    <n v="29.7"/>
    <n v="19"/>
    <s v="CA"/>
    <n v="4"/>
    <n v="67.3"/>
    <s v="Middle"/>
    <n v="0"/>
    <s v="Single-Day"/>
    <n v="0"/>
    <n v="0"/>
    <s v="Main Entrance"/>
    <s v="Toy Story Lot"/>
    <n v="6.8"/>
    <n v="11"/>
    <x v="2657"/>
  </r>
  <r>
    <n v="2811"/>
    <n v="924"/>
    <d v="2026-02-09T00:00:00"/>
    <s v="Monday"/>
    <n v="2"/>
    <n v="8.99"/>
    <x v="0"/>
    <x v="31"/>
    <s v="Female"/>
    <n v="64.5"/>
    <n v="211.1"/>
    <n v="35.5"/>
    <n v="17"/>
    <s v="OR"/>
    <n v="3"/>
    <n v="791.6"/>
    <s v="High"/>
    <n v="1"/>
    <s v="Multi-Day"/>
    <n v="1"/>
    <n v="0"/>
    <s v="Hotel Guest Entrance"/>
    <s v="Mickey &amp; Friends"/>
    <n v="11.9"/>
    <n v="13"/>
    <x v="2658"/>
  </r>
  <r>
    <n v="2812"/>
    <n v="924"/>
    <d v="2026-02-09T00:00:00"/>
    <s v="Monday"/>
    <n v="2"/>
    <n v="8.68"/>
    <x v="0"/>
    <x v="71"/>
    <s v="Female"/>
    <n v="65.3"/>
    <n v="164.3"/>
    <n v="27.2"/>
    <n v="14"/>
    <s v="OR"/>
    <n v="3"/>
    <n v="791.6"/>
    <s v="High"/>
    <n v="1"/>
    <s v="Multi-Day"/>
    <n v="1"/>
    <n v="0"/>
    <s v="Hotel Guest Entrance"/>
    <s v="Mickey &amp; Friends"/>
    <n v="9.6"/>
    <n v="10"/>
    <x v="2659"/>
  </r>
  <r>
    <n v="2813"/>
    <n v="924"/>
    <d v="2026-02-09T00:00:00"/>
    <s v="Monday"/>
    <n v="2"/>
    <n v="8.85"/>
    <x v="0"/>
    <x v="55"/>
    <s v="Male"/>
    <n v="68.5"/>
    <n v="168.1"/>
    <n v="25.2"/>
    <n v="18"/>
    <s v="OR"/>
    <n v="3"/>
    <n v="791.6"/>
    <s v="High"/>
    <n v="1"/>
    <s v="Multi-Day"/>
    <n v="1"/>
    <n v="0"/>
    <s v="Hotel Guest Entrance"/>
    <s v="Mickey &amp; Friends"/>
    <n v="11.3"/>
    <n v="9"/>
    <x v="2427"/>
  </r>
  <r>
    <n v="2814"/>
    <n v="925"/>
    <d v="2026-09-10T00:00:00"/>
    <s v="Thursday"/>
    <n v="9"/>
    <n v="9.56"/>
    <x v="0"/>
    <x v="8"/>
    <s v="Male"/>
    <n v="73.400000000000006"/>
    <n v="238.4"/>
    <n v="31.1"/>
    <n v="14"/>
    <s v="CA"/>
    <n v="3"/>
    <n v="197.5"/>
    <s v="Low"/>
    <n v="0"/>
    <s v="Multi-Day"/>
    <n v="1"/>
    <n v="0"/>
    <s v="Main Entrance"/>
    <s v="Mickey &amp; Friends"/>
    <n v="9.1999999999999993"/>
    <n v="7"/>
    <x v="2660"/>
  </r>
  <r>
    <n v="2815"/>
    <n v="925"/>
    <d v="2026-09-10T00:00:00"/>
    <s v="Thursday"/>
    <n v="9"/>
    <n v="9.4700000000000006"/>
    <x v="0"/>
    <x v="1"/>
    <s v="Male"/>
    <n v="61.3"/>
    <n v="113.9"/>
    <n v="21.5"/>
    <n v="11"/>
    <s v="CA"/>
    <n v="3"/>
    <n v="197.5"/>
    <s v="Low"/>
    <n v="0"/>
    <s v="Multi-Day"/>
    <n v="1"/>
    <n v="0"/>
    <s v="Main Entrance"/>
    <s v="Mickey &amp; Friends"/>
    <n v="5.8"/>
    <n v="8"/>
    <x v="2661"/>
  </r>
  <r>
    <n v="2816"/>
    <n v="925"/>
    <d v="2026-09-10T00:00:00"/>
    <s v="Thursday"/>
    <n v="9"/>
    <n v="9.69"/>
    <x v="0"/>
    <x v="32"/>
    <s v="Female"/>
    <n v="58.5"/>
    <n v="93.6"/>
    <n v="19"/>
    <n v="12"/>
    <s v="CA"/>
    <n v="3"/>
    <n v="197.5"/>
    <s v="Low"/>
    <n v="0"/>
    <s v="Multi-Day"/>
    <n v="1"/>
    <n v="0"/>
    <s v="Main Entrance"/>
    <s v="Mickey &amp; Friends"/>
    <n v="7.2"/>
    <n v="10"/>
    <x v="2662"/>
  </r>
  <r>
    <n v="2817"/>
    <n v="926"/>
    <d v="2026-09-13T00:00:00"/>
    <s v="Sunday"/>
    <n v="9"/>
    <n v="9.76"/>
    <x v="0"/>
    <x v="34"/>
    <s v="Male"/>
    <n v="73.2"/>
    <n v="234.7"/>
    <n v="30.8"/>
    <n v="16"/>
    <s v="OR"/>
    <n v="4"/>
    <n v="1204.2"/>
    <s v="Low"/>
    <n v="1"/>
    <s v="Multi-Day"/>
    <n v="0"/>
    <n v="0"/>
    <s v="Downtown Disney Gate"/>
    <s v="Toy Story Lot"/>
    <n v="9.5"/>
    <n v="9"/>
    <x v="2663"/>
  </r>
  <r>
    <n v="2818"/>
    <n v="926"/>
    <d v="2026-09-13T00:00:00"/>
    <s v="Sunday"/>
    <n v="9"/>
    <n v="9.64"/>
    <x v="0"/>
    <x v="35"/>
    <s v="Male"/>
    <n v="72.400000000000006"/>
    <n v="164.8"/>
    <n v="22.3"/>
    <n v="17"/>
    <s v="OR"/>
    <n v="4"/>
    <n v="1204.2"/>
    <s v="Low"/>
    <n v="1"/>
    <s v="Multi-Day"/>
    <n v="0"/>
    <n v="0"/>
    <s v="Downtown Disney Gate"/>
    <s v="Toy Story Lot"/>
    <n v="8"/>
    <n v="5"/>
    <x v="712"/>
  </r>
  <r>
    <n v="2819"/>
    <n v="926"/>
    <d v="2026-09-13T00:00:00"/>
    <s v="Sunday"/>
    <n v="9"/>
    <n v="9.77"/>
    <x v="0"/>
    <x v="59"/>
    <s v="Male"/>
    <n v="71.400000000000006"/>
    <n v="203.6"/>
    <n v="28"/>
    <n v="12"/>
    <s v="OR"/>
    <n v="4"/>
    <n v="1204.2"/>
    <s v="Low"/>
    <n v="1"/>
    <s v="Multi-Day"/>
    <n v="0"/>
    <n v="0"/>
    <s v="Downtown Disney Gate"/>
    <s v="Toy Story Lot"/>
    <n v="7.9"/>
    <n v="7"/>
    <x v="2664"/>
  </r>
  <r>
    <n v="2820"/>
    <n v="926"/>
    <d v="2026-09-13T00:00:00"/>
    <s v="Sunday"/>
    <n v="9"/>
    <n v="9.5399999999999991"/>
    <x v="0"/>
    <x v="50"/>
    <s v="Female"/>
    <n v="66"/>
    <n v="161.30000000000001"/>
    <n v="26"/>
    <n v="11"/>
    <s v="OR"/>
    <n v="4"/>
    <n v="1204.2"/>
    <s v="Low"/>
    <n v="1"/>
    <s v="Multi-Day"/>
    <n v="0"/>
    <n v="0"/>
    <s v="Downtown Disney Gate"/>
    <s v="Toy Story Lot"/>
    <n v="8.9"/>
    <n v="11"/>
    <x v="2665"/>
  </r>
  <r>
    <n v="2821"/>
    <n v="927"/>
    <d v="2026-08-25T00:00:00"/>
    <s v="Tuesday"/>
    <n v="8"/>
    <n v="9.82"/>
    <x v="0"/>
    <x v="53"/>
    <s v="Female"/>
    <n v="56.1"/>
    <n v="70.2"/>
    <n v="15.6"/>
    <n v="12"/>
    <s v="NY"/>
    <n v="3"/>
    <n v="2479.6999999999998"/>
    <s v="Middle"/>
    <n v="1"/>
    <s v="Multi-Day"/>
    <n v="1"/>
    <n v="1"/>
    <s v="Main Entrance"/>
    <s v="None/Walked from Resort"/>
    <n v="8.5"/>
    <n v="16"/>
    <x v="2666"/>
  </r>
  <r>
    <n v="2822"/>
    <n v="927"/>
    <d v="2026-08-25T00:00:00"/>
    <s v="Tuesday"/>
    <n v="8"/>
    <n v="9.84"/>
    <x v="0"/>
    <x v="39"/>
    <s v="Male"/>
    <n v="65.7"/>
    <n v="191.5"/>
    <n v="31.2"/>
    <n v="15"/>
    <s v="NY"/>
    <n v="3"/>
    <n v="2479.6999999999998"/>
    <s v="Middle"/>
    <n v="1"/>
    <s v="Multi-Day"/>
    <n v="1"/>
    <n v="1"/>
    <s v="Main Entrance"/>
    <s v="None/Walked from Resort"/>
    <n v="13.3"/>
    <n v="16"/>
    <x v="2667"/>
  </r>
  <r>
    <n v="2823"/>
    <n v="927"/>
    <d v="2026-08-25T00:00:00"/>
    <s v="Tuesday"/>
    <n v="8"/>
    <n v="10.1"/>
    <x v="0"/>
    <x v="41"/>
    <s v="Male"/>
    <n v="66"/>
    <n v="174.7"/>
    <n v="28.6"/>
    <n v="15"/>
    <s v="NY"/>
    <n v="3"/>
    <n v="2479.6999999999998"/>
    <s v="Middle"/>
    <n v="1"/>
    <s v="Multi-Day"/>
    <n v="1"/>
    <n v="1"/>
    <s v="Main Entrance"/>
    <s v="None/Walked from Resort"/>
    <n v="8.1999999999999993"/>
    <n v="6"/>
    <x v="2668"/>
  </r>
  <r>
    <n v="2824"/>
    <n v="928"/>
    <d v="2026-10-23T00:00:00"/>
    <s v="Friday"/>
    <n v="10"/>
    <n v="9.0500000000000007"/>
    <x v="0"/>
    <x v="3"/>
    <s v="Male"/>
    <n v="73.400000000000006"/>
    <n v="190"/>
    <n v="24.8"/>
    <n v="15"/>
    <s v="NV"/>
    <n v="6"/>
    <n v="253"/>
    <s v="Middle"/>
    <n v="0"/>
    <s v="Park Hopper"/>
    <n v="0"/>
    <n v="0"/>
    <s v="Main Entrance"/>
    <s v="Toy Story Lot"/>
    <n v="5.7"/>
    <n v="6"/>
    <x v="2669"/>
  </r>
  <r>
    <n v="2825"/>
    <n v="928"/>
    <d v="2026-10-23T00:00:00"/>
    <s v="Friday"/>
    <n v="10"/>
    <n v="9.41"/>
    <x v="0"/>
    <x v="57"/>
    <s v="Male"/>
    <n v="68.900000000000006"/>
    <n v="210.7"/>
    <n v="31.1"/>
    <n v="15"/>
    <s v="NV"/>
    <n v="6"/>
    <n v="253"/>
    <s v="Middle"/>
    <n v="0"/>
    <s v="Park Hopper"/>
    <n v="0"/>
    <n v="0"/>
    <s v="Main Entrance"/>
    <s v="Toy Story Lot"/>
    <n v="9.6999999999999993"/>
    <n v="7"/>
    <x v="2670"/>
  </r>
  <r>
    <n v="2826"/>
    <n v="928"/>
    <d v="2026-10-23T00:00:00"/>
    <s v="Friday"/>
    <n v="10"/>
    <n v="8.98"/>
    <x v="0"/>
    <x v="68"/>
    <s v="Nonbinary/Other"/>
    <n v="66.2"/>
    <n v="170"/>
    <n v="27.5"/>
    <n v="18"/>
    <s v="NV"/>
    <n v="6"/>
    <n v="253"/>
    <s v="Middle"/>
    <n v="0"/>
    <s v="Park Hopper"/>
    <n v="0"/>
    <n v="0"/>
    <s v="Main Entrance"/>
    <s v="Toy Story Lot"/>
    <n v="7.7"/>
    <n v="12"/>
    <x v="2671"/>
  </r>
  <r>
    <n v="2827"/>
    <n v="928"/>
    <d v="2026-10-23T00:00:00"/>
    <s v="Friday"/>
    <n v="10"/>
    <n v="9.18"/>
    <x v="0"/>
    <x v="68"/>
    <s v="Male"/>
    <n v="72.5"/>
    <n v="209.3"/>
    <n v="27.9"/>
    <n v="17"/>
    <s v="NV"/>
    <n v="6"/>
    <n v="253"/>
    <s v="Middle"/>
    <n v="0"/>
    <s v="Park Hopper"/>
    <n v="0"/>
    <n v="0"/>
    <s v="Main Entrance"/>
    <s v="Toy Story Lot"/>
    <n v="5.8"/>
    <n v="8"/>
    <x v="2672"/>
  </r>
  <r>
    <n v="2828"/>
    <n v="928"/>
    <d v="2026-10-23T00:00:00"/>
    <s v="Friday"/>
    <n v="10"/>
    <n v="9.27"/>
    <x v="0"/>
    <x v="69"/>
    <s v="Female"/>
    <n v="71.8"/>
    <n v="164.2"/>
    <n v="22.3"/>
    <n v="14"/>
    <s v="NV"/>
    <n v="6"/>
    <n v="253"/>
    <s v="Middle"/>
    <n v="0"/>
    <s v="Park Hopper"/>
    <n v="0"/>
    <n v="0"/>
    <s v="Main Entrance"/>
    <s v="Toy Story Lot"/>
    <n v="10.7"/>
    <n v="11"/>
    <x v="2673"/>
  </r>
  <r>
    <n v="2829"/>
    <n v="928"/>
    <d v="2026-10-23T00:00:00"/>
    <s v="Friday"/>
    <n v="10"/>
    <n v="9.27"/>
    <x v="0"/>
    <x v="51"/>
    <s v="Female"/>
    <n v="65.8"/>
    <n v="149"/>
    <n v="24.1"/>
    <n v="18"/>
    <s v="NV"/>
    <n v="6"/>
    <n v="253"/>
    <s v="Middle"/>
    <n v="0"/>
    <s v="Park Hopper"/>
    <n v="0"/>
    <n v="0"/>
    <s v="Main Entrance"/>
    <s v="Toy Story Lot"/>
    <n v="7.8"/>
    <n v="9"/>
    <x v="2674"/>
  </r>
  <r>
    <n v="2830"/>
    <n v="929"/>
    <d v="2026-02-24T00:00:00"/>
    <s v="Tuesday"/>
    <n v="2"/>
    <n v="12.37"/>
    <x v="1"/>
    <x v="16"/>
    <s v="Male"/>
    <n v="63.5"/>
    <n v="114.7"/>
    <n v="19.8"/>
    <n v="15"/>
    <s v="NV"/>
    <n v="3"/>
    <n v="218.9"/>
    <s v="High"/>
    <n v="0"/>
    <s v="Single-Day"/>
    <n v="1"/>
    <n v="0"/>
    <s v="Main Entrance"/>
    <s v="Toy Story Lot"/>
    <n v="6.8"/>
    <n v="8"/>
    <x v="2675"/>
  </r>
  <r>
    <n v="2831"/>
    <n v="929"/>
    <d v="2026-02-24T00:00:00"/>
    <s v="Tuesday"/>
    <n v="2"/>
    <n v="12.52"/>
    <x v="1"/>
    <x v="54"/>
    <s v="Female"/>
    <n v="63.1"/>
    <n v="131.30000000000001"/>
    <n v="23.3"/>
    <n v="17"/>
    <s v="NV"/>
    <n v="3"/>
    <n v="218.9"/>
    <s v="High"/>
    <n v="0"/>
    <s v="Single-Day"/>
    <n v="1"/>
    <n v="0"/>
    <s v="Main Entrance"/>
    <s v="Toy Story Lot"/>
    <n v="7.7"/>
    <n v="8"/>
    <x v="2676"/>
  </r>
  <r>
    <n v="2832"/>
    <n v="929"/>
    <d v="2026-02-24T00:00:00"/>
    <s v="Tuesday"/>
    <n v="2"/>
    <n v="12.47"/>
    <x v="1"/>
    <x v="27"/>
    <s v="Male"/>
    <n v="69.7"/>
    <n v="151.30000000000001"/>
    <n v="22.1"/>
    <n v="16"/>
    <s v="NV"/>
    <n v="3"/>
    <n v="218.9"/>
    <s v="High"/>
    <n v="0"/>
    <s v="Single-Day"/>
    <n v="1"/>
    <n v="0"/>
    <s v="Main Entrance"/>
    <s v="Toy Story Lot"/>
    <n v="9.3000000000000007"/>
    <n v="5"/>
    <x v="2677"/>
  </r>
  <r>
    <n v="2833"/>
    <n v="930"/>
    <d v="2026-03-21T00:00:00"/>
    <s v="Saturday"/>
    <n v="3"/>
    <n v="10.67"/>
    <x v="0"/>
    <x v="15"/>
    <s v="Female"/>
    <n v="69.7"/>
    <n v="153.6"/>
    <n v="22.2"/>
    <n v="11"/>
    <s v="AZ"/>
    <n v="2"/>
    <n v="281"/>
    <s v="Low"/>
    <n v="1"/>
    <s v="Multi-Day"/>
    <n v="0"/>
    <n v="0"/>
    <s v="Main Entrance"/>
    <s v="Mickey &amp; Friends"/>
    <n v="4.9000000000000004"/>
    <n v="3"/>
    <x v="2678"/>
  </r>
  <r>
    <n v="2834"/>
    <n v="930"/>
    <d v="2026-03-21T00:00:00"/>
    <s v="Saturday"/>
    <n v="3"/>
    <n v="10.71"/>
    <x v="0"/>
    <x v="41"/>
    <s v="Male"/>
    <n v="68.3"/>
    <n v="151"/>
    <n v="22.7"/>
    <n v="13"/>
    <s v="AZ"/>
    <n v="2"/>
    <n v="281"/>
    <s v="Low"/>
    <n v="1"/>
    <s v="Multi-Day"/>
    <n v="0"/>
    <n v="0"/>
    <s v="Main Entrance"/>
    <s v="Mickey &amp; Friends"/>
    <n v="8.6"/>
    <n v="6"/>
    <x v="2679"/>
  </r>
  <r>
    <n v="2835"/>
    <n v="931"/>
    <d v="2026-10-09T00:00:00"/>
    <s v="Friday"/>
    <n v="10"/>
    <n v="8.69"/>
    <x v="0"/>
    <x v="34"/>
    <s v="Female"/>
    <n v="62.6"/>
    <n v="135.69999999999999"/>
    <n v="24.4"/>
    <n v="21"/>
    <s v="NV"/>
    <n v="4"/>
    <n v="309.39999999999998"/>
    <s v="High"/>
    <n v="0"/>
    <s v="Park Hopper"/>
    <n v="0"/>
    <n v="0"/>
    <s v="Main Entrance"/>
    <s v="Mickey &amp; Friends"/>
    <n v="8.6999999999999993"/>
    <n v="14"/>
    <x v="2680"/>
  </r>
  <r>
    <n v="2836"/>
    <n v="931"/>
    <d v="2026-10-09T00:00:00"/>
    <s v="Friday"/>
    <n v="10"/>
    <n v="8.66"/>
    <x v="0"/>
    <x v="5"/>
    <s v="Male"/>
    <n v="75.7"/>
    <n v="209.3"/>
    <n v="25.8"/>
    <n v="17"/>
    <s v="NV"/>
    <n v="4"/>
    <n v="309.39999999999998"/>
    <s v="High"/>
    <n v="0"/>
    <s v="Park Hopper"/>
    <n v="0"/>
    <n v="0"/>
    <s v="Main Entrance"/>
    <s v="Mickey &amp; Friends"/>
    <n v="12.9"/>
    <n v="13"/>
    <x v="2681"/>
  </r>
  <r>
    <n v="2837"/>
    <n v="931"/>
    <d v="2026-10-09T00:00:00"/>
    <s v="Friday"/>
    <n v="10"/>
    <n v="8.6"/>
    <x v="0"/>
    <x v="18"/>
    <s v="Male"/>
    <n v="68.7"/>
    <n v="221.7"/>
    <n v="33.1"/>
    <n v="18"/>
    <s v="NV"/>
    <n v="4"/>
    <n v="309.39999999999998"/>
    <s v="High"/>
    <n v="0"/>
    <s v="Park Hopper"/>
    <n v="0"/>
    <n v="0"/>
    <s v="Main Entrance"/>
    <s v="Mickey &amp; Friends"/>
    <n v="6"/>
    <n v="6"/>
    <x v="2682"/>
  </r>
  <r>
    <n v="2838"/>
    <n v="931"/>
    <d v="2026-10-09T00:00:00"/>
    <s v="Friday"/>
    <n v="10"/>
    <n v="8.6199999999999992"/>
    <x v="0"/>
    <x v="42"/>
    <s v="Female"/>
    <n v="66.400000000000006"/>
    <n v="156.5"/>
    <n v="24.8"/>
    <n v="16"/>
    <s v="NV"/>
    <n v="4"/>
    <n v="309.39999999999998"/>
    <s v="High"/>
    <n v="0"/>
    <s v="Park Hopper"/>
    <n v="0"/>
    <n v="0"/>
    <s v="Main Entrance"/>
    <s v="Mickey &amp; Friends"/>
    <n v="9.4"/>
    <n v="10"/>
    <x v="2683"/>
  </r>
  <r>
    <n v="2839"/>
    <n v="932"/>
    <d v="2026-04-03T00:00:00"/>
    <s v="Friday"/>
    <n v="4"/>
    <n v="10.47"/>
    <x v="0"/>
    <x v="17"/>
    <s v="Male"/>
    <n v="70.5"/>
    <n v="140.5"/>
    <n v="19.899999999999999"/>
    <n v="17"/>
    <s v="OR"/>
    <n v="3"/>
    <n v="861.2"/>
    <s v="High"/>
    <n v="1"/>
    <s v="Multi-Day"/>
    <n v="0"/>
    <n v="0"/>
    <s v="Main Entrance"/>
    <s v="None/Dropoff/Transit"/>
    <n v="9.3000000000000007"/>
    <n v="7"/>
    <x v="2684"/>
  </r>
  <r>
    <n v="2840"/>
    <n v="932"/>
    <d v="2026-04-03T00:00:00"/>
    <s v="Friday"/>
    <n v="4"/>
    <n v="10.61"/>
    <x v="0"/>
    <x v="3"/>
    <s v="Female"/>
    <n v="64.8"/>
    <n v="112.7"/>
    <n v="19.100000000000001"/>
    <n v="15"/>
    <s v="OR"/>
    <n v="3"/>
    <n v="861.2"/>
    <s v="High"/>
    <n v="1"/>
    <s v="Multi-Day"/>
    <n v="0"/>
    <n v="0"/>
    <s v="Main Entrance"/>
    <s v="None/Dropoff/Transit"/>
    <n v="10.5"/>
    <n v="8"/>
    <x v="2685"/>
  </r>
  <r>
    <n v="2841"/>
    <n v="932"/>
    <d v="2026-04-03T00:00:00"/>
    <s v="Friday"/>
    <n v="4"/>
    <n v="10.38"/>
    <x v="0"/>
    <x v="31"/>
    <s v="Female"/>
    <n v="64.5"/>
    <n v="201.2"/>
    <n v="34"/>
    <n v="16"/>
    <s v="OR"/>
    <n v="3"/>
    <n v="861.2"/>
    <s v="High"/>
    <n v="1"/>
    <s v="Multi-Day"/>
    <n v="0"/>
    <n v="0"/>
    <s v="Main Entrance"/>
    <s v="None/Dropoff/Transit"/>
    <n v="10.8"/>
    <n v="6"/>
    <x v="2686"/>
  </r>
  <r>
    <n v="2842"/>
    <n v="933"/>
    <d v="2026-09-22T00:00:00"/>
    <s v="Tuesday"/>
    <n v="9"/>
    <n v="10.84"/>
    <x v="0"/>
    <x v="67"/>
    <s v="Female"/>
    <n v="64.099999999999994"/>
    <n v="133.80000000000001"/>
    <n v="22.8"/>
    <n v="12"/>
    <s v="FL"/>
    <n v="2"/>
    <n v="1722.8"/>
    <s v="Middle"/>
    <n v="1"/>
    <s v="Single-Day"/>
    <n v="1"/>
    <n v="0"/>
    <s v="Main Entrance"/>
    <s v="Pixar Pals"/>
    <n v="8.3000000000000007"/>
    <n v="13"/>
    <x v="2687"/>
  </r>
  <r>
    <n v="2843"/>
    <n v="933"/>
    <d v="2026-09-22T00:00:00"/>
    <s v="Tuesday"/>
    <n v="9"/>
    <n v="10.96"/>
    <x v="0"/>
    <x v="6"/>
    <s v="Male"/>
    <n v="66.2"/>
    <n v="152"/>
    <n v="24.4"/>
    <n v="13"/>
    <s v="FL"/>
    <n v="2"/>
    <n v="1722.8"/>
    <s v="Middle"/>
    <n v="1"/>
    <s v="Single-Day"/>
    <n v="1"/>
    <n v="0"/>
    <s v="Main Entrance"/>
    <s v="Pixar Pals"/>
    <n v="9.1"/>
    <n v="6"/>
    <x v="2688"/>
  </r>
  <r>
    <n v="2844"/>
    <n v="934"/>
    <d v="2026-04-27T00:00:00"/>
    <s v="Monday"/>
    <n v="4"/>
    <n v="11.53"/>
    <x v="1"/>
    <x v="5"/>
    <s v="Male"/>
    <n v="67.8"/>
    <n v="156.1"/>
    <n v="23.9"/>
    <n v="14"/>
    <s v="CA"/>
    <n v="2"/>
    <n v="62.1"/>
    <s v="High"/>
    <n v="0"/>
    <s v="Single-Day"/>
    <n v="0"/>
    <n v="0"/>
    <s v="Main Entrance"/>
    <s v="Mickey &amp; Friends"/>
    <n v="6.7"/>
    <n v="5"/>
    <x v="2689"/>
  </r>
  <r>
    <n v="2845"/>
    <n v="934"/>
    <d v="2026-04-27T00:00:00"/>
    <s v="Monday"/>
    <n v="4"/>
    <n v="11.44"/>
    <x v="1"/>
    <x v="37"/>
    <s v="Female"/>
    <n v="67.3"/>
    <n v="83.9"/>
    <n v="12.8"/>
    <n v="19"/>
    <s v="CA"/>
    <n v="2"/>
    <n v="62.1"/>
    <s v="High"/>
    <n v="0"/>
    <s v="Single-Day"/>
    <n v="0"/>
    <n v="0"/>
    <s v="Main Entrance"/>
    <s v="Mickey &amp; Friends"/>
    <n v="4.3"/>
    <n v="5"/>
    <x v="2690"/>
  </r>
  <r>
    <n v="2846"/>
    <n v="935"/>
    <d v="2026-05-08T00:00:00"/>
    <s v="Friday"/>
    <n v="5"/>
    <n v="14.61"/>
    <x v="1"/>
    <x v="71"/>
    <s v="Male"/>
    <n v="74.599999999999994"/>
    <n v="240.8"/>
    <n v="30.4"/>
    <n v="12"/>
    <s v="NV"/>
    <n v="2"/>
    <n v="234.4"/>
    <s v="Middle"/>
    <n v="0"/>
    <s v="Park Hopper"/>
    <n v="1"/>
    <n v="0"/>
    <s v="Main Entrance"/>
    <s v="None/Dropoff/Transit"/>
    <n v="5.9"/>
    <n v="8"/>
    <x v="2691"/>
  </r>
  <r>
    <n v="2847"/>
    <n v="935"/>
    <d v="2026-05-08T00:00:00"/>
    <s v="Friday"/>
    <n v="5"/>
    <n v="14.66"/>
    <x v="1"/>
    <x v="44"/>
    <s v="Male"/>
    <n v="66.900000000000006"/>
    <n v="198.4"/>
    <n v="31.3"/>
    <n v="14"/>
    <s v="NV"/>
    <n v="2"/>
    <n v="234.4"/>
    <s v="Middle"/>
    <n v="0"/>
    <s v="Park Hopper"/>
    <n v="1"/>
    <n v="0"/>
    <s v="Main Entrance"/>
    <s v="None/Dropoff/Transit"/>
    <n v="8.4"/>
    <n v="9"/>
    <x v="2692"/>
  </r>
  <r>
    <n v="2848"/>
    <n v="936"/>
    <d v="2026-06-09T00:00:00"/>
    <s v="Tuesday"/>
    <n v="6"/>
    <n v="7.6"/>
    <x v="0"/>
    <x v="3"/>
    <s v="Female"/>
    <n v="62.8"/>
    <n v="116.6"/>
    <n v="20.7"/>
    <n v="18"/>
    <s v="AZ"/>
    <n v="4"/>
    <n v="303.8"/>
    <s v="High"/>
    <n v="1"/>
    <s v="Single-Day"/>
    <n v="0"/>
    <n v="1"/>
    <s v="Main Entrance"/>
    <s v="Pixar Pals"/>
    <n v="10"/>
    <n v="8"/>
    <x v="2693"/>
  </r>
  <r>
    <n v="2849"/>
    <n v="936"/>
    <d v="2026-06-09T00:00:00"/>
    <s v="Tuesday"/>
    <n v="6"/>
    <n v="7.92"/>
    <x v="0"/>
    <x v="38"/>
    <s v="Male"/>
    <n v="67"/>
    <n v="176.7"/>
    <n v="28"/>
    <n v="12"/>
    <s v="AZ"/>
    <n v="4"/>
    <n v="303.8"/>
    <s v="High"/>
    <n v="1"/>
    <s v="Single-Day"/>
    <n v="0"/>
    <n v="1"/>
    <s v="Main Entrance"/>
    <s v="Pixar Pals"/>
    <n v="11"/>
    <n v="8"/>
    <x v="2694"/>
  </r>
  <r>
    <n v="2850"/>
    <n v="936"/>
    <d v="2026-06-09T00:00:00"/>
    <s v="Tuesday"/>
    <n v="6"/>
    <n v="7.86"/>
    <x v="0"/>
    <x v="12"/>
    <s v="Male"/>
    <n v="62.3"/>
    <n v="119.4"/>
    <n v="21.7"/>
    <n v="13"/>
    <s v="AZ"/>
    <n v="4"/>
    <n v="303.8"/>
    <s v="High"/>
    <n v="1"/>
    <s v="Single-Day"/>
    <n v="0"/>
    <n v="1"/>
    <s v="Main Entrance"/>
    <s v="Pixar Pals"/>
    <n v="9.5"/>
    <n v="8"/>
    <x v="2695"/>
  </r>
  <r>
    <n v="2851"/>
    <n v="936"/>
    <d v="2026-06-09T00:00:00"/>
    <s v="Tuesday"/>
    <n v="6"/>
    <n v="7.89"/>
    <x v="0"/>
    <x v="55"/>
    <s v="Female"/>
    <n v="64.099999999999994"/>
    <n v="160.6"/>
    <n v="27.6"/>
    <n v="19"/>
    <s v="AZ"/>
    <n v="4"/>
    <n v="303.8"/>
    <s v="High"/>
    <n v="1"/>
    <s v="Single-Day"/>
    <n v="0"/>
    <n v="1"/>
    <s v="Main Entrance"/>
    <s v="Pixar Pals"/>
    <n v="11.2"/>
    <n v="16"/>
    <x v="2696"/>
  </r>
  <r>
    <n v="2852"/>
    <n v="937"/>
    <d v="2026-05-13T00:00:00"/>
    <s v="Wednesday"/>
    <n v="5"/>
    <n v="11.07"/>
    <x v="1"/>
    <x v="15"/>
    <s v="Female"/>
    <n v="61.4"/>
    <n v="139.80000000000001"/>
    <n v="26"/>
    <n v="12"/>
    <s v="CA"/>
    <n v="4"/>
    <n v="50"/>
    <s v="Low"/>
    <n v="0"/>
    <s v="Single-Day"/>
    <n v="1"/>
    <n v="0"/>
    <s v="Main Entrance"/>
    <s v="Mickey &amp; Friends"/>
    <n v="6.7"/>
    <n v="7"/>
    <x v="2697"/>
  </r>
  <r>
    <n v="2853"/>
    <n v="937"/>
    <d v="2026-05-13T00:00:00"/>
    <s v="Wednesday"/>
    <n v="5"/>
    <n v="11.36"/>
    <x v="1"/>
    <x v="48"/>
    <s v="Male"/>
    <n v="62.2"/>
    <n v="167.8"/>
    <n v="30.4"/>
    <n v="14"/>
    <s v="CA"/>
    <n v="4"/>
    <n v="50"/>
    <s v="Low"/>
    <n v="0"/>
    <s v="Single-Day"/>
    <n v="1"/>
    <n v="0"/>
    <s v="Main Entrance"/>
    <s v="Mickey &amp; Friends"/>
    <n v="6.9"/>
    <n v="5"/>
    <x v="2034"/>
  </r>
  <r>
    <n v="2854"/>
    <n v="937"/>
    <d v="2026-05-13T00:00:00"/>
    <s v="Wednesday"/>
    <n v="5"/>
    <n v="11.3"/>
    <x v="1"/>
    <x v="22"/>
    <s v="Male"/>
    <n v="62"/>
    <n v="113.6"/>
    <n v="20.9"/>
    <n v="11"/>
    <s v="CA"/>
    <n v="4"/>
    <n v="50"/>
    <s v="Low"/>
    <n v="0"/>
    <s v="Single-Day"/>
    <n v="1"/>
    <n v="0"/>
    <s v="Main Entrance"/>
    <s v="Mickey &amp; Friends"/>
    <n v="7.4"/>
    <n v="12"/>
    <x v="368"/>
  </r>
  <r>
    <n v="2855"/>
    <n v="937"/>
    <d v="2026-05-13T00:00:00"/>
    <s v="Wednesday"/>
    <n v="5"/>
    <n v="11.35"/>
    <x v="1"/>
    <x v="38"/>
    <s v="Female"/>
    <n v="65.599999999999994"/>
    <n v="189.3"/>
    <n v="30.8"/>
    <n v="12"/>
    <s v="CA"/>
    <n v="4"/>
    <n v="50"/>
    <s v="Low"/>
    <n v="0"/>
    <s v="Single-Day"/>
    <n v="1"/>
    <n v="0"/>
    <s v="Main Entrance"/>
    <s v="Mickey &amp; Friends"/>
    <n v="7.5"/>
    <n v="11"/>
    <x v="2698"/>
  </r>
  <r>
    <n v="2856"/>
    <n v="938"/>
    <d v="2026-04-13T00:00:00"/>
    <s v="Monday"/>
    <n v="4"/>
    <n v="11.6"/>
    <x v="1"/>
    <x v="19"/>
    <s v="Male"/>
    <n v="70.400000000000006"/>
    <n v="207.7"/>
    <n v="29.5"/>
    <n v="16"/>
    <s v="CA"/>
    <n v="3"/>
    <n v="74.7"/>
    <s v="Middle"/>
    <n v="0"/>
    <s v="Single-Day"/>
    <n v="0"/>
    <n v="0"/>
    <s v="Main Entrance"/>
    <s v="None/Dropoff/Transit"/>
    <n v="5.0999999999999996"/>
    <n v="3"/>
    <x v="2699"/>
  </r>
  <r>
    <n v="2857"/>
    <n v="938"/>
    <d v="2026-04-13T00:00:00"/>
    <s v="Monday"/>
    <n v="4"/>
    <n v="11.81"/>
    <x v="1"/>
    <x v="43"/>
    <s v="Female"/>
    <n v="70.599999999999994"/>
    <n v="204.7"/>
    <n v="28.9"/>
    <n v="15"/>
    <s v="CA"/>
    <n v="3"/>
    <n v="74.7"/>
    <s v="Middle"/>
    <n v="0"/>
    <s v="Single-Day"/>
    <n v="0"/>
    <n v="0"/>
    <s v="Main Entrance"/>
    <s v="None/Dropoff/Transit"/>
    <n v="7.7"/>
    <n v="8"/>
    <x v="2700"/>
  </r>
  <r>
    <n v="2858"/>
    <n v="938"/>
    <d v="2026-04-13T00:00:00"/>
    <s v="Monday"/>
    <n v="4"/>
    <n v="11.68"/>
    <x v="1"/>
    <x v="38"/>
    <s v="Male"/>
    <n v="70.099999999999994"/>
    <n v="170.5"/>
    <n v="24.2"/>
    <n v="13"/>
    <s v="CA"/>
    <n v="3"/>
    <n v="74.7"/>
    <s v="Middle"/>
    <n v="0"/>
    <s v="Single-Day"/>
    <n v="0"/>
    <n v="0"/>
    <s v="Main Entrance"/>
    <s v="None/Dropoff/Transit"/>
    <n v="9.8000000000000007"/>
    <n v="8"/>
    <x v="2701"/>
  </r>
  <r>
    <n v="2859"/>
    <n v="939"/>
    <d v="2026-12-01T00:00:00"/>
    <s v="Tuesday"/>
    <n v="12"/>
    <n v="13.42"/>
    <x v="1"/>
    <x v="6"/>
    <s v="Female"/>
    <n v="62"/>
    <n v="120"/>
    <n v="22.1"/>
    <n v="15"/>
    <s v="NY"/>
    <n v="5"/>
    <n v="2615.6999999999998"/>
    <s v="Middle"/>
    <n v="1"/>
    <s v="Single-Day"/>
    <n v="1"/>
    <n v="1"/>
    <s v="Main Entrance"/>
    <s v="None/Walked from Resort"/>
    <n v="7.9"/>
    <n v="11"/>
    <x v="2702"/>
  </r>
  <r>
    <n v="2860"/>
    <n v="939"/>
    <d v="2026-12-01T00:00:00"/>
    <s v="Tuesday"/>
    <n v="12"/>
    <n v="13.31"/>
    <x v="1"/>
    <x v="11"/>
    <s v="Female"/>
    <n v="67.3"/>
    <n v="194.5"/>
    <n v="30.3"/>
    <n v="14"/>
    <s v="NY"/>
    <n v="5"/>
    <n v="2615.6999999999998"/>
    <s v="Middle"/>
    <n v="1"/>
    <s v="Single-Day"/>
    <n v="1"/>
    <n v="1"/>
    <s v="Main Entrance"/>
    <s v="None/Walked from Resort"/>
    <n v="10.1"/>
    <n v="14"/>
    <x v="2620"/>
  </r>
  <r>
    <n v="2861"/>
    <n v="939"/>
    <d v="2026-12-01T00:00:00"/>
    <s v="Tuesday"/>
    <n v="12"/>
    <n v="13.45"/>
    <x v="1"/>
    <x v="78"/>
    <s v="Male"/>
    <n v="70"/>
    <n v="137.19999999999999"/>
    <n v="19.600000000000001"/>
    <n v="12"/>
    <s v="NY"/>
    <n v="5"/>
    <n v="2615.6999999999998"/>
    <s v="Middle"/>
    <n v="1"/>
    <s v="Single-Day"/>
    <n v="1"/>
    <n v="1"/>
    <s v="Main Entrance"/>
    <s v="None/Walked from Resort"/>
    <n v="10.199999999999999"/>
    <n v="17"/>
    <x v="2703"/>
  </r>
  <r>
    <n v="2862"/>
    <n v="939"/>
    <d v="2026-12-01T00:00:00"/>
    <s v="Tuesday"/>
    <n v="12"/>
    <n v="13.22"/>
    <x v="1"/>
    <x v="18"/>
    <s v="Male"/>
    <n v="75.099999999999994"/>
    <n v="220.8"/>
    <n v="27.3"/>
    <n v="13"/>
    <s v="NY"/>
    <n v="5"/>
    <n v="2615.6999999999998"/>
    <s v="Middle"/>
    <n v="1"/>
    <s v="Single-Day"/>
    <n v="1"/>
    <n v="1"/>
    <s v="Main Entrance"/>
    <s v="None/Walked from Resort"/>
    <n v="10.4"/>
    <n v="9"/>
    <x v="2704"/>
  </r>
  <r>
    <n v="2863"/>
    <n v="939"/>
    <d v="2026-12-01T00:00:00"/>
    <s v="Tuesday"/>
    <n v="12"/>
    <n v="13.28"/>
    <x v="1"/>
    <x v="36"/>
    <s v="Female"/>
    <n v="68.099999999999994"/>
    <n v="168.4"/>
    <n v="25.4"/>
    <n v="16"/>
    <s v="NY"/>
    <n v="5"/>
    <n v="2615.6999999999998"/>
    <s v="Middle"/>
    <n v="1"/>
    <s v="Single-Day"/>
    <n v="1"/>
    <n v="1"/>
    <s v="Main Entrance"/>
    <s v="None/Walked from Resort"/>
    <n v="7.7"/>
    <n v="6"/>
    <x v="2705"/>
  </r>
  <r>
    <n v="2864"/>
    <n v="940"/>
    <d v="2026-01-13T00:00:00"/>
    <s v="Tuesday"/>
    <n v="1"/>
    <n v="11.63"/>
    <x v="1"/>
    <x v="41"/>
    <s v="Female"/>
    <n v="65.900000000000006"/>
    <n v="168.2"/>
    <n v="27.1"/>
    <n v="15"/>
    <s v="CA"/>
    <n v="6"/>
    <n v="73.099999999999994"/>
    <s v="Middle"/>
    <n v="0"/>
    <s v="Single-Day"/>
    <n v="0"/>
    <n v="0"/>
    <s v="Main Entrance"/>
    <s v="Mickey &amp; Friends"/>
    <n v="7.5"/>
    <n v="2"/>
    <x v="2706"/>
  </r>
  <r>
    <n v="2865"/>
    <n v="940"/>
    <d v="2026-01-13T00:00:00"/>
    <s v="Tuesday"/>
    <n v="1"/>
    <n v="11.79"/>
    <x v="1"/>
    <x v="25"/>
    <s v="Female"/>
    <n v="64.7"/>
    <n v="198"/>
    <n v="33.4"/>
    <n v="18"/>
    <s v="CA"/>
    <n v="6"/>
    <n v="73.099999999999994"/>
    <s v="Middle"/>
    <n v="0"/>
    <s v="Single-Day"/>
    <n v="0"/>
    <n v="0"/>
    <s v="Main Entrance"/>
    <s v="Mickey &amp; Friends"/>
    <n v="6"/>
    <n v="3"/>
    <x v="2707"/>
  </r>
  <r>
    <n v="2866"/>
    <n v="940"/>
    <d v="2026-01-13T00:00:00"/>
    <s v="Tuesday"/>
    <n v="1"/>
    <n v="11.69"/>
    <x v="1"/>
    <x v="65"/>
    <s v="Female"/>
    <n v="63.6"/>
    <n v="152.4"/>
    <n v="26.5"/>
    <n v="18"/>
    <s v="CA"/>
    <n v="6"/>
    <n v="73.099999999999994"/>
    <s v="Middle"/>
    <n v="0"/>
    <s v="Single-Day"/>
    <n v="0"/>
    <n v="0"/>
    <s v="Main Entrance"/>
    <s v="Mickey &amp; Friends"/>
    <n v="9.1"/>
    <n v="9"/>
    <x v="2708"/>
  </r>
  <r>
    <n v="2867"/>
    <n v="940"/>
    <d v="2026-01-13T00:00:00"/>
    <s v="Tuesday"/>
    <n v="1"/>
    <n v="11.63"/>
    <x v="1"/>
    <x v="18"/>
    <s v="Male"/>
    <n v="70.099999999999994"/>
    <n v="156.5"/>
    <n v="22.4"/>
    <n v="18"/>
    <s v="CA"/>
    <n v="6"/>
    <n v="73.099999999999994"/>
    <s v="Middle"/>
    <n v="0"/>
    <s v="Single-Day"/>
    <n v="0"/>
    <n v="0"/>
    <s v="Main Entrance"/>
    <s v="Mickey &amp; Friends"/>
    <n v="6.4"/>
    <n v="8"/>
    <x v="2709"/>
  </r>
  <r>
    <n v="2868"/>
    <n v="940"/>
    <d v="2026-01-13T00:00:00"/>
    <s v="Tuesday"/>
    <n v="1"/>
    <n v="11.62"/>
    <x v="1"/>
    <x v="33"/>
    <s v="Female"/>
    <n v="59.9"/>
    <n v="104.6"/>
    <n v="20.399999999999999"/>
    <n v="15"/>
    <s v="CA"/>
    <n v="6"/>
    <n v="73.099999999999994"/>
    <s v="Middle"/>
    <n v="0"/>
    <s v="Single-Day"/>
    <n v="0"/>
    <n v="0"/>
    <s v="Main Entrance"/>
    <s v="Mickey &amp; Friends"/>
    <n v="6.6"/>
    <n v="4"/>
    <x v="2710"/>
  </r>
  <r>
    <n v="2869"/>
    <n v="940"/>
    <d v="2026-01-13T00:00:00"/>
    <s v="Tuesday"/>
    <n v="1"/>
    <n v="11.74"/>
    <x v="1"/>
    <x v="33"/>
    <s v="Female"/>
    <n v="61.3"/>
    <n v="173.4"/>
    <n v="32.700000000000003"/>
    <n v="15"/>
    <s v="CA"/>
    <n v="6"/>
    <n v="73.099999999999994"/>
    <s v="Middle"/>
    <n v="0"/>
    <s v="Single-Day"/>
    <n v="0"/>
    <n v="0"/>
    <s v="Main Entrance"/>
    <s v="Mickey &amp; Friends"/>
    <n v="8.8000000000000007"/>
    <n v="13"/>
    <x v="2711"/>
  </r>
  <r>
    <n v="2870"/>
    <n v="941"/>
    <d v="2026-03-14T00:00:00"/>
    <s v="Saturday"/>
    <n v="3"/>
    <n v="10.039999999999999"/>
    <x v="0"/>
    <x v="14"/>
    <s v="Female"/>
    <n v="68"/>
    <n v="164.5"/>
    <n v="25"/>
    <n v="13"/>
    <s v="CA"/>
    <n v="3"/>
    <n v="60.8"/>
    <s v="Low"/>
    <n v="0"/>
    <s v="Single-Day"/>
    <n v="0"/>
    <n v="0"/>
    <s v="Downtown Disney Gate"/>
    <s v="Toy Story Lot"/>
    <n v="6.7"/>
    <n v="6"/>
    <x v="2712"/>
  </r>
  <r>
    <n v="2871"/>
    <n v="941"/>
    <d v="2026-03-14T00:00:00"/>
    <s v="Saturday"/>
    <n v="3"/>
    <n v="10.02"/>
    <x v="0"/>
    <x v="21"/>
    <s v="Female"/>
    <n v="65.5"/>
    <n v="151.6"/>
    <n v="25"/>
    <n v="16"/>
    <s v="CA"/>
    <n v="3"/>
    <n v="60.8"/>
    <s v="Low"/>
    <n v="0"/>
    <s v="Single-Day"/>
    <n v="0"/>
    <n v="0"/>
    <s v="Downtown Disney Gate"/>
    <s v="Toy Story Lot"/>
    <n v="7"/>
    <n v="5"/>
    <x v="2713"/>
  </r>
  <r>
    <n v="2872"/>
    <n v="941"/>
    <d v="2026-03-14T00:00:00"/>
    <s v="Saturday"/>
    <n v="3"/>
    <n v="9.9499999999999993"/>
    <x v="0"/>
    <x v="4"/>
    <s v="Female"/>
    <n v="66.099999999999994"/>
    <n v="175.9"/>
    <n v="28.2"/>
    <n v="10"/>
    <s v="CA"/>
    <n v="3"/>
    <n v="60.8"/>
    <s v="Low"/>
    <n v="0"/>
    <s v="Single-Day"/>
    <n v="0"/>
    <n v="0"/>
    <s v="Downtown Disney Gate"/>
    <s v="Toy Story Lot"/>
    <n v="6.9"/>
    <n v="6"/>
    <x v="2714"/>
  </r>
  <r>
    <n v="2873"/>
    <n v="942"/>
    <d v="2026-08-15T00:00:00"/>
    <s v="Saturday"/>
    <n v="8"/>
    <n v="13.44"/>
    <x v="1"/>
    <x v="22"/>
    <s v="Female"/>
    <n v="61.7"/>
    <n v="76.099999999999994"/>
    <n v="14.2"/>
    <n v="11"/>
    <s v="CA"/>
    <n v="4"/>
    <n v="85.6"/>
    <s v="Low"/>
    <n v="0"/>
    <s v="Multi-Day"/>
    <n v="1"/>
    <n v="0"/>
    <s v="Main Entrance"/>
    <s v="Toy Story Lot"/>
    <n v="7.2"/>
    <n v="8"/>
    <x v="2715"/>
  </r>
  <r>
    <n v="2874"/>
    <n v="942"/>
    <d v="2026-08-15T00:00:00"/>
    <s v="Saturday"/>
    <n v="8"/>
    <n v="13.3"/>
    <x v="1"/>
    <x v="38"/>
    <s v="Male"/>
    <n v="66"/>
    <n v="186.1"/>
    <n v="30.2"/>
    <n v="11"/>
    <s v="CA"/>
    <n v="4"/>
    <n v="85.6"/>
    <s v="Low"/>
    <n v="0"/>
    <s v="Multi-Day"/>
    <n v="1"/>
    <n v="0"/>
    <s v="Main Entrance"/>
    <s v="Toy Story Lot"/>
    <n v="9.1"/>
    <n v="6"/>
    <x v="2716"/>
  </r>
  <r>
    <n v="2875"/>
    <n v="942"/>
    <d v="2026-08-15T00:00:00"/>
    <s v="Saturday"/>
    <n v="8"/>
    <n v="13.35"/>
    <x v="1"/>
    <x v="51"/>
    <s v="Male"/>
    <n v="69.2"/>
    <n v="203.2"/>
    <n v="29.8"/>
    <n v="11"/>
    <s v="CA"/>
    <n v="4"/>
    <n v="85.6"/>
    <s v="Low"/>
    <n v="0"/>
    <s v="Multi-Day"/>
    <n v="1"/>
    <n v="0"/>
    <s v="Main Entrance"/>
    <s v="Toy Story Lot"/>
    <n v="8.9"/>
    <n v="13"/>
    <x v="2717"/>
  </r>
  <r>
    <n v="2876"/>
    <n v="942"/>
    <d v="2026-08-15T00:00:00"/>
    <s v="Saturday"/>
    <n v="8"/>
    <n v="13.37"/>
    <x v="1"/>
    <x v="47"/>
    <s v="Female"/>
    <n v="57.2"/>
    <n v="106.1"/>
    <n v="22.7"/>
    <n v="9"/>
    <s v="CA"/>
    <n v="4"/>
    <n v="85.6"/>
    <s v="Low"/>
    <n v="0"/>
    <s v="Multi-Day"/>
    <n v="1"/>
    <n v="0"/>
    <s v="Main Entrance"/>
    <s v="Toy Story Lot"/>
    <n v="5.5"/>
    <n v="6"/>
    <x v="2718"/>
  </r>
  <r>
    <n v="2877"/>
    <n v="943"/>
    <d v="2026-05-04T00:00:00"/>
    <s v="Monday"/>
    <n v="5"/>
    <n v="10.41"/>
    <x v="0"/>
    <x v="27"/>
    <s v="Male"/>
    <n v="75.099999999999994"/>
    <n v="170.5"/>
    <n v="21.4"/>
    <n v="15"/>
    <s v="MN"/>
    <n v="2"/>
    <n v="2131.6"/>
    <s v="Middle"/>
    <n v="0"/>
    <s v="Multi-Day"/>
    <n v="1"/>
    <n v="0"/>
    <s v="Main Entrance"/>
    <s v="Mickey &amp; Friends"/>
    <n v="6.5"/>
    <n v="5"/>
    <x v="2719"/>
  </r>
  <r>
    <n v="2878"/>
    <n v="943"/>
    <d v="2026-05-04T00:00:00"/>
    <s v="Monday"/>
    <n v="5"/>
    <n v="10.46"/>
    <x v="0"/>
    <x v="12"/>
    <s v="Male"/>
    <n v="70"/>
    <n v="114.6"/>
    <n v="16.600000000000001"/>
    <n v="14"/>
    <s v="MN"/>
    <n v="2"/>
    <n v="2131.6"/>
    <s v="Middle"/>
    <n v="0"/>
    <s v="Multi-Day"/>
    <n v="1"/>
    <n v="0"/>
    <s v="Main Entrance"/>
    <s v="Mickey &amp; Friends"/>
    <n v="7.4"/>
    <n v="9"/>
    <x v="1093"/>
  </r>
  <r>
    <n v="2879"/>
    <n v="944"/>
    <d v="2026-05-11T00:00:00"/>
    <s v="Monday"/>
    <n v="5"/>
    <n v="10.11"/>
    <x v="0"/>
    <x v="34"/>
    <s v="Male"/>
    <n v="70.2"/>
    <n v="179.5"/>
    <n v="25.8"/>
    <n v="14"/>
    <s v="FL"/>
    <n v="2"/>
    <n v="2298.9"/>
    <s v="Low"/>
    <n v="1"/>
    <s v="Multi-Day"/>
    <n v="0"/>
    <n v="1"/>
    <s v="Main Entrance"/>
    <s v="None/Walked from Resort"/>
    <n v="9.4"/>
    <n v="5"/>
    <x v="2720"/>
  </r>
  <r>
    <n v="2880"/>
    <n v="944"/>
    <d v="2026-05-11T00:00:00"/>
    <s v="Monday"/>
    <n v="5"/>
    <n v="10.029999999999999"/>
    <x v="0"/>
    <x v="18"/>
    <s v="Female"/>
    <n v="66.099999999999994"/>
    <n v="118.7"/>
    <n v="19.399999999999999"/>
    <n v="15"/>
    <s v="FL"/>
    <n v="2"/>
    <n v="2298.9"/>
    <s v="Low"/>
    <n v="1"/>
    <s v="Multi-Day"/>
    <n v="0"/>
    <n v="1"/>
    <s v="Main Entrance"/>
    <s v="None/Walked from Resort"/>
    <n v="12.8"/>
    <n v="13"/>
    <x v="2721"/>
  </r>
  <r>
    <n v="2881"/>
    <n v="945"/>
    <d v="2026-09-24T00:00:00"/>
    <s v="Thursday"/>
    <n v="9"/>
    <n v="10.79"/>
    <x v="0"/>
    <x v="60"/>
    <s v="Female"/>
    <n v="63.7"/>
    <n v="114.6"/>
    <n v="20.100000000000001"/>
    <n v="12"/>
    <s v="CA"/>
    <n v="3"/>
    <n v="46.7"/>
    <s v="Middle"/>
    <n v="1"/>
    <s v="Single-Day"/>
    <n v="1"/>
    <n v="0"/>
    <s v="Main Entrance"/>
    <s v="Mickey &amp; Friends"/>
    <n v="8"/>
    <n v="8"/>
    <x v="2722"/>
  </r>
  <r>
    <n v="2882"/>
    <n v="945"/>
    <d v="2026-09-24T00:00:00"/>
    <s v="Thursday"/>
    <n v="9"/>
    <n v="10.73"/>
    <x v="0"/>
    <x v="41"/>
    <s v="Male"/>
    <n v="69.099999999999994"/>
    <n v="246.4"/>
    <n v="36.1"/>
    <n v="15"/>
    <s v="CA"/>
    <n v="3"/>
    <n v="46.7"/>
    <s v="Middle"/>
    <n v="1"/>
    <s v="Single-Day"/>
    <n v="1"/>
    <n v="0"/>
    <s v="Main Entrance"/>
    <s v="Mickey &amp; Friends"/>
    <n v="8.9"/>
    <n v="13"/>
    <x v="2723"/>
  </r>
  <r>
    <n v="2883"/>
    <n v="945"/>
    <d v="2026-09-24T00:00:00"/>
    <s v="Thursday"/>
    <n v="9"/>
    <n v="10.77"/>
    <x v="0"/>
    <x v="74"/>
    <s v="Female"/>
    <n v="66.7"/>
    <n v="150.30000000000001"/>
    <n v="23.9"/>
    <n v="17"/>
    <s v="CA"/>
    <n v="3"/>
    <n v="46.7"/>
    <s v="Middle"/>
    <n v="1"/>
    <s v="Single-Day"/>
    <n v="1"/>
    <n v="0"/>
    <s v="Main Entrance"/>
    <s v="Mickey &amp; Friends"/>
    <n v="8.4"/>
    <n v="12"/>
    <x v="2724"/>
  </r>
  <r>
    <n v="2884"/>
    <n v="946"/>
    <d v="2026-02-25T00:00:00"/>
    <s v="Wednesday"/>
    <n v="2"/>
    <n v="11.68"/>
    <x v="1"/>
    <x v="40"/>
    <s v="Female"/>
    <n v="61.9"/>
    <n v="83.6"/>
    <n v="14.8"/>
    <n v="13"/>
    <s v="TX"/>
    <n v="2"/>
    <n v="1521.8"/>
    <s v="Middle"/>
    <n v="1"/>
    <s v="Single-Day"/>
    <n v="0"/>
    <n v="0"/>
    <s v="Main Entrance"/>
    <s v="Pixar Pals"/>
    <n v="9.8000000000000007"/>
    <n v="10"/>
    <x v="2725"/>
  </r>
  <r>
    <n v="2885"/>
    <n v="946"/>
    <d v="2026-02-25T00:00:00"/>
    <s v="Wednesday"/>
    <n v="2"/>
    <n v="11.66"/>
    <x v="1"/>
    <x v="32"/>
    <s v="Female"/>
    <n v="55.4"/>
    <n v="84.6"/>
    <n v="19.399999999999999"/>
    <n v="14"/>
    <s v="TX"/>
    <n v="2"/>
    <n v="1521.8"/>
    <s v="Middle"/>
    <n v="1"/>
    <s v="Single-Day"/>
    <n v="0"/>
    <n v="0"/>
    <s v="Main Entrance"/>
    <s v="Pixar Pals"/>
    <n v="5.6"/>
    <n v="6"/>
    <x v="2726"/>
  </r>
  <r>
    <n v="2886"/>
    <n v="947"/>
    <d v="2026-12-16T00:00:00"/>
    <s v="Wednesday"/>
    <n v="12"/>
    <n v="9.16"/>
    <x v="0"/>
    <x v="66"/>
    <s v="Male"/>
    <n v="67.599999999999994"/>
    <n v="186.2"/>
    <n v="28.6"/>
    <n v="14"/>
    <s v="TX"/>
    <n v="2"/>
    <n v="964.9"/>
    <s v="High"/>
    <n v="1"/>
    <s v="Single-Day"/>
    <n v="0"/>
    <n v="0"/>
    <s v="Downtown Disney Gate"/>
    <s v="Toy Story Lot"/>
    <n v="8.8000000000000007"/>
    <n v="6"/>
    <x v="2727"/>
  </r>
  <r>
    <n v="2887"/>
    <n v="947"/>
    <d v="2026-12-16T00:00:00"/>
    <s v="Wednesday"/>
    <n v="12"/>
    <n v="9.3000000000000007"/>
    <x v="0"/>
    <x v="38"/>
    <s v="Male"/>
    <n v="71.7"/>
    <n v="190.7"/>
    <n v="26"/>
    <n v="16"/>
    <s v="TX"/>
    <n v="2"/>
    <n v="964.9"/>
    <s v="High"/>
    <n v="1"/>
    <s v="Single-Day"/>
    <n v="0"/>
    <n v="0"/>
    <s v="Downtown Disney Gate"/>
    <s v="Toy Story Lot"/>
    <n v="6.3"/>
    <n v="7"/>
    <x v="2728"/>
  </r>
  <r>
    <n v="2888"/>
    <n v="948"/>
    <d v="2026-03-20T00:00:00"/>
    <s v="Friday"/>
    <n v="3"/>
    <n v="10.029999999999999"/>
    <x v="0"/>
    <x v="79"/>
    <s v="Female"/>
    <n v="60.4"/>
    <n v="147.69999999999999"/>
    <n v="28.3"/>
    <n v="17"/>
    <s v="NY"/>
    <n v="3"/>
    <n v="2925.2"/>
    <s v="High"/>
    <n v="1"/>
    <s v="Single-Day"/>
    <n v="1"/>
    <n v="0"/>
    <s v="Main Entrance"/>
    <s v="Toy Story Lot"/>
    <n v="11.2"/>
    <n v="8"/>
    <x v="2729"/>
  </r>
  <r>
    <n v="2889"/>
    <n v="948"/>
    <d v="2026-03-20T00:00:00"/>
    <s v="Friday"/>
    <n v="3"/>
    <n v="10.18"/>
    <x v="0"/>
    <x v="39"/>
    <s v="Male"/>
    <n v="69.7"/>
    <n v="194.6"/>
    <n v="28.1"/>
    <n v="15"/>
    <s v="NY"/>
    <n v="3"/>
    <n v="2925.2"/>
    <s v="High"/>
    <n v="1"/>
    <s v="Single-Day"/>
    <n v="1"/>
    <n v="0"/>
    <s v="Main Entrance"/>
    <s v="Toy Story Lot"/>
    <n v="8.3000000000000007"/>
    <n v="7"/>
    <x v="2730"/>
  </r>
  <r>
    <n v="2890"/>
    <n v="948"/>
    <d v="2026-03-20T00:00:00"/>
    <s v="Friday"/>
    <n v="3"/>
    <n v="9.93"/>
    <x v="0"/>
    <x v="52"/>
    <s v="Female"/>
    <n v="63.2"/>
    <n v="195.1"/>
    <n v="34.4"/>
    <n v="16"/>
    <s v="NY"/>
    <n v="3"/>
    <n v="2925.2"/>
    <s v="High"/>
    <n v="1"/>
    <s v="Single-Day"/>
    <n v="1"/>
    <n v="0"/>
    <s v="Main Entrance"/>
    <s v="Toy Story Lot"/>
    <n v="8"/>
    <n v="10"/>
    <x v="2731"/>
  </r>
  <r>
    <n v="2891"/>
    <n v="949"/>
    <d v="2026-04-08T00:00:00"/>
    <s v="Wednesday"/>
    <n v="4"/>
    <n v="9.17"/>
    <x v="0"/>
    <x v="52"/>
    <s v="Female"/>
    <n v="62.3"/>
    <n v="160.80000000000001"/>
    <n v="29"/>
    <n v="14"/>
    <s v="NV"/>
    <n v="4"/>
    <n v="266.5"/>
    <s v="Low"/>
    <n v="0"/>
    <s v="Park Hopper"/>
    <n v="1"/>
    <n v="1"/>
    <s v="Main Entrance"/>
    <s v="Mickey &amp; Friends"/>
    <n v="10.1"/>
    <n v="7"/>
    <x v="773"/>
  </r>
  <r>
    <n v="2892"/>
    <n v="949"/>
    <d v="2026-04-08T00:00:00"/>
    <s v="Wednesday"/>
    <n v="4"/>
    <n v="9.33"/>
    <x v="0"/>
    <x v="56"/>
    <s v="Male"/>
    <n v="67.099999999999994"/>
    <n v="225.7"/>
    <n v="35.200000000000003"/>
    <n v="14"/>
    <s v="NV"/>
    <n v="4"/>
    <n v="266.5"/>
    <s v="Low"/>
    <n v="0"/>
    <s v="Park Hopper"/>
    <n v="1"/>
    <n v="1"/>
    <s v="Main Entrance"/>
    <s v="Mickey &amp; Friends"/>
    <n v="10.3"/>
    <n v="12"/>
    <x v="2732"/>
  </r>
  <r>
    <n v="2893"/>
    <n v="949"/>
    <d v="2026-04-08T00:00:00"/>
    <s v="Wednesday"/>
    <n v="4"/>
    <n v="9.24"/>
    <x v="0"/>
    <x v="79"/>
    <s v="Female"/>
    <n v="63.8"/>
    <n v="126.6"/>
    <n v="21.8"/>
    <n v="16"/>
    <s v="NV"/>
    <n v="4"/>
    <n v="266.5"/>
    <s v="Low"/>
    <n v="0"/>
    <s v="Park Hopper"/>
    <n v="1"/>
    <n v="1"/>
    <s v="Main Entrance"/>
    <s v="Mickey &amp; Friends"/>
    <n v="11.2"/>
    <n v="6"/>
    <x v="2733"/>
  </r>
  <r>
    <n v="2894"/>
    <n v="949"/>
    <d v="2026-04-08T00:00:00"/>
    <s v="Wednesday"/>
    <n v="4"/>
    <n v="9.4"/>
    <x v="0"/>
    <x v="55"/>
    <s v="Male"/>
    <n v="68.7"/>
    <n v="159.4"/>
    <n v="23.5"/>
    <n v="15"/>
    <s v="NV"/>
    <n v="4"/>
    <n v="266.5"/>
    <s v="Low"/>
    <n v="0"/>
    <s v="Park Hopper"/>
    <n v="1"/>
    <n v="1"/>
    <s v="Main Entrance"/>
    <s v="Mickey &amp; Friends"/>
    <n v="8.6"/>
    <n v="11"/>
    <x v="2734"/>
  </r>
  <r>
    <n v="2895"/>
    <n v="950"/>
    <d v="2026-07-31T00:00:00"/>
    <s v="Friday"/>
    <n v="7"/>
    <n v="9.26"/>
    <x v="0"/>
    <x v="30"/>
    <s v="Male"/>
    <n v="69.5"/>
    <n v="166.2"/>
    <n v="24.2"/>
    <n v="10"/>
    <s v="AZ"/>
    <n v="5"/>
    <n v="166.8"/>
    <s v="Low"/>
    <n v="1"/>
    <s v="Park Hopper"/>
    <n v="0"/>
    <n v="1"/>
    <s v="Main Entrance"/>
    <s v="None/Walked from Resort"/>
    <n v="10.7"/>
    <n v="12"/>
    <x v="2735"/>
  </r>
  <r>
    <n v="2896"/>
    <n v="950"/>
    <d v="2026-07-31T00:00:00"/>
    <s v="Friday"/>
    <n v="7"/>
    <n v="9.17"/>
    <x v="0"/>
    <x v="60"/>
    <s v="Female"/>
    <n v="65.900000000000006"/>
    <n v="83"/>
    <n v="13.6"/>
    <n v="10"/>
    <s v="AZ"/>
    <n v="5"/>
    <n v="166.8"/>
    <s v="Low"/>
    <n v="1"/>
    <s v="Park Hopper"/>
    <n v="0"/>
    <n v="1"/>
    <s v="Main Entrance"/>
    <s v="None/Walked from Resort"/>
    <n v="9.3000000000000007"/>
    <n v="10"/>
    <x v="1805"/>
  </r>
  <r>
    <n v="2897"/>
    <n v="950"/>
    <d v="2026-07-31T00:00:00"/>
    <s v="Friday"/>
    <n v="7"/>
    <n v="9.15"/>
    <x v="0"/>
    <x v="33"/>
    <s v="Female"/>
    <n v="68.3"/>
    <n v="168.6"/>
    <n v="25.4"/>
    <n v="14"/>
    <s v="AZ"/>
    <n v="5"/>
    <n v="166.8"/>
    <s v="Low"/>
    <n v="1"/>
    <s v="Park Hopper"/>
    <n v="0"/>
    <n v="1"/>
    <s v="Main Entrance"/>
    <s v="None/Walked from Resort"/>
    <n v="10"/>
    <n v="10"/>
    <x v="2736"/>
  </r>
  <r>
    <n v="2898"/>
    <n v="950"/>
    <d v="2026-07-31T00:00:00"/>
    <s v="Friday"/>
    <n v="7"/>
    <n v="9.1199999999999992"/>
    <x v="0"/>
    <x v="47"/>
    <s v="Male"/>
    <n v="67.3"/>
    <n v="190.5"/>
    <n v="29.4"/>
    <n v="15"/>
    <s v="AZ"/>
    <n v="5"/>
    <n v="166.8"/>
    <s v="Low"/>
    <n v="1"/>
    <s v="Park Hopper"/>
    <n v="0"/>
    <n v="1"/>
    <s v="Main Entrance"/>
    <s v="None/Walked from Resort"/>
    <n v="9.6"/>
    <n v="5"/>
    <x v="2737"/>
  </r>
  <r>
    <n v="2899"/>
    <n v="950"/>
    <d v="2026-07-31T00:00:00"/>
    <s v="Friday"/>
    <n v="7"/>
    <n v="9.35"/>
    <x v="0"/>
    <x v="6"/>
    <s v="Female"/>
    <n v="62.2"/>
    <n v="142.69999999999999"/>
    <n v="25.9"/>
    <n v="11"/>
    <s v="AZ"/>
    <n v="5"/>
    <n v="166.8"/>
    <s v="Low"/>
    <n v="1"/>
    <s v="Park Hopper"/>
    <n v="0"/>
    <n v="1"/>
    <s v="Main Entrance"/>
    <s v="None/Walked from Resort"/>
    <n v="11.5"/>
    <n v="9"/>
    <x v="2738"/>
  </r>
  <r>
    <n v="2900"/>
    <n v="951"/>
    <d v="2026-09-20T00:00:00"/>
    <s v="Sunday"/>
    <n v="9"/>
    <n v="11.99"/>
    <x v="1"/>
    <x v="51"/>
    <s v="Female"/>
    <n v="68.5"/>
    <n v="161.4"/>
    <n v="24.1"/>
    <n v="10"/>
    <s v="IL"/>
    <n v="4"/>
    <n v="1861.9"/>
    <s v="Low"/>
    <n v="1"/>
    <s v="Park Hopper"/>
    <n v="1"/>
    <n v="0"/>
    <s v="Downtown Disney Gate"/>
    <s v="Toy Story Lot"/>
    <n v="9.6999999999999993"/>
    <n v="6"/>
    <x v="817"/>
  </r>
  <r>
    <n v="2901"/>
    <n v="951"/>
    <d v="2026-09-20T00:00:00"/>
    <s v="Sunday"/>
    <n v="9"/>
    <n v="11.54"/>
    <x v="1"/>
    <x v="62"/>
    <s v="Male"/>
    <n v="65.099999999999994"/>
    <n v="147.19999999999999"/>
    <n v="24.2"/>
    <n v="16"/>
    <s v="IL"/>
    <n v="4"/>
    <n v="1861.9"/>
    <s v="Low"/>
    <n v="1"/>
    <s v="Park Hopper"/>
    <n v="1"/>
    <n v="0"/>
    <s v="Downtown Disney Gate"/>
    <s v="Toy Story Lot"/>
    <n v="11.2"/>
    <n v="10"/>
    <x v="2739"/>
  </r>
  <r>
    <n v="2902"/>
    <n v="951"/>
    <d v="2026-09-20T00:00:00"/>
    <s v="Sunday"/>
    <n v="9"/>
    <n v="11.75"/>
    <x v="1"/>
    <x v="43"/>
    <s v="Female"/>
    <n v="59.7"/>
    <n v="156.80000000000001"/>
    <n v="31.1"/>
    <n v="13"/>
    <s v="IL"/>
    <n v="4"/>
    <n v="1861.9"/>
    <s v="Low"/>
    <n v="1"/>
    <s v="Park Hopper"/>
    <n v="1"/>
    <n v="0"/>
    <s v="Downtown Disney Gate"/>
    <s v="Toy Story Lot"/>
    <n v="10.199999999999999"/>
    <n v="14"/>
    <x v="2740"/>
  </r>
  <r>
    <n v="2903"/>
    <n v="951"/>
    <d v="2026-09-20T00:00:00"/>
    <s v="Sunday"/>
    <n v="9"/>
    <n v="11.78"/>
    <x v="1"/>
    <x v="67"/>
    <s v="Male"/>
    <n v="77.5"/>
    <n v="238.8"/>
    <n v="28"/>
    <n v="9"/>
    <s v="IL"/>
    <n v="4"/>
    <n v="1861.9"/>
    <s v="Low"/>
    <n v="1"/>
    <s v="Park Hopper"/>
    <n v="1"/>
    <n v="0"/>
    <s v="Downtown Disney Gate"/>
    <s v="Toy Story Lot"/>
    <n v="11.1"/>
    <n v="12"/>
    <x v="2174"/>
  </r>
  <r>
    <n v="2904"/>
    <n v="952"/>
    <d v="2026-06-28T00:00:00"/>
    <s v="Sunday"/>
    <n v="6"/>
    <n v="7.98"/>
    <x v="0"/>
    <x v="21"/>
    <s v="Female"/>
    <n v="61.5"/>
    <n v="150.6"/>
    <n v="28.1"/>
    <n v="16"/>
    <s v="CA"/>
    <n v="3"/>
    <n v="163"/>
    <s v="Middle"/>
    <n v="1"/>
    <s v="Multi-Day"/>
    <n v="1"/>
    <n v="0"/>
    <s v="Main Entrance"/>
    <s v="Mickey &amp; Friends"/>
    <n v="10.8"/>
    <n v="12"/>
    <x v="2741"/>
  </r>
  <r>
    <n v="2905"/>
    <n v="952"/>
    <d v="2026-06-28T00:00:00"/>
    <s v="Sunday"/>
    <n v="6"/>
    <n v="7.78"/>
    <x v="0"/>
    <x v="65"/>
    <s v="Male"/>
    <n v="63.9"/>
    <n v="155"/>
    <n v="26.6"/>
    <n v="15"/>
    <s v="CA"/>
    <n v="3"/>
    <n v="163"/>
    <s v="Middle"/>
    <n v="1"/>
    <s v="Multi-Day"/>
    <n v="1"/>
    <n v="0"/>
    <s v="Main Entrance"/>
    <s v="Mickey &amp; Friends"/>
    <n v="10.9"/>
    <n v="5"/>
    <x v="2742"/>
  </r>
  <r>
    <n v="2906"/>
    <n v="952"/>
    <d v="2026-06-28T00:00:00"/>
    <s v="Sunday"/>
    <n v="6"/>
    <n v="7.77"/>
    <x v="0"/>
    <x v="25"/>
    <s v="Female"/>
    <n v="62.6"/>
    <n v="128.1"/>
    <n v="23"/>
    <n v="20"/>
    <s v="CA"/>
    <n v="3"/>
    <n v="163"/>
    <s v="Middle"/>
    <n v="1"/>
    <s v="Multi-Day"/>
    <n v="1"/>
    <n v="0"/>
    <s v="Main Entrance"/>
    <s v="Mickey &amp; Friends"/>
    <n v="6.9"/>
    <n v="8"/>
    <x v="1286"/>
  </r>
  <r>
    <n v="2907"/>
    <n v="953"/>
    <d v="2026-05-22T00:00:00"/>
    <s v="Friday"/>
    <n v="5"/>
    <n v="10.32"/>
    <x v="0"/>
    <x v="32"/>
    <s v="Male"/>
    <n v="58.3"/>
    <n v="83.6"/>
    <n v="17.399999999999999"/>
    <n v="15"/>
    <s v="AZ"/>
    <n v="5"/>
    <n v="381"/>
    <s v="Low"/>
    <n v="0"/>
    <s v="Multi-Day"/>
    <n v="0"/>
    <n v="0"/>
    <s v="Main Entrance"/>
    <s v="Mickey &amp; Friends"/>
    <n v="5.4"/>
    <n v="8"/>
    <x v="2743"/>
  </r>
  <r>
    <n v="2908"/>
    <n v="953"/>
    <d v="2026-05-22T00:00:00"/>
    <s v="Friday"/>
    <n v="5"/>
    <n v="10.199999999999999"/>
    <x v="0"/>
    <x v="27"/>
    <s v="Female"/>
    <n v="62.2"/>
    <n v="136.69999999999999"/>
    <n v="24.5"/>
    <n v="16"/>
    <s v="AZ"/>
    <n v="5"/>
    <n v="381"/>
    <s v="Low"/>
    <n v="0"/>
    <s v="Multi-Day"/>
    <n v="0"/>
    <n v="0"/>
    <s v="Main Entrance"/>
    <s v="Mickey &amp; Friends"/>
    <n v="9"/>
    <n v="5"/>
    <x v="2744"/>
  </r>
  <r>
    <n v="2909"/>
    <n v="953"/>
    <d v="2026-05-22T00:00:00"/>
    <s v="Friday"/>
    <n v="5"/>
    <n v="10.09"/>
    <x v="0"/>
    <x v="53"/>
    <s v="Male"/>
    <n v="61"/>
    <n v="107.2"/>
    <n v="20.100000000000001"/>
    <n v="10"/>
    <s v="AZ"/>
    <n v="5"/>
    <n v="381"/>
    <s v="Low"/>
    <n v="0"/>
    <s v="Multi-Day"/>
    <n v="0"/>
    <n v="0"/>
    <s v="Main Entrance"/>
    <s v="Mickey &amp; Friends"/>
    <n v="9.6"/>
    <n v="12"/>
    <x v="2745"/>
  </r>
  <r>
    <n v="2910"/>
    <n v="953"/>
    <d v="2026-05-22T00:00:00"/>
    <s v="Friday"/>
    <n v="5"/>
    <n v="10.35"/>
    <x v="0"/>
    <x v="12"/>
    <s v="Female"/>
    <n v="63.4"/>
    <n v="95"/>
    <n v="16.600000000000001"/>
    <n v="13"/>
    <s v="AZ"/>
    <n v="5"/>
    <n v="381"/>
    <s v="Low"/>
    <n v="0"/>
    <s v="Multi-Day"/>
    <n v="0"/>
    <n v="0"/>
    <s v="Main Entrance"/>
    <s v="Mickey &amp; Friends"/>
    <n v="9.6"/>
    <n v="8"/>
    <x v="2746"/>
  </r>
  <r>
    <n v="2911"/>
    <n v="953"/>
    <d v="2026-05-22T00:00:00"/>
    <s v="Friday"/>
    <n v="5"/>
    <n v="10.34"/>
    <x v="0"/>
    <x v="56"/>
    <s v="Male"/>
    <n v="69.2"/>
    <n v="174"/>
    <n v="25.5"/>
    <n v="12"/>
    <s v="AZ"/>
    <n v="5"/>
    <n v="381"/>
    <s v="Low"/>
    <n v="0"/>
    <s v="Multi-Day"/>
    <n v="0"/>
    <n v="0"/>
    <s v="Main Entrance"/>
    <s v="Mickey &amp; Friends"/>
    <n v="8.8000000000000007"/>
    <n v="6"/>
    <x v="2747"/>
  </r>
  <r>
    <n v="2912"/>
    <n v="954"/>
    <d v="2026-07-14T00:00:00"/>
    <s v="Tuesday"/>
    <n v="7"/>
    <n v="7.9"/>
    <x v="0"/>
    <x v="2"/>
    <s v="Female"/>
    <n v="68.3"/>
    <n v="181.4"/>
    <n v="27.3"/>
    <n v="16"/>
    <s v="CA"/>
    <n v="3"/>
    <n v="113.9"/>
    <s v="Middle"/>
    <n v="0"/>
    <s v="Multi-Day"/>
    <n v="0"/>
    <n v="0"/>
    <s v="Main Entrance"/>
    <s v="Toy Story Lot"/>
    <n v="8.5"/>
    <n v="11"/>
    <x v="2748"/>
  </r>
  <r>
    <n v="2913"/>
    <n v="954"/>
    <d v="2026-07-14T00:00:00"/>
    <s v="Tuesday"/>
    <n v="7"/>
    <n v="7.68"/>
    <x v="0"/>
    <x v="42"/>
    <s v="Male"/>
    <n v="73.5"/>
    <n v="161.9"/>
    <n v="21"/>
    <n v="19"/>
    <s v="CA"/>
    <n v="3"/>
    <n v="113.9"/>
    <s v="Middle"/>
    <n v="0"/>
    <s v="Multi-Day"/>
    <n v="0"/>
    <n v="0"/>
    <s v="Main Entrance"/>
    <s v="Toy Story Lot"/>
    <n v="7.6"/>
    <n v="8"/>
    <x v="2749"/>
  </r>
  <r>
    <n v="2914"/>
    <n v="954"/>
    <d v="2026-07-14T00:00:00"/>
    <s v="Tuesday"/>
    <n v="7"/>
    <n v="7.87"/>
    <x v="0"/>
    <x v="59"/>
    <s v="Female"/>
    <n v="63.5"/>
    <n v="137.9"/>
    <n v="24"/>
    <n v="18"/>
    <s v="CA"/>
    <n v="3"/>
    <n v="113.9"/>
    <s v="Middle"/>
    <n v="0"/>
    <s v="Multi-Day"/>
    <n v="0"/>
    <n v="0"/>
    <s v="Main Entrance"/>
    <s v="Toy Story Lot"/>
    <n v="8.4"/>
    <n v="7"/>
    <x v="2750"/>
  </r>
  <r>
    <n v="2915"/>
    <n v="955"/>
    <d v="2026-11-07T00:00:00"/>
    <s v="Saturday"/>
    <n v="11"/>
    <n v="11.63"/>
    <x v="1"/>
    <x v="57"/>
    <s v="Male"/>
    <n v="63"/>
    <n v="168"/>
    <n v="29.8"/>
    <n v="17"/>
    <s v="WA"/>
    <n v="3"/>
    <n v="1203"/>
    <s v="High"/>
    <n v="1"/>
    <s v="Single-Day"/>
    <n v="0"/>
    <n v="1"/>
    <s v="Main Entrance"/>
    <s v="None/Walked from Resort"/>
    <n v="7.2"/>
    <n v="6"/>
    <x v="747"/>
  </r>
  <r>
    <n v="2916"/>
    <n v="955"/>
    <d v="2026-11-07T00:00:00"/>
    <s v="Saturday"/>
    <n v="11"/>
    <n v="11.5"/>
    <x v="1"/>
    <x v="18"/>
    <s v="Male"/>
    <n v="68.2"/>
    <n v="155.1"/>
    <n v="23.4"/>
    <n v="15"/>
    <s v="WA"/>
    <n v="3"/>
    <n v="1203"/>
    <s v="High"/>
    <n v="1"/>
    <s v="Single-Day"/>
    <n v="0"/>
    <n v="1"/>
    <s v="Main Entrance"/>
    <s v="None/Walked from Resort"/>
    <n v="6"/>
    <n v="6"/>
    <x v="2751"/>
  </r>
  <r>
    <n v="2917"/>
    <n v="955"/>
    <d v="2026-11-07T00:00:00"/>
    <s v="Saturday"/>
    <n v="11"/>
    <n v="11.55"/>
    <x v="1"/>
    <x v="39"/>
    <s v="Female"/>
    <n v="63.7"/>
    <n v="158.69999999999999"/>
    <n v="27.5"/>
    <n v="18"/>
    <s v="WA"/>
    <n v="3"/>
    <n v="1203"/>
    <s v="High"/>
    <n v="1"/>
    <s v="Single-Day"/>
    <n v="0"/>
    <n v="1"/>
    <s v="Main Entrance"/>
    <s v="None/Walked from Resort"/>
    <n v="9.3000000000000007"/>
    <n v="9"/>
    <x v="2681"/>
  </r>
  <r>
    <n v="2918"/>
    <n v="956"/>
    <d v="2026-08-29T00:00:00"/>
    <s v="Saturday"/>
    <n v="8"/>
    <n v="10.08"/>
    <x v="0"/>
    <x v="44"/>
    <s v="Female"/>
    <n v="64.5"/>
    <n v="132.30000000000001"/>
    <n v="22"/>
    <n v="12"/>
    <s v="AZ"/>
    <n v="2"/>
    <n v="409.6"/>
    <s v="Middle"/>
    <n v="1"/>
    <s v="Single-Day"/>
    <n v="0"/>
    <n v="0"/>
    <s v="Main Entrance"/>
    <s v="Toy Story Lot"/>
    <n v="6.3"/>
    <n v="6"/>
    <x v="2752"/>
  </r>
  <r>
    <n v="2919"/>
    <n v="956"/>
    <d v="2026-08-29T00:00:00"/>
    <s v="Saturday"/>
    <n v="8"/>
    <n v="9.8000000000000007"/>
    <x v="0"/>
    <x v="32"/>
    <s v="Female"/>
    <n v="64.3"/>
    <n v="89.1"/>
    <n v="15.1"/>
    <n v="13"/>
    <s v="AZ"/>
    <n v="2"/>
    <n v="409.6"/>
    <s v="Middle"/>
    <n v="1"/>
    <s v="Single-Day"/>
    <n v="0"/>
    <n v="0"/>
    <s v="Main Entrance"/>
    <s v="Toy Story Lot"/>
    <n v="8.5"/>
    <n v="7"/>
    <x v="2753"/>
  </r>
  <r>
    <n v="2920"/>
    <n v="957"/>
    <d v="2026-12-07T00:00:00"/>
    <s v="Monday"/>
    <n v="12"/>
    <n v="11.8"/>
    <x v="1"/>
    <x v="15"/>
    <s v="Female"/>
    <n v="66.2"/>
    <n v="156.6"/>
    <n v="25.3"/>
    <n v="15"/>
    <s v="CA"/>
    <n v="3"/>
    <n v="72.3"/>
    <s v="Middle"/>
    <n v="0"/>
    <s v="Park Hopper"/>
    <n v="0"/>
    <n v="0"/>
    <s v="Main Entrance"/>
    <s v="None/Dropoff/Transit"/>
    <n v="7.3"/>
    <n v="3"/>
    <x v="2754"/>
  </r>
  <r>
    <n v="2921"/>
    <n v="957"/>
    <d v="2026-12-07T00:00:00"/>
    <s v="Monday"/>
    <n v="12"/>
    <n v="11.52"/>
    <x v="1"/>
    <x v="65"/>
    <s v="Female"/>
    <n v="63.9"/>
    <n v="165.5"/>
    <n v="28.3"/>
    <n v="17"/>
    <s v="CA"/>
    <n v="3"/>
    <n v="72.3"/>
    <s v="Middle"/>
    <n v="0"/>
    <s v="Park Hopper"/>
    <n v="0"/>
    <n v="0"/>
    <s v="Main Entrance"/>
    <s v="None/Dropoff/Transit"/>
    <n v="8.4"/>
    <n v="7"/>
    <x v="2755"/>
  </r>
  <r>
    <n v="2922"/>
    <n v="957"/>
    <d v="2026-12-07T00:00:00"/>
    <s v="Monday"/>
    <n v="12"/>
    <n v="11.65"/>
    <x v="1"/>
    <x v="52"/>
    <s v="Female"/>
    <n v="59.1"/>
    <n v="96.3"/>
    <n v="19.5"/>
    <n v="17"/>
    <s v="CA"/>
    <n v="3"/>
    <n v="72.3"/>
    <s v="Middle"/>
    <n v="0"/>
    <s v="Park Hopper"/>
    <n v="0"/>
    <n v="0"/>
    <s v="Main Entrance"/>
    <s v="None/Dropoff/Transit"/>
    <n v="7.4"/>
    <n v="1"/>
    <x v="2756"/>
  </r>
  <r>
    <n v="2923"/>
    <n v="958"/>
    <d v="2026-11-27T00:00:00"/>
    <s v="Friday"/>
    <n v="11"/>
    <n v="7.93"/>
    <x v="0"/>
    <x v="65"/>
    <s v="Female"/>
    <n v="64.2"/>
    <n v="146.5"/>
    <n v="25"/>
    <n v="18"/>
    <s v="NV"/>
    <n v="1"/>
    <n v="251.4"/>
    <s v="High"/>
    <n v="0"/>
    <s v="Single-Day"/>
    <n v="0"/>
    <n v="1"/>
    <s v="Downtown Disney Gate"/>
    <s v="Mickey &amp; Friends"/>
    <n v="9.5"/>
    <n v="9"/>
    <x v="2757"/>
  </r>
  <r>
    <n v="2924"/>
    <n v="959"/>
    <d v="2026-09-11T00:00:00"/>
    <s v="Friday"/>
    <n v="9"/>
    <n v="8.17"/>
    <x v="0"/>
    <x v="27"/>
    <s v="Female"/>
    <n v="65.8"/>
    <n v="179.2"/>
    <n v="28.8"/>
    <n v="15"/>
    <s v="CO"/>
    <n v="1"/>
    <n v="1283.3"/>
    <s v="Middle"/>
    <n v="1"/>
    <s v="Multi-Day"/>
    <n v="1"/>
    <n v="0"/>
    <s v="Main Entrance"/>
    <s v="Mickey &amp; Friends"/>
    <n v="8.1"/>
    <n v="10"/>
    <x v="1876"/>
  </r>
  <r>
    <n v="2925"/>
    <n v="960"/>
    <d v="2026-07-11T00:00:00"/>
    <s v="Saturday"/>
    <n v="7"/>
    <n v="12.59"/>
    <x v="1"/>
    <x v="64"/>
    <s v="Male"/>
    <n v="60"/>
    <n v="93.6"/>
    <n v="18.2"/>
    <n v="17"/>
    <s v="TX"/>
    <n v="2"/>
    <n v="1491.7"/>
    <s v="High"/>
    <n v="1"/>
    <s v="Park Hopper"/>
    <n v="1"/>
    <n v="1"/>
    <s v="Main Entrance"/>
    <s v="None/Walked from Resort"/>
    <n v="9.9"/>
    <n v="9"/>
    <x v="275"/>
  </r>
  <r>
    <n v="2926"/>
    <n v="960"/>
    <d v="2026-07-11T00:00:00"/>
    <s v="Saturday"/>
    <n v="7"/>
    <n v="12.64"/>
    <x v="1"/>
    <x v="38"/>
    <s v="Female"/>
    <n v="62.4"/>
    <n v="118.2"/>
    <n v="21.6"/>
    <n v="14"/>
    <s v="TX"/>
    <n v="2"/>
    <n v="1491.7"/>
    <s v="High"/>
    <n v="1"/>
    <s v="Park Hopper"/>
    <n v="1"/>
    <n v="1"/>
    <s v="Main Entrance"/>
    <s v="None/Walked from Resort"/>
    <n v="8.9"/>
    <n v="9"/>
    <x v="2758"/>
  </r>
  <r>
    <n v="2927"/>
    <n v="961"/>
    <d v="2026-07-13T00:00:00"/>
    <s v="Monday"/>
    <n v="7"/>
    <n v="8.7100000000000009"/>
    <x v="0"/>
    <x v="57"/>
    <s v="Female"/>
    <n v="70.5"/>
    <n v="182.5"/>
    <n v="26.1"/>
    <n v="9"/>
    <s v="WA"/>
    <n v="3"/>
    <n v="836.1"/>
    <s v="Low"/>
    <n v="1"/>
    <s v="Multi-Day"/>
    <n v="1"/>
    <n v="1"/>
    <s v="Main Entrance"/>
    <s v="Pixar Pals"/>
    <n v="10.9"/>
    <n v="11"/>
    <x v="2759"/>
  </r>
  <r>
    <n v="2928"/>
    <n v="961"/>
    <d v="2026-07-13T00:00:00"/>
    <s v="Monday"/>
    <n v="7"/>
    <n v="8.89"/>
    <x v="0"/>
    <x v="17"/>
    <s v="Female"/>
    <n v="65.3"/>
    <n v="175.3"/>
    <n v="29"/>
    <n v="14"/>
    <s v="WA"/>
    <n v="3"/>
    <n v="836.1"/>
    <s v="Low"/>
    <n v="1"/>
    <s v="Multi-Day"/>
    <n v="1"/>
    <n v="1"/>
    <s v="Main Entrance"/>
    <s v="Pixar Pals"/>
    <n v="9.3000000000000007"/>
    <n v="12"/>
    <x v="2760"/>
  </r>
  <r>
    <n v="2929"/>
    <n v="961"/>
    <d v="2026-07-13T00:00:00"/>
    <s v="Monday"/>
    <n v="7"/>
    <n v="8.92"/>
    <x v="0"/>
    <x v="44"/>
    <s v="Female"/>
    <n v="64.8"/>
    <n v="148.80000000000001"/>
    <n v="25"/>
    <n v="9"/>
    <s v="WA"/>
    <n v="3"/>
    <n v="836.1"/>
    <s v="Low"/>
    <n v="1"/>
    <s v="Multi-Day"/>
    <n v="1"/>
    <n v="1"/>
    <s v="Main Entrance"/>
    <s v="Pixar Pals"/>
    <n v="10.7"/>
    <n v="18"/>
    <x v="2761"/>
  </r>
  <r>
    <n v="2930"/>
    <n v="962"/>
    <d v="2026-08-29T00:00:00"/>
    <s v="Saturday"/>
    <n v="8"/>
    <n v="9.69"/>
    <x v="0"/>
    <x v="4"/>
    <s v="Female"/>
    <n v="62.4"/>
    <n v="132.1"/>
    <n v="24.1"/>
    <n v="16"/>
    <s v="CO"/>
    <n v="5"/>
    <n v="878.2"/>
    <s v="High"/>
    <n v="1"/>
    <s v="Single-Day"/>
    <n v="1"/>
    <n v="0"/>
    <s v="Main Entrance"/>
    <s v="Pixar Pals"/>
    <n v="8.1"/>
    <n v="11"/>
    <x v="2762"/>
  </r>
  <r>
    <n v="2931"/>
    <n v="962"/>
    <d v="2026-08-29T00:00:00"/>
    <s v="Saturday"/>
    <n v="8"/>
    <n v="9.69"/>
    <x v="0"/>
    <x v="20"/>
    <s v="Female"/>
    <n v="63.7"/>
    <n v="99.8"/>
    <n v="17.3"/>
    <n v="15"/>
    <s v="CO"/>
    <n v="5"/>
    <n v="878.2"/>
    <s v="High"/>
    <n v="1"/>
    <s v="Single-Day"/>
    <n v="1"/>
    <n v="0"/>
    <s v="Main Entrance"/>
    <s v="Pixar Pals"/>
    <n v="8.6"/>
    <n v="4"/>
    <x v="2763"/>
  </r>
  <r>
    <n v="2932"/>
    <n v="962"/>
    <d v="2026-08-29T00:00:00"/>
    <s v="Saturday"/>
    <n v="8"/>
    <n v="9.89"/>
    <x v="0"/>
    <x v="52"/>
    <s v="Male"/>
    <n v="66.099999999999994"/>
    <n v="189.9"/>
    <n v="30.6"/>
    <n v="16"/>
    <s v="CO"/>
    <n v="5"/>
    <n v="878.2"/>
    <s v="High"/>
    <n v="1"/>
    <s v="Single-Day"/>
    <n v="1"/>
    <n v="0"/>
    <s v="Main Entrance"/>
    <s v="Pixar Pals"/>
    <n v="8.6999999999999993"/>
    <n v="10"/>
    <x v="1378"/>
  </r>
  <r>
    <n v="2933"/>
    <n v="962"/>
    <d v="2026-08-29T00:00:00"/>
    <s v="Saturday"/>
    <n v="8"/>
    <n v="9.84"/>
    <x v="0"/>
    <x v="41"/>
    <s v="Male"/>
    <n v="66.400000000000006"/>
    <n v="148"/>
    <n v="23.5"/>
    <n v="19"/>
    <s v="CO"/>
    <n v="5"/>
    <n v="878.2"/>
    <s v="High"/>
    <n v="1"/>
    <s v="Single-Day"/>
    <n v="1"/>
    <n v="0"/>
    <s v="Main Entrance"/>
    <s v="Pixar Pals"/>
    <n v="9.3000000000000007"/>
    <n v="9"/>
    <x v="2764"/>
  </r>
  <r>
    <n v="2934"/>
    <n v="962"/>
    <d v="2026-08-29T00:00:00"/>
    <s v="Saturday"/>
    <n v="8"/>
    <n v="9.82"/>
    <x v="0"/>
    <x v="40"/>
    <s v="Male"/>
    <n v="70"/>
    <n v="134.30000000000001"/>
    <n v="19.2"/>
    <n v="11"/>
    <s v="CO"/>
    <n v="5"/>
    <n v="878.2"/>
    <s v="High"/>
    <n v="1"/>
    <s v="Single-Day"/>
    <n v="1"/>
    <n v="0"/>
    <s v="Main Entrance"/>
    <s v="Pixar Pals"/>
    <n v="10.8"/>
    <n v="12"/>
    <x v="2765"/>
  </r>
  <r>
    <n v="2935"/>
    <n v="963"/>
    <d v="2026-11-20T00:00:00"/>
    <s v="Friday"/>
    <n v="11"/>
    <n v="11.32"/>
    <x v="1"/>
    <x v="18"/>
    <s v="Male"/>
    <n v="65.2"/>
    <n v="158.5"/>
    <n v="26.3"/>
    <n v="17"/>
    <s v="Other"/>
    <n v="3"/>
    <n v="1886.4"/>
    <s v="Low"/>
    <n v="1"/>
    <s v="Single-Day"/>
    <n v="0"/>
    <n v="0"/>
    <s v="Main Entrance"/>
    <s v="Toy Story Lot"/>
    <n v="7.7"/>
    <n v="9"/>
    <x v="2663"/>
  </r>
  <r>
    <n v="2936"/>
    <n v="963"/>
    <d v="2026-11-20T00:00:00"/>
    <s v="Friday"/>
    <n v="11"/>
    <n v="11.34"/>
    <x v="1"/>
    <x v="45"/>
    <s v="Male"/>
    <n v="73.2"/>
    <n v="206.4"/>
    <n v="27"/>
    <n v="13"/>
    <s v="Other"/>
    <n v="3"/>
    <n v="1886.4"/>
    <s v="Low"/>
    <n v="1"/>
    <s v="Single-Day"/>
    <n v="0"/>
    <n v="0"/>
    <s v="Main Entrance"/>
    <s v="Toy Story Lot"/>
    <n v="8.8000000000000007"/>
    <n v="8"/>
    <x v="2766"/>
  </r>
  <r>
    <n v="2937"/>
    <n v="963"/>
    <d v="2026-11-20T00:00:00"/>
    <s v="Friday"/>
    <n v="11"/>
    <n v="11.55"/>
    <x v="1"/>
    <x v="55"/>
    <s v="Male"/>
    <n v="73.7"/>
    <n v="213.5"/>
    <n v="27.7"/>
    <n v="16"/>
    <s v="Other"/>
    <n v="3"/>
    <n v="1886.4"/>
    <s v="Low"/>
    <n v="1"/>
    <s v="Single-Day"/>
    <n v="0"/>
    <n v="0"/>
    <s v="Main Entrance"/>
    <s v="Toy Story Lot"/>
    <n v="7.3"/>
    <n v="5"/>
    <x v="2767"/>
  </r>
  <r>
    <n v="2938"/>
    <n v="964"/>
    <d v="2026-05-28T00:00:00"/>
    <s v="Thursday"/>
    <n v="5"/>
    <n v="9.89"/>
    <x v="0"/>
    <x v="13"/>
    <s v="Female"/>
    <n v="65.599999999999994"/>
    <n v="169.9"/>
    <n v="27.3"/>
    <n v="18"/>
    <s v="CA"/>
    <n v="4"/>
    <n v="106.4"/>
    <s v="High"/>
    <n v="1"/>
    <s v="Park Hopper"/>
    <n v="1"/>
    <n v="0"/>
    <s v="Main Entrance"/>
    <s v="Pixar Pals"/>
    <n v="9.1999999999999993"/>
    <n v="11"/>
    <x v="2768"/>
  </r>
  <r>
    <n v="2939"/>
    <n v="964"/>
    <d v="2026-05-28T00:00:00"/>
    <s v="Thursday"/>
    <n v="5"/>
    <n v="9.77"/>
    <x v="0"/>
    <x v="55"/>
    <s v="Female"/>
    <n v="61"/>
    <n v="101.9"/>
    <n v="19.3"/>
    <n v="16"/>
    <s v="CA"/>
    <n v="4"/>
    <n v="106.4"/>
    <s v="High"/>
    <n v="1"/>
    <s v="Park Hopper"/>
    <n v="1"/>
    <n v="0"/>
    <s v="Main Entrance"/>
    <s v="Pixar Pals"/>
    <n v="8.8000000000000007"/>
    <n v="10"/>
    <x v="2769"/>
  </r>
  <r>
    <n v="2940"/>
    <n v="964"/>
    <d v="2026-05-28T00:00:00"/>
    <s v="Thursday"/>
    <n v="5"/>
    <n v="9.58"/>
    <x v="0"/>
    <x v="4"/>
    <s v="Male"/>
    <n v="70.099999999999994"/>
    <n v="239.1"/>
    <n v="34.1"/>
    <n v="17"/>
    <s v="CA"/>
    <n v="4"/>
    <n v="106.4"/>
    <s v="High"/>
    <n v="1"/>
    <s v="Park Hopper"/>
    <n v="1"/>
    <n v="0"/>
    <s v="Main Entrance"/>
    <s v="Pixar Pals"/>
    <n v="10.9"/>
    <n v="15"/>
    <x v="2770"/>
  </r>
  <r>
    <n v="2941"/>
    <n v="964"/>
    <d v="2026-05-28T00:00:00"/>
    <s v="Thursday"/>
    <n v="5"/>
    <n v="9.86"/>
    <x v="0"/>
    <x v="54"/>
    <s v="Male"/>
    <n v="68"/>
    <n v="192.2"/>
    <n v="29.1"/>
    <n v="19"/>
    <s v="CA"/>
    <n v="4"/>
    <n v="106.4"/>
    <s v="High"/>
    <n v="1"/>
    <s v="Park Hopper"/>
    <n v="1"/>
    <n v="0"/>
    <s v="Main Entrance"/>
    <s v="Pixar Pals"/>
    <n v="9.4"/>
    <n v="12"/>
    <x v="2771"/>
  </r>
  <r>
    <n v="2942"/>
    <n v="965"/>
    <d v="2026-12-14T00:00:00"/>
    <s v="Monday"/>
    <n v="12"/>
    <n v="11.58"/>
    <x v="1"/>
    <x v="27"/>
    <s v="Male"/>
    <n v="69.3"/>
    <n v="175.9"/>
    <n v="25.9"/>
    <n v="17"/>
    <s v="IL"/>
    <n v="4"/>
    <n v="1673.5"/>
    <s v="Middle"/>
    <n v="1"/>
    <s v="Single-Day"/>
    <n v="0"/>
    <n v="0"/>
    <s v="Main Entrance"/>
    <s v="Toy Story Lot"/>
    <n v="10"/>
    <n v="10"/>
    <x v="2772"/>
  </r>
  <r>
    <n v="2943"/>
    <n v="965"/>
    <d v="2026-12-14T00:00:00"/>
    <s v="Monday"/>
    <n v="12"/>
    <n v="11.36"/>
    <x v="1"/>
    <x v="48"/>
    <s v="Male"/>
    <n v="75.099999999999994"/>
    <n v="213.4"/>
    <n v="26.7"/>
    <n v="15"/>
    <s v="IL"/>
    <n v="4"/>
    <n v="1673.5"/>
    <s v="Middle"/>
    <n v="1"/>
    <s v="Single-Day"/>
    <n v="0"/>
    <n v="0"/>
    <s v="Main Entrance"/>
    <s v="Toy Story Lot"/>
    <n v="7.1"/>
    <n v="8"/>
    <x v="654"/>
  </r>
  <r>
    <n v="2944"/>
    <n v="965"/>
    <d v="2026-12-14T00:00:00"/>
    <s v="Monday"/>
    <n v="12"/>
    <n v="11.34"/>
    <x v="1"/>
    <x v="0"/>
    <s v="Female"/>
    <n v="61.9"/>
    <n v="146.19999999999999"/>
    <n v="26.5"/>
    <n v="16"/>
    <s v="IL"/>
    <n v="4"/>
    <n v="1673.5"/>
    <s v="Middle"/>
    <n v="1"/>
    <s v="Single-Day"/>
    <n v="0"/>
    <n v="0"/>
    <s v="Main Entrance"/>
    <s v="Toy Story Lot"/>
    <n v="11.5"/>
    <n v="8"/>
    <x v="2773"/>
  </r>
  <r>
    <n v="2945"/>
    <n v="965"/>
    <d v="2026-12-14T00:00:00"/>
    <s v="Monday"/>
    <n v="12"/>
    <n v="11.59"/>
    <x v="1"/>
    <x v="10"/>
    <s v="Female"/>
    <n v="64.900000000000006"/>
    <n v="187.3"/>
    <n v="31.3"/>
    <n v="18"/>
    <s v="IL"/>
    <n v="4"/>
    <n v="1673.5"/>
    <s v="Middle"/>
    <n v="1"/>
    <s v="Single-Day"/>
    <n v="0"/>
    <n v="0"/>
    <s v="Main Entrance"/>
    <s v="Toy Story Lot"/>
    <n v="10.6"/>
    <n v="7"/>
    <x v="2774"/>
  </r>
  <r>
    <n v="2946"/>
    <n v="966"/>
    <d v="2026-03-09T00:00:00"/>
    <s v="Monday"/>
    <n v="3"/>
    <n v="10.48"/>
    <x v="0"/>
    <x v="1"/>
    <s v="Female"/>
    <n v="62.9"/>
    <n v="130.19999999999999"/>
    <n v="23.1"/>
    <n v="10"/>
    <s v="NV"/>
    <n v="3"/>
    <n v="312.7"/>
    <s v="Low"/>
    <n v="0"/>
    <s v="Multi-Day"/>
    <n v="0"/>
    <n v="0"/>
    <s v="Main Entrance"/>
    <s v="Mickey &amp; Friends"/>
    <n v="7"/>
    <n v="10"/>
    <x v="2775"/>
  </r>
  <r>
    <n v="2947"/>
    <n v="966"/>
    <d v="2026-03-09T00:00:00"/>
    <s v="Monday"/>
    <n v="3"/>
    <n v="10.31"/>
    <x v="0"/>
    <x v="40"/>
    <s v="Female"/>
    <n v="66.2"/>
    <n v="130.9"/>
    <n v="20.9"/>
    <n v="12"/>
    <s v="NV"/>
    <n v="3"/>
    <n v="312.7"/>
    <s v="Low"/>
    <n v="0"/>
    <s v="Multi-Day"/>
    <n v="0"/>
    <n v="0"/>
    <s v="Main Entrance"/>
    <s v="Mickey &amp; Friends"/>
    <n v="5.4"/>
    <n v="8"/>
    <x v="1063"/>
  </r>
  <r>
    <n v="2948"/>
    <n v="966"/>
    <d v="2026-03-09T00:00:00"/>
    <s v="Monday"/>
    <n v="3"/>
    <n v="10.41"/>
    <x v="0"/>
    <x v="61"/>
    <s v="Male"/>
    <n v="70"/>
    <n v="153"/>
    <n v="22.1"/>
    <n v="12"/>
    <s v="NV"/>
    <n v="3"/>
    <n v="312.7"/>
    <s v="Low"/>
    <n v="0"/>
    <s v="Multi-Day"/>
    <n v="0"/>
    <n v="0"/>
    <s v="Main Entrance"/>
    <s v="Mickey &amp; Friends"/>
    <n v="9.4"/>
    <n v="8"/>
    <x v="2776"/>
  </r>
  <r>
    <n v="2949"/>
    <n v="967"/>
    <d v="2026-06-09T00:00:00"/>
    <s v="Tuesday"/>
    <n v="6"/>
    <n v="7.68"/>
    <x v="0"/>
    <x v="22"/>
    <s v="Female"/>
    <n v="62.6"/>
    <n v="100.8"/>
    <n v="18.2"/>
    <n v="11"/>
    <s v="CA"/>
    <n v="1"/>
    <n v="55.3"/>
    <s v="Low"/>
    <n v="1"/>
    <s v="Single-Day"/>
    <n v="0"/>
    <n v="1"/>
    <s v="Main Entrance"/>
    <s v="Mickey &amp; Friends"/>
    <n v="11.7"/>
    <n v="11"/>
    <x v="2777"/>
  </r>
  <r>
    <n v="2950"/>
    <n v="968"/>
    <d v="2026-09-07T00:00:00"/>
    <s v="Monday"/>
    <n v="9"/>
    <n v="7.15"/>
    <x v="0"/>
    <x v="7"/>
    <s v="Male"/>
    <n v="52.4"/>
    <n v="99.5"/>
    <n v="25.4"/>
    <n v="14"/>
    <s v="WI"/>
    <n v="5"/>
    <n v="2367"/>
    <s v="High"/>
    <n v="1"/>
    <s v="Park Hopper"/>
    <n v="1"/>
    <n v="1"/>
    <s v="Main Entrance"/>
    <s v="Mickey &amp; Friends"/>
    <n v="12.1"/>
    <n v="13"/>
    <x v="2778"/>
  </r>
  <r>
    <n v="2951"/>
    <n v="968"/>
    <d v="2026-09-07T00:00:00"/>
    <s v="Monday"/>
    <n v="9"/>
    <n v="7.32"/>
    <x v="0"/>
    <x v="57"/>
    <s v="Female"/>
    <n v="66"/>
    <n v="150.4"/>
    <n v="24"/>
    <n v="13"/>
    <s v="WI"/>
    <n v="5"/>
    <n v="2367"/>
    <s v="High"/>
    <n v="1"/>
    <s v="Park Hopper"/>
    <n v="1"/>
    <n v="1"/>
    <s v="Main Entrance"/>
    <s v="Mickey &amp; Friends"/>
    <n v="10"/>
    <n v="10"/>
    <x v="2779"/>
  </r>
  <r>
    <n v="2952"/>
    <n v="968"/>
    <d v="2026-09-07T00:00:00"/>
    <s v="Monday"/>
    <n v="9"/>
    <n v="7.31"/>
    <x v="0"/>
    <x v="59"/>
    <s v="Male"/>
    <n v="64.599999999999994"/>
    <n v="129.4"/>
    <n v="22.2"/>
    <n v="20"/>
    <s v="WI"/>
    <n v="5"/>
    <n v="2367"/>
    <s v="High"/>
    <n v="1"/>
    <s v="Park Hopper"/>
    <n v="1"/>
    <n v="1"/>
    <s v="Main Entrance"/>
    <s v="Mickey &amp; Friends"/>
    <n v="7.9"/>
    <n v="8"/>
    <x v="2780"/>
  </r>
  <r>
    <n v="2953"/>
    <n v="968"/>
    <d v="2026-09-07T00:00:00"/>
    <s v="Monday"/>
    <n v="9"/>
    <n v="7.44"/>
    <x v="0"/>
    <x v="54"/>
    <s v="Male"/>
    <n v="75.099999999999994"/>
    <n v="201.6"/>
    <n v="25.1"/>
    <n v="18"/>
    <s v="WI"/>
    <n v="5"/>
    <n v="2367"/>
    <s v="High"/>
    <n v="1"/>
    <s v="Park Hopper"/>
    <n v="1"/>
    <n v="1"/>
    <s v="Main Entrance"/>
    <s v="Mickey &amp; Friends"/>
    <n v="11.5"/>
    <n v="14"/>
    <x v="2781"/>
  </r>
  <r>
    <n v="2954"/>
    <n v="968"/>
    <d v="2026-09-07T00:00:00"/>
    <s v="Monday"/>
    <n v="9"/>
    <n v="7.4"/>
    <x v="0"/>
    <x v="0"/>
    <s v="Male"/>
    <n v="73.099999999999994"/>
    <n v="189.7"/>
    <n v="24.7"/>
    <n v="16"/>
    <s v="WI"/>
    <n v="5"/>
    <n v="2367"/>
    <s v="High"/>
    <n v="1"/>
    <s v="Park Hopper"/>
    <n v="1"/>
    <n v="1"/>
    <s v="Main Entrance"/>
    <s v="Mickey &amp; Friends"/>
    <n v="10.4"/>
    <n v="13"/>
    <x v="2782"/>
  </r>
  <r>
    <n v="2955"/>
    <n v="969"/>
    <d v="2026-08-23T00:00:00"/>
    <s v="Sunday"/>
    <n v="8"/>
    <n v="7.41"/>
    <x v="0"/>
    <x v="12"/>
    <s v="Female"/>
    <n v="58.4"/>
    <n v="102.7"/>
    <n v="20.9"/>
    <n v="12"/>
    <s v="CA"/>
    <n v="2"/>
    <n v="46"/>
    <s v="Middle"/>
    <n v="1"/>
    <s v="Multi-Day"/>
    <n v="1"/>
    <n v="1"/>
    <s v="Main Entrance"/>
    <s v="None/Walked from Resort"/>
    <n v="9.6999999999999993"/>
    <n v="8"/>
    <x v="2783"/>
  </r>
  <r>
    <n v="2956"/>
    <n v="969"/>
    <d v="2026-08-23T00:00:00"/>
    <s v="Sunday"/>
    <n v="8"/>
    <n v="7.46"/>
    <x v="0"/>
    <x v="38"/>
    <s v="Female"/>
    <n v="67.599999999999994"/>
    <n v="215"/>
    <n v="33.1"/>
    <n v="11"/>
    <s v="CA"/>
    <n v="2"/>
    <n v="46"/>
    <s v="Middle"/>
    <n v="1"/>
    <s v="Multi-Day"/>
    <n v="1"/>
    <n v="1"/>
    <s v="Main Entrance"/>
    <s v="None/Walked from Resort"/>
    <n v="7.5"/>
    <n v="10"/>
    <x v="2784"/>
  </r>
  <r>
    <n v="2957"/>
    <n v="970"/>
    <d v="2026-04-28T00:00:00"/>
    <s v="Tuesday"/>
    <n v="4"/>
    <n v="8.57"/>
    <x v="0"/>
    <x v="38"/>
    <s v="Female"/>
    <n v="62.1"/>
    <n v="159.9"/>
    <n v="28.9"/>
    <n v="15"/>
    <s v="FL"/>
    <n v="6"/>
    <n v="3638.9"/>
    <s v="High"/>
    <n v="1"/>
    <s v="Single-Day"/>
    <n v="1"/>
    <n v="1"/>
    <s v="Hotel Guest Entrance"/>
    <s v="None/Walked from Resort"/>
    <n v="9.4"/>
    <n v="5"/>
    <x v="2785"/>
  </r>
  <r>
    <n v="2958"/>
    <n v="970"/>
    <d v="2026-04-28T00:00:00"/>
    <s v="Tuesday"/>
    <n v="4"/>
    <n v="8.4499999999999993"/>
    <x v="0"/>
    <x v="33"/>
    <s v="Female"/>
    <n v="61.4"/>
    <n v="147.80000000000001"/>
    <n v="27.5"/>
    <n v="17"/>
    <s v="FL"/>
    <n v="6"/>
    <n v="3638.9"/>
    <s v="High"/>
    <n v="1"/>
    <s v="Single-Day"/>
    <n v="1"/>
    <n v="1"/>
    <s v="Hotel Guest Entrance"/>
    <s v="None/Walked from Resort"/>
    <n v="8.4"/>
    <n v="13"/>
    <x v="2786"/>
  </r>
  <r>
    <n v="2959"/>
    <n v="970"/>
    <d v="2026-04-28T00:00:00"/>
    <s v="Tuesday"/>
    <n v="4"/>
    <n v="8.5299999999999994"/>
    <x v="0"/>
    <x v="31"/>
    <s v="Female"/>
    <n v="63.3"/>
    <n v="159"/>
    <n v="27.9"/>
    <n v="18"/>
    <s v="FL"/>
    <n v="6"/>
    <n v="3638.9"/>
    <s v="High"/>
    <n v="1"/>
    <s v="Single-Day"/>
    <n v="1"/>
    <n v="1"/>
    <s v="Hotel Guest Entrance"/>
    <s v="None/Walked from Resort"/>
    <n v="8.4"/>
    <n v="8"/>
    <x v="2787"/>
  </r>
  <r>
    <n v="2960"/>
    <n v="970"/>
    <d v="2026-04-28T00:00:00"/>
    <s v="Tuesday"/>
    <n v="4"/>
    <n v="8.5299999999999994"/>
    <x v="0"/>
    <x v="32"/>
    <s v="Female"/>
    <n v="62.3"/>
    <n v="103.6"/>
    <n v="18.600000000000001"/>
    <n v="18"/>
    <s v="FL"/>
    <n v="6"/>
    <n v="3638.9"/>
    <s v="High"/>
    <n v="1"/>
    <s v="Single-Day"/>
    <n v="1"/>
    <n v="1"/>
    <s v="Hotel Guest Entrance"/>
    <s v="None/Walked from Resort"/>
    <n v="11.3"/>
    <n v="8"/>
    <x v="2788"/>
  </r>
  <r>
    <n v="2961"/>
    <n v="970"/>
    <d v="2026-04-28T00:00:00"/>
    <s v="Tuesday"/>
    <n v="4"/>
    <n v="8.48"/>
    <x v="0"/>
    <x v="45"/>
    <s v="Female"/>
    <n v="61.5"/>
    <n v="96.1"/>
    <n v="17.8"/>
    <n v="17"/>
    <s v="FL"/>
    <n v="6"/>
    <n v="3638.9"/>
    <s v="High"/>
    <n v="1"/>
    <s v="Single-Day"/>
    <n v="1"/>
    <n v="1"/>
    <s v="Hotel Guest Entrance"/>
    <s v="None/Walked from Resort"/>
    <n v="9.1999999999999993"/>
    <n v="9"/>
    <x v="2789"/>
  </r>
  <r>
    <n v="2962"/>
    <n v="970"/>
    <d v="2026-04-28T00:00:00"/>
    <s v="Tuesday"/>
    <n v="4"/>
    <n v="8.5500000000000007"/>
    <x v="0"/>
    <x v="14"/>
    <s v="Male"/>
    <n v="61.8"/>
    <n v="140.4"/>
    <n v="25.9"/>
    <n v="18"/>
    <s v="FL"/>
    <n v="6"/>
    <n v="3638.9"/>
    <s v="High"/>
    <n v="1"/>
    <s v="Single-Day"/>
    <n v="1"/>
    <n v="1"/>
    <s v="Hotel Guest Entrance"/>
    <s v="None/Walked from Resort"/>
    <n v="8.5"/>
    <n v="11"/>
    <x v="2790"/>
  </r>
  <r>
    <n v="2963"/>
    <n v="971"/>
    <d v="2026-08-19T00:00:00"/>
    <s v="Wednesday"/>
    <n v="8"/>
    <n v="10.92"/>
    <x v="0"/>
    <x v="51"/>
    <s v="Female"/>
    <n v="59.4"/>
    <n v="135.5"/>
    <n v="26.9"/>
    <n v="15"/>
    <s v="Other"/>
    <n v="4"/>
    <n v="1033.8"/>
    <s v="Middle"/>
    <n v="1"/>
    <s v="Single-Day"/>
    <n v="0"/>
    <n v="1"/>
    <s v="Main Entrance"/>
    <s v="None/Walked from Resort"/>
    <n v="11.4"/>
    <n v="4"/>
    <x v="2467"/>
  </r>
  <r>
    <n v="2964"/>
    <n v="971"/>
    <d v="2026-08-19T00:00:00"/>
    <s v="Wednesday"/>
    <n v="8"/>
    <n v="10.9"/>
    <x v="0"/>
    <x v="44"/>
    <s v="Male"/>
    <n v="70.5"/>
    <n v="182.5"/>
    <n v="25.6"/>
    <n v="10"/>
    <s v="Other"/>
    <n v="4"/>
    <n v="1033.8"/>
    <s v="Middle"/>
    <n v="1"/>
    <s v="Single-Day"/>
    <n v="0"/>
    <n v="1"/>
    <s v="Main Entrance"/>
    <s v="None/Walked from Resort"/>
    <n v="10.4"/>
    <n v="15"/>
    <x v="2791"/>
  </r>
  <r>
    <n v="2965"/>
    <n v="971"/>
    <d v="2026-08-19T00:00:00"/>
    <s v="Wednesday"/>
    <n v="8"/>
    <n v="10.68"/>
    <x v="0"/>
    <x v="25"/>
    <s v="Female"/>
    <n v="66.599999999999994"/>
    <n v="200"/>
    <n v="31.5"/>
    <n v="13"/>
    <s v="Other"/>
    <n v="4"/>
    <n v="1033.8"/>
    <s v="Middle"/>
    <n v="1"/>
    <s v="Single-Day"/>
    <n v="0"/>
    <n v="1"/>
    <s v="Main Entrance"/>
    <s v="None/Walked from Resort"/>
    <n v="8.6"/>
    <n v="3"/>
    <x v="2792"/>
  </r>
  <r>
    <n v="2966"/>
    <n v="971"/>
    <d v="2026-08-19T00:00:00"/>
    <s v="Wednesday"/>
    <n v="8"/>
    <n v="10.8"/>
    <x v="0"/>
    <x v="31"/>
    <s v="Female"/>
    <n v="64.7"/>
    <n v="170.8"/>
    <n v="28.5"/>
    <n v="17"/>
    <s v="Other"/>
    <n v="4"/>
    <n v="1033.8"/>
    <s v="Middle"/>
    <n v="1"/>
    <s v="Single-Day"/>
    <n v="0"/>
    <n v="1"/>
    <s v="Main Entrance"/>
    <s v="None/Walked from Resort"/>
    <n v="9.4"/>
    <n v="5"/>
    <x v="2793"/>
  </r>
  <r>
    <n v="2967"/>
    <n v="972"/>
    <d v="2026-02-17T00:00:00"/>
    <s v="Tuesday"/>
    <n v="2"/>
    <n v="8.4499999999999993"/>
    <x v="0"/>
    <x v="19"/>
    <s v="Female"/>
    <n v="61.6"/>
    <n v="146.1"/>
    <n v="27.2"/>
    <n v="17"/>
    <s v="IL"/>
    <n v="3"/>
    <n v="2392.8000000000002"/>
    <s v="Low"/>
    <n v="0"/>
    <s v="Single-Day"/>
    <n v="0"/>
    <n v="0"/>
    <s v="Main Entrance"/>
    <s v="Mickey &amp; Friends"/>
    <n v="10.3"/>
    <n v="9"/>
    <x v="2794"/>
  </r>
  <r>
    <n v="2968"/>
    <n v="972"/>
    <d v="2026-02-17T00:00:00"/>
    <s v="Tuesday"/>
    <n v="2"/>
    <n v="8.3800000000000008"/>
    <x v="0"/>
    <x v="5"/>
    <s v="Female"/>
    <n v="62.9"/>
    <n v="179.3"/>
    <n v="31.9"/>
    <n v="13"/>
    <s v="IL"/>
    <n v="3"/>
    <n v="2392.8000000000002"/>
    <s v="Low"/>
    <n v="0"/>
    <s v="Single-Day"/>
    <n v="0"/>
    <n v="0"/>
    <s v="Main Entrance"/>
    <s v="Mickey &amp; Friends"/>
    <n v="6.7"/>
    <n v="8"/>
    <x v="2795"/>
  </r>
  <r>
    <n v="2969"/>
    <n v="972"/>
    <d v="2026-02-17T00:00:00"/>
    <s v="Tuesday"/>
    <n v="2"/>
    <n v="8.2100000000000009"/>
    <x v="0"/>
    <x v="1"/>
    <s v="Female"/>
    <n v="65.900000000000006"/>
    <n v="161.69999999999999"/>
    <n v="26.5"/>
    <n v="13"/>
    <s v="IL"/>
    <n v="3"/>
    <n v="2392.8000000000002"/>
    <s v="Low"/>
    <n v="0"/>
    <s v="Single-Day"/>
    <n v="0"/>
    <n v="0"/>
    <s v="Main Entrance"/>
    <s v="Mickey &amp; Friends"/>
    <n v="5.9"/>
    <n v="6"/>
    <x v="2796"/>
  </r>
  <r>
    <n v="2970"/>
    <n v="973"/>
    <d v="2026-06-09T00:00:00"/>
    <s v="Tuesday"/>
    <n v="6"/>
    <n v="15.23"/>
    <x v="2"/>
    <x v="50"/>
    <s v="Male"/>
    <n v="64.2"/>
    <n v="107.4"/>
    <n v="18.2"/>
    <n v="9"/>
    <s v="TX"/>
    <n v="2"/>
    <n v="979.9"/>
    <s v="Middle"/>
    <n v="0"/>
    <s v="Single-Day"/>
    <n v="1"/>
    <n v="1"/>
    <s v="Main Entrance"/>
    <s v="None/Walked from Resort"/>
    <n v="6.1"/>
    <n v="9"/>
    <x v="2797"/>
  </r>
  <r>
    <n v="2971"/>
    <n v="973"/>
    <d v="2026-06-09T00:00:00"/>
    <s v="Tuesday"/>
    <n v="6"/>
    <n v="15.5"/>
    <x v="2"/>
    <x v="71"/>
    <s v="Female"/>
    <n v="66.599999999999994"/>
    <n v="185.8"/>
    <n v="29.7"/>
    <n v="11"/>
    <s v="TX"/>
    <n v="2"/>
    <n v="979.9"/>
    <s v="Middle"/>
    <n v="0"/>
    <s v="Single-Day"/>
    <n v="1"/>
    <n v="1"/>
    <s v="Main Entrance"/>
    <s v="None/Walked from Resort"/>
    <n v="6.9"/>
    <n v="10"/>
    <x v="643"/>
  </r>
  <r>
    <n v="2972"/>
    <n v="974"/>
    <d v="2026-03-26T00:00:00"/>
    <s v="Thursday"/>
    <n v="3"/>
    <n v="9.19"/>
    <x v="0"/>
    <x v="40"/>
    <s v="Nonbinary/Other"/>
    <n v="65"/>
    <n v="121.7"/>
    <n v="20"/>
    <n v="12"/>
    <s v="OR"/>
    <n v="5"/>
    <n v="595.20000000000005"/>
    <s v="Low"/>
    <n v="0"/>
    <s v="Single-Day"/>
    <n v="0"/>
    <n v="1"/>
    <s v="Downtown Disney Gate"/>
    <s v="None/Walked from Resort"/>
    <n v="10.1"/>
    <n v="6"/>
    <x v="1957"/>
  </r>
  <r>
    <n v="2973"/>
    <n v="974"/>
    <d v="2026-03-26T00:00:00"/>
    <s v="Thursday"/>
    <n v="3"/>
    <n v="9.15"/>
    <x v="0"/>
    <x v="38"/>
    <s v="Male"/>
    <n v="70.099999999999994"/>
    <n v="196.9"/>
    <n v="28.1"/>
    <n v="11"/>
    <s v="OR"/>
    <n v="5"/>
    <n v="595.20000000000005"/>
    <s v="Low"/>
    <n v="0"/>
    <s v="Single-Day"/>
    <n v="0"/>
    <n v="1"/>
    <s v="Downtown Disney Gate"/>
    <s v="None/Walked from Resort"/>
    <n v="9.6"/>
    <n v="9"/>
    <x v="258"/>
  </r>
  <r>
    <n v="2974"/>
    <n v="974"/>
    <d v="2026-03-26T00:00:00"/>
    <s v="Thursday"/>
    <n v="3"/>
    <n v="9.2100000000000009"/>
    <x v="0"/>
    <x v="71"/>
    <s v="Female"/>
    <n v="62.2"/>
    <n v="151.4"/>
    <n v="27.4"/>
    <n v="14"/>
    <s v="OR"/>
    <n v="5"/>
    <n v="595.20000000000005"/>
    <s v="Low"/>
    <n v="0"/>
    <s v="Single-Day"/>
    <n v="0"/>
    <n v="1"/>
    <s v="Downtown Disney Gate"/>
    <s v="None/Walked from Resort"/>
    <n v="9.1999999999999993"/>
    <n v="12"/>
    <x v="2798"/>
  </r>
  <r>
    <n v="2975"/>
    <n v="974"/>
    <d v="2026-03-26T00:00:00"/>
    <s v="Thursday"/>
    <n v="3"/>
    <n v="9.27"/>
    <x v="0"/>
    <x v="19"/>
    <s v="Female"/>
    <n v="66.900000000000006"/>
    <n v="190.6"/>
    <n v="29.8"/>
    <n v="17"/>
    <s v="OR"/>
    <n v="5"/>
    <n v="595.20000000000005"/>
    <s v="Low"/>
    <n v="0"/>
    <s v="Single-Day"/>
    <n v="0"/>
    <n v="1"/>
    <s v="Downtown Disney Gate"/>
    <s v="None/Walked from Resort"/>
    <n v="10.7"/>
    <n v="7"/>
    <x v="2799"/>
  </r>
  <r>
    <n v="2976"/>
    <n v="974"/>
    <d v="2026-03-26T00:00:00"/>
    <s v="Thursday"/>
    <n v="3"/>
    <n v="9.1999999999999993"/>
    <x v="0"/>
    <x v="32"/>
    <s v="Female"/>
    <n v="58.5"/>
    <n v="99.5"/>
    <n v="20.6"/>
    <n v="11"/>
    <s v="OR"/>
    <n v="5"/>
    <n v="595.20000000000005"/>
    <s v="Low"/>
    <n v="0"/>
    <s v="Single-Day"/>
    <n v="0"/>
    <n v="1"/>
    <s v="Downtown Disney Gate"/>
    <s v="None/Walked from Resort"/>
    <n v="5.6"/>
    <n v="3"/>
    <x v="2800"/>
  </r>
  <r>
    <n v="2977"/>
    <n v="975"/>
    <d v="2026-10-07T00:00:00"/>
    <s v="Wednesday"/>
    <n v="10"/>
    <n v="10.130000000000001"/>
    <x v="0"/>
    <x v="17"/>
    <s v="Female"/>
    <n v="61.8"/>
    <n v="157.5"/>
    <n v="28.9"/>
    <n v="16"/>
    <s v="CA"/>
    <n v="4"/>
    <n v="63"/>
    <s v="Middle"/>
    <n v="1"/>
    <s v="Multi-Day"/>
    <n v="1"/>
    <n v="0"/>
    <s v="Main Entrance"/>
    <s v="Toy Story Lot"/>
    <n v="11.1"/>
    <n v="8"/>
    <x v="2801"/>
  </r>
  <r>
    <n v="2978"/>
    <n v="975"/>
    <d v="2026-10-07T00:00:00"/>
    <s v="Wednesday"/>
    <n v="10"/>
    <n v="10"/>
    <x v="0"/>
    <x v="57"/>
    <s v="Male"/>
    <n v="60.4"/>
    <n v="122.5"/>
    <n v="23.7"/>
    <n v="18"/>
    <s v="CA"/>
    <n v="4"/>
    <n v="63"/>
    <s v="Middle"/>
    <n v="1"/>
    <s v="Multi-Day"/>
    <n v="1"/>
    <n v="0"/>
    <s v="Main Entrance"/>
    <s v="Toy Story Lot"/>
    <n v="7.9"/>
    <n v="11"/>
    <x v="545"/>
  </r>
  <r>
    <n v="2979"/>
    <n v="975"/>
    <d v="2026-10-07T00:00:00"/>
    <s v="Wednesday"/>
    <n v="10"/>
    <n v="9.98"/>
    <x v="0"/>
    <x v="56"/>
    <s v="Male"/>
    <n v="70.7"/>
    <n v="229.3"/>
    <n v="32"/>
    <n v="12"/>
    <s v="CA"/>
    <n v="4"/>
    <n v="63"/>
    <s v="Middle"/>
    <n v="1"/>
    <s v="Multi-Day"/>
    <n v="1"/>
    <n v="0"/>
    <s v="Main Entrance"/>
    <s v="Toy Story Lot"/>
    <n v="9.9"/>
    <n v="8"/>
    <x v="2802"/>
  </r>
  <r>
    <n v="2980"/>
    <n v="975"/>
    <d v="2026-10-07T00:00:00"/>
    <s v="Wednesday"/>
    <n v="10"/>
    <n v="10.01"/>
    <x v="0"/>
    <x v="9"/>
    <s v="Male"/>
    <n v="67.599999999999994"/>
    <n v="117.5"/>
    <n v="18.100000000000001"/>
    <n v="18"/>
    <s v="CA"/>
    <n v="4"/>
    <n v="63"/>
    <s v="Middle"/>
    <n v="1"/>
    <s v="Multi-Day"/>
    <n v="1"/>
    <n v="0"/>
    <s v="Main Entrance"/>
    <s v="Toy Story Lot"/>
    <n v="9"/>
    <n v="12"/>
    <x v="2803"/>
  </r>
  <r>
    <n v="2981"/>
    <n v="976"/>
    <d v="2026-07-30T00:00:00"/>
    <s v="Thursday"/>
    <n v="7"/>
    <n v="8.81"/>
    <x v="0"/>
    <x v="40"/>
    <s v="Female"/>
    <n v="59.9"/>
    <n v="91.9"/>
    <n v="18.100000000000001"/>
    <n v="13"/>
    <s v="CA"/>
    <n v="1"/>
    <n v="138.80000000000001"/>
    <s v="Middle"/>
    <n v="0"/>
    <s v="Single-Day"/>
    <n v="0"/>
    <n v="0"/>
    <s v="Main Entrance"/>
    <s v="Mickey &amp; Friends"/>
    <n v="4.0999999999999996"/>
    <n v="5"/>
    <x v="2804"/>
  </r>
  <r>
    <n v="2982"/>
    <n v="977"/>
    <d v="2026-05-27T00:00:00"/>
    <s v="Wednesday"/>
    <n v="5"/>
    <n v="9.4600000000000009"/>
    <x v="0"/>
    <x v="22"/>
    <s v="Male"/>
    <n v="62.5"/>
    <n v="133.69999999999999"/>
    <n v="24"/>
    <n v="15"/>
    <s v="UT"/>
    <n v="6"/>
    <n v="619.20000000000005"/>
    <s v="Middle"/>
    <n v="0"/>
    <s v="Park Hopper"/>
    <n v="1"/>
    <n v="1"/>
    <s v="Hotel Guest Entrance"/>
    <s v="Pixar Pals"/>
    <n v="10.4"/>
    <n v="9"/>
    <x v="2805"/>
  </r>
  <r>
    <n v="2983"/>
    <n v="977"/>
    <d v="2026-05-27T00:00:00"/>
    <s v="Wednesday"/>
    <n v="5"/>
    <n v="9.15"/>
    <x v="0"/>
    <x v="39"/>
    <s v="Female"/>
    <n v="65.400000000000006"/>
    <n v="136.1"/>
    <n v="22.4"/>
    <n v="17"/>
    <s v="UT"/>
    <n v="6"/>
    <n v="619.20000000000005"/>
    <s v="Middle"/>
    <n v="0"/>
    <s v="Park Hopper"/>
    <n v="1"/>
    <n v="1"/>
    <s v="Hotel Guest Entrance"/>
    <s v="Pixar Pals"/>
    <n v="9.6999999999999993"/>
    <n v="12"/>
    <x v="2806"/>
  </r>
  <r>
    <n v="2984"/>
    <n v="977"/>
    <d v="2026-05-27T00:00:00"/>
    <s v="Wednesday"/>
    <n v="5"/>
    <n v="9.6"/>
    <x v="0"/>
    <x v="14"/>
    <s v="Male"/>
    <n v="66"/>
    <n v="189.3"/>
    <n v="30.5"/>
    <n v="16"/>
    <s v="UT"/>
    <n v="6"/>
    <n v="619.20000000000005"/>
    <s v="Middle"/>
    <n v="0"/>
    <s v="Park Hopper"/>
    <n v="1"/>
    <n v="1"/>
    <s v="Hotel Guest Entrance"/>
    <s v="Pixar Pals"/>
    <n v="5.6"/>
    <n v="9"/>
    <x v="2807"/>
  </r>
  <r>
    <n v="2985"/>
    <n v="977"/>
    <d v="2026-05-27T00:00:00"/>
    <s v="Wednesday"/>
    <n v="5"/>
    <n v="9.49"/>
    <x v="0"/>
    <x v="10"/>
    <s v="Female"/>
    <n v="65.099999999999994"/>
    <n v="210.4"/>
    <n v="34.700000000000003"/>
    <n v="15"/>
    <s v="UT"/>
    <n v="6"/>
    <n v="619.20000000000005"/>
    <s v="Middle"/>
    <n v="0"/>
    <s v="Park Hopper"/>
    <n v="1"/>
    <n v="1"/>
    <s v="Hotel Guest Entrance"/>
    <s v="Pixar Pals"/>
    <n v="8.3000000000000007"/>
    <n v="15"/>
    <x v="2808"/>
  </r>
  <r>
    <n v="2986"/>
    <n v="977"/>
    <d v="2026-05-27T00:00:00"/>
    <s v="Wednesday"/>
    <n v="5"/>
    <n v="9.56"/>
    <x v="0"/>
    <x v="17"/>
    <s v="Female"/>
    <n v="64.5"/>
    <n v="190.4"/>
    <n v="32.299999999999997"/>
    <n v="17"/>
    <s v="UT"/>
    <n v="6"/>
    <n v="619.20000000000005"/>
    <s v="Middle"/>
    <n v="0"/>
    <s v="Park Hopper"/>
    <n v="1"/>
    <n v="1"/>
    <s v="Hotel Guest Entrance"/>
    <s v="Pixar Pals"/>
    <n v="8.1999999999999993"/>
    <n v="7"/>
    <x v="2243"/>
  </r>
  <r>
    <n v="2987"/>
    <n v="977"/>
    <d v="2026-05-27T00:00:00"/>
    <s v="Wednesday"/>
    <n v="5"/>
    <n v="9.51"/>
    <x v="0"/>
    <x v="31"/>
    <s v="Female"/>
    <n v="64.900000000000006"/>
    <n v="151.9"/>
    <n v="25.5"/>
    <n v="18"/>
    <s v="UT"/>
    <n v="6"/>
    <n v="619.20000000000005"/>
    <s v="Middle"/>
    <n v="0"/>
    <s v="Park Hopper"/>
    <n v="1"/>
    <n v="1"/>
    <s v="Hotel Guest Entrance"/>
    <s v="Pixar Pals"/>
    <n v="8.5"/>
    <n v="11"/>
    <x v="2809"/>
  </r>
  <r>
    <n v="2988"/>
    <n v="978"/>
    <d v="2026-12-22T00:00:00"/>
    <s v="Tuesday"/>
    <n v="12"/>
    <n v="8.6999999999999993"/>
    <x v="0"/>
    <x v="0"/>
    <s v="Male"/>
    <n v="71.400000000000006"/>
    <n v="171.9"/>
    <n v="23.7"/>
    <n v="15"/>
    <s v="CA"/>
    <n v="2"/>
    <n v="131.5"/>
    <s v="High"/>
    <n v="0"/>
    <s v="Multi-Day"/>
    <n v="1"/>
    <n v="0"/>
    <s v="Main Entrance"/>
    <s v="Mickey &amp; Friends"/>
    <n v="7.2"/>
    <n v="9"/>
    <x v="2810"/>
  </r>
  <r>
    <n v="2989"/>
    <n v="978"/>
    <d v="2026-12-22T00:00:00"/>
    <s v="Tuesday"/>
    <n v="12"/>
    <n v="8.9"/>
    <x v="0"/>
    <x v="51"/>
    <s v="Female"/>
    <n v="64.7"/>
    <n v="156.1"/>
    <n v="26.5"/>
    <n v="16"/>
    <s v="CA"/>
    <n v="2"/>
    <n v="131.5"/>
    <s v="High"/>
    <n v="0"/>
    <s v="Multi-Day"/>
    <n v="1"/>
    <n v="0"/>
    <s v="Main Entrance"/>
    <s v="Mickey &amp; Friends"/>
    <n v="8.8000000000000007"/>
    <n v="8"/>
    <x v="2811"/>
  </r>
  <r>
    <n v="2990"/>
    <n v="979"/>
    <d v="2026-04-30T00:00:00"/>
    <s v="Thursday"/>
    <n v="4"/>
    <n v="12.21"/>
    <x v="1"/>
    <x v="12"/>
    <s v="Female"/>
    <n v="62.2"/>
    <n v="122.4"/>
    <n v="22.1"/>
    <n v="11"/>
    <s v="AZ"/>
    <n v="4"/>
    <n v="570.20000000000005"/>
    <s v="Low"/>
    <n v="1"/>
    <s v="Park Hopper"/>
    <n v="1"/>
    <n v="0"/>
    <s v="Main Entrance"/>
    <s v="Toy Story Lot"/>
    <n v="9.1"/>
    <n v="7"/>
    <x v="2812"/>
  </r>
  <r>
    <n v="2991"/>
    <n v="979"/>
    <d v="2026-04-30T00:00:00"/>
    <s v="Thursday"/>
    <n v="4"/>
    <n v="12.01"/>
    <x v="1"/>
    <x v="4"/>
    <s v="Male"/>
    <n v="69.8"/>
    <n v="178.2"/>
    <n v="25.6"/>
    <n v="11"/>
    <s v="AZ"/>
    <n v="4"/>
    <n v="570.20000000000005"/>
    <s v="Low"/>
    <n v="1"/>
    <s v="Park Hopper"/>
    <n v="1"/>
    <n v="0"/>
    <s v="Main Entrance"/>
    <s v="Toy Story Lot"/>
    <n v="9.6999999999999993"/>
    <n v="13"/>
    <x v="2813"/>
  </r>
  <r>
    <n v="2992"/>
    <n v="979"/>
    <d v="2026-04-30T00:00:00"/>
    <s v="Thursday"/>
    <n v="4"/>
    <n v="12.06"/>
    <x v="1"/>
    <x v="21"/>
    <s v="Male"/>
    <n v="69.400000000000006"/>
    <n v="193.3"/>
    <n v="28"/>
    <n v="15"/>
    <s v="AZ"/>
    <n v="4"/>
    <n v="570.20000000000005"/>
    <s v="Low"/>
    <n v="1"/>
    <s v="Park Hopper"/>
    <n v="1"/>
    <n v="0"/>
    <s v="Main Entrance"/>
    <s v="Toy Story Lot"/>
    <n v="8.1"/>
    <n v="10"/>
    <x v="2814"/>
  </r>
  <r>
    <n v="2993"/>
    <n v="979"/>
    <d v="2026-04-30T00:00:00"/>
    <s v="Thursday"/>
    <n v="4"/>
    <n v="12.12"/>
    <x v="1"/>
    <x v="38"/>
    <s v="Female"/>
    <n v="66.7"/>
    <n v="207.5"/>
    <n v="32.700000000000003"/>
    <n v="12"/>
    <s v="AZ"/>
    <n v="4"/>
    <n v="570.20000000000005"/>
    <s v="Low"/>
    <n v="1"/>
    <s v="Park Hopper"/>
    <n v="1"/>
    <n v="0"/>
    <s v="Main Entrance"/>
    <s v="Toy Story Lot"/>
    <n v="7.7"/>
    <n v="7"/>
    <x v="2815"/>
  </r>
  <r>
    <n v="2994"/>
    <n v="980"/>
    <d v="2026-08-28T00:00:00"/>
    <s v="Friday"/>
    <n v="8"/>
    <n v="10.39"/>
    <x v="0"/>
    <x v="45"/>
    <s v="Female"/>
    <n v="60.7"/>
    <n v="179.2"/>
    <n v="34.4"/>
    <n v="14"/>
    <s v="CA"/>
    <n v="5"/>
    <n v="194.4"/>
    <s v="Middle"/>
    <n v="1"/>
    <s v="Multi-Day"/>
    <n v="0"/>
    <n v="0"/>
    <s v="Main Entrance"/>
    <s v="Toy Story Lot"/>
    <n v="10.1"/>
    <n v="8"/>
    <x v="2816"/>
  </r>
  <r>
    <n v="2995"/>
    <n v="980"/>
    <d v="2026-08-28T00:00:00"/>
    <s v="Friday"/>
    <n v="8"/>
    <n v="10.43"/>
    <x v="0"/>
    <x v="50"/>
    <s v="Female"/>
    <n v="70"/>
    <n v="130.1"/>
    <n v="18.5"/>
    <n v="14"/>
    <s v="CA"/>
    <n v="5"/>
    <n v="194.4"/>
    <s v="Middle"/>
    <n v="1"/>
    <s v="Multi-Day"/>
    <n v="0"/>
    <n v="0"/>
    <s v="Main Entrance"/>
    <s v="Toy Story Lot"/>
    <n v="11.1"/>
    <n v="9"/>
    <x v="2817"/>
  </r>
  <r>
    <n v="2996"/>
    <n v="980"/>
    <d v="2026-08-28T00:00:00"/>
    <s v="Friday"/>
    <n v="8"/>
    <n v="10.31"/>
    <x v="0"/>
    <x v="48"/>
    <s v="Female"/>
    <n v="64.5"/>
    <n v="171"/>
    <n v="28.5"/>
    <n v="16"/>
    <s v="CA"/>
    <n v="5"/>
    <n v="194.4"/>
    <s v="Middle"/>
    <n v="1"/>
    <s v="Multi-Day"/>
    <n v="0"/>
    <n v="0"/>
    <s v="Main Entrance"/>
    <s v="Toy Story Lot"/>
    <n v="9.3000000000000007"/>
    <n v="9"/>
    <x v="2818"/>
  </r>
  <r>
    <n v="2997"/>
    <n v="980"/>
    <d v="2026-08-28T00:00:00"/>
    <s v="Friday"/>
    <n v="8"/>
    <n v="10.33"/>
    <x v="0"/>
    <x v="14"/>
    <s v="Female"/>
    <n v="66.3"/>
    <n v="180.3"/>
    <n v="28.8"/>
    <n v="18"/>
    <s v="CA"/>
    <n v="5"/>
    <n v="194.4"/>
    <s v="Middle"/>
    <n v="1"/>
    <s v="Multi-Day"/>
    <n v="0"/>
    <n v="0"/>
    <s v="Main Entrance"/>
    <s v="Toy Story Lot"/>
    <n v="8.6"/>
    <n v="7"/>
    <x v="284"/>
  </r>
  <r>
    <n v="2998"/>
    <n v="980"/>
    <d v="2026-08-28T00:00:00"/>
    <s v="Friday"/>
    <n v="8"/>
    <n v="10.26"/>
    <x v="0"/>
    <x v="14"/>
    <s v="Male"/>
    <n v="62.2"/>
    <n v="88.1"/>
    <n v="16"/>
    <n v="17"/>
    <s v="CA"/>
    <n v="5"/>
    <n v="194.4"/>
    <s v="Middle"/>
    <n v="1"/>
    <s v="Multi-Day"/>
    <n v="0"/>
    <n v="0"/>
    <s v="Main Entrance"/>
    <s v="Toy Story Lot"/>
    <n v="9.3000000000000007"/>
    <n v="15"/>
    <x v="2819"/>
  </r>
  <r>
    <n v="2999"/>
    <n v="981"/>
    <d v="2026-01-25T00:00:00"/>
    <s v="Sunday"/>
    <n v="1"/>
    <n v="8.3699999999999992"/>
    <x v="0"/>
    <x v="38"/>
    <s v="Female"/>
    <n v="66.400000000000006"/>
    <n v="132.30000000000001"/>
    <n v="21.1"/>
    <n v="11"/>
    <s v="AZ"/>
    <n v="2"/>
    <n v="365.8"/>
    <s v="Low"/>
    <n v="0"/>
    <s v="Park Hopper"/>
    <n v="0"/>
    <n v="0"/>
    <s v="Main Entrance"/>
    <s v="Mickey &amp; Friends"/>
    <n v="10.5"/>
    <n v="7"/>
    <x v="2820"/>
  </r>
  <r>
    <n v="3000"/>
    <n v="981"/>
    <d v="2026-01-25T00:00:00"/>
    <s v="Sunday"/>
    <n v="1"/>
    <n v="8.57"/>
    <x v="0"/>
    <x v="43"/>
    <s v="Male"/>
    <n v="70.3"/>
    <n v="164"/>
    <n v="23.6"/>
    <n v="14"/>
    <s v="AZ"/>
    <n v="2"/>
    <n v="365.8"/>
    <s v="Low"/>
    <n v="0"/>
    <s v="Park Hopper"/>
    <n v="0"/>
    <n v="0"/>
    <s v="Main Entrance"/>
    <s v="Mickey &amp; Friends"/>
    <n v="10.6"/>
    <n v="10"/>
    <x v="922"/>
  </r>
  <r>
    <n v="3001"/>
    <n v="982"/>
    <d v="2026-06-18T00:00:00"/>
    <s v="Thursday"/>
    <n v="6"/>
    <n v="8.31"/>
    <x v="0"/>
    <x v="31"/>
    <s v="Male"/>
    <n v="70.7"/>
    <n v="155.9"/>
    <n v="21.9"/>
    <n v="18"/>
    <s v="AZ"/>
    <n v="2"/>
    <n v="412.9"/>
    <s v="High"/>
    <n v="0"/>
    <s v="Multi-Day"/>
    <n v="1"/>
    <n v="0"/>
    <s v="Main Entrance"/>
    <s v="None/Dropoff/Transit"/>
    <n v="6.6"/>
    <n v="8"/>
    <x v="2821"/>
  </r>
  <r>
    <n v="3002"/>
    <n v="982"/>
    <d v="2026-06-18T00:00:00"/>
    <s v="Thursday"/>
    <n v="6"/>
    <n v="8.2200000000000006"/>
    <x v="0"/>
    <x v="59"/>
    <s v="Female"/>
    <n v="59.6"/>
    <n v="160.80000000000001"/>
    <n v="31.8"/>
    <n v="17"/>
    <s v="AZ"/>
    <n v="2"/>
    <n v="412.9"/>
    <s v="High"/>
    <n v="0"/>
    <s v="Multi-Day"/>
    <n v="1"/>
    <n v="0"/>
    <s v="Main Entrance"/>
    <s v="None/Dropoff/Transit"/>
    <n v="8.1"/>
    <n v="2"/>
    <x v="2822"/>
  </r>
  <r>
    <n v="3003"/>
    <n v="983"/>
    <d v="2026-10-27T00:00:00"/>
    <s v="Tuesday"/>
    <n v="10"/>
    <n v="11.36"/>
    <x v="1"/>
    <x v="15"/>
    <s v="Male"/>
    <n v="64.3"/>
    <n v="124"/>
    <n v="21.1"/>
    <n v="13"/>
    <s v="CA"/>
    <n v="4"/>
    <n v="9.1"/>
    <s v="Middle"/>
    <n v="0"/>
    <s v="Park Hopper"/>
    <n v="1"/>
    <n v="0"/>
    <s v="Main Entrance"/>
    <s v="Toy Story Lot"/>
    <n v="8.6"/>
    <n v="7"/>
    <x v="2823"/>
  </r>
  <r>
    <n v="3004"/>
    <n v="983"/>
    <d v="2026-10-27T00:00:00"/>
    <s v="Tuesday"/>
    <n v="10"/>
    <n v="11.17"/>
    <x v="1"/>
    <x v="17"/>
    <s v="Female"/>
    <n v="64.7"/>
    <n v="177.1"/>
    <n v="29.7"/>
    <n v="16"/>
    <s v="CA"/>
    <n v="4"/>
    <n v="9.1"/>
    <s v="Middle"/>
    <n v="0"/>
    <s v="Park Hopper"/>
    <n v="1"/>
    <n v="0"/>
    <s v="Main Entrance"/>
    <s v="Toy Story Lot"/>
    <n v="9.6999999999999993"/>
    <n v="15"/>
    <x v="2824"/>
  </r>
  <r>
    <n v="3005"/>
    <n v="983"/>
    <d v="2026-10-27T00:00:00"/>
    <s v="Tuesday"/>
    <n v="10"/>
    <n v="11.13"/>
    <x v="1"/>
    <x v="16"/>
    <s v="Male"/>
    <n v="57.6"/>
    <n v="91.7"/>
    <n v="19.5"/>
    <n v="11"/>
    <s v="CA"/>
    <n v="4"/>
    <n v="9.1"/>
    <s v="Middle"/>
    <n v="0"/>
    <s v="Park Hopper"/>
    <n v="1"/>
    <n v="0"/>
    <s v="Main Entrance"/>
    <s v="Toy Story Lot"/>
    <n v="9.1"/>
    <n v="11"/>
    <x v="2825"/>
  </r>
  <r>
    <n v="3006"/>
    <n v="983"/>
    <d v="2026-10-27T00:00:00"/>
    <s v="Tuesday"/>
    <n v="10"/>
    <n v="11.17"/>
    <x v="1"/>
    <x v="25"/>
    <s v="Female"/>
    <n v="61.6"/>
    <n v="123.8"/>
    <n v="22.8"/>
    <n v="18"/>
    <s v="CA"/>
    <n v="4"/>
    <n v="9.1"/>
    <s v="Middle"/>
    <n v="0"/>
    <s v="Park Hopper"/>
    <n v="1"/>
    <n v="0"/>
    <s v="Main Entrance"/>
    <s v="Toy Story Lot"/>
    <n v="6.5"/>
    <n v="6"/>
    <x v="2826"/>
  </r>
  <r>
    <n v="3007"/>
    <n v="984"/>
    <d v="2026-03-29T00:00:00"/>
    <s v="Sunday"/>
    <n v="3"/>
    <n v="10.91"/>
    <x v="0"/>
    <x v="59"/>
    <s v="Female"/>
    <n v="67.400000000000006"/>
    <n v="142.5"/>
    <n v="22.1"/>
    <n v="15"/>
    <s v="CA"/>
    <n v="6"/>
    <n v="2"/>
    <s v="Middle"/>
    <n v="0"/>
    <s v="Multi-Day"/>
    <n v="1"/>
    <n v="0"/>
    <s v="Downtown Disney Gate"/>
    <s v="Mickey &amp; Friends"/>
    <n v="9"/>
    <n v="9"/>
    <x v="2827"/>
  </r>
  <r>
    <n v="3008"/>
    <n v="984"/>
    <d v="2026-03-29T00:00:00"/>
    <s v="Sunday"/>
    <n v="3"/>
    <n v="10.86"/>
    <x v="0"/>
    <x v="4"/>
    <s v="Female"/>
    <n v="60.3"/>
    <n v="157.1"/>
    <n v="30.2"/>
    <n v="15"/>
    <s v="CA"/>
    <n v="6"/>
    <n v="2"/>
    <s v="Middle"/>
    <n v="0"/>
    <s v="Multi-Day"/>
    <n v="1"/>
    <n v="0"/>
    <s v="Downtown Disney Gate"/>
    <s v="Mickey &amp; Friends"/>
    <n v="9.4"/>
    <n v="5"/>
    <x v="2828"/>
  </r>
  <r>
    <n v="3009"/>
    <n v="984"/>
    <d v="2026-03-29T00:00:00"/>
    <s v="Sunday"/>
    <n v="3"/>
    <n v="10.83"/>
    <x v="0"/>
    <x v="15"/>
    <s v="Female"/>
    <n v="64"/>
    <n v="132.6"/>
    <n v="22.7"/>
    <n v="15"/>
    <s v="CA"/>
    <n v="6"/>
    <n v="2"/>
    <s v="Middle"/>
    <n v="0"/>
    <s v="Multi-Day"/>
    <n v="1"/>
    <n v="0"/>
    <s v="Downtown Disney Gate"/>
    <s v="Mickey &amp; Friends"/>
    <n v="7"/>
    <n v="4"/>
    <x v="2829"/>
  </r>
  <r>
    <n v="3010"/>
    <n v="984"/>
    <d v="2026-03-29T00:00:00"/>
    <s v="Sunday"/>
    <n v="3"/>
    <n v="10.74"/>
    <x v="0"/>
    <x v="74"/>
    <s v="Male"/>
    <n v="71"/>
    <n v="220.3"/>
    <n v="30.8"/>
    <n v="16"/>
    <s v="CA"/>
    <n v="6"/>
    <n v="2"/>
    <s v="Middle"/>
    <n v="0"/>
    <s v="Multi-Day"/>
    <n v="1"/>
    <n v="0"/>
    <s v="Downtown Disney Gate"/>
    <s v="Mickey &amp; Friends"/>
    <n v="8.1"/>
    <n v="4"/>
    <x v="2091"/>
  </r>
  <r>
    <n v="3011"/>
    <n v="984"/>
    <d v="2026-03-29T00:00:00"/>
    <s v="Sunday"/>
    <n v="3"/>
    <n v="10.55"/>
    <x v="0"/>
    <x v="30"/>
    <s v="Male"/>
    <n v="69.3"/>
    <n v="190.7"/>
    <n v="27.9"/>
    <n v="18"/>
    <s v="CA"/>
    <n v="6"/>
    <n v="2"/>
    <s v="Middle"/>
    <n v="0"/>
    <s v="Multi-Day"/>
    <n v="1"/>
    <n v="0"/>
    <s v="Downtown Disney Gate"/>
    <s v="Mickey &amp; Friends"/>
    <n v="6.4"/>
    <n v="8"/>
    <x v="2830"/>
  </r>
  <r>
    <n v="3012"/>
    <n v="984"/>
    <d v="2026-03-29T00:00:00"/>
    <s v="Sunday"/>
    <n v="3"/>
    <n v="10.87"/>
    <x v="0"/>
    <x v="25"/>
    <s v="Female"/>
    <n v="65.900000000000006"/>
    <n v="126"/>
    <n v="20.399999999999999"/>
    <n v="14"/>
    <s v="CA"/>
    <n v="6"/>
    <n v="2"/>
    <s v="Middle"/>
    <n v="0"/>
    <s v="Multi-Day"/>
    <n v="1"/>
    <n v="0"/>
    <s v="Downtown Disney Gate"/>
    <s v="Mickey &amp; Friends"/>
    <n v="9.1"/>
    <n v="7"/>
    <x v="2831"/>
  </r>
  <r>
    <n v="3013"/>
    <n v="985"/>
    <d v="2026-08-24T00:00:00"/>
    <s v="Monday"/>
    <n v="8"/>
    <n v="10.34"/>
    <x v="0"/>
    <x v="21"/>
    <s v="Female"/>
    <n v="65.400000000000006"/>
    <n v="160.4"/>
    <n v="26.3"/>
    <n v="15"/>
    <s v="FL"/>
    <n v="1"/>
    <n v="2378.9"/>
    <s v="Low"/>
    <n v="0"/>
    <s v="Multi-Day"/>
    <n v="0"/>
    <n v="0"/>
    <s v="Main Entrance"/>
    <s v="Mickey &amp; Friends"/>
    <n v="6.7"/>
    <n v="5"/>
    <x v="2832"/>
  </r>
  <r>
    <n v="3014"/>
    <n v="986"/>
    <d v="2026-09-28T00:00:00"/>
    <s v="Monday"/>
    <n v="9"/>
    <n v="9.6999999999999993"/>
    <x v="0"/>
    <x v="66"/>
    <s v="Female"/>
    <n v="63.5"/>
    <n v="170"/>
    <n v="29.7"/>
    <n v="10"/>
    <s v="CA"/>
    <n v="4"/>
    <n v="84.2"/>
    <s v="Low"/>
    <n v="0"/>
    <s v="Park Hopper"/>
    <n v="0"/>
    <n v="0"/>
    <s v="Main Entrance"/>
    <s v="Mickey &amp; Friends"/>
    <n v="7.4"/>
    <n v="10"/>
    <x v="2833"/>
  </r>
  <r>
    <n v="3015"/>
    <n v="986"/>
    <d v="2026-09-28T00:00:00"/>
    <s v="Monday"/>
    <n v="9"/>
    <n v="9.75"/>
    <x v="0"/>
    <x v="59"/>
    <s v="Female"/>
    <n v="66.400000000000006"/>
    <n v="147.80000000000001"/>
    <n v="23.6"/>
    <n v="14"/>
    <s v="CA"/>
    <n v="4"/>
    <n v="84.2"/>
    <s v="Low"/>
    <n v="0"/>
    <s v="Park Hopper"/>
    <n v="0"/>
    <n v="0"/>
    <s v="Main Entrance"/>
    <s v="Mickey &amp; Friends"/>
    <n v="7.3"/>
    <n v="7"/>
    <x v="2834"/>
  </r>
  <r>
    <n v="3016"/>
    <n v="986"/>
    <d v="2026-09-28T00:00:00"/>
    <s v="Monday"/>
    <n v="9"/>
    <n v="9.6300000000000008"/>
    <x v="0"/>
    <x v="41"/>
    <s v="Male"/>
    <n v="67.3"/>
    <n v="146.1"/>
    <n v="22.7"/>
    <n v="13"/>
    <s v="CA"/>
    <n v="4"/>
    <n v="84.2"/>
    <s v="Low"/>
    <n v="0"/>
    <s v="Park Hopper"/>
    <n v="0"/>
    <n v="0"/>
    <s v="Main Entrance"/>
    <s v="Mickey &amp; Friends"/>
    <n v="6.2"/>
    <n v="5"/>
    <x v="2835"/>
  </r>
  <r>
    <n v="3017"/>
    <n v="986"/>
    <d v="2026-09-28T00:00:00"/>
    <s v="Monday"/>
    <n v="9"/>
    <n v="9.74"/>
    <x v="0"/>
    <x v="30"/>
    <s v="Female"/>
    <n v="63.1"/>
    <n v="161.80000000000001"/>
    <n v="28.6"/>
    <n v="11"/>
    <s v="CA"/>
    <n v="4"/>
    <n v="84.2"/>
    <s v="Low"/>
    <n v="0"/>
    <s v="Park Hopper"/>
    <n v="0"/>
    <n v="0"/>
    <s v="Main Entrance"/>
    <s v="Mickey &amp; Friends"/>
    <n v="4.7"/>
    <n v="1"/>
    <x v="2836"/>
  </r>
  <r>
    <n v="3018"/>
    <n v="987"/>
    <d v="2026-10-22T00:00:00"/>
    <s v="Thursday"/>
    <n v="10"/>
    <n v="10.98"/>
    <x v="0"/>
    <x v="18"/>
    <s v="Female"/>
    <n v="65.2"/>
    <n v="146.5"/>
    <n v="24.1"/>
    <n v="18"/>
    <s v="CA"/>
    <n v="3"/>
    <n v="147.5"/>
    <s v="High"/>
    <n v="1"/>
    <s v="Park Hopper"/>
    <n v="1"/>
    <n v="0"/>
    <s v="Main Entrance"/>
    <s v="Mickey &amp; Friends"/>
    <n v="8.3000000000000007"/>
    <n v="12"/>
    <x v="2837"/>
  </r>
  <r>
    <n v="3019"/>
    <n v="987"/>
    <d v="2026-10-22T00:00:00"/>
    <s v="Thursday"/>
    <n v="10"/>
    <n v="10.63"/>
    <x v="0"/>
    <x v="37"/>
    <s v="Nonbinary/Other"/>
    <n v="65"/>
    <n v="163.69999999999999"/>
    <n v="27.1"/>
    <n v="13"/>
    <s v="CA"/>
    <n v="3"/>
    <n v="147.5"/>
    <s v="High"/>
    <n v="1"/>
    <s v="Park Hopper"/>
    <n v="1"/>
    <n v="0"/>
    <s v="Main Entrance"/>
    <s v="Mickey &amp; Friends"/>
    <n v="8.5"/>
    <n v="9"/>
    <x v="2838"/>
  </r>
  <r>
    <n v="3020"/>
    <n v="987"/>
    <d v="2026-10-22T00:00:00"/>
    <s v="Thursday"/>
    <n v="10"/>
    <n v="10.74"/>
    <x v="0"/>
    <x v="69"/>
    <s v="Male"/>
    <n v="69.5"/>
    <n v="166.5"/>
    <n v="24.2"/>
    <n v="15"/>
    <s v="CA"/>
    <n v="3"/>
    <n v="147.5"/>
    <s v="High"/>
    <n v="1"/>
    <s v="Park Hopper"/>
    <n v="1"/>
    <n v="0"/>
    <s v="Main Entrance"/>
    <s v="Mickey &amp; Friends"/>
    <n v="9.6"/>
    <n v="10"/>
    <x v="2839"/>
  </r>
  <r>
    <n v="3021"/>
    <n v="988"/>
    <d v="2026-01-26T00:00:00"/>
    <s v="Monday"/>
    <n v="1"/>
    <n v="9.57"/>
    <x v="0"/>
    <x v="61"/>
    <s v="Male"/>
    <n v="70"/>
    <n v="152.6"/>
    <n v="22.2"/>
    <n v="13"/>
    <s v="ND"/>
    <n v="3"/>
    <n v="1645.1"/>
    <s v="Middle"/>
    <n v="1"/>
    <s v="Multi-Day"/>
    <n v="0"/>
    <n v="1"/>
    <s v="Main Entrance"/>
    <s v="Toy Story Lot"/>
    <n v="10.3"/>
    <n v="11"/>
    <x v="2840"/>
  </r>
  <r>
    <n v="3022"/>
    <n v="988"/>
    <d v="2026-01-26T00:00:00"/>
    <s v="Monday"/>
    <n v="1"/>
    <n v="9.41"/>
    <x v="0"/>
    <x v="60"/>
    <s v="Female"/>
    <n v="63"/>
    <n v="98.5"/>
    <n v="17.3"/>
    <n v="10"/>
    <s v="ND"/>
    <n v="3"/>
    <n v="1645.1"/>
    <s v="Middle"/>
    <n v="1"/>
    <s v="Multi-Day"/>
    <n v="0"/>
    <n v="1"/>
    <s v="Main Entrance"/>
    <s v="Toy Story Lot"/>
    <n v="10.8"/>
    <n v="11"/>
    <x v="2841"/>
  </r>
  <r>
    <n v="3023"/>
    <n v="988"/>
    <d v="2026-01-26T00:00:00"/>
    <s v="Monday"/>
    <n v="1"/>
    <n v="9.69"/>
    <x v="0"/>
    <x v="77"/>
    <s v="Male"/>
    <n v="64.8"/>
    <n v="164.9"/>
    <n v="27.5"/>
    <n v="16"/>
    <s v="ND"/>
    <n v="3"/>
    <n v="1645.1"/>
    <s v="Middle"/>
    <n v="1"/>
    <s v="Multi-Day"/>
    <n v="0"/>
    <n v="1"/>
    <s v="Main Entrance"/>
    <s v="Toy Story Lot"/>
    <n v="10.7"/>
    <n v="15"/>
    <x v="2842"/>
  </r>
  <r>
    <n v="3024"/>
    <n v="989"/>
    <d v="2026-05-19T00:00:00"/>
    <s v="Tuesday"/>
    <n v="5"/>
    <n v="9.1199999999999992"/>
    <x v="0"/>
    <x v="25"/>
    <s v="Male"/>
    <n v="64.3"/>
    <n v="143.30000000000001"/>
    <n v="24.6"/>
    <n v="15"/>
    <s v="AZ"/>
    <n v="3"/>
    <n v="357.4"/>
    <s v="Middle"/>
    <n v="0"/>
    <s v="Single-Day"/>
    <n v="0"/>
    <n v="0"/>
    <s v="Main Entrance"/>
    <s v="Mickey &amp; Friends"/>
    <n v="8.6999999999999993"/>
    <n v="5"/>
    <x v="2843"/>
  </r>
  <r>
    <n v="3025"/>
    <n v="989"/>
    <d v="2026-05-19T00:00:00"/>
    <s v="Tuesday"/>
    <n v="5"/>
    <n v="9.36"/>
    <x v="0"/>
    <x v="17"/>
    <s v="Female"/>
    <n v="66"/>
    <n v="140.9"/>
    <n v="22.8"/>
    <n v="15"/>
    <s v="AZ"/>
    <n v="3"/>
    <n v="357.4"/>
    <s v="Middle"/>
    <n v="0"/>
    <s v="Single-Day"/>
    <n v="0"/>
    <n v="0"/>
    <s v="Main Entrance"/>
    <s v="Mickey &amp; Friends"/>
    <n v="9.8000000000000007"/>
    <n v="5"/>
    <x v="2844"/>
  </r>
  <r>
    <n v="3026"/>
    <n v="989"/>
    <d v="2026-05-19T00:00:00"/>
    <s v="Tuesday"/>
    <n v="5"/>
    <n v="9.1999999999999993"/>
    <x v="0"/>
    <x v="4"/>
    <s v="Male"/>
    <n v="73.8"/>
    <n v="205.8"/>
    <n v="26.7"/>
    <n v="16"/>
    <s v="AZ"/>
    <n v="3"/>
    <n v="357.4"/>
    <s v="Middle"/>
    <n v="0"/>
    <s v="Single-Day"/>
    <n v="0"/>
    <n v="0"/>
    <s v="Main Entrance"/>
    <s v="Mickey &amp; Friends"/>
    <n v="9.9"/>
    <n v="14"/>
    <x v="2845"/>
  </r>
  <r>
    <n v="3027"/>
    <n v="990"/>
    <d v="2026-08-21T00:00:00"/>
    <s v="Friday"/>
    <n v="8"/>
    <n v="11.65"/>
    <x v="1"/>
    <x v="41"/>
    <s v="Female"/>
    <n v="61.8"/>
    <n v="162.1"/>
    <n v="29.9"/>
    <n v="17"/>
    <s v="Other"/>
    <n v="2"/>
    <n v="1701.9"/>
    <s v="Middle"/>
    <n v="0"/>
    <s v="Single-Day"/>
    <n v="0"/>
    <n v="1"/>
    <s v="Main Entrance"/>
    <s v="None/Walked from Resort"/>
    <n v="7.7"/>
    <n v="7"/>
    <x v="178"/>
  </r>
  <r>
    <n v="3028"/>
    <n v="990"/>
    <d v="2026-08-21T00:00:00"/>
    <s v="Friday"/>
    <n v="8"/>
    <n v="11.38"/>
    <x v="1"/>
    <x v="35"/>
    <s v="Female"/>
    <n v="62.1"/>
    <n v="132.5"/>
    <n v="24"/>
    <n v="20"/>
    <s v="Other"/>
    <n v="2"/>
    <n v="1701.9"/>
    <s v="Middle"/>
    <n v="0"/>
    <s v="Single-Day"/>
    <n v="0"/>
    <n v="1"/>
    <s v="Main Entrance"/>
    <s v="None/Walked from Resort"/>
    <n v="7.2"/>
    <n v="5"/>
    <x v="2846"/>
  </r>
  <r>
    <n v="3029"/>
    <n v="991"/>
    <d v="2026-10-31T00:00:00"/>
    <s v="Saturday"/>
    <n v="10"/>
    <n v="12.05"/>
    <x v="1"/>
    <x v="15"/>
    <s v="Male"/>
    <n v="66.099999999999994"/>
    <n v="192.7"/>
    <n v="31.1"/>
    <n v="15"/>
    <s v="WA"/>
    <n v="1"/>
    <n v="1300.5"/>
    <s v="Middle"/>
    <n v="1"/>
    <s v="Single-Day"/>
    <n v="0"/>
    <n v="0"/>
    <s v="Main Entrance"/>
    <s v="Toy Story Lot"/>
    <n v="5.8"/>
    <n v="10"/>
    <x v="2847"/>
  </r>
  <r>
    <n v="3030"/>
    <n v="992"/>
    <d v="2026-01-06T00:00:00"/>
    <s v="Tuesday"/>
    <n v="1"/>
    <n v="10.45"/>
    <x v="0"/>
    <x v="8"/>
    <s v="Female"/>
    <n v="61.7"/>
    <n v="129.19999999999999"/>
    <n v="23.8"/>
    <n v="16"/>
    <s v="OR"/>
    <n v="4"/>
    <n v="593.70000000000005"/>
    <s v="Middle"/>
    <n v="1"/>
    <s v="Single-Day"/>
    <n v="0"/>
    <n v="1"/>
    <s v="Main Entrance"/>
    <s v="None/Walked from Resort"/>
    <n v="8.3000000000000007"/>
    <n v="6"/>
    <x v="2848"/>
  </r>
  <r>
    <n v="3031"/>
    <n v="992"/>
    <d v="2026-01-06T00:00:00"/>
    <s v="Tuesday"/>
    <n v="1"/>
    <n v="10.16"/>
    <x v="0"/>
    <x v="48"/>
    <s v="Male"/>
    <n v="69"/>
    <n v="186.7"/>
    <n v="27.5"/>
    <n v="14"/>
    <s v="OR"/>
    <n v="4"/>
    <n v="593.70000000000005"/>
    <s v="Middle"/>
    <n v="1"/>
    <s v="Single-Day"/>
    <n v="0"/>
    <n v="1"/>
    <s v="Main Entrance"/>
    <s v="None/Walked from Resort"/>
    <n v="11.3"/>
    <n v="10"/>
    <x v="2849"/>
  </r>
  <r>
    <n v="3032"/>
    <n v="992"/>
    <d v="2026-01-06T00:00:00"/>
    <s v="Tuesday"/>
    <n v="1"/>
    <n v="10.63"/>
    <x v="0"/>
    <x v="40"/>
    <s v="Male"/>
    <n v="67.3"/>
    <n v="156.19999999999999"/>
    <n v="24.3"/>
    <n v="13"/>
    <s v="OR"/>
    <n v="4"/>
    <n v="593.70000000000005"/>
    <s v="Middle"/>
    <n v="1"/>
    <s v="Single-Day"/>
    <n v="0"/>
    <n v="1"/>
    <s v="Main Entrance"/>
    <s v="None/Walked from Resort"/>
    <n v="7"/>
    <n v="3"/>
    <x v="2850"/>
  </r>
  <r>
    <n v="3033"/>
    <n v="992"/>
    <d v="2026-01-06T00:00:00"/>
    <s v="Tuesday"/>
    <n v="1"/>
    <n v="10.199999999999999"/>
    <x v="0"/>
    <x v="38"/>
    <s v="Female"/>
    <n v="66.3"/>
    <n v="190.9"/>
    <n v="30.5"/>
    <n v="11"/>
    <s v="OR"/>
    <n v="4"/>
    <n v="593.70000000000005"/>
    <s v="Middle"/>
    <n v="1"/>
    <s v="Single-Day"/>
    <n v="0"/>
    <n v="1"/>
    <s v="Main Entrance"/>
    <s v="None/Walked from Resort"/>
    <n v="8.4"/>
    <n v="12"/>
    <x v="2851"/>
  </r>
  <r>
    <n v="3034"/>
    <n v="993"/>
    <d v="2026-08-14T00:00:00"/>
    <s v="Friday"/>
    <n v="8"/>
    <n v="10.98"/>
    <x v="0"/>
    <x v="67"/>
    <s v="Female"/>
    <n v="59.6"/>
    <n v="128.80000000000001"/>
    <n v="25.7"/>
    <n v="8"/>
    <s v="NV"/>
    <n v="5"/>
    <n v="379.5"/>
    <s v="Middle"/>
    <n v="0"/>
    <s v="Multi-Day"/>
    <n v="0"/>
    <n v="0"/>
    <s v="Main Entrance"/>
    <s v="Toy Story Lot"/>
    <n v="7.5"/>
    <n v="5"/>
    <x v="2852"/>
  </r>
  <r>
    <n v="3035"/>
    <n v="993"/>
    <d v="2026-08-14T00:00:00"/>
    <s v="Friday"/>
    <n v="8"/>
    <n v="10.93"/>
    <x v="0"/>
    <x v="21"/>
    <s v="Female"/>
    <n v="64.2"/>
    <n v="193.4"/>
    <n v="33.1"/>
    <n v="15"/>
    <s v="NV"/>
    <n v="5"/>
    <n v="379.5"/>
    <s v="Middle"/>
    <n v="0"/>
    <s v="Multi-Day"/>
    <n v="0"/>
    <n v="0"/>
    <s v="Main Entrance"/>
    <s v="Toy Story Lot"/>
    <n v="9.5"/>
    <n v="8"/>
    <x v="2853"/>
  </r>
  <r>
    <n v="3036"/>
    <n v="993"/>
    <d v="2026-08-14T00:00:00"/>
    <s v="Friday"/>
    <n v="8"/>
    <n v="10.97"/>
    <x v="0"/>
    <x v="28"/>
    <s v="Male"/>
    <n v="72.7"/>
    <n v="189.4"/>
    <n v="25.1"/>
    <n v="19"/>
    <s v="NV"/>
    <n v="5"/>
    <n v="379.5"/>
    <s v="Middle"/>
    <n v="0"/>
    <s v="Multi-Day"/>
    <n v="0"/>
    <n v="0"/>
    <s v="Main Entrance"/>
    <s v="Toy Story Lot"/>
    <n v="8.4"/>
    <n v="10"/>
    <x v="2854"/>
  </r>
  <r>
    <n v="3037"/>
    <n v="993"/>
    <d v="2026-08-14T00:00:00"/>
    <s v="Friday"/>
    <n v="8"/>
    <n v="10.85"/>
    <x v="0"/>
    <x v="17"/>
    <s v="Female"/>
    <n v="64"/>
    <n v="145.30000000000001"/>
    <n v="24.8"/>
    <n v="17"/>
    <s v="NV"/>
    <n v="5"/>
    <n v="379.5"/>
    <s v="Middle"/>
    <n v="0"/>
    <s v="Multi-Day"/>
    <n v="0"/>
    <n v="0"/>
    <s v="Main Entrance"/>
    <s v="Toy Story Lot"/>
    <n v="7.4"/>
    <n v="8"/>
    <x v="2855"/>
  </r>
  <r>
    <n v="3038"/>
    <n v="993"/>
    <d v="2026-08-14T00:00:00"/>
    <s v="Friday"/>
    <n v="8"/>
    <n v="11.03"/>
    <x v="1"/>
    <x v="33"/>
    <s v="Male"/>
    <n v="70"/>
    <n v="199"/>
    <n v="28.5"/>
    <n v="16"/>
    <s v="NV"/>
    <n v="5"/>
    <n v="379.5"/>
    <s v="Middle"/>
    <n v="0"/>
    <s v="Multi-Day"/>
    <n v="0"/>
    <n v="0"/>
    <s v="Main Entrance"/>
    <s v="Toy Story Lot"/>
    <n v="7"/>
    <n v="8"/>
    <x v="2856"/>
  </r>
  <r>
    <n v="3039"/>
    <n v="994"/>
    <d v="2026-12-30T00:00:00"/>
    <s v="Wednesday"/>
    <n v="12"/>
    <n v="10.61"/>
    <x v="0"/>
    <x v="35"/>
    <s v="Female"/>
    <n v="62.1"/>
    <n v="145.19999999999999"/>
    <n v="26.7"/>
    <n v="15"/>
    <s v="CA"/>
    <n v="3"/>
    <n v="81.5"/>
    <s v="Middle"/>
    <n v="1"/>
    <s v="Single-Day"/>
    <n v="1"/>
    <n v="0"/>
    <s v="Main Entrance"/>
    <s v="Mickey &amp; Friends"/>
    <n v="9.6999999999999993"/>
    <n v="15"/>
    <x v="2857"/>
  </r>
  <r>
    <n v="3040"/>
    <n v="994"/>
    <d v="2026-12-30T00:00:00"/>
    <s v="Wednesday"/>
    <n v="12"/>
    <n v="10.62"/>
    <x v="0"/>
    <x v="22"/>
    <s v="Female"/>
    <n v="59.6"/>
    <n v="111.5"/>
    <n v="22.2"/>
    <n v="10"/>
    <s v="CA"/>
    <n v="3"/>
    <n v="81.5"/>
    <s v="Middle"/>
    <n v="1"/>
    <s v="Single-Day"/>
    <n v="1"/>
    <n v="0"/>
    <s v="Main Entrance"/>
    <s v="Mickey &amp; Friends"/>
    <n v="10.3"/>
    <n v="18"/>
    <x v="2858"/>
  </r>
  <r>
    <n v="3041"/>
    <n v="994"/>
    <d v="2026-12-30T00:00:00"/>
    <s v="Wednesday"/>
    <n v="12"/>
    <n v="10.7"/>
    <x v="0"/>
    <x v="27"/>
    <s v="Female"/>
    <n v="68.400000000000006"/>
    <n v="170.1"/>
    <n v="25.5"/>
    <n v="16"/>
    <s v="CA"/>
    <n v="3"/>
    <n v="81.5"/>
    <s v="Middle"/>
    <n v="1"/>
    <s v="Single-Day"/>
    <n v="1"/>
    <n v="0"/>
    <s v="Main Entrance"/>
    <s v="Mickey &amp; Friends"/>
    <n v="7.6"/>
    <n v="9"/>
    <x v="2353"/>
  </r>
  <r>
    <n v="3042"/>
    <n v="995"/>
    <d v="2026-10-20T00:00:00"/>
    <s v="Tuesday"/>
    <n v="10"/>
    <n v="8.9700000000000006"/>
    <x v="0"/>
    <x v="42"/>
    <s v="Male"/>
    <n v="67.599999999999994"/>
    <n v="187.2"/>
    <n v="28.9"/>
    <n v="13"/>
    <s v="CA"/>
    <n v="6"/>
    <n v="147.19999999999999"/>
    <s v="Middle"/>
    <n v="0"/>
    <s v="Single-Day"/>
    <n v="0"/>
    <n v="0"/>
    <s v="Downtown Disney Gate"/>
    <s v="Mickey &amp; Friends"/>
    <n v="6.4"/>
    <n v="10"/>
    <x v="2859"/>
  </r>
  <r>
    <n v="3043"/>
    <n v="995"/>
    <d v="2026-10-20T00:00:00"/>
    <s v="Tuesday"/>
    <n v="10"/>
    <n v="8.8699999999999992"/>
    <x v="0"/>
    <x v="18"/>
    <s v="Male"/>
    <n v="67.900000000000006"/>
    <n v="151"/>
    <n v="23"/>
    <n v="16"/>
    <s v="CA"/>
    <n v="6"/>
    <n v="147.19999999999999"/>
    <s v="Middle"/>
    <n v="0"/>
    <s v="Single-Day"/>
    <n v="0"/>
    <n v="0"/>
    <s v="Downtown Disney Gate"/>
    <s v="Mickey &amp; Friends"/>
    <n v="7.7"/>
    <n v="7"/>
    <x v="1826"/>
  </r>
  <r>
    <n v="3044"/>
    <n v="995"/>
    <d v="2026-10-20T00:00:00"/>
    <s v="Tuesday"/>
    <n v="10"/>
    <n v="9.0500000000000007"/>
    <x v="0"/>
    <x v="41"/>
    <s v="Female"/>
    <n v="60.6"/>
    <n v="96.5"/>
    <n v="18.600000000000001"/>
    <n v="14"/>
    <s v="CA"/>
    <n v="6"/>
    <n v="147.19999999999999"/>
    <s v="Middle"/>
    <n v="0"/>
    <s v="Single-Day"/>
    <n v="0"/>
    <n v="0"/>
    <s v="Downtown Disney Gate"/>
    <s v="Mickey &amp; Friends"/>
    <n v="6.8"/>
    <n v="3"/>
    <x v="2860"/>
  </r>
  <r>
    <n v="3045"/>
    <n v="995"/>
    <d v="2026-10-20T00:00:00"/>
    <s v="Tuesday"/>
    <n v="10"/>
    <n v="9.1999999999999993"/>
    <x v="0"/>
    <x v="4"/>
    <s v="Male"/>
    <n v="69.099999999999994"/>
    <n v="188.7"/>
    <n v="27.9"/>
    <n v="16"/>
    <s v="CA"/>
    <n v="6"/>
    <n v="147.19999999999999"/>
    <s v="Middle"/>
    <n v="0"/>
    <s v="Single-Day"/>
    <n v="0"/>
    <n v="0"/>
    <s v="Downtown Disney Gate"/>
    <s v="Mickey &amp; Friends"/>
    <n v="8.1"/>
    <n v="8"/>
    <x v="2861"/>
  </r>
  <r>
    <n v="3046"/>
    <n v="995"/>
    <d v="2026-10-20T00:00:00"/>
    <s v="Tuesday"/>
    <n v="10"/>
    <n v="8.9"/>
    <x v="0"/>
    <x v="44"/>
    <s v="Male"/>
    <n v="67"/>
    <n v="150.5"/>
    <n v="23.7"/>
    <n v="11"/>
    <s v="CA"/>
    <n v="6"/>
    <n v="147.19999999999999"/>
    <s v="Middle"/>
    <n v="0"/>
    <s v="Single-Day"/>
    <n v="0"/>
    <n v="0"/>
    <s v="Downtown Disney Gate"/>
    <s v="Mickey &amp; Friends"/>
    <n v="9.9"/>
    <n v="13"/>
    <x v="2862"/>
  </r>
  <r>
    <n v="3047"/>
    <n v="995"/>
    <d v="2026-10-20T00:00:00"/>
    <s v="Tuesday"/>
    <n v="10"/>
    <n v="9.09"/>
    <x v="0"/>
    <x v="54"/>
    <s v="Female"/>
    <n v="64.2"/>
    <n v="161.6"/>
    <n v="27.4"/>
    <n v="17"/>
    <s v="CA"/>
    <n v="6"/>
    <n v="147.19999999999999"/>
    <s v="Middle"/>
    <n v="0"/>
    <s v="Single-Day"/>
    <n v="0"/>
    <n v="0"/>
    <s v="Downtown Disney Gate"/>
    <s v="Mickey &amp; Friends"/>
    <n v="6.9"/>
    <n v="5"/>
    <x v="2863"/>
  </r>
  <r>
    <n v="3048"/>
    <n v="996"/>
    <d v="2026-08-30T00:00:00"/>
    <s v="Sunday"/>
    <n v="8"/>
    <n v="10.95"/>
    <x v="0"/>
    <x v="60"/>
    <s v="Female"/>
    <n v="64.7"/>
    <n v="121.2"/>
    <n v="20.6"/>
    <n v="13"/>
    <s v="FL"/>
    <n v="3"/>
    <n v="2312.1"/>
    <s v="Middle"/>
    <n v="0"/>
    <s v="Multi-Day"/>
    <n v="0"/>
    <n v="0"/>
    <s v="Main Entrance"/>
    <s v="Toy Story Lot"/>
    <n v="11.9"/>
    <n v="13"/>
    <x v="2864"/>
  </r>
  <r>
    <n v="3049"/>
    <n v="996"/>
    <d v="2026-08-30T00:00:00"/>
    <s v="Sunday"/>
    <n v="8"/>
    <n v="10.88"/>
    <x v="0"/>
    <x v="38"/>
    <s v="Female"/>
    <n v="66"/>
    <n v="178.2"/>
    <n v="28.7"/>
    <n v="15"/>
    <s v="FL"/>
    <n v="3"/>
    <n v="2312.1"/>
    <s v="Middle"/>
    <n v="0"/>
    <s v="Multi-Day"/>
    <n v="0"/>
    <n v="0"/>
    <s v="Main Entrance"/>
    <s v="Toy Story Lot"/>
    <n v="4.5"/>
    <n v="6"/>
    <x v="2865"/>
  </r>
  <r>
    <n v="3050"/>
    <n v="996"/>
    <d v="2026-08-30T00:00:00"/>
    <s v="Sunday"/>
    <n v="8"/>
    <n v="10.81"/>
    <x v="0"/>
    <x v="3"/>
    <s v="Male"/>
    <n v="77.7"/>
    <n v="170.6"/>
    <n v="19.8"/>
    <n v="15"/>
    <s v="FL"/>
    <n v="3"/>
    <n v="2312.1"/>
    <s v="Middle"/>
    <n v="0"/>
    <s v="Multi-Day"/>
    <n v="0"/>
    <n v="0"/>
    <s v="Main Entrance"/>
    <s v="Toy Story Lot"/>
    <n v="7.2"/>
    <n v="5"/>
    <x v="2866"/>
  </r>
  <r>
    <n v="3051"/>
    <n v="997"/>
    <d v="2026-02-12T00:00:00"/>
    <s v="Thursday"/>
    <n v="2"/>
    <n v="10.15"/>
    <x v="0"/>
    <x v="2"/>
    <s v="Male"/>
    <n v="66.3"/>
    <n v="189.2"/>
    <n v="30.5"/>
    <n v="16"/>
    <s v="CA"/>
    <n v="2"/>
    <n v="107.2"/>
    <s v="High"/>
    <n v="1"/>
    <s v="Single-Day"/>
    <n v="1"/>
    <n v="0"/>
    <s v="Hotel Guest Entrance"/>
    <s v="Toy Story Lot"/>
    <n v="8.3000000000000007"/>
    <n v="6"/>
    <x v="2867"/>
  </r>
  <r>
    <n v="3052"/>
    <n v="997"/>
    <d v="2026-02-12T00:00:00"/>
    <s v="Thursday"/>
    <n v="2"/>
    <n v="10.42"/>
    <x v="0"/>
    <x v="17"/>
    <s v="Male"/>
    <n v="72.599999999999994"/>
    <n v="217.9"/>
    <n v="28.8"/>
    <n v="17"/>
    <s v="CA"/>
    <n v="2"/>
    <n v="107.2"/>
    <s v="High"/>
    <n v="1"/>
    <s v="Single-Day"/>
    <n v="1"/>
    <n v="0"/>
    <s v="Hotel Guest Entrance"/>
    <s v="Toy Story Lot"/>
    <n v="9"/>
    <n v="11"/>
    <x v="2868"/>
  </r>
  <r>
    <n v="3053"/>
    <n v="998"/>
    <d v="2026-04-06T00:00:00"/>
    <s v="Monday"/>
    <n v="4"/>
    <n v="10.210000000000001"/>
    <x v="0"/>
    <x v="50"/>
    <s v="Male"/>
    <n v="69.900000000000006"/>
    <n v="171.3"/>
    <n v="24.4"/>
    <n v="13"/>
    <s v="WA"/>
    <n v="3"/>
    <n v="1110.3"/>
    <s v="Middle"/>
    <n v="0"/>
    <s v="Park Hopper"/>
    <n v="0"/>
    <n v="0"/>
    <s v="Main Entrance"/>
    <s v="Mickey &amp; Friends"/>
    <n v="8.4"/>
    <n v="3"/>
    <x v="2869"/>
  </r>
  <r>
    <n v="3054"/>
    <n v="998"/>
    <d v="2026-04-06T00:00:00"/>
    <s v="Monday"/>
    <n v="4"/>
    <n v="10.28"/>
    <x v="0"/>
    <x v="41"/>
    <s v="Male"/>
    <n v="70.2"/>
    <n v="207.8"/>
    <n v="29.8"/>
    <n v="13"/>
    <s v="WA"/>
    <n v="3"/>
    <n v="1110.3"/>
    <s v="Middle"/>
    <n v="0"/>
    <s v="Park Hopper"/>
    <n v="0"/>
    <n v="0"/>
    <s v="Main Entrance"/>
    <s v="Mickey &amp; Friends"/>
    <n v="4.3"/>
    <n v="6"/>
    <x v="2870"/>
  </r>
  <r>
    <n v="3055"/>
    <n v="998"/>
    <d v="2026-04-06T00:00:00"/>
    <s v="Monday"/>
    <n v="4"/>
    <n v="10.36"/>
    <x v="0"/>
    <x v="60"/>
    <s v="Female"/>
    <n v="65.099999999999994"/>
    <n v="124.6"/>
    <n v="20.5"/>
    <n v="14"/>
    <s v="WA"/>
    <n v="3"/>
    <n v="1110.3"/>
    <s v="Middle"/>
    <n v="0"/>
    <s v="Park Hopper"/>
    <n v="0"/>
    <n v="0"/>
    <s v="Main Entrance"/>
    <s v="Mickey &amp; Friends"/>
    <n v="5.0999999999999996"/>
    <n v="3"/>
    <x v="2871"/>
  </r>
  <r>
    <n v="3056"/>
    <n v="999"/>
    <d v="2026-11-03T00:00:00"/>
    <s v="Tuesday"/>
    <n v="11"/>
    <n v="10"/>
    <x v="0"/>
    <x v="57"/>
    <s v="Female"/>
    <n v="65.2"/>
    <n v="115.8"/>
    <n v="19"/>
    <n v="15"/>
    <s v="CA"/>
    <n v="4"/>
    <n v="70.2"/>
    <s v="Middle"/>
    <n v="0"/>
    <s v="Single-Day"/>
    <n v="0"/>
    <n v="0"/>
    <s v="Main Entrance"/>
    <s v="Toy Story Lot"/>
    <n v="6.5"/>
    <n v="6"/>
    <x v="2392"/>
  </r>
  <r>
    <n v="3057"/>
    <n v="999"/>
    <d v="2026-11-03T00:00:00"/>
    <s v="Tuesday"/>
    <n v="11"/>
    <n v="10.130000000000001"/>
    <x v="0"/>
    <x v="53"/>
    <s v="Male"/>
    <n v="52.2"/>
    <n v="68.7"/>
    <n v="17.7"/>
    <n v="13"/>
    <s v="CA"/>
    <n v="4"/>
    <n v="70.2"/>
    <s v="Middle"/>
    <n v="0"/>
    <s v="Single-Day"/>
    <n v="0"/>
    <n v="0"/>
    <s v="Main Entrance"/>
    <s v="Toy Story Lot"/>
    <n v="7.2"/>
    <n v="10"/>
    <x v="2872"/>
  </r>
  <r>
    <n v="3058"/>
    <n v="999"/>
    <d v="2026-11-03T00:00:00"/>
    <s v="Tuesday"/>
    <n v="11"/>
    <n v="10.29"/>
    <x v="0"/>
    <x v="37"/>
    <s v="Male"/>
    <n v="68.400000000000006"/>
    <n v="156"/>
    <n v="23.2"/>
    <n v="15"/>
    <s v="CA"/>
    <n v="4"/>
    <n v="70.2"/>
    <s v="Middle"/>
    <n v="0"/>
    <s v="Single-Day"/>
    <n v="0"/>
    <n v="0"/>
    <s v="Main Entrance"/>
    <s v="Toy Story Lot"/>
    <n v="9.4"/>
    <n v="10"/>
    <x v="2873"/>
  </r>
  <r>
    <n v="3059"/>
    <n v="999"/>
    <d v="2026-11-03T00:00:00"/>
    <s v="Tuesday"/>
    <n v="11"/>
    <n v="9.9499999999999993"/>
    <x v="0"/>
    <x v="47"/>
    <s v="Female"/>
    <n v="61.6"/>
    <n v="120.2"/>
    <n v="22.4"/>
    <n v="19"/>
    <s v="CA"/>
    <n v="4"/>
    <n v="70.2"/>
    <s v="Middle"/>
    <n v="0"/>
    <s v="Single-Day"/>
    <n v="0"/>
    <n v="0"/>
    <s v="Main Entrance"/>
    <s v="Toy Story Lot"/>
    <n v="5.8"/>
    <n v="7"/>
    <x v="2874"/>
  </r>
  <r>
    <n v="3060"/>
    <n v="1000"/>
    <d v="2026-05-14T00:00:00"/>
    <s v="Thursday"/>
    <n v="5"/>
    <n v="10.15"/>
    <x v="0"/>
    <x v="71"/>
    <s v="Female"/>
    <n v="59.8"/>
    <n v="126"/>
    <n v="24.9"/>
    <n v="18"/>
    <s v="CA"/>
    <n v="4"/>
    <n v="178.2"/>
    <s v="Middle"/>
    <n v="0"/>
    <s v="Park Hopper"/>
    <n v="0"/>
    <n v="0"/>
    <s v="Main Entrance"/>
    <s v="Pixar Pals"/>
    <n v="6.5"/>
    <n v="5"/>
    <x v="2875"/>
  </r>
  <r>
    <n v="3061"/>
    <n v="1000"/>
    <d v="2026-05-14T00:00:00"/>
    <s v="Thursday"/>
    <n v="5"/>
    <n v="10.07"/>
    <x v="0"/>
    <x v="66"/>
    <s v="Female"/>
    <n v="67"/>
    <n v="152.4"/>
    <n v="24.1"/>
    <n v="16"/>
    <s v="CA"/>
    <n v="4"/>
    <n v="178.2"/>
    <s v="Middle"/>
    <n v="0"/>
    <s v="Park Hopper"/>
    <n v="0"/>
    <n v="0"/>
    <s v="Main Entrance"/>
    <s v="Pixar Pals"/>
    <n v="7.6"/>
    <n v="9"/>
    <x v="2876"/>
  </r>
  <r>
    <n v="3062"/>
    <n v="1000"/>
    <d v="2026-05-14T00:00:00"/>
    <s v="Thursday"/>
    <n v="5"/>
    <n v="10.19"/>
    <x v="0"/>
    <x v="21"/>
    <s v="Female"/>
    <n v="67.900000000000006"/>
    <n v="179.7"/>
    <n v="27.4"/>
    <n v="17"/>
    <s v="CA"/>
    <n v="4"/>
    <n v="178.2"/>
    <s v="Middle"/>
    <n v="0"/>
    <s v="Park Hopper"/>
    <n v="0"/>
    <n v="0"/>
    <s v="Main Entrance"/>
    <s v="Pixar Pals"/>
    <n v="6.9"/>
    <n v="9"/>
    <x v="2877"/>
  </r>
  <r>
    <n v="3063"/>
    <n v="1000"/>
    <d v="2026-05-14T00:00:00"/>
    <s v="Thursday"/>
    <n v="5"/>
    <n v="9.89"/>
    <x v="0"/>
    <x v="2"/>
    <s v="Male"/>
    <n v="69.400000000000006"/>
    <n v="151.6"/>
    <n v="22.4"/>
    <n v="16"/>
    <s v="CA"/>
    <n v="4"/>
    <n v="178.2"/>
    <s v="Middle"/>
    <n v="0"/>
    <s v="Park Hopper"/>
    <n v="0"/>
    <n v="0"/>
    <s v="Main Entrance"/>
    <s v="Pixar Pals"/>
    <n v="9.3000000000000007"/>
    <n v="10"/>
    <x v="2878"/>
  </r>
  <r>
    <n v="3064"/>
    <n v="1001"/>
    <d v="2026-05-14T00:00:00"/>
    <s v="Thursday"/>
    <n v="5"/>
    <n v="12.17"/>
    <x v="1"/>
    <x v="17"/>
    <s v="Female"/>
    <n v="63.4"/>
    <n v="165.1"/>
    <n v="28.7"/>
    <n v="19"/>
    <s v="WA"/>
    <n v="6"/>
    <n v="1089"/>
    <s v="Middle"/>
    <n v="1"/>
    <s v="Single-Day"/>
    <n v="0"/>
    <n v="0"/>
    <s v="Main Entrance"/>
    <s v="None/Dropoff/Transit"/>
    <n v="11.9"/>
    <n v="13"/>
    <x v="2879"/>
  </r>
  <r>
    <n v="3065"/>
    <n v="1001"/>
    <d v="2026-05-14T00:00:00"/>
    <s v="Thursday"/>
    <n v="5"/>
    <n v="12.37"/>
    <x v="1"/>
    <x v="37"/>
    <s v="Female"/>
    <n v="61"/>
    <n v="142.30000000000001"/>
    <n v="26.9"/>
    <n v="14"/>
    <s v="WA"/>
    <n v="6"/>
    <n v="1089"/>
    <s v="Middle"/>
    <n v="1"/>
    <s v="Single-Day"/>
    <n v="0"/>
    <n v="0"/>
    <s v="Main Entrance"/>
    <s v="None/Dropoff/Transit"/>
    <n v="5.9"/>
    <n v="5"/>
    <x v="2880"/>
  </r>
  <r>
    <n v="3066"/>
    <n v="1001"/>
    <d v="2026-05-14T00:00:00"/>
    <s v="Thursday"/>
    <n v="5"/>
    <n v="12.16"/>
    <x v="1"/>
    <x v="23"/>
    <s v="Male"/>
    <n v="69"/>
    <n v="180"/>
    <n v="26.5"/>
    <n v="15"/>
    <s v="WA"/>
    <n v="6"/>
    <n v="1089"/>
    <s v="Middle"/>
    <n v="1"/>
    <s v="Single-Day"/>
    <n v="0"/>
    <n v="0"/>
    <s v="Main Entrance"/>
    <s v="None/Dropoff/Transit"/>
    <n v="10.1"/>
    <n v="15"/>
    <x v="2881"/>
  </r>
  <r>
    <n v="3067"/>
    <n v="1001"/>
    <d v="2026-05-14T00:00:00"/>
    <s v="Thursday"/>
    <n v="5"/>
    <n v="12.31"/>
    <x v="1"/>
    <x v="1"/>
    <s v="Male"/>
    <n v="66.099999999999994"/>
    <n v="185.4"/>
    <n v="29.8"/>
    <n v="13"/>
    <s v="WA"/>
    <n v="6"/>
    <n v="1089"/>
    <s v="Middle"/>
    <n v="1"/>
    <s v="Single-Day"/>
    <n v="0"/>
    <n v="0"/>
    <s v="Main Entrance"/>
    <s v="None/Dropoff/Transit"/>
    <n v="8.6999999999999993"/>
    <n v="10"/>
    <x v="2882"/>
  </r>
  <r>
    <n v="3068"/>
    <n v="1001"/>
    <d v="2026-05-14T00:00:00"/>
    <s v="Thursday"/>
    <n v="5"/>
    <n v="12.26"/>
    <x v="1"/>
    <x v="40"/>
    <s v="Female"/>
    <n v="67.2"/>
    <n v="133.19999999999999"/>
    <n v="20.9"/>
    <n v="13"/>
    <s v="WA"/>
    <n v="6"/>
    <n v="1089"/>
    <s v="Middle"/>
    <n v="1"/>
    <s v="Single-Day"/>
    <n v="0"/>
    <n v="0"/>
    <s v="Main Entrance"/>
    <s v="None/Dropoff/Transit"/>
    <n v="5.7"/>
    <n v="12"/>
    <x v="2883"/>
  </r>
  <r>
    <n v="3069"/>
    <n v="1001"/>
    <d v="2026-05-14T00:00:00"/>
    <s v="Thursday"/>
    <n v="5"/>
    <n v="12.13"/>
    <x v="1"/>
    <x v="39"/>
    <s v="Female"/>
    <n v="65.099999999999994"/>
    <n v="116.4"/>
    <n v="19.399999999999999"/>
    <n v="16"/>
    <s v="WA"/>
    <n v="6"/>
    <n v="1089"/>
    <s v="Middle"/>
    <n v="1"/>
    <s v="Single-Day"/>
    <n v="0"/>
    <n v="0"/>
    <s v="Main Entrance"/>
    <s v="None/Dropoff/Transit"/>
    <n v="8.1999999999999993"/>
    <n v="10"/>
    <x v="2884"/>
  </r>
  <r>
    <n v="3070"/>
    <n v="1002"/>
    <d v="2026-12-26T00:00:00"/>
    <s v="Saturday"/>
    <n v="12"/>
    <n v="10.85"/>
    <x v="0"/>
    <x v="15"/>
    <s v="Male"/>
    <n v="70.5"/>
    <n v="156"/>
    <n v="21.8"/>
    <n v="16"/>
    <s v="CA"/>
    <n v="4"/>
    <n v="85.9"/>
    <s v="Middle"/>
    <n v="0"/>
    <s v="Park Hopper"/>
    <n v="1"/>
    <n v="0"/>
    <s v="Main Entrance"/>
    <s v="None/Dropoff/Transit"/>
    <n v="6.7"/>
    <n v="6"/>
    <x v="2885"/>
  </r>
  <r>
    <n v="3071"/>
    <n v="1002"/>
    <d v="2026-12-26T00:00:00"/>
    <s v="Saturday"/>
    <n v="12"/>
    <n v="10.96"/>
    <x v="0"/>
    <x v="61"/>
    <s v="Male"/>
    <n v="65"/>
    <n v="123.4"/>
    <n v="20.6"/>
    <n v="15"/>
    <s v="CA"/>
    <n v="4"/>
    <n v="85.9"/>
    <s v="Middle"/>
    <n v="0"/>
    <s v="Park Hopper"/>
    <n v="1"/>
    <n v="0"/>
    <s v="Main Entrance"/>
    <s v="None/Dropoff/Transit"/>
    <n v="8.6"/>
    <n v="15"/>
    <x v="2886"/>
  </r>
  <r>
    <n v="3072"/>
    <n v="1002"/>
    <d v="2026-12-26T00:00:00"/>
    <s v="Saturday"/>
    <n v="12"/>
    <n v="11.03"/>
    <x v="1"/>
    <x v="10"/>
    <s v="Female"/>
    <n v="62.6"/>
    <n v="114.8"/>
    <n v="20.5"/>
    <n v="17"/>
    <s v="CA"/>
    <n v="4"/>
    <n v="85.9"/>
    <s v="Middle"/>
    <n v="0"/>
    <s v="Park Hopper"/>
    <n v="1"/>
    <n v="0"/>
    <s v="Main Entrance"/>
    <s v="None/Dropoff/Transit"/>
    <n v="9.3000000000000007"/>
    <n v="13"/>
    <x v="2887"/>
  </r>
  <r>
    <n v="3073"/>
    <n v="1002"/>
    <d v="2026-12-26T00:00:00"/>
    <s v="Saturday"/>
    <n v="12"/>
    <n v="11.02"/>
    <x v="1"/>
    <x v="61"/>
    <s v="Female"/>
    <n v="67.5"/>
    <n v="106.4"/>
    <n v="16.7"/>
    <n v="13"/>
    <s v="CA"/>
    <n v="4"/>
    <n v="85.9"/>
    <s v="Middle"/>
    <n v="0"/>
    <s v="Park Hopper"/>
    <n v="1"/>
    <n v="0"/>
    <s v="Main Entrance"/>
    <s v="None/Dropoff/Transit"/>
    <n v="8.1"/>
    <n v="8"/>
    <x v="2670"/>
  </r>
  <r>
    <n v="3074"/>
    <n v="1003"/>
    <d v="2026-12-01T00:00:00"/>
    <s v="Tuesday"/>
    <n v="12"/>
    <n v="9.08"/>
    <x v="0"/>
    <x v="28"/>
    <s v="Male"/>
    <n v="71.7"/>
    <n v="205.8"/>
    <n v="28.3"/>
    <n v="13"/>
    <s v="CA"/>
    <n v="2"/>
    <n v="142.1"/>
    <s v="Middle"/>
    <n v="0"/>
    <s v="Park Hopper"/>
    <n v="0"/>
    <n v="0"/>
    <s v="Main Entrance"/>
    <s v="None/Dropoff/Transit"/>
    <n v="9.3000000000000007"/>
    <n v="6"/>
    <x v="2888"/>
  </r>
  <r>
    <n v="3075"/>
    <n v="1003"/>
    <d v="2026-12-01T00:00:00"/>
    <s v="Tuesday"/>
    <n v="12"/>
    <n v="9.11"/>
    <x v="0"/>
    <x v="0"/>
    <s v="Female"/>
    <n v="60.6"/>
    <n v="143.1"/>
    <n v="27.6"/>
    <n v="17"/>
    <s v="CA"/>
    <n v="2"/>
    <n v="142.1"/>
    <s v="Middle"/>
    <n v="0"/>
    <s v="Park Hopper"/>
    <n v="0"/>
    <n v="0"/>
    <s v="Main Entrance"/>
    <s v="None/Dropoff/Transit"/>
    <n v="8"/>
    <n v="3"/>
    <x v="2889"/>
  </r>
  <r>
    <n v="3076"/>
    <n v="1004"/>
    <d v="2026-09-23T00:00:00"/>
    <s v="Wednesday"/>
    <n v="9"/>
    <n v="10.68"/>
    <x v="0"/>
    <x v="30"/>
    <s v="Female"/>
    <n v="61.2"/>
    <n v="170.7"/>
    <n v="32"/>
    <n v="19"/>
    <s v="IL"/>
    <n v="4"/>
    <n v="1781.8"/>
    <s v="High"/>
    <n v="0"/>
    <s v="Single-Day"/>
    <n v="1"/>
    <n v="0"/>
    <s v="Main Entrance"/>
    <s v="Mickey &amp; Friends"/>
    <n v="7.7"/>
    <n v="8"/>
    <x v="2890"/>
  </r>
  <r>
    <n v="3077"/>
    <n v="1004"/>
    <d v="2026-09-23T00:00:00"/>
    <s v="Wednesday"/>
    <n v="9"/>
    <n v="10.47"/>
    <x v="0"/>
    <x v="68"/>
    <s v="Female"/>
    <n v="60.7"/>
    <n v="123.5"/>
    <n v="23.4"/>
    <n v="21"/>
    <s v="IL"/>
    <n v="4"/>
    <n v="1781.8"/>
    <s v="High"/>
    <n v="0"/>
    <s v="Single-Day"/>
    <n v="1"/>
    <n v="0"/>
    <s v="Main Entrance"/>
    <s v="Mickey &amp; Friends"/>
    <n v="9.3000000000000007"/>
    <n v="13"/>
    <x v="415"/>
  </r>
  <r>
    <n v="3078"/>
    <n v="1004"/>
    <d v="2026-09-23T00:00:00"/>
    <s v="Wednesday"/>
    <n v="9"/>
    <n v="10.66"/>
    <x v="0"/>
    <x v="48"/>
    <s v="Female"/>
    <n v="58.6"/>
    <n v="142.9"/>
    <n v="29"/>
    <n v="22"/>
    <s v="IL"/>
    <n v="4"/>
    <n v="1781.8"/>
    <s v="High"/>
    <n v="0"/>
    <s v="Single-Day"/>
    <n v="1"/>
    <n v="0"/>
    <s v="Main Entrance"/>
    <s v="Mickey &amp; Friends"/>
    <n v="9.1999999999999993"/>
    <n v="14"/>
    <x v="2891"/>
  </r>
  <r>
    <n v="3079"/>
    <n v="1004"/>
    <d v="2026-09-23T00:00:00"/>
    <s v="Wednesday"/>
    <n v="9"/>
    <n v="10.45"/>
    <x v="0"/>
    <x v="58"/>
    <s v="Male"/>
    <n v="70.7"/>
    <n v="209.1"/>
    <n v="29.4"/>
    <n v="16"/>
    <s v="IL"/>
    <n v="4"/>
    <n v="1781.8"/>
    <s v="High"/>
    <n v="0"/>
    <s v="Single-Day"/>
    <n v="1"/>
    <n v="0"/>
    <s v="Main Entrance"/>
    <s v="Mickey &amp; Friends"/>
    <n v="7.8"/>
    <n v="5"/>
    <x v="2892"/>
  </r>
  <r>
    <n v="3080"/>
    <n v="1005"/>
    <d v="2026-10-22T00:00:00"/>
    <s v="Thursday"/>
    <n v="10"/>
    <n v="9.07"/>
    <x v="0"/>
    <x v="55"/>
    <s v="Female"/>
    <n v="62.9"/>
    <n v="163.19999999999999"/>
    <n v="29.1"/>
    <n v="18"/>
    <s v="WA"/>
    <n v="3"/>
    <n v="917.8"/>
    <s v="Middle"/>
    <n v="0"/>
    <s v="Single-Day"/>
    <n v="0"/>
    <n v="0"/>
    <s v="Main Entrance"/>
    <s v="Mickey &amp; Friends"/>
    <n v="9.1"/>
    <n v="6"/>
    <x v="760"/>
  </r>
  <r>
    <n v="3081"/>
    <n v="1005"/>
    <d v="2026-10-22T00:00:00"/>
    <s v="Thursday"/>
    <n v="10"/>
    <n v="9"/>
    <x v="0"/>
    <x v="22"/>
    <s v="Female"/>
    <n v="61.4"/>
    <n v="86"/>
    <n v="16.3"/>
    <n v="12"/>
    <s v="WA"/>
    <n v="3"/>
    <n v="917.8"/>
    <s v="Middle"/>
    <n v="0"/>
    <s v="Single-Day"/>
    <n v="0"/>
    <n v="0"/>
    <s v="Main Entrance"/>
    <s v="Mickey &amp; Friends"/>
    <n v="6.6"/>
    <n v="7"/>
    <x v="2893"/>
  </r>
  <r>
    <n v="3082"/>
    <n v="1005"/>
    <d v="2026-10-22T00:00:00"/>
    <s v="Thursday"/>
    <n v="10"/>
    <n v="9.16"/>
    <x v="0"/>
    <x v="20"/>
    <s v="Female"/>
    <n v="70"/>
    <n v="136.9"/>
    <n v="19.600000000000001"/>
    <n v="13"/>
    <s v="WA"/>
    <n v="3"/>
    <n v="917.8"/>
    <s v="Middle"/>
    <n v="0"/>
    <s v="Single-Day"/>
    <n v="0"/>
    <n v="0"/>
    <s v="Main Entrance"/>
    <s v="Mickey &amp; Friends"/>
    <n v="8.9"/>
    <n v="10"/>
    <x v="1439"/>
  </r>
  <r>
    <n v="3083"/>
    <n v="1006"/>
    <d v="2026-07-26T00:00:00"/>
    <s v="Sunday"/>
    <n v="7"/>
    <n v="10.31"/>
    <x v="0"/>
    <x v="37"/>
    <s v="Male"/>
    <n v="69"/>
    <n v="148"/>
    <n v="21.8"/>
    <n v="17"/>
    <s v="UT"/>
    <n v="1"/>
    <n v="760.1"/>
    <s v="Middle"/>
    <n v="1"/>
    <s v="Multi-Day"/>
    <n v="1"/>
    <n v="1"/>
    <s v="Hotel Guest Entrance"/>
    <s v="None/Walked from Resort"/>
    <n v="8.5"/>
    <n v="7"/>
    <x v="1151"/>
  </r>
  <r>
    <n v="3084"/>
    <n v="1007"/>
    <d v="2026-04-13T00:00:00"/>
    <s v="Monday"/>
    <n v="4"/>
    <n v="10.09"/>
    <x v="0"/>
    <x v="50"/>
    <s v="Male"/>
    <n v="70"/>
    <n v="120.8"/>
    <n v="17.399999999999999"/>
    <n v="13"/>
    <s v="CA"/>
    <n v="3"/>
    <n v="99.8"/>
    <s v="Middle"/>
    <n v="0"/>
    <s v="Park Hopper"/>
    <n v="0"/>
    <n v="0"/>
    <s v="Hotel Guest Entrance"/>
    <s v="None/Dropoff/Transit"/>
    <n v="7.2"/>
    <n v="11"/>
    <x v="2894"/>
  </r>
  <r>
    <n v="3085"/>
    <n v="1007"/>
    <d v="2026-04-13T00:00:00"/>
    <s v="Monday"/>
    <n v="4"/>
    <n v="10.210000000000001"/>
    <x v="0"/>
    <x v="38"/>
    <s v="Female"/>
    <n v="67.2"/>
    <n v="141.9"/>
    <n v="22.2"/>
    <n v="8"/>
    <s v="CA"/>
    <n v="3"/>
    <n v="99.8"/>
    <s v="Middle"/>
    <n v="0"/>
    <s v="Park Hopper"/>
    <n v="0"/>
    <n v="0"/>
    <s v="Hotel Guest Entrance"/>
    <s v="None/Dropoff/Transit"/>
    <n v="9.8000000000000007"/>
    <n v="7"/>
    <x v="2895"/>
  </r>
  <r>
    <n v="3086"/>
    <n v="1007"/>
    <d v="2026-04-13T00:00:00"/>
    <s v="Monday"/>
    <n v="4"/>
    <n v="10.44"/>
    <x v="0"/>
    <x v="14"/>
    <s v="Male"/>
    <n v="71.400000000000006"/>
    <n v="209.9"/>
    <n v="28.9"/>
    <n v="16"/>
    <s v="CA"/>
    <n v="3"/>
    <n v="99.8"/>
    <s v="Middle"/>
    <n v="0"/>
    <s v="Park Hopper"/>
    <n v="0"/>
    <n v="0"/>
    <s v="Hotel Guest Entrance"/>
    <s v="None/Dropoff/Transit"/>
    <n v="8.9"/>
    <n v="6"/>
    <x v="2896"/>
  </r>
  <r>
    <n v="3087"/>
    <n v="1008"/>
    <d v="2026-07-21T00:00:00"/>
    <s v="Tuesday"/>
    <n v="7"/>
    <n v="8.65"/>
    <x v="0"/>
    <x v="34"/>
    <s v="Female"/>
    <n v="59.5"/>
    <n v="100.1"/>
    <n v="19.899999999999999"/>
    <n v="18"/>
    <s v="CA"/>
    <n v="2"/>
    <n v="68.3"/>
    <s v="High"/>
    <n v="0"/>
    <s v="Single-Day"/>
    <n v="1"/>
    <n v="0"/>
    <s v="Main Entrance"/>
    <s v="Toy Story Lot"/>
    <n v="9.5"/>
    <n v="5"/>
    <x v="2897"/>
  </r>
  <r>
    <n v="3088"/>
    <n v="1008"/>
    <d v="2026-07-21T00:00:00"/>
    <s v="Tuesday"/>
    <n v="7"/>
    <n v="8.44"/>
    <x v="0"/>
    <x v="21"/>
    <s v="Male"/>
    <n v="68.3"/>
    <n v="181.7"/>
    <n v="27.4"/>
    <n v="14"/>
    <s v="CA"/>
    <n v="2"/>
    <n v="68.3"/>
    <s v="High"/>
    <n v="0"/>
    <s v="Single-Day"/>
    <n v="1"/>
    <n v="0"/>
    <s v="Main Entrance"/>
    <s v="Toy Story Lot"/>
    <n v="8.8000000000000007"/>
    <n v="9"/>
    <x v="2898"/>
  </r>
  <r>
    <n v="3089"/>
    <n v="1009"/>
    <d v="2026-01-27T00:00:00"/>
    <s v="Tuesday"/>
    <n v="1"/>
    <n v="12.68"/>
    <x v="1"/>
    <x v="16"/>
    <s v="Female"/>
    <n v="60.1"/>
    <n v="115.5"/>
    <n v="22.4"/>
    <n v="14"/>
    <s v="CA"/>
    <n v="5"/>
    <n v="57.6"/>
    <s v="Middle"/>
    <n v="0"/>
    <s v="Multi-Day"/>
    <n v="1"/>
    <n v="0"/>
    <s v="Main Entrance"/>
    <s v="Mickey &amp; Friends"/>
    <n v="8.4"/>
    <n v="14"/>
    <x v="2899"/>
  </r>
  <r>
    <n v="3090"/>
    <n v="1009"/>
    <d v="2026-01-27T00:00:00"/>
    <s v="Tuesday"/>
    <n v="1"/>
    <n v="12.55"/>
    <x v="1"/>
    <x v="36"/>
    <s v="Female"/>
    <n v="65.7"/>
    <n v="139.4"/>
    <n v="22.7"/>
    <n v="12"/>
    <s v="CA"/>
    <n v="5"/>
    <n v="57.6"/>
    <s v="Middle"/>
    <n v="0"/>
    <s v="Multi-Day"/>
    <n v="1"/>
    <n v="0"/>
    <s v="Main Entrance"/>
    <s v="Mickey &amp; Friends"/>
    <n v="8.4"/>
    <n v="10"/>
    <x v="2900"/>
  </r>
  <r>
    <n v="3091"/>
    <n v="1009"/>
    <d v="2026-01-27T00:00:00"/>
    <s v="Tuesday"/>
    <n v="1"/>
    <n v="12.49"/>
    <x v="1"/>
    <x v="15"/>
    <s v="Male"/>
    <n v="66.099999999999994"/>
    <n v="155.1"/>
    <n v="25"/>
    <n v="13"/>
    <s v="CA"/>
    <n v="5"/>
    <n v="57.6"/>
    <s v="Middle"/>
    <n v="0"/>
    <s v="Multi-Day"/>
    <n v="1"/>
    <n v="0"/>
    <s v="Main Entrance"/>
    <s v="Mickey &amp; Friends"/>
    <n v="6"/>
    <n v="9"/>
    <x v="2901"/>
  </r>
  <r>
    <n v="3092"/>
    <n v="1009"/>
    <d v="2026-01-27T00:00:00"/>
    <s v="Tuesday"/>
    <n v="1"/>
    <n v="12.7"/>
    <x v="1"/>
    <x v="0"/>
    <s v="Male"/>
    <n v="62.3"/>
    <n v="118.9"/>
    <n v="21.5"/>
    <n v="11"/>
    <s v="CA"/>
    <n v="5"/>
    <n v="57.6"/>
    <s v="Middle"/>
    <n v="0"/>
    <s v="Multi-Day"/>
    <n v="1"/>
    <n v="0"/>
    <s v="Main Entrance"/>
    <s v="Mickey &amp; Friends"/>
    <n v="8.3000000000000007"/>
    <n v="16"/>
    <x v="2902"/>
  </r>
  <r>
    <n v="3093"/>
    <n v="1009"/>
    <d v="2026-01-27T00:00:00"/>
    <s v="Tuesday"/>
    <n v="1"/>
    <n v="12.52"/>
    <x v="1"/>
    <x v="22"/>
    <s v="Nonbinary/Other"/>
    <n v="65.900000000000006"/>
    <n v="102.8"/>
    <n v="16.399999999999999"/>
    <n v="9"/>
    <s v="CA"/>
    <n v="5"/>
    <n v="57.6"/>
    <s v="Middle"/>
    <n v="0"/>
    <s v="Multi-Day"/>
    <n v="1"/>
    <n v="0"/>
    <s v="Main Entrance"/>
    <s v="Mickey &amp; Friends"/>
    <n v="8.6"/>
    <n v="7"/>
    <x v="1107"/>
  </r>
  <r>
    <n v="3094"/>
    <n v="1010"/>
    <d v="2026-09-06T00:00:00"/>
    <s v="Sunday"/>
    <n v="9"/>
    <n v="9.67"/>
    <x v="0"/>
    <x v="34"/>
    <s v="Male"/>
    <n v="73.599999999999994"/>
    <n v="201.8"/>
    <n v="26.2"/>
    <n v="19"/>
    <s v="CA"/>
    <n v="3"/>
    <n v="183.7"/>
    <s v="High"/>
    <n v="0"/>
    <s v="Single-Day"/>
    <n v="1"/>
    <n v="1"/>
    <s v="Main Entrance"/>
    <s v="Mickey &amp; Friends"/>
    <n v="9.6"/>
    <n v="11"/>
    <x v="2903"/>
  </r>
  <r>
    <n v="3095"/>
    <n v="1010"/>
    <d v="2026-09-06T00:00:00"/>
    <s v="Sunday"/>
    <n v="9"/>
    <n v="9.52"/>
    <x v="0"/>
    <x v="10"/>
    <s v="Male"/>
    <n v="72"/>
    <n v="224.9"/>
    <n v="30.2"/>
    <n v="16"/>
    <s v="CA"/>
    <n v="3"/>
    <n v="183.7"/>
    <s v="High"/>
    <n v="0"/>
    <s v="Single-Day"/>
    <n v="1"/>
    <n v="1"/>
    <s v="Main Entrance"/>
    <s v="Mickey &amp; Friends"/>
    <n v="8.8000000000000007"/>
    <n v="2"/>
    <x v="979"/>
  </r>
  <r>
    <n v="3096"/>
    <n v="1010"/>
    <d v="2026-09-06T00:00:00"/>
    <s v="Sunday"/>
    <n v="9"/>
    <n v="9.67"/>
    <x v="0"/>
    <x v="20"/>
    <s v="Female"/>
    <n v="69.3"/>
    <n v="90.2"/>
    <n v="13.2"/>
    <n v="14"/>
    <s v="CA"/>
    <n v="3"/>
    <n v="183.7"/>
    <s v="High"/>
    <n v="0"/>
    <s v="Single-Day"/>
    <n v="1"/>
    <n v="1"/>
    <s v="Main Entrance"/>
    <s v="Mickey &amp; Friends"/>
    <n v="8.4"/>
    <n v="10"/>
    <x v="2904"/>
  </r>
  <r>
    <n v="3097"/>
    <n v="1011"/>
    <d v="2026-01-27T00:00:00"/>
    <s v="Tuesday"/>
    <n v="1"/>
    <n v="9.18"/>
    <x v="0"/>
    <x v="14"/>
    <s v="Female"/>
    <n v="56.8"/>
    <n v="109.4"/>
    <n v="24.1"/>
    <n v="16"/>
    <s v="TX"/>
    <n v="3"/>
    <n v="716.6"/>
    <s v="Low"/>
    <n v="0"/>
    <s v="Park Hopper"/>
    <n v="0"/>
    <n v="0"/>
    <s v="Main Entrance"/>
    <s v="Pixar Pals"/>
    <n v="9.6"/>
    <n v="6"/>
    <x v="2905"/>
  </r>
  <r>
    <n v="3098"/>
    <n v="1011"/>
    <d v="2026-01-27T00:00:00"/>
    <s v="Tuesday"/>
    <n v="1"/>
    <n v="9.26"/>
    <x v="0"/>
    <x v="78"/>
    <s v="Male"/>
    <n v="67.599999999999994"/>
    <n v="139.9"/>
    <n v="21.7"/>
    <n v="10"/>
    <s v="TX"/>
    <n v="3"/>
    <n v="716.6"/>
    <s v="Low"/>
    <n v="0"/>
    <s v="Park Hopper"/>
    <n v="0"/>
    <n v="0"/>
    <s v="Main Entrance"/>
    <s v="Pixar Pals"/>
    <n v="7.9"/>
    <n v="11"/>
    <x v="2906"/>
  </r>
  <r>
    <n v="3099"/>
    <n v="1011"/>
    <d v="2026-01-27T00:00:00"/>
    <s v="Tuesday"/>
    <n v="1"/>
    <n v="9.1199999999999992"/>
    <x v="0"/>
    <x v="56"/>
    <s v="Male"/>
    <n v="72.5"/>
    <n v="229.3"/>
    <n v="30.7"/>
    <n v="14"/>
    <s v="TX"/>
    <n v="3"/>
    <n v="716.6"/>
    <s v="Low"/>
    <n v="0"/>
    <s v="Park Hopper"/>
    <n v="0"/>
    <n v="0"/>
    <s v="Main Entrance"/>
    <s v="Pixar Pals"/>
    <n v="7.7"/>
    <n v="7"/>
    <x v="2907"/>
  </r>
  <r>
    <n v="3100"/>
    <n v="1012"/>
    <d v="2026-12-09T00:00:00"/>
    <s v="Wednesday"/>
    <n v="12"/>
    <n v="9.09"/>
    <x v="0"/>
    <x v="28"/>
    <s v="Female"/>
    <n v="66.599999999999994"/>
    <n v="195.4"/>
    <n v="30.8"/>
    <n v="19"/>
    <s v="CA"/>
    <n v="2"/>
    <n v="63.3"/>
    <s v="High"/>
    <n v="1"/>
    <s v="Park Hopper"/>
    <n v="0"/>
    <n v="1"/>
    <s v="Main Entrance"/>
    <s v="None/Walked from Resort"/>
    <n v="10.8"/>
    <n v="11"/>
    <x v="2908"/>
  </r>
  <r>
    <n v="3101"/>
    <n v="1012"/>
    <d v="2026-12-09T00:00:00"/>
    <s v="Wednesday"/>
    <n v="12"/>
    <n v="8.9700000000000006"/>
    <x v="0"/>
    <x v="66"/>
    <s v="Female"/>
    <n v="66.8"/>
    <n v="220.5"/>
    <n v="34.9"/>
    <n v="16"/>
    <s v="CA"/>
    <n v="2"/>
    <n v="63.3"/>
    <s v="High"/>
    <n v="1"/>
    <s v="Park Hopper"/>
    <n v="0"/>
    <n v="1"/>
    <s v="Main Entrance"/>
    <s v="None/Walked from Resort"/>
    <n v="11.3"/>
    <n v="10"/>
    <x v="2909"/>
  </r>
  <r>
    <n v="3102"/>
    <n v="1013"/>
    <d v="2026-04-12T00:00:00"/>
    <s v="Sunday"/>
    <n v="4"/>
    <n v="11.31"/>
    <x v="1"/>
    <x v="4"/>
    <s v="Male"/>
    <n v="69.099999999999994"/>
    <n v="119.4"/>
    <n v="17.5"/>
    <n v="13"/>
    <s v="IL"/>
    <n v="2"/>
    <n v="2122.6"/>
    <s v="Middle"/>
    <n v="1"/>
    <s v="Multi-Day"/>
    <n v="0"/>
    <n v="0"/>
    <s v="Downtown Disney Gate"/>
    <s v="Mickey &amp; Friends"/>
    <n v="7.8"/>
    <n v="4"/>
    <x v="2910"/>
  </r>
  <r>
    <n v="3103"/>
    <n v="1013"/>
    <d v="2026-04-12T00:00:00"/>
    <s v="Sunday"/>
    <n v="4"/>
    <n v="11.29"/>
    <x v="1"/>
    <x v="31"/>
    <s v="Female"/>
    <n v="66"/>
    <n v="164.2"/>
    <n v="26.3"/>
    <n v="14"/>
    <s v="IL"/>
    <n v="2"/>
    <n v="2122.6"/>
    <s v="Middle"/>
    <n v="1"/>
    <s v="Multi-Day"/>
    <n v="0"/>
    <n v="0"/>
    <s v="Downtown Disney Gate"/>
    <s v="Mickey &amp; Friends"/>
    <n v="9.9"/>
    <n v="9"/>
    <x v="2911"/>
  </r>
  <r>
    <n v="3104"/>
    <n v="1014"/>
    <d v="2026-10-22T00:00:00"/>
    <s v="Thursday"/>
    <n v="10"/>
    <n v="9.7899999999999991"/>
    <x v="0"/>
    <x v="56"/>
    <s v="Male"/>
    <n v="71.2"/>
    <n v="223.8"/>
    <n v="30.7"/>
    <n v="14"/>
    <s v="CA"/>
    <n v="2"/>
    <n v="131.4"/>
    <s v="Middle"/>
    <n v="1"/>
    <s v="Park Hopper"/>
    <n v="0"/>
    <n v="0"/>
    <s v="Downtown Disney Gate"/>
    <s v="Toy Story Lot"/>
    <n v="8.8000000000000007"/>
    <n v="9"/>
    <x v="1689"/>
  </r>
  <r>
    <n v="3105"/>
    <n v="1014"/>
    <d v="2026-10-22T00:00:00"/>
    <s v="Thursday"/>
    <n v="10"/>
    <n v="9.59"/>
    <x v="0"/>
    <x v="64"/>
    <s v="Male"/>
    <n v="56"/>
    <n v="89.3"/>
    <n v="19.7"/>
    <n v="13"/>
    <s v="CA"/>
    <n v="2"/>
    <n v="131.4"/>
    <s v="Middle"/>
    <n v="1"/>
    <s v="Park Hopper"/>
    <n v="0"/>
    <n v="0"/>
    <s v="Downtown Disney Gate"/>
    <s v="Toy Story Lot"/>
    <n v="13.3"/>
    <n v="16"/>
    <x v="2912"/>
  </r>
  <r>
    <n v="3106"/>
    <n v="1015"/>
    <d v="2026-04-14T00:00:00"/>
    <s v="Tuesday"/>
    <n v="4"/>
    <n v="11.44"/>
    <x v="1"/>
    <x v="38"/>
    <s v="Male"/>
    <n v="72.099999999999994"/>
    <n v="205.6"/>
    <n v="27.8"/>
    <n v="17"/>
    <s v="CA"/>
    <n v="5"/>
    <n v="11.9"/>
    <s v="Middle"/>
    <n v="0"/>
    <s v="Multi-Day"/>
    <n v="0"/>
    <n v="0"/>
    <s v="Main Entrance"/>
    <s v="Mickey &amp; Friends"/>
    <n v="8.3000000000000007"/>
    <n v="8"/>
    <x v="2913"/>
  </r>
  <r>
    <n v="3107"/>
    <n v="1015"/>
    <d v="2026-04-14T00:00:00"/>
    <s v="Tuesday"/>
    <n v="4"/>
    <n v="11.31"/>
    <x v="1"/>
    <x v="71"/>
    <s v="Male"/>
    <n v="65.7"/>
    <n v="188.9"/>
    <n v="30.8"/>
    <n v="16"/>
    <s v="CA"/>
    <n v="5"/>
    <n v="11.9"/>
    <s v="Middle"/>
    <n v="0"/>
    <s v="Multi-Day"/>
    <n v="0"/>
    <n v="0"/>
    <s v="Main Entrance"/>
    <s v="Mickey &amp; Friends"/>
    <n v="3.5"/>
    <n v="2"/>
    <x v="2914"/>
  </r>
  <r>
    <n v="3108"/>
    <n v="1015"/>
    <d v="2026-04-14T00:00:00"/>
    <s v="Tuesday"/>
    <n v="4"/>
    <n v="11.57"/>
    <x v="1"/>
    <x v="71"/>
    <s v="Female"/>
    <n v="65.599999999999994"/>
    <n v="117.8"/>
    <n v="19.100000000000001"/>
    <n v="13"/>
    <s v="CA"/>
    <n v="5"/>
    <n v="11.9"/>
    <s v="Middle"/>
    <n v="0"/>
    <s v="Multi-Day"/>
    <n v="0"/>
    <n v="0"/>
    <s v="Main Entrance"/>
    <s v="Mickey &amp; Friends"/>
    <n v="7.5"/>
    <n v="3"/>
    <x v="2915"/>
  </r>
  <r>
    <n v="3109"/>
    <n v="1015"/>
    <d v="2026-04-14T00:00:00"/>
    <s v="Tuesday"/>
    <n v="4"/>
    <n v="11.42"/>
    <x v="1"/>
    <x v="18"/>
    <s v="Female"/>
    <n v="62.2"/>
    <n v="161"/>
    <n v="29.5"/>
    <n v="14"/>
    <s v="CA"/>
    <n v="5"/>
    <n v="11.9"/>
    <s v="Middle"/>
    <n v="0"/>
    <s v="Multi-Day"/>
    <n v="0"/>
    <n v="0"/>
    <s v="Main Entrance"/>
    <s v="Mickey &amp; Friends"/>
    <n v="8.6999999999999993"/>
    <n v="8"/>
    <x v="2916"/>
  </r>
  <r>
    <n v="3110"/>
    <n v="1015"/>
    <d v="2026-04-14T00:00:00"/>
    <s v="Tuesday"/>
    <n v="4"/>
    <n v="11.37"/>
    <x v="1"/>
    <x v="66"/>
    <s v="Male"/>
    <n v="70"/>
    <n v="161"/>
    <n v="23.3"/>
    <n v="15"/>
    <s v="CA"/>
    <n v="5"/>
    <n v="11.9"/>
    <s v="Middle"/>
    <n v="0"/>
    <s v="Multi-Day"/>
    <n v="0"/>
    <n v="0"/>
    <s v="Main Entrance"/>
    <s v="Mickey &amp; Friends"/>
    <n v="8.1"/>
    <n v="7"/>
    <x v="2917"/>
  </r>
  <r>
    <n v="3111"/>
    <n v="1016"/>
    <d v="2026-12-04T00:00:00"/>
    <s v="Friday"/>
    <n v="12"/>
    <n v="10.050000000000001"/>
    <x v="0"/>
    <x v="45"/>
    <s v="Female"/>
    <n v="64.599999999999994"/>
    <n v="167.4"/>
    <n v="28.2"/>
    <n v="16"/>
    <s v="WI"/>
    <n v="1"/>
    <n v="2267.1"/>
    <s v="Middle"/>
    <n v="1"/>
    <s v="Single-Day"/>
    <n v="0"/>
    <n v="0"/>
    <s v="Main Entrance"/>
    <s v="None/Dropoff/Transit"/>
    <n v="6.6"/>
    <n v="3"/>
    <x v="811"/>
  </r>
  <r>
    <n v="3112"/>
    <n v="1017"/>
    <d v="2026-11-26T00:00:00"/>
    <s v="Thursday"/>
    <n v="11"/>
    <n v="11.56"/>
    <x v="1"/>
    <x v="64"/>
    <s v="Male"/>
    <n v="50.6"/>
    <n v="79.400000000000006"/>
    <n v="21.7"/>
    <n v="11"/>
    <s v="CA"/>
    <n v="2"/>
    <n v="2"/>
    <s v="Middle"/>
    <n v="0"/>
    <s v="Park Hopper"/>
    <n v="1"/>
    <n v="0"/>
    <s v="Main Entrance"/>
    <s v="Pixar Pals"/>
    <n v="8.4"/>
    <n v="10"/>
    <x v="2918"/>
  </r>
  <r>
    <n v="3113"/>
    <n v="1017"/>
    <d v="2026-11-26T00:00:00"/>
    <s v="Thursday"/>
    <n v="11"/>
    <n v="11.61"/>
    <x v="1"/>
    <x v="38"/>
    <s v="Female"/>
    <n v="64.5"/>
    <n v="126.2"/>
    <n v="21.5"/>
    <n v="12"/>
    <s v="CA"/>
    <n v="2"/>
    <n v="2"/>
    <s v="Middle"/>
    <n v="0"/>
    <s v="Park Hopper"/>
    <n v="1"/>
    <n v="0"/>
    <s v="Main Entrance"/>
    <s v="Pixar Pals"/>
    <n v="6.1"/>
    <n v="7"/>
    <x v="1370"/>
  </r>
  <r>
    <n v="3114"/>
    <n v="1018"/>
    <d v="2026-08-04T00:00:00"/>
    <s v="Tuesday"/>
    <n v="8"/>
    <n v="9.9700000000000006"/>
    <x v="0"/>
    <x v="35"/>
    <s v="Female"/>
    <n v="66.2"/>
    <n v="137.4"/>
    <n v="22.2"/>
    <n v="15"/>
    <s v="TX"/>
    <n v="4"/>
    <n v="1259"/>
    <s v="Middle"/>
    <n v="1"/>
    <s v="Single-Day"/>
    <n v="0"/>
    <n v="0"/>
    <s v="Main Entrance"/>
    <s v="Mickey &amp; Friends"/>
    <n v="11.5"/>
    <n v="7"/>
    <x v="2919"/>
  </r>
  <r>
    <n v="3115"/>
    <n v="1018"/>
    <d v="2026-08-04T00:00:00"/>
    <s v="Tuesday"/>
    <n v="8"/>
    <n v="9.6300000000000008"/>
    <x v="0"/>
    <x v="2"/>
    <s v="Male"/>
    <n v="70"/>
    <n v="175.9"/>
    <n v="25.6"/>
    <n v="13"/>
    <s v="TX"/>
    <n v="4"/>
    <n v="1259"/>
    <s v="Middle"/>
    <n v="1"/>
    <s v="Single-Day"/>
    <n v="0"/>
    <n v="0"/>
    <s v="Main Entrance"/>
    <s v="Mickey &amp; Friends"/>
    <n v="8.1999999999999993"/>
    <n v="6"/>
    <x v="2920"/>
  </r>
  <r>
    <n v="3116"/>
    <n v="1018"/>
    <d v="2026-08-04T00:00:00"/>
    <s v="Tuesday"/>
    <n v="8"/>
    <n v="9.8699999999999992"/>
    <x v="0"/>
    <x v="6"/>
    <s v="Male"/>
    <n v="70.099999999999994"/>
    <n v="206.6"/>
    <n v="29.7"/>
    <n v="15"/>
    <s v="TX"/>
    <n v="4"/>
    <n v="1259"/>
    <s v="Middle"/>
    <n v="1"/>
    <s v="Single-Day"/>
    <n v="0"/>
    <n v="0"/>
    <s v="Main Entrance"/>
    <s v="Mickey &amp; Friends"/>
    <n v="9.8000000000000007"/>
    <n v="13"/>
    <x v="2921"/>
  </r>
  <r>
    <n v="3117"/>
    <n v="1018"/>
    <d v="2026-08-04T00:00:00"/>
    <s v="Tuesday"/>
    <n v="8"/>
    <n v="9.7899999999999991"/>
    <x v="0"/>
    <x v="22"/>
    <s v="Female"/>
    <n v="62.8"/>
    <n v="116.8"/>
    <n v="20.9"/>
    <n v="13"/>
    <s v="TX"/>
    <n v="4"/>
    <n v="1259"/>
    <s v="Middle"/>
    <n v="1"/>
    <s v="Single-Day"/>
    <n v="0"/>
    <n v="0"/>
    <s v="Main Entrance"/>
    <s v="Mickey &amp; Friends"/>
    <n v="9.1999999999999993"/>
    <n v="10"/>
    <x v="2922"/>
  </r>
  <r>
    <n v="3118"/>
    <n v="1019"/>
    <d v="2026-03-29T00:00:00"/>
    <s v="Sunday"/>
    <n v="3"/>
    <n v="10.47"/>
    <x v="0"/>
    <x v="60"/>
    <s v="Male"/>
    <n v="67.599999999999994"/>
    <n v="153.4"/>
    <n v="23.9"/>
    <n v="13"/>
    <s v="CA"/>
    <n v="5"/>
    <n v="17.399999999999999"/>
    <s v="Low"/>
    <n v="0"/>
    <s v="Single-Day"/>
    <n v="0"/>
    <n v="0"/>
    <s v="Main Entrance"/>
    <s v="Pixar Pals"/>
    <n v="10.1"/>
    <n v="17"/>
    <x v="2923"/>
  </r>
  <r>
    <n v="3119"/>
    <n v="1019"/>
    <d v="2026-03-29T00:00:00"/>
    <s v="Sunday"/>
    <n v="3"/>
    <n v="10.47"/>
    <x v="0"/>
    <x v="16"/>
    <s v="Female"/>
    <n v="61.7"/>
    <n v="134.19999999999999"/>
    <n v="24.7"/>
    <n v="10"/>
    <s v="CA"/>
    <n v="5"/>
    <n v="17.399999999999999"/>
    <s v="Low"/>
    <n v="0"/>
    <s v="Single-Day"/>
    <n v="0"/>
    <n v="0"/>
    <s v="Main Entrance"/>
    <s v="Pixar Pals"/>
    <n v="8.6"/>
    <n v="7"/>
    <x v="2924"/>
  </r>
  <r>
    <n v="3120"/>
    <n v="1019"/>
    <d v="2026-03-29T00:00:00"/>
    <s v="Sunday"/>
    <n v="3"/>
    <n v="10.61"/>
    <x v="0"/>
    <x v="25"/>
    <s v="Male"/>
    <n v="69.5"/>
    <n v="200.4"/>
    <n v="29.7"/>
    <n v="14"/>
    <s v="CA"/>
    <n v="5"/>
    <n v="17.399999999999999"/>
    <s v="Low"/>
    <n v="0"/>
    <s v="Single-Day"/>
    <n v="0"/>
    <n v="0"/>
    <s v="Main Entrance"/>
    <s v="Pixar Pals"/>
    <n v="7.8"/>
    <n v="3"/>
    <x v="2925"/>
  </r>
  <r>
    <n v="3121"/>
    <n v="1019"/>
    <d v="2026-03-29T00:00:00"/>
    <s v="Sunday"/>
    <n v="3"/>
    <n v="10.57"/>
    <x v="0"/>
    <x v="60"/>
    <s v="Male"/>
    <n v="65.2"/>
    <n v="130"/>
    <n v="21.7"/>
    <n v="13"/>
    <s v="CA"/>
    <n v="5"/>
    <n v="17.399999999999999"/>
    <s v="Low"/>
    <n v="0"/>
    <s v="Single-Day"/>
    <n v="0"/>
    <n v="0"/>
    <s v="Main Entrance"/>
    <s v="Pixar Pals"/>
    <n v="5.8"/>
    <n v="6"/>
    <x v="2926"/>
  </r>
  <r>
    <n v="3122"/>
    <n v="1019"/>
    <d v="2026-03-29T00:00:00"/>
    <s v="Sunday"/>
    <n v="3"/>
    <n v="10.5"/>
    <x v="0"/>
    <x v="20"/>
    <s v="Male"/>
    <n v="66.7"/>
    <n v="142.4"/>
    <n v="22.5"/>
    <n v="11"/>
    <s v="CA"/>
    <n v="5"/>
    <n v="17.399999999999999"/>
    <s v="Low"/>
    <n v="0"/>
    <s v="Single-Day"/>
    <n v="0"/>
    <n v="0"/>
    <s v="Main Entrance"/>
    <s v="Pixar Pals"/>
    <n v="7.3"/>
    <n v="5"/>
    <x v="2927"/>
  </r>
  <r>
    <n v="3123"/>
    <n v="1020"/>
    <d v="2026-04-21T00:00:00"/>
    <s v="Tuesday"/>
    <n v="4"/>
    <n v="9.89"/>
    <x v="0"/>
    <x v="52"/>
    <s v="Male"/>
    <n v="64.2"/>
    <n v="139.30000000000001"/>
    <n v="23.8"/>
    <n v="17"/>
    <s v="CA"/>
    <n v="3"/>
    <n v="133.30000000000001"/>
    <s v="Middle"/>
    <n v="0"/>
    <s v="Multi-Day"/>
    <n v="0"/>
    <n v="0"/>
    <s v="Main Entrance"/>
    <s v="None/Dropoff/Transit"/>
    <n v="7.4"/>
    <n v="5"/>
    <x v="2928"/>
  </r>
  <r>
    <n v="3124"/>
    <n v="1020"/>
    <d v="2026-04-21T00:00:00"/>
    <s v="Tuesday"/>
    <n v="4"/>
    <n v="9.85"/>
    <x v="0"/>
    <x v="68"/>
    <s v="Male"/>
    <n v="72.2"/>
    <n v="208.5"/>
    <n v="28.1"/>
    <n v="16"/>
    <s v="CA"/>
    <n v="3"/>
    <n v="133.30000000000001"/>
    <s v="Middle"/>
    <n v="0"/>
    <s v="Multi-Day"/>
    <n v="0"/>
    <n v="0"/>
    <s v="Main Entrance"/>
    <s v="None/Dropoff/Transit"/>
    <n v="8.9"/>
    <n v="8"/>
    <x v="2929"/>
  </r>
  <r>
    <n v="3125"/>
    <n v="1020"/>
    <d v="2026-04-21T00:00:00"/>
    <s v="Tuesday"/>
    <n v="4"/>
    <n v="9.9700000000000006"/>
    <x v="0"/>
    <x v="53"/>
    <s v="Male"/>
    <n v="46.4"/>
    <n v="53.8"/>
    <n v="17.5"/>
    <n v="13"/>
    <s v="CA"/>
    <n v="3"/>
    <n v="133.30000000000001"/>
    <s v="Middle"/>
    <n v="0"/>
    <s v="Multi-Day"/>
    <n v="0"/>
    <n v="0"/>
    <s v="Main Entrance"/>
    <s v="None/Dropoff/Transit"/>
    <n v="7.6"/>
    <n v="8"/>
    <x v="2930"/>
  </r>
  <r>
    <n v="3126"/>
    <n v="1021"/>
    <d v="2026-05-20T00:00:00"/>
    <s v="Wednesday"/>
    <n v="5"/>
    <n v="13.23"/>
    <x v="1"/>
    <x v="28"/>
    <s v="Male"/>
    <n v="66.3"/>
    <n v="148.80000000000001"/>
    <n v="23.8"/>
    <n v="12"/>
    <s v="Other"/>
    <n v="4"/>
    <n v="1132.7"/>
    <s v="Middle"/>
    <n v="1"/>
    <s v="Park Hopper"/>
    <n v="1"/>
    <n v="0"/>
    <s v="Main Entrance"/>
    <s v="None/Dropoff/Transit"/>
    <n v="7.7"/>
    <n v="8"/>
    <x v="2931"/>
  </r>
  <r>
    <n v="3127"/>
    <n v="1021"/>
    <d v="2026-05-20T00:00:00"/>
    <s v="Wednesday"/>
    <n v="5"/>
    <n v="13.01"/>
    <x v="1"/>
    <x v="2"/>
    <s v="Female"/>
    <n v="66.599999999999994"/>
    <n v="138.69999999999999"/>
    <n v="21.8"/>
    <n v="19"/>
    <s v="Other"/>
    <n v="4"/>
    <n v="1132.7"/>
    <s v="Middle"/>
    <n v="1"/>
    <s v="Park Hopper"/>
    <n v="1"/>
    <n v="0"/>
    <s v="Main Entrance"/>
    <s v="None/Dropoff/Transit"/>
    <n v="8.3000000000000007"/>
    <n v="12"/>
    <x v="2932"/>
  </r>
  <r>
    <n v="3128"/>
    <n v="1021"/>
    <d v="2026-05-20T00:00:00"/>
    <s v="Wednesday"/>
    <n v="5"/>
    <n v="13.06"/>
    <x v="1"/>
    <x v="50"/>
    <s v="Male"/>
    <n v="63.1"/>
    <n v="79.2"/>
    <n v="13.8"/>
    <n v="13"/>
    <s v="Other"/>
    <n v="4"/>
    <n v="1132.7"/>
    <s v="Middle"/>
    <n v="1"/>
    <s v="Park Hopper"/>
    <n v="1"/>
    <n v="0"/>
    <s v="Main Entrance"/>
    <s v="None/Dropoff/Transit"/>
    <n v="7.7"/>
    <n v="6"/>
    <x v="2933"/>
  </r>
  <r>
    <n v="3129"/>
    <n v="1021"/>
    <d v="2026-05-20T00:00:00"/>
    <s v="Wednesday"/>
    <n v="5"/>
    <n v="13.09"/>
    <x v="1"/>
    <x v="25"/>
    <s v="Female"/>
    <n v="57.9"/>
    <n v="104.3"/>
    <n v="21.9"/>
    <n v="15"/>
    <s v="Other"/>
    <n v="4"/>
    <n v="1132.7"/>
    <s v="Middle"/>
    <n v="1"/>
    <s v="Park Hopper"/>
    <n v="1"/>
    <n v="0"/>
    <s v="Main Entrance"/>
    <s v="None/Dropoff/Transit"/>
    <n v="7.6"/>
    <n v="7"/>
    <x v="2934"/>
  </r>
  <r>
    <n v="3130"/>
    <n v="1022"/>
    <d v="2026-11-27T00:00:00"/>
    <s v="Friday"/>
    <n v="11"/>
    <n v="11.23"/>
    <x v="1"/>
    <x v="60"/>
    <s v="Female"/>
    <n v="62.9"/>
    <n v="119.9"/>
    <n v="21.4"/>
    <n v="15"/>
    <s v="NV"/>
    <n v="2"/>
    <n v="286.39999999999998"/>
    <s v="Middle"/>
    <n v="0"/>
    <s v="Single-Day"/>
    <n v="0"/>
    <n v="1"/>
    <s v="Main Entrance"/>
    <s v="None/Walked from Resort"/>
    <n v="5.3"/>
    <n v="9"/>
    <x v="2935"/>
  </r>
  <r>
    <n v="3131"/>
    <n v="1022"/>
    <d v="2026-11-27T00:00:00"/>
    <s v="Friday"/>
    <n v="11"/>
    <n v="11.14"/>
    <x v="1"/>
    <x v="30"/>
    <s v="Male"/>
    <n v="71.5"/>
    <n v="217.3"/>
    <n v="29.8"/>
    <n v="14"/>
    <s v="NV"/>
    <n v="2"/>
    <n v="286.39999999999998"/>
    <s v="Middle"/>
    <n v="0"/>
    <s v="Single-Day"/>
    <n v="0"/>
    <n v="1"/>
    <s v="Main Entrance"/>
    <s v="None/Walked from Resort"/>
    <n v="8.1"/>
    <n v="5"/>
    <x v="2936"/>
  </r>
  <r>
    <n v="3132"/>
    <n v="1023"/>
    <d v="2026-11-22T00:00:00"/>
    <s v="Sunday"/>
    <n v="11"/>
    <n v="9.0500000000000007"/>
    <x v="0"/>
    <x v="15"/>
    <s v="Male"/>
    <n v="68.2"/>
    <n v="178.9"/>
    <n v="26.9"/>
    <n v="10"/>
    <s v="CA"/>
    <n v="4"/>
    <n v="155.1"/>
    <s v="Low"/>
    <n v="0"/>
    <s v="Single-Day"/>
    <n v="0"/>
    <n v="0"/>
    <s v="Main Entrance"/>
    <s v="None/Dropoff/Transit"/>
    <n v="8.6"/>
    <n v="9"/>
    <x v="2937"/>
  </r>
  <r>
    <n v="3133"/>
    <n v="1023"/>
    <d v="2026-11-22T00:00:00"/>
    <s v="Sunday"/>
    <n v="11"/>
    <n v="9.17"/>
    <x v="0"/>
    <x v="62"/>
    <s v="Female"/>
    <n v="66.099999999999994"/>
    <n v="160.4"/>
    <n v="25.8"/>
    <n v="15"/>
    <s v="CA"/>
    <n v="4"/>
    <n v="155.1"/>
    <s v="Low"/>
    <n v="0"/>
    <s v="Single-Day"/>
    <n v="0"/>
    <n v="0"/>
    <s v="Main Entrance"/>
    <s v="None/Dropoff/Transit"/>
    <n v="8.6"/>
    <n v="9"/>
    <x v="2938"/>
  </r>
  <r>
    <n v="3134"/>
    <n v="1023"/>
    <d v="2026-11-22T00:00:00"/>
    <s v="Sunday"/>
    <n v="11"/>
    <n v="9.26"/>
    <x v="0"/>
    <x v="64"/>
    <s v="Female"/>
    <n v="50"/>
    <n v="73.3"/>
    <n v="20.8"/>
    <n v="8"/>
    <s v="CA"/>
    <n v="4"/>
    <n v="155.1"/>
    <s v="Low"/>
    <n v="0"/>
    <s v="Single-Day"/>
    <n v="0"/>
    <n v="0"/>
    <s v="Main Entrance"/>
    <s v="None/Dropoff/Transit"/>
    <n v="6.6"/>
    <n v="3"/>
    <x v="2939"/>
  </r>
  <r>
    <n v="3135"/>
    <n v="1023"/>
    <d v="2026-11-22T00:00:00"/>
    <s v="Sunday"/>
    <n v="11"/>
    <n v="9.26"/>
    <x v="0"/>
    <x v="22"/>
    <s v="Female"/>
    <n v="64.2"/>
    <n v="115.9"/>
    <n v="19.8"/>
    <n v="12"/>
    <s v="CA"/>
    <n v="4"/>
    <n v="155.1"/>
    <s v="Low"/>
    <n v="0"/>
    <s v="Single-Day"/>
    <n v="0"/>
    <n v="0"/>
    <s v="Main Entrance"/>
    <s v="None/Dropoff/Transit"/>
    <n v="7.7"/>
    <n v="10"/>
    <x v="2940"/>
  </r>
  <r>
    <n v="3136"/>
    <n v="1024"/>
    <d v="2026-01-08T00:00:00"/>
    <s v="Thursday"/>
    <n v="1"/>
    <n v="11.45"/>
    <x v="1"/>
    <x v="43"/>
    <s v="Female"/>
    <n v="63.6"/>
    <n v="165.5"/>
    <n v="28.8"/>
    <n v="13"/>
    <s v="AZ"/>
    <n v="2"/>
    <n v="406.7"/>
    <s v="Middle"/>
    <n v="0"/>
    <s v="Multi-Day"/>
    <n v="0"/>
    <n v="0"/>
    <s v="Main Entrance"/>
    <s v="Toy Story Lot"/>
    <n v="8.6"/>
    <n v="11"/>
    <x v="2941"/>
  </r>
  <r>
    <n v="3137"/>
    <n v="1024"/>
    <d v="2026-01-08T00:00:00"/>
    <s v="Thursday"/>
    <n v="1"/>
    <n v="11.26"/>
    <x v="1"/>
    <x v="33"/>
    <s v="Male"/>
    <n v="70.900000000000006"/>
    <n v="155.5"/>
    <n v="21.8"/>
    <n v="15"/>
    <s v="AZ"/>
    <n v="2"/>
    <n v="406.7"/>
    <s v="Middle"/>
    <n v="0"/>
    <s v="Multi-Day"/>
    <n v="0"/>
    <n v="0"/>
    <s v="Main Entrance"/>
    <s v="Toy Story Lot"/>
    <n v="6.3"/>
    <n v="12"/>
    <x v="2942"/>
  </r>
  <r>
    <n v="3138"/>
    <n v="1025"/>
    <d v="2026-03-20T00:00:00"/>
    <s v="Friday"/>
    <n v="3"/>
    <n v="9"/>
    <x v="0"/>
    <x v="4"/>
    <s v="Male"/>
    <n v="67.2"/>
    <n v="102.3"/>
    <n v="16"/>
    <n v="15"/>
    <s v="NV"/>
    <n v="3"/>
    <n v="280.7"/>
    <s v="High"/>
    <n v="1"/>
    <s v="Multi-Day"/>
    <n v="0"/>
    <n v="0"/>
    <s v="Main Entrance"/>
    <s v="Pixar Pals"/>
    <n v="9.1999999999999993"/>
    <n v="8"/>
    <x v="2943"/>
  </r>
  <r>
    <n v="3139"/>
    <n v="1025"/>
    <d v="2026-03-20T00:00:00"/>
    <s v="Friday"/>
    <n v="3"/>
    <n v="8.99"/>
    <x v="0"/>
    <x v="60"/>
    <s v="Male"/>
    <n v="64.099999999999994"/>
    <n v="127.9"/>
    <n v="21.8"/>
    <n v="13"/>
    <s v="NV"/>
    <n v="3"/>
    <n v="280.7"/>
    <s v="High"/>
    <n v="1"/>
    <s v="Multi-Day"/>
    <n v="0"/>
    <n v="0"/>
    <s v="Main Entrance"/>
    <s v="Pixar Pals"/>
    <n v="9.9"/>
    <n v="7"/>
    <x v="2944"/>
  </r>
  <r>
    <n v="3140"/>
    <n v="1025"/>
    <d v="2026-03-20T00:00:00"/>
    <s v="Friday"/>
    <n v="3"/>
    <n v="8.84"/>
    <x v="0"/>
    <x v="32"/>
    <s v="Male"/>
    <n v="62.8"/>
    <n v="105.2"/>
    <n v="18.399999999999999"/>
    <n v="13"/>
    <s v="NV"/>
    <n v="3"/>
    <n v="280.7"/>
    <s v="High"/>
    <n v="1"/>
    <s v="Multi-Day"/>
    <n v="0"/>
    <n v="0"/>
    <s v="Main Entrance"/>
    <s v="Pixar Pals"/>
    <n v="6.5"/>
    <n v="5"/>
    <x v="2945"/>
  </r>
  <r>
    <n v="3141"/>
    <n v="1026"/>
    <d v="2026-06-19T00:00:00"/>
    <s v="Friday"/>
    <n v="6"/>
    <n v="9.4"/>
    <x v="0"/>
    <x v="9"/>
    <s v="Female"/>
    <n v="67.5"/>
    <n v="152.1"/>
    <n v="23.4"/>
    <n v="16"/>
    <s v="AZ"/>
    <n v="6"/>
    <n v="117.4"/>
    <s v="Middle"/>
    <n v="0"/>
    <s v="Park Hopper"/>
    <n v="1"/>
    <n v="0"/>
    <s v="Main Entrance"/>
    <s v="Mickey &amp; Friends"/>
    <n v="10.8"/>
    <n v="4"/>
    <x v="2946"/>
  </r>
  <r>
    <n v="3142"/>
    <n v="1026"/>
    <d v="2026-06-19T00:00:00"/>
    <s v="Friday"/>
    <n v="6"/>
    <n v="9.07"/>
    <x v="0"/>
    <x v="40"/>
    <s v="Female"/>
    <n v="64.2"/>
    <n v="106.4"/>
    <n v="18.2"/>
    <n v="10"/>
    <s v="AZ"/>
    <n v="6"/>
    <n v="117.4"/>
    <s v="Middle"/>
    <n v="0"/>
    <s v="Park Hopper"/>
    <n v="1"/>
    <n v="0"/>
    <s v="Main Entrance"/>
    <s v="Mickey &amp; Friends"/>
    <n v="8.8000000000000007"/>
    <n v="5"/>
    <x v="2947"/>
  </r>
  <r>
    <n v="3143"/>
    <n v="1026"/>
    <d v="2026-06-19T00:00:00"/>
    <s v="Friday"/>
    <n v="6"/>
    <n v="9.1199999999999992"/>
    <x v="0"/>
    <x v="71"/>
    <s v="Female"/>
    <n v="67.099999999999994"/>
    <n v="135.69999999999999"/>
    <n v="21.2"/>
    <n v="14"/>
    <s v="AZ"/>
    <n v="6"/>
    <n v="117.4"/>
    <s v="Middle"/>
    <n v="0"/>
    <s v="Park Hopper"/>
    <n v="1"/>
    <n v="0"/>
    <s v="Main Entrance"/>
    <s v="Mickey &amp; Friends"/>
    <n v="7.1"/>
    <n v="6"/>
    <x v="2948"/>
  </r>
  <r>
    <n v="3144"/>
    <n v="1026"/>
    <d v="2026-06-19T00:00:00"/>
    <s v="Friday"/>
    <n v="6"/>
    <n v="9.2200000000000006"/>
    <x v="0"/>
    <x v="23"/>
    <s v="Female"/>
    <n v="61.4"/>
    <n v="129.5"/>
    <n v="23.9"/>
    <n v="20"/>
    <s v="AZ"/>
    <n v="6"/>
    <n v="117.4"/>
    <s v="Middle"/>
    <n v="0"/>
    <s v="Park Hopper"/>
    <n v="1"/>
    <n v="0"/>
    <s v="Main Entrance"/>
    <s v="Mickey &amp; Friends"/>
    <n v="6.9"/>
    <n v="8"/>
    <x v="2949"/>
  </r>
  <r>
    <n v="3145"/>
    <n v="1026"/>
    <d v="2026-06-19T00:00:00"/>
    <s v="Friday"/>
    <n v="6"/>
    <n v="9.3000000000000007"/>
    <x v="0"/>
    <x v="27"/>
    <s v="Female"/>
    <n v="64.3"/>
    <n v="133.19999999999999"/>
    <n v="22.5"/>
    <n v="15"/>
    <s v="AZ"/>
    <n v="6"/>
    <n v="117.4"/>
    <s v="Middle"/>
    <n v="0"/>
    <s v="Park Hopper"/>
    <n v="1"/>
    <n v="0"/>
    <s v="Main Entrance"/>
    <s v="Mickey &amp; Friends"/>
    <n v="9.9"/>
    <n v="13"/>
    <x v="2950"/>
  </r>
  <r>
    <n v="3146"/>
    <n v="1026"/>
    <d v="2026-06-19T00:00:00"/>
    <s v="Friday"/>
    <n v="6"/>
    <n v="9.19"/>
    <x v="0"/>
    <x v="38"/>
    <s v="Female"/>
    <n v="68"/>
    <n v="140.69999999999999"/>
    <n v="21.3"/>
    <n v="12"/>
    <s v="AZ"/>
    <n v="6"/>
    <n v="117.4"/>
    <s v="Middle"/>
    <n v="0"/>
    <s v="Park Hopper"/>
    <n v="1"/>
    <n v="0"/>
    <s v="Main Entrance"/>
    <s v="Mickey &amp; Friends"/>
    <n v="9.1999999999999993"/>
    <n v="14"/>
    <x v="2951"/>
  </r>
  <r>
    <n v="3147"/>
    <n v="1027"/>
    <d v="2026-11-12T00:00:00"/>
    <s v="Thursday"/>
    <n v="11"/>
    <n v="8.3699999999999992"/>
    <x v="0"/>
    <x v="29"/>
    <s v="Female"/>
    <n v="60.3"/>
    <n v="131.4"/>
    <n v="25.3"/>
    <n v="10"/>
    <s v="CA"/>
    <n v="1"/>
    <n v="67.2"/>
    <s v="High"/>
    <n v="1"/>
    <s v="Single-Day"/>
    <n v="1"/>
    <n v="0"/>
    <s v="Main Entrance"/>
    <s v="Pixar Pals"/>
    <n v="8.1999999999999993"/>
    <n v="10"/>
    <x v="2952"/>
  </r>
  <r>
    <n v="3148"/>
    <n v="1028"/>
    <d v="2026-11-21T00:00:00"/>
    <s v="Saturday"/>
    <n v="11"/>
    <n v="8.59"/>
    <x v="0"/>
    <x v="27"/>
    <s v="Male"/>
    <n v="69.3"/>
    <n v="226.9"/>
    <n v="33.4"/>
    <n v="18"/>
    <s v="IA"/>
    <n v="1"/>
    <n v="1698.1"/>
    <s v="Middle"/>
    <n v="1"/>
    <s v="Single-Day"/>
    <n v="1"/>
    <n v="1"/>
    <s v="Downtown Disney Gate"/>
    <s v="None/Walked from Resort"/>
    <n v="11.1"/>
    <n v="8"/>
    <x v="2953"/>
  </r>
  <r>
    <n v="3149"/>
    <n v="1029"/>
    <d v="2026-05-18T00:00:00"/>
    <s v="Monday"/>
    <n v="5"/>
    <n v="12.2"/>
    <x v="1"/>
    <x v="44"/>
    <s v="Male"/>
    <n v="61.6"/>
    <n v="163.5"/>
    <n v="30.3"/>
    <n v="12"/>
    <s v="IL"/>
    <n v="2"/>
    <n v="1741"/>
    <s v="Middle"/>
    <n v="1"/>
    <s v="Multi-Day"/>
    <n v="0"/>
    <n v="0"/>
    <s v="Main Entrance"/>
    <s v="Toy Story Lot"/>
    <n v="7.3"/>
    <n v="9"/>
    <x v="1667"/>
  </r>
  <r>
    <n v="3150"/>
    <n v="1029"/>
    <d v="2026-05-18T00:00:00"/>
    <s v="Monday"/>
    <n v="5"/>
    <n v="12.59"/>
    <x v="1"/>
    <x v="10"/>
    <s v="Female"/>
    <n v="61.7"/>
    <n v="172.8"/>
    <n v="32"/>
    <n v="17"/>
    <s v="IL"/>
    <n v="2"/>
    <n v="1741"/>
    <s v="Middle"/>
    <n v="1"/>
    <s v="Multi-Day"/>
    <n v="0"/>
    <n v="0"/>
    <s v="Main Entrance"/>
    <s v="Toy Story Lot"/>
    <n v="7.5"/>
    <n v="6"/>
    <x v="1740"/>
  </r>
  <r>
    <n v="3151"/>
    <n v="1030"/>
    <d v="2026-12-20T00:00:00"/>
    <s v="Sunday"/>
    <n v="12"/>
    <n v="10.83"/>
    <x v="0"/>
    <x v="47"/>
    <s v="Male"/>
    <n v="74"/>
    <n v="164.5"/>
    <n v="21.1"/>
    <n v="15"/>
    <s v="NV"/>
    <n v="1"/>
    <n v="264.60000000000002"/>
    <s v="Low"/>
    <n v="1"/>
    <s v="Multi-Day"/>
    <n v="1"/>
    <n v="0"/>
    <s v="Main Entrance"/>
    <s v="Toy Story Lot"/>
    <n v="8.6999999999999993"/>
    <n v="7"/>
    <x v="2954"/>
  </r>
  <r>
    <n v="3152"/>
    <n v="1031"/>
    <d v="2026-08-08T00:00:00"/>
    <s v="Saturday"/>
    <n v="8"/>
    <n v="11.38"/>
    <x v="1"/>
    <x v="41"/>
    <s v="Female"/>
    <n v="64.8"/>
    <n v="200.6"/>
    <n v="33.6"/>
    <n v="15"/>
    <s v="CA"/>
    <n v="1"/>
    <n v="48.2"/>
    <s v="Middle"/>
    <n v="1"/>
    <s v="Single-Day"/>
    <n v="0"/>
    <n v="0"/>
    <s v="Main Entrance"/>
    <s v="Toy Story Lot"/>
    <n v="8.1"/>
    <n v="8"/>
    <x v="2041"/>
  </r>
  <r>
    <n v="3153"/>
    <n v="1032"/>
    <d v="2026-04-03T00:00:00"/>
    <s v="Friday"/>
    <n v="4"/>
    <n v="11.85"/>
    <x v="1"/>
    <x v="9"/>
    <s v="Female"/>
    <n v="60.9"/>
    <n v="137.9"/>
    <n v="26.1"/>
    <n v="17"/>
    <s v="UT"/>
    <n v="2"/>
    <n v="642.5"/>
    <s v="Middle"/>
    <n v="1"/>
    <s v="Single-Day"/>
    <n v="0"/>
    <n v="0"/>
    <s v="Downtown Disney Gate"/>
    <s v="Pixar Pals"/>
    <n v="11.4"/>
    <n v="9"/>
    <x v="2955"/>
  </r>
  <r>
    <n v="3154"/>
    <n v="1032"/>
    <d v="2026-04-03T00:00:00"/>
    <s v="Friday"/>
    <n v="4"/>
    <n v="11.9"/>
    <x v="1"/>
    <x v="57"/>
    <s v="Female"/>
    <n v="62.5"/>
    <n v="162.4"/>
    <n v="28.9"/>
    <n v="18"/>
    <s v="UT"/>
    <n v="2"/>
    <n v="642.5"/>
    <s v="Middle"/>
    <n v="1"/>
    <s v="Single-Day"/>
    <n v="0"/>
    <n v="0"/>
    <s v="Downtown Disney Gate"/>
    <s v="Pixar Pals"/>
    <n v="6.5"/>
    <n v="8"/>
    <x v="2956"/>
  </r>
  <r>
    <n v="3155"/>
    <n v="1033"/>
    <d v="2026-06-15T00:00:00"/>
    <s v="Monday"/>
    <n v="6"/>
    <n v="10.79"/>
    <x v="0"/>
    <x v="14"/>
    <s v="Female"/>
    <n v="63.7"/>
    <n v="139.1"/>
    <n v="24.4"/>
    <n v="16"/>
    <s v="AZ"/>
    <n v="4"/>
    <n v="332.7"/>
    <s v="Middle"/>
    <n v="1"/>
    <s v="Single-Day"/>
    <n v="1"/>
    <n v="0"/>
    <s v="Main Entrance"/>
    <s v="Mickey &amp; Friends"/>
    <n v="8.8000000000000007"/>
    <n v="11"/>
    <x v="2957"/>
  </r>
  <r>
    <n v="3156"/>
    <n v="1033"/>
    <d v="2026-06-15T00:00:00"/>
    <s v="Monday"/>
    <n v="6"/>
    <n v="11.04"/>
    <x v="1"/>
    <x v="0"/>
    <s v="Male"/>
    <n v="75.400000000000006"/>
    <n v="206.2"/>
    <n v="25.5"/>
    <n v="16"/>
    <s v="AZ"/>
    <n v="4"/>
    <n v="332.7"/>
    <s v="Middle"/>
    <n v="1"/>
    <s v="Single-Day"/>
    <n v="1"/>
    <n v="0"/>
    <s v="Main Entrance"/>
    <s v="Mickey &amp; Friends"/>
    <n v="7.3"/>
    <n v="7"/>
    <x v="2958"/>
  </r>
  <r>
    <n v="3157"/>
    <n v="1033"/>
    <d v="2026-06-15T00:00:00"/>
    <s v="Monday"/>
    <n v="6"/>
    <n v="10.89"/>
    <x v="0"/>
    <x v="11"/>
    <s v="Male"/>
    <n v="70"/>
    <n v="159.80000000000001"/>
    <n v="23.1"/>
    <n v="14"/>
    <s v="AZ"/>
    <n v="4"/>
    <n v="332.7"/>
    <s v="Middle"/>
    <n v="1"/>
    <s v="Single-Day"/>
    <n v="1"/>
    <n v="0"/>
    <s v="Main Entrance"/>
    <s v="Mickey &amp; Friends"/>
    <n v="6.6"/>
    <n v="9"/>
    <x v="533"/>
  </r>
  <r>
    <n v="3158"/>
    <n v="1033"/>
    <d v="2026-06-15T00:00:00"/>
    <s v="Monday"/>
    <n v="6"/>
    <n v="10.85"/>
    <x v="0"/>
    <x v="38"/>
    <s v="Female"/>
    <n v="66.3"/>
    <n v="167"/>
    <n v="26.6"/>
    <n v="14"/>
    <s v="AZ"/>
    <n v="4"/>
    <n v="332.7"/>
    <s v="Middle"/>
    <n v="1"/>
    <s v="Single-Day"/>
    <n v="1"/>
    <n v="0"/>
    <s v="Main Entrance"/>
    <s v="Mickey &amp; Friends"/>
    <n v="7.8"/>
    <n v="7"/>
    <x v="2959"/>
  </r>
  <r>
    <n v="3159"/>
    <n v="1034"/>
    <d v="2026-04-23T00:00:00"/>
    <s v="Thursday"/>
    <n v="4"/>
    <n v="9.91"/>
    <x v="0"/>
    <x v="36"/>
    <s v="Male"/>
    <n v="72.7"/>
    <n v="166.8"/>
    <n v="22"/>
    <n v="8"/>
    <s v="TX"/>
    <n v="1"/>
    <n v="1058"/>
    <s v="Low"/>
    <n v="1"/>
    <s v="Single-Day"/>
    <n v="0"/>
    <n v="1"/>
    <s v="Hotel Guest Entrance"/>
    <s v="None/Walked from Resort"/>
    <n v="11.9"/>
    <n v="7"/>
    <x v="2960"/>
  </r>
  <r>
    <n v="3160"/>
    <n v="1035"/>
    <d v="2026-03-05T00:00:00"/>
    <s v="Thursday"/>
    <n v="3"/>
    <n v="9.18"/>
    <x v="0"/>
    <x v="25"/>
    <s v="Female"/>
    <n v="67.7"/>
    <n v="218.2"/>
    <n v="33.5"/>
    <n v="15"/>
    <s v="AZ"/>
    <n v="3"/>
    <n v="303.3"/>
    <s v="Low"/>
    <n v="1"/>
    <s v="Single-Day"/>
    <n v="1"/>
    <n v="0"/>
    <s v="Main Entrance"/>
    <s v="Toy Story Lot"/>
    <n v="10.7"/>
    <n v="10"/>
    <x v="2961"/>
  </r>
  <r>
    <n v="3161"/>
    <n v="1035"/>
    <d v="2026-03-05T00:00:00"/>
    <s v="Thursday"/>
    <n v="3"/>
    <n v="8.86"/>
    <x v="0"/>
    <x v="4"/>
    <s v="Female"/>
    <n v="66.900000000000006"/>
    <n v="166.1"/>
    <n v="25.9"/>
    <n v="11"/>
    <s v="AZ"/>
    <n v="3"/>
    <n v="303.3"/>
    <s v="Low"/>
    <n v="1"/>
    <s v="Single-Day"/>
    <n v="1"/>
    <n v="0"/>
    <s v="Main Entrance"/>
    <s v="Toy Story Lot"/>
    <n v="10"/>
    <n v="9"/>
    <x v="2962"/>
  </r>
  <r>
    <n v="3162"/>
    <n v="1035"/>
    <d v="2026-03-05T00:00:00"/>
    <s v="Thursday"/>
    <n v="3"/>
    <n v="9.3000000000000007"/>
    <x v="0"/>
    <x v="28"/>
    <s v="Male"/>
    <n v="71.599999999999994"/>
    <n v="206.8"/>
    <n v="28.3"/>
    <n v="14"/>
    <s v="AZ"/>
    <n v="3"/>
    <n v="303.3"/>
    <s v="Low"/>
    <n v="1"/>
    <s v="Single-Day"/>
    <n v="1"/>
    <n v="0"/>
    <s v="Main Entrance"/>
    <s v="Toy Story Lot"/>
    <n v="9.4"/>
    <n v="9"/>
    <x v="2963"/>
  </r>
  <r>
    <n v="3163"/>
    <n v="1036"/>
    <d v="2026-06-19T00:00:00"/>
    <s v="Friday"/>
    <n v="6"/>
    <n v="9.99"/>
    <x v="0"/>
    <x v="59"/>
    <s v="Female"/>
    <n v="68.599999999999994"/>
    <n v="194.9"/>
    <n v="29.1"/>
    <n v="14"/>
    <s v="CA"/>
    <n v="3"/>
    <n v="240.4"/>
    <s v="Middle"/>
    <n v="0"/>
    <s v="Multi-Day"/>
    <n v="1"/>
    <n v="0"/>
    <s v="Main Entrance"/>
    <s v="Mickey &amp; Friends"/>
    <n v="10.1"/>
    <n v="11"/>
    <x v="2964"/>
  </r>
  <r>
    <n v="3164"/>
    <n v="1036"/>
    <d v="2026-06-19T00:00:00"/>
    <s v="Friday"/>
    <n v="6"/>
    <n v="10.09"/>
    <x v="0"/>
    <x v="22"/>
    <s v="Female"/>
    <n v="59.7"/>
    <n v="95.1"/>
    <n v="18.8"/>
    <n v="17"/>
    <s v="CA"/>
    <n v="3"/>
    <n v="240.4"/>
    <s v="Middle"/>
    <n v="0"/>
    <s v="Multi-Day"/>
    <n v="1"/>
    <n v="0"/>
    <s v="Main Entrance"/>
    <s v="Mickey &amp; Friends"/>
    <n v="10.5"/>
    <n v="15"/>
    <x v="2965"/>
  </r>
  <r>
    <n v="3165"/>
    <n v="1036"/>
    <d v="2026-06-19T00:00:00"/>
    <s v="Friday"/>
    <n v="6"/>
    <n v="10.07"/>
    <x v="0"/>
    <x v="39"/>
    <s v="Female"/>
    <n v="63.3"/>
    <n v="179.4"/>
    <n v="31.5"/>
    <n v="12"/>
    <s v="CA"/>
    <n v="3"/>
    <n v="240.4"/>
    <s v="Middle"/>
    <n v="0"/>
    <s v="Multi-Day"/>
    <n v="1"/>
    <n v="0"/>
    <s v="Main Entrance"/>
    <s v="Mickey &amp; Friends"/>
    <n v="9.4"/>
    <n v="6"/>
    <x v="2966"/>
  </r>
  <r>
    <n v="3166"/>
    <n v="1037"/>
    <d v="2026-03-23T00:00:00"/>
    <s v="Monday"/>
    <n v="3"/>
    <n v="12.41"/>
    <x v="1"/>
    <x v="51"/>
    <s v="Female"/>
    <n v="65.2"/>
    <n v="136.9"/>
    <n v="22.4"/>
    <n v="15"/>
    <s v="UT"/>
    <n v="3"/>
    <n v="623.4"/>
    <s v="Middle"/>
    <n v="0"/>
    <s v="Single-Day"/>
    <n v="0"/>
    <n v="0"/>
    <s v="Main Entrance"/>
    <s v="Pixar Pals"/>
    <n v="5.9"/>
    <n v="8"/>
    <x v="2967"/>
  </r>
  <r>
    <n v="3167"/>
    <n v="1037"/>
    <d v="2026-03-23T00:00:00"/>
    <s v="Monday"/>
    <n v="3"/>
    <n v="12.26"/>
    <x v="1"/>
    <x v="23"/>
    <s v="Male"/>
    <n v="65.8"/>
    <n v="205.9"/>
    <n v="33.299999999999997"/>
    <n v="17"/>
    <s v="UT"/>
    <n v="3"/>
    <n v="623.4"/>
    <s v="Middle"/>
    <n v="0"/>
    <s v="Single-Day"/>
    <n v="0"/>
    <n v="0"/>
    <s v="Main Entrance"/>
    <s v="Pixar Pals"/>
    <n v="6.4"/>
    <n v="3"/>
    <x v="2968"/>
  </r>
  <r>
    <n v="3168"/>
    <n v="1037"/>
    <d v="2026-03-23T00:00:00"/>
    <s v="Monday"/>
    <n v="3"/>
    <n v="12.24"/>
    <x v="1"/>
    <x v="52"/>
    <s v="Male"/>
    <n v="71.599999999999994"/>
    <n v="162"/>
    <n v="21.9"/>
    <n v="17"/>
    <s v="UT"/>
    <n v="3"/>
    <n v="623.4"/>
    <s v="Middle"/>
    <n v="0"/>
    <s v="Single-Day"/>
    <n v="0"/>
    <n v="0"/>
    <s v="Main Entrance"/>
    <s v="Pixar Pals"/>
    <n v="6.8"/>
    <n v="8"/>
    <x v="2969"/>
  </r>
  <r>
    <n v="3169"/>
    <n v="1038"/>
    <d v="2026-02-15T00:00:00"/>
    <s v="Sunday"/>
    <n v="2"/>
    <n v="9.1199999999999992"/>
    <x v="0"/>
    <x v="19"/>
    <s v="Female"/>
    <n v="63.6"/>
    <n v="119.8"/>
    <n v="20.9"/>
    <n v="17"/>
    <s v="CA"/>
    <n v="2"/>
    <n v="109.5"/>
    <s v="Middle"/>
    <n v="0"/>
    <s v="Park Hopper"/>
    <n v="1"/>
    <n v="0"/>
    <s v="Main Entrance"/>
    <s v="Mickey &amp; Friends"/>
    <n v="6.7"/>
    <n v="11"/>
    <x v="2970"/>
  </r>
  <r>
    <n v="3170"/>
    <n v="1038"/>
    <d v="2026-02-15T00:00:00"/>
    <s v="Sunday"/>
    <n v="2"/>
    <n v="9.15"/>
    <x v="0"/>
    <x v="6"/>
    <s v="Male"/>
    <n v="76.8"/>
    <n v="226.5"/>
    <n v="27"/>
    <n v="11"/>
    <s v="CA"/>
    <n v="2"/>
    <n v="109.5"/>
    <s v="Middle"/>
    <n v="0"/>
    <s v="Park Hopper"/>
    <n v="1"/>
    <n v="0"/>
    <s v="Main Entrance"/>
    <s v="Mickey &amp; Friends"/>
    <n v="9.4"/>
    <n v="15"/>
    <x v="2971"/>
  </r>
  <r>
    <n v="3171"/>
    <n v="1039"/>
    <d v="2026-05-13T00:00:00"/>
    <s v="Wednesday"/>
    <n v="5"/>
    <n v="12.92"/>
    <x v="1"/>
    <x v="1"/>
    <s v="Female"/>
    <n v="67.7"/>
    <n v="182.4"/>
    <n v="28.1"/>
    <n v="16"/>
    <s v="CA"/>
    <n v="1"/>
    <n v="41.6"/>
    <s v="High"/>
    <n v="0"/>
    <s v="Single-Day"/>
    <n v="1"/>
    <n v="0"/>
    <s v="Main Entrance"/>
    <s v="Toy Story Lot"/>
    <n v="9"/>
    <n v="8"/>
    <x v="2972"/>
  </r>
  <r>
    <n v="3172"/>
    <n v="1040"/>
    <d v="2026-08-16T00:00:00"/>
    <s v="Sunday"/>
    <n v="8"/>
    <n v="12.02"/>
    <x v="1"/>
    <x v="23"/>
    <s v="Female"/>
    <n v="63.8"/>
    <n v="126.1"/>
    <n v="22"/>
    <n v="13"/>
    <s v="CA"/>
    <n v="2"/>
    <n v="63.6"/>
    <s v="Middle"/>
    <n v="1"/>
    <s v="Single-Day"/>
    <n v="0"/>
    <n v="0"/>
    <s v="Main Entrance"/>
    <s v="Pixar Pals"/>
    <n v="6.6"/>
    <n v="9"/>
    <x v="2973"/>
  </r>
  <r>
    <n v="3173"/>
    <n v="1040"/>
    <d v="2026-08-16T00:00:00"/>
    <s v="Sunday"/>
    <n v="8"/>
    <n v="11.54"/>
    <x v="1"/>
    <x v="57"/>
    <s v="Female"/>
    <n v="65.599999999999994"/>
    <n v="162.30000000000001"/>
    <n v="26.6"/>
    <n v="15"/>
    <s v="CA"/>
    <n v="2"/>
    <n v="63.6"/>
    <s v="Middle"/>
    <n v="1"/>
    <s v="Single-Day"/>
    <n v="0"/>
    <n v="0"/>
    <s v="Main Entrance"/>
    <s v="Pixar Pals"/>
    <n v="6.3"/>
    <n v="5"/>
    <x v="2974"/>
  </r>
  <r>
    <n v="3174"/>
    <n v="1041"/>
    <d v="2026-11-21T00:00:00"/>
    <s v="Saturday"/>
    <n v="11"/>
    <n v="11.31"/>
    <x v="1"/>
    <x v="43"/>
    <s v="Female"/>
    <n v="60.5"/>
    <n v="173.6"/>
    <n v="33.200000000000003"/>
    <n v="15"/>
    <s v="TX"/>
    <n v="4"/>
    <n v="1775.1"/>
    <s v="Low"/>
    <n v="1"/>
    <s v="Single-Day"/>
    <n v="0"/>
    <n v="0"/>
    <s v="Main Entrance"/>
    <s v="None/Dropoff/Transit"/>
    <n v="10.9"/>
    <n v="3"/>
    <x v="2975"/>
  </r>
  <r>
    <n v="3175"/>
    <n v="1041"/>
    <d v="2026-11-21T00:00:00"/>
    <s v="Saturday"/>
    <n v="11"/>
    <n v="11.36"/>
    <x v="1"/>
    <x v="22"/>
    <s v="Female"/>
    <n v="58.7"/>
    <n v="82.1"/>
    <n v="16.899999999999999"/>
    <n v="11"/>
    <s v="TX"/>
    <n v="4"/>
    <n v="1775.1"/>
    <s v="Low"/>
    <n v="1"/>
    <s v="Single-Day"/>
    <n v="0"/>
    <n v="0"/>
    <s v="Main Entrance"/>
    <s v="None/Dropoff/Transit"/>
    <n v="8.6999999999999993"/>
    <n v="11"/>
    <x v="2976"/>
  </r>
  <r>
    <n v="3176"/>
    <n v="1041"/>
    <d v="2026-11-21T00:00:00"/>
    <s v="Saturday"/>
    <n v="11"/>
    <n v="11.38"/>
    <x v="1"/>
    <x v="48"/>
    <s v="Female"/>
    <n v="65.099999999999994"/>
    <n v="128"/>
    <n v="21.3"/>
    <n v="15"/>
    <s v="TX"/>
    <n v="4"/>
    <n v="1775.1"/>
    <s v="Low"/>
    <n v="1"/>
    <s v="Single-Day"/>
    <n v="0"/>
    <n v="0"/>
    <s v="Main Entrance"/>
    <s v="None/Dropoff/Transit"/>
    <n v="9.3000000000000007"/>
    <n v="10"/>
    <x v="2977"/>
  </r>
  <r>
    <n v="3177"/>
    <n v="1041"/>
    <d v="2026-11-21T00:00:00"/>
    <s v="Saturday"/>
    <n v="11"/>
    <n v="11.4"/>
    <x v="1"/>
    <x v="49"/>
    <s v="Male"/>
    <n v="67.900000000000006"/>
    <n v="160.30000000000001"/>
    <n v="24.2"/>
    <n v="13"/>
    <s v="TX"/>
    <n v="4"/>
    <n v="1775.1"/>
    <s v="Low"/>
    <n v="1"/>
    <s v="Single-Day"/>
    <n v="0"/>
    <n v="0"/>
    <s v="Main Entrance"/>
    <s v="None/Dropoff/Transit"/>
    <n v="9.1"/>
    <n v="5"/>
    <x v="2978"/>
  </r>
  <r>
    <n v="3178"/>
    <n v="1042"/>
    <d v="2026-10-11T00:00:00"/>
    <s v="Sunday"/>
    <n v="10"/>
    <n v="11.59"/>
    <x v="1"/>
    <x v="51"/>
    <s v="Female"/>
    <n v="67"/>
    <n v="182.4"/>
    <n v="28.2"/>
    <n v="14"/>
    <s v="OR"/>
    <n v="4"/>
    <n v="923.1"/>
    <s v="Middle"/>
    <n v="1"/>
    <s v="Multi-Day"/>
    <n v="0"/>
    <n v="0"/>
    <s v="Main Entrance"/>
    <s v="Pixar Pals"/>
    <n v="9.8000000000000007"/>
    <n v="9"/>
    <x v="1634"/>
  </r>
  <r>
    <n v="3179"/>
    <n v="1042"/>
    <d v="2026-10-11T00:00:00"/>
    <s v="Sunday"/>
    <n v="10"/>
    <n v="11.7"/>
    <x v="1"/>
    <x v="15"/>
    <s v="Female"/>
    <n v="60.7"/>
    <n v="134.19999999999999"/>
    <n v="25.8"/>
    <n v="15"/>
    <s v="OR"/>
    <n v="4"/>
    <n v="923.1"/>
    <s v="Middle"/>
    <n v="1"/>
    <s v="Multi-Day"/>
    <n v="0"/>
    <n v="0"/>
    <s v="Main Entrance"/>
    <s v="Pixar Pals"/>
    <n v="6.4"/>
    <n v="9"/>
    <x v="2979"/>
  </r>
  <r>
    <n v="3180"/>
    <n v="1042"/>
    <d v="2026-10-11T00:00:00"/>
    <s v="Sunday"/>
    <n v="10"/>
    <n v="11.79"/>
    <x v="1"/>
    <x v="2"/>
    <s v="Male"/>
    <n v="64.7"/>
    <n v="140"/>
    <n v="23.3"/>
    <n v="14"/>
    <s v="OR"/>
    <n v="4"/>
    <n v="923.1"/>
    <s v="Middle"/>
    <n v="1"/>
    <s v="Multi-Day"/>
    <n v="0"/>
    <n v="0"/>
    <s v="Main Entrance"/>
    <s v="Pixar Pals"/>
    <n v="10.1"/>
    <n v="11"/>
    <x v="2980"/>
  </r>
  <r>
    <n v="3181"/>
    <n v="1042"/>
    <d v="2026-10-11T00:00:00"/>
    <s v="Sunday"/>
    <n v="10"/>
    <n v="11.34"/>
    <x v="1"/>
    <x v="51"/>
    <s v="Male"/>
    <n v="64.8"/>
    <n v="177.3"/>
    <n v="29.7"/>
    <n v="15"/>
    <s v="OR"/>
    <n v="4"/>
    <n v="923.1"/>
    <s v="Middle"/>
    <n v="1"/>
    <s v="Multi-Day"/>
    <n v="0"/>
    <n v="0"/>
    <s v="Main Entrance"/>
    <s v="Pixar Pals"/>
    <n v="9.4"/>
    <n v="5"/>
    <x v="2981"/>
  </r>
  <r>
    <n v="3182"/>
    <n v="1043"/>
    <d v="2026-01-26T00:00:00"/>
    <s v="Monday"/>
    <n v="1"/>
    <n v="12.1"/>
    <x v="1"/>
    <x v="67"/>
    <s v="Female"/>
    <n v="68.099999999999994"/>
    <n v="222.3"/>
    <n v="33.700000000000003"/>
    <n v="14"/>
    <s v="CA"/>
    <n v="4"/>
    <n v="115.8"/>
    <s v="Middle"/>
    <n v="0"/>
    <s v="Multi-Day"/>
    <n v="0"/>
    <n v="0"/>
    <s v="Main Entrance"/>
    <s v="Toy Story Lot"/>
    <n v="7.1"/>
    <n v="9"/>
    <x v="2982"/>
  </r>
  <r>
    <n v="3183"/>
    <n v="1043"/>
    <d v="2026-01-26T00:00:00"/>
    <s v="Monday"/>
    <n v="1"/>
    <n v="12.07"/>
    <x v="1"/>
    <x v="38"/>
    <s v="Female"/>
    <n v="60.3"/>
    <n v="151.69999999999999"/>
    <n v="29.3"/>
    <n v="14"/>
    <s v="CA"/>
    <n v="4"/>
    <n v="115.8"/>
    <s v="Middle"/>
    <n v="0"/>
    <s v="Multi-Day"/>
    <n v="0"/>
    <n v="0"/>
    <s v="Main Entrance"/>
    <s v="Toy Story Lot"/>
    <n v="6.8"/>
    <n v="7"/>
    <x v="2983"/>
  </r>
  <r>
    <n v="3184"/>
    <n v="1043"/>
    <d v="2026-01-26T00:00:00"/>
    <s v="Monday"/>
    <n v="1"/>
    <n v="11.8"/>
    <x v="1"/>
    <x v="42"/>
    <s v="Male"/>
    <n v="64.400000000000006"/>
    <n v="164.6"/>
    <n v="27.8"/>
    <n v="15"/>
    <s v="CA"/>
    <n v="4"/>
    <n v="115.8"/>
    <s v="Middle"/>
    <n v="0"/>
    <s v="Multi-Day"/>
    <n v="0"/>
    <n v="0"/>
    <s v="Main Entrance"/>
    <s v="Toy Story Lot"/>
    <n v="6.3"/>
    <n v="5"/>
    <x v="2984"/>
  </r>
  <r>
    <n v="3185"/>
    <n v="1043"/>
    <d v="2026-01-26T00:00:00"/>
    <s v="Monday"/>
    <n v="1"/>
    <n v="11.97"/>
    <x v="1"/>
    <x v="38"/>
    <s v="Male"/>
    <n v="70.2"/>
    <n v="180.9"/>
    <n v="25.6"/>
    <n v="12"/>
    <s v="CA"/>
    <n v="4"/>
    <n v="115.8"/>
    <s v="Middle"/>
    <n v="0"/>
    <s v="Multi-Day"/>
    <n v="0"/>
    <n v="0"/>
    <s v="Main Entrance"/>
    <s v="Toy Story Lot"/>
    <n v="8.6"/>
    <n v="11"/>
    <x v="2985"/>
  </r>
  <r>
    <n v="3186"/>
    <n v="1044"/>
    <d v="2026-12-10T00:00:00"/>
    <s v="Thursday"/>
    <n v="12"/>
    <n v="10.17"/>
    <x v="0"/>
    <x v="65"/>
    <s v="Male"/>
    <n v="68.400000000000006"/>
    <n v="117.7"/>
    <n v="17.600000000000001"/>
    <n v="16"/>
    <s v="WA"/>
    <n v="2"/>
    <n v="1234.3"/>
    <s v="High"/>
    <n v="1"/>
    <s v="Park Hopper"/>
    <n v="1"/>
    <n v="1"/>
    <s v="Downtown Disney Gate"/>
    <s v="None/Walked from Resort"/>
    <n v="10.6"/>
    <n v="9"/>
    <x v="2986"/>
  </r>
  <r>
    <n v="3187"/>
    <n v="1044"/>
    <d v="2026-12-10T00:00:00"/>
    <s v="Thursday"/>
    <n v="12"/>
    <n v="10.16"/>
    <x v="0"/>
    <x v="21"/>
    <s v="Male"/>
    <n v="69.900000000000006"/>
    <n v="197.1"/>
    <n v="28.5"/>
    <n v="17"/>
    <s v="WA"/>
    <n v="2"/>
    <n v="1234.3"/>
    <s v="High"/>
    <n v="1"/>
    <s v="Park Hopper"/>
    <n v="1"/>
    <n v="1"/>
    <s v="Downtown Disney Gate"/>
    <s v="None/Walked from Resort"/>
    <n v="11.8"/>
    <n v="16"/>
    <x v="2987"/>
  </r>
  <r>
    <n v="3188"/>
    <n v="1045"/>
    <d v="2026-09-27T00:00:00"/>
    <s v="Sunday"/>
    <n v="9"/>
    <n v="11.94"/>
    <x v="1"/>
    <x v="35"/>
    <s v="Nonbinary/Other"/>
    <n v="68.400000000000006"/>
    <n v="204.1"/>
    <n v="30.7"/>
    <n v="13"/>
    <s v="CA"/>
    <n v="6"/>
    <n v="2"/>
    <s v="Low"/>
    <n v="1"/>
    <s v="Park Hopper"/>
    <n v="0"/>
    <n v="0"/>
    <s v="Main Entrance"/>
    <s v="Toy Story Lot"/>
    <n v="8.3000000000000007"/>
    <n v="10"/>
    <x v="2988"/>
  </r>
  <r>
    <n v="3189"/>
    <n v="1045"/>
    <d v="2026-09-27T00:00:00"/>
    <s v="Sunday"/>
    <n v="9"/>
    <n v="11.93"/>
    <x v="1"/>
    <x v="4"/>
    <s v="Male"/>
    <n v="65"/>
    <n v="165.4"/>
    <n v="27.5"/>
    <n v="16"/>
    <s v="CA"/>
    <n v="6"/>
    <n v="2"/>
    <s v="Low"/>
    <n v="1"/>
    <s v="Park Hopper"/>
    <n v="0"/>
    <n v="0"/>
    <s v="Main Entrance"/>
    <s v="Toy Story Lot"/>
    <n v="8"/>
    <n v="3"/>
    <x v="2144"/>
  </r>
  <r>
    <n v="3190"/>
    <n v="1045"/>
    <d v="2026-09-27T00:00:00"/>
    <s v="Sunday"/>
    <n v="9"/>
    <n v="12.04"/>
    <x v="1"/>
    <x v="17"/>
    <s v="Male"/>
    <n v="65.099999999999994"/>
    <n v="153.5"/>
    <n v="25.5"/>
    <n v="16"/>
    <s v="CA"/>
    <n v="6"/>
    <n v="2"/>
    <s v="Low"/>
    <n v="1"/>
    <s v="Park Hopper"/>
    <n v="0"/>
    <n v="0"/>
    <s v="Main Entrance"/>
    <s v="Toy Story Lot"/>
    <n v="10.199999999999999"/>
    <n v="15"/>
    <x v="2989"/>
  </r>
  <r>
    <n v="3191"/>
    <n v="1045"/>
    <d v="2026-09-27T00:00:00"/>
    <s v="Sunday"/>
    <n v="9"/>
    <n v="11.92"/>
    <x v="1"/>
    <x v="33"/>
    <s v="Female"/>
    <n v="61.7"/>
    <n v="134.5"/>
    <n v="24.7"/>
    <n v="14"/>
    <s v="CA"/>
    <n v="6"/>
    <n v="2"/>
    <s v="Low"/>
    <n v="1"/>
    <s v="Park Hopper"/>
    <n v="0"/>
    <n v="0"/>
    <s v="Main Entrance"/>
    <s v="Toy Story Lot"/>
    <n v="9.1999999999999993"/>
    <n v="11"/>
    <x v="2990"/>
  </r>
  <r>
    <n v="3192"/>
    <n v="1045"/>
    <d v="2026-09-27T00:00:00"/>
    <s v="Sunday"/>
    <n v="9"/>
    <n v="11.82"/>
    <x v="1"/>
    <x v="52"/>
    <s v="Female"/>
    <n v="61.6"/>
    <n v="120.4"/>
    <n v="22"/>
    <n v="14"/>
    <s v="CA"/>
    <n v="6"/>
    <n v="2"/>
    <s v="Low"/>
    <n v="1"/>
    <s v="Park Hopper"/>
    <n v="0"/>
    <n v="0"/>
    <s v="Main Entrance"/>
    <s v="Toy Story Lot"/>
    <n v="9.3000000000000007"/>
    <n v="12"/>
    <x v="2991"/>
  </r>
  <r>
    <n v="3193"/>
    <n v="1045"/>
    <d v="2026-09-27T00:00:00"/>
    <s v="Sunday"/>
    <n v="9"/>
    <n v="11.84"/>
    <x v="1"/>
    <x v="35"/>
    <s v="Female"/>
    <n v="64.8"/>
    <n v="139.6"/>
    <n v="23.3"/>
    <n v="19"/>
    <s v="CA"/>
    <n v="6"/>
    <n v="2"/>
    <s v="Low"/>
    <n v="1"/>
    <s v="Park Hopper"/>
    <n v="0"/>
    <n v="0"/>
    <s v="Main Entrance"/>
    <s v="Toy Story Lot"/>
    <n v="9.1"/>
    <n v="7"/>
    <x v="2992"/>
  </r>
  <r>
    <n v="3194"/>
    <n v="1046"/>
    <d v="2026-11-10T00:00:00"/>
    <s v="Tuesday"/>
    <n v="11"/>
    <n v="13.22"/>
    <x v="1"/>
    <x v="26"/>
    <s v="Female"/>
    <n v="62.5"/>
    <n v="109.6"/>
    <n v="19.8"/>
    <n v="11"/>
    <s v="CA"/>
    <n v="4"/>
    <n v="171.9"/>
    <s v="Low"/>
    <n v="1"/>
    <s v="Multi-Day"/>
    <n v="0"/>
    <n v="0"/>
    <s v="Main Entrance"/>
    <s v="Mickey &amp; Friends"/>
    <n v="8.6"/>
    <n v="4"/>
    <x v="2993"/>
  </r>
  <r>
    <n v="3195"/>
    <n v="1046"/>
    <d v="2026-11-10T00:00:00"/>
    <s v="Tuesday"/>
    <n v="11"/>
    <n v="13.57"/>
    <x v="1"/>
    <x v="20"/>
    <s v="Male"/>
    <n v="69.7"/>
    <n v="138"/>
    <n v="19.7"/>
    <n v="9"/>
    <s v="CA"/>
    <n v="4"/>
    <n v="171.9"/>
    <s v="Low"/>
    <n v="1"/>
    <s v="Multi-Day"/>
    <n v="0"/>
    <n v="0"/>
    <s v="Main Entrance"/>
    <s v="Mickey &amp; Friends"/>
    <n v="6"/>
    <n v="12"/>
    <x v="2994"/>
  </r>
  <r>
    <n v="3196"/>
    <n v="1046"/>
    <d v="2026-11-10T00:00:00"/>
    <s v="Tuesday"/>
    <n v="11"/>
    <n v="13.29"/>
    <x v="1"/>
    <x v="66"/>
    <s v="Male"/>
    <n v="68.099999999999994"/>
    <n v="152.6"/>
    <n v="23"/>
    <n v="15"/>
    <s v="CA"/>
    <n v="4"/>
    <n v="171.9"/>
    <s v="Low"/>
    <n v="1"/>
    <s v="Multi-Day"/>
    <n v="0"/>
    <n v="0"/>
    <s v="Main Entrance"/>
    <s v="Mickey &amp; Friends"/>
    <n v="8.5"/>
    <n v="8"/>
    <x v="2995"/>
  </r>
  <r>
    <n v="3197"/>
    <n v="1046"/>
    <d v="2026-11-10T00:00:00"/>
    <s v="Tuesday"/>
    <n v="11"/>
    <n v="13.66"/>
    <x v="1"/>
    <x v="3"/>
    <s v="Male"/>
    <n v="70.5"/>
    <n v="209.9"/>
    <n v="29.3"/>
    <n v="10"/>
    <s v="CA"/>
    <n v="4"/>
    <n v="171.9"/>
    <s v="Low"/>
    <n v="1"/>
    <s v="Multi-Day"/>
    <n v="0"/>
    <n v="0"/>
    <s v="Main Entrance"/>
    <s v="Mickey &amp; Friends"/>
    <n v="8.5"/>
    <n v="10"/>
    <x v="2996"/>
  </r>
  <r>
    <n v="3198"/>
    <n v="1047"/>
    <d v="2026-10-15T00:00:00"/>
    <s v="Thursday"/>
    <n v="10"/>
    <n v="11.12"/>
    <x v="1"/>
    <x v="14"/>
    <s v="Female"/>
    <n v="61.6"/>
    <n v="135.5"/>
    <n v="25.1"/>
    <n v="15"/>
    <s v="OR"/>
    <n v="2"/>
    <n v="788.8"/>
    <s v="Middle"/>
    <n v="1"/>
    <s v="Park Hopper"/>
    <n v="1"/>
    <n v="1"/>
    <s v="Main Entrance"/>
    <s v="None/Walked from Resort"/>
    <n v="8"/>
    <n v="15"/>
    <x v="2997"/>
  </r>
  <r>
    <n v="3199"/>
    <n v="1047"/>
    <d v="2026-10-15T00:00:00"/>
    <s v="Thursday"/>
    <n v="10"/>
    <n v="11.47"/>
    <x v="1"/>
    <x v="16"/>
    <s v="Female"/>
    <n v="64.7"/>
    <n v="130.9"/>
    <n v="22"/>
    <n v="12"/>
    <s v="OR"/>
    <n v="2"/>
    <n v="788.8"/>
    <s v="Middle"/>
    <n v="1"/>
    <s v="Park Hopper"/>
    <n v="1"/>
    <n v="1"/>
    <s v="Main Entrance"/>
    <s v="None/Walked from Resort"/>
    <n v="9.1999999999999993"/>
    <n v="4"/>
    <x v="2998"/>
  </r>
  <r>
    <n v="3200"/>
    <n v="1048"/>
    <d v="2026-01-19T00:00:00"/>
    <s v="Monday"/>
    <n v="1"/>
    <n v="9.27"/>
    <x v="0"/>
    <x v="25"/>
    <s v="Female"/>
    <n v="66.599999999999994"/>
    <n v="129.30000000000001"/>
    <n v="20.399999999999999"/>
    <n v="16"/>
    <s v="OR"/>
    <n v="3"/>
    <n v="1191.3"/>
    <s v="Low"/>
    <n v="1"/>
    <s v="Multi-Day"/>
    <n v="0"/>
    <n v="1"/>
    <s v="Main Entrance"/>
    <s v="None/Walked from Resort"/>
    <n v="9.8000000000000007"/>
    <n v="8"/>
    <x v="2999"/>
  </r>
  <r>
    <n v="3201"/>
    <n v="1048"/>
    <d v="2026-01-19T00:00:00"/>
    <s v="Monday"/>
    <n v="1"/>
    <n v="9.1199999999999992"/>
    <x v="0"/>
    <x v="48"/>
    <s v="Female"/>
    <n v="62"/>
    <n v="179.3"/>
    <n v="32.700000000000003"/>
    <n v="14"/>
    <s v="OR"/>
    <n v="3"/>
    <n v="1191.3"/>
    <s v="Low"/>
    <n v="1"/>
    <s v="Multi-Day"/>
    <n v="0"/>
    <n v="1"/>
    <s v="Main Entrance"/>
    <s v="None/Walked from Resort"/>
    <n v="12.4"/>
    <n v="12"/>
    <x v="3000"/>
  </r>
  <r>
    <n v="3202"/>
    <n v="1048"/>
    <d v="2026-01-19T00:00:00"/>
    <s v="Monday"/>
    <n v="1"/>
    <n v="9.3800000000000008"/>
    <x v="0"/>
    <x v="43"/>
    <s v="Male"/>
    <n v="68.599999999999994"/>
    <n v="203.1"/>
    <n v="30.2"/>
    <n v="13"/>
    <s v="OR"/>
    <n v="3"/>
    <n v="1191.3"/>
    <s v="Low"/>
    <n v="1"/>
    <s v="Multi-Day"/>
    <n v="0"/>
    <n v="1"/>
    <s v="Main Entrance"/>
    <s v="None/Walked from Resort"/>
    <n v="11.2"/>
    <n v="14"/>
    <x v="3001"/>
  </r>
  <r>
    <n v="3203"/>
    <n v="1049"/>
    <d v="2026-04-08T00:00:00"/>
    <s v="Wednesday"/>
    <n v="4"/>
    <n v="9.4600000000000009"/>
    <x v="0"/>
    <x v="28"/>
    <s v="Female"/>
    <n v="65.900000000000006"/>
    <n v="137.69999999999999"/>
    <n v="22.2"/>
    <n v="12"/>
    <s v="NY"/>
    <n v="3"/>
    <n v="2342.5"/>
    <s v="Middle"/>
    <n v="1"/>
    <s v="Park Hopper"/>
    <n v="1"/>
    <n v="1"/>
    <s v="Main Entrance"/>
    <s v="None/Walked from Resort"/>
    <n v="10"/>
    <n v="10"/>
    <x v="685"/>
  </r>
  <r>
    <n v="3204"/>
    <n v="1049"/>
    <d v="2026-04-08T00:00:00"/>
    <s v="Wednesday"/>
    <n v="4"/>
    <n v="9.2100000000000009"/>
    <x v="0"/>
    <x v="3"/>
    <s v="Female"/>
    <n v="64.5"/>
    <n v="142.1"/>
    <n v="24"/>
    <n v="15"/>
    <s v="NY"/>
    <n v="3"/>
    <n v="2342.5"/>
    <s v="Middle"/>
    <n v="1"/>
    <s v="Park Hopper"/>
    <n v="1"/>
    <n v="1"/>
    <s v="Main Entrance"/>
    <s v="None/Walked from Resort"/>
    <n v="8.1"/>
    <n v="12"/>
    <x v="3002"/>
  </r>
  <r>
    <n v="3205"/>
    <n v="1049"/>
    <d v="2026-04-08T00:00:00"/>
    <s v="Wednesday"/>
    <n v="4"/>
    <n v="9.3699999999999992"/>
    <x v="0"/>
    <x v="31"/>
    <s v="Female"/>
    <n v="56"/>
    <n v="116.7"/>
    <n v="26.3"/>
    <n v="12"/>
    <s v="NY"/>
    <n v="3"/>
    <n v="2342.5"/>
    <s v="Middle"/>
    <n v="1"/>
    <s v="Park Hopper"/>
    <n v="1"/>
    <n v="1"/>
    <s v="Main Entrance"/>
    <s v="None/Walked from Resort"/>
    <n v="8.1"/>
    <n v="8"/>
    <x v="3003"/>
  </r>
  <r>
    <n v="3206"/>
    <n v="1050"/>
    <d v="2026-11-02T00:00:00"/>
    <s v="Monday"/>
    <n v="11"/>
    <n v="7"/>
    <x v="0"/>
    <x v="7"/>
    <s v="Female"/>
    <n v="54.6"/>
    <n v="80.099999999999994"/>
    <n v="18.899999999999999"/>
    <n v="10"/>
    <s v="WA"/>
    <n v="5"/>
    <n v="881.4"/>
    <s v="Middle"/>
    <n v="0"/>
    <s v="Single-Day"/>
    <n v="0"/>
    <n v="0"/>
    <s v="Main Entrance"/>
    <s v="Pixar Pals"/>
    <n v="10.4"/>
    <n v="16"/>
    <x v="3004"/>
  </r>
  <r>
    <n v="3207"/>
    <n v="1050"/>
    <d v="2026-11-02T00:00:00"/>
    <s v="Monday"/>
    <n v="11"/>
    <n v="7"/>
    <x v="0"/>
    <x v="3"/>
    <s v="Male"/>
    <n v="70.2"/>
    <n v="213"/>
    <n v="30.6"/>
    <n v="16"/>
    <s v="WA"/>
    <n v="5"/>
    <n v="881.4"/>
    <s v="Middle"/>
    <n v="0"/>
    <s v="Single-Day"/>
    <n v="0"/>
    <n v="0"/>
    <s v="Main Entrance"/>
    <s v="Pixar Pals"/>
    <n v="7.1"/>
    <n v="9"/>
    <x v="3005"/>
  </r>
  <r>
    <n v="3208"/>
    <n v="1050"/>
    <d v="2026-11-02T00:00:00"/>
    <s v="Monday"/>
    <n v="11"/>
    <n v="7.12"/>
    <x v="0"/>
    <x v="59"/>
    <s v="Male"/>
    <n v="68.900000000000006"/>
    <n v="183.6"/>
    <n v="27.2"/>
    <n v="15"/>
    <s v="WA"/>
    <n v="5"/>
    <n v="881.4"/>
    <s v="Middle"/>
    <n v="0"/>
    <s v="Single-Day"/>
    <n v="0"/>
    <n v="0"/>
    <s v="Main Entrance"/>
    <s v="Pixar Pals"/>
    <n v="7.8"/>
    <n v="4"/>
    <x v="3006"/>
  </r>
  <r>
    <n v="3209"/>
    <n v="1050"/>
    <d v="2026-11-02T00:00:00"/>
    <s v="Monday"/>
    <n v="11"/>
    <n v="7"/>
    <x v="0"/>
    <x v="70"/>
    <s v="Female"/>
    <n v="70"/>
    <n v="105.9"/>
    <n v="15.4"/>
    <n v="11"/>
    <s v="WA"/>
    <n v="5"/>
    <n v="881.4"/>
    <s v="Middle"/>
    <n v="0"/>
    <s v="Single-Day"/>
    <n v="0"/>
    <n v="0"/>
    <s v="Main Entrance"/>
    <s v="Pixar Pals"/>
    <n v="8.6999999999999993"/>
    <n v="5"/>
    <x v="3007"/>
  </r>
  <r>
    <n v="3210"/>
    <n v="1050"/>
    <d v="2026-11-02T00:00:00"/>
    <s v="Monday"/>
    <n v="11"/>
    <n v="7"/>
    <x v="0"/>
    <x v="17"/>
    <s v="Male"/>
    <n v="67.2"/>
    <n v="195.1"/>
    <n v="30.6"/>
    <n v="17"/>
    <s v="WA"/>
    <n v="5"/>
    <n v="881.4"/>
    <s v="Middle"/>
    <n v="0"/>
    <s v="Single-Day"/>
    <n v="0"/>
    <n v="0"/>
    <s v="Main Entrance"/>
    <s v="Pixar Pals"/>
    <n v="6.6"/>
    <n v="2"/>
    <x v="3008"/>
  </r>
  <r>
    <n v="3211"/>
    <n v="1051"/>
    <d v="2026-10-04T00:00:00"/>
    <s v="Sunday"/>
    <n v="10"/>
    <n v="13.75"/>
    <x v="1"/>
    <x v="2"/>
    <s v="Male"/>
    <n v="65.400000000000006"/>
    <n v="129.9"/>
    <n v="21.7"/>
    <n v="13"/>
    <s v="CO"/>
    <n v="2"/>
    <n v="1204.5999999999999"/>
    <s v="Low"/>
    <n v="1"/>
    <s v="Multi-Day"/>
    <n v="0"/>
    <n v="0"/>
    <s v="Main Entrance"/>
    <s v="Mickey &amp; Friends"/>
    <n v="7.7"/>
    <n v="5"/>
    <x v="3009"/>
  </r>
  <r>
    <n v="3212"/>
    <n v="1051"/>
    <d v="2026-10-04T00:00:00"/>
    <s v="Sunday"/>
    <n v="10"/>
    <n v="13.8"/>
    <x v="1"/>
    <x v="33"/>
    <s v="Male"/>
    <n v="69.5"/>
    <n v="182.3"/>
    <n v="26.4"/>
    <n v="15"/>
    <s v="CO"/>
    <n v="2"/>
    <n v="1204.5999999999999"/>
    <s v="Low"/>
    <n v="1"/>
    <s v="Multi-Day"/>
    <n v="0"/>
    <n v="0"/>
    <s v="Main Entrance"/>
    <s v="Mickey &amp; Friends"/>
    <n v="5.9"/>
    <n v="4"/>
    <x v="3010"/>
  </r>
  <r>
    <n v="3213"/>
    <n v="1052"/>
    <d v="2026-06-22T00:00:00"/>
    <s v="Monday"/>
    <n v="6"/>
    <n v="9.9"/>
    <x v="0"/>
    <x v="71"/>
    <s v="Female"/>
    <n v="63.3"/>
    <n v="139.4"/>
    <n v="24.6"/>
    <n v="13"/>
    <s v="CA"/>
    <n v="1"/>
    <n v="91.6"/>
    <s v="Low"/>
    <n v="0"/>
    <s v="Single-Day"/>
    <n v="0"/>
    <n v="0"/>
    <s v="Main Entrance"/>
    <s v="Toy Story Lot"/>
    <n v="8.4"/>
    <n v="7"/>
    <x v="3011"/>
  </r>
  <r>
    <n v="3214"/>
    <n v="1053"/>
    <d v="2026-10-23T00:00:00"/>
    <s v="Friday"/>
    <n v="10"/>
    <n v="10.82"/>
    <x v="0"/>
    <x v="32"/>
    <s v="Female"/>
    <n v="62.1"/>
    <n v="104.4"/>
    <n v="19.2"/>
    <n v="15"/>
    <s v="Other"/>
    <n v="2"/>
    <n v="1416.4"/>
    <s v="High"/>
    <n v="1"/>
    <s v="Single-Day"/>
    <n v="1"/>
    <n v="0"/>
    <s v="Main Entrance"/>
    <s v="Toy Story Lot"/>
    <n v="11.9"/>
    <n v="11"/>
    <x v="3012"/>
  </r>
  <r>
    <n v="3215"/>
    <n v="1053"/>
    <d v="2026-10-23T00:00:00"/>
    <s v="Friday"/>
    <n v="10"/>
    <n v="11.06"/>
    <x v="1"/>
    <x v="7"/>
    <s v="Male"/>
    <n v="51.2"/>
    <n v="54.6"/>
    <n v="14.7"/>
    <n v="17"/>
    <s v="Other"/>
    <n v="2"/>
    <n v="1416.4"/>
    <s v="High"/>
    <n v="1"/>
    <s v="Single-Day"/>
    <n v="1"/>
    <n v="0"/>
    <s v="Main Entrance"/>
    <s v="Toy Story Lot"/>
    <n v="8.4"/>
    <n v="8"/>
    <x v="3013"/>
  </r>
  <r>
    <n v="3216"/>
    <n v="1054"/>
    <d v="2026-01-24T00:00:00"/>
    <s v="Saturday"/>
    <n v="1"/>
    <n v="7.84"/>
    <x v="0"/>
    <x v="19"/>
    <s v="Female"/>
    <n v="63.8"/>
    <n v="155.69999999999999"/>
    <n v="27.2"/>
    <n v="16"/>
    <s v="CA"/>
    <n v="2"/>
    <n v="77.400000000000006"/>
    <s v="Middle"/>
    <n v="0"/>
    <s v="Single-Day"/>
    <n v="0"/>
    <n v="1"/>
    <s v="Downtown Disney Gate"/>
    <s v="Pixar Pals"/>
    <n v="9"/>
    <n v="9"/>
    <x v="3014"/>
  </r>
  <r>
    <n v="3217"/>
    <n v="1054"/>
    <d v="2026-01-24T00:00:00"/>
    <s v="Saturday"/>
    <n v="1"/>
    <n v="8.0500000000000007"/>
    <x v="0"/>
    <x v="25"/>
    <s v="Female"/>
    <n v="64.7"/>
    <n v="162.9"/>
    <n v="27.2"/>
    <n v="18"/>
    <s v="CA"/>
    <n v="2"/>
    <n v="77.400000000000006"/>
    <s v="Middle"/>
    <n v="0"/>
    <s v="Single-Day"/>
    <n v="0"/>
    <n v="1"/>
    <s v="Downtown Disney Gate"/>
    <s v="Pixar Pals"/>
    <n v="10.1"/>
    <n v="9"/>
    <x v="1772"/>
  </r>
  <r>
    <n v="3218"/>
    <n v="1055"/>
    <d v="2026-05-21T00:00:00"/>
    <s v="Thursday"/>
    <n v="5"/>
    <n v="8.9600000000000009"/>
    <x v="0"/>
    <x v="11"/>
    <s v="Female"/>
    <n v="60.7"/>
    <n v="144.69999999999999"/>
    <n v="27.7"/>
    <n v="17"/>
    <s v="CA"/>
    <n v="4"/>
    <n v="123"/>
    <s v="High"/>
    <n v="0"/>
    <s v="Single-Day"/>
    <n v="1"/>
    <n v="0"/>
    <s v="Main Entrance"/>
    <s v="Pixar Pals"/>
    <n v="8.4"/>
    <n v="7"/>
    <x v="3015"/>
  </r>
  <r>
    <n v="3219"/>
    <n v="1055"/>
    <d v="2026-05-21T00:00:00"/>
    <s v="Thursday"/>
    <n v="5"/>
    <n v="9.2100000000000009"/>
    <x v="0"/>
    <x v="37"/>
    <s v="Male"/>
    <n v="70.099999999999994"/>
    <n v="187.6"/>
    <n v="27"/>
    <n v="18"/>
    <s v="CA"/>
    <n v="4"/>
    <n v="123"/>
    <s v="High"/>
    <n v="0"/>
    <s v="Single-Day"/>
    <n v="1"/>
    <n v="0"/>
    <s v="Main Entrance"/>
    <s v="Pixar Pals"/>
    <n v="5.6"/>
    <n v="6"/>
    <x v="1206"/>
  </r>
  <r>
    <n v="3220"/>
    <n v="1055"/>
    <d v="2026-05-21T00:00:00"/>
    <s v="Thursday"/>
    <n v="5"/>
    <n v="9.27"/>
    <x v="0"/>
    <x v="15"/>
    <s v="Female"/>
    <n v="67.099999999999994"/>
    <n v="213.5"/>
    <n v="33.5"/>
    <n v="17"/>
    <s v="CA"/>
    <n v="4"/>
    <n v="123"/>
    <s v="High"/>
    <n v="0"/>
    <s v="Single-Day"/>
    <n v="1"/>
    <n v="0"/>
    <s v="Main Entrance"/>
    <s v="Pixar Pals"/>
    <n v="7.7"/>
    <n v="12"/>
    <x v="225"/>
  </r>
  <r>
    <n v="3221"/>
    <n v="1055"/>
    <d v="2026-05-21T00:00:00"/>
    <s v="Thursday"/>
    <n v="5"/>
    <n v="9.06"/>
    <x v="0"/>
    <x v="54"/>
    <s v="Female"/>
    <n v="63.9"/>
    <n v="186"/>
    <n v="32"/>
    <n v="18"/>
    <s v="CA"/>
    <n v="4"/>
    <n v="123"/>
    <s v="High"/>
    <n v="0"/>
    <s v="Single-Day"/>
    <n v="1"/>
    <n v="0"/>
    <s v="Main Entrance"/>
    <s v="Pixar Pals"/>
    <n v="9.1999999999999993"/>
    <n v="8"/>
    <x v="3016"/>
  </r>
  <r>
    <n v="3222"/>
    <n v="1056"/>
    <d v="2026-05-29T00:00:00"/>
    <s v="Friday"/>
    <n v="5"/>
    <n v="9.75"/>
    <x v="0"/>
    <x v="5"/>
    <s v="Male"/>
    <n v="69"/>
    <n v="138"/>
    <n v="20.100000000000001"/>
    <n v="14"/>
    <s v="IL"/>
    <n v="3"/>
    <n v="2772.6"/>
    <s v="High"/>
    <n v="1"/>
    <s v="Multi-Day"/>
    <n v="0"/>
    <n v="0"/>
    <s v="Main Entrance"/>
    <s v="None/Dropoff/Transit"/>
    <n v="9.5"/>
    <n v="8"/>
    <x v="1935"/>
  </r>
  <r>
    <n v="3223"/>
    <n v="1056"/>
    <d v="2026-05-29T00:00:00"/>
    <s v="Friday"/>
    <n v="5"/>
    <n v="9.91"/>
    <x v="0"/>
    <x v="1"/>
    <s v="Male"/>
    <n v="73.3"/>
    <n v="240.2"/>
    <n v="31.5"/>
    <n v="18"/>
    <s v="IL"/>
    <n v="3"/>
    <n v="2772.6"/>
    <s v="High"/>
    <n v="1"/>
    <s v="Multi-Day"/>
    <n v="0"/>
    <n v="0"/>
    <s v="Main Entrance"/>
    <s v="None/Dropoff/Transit"/>
    <n v="5.0999999999999996"/>
    <n v="3"/>
    <x v="3017"/>
  </r>
  <r>
    <n v="3224"/>
    <n v="1056"/>
    <d v="2026-05-29T00:00:00"/>
    <s v="Friday"/>
    <n v="5"/>
    <n v="9.8699999999999992"/>
    <x v="0"/>
    <x v="57"/>
    <s v="Male"/>
    <n v="71.3"/>
    <n v="193.8"/>
    <n v="26.8"/>
    <n v="20"/>
    <s v="IL"/>
    <n v="3"/>
    <n v="2772.6"/>
    <s v="High"/>
    <n v="1"/>
    <s v="Multi-Day"/>
    <n v="0"/>
    <n v="0"/>
    <s v="Main Entrance"/>
    <s v="None/Dropoff/Transit"/>
    <n v="9.4"/>
    <n v="9"/>
    <x v="3018"/>
  </r>
  <r>
    <n v="3225"/>
    <n v="1057"/>
    <d v="2026-02-27T00:00:00"/>
    <s v="Friday"/>
    <n v="2"/>
    <n v="11.73"/>
    <x v="1"/>
    <x v="2"/>
    <s v="Female"/>
    <n v="69.5"/>
    <n v="216.1"/>
    <n v="31.2"/>
    <n v="20"/>
    <s v="FL"/>
    <n v="5"/>
    <n v="3114.4"/>
    <s v="High"/>
    <n v="1"/>
    <s v="Park Hopper"/>
    <n v="1"/>
    <n v="1"/>
    <s v="Main Entrance"/>
    <s v="Mickey &amp; Friends"/>
    <n v="11.9"/>
    <n v="6"/>
    <x v="3019"/>
  </r>
  <r>
    <n v="3226"/>
    <n v="1057"/>
    <d v="2026-02-27T00:00:00"/>
    <s v="Friday"/>
    <n v="2"/>
    <n v="11.88"/>
    <x v="1"/>
    <x v="78"/>
    <s v="Male"/>
    <n v="70"/>
    <n v="132.69999999999999"/>
    <n v="19.2"/>
    <n v="13"/>
    <s v="FL"/>
    <n v="5"/>
    <n v="3114.4"/>
    <s v="High"/>
    <n v="1"/>
    <s v="Park Hopper"/>
    <n v="1"/>
    <n v="1"/>
    <s v="Main Entrance"/>
    <s v="Mickey &amp; Friends"/>
    <n v="7.8"/>
    <n v="6"/>
    <x v="3020"/>
  </r>
  <r>
    <n v="3227"/>
    <n v="1057"/>
    <d v="2026-02-27T00:00:00"/>
    <s v="Friday"/>
    <n v="2"/>
    <n v="12.04"/>
    <x v="1"/>
    <x v="71"/>
    <s v="Male"/>
    <n v="69.900000000000006"/>
    <n v="202.3"/>
    <n v="29.2"/>
    <n v="18"/>
    <s v="FL"/>
    <n v="5"/>
    <n v="3114.4"/>
    <s v="High"/>
    <n v="1"/>
    <s v="Park Hopper"/>
    <n v="1"/>
    <n v="1"/>
    <s v="Main Entrance"/>
    <s v="Mickey &amp; Friends"/>
    <n v="8"/>
    <n v="6"/>
    <x v="3021"/>
  </r>
  <r>
    <n v="3228"/>
    <n v="1057"/>
    <d v="2026-02-27T00:00:00"/>
    <s v="Friday"/>
    <n v="2"/>
    <n v="11.8"/>
    <x v="1"/>
    <x v="45"/>
    <s v="Male"/>
    <n v="69.099999999999994"/>
    <n v="151.6"/>
    <n v="22.6"/>
    <n v="20"/>
    <s v="FL"/>
    <n v="5"/>
    <n v="3114.4"/>
    <s v="High"/>
    <n v="1"/>
    <s v="Park Hopper"/>
    <n v="1"/>
    <n v="1"/>
    <s v="Main Entrance"/>
    <s v="Mickey &amp; Friends"/>
    <n v="10.1"/>
    <n v="12"/>
    <x v="3022"/>
  </r>
  <r>
    <n v="3229"/>
    <n v="1057"/>
    <d v="2026-02-27T00:00:00"/>
    <s v="Friday"/>
    <n v="2"/>
    <n v="12.1"/>
    <x v="1"/>
    <x v="14"/>
    <s v="Male"/>
    <n v="68.7"/>
    <n v="122.6"/>
    <n v="18.2"/>
    <n v="19"/>
    <s v="FL"/>
    <n v="5"/>
    <n v="3114.4"/>
    <s v="High"/>
    <n v="1"/>
    <s v="Park Hopper"/>
    <n v="1"/>
    <n v="1"/>
    <s v="Main Entrance"/>
    <s v="Mickey &amp; Friends"/>
    <n v="10.199999999999999"/>
    <n v="15"/>
    <x v="3023"/>
  </r>
  <r>
    <n v="3230"/>
    <n v="1058"/>
    <d v="2026-01-04T00:00:00"/>
    <s v="Sunday"/>
    <n v="1"/>
    <n v="9.07"/>
    <x v="0"/>
    <x v="33"/>
    <s v="Female"/>
    <n v="63.9"/>
    <n v="157.30000000000001"/>
    <n v="27.1"/>
    <n v="12"/>
    <s v="CA"/>
    <n v="3"/>
    <n v="55.6"/>
    <s v="Low"/>
    <n v="1"/>
    <s v="Multi-Day"/>
    <n v="1"/>
    <n v="0"/>
    <s v="Main Entrance"/>
    <s v="Mickey &amp; Friends"/>
    <n v="10.6"/>
    <n v="8"/>
    <x v="3024"/>
  </r>
  <r>
    <n v="3231"/>
    <n v="1058"/>
    <d v="2026-01-04T00:00:00"/>
    <s v="Sunday"/>
    <n v="1"/>
    <n v="9.0399999999999991"/>
    <x v="0"/>
    <x v="56"/>
    <s v="Female"/>
    <n v="65.7"/>
    <n v="164.2"/>
    <n v="26.8"/>
    <n v="11"/>
    <s v="CA"/>
    <n v="3"/>
    <n v="55.6"/>
    <s v="Low"/>
    <n v="1"/>
    <s v="Multi-Day"/>
    <n v="1"/>
    <n v="0"/>
    <s v="Main Entrance"/>
    <s v="Mickey &amp; Friends"/>
    <n v="8"/>
    <n v="10"/>
    <x v="1076"/>
  </r>
  <r>
    <n v="3232"/>
    <n v="1058"/>
    <d v="2026-01-04T00:00:00"/>
    <s v="Sunday"/>
    <n v="1"/>
    <n v="8.99"/>
    <x v="0"/>
    <x v="48"/>
    <s v="Male"/>
    <n v="68.5"/>
    <n v="153.9"/>
    <n v="23"/>
    <n v="16"/>
    <s v="CA"/>
    <n v="3"/>
    <n v="55.6"/>
    <s v="Low"/>
    <n v="1"/>
    <s v="Multi-Day"/>
    <n v="1"/>
    <n v="0"/>
    <s v="Main Entrance"/>
    <s v="Mickey &amp; Friends"/>
    <n v="7.8"/>
    <n v="6"/>
    <x v="3025"/>
  </r>
  <r>
    <n v="3233"/>
    <n v="1059"/>
    <d v="2026-06-14T00:00:00"/>
    <s v="Sunday"/>
    <n v="6"/>
    <n v="9.25"/>
    <x v="0"/>
    <x v="47"/>
    <s v="Male"/>
    <n v="69.099999999999994"/>
    <n v="170"/>
    <n v="25.2"/>
    <n v="17"/>
    <s v="CA"/>
    <n v="2"/>
    <n v="60.8"/>
    <s v="High"/>
    <n v="0"/>
    <s v="Multi-Day"/>
    <n v="1"/>
    <n v="0"/>
    <s v="Main Entrance"/>
    <s v="Pixar Pals"/>
    <n v="7.4"/>
    <n v="2"/>
    <x v="2218"/>
  </r>
  <r>
    <n v="3234"/>
    <n v="1059"/>
    <d v="2026-06-14T00:00:00"/>
    <s v="Sunday"/>
    <n v="6"/>
    <n v="9.5"/>
    <x v="0"/>
    <x v="65"/>
    <s v="Male"/>
    <n v="68.2"/>
    <n v="153.80000000000001"/>
    <n v="23.3"/>
    <n v="20"/>
    <s v="CA"/>
    <n v="2"/>
    <n v="60.8"/>
    <s v="High"/>
    <n v="0"/>
    <s v="Multi-Day"/>
    <n v="1"/>
    <n v="0"/>
    <s v="Main Entrance"/>
    <s v="Pixar Pals"/>
    <n v="8.8000000000000007"/>
    <n v="9"/>
    <x v="3026"/>
  </r>
  <r>
    <n v="3235"/>
    <n v="1060"/>
    <d v="2026-06-04T00:00:00"/>
    <s v="Thursday"/>
    <n v="6"/>
    <n v="9.59"/>
    <x v="0"/>
    <x v="49"/>
    <s v="Female"/>
    <n v="60.6"/>
    <n v="155.6"/>
    <n v="30"/>
    <n v="15"/>
    <s v="CA"/>
    <n v="3"/>
    <n v="151.1"/>
    <s v="Middle"/>
    <n v="0"/>
    <s v="Single-Day"/>
    <n v="0"/>
    <n v="0"/>
    <s v="Main Entrance"/>
    <s v="Pixar Pals"/>
    <n v="9.1"/>
    <n v="8"/>
    <x v="3027"/>
  </r>
  <r>
    <n v="3236"/>
    <n v="1060"/>
    <d v="2026-06-04T00:00:00"/>
    <s v="Thursday"/>
    <n v="6"/>
    <n v="9.75"/>
    <x v="0"/>
    <x v="66"/>
    <s v="Male"/>
    <n v="67.3"/>
    <n v="160.6"/>
    <n v="24.7"/>
    <n v="15"/>
    <s v="CA"/>
    <n v="3"/>
    <n v="151.1"/>
    <s v="Middle"/>
    <n v="0"/>
    <s v="Single-Day"/>
    <n v="0"/>
    <n v="0"/>
    <s v="Main Entrance"/>
    <s v="Pixar Pals"/>
    <n v="9.3000000000000007"/>
    <n v="5"/>
    <x v="3028"/>
  </r>
  <r>
    <n v="3237"/>
    <n v="1060"/>
    <d v="2026-06-04T00:00:00"/>
    <s v="Thursday"/>
    <n v="6"/>
    <n v="9.52"/>
    <x v="0"/>
    <x v="27"/>
    <s v="Male"/>
    <n v="72.099999999999994"/>
    <n v="263.7"/>
    <n v="35.700000000000003"/>
    <n v="20"/>
    <s v="CA"/>
    <n v="3"/>
    <n v="151.1"/>
    <s v="Middle"/>
    <n v="0"/>
    <s v="Single-Day"/>
    <n v="0"/>
    <n v="0"/>
    <s v="Main Entrance"/>
    <s v="Pixar Pals"/>
    <n v="3.3"/>
    <n v="3"/>
    <x v="1483"/>
  </r>
  <r>
    <n v="3238"/>
    <n v="1061"/>
    <d v="2026-02-09T00:00:00"/>
    <s v="Monday"/>
    <n v="2"/>
    <n v="9.6999999999999993"/>
    <x v="0"/>
    <x v="8"/>
    <s v="Female"/>
    <n v="66.900000000000006"/>
    <n v="202.7"/>
    <n v="31.8"/>
    <n v="17"/>
    <s v="CA"/>
    <n v="3"/>
    <n v="187.6"/>
    <s v="Middle"/>
    <n v="0"/>
    <s v="Park Hopper"/>
    <n v="0"/>
    <n v="0"/>
    <s v="Main Entrance"/>
    <s v="Mickey &amp; Friends"/>
    <n v="6"/>
    <n v="6"/>
    <x v="3029"/>
  </r>
  <r>
    <n v="3239"/>
    <n v="1061"/>
    <d v="2026-02-09T00:00:00"/>
    <s v="Monday"/>
    <n v="2"/>
    <n v="9.6300000000000008"/>
    <x v="0"/>
    <x v="2"/>
    <s v="Male"/>
    <n v="71.5"/>
    <n v="193"/>
    <n v="26.6"/>
    <n v="17"/>
    <s v="CA"/>
    <n v="3"/>
    <n v="187.6"/>
    <s v="Middle"/>
    <n v="0"/>
    <s v="Park Hopper"/>
    <n v="0"/>
    <n v="0"/>
    <s v="Main Entrance"/>
    <s v="Mickey &amp; Friends"/>
    <n v="7.2"/>
    <n v="6"/>
    <x v="3030"/>
  </r>
  <r>
    <n v="3240"/>
    <n v="1061"/>
    <d v="2026-02-09T00:00:00"/>
    <s v="Monday"/>
    <n v="2"/>
    <n v="9.75"/>
    <x v="0"/>
    <x v="34"/>
    <s v="Male"/>
    <n v="64.5"/>
    <n v="134.1"/>
    <n v="22.7"/>
    <n v="18"/>
    <s v="CA"/>
    <n v="3"/>
    <n v="187.6"/>
    <s v="Middle"/>
    <n v="0"/>
    <s v="Park Hopper"/>
    <n v="0"/>
    <n v="0"/>
    <s v="Main Entrance"/>
    <s v="Mickey &amp; Friends"/>
    <n v="7.3"/>
    <n v="10"/>
    <x v="3031"/>
  </r>
  <r>
    <n v="3241"/>
    <n v="1062"/>
    <d v="2026-07-20T00:00:00"/>
    <s v="Monday"/>
    <n v="7"/>
    <n v="13.56"/>
    <x v="1"/>
    <x v="64"/>
    <s v="Female"/>
    <n v="53.2"/>
    <n v="56.8"/>
    <n v="14.2"/>
    <n v="11"/>
    <s v="TX"/>
    <n v="2"/>
    <n v="1162.5"/>
    <s v="Middle"/>
    <n v="1"/>
    <s v="Single-Day"/>
    <n v="1"/>
    <n v="0"/>
    <s v="Main Entrance"/>
    <s v="Toy Story Lot"/>
    <n v="6.9"/>
    <n v="10"/>
    <x v="3032"/>
  </r>
  <r>
    <n v="3242"/>
    <n v="1062"/>
    <d v="2026-07-20T00:00:00"/>
    <s v="Monday"/>
    <n v="7"/>
    <n v="13.36"/>
    <x v="1"/>
    <x v="45"/>
    <s v="Female"/>
    <n v="65.400000000000006"/>
    <n v="142.1"/>
    <n v="22.9"/>
    <n v="17"/>
    <s v="TX"/>
    <n v="2"/>
    <n v="1162.5"/>
    <s v="Middle"/>
    <n v="1"/>
    <s v="Single-Day"/>
    <n v="1"/>
    <n v="0"/>
    <s v="Main Entrance"/>
    <s v="Toy Story Lot"/>
    <n v="9.1999999999999993"/>
    <n v="9"/>
    <x v="3033"/>
  </r>
  <r>
    <n v="3243"/>
    <n v="1063"/>
    <d v="2026-03-19T00:00:00"/>
    <s v="Thursday"/>
    <n v="3"/>
    <n v="12.28"/>
    <x v="1"/>
    <x v="34"/>
    <s v="Female"/>
    <n v="65.400000000000006"/>
    <n v="189"/>
    <n v="31"/>
    <n v="12"/>
    <s v="OR"/>
    <n v="2"/>
    <n v="740.9"/>
    <s v="Low"/>
    <n v="0"/>
    <s v="Multi-Day"/>
    <n v="0"/>
    <n v="1"/>
    <s v="Main Entrance"/>
    <s v="None/Walked from Resort"/>
    <n v="8.9"/>
    <n v="9"/>
    <x v="3034"/>
  </r>
  <r>
    <n v="3244"/>
    <n v="1063"/>
    <d v="2026-03-19T00:00:00"/>
    <s v="Thursday"/>
    <n v="3"/>
    <n v="12.36"/>
    <x v="1"/>
    <x v="29"/>
    <s v="Female"/>
    <n v="67"/>
    <n v="136.19999999999999"/>
    <n v="21"/>
    <n v="10"/>
    <s v="OR"/>
    <n v="2"/>
    <n v="740.9"/>
    <s v="Low"/>
    <n v="0"/>
    <s v="Multi-Day"/>
    <n v="0"/>
    <n v="1"/>
    <s v="Main Entrance"/>
    <s v="None/Walked from Resort"/>
    <n v="7.7"/>
    <n v="10"/>
    <x v="3035"/>
  </r>
  <r>
    <n v="3245"/>
    <n v="1064"/>
    <d v="2026-03-21T00:00:00"/>
    <s v="Saturday"/>
    <n v="3"/>
    <n v="7.26"/>
    <x v="0"/>
    <x v="53"/>
    <s v="Male"/>
    <n v="61.6"/>
    <n v="129.6"/>
    <n v="23.9"/>
    <n v="15"/>
    <s v="CA"/>
    <n v="1"/>
    <n v="98.2"/>
    <s v="Middle"/>
    <n v="0"/>
    <s v="Single-Day"/>
    <n v="1"/>
    <n v="0"/>
    <s v="Main Entrance"/>
    <s v="Pixar Pals"/>
    <n v="8.6999999999999993"/>
    <n v="6"/>
    <x v="3036"/>
  </r>
  <r>
    <n v="3246"/>
    <n v="1065"/>
    <d v="2026-03-21T00:00:00"/>
    <s v="Saturday"/>
    <n v="3"/>
    <n v="10.09"/>
    <x v="0"/>
    <x v="69"/>
    <s v="Female"/>
    <n v="60.8"/>
    <n v="167.5"/>
    <n v="31.9"/>
    <n v="14"/>
    <s v="CA"/>
    <n v="4"/>
    <n v="67.8"/>
    <s v="Middle"/>
    <n v="1"/>
    <s v="Single-Day"/>
    <n v="0"/>
    <n v="0"/>
    <s v="Main Entrance"/>
    <s v="Toy Story Lot"/>
    <n v="8.1999999999999993"/>
    <n v="7"/>
    <x v="3037"/>
  </r>
  <r>
    <n v="3247"/>
    <n v="1065"/>
    <d v="2026-03-21T00:00:00"/>
    <s v="Saturday"/>
    <n v="3"/>
    <n v="9.84"/>
    <x v="0"/>
    <x v="48"/>
    <s v="Female"/>
    <n v="63"/>
    <n v="200.2"/>
    <n v="35.700000000000003"/>
    <n v="14"/>
    <s v="CA"/>
    <n v="4"/>
    <n v="67.8"/>
    <s v="Middle"/>
    <n v="1"/>
    <s v="Single-Day"/>
    <n v="0"/>
    <n v="0"/>
    <s v="Main Entrance"/>
    <s v="Toy Story Lot"/>
    <n v="12.3"/>
    <n v="9"/>
    <x v="3038"/>
  </r>
  <r>
    <n v="3248"/>
    <n v="1065"/>
    <d v="2026-03-21T00:00:00"/>
    <s v="Saturday"/>
    <n v="3"/>
    <n v="9.8800000000000008"/>
    <x v="0"/>
    <x v="15"/>
    <s v="Male"/>
    <n v="71.3"/>
    <n v="192.3"/>
    <n v="26.5"/>
    <n v="18"/>
    <s v="CA"/>
    <n v="4"/>
    <n v="67.8"/>
    <s v="Middle"/>
    <n v="1"/>
    <s v="Single-Day"/>
    <n v="0"/>
    <n v="0"/>
    <s v="Main Entrance"/>
    <s v="Toy Story Lot"/>
    <n v="10.199999999999999"/>
    <n v="17"/>
    <x v="3039"/>
  </r>
  <r>
    <n v="3249"/>
    <n v="1065"/>
    <d v="2026-03-21T00:00:00"/>
    <s v="Saturday"/>
    <n v="3"/>
    <n v="10.25"/>
    <x v="0"/>
    <x v="36"/>
    <s v="Female"/>
    <n v="67.3"/>
    <n v="183.3"/>
    <n v="28.4"/>
    <n v="16"/>
    <s v="CA"/>
    <n v="4"/>
    <n v="67.8"/>
    <s v="Middle"/>
    <n v="1"/>
    <s v="Single-Day"/>
    <n v="0"/>
    <n v="0"/>
    <s v="Main Entrance"/>
    <s v="Toy Story Lot"/>
    <n v="9.3000000000000007"/>
    <n v="7"/>
    <x v="3040"/>
  </r>
  <r>
    <n v="3250"/>
    <n v="1066"/>
    <d v="2026-04-05T00:00:00"/>
    <s v="Sunday"/>
    <n v="4"/>
    <n v="11.74"/>
    <x v="1"/>
    <x v="9"/>
    <s v="Male"/>
    <n v="68.599999999999994"/>
    <n v="187.2"/>
    <n v="27.8"/>
    <n v="17"/>
    <s v="TX"/>
    <n v="3"/>
    <n v="1504.9"/>
    <s v="Middle"/>
    <n v="0"/>
    <s v="Single-Day"/>
    <n v="0"/>
    <n v="0"/>
    <s v="Main Entrance"/>
    <s v="Pixar Pals"/>
    <n v="7.1"/>
    <n v="6"/>
    <x v="3041"/>
  </r>
  <r>
    <n v="3251"/>
    <n v="1066"/>
    <d v="2026-04-05T00:00:00"/>
    <s v="Sunday"/>
    <n v="4"/>
    <n v="11.6"/>
    <x v="1"/>
    <x v="3"/>
    <s v="Male"/>
    <n v="74.099999999999994"/>
    <n v="230.9"/>
    <n v="29.6"/>
    <n v="16"/>
    <s v="TX"/>
    <n v="3"/>
    <n v="1504.9"/>
    <s v="Middle"/>
    <n v="0"/>
    <s v="Single-Day"/>
    <n v="0"/>
    <n v="0"/>
    <s v="Main Entrance"/>
    <s v="Pixar Pals"/>
    <n v="7.3"/>
    <n v="5"/>
    <x v="3042"/>
  </r>
  <r>
    <n v="3252"/>
    <n v="1066"/>
    <d v="2026-04-05T00:00:00"/>
    <s v="Sunday"/>
    <n v="4"/>
    <n v="11.59"/>
    <x v="1"/>
    <x v="15"/>
    <s v="Male"/>
    <n v="65.900000000000006"/>
    <n v="128.30000000000001"/>
    <n v="20.7"/>
    <n v="14"/>
    <s v="TX"/>
    <n v="3"/>
    <n v="1504.9"/>
    <s v="Middle"/>
    <n v="0"/>
    <s v="Single-Day"/>
    <n v="0"/>
    <n v="0"/>
    <s v="Main Entrance"/>
    <s v="Pixar Pals"/>
    <n v="8.9"/>
    <n v="12"/>
    <x v="3043"/>
  </r>
  <r>
    <n v="3253"/>
    <n v="1067"/>
    <d v="2026-11-27T00:00:00"/>
    <s v="Friday"/>
    <n v="11"/>
    <n v="12.98"/>
    <x v="1"/>
    <x v="30"/>
    <s v="Female"/>
    <n v="67.400000000000006"/>
    <n v="155.4"/>
    <n v="24"/>
    <n v="16"/>
    <s v="Other"/>
    <n v="2"/>
    <n v="1524.8"/>
    <s v="Middle"/>
    <n v="1"/>
    <s v="Single-Day"/>
    <n v="0"/>
    <n v="1"/>
    <s v="Main Entrance"/>
    <s v="Mickey &amp; Friends"/>
    <n v="9.5"/>
    <n v="9"/>
    <x v="3044"/>
  </r>
  <r>
    <n v="3254"/>
    <n v="1067"/>
    <d v="2026-11-27T00:00:00"/>
    <s v="Friday"/>
    <n v="11"/>
    <n v="13.12"/>
    <x v="1"/>
    <x v="12"/>
    <s v="Female"/>
    <n v="65.5"/>
    <n v="138"/>
    <n v="22.8"/>
    <n v="11"/>
    <s v="Other"/>
    <n v="2"/>
    <n v="1524.8"/>
    <s v="Middle"/>
    <n v="1"/>
    <s v="Single-Day"/>
    <n v="0"/>
    <n v="1"/>
    <s v="Main Entrance"/>
    <s v="Mickey &amp; Friends"/>
    <n v="9"/>
    <n v="7"/>
    <x v="3045"/>
  </r>
  <r>
    <n v="3255"/>
    <n v="1068"/>
    <d v="2026-03-27T00:00:00"/>
    <s v="Friday"/>
    <n v="3"/>
    <n v="9.77"/>
    <x v="0"/>
    <x v="12"/>
    <s v="Female"/>
    <n v="65"/>
    <n v="128"/>
    <n v="21.5"/>
    <n v="10"/>
    <s v="FL"/>
    <n v="3"/>
    <n v="1389.5"/>
    <s v="High"/>
    <n v="1"/>
    <s v="Multi-Day"/>
    <n v="1"/>
    <n v="0"/>
    <s v="Main Entrance"/>
    <s v="None/Dropoff/Transit"/>
    <n v="7.4"/>
    <n v="10"/>
    <x v="3046"/>
  </r>
  <r>
    <n v="3256"/>
    <n v="1068"/>
    <d v="2026-03-27T00:00:00"/>
    <s v="Friday"/>
    <n v="3"/>
    <n v="9.9600000000000009"/>
    <x v="0"/>
    <x v="13"/>
    <s v="Female"/>
    <n v="62"/>
    <n v="143.69999999999999"/>
    <n v="26.4"/>
    <n v="17"/>
    <s v="FL"/>
    <n v="3"/>
    <n v="1389.5"/>
    <s v="High"/>
    <n v="1"/>
    <s v="Multi-Day"/>
    <n v="1"/>
    <n v="0"/>
    <s v="Main Entrance"/>
    <s v="None/Dropoff/Transit"/>
    <n v="5.7"/>
    <n v="10"/>
    <x v="3047"/>
  </r>
  <r>
    <n v="3257"/>
    <n v="1068"/>
    <d v="2026-03-27T00:00:00"/>
    <s v="Friday"/>
    <n v="3"/>
    <n v="9.67"/>
    <x v="0"/>
    <x v="28"/>
    <s v="Male"/>
    <n v="70.3"/>
    <n v="231.2"/>
    <n v="32.700000000000003"/>
    <n v="19"/>
    <s v="FL"/>
    <n v="3"/>
    <n v="1389.5"/>
    <s v="High"/>
    <n v="1"/>
    <s v="Multi-Day"/>
    <n v="1"/>
    <n v="0"/>
    <s v="Main Entrance"/>
    <s v="None/Dropoff/Transit"/>
    <n v="9.4"/>
    <n v="9"/>
    <x v="3048"/>
  </r>
  <r>
    <n v="3258"/>
    <n v="1069"/>
    <d v="2026-12-27T00:00:00"/>
    <s v="Sunday"/>
    <n v="12"/>
    <n v="8.93"/>
    <x v="0"/>
    <x v="39"/>
    <s v="Male"/>
    <n v="70.400000000000006"/>
    <n v="200.9"/>
    <n v="28.4"/>
    <n v="15"/>
    <s v="WA"/>
    <n v="4"/>
    <n v="1181.3"/>
    <s v="Middle"/>
    <n v="0"/>
    <s v="Multi-Day"/>
    <n v="0"/>
    <n v="0"/>
    <s v="Main Entrance"/>
    <s v="Toy Story Lot"/>
    <n v="8.1"/>
    <n v="6"/>
    <x v="3049"/>
  </r>
  <r>
    <n v="3259"/>
    <n v="1069"/>
    <d v="2026-12-27T00:00:00"/>
    <s v="Sunday"/>
    <n v="12"/>
    <n v="9.06"/>
    <x v="0"/>
    <x v="38"/>
    <s v="Female"/>
    <n v="61.1"/>
    <n v="124.8"/>
    <n v="23.6"/>
    <n v="11"/>
    <s v="WA"/>
    <n v="4"/>
    <n v="1181.3"/>
    <s v="Middle"/>
    <n v="0"/>
    <s v="Multi-Day"/>
    <n v="0"/>
    <n v="0"/>
    <s v="Main Entrance"/>
    <s v="Toy Story Lot"/>
    <n v="6.6"/>
    <n v="1"/>
    <x v="3050"/>
  </r>
  <r>
    <n v="3260"/>
    <n v="1069"/>
    <d v="2026-12-27T00:00:00"/>
    <s v="Sunday"/>
    <n v="12"/>
    <n v="8.9600000000000009"/>
    <x v="0"/>
    <x v="56"/>
    <s v="Male"/>
    <n v="69.400000000000006"/>
    <n v="217.9"/>
    <n v="31.8"/>
    <n v="14"/>
    <s v="WA"/>
    <n v="4"/>
    <n v="1181.3"/>
    <s v="Middle"/>
    <n v="0"/>
    <s v="Multi-Day"/>
    <n v="0"/>
    <n v="0"/>
    <s v="Main Entrance"/>
    <s v="Toy Story Lot"/>
    <n v="8.9"/>
    <n v="8"/>
    <x v="3051"/>
  </r>
  <r>
    <n v="3261"/>
    <n v="1069"/>
    <d v="2026-12-27T00:00:00"/>
    <s v="Sunday"/>
    <n v="12"/>
    <n v="8.8800000000000008"/>
    <x v="0"/>
    <x v="39"/>
    <s v="Female"/>
    <n v="66.599999999999994"/>
    <n v="150.19999999999999"/>
    <n v="23.8"/>
    <n v="16"/>
    <s v="WA"/>
    <n v="4"/>
    <n v="1181.3"/>
    <s v="Middle"/>
    <n v="0"/>
    <s v="Multi-Day"/>
    <n v="0"/>
    <n v="0"/>
    <s v="Main Entrance"/>
    <s v="Toy Story Lot"/>
    <n v="6.9"/>
    <n v="4"/>
    <x v="3052"/>
  </r>
  <r>
    <n v="3262"/>
    <n v="1070"/>
    <d v="2026-04-06T00:00:00"/>
    <s v="Monday"/>
    <n v="4"/>
    <n v="9.9499999999999993"/>
    <x v="0"/>
    <x v="19"/>
    <s v="Male"/>
    <n v="73.599999999999994"/>
    <n v="184.6"/>
    <n v="24"/>
    <n v="15"/>
    <s v="WA"/>
    <n v="3"/>
    <n v="1061.3"/>
    <s v="Middle"/>
    <n v="0"/>
    <s v="Single-Day"/>
    <n v="1"/>
    <n v="1"/>
    <s v="Main Entrance"/>
    <s v="None/Walked from Resort"/>
    <n v="8"/>
    <n v="17"/>
    <x v="3053"/>
  </r>
  <r>
    <n v="3263"/>
    <n v="1070"/>
    <d v="2026-04-06T00:00:00"/>
    <s v="Monday"/>
    <n v="4"/>
    <n v="10.06"/>
    <x v="0"/>
    <x v="9"/>
    <s v="Male"/>
    <n v="72.2"/>
    <n v="190"/>
    <n v="25.6"/>
    <n v="17"/>
    <s v="WA"/>
    <n v="3"/>
    <n v="1061.3"/>
    <s v="Middle"/>
    <n v="0"/>
    <s v="Single-Day"/>
    <n v="1"/>
    <n v="1"/>
    <s v="Main Entrance"/>
    <s v="None/Walked from Resort"/>
    <n v="8.5"/>
    <n v="8"/>
    <x v="3054"/>
  </r>
  <r>
    <n v="3264"/>
    <n v="1070"/>
    <d v="2026-04-06T00:00:00"/>
    <s v="Monday"/>
    <n v="4"/>
    <n v="10"/>
    <x v="0"/>
    <x v="60"/>
    <s v="Female"/>
    <n v="65.3"/>
    <n v="134.6"/>
    <n v="22.2"/>
    <n v="12"/>
    <s v="WA"/>
    <n v="3"/>
    <n v="1061.3"/>
    <s v="Middle"/>
    <n v="0"/>
    <s v="Single-Day"/>
    <n v="1"/>
    <n v="1"/>
    <s v="Main Entrance"/>
    <s v="None/Walked from Resort"/>
    <n v="8.4"/>
    <n v="8"/>
    <x v="3055"/>
  </r>
  <r>
    <n v="3265"/>
    <n v="1071"/>
    <d v="2026-12-16T00:00:00"/>
    <s v="Wednesday"/>
    <n v="12"/>
    <n v="9.1999999999999993"/>
    <x v="0"/>
    <x v="41"/>
    <s v="Male"/>
    <n v="74.900000000000006"/>
    <n v="222.2"/>
    <n v="27.8"/>
    <n v="15"/>
    <s v="TX"/>
    <n v="1"/>
    <n v="1793.9"/>
    <s v="Low"/>
    <n v="1"/>
    <s v="Park Hopper"/>
    <n v="0"/>
    <n v="0"/>
    <s v="Main Entrance"/>
    <s v="None/Dropoff/Transit"/>
    <n v="8.6999999999999993"/>
    <n v="8"/>
    <x v="3056"/>
  </r>
  <r>
    <n v="3266"/>
    <n v="1072"/>
    <d v="2026-01-16T00:00:00"/>
    <s v="Friday"/>
    <n v="1"/>
    <n v="11.51"/>
    <x v="1"/>
    <x v="59"/>
    <s v="Female"/>
    <n v="68.8"/>
    <n v="177.3"/>
    <n v="26.3"/>
    <n v="15"/>
    <s v="CO"/>
    <n v="4"/>
    <n v="1035.9000000000001"/>
    <s v="Middle"/>
    <n v="0"/>
    <s v="Single-Day"/>
    <n v="0"/>
    <n v="1"/>
    <s v="Main Entrance"/>
    <s v="None/Walked from Resort"/>
    <n v="8.1999999999999993"/>
    <n v="8"/>
    <x v="3057"/>
  </r>
  <r>
    <n v="3267"/>
    <n v="1072"/>
    <d v="2026-01-16T00:00:00"/>
    <s v="Friday"/>
    <n v="1"/>
    <n v="11.72"/>
    <x v="1"/>
    <x v="42"/>
    <s v="Female"/>
    <n v="68.3"/>
    <n v="199.6"/>
    <n v="29.8"/>
    <n v="11"/>
    <s v="CO"/>
    <n v="4"/>
    <n v="1035.9000000000001"/>
    <s v="Middle"/>
    <n v="0"/>
    <s v="Single-Day"/>
    <n v="0"/>
    <n v="1"/>
    <s v="Main Entrance"/>
    <s v="None/Walked from Resort"/>
    <n v="6.6"/>
    <n v="13"/>
    <x v="3058"/>
  </r>
  <r>
    <n v="3268"/>
    <n v="1072"/>
    <d v="2026-01-16T00:00:00"/>
    <s v="Friday"/>
    <n v="1"/>
    <n v="11.62"/>
    <x v="1"/>
    <x v="31"/>
    <s v="Male"/>
    <n v="71.5"/>
    <n v="199"/>
    <n v="27.3"/>
    <n v="19"/>
    <s v="CO"/>
    <n v="4"/>
    <n v="1035.9000000000001"/>
    <s v="Middle"/>
    <n v="0"/>
    <s v="Single-Day"/>
    <n v="0"/>
    <n v="1"/>
    <s v="Main Entrance"/>
    <s v="None/Walked from Resort"/>
    <n v="6.1"/>
    <n v="6"/>
    <x v="3059"/>
  </r>
  <r>
    <n v="3269"/>
    <n v="1072"/>
    <d v="2026-01-16T00:00:00"/>
    <s v="Friday"/>
    <n v="1"/>
    <n v="11.54"/>
    <x v="1"/>
    <x v="32"/>
    <s v="Female"/>
    <n v="55"/>
    <n v="65.7"/>
    <n v="15.2"/>
    <n v="11"/>
    <s v="CO"/>
    <n v="4"/>
    <n v="1035.9000000000001"/>
    <s v="Middle"/>
    <n v="0"/>
    <s v="Single-Day"/>
    <n v="0"/>
    <n v="1"/>
    <s v="Main Entrance"/>
    <s v="None/Walked from Resort"/>
    <n v="8.4"/>
    <n v="6"/>
    <x v="3060"/>
  </r>
  <r>
    <n v="3270"/>
    <n v="1073"/>
    <d v="2026-01-10T00:00:00"/>
    <s v="Saturday"/>
    <n v="1"/>
    <n v="11.07"/>
    <x v="1"/>
    <x v="45"/>
    <s v="Female"/>
    <n v="63.7"/>
    <n v="155.9"/>
    <n v="26.9"/>
    <n v="14"/>
    <s v="CA"/>
    <n v="6"/>
    <n v="2"/>
    <s v="Low"/>
    <n v="1"/>
    <s v="Single-Day"/>
    <n v="0"/>
    <n v="0"/>
    <s v="Main Entrance"/>
    <s v="Mickey &amp; Friends"/>
    <n v="7.5"/>
    <n v="6"/>
    <x v="3061"/>
  </r>
  <r>
    <n v="3271"/>
    <n v="1073"/>
    <d v="2026-01-10T00:00:00"/>
    <s v="Saturday"/>
    <n v="1"/>
    <n v="10.84"/>
    <x v="0"/>
    <x v="15"/>
    <s v="Female"/>
    <n v="63.9"/>
    <n v="182.7"/>
    <n v="31.4"/>
    <n v="11"/>
    <s v="CA"/>
    <n v="6"/>
    <n v="2"/>
    <s v="Low"/>
    <n v="1"/>
    <s v="Single-Day"/>
    <n v="0"/>
    <n v="0"/>
    <s v="Main Entrance"/>
    <s v="Mickey &amp; Friends"/>
    <n v="8.9"/>
    <n v="9"/>
    <x v="3062"/>
  </r>
  <r>
    <n v="3272"/>
    <n v="1073"/>
    <d v="2026-01-10T00:00:00"/>
    <s v="Saturday"/>
    <n v="1"/>
    <n v="10.95"/>
    <x v="0"/>
    <x v="12"/>
    <s v="Male"/>
    <n v="62.2"/>
    <n v="98.4"/>
    <n v="18"/>
    <n v="6"/>
    <s v="CA"/>
    <n v="6"/>
    <n v="2"/>
    <s v="Low"/>
    <n v="1"/>
    <s v="Single-Day"/>
    <n v="0"/>
    <n v="0"/>
    <s v="Main Entrance"/>
    <s v="Mickey &amp; Friends"/>
    <n v="6.7"/>
    <n v="5"/>
    <x v="3063"/>
  </r>
  <r>
    <n v="3273"/>
    <n v="1073"/>
    <d v="2026-01-10T00:00:00"/>
    <s v="Saturday"/>
    <n v="1"/>
    <n v="11.18"/>
    <x v="1"/>
    <x v="49"/>
    <s v="Male"/>
    <n v="70.3"/>
    <n v="154.30000000000001"/>
    <n v="21.9"/>
    <n v="11"/>
    <s v="CA"/>
    <n v="6"/>
    <n v="2"/>
    <s v="Low"/>
    <n v="1"/>
    <s v="Single-Day"/>
    <n v="0"/>
    <n v="0"/>
    <s v="Main Entrance"/>
    <s v="Mickey &amp; Friends"/>
    <n v="7.3"/>
    <n v="6"/>
    <x v="3064"/>
  </r>
  <r>
    <n v="3274"/>
    <n v="1073"/>
    <d v="2026-01-10T00:00:00"/>
    <s v="Saturday"/>
    <n v="1"/>
    <n v="10.98"/>
    <x v="0"/>
    <x v="5"/>
    <s v="Female"/>
    <n v="64.099999999999994"/>
    <n v="164.6"/>
    <n v="28.2"/>
    <n v="12"/>
    <s v="CA"/>
    <n v="6"/>
    <n v="2"/>
    <s v="Low"/>
    <n v="1"/>
    <s v="Single-Day"/>
    <n v="0"/>
    <n v="0"/>
    <s v="Main Entrance"/>
    <s v="Mickey &amp; Friends"/>
    <n v="6.7"/>
    <n v="9"/>
    <x v="3065"/>
  </r>
  <r>
    <n v="3275"/>
    <n v="1073"/>
    <d v="2026-01-10T00:00:00"/>
    <s v="Saturday"/>
    <n v="1"/>
    <n v="10.9"/>
    <x v="0"/>
    <x v="51"/>
    <s v="Female"/>
    <n v="67.7"/>
    <n v="127.2"/>
    <n v="19.5"/>
    <n v="11"/>
    <s v="CA"/>
    <n v="6"/>
    <n v="2"/>
    <s v="Low"/>
    <n v="1"/>
    <s v="Single-Day"/>
    <n v="0"/>
    <n v="0"/>
    <s v="Main Entrance"/>
    <s v="Mickey &amp; Friends"/>
    <n v="8"/>
    <n v="8"/>
    <x v="3066"/>
  </r>
  <r>
    <n v="3276"/>
    <n v="1074"/>
    <d v="2026-10-11T00:00:00"/>
    <s v="Sunday"/>
    <n v="10"/>
    <n v="12.27"/>
    <x v="1"/>
    <x v="38"/>
    <s v="Female"/>
    <n v="65.2"/>
    <n v="148.80000000000001"/>
    <n v="25"/>
    <n v="11"/>
    <s v="CA"/>
    <n v="4"/>
    <n v="110.8"/>
    <s v="Middle"/>
    <n v="1"/>
    <s v="Multi-Day"/>
    <n v="0"/>
    <n v="0"/>
    <s v="Downtown Disney Gate"/>
    <s v="Toy Story Lot"/>
    <n v="10.3"/>
    <n v="8"/>
    <x v="3067"/>
  </r>
  <r>
    <n v="3277"/>
    <n v="1074"/>
    <d v="2026-10-11T00:00:00"/>
    <s v="Sunday"/>
    <n v="10"/>
    <n v="12.04"/>
    <x v="1"/>
    <x v="9"/>
    <s v="Female"/>
    <n v="63.7"/>
    <n v="182.6"/>
    <n v="31.7"/>
    <n v="17"/>
    <s v="CA"/>
    <n v="4"/>
    <n v="110.8"/>
    <s v="Middle"/>
    <n v="1"/>
    <s v="Multi-Day"/>
    <n v="0"/>
    <n v="0"/>
    <s v="Downtown Disney Gate"/>
    <s v="Toy Story Lot"/>
    <n v="6.5"/>
    <n v="8"/>
    <x v="3068"/>
  </r>
  <r>
    <n v="3278"/>
    <n v="1074"/>
    <d v="2026-10-11T00:00:00"/>
    <s v="Sunday"/>
    <n v="10"/>
    <n v="12.19"/>
    <x v="1"/>
    <x v="6"/>
    <s v="Female"/>
    <n v="64.900000000000006"/>
    <n v="173.6"/>
    <n v="28.6"/>
    <n v="17"/>
    <s v="CA"/>
    <n v="4"/>
    <n v="110.8"/>
    <s v="Middle"/>
    <n v="1"/>
    <s v="Multi-Day"/>
    <n v="0"/>
    <n v="0"/>
    <s v="Downtown Disney Gate"/>
    <s v="Toy Story Lot"/>
    <n v="9.6999999999999993"/>
    <n v="11"/>
    <x v="3069"/>
  </r>
  <r>
    <n v="3279"/>
    <n v="1074"/>
    <d v="2026-10-11T00:00:00"/>
    <s v="Sunday"/>
    <n v="10"/>
    <n v="12.08"/>
    <x v="1"/>
    <x v="38"/>
    <s v="Male"/>
    <n v="66"/>
    <n v="120.9"/>
    <n v="19.600000000000001"/>
    <n v="17"/>
    <s v="CA"/>
    <n v="4"/>
    <n v="110.8"/>
    <s v="Middle"/>
    <n v="1"/>
    <s v="Multi-Day"/>
    <n v="0"/>
    <n v="0"/>
    <s v="Downtown Disney Gate"/>
    <s v="Toy Story Lot"/>
    <n v="5.9"/>
    <n v="6"/>
    <x v="2871"/>
  </r>
  <r>
    <n v="3280"/>
    <n v="1075"/>
    <d v="2026-12-11T00:00:00"/>
    <s v="Friday"/>
    <n v="12"/>
    <n v="10.72"/>
    <x v="0"/>
    <x v="42"/>
    <s v="Female"/>
    <n v="69.400000000000006"/>
    <n v="176.6"/>
    <n v="26"/>
    <n v="21"/>
    <s v="CA"/>
    <n v="1"/>
    <n v="89.5"/>
    <s v="High"/>
    <n v="0"/>
    <s v="Multi-Day"/>
    <n v="0"/>
    <n v="1"/>
    <s v="Main Entrance"/>
    <s v="None/Walked from Resort"/>
    <n v="8.6999999999999993"/>
    <n v="7"/>
    <x v="3070"/>
  </r>
  <r>
    <n v="3281"/>
    <n v="1076"/>
    <d v="2026-03-20T00:00:00"/>
    <s v="Friday"/>
    <n v="3"/>
    <n v="10.38"/>
    <x v="0"/>
    <x v="49"/>
    <s v="Male"/>
    <n v="69"/>
    <n v="179.8"/>
    <n v="26.4"/>
    <n v="11"/>
    <s v="MN"/>
    <n v="3"/>
    <n v="1714.1"/>
    <s v="Low"/>
    <n v="1"/>
    <s v="Multi-Day"/>
    <n v="0"/>
    <n v="1"/>
    <s v="Main Entrance"/>
    <s v="Mickey &amp; Friends"/>
    <n v="8.9"/>
    <n v="1"/>
    <x v="544"/>
  </r>
  <r>
    <n v="3282"/>
    <n v="1076"/>
    <d v="2026-03-20T00:00:00"/>
    <s v="Friday"/>
    <n v="3"/>
    <n v="10.5"/>
    <x v="0"/>
    <x v="46"/>
    <s v="Male"/>
    <n v="71.900000000000006"/>
    <n v="163.69999999999999"/>
    <n v="22.1"/>
    <n v="17"/>
    <s v="MN"/>
    <n v="3"/>
    <n v="1714.1"/>
    <s v="Low"/>
    <n v="1"/>
    <s v="Multi-Day"/>
    <n v="0"/>
    <n v="1"/>
    <s v="Main Entrance"/>
    <s v="Mickey &amp; Friends"/>
    <n v="6.5"/>
    <n v="13"/>
    <x v="3071"/>
  </r>
  <r>
    <n v="3283"/>
    <n v="1076"/>
    <d v="2026-03-20T00:00:00"/>
    <s v="Friday"/>
    <n v="3"/>
    <n v="10.64"/>
    <x v="0"/>
    <x v="64"/>
    <s v="Female"/>
    <n v="48.6"/>
    <n v="49.3"/>
    <n v="14.8"/>
    <n v="12"/>
    <s v="MN"/>
    <n v="3"/>
    <n v="1714.1"/>
    <s v="Low"/>
    <n v="1"/>
    <s v="Multi-Day"/>
    <n v="0"/>
    <n v="1"/>
    <s v="Main Entrance"/>
    <s v="Mickey &amp; Friends"/>
    <n v="10.4"/>
    <n v="10"/>
    <x v="3072"/>
  </r>
  <r>
    <n v="3284"/>
    <n v="1077"/>
    <d v="2026-08-04T00:00:00"/>
    <s v="Tuesday"/>
    <n v="8"/>
    <n v="11.26"/>
    <x v="1"/>
    <x v="66"/>
    <s v="Male"/>
    <n v="62.8"/>
    <n v="125.5"/>
    <n v="22.4"/>
    <n v="17"/>
    <s v="TX"/>
    <n v="4"/>
    <n v="1187.7"/>
    <s v="Middle"/>
    <n v="1"/>
    <s v="Park Hopper"/>
    <n v="1"/>
    <n v="0"/>
    <s v="Downtown Disney Gate"/>
    <s v="Pixar Pals"/>
    <n v="8.6999999999999993"/>
    <n v="10"/>
    <x v="3073"/>
  </r>
  <r>
    <n v="3285"/>
    <n v="1077"/>
    <d v="2026-08-04T00:00:00"/>
    <s v="Tuesday"/>
    <n v="8"/>
    <n v="11.22"/>
    <x v="1"/>
    <x v="15"/>
    <s v="Female"/>
    <n v="65.599999999999994"/>
    <n v="167.4"/>
    <n v="27.3"/>
    <n v="16"/>
    <s v="TX"/>
    <n v="4"/>
    <n v="1187.7"/>
    <s v="Middle"/>
    <n v="1"/>
    <s v="Park Hopper"/>
    <n v="1"/>
    <n v="0"/>
    <s v="Downtown Disney Gate"/>
    <s v="Pixar Pals"/>
    <n v="8.8000000000000007"/>
    <n v="10"/>
    <x v="3074"/>
  </r>
  <r>
    <n v="3286"/>
    <n v="1077"/>
    <d v="2026-08-04T00:00:00"/>
    <s v="Tuesday"/>
    <n v="8"/>
    <n v="11.19"/>
    <x v="1"/>
    <x v="22"/>
    <s v="Male"/>
    <n v="64.099999999999994"/>
    <n v="99.6"/>
    <n v="16.899999999999999"/>
    <n v="15"/>
    <s v="TX"/>
    <n v="4"/>
    <n v="1187.7"/>
    <s v="Middle"/>
    <n v="1"/>
    <s v="Park Hopper"/>
    <n v="1"/>
    <n v="0"/>
    <s v="Downtown Disney Gate"/>
    <s v="Pixar Pals"/>
    <n v="8.3000000000000007"/>
    <n v="5"/>
    <x v="3075"/>
  </r>
  <r>
    <n v="3287"/>
    <n v="1077"/>
    <d v="2026-08-04T00:00:00"/>
    <s v="Tuesday"/>
    <n v="8"/>
    <n v="11.09"/>
    <x v="1"/>
    <x v="21"/>
    <s v="Female"/>
    <n v="63.7"/>
    <n v="147.19999999999999"/>
    <n v="25.4"/>
    <n v="17"/>
    <s v="TX"/>
    <n v="4"/>
    <n v="1187.7"/>
    <s v="Middle"/>
    <n v="1"/>
    <s v="Park Hopper"/>
    <n v="1"/>
    <n v="0"/>
    <s v="Downtown Disney Gate"/>
    <s v="Pixar Pals"/>
    <n v="7.2"/>
    <n v="12"/>
    <x v="3076"/>
  </r>
  <r>
    <n v="3288"/>
    <n v="1078"/>
    <d v="2026-09-05T00:00:00"/>
    <s v="Saturday"/>
    <n v="9"/>
    <n v="7.25"/>
    <x v="0"/>
    <x v="53"/>
    <s v="Female"/>
    <n v="56.5"/>
    <n v="90.6"/>
    <n v="20.399999999999999"/>
    <n v="10"/>
    <s v="CA"/>
    <n v="3"/>
    <n v="16.2"/>
    <s v="Middle"/>
    <n v="0"/>
    <s v="Single-Day"/>
    <n v="0"/>
    <n v="0"/>
    <s v="Main Entrance"/>
    <s v="Toy Story Lot"/>
    <n v="7.3"/>
    <n v="8"/>
    <x v="3077"/>
  </r>
  <r>
    <n v="3289"/>
    <n v="1078"/>
    <d v="2026-09-05T00:00:00"/>
    <s v="Saturday"/>
    <n v="9"/>
    <n v="7.42"/>
    <x v="0"/>
    <x v="23"/>
    <s v="Female"/>
    <n v="63.2"/>
    <n v="168.1"/>
    <n v="29.7"/>
    <n v="14"/>
    <s v="CA"/>
    <n v="3"/>
    <n v="16.2"/>
    <s v="Middle"/>
    <n v="0"/>
    <s v="Single-Day"/>
    <n v="0"/>
    <n v="0"/>
    <s v="Main Entrance"/>
    <s v="Toy Story Lot"/>
    <n v="7.8"/>
    <n v="6"/>
    <x v="3078"/>
  </r>
  <r>
    <n v="3290"/>
    <n v="1078"/>
    <d v="2026-09-05T00:00:00"/>
    <s v="Saturday"/>
    <n v="9"/>
    <n v="7.25"/>
    <x v="0"/>
    <x v="4"/>
    <s v="Female"/>
    <n v="65.900000000000006"/>
    <n v="185.3"/>
    <n v="30.1"/>
    <n v="16"/>
    <s v="CA"/>
    <n v="3"/>
    <n v="16.2"/>
    <s v="Middle"/>
    <n v="0"/>
    <s v="Single-Day"/>
    <n v="0"/>
    <n v="0"/>
    <s v="Main Entrance"/>
    <s v="Toy Story Lot"/>
    <n v="5.8"/>
    <n v="11"/>
    <x v="3079"/>
  </r>
  <r>
    <n v="3291"/>
    <n v="1079"/>
    <d v="2026-08-31T00:00:00"/>
    <s v="Monday"/>
    <n v="8"/>
    <n v="12.04"/>
    <x v="1"/>
    <x v="10"/>
    <s v="Male"/>
    <n v="65.400000000000006"/>
    <n v="150.69999999999999"/>
    <n v="24.9"/>
    <n v="15"/>
    <s v="CA"/>
    <n v="3"/>
    <n v="49.8"/>
    <s v="Middle"/>
    <n v="0"/>
    <s v="Single-Day"/>
    <n v="0"/>
    <n v="0"/>
    <s v="Main Entrance"/>
    <s v="Mickey &amp; Friends"/>
    <n v="9.1999999999999993"/>
    <n v="4"/>
    <x v="3080"/>
  </r>
  <r>
    <n v="3292"/>
    <n v="1079"/>
    <d v="2026-08-31T00:00:00"/>
    <s v="Monday"/>
    <n v="8"/>
    <n v="12.16"/>
    <x v="1"/>
    <x v="78"/>
    <s v="Male"/>
    <n v="70"/>
    <n v="130.4"/>
    <n v="18.5"/>
    <n v="13"/>
    <s v="CA"/>
    <n v="3"/>
    <n v="49.8"/>
    <s v="Middle"/>
    <n v="0"/>
    <s v="Single-Day"/>
    <n v="0"/>
    <n v="0"/>
    <s v="Main Entrance"/>
    <s v="Mickey &amp; Friends"/>
    <n v="8.6999999999999993"/>
    <n v="8"/>
    <x v="3081"/>
  </r>
  <r>
    <n v="3293"/>
    <n v="1079"/>
    <d v="2026-08-31T00:00:00"/>
    <s v="Monday"/>
    <n v="8"/>
    <n v="11.95"/>
    <x v="1"/>
    <x v="59"/>
    <s v="Female"/>
    <n v="65.7"/>
    <n v="158.19999999999999"/>
    <n v="25.9"/>
    <n v="11"/>
    <s v="CA"/>
    <n v="3"/>
    <n v="49.8"/>
    <s v="Middle"/>
    <n v="0"/>
    <s v="Single-Day"/>
    <n v="0"/>
    <n v="0"/>
    <s v="Main Entrance"/>
    <s v="Mickey &amp; Friends"/>
    <n v="9.1"/>
    <n v="2"/>
    <x v="3082"/>
  </r>
  <r>
    <n v="3294"/>
    <n v="1080"/>
    <d v="2026-05-09T00:00:00"/>
    <s v="Saturday"/>
    <n v="5"/>
    <n v="9.76"/>
    <x v="0"/>
    <x v="20"/>
    <s v="Male"/>
    <n v="63.6"/>
    <n v="84.2"/>
    <n v="14.6"/>
    <n v="14"/>
    <s v="CA"/>
    <n v="2"/>
    <n v="22.8"/>
    <s v="Middle"/>
    <n v="0"/>
    <s v="Single-Day"/>
    <n v="0"/>
    <n v="0"/>
    <s v="Main Entrance"/>
    <s v="Mickey &amp; Friends"/>
    <n v="6.5"/>
    <n v="5"/>
    <x v="3083"/>
  </r>
  <r>
    <n v="3295"/>
    <n v="1080"/>
    <d v="2026-05-09T00:00:00"/>
    <s v="Saturday"/>
    <n v="5"/>
    <n v="9.83"/>
    <x v="0"/>
    <x v="66"/>
    <s v="Male"/>
    <n v="67.7"/>
    <n v="165.4"/>
    <n v="25.5"/>
    <n v="16"/>
    <s v="CA"/>
    <n v="2"/>
    <n v="22.8"/>
    <s v="Middle"/>
    <n v="0"/>
    <s v="Single-Day"/>
    <n v="0"/>
    <n v="0"/>
    <s v="Main Entrance"/>
    <s v="Mickey &amp; Friends"/>
    <n v="8.5"/>
    <n v="16"/>
    <x v="3084"/>
  </r>
  <r>
    <n v="3296"/>
    <n v="1081"/>
    <d v="2026-01-04T00:00:00"/>
    <s v="Sunday"/>
    <n v="1"/>
    <n v="10.45"/>
    <x v="0"/>
    <x v="50"/>
    <s v="Male"/>
    <n v="70"/>
    <n v="157.69999999999999"/>
    <n v="22.7"/>
    <n v="13"/>
    <s v="AZ"/>
    <n v="3"/>
    <n v="227"/>
    <s v="Middle"/>
    <n v="1"/>
    <s v="Multi-Day"/>
    <n v="0"/>
    <n v="1"/>
    <s v="Downtown Disney Gate"/>
    <s v="None/Walked from Resort"/>
    <n v="8.6"/>
    <n v="7"/>
    <x v="1853"/>
  </r>
  <r>
    <n v="3297"/>
    <n v="1081"/>
    <d v="2026-01-04T00:00:00"/>
    <s v="Sunday"/>
    <n v="1"/>
    <n v="10.33"/>
    <x v="0"/>
    <x v="52"/>
    <s v="Male"/>
    <n v="67.2"/>
    <n v="164.6"/>
    <n v="25.5"/>
    <n v="18"/>
    <s v="AZ"/>
    <n v="3"/>
    <n v="227"/>
    <s v="Middle"/>
    <n v="1"/>
    <s v="Multi-Day"/>
    <n v="0"/>
    <n v="1"/>
    <s v="Downtown Disney Gate"/>
    <s v="None/Walked from Resort"/>
    <n v="11.6"/>
    <n v="11"/>
    <x v="3085"/>
  </r>
  <r>
    <n v="3298"/>
    <n v="1081"/>
    <d v="2026-01-04T00:00:00"/>
    <s v="Sunday"/>
    <n v="1"/>
    <n v="10.38"/>
    <x v="0"/>
    <x v="11"/>
    <s v="Male"/>
    <n v="71"/>
    <n v="169.5"/>
    <n v="23.6"/>
    <n v="13"/>
    <s v="AZ"/>
    <n v="3"/>
    <n v="227"/>
    <s v="Middle"/>
    <n v="1"/>
    <s v="Multi-Day"/>
    <n v="0"/>
    <n v="1"/>
    <s v="Downtown Disney Gate"/>
    <s v="None/Walked from Resort"/>
    <n v="4.7"/>
    <n v="5"/>
    <x v="3086"/>
  </r>
  <r>
    <n v="3299"/>
    <n v="1082"/>
    <d v="2026-07-30T00:00:00"/>
    <s v="Thursday"/>
    <n v="7"/>
    <n v="10.79"/>
    <x v="0"/>
    <x v="57"/>
    <s v="Male"/>
    <n v="65.599999999999994"/>
    <n v="141.80000000000001"/>
    <n v="23.1"/>
    <n v="18"/>
    <s v="Other"/>
    <n v="2"/>
    <n v="975.4"/>
    <s v="Middle"/>
    <n v="1"/>
    <s v="Park Hopper"/>
    <n v="0"/>
    <n v="0"/>
    <s v="Main Entrance"/>
    <s v="Mickey &amp; Friends"/>
    <n v="10.1"/>
    <n v="7"/>
    <x v="3087"/>
  </r>
  <r>
    <n v="3300"/>
    <n v="1082"/>
    <d v="2026-07-30T00:00:00"/>
    <s v="Thursday"/>
    <n v="7"/>
    <n v="10.92"/>
    <x v="0"/>
    <x v="79"/>
    <s v="Male"/>
    <n v="68.7"/>
    <n v="174.2"/>
    <n v="25.8"/>
    <n v="16"/>
    <s v="Other"/>
    <n v="2"/>
    <n v="975.4"/>
    <s v="Middle"/>
    <n v="1"/>
    <s v="Park Hopper"/>
    <n v="0"/>
    <n v="0"/>
    <s v="Main Entrance"/>
    <s v="Mickey &amp; Friends"/>
    <n v="7.3"/>
    <n v="7"/>
    <x v="3088"/>
  </r>
  <r>
    <n v="3301"/>
    <n v="1083"/>
    <d v="2026-03-22T00:00:00"/>
    <s v="Sunday"/>
    <n v="3"/>
    <n v="10.89"/>
    <x v="0"/>
    <x v="45"/>
    <s v="Male"/>
    <n v="70"/>
    <n v="188.8"/>
    <n v="27"/>
    <n v="11"/>
    <s v="Other"/>
    <n v="2"/>
    <n v="1020.9"/>
    <s v="Low"/>
    <n v="1"/>
    <s v="Single-Day"/>
    <n v="0"/>
    <n v="0"/>
    <s v="Downtown Disney Gate"/>
    <s v="Pixar Pals"/>
    <n v="7.9"/>
    <n v="2"/>
    <x v="3089"/>
  </r>
  <r>
    <n v="3302"/>
    <n v="1083"/>
    <d v="2026-03-22T00:00:00"/>
    <s v="Sunday"/>
    <n v="3"/>
    <n v="10.88"/>
    <x v="0"/>
    <x v="14"/>
    <s v="Female"/>
    <n v="64.3"/>
    <n v="147.1"/>
    <n v="25"/>
    <n v="13"/>
    <s v="Other"/>
    <n v="2"/>
    <n v="1020.9"/>
    <s v="Low"/>
    <n v="1"/>
    <s v="Single-Day"/>
    <n v="0"/>
    <n v="0"/>
    <s v="Downtown Disney Gate"/>
    <s v="Pixar Pals"/>
    <n v="8.3000000000000007"/>
    <n v="8"/>
    <x v="3090"/>
  </r>
  <r>
    <n v="3303"/>
    <n v="1084"/>
    <d v="2026-04-28T00:00:00"/>
    <s v="Tuesday"/>
    <n v="4"/>
    <n v="9.61"/>
    <x v="0"/>
    <x v="28"/>
    <s v="Female"/>
    <n v="67.5"/>
    <n v="201.3"/>
    <n v="31.1"/>
    <n v="14"/>
    <s v="FL"/>
    <n v="6"/>
    <n v="2630.6"/>
    <s v="Low"/>
    <n v="1"/>
    <s v="Multi-Day"/>
    <n v="0"/>
    <n v="1"/>
    <s v="Hotel Guest Entrance"/>
    <s v="Pixar Pals"/>
    <n v="8.1"/>
    <n v="10"/>
    <x v="3091"/>
  </r>
  <r>
    <n v="3304"/>
    <n v="1084"/>
    <d v="2026-04-28T00:00:00"/>
    <s v="Tuesday"/>
    <n v="4"/>
    <n v="9.6199999999999992"/>
    <x v="0"/>
    <x v="55"/>
    <s v="Female"/>
    <n v="60.6"/>
    <n v="121.4"/>
    <n v="23.2"/>
    <n v="13"/>
    <s v="FL"/>
    <n v="6"/>
    <n v="2630.6"/>
    <s v="Low"/>
    <n v="1"/>
    <s v="Multi-Day"/>
    <n v="0"/>
    <n v="1"/>
    <s v="Hotel Guest Entrance"/>
    <s v="Pixar Pals"/>
    <n v="9.5"/>
    <n v="6"/>
    <x v="3092"/>
  </r>
  <r>
    <n v="3305"/>
    <n v="1084"/>
    <d v="2026-04-28T00:00:00"/>
    <s v="Tuesday"/>
    <n v="4"/>
    <n v="9.5399999999999991"/>
    <x v="0"/>
    <x v="37"/>
    <s v="Male"/>
    <n v="69.3"/>
    <n v="138.69999999999999"/>
    <n v="20.3"/>
    <n v="13"/>
    <s v="FL"/>
    <n v="6"/>
    <n v="2630.6"/>
    <s v="Low"/>
    <n v="1"/>
    <s v="Multi-Day"/>
    <n v="0"/>
    <n v="1"/>
    <s v="Hotel Guest Entrance"/>
    <s v="Pixar Pals"/>
    <n v="6.9"/>
    <n v="12"/>
    <x v="3093"/>
  </r>
  <r>
    <n v="3306"/>
    <n v="1084"/>
    <d v="2026-04-28T00:00:00"/>
    <s v="Tuesday"/>
    <n v="4"/>
    <n v="9.36"/>
    <x v="0"/>
    <x v="2"/>
    <s v="Female"/>
    <n v="62"/>
    <n v="107.6"/>
    <n v="19.7"/>
    <n v="10"/>
    <s v="FL"/>
    <n v="6"/>
    <n v="2630.6"/>
    <s v="Low"/>
    <n v="1"/>
    <s v="Multi-Day"/>
    <n v="0"/>
    <n v="1"/>
    <s v="Hotel Guest Entrance"/>
    <s v="Pixar Pals"/>
    <n v="8"/>
    <n v="7"/>
    <x v="260"/>
  </r>
  <r>
    <n v="3307"/>
    <n v="1084"/>
    <d v="2026-04-28T00:00:00"/>
    <s v="Tuesday"/>
    <n v="4"/>
    <n v="9.8800000000000008"/>
    <x v="0"/>
    <x v="37"/>
    <s v="Male"/>
    <n v="72.2"/>
    <n v="146.5"/>
    <n v="19.8"/>
    <n v="13"/>
    <s v="FL"/>
    <n v="6"/>
    <n v="2630.6"/>
    <s v="Low"/>
    <n v="1"/>
    <s v="Multi-Day"/>
    <n v="0"/>
    <n v="1"/>
    <s v="Hotel Guest Entrance"/>
    <s v="Pixar Pals"/>
    <n v="6.5"/>
    <n v="3"/>
    <x v="3094"/>
  </r>
  <r>
    <n v="3308"/>
    <n v="1084"/>
    <d v="2026-04-28T00:00:00"/>
    <s v="Tuesday"/>
    <n v="4"/>
    <n v="9.6199999999999992"/>
    <x v="0"/>
    <x v="58"/>
    <s v="Male"/>
    <n v="70.7"/>
    <n v="167.4"/>
    <n v="23.4"/>
    <n v="14"/>
    <s v="FL"/>
    <n v="6"/>
    <n v="2630.6"/>
    <s v="Low"/>
    <n v="1"/>
    <s v="Multi-Day"/>
    <n v="0"/>
    <n v="1"/>
    <s v="Hotel Guest Entrance"/>
    <s v="Pixar Pals"/>
    <n v="9.9"/>
    <n v="5"/>
    <x v="3095"/>
  </r>
  <r>
    <n v="3309"/>
    <n v="1085"/>
    <d v="2026-09-17T00:00:00"/>
    <s v="Thursday"/>
    <n v="9"/>
    <n v="12.24"/>
    <x v="1"/>
    <x v="56"/>
    <s v="Male"/>
    <n v="66.8"/>
    <n v="138.9"/>
    <n v="21.8"/>
    <n v="10"/>
    <s v="CO"/>
    <n v="5"/>
    <n v="609.20000000000005"/>
    <s v="Low"/>
    <n v="0"/>
    <s v="Single-Day"/>
    <n v="0"/>
    <n v="0"/>
    <s v="Main Entrance"/>
    <s v="Pixar Pals"/>
    <n v="5.5"/>
    <n v="7"/>
    <x v="3096"/>
  </r>
  <r>
    <n v="3310"/>
    <n v="1085"/>
    <d v="2026-09-17T00:00:00"/>
    <s v="Thursday"/>
    <n v="9"/>
    <n v="11.94"/>
    <x v="1"/>
    <x v="18"/>
    <s v="Female"/>
    <n v="62"/>
    <n v="124.8"/>
    <n v="22.5"/>
    <n v="16"/>
    <s v="CO"/>
    <n v="5"/>
    <n v="609.20000000000005"/>
    <s v="Low"/>
    <n v="0"/>
    <s v="Single-Day"/>
    <n v="0"/>
    <n v="0"/>
    <s v="Main Entrance"/>
    <s v="Pixar Pals"/>
    <n v="6.7"/>
    <n v="9"/>
    <x v="3097"/>
  </r>
  <r>
    <n v="3311"/>
    <n v="1085"/>
    <d v="2026-09-17T00:00:00"/>
    <s v="Thursday"/>
    <n v="9"/>
    <n v="12.03"/>
    <x v="1"/>
    <x v="8"/>
    <s v="Female"/>
    <n v="63.4"/>
    <n v="146.6"/>
    <n v="25.6"/>
    <n v="16"/>
    <s v="CO"/>
    <n v="5"/>
    <n v="609.20000000000005"/>
    <s v="Low"/>
    <n v="0"/>
    <s v="Single-Day"/>
    <n v="0"/>
    <n v="0"/>
    <s v="Main Entrance"/>
    <s v="Pixar Pals"/>
    <n v="8.5"/>
    <n v="9"/>
    <x v="1257"/>
  </r>
  <r>
    <n v="3312"/>
    <n v="1085"/>
    <d v="2026-09-17T00:00:00"/>
    <s v="Thursday"/>
    <n v="9"/>
    <n v="12.22"/>
    <x v="1"/>
    <x v="38"/>
    <s v="Male"/>
    <n v="72"/>
    <n v="164.5"/>
    <n v="22.2"/>
    <n v="9"/>
    <s v="CO"/>
    <n v="5"/>
    <n v="609.20000000000005"/>
    <s v="Low"/>
    <n v="0"/>
    <s v="Single-Day"/>
    <n v="0"/>
    <n v="0"/>
    <s v="Main Entrance"/>
    <s v="Pixar Pals"/>
    <n v="5.8"/>
    <n v="4"/>
    <x v="3098"/>
  </r>
  <r>
    <n v="3313"/>
    <n v="1085"/>
    <d v="2026-09-17T00:00:00"/>
    <s v="Thursday"/>
    <n v="9"/>
    <n v="11.98"/>
    <x v="1"/>
    <x v="20"/>
    <s v="Male"/>
    <n v="66.900000000000006"/>
    <n v="124.3"/>
    <n v="19.3"/>
    <n v="7"/>
    <s v="CO"/>
    <n v="5"/>
    <n v="609.20000000000005"/>
    <s v="Low"/>
    <n v="0"/>
    <s v="Single-Day"/>
    <n v="0"/>
    <n v="0"/>
    <s v="Main Entrance"/>
    <s v="Pixar Pals"/>
    <n v="7.4"/>
    <n v="8"/>
    <x v="3099"/>
  </r>
  <r>
    <n v="3314"/>
    <n v="1086"/>
    <d v="2026-03-10T00:00:00"/>
    <s v="Tuesday"/>
    <n v="3"/>
    <n v="11.1"/>
    <x v="1"/>
    <x v="48"/>
    <s v="Male"/>
    <n v="68.8"/>
    <n v="190.5"/>
    <n v="28"/>
    <n v="20"/>
    <s v="CA"/>
    <n v="2"/>
    <n v="80.400000000000006"/>
    <s v="Middle"/>
    <n v="0"/>
    <s v="Multi-Day"/>
    <n v="0"/>
    <n v="0"/>
    <s v="Main Entrance"/>
    <s v="Mickey &amp; Friends"/>
    <n v="10.9"/>
    <n v="8"/>
    <x v="3100"/>
  </r>
  <r>
    <n v="3315"/>
    <n v="1086"/>
    <d v="2026-03-10T00:00:00"/>
    <s v="Tuesday"/>
    <n v="3"/>
    <n v="10.89"/>
    <x v="0"/>
    <x v="45"/>
    <s v="Female"/>
    <n v="67.2"/>
    <n v="195.3"/>
    <n v="30.1"/>
    <n v="17"/>
    <s v="CA"/>
    <n v="2"/>
    <n v="80.400000000000006"/>
    <s v="Middle"/>
    <n v="0"/>
    <s v="Multi-Day"/>
    <n v="0"/>
    <n v="0"/>
    <s v="Main Entrance"/>
    <s v="Mickey &amp; Friends"/>
    <n v="10"/>
    <n v="11"/>
    <x v="3101"/>
  </r>
  <r>
    <n v="3316"/>
    <n v="1087"/>
    <d v="2026-08-22T00:00:00"/>
    <s v="Saturday"/>
    <n v="8"/>
    <n v="7.26"/>
    <x v="0"/>
    <x v="45"/>
    <s v="Male"/>
    <n v="68.2"/>
    <n v="205.2"/>
    <n v="31.1"/>
    <n v="13"/>
    <s v="CA"/>
    <n v="2"/>
    <n v="56.5"/>
    <s v="Middle"/>
    <n v="0"/>
    <s v="Single-Day"/>
    <n v="0"/>
    <n v="0"/>
    <s v="Main Entrance"/>
    <s v="Mickey &amp; Friends"/>
    <n v="8.6"/>
    <n v="5"/>
    <x v="496"/>
  </r>
  <r>
    <n v="3317"/>
    <n v="1087"/>
    <d v="2026-08-22T00:00:00"/>
    <s v="Saturday"/>
    <n v="8"/>
    <n v="7"/>
    <x v="0"/>
    <x v="35"/>
    <s v="Male"/>
    <n v="67.599999999999994"/>
    <n v="154.6"/>
    <n v="23.7"/>
    <n v="14"/>
    <s v="CA"/>
    <n v="2"/>
    <n v="56.5"/>
    <s v="Middle"/>
    <n v="0"/>
    <s v="Single-Day"/>
    <n v="0"/>
    <n v="0"/>
    <s v="Main Entrance"/>
    <s v="Mickey &amp; Friends"/>
    <n v="7.7"/>
    <n v="8"/>
    <x v="3102"/>
  </r>
  <r>
    <n v="3318"/>
    <n v="1088"/>
    <d v="2026-05-22T00:00:00"/>
    <s v="Friday"/>
    <n v="5"/>
    <n v="10.1"/>
    <x v="0"/>
    <x v="42"/>
    <s v="Female"/>
    <n v="63.1"/>
    <n v="151.1"/>
    <n v="26.6"/>
    <n v="13"/>
    <s v="WA"/>
    <n v="5"/>
    <n v="960.9"/>
    <s v="Low"/>
    <n v="1"/>
    <s v="Single-Day"/>
    <n v="0"/>
    <n v="0"/>
    <s v="Main Entrance"/>
    <s v="Mickey &amp; Friends"/>
    <n v="7.3"/>
    <n v="7"/>
    <x v="3103"/>
  </r>
  <r>
    <n v="3319"/>
    <n v="1088"/>
    <d v="2026-05-22T00:00:00"/>
    <s v="Friday"/>
    <n v="5"/>
    <n v="9.8800000000000008"/>
    <x v="0"/>
    <x v="32"/>
    <s v="Female"/>
    <n v="56"/>
    <n v="74.099999999999994"/>
    <n v="16.5"/>
    <n v="11"/>
    <s v="WA"/>
    <n v="5"/>
    <n v="960.9"/>
    <s v="Low"/>
    <n v="1"/>
    <s v="Single-Day"/>
    <n v="0"/>
    <n v="0"/>
    <s v="Main Entrance"/>
    <s v="Mickey &amp; Friends"/>
    <n v="7.5"/>
    <n v="5"/>
    <x v="3104"/>
  </r>
  <r>
    <n v="3320"/>
    <n v="1088"/>
    <d v="2026-05-22T00:00:00"/>
    <s v="Friday"/>
    <n v="5"/>
    <n v="10.130000000000001"/>
    <x v="0"/>
    <x v="58"/>
    <s v="Female"/>
    <n v="68.7"/>
    <n v="184.3"/>
    <n v="27.3"/>
    <n v="13"/>
    <s v="WA"/>
    <n v="5"/>
    <n v="960.9"/>
    <s v="Low"/>
    <n v="1"/>
    <s v="Single-Day"/>
    <n v="0"/>
    <n v="0"/>
    <s v="Main Entrance"/>
    <s v="Mickey &amp; Friends"/>
    <n v="11.7"/>
    <n v="8"/>
    <x v="3105"/>
  </r>
  <r>
    <n v="3321"/>
    <n v="1088"/>
    <d v="2026-05-22T00:00:00"/>
    <s v="Friday"/>
    <n v="5"/>
    <n v="10.06"/>
    <x v="0"/>
    <x v="37"/>
    <s v="Female"/>
    <n v="69.599999999999994"/>
    <n v="181.7"/>
    <n v="26.3"/>
    <n v="11"/>
    <s v="WA"/>
    <n v="5"/>
    <n v="960.9"/>
    <s v="Low"/>
    <n v="1"/>
    <s v="Single-Day"/>
    <n v="0"/>
    <n v="0"/>
    <s v="Main Entrance"/>
    <s v="Mickey &amp; Friends"/>
    <n v="8"/>
    <n v="11"/>
    <x v="3106"/>
  </r>
  <r>
    <n v="3322"/>
    <n v="1088"/>
    <d v="2026-05-22T00:00:00"/>
    <s v="Friday"/>
    <n v="5"/>
    <n v="10.09"/>
    <x v="0"/>
    <x v="2"/>
    <s v="Female"/>
    <n v="65.8"/>
    <n v="198.1"/>
    <n v="32.1"/>
    <n v="13"/>
    <s v="WA"/>
    <n v="5"/>
    <n v="960.9"/>
    <s v="Low"/>
    <n v="1"/>
    <s v="Single-Day"/>
    <n v="0"/>
    <n v="0"/>
    <s v="Main Entrance"/>
    <s v="Mickey &amp; Friends"/>
    <n v="10.199999999999999"/>
    <n v="12"/>
    <x v="3107"/>
  </r>
  <r>
    <n v="3323"/>
    <n v="1089"/>
    <d v="2026-12-21T00:00:00"/>
    <s v="Monday"/>
    <n v="12"/>
    <n v="11.53"/>
    <x v="1"/>
    <x v="19"/>
    <s v="Male"/>
    <n v="70.099999999999994"/>
    <n v="161.69999999999999"/>
    <n v="23"/>
    <n v="16"/>
    <s v="AZ"/>
    <n v="1"/>
    <n v="452.2"/>
    <s v="High"/>
    <n v="0"/>
    <s v="Single-Day"/>
    <n v="1"/>
    <n v="1"/>
    <s v="Main Entrance"/>
    <s v="None/Walked from Resort"/>
    <n v="7.4"/>
    <n v="7"/>
    <x v="3108"/>
  </r>
  <r>
    <n v="3324"/>
    <n v="1090"/>
    <d v="2026-02-27T00:00:00"/>
    <s v="Friday"/>
    <n v="2"/>
    <n v="10.89"/>
    <x v="0"/>
    <x v="30"/>
    <s v="Female"/>
    <n v="69.5"/>
    <n v="118.7"/>
    <n v="17.100000000000001"/>
    <n v="16"/>
    <s v="CA"/>
    <n v="1"/>
    <n v="26.7"/>
    <s v="Low"/>
    <n v="0"/>
    <s v="Single-Day"/>
    <n v="0"/>
    <n v="0"/>
    <s v="Main Entrance"/>
    <s v="Mickey &amp; Friends"/>
    <n v="8.4"/>
    <n v="7"/>
    <x v="3109"/>
  </r>
  <r>
    <n v="3325"/>
    <n v="1091"/>
    <d v="2026-08-17T00:00:00"/>
    <s v="Monday"/>
    <n v="8"/>
    <n v="12.35"/>
    <x v="1"/>
    <x v="52"/>
    <s v="Male"/>
    <n v="70.8"/>
    <n v="222.8"/>
    <n v="31.3"/>
    <n v="15"/>
    <s v="NV"/>
    <n v="2"/>
    <n v="158.80000000000001"/>
    <s v="Middle"/>
    <n v="0"/>
    <s v="Park Hopper"/>
    <n v="1"/>
    <n v="1"/>
    <s v="Main Entrance"/>
    <s v="Mickey &amp; Friends"/>
    <n v="7.8"/>
    <n v="4"/>
    <x v="3110"/>
  </r>
  <r>
    <n v="3326"/>
    <n v="1091"/>
    <d v="2026-08-17T00:00:00"/>
    <s v="Monday"/>
    <n v="8"/>
    <n v="12.19"/>
    <x v="1"/>
    <x v="59"/>
    <s v="Female"/>
    <n v="69"/>
    <n v="193.3"/>
    <n v="28.8"/>
    <n v="15"/>
    <s v="NV"/>
    <n v="2"/>
    <n v="158.80000000000001"/>
    <s v="Middle"/>
    <n v="0"/>
    <s v="Park Hopper"/>
    <n v="1"/>
    <n v="1"/>
    <s v="Main Entrance"/>
    <s v="Mickey &amp; Friends"/>
    <n v="9.5"/>
    <n v="11"/>
    <x v="3111"/>
  </r>
  <r>
    <n v="3327"/>
    <n v="1092"/>
    <d v="2026-01-11T00:00:00"/>
    <s v="Sunday"/>
    <n v="1"/>
    <n v="11.08"/>
    <x v="1"/>
    <x v="11"/>
    <s v="Male"/>
    <n v="69.2"/>
    <n v="162.80000000000001"/>
    <n v="23.8"/>
    <n v="15"/>
    <s v="CA"/>
    <n v="2"/>
    <n v="137"/>
    <s v="High"/>
    <n v="0"/>
    <s v="Park Hopper"/>
    <n v="1"/>
    <n v="0"/>
    <s v="Downtown Disney Gate"/>
    <s v="Toy Story Lot"/>
    <n v="6.3"/>
    <n v="6"/>
    <x v="3112"/>
  </r>
  <r>
    <n v="3328"/>
    <n v="1092"/>
    <d v="2026-01-11T00:00:00"/>
    <s v="Sunday"/>
    <n v="1"/>
    <n v="10.86"/>
    <x v="0"/>
    <x v="51"/>
    <s v="Male"/>
    <n v="68.900000000000006"/>
    <n v="211.4"/>
    <n v="31.6"/>
    <n v="17"/>
    <s v="CA"/>
    <n v="2"/>
    <n v="137"/>
    <s v="High"/>
    <n v="0"/>
    <s v="Park Hopper"/>
    <n v="1"/>
    <n v="0"/>
    <s v="Downtown Disney Gate"/>
    <s v="Toy Story Lot"/>
    <n v="7.4"/>
    <n v="12"/>
    <x v="3113"/>
  </r>
  <r>
    <n v="3329"/>
    <n v="1093"/>
    <d v="2026-05-20T00:00:00"/>
    <s v="Wednesday"/>
    <n v="5"/>
    <n v="10.88"/>
    <x v="0"/>
    <x v="22"/>
    <s v="Female"/>
    <n v="63"/>
    <n v="108.5"/>
    <n v="19.600000000000001"/>
    <n v="13"/>
    <s v="SD"/>
    <n v="4"/>
    <n v="1324.5"/>
    <s v="Middle"/>
    <n v="1"/>
    <s v="Single-Day"/>
    <n v="1"/>
    <n v="1"/>
    <s v="Downtown Disney Gate"/>
    <s v="Pixar Pals"/>
    <n v="9.3000000000000007"/>
    <n v="14"/>
    <x v="3114"/>
  </r>
  <r>
    <n v="3330"/>
    <n v="1093"/>
    <d v="2026-05-20T00:00:00"/>
    <s v="Wednesday"/>
    <n v="5"/>
    <n v="11.06"/>
    <x v="1"/>
    <x v="8"/>
    <s v="Female"/>
    <n v="64.900000000000006"/>
    <n v="205"/>
    <n v="34.1"/>
    <n v="19"/>
    <s v="SD"/>
    <n v="4"/>
    <n v="1324.5"/>
    <s v="Middle"/>
    <n v="1"/>
    <s v="Single-Day"/>
    <n v="1"/>
    <n v="1"/>
    <s v="Downtown Disney Gate"/>
    <s v="Pixar Pals"/>
    <n v="8.9"/>
    <n v="15"/>
    <x v="3013"/>
  </r>
  <r>
    <n v="3331"/>
    <n v="1093"/>
    <d v="2026-05-20T00:00:00"/>
    <s v="Wednesday"/>
    <n v="5"/>
    <n v="10.84"/>
    <x v="0"/>
    <x v="58"/>
    <s v="Female"/>
    <n v="66.599999999999994"/>
    <n v="171.1"/>
    <n v="27.2"/>
    <n v="13"/>
    <s v="SD"/>
    <n v="4"/>
    <n v="1324.5"/>
    <s v="Middle"/>
    <n v="1"/>
    <s v="Single-Day"/>
    <n v="1"/>
    <n v="1"/>
    <s v="Downtown Disney Gate"/>
    <s v="Pixar Pals"/>
    <n v="11.9"/>
    <n v="10"/>
    <x v="3115"/>
  </r>
  <r>
    <n v="3332"/>
    <n v="1093"/>
    <d v="2026-05-20T00:00:00"/>
    <s v="Wednesday"/>
    <n v="5"/>
    <n v="11.1"/>
    <x v="1"/>
    <x v="53"/>
    <s v="Female"/>
    <n v="55.3"/>
    <n v="67.5"/>
    <n v="15.6"/>
    <n v="15"/>
    <s v="SD"/>
    <n v="4"/>
    <n v="1324.5"/>
    <s v="Middle"/>
    <n v="1"/>
    <s v="Single-Day"/>
    <n v="1"/>
    <n v="1"/>
    <s v="Downtown Disney Gate"/>
    <s v="Pixar Pals"/>
    <n v="6.4"/>
    <n v="4"/>
    <x v="3116"/>
  </r>
  <r>
    <n v="3333"/>
    <n v="1094"/>
    <d v="2026-11-11T00:00:00"/>
    <s v="Wednesday"/>
    <n v="11"/>
    <n v="9.07"/>
    <x v="0"/>
    <x v="27"/>
    <s v="Male"/>
    <n v="64.599999999999994"/>
    <n v="157.30000000000001"/>
    <n v="26.4"/>
    <n v="19"/>
    <s v="CA"/>
    <n v="1"/>
    <n v="76.7"/>
    <s v="High"/>
    <n v="1"/>
    <s v="Multi-Day"/>
    <n v="0"/>
    <n v="0"/>
    <s v="Main Entrance"/>
    <s v="None/Dropoff/Transit"/>
    <n v="8.4"/>
    <n v="12"/>
    <x v="3117"/>
  </r>
  <r>
    <n v="3334"/>
    <n v="1095"/>
    <d v="2026-11-21T00:00:00"/>
    <s v="Saturday"/>
    <n v="11"/>
    <n v="11.94"/>
    <x v="1"/>
    <x v="38"/>
    <s v="Female"/>
    <n v="65.400000000000006"/>
    <n v="129.6"/>
    <n v="21.3"/>
    <n v="8"/>
    <s v="CA"/>
    <n v="3"/>
    <n v="41.8"/>
    <s v="Low"/>
    <n v="0"/>
    <s v="Multi-Day"/>
    <n v="1"/>
    <n v="0"/>
    <s v="Main Entrance"/>
    <s v="Mickey &amp; Friends"/>
    <n v="5.9"/>
    <n v="8"/>
    <x v="3118"/>
  </r>
  <r>
    <n v="3335"/>
    <n v="1095"/>
    <d v="2026-11-21T00:00:00"/>
    <s v="Saturday"/>
    <n v="11"/>
    <n v="12.02"/>
    <x v="1"/>
    <x v="22"/>
    <s v="Female"/>
    <n v="55.9"/>
    <n v="73.2"/>
    <n v="16.399999999999999"/>
    <n v="12"/>
    <s v="CA"/>
    <n v="3"/>
    <n v="41.8"/>
    <s v="Low"/>
    <n v="0"/>
    <s v="Multi-Day"/>
    <n v="1"/>
    <n v="0"/>
    <s v="Main Entrance"/>
    <s v="Mickey &amp; Friends"/>
    <n v="8.5"/>
    <n v="7"/>
    <x v="3119"/>
  </r>
  <r>
    <n v="3336"/>
    <n v="1095"/>
    <d v="2026-11-21T00:00:00"/>
    <s v="Saturday"/>
    <n v="11"/>
    <n v="11.98"/>
    <x v="1"/>
    <x v="54"/>
    <s v="Male"/>
    <n v="68.7"/>
    <n v="132.69999999999999"/>
    <n v="19.7"/>
    <n v="14"/>
    <s v="CA"/>
    <n v="3"/>
    <n v="41.8"/>
    <s v="Low"/>
    <n v="0"/>
    <s v="Multi-Day"/>
    <n v="1"/>
    <n v="0"/>
    <s v="Main Entrance"/>
    <s v="Mickey &amp; Friends"/>
    <n v="9.5"/>
    <n v="4"/>
    <x v="812"/>
  </r>
  <r>
    <n v="3337"/>
    <n v="1096"/>
    <d v="2026-11-12T00:00:00"/>
    <s v="Thursday"/>
    <n v="11"/>
    <n v="9.75"/>
    <x v="0"/>
    <x v="64"/>
    <s v="Female"/>
    <n v="61.8"/>
    <n v="119.5"/>
    <n v="22.1"/>
    <n v="11"/>
    <s v="NV"/>
    <n v="3"/>
    <n v="325.8"/>
    <s v="Low"/>
    <n v="1"/>
    <s v="Park Hopper"/>
    <n v="1"/>
    <n v="0"/>
    <s v="Main Entrance"/>
    <s v="Mickey &amp; Friends"/>
    <n v="8.5"/>
    <n v="14"/>
    <x v="3120"/>
  </r>
  <r>
    <n v="3338"/>
    <n v="1096"/>
    <d v="2026-11-12T00:00:00"/>
    <s v="Thursday"/>
    <n v="11"/>
    <n v="9.77"/>
    <x v="0"/>
    <x v="23"/>
    <s v="Male"/>
    <n v="64.7"/>
    <n v="139.1"/>
    <n v="23.5"/>
    <n v="15"/>
    <s v="NV"/>
    <n v="3"/>
    <n v="325.8"/>
    <s v="Low"/>
    <n v="1"/>
    <s v="Park Hopper"/>
    <n v="1"/>
    <n v="0"/>
    <s v="Main Entrance"/>
    <s v="Mickey &amp; Friends"/>
    <n v="10"/>
    <n v="8"/>
    <x v="3121"/>
  </r>
  <r>
    <n v="3339"/>
    <n v="1096"/>
    <d v="2026-11-12T00:00:00"/>
    <s v="Thursday"/>
    <n v="11"/>
    <n v="10.08"/>
    <x v="0"/>
    <x v="10"/>
    <s v="Female"/>
    <n v="64.099999999999994"/>
    <n v="183.9"/>
    <n v="31.3"/>
    <n v="11"/>
    <s v="NV"/>
    <n v="3"/>
    <n v="325.8"/>
    <s v="Low"/>
    <n v="1"/>
    <s v="Park Hopper"/>
    <n v="1"/>
    <n v="0"/>
    <s v="Main Entrance"/>
    <s v="Mickey &amp; Friends"/>
    <n v="6.9"/>
    <n v="3"/>
    <x v="3122"/>
  </r>
  <r>
    <n v="3340"/>
    <n v="1097"/>
    <d v="2026-07-04T00:00:00"/>
    <s v="Saturday"/>
    <n v="7"/>
    <n v="8.19"/>
    <x v="0"/>
    <x v="19"/>
    <s v="Male"/>
    <n v="68.8"/>
    <n v="185.7"/>
    <n v="27.8"/>
    <n v="17"/>
    <s v="TX"/>
    <n v="3"/>
    <n v="2033.6"/>
    <s v="Middle"/>
    <n v="1"/>
    <s v="Single-Day"/>
    <n v="0"/>
    <n v="1"/>
    <s v="Main Entrance"/>
    <s v="Mickey &amp; Friends"/>
    <n v="12"/>
    <n v="12"/>
    <x v="3123"/>
  </r>
  <r>
    <n v="3341"/>
    <n v="1097"/>
    <d v="2026-07-04T00:00:00"/>
    <s v="Saturday"/>
    <n v="7"/>
    <n v="7.96"/>
    <x v="0"/>
    <x v="23"/>
    <s v="Female"/>
    <n v="67.7"/>
    <n v="182.8"/>
    <n v="27.8"/>
    <n v="12"/>
    <s v="TX"/>
    <n v="3"/>
    <n v="2033.6"/>
    <s v="Middle"/>
    <n v="1"/>
    <s v="Single-Day"/>
    <n v="0"/>
    <n v="1"/>
    <s v="Main Entrance"/>
    <s v="Mickey &amp; Friends"/>
    <n v="7.7"/>
    <n v="7"/>
    <x v="3124"/>
  </r>
  <r>
    <n v="3342"/>
    <n v="1097"/>
    <d v="2026-07-04T00:00:00"/>
    <s v="Saturday"/>
    <n v="7"/>
    <n v="8.02"/>
    <x v="0"/>
    <x v="16"/>
    <s v="Female"/>
    <n v="62.7"/>
    <n v="91"/>
    <n v="16.3"/>
    <n v="14"/>
    <s v="TX"/>
    <n v="3"/>
    <n v="2033.6"/>
    <s v="Middle"/>
    <n v="1"/>
    <s v="Single-Day"/>
    <n v="0"/>
    <n v="1"/>
    <s v="Main Entrance"/>
    <s v="Mickey &amp; Friends"/>
    <n v="10.5"/>
    <n v="9"/>
    <x v="3125"/>
  </r>
  <r>
    <n v="3343"/>
    <n v="1098"/>
    <d v="2026-02-21T00:00:00"/>
    <s v="Saturday"/>
    <n v="2"/>
    <n v="11.14"/>
    <x v="1"/>
    <x v="17"/>
    <s v="Male"/>
    <n v="68.2"/>
    <n v="151.5"/>
    <n v="23"/>
    <n v="14"/>
    <s v="Other"/>
    <n v="3"/>
    <n v="1200.0999999999999"/>
    <s v="Middle"/>
    <n v="0"/>
    <s v="Multi-Day"/>
    <n v="0"/>
    <n v="0"/>
    <s v="Main Entrance"/>
    <s v="Mickey &amp; Friends"/>
    <n v="7.8"/>
    <n v="9"/>
    <x v="3126"/>
  </r>
  <r>
    <n v="3344"/>
    <n v="1098"/>
    <d v="2026-02-21T00:00:00"/>
    <s v="Saturday"/>
    <n v="2"/>
    <n v="11.41"/>
    <x v="1"/>
    <x v="49"/>
    <s v="Male"/>
    <n v="74.400000000000006"/>
    <n v="215.5"/>
    <n v="27.4"/>
    <n v="17"/>
    <s v="Other"/>
    <n v="3"/>
    <n v="1200.0999999999999"/>
    <s v="Middle"/>
    <n v="0"/>
    <s v="Multi-Day"/>
    <n v="0"/>
    <n v="0"/>
    <s v="Main Entrance"/>
    <s v="Mickey &amp; Friends"/>
    <n v="7"/>
    <n v="8"/>
    <x v="3127"/>
  </r>
  <r>
    <n v="3345"/>
    <n v="1098"/>
    <d v="2026-02-21T00:00:00"/>
    <s v="Saturday"/>
    <n v="2"/>
    <n v="11.24"/>
    <x v="1"/>
    <x v="38"/>
    <s v="Female"/>
    <n v="63.9"/>
    <n v="168.5"/>
    <n v="28.9"/>
    <n v="13"/>
    <s v="Other"/>
    <n v="3"/>
    <n v="1200.0999999999999"/>
    <s v="Middle"/>
    <n v="0"/>
    <s v="Multi-Day"/>
    <n v="0"/>
    <n v="0"/>
    <s v="Main Entrance"/>
    <s v="Mickey &amp; Friends"/>
    <n v="10"/>
    <n v="6"/>
    <x v="3128"/>
  </r>
  <r>
    <n v="3346"/>
    <n v="1099"/>
    <d v="2026-10-22T00:00:00"/>
    <s v="Thursday"/>
    <n v="10"/>
    <n v="10.37"/>
    <x v="0"/>
    <x v="55"/>
    <s v="Male"/>
    <n v="66.3"/>
    <n v="116.8"/>
    <n v="19"/>
    <n v="16"/>
    <s v="Other"/>
    <n v="1"/>
    <n v="979.4"/>
    <s v="Low"/>
    <n v="0"/>
    <s v="Single-Day"/>
    <n v="0"/>
    <n v="0"/>
    <s v="Main Entrance"/>
    <s v="Toy Story Lot"/>
    <n v="4.8"/>
    <n v="3"/>
    <x v="3129"/>
  </r>
  <r>
    <n v="3347"/>
    <n v="1100"/>
    <d v="2026-04-29T00:00:00"/>
    <s v="Wednesday"/>
    <n v="4"/>
    <n v="10.79"/>
    <x v="0"/>
    <x v="30"/>
    <s v="Male"/>
    <n v="68.900000000000006"/>
    <n v="176.6"/>
    <n v="26"/>
    <n v="14"/>
    <s v="SD"/>
    <n v="5"/>
    <n v="1738.4"/>
    <s v="Middle"/>
    <n v="1"/>
    <s v="Single-Day"/>
    <n v="0"/>
    <n v="1"/>
    <s v="Main Entrance"/>
    <s v="Toy Story Lot"/>
    <n v="8.9"/>
    <n v="4"/>
    <x v="3130"/>
  </r>
  <r>
    <n v="3348"/>
    <n v="1100"/>
    <d v="2026-04-29T00:00:00"/>
    <s v="Wednesday"/>
    <n v="4"/>
    <n v="10.69"/>
    <x v="0"/>
    <x v="31"/>
    <s v="Male"/>
    <n v="75.900000000000006"/>
    <n v="212.5"/>
    <n v="26.2"/>
    <n v="15"/>
    <s v="SD"/>
    <n v="5"/>
    <n v="1738.4"/>
    <s v="Middle"/>
    <n v="1"/>
    <s v="Single-Day"/>
    <n v="0"/>
    <n v="1"/>
    <s v="Main Entrance"/>
    <s v="Toy Story Lot"/>
    <n v="9.6999999999999993"/>
    <n v="15"/>
    <x v="3131"/>
  </r>
  <r>
    <n v="3349"/>
    <n v="1100"/>
    <d v="2026-04-29T00:00:00"/>
    <s v="Wednesday"/>
    <n v="4"/>
    <n v="10.77"/>
    <x v="0"/>
    <x v="59"/>
    <s v="Male"/>
    <n v="64.5"/>
    <n v="162.4"/>
    <n v="27.6"/>
    <n v="11"/>
    <s v="SD"/>
    <n v="5"/>
    <n v="1738.4"/>
    <s v="Middle"/>
    <n v="1"/>
    <s v="Single-Day"/>
    <n v="0"/>
    <n v="1"/>
    <s v="Main Entrance"/>
    <s v="Toy Story Lot"/>
    <n v="8.8000000000000007"/>
    <n v="12"/>
    <x v="3132"/>
  </r>
  <r>
    <n v="3350"/>
    <n v="1100"/>
    <d v="2026-04-29T00:00:00"/>
    <s v="Wednesday"/>
    <n v="4"/>
    <n v="10.91"/>
    <x v="0"/>
    <x v="16"/>
    <s v="Male"/>
    <n v="55.5"/>
    <n v="89.7"/>
    <n v="20.399999999999999"/>
    <n v="12"/>
    <s v="SD"/>
    <n v="5"/>
    <n v="1738.4"/>
    <s v="Middle"/>
    <n v="1"/>
    <s v="Single-Day"/>
    <n v="0"/>
    <n v="1"/>
    <s v="Main Entrance"/>
    <s v="Toy Story Lot"/>
    <n v="8.8000000000000007"/>
    <n v="7"/>
    <x v="3133"/>
  </r>
  <r>
    <n v="3351"/>
    <n v="1100"/>
    <d v="2026-04-29T00:00:00"/>
    <s v="Wednesday"/>
    <n v="4"/>
    <n v="10.79"/>
    <x v="0"/>
    <x v="64"/>
    <s v="Female"/>
    <n v="50.7"/>
    <n v="65.599999999999994"/>
    <n v="18"/>
    <n v="11"/>
    <s v="SD"/>
    <n v="5"/>
    <n v="1738.4"/>
    <s v="Middle"/>
    <n v="1"/>
    <s v="Single-Day"/>
    <n v="0"/>
    <n v="1"/>
    <s v="Main Entrance"/>
    <s v="Toy Story Lot"/>
    <n v="8.6999999999999993"/>
    <n v="10"/>
    <x v="3134"/>
  </r>
  <r>
    <n v="3352"/>
    <n v="1101"/>
    <d v="2026-05-16T00:00:00"/>
    <s v="Saturday"/>
    <n v="5"/>
    <n v="9.3800000000000008"/>
    <x v="0"/>
    <x v="33"/>
    <s v="Male"/>
    <n v="68.2"/>
    <n v="157.6"/>
    <n v="23.8"/>
    <n v="15"/>
    <s v="CA"/>
    <n v="4"/>
    <n v="144.6"/>
    <s v="High"/>
    <n v="0"/>
    <s v="Single-Day"/>
    <n v="1"/>
    <n v="0"/>
    <s v="Main Entrance"/>
    <s v="None/Dropoff/Transit"/>
    <n v="6.5"/>
    <n v="6"/>
    <x v="3135"/>
  </r>
  <r>
    <n v="3353"/>
    <n v="1101"/>
    <d v="2026-05-16T00:00:00"/>
    <s v="Saturday"/>
    <n v="5"/>
    <n v="9.24"/>
    <x v="0"/>
    <x v="39"/>
    <s v="Female"/>
    <n v="64.3"/>
    <n v="145.5"/>
    <n v="24.8"/>
    <n v="18"/>
    <s v="CA"/>
    <n v="4"/>
    <n v="144.6"/>
    <s v="High"/>
    <n v="0"/>
    <s v="Single-Day"/>
    <n v="1"/>
    <n v="0"/>
    <s v="Main Entrance"/>
    <s v="None/Dropoff/Transit"/>
    <n v="9.8000000000000007"/>
    <n v="9"/>
    <x v="3136"/>
  </r>
  <r>
    <n v="3354"/>
    <n v="1101"/>
    <d v="2026-05-16T00:00:00"/>
    <s v="Saturday"/>
    <n v="5"/>
    <n v="9.35"/>
    <x v="0"/>
    <x v="49"/>
    <s v="Female"/>
    <n v="62.8"/>
    <n v="216"/>
    <n v="38.299999999999997"/>
    <n v="19"/>
    <s v="CA"/>
    <n v="4"/>
    <n v="144.6"/>
    <s v="High"/>
    <n v="0"/>
    <s v="Single-Day"/>
    <n v="1"/>
    <n v="0"/>
    <s v="Main Entrance"/>
    <s v="None/Dropoff/Transit"/>
    <n v="6.3"/>
    <n v="4"/>
    <x v="3137"/>
  </r>
  <r>
    <n v="3355"/>
    <n v="1101"/>
    <d v="2026-05-16T00:00:00"/>
    <s v="Saturday"/>
    <n v="5"/>
    <n v="9.51"/>
    <x v="0"/>
    <x v="50"/>
    <s v="Female"/>
    <n v="65"/>
    <n v="107.6"/>
    <n v="17.899999999999999"/>
    <n v="16"/>
    <s v="CA"/>
    <n v="4"/>
    <n v="144.6"/>
    <s v="High"/>
    <n v="0"/>
    <s v="Single-Day"/>
    <n v="1"/>
    <n v="0"/>
    <s v="Main Entrance"/>
    <s v="None/Dropoff/Transit"/>
    <n v="6.7"/>
    <n v="3"/>
    <x v="3138"/>
  </r>
  <r>
    <n v="3356"/>
    <n v="1102"/>
    <d v="2026-05-05T00:00:00"/>
    <s v="Tuesday"/>
    <n v="5"/>
    <n v="10.18"/>
    <x v="0"/>
    <x v="57"/>
    <s v="Male"/>
    <n v="69.400000000000006"/>
    <n v="162.4"/>
    <n v="23.6"/>
    <n v="20"/>
    <s v="UT"/>
    <n v="3"/>
    <n v="547.79999999999995"/>
    <s v="High"/>
    <n v="1"/>
    <s v="Multi-Day"/>
    <n v="0"/>
    <n v="1"/>
    <s v="Hotel Guest Entrance"/>
    <s v="None/Walked from Resort"/>
    <n v="10.1"/>
    <n v="9"/>
    <x v="3139"/>
  </r>
  <r>
    <n v="3357"/>
    <n v="1102"/>
    <d v="2026-05-05T00:00:00"/>
    <s v="Tuesday"/>
    <n v="5"/>
    <n v="10.41"/>
    <x v="0"/>
    <x v="38"/>
    <s v="Male"/>
    <n v="63.2"/>
    <n v="157.9"/>
    <n v="27.5"/>
    <n v="15"/>
    <s v="UT"/>
    <n v="3"/>
    <n v="547.79999999999995"/>
    <s v="High"/>
    <n v="1"/>
    <s v="Multi-Day"/>
    <n v="0"/>
    <n v="1"/>
    <s v="Hotel Guest Entrance"/>
    <s v="None/Walked from Resort"/>
    <n v="11.1"/>
    <n v="6"/>
    <x v="3140"/>
  </r>
  <r>
    <n v="3358"/>
    <n v="1102"/>
    <d v="2026-05-05T00:00:00"/>
    <s v="Tuesday"/>
    <n v="5"/>
    <n v="10.38"/>
    <x v="0"/>
    <x v="55"/>
    <s v="Male"/>
    <n v="70.599999999999994"/>
    <n v="204.3"/>
    <n v="28.8"/>
    <n v="19"/>
    <s v="UT"/>
    <n v="3"/>
    <n v="547.79999999999995"/>
    <s v="High"/>
    <n v="1"/>
    <s v="Multi-Day"/>
    <n v="0"/>
    <n v="1"/>
    <s v="Hotel Guest Entrance"/>
    <s v="None/Walked from Resort"/>
    <n v="8.5"/>
    <n v="8"/>
    <x v="3141"/>
  </r>
  <r>
    <n v="3359"/>
    <n v="1103"/>
    <d v="2026-11-17T00:00:00"/>
    <s v="Tuesday"/>
    <n v="11"/>
    <n v="9.99"/>
    <x v="0"/>
    <x v="59"/>
    <s v="Male"/>
    <n v="68.900000000000006"/>
    <n v="218.9"/>
    <n v="32.6"/>
    <n v="15"/>
    <s v="IL"/>
    <n v="1"/>
    <n v="2153.6999999999998"/>
    <s v="Low"/>
    <n v="1"/>
    <s v="Park Hopper"/>
    <n v="0"/>
    <n v="0"/>
    <s v="Main Entrance"/>
    <s v="None/Dropoff/Transit"/>
    <n v="9.3000000000000007"/>
    <n v="9"/>
    <x v="3142"/>
  </r>
  <r>
    <n v="3360"/>
    <n v="1104"/>
    <d v="2026-07-16T00:00:00"/>
    <s v="Thursday"/>
    <n v="7"/>
    <n v="11.38"/>
    <x v="1"/>
    <x v="6"/>
    <s v="Male"/>
    <n v="70.599999999999994"/>
    <n v="96.8"/>
    <n v="13.5"/>
    <n v="16"/>
    <s v="UT"/>
    <n v="4"/>
    <n v="712.1"/>
    <s v="Middle"/>
    <n v="1"/>
    <s v="Park Hopper"/>
    <n v="0"/>
    <n v="0"/>
    <s v="Downtown Disney Gate"/>
    <s v="Toy Story Lot"/>
    <n v="6.6"/>
    <n v="3"/>
    <x v="3143"/>
  </r>
  <r>
    <n v="3361"/>
    <n v="1104"/>
    <d v="2026-07-16T00:00:00"/>
    <s v="Thursday"/>
    <n v="7"/>
    <n v="11.43"/>
    <x v="1"/>
    <x v="38"/>
    <s v="Female"/>
    <n v="66.3"/>
    <n v="114.1"/>
    <n v="18.3"/>
    <n v="13"/>
    <s v="UT"/>
    <n v="4"/>
    <n v="712.1"/>
    <s v="Middle"/>
    <n v="1"/>
    <s v="Park Hopper"/>
    <n v="0"/>
    <n v="0"/>
    <s v="Downtown Disney Gate"/>
    <s v="Toy Story Lot"/>
    <n v="6.7"/>
    <n v="10"/>
    <x v="3144"/>
  </r>
  <r>
    <n v="3362"/>
    <n v="1104"/>
    <d v="2026-07-16T00:00:00"/>
    <s v="Thursday"/>
    <n v="7"/>
    <n v="11.38"/>
    <x v="1"/>
    <x v="13"/>
    <s v="Female"/>
    <n v="62.6"/>
    <n v="168.5"/>
    <n v="30.1"/>
    <n v="16"/>
    <s v="UT"/>
    <n v="4"/>
    <n v="712.1"/>
    <s v="Middle"/>
    <n v="1"/>
    <s v="Park Hopper"/>
    <n v="0"/>
    <n v="0"/>
    <s v="Downtown Disney Gate"/>
    <s v="Toy Story Lot"/>
    <n v="7.9"/>
    <n v="9"/>
    <x v="3145"/>
  </r>
  <r>
    <n v="3363"/>
    <n v="1104"/>
    <d v="2026-07-16T00:00:00"/>
    <s v="Thursday"/>
    <n v="7"/>
    <n v="11.53"/>
    <x v="1"/>
    <x v="25"/>
    <s v="Female"/>
    <n v="64.400000000000006"/>
    <n v="174.7"/>
    <n v="29.8"/>
    <n v="14"/>
    <s v="UT"/>
    <n v="4"/>
    <n v="712.1"/>
    <s v="Middle"/>
    <n v="1"/>
    <s v="Park Hopper"/>
    <n v="0"/>
    <n v="0"/>
    <s v="Downtown Disney Gate"/>
    <s v="Toy Story Lot"/>
    <n v="8.6999999999999993"/>
    <n v="10"/>
    <x v="3146"/>
  </r>
  <r>
    <n v="3364"/>
    <n v="1105"/>
    <d v="2026-03-09T00:00:00"/>
    <s v="Monday"/>
    <n v="3"/>
    <n v="8.27"/>
    <x v="0"/>
    <x v="38"/>
    <s v="Male"/>
    <n v="70.900000000000006"/>
    <n v="190.6"/>
    <n v="26.7"/>
    <n v="10"/>
    <s v="CA"/>
    <n v="2"/>
    <n v="2"/>
    <s v="Low"/>
    <n v="0"/>
    <s v="Single-Day"/>
    <n v="0"/>
    <n v="0"/>
    <s v="Downtown Disney Gate"/>
    <s v="Mickey &amp; Friends"/>
    <n v="7.1"/>
    <n v="10"/>
    <x v="3147"/>
  </r>
  <r>
    <n v="3365"/>
    <n v="1105"/>
    <d v="2026-03-09T00:00:00"/>
    <s v="Monday"/>
    <n v="3"/>
    <n v="8.2899999999999991"/>
    <x v="0"/>
    <x v="0"/>
    <s v="Female"/>
    <n v="69.2"/>
    <n v="185.2"/>
    <n v="27.1"/>
    <n v="17"/>
    <s v="CA"/>
    <n v="2"/>
    <n v="2"/>
    <s v="Low"/>
    <n v="0"/>
    <s v="Single-Day"/>
    <n v="0"/>
    <n v="0"/>
    <s v="Downtown Disney Gate"/>
    <s v="Mickey &amp; Friends"/>
    <n v="8.1"/>
    <n v="3"/>
    <x v="3148"/>
  </r>
  <r>
    <n v="3366"/>
    <n v="1106"/>
    <d v="2026-05-29T00:00:00"/>
    <s v="Friday"/>
    <n v="5"/>
    <n v="12.55"/>
    <x v="1"/>
    <x v="23"/>
    <s v="Female"/>
    <n v="60.3"/>
    <n v="149.30000000000001"/>
    <n v="29"/>
    <n v="18"/>
    <s v="CA"/>
    <n v="3"/>
    <n v="2"/>
    <s v="Middle"/>
    <n v="0"/>
    <s v="Multi-Day"/>
    <n v="0"/>
    <n v="0"/>
    <s v="Main Entrance"/>
    <s v="Toy Story Lot"/>
    <n v="7.3"/>
    <n v="10"/>
    <x v="3149"/>
  </r>
  <r>
    <n v="3367"/>
    <n v="1106"/>
    <d v="2026-05-29T00:00:00"/>
    <s v="Friday"/>
    <n v="5"/>
    <n v="12.07"/>
    <x v="1"/>
    <x v="8"/>
    <s v="Male"/>
    <n v="70.599999999999994"/>
    <n v="235.4"/>
    <n v="33.200000000000003"/>
    <n v="15"/>
    <s v="CA"/>
    <n v="3"/>
    <n v="2"/>
    <s v="Middle"/>
    <n v="0"/>
    <s v="Multi-Day"/>
    <n v="0"/>
    <n v="0"/>
    <s v="Main Entrance"/>
    <s v="Toy Story Lot"/>
    <n v="6.9"/>
    <n v="9"/>
    <x v="3150"/>
  </r>
  <r>
    <n v="3368"/>
    <n v="1106"/>
    <d v="2026-05-29T00:00:00"/>
    <s v="Friday"/>
    <n v="5"/>
    <n v="12.22"/>
    <x v="1"/>
    <x v="9"/>
    <s v="Female"/>
    <n v="65.7"/>
    <n v="143"/>
    <n v="23.3"/>
    <n v="19"/>
    <s v="CA"/>
    <n v="3"/>
    <n v="2"/>
    <s v="Middle"/>
    <n v="0"/>
    <s v="Multi-Day"/>
    <n v="0"/>
    <n v="0"/>
    <s v="Main Entrance"/>
    <s v="Toy Story Lot"/>
    <n v="5.2"/>
    <n v="6"/>
    <x v="3151"/>
  </r>
  <r>
    <n v="3369"/>
    <n v="1107"/>
    <d v="2026-07-27T00:00:00"/>
    <s v="Monday"/>
    <n v="7"/>
    <n v="9.61"/>
    <x v="0"/>
    <x v="7"/>
    <s v="Male"/>
    <n v="56.6"/>
    <n v="63.9"/>
    <n v="14.1"/>
    <n v="17"/>
    <s v="CA"/>
    <n v="3"/>
    <n v="91"/>
    <s v="Middle"/>
    <n v="0"/>
    <s v="Multi-Day"/>
    <n v="1"/>
    <n v="0"/>
    <s v="Downtown Disney Gate"/>
    <s v="None/Dropoff/Transit"/>
    <n v="10.3"/>
    <n v="10"/>
    <x v="3152"/>
  </r>
  <r>
    <n v="3370"/>
    <n v="1107"/>
    <d v="2026-07-27T00:00:00"/>
    <s v="Monday"/>
    <n v="7"/>
    <n v="9.9600000000000009"/>
    <x v="0"/>
    <x v="50"/>
    <s v="Female"/>
    <n v="67.400000000000006"/>
    <n v="134.80000000000001"/>
    <n v="20.9"/>
    <n v="16"/>
    <s v="CA"/>
    <n v="3"/>
    <n v="91"/>
    <s v="Middle"/>
    <n v="0"/>
    <s v="Multi-Day"/>
    <n v="1"/>
    <n v="0"/>
    <s v="Downtown Disney Gate"/>
    <s v="None/Dropoff/Transit"/>
    <n v="4.7"/>
    <n v="6"/>
    <x v="3153"/>
  </r>
  <r>
    <n v="3371"/>
    <n v="1107"/>
    <d v="2026-07-27T00:00:00"/>
    <s v="Monday"/>
    <n v="7"/>
    <n v="9.83"/>
    <x v="0"/>
    <x v="45"/>
    <s v="Female"/>
    <n v="70.900000000000006"/>
    <n v="160.19999999999999"/>
    <n v="22.4"/>
    <n v="15"/>
    <s v="CA"/>
    <n v="3"/>
    <n v="91"/>
    <s v="Middle"/>
    <n v="0"/>
    <s v="Multi-Day"/>
    <n v="1"/>
    <n v="0"/>
    <s v="Downtown Disney Gate"/>
    <s v="None/Dropoff/Transit"/>
    <n v="9.1999999999999993"/>
    <n v="10"/>
    <x v="3154"/>
  </r>
  <r>
    <n v="3372"/>
    <n v="1108"/>
    <d v="2026-09-18T00:00:00"/>
    <s v="Friday"/>
    <n v="9"/>
    <n v="10.23"/>
    <x v="0"/>
    <x v="58"/>
    <s v="Male"/>
    <n v="70.400000000000006"/>
    <n v="179.7"/>
    <n v="25.7"/>
    <n v="16"/>
    <s v="Other"/>
    <n v="4"/>
    <n v="1382.5"/>
    <s v="High"/>
    <n v="1"/>
    <s v="Single-Day"/>
    <n v="1"/>
    <n v="1"/>
    <s v="Main Entrance"/>
    <s v="None/Walked from Resort"/>
    <n v="8.6999999999999993"/>
    <n v="4"/>
    <x v="3155"/>
  </r>
  <r>
    <n v="3373"/>
    <n v="1108"/>
    <d v="2026-09-18T00:00:00"/>
    <s v="Friday"/>
    <n v="9"/>
    <n v="9.84"/>
    <x v="0"/>
    <x v="10"/>
    <s v="Male"/>
    <n v="71.400000000000006"/>
    <n v="214.1"/>
    <n v="29.4"/>
    <n v="16"/>
    <s v="Other"/>
    <n v="4"/>
    <n v="1382.5"/>
    <s v="High"/>
    <n v="1"/>
    <s v="Single-Day"/>
    <n v="1"/>
    <n v="1"/>
    <s v="Main Entrance"/>
    <s v="None/Walked from Resort"/>
    <n v="9.4"/>
    <n v="12"/>
    <x v="963"/>
  </r>
  <r>
    <n v="3374"/>
    <n v="1108"/>
    <d v="2026-09-18T00:00:00"/>
    <s v="Friday"/>
    <n v="9"/>
    <n v="9.81"/>
    <x v="0"/>
    <x v="39"/>
    <s v="Male"/>
    <n v="68.2"/>
    <n v="148.19999999999999"/>
    <n v="22.4"/>
    <n v="18"/>
    <s v="Other"/>
    <n v="4"/>
    <n v="1382.5"/>
    <s v="High"/>
    <n v="1"/>
    <s v="Single-Day"/>
    <n v="1"/>
    <n v="1"/>
    <s v="Main Entrance"/>
    <s v="None/Walked from Resort"/>
    <n v="8.6"/>
    <n v="14"/>
    <x v="3156"/>
  </r>
  <r>
    <n v="3375"/>
    <n v="1108"/>
    <d v="2026-09-18T00:00:00"/>
    <s v="Friday"/>
    <n v="9"/>
    <n v="9.8699999999999992"/>
    <x v="0"/>
    <x v="0"/>
    <s v="Male"/>
    <n v="72.5"/>
    <n v="214.1"/>
    <n v="28.9"/>
    <n v="20"/>
    <s v="Other"/>
    <n v="4"/>
    <n v="1382.5"/>
    <s v="High"/>
    <n v="1"/>
    <s v="Single-Day"/>
    <n v="1"/>
    <n v="1"/>
    <s v="Main Entrance"/>
    <s v="None/Walked from Resort"/>
    <n v="9.4"/>
    <n v="8"/>
    <x v="3157"/>
  </r>
  <r>
    <n v="3376"/>
    <n v="1109"/>
    <d v="2026-10-18T00:00:00"/>
    <s v="Sunday"/>
    <n v="10"/>
    <n v="7.44"/>
    <x v="0"/>
    <x v="33"/>
    <s v="Female"/>
    <n v="59.4"/>
    <n v="126.9"/>
    <n v="25.2"/>
    <n v="17"/>
    <s v="CA"/>
    <n v="3"/>
    <n v="113.6"/>
    <s v="Middle"/>
    <n v="0"/>
    <s v="Single-Day"/>
    <n v="0"/>
    <n v="0"/>
    <s v="Main Entrance"/>
    <s v="Mickey &amp; Friends"/>
    <n v="9.9"/>
    <n v="11"/>
    <x v="3158"/>
  </r>
  <r>
    <n v="3377"/>
    <n v="1109"/>
    <d v="2026-10-18T00:00:00"/>
    <s v="Sunday"/>
    <n v="10"/>
    <n v="7.35"/>
    <x v="0"/>
    <x v="25"/>
    <s v="Female"/>
    <n v="68.900000000000006"/>
    <n v="189.8"/>
    <n v="28"/>
    <n v="17"/>
    <s v="CA"/>
    <n v="3"/>
    <n v="113.6"/>
    <s v="Middle"/>
    <n v="0"/>
    <s v="Single-Day"/>
    <n v="0"/>
    <n v="0"/>
    <s v="Main Entrance"/>
    <s v="Mickey &amp; Friends"/>
    <n v="10"/>
    <n v="6"/>
    <x v="3159"/>
  </r>
  <r>
    <n v="3378"/>
    <n v="1109"/>
    <d v="2026-10-18T00:00:00"/>
    <s v="Sunday"/>
    <n v="10"/>
    <n v="7.51"/>
    <x v="0"/>
    <x v="54"/>
    <s v="Male"/>
    <n v="77.400000000000006"/>
    <n v="191.5"/>
    <n v="22.5"/>
    <n v="15"/>
    <s v="CA"/>
    <n v="3"/>
    <n v="113.6"/>
    <s v="Middle"/>
    <n v="0"/>
    <s v="Single-Day"/>
    <n v="0"/>
    <n v="0"/>
    <s v="Main Entrance"/>
    <s v="Mickey &amp; Friends"/>
    <n v="7.5"/>
    <n v="11"/>
    <x v="3160"/>
  </r>
  <r>
    <n v="3379"/>
    <n v="1110"/>
    <d v="2026-07-11T00:00:00"/>
    <s v="Saturday"/>
    <n v="7"/>
    <n v="7.23"/>
    <x v="0"/>
    <x v="27"/>
    <s v="Male"/>
    <n v="69.099999999999994"/>
    <n v="200.1"/>
    <n v="29.5"/>
    <n v="14"/>
    <s v="NV"/>
    <n v="3"/>
    <n v="230.5"/>
    <s v="Middle"/>
    <n v="0"/>
    <s v="Single-Day"/>
    <n v="0"/>
    <n v="1"/>
    <s v="Downtown Disney Gate"/>
    <s v="None/Walked from Resort"/>
    <n v="10.8"/>
    <n v="12"/>
    <x v="3161"/>
  </r>
  <r>
    <n v="3380"/>
    <n v="1110"/>
    <d v="2026-07-11T00:00:00"/>
    <s v="Saturday"/>
    <n v="7"/>
    <n v="7.12"/>
    <x v="0"/>
    <x v="43"/>
    <s v="Female"/>
    <n v="59.6"/>
    <n v="119.1"/>
    <n v="23.5"/>
    <n v="17"/>
    <s v="NV"/>
    <n v="3"/>
    <n v="230.5"/>
    <s v="Middle"/>
    <n v="0"/>
    <s v="Single-Day"/>
    <n v="0"/>
    <n v="1"/>
    <s v="Downtown Disney Gate"/>
    <s v="None/Walked from Resort"/>
    <n v="9.5"/>
    <n v="5"/>
    <x v="3162"/>
  </r>
  <r>
    <n v="3381"/>
    <n v="1110"/>
    <d v="2026-07-11T00:00:00"/>
    <s v="Saturday"/>
    <n v="7"/>
    <n v="7"/>
    <x v="0"/>
    <x v="38"/>
    <s v="Male"/>
    <n v="68.5"/>
    <n v="184.1"/>
    <n v="27.4"/>
    <n v="15"/>
    <s v="NV"/>
    <n v="3"/>
    <n v="230.5"/>
    <s v="Middle"/>
    <n v="0"/>
    <s v="Single-Day"/>
    <n v="0"/>
    <n v="1"/>
    <s v="Downtown Disney Gate"/>
    <s v="None/Walked from Resort"/>
    <n v="11.3"/>
    <n v="2"/>
    <x v="3163"/>
  </r>
  <r>
    <n v="3382"/>
    <n v="1111"/>
    <d v="2026-07-03T00:00:00"/>
    <s v="Friday"/>
    <n v="7"/>
    <n v="13.58"/>
    <x v="1"/>
    <x v="44"/>
    <s v="Male"/>
    <n v="65.7"/>
    <n v="180.9"/>
    <n v="29.5"/>
    <n v="14"/>
    <s v="MN"/>
    <n v="3"/>
    <n v="1192.3"/>
    <s v="Middle"/>
    <n v="0"/>
    <s v="Single-Day"/>
    <n v="0"/>
    <n v="0"/>
    <s v="Main Entrance"/>
    <s v="None/Dropoff/Transit"/>
    <n v="7.9"/>
    <n v="7"/>
    <x v="3164"/>
  </r>
  <r>
    <n v="3383"/>
    <n v="1111"/>
    <d v="2026-07-03T00:00:00"/>
    <s v="Friday"/>
    <n v="7"/>
    <n v="13.45"/>
    <x v="1"/>
    <x v="21"/>
    <s v="Female"/>
    <n v="59.2"/>
    <n v="125.7"/>
    <n v="25.4"/>
    <n v="17"/>
    <s v="MN"/>
    <n v="3"/>
    <n v="1192.3"/>
    <s v="Middle"/>
    <n v="0"/>
    <s v="Single-Day"/>
    <n v="0"/>
    <n v="0"/>
    <s v="Main Entrance"/>
    <s v="None/Dropoff/Transit"/>
    <n v="6.9"/>
    <n v="4"/>
    <x v="3165"/>
  </r>
  <r>
    <n v="3384"/>
    <n v="1111"/>
    <d v="2026-07-03T00:00:00"/>
    <s v="Friday"/>
    <n v="7"/>
    <n v="13.41"/>
    <x v="1"/>
    <x v="38"/>
    <s v="Female"/>
    <n v="63.5"/>
    <n v="159"/>
    <n v="27.9"/>
    <n v="16"/>
    <s v="MN"/>
    <n v="3"/>
    <n v="1192.3"/>
    <s v="Middle"/>
    <n v="0"/>
    <s v="Single-Day"/>
    <n v="0"/>
    <n v="0"/>
    <s v="Main Entrance"/>
    <s v="None/Dropoff/Transit"/>
    <n v="8.5"/>
    <n v="5"/>
    <x v="3166"/>
  </r>
  <r>
    <n v="3385"/>
    <n v="1112"/>
    <d v="2026-06-13T00:00:00"/>
    <s v="Saturday"/>
    <n v="6"/>
    <n v="12.82"/>
    <x v="1"/>
    <x v="44"/>
    <s v="Male"/>
    <n v="69.8"/>
    <n v="198.7"/>
    <n v="28.7"/>
    <n v="11"/>
    <s v="CA"/>
    <n v="2"/>
    <n v="9.4"/>
    <s v="Middle"/>
    <n v="0"/>
    <s v="Park Hopper"/>
    <n v="1"/>
    <n v="0"/>
    <s v="Main Entrance"/>
    <s v="Mickey &amp; Friends"/>
    <n v="9.3000000000000007"/>
    <n v="7"/>
    <x v="3167"/>
  </r>
  <r>
    <n v="3386"/>
    <n v="1112"/>
    <d v="2026-06-13T00:00:00"/>
    <s v="Saturday"/>
    <n v="6"/>
    <n v="12.84"/>
    <x v="1"/>
    <x v="41"/>
    <s v="Male"/>
    <n v="72.599999999999994"/>
    <n v="172.3"/>
    <n v="23"/>
    <n v="17"/>
    <s v="CA"/>
    <n v="2"/>
    <n v="9.4"/>
    <s v="Middle"/>
    <n v="0"/>
    <s v="Park Hopper"/>
    <n v="1"/>
    <n v="0"/>
    <s v="Main Entrance"/>
    <s v="Mickey &amp; Friends"/>
    <n v="7.5"/>
    <n v="9"/>
    <x v="3168"/>
  </r>
  <r>
    <n v="3387"/>
    <n v="1113"/>
    <d v="2026-02-14T00:00:00"/>
    <s v="Saturday"/>
    <n v="2"/>
    <n v="9.9"/>
    <x v="0"/>
    <x v="8"/>
    <s v="Female"/>
    <n v="64.7"/>
    <n v="153.69999999999999"/>
    <n v="26"/>
    <n v="13"/>
    <s v="FL"/>
    <n v="3"/>
    <n v="2595.4"/>
    <s v="Middle"/>
    <n v="0"/>
    <s v="Multi-Day"/>
    <n v="1"/>
    <n v="0"/>
    <s v="Main Entrance"/>
    <s v="Pixar Pals"/>
    <n v="9.5"/>
    <n v="8"/>
    <x v="3169"/>
  </r>
  <r>
    <n v="3388"/>
    <n v="1113"/>
    <d v="2026-02-14T00:00:00"/>
    <s v="Saturday"/>
    <n v="2"/>
    <n v="10.08"/>
    <x v="0"/>
    <x v="37"/>
    <s v="Male"/>
    <n v="65.599999999999994"/>
    <n v="88.9"/>
    <n v="14.4"/>
    <n v="17"/>
    <s v="FL"/>
    <n v="3"/>
    <n v="2595.4"/>
    <s v="Middle"/>
    <n v="0"/>
    <s v="Multi-Day"/>
    <n v="1"/>
    <n v="0"/>
    <s v="Main Entrance"/>
    <s v="Pixar Pals"/>
    <n v="7.5"/>
    <n v="11"/>
    <x v="2688"/>
  </r>
  <r>
    <n v="3389"/>
    <n v="1113"/>
    <d v="2026-02-14T00:00:00"/>
    <s v="Saturday"/>
    <n v="2"/>
    <n v="9.99"/>
    <x v="0"/>
    <x v="31"/>
    <s v="Female"/>
    <n v="60.2"/>
    <n v="119.6"/>
    <n v="23"/>
    <n v="14"/>
    <s v="FL"/>
    <n v="3"/>
    <n v="2595.4"/>
    <s v="Middle"/>
    <n v="0"/>
    <s v="Multi-Day"/>
    <n v="1"/>
    <n v="0"/>
    <s v="Main Entrance"/>
    <s v="Pixar Pals"/>
    <n v="6.6"/>
    <n v="12"/>
    <x v="3170"/>
  </r>
  <r>
    <n v="3390"/>
    <n v="1114"/>
    <d v="2026-05-10T00:00:00"/>
    <s v="Sunday"/>
    <n v="5"/>
    <n v="10.119999999999999"/>
    <x v="0"/>
    <x v="45"/>
    <s v="Female"/>
    <n v="62.9"/>
    <n v="160.30000000000001"/>
    <n v="28.2"/>
    <n v="16"/>
    <s v="TX"/>
    <n v="4"/>
    <n v="1225.9000000000001"/>
    <s v="Middle"/>
    <n v="1"/>
    <s v="Single-Day"/>
    <n v="0"/>
    <n v="1"/>
    <s v="Main Entrance"/>
    <s v="Mickey &amp; Friends"/>
    <n v="10.6"/>
    <n v="10"/>
    <x v="3171"/>
  </r>
  <r>
    <n v="3391"/>
    <n v="1114"/>
    <d v="2026-05-10T00:00:00"/>
    <s v="Sunday"/>
    <n v="5"/>
    <n v="9.93"/>
    <x v="0"/>
    <x v="69"/>
    <s v="Female"/>
    <n v="65.099999999999994"/>
    <n v="132.4"/>
    <n v="22"/>
    <n v="16"/>
    <s v="TX"/>
    <n v="4"/>
    <n v="1225.9000000000001"/>
    <s v="Middle"/>
    <n v="1"/>
    <s v="Single-Day"/>
    <n v="0"/>
    <n v="1"/>
    <s v="Main Entrance"/>
    <s v="Mickey &amp; Friends"/>
    <n v="9.1"/>
    <n v="11"/>
    <x v="3172"/>
  </r>
  <r>
    <n v="3392"/>
    <n v="1114"/>
    <d v="2026-05-10T00:00:00"/>
    <s v="Sunday"/>
    <n v="5"/>
    <n v="10.37"/>
    <x v="0"/>
    <x v="59"/>
    <s v="Female"/>
    <n v="65.599999999999994"/>
    <n v="159.69999999999999"/>
    <n v="25.8"/>
    <n v="13"/>
    <s v="TX"/>
    <n v="4"/>
    <n v="1225.9000000000001"/>
    <s v="Middle"/>
    <n v="1"/>
    <s v="Single-Day"/>
    <n v="0"/>
    <n v="1"/>
    <s v="Main Entrance"/>
    <s v="Mickey &amp; Friends"/>
    <n v="8.6"/>
    <n v="6"/>
    <x v="3173"/>
  </r>
  <r>
    <n v="3393"/>
    <n v="1114"/>
    <d v="2026-05-10T00:00:00"/>
    <s v="Sunday"/>
    <n v="5"/>
    <n v="10.34"/>
    <x v="0"/>
    <x v="32"/>
    <s v="Female"/>
    <n v="66.900000000000006"/>
    <n v="132.30000000000001"/>
    <n v="20.9"/>
    <n v="13"/>
    <s v="TX"/>
    <n v="4"/>
    <n v="1225.9000000000001"/>
    <s v="Middle"/>
    <n v="1"/>
    <s v="Single-Day"/>
    <n v="0"/>
    <n v="1"/>
    <s v="Main Entrance"/>
    <s v="Mickey &amp; Friends"/>
    <n v="8.4"/>
    <n v="12"/>
    <x v="3174"/>
  </r>
  <r>
    <n v="3394"/>
    <n v="1115"/>
    <d v="2026-05-18T00:00:00"/>
    <s v="Monday"/>
    <n v="5"/>
    <n v="10.7"/>
    <x v="0"/>
    <x v="58"/>
    <s v="Female"/>
    <n v="64.5"/>
    <n v="133.4"/>
    <n v="22.7"/>
    <n v="13"/>
    <s v="WA"/>
    <n v="5"/>
    <n v="969.7"/>
    <s v="Middle"/>
    <n v="1"/>
    <s v="Single-Day"/>
    <n v="1"/>
    <n v="0"/>
    <s v="Downtown Disney Gate"/>
    <s v="Toy Story Lot"/>
    <n v="6.8"/>
    <n v="8"/>
    <x v="2257"/>
  </r>
  <r>
    <n v="3395"/>
    <n v="1115"/>
    <d v="2026-05-18T00:00:00"/>
    <s v="Monday"/>
    <n v="5"/>
    <n v="10.59"/>
    <x v="0"/>
    <x v="48"/>
    <s v="Male"/>
    <n v="76.5"/>
    <n v="219.6"/>
    <n v="26.7"/>
    <n v="14"/>
    <s v="WA"/>
    <n v="5"/>
    <n v="969.7"/>
    <s v="Middle"/>
    <n v="1"/>
    <s v="Single-Day"/>
    <n v="1"/>
    <n v="0"/>
    <s v="Downtown Disney Gate"/>
    <s v="Toy Story Lot"/>
    <n v="8.4"/>
    <n v="7"/>
    <x v="3175"/>
  </r>
  <r>
    <n v="3396"/>
    <n v="1115"/>
    <d v="2026-05-18T00:00:00"/>
    <s v="Monday"/>
    <n v="5"/>
    <n v="10.78"/>
    <x v="0"/>
    <x v="32"/>
    <s v="Female"/>
    <n v="54.7"/>
    <n v="90"/>
    <n v="21.1"/>
    <n v="12"/>
    <s v="WA"/>
    <n v="5"/>
    <n v="969.7"/>
    <s v="Middle"/>
    <n v="1"/>
    <s v="Single-Day"/>
    <n v="1"/>
    <n v="0"/>
    <s v="Downtown Disney Gate"/>
    <s v="Toy Story Lot"/>
    <n v="6.5"/>
    <n v="7"/>
    <x v="3176"/>
  </r>
  <r>
    <n v="3397"/>
    <n v="1115"/>
    <d v="2026-05-18T00:00:00"/>
    <s v="Monday"/>
    <n v="5"/>
    <n v="10.5"/>
    <x v="0"/>
    <x v="62"/>
    <s v="Male"/>
    <n v="64.3"/>
    <n v="118.6"/>
    <n v="20.3"/>
    <n v="18"/>
    <s v="WA"/>
    <n v="5"/>
    <n v="969.7"/>
    <s v="Middle"/>
    <n v="1"/>
    <s v="Single-Day"/>
    <n v="1"/>
    <n v="0"/>
    <s v="Downtown Disney Gate"/>
    <s v="Toy Story Lot"/>
    <n v="8.6"/>
    <n v="8"/>
    <x v="3177"/>
  </r>
  <r>
    <n v="3398"/>
    <n v="1115"/>
    <d v="2026-05-18T00:00:00"/>
    <s v="Monday"/>
    <n v="5"/>
    <n v="10.53"/>
    <x v="0"/>
    <x v="16"/>
    <s v="Female"/>
    <n v="61.3"/>
    <n v="132.5"/>
    <n v="24.9"/>
    <n v="12"/>
    <s v="WA"/>
    <n v="5"/>
    <n v="969.7"/>
    <s v="Middle"/>
    <n v="1"/>
    <s v="Single-Day"/>
    <n v="1"/>
    <n v="0"/>
    <s v="Downtown Disney Gate"/>
    <s v="Toy Story Lot"/>
    <n v="7.6"/>
    <n v="8"/>
    <x v="268"/>
  </r>
  <r>
    <n v="3399"/>
    <n v="1116"/>
    <d v="2026-08-06T00:00:00"/>
    <s v="Thursday"/>
    <n v="8"/>
    <n v="8.11"/>
    <x v="0"/>
    <x v="51"/>
    <s v="Male"/>
    <n v="69.7"/>
    <n v="198.7"/>
    <n v="28.6"/>
    <n v="15"/>
    <s v="OR"/>
    <n v="2"/>
    <n v="1262.2"/>
    <s v="Middle"/>
    <n v="1"/>
    <s v="Park Hopper"/>
    <n v="0"/>
    <n v="1"/>
    <s v="Hotel Guest Entrance"/>
    <s v="None/Walked from Resort"/>
    <n v="10.5"/>
    <n v="11"/>
    <x v="3178"/>
  </r>
  <r>
    <n v="3400"/>
    <n v="1116"/>
    <d v="2026-08-06T00:00:00"/>
    <s v="Thursday"/>
    <n v="8"/>
    <n v="8.0399999999999991"/>
    <x v="0"/>
    <x v="2"/>
    <s v="Male"/>
    <n v="67.5"/>
    <n v="170.4"/>
    <n v="26.1"/>
    <n v="14"/>
    <s v="OR"/>
    <n v="2"/>
    <n v="1262.2"/>
    <s v="Middle"/>
    <n v="1"/>
    <s v="Park Hopper"/>
    <n v="0"/>
    <n v="1"/>
    <s v="Hotel Guest Entrance"/>
    <s v="None/Walked from Resort"/>
    <n v="9.8000000000000007"/>
    <n v="11"/>
    <x v="3179"/>
  </r>
  <r>
    <n v="3401"/>
    <n v="1117"/>
    <d v="2026-05-01T00:00:00"/>
    <s v="Friday"/>
    <n v="5"/>
    <n v="11.24"/>
    <x v="1"/>
    <x v="38"/>
    <s v="Female"/>
    <n v="67.599999999999994"/>
    <n v="199.3"/>
    <n v="30.6"/>
    <n v="11"/>
    <s v="CA"/>
    <n v="5"/>
    <n v="110.8"/>
    <s v="Middle"/>
    <n v="0"/>
    <s v="Single-Day"/>
    <n v="0"/>
    <n v="0"/>
    <s v="Main Entrance"/>
    <s v="Toy Story Lot"/>
    <n v="8"/>
    <n v="6"/>
    <x v="3180"/>
  </r>
  <r>
    <n v="3402"/>
    <n v="1117"/>
    <d v="2026-05-01T00:00:00"/>
    <s v="Friday"/>
    <n v="5"/>
    <n v="11.24"/>
    <x v="1"/>
    <x v="31"/>
    <s v="Male"/>
    <n v="64.599999999999994"/>
    <n v="151.4"/>
    <n v="25.5"/>
    <n v="12"/>
    <s v="CA"/>
    <n v="5"/>
    <n v="110.8"/>
    <s v="Middle"/>
    <n v="0"/>
    <s v="Single-Day"/>
    <n v="0"/>
    <n v="0"/>
    <s v="Main Entrance"/>
    <s v="Toy Story Lot"/>
    <n v="6.9"/>
    <n v="3"/>
    <x v="3181"/>
  </r>
  <r>
    <n v="3403"/>
    <n v="1117"/>
    <d v="2026-05-01T00:00:00"/>
    <s v="Friday"/>
    <n v="5"/>
    <n v="11.25"/>
    <x v="1"/>
    <x v="17"/>
    <s v="Female"/>
    <n v="69"/>
    <n v="159.9"/>
    <n v="23.8"/>
    <n v="15"/>
    <s v="CA"/>
    <n v="5"/>
    <n v="110.8"/>
    <s v="Middle"/>
    <n v="0"/>
    <s v="Single-Day"/>
    <n v="0"/>
    <n v="0"/>
    <s v="Main Entrance"/>
    <s v="Toy Story Lot"/>
    <n v="8.1999999999999993"/>
    <n v="3"/>
    <x v="2302"/>
  </r>
  <r>
    <n v="3404"/>
    <n v="1117"/>
    <d v="2026-05-01T00:00:00"/>
    <s v="Friday"/>
    <n v="5"/>
    <n v="11.1"/>
    <x v="1"/>
    <x v="74"/>
    <s v="Male"/>
    <n v="70.8"/>
    <n v="138"/>
    <n v="19.3"/>
    <n v="16"/>
    <s v="CA"/>
    <n v="5"/>
    <n v="110.8"/>
    <s v="Middle"/>
    <n v="0"/>
    <s v="Single-Day"/>
    <n v="0"/>
    <n v="0"/>
    <s v="Main Entrance"/>
    <s v="Toy Story Lot"/>
    <n v="9.6"/>
    <n v="11"/>
    <x v="3182"/>
  </r>
  <r>
    <n v="3405"/>
    <n v="1117"/>
    <d v="2026-05-01T00:00:00"/>
    <s v="Friday"/>
    <n v="5"/>
    <n v="11.4"/>
    <x v="1"/>
    <x v="42"/>
    <s v="Male"/>
    <n v="69.900000000000006"/>
    <n v="166.7"/>
    <n v="24.1"/>
    <n v="16"/>
    <s v="CA"/>
    <n v="5"/>
    <n v="110.8"/>
    <s v="Middle"/>
    <n v="0"/>
    <s v="Single-Day"/>
    <n v="0"/>
    <n v="0"/>
    <s v="Main Entrance"/>
    <s v="Toy Story Lot"/>
    <n v="7.6"/>
    <n v="4"/>
    <x v="3183"/>
  </r>
  <r>
    <n v="3406"/>
    <n v="1118"/>
    <d v="2026-01-01T00:00:00"/>
    <s v="Thursday"/>
    <n v="1"/>
    <n v="11.11"/>
    <x v="1"/>
    <x v="0"/>
    <s v="Male"/>
    <n v="68.599999999999994"/>
    <n v="115"/>
    <n v="17.2"/>
    <n v="18"/>
    <s v="AZ"/>
    <n v="3"/>
    <n v="421.9"/>
    <s v="High"/>
    <n v="1"/>
    <s v="Single-Day"/>
    <n v="0"/>
    <n v="0"/>
    <s v="Downtown Disney Gate"/>
    <s v="Toy Story Lot"/>
    <n v="13.7"/>
    <n v="10"/>
    <x v="3184"/>
  </r>
  <r>
    <n v="3407"/>
    <n v="1118"/>
    <d v="2026-01-01T00:00:00"/>
    <s v="Thursday"/>
    <n v="1"/>
    <n v="11.23"/>
    <x v="1"/>
    <x v="36"/>
    <s v="Male"/>
    <n v="69.5"/>
    <n v="184.6"/>
    <n v="26.8"/>
    <n v="20"/>
    <s v="AZ"/>
    <n v="3"/>
    <n v="421.9"/>
    <s v="High"/>
    <n v="1"/>
    <s v="Single-Day"/>
    <n v="0"/>
    <n v="0"/>
    <s v="Downtown Disney Gate"/>
    <s v="Toy Story Lot"/>
    <n v="7.1"/>
    <n v="8"/>
    <x v="1470"/>
  </r>
  <r>
    <n v="3408"/>
    <n v="1118"/>
    <d v="2026-01-01T00:00:00"/>
    <s v="Thursday"/>
    <n v="1"/>
    <n v="11.2"/>
    <x v="1"/>
    <x v="71"/>
    <s v="Female"/>
    <n v="61.9"/>
    <n v="127.3"/>
    <n v="23.4"/>
    <n v="18"/>
    <s v="AZ"/>
    <n v="3"/>
    <n v="421.9"/>
    <s v="High"/>
    <n v="1"/>
    <s v="Single-Day"/>
    <n v="0"/>
    <n v="0"/>
    <s v="Downtown Disney Gate"/>
    <s v="Toy Story Lot"/>
    <n v="7.6"/>
    <n v="9"/>
    <x v="3185"/>
  </r>
  <r>
    <n v="3409"/>
    <n v="1119"/>
    <d v="2026-07-18T00:00:00"/>
    <s v="Saturday"/>
    <n v="7"/>
    <n v="10.47"/>
    <x v="0"/>
    <x v="22"/>
    <s v="Female"/>
    <n v="68.3"/>
    <n v="122.8"/>
    <n v="18.2"/>
    <n v="14"/>
    <s v="CA"/>
    <n v="3"/>
    <n v="42.6"/>
    <s v="Middle"/>
    <n v="1"/>
    <s v="Multi-Day"/>
    <n v="0"/>
    <n v="1"/>
    <s v="Main Entrance"/>
    <s v="None/Walked from Resort"/>
    <n v="10.5"/>
    <n v="8"/>
    <x v="2906"/>
  </r>
  <r>
    <n v="3410"/>
    <n v="1119"/>
    <d v="2026-07-18T00:00:00"/>
    <s v="Saturday"/>
    <n v="7"/>
    <n v="10.58"/>
    <x v="0"/>
    <x v="28"/>
    <s v="Male"/>
    <n v="68.599999999999994"/>
    <n v="180.3"/>
    <n v="26.9"/>
    <n v="17"/>
    <s v="CA"/>
    <n v="3"/>
    <n v="42.6"/>
    <s v="Middle"/>
    <n v="1"/>
    <s v="Multi-Day"/>
    <n v="0"/>
    <n v="1"/>
    <s v="Main Entrance"/>
    <s v="None/Walked from Resort"/>
    <n v="7.6"/>
    <n v="6"/>
    <x v="3186"/>
  </r>
  <r>
    <n v="3411"/>
    <n v="1119"/>
    <d v="2026-07-18T00:00:00"/>
    <s v="Saturday"/>
    <n v="7"/>
    <n v="10.33"/>
    <x v="0"/>
    <x v="67"/>
    <s v="Female"/>
    <n v="65.8"/>
    <n v="158.1"/>
    <n v="25.9"/>
    <n v="12"/>
    <s v="CA"/>
    <n v="3"/>
    <n v="42.6"/>
    <s v="Middle"/>
    <n v="1"/>
    <s v="Multi-Day"/>
    <n v="0"/>
    <n v="1"/>
    <s v="Main Entrance"/>
    <s v="None/Walked from Resort"/>
    <n v="10.6"/>
    <n v="11"/>
    <x v="2616"/>
  </r>
  <r>
    <n v="3412"/>
    <n v="1120"/>
    <d v="2026-06-24T00:00:00"/>
    <s v="Wednesday"/>
    <n v="6"/>
    <n v="12.44"/>
    <x v="1"/>
    <x v="34"/>
    <s v="Female"/>
    <n v="63.5"/>
    <n v="112.9"/>
    <n v="19.600000000000001"/>
    <n v="18"/>
    <s v="OR"/>
    <n v="1"/>
    <n v="1079.7"/>
    <s v="High"/>
    <n v="1"/>
    <s v="Single-Day"/>
    <n v="1"/>
    <n v="1"/>
    <s v="Main Entrance"/>
    <s v="Pixar Pals"/>
    <n v="7"/>
    <n v="10"/>
    <x v="3187"/>
  </r>
  <r>
    <n v="3413"/>
    <n v="1121"/>
    <d v="2026-11-14T00:00:00"/>
    <s v="Saturday"/>
    <n v="11"/>
    <n v="8.75"/>
    <x v="0"/>
    <x v="40"/>
    <s v="Female"/>
    <n v="66.2"/>
    <n v="124"/>
    <n v="19.8"/>
    <n v="17"/>
    <s v="CA"/>
    <n v="5"/>
    <n v="107.9"/>
    <s v="High"/>
    <n v="0"/>
    <s v="Multi-Day"/>
    <n v="0"/>
    <n v="1"/>
    <s v="Main Entrance"/>
    <s v="None/Walked from Resort"/>
    <n v="10.9"/>
    <n v="15"/>
    <x v="3188"/>
  </r>
  <r>
    <n v="3414"/>
    <n v="1121"/>
    <d v="2026-11-14T00:00:00"/>
    <s v="Saturday"/>
    <n v="11"/>
    <n v="8.7200000000000006"/>
    <x v="0"/>
    <x v="27"/>
    <s v="Female"/>
    <n v="61.2"/>
    <n v="184.5"/>
    <n v="34.799999999999997"/>
    <n v="12"/>
    <s v="CA"/>
    <n v="5"/>
    <n v="107.9"/>
    <s v="High"/>
    <n v="0"/>
    <s v="Multi-Day"/>
    <n v="0"/>
    <n v="1"/>
    <s v="Main Entrance"/>
    <s v="None/Walked from Resort"/>
    <n v="6.7"/>
    <n v="3"/>
    <x v="775"/>
  </r>
  <r>
    <n v="3415"/>
    <n v="1121"/>
    <d v="2026-11-14T00:00:00"/>
    <s v="Saturday"/>
    <n v="11"/>
    <n v="8.82"/>
    <x v="0"/>
    <x v="71"/>
    <s v="Female"/>
    <n v="63.9"/>
    <n v="146.1"/>
    <n v="25.2"/>
    <n v="19"/>
    <s v="CA"/>
    <n v="5"/>
    <n v="107.9"/>
    <s v="High"/>
    <n v="0"/>
    <s v="Multi-Day"/>
    <n v="0"/>
    <n v="1"/>
    <s v="Main Entrance"/>
    <s v="None/Walked from Resort"/>
    <n v="9.1999999999999993"/>
    <n v="11"/>
    <x v="3189"/>
  </r>
  <r>
    <n v="3416"/>
    <n v="1121"/>
    <d v="2026-11-14T00:00:00"/>
    <s v="Saturday"/>
    <n v="11"/>
    <n v="8.7899999999999991"/>
    <x v="0"/>
    <x v="11"/>
    <s v="Male"/>
    <n v="69.900000000000006"/>
    <n v="153.19999999999999"/>
    <n v="22.1"/>
    <n v="17"/>
    <s v="CA"/>
    <n v="5"/>
    <n v="107.9"/>
    <s v="High"/>
    <n v="0"/>
    <s v="Multi-Day"/>
    <n v="0"/>
    <n v="1"/>
    <s v="Main Entrance"/>
    <s v="None/Walked from Resort"/>
    <n v="9.6"/>
    <n v="9"/>
    <x v="3190"/>
  </r>
  <r>
    <n v="3417"/>
    <n v="1121"/>
    <d v="2026-11-14T00:00:00"/>
    <s v="Saturday"/>
    <n v="11"/>
    <n v="8.7899999999999991"/>
    <x v="0"/>
    <x v="59"/>
    <s v="Female"/>
    <n v="65.5"/>
    <n v="184.5"/>
    <n v="30.5"/>
    <n v="18"/>
    <s v="CA"/>
    <n v="5"/>
    <n v="107.9"/>
    <s v="High"/>
    <n v="0"/>
    <s v="Multi-Day"/>
    <n v="0"/>
    <n v="1"/>
    <s v="Main Entrance"/>
    <s v="None/Walked from Resort"/>
    <n v="8.8000000000000007"/>
    <n v="8"/>
    <x v="1191"/>
  </r>
  <r>
    <n v="3418"/>
    <n v="1122"/>
    <d v="2026-06-15T00:00:00"/>
    <s v="Monday"/>
    <n v="6"/>
    <n v="9.66"/>
    <x v="0"/>
    <x v="42"/>
    <s v="Female"/>
    <n v="67.8"/>
    <n v="166.1"/>
    <n v="25.4"/>
    <n v="13"/>
    <s v="TX"/>
    <n v="1"/>
    <n v="1355.3"/>
    <s v="Low"/>
    <n v="1"/>
    <s v="Park Hopper"/>
    <n v="0"/>
    <n v="0"/>
    <s v="Main Entrance"/>
    <s v="Pixar Pals"/>
    <n v="6.6"/>
    <n v="3"/>
    <x v="3191"/>
  </r>
  <r>
    <n v="3419"/>
    <n v="1123"/>
    <d v="2026-11-15T00:00:00"/>
    <s v="Sunday"/>
    <n v="11"/>
    <n v="12.35"/>
    <x v="1"/>
    <x v="55"/>
    <s v="Male"/>
    <n v="68.3"/>
    <n v="181.9"/>
    <n v="27.5"/>
    <n v="18"/>
    <s v="TX"/>
    <n v="4"/>
    <n v="1051.9000000000001"/>
    <s v="Middle"/>
    <n v="0"/>
    <s v="Single-Day"/>
    <n v="0"/>
    <n v="0"/>
    <s v="Main Entrance"/>
    <s v="None/Dropoff/Transit"/>
    <n v="5.9"/>
    <n v="2"/>
    <x v="1353"/>
  </r>
  <r>
    <n v="3420"/>
    <n v="1123"/>
    <d v="2026-11-15T00:00:00"/>
    <s v="Sunday"/>
    <n v="11"/>
    <n v="12.25"/>
    <x v="1"/>
    <x v="42"/>
    <s v="Female"/>
    <n v="66.599999999999994"/>
    <n v="171.3"/>
    <n v="27.2"/>
    <n v="18"/>
    <s v="TX"/>
    <n v="4"/>
    <n v="1051.9000000000001"/>
    <s v="Middle"/>
    <n v="0"/>
    <s v="Single-Day"/>
    <n v="0"/>
    <n v="0"/>
    <s v="Main Entrance"/>
    <s v="None/Dropoff/Transit"/>
    <n v="8.6999999999999993"/>
    <n v="8"/>
    <x v="3192"/>
  </r>
  <r>
    <n v="3421"/>
    <n v="1123"/>
    <d v="2026-11-15T00:00:00"/>
    <s v="Sunday"/>
    <n v="11"/>
    <n v="12.35"/>
    <x v="1"/>
    <x v="42"/>
    <s v="Male"/>
    <n v="74"/>
    <n v="209.8"/>
    <n v="26.7"/>
    <n v="14"/>
    <s v="TX"/>
    <n v="4"/>
    <n v="1051.9000000000001"/>
    <s v="Middle"/>
    <n v="0"/>
    <s v="Single-Day"/>
    <n v="0"/>
    <n v="0"/>
    <s v="Main Entrance"/>
    <s v="None/Dropoff/Transit"/>
    <n v="5.6"/>
    <n v="7"/>
    <x v="3193"/>
  </r>
  <r>
    <n v="3422"/>
    <n v="1123"/>
    <d v="2026-11-15T00:00:00"/>
    <s v="Sunday"/>
    <n v="11"/>
    <n v="12.22"/>
    <x v="1"/>
    <x v="5"/>
    <s v="Male"/>
    <n v="71.3"/>
    <n v="202.1"/>
    <n v="28.1"/>
    <n v="12"/>
    <s v="TX"/>
    <n v="4"/>
    <n v="1051.9000000000001"/>
    <s v="Middle"/>
    <n v="0"/>
    <s v="Single-Day"/>
    <n v="0"/>
    <n v="0"/>
    <s v="Main Entrance"/>
    <s v="None/Dropoff/Transit"/>
    <n v="10.7"/>
    <n v="8"/>
    <x v="2267"/>
  </r>
  <r>
    <n v="3423"/>
    <n v="1124"/>
    <d v="2026-06-12T00:00:00"/>
    <s v="Friday"/>
    <n v="6"/>
    <n v="13.47"/>
    <x v="1"/>
    <x v="42"/>
    <s v="Male"/>
    <n v="63.3"/>
    <n v="173.4"/>
    <n v="30.7"/>
    <n v="17"/>
    <s v="CA"/>
    <n v="2"/>
    <n v="54.7"/>
    <s v="Low"/>
    <n v="0"/>
    <s v="Single-Day"/>
    <n v="1"/>
    <n v="0"/>
    <s v="Main Entrance"/>
    <s v="Mickey &amp; Friends"/>
    <n v="7.5"/>
    <n v="5"/>
    <x v="3194"/>
  </r>
  <r>
    <n v="3424"/>
    <n v="1124"/>
    <d v="2026-06-12T00:00:00"/>
    <s v="Friday"/>
    <n v="6"/>
    <n v="13.67"/>
    <x v="1"/>
    <x v="52"/>
    <s v="Female"/>
    <n v="67.7"/>
    <n v="191.4"/>
    <n v="29.3"/>
    <n v="11"/>
    <s v="CA"/>
    <n v="2"/>
    <n v="54.7"/>
    <s v="Low"/>
    <n v="0"/>
    <s v="Single-Day"/>
    <n v="1"/>
    <n v="0"/>
    <s v="Main Entrance"/>
    <s v="Mickey &amp; Friends"/>
    <n v="9.6"/>
    <n v="8"/>
    <x v="3195"/>
  </r>
  <r>
    <n v="3425"/>
    <n v="1125"/>
    <d v="2026-08-03T00:00:00"/>
    <s v="Monday"/>
    <n v="8"/>
    <n v="9.82"/>
    <x v="0"/>
    <x v="17"/>
    <s v="Nonbinary/Other"/>
    <n v="64.599999999999994"/>
    <n v="136.6"/>
    <n v="23"/>
    <n v="13"/>
    <s v="TX"/>
    <n v="2"/>
    <n v="1676.7"/>
    <s v="Middle"/>
    <n v="1"/>
    <s v="Single-Day"/>
    <n v="0"/>
    <n v="0"/>
    <s v="Main Entrance"/>
    <s v="Mickey &amp; Friends"/>
    <n v="8.1999999999999993"/>
    <n v="11"/>
    <x v="3196"/>
  </r>
  <r>
    <n v="3426"/>
    <n v="1125"/>
    <d v="2026-08-03T00:00:00"/>
    <s v="Monday"/>
    <n v="8"/>
    <n v="10.050000000000001"/>
    <x v="0"/>
    <x v="38"/>
    <s v="Male"/>
    <n v="68.8"/>
    <n v="167.5"/>
    <n v="24.8"/>
    <n v="13"/>
    <s v="TX"/>
    <n v="2"/>
    <n v="1676.7"/>
    <s v="Middle"/>
    <n v="1"/>
    <s v="Single-Day"/>
    <n v="0"/>
    <n v="0"/>
    <s v="Main Entrance"/>
    <s v="Mickey &amp; Friends"/>
    <n v="7.8"/>
    <n v="9"/>
    <x v="3197"/>
  </r>
  <r>
    <n v="3427"/>
    <n v="1126"/>
    <d v="2026-12-15T00:00:00"/>
    <s v="Tuesday"/>
    <n v="12"/>
    <n v="10.38"/>
    <x v="0"/>
    <x v="44"/>
    <s v="Male"/>
    <n v="69"/>
    <n v="169.1"/>
    <n v="24.9"/>
    <n v="15"/>
    <s v="AZ"/>
    <n v="5"/>
    <n v="555.79999999999995"/>
    <s v="High"/>
    <n v="1"/>
    <s v="Single-Day"/>
    <n v="0"/>
    <n v="0"/>
    <s v="Main Entrance"/>
    <s v="Mickey &amp; Friends"/>
    <n v="7"/>
    <n v="9"/>
    <x v="3198"/>
  </r>
  <r>
    <n v="3428"/>
    <n v="1126"/>
    <d v="2026-12-15T00:00:00"/>
    <s v="Tuesday"/>
    <n v="12"/>
    <n v="10.48"/>
    <x v="0"/>
    <x v="6"/>
    <s v="Female"/>
    <n v="58.7"/>
    <n v="126"/>
    <n v="25.8"/>
    <n v="17"/>
    <s v="AZ"/>
    <n v="5"/>
    <n v="555.79999999999995"/>
    <s v="High"/>
    <n v="1"/>
    <s v="Single-Day"/>
    <n v="0"/>
    <n v="0"/>
    <s v="Main Entrance"/>
    <s v="Mickey &amp; Friends"/>
    <n v="7.8"/>
    <n v="11"/>
    <x v="3199"/>
  </r>
  <r>
    <n v="3429"/>
    <n v="1126"/>
    <d v="2026-12-15T00:00:00"/>
    <s v="Tuesday"/>
    <n v="12"/>
    <n v="10.28"/>
    <x v="0"/>
    <x v="57"/>
    <s v="Female"/>
    <n v="63.8"/>
    <n v="173"/>
    <n v="29.8"/>
    <n v="19"/>
    <s v="AZ"/>
    <n v="5"/>
    <n v="555.79999999999995"/>
    <s v="High"/>
    <n v="1"/>
    <s v="Single-Day"/>
    <n v="0"/>
    <n v="0"/>
    <s v="Main Entrance"/>
    <s v="Mickey &amp; Friends"/>
    <n v="5.4"/>
    <n v="3"/>
    <x v="3200"/>
  </r>
  <r>
    <n v="3430"/>
    <n v="1126"/>
    <d v="2026-12-15T00:00:00"/>
    <s v="Tuesday"/>
    <n v="12"/>
    <n v="10.5"/>
    <x v="0"/>
    <x v="41"/>
    <s v="Female"/>
    <n v="61.2"/>
    <n v="138.30000000000001"/>
    <n v="25.9"/>
    <n v="15"/>
    <s v="AZ"/>
    <n v="5"/>
    <n v="555.79999999999995"/>
    <s v="High"/>
    <n v="1"/>
    <s v="Single-Day"/>
    <n v="0"/>
    <n v="0"/>
    <s v="Main Entrance"/>
    <s v="Mickey &amp; Friends"/>
    <n v="8.5"/>
    <n v="11"/>
    <x v="3201"/>
  </r>
  <r>
    <n v="3431"/>
    <n v="1126"/>
    <d v="2026-12-15T00:00:00"/>
    <s v="Tuesday"/>
    <n v="12"/>
    <n v="10.33"/>
    <x v="0"/>
    <x v="3"/>
    <s v="Female"/>
    <n v="64.400000000000006"/>
    <n v="173.6"/>
    <n v="29.5"/>
    <n v="17"/>
    <s v="AZ"/>
    <n v="5"/>
    <n v="555.79999999999995"/>
    <s v="High"/>
    <n v="1"/>
    <s v="Single-Day"/>
    <n v="0"/>
    <n v="0"/>
    <s v="Main Entrance"/>
    <s v="Mickey &amp; Friends"/>
    <n v="7.6"/>
    <n v="10"/>
    <x v="3202"/>
  </r>
  <r>
    <n v="3432"/>
    <n v="1127"/>
    <d v="2026-07-17T00:00:00"/>
    <s v="Friday"/>
    <n v="7"/>
    <n v="8.65"/>
    <x v="0"/>
    <x v="12"/>
    <s v="Male"/>
    <n v="69.400000000000006"/>
    <n v="94"/>
    <n v="14.1"/>
    <n v="15"/>
    <s v="CA"/>
    <n v="2"/>
    <n v="47.6"/>
    <s v="High"/>
    <n v="0"/>
    <s v="Park Hopper"/>
    <n v="0"/>
    <n v="0"/>
    <s v="Main Entrance"/>
    <s v="Toy Story Lot"/>
    <n v="10.3"/>
    <n v="17"/>
    <x v="3203"/>
  </r>
  <r>
    <n v="3433"/>
    <n v="1127"/>
    <d v="2026-07-17T00:00:00"/>
    <s v="Friday"/>
    <n v="7"/>
    <n v="8.56"/>
    <x v="0"/>
    <x v="22"/>
    <s v="Male"/>
    <n v="60.2"/>
    <n v="84.3"/>
    <n v="16.399999999999999"/>
    <n v="15"/>
    <s v="CA"/>
    <n v="2"/>
    <n v="47.6"/>
    <s v="High"/>
    <n v="0"/>
    <s v="Park Hopper"/>
    <n v="0"/>
    <n v="0"/>
    <s v="Main Entrance"/>
    <s v="Toy Story Lot"/>
    <n v="6.8"/>
    <n v="9"/>
    <x v="419"/>
  </r>
  <r>
    <n v="3434"/>
    <n v="1128"/>
    <d v="2026-06-21T00:00:00"/>
    <s v="Sunday"/>
    <n v="6"/>
    <n v="9.34"/>
    <x v="0"/>
    <x v="6"/>
    <s v="Male"/>
    <n v="68.400000000000006"/>
    <n v="177.9"/>
    <n v="26.8"/>
    <n v="15"/>
    <s v="CO"/>
    <n v="6"/>
    <n v="914"/>
    <s v="High"/>
    <n v="1"/>
    <s v="Single-Day"/>
    <n v="0"/>
    <n v="0"/>
    <s v="Main Entrance"/>
    <s v="Mickey &amp; Friends"/>
    <n v="10.1"/>
    <n v="6"/>
    <x v="3204"/>
  </r>
  <r>
    <n v="3435"/>
    <n v="1128"/>
    <d v="2026-06-21T00:00:00"/>
    <s v="Sunday"/>
    <n v="6"/>
    <n v="9.7200000000000006"/>
    <x v="0"/>
    <x v="59"/>
    <s v="Male"/>
    <n v="69.900000000000006"/>
    <n v="190.7"/>
    <n v="27.3"/>
    <n v="16"/>
    <s v="CO"/>
    <n v="6"/>
    <n v="914"/>
    <s v="High"/>
    <n v="1"/>
    <s v="Single-Day"/>
    <n v="0"/>
    <n v="0"/>
    <s v="Main Entrance"/>
    <s v="Mickey &amp; Friends"/>
    <n v="7"/>
    <n v="7"/>
    <x v="3205"/>
  </r>
  <r>
    <n v="3436"/>
    <n v="1128"/>
    <d v="2026-06-21T00:00:00"/>
    <s v="Sunday"/>
    <n v="6"/>
    <n v="9.65"/>
    <x v="0"/>
    <x v="59"/>
    <s v="Male"/>
    <n v="64.599999999999994"/>
    <n v="174"/>
    <n v="29.4"/>
    <n v="15"/>
    <s v="CO"/>
    <n v="6"/>
    <n v="914"/>
    <s v="High"/>
    <n v="1"/>
    <s v="Single-Day"/>
    <n v="0"/>
    <n v="0"/>
    <s v="Main Entrance"/>
    <s v="Mickey &amp; Friends"/>
    <n v="7.6"/>
    <n v="7"/>
    <x v="3206"/>
  </r>
  <r>
    <n v="3437"/>
    <n v="1128"/>
    <d v="2026-06-21T00:00:00"/>
    <s v="Sunday"/>
    <n v="6"/>
    <n v="9.6"/>
    <x v="0"/>
    <x v="22"/>
    <s v="Male"/>
    <n v="63.4"/>
    <n v="113.7"/>
    <n v="19.600000000000001"/>
    <n v="18"/>
    <s v="CO"/>
    <n v="6"/>
    <n v="914"/>
    <s v="High"/>
    <n v="1"/>
    <s v="Single-Day"/>
    <n v="0"/>
    <n v="0"/>
    <s v="Main Entrance"/>
    <s v="Mickey &amp; Friends"/>
    <n v="8.8000000000000007"/>
    <n v="12"/>
    <x v="3207"/>
  </r>
  <r>
    <n v="3438"/>
    <n v="1128"/>
    <d v="2026-06-21T00:00:00"/>
    <s v="Sunday"/>
    <n v="6"/>
    <n v="9.4499999999999993"/>
    <x v="0"/>
    <x v="52"/>
    <s v="Female"/>
    <n v="67.2"/>
    <n v="184.3"/>
    <n v="28.7"/>
    <n v="21"/>
    <s v="CO"/>
    <n v="6"/>
    <n v="914"/>
    <s v="High"/>
    <n v="1"/>
    <s v="Single-Day"/>
    <n v="0"/>
    <n v="0"/>
    <s v="Main Entrance"/>
    <s v="Mickey &amp; Friends"/>
    <n v="9.3000000000000007"/>
    <n v="11"/>
    <x v="3208"/>
  </r>
  <r>
    <n v="3439"/>
    <n v="1128"/>
    <d v="2026-06-21T00:00:00"/>
    <s v="Sunday"/>
    <n v="6"/>
    <n v="9.65"/>
    <x v="0"/>
    <x v="11"/>
    <s v="Female"/>
    <n v="64.099999999999994"/>
    <n v="160.5"/>
    <n v="27.5"/>
    <n v="15"/>
    <s v="CO"/>
    <n v="6"/>
    <n v="914"/>
    <s v="High"/>
    <n v="1"/>
    <s v="Single-Day"/>
    <n v="0"/>
    <n v="0"/>
    <s v="Main Entrance"/>
    <s v="Mickey &amp; Friends"/>
    <n v="8.1"/>
    <n v="9"/>
    <x v="3209"/>
  </r>
  <r>
    <n v="3440"/>
    <n v="1129"/>
    <d v="2026-08-07T00:00:00"/>
    <s v="Friday"/>
    <n v="8"/>
    <n v="11.28"/>
    <x v="1"/>
    <x v="58"/>
    <s v="Male"/>
    <n v="73.900000000000006"/>
    <n v="168.2"/>
    <n v="21.6"/>
    <n v="17"/>
    <s v="OR"/>
    <n v="3"/>
    <n v="1075.4000000000001"/>
    <s v="High"/>
    <n v="0"/>
    <s v="Single-Day"/>
    <n v="0"/>
    <n v="0"/>
    <s v="Main Entrance"/>
    <s v="Pixar Pals"/>
    <n v="4.7"/>
    <n v="3"/>
    <x v="3210"/>
  </r>
  <r>
    <n v="3441"/>
    <n v="1129"/>
    <d v="2026-08-07T00:00:00"/>
    <s v="Friday"/>
    <n v="8"/>
    <n v="11.17"/>
    <x v="1"/>
    <x v="40"/>
    <s v="Male"/>
    <n v="70"/>
    <n v="147"/>
    <n v="21.2"/>
    <n v="19"/>
    <s v="OR"/>
    <n v="3"/>
    <n v="1075.4000000000001"/>
    <s v="High"/>
    <n v="0"/>
    <s v="Single-Day"/>
    <n v="0"/>
    <n v="0"/>
    <s v="Main Entrance"/>
    <s v="Pixar Pals"/>
    <n v="11.2"/>
    <n v="9"/>
    <x v="3211"/>
  </r>
  <r>
    <n v="3442"/>
    <n v="1129"/>
    <d v="2026-08-07T00:00:00"/>
    <s v="Friday"/>
    <n v="8"/>
    <n v="11.45"/>
    <x v="1"/>
    <x v="18"/>
    <s v="Male"/>
    <n v="69.5"/>
    <n v="204.6"/>
    <n v="29.8"/>
    <n v="17"/>
    <s v="OR"/>
    <n v="3"/>
    <n v="1075.4000000000001"/>
    <s v="High"/>
    <n v="0"/>
    <s v="Single-Day"/>
    <n v="0"/>
    <n v="0"/>
    <s v="Main Entrance"/>
    <s v="Pixar Pals"/>
    <n v="8.1999999999999993"/>
    <n v="6"/>
    <x v="3212"/>
  </r>
  <r>
    <n v="3443"/>
    <n v="1130"/>
    <d v="2026-06-23T00:00:00"/>
    <s v="Tuesday"/>
    <n v="6"/>
    <n v="9.5500000000000007"/>
    <x v="0"/>
    <x v="66"/>
    <s v="Female"/>
    <n v="65.099999999999994"/>
    <n v="144.9"/>
    <n v="24.1"/>
    <n v="17"/>
    <s v="CA"/>
    <n v="3"/>
    <n v="59.9"/>
    <s v="Middle"/>
    <n v="0"/>
    <s v="Single-Day"/>
    <n v="0"/>
    <n v="0"/>
    <s v="Main Entrance"/>
    <s v="Mickey &amp; Friends"/>
    <n v="10.6"/>
    <n v="7"/>
    <x v="3213"/>
  </r>
  <r>
    <n v="3444"/>
    <n v="1130"/>
    <d v="2026-06-23T00:00:00"/>
    <s v="Tuesday"/>
    <n v="6"/>
    <n v="9.32"/>
    <x v="0"/>
    <x v="32"/>
    <s v="Male"/>
    <n v="55.1"/>
    <n v="77.900000000000006"/>
    <n v="18.100000000000001"/>
    <n v="15"/>
    <s v="CA"/>
    <n v="3"/>
    <n v="59.9"/>
    <s v="Middle"/>
    <n v="0"/>
    <s v="Single-Day"/>
    <n v="0"/>
    <n v="0"/>
    <s v="Main Entrance"/>
    <s v="Mickey &amp; Friends"/>
    <n v="9.3000000000000007"/>
    <n v="6"/>
    <x v="3214"/>
  </r>
  <r>
    <n v="3445"/>
    <n v="1130"/>
    <d v="2026-06-23T00:00:00"/>
    <s v="Tuesday"/>
    <n v="6"/>
    <n v="9.4"/>
    <x v="0"/>
    <x v="74"/>
    <s v="Female"/>
    <n v="62"/>
    <n v="142.1"/>
    <n v="26"/>
    <n v="17"/>
    <s v="CA"/>
    <n v="3"/>
    <n v="59.9"/>
    <s v="Middle"/>
    <n v="0"/>
    <s v="Single-Day"/>
    <n v="0"/>
    <n v="0"/>
    <s v="Main Entrance"/>
    <s v="Mickey &amp; Friends"/>
    <n v="8.3000000000000007"/>
    <n v="8"/>
    <x v="3215"/>
  </r>
  <r>
    <n v="3446"/>
    <n v="1131"/>
    <d v="2026-05-29T00:00:00"/>
    <s v="Friday"/>
    <n v="5"/>
    <n v="9.92"/>
    <x v="0"/>
    <x v="48"/>
    <s v="Female"/>
    <n v="64.099999999999994"/>
    <n v="102.2"/>
    <n v="17.399999999999999"/>
    <n v="15"/>
    <s v="CA"/>
    <n v="1"/>
    <n v="66.099999999999994"/>
    <s v="Low"/>
    <n v="0"/>
    <s v="Multi-Day"/>
    <n v="0"/>
    <n v="1"/>
    <s v="Main Entrance"/>
    <s v="None/Walked from Resort"/>
    <n v="11.5"/>
    <n v="7"/>
    <x v="3216"/>
  </r>
  <r>
    <n v="3447"/>
    <n v="1132"/>
    <d v="2026-07-26T00:00:00"/>
    <s v="Sunday"/>
    <n v="7"/>
    <n v="13.75"/>
    <x v="1"/>
    <x v="10"/>
    <s v="Male"/>
    <n v="66.7"/>
    <n v="161.5"/>
    <n v="25.5"/>
    <n v="18"/>
    <s v="AZ"/>
    <n v="3"/>
    <n v="440.8"/>
    <s v="Middle"/>
    <n v="1"/>
    <s v="Single-Day"/>
    <n v="0"/>
    <n v="0"/>
    <s v="Main Entrance"/>
    <s v="None/Dropoff/Transit"/>
    <n v="9.4"/>
    <n v="7"/>
    <x v="3217"/>
  </r>
  <r>
    <n v="3448"/>
    <n v="1132"/>
    <d v="2026-07-26T00:00:00"/>
    <s v="Sunday"/>
    <n v="7"/>
    <n v="13.7"/>
    <x v="1"/>
    <x v="52"/>
    <s v="Female"/>
    <n v="62.6"/>
    <n v="159.30000000000001"/>
    <n v="28.5"/>
    <n v="18"/>
    <s v="AZ"/>
    <n v="3"/>
    <n v="440.8"/>
    <s v="Middle"/>
    <n v="1"/>
    <s v="Single-Day"/>
    <n v="0"/>
    <n v="0"/>
    <s v="Main Entrance"/>
    <s v="None/Dropoff/Transit"/>
    <n v="6.9"/>
    <n v="5"/>
    <x v="3218"/>
  </r>
  <r>
    <n v="3449"/>
    <n v="1132"/>
    <d v="2026-07-26T00:00:00"/>
    <s v="Sunday"/>
    <n v="7"/>
    <n v="13.74"/>
    <x v="1"/>
    <x v="32"/>
    <s v="Male"/>
    <n v="56.9"/>
    <n v="106.6"/>
    <n v="23.1"/>
    <n v="11"/>
    <s v="AZ"/>
    <n v="3"/>
    <n v="440.8"/>
    <s v="Middle"/>
    <n v="1"/>
    <s v="Single-Day"/>
    <n v="0"/>
    <n v="0"/>
    <s v="Main Entrance"/>
    <s v="None/Dropoff/Transit"/>
    <n v="9.4"/>
    <n v="7"/>
    <x v="3219"/>
  </r>
  <r>
    <n v="3450"/>
    <n v="1133"/>
    <d v="2026-11-28T00:00:00"/>
    <s v="Saturday"/>
    <n v="11"/>
    <n v="11.75"/>
    <x v="1"/>
    <x v="64"/>
    <s v="Male"/>
    <n v="52.5"/>
    <n v="54.9"/>
    <n v="14.3"/>
    <n v="11"/>
    <s v="CA"/>
    <n v="3"/>
    <n v="57.7"/>
    <s v="Low"/>
    <n v="0"/>
    <s v="Park Hopper"/>
    <n v="0"/>
    <n v="1"/>
    <s v="Main Entrance"/>
    <s v="Mickey &amp; Friends"/>
    <n v="6.5"/>
    <n v="8"/>
    <x v="3220"/>
  </r>
  <r>
    <n v="3451"/>
    <n v="1133"/>
    <d v="2026-11-28T00:00:00"/>
    <s v="Saturday"/>
    <n v="11"/>
    <n v="11.45"/>
    <x v="1"/>
    <x v="60"/>
    <s v="Male"/>
    <n v="67.2"/>
    <n v="109.3"/>
    <n v="17.2"/>
    <n v="11"/>
    <s v="CA"/>
    <n v="3"/>
    <n v="57.7"/>
    <s v="Low"/>
    <n v="0"/>
    <s v="Park Hopper"/>
    <n v="0"/>
    <n v="1"/>
    <s v="Main Entrance"/>
    <s v="Mickey &amp; Friends"/>
    <n v="5.6"/>
    <n v="4"/>
    <x v="3221"/>
  </r>
  <r>
    <n v="3452"/>
    <n v="1133"/>
    <d v="2026-11-28T00:00:00"/>
    <s v="Saturday"/>
    <n v="11"/>
    <n v="11.86"/>
    <x v="1"/>
    <x v="38"/>
    <s v="Female"/>
    <n v="62.3"/>
    <n v="159.5"/>
    <n v="28.8"/>
    <n v="11"/>
    <s v="CA"/>
    <n v="3"/>
    <n v="57.7"/>
    <s v="Low"/>
    <n v="0"/>
    <s v="Park Hopper"/>
    <n v="0"/>
    <n v="1"/>
    <s v="Main Entrance"/>
    <s v="Mickey &amp; Friends"/>
    <n v="11.1"/>
    <n v="6"/>
    <x v="3222"/>
  </r>
  <r>
    <n v="3453"/>
    <n v="1134"/>
    <d v="2026-02-05T00:00:00"/>
    <s v="Thursday"/>
    <n v="2"/>
    <n v="10.73"/>
    <x v="0"/>
    <x v="50"/>
    <s v="Male"/>
    <n v="69.7"/>
    <n v="130.1"/>
    <n v="19"/>
    <n v="16"/>
    <s v="OR"/>
    <n v="4"/>
    <n v="830.5"/>
    <s v="Middle"/>
    <n v="1"/>
    <s v="Single-Day"/>
    <n v="1"/>
    <n v="0"/>
    <s v="Main Entrance"/>
    <s v="Pixar Pals"/>
    <n v="8.9"/>
    <n v="10"/>
    <x v="3223"/>
  </r>
  <r>
    <n v="3454"/>
    <n v="1134"/>
    <d v="2026-02-05T00:00:00"/>
    <s v="Thursday"/>
    <n v="2"/>
    <n v="10.79"/>
    <x v="0"/>
    <x v="19"/>
    <s v="Female"/>
    <n v="63"/>
    <n v="153"/>
    <n v="27"/>
    <n v="14"/>
    <s v="OR"/>
    <n v="4"/>
    <n v="830.5"/>
    <s v="Middle"/>
    <n v="1"/>
    <s v="Single-Day"/>
    <n v="1"/>
    <n v="0"/>
    <s v="Main Entrance"/>
    <s v="Pixar Pals"/>
    <n v="10.199999999999999"/>
    <n v="6"/>
    <x v="3224"/>
  </r>
  <r>
    <n v="3455"/>
    <n v="1134"/>
    <d v="2026-02-05T00:00:00"/>
    <s v="Thursday"/>
    <n v="2"/>
    <n v="10.76"/>
    <x v="0"/>
    <x v="13"/>
    <s v="Female"/>
    <n v="65"/>
    <n v="171.5"/>
    <n v="28.6"/>
    <n v="15"/>
    <s v="OR"/>
    <n v="4"/>
    <n v="830.5"/>
    <s v="Middle"/>
    <n v="1"/>
    <s v="Single-Day"/>
    <n v="1"/>
    <n v="0"/>
    <s v="Main Entrance"/>
    <s v="Pixar Pals"/>
    <n v="9.6"/>
    <n v="9"/>
    <x v="1708"/>
  </r>
  <r>
    <n v="3456"/>
    <n v="1134"/>
    <d v="2026-02-05T00:00:00"/>
    <s v="Thursday"/>
    <n v="2"/>
    <n v="10.66"/>
    <x v="0"/>
    <x v="32"/>
    <s v="Male"/>
    <n v="61.5"/>
    <n v="85.5"/>
    <n v="16.100000000000001"/>
    <n v="10"/>
    <s v="OR"/>
    <n v="4"/>
    <n v="830.5"/>
    <s v="Middle"/>
    <n v="1"/>
    <s v="Single-Day"/>
    <n v="1"/>
    <n v="0"/>
    <s v="Main Entrance"/>
    <s v="Pixar Pals"/>
    <n v="8.1999999999999993"/>
    <n v="5"/>
    <x v="3225"/>
  </r>
  <r>
    <n v="3457"/>
    <n v="1135"/>
    <d v="2026-09-06T00:00:00"/>
    <s v="Sunday"/>
    <n v="9"/>
    <n v="8.82"/>
    <x v="0"/>
    <x v="53"/>
    <s v="Male"/>
    <n v="56.1"/>
    <n v="101.2"/>
    <n v="22.5"/>
    <n v="13"/>
    <s v="TX"/>
    <n v="6"/>
    <n v="1098.2"/>
    <s v="Low"/>
    <n v="1"/>
    <s v="Single-Day"/>
    <n v="0"/>
    <n v="0"/>
    <s v="Main Entrance"/>
    <s v="Pixar Pals"/>
    <n v="7.1"/>
    <n v="1"/>
    <x v="3226"/>
  </r>
  <r>
    <n v="3458"/>
    <n v="1135"/>
    <d v="2026-09-06T00:00:00"/>
    <s v="Sunday"/>
    <n v="9"/>
    <n v="8.7899999999999991"/>
    <x v="0"/>
    <x v="42"/>
    <s v="Male"/>
    <n v="73.099999999999994"/>
    <n v="241.8"/>
    <n v="31.7"/>
    <n v="11"/>
    <s v="TX"/>
    <n v="6"/>
    <n v="1098.2"/>
    <s v="Low"/>
    <n v="1"/>
    <s v="Single-Day"/>
    <n v="0"/>
    <n v="0"/>
    <s v="Main Entrance"/>
    <s v="Pixar Pals"/>
    <n v="8.9"/>
    <n v="10"/>
    <x v="3227"/>
  </r>
  <r>
    <n v="3459"/>
    <n v="1135"/>
    <d v="2026-09-06T00:00:00"/>
    <s v="Sunday"/>
    <n v="9"/>
    <n v="9.02"/>
    <x v="0"/>
    <x v="31"/>
    <s v="Female"/>
    <n v="66.099999999999994"/>
    <n v="155.4"/>
    <n v="24.9"/>
    <n v="14"/>
    <s v="TX"/>
    <n v="6"/>
    <n v="1098.2"/>
    <s v="Low"/>
    <n v="1"/>
    <s v="Single-Day"/>
    <n v="0"/>
    <n v="0"/>
    <s v="Main Entrance"/>
    <s v="Pixar Pals"/>
    <n v="7.3"/>
    <n v="4"/>
    <x v="3228"/>
  </r>
  <r>
    <n v="3460"/>
    <n v="1135"/>
    <d v="2026-09-06T00:00:00"/>
    <s v="Sunday"/>
    <n v="9"/>
    <n v="8.64"/>
    <x v="0"/>
    <x v="16"/>
    <s v="Female"/>
    <n v="54.2"/>
    <n v="81.900000000000006"/>
    <n v="19.5"/>
    <n v="10"/>
    <s v="TX"/>
    <n v="6"/>
    <n v="1098.2"/>
    <s v="Low"/>
    <n v="1"/>
    <s v="Single-Day"/>
    <n v="0"/>
    <n v="0"/>
    <s v="Main Entrance"/>
    <s v="Pixar Pals"/>
    <n v="9.9"/>
    <n v="8"/>
    <x v="3229"/>
  </r>
  <r>
    <n v="3461"/>
    <n v="1135"/>
    <d v="2026-09-06T00:00:00"/>
    <s v="Sunday"/>
    <n v="9"/>
    <n v="8.9700000000000006"/>
    <x v="0"/>
    <x v="25"/>
    <s v="Male"/>
    <n v="69.8"/>
    <n v="158.5"/>
    <n v="22.8"/>
    <n v="16"/>
    <s v="TX"/>
    <n v="6"/>
    <n v="1098.2"/>
    <s v="Low"/>
    <n v="1"/>
    <s v="Single-Day"/>
    <n v="0"/>
    <n v="0"/>
    <s v="Main Entrance"/>
    <s v="Pixar Pals"/>
    <n v="9"/>
    <n v="8"/>
    <x v="3230"/>
  </r>
  <r>
    <n v="3462"/>
    <n v="1135"/>
    <d v="2026-09-06T00:00:00"/>
    <s v="Sunday"/>
    <n v="9"/>
    <n v="8.7100000000000009"/>
    <x v="0"/>
    <x v="13"/>
    <s v="Female"/>
    <n v="68.099999999999994"/>
    <n v="182.2"/>
    <n v="28.1"/>
    <n v="11"/>
    <s v="TX"/>
    <n v="6"/>
    <n v="1098.2"/>
    <s v="Low"/>
    <n v="1"/>
    <s v="Single-Day"/>
    <n v="0"/>
    <n v="0"/>
    <s v="Main Entrance"/>
    <s v="Pixar Pals"/>
    <n v="8.4"/>
    <n v="5"/>
    <x v="3231"/>
  </r>
  <r>
    <n v="3463"/>
    <n v="1136"/>
    <d v="2026-04-05T00:00:00"/>
    <s v="Sunday"/>
    <n v="4"/>
    <n v="11.3"/>
    <x v="1"/>
    <x v="19"/>
    <s v="Female"/>
    <n v="60.8"/>
    <n v="188.3"/>
    <n v="35.9"/>
    <n v="14"/>
    <s v="WA"/>
    <n v="1"/>
    <n v="1019.3"/>
    <s v="Middle"/>
    <n v="1"/>
    <s v="Single-Day"/>
    <n v="0"/>
    <n v="1"/>
    <s v="Main Entrance"/>
    <s v="Mickey &amp; Friends"/>
    <n v="8"/>
    <n v="9"/>
    <x v="3232"/>
  </r>
  <r>
    <n v="3464"/>
    <n v="1137"/>
    <d v="2026-09-21T00:00:00"/>
    <s v="Monday"/>
    <n v="9"/>
    <n v="10.87"/>
    <x v="0"/>
    <x v="32"/>
    <s v="Female"/>
    <n v="59.4"/>
    <n v="117.4"/>
    <n v="23.3"/>
    <n v="13"/>
    <s v="FL"/>
    <n v="1"/>
    <n v="1807"/>
    <s v="Middle"/>
    <n v="1"/>
    <s v="Single-Day"/>
    <n v="0"/>
    <n v="0"/>
    <s v="Main Entrance"/>
    <s v="Mickey &amp; Friends"/>
    <n v="9.9"/>
    <n v="11"/>
    <x v="3233"/>
  </r>
  <r>
    <n v="3465"/>
    <n v="1138"/>
    <d v="2026-01-24T00:00:00"/>
    <s v="Saturday"/>
    <n v="1"/>
    <n v="11.39"/>
    <x v="1"/>
    <x v="52"/>
    <s v="Male"/>
    <n v="61.5"/>
    <n v="145.69999999999999"/>
    <n v="26.9"/>
    <n v="15"/>
    <s v="CA"/>
    <n v="4"/>
    <n v="93.5"/>
    <s v="Middle"/>
    <n v="0"/>
    <s v="Single-Day"/>
    <n v="0"/>
    <n v="0"/>
    <s v="Main Entrance"/>
    <s v="Pixar Pals"/>
    <n v="6.9"/>
    <n v="6"/>
    <x v="2358"/>
  </r>
  <r>
    <n v="3466"/>
    <n v="1138"/>
    <d v="2026-01-24T00:00:00"/>
    <s v="Saturday"/>
    <n v="1"/>
    <n v="11.14"/>
    <x v="1"/>
    <x v="59"/>
    <s v="Male"/>
    <n v="69.400000000000006"/>
    <n v="163.30000000000001"/>
    <n v="23.9"/>
    <n v="16"/>
    <s v="CA"/>
    <n v="4"/>
    <n v="93.5"/>
    <s v="Middle"/>
    <n v="0"/>
    <s v="Single-Day"/>
    <n v="0"/>
    <n v="0"/>
    <s v="Main Entrance"/>
    <s v="Pixar Pals"/>
    <n v="8.1999999999999993"/>
    <n v="9"/>
    <x v="3234"/>
  </r>
  <r>
    <n v="3467"/>
    <n v="1138"/>
    <d v="2026-01-24T00:00:00"/>
    <s v="Saturday"/>
    <n v="1"/>
    <n v="11.39"/>
    <x v="1"/>
    <x v="42"/>
    <s v="Male"/>
    <n v="72.400000000000006"/>
    <n v="199.4"/>
    <n v="26.6"/>
    <n v="15"/>
    <s v="CA"/>
    <n v="4"/>
    <n v="93.5"/>
    <s v="Middle"/>
    <n v="0"/>
    <s v="Single-Day"/>
    <n v="0"/>
    <n v="0"/>
    <s v="Main Entrance"/>
    <s v="Pixar Pals"/>
    <n v="5.0999999999999996"/>
    <n v="2"/>
    <x v="3235"/>
  </r>
  <r>
    <n v="3468"/>
    <n v="1138"/>
    <d v="2026-01-24T00:00:00"/>
    <s v="Saturday"/>
    <n v="1"/>
    <n v="11.29"/>
    <x v="1"/>
    <x v="25"/>
    <s v="Male"/>
    <n v="72.2"/>
    <n v="196.1"/>
    <n v="26.7"/>
    <n v="14"/>
    <s v="CA"/>
    <n v="4"/>
    <n v="93.5"/>
    <s v="Middle"/>
    <n v="0"/>
    <s v="Single-Day"/>
    <n v="0"/>
    <n v="0"/>
    <s v="Main Entrance"/>
    <s v="Pixar Pals"/>
    <n v="5.9"/>
    <n v="7"/>
    <x v="3236"/>
  </r>
  <r>
    <n v="3469"/>
    <n v="1139"/>
    <d v="2026-06-09T00:00:00"/>
    <s v="Tuesday"/>
    <n v="6"/>
    <n v="12.78"/>
    <x v="1"/>
    <x v="40"/>
    <s v="Male"/>
    <n v="64.099999999999994"/>
    <n v="100.6"/>
    <n v="17.2"/>
    <n v="12"/>
    <s v="CA"/>
    <n v="2"/>
    <n v="53.3"/>
    <s v="Middle"/>
    <n v="0"/>
    <s v="Multi-Day"/>
    <n v="0"/>
    <n v="1"/>
    <s v="Main Entrance"/>
    <s v="None/Walked from Resort"/>
    <n v="9.8000000000000007"/>
    <n v="9"/>
    <x v="3237"/>
  </r>
  <r>
    <n v="3470"/>
    <n v="1139"/>
    <d v="2026-06-09T00:00:00"/>
    <s v="Tuesday"/>
    <n v="6"/>
    <n v="12.6"/>
    <x v="1"/>
    <x v="1"/>
    <s v="Female"/>
    <n v="62.3"/>
    <n v="137.9"/>
    <n v="25"/>
    <n v="14"/>
    <s v="CA"/>
    <n v="2"/>
    <n v="53.3"/>
    <s v="Middle"/>
    <n v="0"/>
    <s v="Multi-Day"/>
    <n v="0"/>
    <n v="1"/>
    <s v="Main Entrance"/>
    <s v="None/Walked from Resort"/>
    <n v="8.1999999999999993"/>
    <n v="4"/>
    <x v="2430"/>
  </r>
  <r>
    <n v="3471"/>
    <n v="1140"/>
    <d v="2026-07-31T00:00:00"/>
    <s v="Friday"/>
    <n v="7"/>
    <n v="10.07"/>
    <x v="0"/>
    <x v="38"/>
    <s v="Male"/>
    <n v="68.5"/>
    <n v="127.2"/>
    <n v="19.100000000000001"/>
    <n v="11"/>
    <s v="WA"/>
    <n v="1"/>
    <n v="844.6"/>
    <s v="Low"/>
    <n v="1"/>
    <s v="Single-Day"/>
    <n v="0"/>
    <n v="0"/>
    <s v="Downtown Disney Gate"/>
    <s v="Pixar Pals"/>
    <n v="7.4"/>
    <n v="4"/>
    <x v="3238"/>
  </r>
  <r>
    <n v="3472"/>
    <n v="1141"/>
    <d v="2026-01-21T00:00:00"/>
    <s v="Wednesday"/>
    <n v="1"/>
    <n v="7.15"/>
    <x v="0"/>
    <x v="65"/>
    <s v="Female"/>
    <n v="60.2"/>
    <n v="159.4"/>
    <n v="31.3"/>
    <n v="18"/>
    <s v="TX"/>
    <n v="2"/>
    <n v="1516.3"/>
    <s v="High"/>
    <n v="1"/>
    <s v="Park Hopper"/>
    <n v="0"/>
    <n v="0"/>
    <s v="Main Entrance"/>
    <s v="Toy Story Lot"/>
    <n v="9.6999999999999993"/>
    <n v="9"/>
    <x v="3239"/>
  </r>
  <r>
    <n v="3473"/>
    <n v="1141"/>
    <d v="2026-01-21T00:00:00"/>
    <s v="Wednesday"/>
    <n v="1"/>
    <n v="7"/>
    <x v="0"/>
    <x v="8"/>
    <s v="Male"/>
    <n v="67.7"/>
    <n v="166.6"/>
    <n v="25.3"/>
    <n v="18"/>
    <s v="TX"/>
    <n v="2"/>
    <n v="1516.3"/>
    <s v="High"/>
    <n v="1"/>
    <s v="Park Hopper"/>
    <n v="0"/>
    <n v="0"/>
    <s v="Main Entrance"/>
    <s v="Toy Story Lot"/>
    <n v="11.5"/>
    <n v="13"/>
    <x v="3240"/>
  </r>
  <r>
    <n v="3474"/>
    <n v="1142"/>
    <d v="2026-12-18T00:00:00"/>
    <s v="Friday"/>
    <n v="12"/>
    <n v="9.86"/>
    <x v="0"/>
    <x v="36"/>
    <s v="Male"/>
    <n v="67"/>
    <n v="181"/>
    <n v="28.3"/>
    <n v="13"/>
    <s v="NY"/>
    <n v="1"/>
    <n v="2979.7"/>
    <s v="High"/>
    <n v="1"/>
    <s v="Multi-Day"/>
    <n v="1"/>
    <n v="1"/>
    <s v="Main Entrance"/>
    <s v="Mickey &amp; Friends"/>
    <n v="9.1999999999999993"/>
    <n v="11"/>
    <x v="3241"/>
  </r>
  <r>
    <n v="3475"/>
    <n v="1143"/>
    <d v="2026-09-07T00:00:00"/>
    <s v="Monday"/>
    <n v="9"/>
    <n v="8.3800000000000008"/>
    <x v="0"/>
    <x v="55"/>
    <s v="Male"/>
    <n v="68.7"/>
    <n v="185.5"/>
    <n v="27.4"/>
    <n v="16"/>
    <s v="WA"/>
    <n v="3"/>
    <n v="1117.4000000000001"/>
    <s v="High"/>
    <n v="1"/>
    <s v="Multi-Day"/>
    <n v="0"/>
    <n v="0"/>
    <s v="Main Entrance"/>
    <s v="Mickey &amp; Friends"/>
    <n v="8.6"/>
    <n v="8"/>
    <x v="3242"/>
  </r>
  <r>
    <n v="3476"/>
    <n v="1143"/>
    <d v="2026-09-07T00:00:00"/>
    <s v="Monday"/>
    <n v="9"/>
    <n v="8.2100000000000009"/>
    <x v="0"/>
    <x v="10"/>
    <s v="Male"/>
    <n v="70.900000000000006"/>
    <n v="132"/>
    <n v="18.3"/>
    <n v="14"/>
    <s v="WA"/>
    <n v="3"/>
    <n v="1117.4000000000001"/>
    <s v="High"/>
    <n v="1"/>
    <s v="Multi-Day"/>
    <n v="0"/>
    <n v="0"/>
    <s v="Main Entrance"/>
    <s v="Mickey &amp; Friends"/>
    <n v="10.1"/>
    <n v="12"/>
    <x v="3243"/>
  </r>
  <r>
    <n v="3477"/>
    <n v="1143"/>
    <d v="2026-09-07T00:00:00"/>
    <s v="Monday"/>
    <n v="9"/>
    <n v="8.5399999999999991"/>
    <x v="0"/>
    <x v="38"/>
    <s v="Female"/>
    <n v="62"/>
    <n v="178.7"/>
    <n v="32.5"/>
    <n v="17"/>
    <s v="WA"/>
    <n v="3"/>
    <n v="1117.4000000000001"/>
    <s v="High"/>
    <n v="1"/>
    <s v="Multi-Day"/>
    <n v="0"/>
    <n v="0"/>
    <s v="Main Entrance"/>
    <s v="Mickey &amp; Friends"/>
    <n v="10.4"/>
    <n v="6"/>
    <x v="3244"/>
  </r>
  <r>
    <n v="3478"/>
    <n v="1144"/>
    <d v="2026-02-07T00:00:00"/>
    <s v="Saturday"/>
    <n v="2"/>
    <n v="11.87"/>
    <x v="1"/>
    <x v="16"/>
    <s v="Female"/>
    <n v="56.1"/>
    <n v="56.6"/>
    <n v="12.7"/>
    <n v="17"/>
    <s v="Other"/>
    <n v="5"/>
    <n v="1955.2"/>
    <s v="High"/>
    <n v="1"/>
    <s v="Single-Day"/>
    <n v="0"/>
    <n v="0"/>
    <s v="Main Entrance"/>
    <s v="Toy Story Lot"/>
    <n v="6.2"/>
    <n v="10"/>
    <x v="3245"/>
  </r>
  <r>
    <n v="3479"/>
    <n v="1144"/>
    <d v="2026-02-07T00:00:00"/>
    <s v="Saturday"/>
    <n v="2"/>
    <n v="11.81"/>
    <x v="1"/>
    <x v="56"/>
    <s v="Male"/>
    <n v="72.2"/>
    <n v="201.6"/>
    <n v="27.1"/>
    <n v="19"/>
    <s v="Other"/>
    <n v="5"/>
    <n v="1955.2"/>
    <s v="High"/>
    <n v="1"/>
    <s v="Single-Day"/>
    <n v="0"/>
    <n v="0"/>
    <s v="Main Entrance"/>
    <s v="Toy Story Lot"/>
    <n v="7.2"/>
    <n v="3"/>
    <x v="3246"/>
  </r>
  <r>
    <n v="3480"/>
    <n v="1144"/>
    <d v="2026-02-07T00:00:00"/>
    <s v="Saturday"/>
    <n v="2"/>
    <n v="11.81"/>
    <x v="1"/>
    <x v="49"/>
    <s v="Female"/>
    <n v="63"/>
    <n v="122.3"/>
    <n v="21.5"/>
    <n v="17"/>
    <s v="Other"/>
    <n v="5"/>
    <n v="1955.2"/>
    <s v="High"/>
    <n v="1"/>
    <s v="Single-Day"/>
    <n v="0"/>
    <n v="0"/>
    <s v="Main Entrance"/>
    <s v="Toy Story Lot"/>
    <n v="10.4"/>
    <n v="16"/>
    <x v="3247"/>
  </r>
  <r>
    <n v="3481"/>
    <n v="1144"/>
    <d v="2026-02-07T00:00:00"/>
    <s v="Saturday"/>
    <n v="2"/>
    <n v="11.78"/>
    <x v="1"/>
    <x v="57"/>
    <s v="Female"/>
    <n v="64.8"/>
    <n v="171.7"/>
    <n v="28.8"/>
    <n v="16"/>
    <s v="Other"/>
    <n v="5"/>
    <n v="1955.2"/>
    <s v="High"/>
    <n v="1"/>
    <s v="Single-Day"/>
    <n v="0"/>
    <n v="0"/>
    <s v="Main Entrance"/>
    <s v="Toy Story Lot"/>
    <n v="5.0999999999999996"/>
    <n v="0"/>
    <x v="2872"/>
  </r>
  <r>
    <n v="3482"/>
    <n v="1144"/>
    <d v="2026-02-07T00:00:00"/>
    <s v="Saturday"/>
    <n v="2"/>
    <n v="11.98"/>
    <x v="1"/>
    <x v="52"/>
    <s v="Female"/>
    <n v="62.8"/>
    <n v="147.1"/>
    <n v="26.4"/>
    <n v="21"/>
    <s v="Other"/>
    <n v="5"/>
    <n v="1955.2"/>
    <s v="High"/>
    <n v="1"/>
    <s v="Single-Day"/>
    <n v="0"/>
    <n v="0"/>
    <s v="Main Entrance"/>
    <s v="Toy Story Lot"/>
    <n v="6.7"/>
    <n v="3"/>
    <x v="417"/>
  </r>
  <r>
    <n v="3483"/>
    <n v="1145"/>
    <d v="2026-07-27T00:00:00"/>
    <s v="Monday"/>
    <n v="7"/>
    <n v="13.06"/>
    <x v="1"/>
    <x v="23"/>
    <s v="Male"/>
    <n v="69.2"/>
    <n v="172.2"/>
    <n v="25.4"/>
    <n v="17"/>
    <s v="CA"/>
    <n v="3"/>
    <n v="108.5"/>
    <s v="High"/>
    <n v="0"/>
    <s v="Single-Day"/>
    <n v="1"/>
    <n v="0"/>
    <s v="Downtown Disney Gate"/>
    <s v="Toy Story Lot"/>
    <n v="7.1"/>
    <n v="12"/>
    <x v="3248"/>
  </r>
  <r>
    <n v="3484"/>
    <n v="1145"/>
    <d v="2026-07-27T00:00:00"/>
    <s v="Monday"/>
    <n v="7"/>
    <n v="12.89"/>
    <x v="1"/>
    <x v="3"/>
    <s v="Female"/>
    <n v="56.1"/>
    <n v="122.5"/>
    <n v="27.2"/>
    <n v="16"/>
    <s v="CA"/>
    <n v="3"/>
    <n v="108.5"/>
    <s v="High"/>
    <n v="0"/>
    <s v="Single-Day"/>
    <n v="1"/>
    <n v="0"/>
    <s v="Downtown Disney Gate"/>
    <s v="Toy Story Lot"/>
    <n v="9.1"/>
    <n v="14"/>
    <x v="3249"/>
  </r>
  <r>
    <n v="3485"/>
    <n v="1145"/>
    <d v="2026-07-27T00:00:00"/>
    <s v="Monday"/>
    <n v="7"/>
    <n v="12.95"/>
    <x v="1"/>
    <x v="53"/>
    <s v="Female"/>
    <n v="58.6"/>
    <n v="115.1"/>
    <n v="23.4"/>
    <n v="11"/>
    <s v="CA"/>
    <n v="3"/>
    <n v="108.5"/>
    <s v="High"/>
    <n v="0"/>
    <s v="Single-Day"/>
    <n v="1"/>
    <n v="0"/>
    <s v="Downtown Disney Gate"/>
    <s v="Toy Story Lot"/>
    <n v="8.1"/>
    <n v="6"/>
    <x v="3250"/>
  </r>
  <r>
    <n v="3486"/>
    <n v="1146"/>
    <d v="2026-01-03T00:00:00"/>
    <s v="Saturday"/>
    <n v="1"/>
    <n v="12.05"/>
    <x v="1"/>
    <x v="57"/>
    <s v="Male"/>
    <n v="69.900000000000006"/>
    <n v="194.1"/>
    <n v="27.8"/>
    <n v="18"/>
    <s v="UT"/>
    <n v="3"/>
    <n v="952.1"/>
    <s v="High"/>
    <n v="0"/>
    <s v="Multi-Day"/>
    <n v="0"/>
    <n v="0"/>
    <s v="Main Entrance"/>
    <s v="Pixar Pals"/>
    <n v="7.1"/>
    <n v="0"/>
    <x v="3251"/>
  </r>
  <r>
    <n v="3487"/>
    <n v="1146"/>
    <d v="2026-01-03T00:00:00"/>
    <s v="Saturday"/>
    <n v="1"/>
    <n v="12.17"/>
    <x v="1"/>
    <x v="32"/>
    <s v="Female"/>
    <n v="57.7"/>
    <n v="92.2"/>
    <n v="19.399999999999999"/>
    <n v="16"/>
    <s v="UT"/>
    <n v="3"/>
    <n v="952.1"/>
    <s v="High"/>
    <n v="0"/>
    <s v="Multi-Day"/>
    <n v="0"/>
    <n v="0"/>
    <s v="Main Entrance"/>
    <s v="Pixar Pals"/>
    <n v="7.4"/>
    <n v="3"/>
    <x v="3252"/>
  </r>
  <r>
    <n v="3488"/>
    <n v="1146"/>
    <d v="2026-01-03T00:00:00"/>
    <s v="Saturday"/>
    <n v="1"/>
    <n v="12.13"/>
    <x v="1"/>
    <x v="2"/>
    <s v="Female"/>
    <n v="62.9"/>
    <n v="150.1"/>
    <n v="26.7"/>
    <n v="17"/>
    <s v="UT"/>
    <n v="3"/>
    <n v="952.1"/>
    <s v="High"/>
    <n v="0"/>
    <s v="Multi-Day"/>
    <n v="0"/>
    <n v="0"/>
    <s v="Main Entrance"/>
    <s v="Pixar Pals"/>
    <n v="7.5"/>
    <n v="11"/>
    <x v="1171"/>
  </r>
  <r>
    <n v="3489"/>
    <n v="1147"/>
    <d v="2026-06-21T00:00:00"/>
    <s v="Sunday"/>
    <n v="6"/>
    <n v="9.16"/>
    <x v="0"/>
    <x v="0"/>
    <s v="Male"/>
    <n v="73"/>
    <n v="183.4"/>
    <n v="24.1"/>
    <n v="14"/>
    <s v="CA"/>
    <n v="3"/>
    <n v="113.8"/>
    <s v="High"/>
    <n v="0"/>
    <s v="Multi-Day"/>
    <n v="0"/>
    <n v="0"/>
    <s v="Main Entrance"/>
    <s v="Mickey &amp; Friends"/>
    <n v="9.6"/>
    <n v="10"/>
    <x v="3253"/>
  </r>
  <r>
    <n v="3490"/>
    <n v="1147"/>
    <d v="2026-06-21T00:00:00"/>
    <s v="Sunday"/>
    <n v="6"/>
    <n v="9.0399999999999991"/>
    <x v="0"/>
    <x v="52"/>
    <s v="Male"/>
    <n v="69.599999999999994"/>
    <n v="163.69999999999999"/>
    <n v="23.9"/>
    <n v="19"/>
    <s v="CA"/>
    <n v="3"/>
    <n v="113.8"/>
    <s v="High"/>
    <n v="0"/>
    <s v="Multi-Day"/>
    <n v="0"/>
    <n v="0"/>
    <s v="Main Entrance"/>
    <s v="Mickey &amp; Friends"/>
    <n v="6.8"/>
    <n v="4"/>
    <x v="3254"/>
  </r>
  <r>
    <n v="3491"/>
    <n v="1147"/>
    <d v="2026-06-21T00:00:00"/>
    <s v="Sunday"/>
    <n v="6"/>
    <n v="9.34"/>
    <x v="0"/>
    <x v="18"/>
    <s v="Female"/>
    <n v="59.4"/>
    <n v="147.5"/>
    <n v="29.3"/>
    <n v="18"/>
    <s v="CA"/>
    <n v="3"/>
    <n v="113.8"/>
    <s v="High"/>
    <n v="0"/>
    <s v="Multi-Day"/>
    <n v="0"/>
    <n v="0"/>
    <s v="Main Entrance"/>
    <s v="Mickey &amp; Friends"/>
    <n v="6.8"/>
    <n v="5"/>
    <x v="3255"/>
  </r>
  <r>
    <n v="3492"/>
    <n v="1148"/>
    <d v="2026-06-12T00:00:00"/>
    <s v="Friday"/>
    <n v="6"/>
    <n v="11.92"/>
    <x v="1"/>
    <x v="42"/>
    <s v="Female"/>
    <n v="68.400000000000006"/>
    <n v="151.4"/>
    <n v="22.7"/>
    <n v="17"/>
    <s v="UT"/>
    <n v="2"/>
    <n v="830.4"/>
    <s v="Middle"/>
    <n v="0"/>
    <s v="Multi-Day"/>
    <n v="1"/>
    <n v="0"/>
    <s v="Main Entrance"/>
    <s v="Mickey &amp; Friends"/>
    <n v="8.6"/>
    <n v="10"/>
    <x v="3256"/>
  </r>
  <r>
    <n v="3493"/>
    <n v="1148"/>
    <d v="2026-06-12T00:00:00"/>
    <s v="Friday"/>
    <n v="6"/>
    <n v="11.66"/>
    <x v="1"/>
    <x v="7"/>
    <s v="Male"/>
    <n v="56.7"/>
    <n v="64.2"/>
    <n v="14.1"/>
    <n v="13"/>
    <s v="UT"/>
    <n v="2"/>
    <n v="830.4"/>
    <s v="Middle"/>
    <n v="0"/>
    <s v="Multi-Day"/>
    <n v="1"/>
    <n v="0"/>
    <s v="Main Entrance"/>
    <s v="Mickey &amp; Friends"/>
    <n v="8.1999999999999993"/>
    <n v="11"/>
    <x v="3257"/>
  </r>
  <r>
    <n v="3494"/>
    <n v="1149"/>
    <d v="2026-03-25T00:00:00"/>
    <s v="Wednesday"/>
    <n v="3"/>
    <n v="11.84"/>
    <x v="1"/>
    <x v="12"/>
    <s v="Female"/>
    <n v="63.8"/>
    <n v="124.7"/>
    <n v="21.5"/>
    <n v="10"/>
    <s v="Other"/>
    <n v="2"/>
    <n v="2101.5"/>
    <s v="Low"/>
    <n v="0"/>
    <s v="Park Hopper"/>
    <n v="1"/>
    <n v="1"/>
    <s v="Main Entrance"/>
    <s v="Mickey &amp; Friends"/>
    <n v="8.8000000000000007"/>
    <n v="8"/>
    <x v="3258"/>
  </r>
  <r>
    <n v="3495"/>
    <n v="1149"/>
    <d v="2026-03-25T00:00:00"/>
    <s v="Wednesday"/>
    <n v="3"/>
    <n v="11.57"/>
    <x v="1"/>
    <x v="4"/>
    <s v="Male"/>
    <n v="69"/>
    <n v="133.4"/>
    <n v="19.7"/>
    <n v="12"/>
    <s v="Other"/>
    <n v="2"/>
    <n v="2101.5"/>
    <s v="Low"/>
    <n v="0"/>
    <s v="Park Hopper"/>
    <n v="1"/>
    <n v="1"/>
    <s v="Main Entrance"/>
    <s v="Mickey &amp; Friends"/>
    <n v="10.199999999999999"/>
    <n v="14"/>
    <x v="3259"/>
  </r>
  <r>
    <n v="3496"/>
    <n v="1150"/>
    <d v="2026-11-25T00:00:00"/>
    <s v="Wednesday"/>
    <n v="11"/>
    <n v="9.5500000000000007"/>
    <x v="0"/>
    <x v="57"/>
    <s v="Female"/>
    <n v="61.7"/>
    <n v="204.9"/>
    <n v="37.6"/>
    <n v="14"/>
    <s v="CA"/>
    <n v="3"/>
    <n v="68.7"/>
    <s v="Middle"/>
    <n v="1"/>
    <s v="Single-Day"/>
    <n v="0"/>
    <n v="0"/>
    <s v="Downtown Disney Gate"/>
    <s v="Pixar Pals"/>
    <n v="9.4"/>
    <n v="14"/>
    <x v="980"/>
  </r>
  <r>
    <n v="3497"/>
    <n v="1150"/>
    <d v="2026-11-25T00:00:00"/>
    <s v="Wednesday"/>
    <n v="11"/>
    <n v="9.59"/>
    <x v="0"/>
    <x v="58"/>
    <s v="Male"/>
    <n v="64.599999999999994"/>
    <n v="136"/>
    <n v="22.7"/>
    <n v="17"/>
    <s v="CA"/>
    <n v="3"/>
    <n v="68.7"/>
    <s v="Middle"/>
    <n v="1"/>
    <s v="Single-Day"/>
    <n v="0"/>
    <n v="0"/>
    <s v="Downtown Disney Gate"/>
    <s v="Pixar Pals"/>
    <n v="10.4"/>
    <n v="8"/>
    <x v="3086"/>
  </r>
  <r>
    <n v="3498"/>
    <n v="1150"/>
    <d v="2026-11-25T00:00:00"/>
    <s v="Wednesday"/>
    <n v="11"/>
    <n v="9.59"/>
    <x v="0"/>
    <x v="53"/>
    <s v="Male"/>
    <n v="58.1"/>
    <n v="118.2"/>
    <n v="24.8"/>
    <n v="12"/>
    <s v="CA"/>
    <n v="3"/>
    <n v="68.7"/>
    <s v="Middle"/>
    <n v="1"/>
    <s v="Single-Day"/>
    <n v="0"/>
    <n v="0"/>
    <s v="Downtown Disney Gate"/>
    <s v="Pixar Pals"/>
    <n v="9.1"/>
    <n v="9"/>
    <x v="3260"/>
  </r>
  <r>
    <n v="3499"/>
    <n v="1151"/>
    <d v="2026-12-29T00:00:00"/>
    <s v="Tuesday"/>
    <n v="12"/>
    <n v="9.81"/>
    <x v="0"/>
    <x v="18"/>
    <s v="Male"/>
    <n v="71.900000000000006"/>
    <n v="130.6"/>
    <n v="17.600000000000001"/>
    <n v="12"/>
    <s v="CA"/>
    <n v="5"/>
    <n v="67.599999999999994"/>
    <s v="Low"/>
    <n v="1"/>
    <s v="Single-Day"/>
    <n v="0"/>
    <n v="0"/>
    <s v="Downtown Disney Gate"/>
    <s v="Toy Story Lot"/>
    <n v="8.6"/>
    <n v="6"/>
    <x v="3261"/>
  </r>
  <r>
    <n v="3500"/>
    <n v="1151"/>
    <d v="2026-12-29T00:00:00"/>
    <s v="Tuesday"/>
    <n v="12"/>
    <n v="9.86"/>
    <x v="0"/>
    <x v="45"/>
    <s v="Male"/>
    <n v="69.3"/>
    <n v="163.30000000000001"/>
    <n v="24"/>
    <n v="12"/>
    <s v="CA"/>
    <n v="5"/>
    <n v="67.599999999999994"/>
    <s v="Low"/>
    <n v="1"/>
    <s v="Single-Day"/>
    <n v="0"/>
    <n v="0"/>
    <s v="Downtown Disney Gate"/>
    <s v="Toy Story Lot"/>
    <n v="8"/>
    <n v="13"/>
    <x v="3262"/>
  </r>
  <r>
    <n v="3501"/>
    <n v="1151"/>
    <d v="2026-12-29T00:00:00"/>
    <s v="Tuesday"/>
    <n v="12"/>
    <n v="9.82"/>
    <x v="0"/>
    <x v="2"/>
    <s v="Male"/>
    <n v="72.8"/>
    <n v="213"/>
    <n v="28.2"/>
    <n v="12"/>
    <s v="CA"/>
    <n v="5"/>
    <n v="67.599999999999994"/>
    <s v="Low"/>
    <n v="1"/>
    <s v="Single-Day"/>
    <n v="0"/>
    <n v="0"/>
    <s v="Downtown Disney Gate"/>
    <s v="Toy Story Lot"/>
    <n v="8.6999999999999993"/>
    <n v="12"/>
    <x v="3263"/>
  </r>
  <r>
    <n v="3502"/>
    <n v="1151"/>
    <d v="2026-12-29T00:00:00"/>
    <s v="Tuesday"/>
    <n v="12"/>
    <n v="9.91"/>
    <x v="0"/>
    <x v="12"/>
    <s v="Female"/>
    <n v="65.3"/>
    <n v="142.6"/>
    <n v="23.8"/>
    <n v="9"/>
    <s v="CA"/>
    <n v="5"/>
    <n v="67.599999999999994"/>
    <s v="Low"/>
    <n v="1"/>
    <s v="Single-Day"/>
    <n v="0"/>
    <n v="0"/>
    <s v="Downtown Disney Gate"/>
    <s v="Toy Story Lot"/>
    <n v="6.9"/>
    <n v="1"/>
    <x v="3264"/>
  </r>
  <r>
    <n v="3503"/>
    <n v="1151"/>
    <d v="2026-12-29T00:00:00"/>
    <s v="Tuesday"/>
    <n v="12"/>
    <n v="9.8000000000000007"/>
    <x v="0"/>
    <x v="22"/>
    <s v="Female"/>
    <n v="61.7"/>
    <n v="107.6"/>
    <n v="19.899999999999999"/>
    <n v="10"/>
    <s v="CA"/>
    <n v="5"/>
    <n v="67.599999999999994"/>
    <s v="Low"/>
    <n v="1"/>
    <s v="Single-Day"/>
    <n v="0"/>
    <n v="0"/>
    <s v="Downtown Disney Gate"/>
    <s v="Toy Story Lot"/>
    <n v="9.8000000000000007"/>
    <n v="10"/>
    <x v="3265"/>
  </r>
  <r>
    <n v="3504"/>
    <n v="1152"/>
    <d v="2026-01-26T00:00:00"/>
    <s v="Monday"/>
    <n v="1"/>
    <n v="9.57"/>
    <x v="0"/>
    <x v="25"/>
    <s v="Male"/>
    <n v="74.8"/>
    <n v="167.8"/>
    <n v="21.2"/>
    <n v="16"/>
    <s v="NV"/>
    <n v="3"/>
    <n v="254.4"/>
    <s v="Low"/>
    <n v="0"/>
    <s v="Single-Day"/>
    <n v="1"/>
    <n v="0"/>
    <s v="Main Entrance"/>
    <s v="Toy Story Lot"/>
    <n v="7"/>
    <n v="10"/>
    <x v="3266"/>
  </r>
  <r>
    <n v="3505"/>
    <n v="1152"/>
    <d v="2026-01-26T00:00:00"/>
    <s v="Monday"/>
    <n v="1"/>
    <n v="9.8000000000000007"/>
    <x v="0"/>
    <x v="55"/>
    <s v="Male"/>
    <n v="63.2"/>
    <n v="170.4"/>
    <n v="30.1"/>
    <n v="13"/>
    <s v="NV"/>
    <n v="3"/>
    <n v="254.4"/>
    <s v="Low"/>
    <n v="0"/>
    <s v="Single-Day"/>
    <n v="1"/>
    <n v="0"/>
    <s v="Main Entrance"/>
    <s v="Toy Story Lot"/>
    <n v="11.8"/>
    <n v="18"/>
    <x v="3267"/>
  </r>
  <r>
    <n v="3506"/>
    <n v="1152"/>
    <d v="2026-01-26T00:00:00"/>
    <s v="Monday"/>
    <n v="1"/>
    <n v="9.9600000000000009"/>
    <x v="0"/>
    <x v="11"/>
    <s v="Male"/>
    <n v="68.400000000000006"/>
    <n v="173.8"/>
    <n v="26.2"/>
    <n v="12"/>
    <s v="NV"/>
    <n v="3"/>
    <n v="254.4"/>
    <s v="Low"/>
    <n v="0"/>
    <s v="Single-Day"/>
    <n v="1"/>
    <n v="0"/>
    <s v="Main Entrance"/>
    <s v="Toy Story Lot"/>
    <n v="7"/>
    <n v="6"/>
    <x v="3268"/>
  </r>
  <r>
    <n v="3507"/>
    <n v="1153"/>
    <d v="2026-01-02T00:00:00"/>
    <s v="Friday"/>
    <n v="1"/>
    <n v="9.4700000000000006"/>
    <x v="0"/>
    <x v="39"/>
    <s v="Male"/>
    <n v="67.5"/>
    <n v="197.9"/>
    <n v="30.8"/>
    <n v="11"/>
    <s v="CA"/>
    <n v="3"/>
    <n v="133.6"/>
    <s v="Low"/>
    <n v="0"/>
    <s v="Single-Day"/>
    <n v="0"/>
    <n v="0"/>
    <s v="Main Entrance"/>
    <s v="Toy Story Lot"/>
    <n v="9"/>
    <n v="11"/>
    <x v="3269"/>
  </r>
  <r>
    <n v="3508"/>
    <n v="1153"/>
    <d v="2026-01-02T00:00:00"/>
    <s v="Friday"/>
    <n v="1"/>
    <n v="9.56"/>
    <x v="0"/>
    <x v="60"/>
    <s v="Female"/>
    <n v="61.6"/>
    <n v="98.6"/>
    <n v="18.3"/>
    <n v="16"/>
    <s v="CA"/>
    <n v="3"/>
    <n v="133.6"/>
    <s v="Low"/>
    <n v="0"/>
    <s v="Single-Day"/>
    <n v="0"/>
    <n v="0"/>
    <s v="Main Entrance"/>
    <s v="Toy Story Lot"/>
    <n v="8.5"/>
    <n v="15"/>
    <x v="3270"/>
  </r>
  <r>
    <n v="3509"/>
    <n v="1153"/>
    <d v="2026-01-02T00:00:00"/>
    <s v="Friday"/>
    <n v="1"/>
    <n v="9.43"/>
    <x v="0"/>
    <x v="34"/>
    <s v="Female"/>
    <n v="64.400000000000006"/>
    <n v="136.9"/>
    <n v="23.3"/>
    <n v="14"/>
    <s v="CA"/>
    <n v="3"/>
    <n v="133.6"/>
    <s v="Low"/>
    <n v="0"/>
    <s v="Single-Day"/>
    <n v="0"/>
    <n v="0"/>
    <s v="Main Entrance"/>
    <s v="Toy Story Lot"/>
    <n v="9.1999999999999993"/>
    <n v="9"/>
    <x v="3271"/>
  </r>
  <r>
    <n v="3510"/>
    <n v="1154"/>
    <d v="2026-12-21T00:00:00"/>
    <s v="Monday"/>
    <n v="12"/>
    <n v="9.89"/>
    <x v="0"/>
    <x v="32"/>
    <s v="Female"/>
    <n v="60.6"/>
    <n v="77.2"/>
    <n v="14.8"/>
    <n v="12"/>
    <s v="FL"/>
    <n v="2"/>
    <n v="3004.2"/>
    <s v="Middle"/>
    <n v="1"/>
    <s v="Park Hopper"/>
    <n v="1"/>
    <n v="0"/>
    <s v="Main Entrance"/>
    <s v="Toy Story Lot"/>
    <n v="8"/>
    <n v="7"/>
    <x v="3272"/>
  </r>
  <r>
    <n v="3511"/>
    <n v="1154"/>
    <d v="2026-12-21T00:00:00"/>
    <s v="Monday"/>
    <n v="12"/>
    <n v="9.9600000000000009"/>
    <x v="0"/>
    <x v="10"/>
    <s v="Male"/>
    <n v="71.5"/>
    <n v="208.1"/>
    <n v="28.8"/>
    <n v="13"/>
    <s v="FL"/>
    <n v="2"/>
    <n v="3004.2"/>
    <s v="Middle"/>
    <n v="1"/>
    <s v="Park Hopper"/>
    <n v="1"/>
    <n v="0"/>
    <s v="Main Entrance"/>
    <s v="Toy Story Lot"/>
    <n v="6.4"/>
    <n v="10"/>
    <x v="3273"/>
  </r>
  <r>
    <n v="3512"/>
    <n v="1155"/>
    <d v="2026-08-05T00:00:00"/>
    <s v="Wednesday"/>
    <n v="8"/>
    <n v="9.33"/>
    <x v="0"/>
    <x v="55"/>
    <s v="Female"/>
    <n v="66.099999999999994"/>
    <n v="184.7"/>
    <n v="30"/>
    <n v="15"/>
    <s v="CA"/>
    <n v="6"/>
    <n v="24.4"/>
    <s v="Middle"/>
    <n v="1"/>
    <s v="Single-Day"/>
    <n v="1"/>
    <n v="0"/>
    <s v="Main Entrance"/>
    <s v="Pixar Pals"/>
    <n v="7.4"/>
    <n v="14"/>
    <x v="3274"/>
  </r>
  <r>
    <n v="3513"/>
    <n v="1155"/>
    <d v="2026-08-05T00:00:00"/>
    <s v="Wednesday"/>
    <n v="8"/>
    <n v="9.5"/>
    <x v="0"/>
    <x v="22"/>
    <s v="Male"/>
    <n v="60.5"/>
    <n v="121.8"/>
    <n v="23.4"/>
    <n v="13"/>
    <s v="CA"/>
    <n v="6"/>
    <n v="24.4"/>
    <s v="Middle"/>
    <n v="1"/>
    <s v="Single-Day"/>
    <n v="1"/>
    <n v="0"/>
    <s v="Main Entrance"/>
    <s v="Pixar Pals"/>
    <n v="6.5"/>
    <n v="6"/>
    <x v="3275"/>
  </r>
  <r>
    <n v="3514"/>
    <n v="1155"/>
    <d v="2026-08-05T00:00:00"/>
    <s v="Wednesday"/>
    <n v="8"/>
    <n v="9.2100000000000009"/>
    <x v="0"/>
    <x v="18"/>
    <s v="Male"/>
    <n v="70.400000000000006"/>
    <n v="180.8"/>
    <n v="25.4"/>
    <n v="14"/>
    <s v="CA"/>
    <n v="6"/>
    <n v="24.4"/>
    <s v="Middle"/>
    <n v="1"/>
    <s v="Single-Day"/>
    <n v="1"/>
    <n v="0"/>
    <s v="Main Entrance"/>
    <s v="Pixar Pals"/>
    <n v="6"/>
    <n v="11"/>
    <x v="3276"/>
  </r>
  <r>
    <n v="3515"/>
    <n v="1155"/>
    <d v="2026-08-05T00:00:00"/>
    <s v="Wednesday"/>
    <n v="8"/>
    <n v="9.1999999999999993"/>
    <x v="0"/>
    <x v="64"/>
    <s v="Female"/>
    <n v="53.8"/>
    <n v="81.2"/>
    <n v="19.5"/>
    <n v="12"/>
    <s v="CA"/>
    <n v="6"/>
    <n v="24.4"/>
    <s v="Middle"/>
    <n v="1"/>
    <s v="Single-Day"/>
    <n v="1"/>
    <n v="0"/>
    <s v="Main Entrance"/>
    <s v="Pixar Pals"/>
    <n v="8.1"/>
    <n v="7"/>
    <x v="3277"/>
  </r>
  <r>
    <n v="3516"/>
    <n v="1155"/>
    <d v="2026-08-05T00:00:00"/>
    <s v="Wednesday"/>
    <n v="8"/>
    <n v="9.43"/>
    <x v="0"/>
    <x v="27"/>
    <s v="Female"/>
    <n v="64.5"/>
    <n v="157.6"/>
    <n v="26.6"/>
    <n v="14"/>
    <s v="CA"/>
    <n v="6"/>
    <n v="24.4"/>
    <s v="Middle"/>
    <n v="1"/>
    <s v="Single-Day"/>
    <n v="1"/>
    <n v="0"/>
    <s v="Main Entrance"/>
    <s v="Pixar Pals"/>
    <n v="8.6999999999999993"/>
    <n v="12"/>
    <x v="3278"/>
  </r>
  <r>
    <n v="3517"/>
    <n v="1155"/>
    <d v="2026-08-05T00:00:00"/>
    <s v="Wednesday"/>
    <n v="8"/>
    <n v="9.4600000000000009"/>
    <x v="0"/>
    <x v="12"/>
    <s v="Male"/>
    <n v="63"/>
    <n v="108.8"/>
    <n v="19.100000000000001"/>
    <n v="14"/>
    <s v="CA"/>
    <n v="6"/>
    <n v="24.4"/>
    <s v="Middle"/>
    <n v="1"/>
    <s v="Single-Day"/>
    <n v="1"/>
    <n v="0"/>
    <s v="Main Entrance"/>
    <s v="Pixar Pals"/>
    <n v="9.5"/>
    <n v="7"/>
    <x v="3279"/>
  </r>
  <r>
    <n v="3518"/>
    <n v="1156"/>
    <d v="2026-07-26T00:00:00"/>
    <s v="Sunday"/>
    <n v="7"/>
    <n v="11.02"/>
    <x v="1"/>
    <x v="0"/>
    <s v="Male"/>
    <n v="75.7"/>
    <n v="195.1"/>
    <n v="24"/>
    <n v="13"/>
    <s v="TX"/>
    <n v="4"/>
    <n v="1659.2"/>
    <s v="Middle"/>
    <n v="1"/>
    <s v="Single-Day"/>
    <n v="0"/>
    <n v="0"/>
    <s v="Main Entrance"/>
    <s v="Toy Story Lot"/>
    <n v="5.0999999999999996"/>
    <n v="2"/>
    <x v="3280"/>
  </r>
  <r>
    <n v="3519"/>
    <n v="1156"/>
    <d v="2026-07-26T00:00:00"/>
    <s v="Sunday"/>
    <n v="7"/>
    <n v="11.01"/>
    <x v="1"/>
    <x v="7"/>
    <s v="Male"/>
    <n v="55"/>
    <n v="84.3"/>
    <n v="19.8"/>
    <n v="13"/>
    <s v="TX"/>
    <n v="4"/>
    <n v="1659.2"/>
    <s v="Middle"/>
    <n v="1"/>
    <s v="Single-Day"/>
    <n v="0"/>
    <n v="0"/>
    <s v="Main Entrance"/>
    <s v="Toy Story Lot"/>
    <n v="8.8000000000000007"/>
    <n v="6"/>
    <x v="113"/>
  </r>
  <r>
    <n v="3520"/>
    <n v="1156"/>
    <d v="2026-07-26T00:00:00"/>
    <s v="Sunday"/>
    <n v="7"/>
    <n v="11.26"/>
    <x v="1"/>
    <x v="20"/>
    <s v="Female"/>
    <n v="70"/>
    <n v="156.30000000000001"/>
    <n v="22.3"/>
    <n v="13"/>
    <s v="TX"/>
    <n v="4"/>
    <n v="1659.2"/>
    <s v="Middle"/>
    <n v="1"/>
    <s v="Single-Day"/>
    <n v="0"/>
    <n v="0"/>
    <s v="Main Entrance"/>
    <s v="Toy Story Lot"/>
    <n v="10.5"/>
    <n v="5"/>
    <x v="3281"/>
  </r>
  <r>
    <n v="3521"/>
    <n v="1156"/>
    <d v="2026-07-26T00:00:00"/>
    <s v="Sunday"/>
    <n v="7"/>
    <n v="11.32"/>
    <x v="1"/>
    <x v="58"/>
    <s v="Male"/>
    <n v="67.099999999999994"/>
    <n v="169.7"/>
    <n v="26.5"/>
    <n v="15"/>
    <s v="TX"/>
    <n v="4"/>
    <n v="1659.2"/>
    <s v="Middle"/>
    <n v="1"/>
    <s v="Single-Day"/>
    <n v="0"/>
    <n v="0"/>
    <s v="Main Entrance"/>
    <s v="Toy Story Lot"/>
    <n v="9"/>
    <n v="9"/>
    <x v="3282"/>
  </r>
  <r>
    <n v="3522"/>
    <n v="1157"/>
    <d v="2026-09-10T00:00:00"/>
    <s v="Thursday"/>
    <n v="9"/>
    <n v="8.66"/>
    <x v="0"/>
    <x v="18"/>
    <s v="Female"/>
    <n v="66.400000000000006"/>
    <n v="154.5"/>
    <n v="24.7"/>
    <n v="15"/>
    <s v="UT"/>
    <n v="3"/>
    <n v="1178.9000000000001"/>
    <s v="Middle"/>
    <n v="1"/>
    <s v="Multi-Day"/>
    <n v="0"/>
    <n v="1"/>
    <s v="Main Entrance"/>
    <s v="Pixar Pals"/>
    <n v="9.9"/>
    <n v="16"/>
    <x v="3283"/>
  </r>
  <r>
    <n v="3523"/>
    <n v="1157"/>
    <d v="2026-09-10T00:00:00"/>
    <s v="Thursday"/>
    <n v="9"/>
    <n v="8.4499999999999993"/>
    <x v="0"/>
    <x v="79"/>
    <s v="Female"/>
    <n v="63.7"/>
    <n v="159.6"/>
    <n v="27.7"/>
    <n v="15"/>
    <s v="UT"/>
    <n v="3"/>
    <n v="1178.9000000000001"/>
    <s v="Middle"/>
    <n v="1"/>
    <s v="Multi-Day"/>
    <n v="0"/>
    <n v="1"/>
    <s v="Main Entrance"/>
    <s v="Pixar Pals"/>
    <n v="8.4"/>
    <n v="9"/>
    <x v="3284"/>
  </r>
  <r>
    <n v="3524"/>
    <n v="1157"/>
    <d v="2026-09-10T00:00:00"/>
    <s v="Thursday"/>
    <n v="9"/>
    <n v="8.2799999999999994"/>
    <x v="0"/>
    <x v="1"/>
    <s v="Female"/>
    <n v="65.900000000000006"/>
    <n v="107.9"/>
    <n v="17.399999999999999"/>
    <n v="15"/>
    <s v="UT"/>
    <n v="3"/>
    <n v="1178.9000000000001"/>
    <s v="Middle"/>
    <n v="1"/>
    <s v="Multi-Day"/>
    <n v="0"/>
    <n v="1"/>
    <s v="Main Entrance"/>
    <s v="Pixar Pals"/>
    <n v="11.5"/>
    <n v="12"/>
    <x v="3285"/>
  </r>
  <r>
    <n v="3525"/>
    <n v="1158"/>
    <d v="2026-03-19T00:00:00"/>
    <s v="Thursday"/>
    <n v="3"/>
    <n v="12.05"/>
    <x v="1"/>
    <x v="3"/>
    <s v="Male"/>
    <n v="70.7"/>
    <n v="160.80000000000001"/>
    <n v="22.5"/>
    <n v="14"/>
    <s v="TX"/>
    <n v="5"/>
    <n v="1304"/>
    <s v="Low"/>
    <n v="1"/>
    <s v="Single-Day"/>
    <n v="0"/>
    <n v="0"/>
    <s v="Main Entrance"/>
    <s v="Toy Story Lot"/>
    <n v="8.6"/>
    <n v="7"/>
    <x v="3286"/>
  </r>
  <r>
    <n v="3526"/>
    <n v="1158"/>
    <d v="2026-03-19T00:00:00"/>
    <s v="Thursday"/>
    <n v="3"/>
    <n v="12.23"/>
    <x v="1"/>
    <x v="42"/>
    <s v="Male"/>
    <n v="73.3"/>
    <n v="193.1"/>
    <n v="25.2"/>
    <n v="15"/>
    <s v="TX"/>
    <n v="5"/>
    <n v="1304"/>
    <s v="Low"/>
    <n v="1"/>
    <s v="Single-Day"/>
    <n v="0"/>
    <n v="0"/>
    <s v="Main Entrance"/>
    <s v="Toy Story Lot"/>
    <n v="5.9"/>
    <n v="5"/>
    <x v="3287"/>
  </r>
  <r>
    <n v="3527"/>
    <n v="1158"/>
    <d v="2026-03-19T00:00:00"/>
    <s v="Thursday"/>
    <n v="3"/>
    <n v="12.22"/>
    <x v="1"/>
    <x v="43"/>
    <s v="Female"/>
    <n v="62"/>
    <n v="174.6"/>
    <n v="31.7"/>
    <n v="13"/>
    <s v="TX"/>
    <n v="5"/>
    <n v="1304"/>
    <s v="Low"/>
    <n v="1"/>
    <s v="Single-Day"/>
    <n v="0"/>
    <n v="0"/>
    <s v="Main Entrance"/>
    <s v="Toy Story Lot"/>
    <n v="10.8"/>
    <n v="12"/>
    <x v="3288"/>
  </r>
  <r>
    <n v="3528"/>
    <n v="1158"/>
    <d v="2026-03-19T00:00:00"/>
    <s v="Thursday"/>
    <n v="3"/>
    <n v="12.17"/>
    <x v="1"/>
    <x v="38"/>
    <s v="Nonbinary/Other"/>
    <n v="67.400000000000006"/>
    <n v="167.4"/>
    <n v="25.7"/>
    <n v="10"/>
    <s v="TX"/>
    <n v="5"/>
    <n v="1304"/>
    <s v="Low"/>
    <n v="1"/>
    <s v="Single-Day"/>
    <n v="0"/>
    <n v="0"/>
    <s v="Main Entrance"/>
    <s v="Toy Story Lot"/>
    <n v="8.6"/>
    <n v="10"/>
    <x v="3289"/>
  </r>
  <r>
    <n v="3529"/>
    <n v="1158"/>
    <d v="2026-03-19T00:00:00"/>
    <s v="Thursday"/>
    <n v="3"/>
    <n v="11.99"/>
    <x v="1"/>
    <x v="23"/>
    <s v="Female"/>
    <n v="65.3"/>
    <n v="161.6"/>
    <n v="26.6"/>
    <n v="13"/>
    <s v="TX"/>
    <n v="5"/>
    <n v="1304"/>
    <s v="Low"/>
    <n v="1"/>
    <s v="Single-Day"/>
    <n v="0"/>
    <n v="0"/>
    <s v="Main Entrance"/>
    <s v="Toy Story Lot"/>
    <n v="6.6"/>
    <n v="7"/>
    <x v="3290"/>
  </r>
  <r>
    <n v="3530"/>
    <n v="1159"/>
    <d v="2026-01-10T00:00:00"/>
    <s v="Saturday"/>
    <n v="1"/>
    <n v="13.09"/>
    <x v="1"/>
    <x v="18"/>
    <s v="Male"/>
    <n v="74.3"/>
    <n v="232.7"/>
    <n v="29.6"/>
    <n v="16"/>
    <s v="CA"/>
    <n v="1"/>
    <n v="181.5"/>
    <s v="High"/>
    <n v="1"/>
    <s v="Single-Day"/>
    <n v="0"/>
    <n v="1"/>
    <s v="Main Entrance"/>
    <s v="None/Walked from Resort"/>
    <n v="10.3"/>
    <n v="16"/>
    <x v="3291"/>
  </r>
  <r>
    <n v="3531"/>
    <n v="1160"/>
    <d v="2026-04-02T00:00:00"/>
    <s v="Thursday"/>
    <n v="4"/>
    <n v="8.32"/>
    <x v="0"/>
    <x v="2"/>
    <s v="Female"/>
    <n v="65.099999999999994"/>
    <n v="180.7"/>
    <n v="29.9"/>
    <n v="17"/>
    <s v="CA"/>
    <n v="6"/>
    <n v="96"/>
    <s v="High"/>
    <n v="0"/>
    <s v="Single-Day"/>
    <n v="1"/>
    <n v="0"/>
    <s v="Main Entrance"/>
    <s v="Toy Story Lot"/>
    <n v="9.6999999999999993"/>
    <n v="5"/>
    <x v="3292"/>
  </r>
  <r>
    <n v="3532"/>
    <n v="1160"/>
    <d v="2026-04-02T00:00:00"/>
    <s v="Thursday"/>
    <n v="4"/>
    <n v="8.51"/>
    <x v="0"/>
    <x v="47"/>
    <s v="Female"/>
    <n v="64.400000000000006"/>
    <n v="158.69999999999999"/>
    <n v="26.9"/>
    <n v="18"/>
    <s v="CA"/>
    <n v="6"/>
    <n v="96"/>
    <s v="High"/>
    <n v="0"/>
    <s v="Single-Day"/>
    <n v="1"/>
    <n v="0"/>
    <s v="Main Entrance"/>
    <s v="Toy Story Lot"/>
    <n v="11.2"/>
    <n v="16"/>
    <x v="3293"/>
  </r>
  <r>
    <n v="3533"/>
    <n v="1160"/>
    <d v="2026-04-02T00:00:00"/>
    <s v="Thursday"/>
    <n v="4"/>
    <n v="8.43"/>
    <x v="0"/>
    <x v="50"/>
    <s v="Female"/>
    <n v="63.7"/>
    <n v="137.19999999999999"/>
    <n v="23.6"/>
    <n v="17"/>
    <s v="CA"/>
    <n v="6"/>
    <n v="96"/>
    <s v="High"/>
    <n v="0"/>
    <s v="Single-Day"/>
    <n v="1"/>
    <n v="0"/>
    <s v="Main Entrance"/>
    <s v="Toy Story Lot"/>
    <n v="9.9"/>
    <n v="16"/>
    <x v="3294"/>
  </r>
  <r>
    <n v="3534"/>
    <n v="1160"/>
    <d v="2026-04-02T00:00:00"/>
    <s v="Thursday"/>
    <n v="4"/>
    <n v="8.1999999999999993"/>
    <x v="0"/>
    <x v="38"/>
    <s v="Female"/>
    <n v="60.7"/>
    <n v="140.4"/>
    <n v="27.1"/>
    <n v="15"/>
    <s v="CA"/>
    <n v="6"/>
    <n v="96"/>
    <s v="High"/>
    <n v="0"/>
    <s v="Single-Day"/>
    <n v="1"/>
    <n v="0"/>
    <s v="Main Entrance"/>
    <s v="Toy Story Lot"/>
    <n v="5.7"/>
    <n v="6"/>
    <x v="3295"/>
  </r>
  <r>
    <n v="3535"/>
    <n v="1160"/>
    <d v="2026-04-02T00:00:00"/>
    <s v="Thursday"/>
    <n v="4"/>
    <n v="8.4600000000000009"/>
    <x v="0"/>
    <x v="5"/>
    <s v="Male"/>
    <n v="64.900000000000006"/>
    <n v="134.9"/>
    <n v="22.5"/>
    <n v="17"/>
    <s v="CA"/>
    <n v="6"/>
    <n v="96"/>
    <s v="High"/>
    <n v="0"/>
    <s v="Single-Day"/>
    <n v="1"/>
    <n v="0"/>
    <s v="Main Entrance"/>
    <s v="Toy Story Lot"/>
    <n v="10.4"/>
    <n v="11"/>
    <x v="3296"/>
  </r>
  <r>
    <n v="3536"/>
    <n v="1160"/>
    <d v="2026-04-02T00:00:00"/>
    <s v="Thursday"/>
    <n v="4"/>
    <n v="8.5"/>
    <x v="0"/>
    <x v="39"/>
    <s v="Female"/>
    <n v="65.099999999999994"/>
    <n v="120"/>
    <n v="19.7"/>
    <n v="19"/>
    <s v="CA"/>
    <n v="6"/>
    <n v="96"/>
    <s v="High"/>
    <n v="0"/>
    <s v="Single-Day"/>
    <n v="1"/>
    <n v="0"/>
    <s v="Main Entrance"/>
    <s v="Toy Story Lot"/>
    <n v="6.9"/>
    <n v="6"/>
    <x v="3297"/>
  </r>
  <r>
    <n v="3537"/>
    <n v="1161"/>
    <d v="2026-10-13T00:00:00"/>
    <s v="Tuesday"/>
    <n v="10"/>
    <n v="10.93"/>
    <x v="0"/>
    <x v="10"/>
    <s v="Female"/>
    <n v="69.099999999999994"/>
    <n v="191.9"/>
    <n v="28.3"/>
    <n v="12"/>
    <s v="Other"/>
    <n v="3"/>
    <n v="1583.5"/>
    <s v="Low"/>
    <n v="0"/>
    <s v="Single-Day"/>
    <n v="0"/>
    <n v="0"/>
    <s v="Main Entrance"/>
    <s v="Mickey &amp; Friends"/>
    <n v="7.5"/>
    <n v="10"/>
    <x v="3298"/>
  </r>
  <r>
    <n v="3538"/>
    <n v="1161"/>
    <d v="2026-10-13T00:00:00"/>
    <s v="Tuesday"/>
    <n v="10"/>
    <n v="10.91"/>
    <x v="0"/>
    <x v="10"/>
    <s v="Male"/>
    <n v="65.5"/>
    <n v="139.4"/>
    <n v="22.8"/>
    <n v="14"/>
    <s v="Other"/>
    <n v="3"/>
    <n v="1583.5"/>
    <s v="Low"/>
    <n v="0"/>
    <s v="Single-Day"/>
    <n v="0"/>
    <n v="0"/>
    <s v="Main Entrance"/>
    <s v="Mickey &amp; Friends"/>
    <n v="6.9"/>
    <n v="7"/>
    <x v="3299"/>
  </r>
  <r>
    <n v="3539"/>
    <n v="1161"/>
    <d v="2026-10-13T00:00:00"/>
    <s v="Tuesday"/>
    <n v="10"/>
    <n v="11.16"/>
    <x v="1"/>
    <x v="23"/>
    <s v="Male"/>
    <n v="62.7"/>
    <n v="150.4"/>
    <n v="26.8"/>
    <n v="15"/>
    <s v="Other"/>
    <n v="3"/>
    <n v="1583.5"/>
    <s v="Low"/>
    <n v="0"/>
    <s v="Single-Day"/>
    <n v="0"/>
    <n v="0"/>
    <s v="Main Entrance"/>
    <s v="Mickey &amp; Friends"/>
    <n v="6.8"/>
    <n v="8"/>
    <x v="329"/>
  </r>
  <r>
    <n v="3540"/>
    <n v="1162"/>
    <d v="2026-07-21T00:00:00"/>
    <s v="Tuesday"/>
    <n v="7"/>
    <n v="10.07"/>
    <x v="0"/>
    <x v="44"/>
    <s v="Female"/>
    <n v="64.8"/>
    <n v="168"/>
    <n v="28"/>
    <n v="14"/>
    <s v="CA"/>
    <n v="1"/>
    <n v="89.4"/>
    <s v="Middle"/>
    <n v="1"/>
    <s v="Single-Day"/>
    <n v="0"/>
    <n v="0"/>
    <s v="Main Entrance"/>
    <s v="Pixar Pals"/>
    <n v="8.5"/>
    <n v="6"/>
    <x v="3300"/>
  </r>
  <r>
    <n v="3541"/>
    <n v="1163"/>
    <d v="2026-11-24T00:00:00"/>
    <s v="Tuesday"/>
    <n v="11"/>
    <n v="8.9"/>
    <x v="0"/>
    <x v="40"/>
    <s v="Female"/>
    <n v="58.2"/>
    <n v="89.1"/>
    <n v="18.5"/>
    <n v="13"/>
    <s v="CA"/>
    <n v="6"/>
    <n v="134.4"/>
    <s v="High"/>
    <n v="1"/>
    <s v="Single-Day"/>
    <n v="1"/>
    <n v="0"/>
    <s v="Main Entrance"/>
    <s v="Mickey &amp; Friends"/>
    <n v="7"/>
    <n v="4"/>
    <x v="2483"/>
  </r>
  <r>
    <n v="3542"/>
    <n v="1163"/>
    <d v="2026-11-24T00:00:00"/>
    <s v="Tuesday"/>
    <n v="11"/>
    <n v="9.11"/>
    <x v="0"/>
    <x v="64"/>
    <s v="Male"/>
    <n v="47.2"/>
    <n v="62"/>
    <n v="19.7"/>
    <n v="13"/>
    <s v="CA"/>
    <n v="6"/>
    <n v="134.4"/>
    <s v="High"/>
    <n v="1"/>
    <s v="Single-Day"/>
    <n v="1"/>
    <n v="0"/>
    <s v="Main Entrance"/>
    <s v="Mickey &amp; Friends"/>
    <n v="8.6999999999999993"/>
    <n v="9"/>
    <x v="3301"/>
  </r>
  <r>
    <n v="3543"/>
    <n v="1163"/>
    <d v="2026-11-24T00:00:00"/>
    <s v="Tuesday"/>
    <n v="11"/>
    <n v="8.89"/>
    <x v="0"/>
    <x v="11"/>
    <s v="Female"/>
    <n v="65"/>
    <n v="182.2"/>
    <n v="30"/>
    <n v="21"/>
    <s v="CA"/>
    <n v="6"/>
    <n v="134.4"/>
    <s v="High"/>
    <n v="1"/>
    <s v="Single-Day"/>
    <n v="1"/>
    <n v="0"/>
    <s v="Main Entrance"/>
    <s v="Mickey &amp; Friends"/>
    <n v="8"/>
    <n v="8"/>
    <x v="3302"/>
  </r>
  <r>
    <n v="3544"/>
    <n v="1163"/>
    <d v="2026-11-24T00:00:00"/>
    <s v="Tuesday"/>
    <n v="11"/>
    <n v="8.99"/>
    <x v="0"/>
    <x v="9"/>
    <s v="Female"/>
    <n v="69.3"/>
    <n v="180.7"/>
    <n v="26.6"/>
    <n v="16"/>
    <s v="CA"/>
    <n v="6"/>
    <n v="134.4"/>
    <s v="High"/>
    <n v="1"/>
    <s v="Single-Day"/>
    <n v="1"/>
    <n v="0"/>
    <s v="Main Entrance"/>
    <s v="Mickey &amp; Friends"/>
    <n v="8.4"/>
    <n v="6"/>
    <x v="3303"/>
  </r>
  <r>
    <n v="3545"/>
    <n v="1163"/>
    <d v="2026-11-24T00:00:00"/>
    <s v="Tuesday"/>
    <n v="11"/>
    <n v="9.1"/>
    <x v="0"/>
    <x v="48"/>
    <s v="Female"/>
    <n v="71"/>
    <n v="182"/>
    <n v="25.2"/>
    <n v="20"/>
    <s v="CA"/>
    <n v="6"/>
    <n v="134.4"/>
    <s v="High"/>
    <n v="1"/>
    <s v="Single-Day"/>
    <n v="1"/>
    <n v="0"/>
    <s v="Main Entrance"/>
    <s v="Mickey &amp; Friends"/>
    <n v="7.3"/>
    <n v="7"/>
    <x v="2934"/>
  </r>
  <r>
    <n v="3546"/>
    <n v="1163"/>
    <d v="2026-11-24T00:00:00"/>
    <s v="Tuesday"/>
    <n v="11"/>
    <n v="9.16"/>
    <x v="0"/>
    <x v="81"/>
    <s v="Male"/>
    <n v="68.900000000000006"/>
    <n v="175.7"/>
    <n v="25.8"/>
    <n v="18"/>
    <s v="CA"/>
    <n v="6"/>
    <n v="134.4"/>
    <s v="High"/>
    <n v="1"/>
    <s v="Single-Day"/>
    <n v="1"/>
    <n v="0"/>
    <s v="Main Entrance"/>
    <s v="Mickey &amp; Friends"/>
    <n v="11"/>
    <n v="8"/>
    <x v="1304"/>
  </r>
  <r>
    <n v="3547"/>
    <n v="1164"/>
    <d v="2026-03-28T00:00:00"/>
    <s v="Saturday"/>
    <n v="3"/>
    <n v="10.72"/>
    <x v="0"/>
    <x v="17"/>
    <s v="Male"/>
    <n v="74.400000000000006"/>
    <n v="150"/>
    <n v="19.100000000000001"/>
    <n v="17"/>
    <s v="NV"/>
    <n v="1"/>
    <n v="146.1"/>
    <s v="High"/>
    <n v="1"/>
    <s v="Single-Day"/>
    <n v="0"/>
    <n v="0"/>
    <s v="Downtown Disney Gate"/>
    <s v="Pixar Pals"/>
    <n v="10.5"/>
    <n v="8"/>
    <x v="3304"/>
  </r>
  <r>
    <n v="3548"/>
    <n v="1165"/>
    <d v="2026-12-31T00:00:00"/>
    <s v="Thursday"/>
    <n v="12"/>
    <n v="9.99"/>
    <x v="0"/>
    <x v="56"/>
    <s v="Male"/>
    <n v="74.8"/>
    <n v="150.30000000000001"/>
    <n v="18.7"/>
    <n v="11"/>
    <s v="SD"/>
    <n v="3"/>
    <n v="1283.7"/>
    <s v="Middle"/>
    <n v="1"/>
    <s v="Multi-Day"/>
    <n v="0"/>
    <n v="1"/>
    <s v="Hotel Guest Entrance"/>
    <s v="None/Walked from Resort"/>
    <n v="8.1999999999999993"/>
    <n v="12"/>
    <x v="3305"/>
  </r>
  <r>
    <n v="3549"/>
    <n v="1165"/>
    <d v="2026-12-31T00:00:00"/>
    <s v="Thursday"/>
    <n v="12"/>
    <n v="10.029999999999999"/>
    <x v="0"/>
    <x v="2"/>
    <s v="Male"/>
    <n v="71.099999999999994"/>
    <n v="211.5"/>
    <n v="29.4"/>
    <n v="14"/>
    <s v="SD"/>
    <n v="3"/>
    <n v="1283.7"/>
    <s v="Middle"/>
    <n v="1"/>
    <s v="Multi-Day"/>
    <n v="0"/>
    <n v="1"/>
    <s v="Hotel Guest Entrance"/>
    <s v="None/Walked from Resort"/>
    <n v="11.4"/>
    <n v="8"/>
    <x v="3306"/>
  </r>
  <r>
    <n v="3550"/>
    <n v="1165"/>
    <d v="2026-12-31T00:00:00"/>
    <s v="Thursday"/>
    <n v="12"/>
    <n v="9.93"/>
    <x v="0"/>
    <x v="33"/>
    <s v="Female"/>
    <n v="62"/>
    <n v="185.5"/>
    <n v="33.6"/>
    <n v="13"/>
    <s v="SD"/>
    <n v="3"/>
    <n v="1283.7"/>
    <s v="Middle"/>
    <n v="1"/>
    <s v="Multi-Day"/>
    <n v="0"/>
    <n v="1"/>
    <s v="Hotel Guest Entrance"/>
    <s v="None/Walked from Resort"/>
    <n v="12"/>
    <n v="10"/>
    <x v="3307"/>
  </r>
  <r>
    <n v="3551"/>
    <n v="1166"/>
    <d v="2026-09-19T00:00:00"/>
    <s v="Saturday"/>
    <n v="9"/>
    <n v="10.88"/>
    <x v="0"/>
    <x v="13"/>
    <s v="Male"/>
    <n v="73.8"/>
    <n v="281.60000000000002"/>
    <n v="36.299999999999997"/>
    <n v="17"/>
    <s v="AZ"/>
    <n v="3"/>
    <n v="523.1"/>
    <s v="High"/>
    <n v="1"/>
    <s v="Multi-Day"/>
    <n v="1"/>
    <n v="0"/>
    <s v="Main Entrance"/>
    <s v="Toy Story Lot"/>
    <n v="6.1"/>
    <n v="6"/>
    <x v="3308"/>
  </r>
  <r>
    <n v="3552"/>
    <n v="1166"/>
    <d v="2026-09-19T00:00:00"/>
    <s v="Saturday"/>
    <n v="9"/>
    <n v="10.76"/>
    <x v="0"/>
    <x v="48"/>
    <s v="Female"/>
    <n v="61.8"/>
    <n v="140.9"/>
    <n v="26.2"/>
    <n v="19"/>
    <s v="AZ"/>
    <n v="3"/>
    <n v="523.1"/>
    <s v="High"/>
    <n v="1"/>
    <s v="Multi-Day"/>
    <n v="1"/>
    <n v="0"/>
    <s v="Main Entrance"/>
    <s v="Toy Story Lot"/>
    <n v="7.8"/>
    <n v="9"/>
    <x v="3309"/>
  </r>
  <r>
    <n v="3553"/>
    <n v="1166"/>
    <d v="2026-09-19T00:00:00"/>
    <s v="Saturday"/>
    <n v="9"/>
    <n v="10.93"/>
    <x v="0"/>
    <x v="51"/>
    <s v="Male"/>
    <n v="67.099999999999994"/>
    <n v="113.8"/>
    <n v="17.3"/>
    <n v="15"/>
    <s v="AZ"/>
    <n v="3"/>
    <n v="523.1"/>
    <s v="High"/>
    <n v="1"/>
    <s v="Multi-Day"/>
    <n v="1"/>
    <n v="0"/>
    <s v="Main Entrance"/>
    <s v="Toy Story Lot"/>
    <n v="6.9"/>
    <n v="9"/>
    <x v="3310"/>
  </r>
  <r>
    <n v="3554"/>
    <n v="1167"/>
    <d v="2026-08-26T00:00:00"/>
    <s v="Wednesday"/>
    <n v="8"/>
    <n v="10.28"/>
    <x v="0"/>
    <x v="66"/>
    <s v="Female"/>
    <n v="64.099999999999994"/>
    <n v="132.19999999999999"/>
    <n v="22.6"/>
    <n v="16"/>
    <s v="AZ"/>
    <n v="1"/>
    <n v="557.29999999999995"/>
    <s v="Middle"/>
    <n v="0"/>
    <s v="Single-Day"/>
    <n v="0"/>
    <n v="0"/>
    <s v="Main Entrance"/>
    <s v="Mickey &amp; Friends"/>
    <n v="8.3000000000000007"/>
    <n v="10"/>
    <x v="3311"/>
  </r>
  <r>
    <n v="3555"/>
    <n v="1168"/>
    <d v="2026-08-01T00:00:00"/>
    <s v="Saturday"/>
    <n v="8"/>
    <n v="8.01"/>
    <x v="0"/>
    <x v="34"/>
    <s v="Female"/>
    <n v="63.1"/>
    <n v="136.19999999999999"/>
    <n v="23.7"/>
    <n v="17"/>
    <s v="CA"/>
    <n v="1"/>
    <n v="2"/>
    <s v="Middle"/>
    <n v="0"/>
    <s v="Single-Day"/>
    <n v="0"/>
    <n v="0"/>
    <s v="Main Entrance"/>
    <s v="Pixar Pals"/>
    <n v="7.7"/>
    <n v="7"/>
    <x v="3312"/>
  </r>
  <r>
    <n v="3556"/>
    <n v="1169"/>
    <d v="2026-08-25T00:00:00"/>
    <s v="Tuesday"/>
    <n v="8"/>
    <n v="9.9700000000000006"/>
    <x v="0"/>
    <x v="53"/>
    <s v="Male"/>
    <n v="56"/>
    <n v="69.900000000000006"/>
    <n v="15.5"/>
    <n v="10"/>
    <s v="OR"/>
    <n v="4"/>
    <n v="774.7"/>
    <s v="Low"/>
    <n v="0"/>
    <s v="Single-Day"/>
    <n v="1"/>
    <n v="0"/>
    <s v="Main Entrance"/>
    <s v="Toy Story Lot"/>
    <n v="8.1"/>
    <n v="8"/>
    <x v="3313"/>
  </r>
  <r>
    <n v="3557"/>
    <n v="1169"/>
    <d v="2026-08-25T00:00:00"/>
    <s v="Tuesday"/>
    <n v="8"/>
    <n v="10.01"/>
    <x v="0"/>
    <x v="36"/>
    <s v="Female"/>
    <n v="66.8"/>
    <n v="129.69999999999999"/>
    <n v="20.5"/>
    <n v="14"/>
    <s v="OR"/>
    <n v="4"/>
    <n v="774.7"/>
    <s v="Low"/>
    <n v="0"/>
    <s v="Single-Day"/>
    <n v="1"/>
    <n v="0"/>
    <s v="Main Entrance"/>
    <s v="Toy Story Lot"/>
    <n v="9.3000000000000007"/>
    <n v="16"/>
    <x v="3314"/>
  </r>
  <r>
    <n v="3558"/>
    <n v="1169"/>
    <d v="2026-08-25T00:00:00"/>
    <s v="Tuesday"/>
    <n v="8"/>
    <n v="10.02"/>
    <x v="0"/>
    <x v="25"/>
    <s v="Male"/>
    <n v="71.7"/>
    <n v="167.5"/>
    <n v="22.7"/>
    <n v="13"/>
    <s v="OR"/>
    <n v="4"/>
    <n v="774.7"/>
    <s v="Low"/>
    <n v="0"/>
    <s v="Single-Day"/>
    <n v="1"/>
    <n v="0"/>
    <s v="Main Entrance"/>
    <s v="Toy Story Lot"/>
    <n v="6.1"/>
    <n v="9"/>
    <x v="3315"/>
  </r>
  <r>
    <n v="3559"/>
    <n v="1169"/>
    <d v="2026-08-25T00:00:00"/>
    <s v="Tuesday"/>
    <n v="8"/>
    <n v="9.84"/>
    <x v="0"/>
    <x v="3"/>
    <s v="Female"/>
    <n v="64.2"/>
    <n v="146.19999999999999"/>
    <n v="24.9"/>
    <n v="10"/>
    <s v="OR"/>
    <n v="4"/>
    <n v="774.7"/>
    <s v="Low"/>
    <n v="0"/>
    <s v="Single-Day"/>
    <n v="1"/>
    <n v="0"/>
    <s v="Main Entrance"/>
    <s v="Toy Story Lot"/>
    <n v="9.1999999999999993"/>
    <n v="13"/>
    <x v="3316"/>
  </r>
  <r>
    <n v="3560"/>
    <n v="1170"/>
    <d v="2026-02-22T00:00:00"/>
    <s v="Sunday"/>
    <n v="2"/>
    <n v="8.5299999999999994"/>
    <x v="0"/>
    <x v="4"/>
    <s v="Female"/>
    <n v="63.5"/>
    <n v="172.7"/>
    <n v="30.1"/>
    <n v="11"/>
    <s v="WA"/>
    <n v="2"/>
    <n v="1078.5999999999999"/>
    <s v="Low"/>
    <n v="0"/>
    <s v="Single-Day"/>
    <n v="1"/>
    <n v="0"/>
    <s v="Main Entrance"/>
    <s v="Mickey &amp; Friends"/>
    <n v="9.6999999999999993"/>
    <n v="14"/>
    <x v="3317"/>
  </r>
  <r>
    <n v="3561"/>
    <n v="1170"/>
    <d v="2026-02-22T00:00:00"/>
    <s v="Sunday"/>
    <n v="2"/>
    <n v="8.77"/>
    <x v="0"/>
    <x v="69"/>
    <s v="Female"/>
    <n v="61.7"/>
    <n v="135.6"/>
    <n v="25"/>
    <n v="15"/>
    <s v="WA"/>
    <n v="2"/>
    <n v="1078.5999999999999"/>
    <s v="Low"/>
    <n v="0"/>
    <s v="Single-Day"/>
    <n v="1"/>
    <n v="0"/>
    <s v="Main Entrance"/>
    <s v="Mickey &amp; Friends"/>
    <n v="7.7"/>
    <n v="2"/>
    <x v="780"/>
  </r>
  <r>
    <n v="3562"/>
    <n v="1171"/>
    <d v="2026-03-19T00:00:00"/>
    <s v="Thursday"/>
    <n v="3"/>
    <n v="8.24"/>
    <x v="0"/>
    <x v="64"/>
    <s v="Male"/>
    <n v="51.7"/>
    <n v="63.6"/>
    <n v="16.899999999999999"/>
    <n v="15"/>
    <s v="TX"/>
    <n v="1"/>
    <n v="1331.3"/>
    <s v="Middle"/>
    <n v="0"/>
    <s v="Multi-Day"/>
    <n v="1"/>
    <n v="1"/>
    <s v="Main Entrance"/>
    <s v="None/Walked from Resort"/>
    <n v="7.7"/>
    <n v="6"/>
    <x v="3318"/>
  </r>
  <r>
    <n v="3563"/>
    <n v="1172"/>
    <d v="2026-08-16T00:00:00"/>
    <s v="Sunday"/>
    <n v="8"/>
    <n v="10.199999999999999"/>
    <x v="0"/>
    <x v="39"/>
    <s v="Female"/>
    <n v="60.3"/>
    <n v="144.69999999999999"/>
    <n v="28.2"/>
    <n v="15"/>
    <s v="NY"/>
    <n v="5"/>
    <n v="3360.1"/>
    <s v="Middle"/>
    <n v="1"/>
    <s v="Park Hopper"/>
    <n v="0"/>
    <n v="0"/>
    <s v="Downtown Disney Gate"/>
    <s v="Toy Story Lot"/>
    <n v="7.4"/>
    <n v="6"/>
    <x v="3319"/>
  </r>
  <r>
    <n v="3564"/>
    <n v="1172"/>
    <d v="2026-08-16T00:00:00"/>
    <s v="Sunday"/>
    <n v="8"/>
    <n v="10.33"/>
    <x v="0"/>
    <x v="72"/>
    <s v="Female"/>
    <n v="68.099999999999994"/>
    <n v="159"/>
    <n v="24.1"/>
    <n v="16"/>
    <s v="NY"/>
    <n v="5"/>
    <n v="3360.1"/>
    <s v="Middle"/>
    <n v="1"/>
    <s v="Park Hopper"/>
    <n v="0"/>
    <n v="0"/>
    <s v="Downtown Disney Gate"/>
    <s v="Toy Story Lot"/>
    <n v="7.6"/>
    <n v="9"/>
    <x v="3320"/>
  </r>
  <r>
    <n v="3565"/>
    <n v="1172"/>
    <d v="2026-08-16T00:00:00"/>
    <s v="Sunday"/>
    <n v="8"/>
    <n v="10.52"/>
    <x v="0"/>
    <x v="51"/>
    <s v="Female"/>
    <n v="65.099999999999994"/>
    <n v="148.6"/>
    <n v="25.1"/>
    <n v="16"/>
    <s v="NY"/>
    <n v="5"/>
    <n v="3360.1"/>
    <s v="Middle"/>
    <n v="1"/>
    <s v="Park Hopper"/>
    <n v="0"/>
    <n v="0"/>
    <s v="Downtown Disney Gate"/>
    <s v="Toy Story Lot"/>
    <n v="10"/>
    <n v="10"/>
    <x v="3321"/>
  </r>
  <r>
    <n v="3566"/>
    <n v="1172"/>
    <d v="2026-08-16T00:00:00"/>
    <s v="Sunday"/>
    <n v="8"/>
    <n v="10.54"/>
    <x v="0"/>
    <x v="66"/>
    <s v="Female"/>
    <n v="61.9"/>
    <n v="150.6"/>
    <n v="27.6"/>
    <n v="15"/>
    <s v="NY"/>
    <n v="5"/>
    <n v="3360.1"/>
    <s v="Middle"/>
    <n v="1"/>
    <s v="Park Hopper"/>
    <n v="0"/>
    <n v="0"/>
    <s v="Downtown Disney Gate"/>
    <s v="Toy Story Lot"/>
    <n v="8.6"/>
    <n v="8"/>
    <x v="3322"/>
  </r>
  <r>
    <n v="3567"/>
    <n v="1172"/>
    <d v="2026-08-16T00:00:00"/>
    <s v="Sunday"/>
    <n v="8"/>
    <n v="10.62"/>
    <x v="0"/>
    <x v="39"/>
    <s v="Female"/>
    <n v="67.2"/>
    <n v="198.1"/>
    <n v="30.8"/>
    <n v="13"/>
    <s v="NY"/>
    <n v="5"/>
    <n v="3360.1"/>
    <s v="Middle"/>
    <n v="1"/>
    <s v="Park Hopper"/>
    <n v="0"/>
    <n v="0"/>
    <s v="Downtown Disney Gate"/>
    <s v="Toy Story Lot"/>
    <n v="6.8"/>
    <n v="9"/>
    <x v="3323"/>
  </r>
  <r>
    <n v="3568"/>
    <n v="1173"/>
    <d v="2026-05-25T00:00:00"/>
    <s v="Monday"/>
    <n v="5"/>
    <n v="8.9"/>
    <x v="0"/>
    <x v="52"/>
    <s v="Male"/>
    <n v="67.8"/>
    <n v="207.6"/>
    <n v="31.6"/>
    <n v="20"/>
    <s v="AZ"/>
    <n v="1"/>
    <n v="131.80000000000001"/>
    <s v="High"/>
    <n v="1"/>
    <s v="Single-Day"/>
    <n v="0"/>
    <n v="0"/>
    <s v="Main Entrance"/>
    <s v="None/Dropoff/Transit"/>
    <n v="7.7"/>
    <n v="3"/>
    <x v="3324"/>
  </r>
  <r>
    <n v="3569"/>
    <n v="1174"/>
    <d v="2026-01-06T00:00:00"/>
    <s v="Tuesday"/>
    <n v="1"/>
    <n v="7.84"/>
    <x v="0"/>
    <x v="32"/>
    <s v="Male"/>
    <n v="56.4"/>
    <n v="86.4"/>
    <n v="19"/>
    <n v="10"/>
    <s v="TX"/>
    <n v="5"/>
    <n v="1475.3"/>
    <s v="Low"/>
    <n v="1"/>
    <s v="Single-Day"/>
    <n v="0"/>
    <n v="0"/>
    <s v="Main Entrance"/>
    <s v="Pixar Pals"/>
    <n v="6.5"/>
    <n v="6"/>
    <x v="3325"/>
  </r>
  <r>
    <n v="3570"/>
    <n v="1174"/>
    <d v="2026-01-06T00:00:00"/>
    <s v="Tuesday"/>
    <n v="1"/>
    <n v="8.07"/>
    <x v="0"/>
    <x v="53"/>
    <s v="Male"/>
    <n v="58.7"/>
    <n v="73"/>
    <n v="15.1"/>
    <n v="12"/>
    <s v="TX"/>
    <n v="5"/>
    <n v="1475.3"/>
    <s v="Low"/>
    <n v="1"/>
    <s v="Single-Day"/>
    <n v="0"/>
    <n v="0"/>
    <s v="Main Entrance"/>
    <s v="Pixar Pals"/>
    <n v="9.6"/>
    <n v="11"/>
    <x v="3326"/>
  </r>
  <r>
    <n v="3571"/>
    <n v="1174"/>
    <d v="2026-01-06T00:00:00"/>
    <s v="Tuesday"/>
    <n v="1"/>
    <n v="8.3000000000000007"/>
    <x v="0"/>
    <x v="37"/>
    <s v="Male"/>
    <n v="67.5"/>
    <n v="197.5"/>
    <n v="30.6"/>
    <n v="14"/>
    <s v="TX"/>
    <n v="5"/>
    <n v="1475.3"/>
    <s v="Low"/>
    <n v="1"/>
    <s v="Single-Day"/>
    <n v="0"/>
    <n v="0"/>
    <s v="Main Entrance"/>
    <s v="Pixar Pals"/>
    <n v="9.4"/>
    <n v="16"/>
    <x v="3327"/>
  </r>
  <r>
    <n v="3572"/>
    <n v="1174"/>
    <d v="2026-01-06T00:00:00"/>
    <s v="Tuesday"/>
    <n v="1"/>
    <n v="8.0399999999999991"/>
    <x v="0"/>
    <x v="21"/>
    <s v="Female"/>
    <n v="68"/>
    <n v="142.5"/>
    <n v="21.7"/>
    <n v="13"/>
    <s v="TX"/>
    <n v="5"/>
    <n v="1475.3"/>
    <s v="Low"/>
    <n v="1"/>
    <s v="Single-Day"/>
    <n v="0"/>
    <n v="0"/>
    <s v="Main Entrance"/>
    <s v="Pixar Pals"/>
    <n v="7.1"/>
    <n v="7"/>
    <x v="3328"/>
  </r>
  <r>
    <n v="3573"/>
    <n v="1174"/>
    <d v="2026-01-06T00:00:00"/>
    <s v="Tuesday"/>
    <n v="1"/>
    <n v="7.83"/>
    <x v="0"/>
    <x v="71"/>
    <s v="Female"/>
    <n v="65.3"/>
    <n v="130.6"/>
    <n v="21.3"/>
    <n v="12"/>
    <s v="TX"/>
    <n v="5"/>
    <n v="1475.3"/>
    <s v="Low"/>
    <n v="1"/>
    <s v="Single-Day"/>
    <n v="0"/>
    <n v="0"/>
    <s v="Main Entrance"/>
    <s v="Pixar Pals"/>
    <n v="5.9"/>
    <n v="7"/>
    <x v="3329"/>
  </r>
  <r>
    <n v="3574"/>
    <n v="1175"/>
    <d v="2026-08-09T00:00:00"/>
    <s v="Sunday"/>
    <n v="8"/>
    <n v="9.65"/>
    <x v="0"/>
    <x v="60"/>
    <s v="Male"/>
    <n v="61"/>
    <n v="97.6"/>
    <n v="18.399999999999999"/>
    <n v="10"/>
    <s v="OR"/>
    <n v="2"/>
    <n v="865.1"/>
    <s v="High"/>
    <n v="1"/>
    <s v="Single-Day"/>
    <n v="0"/>
    <n v="1"/>
    <s v="Main Entrance"/>
    <s v="Mickey &amp; Friends"/>
    <n v="9.9"/>
    <n v="11"/>
    <x v="3330"/>
  </r>
  <r>
    <n v="3575"/>
    <n v="1175"/>
    <d v="2026-08-09T00:00:00"/>
    <s v="Sunday"/>
    <n v="8"/>
    <n v="9.69"/>
    <x v="0"/>
    <x v="48"/>
    <s v="Female"/>
    <n v="62.6"/>
    <n v="151.80000000000001"/>
    <n v="27.2"/>
    <n v="17"/>
    <s v="OR"/>
    <n v="2"/>
    <n v="865.1"/>
    <s v="High"/>
    <n v="1"/>
    <s v="Single-Day"/>
    <n v="0"/>
    <n v="1"/>
    <s v="Main Entrance"/>
    <s v="Mickey &amp; Friends"/>
    <n v="11.6"/>
    <n v="9"/>
    <x v="3331"/>
  </r>
  <r>
    <n v="3576"/>
    <n v="1176"/>
    <d v="2026-01-09T00:00:00"/>
    <s v="Friday"/>
    <n v="1"/>
    <n v="11.66"/>
    <x v="1"/>
    <x v="37"/>
    <s v="Female"/>
    <n v="61.5"/>
    <n v="111.4"/>
    <n v="20.8"/>
    <n v="15"/>
    <s v="CA"/>
    <n v="3"/>
    <n v="112.4"/>
    <s v="Low"/>
    <n v="1"/>
    <s v="Multi-Day"/>
    <n v="1"/>
    <n v="0"/>
    <s v="Main Entrance"/>
    <s v="Mickey &amp; Friends"/>
    <n v="8.5"/>
    <n v="4"/>
    <x v="3332"/>
  </r>
  <r>
    <n v="3577"/>
    <n v="1176"/>
    <d v="2026-01-09T00:00:00"/>
    <s v="Friday"/>
    <n v="1"/>
    <n v="11.95"/>
    <x v="1"/>
    <x v="45"/>
    <s v="Male"/>
    <n v="66.7"/>
    <n v="221.6"/>
    <n v="34.9"/>
    <n v="13"/>
    <s v="CA"/>
    <n v="3"/>
    <n v="112.4"/>
    <s v="Low"/>
    <n v="1"/>
    <s v="Multi-Day"/>
    <n v="1"/>
    <n v="0"/>
    <s v="Main Entrance"/>
    <s v="Mickey &amp; Friends"/>
    <n v="9.1"/>
    <n v="4"/>
    <x v="3333"/>
  </r>
  <r>
    <n v="3578"/>
    <n v="1176"/>
    <d v="2026-01-09T00:00:00"/>
    <s v="Friday"/>
    <n v="1"/>
    <n v="11.97"/>
    <x v="1"/>
    <x v="36"/>
    <s v="Male"/>
    <n v="69.3"/>
    <n v="184.7"/>
    <n v="26.7"/>
    <n v="15"/>
    <s v="CA"/>
    <n v="3"/>
    <n v="112.4"/>
    <s v="Low"/>
    <n v="1"/>
    <s v="Multi-Day"/>
    <n v="1"/>
    <n v="0"/>
    <s v="Main Entrance"/>
    <s v="Mickey &amp; Friends"/>
    <n v="8.8000000000000007"/>
    <n v="8"/>
    <x v="1104"/>
  </r>
  <r>
    <n v="3579"/>
    <n v="1177"/>
    <d v="2026-01-17T00:00:00"/>
    <s v="Saturday"/>
    <n v="1"/>
    <n v="12.33"/>
    <x v="1"/>
    <x v="51"/>
    <s v="Female"/>
    <n v="61.4"/>
    <n v="97.5"/>
    <n v="18"/>
    <n v="13"/>
    <s v="Other"/>
    <n v="3"/>
    <n v="1332.2"/>
    <s v="Middle"/>
    <n v="1"/>
    <s v="Single-Day"/>
    <n v="0"/>
    <n v="1"/>
    <s v="Downtown Disney Gate"/>
    <s v="None/Walked from Resort"/>
    <n v="9.4"/>
    <n v="9"/>
    <x v="3334"/>
  </r>
  <r>
    <n v="3580"/>
    <n v="1177"/>
    <d v="2026-01-17T00:00:00"/>
    <s v="Saturday"/>
    <n v="1"/>
    <n v="12.36"/>
    <x v="1"/>
    <x v="51"/>
    <s v="Male"/>
    <n v="64"/>
    <n v="193.7"/>
    <n v="33.200000000000003"/>
    <n v="17"/>
    <s v="Other"/>
    <n v="3"/>
    <n v="1332.2"/>
    <s v="Middle"/>
    <n v="1"/>
    <s v="Single-Day"/>
    <n v="0"/>
    <n v="1"/>
    <s v="Downtown Disney Gate"/>
    <s v="None/Walked from Resort"/>
    <n v="11.6"/>
    <n v="13"/>
    <x v="3335"/>
  </r>
  <r>
    <n v="3581"/>
    <n v="1177"/>
    <d v="2026-01-17T00:00:00"/>
    <s v="Saturday"/>
    <n v="1"/>
    <n v="12.24"/>
    <x v="1"/>
    <x v="52"/>
    <s v="Female"/>
    <n v="63.7"/>
    <n v="126"/>
    <n v="21.7"/>
    <n v="16"/>
    <s v="Other"/>
    <n v="3"/>
    <n v="1332.2"/>
    <s v="Middle"/>
    <n v="1"/>
    <s v="Single-Day"/>
    <n v="0"/>
    <n v="1"/>
    <s v="Downtown Disney Gate"/>
    <s v="None/Walked from Resort"/>
    <n v="7.2"/>
    <n v="12"/>
    <x v="3336"/>
  </r>
  <r>
    <n v="3582"/>
    <n v="1178"/>
    <d v="2026-12-17T00:00:00"/>
    <s v="Thursday"/>
    <n v="12"/>
    <n v="10.36"/>
    <x v="0"/>
    <x v="52"/>
    <s v="Male"/>
    <n v="70.7"/>
    <n v="182.6"/>
    <n v="25.5"/>
    <n v="17"/>
    <s v="OR"/>
    <n v="4"/>
    <n v="504.6"/>
    <s v="Middle"/>
    <n v="0"/>
    <s v="Single-Day"/>
    <n v="0"/>
    <n v="0"/>
    <s v="Main Entrance"/>
    <s v="Pixar Pals"/>
    <n v="9.6"/>
    <n v="11"/>
    <x v="3337"/>
  </r>
  <r>
    <n v="3583"/>
    <n v="1178"/>
    <d v="2026-12-17T00:00:00"/>
    <s v="Thursday"/>
    <n v="12"/>
    <n v="10.24"/>
    <x v="0"/>
    <x v="1"/>
    <s v="Female"/>
    <n v="62.3"/>
    <n v="133.30000000000001"/>
    <n v="23.8"/>
    <n v="15"/>
    <s v="OR"/>
    <n v="4"/>
    <n v="504.6"/>
    <s v="Middle"/>
    <n v="0"/>
    <s v="Single-Day"/>
    <n v="0"/>
    <n v="0"/>
    <s v="Main Entrance"/>
    <s v="Pixar Pals"/>
    <n v="9"/>
    <n v="5"/>
    <x v="3338"/>
  </r>
  <r>
    <n v="3584"/>
    <n v="1178"/>
    <d v="2026-12-17T00:00:00"/>
    <s v="Thursday"/>
    <n v="12"/>
    <n v="10.08"/>
    <x v="0"/>
    <x v="72"/>
    <s v="Male"/>
    <n v="72.099999999999994"/>
    <n v="222.7"/>
    <n v="30.1"/>
    <n v="14"/>
    <s v="OR"/>
    <n v="4"/>
    <n v="504.6"/>
    <s v="Middle"/>
    <n v="0"/>
    <s v="Single-Day"/>
    <n v="0"/>
    <n v="0"/>
    <s v="Main Entrance"/>
    <s v="Pixar Pals"/>
    <n v="8.9"/>
    <n v="4"/>
    <x v="3339"/>
  </r>
  <r>
    <n v="3585"/>
    <n v="1178"/>
    <d v="2026-12-17T00:00:00"/>
    <s v="Thursday"/>
    <n v="12"/>
    <n v="10.02"/>
    <x v="0"/>
    <x v="71"/>
    <s v="Female"/>
    <n v="62.3"/>
    <n v="144.69999999999999"/>
    <n v="26.3"/>
    <n v="16"/>
    <s v="OR"/>
    <n v="4"/>
    <n v="504.6"/>
    <s v="Middle"/>
    <n v="0"/>
    <s v="Single-Day"/>
    <n v="0"/>
    <n v="0"/>
    <s v="Main Entrance"/>
    <s v="Pixar Pals"/>
    <n v="6.9"/>
    <n v="9"/>
    <x v="2098"/>
  </r>
  <r>
    <n v="3586"/>
    <n v="1179"/>
    <d v="2026-03-30T00:00:00"/>
    <s v="Monday"/>
    <n v="3"/>
    <n v="7.83"/>
    <x v="0"/>
    <x v="70"/>
    <s v="Male"/>
    <n v="70"/>
    <n v="131.19999999999999"/>
    <n v="19"/>
    <n v="15"/>
    <s v="WA"/>
    <n v="1"/>
    <n v="1213.7"/>
    <s v="Low"/>
    <n v="1"/>
    <s v="Single-Day"/>
    <n v="0"/>
    <n v="0"/>
    <s v="Main Entrance"/>
    <s v="Toy Story Lot"/>
    <n v="9.1"/>
    <n v="8"/>
    <x v="3340"/>
  </r>
  <r>
    <n v="3587"/>
    <n v="1180"/>
    <d v="2026-10-16T00:00:00"/>
    <s v="Friday"/>
    <n v="10"/>
    <n v="11.54"/>
    <x v="1"/>
    <x v="47"/>
    <s v="Female"/>
    <n v="62.4"/>
    <n v="153.5"/>
    <n v="27.7"/>
    <n v="18"/>
    <s v="NV"/>
    <n v="2"/>
    <n v="347.5"/>
    <s v="High"/>
    <n v="0"/>
    <s v="Single-Day"/>
    <n v="0"/>
    <n v="0"/>
    <s v="Main Entrance"/>
    <s v="Toy Story Lot"/>
    <n v="5.3"/>
    <n v="7"/>
    <x v="3341"/>
  </r>
  <r>
    <n v="3588"/>
    <n v="1180"/>
    <d v="2026-10-16T00:00:00"/>
    <s v="Friday"/>
    <n v="10"/>
    <n v="11.43"/>
    <x v="1"/>
    <x v="65"/>
    <s v="Male"/>
    <n v="71.900000000000006"/>
    <n v="223"/>
    <n v="30.2"/>
    <n v="22"/>
    <s v="NV"/>
    <n v="2"/>
    <n v="347.5"/>
    <s v="High"/>
    <n v="0"/>
    <s v="Single-Day"/>
    <n v="0"/>
    <n v="0"/>
    <s v="Main Entrance"/>
    <s v="Toy Story Lot"/>
    <n v="8.4"/>
    <n v="8"/>
    <x v="3342"/>
  </r>
  <r>
    <n v="3589"/>
    <n v="1181"/>
    <d v="2026-01-18T00:00:00"/>
    <s v="Sunday"/>
    <n v="1"/>
    <n v="8.8000000000000007"/>
    <x v="0"/>
    <x v="22"/>
    <s v="Female"/>
    <n v="60.1"/>
    <n v="100.6"/>
    <n v="19.5"/>
    <n v="15"/>
    <s v="Other"/>
    <n v="3"/>
    <n v="1701.1"/>
    <s v="Middle"/>
    <n v="1"/>
    <s v="Park Hopper"/>
    <n v="1"/>
    <n v="0"/>
    <s v="Main Entrance"/>
    <s v="Mickey &amp; Friends"/>
    <n v="8.4"/>
    <n v="12"/>
    <x v="3343"/>
  </r>
  <r>
    <n v="3590"/>
    <n v="1181"/>
    <d v="2026-01-18T00:00:00"/>
    <s v="Sunday"/>
    <n v="1"/>
    <n v="8.6"/>
    <x v="0"/>
    <x v="26"/>
    <s v="Female"/>
    <n v="62.5"/>
    <n v="164.8"/>
    <n v="29.6"/>
    <n v="19"/>
    <s v="Other"/>
    <n v="3"/>
    <n v="1701.1"/>
    <s v="Middle"/>
    <n v="1"/>
    <s v="Park Hopper"/>
    <n v="1"/>
    <n v="0"/>
    <s v="Main Entrance"/>
    <s v="Mickey &amp; Friends"/>
    <n v="8.1"/>
    <n v="8"/>
    <x v="3344"/>
  </r>
  <r>
    <n v="3591"/>
    <n v="1181"/>
    <d v="2026-01-18T00:00:00"/>
    <s v="Sunday"/>
    <n v="1"/>
    <n v="8.76"/>
    <x v="0"/>
    <x v="34"/>
    <s v="Male"/>
    <n v="67.3"/>
    <n v="163.9"/>
    <n v="25.5"/>
    <n v="16"/>
    <s v="Other"/>
    <n v="3"/>
    <n v="1701.1"/>
    <s v="Middle"/>
    <n v="1"/>
    <s v="Park Hopper"/>
    <n v="1"/>
    <n v="0"/>
    <s v="Main Entrance"/>
    <s v="Mickey &amp; Friends"/>
    <n v="11"/>
    <n v="11"/>
    <x v="3345"/>
  </r>
  <r>
    <n v="3592"/>
    <n v="1182"/>
    <d v="2026-09-19T00:00:00"/>
    <s v="Saturday"/>
    <n v="9"/>
    <n v="13.19"/>
    <x v="1"/>
    <x v="4"/>
    <s v="Female"/>
    <n v="64"/>
    <n v="163.5"/>
    <n v="28.1"/>
    <n v="13"/>
    <s v="AZ"/>
    <n v="5"/>
    <n v="353.9"/>
    <s v="Low"/>
    <n v="1"/>
    <s v="Multi-Day"/>
    <n v="0"/>
    <n v="0"/>
    <s v="Main Entrance"/>
    <s v="Toy Story Lot"/>
    <n v="10.5"/>
    <n v="5"/>
    <x v="2574"/>
  </r>
  <r>
    <n v="3593"/>
    <n v="1182"/>
    <d v="2026-09-19T00:00:00"/>
    <s v="Saturday"/>
    <n v="9"/>
    <n v="13.1"/>
    <x v="1"/>
    <x v="8"/>
    <s v="Male"/>
    <n v="68.599999999999994"/>
    <n v="170.5"/>
    <n v="25.1"/>
    <n v="13"/>
    <s v="AZ"/>
    <n v="5"/>
    <n v="353.9"/>
    <s v="Low"/>
    <n v="1"/>
    <s v="Multi-Day"/>
    <n v="0"/>
    <n v="0"/>
    <s v="Main Entrance"/>
    <s v="Toy Story Lot"/>
    <n v="10"/>
    <n v="4"/>
    <x v="3346"/>
  </r>
  <r>
    <n v="3594"/>
    <n v="1182"/>
    <d v="2026-09-19T00:00:00"/>
    <s v="Saturday"/>
    <n v="9"/>
    <n v="13.3"/>
    <x v="1"/>
    <x v="72"/>
    <s v="Male"/>
    <n v="70"/>
    <n v="183.9"/>
    <n v="26.6"/>
    <n v="17"/>
    <s v="AZ"/>
    <n v="5"/>
    <n v="353.9"/>
    <s v="Low"/>
    <n v="1"/>
    <s v="Multi-Day"/>
    <n v="0"/>
    <n v="0"/>
    <s v="Main Entrance"/>
    <s v="Toy Story Lot"/>
    <n v="8.1999999999999993"/>
    <n v="5"/>
    <x v="1726"/>
  </r>
  <r>
    <n v="3595"/>
    <n v="1182"/>
    <d v="2026-09-19T00:00:00"/>
    <s v="Saturday"/>
    <n v="9"/>
    <n v="12.97"/>
    <x v="1"/>
    <x v="38"/>
    <s v="Male"/>
    <n v="71"/>
    <n v="183.3"/>
    <n v="25.6"/>
    <n v="11"/>
    <s v="AZ"/>
    <n v="5"/>
    <n v="353.9"/>
    <s v="Low"/>
    <n v="1"/>
    <s v="Multi-Day"/>
    <n v="0"/>
    <n v="0"/>
    <s v="Main Entrance"/>
    <s v="Toy Story Lot"/>
    <n v="10.6"/>
    <n v="8"/>
    <x v="3347"/>
  </r>
  <r>
    <n v="3596"/>
    <n v="1182"/>
    <d v="2026-09-19T00:00:00"/>
    <s v="Saturday"/>
    <n v="9"/>
    <n v="13.16"/>
    <x v="1"/>
    <x v="30"/>
    <s v="Male"/>
    <n v="66.599999999999994"/>
    <n v="164.6"/>
    <n v="26"/>
    <n v="14"/>
    <s v="AZ"/>
    <n v="5"/>
    <n v="353.9"/>
    <s v="Low"/>
    <n v="1"/>
    <s v="Multi-Day"/>
    <n v="0"/>
    <n v="0"/>
    <s v="Main Entrance"/>
    <s v="Toy Story Lot"/>
    <n v="6.1"/>
    <n v="7"/>
    <x v="3348"/>
  </r>
  <r>
    <n v="3597"/>
    <n v="1183"/>
    <d v="2026-01-15T00:00:00"/>
    <s v="Thursday"/>
    <n v="1"/>
    <n v="11.44"/>
    <x v="1"/>
    <x v="29"/>
    <s v="Female"/>
    <n v="60.2"/>
    <n v="121.9"/>
    <n v="23.7"/>
    <n v="13"/>
    <s v="CA"/>
    <n v="3"/>
    <n v="50.1"/>
    <s v="Middle"/>
    <n v="1"/>
    <s v="Single-Day"/>
    <n v="1"/>
    <n v="0"/>
    <s v="Main Entrance"/>
    <s v="Toy Story Lot"/>
    <n v="7.4"/>
    <n v="10"/>
    <x v="3349"/>
  </r>
  <r>
    <n v="3598"/>
    <n v="1183"/>
    <d v="2026-01-15T00:00:00"/>
    <s v="Thursday"/>
    <n v="1"/>
    <n v="11.44"/>
    <x v="1"/>
    <x v="44"/>
    <s v="Male"/>
    <n v="69.900000000000006"/>
    <n v="169.4"/>
    <n v="24.5"/>
    <n v="13"/>
    <s v="CA"/>
    <n v="3"/>
    <n v="50.1"/>
    <s v="Middle"/>
    <n v="1"/>
    <s v="Single-Day"/>
    <n v="1"/>
    <n v="0"/>
    <s v="Main Entrance"/>
    <s v="Toy Story Lot"/>
    <n v="7.3"/>
    <n v="6"/>
    <x v="3350"/>
  </r>
  <r>
    <n v="3599"/>
    <n v="1183"/>
    <d v="2026-01-15T00:00:00"/>
    <s v="Thursday"/>
    <n v="1"/>
    <n v="11.33"/>
    <x v="1"/>
    <x v="38"/>
    <s v="Female"/>
    <n v="62.3"/>
    <n v="116.9"/>
    <n v="21.5"/>
    <n v="12"/>
    <s v="CA"/>
    <n v="3"/>
    <n v="50.1"/>
    <s v="Middle"/>
    <n v="1"/>
    <s v="Single-Day"/>
    <n v="1"/>
    <n v="0"/>
    <s v="Main Entrance"/>
    <s v="Toy Story Lot"/>
    <n v="5.9"/>
    <n v="5"/>
    <x v="3351"/>
  </r>
  <r>
    <n v="3600"/>
    <n v="1184"/>
    <d v="2026-06-16T00:00:00"/>
    <s v="Tuesday"/>
    <n v="6"/>
    <n v="13.28"/>
    <x v="1"/>
    <x v="69"/>
    <s v="Male"/>
    <n v="69.599999999999994"/>
    <n v="164"/>
    <n v="23.9"/>
    <n v="14"/>
    <s v="CA"/>
    <n v="2"/>
    <n v="108.7"/>
    <s v="Middle"/>
    <n v="1"/>
    <s v="Single-Day"/>
    <n v="0"/>
    <n v="0"/>
    <s v="Downtown Disney Gate"/>
    <s v="Toy Story Lot"/>
    <n v="4.9000000000000004"/>
    <n v="9"/>
    <x v="3352"/>
  </r>
  <r>
    <n v="3601"/>
    <n v="1184"/>
    <d v="2026-06-16T00:00:00"/>
    <s v="Tuesday"/>
    <n v="6"/>
    <n v="13.21"/>
    <x v="1"/>
    <x v="17"/>
    <s v="Male"/>
    <n v="71.400000000000006"/>
    <n v="125"/>
    <n v="17.100000000000001"/>
    <n v="17"/>
    <s v="CA"/>
    <n v="2"/>
    <n v="108.7"/>
    <s v="Middle"/>
    <n v="1"/>
    <s v="Single-Day"/>
    <n v="0"/>
    <n v="0"/>
    <s v="Downtown Disney Gate"/>
    <s v="Toy Story Lot"/>
    <n v="3.8"/>
    <n v="5"/>
    <x v="1543"/>
  </r>
  <r>
    <n v="3602"/>
    <n v="1185"/>
    <d v="2026-12-01T00:00:00"/>
    <s v="Tuesday"/>
    <n v="12"/>
    <n v="10.67"/>
    <x v="0"/>
    <x v="55"/>
    <s v="Male"/>
    <n v="66.8"/>
    <n v="199.4"/>
    <n v="31.5"/>
    <n v="16"/>
    <s v="CA"/>
    <n v="3"/>
    <n v="59.1"/>
    <s v="Low"/>
    <n v="0"/>
    <s v="Single-Day"/>
    <n v="0"/>
    <n v="0"/>
    <s v="Downtown Disney Gate"/>
    <s v="Mickey &amp; Friends"/>
    <n v="6.3"/>
    <n v="13"/>
    <x v="3353"/>
  </r>
  <r>
    <n v="3603"/>
    <n v="1185"/>
    <d v="2026-12-01T00:00:00"/>
    <s v="Tuesday"/>
    <n v="12"/>
    <n v="10.38"/>
    <x v="0"/>
    <x v="62"/>
    <s v="Female"/>
    <n v="64.400000000000006"/>
    <n v="152.80000000000001"/>
    <n v="26"/>
    <n v="14"/>
    <s v="CA"/>
    <n v="3"/>
    <n v="59.1"/>
    <s v="Low"/>
    <n v="0"/>
    <s v="Single-Day"/>
    <n v="0"/>
    <n v="0"/>
    <s v="Downtown Disney Gate"/>
    <s v="Mickey &amp; Friends"/>
    <n v="7.3"/>
    <n v="4"/>
    <x v="3354"/>
  </r>
  <r>
    <n v="3604"/>
    <n v="1185"/>
    <d v="2026-12-01T00:00:00"/>
    <s v="Tuesday"/>
    <n v="12"/>
    <n v="10.53"/>
    <x v="0"/>
    <x v="57"/>
    <s v="Female"/>
    <n v="65.599999999999994"/>
    <n v="149.5"/>
    <n v="24.3"/>
    <n v="12"/>
    <s v="CA"/>
    <n v="3"/>
    <n v="59.1"/>
    <s v="Low"/>
    <n v="0"/>
    <s v="Single-Day"/>
    <n v="0"/>
    <n v="0"/>
    <s v="Downtown Disney Gate"/>
    <s v="Mickey &amp; Friends"/>
    <n v="7"/>
    <n v="7"/>
    <x v="3355"/>
  </r>
  <r>
    <n v="3605"/>
    <n v="1186"/>
    <d v="2026-12-06T00:00:00"/>
    <s v="Sunday"/>
    <n v="12"/>
    <n v="7"/>
    <x v="0"/>
    <x v="36"/>
    <s v="Male"/>
    <n v="62.8"/>
    <n v="119.2"/>
    <n v="21.1"/>
    <n v="15"/>
    <s v="NV"/>
    <n v="1"/>
    <n v="235.2"/>
    <s v="Middle"/>
    <n v="1"/>
    <s v="Park Hopper"/>
    <n v="1"/>
    <n v="0"/>
    <s v="Main Entrance"/>
    <s v="Mickey &amp; Friends"/>
    <n v="9.8000000000000007"/>
    <n v="12"/>
    <x v="3356"/>
  </r>
  <r>
    <n v="3606"/>
    <n v="1187"/>
    <d v="2026-01-05T00:00:00"/>
    <s v="Monday"/>
    <n v="1"/>
    <n v="9.9700000000000006"/>
    <x v="0"/>
    <x v="9"/>
    <s v="Male"/>
    <n v="73"/>
    <n v="167.6"/>
    <n v="22.3"/>
    <n v="16"/>
    <s v="CA"/>
    <n v="2"/>
    <n v="141.6"/>
    <s v="High"/>
    <n v="0"/>
    <s v="Park Hopper"/>
    <n v="0"/>
    <n v="1"/>
    <s v="Hotel Guest Entrance"/>
    <s v="Pixar Pals"/>
    <n v="11.7"/>
    <n v="10"/>
    <x v="3357"/>
  </r>
  <r>
    <n v="3607"/>
    <n v="1187"/>
    <d v="2026-01-05T00:00:00"/>
    <s v="Monday"/>
    <n v="1"/>
    <n v="9.82"/>
    <x v="0"/>
    <x v="32"/>
    <s v="Male"/>
    <n v="57.6"/>
    <n v="105.1"/>
    <n v="22.2"/>
    <n v="11"/>
    <s v="CA"/>
    <n v="2"/>
    <n v="141.6"/>
    <s v="High"/>
    <n v="0"/>
    <s v="Park Hopper"/>
    <n v="0"/>
    <n v="1"/>
    <s v="Hotel Guest Entrance"/>
    <s v="Pixar Pals"/>
    <n v="7.2"/>
    <n v="7"/>
    <x v="3358"/>
  </r>
  <r>
    <n v="3608"/>
    <n v="1188"/>
    <d v="2026-07-08T00:00:00"/>
    <s v="Wednesday"/>
    <n v="7"/>
    <n v="11.04"/>
    <x v="1"/>
    <x v="71"/>
    <s v="Male"/>
    <n v="70.099999999999994"/>
    <n v="157.4"/>
    <n v="22.5"/>
    <n v="14"/>
    <s v="Other"/>
    <n v="5"/>
    <n v="2004.2"/>
    <s v="Low"/>
    <n v="1"/>
    <s v="Single-Day"/>
    <n v="0"/>
    <n v="0"/>
    <s v="Main Entrance"/>
    <s v="None/Dropoff/Transit"/>
    <n v="7.1"/>
    <n v="7"/>
    <x v="3359"/>
  </r>
  <r>
    <n v="3609"/>
    <n v="1188"/>
    <d v="2026-07-08T00:00:00"/>
    <s v="Wednesday"/>
    <n v="7"/>
    <n v="11.2"/>
    <x v="1"/>
    <x v="4"/>
    <s v="Male"/>
    <n v="74"/>
    <n v="198.6"/>
    <n v="25.4"/>
    <n v="18"/>
    <s v="Other"/>
    <n v="5"/>
    <n v="2004.2"/>
    <s v="Low"/>
    <n v="1"/>
    <s v="Single-Day"/>
    <n v="0"/>
    <n v="0"/>
    <s v="Main Entrance"/>
    <s v="None/Dropoff/Transit"/>
    <n v="8.5"/>
    <n v="11"/>
    <x v="3360"/>
  </r>
  <r>
    <n v="3610"/>
    <n v="1188"/>
    <d v="2026-07-08T00:00:00"/>
    <s v="Wednesday"/>
    <n v="7"/>
    <n v="11.11"/>
    <x v="1"/>
    <x v="55"/>
    <s v="Male"/>
    <n v="73.2"/>
    <n v="224.5"/>
    <n v="29.4"/>
    <n v="14"/>
    <s v="Other"/>
    <n v="5"/>
    <n v="2004.2"/>
    <s v="Low"/>
    <n v="1"/>
    <s v="Single-Day"/>
    <n v="0"/>
    <n v="0"/>
    <s v="Main Entrance"/>
    <s v="None/Dropoff/Transit"/>
    <n v="8.4"/>
    <n v="3"/>
    <x v="3361"/>
  </r>
  <r>
    <n v="3611"/>
    <n v="1188"/>
    <d v="2026-07-08T00:00:00"/>
    <s v="Wednesday"/>
    <n v="7"/>
    <n v="11.02"/>
    <x v="1"/>
    <x v="27"/>
    <s v="Male"/>
    <n v="69.900000000000006"/>
    <n v="234.3"/>
    <n v="33.6"/>
    <n v="15"/>
    <s v="Other"/>
    <n v="5"/>
    <n v="2004.2"/>
    <s v="Low"/>
    <n v="1"/>
    <s v="Single-Day"/>
    <n v="0"/>
    <n v="0"/>
    <s v="Main Entrance"/>
    <s v="None/Dropoff/Transit"/>
    <n v="9.3000000000000007"/>
    <n v="5"/>
    <x v="1279"/>
  </r>
  <r>
    <n v="3612"/>
    <n v="1188"/>
    <d v="2026-07-08T00:00:00"/>
    <s v="Wednesday"/>
    <n v="7"/>
    <n v="11.08"/>
    <x v="1"/>
    <x v="21"/>
    <s v="Female"/>
    <n v="66.5"/>
    <n v="147.5"/>
    <n v="23.6"/>
    <n v="16"/>
    <s v="Other"/>
    <n v="5"/>
    <n v="2004.2"/>
    <s v="Low"/>
    <n v="1"/>
    <s v="Single-Day"/>
    <n v="0"/>
    <n v="0"/>
    <s v="Main Entrance"/>
    <s v="None/Dropoff/Transit"/>
    <n v="7"/>
    <n v="5"/>
    <x v="3300"/>
  </r>
  <r>
    <n v="3613"/>
    <n v="1189"/>
    <d v="2026-07-14T00:00:00"/>
    <s v="Tuesday"/>
    <n v="7"/>
    <n v="12.04"/>
    <x v="1"/>
    <x v="74"/>
    <s v="Male"/>
    <n v="66"/>
    <n v="177"/>
    <n v="28.6"/>
    <n v="18"/>
    <s v="SD"/>
    <n v="5"/>
    <n v="1588.8"/>
    <s v="Middle"/>
    <n v="1"/>
    <s v="Park Hopper"/>
    <n v="1"/>
    <n v="0"/>
    <s v="Main Entrance"/>
    <s v="None/Dropoff/Transit"/>
    <n v="7.7"/>
    <n v="11"/>
    <x v="1312"/>
  </r>
  <r>
    <n v="3614"/>
    <n v="1189"/>
    <d v="2026-07-14T00:00:00"/>
    <s v="Tuesday"/>
    <n v="7"/>
    <n v="11.89"/>
    <x v="1"/>
    <x v="45"/>
    <s v="Male"/>
    <n v="67.400000000000006"/>
    <n v="114.7"/>
    <n v="17.899999999999999"/>
    <n v="21"/>
    <s v="SD"/>
    <n v="5"/>
    <n v="1588.8"/>
    <s v="Middle"/>
    <n v="1"/>
    <s v="Park Hopper"/>
    <n v="1"/>
    <n v="0"/>
    <s v="Main Entrance"/>
    <s v="None/Dropoff/Transit"/>
    <n v="9.5"/>
    <n v="15"/>
    <x v="3362"/>
  </r>
  <r>
    <n v="3615"/>
    <n v="1189"/>
    <d v="2026-07-14T00:00:00"/>
    <s v="Tuesday"/>
    <n v="7"/>
    <n v="12.15"/>
    <x v="1"/>
    <x v="43"/>
    <s v="Female"/>
    <n v="64.5"/>
    <n v="173.3"/>
    <n v="29.2"/>
    <n v="13"/>
    <s v="SD"/>
    <n v="5"/>
    <n v="1588.8"/>
    <s v="Middle"/>
    <n v="1"/>
    <s v="Park Hopper"/>
    <n v="1"/>
    <n v="0"/>
    <s v="Main Entrance"/>
    <s v="None/Dropoff/Transit"/>
    <n v="4.8"/>
    <n v="7"/>
    <x v="3363"/>
  </r>
  <r>
    <n v="3616"/>
    <n v="1189"/>
    <d v="2026-07-14T00:00:00"/>
    <s v="Tuesday"/>
    <n v="7"/>
    <n v="11.88"/>
    <x v="1"/>
    <x v="16"/>
    <s v="Male"/>
    <n v="59.5"/>
    <n v="94"/>
    <n v="18.5"/>
    <n v="12"/>
    <s v="SD"/>
    <n v="5"/>
    <n v="1588.8"/>
    <s v="Middle"/>
    <n v="1"/>
    <s v="Park Hopper"/>
    <n v="1"/>
    <n v="0"/>
    <s v="Main Entrance"/>
    <s v="None/Dropoff/Transit"/>
    <n v="8.9"/>
    <n v="5"/>
    <x v="3364"/>
  </r>
  <r>
    <n v="3617"/>
    <n v="1189"/>
    <d v="2026-07-14T00:00:00"/>
    <s v="Tuesday"/>
    <n v="7"/>
    <n v="12.13"/>
    <x v="1"/>
    <x v="14"/>
    <s v="Male"/>
    <n v="71.900000000000006"/>
    <n v="228.7"/>
    <n v="31.1"/>
    <n v="14"/>
    <s v="SD"/>
    <n v="5"/>
    <n v="1588.8"/>
    <s v="Middle"/>
    <n v="1"/>
    <s v="Park Hopper"/>
    <n v="1"/>
    <n v="0"/>
    <s v="Main Entrance"/>
    <s v="None/Dropoff/Transit"/>
    <n v="7.8"/>
    <n v="8"/>
    <x v="3365"/>
  </r>
  <r>
    <n v="3618"/>
    <n v="1190"/>
    <d v="2026-02-12T00:00:00"/>
    <s v="Thursday"/>
    <n v="2"/>
    <n v="12.32"/>
    <x v="1"/>
    <x v="40"/>
    <s v="Female"/>
    <n v="70"/>
    <n v="155.19999999999999"/>
    <n v="22.3"/>
    <n v="12"/>
    <s v="CA"/>
    <n v="5"/>
    <n v="62.8"/>
    <s v="Low"/>
    <n v="0"/>
    <s v="Single-Day"/>
    <n v="1"/>
    <n v="1"/>
    <s v="Downtown Disney Gate"/>
    <s v="None/Walked from Resort"/>
    <n v="9.8000000000000007"/>
    <n v="12"/>
    <x v="3366"/>
  </r>
  <r>
    <n v="3619"/>
    <n v="1190"/>
    <d v="2026-02-12T00:00:00"/>
    <s v="Thursday"/>
    <n v="2"/>
    <n v="11.95"/>
    <x v="1"/>
    <x v="51"/>
    <s v="Male"/>
    <n v="65.599999999999994"/>
    <n v="135.4"/>
    <n v="22"/>
    <n v="13"/>
    <s v="CA"/>
    <n v="5"/>
    <n v="62.8"/>
    <s v="Low"/>
    <n v="0"/>
    <s v="Single-Day"/>
    <n v="1"/>
    <n v="1"/>
    <s v="Downtown Disney Gate"/>
    <s v="None/Walked from Resort"/>
    <n v="7.4"/>
    <n v="8"/>
    <x v="3367"/>
  </r>
  <r>
    <n v="3620"/>
    <n v="1190"/>
    <d v="2026-02-12T00:00:00"/>
    <s v="Thursday"/>
    <n v="2"/>
    <n v="11.94"/>
    <x v="1"/>
    <x v="51"/>
    <s v="Female"/>
    <n v="60.6"/>
    <n v="125.4"/>
    <n v="24"/>
    <n v="14"/>
    <s v="CA"/>
    <n v="5"/>
    <n v="62.8"/>
    <s v="Low"/>
    <n v="0"/>
    <s v="Single-Day"/>
    <n v="1"/>
    <n v="1"/>
    <s v="Downtown Disney Gate"/>
    <s v="None/Walked from Resort"/>
    <n v="6.5"/>
    <n v="9"/>
    <x v="3368"/>
  </r>
  <r>
    <n v="3621"/>
    <n v="1190"/>
    <d v="2026-02-12T00:00:00"/>
    <s v="Thursday"/>
    <n v="2"/>
    <n v="12.2"/>
    <x v="1"/>
    <x v="33"/>
    <s v="Male"/>
    <n v="67.099999999999994"/>
    <n v="129.30000000000001"/>
    <n v="20.100000000000001"/>
    <n v="15"/>
    <s v="CA"/>
    <n v="5"/>
    <n v="62.8"/>
    <s v="Low"/>
    <n v="0"/>
    <s v="Single-Day"/>
    <n v="1"/>
    <n v="1"/>
    <s v="Downtown Disney Gate"/>
    <s v="None/Walked from Resort"/>
    <n v="8.1999999999999993"/>
    <n v="13"/>
    <x v="3369"/>
  </r>
  <r>
    <n v="3622"/>
    <n v="1190"/>
    <d v="2026-02-12T00:00:00"/>
    <s v="Thursday"/>
    <n v="2"/>
    <n v="12.08"/>
    <x v="1"/>
    <x v="10"/>
    <s v="Male"/>
    <n v="69.900000000000006"/>
    <n v="144.69999999999999"/>
    <n v="20.7"/>
    <n v="13"/>
    <s v="CA"/>
    <n v="5"/>
    <n v="62.8"/>
    <s v="Low"/>
    <n v="0"/>
    <s v="Single-Day"/>
    <n v="1"/>
    <n v="1"/>
    <s v="Downtown Disney Gate"/>
    <s v="None/Walked from Resort"/>
    <n v="9.6999999999999993"/>
    <n v="7"/>
    <x v="3370"/>
  </r>
  <r>
    <n v="3623"/>
    <n v="1191"/>
    <d v="2026-08-19T00:00:00"/>
    <s v="Wednesday"/>
    <n v="8"/>
    <n v="12.34"/>
    <x v="1"/>
    <x v="1"/>
    <s v="Female"/>
    <n v="62.2"/>
    <n v="185.2"/>
    <n v="33.700000000000003"/>
    <n v="16"/>
    <s v="TX"/>
    <n v="3"/>
    <n v="1118"/>
    <s v="Middle"/>
    <n v="1"/>
    <s v="Single-Day"/>
    <n v="0"/>
    <n v="0"/>
    <s v="Main Entrance"/>
    <s v="Mickey &amp; Friends"/>
    <n v="9"/>
    <n v="9"/>
    <x v="3371"/>
  </r>
  <r>
    <n v="3624"/>
    <n v="1191"/>
    <d v="2026-08-19T00:00:00"/>
    <s v="Wednesday"/>
    <n v="8"/>
    <n v="12.57"/>
    <x v="1"/>
    <x v="53"/>
    <s v="Male"/>
    <n v="56"/>
    <n v="88.1"/>
    <n v="19.600000000000001"/>
    <n v="14"/>
    <s v="TX"/>
    <n v="3"/>
    <n v="1118"/>
    <s v="Middle"/>
    <n v="1"/>
    <s v="Single-Day"/>
    <n v="0"/>
    <n v="0"/>
    <s v="Main Entrance"/>
    <s v="Mickey &amp; Friends"/>
    <n v="8.1999999999999993"/>
    <n v="10"/>
    <x v="3372"/>
  </r>
  <r>
    <n v="3625"/>
    <n v="1191"/>
    <d v="2026-08-19T00:00:00"/>
    <s v="Wednesday"/>
    <n v="8"/>
    <n v="12.52"/>
    <x v="1"/>
    <x v="12"/>
    <s v="Male"/>
    <n v="58.9"/>
    <n v="86"/>
    <n v="17.2"/>
    <n v="11"/>
    <s v="TX"/>
    <n v="3"/>
    <n v="1118"/>
    <s v="Middle"/>
    <n v="1"/>
    <s v="Single-Day"/>
    <n v="0"/>
    <n v="0"/>
    <s v="Main Entrance"/>
    <s v="Mickey &amp; Friends"/>
    <n v="8.6"/>
    <n v="9"/>
    <x v="3373"/>
  </r>
  <r>
    <n v="3626"/>
    <n v="1192"/>
    <d v="2026-07-29T00:00:00"/>
    <s v="Wednesday"/>
    <n v="7"/>
    <n v="10.01"/>
    <x v="0"/>
    <x v="52"/>
    <s v="Male"/>
    <n v="71.5"/>
    <n v="173.3"/>
    <n v="24.2"/>
    <n v="16"/>
    <s v="AZ"/>
    <n v="4"/>
    <n v="132.4"/>
    <s v="High"/>
    <n v="1"/>
    <s v="Park Hopper"/>
    <n v="1"/>
    <n v="1"/>
    <s v="Main Entrance"/>
    <s v="Mickey &amp; Friends"/>
    <n v="7.8"/>
    <n v="9"/>
    <x v="3374"/>
  </r>
  <r>
    <n v="3627"/>
    <n v="1192"/>
    <d v="2026-07-29T00:00:00"/>
    <s v="Wednesday"/>
    <n v="7"/>
    <n v="10.33"/>
    <x v="0"/>
    <x v="66"/>
    <s v="Male"/>
    <n v="68.099999999999994"/>
    <n v="123.2"/>
    <n v="18.399999999999999"/>
    <n v="18"/>
    <s v="AZ"/>
    <n v="4"/>
    <n v="132.4"/>
    <s v="High"/>
    <n v="1"/>
    <s v="Park Hopper"/>
    <n v="1"/>
    <n v="1"/>
    <s v="Main Entrance"/>
    <s v="Mickey &amp; Friends"/>
    <n v="9.9"/>
    <n v="11"/>
    <x v="3375"/>
  </r>
  <r>
    <n v="3628"/>
    <n v="1192"/>
    <d v="2026-07-29T00:00:00"/>
    <s v="Wednesday"/>
    <n v="7"/>
    <n v="10.1"/>
    <x v="0"/>
    <x v="35"/>
    <s v="Female"/>
    <n v="64.5"/>
    <n v="132.30000000000001"/>
    <n v="22.2"/>
    <n v="22"/>
    <s v="AZ"/>
    <n v="4"/>
    <n v="132.4"/>
    <s v="High"/>
    <n v="1"/>
    <s v="Park Hopper"/>
    <n v="1"/>
    <n v="1"/>
    <s v="Main Entrance"/>
    <s v="Mickey &amp; Friends"/>
    <n v="9.1"/>
    <n v="8"/>
    <x v="3376"/>
  </r>
  <r>
    <n v="3629"/>
    <n v="1192"/>
    <d v="2026-07-29T00:00:00"/>
    <s v="Wednesday"/>
    <n v="7"/>
    <n v="10.07"/>
    <x v="0"/>
    <x v="38"/>
    <s v="Male"/>
    <n v="72.099999999999994"/>
    <n v="207.3"/>
    <n v="28"/>
    <n v="17"/>
    <s v="AZ"/>
    <n v="4"/>
    <n v="132.4"/>
    <s v="High"/>
    <n v="1"/>
    <s v="Park Hopper"/>
    <n v="1"/>
    <n v="1"/>
    <s v="Main Entrance"/>
    <s v="Mickey &amp; Friends"/>
    <n v="9.8000000000000007"/>
    <n v="11"/>
    <x v="3377"/>
  </r>
  <r>
    <n v="3630"/>
    <n v="1193"/>
    <d v="2026-01-17T00:00:00"/>
    <s v="Saturday"/>
    <n v="1"/>
    <n v="9.1999999999999993"/>
    <x v="0"/>
    <x v="55"/>
    <s v="Male"/>
    <n v="74.099999999999994"/>
    <n v="230"/>
    <n v="29.7"/>
    <n v="15"/>
    <s v="TX"/>
    <n v="2"/>
    <n v="1146.5"/>
    <s v="Middle"/>
    <n v="0"/>
    <s v="Single-Day"/>
    <n v="0"/>
    <n v="0"/>
    <s v="Main Entrance"/>
    <s v="Pixar Pals"/>
    <n v="6.9"/>
    <n v="7"/>
    <x v="3378"/>
  </r>
  <r>
    <n v="3631"/>
    <n v="1193"/>
    <d v="2026-01-17T00:00:00"/>
    <s v="Saturday"/>
    <n v="1"/>
    <n v="9.14"/>
    <x v="0"/>
    <x v="40"/>
    <s v="Male"/>
    <n v="62"/>
    <n v="102.6"/>
    <n v="18.7"/>
    <n v="13"/>
    <s v="TX"/>
    <n v="2"/>
    <n v="1146.5"/>
    <s v="Middle"/>
    <n v="0"/>
    <s v="Single-Day"/>
    <n v="0"/>
    <n v="0"/>
    <s v="Main Entrance"/>
    <s v="Pixar Pals"/>
    <n v="6.7"/>
    <n v="10"/>
    <x v="3379"/>
  </r>
  <r>
    <n v="3632"/>
    <n v="1194"/>
    <d v="2026-05-28T00:00:00"/>
    <s v="Thursday"/>
    <n v="5"/>
    <n v="8.7799999999999994"/>
    <x v="0"/>
    <x v="17"/>
    <s v="Female"/>
    <n v="58.2"/>
    <n v="125.9"/>
    <n v="25.9"/>
    <n v="18"/>
    <s v="OR"/>
    <n v="6"/>
    <n v="851.3"/>
    <s v="High"/>
    <n v="1"/>
    <s v="Multi-Day"/>
    <n v="1"/>
    <n v="1"/>
    <s v="Main Entrance"/>
    <s v="None/Walked from Resort"/>
    <n v="10.199999999999999"/>
    <n v="8"/>
    <x v="3380"/>
  </r>
  <r>
    <n v="3633"/>
    <n v="1194"/>
    <d v="2026-05-28T00:00:00"/>
    <s v="Thursday"/>
    <n v="5"/>
    <n v="8.5500000000000007"/>
    <x v="0"/>
    <x v="1"/>
    <s v="Female"/>
    <n v="64.900000000000006"/>
    <n v="183.5"/>
    <n v="30.4"/>
    <n v="21"/>
    <s v="OR"/>
    <n v="6"/>
    <n v="851.3"/>
    <s v="High"/>
    <n v="1"/>
    <s v="Multi-Day"/>
    <n v="1"/>
    <n v="1"/>
    <s v="Main Entrance"/>
    <s v="None/Walked from Resort"/>
    <n v="10.3"/>
    <n v="13"/>
    <x v="3381"/>
  </r>
  <r>
    <n v="3634"/>
    <n v="1194"/>
    <d v="2026-05-28T00:00:00"/>
    <s v="Thursday"/>
    <n v="5"/>
    <n v="8.6300000000000008"/>
    <x v="0"/>
    <x v="31"/>
    <s v="Female"/>
    <n v="69"/>
    <n v="197.3"/>
    <n v="29.1"/>
    <n v="20"/>
    <s v="OR"/>
    <n v="6"/>
    <n v="851.3"/>
    <s v="High"/>
    <n v="1"/>
    <s v="Multi-Day"/>
    <n v="1"/>
    <n v="1"/>
    <s v="Main Entrance"/>
    <s v="None/Walked from Resort"/>
    <n v="11.1"/>
    <n v="8"/>
    <x v="3382"/>
  </r>
  <r>
    <n v="3635"/>
    <n v="1194"/>
    <d v="2026-05-28T00:00:00"/>
    <s v="Thursday"/>
    <n v="5"/>
    <n v="8.99"/>
    <x v="0"/>
    <x v="10"/>
    <s v="Female"/>
    <n v="60.4"/>
    <n v="157.19999999999999"/>
    <n v="30.2"/>
    <n v="18"/>
    <s v="OR"/>
    <n v="6"/>
    <n v="851.3"/>
    <s v="High"/>
    <n v="1"/>
    <s v="Multi-Day"/>
    <n v="1"/>
    <n v="1"/>
    <s v="Main Entrance"/>
    <s v="None/Walked from Resort"/>
    <n v="10.199999999999999"/>
    <n v="13"/>
    <x v="3383"/>
  </r>
  <r>
    <n v="3636"/>
    <n v="1194"/>
    <d v="2026-05-28T00:00:00"/>
    <s v="Thursday"/>
    <n v="5"/>
    <n v="8.66"/>
    <x v="0"/>
    <x v="37"/>
    <s v="Female"/>
    <n v="63.8"/>
    <n v="145.69999999999999"/>
    <n v="25.3"/>
    <n v="16"/>
    <s v="OR"/>
    <n v="6"/>
    <n v="851.3"/>
    <s v="High"/>
    <n v="1"/>
    <s v="Multi-Day"/>
    <n v="1"/>
    <n v="1"/>
    <s v="Main Entrance"/>
    <s v="None/Walked from Resort"/>
    <n v="9.1"/>
    <n v="5"/>
    <x v="2107"/>
  </r>
  <r>
    <n v="3637"/>
    <n v="1194"/>
    <d v="2026-05-28T00:00:00"/>
    <s v="Thursday"/>
    <n v="5"/>
    <n v="8.83"/>
    <x v="0"/>
    <x v="5"/>
    <s v="Male"/>
    <n v="71.7"/>
    <n v="124.1"/>
    <n v="17.100000000000001"/>
    <n v="21"/>
    <s v="OR"/>
    <n v="6"/>
    <n v="851.3"/>
    <s v="High"/>
    <n v="1"/>
    <s v="Multi-Day"/>
    <n v="1"/>
    <n v="1"/>
    <s v="Main Entrance"/>
    <s v="None/Walked from Resort"/>
    <n v="10"/>
    <n v="13"/>
    <x v="3384"/>
  </r>
  <r>
    <n v="3638"/>
    <n v="1195"/>
    <d v="2026-12-22T00:00:00"/>
    <s v="Tuesday"/>
    <n v="12"/>
    <n v="12.34"/>
    <x v="1"/>
    <x v="45"/>
    <s v="Female"/>
    <n v="61.8"/>
    <n v="151.9"/>
    <n v="28.2"/>
    <n v="19"/>
    <s v="WA"/>
    <n v="3"/>
    <n v="1329.4"/>
    <s v="Middle"/>
    <n v="1"/>
    <s v="Single-Day"/>
    <n v="0"/>
    <n v="0"/>
    <s v="Main Entrance"/>
    <s v="Pixar Pals"/>
    <n v="7"/>
    <n v="2"/>
    <x v="3385"/>
  </r>
  <r>
    <n v="3639"/>
    <n v="1195"/>
    <d v="2026-12-22T00:00:00"/>
    <s v="Tuesday"/>
    <n v="12"/>
    <n v="12.13"/>
    <x v="1"/>
    <x v="49"/>
    <s v="Male"/>
    <n v="70.5"/>
    <n v="148.5"/>
    <n v="21"/>
    <n v="15"/>
    <s v="WA"/>
    <n v="3"/>
    <n v="1329.4"/>
    <s v="Middle"/>
    <n v="1"/>
    <s v="Single-Day"/>
    <n v="0"/>
    <n v="0"/>
    <s v="Main Entrance"/>
    <s v="Pixar Pals"/>
    <n v="7.8"/>
    <n v="12"/>
    <x v="3386"/>
  </r>
  <r>
    <n v="3640"/>
    <n v="1195"/>
    <d v="2026-12-22T00:00:00"/>
    <s v="Tuesday"/>
    <n v="12"/>
    <n v="12.28"/>
    <x v="1"/>
    <x v="71"/>
    <s v="Female"/>
    <n v="62.9"/>
    <n v="95.8"/>
    <n v="17.100000000000001"/>
    <n v="16"/>
    <s v="WA"/>
    <n v="3"/>
    <n v="1329.4"/>
    <s v="Middle"/>
    <n v="1"/>
    <s v="Single-Day"/>
    <n v="0"/>
    <n v="0"/>
    <s v="Main Entrance"/>
    <s v="Pixar Pals"/>
    <n v="6.3"/>
    <n v="6"/>
    <x v="3387"/>
  </r>
  <r>
    <n v="3641"/>
    <n v="1196"/>
    <d v="2026-10-19T00:00:00"/>
    <s v="Monday"/>
    <n v="10"/>
    <n v="13.04"/>
    <x v="1"/>
    <x v="21"/>
    <s v="Female"/>
    <n v="66.400000000000006"/>
    <n v="143.5"/>
    <n v="23.1"/>
    <n v="14"/>
    <s v="AZ"/>
    <n v="6"/>
    <n v="322.5"/>
    <s v="Middle"/>
    <n v="0"/>
    <s v="Single-Day"/>
    <n v="0"/>
    <n v="0"/>
    <s v="Downtown Disney Gate"/>
    <s v="Mickey &amp; Friends"/>
    <n v="7.5"/>
    <n v="5"/>
    <x v="3388"/>
  </r>
  <r>
    <n v="3642"/>
    <n v="1196"/>
    <d v="2026-10-19T00:00:00"/>
    <s v="Monday"/>
    <n v="10"/>
    <n v="12.96"/>
    <x v="1"/>
    <x v="9"/>
    <s v="Female"/>
    <n v="66.5"/>
    <n v="150.5"/>
    <n v="23.9"/>
    <n v="16"/>
    <s v="AZ"/>
    <n v="6"/>
    <n v="322.5"/>
    <s v="Middle"/>
    <n v="0"/>
    <s v="Single-Day"/>
    <n v="0"/>
    <n v="0"/>
    <s v="Downtown Disney Gate"/>
    <s v="Mickey &amp; Friends"/>
    <n v="6.8"/>
    <n v="7"/>
    <x v="3389"/>
  </r>
  <r>
    <n v="3643"/>
    <n v="1196"/>
    <d v="2026-10-19T00:00:00"/>
    <s v="Monday"/>
    <n v="10"/>
    <n v="13.01"/>
    <x v="1"/>
    <x v="12"/>
    <s v="Female"/>
    <n v="60.8"/>
    <n v="118.6"/>
    <n v="22.6"/>
    <n v="10"/>
    <s v="AZ"/>
    <n v="6"/>
    <n v="322.5"/>
    <s v="Middle"/>
    <n v="0"/>
    <s v="Single-Day"/>
    <n v="0"/>
    <n v="0"/>
    <s v="Downtown Disney Gate"/>
    <s v="Mickey &amp; Friends"/>
    <n v="8.1"/>
    <n v="17"/>
    <x v="3390"/>
  </r>
  <r>
    <n v="3644"/>
    <n v="1196"/>
    <d v="2026-10-19T00:00:00"/>
    <s v="Monday"/>
    <n v="10"/>
    <n v="12.82"/>
    <x v="1"/>
    <x v="49"/>
    <s v="Female"/>
    <n v="66"/>
    <n v="162.9"/>
    <n v="26.4"/>
    <n v="18"/>
    <s v="AZ"/>
    <n v="6"/>
    <n v="322.5"/>
    <s v="Middle"/>
    <n v="0"/>
    <s v="Single-Day"/>
    <n v="0"/>
    <n v="0"/>
    <s v="Downtown Disney Gate"/>
    <s v="Mickey &amp; Friends"/>
    <n v="8"/>
    <n v="8"/>
    <x v="3391"/>
  </r>
  <r>
    <n v="3645"/>
    <n v="1196"/>
    <d v="2026-10-19T00:00:00"/>
    <s v="Monday"/>
    <n v="10"/>
    <n v="12.93"/>
    <x v="1"/>
    <x v="13"/>
    <s v="Female"/>
    <n v="64.2"/>
    <n v="144.1"/>
    <n v="24.5"/>
    <n v="14"/>
    <s v="AZ"/>
    <n v="6"/>
    <n v="322.5"/>
    <s v="Middle"/>
    <n v="0"/>
    <s v="Single-Day"/>
    <n v="0"/>
    <n v="0"/>
    <s v="Downtown Disney Gate"/>
    <s v="Mickey &amp; Friends"/>
    <n v="4"/>
    <n v="3"/>
    <x v="3392"/>
  </r>
  <r>
    <n v="3646"/>
    <n v="1196"/>
    <d v="2026-10-19T00:00:00"/>
    <s v="Monday"/>
    <n v="10"/>
    <n v="12.95"/>
    <x v="1"/>
    <x v="52"/>
    <s v="Male"/>
    <n v="71.2"/>
    <n v="190.3"/>
    <n v="26.3"/>
    <n v="17"/>
    <s v="AZ"/>
    <n v="6"/>
    <n v="322.5"/>
    <s v="Middle"/>
    <n v="0"/>
    <s v="Single-Day"/>
    <n v="0"/>
    <n v="0"/>
    <s v="Downtown Disney Gate"/>
    <s v="Mickey &amp; Friends"/>
    <n v="5.5"/>
    <n v="9"/>
    <x v="3393"/>
  </r>
  <r>
    <n v="3647"/>
    <n v="1197"/>
    <d v="2026-03-30T00:00:00"/>
    <s v="Monday"/>
    <n v="3"/>
    <n v="11.16"/>
    <x v="1"/>
    <x v="61"/>
    <s v="Male"/>
    <n v="62.5"/>
    <n v="89.2"/>
    <n v="16.2"/>
    <n v="11"/>
    <s v="OR"/>
    <n v="3"/>
    <n v="635.6"/>
    <s v="Low"/>
    <n v="0"/>
    <s v="Single-Day"/>
    <n v="0"/>
    <n v="1"/>
    <s v="Hotel Guest Entrance"/>
    <s v="Mickey &amp; Friends"/>
    <n v="11.2"/>
    <n v="15"/>
    <x v="3394"/>
  </r>
  <r>
    <n v="3648"/>
    <n v="1197"/>
    <d v="2026-03-30T00:00:00"/>
    <s v="Monday"/>
    <n v="3"/>
    <n v="10.93"/>
    <x v="0"/>
    <x v="51"/>
    <s v="Female"/>
    <n v="64.3"/>
    <n v="134"/>
    <n v="22.7"/>
    <n v="13"/>
    <s v="OR"/>
    <n v="3"/>
    <n v="635.6"/>
    <s v="Low"/>
    <n v="0"/>
    <s v="Single-Day"/>
    <n v="0"/>
    <n v="1"/>
    <s v="Hotel Guest Entrance"/>
    <s v="Mickey &amp; Friends"/>
    <n v="9.9"/>
    <n v="9"/>
    <x v="3395"/>
  </r>
  <r>
    <n v="3649"/>
    <n v="1197"/>
    <d v="2026-03-30T00:00:00"/>
    <s v="Monday"/>
    <n v="3"/>
    <n v="11.16"/>
    <x v="1"/>
    <x v="49"/>
    <s v="Male"/>
    <n v="67.7"/>
    <n v="152.30000000000001"/>
    <n v="23.3"/>
    <n v="14"/>
    <s v="OR"/>
    <n v="3"/>
    <n v="635.6"/>
    <s v="Low"/>
    <n v="0"/>
    <s v="Single-Day"/>
    <n v="0"/>
    <n v="1"/>
    <s v="Hotel Guest Entrance"/>
    <s v="Mickey &amp; Friends"/>
    <n v="6.9"/>
    <n v="8"/>
    <x v="3396"/>
  </r>
  <r>
    <n v="3650"/>
    <n v="1198"/>
    <d v="2026-05-12T00:00:00"/>
    <s v="Tuesday"/>
    <n v="5"/>
    <n v="9.39"/>
    <x v="0"/>
    <x v="22"/>
    <s v="Male"/>
    <n v="62.2"/>
    <n v="117.3"/>
    <n v="21.1"/>
    <n v="14"/>
    <s v="AZ"/>
    <n v="3"/>
    <n v="449.7"/>
    <s v="High"/>
    <n v="1"/>
    <s v="Park Hopper"/>
    <n v="0"/>
    <n v="0"/>
    <s v="Main Entrance"/>
    <s v="Mickey &amp; Friends"/>
    <n v="9.4"/>
    <n v="2"/>
    <x v="3397"/>
  </r>
  <r>
    <n v="3651"/>
    <n v="1198"/>
    <d v="2026-05-12T00:00:00"/>
    <s v="Tuesday"/>
    <n v="5"/>
    <n v="9.07"/>
    <x v="0"/>
    <x v="61"/>
    <s v="Female"/>
    <n v="62.3"/>
    <n v="90.7"/>
    <n v="16.600000000000001"/>
    <n v="15"/>
    <s v="AZ"/>
    <n v="3"/>
    <n v="449.7"/>
    <s v="High"/>
    <n v="1"/>
    <s v="Park Hopper"/>
    <n v="0"/>
    <n v="0"/>
    <s v="Main Entrance"/>
    <s v="Mickey &amp; Friends"/>
    <n v="8.1999999999999993"/>
    <n v="9"/>
    <x v="3398"/>
  </r>
  <r>
    <n v="3652"/>
    <n v="1198"/>
    <d v="2026-05-12T00:00:00"/>
    <s v="Tuesday"/>
    <n v="5"/>
    <n v="9.2100000000000009"/>
    <x v="0"/>
    <x v="57"/>
    <s v="Female"/>
    <n v="61.8"/>
    <n v="143"/>
    <n v="26.5"/>
    <n v="17"/>
    <s v="AZ"/>
    <n v="3"/>
    <n v="449.7"/>
    <s v="High"/>
    <n v="1"/>
    <s v="Park Hopper"/>
    <n v="0"/>
    <n v="0"/>
    <s v="Main Entrance"/>
    <s v="Mickey &amp; Friends"/>
    <n v="11.8"/>
    <n v="12"/>
    <x v="624"/>
  </r>
  <r>
    <n v="3653"/>
    <n v="1199"/>
    <d v="2026-08-01T00:00:00"/>
    <s v="Saturday"/>
    <n v="8"/>
    <n v="12.07"/>
    <x v="1"/>
    <x v="48"/>
    <s v="Male"/>
    <n v="65.599999999999994"/>
    <n v="170.9"/>
    <n v="28.1"/>
    <n v="18"/>
    <s v="CA"/>
    <n v="1"/>
    <n v="118"/>
    <s v="High"/>
    <n v="0"/>
    <s v="Single-Day"/>
    <n v="0"/>
    <n v="1"/>
    <s v="Main Entrance"/>
    <s v="Mickey &amp; Friends"/>
    <n v="8.8000000000000007"/>
    <n v="4"/>
    <x v="2203"/>
  </r>
  <r>
    <n v="3654"/>
    <n v="1200"/>
    <d v="2026-08-03T00:00:00"/>
    <s v="Monday"/>
    <n v="8"/>
    <n v="8.4600000000000009"/>
    <x v="0"/>
    <x v="41"/>
    <s v="Male"/>
    <n v="69.2"/>
    <n v="208.6"/>
    <n v="30.7"/>
    <n v="18"/>
    <s v="CA"/>
    <n v="3"/>
    <n v="3.7"/>
    <s v="High"/>
    <n v="0"/>
    <s v="Single-Day"/>
    <n v="0"/>
    <n v="1"/>
    <s v="Main Entrance"/>
    <s v="None/Walked from Resort"/>
    <n v="7.4"/>
    <n v="7"/>
    <x v="3399"/>
  </r>
  <r>
    <n v="3655"/>
    <n v="1200"/>
    <d v="2026-08-03T00:00:00"/>
    <s v="Monday"/>
    <n v="8"/>
    <n v="8.51"/>
    <x v="0"/>
    <x v="3"/>
    <s v="Male"/>
    <n v="65.599999999999994"/>
    <n v="220"/>
    <n v="35.6"/>
    <n v="21"/>
    <s v="CA"/>
    <n v="3"/>
    <n v="3.7"/>
    <s v="High"/>
    <n v="0"/>
    <s v="Single-Day"/>
    <n v="0"/>
    <n v="1"/>
    <s v="Main Entrance"/>
    <s v="None/Walked from Resort"/>
    <n v="8.1999999999999993"/>
    <n v="8"/>
    <x v="3400"/>
  </r>
  <r>
    <n v="3656"/>
    <n v="1200"/>
    <d v="2026-08-03T00:00:00"/>
    <s v="Monday"/>
    <n v="8"/>
    <n v="8.48"/>
    <x v="0"/>
    <x v="48"/>
    <s v="Female"/>
    <n v="59.2"/>
    <n v="118.2"/>
    <n v="23.7"/>
    <n v="21"/>
    <s v="CA"/>
    <n v="3"/>
    <n v="3.7"/>
    <s v="High"/>
    <n v="0"/>
    <s v="Single-Day"/>
    <n v="0"/>
    <n v="1"/>
    <s v="Main Entrance"/>
    <s v="None/Walked from Resort"/>
    <n v="7.7"/>
    <n v="9"/>
    <x v="3401"/>
  </r>
  <r>
    <n v="3657"/>
    <n v="1201"/>
    <d v="2026-11-17T00:00:00"/>
    <s v="Tuesday"/>
    <n v="11"/>
    <n v="8.26"/>
    <x v="0"/>
    <x v="44"/>
    <s v="Female"/>
    <n v="64.099999999999994"/>
    <n v="158.80000000000001"/>
    <n v="27"/>
    <n v="14"/>
    <s v="UT"/>
    <n v="3"/>
    <n v="747.3"/>
    <s v="Low"/>
    <n v="1"/>
    <s v="Single-Day"/>
    <n v="0"/>
    <n v="0"/>
    <s v="Main Entrance"/>
    <s v="Pixar Pals"/>
    <n v="7"/>
    <n v="5"/>
    <x v="3402"/>
  </r>
  <r>
    <n v="3658"/>
    <n v="1201"/>
    <d v="2026-11-17T00:00:00"/>
    <s v="Tuesday"/>
    <n v="11"/>
    <n v="8.1999999999999993"/>
    <x v="0"/>
    <x v="48"/>
    <s v="Female"/>
    <n v="60.7"/>
    <n v="150.80000000000001"/>
    <n v="28.7"/>
    <n v="13"/>
    <s v="UT"/>
    <n v="3"/>
    <n v="747.3"/>
    <s v="Low"/>
    <n v="1"/>
    <s v="Single-Day"/>
    <n v="0"/>
    <n v="0"/>
    <s v="Main Entrance"/>
    <s v="Pixar Pals"/>
    <n v="8.8000000000000007"/>
    <n v="4"/>
    <x v="3403"/>
  </r>
  <r>
    <n v="3659"/>
    <n v="1201"/>
    <d v="2026-11-17T00:00:00"/>
    <s v="Tuesday"/>
    <n v="11"/>
    <n v="8.43"/>
    <x v="0"/>
    <x v="1"/>
    <s v="Male"/>
    <n v="64.400000000000006"/>
    <n v="173.3"/>
    <n v="29.1"/>
    <n v="12"/>
    <s v="UT"/>
    <n v="3"/>
    <n v="747.3"/>
    <s v="Low"/>
    <n v="1"/>
    <s v="Single-Day"/>
    <n v="0"/>
    <n v="0"/>
    <s v="Main Entrance"/>
    <s v="Pixar Pals"/>
    <n v="11.4"/>
    <n v="13"/>
    <x v="3404"/>
  </r>
  <r>
    <n v="3660"/>
    <n v="1202"/>
    <d v="2026-05-04T00:00:00"/>
    <s v="Monday"/>
    <n v="5"/>
    <n v="11.58"/>
    <x v="1"/>
    <x v="8"/>
    <s v="Female"/>
    <n v="59.6"/>
    <n v="141"/>
    <n v="27.7"/>
    <n v="13"/>
    <s v="NV"/>
    <n v="4"/>
    <n v="303.7"/>
    <s v="Low"/>
    <n v="1"/>
    <s v="Multi-Day"/>
    <n v="0"/>
    <n v="0"/>
    <s v="Main Entrance"/>
    <s v="Mickey &amp; Friends"/>
    <n v="9"/>
    <n v="14"/>
    <x v="3405"/>
  </r>
  <r>
    <n v="3661"/>
    <n v="1202"/>
    <d v="2026-05-04T00:00:00"/>
    <s v="Monday"/>
    <n v="5"/>
    <n v="11.56"/>
    <x v="1"/>
    <x v="38"/>
    <s v="Male"/>
    <n v="74.5"/>
    <n v="214.4"/>
    <n v="26.9"/>
    <n v="10"/>
    <s v="NV"/>
    <n v="4"/>
    <n v="303.7"/>
    <s v="Low"/>
    <n v="1"/>
    <s v="Multi-Day"/>
    <n v="0"/>
    <n v="0"/>
    <s v="Main Entrance"/>
    <s v="Mickey &amp; Friends"/>
    <n v="4.3"/>
    <n v="10"/>
    <x v="3406"/>
  </r>
  <r>
    <n v="3662"/>
    <n v="1202"/>
    <d v="2026-05-04T00:00:00"/>
    <s v="Monday"/>
    <n v="5"/>
    <n v="11.8"/>
    <x v="1"/>
    <x v="38"/>
    <s v="Male"/>
    <n v="70.2"/>
    <n v="206.3"/>
    <n v="29.7"/>
    <n v="10"/>
    <s v="NV"/>
    <n v="4"/>
    <n v="303.7"/>
    <s v="Low"/>
    <n v="1"/>
    <s v="Multi-Day"/>
    <n v="0"/>
    <n v="0"/>
    <s v="Main Entrance"/>
    <s v="Mickey &amp; Friends"/>
    <n v="5.2"/>
    <n v="7"/>
    <x v="3407"/>
  </r>
  <r>
    <n v="3663"/>
    <n v="1202"/>
    <d v="2026-05-04T00:00:00"/>
    <s v="Monday"/>
    <n v="5"/>
    <n v="11.66"/>
    <x v="1"/>
    <x v="35"/>
    <s v="Female"/>
    <n v="67.400000000000006"/>
    <n v="172.4"/>
    <n v="26.7"/>
    <n v="13"/>
    <s v="NV"/>
    <n v="4"/>
    <n v="303.7"/>
    <s v="Low"/>
    <n v="1"/>
    <s v="Multi-Day"/>
    <n v="0"/>
    <n v="0"/>
    <s v="Main Entrance"/>
    <s v="Mickey &amp; Friends"/>
    <n v="8.1999999999999993"/>
    <n v="7"/>
    <x v="3408"/>
  </r>
  <r>
    <n v="3664"/>
    <n v="1203"/>
    <d v="2026-12-20T00:00:00"/>
    <s v="Sunday"/>
    <n v="12"/>
    <n v="7.23"/>
    <x v="0"/>
    <x v="48"/>
    <s v="Female"/>
    <n v="64.3"/>
    <n v="134.4"/>
    <n v="22.7"/>
    <n v="19"/>
    <s v="CA"/>
    <n v="2"/>
    <n v="130.19999999999999"/>
    <s v="Middle"/>
    <n v="0"/>
    <s v="Single-Day"/>
    <n v="1"/>
    <n v="0"/>
    <s v="Main Entrance"/>
    <s v="Pixar Pals"/>
    <n v="9.8000000000000007"/>
    <n v="12"/>
    <x v="3409"/>
  </r>
  <r>
    <n v="3665"/>
    <n v="1203"/>
    <d v="2026-12-20T00:00:00"/>
    <s v="Sunday"/>
    <n v="12"/>
    <n v="7.38"/>
    <x v="0"/>
    <x v="20"/>
    <s v="Male"/>
    <n v="70"/>
    <n v="110.7"/>
    <n v="15.8"/>
    <n v="15"/>
    <s v="CA"/>
    <n v="2"/>
    <n v="130.19999999999999"/>
    <s v="Middle"/>
    <n v="0"/>
    <s v="Single-Day"/>
    <n v="1"/>
    <n v="0"/>
    <s v="Main Entrance"/>
    <s v="Pixar Pals"/>
    <n v="8.1"/>
    <n v="7"/>
    <x v="3410"/>
  </r>
  <r>
    <n v="3666"/>
    <n v="1204"/>
    <d v="2026-05-28T00:00:00"/>
    <s v="Thursday"/>
    <n v="5"/>
    <n v="11.02"/>
    <x v="1"/>
    <x v="78"/>
    <s v="Female"/>
    <n v="70"/>
    <n v="167.2"/>
    <n v="23.9"/>
    <n v="11"/>
    <s v="CA"/>
    <n v="3"/>
    <n v="114.6"/>
    <s v="Middle"/>
    <n v="0"/>
    <s v="Multi-Day"/>
    <n v="1"/>
    <n v="0"/>
    <s v="Main Entrance"/>
    <s v="None/Dropoff/Transit"/>
    <n v="7.7"/>
    <n v="6"/>
    <x v="3411"/>
  </r>
  <r>
    <n v="3667"/>
    <n v="1204"/>
    <d v="2026-05-28T00:00:00"/>
    <s v="Thursday"/>
    <n v="5"/>
    <n v="11.27"/>
    <x v="1"/>
    <x v="7"/>
    <s v="Female"/>
    <n v="54.2"/>
    <n v="61.2"/>
    <n v="14.7"/>
    <n v="12"/>
    <s v="CA"/>
    <n v="3"/>
    <n v="114.6"/>
    <s v="Middle"/>
    <n v="0"/>
    <s v="Multi-Day"/>
    <n v="1"/>
    <n v="0"/>
    <s v="Main Entrance"/>
    <s v="None/Dropoff/Transit"/>
    <n v="7.6"/>
    <n v="8"/>
    <x v="3412"/>
  </r>
  <r>
    <n v="3668"/>
    <n v="1204"/>
    <d v="2026-05-28T00:00:00"/>
    <s v="Thursday"/>
    <n v="5"/>
    <n v="11.16"/>
    <x v="1"/>
    <x v="53"/>
    <s v="Female"/>
    <n v="51.8"/>
    <n v="80.599999999999994"/>
    <n v="21.3"/>
    <n v="13"/>
    <s v="CA"/>
    <n v="3"/>
    <n v="114.6"/>
    <s v="Middle"/>
    <n v="0"/>
    <s v="Multi-Day"/>
    <n v="1"/>
    <n v="0"/>
    <s v="Main Entrance"/>
    <s v="None/Dropoff/Transit"/>
    <n v="5.7"/>
    <n v="15"/>
    <x v="3413"/>
  </r>
  <r>
    <n v="3669"/>
    <n v="1205"/>
    <d v="2026-03-12T00:00:00"/>
    <s v="Thursday"/>
    <n v="3"/>
    <n v="10.66"/>
    <x v="0"/>
    <x v="16"/>
    <s v="Male"/>
    <n v="54.3"/>
    <n v="98.8"/>
    <n v="23.4"/>
    <n v="15"/>
    <s v="CA"/>
    <n v="2"/>
    <n v="153.69999999999999"/>
    <s v="High"/>
    <n v="1"/>
    <s v="Single-Day"/>
    <n v="0"/>
    <n v="0"/>
    <s v="Main Entrance"/>
    <s v="Pixar Pals"/>
    <n v="8.6"/>
    <n v="4"/>
    <x v="3414"/>
  </r>
  <r>
    <n v="3670"/>
    <n v="1205"/>
    <d v="2026-03-12T00:00:00"/>
    <s v="Thursday"/>
    <n v="3"/>
    <n v="10.6"/>
    <x v="0"/>
    <x v="30"/>
    <s v="Male"/>
    <n v="67.900000000000006"/>
    <n v="178.7"/>
    <n v="27.5"/>
    <n v="14"/>
    <s v="CA"/>
    <n v="2"/>
    <n v="153.69999999999999"/>
    <s v="High"/>
    <n v="1"/>
    <s v="Single-Day"/>
    <n v="0"/>
    <n v="0"/>
    <s v="Main Entrance"/>
    <s v="Pixar Pals"/>
    <n v="8.4"/>
    <n v="9"/>
    <x v="3415"/>
  </r>
  <r>
    <n v="3671"/>
    <n v="1206"/>
    <d v="2026-04-01T00:00:00"/>
    <s v="Wednesday"/>
    <n v="4"/>
    <n v="9.64"/>
    <x v="0"/>
    <x v="51"/>
    <s v="Male"/>
    <n v="66.2"/>
    <n v="172.2"/>
    <n v="27.5"/>
    <n v="13"/>
    <s v="CA"/>
    <n v="6"/>
    <n v="117.7"/>
    <s v="Low"/>
    <n v="1"/>
    <s v="Single-Day"/>
    <n v="0"/>
    <n v="0"/>
    <s v="Main Entrance"/>
    <s v="Toy Story Lot"/>
    <n v="10.4"/>
    <n v="6"/>
    <x v="3416"/>
  </r>
  <r>
    <n v="3672"/>
    <n v="1206"/>
    <d v="2026-04-01T00:00:00"/>
    <s v="Wednesday"/>
    <n v="4"/>
    <n v="9.32"/>
    <x v="0"/>
    <x v="38"/>
    <s v="Female"/>
    <n v="60.7"/>
    <n v="157.80000000000001"/>
    <n v="30.2"/>
    <n v="8"/>
    <s v="CA"/>
    <n v="6"/>
    <n v="117.7"/>
    <s v="Low"/>
    <n v="1"/>
    <s v="Single-Day"/>
    <n v="0"/>
    <n v="0"/>
    <s v="Main Entrance"/>
    <s v="Toy Story Lot"/>
    <n v="7"/>
    <n v="12"/>
    <x v="3417"/>
  </r>
  <r>
    <n v="3673"/>
    <n v="1206"/>
    <d v="2026-04-01T00:00:00"/>
    <s v="Wednesday"/>
    <n v="4"/>
    <n v="9.4499999999999993"/>
    <x v="0"/>
    <x v="24"/>
    <s v="Female"/>
    <n v="62.5"/>
    <n v="148.9"/>
    <n v="26.4"/>
    <n v="16"/>
    <s v="CA"/>
    <n v="6"/>
    <n v="117.7"/>
    <s v="Low"/>
    <n v="1"/>
    <s v="Single-Day"/>
    <n v="0"/>
    <n v="0"/>
    <s v="Main Entrance"/>
    <s v="Toy Story Lot"/>
    <n v="6.8"/>
    <n v="1"/>
    <x v="3418"/>
  </r>
  <r>
    <n v="3674"/>
    <n v="1206"/>
    <d v="2026-04-01T00:00:00"/>
    <s v="Wednesday"/>
    <n v="4"/>
    <n v="9.5399999999999991"/>
    <x v="0"/>
    <x v="38"/>
    <s v="Male"/>
    <n v="72.8"/>
    <n v="187.9"/>
    <n v="24.9"/>
    <n v="12"/>
    <s v="CA"/>
    <n v="6"/>
    <n v="117.7"/>
    <s v="Low"/>
    <n v="1"/>
    <s v="Single-Day"/>
    <n v="0"/>
    <n v="0"/>
    <s v="Main Entrance"/>
    <s v="Toy Story Lot"/>
    <n v="6.2"/>
    <n v="5"/>
    <x v="3419"/>
  </r>
  <r>
    <n v="3675"/>
    <n v="1206"/>
    <d v="2026-04-01T00:00:00"/>
    <s v="Wednesday"/>
    <n v="4"/>
    <n v="9.31"/>
    <x v="0"/>
    <x v="0"/>
    <s v="Male"/>
    <n v="72.8"/>
    <n v="196.3"/>
    <n v="25.9"/>
    <n v="12"/>
    <s v="CA"/>
    <n v="6"/>
    <n v="117.7"/>
    <s v="Low"/>
    <n v="1"/>
    <s v="Single-Day"/>
    <n v="0"/>
    <n v="0"/>
    <s v="Main Entrance"/>
    <s v="Toy Story Lot"/>
    <n v="10.4"/>
    <n v="14"/>
    <x v="3420"/>
  </r>
  <r>
    <n v="3676"/>
    <n v="1206"/>
    <d v="2026-04-01T00:00:00"/>
    <s v="Wednesday"/>
    <n v="4"/>
    <n v="9.44"/>
    <x v="0"/>
    <x v="54"/>
    <s v="Female"/>
    <n v="62.1"/>
    <n v="156.4"/>
    <n v="28.6"/>
    <n v="15"/>
    <s v="CA"/>
    <n v="6"/>
    <n v="117.7"/>
    <s v="Low"/>
    <n v="1"/>
    <s v="Single-Day"/>
    <n v="0"/>
    <n v="0"/>
    <s v="Main Entrance"/>
    <s v="Toy Story Lot"/>
    <n v="10"/>
    <n v="3"/>
    <x v="3421"/>
  </r>
  <r>
    <n v="3677"/>
    <n v="1207"/>
    <d v="2026-05-07T00:00:00"/>
    <s v="Thursday"/>
    <n v="5"/>
    <n v="8.24"/>
    <x v="0"/>
    <x v="4"/>
    <s v="Female"/>
    <n v="66.3"/>
    <n v="167.1"/>
    <n v="26.9"/>
    <n v="14"/>
    <s v="AZ"/>
    <n v="2"/>
    <n v="357.1"/>
    <s v="Middle"/>
    <n v="1"/>
    <s v="Park Hopper"/>
    <n v="0"/>
    <n v="0"/>
    <s v="Main Entrance"/>
    <s v="Mickey &amp; Friends"/>
    <n v="7.1"/>
    <n v="7"/>
    <x v="3422"/>
  </r>
  <r>
    <n v="3678"/>
    <n v="1207"/>
    <d v="2026-05-07T00:00:00"/>
    <s v="Thursday"/>
    <n v="5"/>
    <n v="8.3699999999999992"/>
    <x v="0"/>
    <x v="13"/>
    <s v="Female"/>
    <n v="69.2"/>
    <n v="201.9"/>
    <n v="29.6"/>
    <n v="16"/>
    <s v="AZ"/>
    <n v="2"/>
    <n v="357.1"/>
    <s v="Middle"/>
    <n v="1"/>
    <s v="Park Hopper"/>
    <n v="0"/>
    <n v="0"/>
    <s v="Main Entrance"/>
    <s v="Mickey &amp; Friends"/>
    <n v="8.8000000000000007"/>
    <n v="6"/>
    <x v="3423"/>
  </r>
  <r>
    <n v="3679"/>
    <n v="1208"/>
    <d v="2026-09-07T00:00:00"/>
    <s v="Monday"/>
    <n v="9"/>
    <n v="12.12"/>
    <x v="1"/>
    <x v="42"/>
    <s v="Female"/>
    <n v="60.8"/>
    <n v="156.69999999999999"/>
    <n v="29.8"/>
    <n v="16"/>
    <s v="CA"/>
    <n v="1"/>
    <n v="136.5"/>
    <s v="Middle"/>
    <n v="0"/>
    <s v="Park Hopper"/>
    <n v="1"/>
    <n v="0"/>
    <s v="Main Entrance"/>
    <s v="Mickey &amp; Friends"/>
    <n v="7.6"/>
    <n v="7"/>
    <x v="3424"/>
  </r>
  <r>
    <n v="3680"/>
    <n v="1209"/>
    <d v="2026-03-29T00:00:00"/>
    <s v="Sunday"/>
    <n v="3"/>
    <n v="11.21"/>
    <x v="1"/>
    <x v="14"/>
    <s v="Female"/>
    <n v="62.6"/>
    <n v="108.6"/>
    <n v="19.3"/>
    <n v="13"/>
    <s v="CO"/>
    <n v="3"/>
    <n v="1046.7"/>
    <s v="Middle"/>
    <n v="1"/>
    <s v="Park Hopper"/>
    <n v="1"/>
    <n v="0"/>
    <s v="Main Entrance"/>
    <s v="Toy Story Lot"/>
    <n v="8.8000000000000007"/>
    <n v="3"/>
    <x v="3088"/>
  </r>
  <r>
    <n v="3681"/>
    <n v="1209"/>
    <d v="2026-03-29T00:00:00"/>
    <s v="Sunday"/>
    <n v="3"/>
    <n v="11.3"/>
    <x v="1"/>
    <x v="34"/>
    <s v="Female"/>
    <n v="63.8"/>
    <n v="128"/>
    <n v="22.1"/>
    <n v="12"/>
    <s v="CO"/>
    <n v="3"/>
    <n v="1046.7"/>
    <s v="Middle"/>
    <n v="1"/>
    <s v="Park Hopper"/>
    <n v="1"/>
    <n v="0"/>
    <s v="Main Entrance"/>
    <s v="Toy Story Lot"/>
    <n v="9.8000000000000007"/>
    <n v="12"/>
    <x v="3425"/>
  </r>
  <r>
    <n v="3682"/>
    <n v="1209"/>
    <d v="2026-03-29T00:00:00"/>
    <s v="Sunday"/>
    <n v="3"/>
    <n v="11.13"/>
    <x v="1"/>
    <x v="4"/>
    <s v="Female"/>
    <n v="66.599999999999994"/>
    <n v="158.1"/>
    <n v="25.1"/>
    <n v="13"/>
    <s v="CO"/>
    <n v="3"/>
    <n v="1046.7"/>
    <s v="Middle"/>
    <n v="1"/>
    <s v="Park Hopper"/>
    <n v="1"/>
    <n v="0"/>
    <s v="Main Entrance"/>
    <s v="Toy Story Lot"/>
    <n v="8"/>
    <n v="11"/>
    <x v="3426"/>
  </r>
  <r>
    <n v="3683"/>
    <n v="1210"/>
    <d v="2026-11-20T00:00:00"/>
    <s v="Friday"/>
    <n v="11"/>
    <n v="10.69"/>
    <x v="0"/>
    <x v="38"/>
    <s v="Female"/>
    <n v="66.3"/>
    <n v="179.6"/>
    <n v="28.9"/>
    <n v="12"/>
    <s v="NV"/>
    <n v="5"/>
    <n v="271.10000000000002"/>
    <s v="Middle"/>
    <n v="1"/>
    <s v="Multi-Day"/>
    <n v="0"/>
    <n v="0"/>
    <s v="Downtown Disney Gate"/>
    <s v="Mickey &amp; Friends"/>
    <n v="4.3"/>
    <n v="5"/>
    <x v="3427"/>
  </r>
  <r>
    <n v="3684"/>
    <n v="1210"/>
    <d v="2026-11-20T00:00:00"/>
    <s v="Friday"/>
    <n v="11"/>
    <n v="10.31"/>
    <x v="0"/>
    <x v="2"/>
    <s v="Male"/>
    <n v="69"/>
    <n v="152.80000000000001"/>
    <n v="22.5"/>
    <n v="16"/>
    <s v="NV"/>
    <n v="5"/>
    <n v="271.10000000000002"/>
    <s v="Middle"/>
    <n v="1"/>
    <s v="Multi-Day"/>
    <n v="0"/>
    <n v="0"/>
    <s v="Downtown Disney Gate"/>
    <s v="Mickey &amp; Friends"/>
    <n v="7"/>
    <n v="2"/>
    <x v="3428"/>
  </r>
  <r>
    <n v="3685"/>
    <n v="1210"/>
    <d v="2026-11-20T00:00:00"/>
    <s v="Friday"/>
    <n v="11"/>
    <n v="10.78"/>
    <x v="0"/>
    <x v="28"/>
    <s v="Female"/>
    <n v="59.9"/>
    <n v="118.3"/>
    <n v="23.4"/>
    <n v="13"/>
    <s v="NV"/>
    <n v="5"/>
    <n v="271.10000000000002"/>
    <s v="Middle"/>
    <n v="1"/>
    <s v="Multi-Day"/>
    <n v="0"/>
    <n v="0"/>
    <s v="Downtown Disney Gate"/>
    <s v="Mickey &amp; Friends"/>
    <n v="7.9"/>
    <n v="12"/>
    <x v="3429"/>
  </r>
  <r>
    <n v="3686"/>
    <n v="1210"/>
    <d v="2026-11-20T00:00:00"/>
    <s v="Friday"/>
    <n v="11"/>
    <n v="10.68"/>
    <x v="0"/>
    <x v="20"/>
    <s v="Female"/>
    <n v="68"/>
    <n v="159"/>
    <n v="24.1"/>
    <n v="13"/>
    <s v="NV"/>
    <n v="5"/>
    <n v="271.10000000000002"/>
    <s v="Middle"/>
    <n v="1"/>
    <s v="Multi-Day"/>
    <n v="0"/>
    <n v="0"/>
    <s v="Downtown Disney Gate"/>
    <s v="Mickey &amp; Friends"/>
    <n v="10.3"/>
    <n v="11"/>
    <x v="3430"/>
  </r>
  <r>
    <n v="3687"/>
    <n v="1210"/>
    <d v="2026-11-20T00:00:00"/>
    <s v="Friday"/>
    <n v="11"/>
    <n v="10.65"/>
    <x v="0"/>
    <x v="21"/>
    <s v="Male"/>
    <n v="65.7"/>
    <n v="138.4"/>
    <n v="22.5"/>
    <n v="18"/>
    <s v="NV"/>
    <n v="5"/>
    <n v="271.10000000000002"/>
    <s v="Middle"/>
    <n v="1"/>
    <s v="Multi-Day"/>
    <n v="0"/>
    <n v="0"/>
    <s v="Downtown Disney Gate"/>
    <s v="Mickey &amp; Friends"/>
    <n v="7.4"/>
    <n v="11"/>
    <x v="3431"/>
  </r>
  <r>
    <n v="3688"/>
    <n v="1211"/>
    <d v="2026-12-02T00:00:00"/>
    <s v="Wednesday"/>
    <n v="12"/>
    <n v="9.26"/>
    <x v="0"/>
    <x v="55"/>
    <s v="Male"/>
    <n v="71.099999999999994"/>
    <n v="137.30000000000001"/>
    <n v="19.100000000000001"/>
    <n v="16"/>
    <s v="OR"/>
    <n v="2"/>
    <n v="659.5"/>
    <s v="Middle"/>
    <n v="0"/>
    <s v="Park Hopper"/>
    <n v="1"/>
    <n v="0"/>
    <s v="Main Entrance"/>
    <s v="Mickey &amp; Friends"/>
    <n v="9.5"/>
    <n v="11"/>
    <x v="3432"/>
  </r>
  <r>
    <n v="3689"/>
    <n v="1211"/>
    <d v="2026-12-02T00:00:00"/>
    <s v="Wednesday"/>
    <n v="12"/>
    <n v="9.2200000000000006"/>
    <x v="0"/>
    <x v="14"/>
    <s v="Male"/>
    <n v="68.7"/>
    <n v="92.5"/>
    <n v="13.8"/>
    <n v="18"/>
    <s v="OR"/>
    <n v="2"/>
    <n v="659.5"/>
    <s v="Middle"/>
    <n v="0"/>
    <s v="Park Hopper"/>
    <n v="1"/>
    <n v="0"/>
    <s v="Main Entrance"/>
    <s v="Mickey &amp; Friends"/>
    <n v="8.6"/>
    <n v="16"/>
    <x v="3433"/>
  </r>
  <r>
    <n v="3690"/>
    <n v="1212"/>
    <d v="2026-03-04T00:00:00"/>
    <s v="Wednesday"/>
    <n v="3"/>
    <n v="11.9"/>
    <x v="1"/>
    <x v="59"/>
    <s v="Male"/>
    <n v="67"/>
    <n v="201.4"/>
    <n v="31.5"/>
    <n v="16"/>
    <s v="NV"/>
    <n v="3"/>
    <n v="146.9"/>
    <s v="High"/>
    <n v="1"/>
    <s v="Multi-Day"/>
    <n v="0"/>
    <n v="0"/>
    <s v="Main Entrance"/>
    <s v="Mickey &amp; Friends"/>
    <n v="6.1"/>
    <n v="7"/>
    <x v="3434"/>
  </r>
  <r>
    <n v="3691"/>
    <n v="1212"/>
    <d v="2026-03-04T00:00:00"/>
    <s v="Wednesday"/>
    <n v="3"/>
    <n v="11.67"/>
    <x v="1"/>
    <x v="58"/>
    <s v="Male"/>
    <n v="67.3"/>
    <n v="155.19999999999999"/>
    <n v="23.9"/>
    <n v="18"/>
    <s v="NV"/>
    <n v="3"/>
    <n v="146.9"/>
    <s v="High"/>
    <n v="1"/>
    <s v="Multi-Day"/>
    <n v="0"/>
    <n v="0"/>
    <s v="Main Entrance"/>
    <s v="Mickey &amp; Friends"/>
    <n v="9"/>
    <n v="14"/>
    <x v="3435"/>
  </r>
  <r>
    <n v="3692"/>
    <n v="1212"/>
    <d v="2026-03-04T00:00:00"/>
    <s v="Wednesday"/>
    <n v="3"/>
    <n v="11.87"/>
    <x v="1"/>
    <x v="0"/>
    <s v="Male"/>
    <n v="71.5"/>
    <n v="175.4"/>
    <n v="24.2"/>
    <n v="15"/>
    <s v="NV"/>
    <n v="3"/>
    <n v="146.9"/>
    <s v="High"/>
    <n v="1"/>
    <s v="Multi-Day"/>
    <n v="0"/>
    <n v="0"/>
    <s v="Main Entrance"/>
    <s v="Mickey &amp; Friends"/>
    <n v="9.6999999999999993"/>
    <n v="11"/>
    <x v="148"/>
  </r>
  <r>
    <n v="3693"/>
    <n v="1213"/>
    <d v="2026-10-12T00:00:00"/>
    <s v="Monday"/>
    <n v="10"/>
    <n v="9.32"/>
    <x v="0"/>
    <x v="0"/>
    <s v="Male"/>
    <n v="69.5"/>
    <n v="178.1"/>
    <n v="25.8"/>
    <n v="15"/>
    <s v="FL"/>
    <n v="5"/>
    <n v="2387.3000000000002"/>
    <s v="Middle"/>
    <n v="0"/>
    <s v="Multi-Day"/>
    <n v="0"/>
    <n v="0"/>
    <s v="Main Entrance"/>
    <s v="Mickey &amp; Friends"/>
    <n v="9.6999999999999993"/>
    <n v="14"/>
    <x v="3436"/>
  </r>
  <r>
    <n v="3694"/>
    <n v="1213"/>
    <d v="2026-10-12T00:00:00"/>
    <s v="Monday"/>
    <n v="10"/>
    <n v="9.33"/>
    <x v="0"/>
    <x v="3"/>
    <s v="Female"/>
    <n v="61.8"/>
    <n v="143.9"/>
    <n v="26.5"/>
    <n v="16"/>
    <s v="FL"/>
    <n v="5"/>
    <n v="2387.3000000000002"/>
    <s v="Middle"/>
    <n v="0"/>
    <s v="Multi-Day"/>
    <n v="0"/>
    <n v="0"/>
    <s v="Main Entrance"/>
    <s v="Mickey &amp; Friends"/>
    <n v="7.6"/>
    <n v="5"/>
    <x v="3437"/>
  </r>
  <r>
    <n v="3695"/>
    <n v="1213"/>
    <d v="2026-10-12T00:00:00"/>
    <s v="Monday"/>
    <n v="10"/>
    <n v="9.49"/>
    <x v="0"/>
    <x v="41"/>
    <s v="Male"/>
    <n v="71.099999999999994"/>
    <n v="200.3"/>
    <n v="27.9"/>
    <n v="15"/>
    <s v="FL"/>
    <n v="5"/>
    <n v="2387.3000000000002"/>
    <s v="Middle"/>
    <n v="0"/>
    <s v="Multi-Day"/>
    <n v="0"/>
    <n v="0"/>
    <s v="Main Entrance"/>
    <s v="Mickey &amp; Friends"/>
    <n v="5.8"/>
    <n v="11"/>
    <x v="3438"/>
  </r>
  <r>
    <n v="3696"/>
    <n v="1213"/>
    <d v="2026-10-12T00:00:00"/>
    <s v="Monday"/>
    <n v="10"/>
    <n v="9.48"/>
    <x v="0"/>
    <x v="18"/>
    <s v="Female"/>
    <n v="61.9"/>
    <n v="160"/>
    <n v="29.3"/>
    <n v="15"/>
    <s v="FL"/>
    <n v="5"/>
    <n v="2387.3000000000002"/>
    <s v="Middle"/>
    <n v="0"/>
    <s v="Multi-Day"/>
    <n v="0"/>
    <n v="0"/>
    <s v="Main Entrance"/>
    <s v="Mickey &amp; Friends"/>
    <n v="6.9"/>
    <n v="6"/>
    <x v="3439"/>
  </r>
  <r>
    <n v="3697"/>
    <n v="1213"/>
    <d v="2026-10-12T00:00:00"/>
    <s v="Monday"/>
    <n v="10"/>
    <n v="9.5299999999999994"/>
    <x v="0"/>
    <x v="48"/>
    <s v="Female"/>
    <n v="64.099999999999994"/>
    <n v="163.30000000000001"/>
    <n v="28"/>
    <n v="16"/>
    <s v="FL"/>
    <n v="5"/>
    <n v="2387.3000000000002"/>
    <s v="Middle"/>
    <n v="0"/>
    <s v="Multi-Day"/>
    <n v="0"/>
    <n v="0"/>
    <s v="Main Entrance"/>
    <s v="Mickey &amp; Friends"/>
    <n v="8.6999999999999993"/>
    <n v="12"/>
    <x v="3440"/>
  </r>
  <r>
    <n v="3698"/>
    <n v="1214"/>
    <d v="2026-09-13T00:00:00"/>
    <s v="Sunday"/>
    <n v="9"/>
    <n v="12.68"/>
    <x v="1"/>
    <x v="36"/>
    <s v="Female"/>
    <n v="63"/>
    <n v="166.4"/>
    <n v="29.6"/>
    <n v="12"/>
    <s v="CA"/>
    <n v="3"/>
    <n v="190.6"/>
    <s v="Middle"/>
    <n v="0"/>
    <s v="Single-Day"/>
    <n v="0"/>
    <n v="0"/>
    <s v="Main Entrance"/>
    <s v="Mickey &amp; Friends"/>
    <n v="9.6999999999999993"/>
    <n v="5"/>
    <x v="3426"/>
  </r>
  <r>
    <n v="3699"/>
    <n v="1214"/>
    <d v="2026-09-13T00:00:00"/>
    <s v="Sunday"/>
    <n v="9"/>
    <n v="12.28"/>
    <x v="1"/>
    <x v="0"/>
    <s v="Female"/>
    <n v="69.5"/>
    <n v="174.3"/>
    <n v="25.4"/>
    <n v="16"/>
    <s v="CA"/>
    <n v="3"/>
    <n v="190.6"/>
    <s v="Middle"/>
    <n v="0"/>
    <s v="Single-Day"/>
    <n v="0"/>
    <n v="0"/>
    <s v="Main Entrance"/>
    <s v="Mickey &amp; Friends"/>
    <n v="8.6999999999999993"/>
    <n v="9"/>
    <x v="3286"/>
  </r>
  <r>
    <n v="3700"/>
    <n v="1214"/>
    <d v="2026-09-13T00:00:00"/>
    <s v="Sunday"/>
    <n v="9"/>
    <n v="12.42"/>
    <x v="1"/>
    <x v="4"/>
    <s v="Female"/>
    <n v="63.1"/>
    <n v="122.3"/>
    <n v="22"/>
    <n v="14"/>
    <s v="CA"/>
    <n v="3"/>
    <n v="190.6"/>
    <s v="Middle"/>
    <n v="0"/>
    <s v="Single-Day"/>
    <n v="0"/>
    <n v="0"/>
    <s v="Main Entrance"/>
    <s v="Mickey &amp; Friends"/>
    <n v="6.1"/>
    <n v="3"/>
    <x v="3441"/>
  </r>
  <r>
    <n v="3701"/>
    <n v="1215"/>
    <d v="2026-10-13T00:00:00"/>
    <s v="Tuesday"/>
    <n v="10"/>
    <n v="11.03"/>
    <x v="1"/>
    <x v="2"/>
    <s v="Male"/>
    <n v="67.900000000000006"/>
    <n v="204.2"/>
    <n v="31.4"/>
    <n v="15"/>
    <s v="AZ"/>
    <n v="5"/>
    <n v="417.2"/>
    <s v="Middle"/>
    <n v="1"/>
    <s v="Single-Day"/>
    <n v="1"/>
    <n v="0"/>
    <s v="Main Entrance"/>
    <s v="Mickey &amp; Friends"/>
    <n v="7.1"/>
    <n v="10"/>
    <x v="3442"/>
  </r>
  <r>
    <n v="3702"/>
    <n v="1215"/>
    <d v="2026-10-13T00:00:00"/>
    <s v="Tuesday"/>
    <n v="10"/>
    <n v="10.89"/>
    <x v="0"/>
    <x v="5"/>
    <s v="Female"/>
    <n v="63.5"/>
    <n v="148.69999999999999"/>
    <n v="26"/>
    <n v="14"/>
    <s v="AZ"/>
    <n v="5"/>
    <n v="417.2"/>
    <s v="Middle"/>
    <n v="1"/>
    <s v="Single-Day"/>
    <n v="1"/>
    <n v="0"/>
    <s v="Main Entrance"/>
    <s v="Mickey &amp; Friends"/>
    <n v="9.8000000000000007"/>
    <n v="6"/>
    <x v="3443"/>
  </r>
  <r>
    <n v="3703"/>
    <n v="1215"/>
    <d v="2026-10-13T00:00:00"/>
    <s v="Tuesday"/>
    <n v="10"/>
    <n v="10.61"/>
    <x v="0"/>
    <x v="61"/>
    <s v="Male"/>
    <n v="70"/>
    <n v="149.19999999999999"/>
    <n v="21.5"/>
    <n v="13"/>
    <s v="AZ"/>
    <n v="5"/>
    <n v="417.2"/>
    <s v="Middle"/>
    <n v="1"/>
    <s v="Single-Day"/>
    <n v="1"/>
    <n v="0"/>
    <s v="Main Entrance"/>
    <s v="Mickey &amp; Friends"/>
    <n v="7.9"/>
    <n v="9"/>
    <x v="1640"/>
  </r>
  <r>
    <n v="3704"/>
    <n v="1215"/>
    <d v="2026-10-13T00:00:00"/>
    <s v="Tuesday"/>
    <n v="10"/>
    <n v="10.86"/>
    <x v="0"/>
    <x v="40"/>
    <s v="Female"/>
    <n v="65.900000000000006"/>
    <n v="102.2"/>
    <n v="16.899999999999999"/>
    <n v="17"/>
    <s v="AZ"/>
    <n v="5"/>
    <n v="417.2"/>
    <s v="Middle"/>
    <n v="1"/>
    <s v="Single-Day"/>
    <n v="1"/>
    <n v="0"/>
    <s v="Main Entrance"/>
    <s v="Mickey &amp; Friends"/>
    <n v="9.1999999999999993"/>
    <n v="13"/>
    <x v="3444"/>
  </r>
  <r>
    <n v="3705"/>
    <n v="1215"/>
    <d v="2026-10-13T00:00:00"/>
    <s v="Tuesday"/>
    <n v="10"/>
    <n v="10.68"/>
    <x v="0"/>
    <x v="19"/>
    <s v="Male"/>
    <n v="66"/>
    <n v="141.4"/>
    <n v="22.8"/>
    <n v="14"/>
    <s v="AZ"/>
    <n v="5"/>
    <n v="417.2"/>
    <s v="Middle"/>
    <n v="1"/>
    <s v="Single-Day"/>
    <n v="1"/>
    <n v="0"/>
    <s v="Main Entrance"/>
    <s v="Mickey &amp; Friends"/>
    <n v="6.6"/>
    <n v="8"/>
    <x v="3445"/>
  </r>
  <r>
    <n v="3706"/>
    <n v="1216"/>
    <d v="2026-11-13T00:00:00"/>
    <s v="Friday"/>
    <n v="11"/>
    <n v="10.76"/>
    <x v="0"/>
    <x v="42"/>
    <s v="Female"/>
    <n v="65"/>
    <n v="170.7"/>
    <n v="28.3"/>
    <n v="15"/>
    <s v="CA"/>
    <n v="3"/>
    <n v="119.8"/>
    <s v="Low"/>
    <n v="1"/>
    <s v="Multi-Day"/>
    <n v="0"/>
    <n v="0"/>
    <s v="Main Entrance"/>
    <s v="Toy Story Lot"/>
    <n v="7.3"/>
    <n v="2"/>
    <x v="3446"/>
  </r>
  <r>
    <n v="3707"/>
    <n v="1216"/>
    <d v="2026-11-13T00:00:00"/>
    <s v="Friday"/>
    <n v="11"/>
    <n v="10.58"/>
    <x v="0"/>
    <x v="50"/>
    <s v="Female"/>
    <n v="69.900000000000006"/>
    <n v="141.4"/>
    <n v="20.3"/>
    <n v="11"/>
    <s v="CA"/>
    <n v="3"/>
    <n v="119.8"/>
    <s v="Low"/>
    <n v="1"/>
    <s v="Multi-Day"/>
    <n v="0"/>
    <n v="0"/>
    <s v="Main Entrance"/>
    <s v="Toy Story Lot"/>
    <n v="6.2"/>
    <n v="4"/>
    <x v="3447"/>
  </r>
  <r>
    <n v="3708"/>
    <n v="1216"/>
    <d v="2026-11-13T00:00:00"/>
    <s v="Friday"/>
    <n v="11"/>
    <n v="10.57"/>
    <x v="0"/>
    <x v="36"/>
    <s v="Male"/>
    <n v="69.8"/>
    <n v="174.4"/>
    <n v="25.1"/>
    <n v="13"/>
    <s v="CA"/>
    <n v="3"/>
    <n v="119.8"/>
    <s v="Low"/>
    <n v="1"/>
    <s v="Multi-Day"/>
    <n v="0"/>
    <n v="0"/>
    <s v="Main Entrance"/>
    <s v="Toy Story Lot"/>
    <n v="9.1"/>
    <n v="10"/>
    <x v="3448"/>
  </r>
  <r>
    <n v="3709"/>
    <n v="1217"/>
    <d v="2026-06-28T00:00:00"/>
    <s v="Sunday"/>
    <n v="6"/>
    <n v="10.64"/>
    <x v="0"/>
    <x v="13"/>
    <s v="Female"/>
    <n v="64.2"/>
    <n v="155.30000000000001"/>
    <n v="26.6"/>
    <n v="12"/>
    <s v="TX"/>
    <n v="6"/>
    <n v="1027.8"/>
    <s v="Low"/>
    <n v="1"/>
    <s v="Single-Day"/>
    <n v="0"/>
    <n v="0"/>
    <s v="Downtown Disney Gate"/>
    <s v="Toy Story Lot"/>
    <n v="12"/>
    <n v="9"/>
    <x v="3449"/>
  </r>
  <r>
    <n v="3710"/>
    <n v="1217"/>
    <d v="2026-06-28T00:00:00"/>
    <s v="Sunday"/>
    <n v="6"/>
    <n v="10.52"/>
    <x v="0"/>
    <x v="41"/>
    <s v="Female"/>
    <n v="65.8"/>
    <n v="171.8"/>
    <n v="28"/>
    <n v="14"/>
    <s v="TX"/>
    <n v="6"/>
    <n v="1027.8"/>
    <s v="Low"/>
    <n v="1"/>
    <s v="Single-Day"/>
    <n v="0"/>
    <n v="0"/>
    <s v="Downtown Disney Gate"/>
    <s v="Toy Story Lot"/>
    <n v="9.5"/>
    <n v="14"/>
    <x v="3450"/>
  </r>
  <r>
    <n v="3711"/>
    <n v="1217"/>
    <d v="2026-06-28T00:00:00"/>
    <s v="Sunday"/>
    <n v="6"/>
    <n v="10.57"/>
    <x v="0"/>
    <x v="33"/>
    <s v="Male"/>
    <n v="71.5"/>
    <n v="160.5"/>
    <n v="22.1"/>
    <n v="15"/>
    <s v="TX"/>
    <n v="6"/>
    <n v="1027.8"/>
    <s v="Low"/>
    <n v="1"/>
    <s v="Single-Day"/>
    <n v="0"/>
    <n v="0"/>
    <s v="Downtown Disney Gate"/>
    <s v="Toy Story Lot"/>
    <n v="10.3"/>
    <n v="9"/>
    <x v="3451"/>
  </r>
  <r>
    <n v="3712"/>
    <n v="1217"/>
    <d v="2026-06-28T00:00:00"/>
    <s v="Sunday"/>
    <n v="6"/>
    <n v="10.4"/>
    <x v="0"/>
    <x v="61"/>
    <s v="Male"/>
    <n v="70"/>
    <n v="129.80000000000001"/>
    <n v="18.899999999999999"/>
    <n v="13"/>
    <s v="TX"/>
    <n v="6"/>
    <n v="1027.8"/>
    <s v="Low"/>
    <n v="1"/>
    <s v="Single-Day"/>
    <n v="0"/>
    <n v="0"/>
    <s v="Downtown Disney Gate"/>
    <s v="Toy Story Lot"/>
    <n v="8.1"/>
    <n v="5"/>
    <x v="3452"/>
  </r>
  <r>
    <n v="3713"/>
    <n v="1217"/>
    <d v="2026-06-28T00:00:00"/>
    <s v="Sunday"/>
    <n v="6"/>
    <n v="10.37"/>
    <x v="0"/>
    <x v="8"/>
    <s v="Female"/>
    <n v="64.2"/>
    <n v="165.1"/>
    <n v="28.1"/>
    <n v="15"/>
    <s v="TX"/>
    <n v="6"/>
    <n v="1027.8"/>
    <s v="Low"/>
    <n v="1"/>
    <s v="Single-Day"/>
    <n v="0"/>
    <n v="0"/>
    <s v="Downtown Disney Gate"/>
    <s v="Toy Story Lot"/>
    <n v="10.7"/>
    <n v="12"/>
    <x v="3453"/>
  </r>
  <r>
    <n v="3714"/>
    <n v="1217"/>
    <d v="2026-06-28T00:00:00"/>
    <s v="Sunday"/>
    <n v="6"/>
    <n v="10.27"/>
    <x v="0"/>
    <x v="58"/>
    <s v="Male"/>
    <n v="64.2"/>
    <n v="186.3"/>
    <n v="32"/>
    <n v="14"/>
    <s v="TX"/>
    <n v="6"/>
    <n v="1027.8"/>
    <s v="Low"/>
    <n v="1"/>
    <s v="Single-Day"/>
    <n v="0"/>
    <n v="0"/>
    <s v="Downtown Disney Gate"/>
    <s v="Toy Story Lot"/>
    <n v="5.2"/>
    <n v="4"/>
    <x v="3454"/>
  </r>
  <r>
    <n v="3715"/>
    <n v="1218"/>
    <d v="2026-01-22T00:00:00"/>
    <s v="Thursday"/>
    <n v="1"/>
    <n v="12.3"/>
    <x v="1"/>
    <x v="43"/>
    <s v="Male"/>
    <n v="76.3"/>
    <n v="206.1"/>
    <n v="25.2"/>
    <n v="14"/>
    <s v="CO"/>
    <n v="2"/>
    <n v="1112.5999999999999"/>
    <s v="Middle"/>
    <n v="1"/>
    <s v="Park Hopper"/>
    <n v="1"/>
    <n v="0"/>
    <s v="Downtown Disney Gate"/>
    <s v="Pixar Pals"/>
    <n v="9.1999999999999993"/>
    <n v="11"/>
    <x v="3455"/>
  </r>
  <r>
    <n v="3716"/>
    <n v="1218"/>
    <d v="2026-01-22T00:00:00"/>
    <s v="Thursday"/>
    <n v="1"/>
    <n v="12.51"/>
    <x v="1"/>
    <x v="30"/>
    <s v="Male"/>
    <n v="67.099999999999994"/>
    <n v="195"/>
    <n v="30.6"/>
    <n v="13"/>
    <s v="CO"/>
    <n v="2"/>
    <n v="1112.5999999999999"/>
    <s v="Middle"/>
    <n v="1"/>
    <s v="Park Hopper"/>
    <n v="1"/>
    <n v="0"/>
    <s v="Downtown Disney Gate"/>
    <s v="Pixar Pals"/>
    <n v="7.3"/>
    <n v="4"/>
    <x v="3456"/>
  </r>
  <r>
    <n v="3717"/>
    <n v="1219"/>
    <d v="2026-09-02T00:00:00"/>
    <s v="Wednesday"/>
    <n v="9"/>
    <n v="9.49"/>
    <x v="0"/>
    <x v="64"/>
    <s v="Male"/>
    <n v="51.6"/>
    <n v="60.9"/>
    <n v="16.100000000000001"/>
    <n v="15"/>
    <s v="SD"/>
    <n v="4"/>
    <n v="1367.8"/>
    <s v="Middle"/>
    <n v="1"/>
    <s v="Single-Day"/>
    <n v="0"/>
    <n v="0"/>
    <s v="Main Entrance"/>
    <s v="Pixar Pals"/>
    <n v="7"/>
    <n v="8"/>
    <x v="3457"/>
  </r>
  <r>
    <n v="3718"/>
    <n v="1219"/>
    <d v="2026-09-02T00:00:00"/>
    <s v="Wednesday"/>
    <n v="9"/>
    <n v="9.67"/>
    <x v="0"/>
    <x v="6"/>
    <s v="Male"/>
    <n v="72.099999999999994"/>
    <n v="186.5"/>
    <n v="25.3"/>
    <n v="14"/>
    <s v="SD"/>
    <n v="4"/>
    <n v="1367.8"/>
    <s v="Middle"/>
    <n v="1"/>
    <s v="Single-Day"/>
    <n v="0"/>
    <n v="0"/>
    <s v="Main Entrance"/>
    <s v="Pixar Pals"/>
    <n v="9.4"/>
    <n v="12"/>
    <x v="3458"/>
  </r>
  <r>
    <n v="3719"/>
    <n v="1219"/>
    <d v="2026-09-02T00:00:00"/>
    <s v="Wednesday"/>
    <n v="9"/>
    <n v="9.89"/>
    <x v="0"/>
    <x v="36"/>
    <s v="Female"/>
    <n v="61.6"/>
    <n v="140.69999999999999"/>
    <n v="26.1"/>
    <n v="15"/>
    <s v="SD"/>
    <n v="4"/>
    <n v="1367.8"/>
    <s v="Middle"/>
    <n v="1"/>
    <s v="Single-Day"/>
    <n v="0"/>
    <n v="0"/>
    <s v="Main Entrance"/>
    <s v="Pixar Pals"/>
    <n v="8.1999999999999993"/>
    <n v="11"/>
    <x v="3459"/>
  </r>
  <r>
    <n v="3720"/>
    <n v="1219"/>
    <d v="2026-09-02T00:00:00"/>
    <s v="Wednesday"/>
    <n v="9"/>
    <n v="9.68"/>
    <x v="0"/>
    <x v="69"/>
    <s v="Male"/>
    <n v="71.5"/>
    <n v="191.3"/>
    <n v="26.1"/>
    <n v="16"/>
    <s v="SD"/>
    <n v="4"/>
    <n v="1367.8"/>
    <s v="Middle"/>
    <n v="1"/>
    <s v="Single-Day"/>
    <n v="0"/>
    <n v="0"/>
    <s v="Main Entrance"/>
    <s v="Pixar Pals"/>
    <n v="7.5"/>
    <n v="6"/>
    <x v="3460"/>
  </r>
  <r>
    <n v="3721"/>
    <n v="1220"/>
    <d v="2026-04-23T00:00:00"/>
    <s v="Thursday"/>
    <n v="4"/>
    <n v="10.1"/>
    <x v="0"/>
    <x v="21"/>
    <s v="Male"/>
    <n v="68.8"/>
    <n v="163.19999999999999"/>
    <n v="24.2"/>
    <n v="13"/>
    <s v="UT"/>
    <n v="1"/>
    <n v="550.29999999999995"/>
    <s v="Low"/>
    <n v="0"/>
    <s v="Multi-Day"/>
    <n v="0"/>
    <n v="0"/>
    <s v="Main Entrance"/>
    <s v="Toy Story Lot"/>
    <n v="10.1"/>
    <n v="8"/>
    <x v="3461"/>
  </r>
  <r>
    <n v="3722"/>
    <n v="1221"/>
    <d v="2026-12-20T00:00:00"/>
    <s v="Sunday"/>
    <n v="12"/>
    <n v="10.06"/>
    <x v="0"/>
    <x v="12"/>
    <s v="Female"/>
    <n v="64.900000000000006"/>
    <n v="85.2"/>
    <n v="14.2"/>
    <n v="13"/>
    <s v="TX"/>
    <n v="1"/>
    <n v="1305.2"/>
    <s v="Middle"/>
    <n v="0"/>
    <s v="Multi-Day"/>
    <n v="0"/>
    <n v="0"/>
    <s v="Main Entrance"/>
    <s v="Pixar Pals"/>
    <n v="8.6999999999999993"/>
    <n v="12"/>
    <x v="3112"/>
  </r>
  <r>
    <n v="3723"/>
    <n v="1222"/>
    <d v="2026-05-14T00:00:00"/>
    <s v="Thursday"/>
    <n v="5"/>
    <n v="9.83"/>
    <x v="0"/>
    <x v="57"/>
    <s v="Male"/>
    <n v="70.5"/>
    <n v="196.4"/>
    <n v="27.8"/>
    <n v="13"/>
    <s v="TX"/>
    <n v="2"/>
    <n v="1238.3"/>
    <s v="Low"/>
    <n v="1"/>
    <s v="Park Hopper"/>
    <n v="1"/>
    <n v="1"/>
    <s v="Main Entrance"/>
    <s v="None/Walked from Resort"/>
    <n v="7.2"/>
    <n v="10"/>
    <x v="2880"/>
  </r>
  <r>
    <n v="3724"/>
    <n v="1222"/>
    <d v="2026-05-14T00:00:00"/>
    <s v="Thursday"/>
    <n v="5"/>
    <n v="9.76"/>
    <x v="0"/>
    <x v="0"/>
    <s v="Female"/>
    <n v="68"/>
    <n v="157.5"/>
    <n v="24"/>
    <n v="10"/>
    <s v="TX"/>
    <n v="2"/>
    <n v="1238.3"/>
    <s v="Low"/>
    <n v="1"/>
    <s v="Park Hopper"/>
    <n v="1"/>
    <n v="1"/>
    <s v="Main Entrance"/>
    <s v="None/Walked from Resort"/>
    <n v="8.6"/>
    <n v="8"/>
    <x v="2028"/>
  </r>
  <r>
    <n v="3725"/>
    <n v="1223"/>
    <d v="2026-04-20T00:00:00"/>
    <s v="Monday"/>
    <n v="4"/>
    <n v="10.119999999999999"/>
    <x v="0"/>
    <x v="38"/>
    <s v="Female"/>
    <n v="65.599999999999994"/>
    <n v="192.3"/>
    <n v="31.6"/>
    <n v="9"/>
    <s v="CA"/>
    <n v="4"/>
    <n v="133.9"/>
    <s v="Low"/>
    <n v="1"/>
    <s v="Single-Day"/>
    <n v="1"/>
    <n v="0"/>
    <s v="Main Entrance"/>
    <s v="None/Dropoff/Transit"/>
    <n v="10.3"/>
    <n v="8"/>
    <x v="3462"/>
  </r>
  <r>
    <n v="3726"/>
    <n v="1223"/>
    <d v="2026-04-20T00:00:00"/>
    <s v="Monday"/>
    <n v="4"/>
    <n v="10.38"/>
    <x v="0"/>
    <x v="68"/>
    <s v="Male"/>
    <n v="70.400000000000006"/>
    <n v="161.5"/>
    <n v="23"/>
    <n v="14"/>
    <s v="CA"/>
    <n v="4"/>
    <n v="133.9"/>
    <s v="Low"/>
    <n v="1"/>
    <s v="Single-Day"/>
    <n v="1"/>
    <n v="0"/>
    <s v="Main Entrance"/>
    <s v="None/Dropoff/Transit"/>
    <n v="9.5"/>
    <n v="7"/>
    <x v="3463"/>
  </r>
  <r>
    <n v="3727"/>
    <n v="1223"/>
    <d v="2026-04-20T00:00:00"/>
    <s v="Monday"/>
    <n v="4"/>
    <n v="10.23"/>
    <x v="0"/>
    <x v="71"/>
    <s v="Male"/>
    <n v="63.9"/>
    <n v="176.6"/>
    <n v="30.5"/>
    <n v="11"/>
    <s v="CA"/>
    <n v="4"/>
    <n v="133.9"/>
    <s v="Low"/>
    <n v="1"/>
    <s v="Single-Day"/>
    <n v="1"/>
    <n v="0"/>
    <s v="Main Entrance"/>
    <s v="None/Dropoff/Transit"/>
    <n v="6.7"/>
    <n v="11"/>
    <x v="3464"/>
  </r>
  <r>
    <n v="3728"/>
    <n v="1223"/>
    <d v="2026-04-20T00:00:00"/>
    <s v="Monday"/>
    <n v="4"/>
    <n v="10.18"/>
    <x v="0"/>
    <x v="43"/>
    <s v="Female"/>
    <n v="68.8"/>
    <n v="191.7"/>
    <n v="28.6"/>
    <n v="13"/>
    <s v="CA"/>
    <n v="4"/>
    <n v="133.9"/>
    <s v="Low"/>
    <n v="1"/>
    <s v="Single-Day"/>
    <n v="1"/>
    <n v="0"/>
    <s v="Main Entrance"/>
    <s v="None/Dropoff/Transit"/>
    <n v="7.3"/>
    <n v="8"/>
    <x v="1774"/>
  </r>
  <r>
    <n v="3729"/>
    <n v="1224"/>
    <d v="2026-11-03T00:00:00"/>
    <s v="Tuesday"/>
    <n v="11"/>
    <n v="11.07"/>
    <x v="1"/>
    <x v="64"/>
    <s v="Female"/>
    <n v="55.6"/>
    <n v="81.3"/>
    <n v="18.5"/>
    <n v="13"/>
    <s v="CA"/>
    <n v="3"/>
    <n v="89.6"/>
    <s v="Low"/>
    <n v="0"/>
    <s v="Single-Day"/>
    <n v="0"/>
    <n v="0"/>
    <s v="Main Entrance"/>
    <s v="Toy Story Lot"/>
    <n v="5.6"/>
    <n v="3"/>
    <x v="3465"/>
  </r>
  <r>
    <n v="3730"/>
    <n v="1224"/>
    <d v="2026-11-03T00:00:00"/>
    <s v="Tuesday"/>
    <n v="11"/>
    <n v="11.13"/>
    <x v="1"/>
    <x v="2"/>
    <s v="Female"/>
    <n v="56.2"/>
    <n v="122.3"/>
    <n v="27"/>
    <n v="15"/>
    <s v="CA"/>
    <n v="3"/>
    <n v="89.6"/>
    <s v="Low"/>
    <n v="0"/>
    <s v="Single-Day"/>
    <n v="0"/>
    <n v="0"/>
    <s v="Main Entrance"/>
    <s v="Toy Story Lot"/>
    <n v="7.5"/>
    <n v="12"/>
    <x v="3466"/>
  </r>
  <r>
    <n v="3731"/>
    <n v="1224"/>
    <d v="2026-11-03T00:00:00"/>
    <s v="Tuesday"/>
    <n v="11"/>
    <n v="11.18"/>
    <x v="1"/>
    <x v="38"/>
    <s v="Female"/>
    <n v="60.6"/>
    <n v="135.69999999999999"/>
    <n v="26.1"/>
    <n v="9"/>
    <s v="CA"/>
    <n v="3"/>
    <n v="89.6"/>
    <s v="Low"/>
    <n v="0"/>
    <s v="Single-Day"/>
    <n v="0"/>
    <n v="0"/>
    <s v="Main Entrance"/>
    <s v="Toy Story Lot"/>
    <n v="9.3000000000000007"/>
    <n v="12"/>
    <x v="3467"/>
  </r>
  <r>
    <n v="3732"/>
    <n v="1225"/>
    <d v="2026-09-11T00:00:00"/>
    <s v="Friday"/>
    <n v="9"/>
    <n v="9.02"/>
    <x v="0"/>
    <x v="3"/>
    <s v="Male"/>
    <n v="68.900000000000006"/>
    <n v="165.9"/>
    <n v="24.6"/>
    <n v="11"/>
    <s v="Other"/>
    <n v="1"/>
    <n v="2031.1"/>
    <s v="Middle"/>
    <n v="1"/>
    <s v="Single-Day"/>
    <n v="0"/>
    <n v="0"/>
    <s v="Downtown Disney Gate"/>
    <s v="None/Dropoff/Transit"/>
    <n v="5.5"/>
    <n v="6"/>
    <x v="3468"/>
  </r>
  <r>
    <n v="3733"/>
    <n v="1226"/>
    <d v="2026-01-14T00:00:00"/>
    <s v="Wednesday"/>
    <n v="1"/>
    <n v="9.92"/>
    <x v="0"/>
    <x v="47"/>
    <s v="Female"/>
    <n v="63.3"/>
    <n v="188.2"/>
    <n v="33"/>
    <n v="9"/>
    <s v="Other"/>
    <n v="6"/>
    <n v="1642"/>
    <s v="Low"/>
    <n v="1"/>
    <s v="Single-Day"/>
    <n v="1"/>
    <n v="0"/>
    <s v="Main Entrance"/>
    <s v="Mickey &amp; Friends"/>
    <n v="8.6999999999999993"/>
    <n v="8"/>
    <x v="3469"/>
  </r>
  <r>
    <n v="3734"/>
    <n v="1226"/>
    <d v="2026-01-14T00:00:00"/>
    <s v="Wednesday"/>
    <n v="1"/>
    <n v="9.66"/>
    <x v="0"/>
    <x v="22"/>
    <s v="Male"/>
    <n v="68.3"/>
    <n v="125.6"/>
    <n v="19"/>
    <n v="12"/>
    <s v="Other"/>
    <n v="6"/>
    <n v="1642"/>
    <s v="Low"/>
    <n v="1"/>
    <s v="Single-Day"/>
    <n v="1"/>
    <n v="0"/>
    <s v="Main Entrance"/>
    <s v="Mickey &amp; Friends"/>
    <n v="9.1999999999999993"/>
    <n v="11"/>
    <x v="3470"/>
  </r>
  <r>
    <n v="3735"/>
    <n v="1226"/>
    <d v="2026-01-14T00:00:00"/>
    <s v="Wednesday"/>
    <n v="1"/>
    <n v="9.7200000000000006"/>
    <x v="0"/>
    <x v="49"/>
    <s v="Female"/>
    <n v="67.900000000000006"/>
    <n v="194.8"/>
    <n v="29.6"/>
    <n v="13"/>
    <s v="Other"/>
    <n v="6"/>
    <n v="1642"/>
    <s v="Low"/>
    <n v="1"/>
    <s v="Single-Day"/>
    <n v="1"/>
    <n v="0"/>
    <s v="Main Entrance"/>
    <s v="Mickey &amp; Friends"/>
    <n v="8.3000000000000007"/>
    <n v="10"/>
    <x v="3471"/>
  </r>
  <r>
    <n v="3736"/>
    <n v="1226"/>
    <d v="2026-01-14T00:00:00"/>
    <s v="Wednesday"/>
    <n v="1"/>
    <n v="9.85"/>
    <x v="0"/>
    <x v="11"/>
    <s v="Male"/>
    <n v="67.2"/>
    <n v="183.2"/>
    <n v="28.3"/>
    <n v="14"/>
    <s v="Other"/>
    <n v="6"/>
    <n v="1642"/>
    <s v="Low"/>
    <n v="1"/>
    <s v="Single-Day"/>
    <n v="1"/>
    <n v="0"/>
    <s v="Main Entrance"/>
    <s v="Mickey &amp; Friends"/>
    <n v="11.7"/>
    <n v="10"/>
    <x v="3472"/>
  </r>
  <r>
    <n v="3737"/>
    <n v="1226"/>
    <d v="2026-01-14T00:00:00"/>
    <s v="Wednesday"/>
    <n v="1"/>
    <n v="9.81"/>
    <x v="0"/>
    <x v="40"/>
    <s v="Male"/>
    <n v="63.6"/>
    <n v="98"/>
    <n v="17"/>
    <n v="10"/>
    <s v="Other"/>
    <n v="6"/>
    <n v="1642"/>
    <s v="Low"/>
    <n v="1"/>
    <s v="Single-Day"/>
    <n v="1"/>
    <n v="0"/>
    <s v="Main Entrance"/>
    <s v="Mickey &amp; Friends"/>
    <n v="8.4"/>
    <n v="3"/>
    <x v="3473"/>
  </r>
  <r>
    <n v="3738"/>
    <n v="1226"/>
    <d v="2026-01-14T00:00:00"/>
    <s v="Wednesday"/>
    <n v="1"/>
    <n v="9.67"/>
    <x v="0"/>
    <x v="18"/>
    <s v="Male"/>
    <n v="64.5"/>
    <n v="175.1"/>
    <n v="29.3"/>
    <n v="15"/>
    <s v="Other"/>
    <n v="6"/>
    <n v="1642"/>
    <s v="Low"/>
    <n v="1"/>
    <s v="Single-Day"/>
    <n v="1"/>
    <n v="0"/>
    <s v="Main Entrance"/>
    <s v="Mickey &amp; Friends"/>
    <n v="6.9"/>
    <n v="1"/>
    <x v="2811"/>
  </r>
  <r>
    <n v="3739"/>
    <n v="1227"/>
    <d v="2026-07-30T00:00:00"/>
    <s v="Thursday"/>
    <n v="7"/>
    <n v="10.84"/>
    <x v="0"/>
    <x v="9"/>
    <s v="Female"/>
    <n v="64.3"/>
    <n v="149.80000000000001"/>
    <n v="25.1"/>
    <n v="13"/>
    <s v="TX"/>
    <n v="2"/>
    <n v="1494.6"/>
    <s v="High"/>
    <n v="0"/>
    <s v="Single-Day"/>
    <n v="1"/>
    <n v="0"/>
    <s v="Main Entrance"/>
    <s v="Mickey &amp; Friends"/>
    <n v="10.1"/>
    <n v="18"/>
    <x v="3474"/>
  </r>
  <r>
    <n v="3740"/>
    <n v="1227"/>
    <d v="2026-07-30T00:00:00"/>
    <s v="Thursday"/>
    <n v="7"/>
    <n v="10.99"/>
    <x v="0"/>
    <x v="39"/>
    <s v="Male"/>
    <n v="66.599999999999994"/>
    <n v="170.7"/>
    <n v="27.1"/>
    <n v="18"/>
    <s v="TX"/>
    <n v="2"/>
    <n v="1494.6"/>
    <s v="High"/>
    <n v="0"/>
    <s v="Single-Day"/>
    <n v="1"/>
    <n v="0"/>
    <s v="Main Entrance"/>
    <s v="Mickey &amp; Friends"/>
    <n v="6.5"/>
    <n v="9"/>
    <x v="3475"/>
  </r>
  <r>
    <n v="3741"/>
    <n v="1228"/>
    <d v="2026-08-07T00:00:00"/>
    <s v="Friday"/>
    <n v="8"/>
    <n v="11.5"/>
    <x v="1"/>
    <x v="58"/>
    <s v="Female"/>
    <n v="68"/>
    <n v="147.4"/>
    <n v="22.5"/>
    <n v="16"/>
    <s v="MN"/>
    <n v="3"/>
    <n v="1869.4"/>
    <s v="Low"/>
    <n v="0"/>
    <s v="Multi-Day"/>
    <n v="0"/>
    <n v="0"/>
    <s v="Main Entrance"/>
    <s v="Pixar Pals"/>
    <n v="6.8"/>
    <n v="3"/>
    <x v="3476"/>
  </r>
  <r>
    <n v="3742"/>
    <n v="1228"/>
    <d v="2026-08-07T00:00:00"/>
    <s v="Friday"/>
    <n v="8"/>
    <n v="11.33"/>
    <x v="1"/>
    <x v="22"/>
    <s v="Male"/>
    <n v="61.1"/>
    <n v="72.599999999999994"/>
    <n v="13.9"/>
    <n v="14"/>
    <s v="MN"/>
    <n v="3"/>
    <n v="1869.4"/>
    <s v="Low"/>
    <n v="0"/>
    <s v="Multi-Day"/>
    <n v="0"/>
    <n v="0"/>
    <s v="Main Entrance"/>
    <s v="Pixar Pals"/>
    <n v="8.5"/>
    <n v="7"/>
    <x v="3477"/>
  </r>
  <r>
    <n v="3743"/>
    <n v="1228"/>
    <d v="2026-08-07T00:00:00"/>
    <s v="Friday"/>
    <n v="8"/>
    <n v="11.43"/>
    <x v="1"/>
    <x v="45"/>
    <s v="Male"/>
    <n v="70.3"/>
    <n v="127.4"/>
    <n v="18"/>
    <n v="12"/>
    <s v="MN"/>
    <n v="3"/>
    <n v="1869.4"/>
    <s v="Low"/>
    <n v="0"/>
    <s v="Multi-Day"/>
    <n v="0"/>
    <n v="0"/>
    <s v="Main Entrance"/>
    <s v="Pixar Pals"/>
    <n v="8"/>
    <n v="6"/>
    <x v="3478"/>
  </r>
  <r>
    <n v="3744"/>
    <n v="1229"/>
    <d v="2026-06-26T00:00:00"/>
    <s v="Friday"/>
    <n v="6"/>
    <n v="8.44"/>
    <x v="0"/>
    <x v="2"/>
    <s v="Female"/>
    <n v="65.400000000000006"/>
    <n v="143.5"/>
    <n v="23.5"/>
    <n v="20"/>
    <s v="CA"/>
    <n v="1"/>
    <n v="77.099999999999994"/>
    <s v="High"/>
    <n v="0"/>
    <s v="Single-Day"/>
    <n v="1"/>
    <n v="0"/>
    <s v="Main Entrance"/>
    <s v="Toy Story Lot"/>
    <n v="11.1"/>
    <n v="13"/>
    <x v="3479"/>
  </r>
  <r>
    <n v="3745"/>
    <n v="1230"/>
    <d v="2026-07-04T00:00:00"/>
    <s v="Saturday"/>
    <n v="7"/>
    <n v="10.34"/>
    <x v="0"/>
    <x v="55"/>
    <s v="Male"/>
    <n v="67.2"/>
    <n v="171.3"/>
    <n v="26.5"/>
    <n v="16"/>
    <s v="Other"/>
    <n v="1"/>
    <n v="1735.9"/>
    <s v="Low"/>
    <n v="1"/>
    <s v="Single-Day"/>
    <n v="0"/>
    <n v="0"/>
    <s v="Main Entrance"/>
    <s v="Pixar Pals"/>
    <n v="8.1999999999999993"/>
    <n v="8"/>
    <x v="3480"/>
  </r>
  <r>
    <n v="3746"/>
    <n v="1231"/>
    <d v="2026-10-08T00:00:00"/>
    <s v="Thursday"/>
    <n v="10"/>
    <n v="10"/>
    <x v="0"/>
    <x v="49"/>
    <s v="Female"/>
    <n v="61.6"/>
    <n v="134.69999999999999"/>
    <n v="25.2"/>
    <n v="17"/>
    <s v="NV"/>
    <n v="2"/>
    <n v="313.10000000000002"/>
    <s v="Middle"/>
    <n v="1"/>
    <s v="Single-Day"/>
    <n v="0"/>
    <n v="1"/>
    <s v="Main Entrance"/>
    <s v="None/Walked from Resort"/>
    <n v="11.1"/>
    <n v="8"/>
    <x v="3481"/>
  </r>
  <r>
    <n v="3747"/>
    <n v="1231"/>
    <d v="2026-10-08T00:00:00"/>
    <s v="Thursday"/>
    <n v="10"/>
    <n v="10.01"/>
    <x v="0"/>
    <x v="20"/>
    <s v="Female"/>
    <n v="70"/>
    <n v="103.6"/>
    <n v="14.9"/>
    <n v="11"/>
    <s v="NV"/>
    <n v="2"/>
    <n v="313.10000000000002"/>
    <s v="Middle"/>
    <n v="1"/>
    <s v="Single-Day"/>
    <n v="0"/>
    <n v="1"/>
    <s v="Main Entrance"/>
    <s v="None/Walked from Resort"/>
    <n v="8.6"/>
    <n v="6"/>
    <x v="3482"/>
  </r>
  <r>
    <n v="3748"/>
    <n v="1232"/>
    <d v="2026-11-19T00:00:00"/>
    <s v="Thursday"/>
    <n v="11"/>
    <n v="11.14"/>
    <x v="1"/>
    <x v="42"/>
    <s v="Female"/>
    <n v="63.7"/>
    <n v="103.5"/>
    <n v="18.100000000000001"/>
    <n v="14"/>
    <s v="CA"/>
    <n v="2"/>
    <n v="92.1"/>
    <s v="Low"/>
    <n v="1"/>
    <s v="Park Hopper"/>
    <n v="1"/>
    <n v="0"/>
    <s v="Main Entrance"/>
    <s v="Mickey &amp; Friends"/>
    <n v="8.1"/>
    <n v="9"/>
    <x v="3300"/>
  </r>
  <r>
    <n v="3749"/>
    <n v="1232"/>
    <d v="2026-11-19T00:00:00"/>
    <s v="Thursday"/>
    <n v="11"/>
    <n v="11.19"/>
    <x v="1"/>
    <x v="49"/>
    <s v="Female"/>
    <n v="58.8"/>
    <n v="165.7"/>
    <n v="33.799999999999997"/>
    <n v="10"/>
    <s v="CA"/>
    <n v="2"/>
    <n v="92.1"/>
    <s v="Low"/>
    <n v="1"/>
    <s v="Park Hopper"/>
    <n v="1"/>
    <n v="0"/>
    <s v="Main Entrance"/>
    <s v="Mickey &amp; Friends"/>
    <n v="5.4"/>
    <n v="10"/>
    <x v="3483"/>
  </r>
  <r>
    <n v="3750"/>
    <n v="1233"/>
    <d v="2026-06-23T00:00:00"/>
    <s v="Tuesday"/>
    <n v="6"/>
    <n v="11.59"/>
    <x v="1"/>
    <x v="30"/>
    <s v="Female"/>
    <n v="61.8"/>
    <n v="148.1"/>
    <n v="27.2"/>
    <n v="12"/>
    <s v="Other"/>
    <n v="3"/>
    <n v="1265.2"/>
    <s v="Middle"/>
    <n v="1"/>
    <s v="Multi-Day"/>
    <n v="0"/>
    <n v="0"/>
    <s v="Main Entrance"/>
    <s v="Pixar Pals"/>
    <n v="7.1"/>
    <n v="8"/>
    <x v="3484"/>
  </r>
  <r>
    <n v="3751"/>
    <n v="1233"/>
    <d v="2026-06-23T00:00:00"/>
    <s v="Tuesday"/>
    <n v="6"/>
    <n v="11.64"/>
    <x v="1"/>
    <x v="19"/>
    <s v="Female"/>
    <n v="68.400000000000006"/>
    <n v="195.2"/>
    <n v="29.4"/>
    <n v="14"/>
    <s v="Other"/>
    <n v="3"/>
    <n v="1265.2"/>
    <s v="Middle"/>
    <n v="1"/>
    <s v="Multi-Day"/>
    <n v="0"/>
    <n v="0"/>
    <s v="Main Entrance"/>
    <s v="Pixar Pals"/>
    <n v="9.6999999999999993"/>
    <n v="9"/>
    <x v="3485"/>
  </r>
  <r>
    <n v="3752"/>
    <n v="1233"/>
    <d v="2026-06-23T00:00:00"/>
    <s v="Tuesday"/>
    <n v="6"/>
    <n v="11.64"/>
    <x v="1"/>
    <x v="30"/>
    <s v="Female"/>
    <n v="65.599999999999994"/>
    <n v="145.5"/>
    <n v="23.6"/>
    <n v="17"/>
    <s v="Other"/>
    <n v="3"/>
    <n v="1265.2"/>
    <s v="Middle"/>
    <n v="1"/>
    <s v="Multi-Day"/>
    <n v="0"/>
    <n v="0"/>
    <s v="Main Entrance"/>
    <s v="Pixar Pals"/>
    <n v="7.3"/>
    <n v="7"/>
    <x v="3486"/>
  </r>
  <r>
    <n v="3753"/>
    <n v="1234"/>
    <d v="2026-03-17T00:00:00"/>
    <s v="Tuesday"/>
    <n v="3"/>
    <n v="10.49"/>
    <x v="0"/>
    <x v="23"/>
    <s v="Female"/>
    <n v="65.900000000000006"/>
    <n v="152.5"/>
    <n v="24.7"/>
    <n v="17"/>
    <s v="CA"/>
    <n v="5"/>
    <n v="61.2"/>
    <s v="Low"/>
    <n v="1"/>
    <s v="Single-Day"/>
    <n v="0"/>
    <n v="0"/>
    <s v="Main Entrance"/>
    <s v="Mickey &amp; Friends"/>
    <n v="9.6999999999999993"/>
    <n v="6"/>
    <x v="3487"/>
  </r>
  <r>
    <n v="3754"/>
    <n v="1234"/>
    <d v="2026-03-17T00:00:00"/>
    <s v="Tuesday"/>
    <n v="3"/>
    <n v="10.59"/>
    <x v="0"/>
    <x v="41"/>
    <s v="Male"/>
    <n v="67.099999999999994"/>
    <n v="147.4"/>
    <n v="23.1"/>
    <n v="12"/>
    <s v="CA"/>
    <n v="5"/>
    <n v="61.2"/>
    <s v="Low"/>
    <n v="1"/>
    <s v="Single-Day"/>
    <n v="0"/>
    <n v="0"/>
    <s v="Main Entrance"/>
    <s v="Mickey &amp; Friends"/>
    <n v="6.9"/>
    <n v="9"/>
    <x v="3488"/>
  </r>
  <r>
    <n v="3755"/>
    <n v="1234"/>
    <d v="2026-03-17T00:00:00"/>
    <s v="Tuesday"/>
    <n v="3"/>
    <n v="10.6"/>
    <x v="0"/>
    <x v="49"/>
    <s v="Male"/>
    <n v="73.3"/>
    <n v="160.6"/>
    <n v="20.6"/>
    <n v="12"/>
    <s v="CA"/>
    <n v="5"/>
    <n v="61.2"/>
    <s v="Low"/>
    <n v="1"/>
    <s v="Single-Day"/>
    <n v="0"/>
    <n v="0"/>
    <s v="Main Entrance"/>
    <s v="Mickey &amp; Friends"/>
    <n v="6.1"/>
    <n v="8"/>
    <x v="3489"/>
  </r>
  <r>
    <n v="3756"/>
    <n v="1234"/>
    <d v="2026-03-17T00:00:00"/>
    <s v="Tuesday"/>
    <n v="3"/>
    <n v="10.56"/>
    <x v="0"/>
    <x v="5"/>
    <s v="Male"/>
    <n v="71.400000000000006"/>
    <n v="190.6"/>
    <n v="26.3"/>
    <n v="12"/>
    <s v="CA"/>
    <n v="5"/>
    <n v="61.2"/>
    <s v="Low"/>
    <n v="1"/>
    <s v="Single-Day"/>
    <n v="0"/>
    <n v="0"/>
    <s v="Main Entrance"/>
    <s v="Mickey &amp; Friends"/>
    <n v="6.9"/>
    <n v="8"/>
    <x v="3490"/>
  </r>
  <r>
    <n v="3757"/>
    <n v="1234"/>
    <d v="2026-03-17T00:00:00"/>
    <s v="Tuesday"/>
    <n v="3"/>
    <n v="10.68"/>
    <x v="0"/>
    <x v="23"/>
    <s v="Female"/>
    <n v="62.2"/>
    <n v="140.5"/>
    <n v="25.8"/>
    <n v="16"/>
    <s v="CA"/>
    <n v="5"/>
    <n v="61.2"/>
    <s v="Low"/>
    <n v="1"/>
    <s v="Single-Day"/>
    <n v="0"/>
    <n v="0"/>
    <s v="Main Entrance"/>
    <s v="Mickey &amp; Friends"/>
    <n v="8.1999999999999993"/>
    <n v="9"/>
    <x v="3491"/>
  </r>
  <r>
    <n v="3758"/>
    <n v="1235"/>
    <d v="2026-10-10T00:00:00"/>
    <s v="Saturday"/>
    <n v="10"/>
    <n v="10.119999999999999"/>
    <x v="0"/>
    <x v="12"/>
    <s v="Male"/>
    <n v="60.1"/>
    <n v="90.3"/>
    <n v="17.8"/>
    <n v="10"/>
    <s v="CA"/>
    <n v="3"/>
    <n v="23.9"/>
    <s v="Low"/>
    <n v="1"/>
    <s v="Multi-Day"/>
    <n v="0"/>
    <n v="0"/>
    <s v="Main Entrance"/>
    <s v="Pixar Pals"/>
    <n v="9.1"/>
    <n v="10"/>
    <x v="3492"/>
  </r>
  <r>
    <n v="3759"/>
    <n v="1235"/>
    <d v="2026-10-10T00:00:00"/>
    <s v="Saturday"/>
    <n v="10"/>
    <n v="10.1"/>
    <x v="0"/>
    <x v="57"/>
    <s v="Female"/>
    <n v="64.7"/>
    <n v="155.19999999999999"/>
    <n v="26.1"/>
    <n v="14"/>
    <s v="CA"/>
    <n v="3"/>
    <n v="23.9"/>
    <s v="Low"/>
    <n v="1"/>
    <s v="Multi-Day"/>
    <n v="0"/>
    <n v="0"/>
    <s v="Main Entrance"/>
    <s v="Pixar Pals"/>
    <n v="7"/>
    <n v="1"/>
    <x v="3493"/>
  </r>
  <r>
    <n v="3760"/>
    <n v="1235"/>
    <d v="2026-10-10T00:00:00"/>
    <s v="Saturday"/>
    <n v="10"/>
    <n v="10.32"/>
    <x v="0"/>
    <x v="25"/>
    <s v="Male"/>
    <n v="63.6"/>
    <n v="141.69999999999999"/>
    <n v="24.5"/>
    <n v="13"/>
    <s v="CA"/>
    <n v="3"/>
    <n v="23.9"/>
    <s v="Low"/>
    <n v="1"/>
    <s v="Multi-Day"/>
    <n v="0"/>
    <n v="0"/>
    <s v="Main Entrance"/>
    <s v="Pixar Pals"/>
    <n v="8.8000000000000007"/>
    <n v="7"/>
    <x v="3494"/>
  </r>
  <r>
    <n v="3761"/>
    <n v="1236"/>
    <d v="2026-05-03T00:00:00"/>
    <s v="Sunday"/>
    <n v="5"/>
    <n v="8.7799999999999994"/>
    <x v="0"/>
    <x v="71"/>
    <s v="Male"/>
    <n v="66.2"/>
    <n v="136.1"/>
    <n v="21.8"/>
    <n v="14"/>
    <s v="NV"/>
    <n v="3"/>
    <n v="106.3"/>
    <s v="Middle"/>
    <n v="0"/>
    <s v="Single-Day"/>
    <n v="0"/>
    <n v="0"/>
    <s v="Main Entrance"/>
    <s v="None/Dropoff/Transit"/>
    <n v="4.2"/>
    <n v="6"/>
    <x v="3495"/>
  </r>
  <r>
    <n v="3762"/>
    <n v="1236"/>
    <d v="2026-05-03T00:00:00"/>
    <s v="Sunday"/>
    <n v="5"/>
    <n v="8.7799999999999994"/>
    <x v="0"/>
    <x v="30"/>
    <s v="Male"/>
    <n v="66.7"/>
    <n v="129.6"/>
    <n v="20.7"/>
    <n v="16"/>
    <s v="NV"/>
    <n v="3"/>
    <n v="106.3"/>
    <s v="Middle"/>
    <n v="0"/>
    <s v="Single-Day"/>
    <n v="0"/>
    <n v="0"/>
    <s v="Main Entrance"/>
    <s v="None/Dropoff/Transit"/>
    <n v="7.7"/>
    <n v="7"/>
    <x v="1576"/>
  </r>
  <r>
    <n v="3763"/>
    <n v="1236"/>
    <d v="2026-05-03T00:00:00"/>
    <s v="Sunday"/>
    <n v="5"/>
    <n v="8.86"/>
    <x v="0"/>
    <x v="62"/>
    <s v="Male"/>
    <n v="73.2"/>
    <n v="211.5"/>
    <n v="27.8"/>
    <n v="16"/>
    <s v="NV"/>
    <n v="3"/>
    <n v="106.3"/>
    <s v="Middle"/>
    <n v="0"/>
    <s v="Single-Day"/>
    <n v="0"/>
    <n v="0"/>
    <s v="Main Entrance"/>
    <s v="None/Dropoff/Transit"/>
    <n v="8"/>
    <n v="8"/>
    <x v="3496"/>
  </r>
  <r>
    <n v="3764"/>
    <n v="1237"/>
    <d v="2026-07-09T00:00:00"/>
    <s v="Thursday"/>
    <n v="7"/>
    <n v="12.43"/>
    <x v="1"/>
    <x v="14"/>
    <s v="Female"/>
    <n v="65.099999999999994"/>
    <n v="140.4"/>
    <n v="23"/>
    <n v="16"/>
    <s v="CA"/>
    <n v="3"/>
    <n v="2"/>
    <s v="High"/>
    <n v="0"/>
    <s v="Park Hopper"/>
    <n v="1"/>
    <n v="0"/>
    <s v="Downtown Disney Gate"/>
    <s v="Mickey &amp; Friends"/>
    <n v="8.6999999999999993"/>
    <n v="7"/>
    <x v="3497"/>
  </r>
  <r>
    <n v="3765"/>
    <n v="1237"/>
    <d v="2026-07-09T00:00:00"/>
    <s v="Thursday"/>
    <n v="7"/>
    <n v="12.34"/>
    <x v="1"/>
    <x v="64"/>
    <s v="Male"/>
    <n v="54.6"/>
    <n v="100.4"/>
    <n v="23.6"/>
    <n v="14"/>
    <s v="CA"/>
    <n v="3"/>
    <n v="2"/>
    <s v="High"/>
    <n v="0"/>
    <s v="Park Hopper"/>
    <n v="1"/>
    <n v="0"/>
    <s v="Downtown Disney Gate"/>
    <s v="Mickey &amp; Friends"/>
    <n v="8.3000000000000007"/>
    <n v="14"/>
    <x v="3498"/>
  </r>
  <r>
    <n v="3766"/>
    <n v="1237"/>
    <d v="2026-07-09T00:00:00"/>
    <s v="Thursday"/>
    <n v="7"/>
    <n v="12.49"/>
    <x v="1"/>
    <x v="37"/>
    <s v="Female"/>
    <n v="63.1"/>
    <n v="133.5"/>
    <n v="23.7"/>
    <n v="18"/>
    <s v="CA"/>
    <n v="3"/>
    <n v="2"/>
    <s v="High"/>
    <n v="0"/>
    <s v="Park Hopper"/>
    <n v="1"/>
    <n v="0"/>
    <s v="Downtown Disney Gate"/>
    <s v="Mickey &amp; Friends"/>
    <n v="8.1"/>
    <n v="6"/>
    <x v="3499"/>
  </r>
  <r>
    <n v="3767"/>
    <n v="1238"/>
    <d v="2026-11-24T00:00:00"/>
    <s v="Tuesday"/>
    <n v="11"/>
    <n v="8.48"/>
    <x v="0"/>
    <x v="58"/>
    <s v="Female"/>
    <n v="65"/>
    <n v="164.4"/>
    <n v="27.3"/>
    <n v="10"/>
    <s v="AZ"/>
    <n v="2"/>
    <n v="296.39999999999998"/>
    <s v="Low"/>
    <n v="1"/>
    <s v="Single-Day"/>
    <n v="0"/>
    <n v="1"/>
    <s v="Main Entrance"/>
    <s v="Mickey &amp; Friends"/>
    <n v="10.4"/>
    <n v="10"/>
    <x v="275"/>
  </r>
  <r>
    <n v="3768"/>
    <n v="1238"/>
    <d v="2026-11-24T00:00:00"/>
    <s v="Tuesday"/>
    <n v="11"/>
    <n v="8.64"/>
    <x v="0"/>
    <x v="28"/>
    <s v="Female"/>
    <n v="64.7"/>
    <n v="138.5"/>
    <n v="23.1"/>
    <n v="12"/>
    <s v="AZ"/>
    <n v="2"/>
    <n v="296.39999999999998"/>
    <s v="Low"/>
    <n v="1"/>
    <s v="Single-Day"/>
    <n v="0"/>
    <n v="1"/>
    <s v="Main Entrance"/>
    <s v="Mickey &amp; Friends"/>
    <n v="9.6999999999999993"/>
    <n v="16"/>
    <x v="3500"/>
  </r>
  <r>
    <n v="3769"/>
    <n v="1239"/>
    <d v="2026-03-23T00:00:00"/>
    <s v="Monday"/>
    <n v="3"/>
    <n v="8.83"/>
    <x v="0"/>
    <x v="32"/>
    <s v="Male"/>
    <n v="58.9"/>
    <n v="86.8"/>
    <n v="17.600000000000001"/>
    <n v="14"/>
    <s v="ND"/>
    <n v="2"/>
    <n v="2175.3000000000002"/>
    <s v="High"/>
    <n v="1"/>
    <s v="Single-Day"/>
    <n v="0"/>
    <n v="0"/>
    <s v="Downtown Disney Gate"/>
    <s v="Pixar Pals"/>
    <n v="9.9"/>
    <n v="9"/>
    <x v="3501"/>
  </r>
  <r>
    <n v="3770"/>
    <n v="1239"/>
    <d v="2026-03-23T00:00:00"/>
    <s v="Monday"/>
    <n v="3"/>
    <n v="8.84"/>
    <x v="0"/>
    <x v="21"/>
    <s v="Male"/>
    <n v="71.900000000000006"/>
    <n v="236.2"/>
    <n v="32"/>
    <n v="19"/>
    <s v="ND"/>
    <n v="2"/>
    <n v="2175.3000000000002"/>
    <s v="High"/>
    <n v="1"/>
    <s v="Single-Day"/>
    <n v="0"/>
    <n v="0"/>
    <s v="Downtown Disney Gate"/>
    <s v="Pixar Pals"/>
    <n v="8.6"/>
    <n v="5"/>
    <x v="1157"/>
  </r>
  <r>
    <n v="3771"/>
    <n v="1240"/>
    <d v="2026-08-17T00:00:00"/>
    <s v="Monday"/>
    <n v="8"/>
    <n v="11.83"/>
    <x v="1"/>
    <x v="31"/>
    <s v="Male"/>
    <n v="72.5"/>
    <n v="204.9"/>
    <n v="27.6"/>
    <n v="13"/>
    <s v="CO"/>
    <n v="6"/>
    <n v="1122.5999999999999"/>
    <s v="Low"/>
    <n v="1"/>
    <s v="Single-Day"/>
    <n v="0"/>
    <n v="0"/>
    <s v="Main Entrance"/>
    <s v="Mickey &amp; Friends"/>
    <n v="6.1"/>
    <n v="9"/>
    <x v="3502"/>
  </r>
  <r>
    <n v="3772"/>
    <n v="1240"/>
    <d v="2026-08-17T00:00:00"/>
    <s v="Monday"/>
    <n v="8"/>
    <n v="11.76"/>
    <x v="1"/>
    <x v="60"/>
    <s v="Male"/>
    <n v="68.5"/>
    <n v="102.5"/>
    <n v="15.3"/>
    <n v="11"/>
    <s v="CO"/>
    <n v="6"/>
    <n v="1122.5999999999999"/>
    <s v="Low"/>
    <n v="1"/>
    <s v="Single-Day"/>
    <n v="0"/>
    <n v="0"/>
    <s v="Main Entrance"/>
    <s v="Mickey &amp; Friends"/>
    <n v="8.8000000000000007"/>
    <n v="7"/>
    <x v="3503"/>
  </r>
  <r>
    <n v="3773"/>
    <n v="1240"/>
    <d v="2026-08-17T00:00:00"/>
    <s v="Monday"/>
    <n v="8"/>
    <n v="11.7"/>
    <x v="1"/>
    <x v="9"/>
    <s v="Female"/>
    <n v="60.7"/>
    <n v="101.3"/>
    <n v="19.5"/>
    <n v="15"/>
    <s v="CO"/>
    <n v="6"/>
    <n v="1122.5999999999999"/>
    <s v="Low"/>
    <n v="1"/>
    <s v="Single-Day"/>
    <n v="0"/>
    <n v="0"/>
    <s v="Main Entrance"/>
    <s v="Mickey &amp; Friends"/>
    <n v="5.7"/>
    <n v="9"/>
    <x v="3504"/>
  </r>
  <r>
    <n v="3774"/>
    <n v="1240"/>
    <d v="2026-08-17T00:00:00"/>
    <s v="Monday"/>
    <n v="8"/>
    <n v="11.76"/>
    <x v="1"/>
    <x v="3"/>
    <s v="Female"/>
    <n v="64.8"/>
    <n v="121.8"/>
    <n v="20.3"/>
    <n v="10"/>
    <s v="CO"/>
    <n v="6"/>
    <n v="1122.5999999999999"/>
    <s v="Low"/>
    <n v="1"/>
    <s v="Single-Day"/>
    <n v="0"/>
    <n v="0"/>
    <s v="Main Entrance"/>
    <s v="Mickey &amp; Friends"/>
    <n v="8"/>
    <n v="4"/>
    <x v="3505"/>
  </r>
  <r>
    <n v="3775"/>
    <n v="1240"/>
    <d v="2026-08-17T00:00:00"/>
    <s v="Monday"/>
    <n v="8"/>
    <n v="11.68"/>
    <x v="1"/>
    <x v="4"/>
    <s v="Female"/>
    <n v="63.1"/>
    <n v="147.9"/>
    <n v="26"/>
    <n v="14"/>
    <s v="CO"/>
    <n v="6"/>
    <n v="1122.5999999999999"/>
    <s v="Low"/>
    <n v="1"/>
    <s v="Single-Day"/>
    <n v="0"/>
    <n v="0"/>
    <s v="Main Entrance"/>
    <s v="Mickey &amp; Friends"/>
    <n v="9.4"/>
    <n v="8"/>
    <x v="3506"/>
  </r>
  <r>
    <n v="3776"/>
    <n v="1240"/>
    <d v="2026-08-17T00:00:00"/>
    <s v="Monday"/>
    <n v="8"/>
    <n v="11.85"/>
    <x v="1"/>
    <x v="17"/>
    <s v="Male"/>
    <n v="68.7"/>
    <n v="150.9"/>
    <n v="22.6"/>
    <n v="14"/>
    <s v="CO"/>
    <n v="6"/>
    <n v="1122.5999999999999"/>
    <s v="Low"/>
    <n v="1"/>
    <s v="Single-Day"/>
    <n v="0"/>
    <n v="0"/>
    <s v="Main Entrance"/>
    <s v="Mickey &amp; Friends"/>
    <n v="5.3"/>
    <n v="8"/>
    <x v="3507"/>
  </r>
  <r>
    <n v="3777"/>
    <n v="1241"/>
    <d v="2026-12-18T00:00:00"/>
    <s v="Friday"/>
    <n v="12"/>
    <n v="13.61"/>
    <x v="1"/>
    <x v="6"/>
    <s v="Female"/>
    <n v="61.1"/>
    <n v="124.4"/>
    <n v="23.6"/>
    <n v="14"/>
    <s v="AZ"/>
    <n v="4"/>
    <n v="400.9"/>
    <s v="Middle"/>
    <n v="0"/>
    <s v="Single-Day"/>
    <n v="0"/>
    <n v="0"/>
    <s v="Main Entrance"/>
    <s v="Pixar Pals"/>
    <n v="6.2"/>
    <n v="6"/>
    <x v="3508"/>
  </r>
  <r>
    <n v="3778"/>
    <n v="1241"/>
    <d v="2026-12-18T00:00:00"/>
    <s v="Friday"/>
    <n v="12"/>
    <n v="13.7"/>
    <x v="1"/>
    <x v="25"/>
    <s v="Female"/>
    <n v="62.3"/>
    <n v="140.30000000000001"/>
    <n v="25.5"/>
    <n v="14"/>
    <s v="AZ"/>
    <n v="4"/>
    <n v="400.9"/>
    <s v="Middle"/>
    <n v="0"/>
    <s v="Single-Day"/>
    <n v="0"/>
    <n v="0"/>
    <s v="Main Entrance"/>
    <s v="Pixar Pals"/>
    <n v="8.6999999999999993"/>
    <n v="6"/>
    <x v="3509"/>
  </r>
  <r>
    <n v="3779"/>
    <n v="1241"/>
    <d v="2026-12-18T00:00:00"/>
    <s v="Friday"/>
    <n v="12"/>
    <n v="13.89"/>
    <x v="1"/>
    <x v="47"/>
    <s v="Female"/>
    <n v="62.1"/>
    <n v="148.6"/>
    <n v="27.2"/>
    <n v="16"/>
    <s v="AZ"/>
    <n v="4"/>
    <n v="400.9"/>
    <s v="Middle"/>
    <n v="0"/>
    <s v="Single-Day"/>
    <n v="0"/>
    <n v="0"/>
    <s v="Main Entrance"/>
    <s v="Pixar Pals"/>
    <n v="6.5"/>
    <n v="8"/>
    <x v="3510"/>
  </r>
  <r>
    <n v="3780"/>
    <n v="1241"/>
    <d v="2026-12-18T00:00:00"/>
    <s v="Friday"/>
    <n v="12"/>
    <n v="13.76"/>
    <x v="1"/>
    <x v="3"/>
    <s v="Female"/>
    <n v="62.4"/>
    <n v="140.1"/>
    <n v="25.4"/>
    <n v="15"/>
    <s v="AZ"/>
    <n v="4"/>
    <n v="400.9"/>
    <s v="Middle"/>
    <n v="0"/>
    <s v="Single-Day"/>
    <n v="0"/>
    <n v="0"/>
    <s v="Main Entrance"/>
    <s v="Pixar Pals"/>
    <n v="8.1"/>
    <n v="3"/>
    <x v="3511"/>
  </r>
  <r>
    <n v="3781"/>
    <n v="1242"/>
    <d v="2026-09-17T00:00:00"/>
    <s v="Thursday"/>
    <n v="9"/>
    <n v="10.36"/>
    <x v="0"/>
    <x v="60"/>
    <s v="Female"/>
    <n v="58.8"/>
    <n v="81.5"/>
    <n v="16.7"/>
    <n v="13"/>
    <s v="CA"/>
    <n v="4"/>
    <n v="69.2"/>
    <s v="Low"/>
    <n v="0"/>
    <s v="Single-Day"/>
    <n v="0"/>
    <n v="0"/>
    <s v="Main Entrance"/>
    <s v="Pixar Pals"/>
    <n v="7.8"/>
    <n v="8"/>
    <x v="3512"/>
  </r>
  <r>
    <n v="3782"/>
    <n v="1242"/>
    <d v="2026-09-17T00:00:00"/>
    <s v="Thursday"/>
    <n v="9"/>
    <n v="10.4"/>
    <x v="0"/>
    <x v="25"/>
    <s v="Female"/>
    <n v="67.099999999999994"/>
    <n v="123.3"/>
    <n v="19.2"/>
    <n v="12"/>
    <s v="CA"/>
    <n v="4"/>
    <n v="69.2"/>
    <s v="Low"/>
    <n v="0"/>
    <s v="Single-Day"/>
    <n v="0"/>
    <n v="0"/>
    <s v="Main Entrance"/>
    <s v="Pixar Pals"/>
    <n v="9.1999999999999993"/>
    <n v="8"/>
    <x v="3513"/>
  </r>
  <r>
    <n v="3783"/>
    <n v="1242"/>
    <d v="2026-09-17T00:00:00"/>
    <s v="Thursday"/>
    <n v="9"/>
    <n v="10.33"/>
    <x v="0"/>
    <x v="30"/>
    <s v="Female"/>
    <n v="67.8"/>
    <n v="127.4"/>
    <n v="19.5"/>
    <n v="10"/>
    <s v="CA"/>
    <n v="4"/>
    <n v="69.2"/>
    <s v="Low"/>
    <n v="0"/>
    <s v="Single-Day"/>
    <n v="0"/>
    <n v="0"/>
    <s v="Main Entrance"/>
    <s v="Pixar Pals"/>
    <n v="7.5"/>
    <n v="11"/>
    <x v="1111"/>
  </r>
  <r>
    <n v="3784"/>
    <n v="1242"/>
    <d v="2026-09-17T00:00:00"/>
    <s v="Thursday"/>
    <n v="9"/>
    <n v="10.3"/>
    <x v="0"/>
    <x v="20"/>
    <s v="Female"/>
    <n v="70"/>
    <n v="105.6"/>
    <n v="15.1"/>
    <n v="15"/>
    <s v="CA"/>
    <n v="4"/>
    <n v="69.2"/>
    <s v="Low"/>
    <n v="0"/>
    <s v="Single-Day"/>
    <n v="0"/>
    <n v="0"/>
    <s v="Main Entrance"/>
    <s v="Pixar Pals"/>
    <n v="6"/>
    <n v="5"/>
    <x v="3514"/>
  </r>
  <r>
    <n v="3785"/>
    <n v="1243"/>
    <d v="2026-12-30T00:00:00"/>
    <s v="Wednesday"/>
    <n v="12"/>
    <n v="11.53"/>
    <x v="1"/>
    <x v="50"/>
    <s v="Female"/>
    <n v="67.7"/>
    <n v="142.1"/>
    <n v="21.8"/>
    <n v="11"/>
    <s v="WA"/>
    <n v="2"/>
    <n v="970"/>
    <s v="Low"/>
    <n v="0"/>
    <s v="Park Hopper"/>
    <n v="1"/>
    <n v="0"/>
    <s v="Main Entrance"/>
    <s v="Mickey &amp; Friends"/>
    <n v="7.3"/>
    <n v="8"/>
    <x v="3515"/>
  </r>
  <r>
    <n v="3786"/>
    <n v="1243"/>
    <d v="2026-12-30T00:00:00"/>
    <s v="Wednesday"/>
    <n v="12"/>
    <n v="11.44"/>
    <x v="1"/>
    <x v="62"/>
    <s v="Female"/>
    <n v="67.7"/>
    <n v="176.1"/>
    <n v="26.9"/>
    <n v="16"/>
    <s v="WA"/>
    <n v="2"/>
    <n v="970"/>
    <s v="Low"/>
    <n v="0"/>
    <s v="Park Hopper"/>
    <n v="1"/>
    <n v="0"/>
    <s v="Main Entrance"/>
    <s v="Mickey &amp; Friends"/>
    <n v="9"/>
    <n v="16"/>
    <x v="3516"/>
  </r>
  <r>
    <n v="3787"/>
    <n v="1244"/>
    <d v="2026-05-03T00:00:00"/>
    <s v="Sunday"/>
    <n v="5"/>
    <n v="11.86"/>
    <x v="1"/>
    <x v="9"/>
    <s v="Female"/>
    <n v="59.5"/>
    <n v="175.4"/>
    <n v="34.9"/>
    <n v="13"/>
    <s v="NV"/>
    <n v="2"/>
    <n v="357.6"/>
    <s v="Low"/>
    <n v="1"/>
    <s v="Single-Day"/>
    <n v="0"/>
    <n v="0"/>
    <s v="Main Entrance"/>
    <s v="None/Dropoff/Transit"/>
    <n v="7.3"/>
    <n v="7"/>
    <x v="3517"/>
  </r>
  <r>
    <n v="3788"/>
    <n v="1244"/>
    <d v="2026-05-03T00:00:00"/>
    <s v="Sunday"/>
    <n v="5"/>
    <n v="11.89"/>
    <x v="1"/>
    <x v="57"/>
    <s v="Male"/>
    <n v="73"/>
    <n v="188.3"/>
    <n v="24.8"/>
    <n v="16"/>
    <s v="NV"/>
    <n v="2"/>
    <n v="357.6"/>
    <s v="Low"/>
    <n v="1"/>
    <s v="Single-Day"/>
    <n v="0"/>
    <n v="0"/>
    <s v="Main Entrance"/>
    <s v="None/Dropoff/Transit"/>
    <n v="8.6"/>
    <n v="12"/>
    <x v="3518"/>
  </r>
  <r>
    <n v="3789"/>
    <n v="1245"/>
    <d v="2026-01-21T00:00:00"/>
    <s v="Wednesday"/>
    <n v="1"/>
    <n v="10.68"/>
    <x v="0"/>
    <x v="30"/>
    <s v="Male"/>
    <n v="67.8"/>
    <n v="148.1"/>
    <n v="23.1"/>
    <n v="12"/>
    <s v="CA"/>
    <n v="3"/>
    <n v="35.299999999999997"/>
    <s v="Low"/>
    <n v="1"/>
    <s v="Single-Day"/>
    <n v="0"/>
    <n v="0"/>
    <s v="Main Entrance"/>
    <s v="Toy Story Lot"/>
    <n v="7.5"/>
    <n v="10"/>
    <x v="3519"/>
  </r>
  <r>
    <n v="3790"/>
    <n v="1245"/>
    <d v="2026-01-21T00:00:00"/>
    <s v="Wednesday"/>
    <n v="1"/>
    <n v="10.84"/>
    <x v="0"/>
    <x v="18"/>
    <s v="Male"/>
    <n v="68.8"/>
    <n v="208.6"/>
    <n v="31.1"/>
    <n v="14"/>
    <s v="CA"/>
    <n v="3"/>
    <n v="35.299999999999997"/>
    <s v="Low"/>
    <n v="1"/>
    <s v="Single-Day"/>
    <n v="0"/>
    <n v="0"/>
    <s v="Main Entrance"/>
    <s v="Toy Story Lot"/>
    <n v="9.6"/>
    <n v="6"/>
    <x v="3520"/>
  </r>
  <r>
    <n v="3791"/>
    <n v="1245"/>
    <d v="2026-01-21T00:00:00"/>
    <s v="Wednesday"/>
    <n v="1"/>
    <n v="10.86"/>
    <x v="0"/>
    <x v="26"/>
    <s v="Male"/>
    <n v="69.3"/>
    <n v="157.5"/>
    <n v="23.1"/>
    <n v="14"/>
    <s v="CA"/>
    <n v="3"/>
    <n v="35.299999999999997"/>
    <s v="Low"/>
    <n v="1"/>
    <s v="Single-Day"/>
    <n v="0"/>
    <n v="0"/>
    <s v="Main Entrance"/>
    <s v="Toy Story Lot"/>
    <n v="5"/>
    <n v="6"/>
    <x v="850"/>
  </r>
  <r>
    <n v="3792"/>
    <n v="1246"/>
    <d v="2026-11-16T00:00:00"/>
    <s v="Monday"/>
    <n v="11"/>
    <n v="7.84"/>
    <x v="0"/>
    <x v="27"/>
    <s v="Female"/>
    <n v="62.4"/>
    <n v="154.30000000000001"/>
    <n v="27.8"/>
    <n v="15"/>
    <s v="TX"/>
    <n v="1"/>
    <n v="1578.1"/>
    <s v="Low"/>
    <n v="1"/>
    <s v="Single-Day"/>
    <n v="0"/>
    <n v="0"/>
    <s v="Main Entrance"/>
    <s v="Toy Story Lot"/>
    <n v="7"/>
    <n v="9"/>
    <x v="3521"/>
  </r>
  <r>
    <n v="3793"/>
    <n v="1247"/>
    <d v="2026-09-29T00:00:00"/>
    <s v="Tuesday"/>
    <n v="9"/>
    <n v="13.55"/>
    <x v="1"/>
    <x v="9"/>
    <s v="Male"/>
    <n v="69.7"/>
    <n v="214.2"/>
    <n v="30.7"/>
    <n v="15"/>
    <s v="FL"/>
    <n v="2"/>
    <n v="2736.4"/>
    <s v="Middle"/>
    <n v="0"/>
    <s v="Park Hopper"/>
    <n v="1"/>
    <n v="0"/>
    <s v="Hotel Guest Entrance"/>
    <s v="Mickey &amp; Friends"/>
    <n v="6.2"/>
    <n v="8"/>
    <x v="3522"/>
  </r>
  <r>
    <n v="3794"/>
    <n v="1247"/>
    <d v="2026-09-29T00:00:00"/>
    <s v="Tuesday"/>
    <n v="9"/>
    <n v="13.41"/>
    <x v="1"/>
    <x v="41"/>
    <s v="Male"/>
    <n v="65"/>
    <n v="168.1"/>
    <n v="27.9"/>
    <n v="17"/>
    <s v="FL"/>
    <n v="2"/>
    <n v="2736.4"/>
    <s v="Middle"/>
    <n v="0"/>
    <s v="Park Hopper"/>
    <n v="1"/>
    <n v="0"/>
    <s v="Hotel Guest Entrance"/>
    <s v="Mickey &amp; Friends"/>
    <n v="6.5"/>
    <n v="12"/>
    <x v="3523"/>
  </r>
  <r>
    <n v="3795"/>
    <n v="1248"/>
    <d v="2026-10-12T00:00:00"/>
    <s v="Monday"/>
    <n v="10"/>
    <n v="13.24"/>
    <x v="1"/>
    <x v="28"/>
    <s v="Female"/>
    <n v="63.2"/>
    <n v="169.3"/>
    <n v="29.8"/>
    <n v="10"/>
    <s v="FL"/>
    <n v="5"/>
    <n v="2616.3000000000002"/>
    <s v="Low"/>
    <n v="1"/>
    <s v="Single-Day"/>
    <n v="0"/>
    <n v="0"/>
    <s v="Downtown Disney Gate"/>
    <s v="Toy Story Lot"/>
    <n v="8.4"/>
    <n v="8"/>
    <x v="3524"/>
  </r>
  <r>
    <n v="3796"/>
    <n v="1248"/>
    <d v="2026-10-12T00:00:00"/>
    <s v="Monday"/>
    <n v="10"/>
    <n v="13.23"/>
    <x v="1"/>
    <x v="19"/>
    <s v="Female"/>
    <n v="63"/>
    <n v="135.4"/>
    <n v="24"/>
    <n v="14"/>
    <s v="FL"/>
    <n v="5"/>
    <n v="2616.3000000000002"/>
    <s v="Low"/>
    <n v="1"/>
    <s v="Single-Day"/>
    <n v="0"/>
    <n v="0"/>
    <s v="Downtown Disney Gate"/>
    <s v="Toy Story Lot"/>
    <n v="8.3000000000000007"/>
    <n v="9"/>
    <x v="3525"/>
  </r>
  <r>
    <n v="3797"/>
    <n v="1248"/>
    <d v="2026-10-12T00:00:00"/>
    <s v="Monday"/>
    <n v="10"/>
    <n v="13.03"/>
    <x v="1"/>
    <x v="6"/>
    <s v="Male"/>
    <n v="68.8"/>
    <n v="247.1"/>
    <n v="36.9"/>
    <n v="14"/>
    <s v="FL"/>
    <n v="5"/>
    <n v="2616.3000000000002"/>
    <s v="Low"/>
    <n v="1"/>
    <s v="Single-Day"/>
    <n v="0"/>
    <n v="0"/>
    <s v="Downtown Disney Gate"/>
    <s v="Toy Story Lot"/>
    <n v="8.6999999999999993"/>
    <n v="7"/>
    <x v="3526"/>
  </r>
  <r>
    <n v="3798"/>
    <n v="1248"/>
    <d v="2026-10-12T00:00:00"/>
    <s v="Monday"/>
    <n v="10"/>
    <n v="13.23"/>
    <x v="1"/>
    <x v="51"/>
    <s v="Male"/>
    <n v="69.3"/>
    <n v="181"/>
    <n v="26.5"/>
    <n v="14"/>
    <s v="FL"/>
    <n v="5"/>
    <n v="2616.3000000000002"/>
    <s v="Low"/>
    <n v="1"/>
    <s v="Single-Day"/>
    <n v="0"/>
    <n v="0"/>
    <s v="Downtown Disney Gate"/>
    <s v="Toy Story Lot"/>
    <n v="8.9"/>
    <n v="3"/>
    <x v="3527"/>
  </r>
  <r>
    <n v="3799"/>
    <n v="1248"/>
    <d v="2026-10-12T00:00:00"/>
    <s v="Monday"/>
    <n v="10"/>
    <n v="13.23"/>
    <x v="1"/>
    <x v="5"/>
    <s v="Female"/>
    <n v="65"/>
    <n v="144.1"/>
    <n v="24.3"/>
    <n v="12"/>
    <s v="FL"/>
    <n v="5"/>
    <n v="2616.3000000000002"/>
    <s v="Low"/>
    <n v="1"/>
    <s v="Single-Day"/>
    <n v="0"/>
    <n v="0"/>
    <s v="Downtown Disney Gate"/>
    <s v="Toy Story Lot"/>
    <n v="9.6999999999999993"/>
    <n v="15"/>
    <x v="3528"/>
  </r>
  <r>
    <n v="3800"/>
    <n v="1249"/>
    <d v="2026-04-12T00:00:00"/>
    <s v="Sunday"/>
    <n v="4"/>
    <n v="8.75"/>
    <x v="0"/>
    <x v="30"/>
    <s v="Female"/>
    <n v="65"/>
    <n v="142.6"/>
    <n v="24"/>
    <n v="15"/>
    <s v="CA"/>
    <n v="6"/>
    <n v="58.7"/>
    <s v="Middle"/>
    <n v="0"/>
    <s v="Single-Day"/>
    <n v="1"/>
    <n v="0"/>
    <s v="Main Entrance"/>
    <s v="Pixar Pals"/>
    <n v="9.8000000000000007"/>
    <n v="6"/>
    <x v="3529"/>
  </r>
  <r>
    <n v="3801"/>
    <n v="1249"/>
    <d v="2026-04-12T00:00:00"/>
    <s v="Sunday"/>
    <n v="4"/>
    <n v="8.85"/>
    <x v="0"/>
    <x v="37"/>
    <s v="Male"/>
    <n v="66.8"/>
    <n v="135"/>
    <n v="21.4"/>
    <n v="13"/>
    <s v="CA"/>
    <n v="6"/>
    <n v="58.7"/>
    <s v="Middle"/>
    <n v="0"/>
    <s v="Single-Day"/>
    <n v="1"/>
    <n v="0"/>
    <s v="Main Entrance"/>
    <s v="Pixar Pals"/>
    <n v="7.4"/>
    <n v="5"/>
    <x v="3530"/>
  </r>
  <r>
    <n v="3802"/>
    <n v="1249"/>
    <d v="2026-04-12T00:00:00"/>
    <s v="Sunday"/>
    <n v="4"/>
    <n v="9.14"/>
    <x v="0"/>
    <x v="32"/>
    <s v="Male"/>
    <n v="62.4"/>
    <n v="91"/>
    <n v="16.399999999999999"/>
    <n v="11"/>
    <s v="CA"/>
    <n v="6"/>
    <n v="58.7"/>
    <s v="Middle"/>
    <n v="0"/>
    <s v="Single-Day"/>
    <n v="1"/>
    <n v="0"/>
    <s v="Main Entrance"/>
    <s v="Pixar Pals"/>
    <n v="8"/>
    <n v="7"/>
    <x v="3531"/>
  </r>
  <r>
    <n v="3803"/>
    <n v="1249"/>
    <d v="2026-04-12T00:00:00"/>
    <s v="Sunday"/>
    <n v="4"/>
    <n v="8.86"/>
    <x v="0"/>
    <x v="42"/>
    <s v="Male"/>
    <n v="73.5"/>
    <n v="138.5"/>
    <n v="18.2"/>
    <n v="17"/>
    <s v="CA"/>
    <n v="6"/>
    <n v="58.7"/>
    <s v="Middle"/>
    <n v="0"/>
    <s v="Single-Day"/>
    <n v="1"/>
    <n v="0"/>
    <s v="Main Entrance"/>
    <s v="Pixar Pals"/>
    <n v="9.8000000000000007"/>
    <n v="9"/>
    <x v="3532"/>
  </r>
  <r>
    <n v="3804"/>
    <n v="1249"/>
    <d v="2026-04-12T00:00:00"/>
    <s v="Sunday"/>
    <n v="4"/>
    <n v="8.9"/>
    <x v="0"/>
    <x v="17"/>
    <s v="Female"/>
    <n v="63.4"/>
    <n v="131.1"/>
    <n v="23.1"/>
    <n v="13"/>
    <s v="CA"/>
    <n v="6"/>
    <n v="58.7"/>
    <s v="Middle"/>
    <n v="0"/>
    <s v="Single-Day"/>
    <n v="1"/>
    <n v="0"/>
    <s v="Main Entrance"/>
    <s v="Pixar Pals"/>
    <n v="6.2"/>
    <n v="8"/>
    <x v="851"/>
  </r>
  <r>
    <n v="3805"/>
    <n v="1249"/>
    <d v="2026-04-12T00:00:00"/>
    <s v="Sunday"/>
    <n v="4"/>
    <n v="8.74"/>
    <x v="0"/>
    <x v="56"/>
    <s v="Nonbinary/Other"/>
    <n v="68.599999999999994"/>
    <n v="200.8"/>
    <n v="29.8"/>
    <n v="16"/>
    <s v="CA"/>
    <n v="6"/>
    <n v="58.7"/>
    <s v="Middle"/>
    <n v="0"/>
    <s v="Single-Day"/>
    <n v="1"/>
    <n v="0"/>
    <s v="Main Entrance"/>
    <s v="Pixar Pals"/>
    <n v="7.6"/>
    <n v="6"/>
    <x v="3533"/>
  </r>
  <r>
    <n v="3806"/>
    <n v="1250"/>
    <d v="2026-06-15T00:00:00"/>
    <s v="Monday"/>
    <n v="6"/>
    <n v="7.08"/>
    <x v="0"/>
    <x v="1"/>
    <s v="Female"/>
    <n v="63.2"/>
    <n v="182.8"/>
    <n v="32.299999999999997"/>
    <n v="17"/>
    <s v="CA"/>
    <n v="4"/>
    <n v="48.1"/>
    <s v="Middle"/>
    <n v="1"/>
    <s v="Single-Day"/>
    <n v="0"/>
    <n v="0"/>
    <s v="Main Entrance"/>
    <s v="Mickey &amp; Friends"/>
    <n v="10.7"/>
    <n v="13"/>
    <x v="3534"/>
  </r>
  <r>
    <n v="3807"/>
    <n v="1250"/>
    <d v="2026-06-15T00:00:00"/>
    <s v="Monday"/>
    <n v="6"/>
    <n v="7.2"/>
    <x v="0"/>
    <x v="12"/>
    <s v="Male"/>
    <n v="61.6"/>
    <n v="99.1"/>
    <n v="18.100000000000001"/>
    <n v="13"/>
    <s v="CA"/>
    <n v="4"/>
    <n v="48.1"/>
    <s v="Middle"/>
    <n v="1"/>
    <s v="Single-Day"/>
    <n v="0"/>
    <n v="0"/>
    <s v="Main Entrance"/>
    <s v="Mickey &amp; Friends"/>
    <n v="6.3"/>
    <n v="9"/>
    <x v="3535"/>
  </r>
  <r>
    <n v="3808"/>
    <n v="1250"/>
    <d v="2026-06-15T00:00:00"/>
    <s v="Monday"/>
    <n v="6"/>
    <n v="7"/>
    <x v="0"/>
    <x v="51"/>
    <s v="Male"/>
    <n v="65.8"/>
    <n v="149"/>
    <n v="24.3"/>
    <n v="18"/>
    <s v="CA"/>
    <n v="4"/>
    <n v="48.1"/>
    <s v="Middle"/>
    <n v="1"/>
    <s v="Single-Day"/>
    <n v="0"/>
    <n v="0"/>
    <s v="Main Entrance"/>
    <s v="Mickey &amp; Friends"/>
    <n v="7.2"/>
    <n v="10"/>
    <x v="3536"/>
  </r>
  <r>
    <n v="3809"/>
    <n v="1250"/>
    <d v="2026-06-15T00:00:00"/>
    <s v="Monday"/>
    <n v="6"/>
    <n v="7.09"/>
    <x v="0"/>
    <x v="34"/>
    <s v="Male"/>
    <n v="67.7"/>
    <n v="181.8"/>
    <n v="27.9"/>
    <n v="15"/>
    <s v="CA"/>
    <n v="4"/>
    <n v="48.1"/>
    <s v="Middle"/>
    <n v="1"/>
    <s v="Single-Day"/>
    <n v="0"/>
    <n v="0"/>
    <s v="Main Entrance"/>
    <s v="Mickey &amp; Friends"/>
    <n v="10.199999999999999"/>
    <n v="12"/>
    <x v="3537"/>
  </r>
  <r>
    <n v="3810"/>
    <n v="1251"/>
    <d v="2026-04-16T00:00:00"/>
    <s v="Thursday"/>
    <n v="4"/>
    <n v="11.28"/>
    <x v="1"/>
    <x v="47"/>
    <s v="Male"/>
    <n v="70.8"/>
    <n v="252.1"/>
    <n v="35.200000000000003"/>
    <n v="19"/>
    <s v="CA"/>
    <n v="4"/>
    <n v="84.6"/>
    <s v="Middle"/>
    <n v="0"/>
    <s v="Single-Day"/>
    <n v="0"/>
    <n v="0"/>
    <s v="Hotel Guest Entrance"/>
    <s v="Pixar Pals"/>
    <n v="8.3000000000000007"/>
    <n v="12"/>
    <x v="3538"/>
  </r>
  <r>
    <n v="3811"/>
    <n v="1251"/>
    <d v="2026-04-16T00:00:00"/>
    <s v="Thursday"/>
    <n v="4"/>
    <n v="11.3"/>
    <x v="1"/>
    <x v="38"/>
    <s v="Male"/>
    <n v="67.400000000000006"/>
    <n v="174.8"/>
    <n v="27.2"/>
    <n v="10"/>
    <s v="CA"/>
    <n v="4"/>
    <n v="84.6"/>
    <s v="Middle"/>
    <n v="0"/>
    <s v="Single-Day"/>
    <n v="0"/>
    <n v="0"/>
    <s v="Hotel Guest Entrance"/>
    <s v="Pixar Pals"/>
    <n v="6.2"/>
    <n v="5"/>
    <x v="3539"/>
  </r>
  <r>
    <n v="3812"/>
    <n v="1251"/>
    <d v="2026-04-16T00:00:00"/>
    <s v="Thursday"/>
    <n v="4"/>
    <n v="11.32"/>
    <x v="1"/>
    <x v="56"/>
    <s v="Female"/>
    <n v="66.099999999999994"/>
    <n v="151.19999999999999"/>
    <n v="24.2"/>
    <n v="12"/>
    <s v="CA"/>
    <n v="4"/>
    <n v="84.6"/>
    <s v="Middle"/>
    <n v="0"/>
    <s v="Single-Day"/>
    <n v="0"/>
    <n v="0"/>
    <s v="Hotel Guest Entrance"/>
    <s v="Pixar Pals"/>
    <n v="9.8000000000000007"/>
    <n v="5"/>
    <x v="3540"/>
  </r>
  <r>
    <n v="3813"/>
    <n v="1251"/>
    <d v="2026-04-16T00:00:00"/>
    <s v="Thursday"/>
    <n v="4"/>
    <n v="11.32"/>
    <x v="1"/>
    <x v="4"/>
    <s v="Female"/>
    <n v="61.6"/>
    <n v="139.6"/>
    <n v="25.9"/>
    <n v="14"/>
    <s v="CA"/>
    <n v="4"/>
    <n v="84.6"/>
    <s v="Middle"/>
    <n v="0"/>
    <s v="Single-Day"/>
    <n v="0"/>
    <n v="0"/>
    <s v="Hotel Guest Entrance"/>
    <s v="Pixar Pals"/>
    <n v="6.5"/>
    <n v="4"/>
    <x v="3541"/>
  </r>
  <r>
    <n v="3814"/>
    <n v="1252"/>
    <d v="2026-08-04T00:00:00"/>
    <s v="Tuesday"/>
    <n v="8"/>
    <n v="10.77"/>
    <x v="0"/>
    <x v="30"/>
    <s v="Female"/>
    <n v="64.3"/>
    <n v="149.1"/>
    <n v="25.2"/>
    <n v="17"/>
    <s v="NV"/>
    <n v="3"/>
    <n v="378.1"/>
    <s v="Middle"/>
    <n v="1"/>
    <s v="Park Hopper"/>
    <n v="0"/>
    <n v="0"/>
    <s v="Main Entrance"/>
    <s v="Mickey &amp; Friends"/>
    <n v="8.6"/>
    <n v="4"/>
    <x v="3542"/>
  </r>
  <r>
    <n v="3815"/>
    <n v="1252"/>
    <d v="2026-08-04T00:00:00"/>
    <s v="Tuesday"/>
    <n v="8"/>
    <n v="10.56"/>
    <x v="0"/>
    <x v="18"/>
    <s v="Female"/>
    <n v="58.1"/>
    <n v="134.80000000000001"/>
    <n v="28.2"/>
    <n v="15"/>
    <s v="NV"/>
    <n v="3"/>
    <n v="378.1"/>
    <s v="Middle"/>
    <n v="1"/>
    <s v="Park Hopper"/>
    <n v="0"/>
    <n v="0"/>
    <s v="Main Entrance"/>
    <s v="Mickey &amp; Friends"/>
    <n v="12.2"/>
    <n v="10"/>
    <x v="3543"/>
  </r>
  <r>
    <n v="3816"/>
    <n v="1252"/>
    <d v="2026-08-04T00:00:00"/>
    <s v="Tuesday"/>
    <n v="8"/>
    <n v="10.53"/>
    <x v="0"/>
    <x v="71"/>
    <s v="Male"/>
    <n v="68.5"/>
    <n v="161.69999999999999"/>
    <n v="24.2"/>
    <n v="17"/>
    <s v="NV"/>
    <n v="3"/>
    <n v="378.1"/>
    <s v="Middle"/>
    <n v="1"/>
    <s v="Park Hopper"/>
    <n v="0"/>
    <n v="0"/>
    <s v="Main Entrance"/>
    <s v="Mickey &amp; Friends"/>
    <n v="11.5"/>
    <n v="10"/>
    <x v="3544"/>
  </r>
  <r>
    <n v="3817"/>
    <n v="1253"/>
    <d v="2026-01-13T00:00:00"/>
    <s v="Tuesday"/>
    <n v="1"/>
    <n v="10.37"/>
    <x v="0"/>
    <x v="56"/>
    <s v="Male"/>
    <n v="64.099999999999994"/>
    <n v="123"/>
    <n v="21"/>
    <n v="13"/>
    <s v="Other"/>
    <n v="3"/>
    <n v="1735.3"/>
    <s v="Middle"/>
    <n v="1"/>
    <s v="Park Hopper"/>
    <n v="0"/>
    <n v="0"/>
    <s v="Main Entrance"/>
    <s v="Toy Story Lot"/>
    <n v="7.1"/>
    <n v="9"/>
    <x v="3545"/>
  </r>
  <r>
    <n v="3818"/>
    <n v="1253"/>
    <d v="2026-01-13T00:00:00"/>
    <s v="Tuesday"/>
    <n v="1"/>
    <n v="10.34"/>
    <x v="0"/>
    <x v="21"/>
    <s v="Female"/>
    <n v="64.400000000000006"/>
    <n v="147.30000000000001"/>
    <n v="25.3"/>
    <n v="17"/>
    <s v="Other"/>
    <n v="3"/>
    <n v="1735.3"/>
    <s v="Middle"/>
    <n v="1"/>
    <s v="Park Hopper"/>
    <n v="0"/>
    <n v="0"/>
    <s v="Main Entrance"/>
    <s v="Toy Story Lot"/>
    <n v="7.9"/>
    <n v="9"/>
    <x v="3546"/>
  </r>
  <r>
    <n v="3819"/>
    <n v="1253"/>
    <d v="2026-01-13T00:00:00"/>
    <s v="Tuesday"/>
    <n v="1"/>
    <n v="10.199999999999999"/>
    <x v="0"/>
    <x v="5"/>
    <s v="Male"/>
    <n v="75.5"/>
    <n v="146"/>
    <n v="17.7"/>
    <n v="18"/>
    <s v="Other"/>
    <n v="3"/>
    <n v="1735.3"/>
    <s v="Middle"/>
    <n v="1"/>
    <s v="Park Hopper"/>
    <n v="0"/>
    <n v="0"/>
    <s v="Main Entrance"/>
    <s v="Toy Story Lot"/>
    <n v="8.6"/>
    <n v="10"/>
    <x v="3547"/>
  </r>
  <r>
    <n v="3820"/>
    <n v="1254"/>
    <d v="2026-04-11T00:00:00"/>
    <s v="Saturday"/>
    <n v="4"/>
    <n v="11.17"/>
    <x v="1"/>
    <x v="44"/>
    <s v="Male"/>
    <n v="75.599999999999994"/>
    <n v="199.9"/>
    <n v="24.9"/>
    <n v="15"/>
    <s v="NY"/>
    <n v="6"/>
    <n v="2040"/>
    <s v="High"/>
    <n v="1"/>
    <s v="Single-Day"/>
    <n v="0"/>
    <n v="0"/>
    <s v="Main Entrance"/>
    <s v="Toy Story Lot"/>
    <n v="7.8"/>
    <n v="11"/>
    <x v="3548"/>
  </r>
  <r>
    <n v="3821"/>
    <n v="1254"/>
    <d v="2026-04-11T00:00:00"/>
    <s v="Saturday"/>
    <n v="4"/>
    <n v="11.12"/>
    <x v="1"/>
    <x v="73"/>
    <s v="Female"/>
    <n v="70"/>
    <n v="133.6"/>
    <n v="19.3"/>
    <n v="12"/>
    <s v="NY"/>
    <n v="6"/>
    <n v="2040"/>
    <s v="High"/>
    <n v="1"/>
    <s v="Single-Day"/>
    <n v="0"/>
    <n v="0"/>
    <s v="Main Entrance"/>
    <s v="Toy Story Lot"/>
    <n v="11.1"/>
    <n v="10"/>
    <x v="3549"/>
  </r>
  <r>
    <n v="3822"/>
    <n v="1254"/>
    <d v="2026-04-11T00:00:00"/>
    <s v="Saturday"/>
    <n v="4"/>
    <n v="11.29"/>
    <x v="1"/>
    <x v="38"/>
    <s v="Female"/>
    <n v="60.8"/>
    <n v="118.8"/>
    <n v="22.6"/>
    <n v="12"/>
    <s v="NY"/>
    <n v="6"/>
    <n v="2040"/>
    <s v="High"/>
    <n v="1"/>
    <s v="Single-Day"/>
    <n v="0"/>
    <n v="0"/>
    <s v="Main Entrance"/>
    <s v="Toy Story Lot"/>
    <n v="9"/>
    <n v="11"/>
    <x v="3550"/>
  </r>
  <r>
    <n v="3823"/>
    <n v="1254"/>
    <d v="2026-04-11T00:00:00"/>
    <s v="Saturday"/>
    <n v="4"/>
    <n v="11.11"/>
    <x v="1"/>
    <x v="38"/>
    <s v="Male"/>
    <n v="71.900000000000006"/>
    <n v="220.5"/>
    <n v="30"/>
    <n v="13"/>
    <s v="NY"/>
    <n v="6"/>
    <n v="2040"/>
    <s v="High"/>
    <n v="1"/>
    <s v="Single-Day"/>
    <n v="0"/>
    <n v="0"/>
    <s v="Main Entrance"/>
    <s v="Toy Story Lot"/>
    <n v="8.8000000000000007"/>
    <n v="9"/>
    <x v="3551"/>
  </r>
  <r>
    <n v="3824"/>
    <n v="1254"/>
    <d v="2026-04-11T00:00:00"/>
    <s v="Saturday"/>
    <n v="4"/>
    <n v="11.22"/>
    <x v="1"/>
    <x v="30"/>
    <s v="Male"/>
    <n v="67.599999999999994"/>
    <n v="170.3"/>
    <n v="26.1"/>
    <n v="15"/>
    <s v="NY"/>
    <n v="6"/>
    <n v="2040"/>
    <s v="High"/>
    <n v="1"/>
    <s v="Single-Day"/>
    <n v="0"/>
    <n v="0"/>
    <s v="Main Entrance"/>
    <s v="Toy Story Lot"/>
    <n v="7.4"/>
    <n v="7"/>
    <x v="3552"/>
  </r>
  <r>
    <n v="3825"/>
    <n v="1254"/>
    <d v="2026-04-11T00:00:00"/>
    <s v="Saturday"/>
    <n v="4"/>
    <n v="11.39"/>
    <x v="1"/>
    <x v="6"/>
    <s v="Female"/>
    <n v="61.1"/>
    <n v="160.80000000000001"/>
    <n v="30.5"/>
    <n v="19"/>
    <s v="NY"/>
    <n v="6"/>
    <n v="2040"/>
    <s v="High"/>
    <n v="1"/>
    <s v="Single-Day"/>
    <n v="0"/>
    <n v="0"/>
    <s v="Main Entrance"/>
    <s v="Toy Story Lot"/>
    <n v="7.5"/>
    <n v="11"/>
    <x v="3553"/>
  </r>
  <r>
    <n v="3826"/>
    <n v="1255"/>
    <d v="2026-06-30T00:00:00"/>
    <s v="Tuesday"/>
    <n v="6"/>
    <n v="11.41"/>
    <x v="1"/>
    <x v="49"/>
    <s v="Female"/>
    <n v="62"/>
    <n v="128.9"/>
    <n v="23.4"/>
    <n v="16"/>
    <s v="AZ"/>
    <n v="2"/>
    <n v="473.9"/>
    <s v="High"/>
    <n v="1"/>
    <s v="Single-Day"/>
    <n v="0"/>
    <n v="0"/>
    <s v="Downtown Disney Gate"/>
    <s v="Pixar Pals"/>
    <n v="7.8"/>
    <n v="4"/>
    <x v="3554"/>
  </r>
  <r>
    <n v="3827"/>
    <n v="1255"/>
    <d v="2026-06-30T00:00:00"/>
    <s v="Tuesday"/>
    <n v="6"/>
    <n v="11.61"/>
    <x v="1"/>
    <x v="58"/>
    <s v="Male"/>
    <n v="64.2"/>
    <n v="155.6"/>
    <n v="26.6"/>
    <n v="18"/>
    <s v="AZ"/>
    <n v="2"/>
    <n v="473.9"/>
    <s v="High"/>
    <n v="1"/>
    <s v="Single-Day"/>
    <n v="0"/>
    <n v="0"/>
    <s v="Downtown Disney Gate"/>
    <s v="Pixar Pals"/>
    <n v="9.9"/>
    <n v="8"/>
    <x v="3555"/>
  </r>
  <r>
    <n v="3828"/>
    <n v="1256"/>
    <d v="2026-10-01T00:00:00"/>
    <s v="Thursday"/>
    <n v="10"/>
    <n v="12.12"/>
    <x v="1"/>
    <x v="47"/>
    <s v="Female"/>
    <n v="64.8"/>
    <n v="152.6"/>
    <n v="25.8"/>
    <n v="15"/>
    <s v="CA"/>
    <n v="3"/>
    <n v="130.4"/>
    <s v="Middle"/>
    <n v="0"/>
    <s v="Single-Day"/>
    <n v="0"/>
    <n v="0"/>
    <s v="Main Entrance"/>
    <s v="Mickey &amp; Friends"/>
    <n v="8.6999999999999993"/>
    <n v="6"/>
    <x v="3556"/>
  </r>
  <r>
    <n v="3829"/>
    <n v="1256"/>
    <d v="2026-10-01T00:00:00"/>
    <s v="Thursday"/>
    <n v="10"/>
    <n v="12.2"/>
    <x v="1"/>
    <x v="43"/>
    <s v="Female"/>
    <n v="66.3"/>
    <n v="189.6"/>
    <n v="30.1"/>
    <n v="13"/>
    <s v="CA"/>
    <n v="3"/>
    <n v="130.4"/>
    <s v="Middle"/>
    <n v="0"/>
    <s v="Single-Day"/>
    <n v="0"/>
    <n v="0"/>
    <s v="Main Entrance"/>
    <s v="Mickey &amp; Friends"/>
    <n v="8.4"/>
    <n v="6"/>
    <x v="3557"/>
  </r>
  <r>
    <n v="3830"/>
    <n v="1256"/>
    <d v="2026-10-01T00:00:00"/>
    <s v="Thursday"/>
    <n v="10"/>
    <n v="11.94"/>
    <x v="1"/>
    <x v="1"/>
    <s v="Female"/>
    <n v="65.3"/>
    <n v="138.19999999999999"/>
    <n v="22.7"/>
    <n v="11"/>
    <s v="CA"/>
    <n v="3"/>
    <n v="130.4"/>
    <s v="Middle"/>
    <n v="0"/>
    <s v="Single-Day"/>
    <n v="0"/>
    <n v="0"/>
    <s v="Main Entrance"/>
    <s v="Mickey &amp; Friends"/>
    <n v="9.1999999999999993"/>
    <n v="7"/>
    <x v="3558"/>
  </r>
  <r>
    <n v="3831"/>
    <n v="1257"/>
    <d v="2026-03-18T00:00:00"/>
    <s v="Wednesday"/>
    <n v="3"/>
    <n v="8.5500000000000007"/>
    <x v="0"/>
    <x v="16"/>
    <s v="Male"/>
    <n v="64.900000000000006"/>
    <n v="104.9"/>
    <n v="17.5"/>
    <n v="15"/>
    <s v="IA"/>
    <n v="2"/>
    <n v="2030.7"/>
    <s v="High"/>
    <n v="0"/>
    <s v="Park Hopper"/>
    <n v="1"/>
    <n v="0"/>
    <s v="Main Entrance"/>
    <s v="Mickey &amp; Friends"/>
    <n v="7.9"/>
    <n v="11"/>
    <x v="3559"/>
  </r>
  <r>
    <n v="3832"/>
    <n v="1257"/>
    <d v="2026-03-18T00:00:00"/>
    <s v="Wednesday"/>
    <n v="3"/>
    <n v="8.6300000000000008"/>
    <x v="0"/>
    <x v="72"/>
    <s v="Female"/>
    <n v="66.2"/>
    <n v="148.6"/>
    <n v="23.6"/>
    <n v="22"/>
    <s v="IA"/>
    <n v="2"/>
    <n v="2030.7"/>
    <s v="High"/>
    <n v="0"/>
    <s v="Park Hopper"/>
    <n v="1"/>
    <n v="0"/>
    <s v="Main Entrance"/>
    <s v="Mickey &amp; Friends"/>
    <n v="10.6"/>
    <n v="11"/>
    <x v="3560"/>
  </r>
  <r>
    <n v="3833"/>
    <n v="1258"/>
    <d v="2026-03-27T00:00:00"/>
    <s v="Friday"/>
    <n v="3"/>
    <n v="12.81"/>
    <x v="1"/>
    <x v="18"/>
    <s v="Female"/>
    <n v="64.7"/>
    <n v="163.9"/>
    <n v="27.8"/>
    <n v="15"/>
    <s v="CA"/>
    <n v="4"/>
    <n v="79.099999999999994"/>
    <s v="High"/>
    <n v="0"/>
    <s v="Single-Day"/>
    <n v="0"/>
    <n v="1"/>
    <s v="Main Entrance"/>
    <s v="None/Walked from Resort"/>
    <n v="8.1999999999999993"/>
    <n v="5"/>
    <x v="1736"/>
  </r>
  <r>
    <n v="3834"/>
    <n v="1258"/>
    <d v="2026-03-27T00:00:00"/>
    <s v="Friday"/>
    <n v="3"/>
    <n v="12.66"/>
    <x v="1"/>
    <x v="22"/>
    <s v="Male"/>
    <n v="61"/>
    <n v="110.5"/>
    <n v="20.6"/>
    <n v="12"/>
    <s v="CA"/>
    <n v="4"/>
    <n v="79.099999999999994"/>
    <s v="High"/>
    <n v="0"/>
    <s v="Single-Day"/>
    <n v="0"/>
    <n v="1"/>
    <s v="Main Entrance"/>
    <s v="None/Walked from Resort"/>
    <n v="9.9"/>
    <n v="7"/>
    <x v="3561"/>
  </r>
  <r>
    <n v="3835"/>
    <n v="1258"/>
    <d v="2026-03-27T00:00:00"/>
    <s v="Friday"/>
    <n v="3"/>
    <n v="12.62"/>
    <x v="1"/>
    <x v="27"/>
    <s v="Female"/>
    <n v="62.6"/>
    <n v="97.7"/>
    <n v="17.600000000000001"/>
    <n v="19"/>
    <s v="CA"/>
    <n v="4"/>
    <n v="79.099999999999994"/>
    <s v="High"/>
    <n v="0"/>
    <s v="Single-Day"/>
    <n v="0"/>
    <n v="1"/>
    <s v="Main Entrance"/>
    <s v="None/Walked from Resort"/>
    <n v="10.1"/>
    <n v="7"/>
    <x v="3562"/>
  </r>
  <r>
    <n v="3836"/>
    <n v="1258"/>
    <d v="2026-03-27T00:00:00"/>
    <s v="Friday"/>
    <n v="3"/>
    <n v="12.65"/>
    <x v="1"/>
    <x v="41"/>
    <s v="Male"/>
    <n v="70.8"/>
    <n v="178.2"/>
    <n v="25"/>
    <n v="16"/>
    <s v="CA"/>
    <n v="4"/>
    <n v="79.099999999999994"/>
    <s v="High"/>
    <n v="0"/>
    <s v="Single-Day"/>
    <n v="0"/>
    <n v="1"/>
    <s v="Main Entrance"/>
    <s v="None/Walked from Resort"/>
    <n v="7.2"/>
    <n v="7"/>
    <x v="3563"/>
  </r>
  <r>
    <n v="3837"/>
    <n v="1259"/>
    <d v="2026-03-21T00:00:00"/>
    <s v="Saturday"/>
    <n v="3"/>
    <n v="8.81"/>
    <x v="0"/>
    <x v="5"/>
    <s v="Male"/>
    <n v="67.599999999999994"/>
    <n v="190.5"/>
    <n v="29.8"/>
    <n v="17"/>
    <s v="CA"/>
    <n v="2"/>
    <n v="69.2"/>
    <s v="Middle"/>
    <n v="0"/>
    <s v="Park Hopper"/>
    <n v="0"/>
    <n v="0"/>
    <s v="Main Entrance"/>
    <s v="Toy Story Lot"/>
    <n v="7.5"/>
    <n v="6"/>
    <x v="3564"/>
  </r>
  <r>
    <n v="3838"/>
    <n v="1259"/>
    <d v="2026-03-21T00:00:00"/>
    <s v="Saturday"/>
    <n v="3"/>
    <n v="8.73"/>
    <x v="0"/>
    <x v="25"/>
    <s v="Male"/>
    <n v="68.900000000000006"/>
    <n v="220.7"/>
    <n v="32.799999999999997"/>
    <n v="17"/>
    <s v="CA"/>
    <n v="2"/>
    <n v="69.2"/>
    <s v="Middle"/>
    <n v="0"/>
    <s v="Park Hopper"/>
    <n v="0"/>
    <n v="0"/>
    <s v="Main Entrance"/>
    <s v="Toy Story Lot"/>
    <n v="6.6"/>
    <n v="3"/>
    <x v="2050"/>
  </r>
  <r>
    <n v="3839"/>
    <n v="1260"/>
    <d v="2026-09-04T00:00:00"/>
    <s v="Friday"/>
    <n v="9"/>
    <n v="9.4499999999999993"/>
    <x v="0"/>
    <x v="38"/>
    <s v="Female"/>
    <n v="63.5"/>
    <n v="176.8"/>
    <n v="30.6"/>
    <n v="12"/>
    <s v="CA"/>
    <n v="2"/>
    <n v="2"/>
    <s v="Middle"/>
    <n v="0"/>
    <s v="Single-Day"/>
    <n v="0"/>
    <n v="0"/>
    <s v="Main Entrance"/>
    <s v="Toy Story Lot"/>
    <n v="5.9"/>
    <n v="1"/>
    <x v="3565"/>
  </r>
  <r>
    <n v="3840"/>
    <n v="1260"/>
    <d v="2026-09-04T00:00:00"/>
    <s v="Friday"/>
    <n v="9"/>
    <n v="9.36"/>
    <x v="0"/>
    <x v="0"/>
    <s v="Female"/>
    <n v="62.4"/>
    <n v="134"/>
    <n v="24.2"/>
    <n v="15"/>
    <s v="CA"/>
    <n v="2"/>
    <n v="2"/>
    <s v="Middle"/>
    <n v="0"/>
    <s v="Single-Day"/>
    <n v="0"/>
    <n v="0"/>
    <s v="Main Entrance"/>
    <s v="Toy Story Lot"/>
    <n v="7.3"/>
    <n v="11"/>
    <x v="3566"/>
  </r>
  <r>
    <n v="3841"/>
    <n v="1261"/>
    <d v="2026-02-16T00:00:00"/>
    <s v="Monday"/>
    <n v="2"/>
    <n v="10.210000000000001"/>
    <x v="0"/>
    <x v="44"/>
    <s v="Female"/>
    <n v="64.8"/>
    <n v="144"/>
    <n v="23.8"/>
    <n v="12"/>
    <s v="OR"/>
    <n v="4"/>
    <n v="860.6"/>
    <s v="Low"/>
    <n v="1"/>
    <s v="Single-Day"/>
    <n v="0"/>
    <n v="0"/>
    <s v="Main Entrance"/>
    <s v="Pixar Pals"/>
    <n v="7.9"/>
    <n v="7"/>
    <x v="3567"/>
  </r>
  <r>
    <n v="3842"/>
    <n v="1261"/>
    <d v="2026-02-16T00:00:00"/>
    <s v="Monday"/>
    <n v="2"/>
    <n v="9.9600000000000009"/>
    <x v="0"/>
    <x v="4"/>
    <s v="Male"/>
    <n v="73.400000000000006"/>
    <n v="199.8"/>
    <n v="26"/>
    <n v="14"/>
    <s v="OR"/>
    <n v="4"/>
    <n v="860.6"/>
    <s v="Low"/>
    <n v="1"/>
    <s v="Single-Day"/>
    <n v="0"/>
    <n v="0"/>
    <s v="Main Entrance"/>
    <s v="Pixar Pals"/>
    <n v="10.9"/>
    <n v="10"/>
    <x v="3568"/>
  </r>
  <r>
    <n v="3843"/>
    <n v="1261"/>
    <d v="2026-02-16T00:00:00"/>
    <s v="Monday"/>
    <n v="2"/>
    <n v="10.050000000000001"/>
    <x v="0"/>
    <x v="32"/>
    <s v="Male"/>
    <n v="54.6"/>
    <n v="105.8"/>
    <n v="25"/>
    <n v="10"/>
    <s v="OR"/>
    <n v="4"/>
    <n v="860.6"/>
    <s v="Low"/>
    <n v="1"/>
    <s v="Single-Day"/>
    <n v="0"/>
    <n v="0"/>
    <s v="Main Entrance"/>
    <s v="Pixar Pals"/>
    <n v="6.6"/>
    <n v="5"/>
    <x v="3569"/>
  </r>
  <r>
    <n v="3844"/>
    <n v="1261"/>
    <d v="2026-02-16T00:00:00"/>
    <s v="Monday"/>
    <n v="2"/>
    <n v="9.98"/>
    <x v="0"/>
    <x v="38"/>
    <s v="Female"/>
    <n v="68.2"/>
    <n v="134"/>
    <n v="20"/>
    <n v="13"/>
    <s v="OR"/>
    <n v="4"/>
    <n v="860.6"/>
    <s v="Low"/>
    <n v="1"/>
    <s v="Single-Day"/>
    <n v="0"/>
    <n v="0"/>
    <s v="Main Entrance"/>
    <s v="Pixar Pals"/>
    <n v="8.5"/>
    <n v="12"/>
    <x v="3570"/>
  </r>
  <r>
    <n v="3845"/>
    <n v="1262"/>
    <d v="2026-06-08T00:00:00"/>
    <s v="Monday"/>
    <n v="6"/>
    <n v="10.71"/>
    <x v="0"/>
    <x v="1"/>
    <s v="Female"/>
    <n v="63.8"/>
    <n v="130.6"/>
    <n v="22.5"/>
    <n v="16"/>
    <s v="CA"/>
    <n v="6"/>
    <n v="84.6"/>
    <s v="Middle"/>
    <n v="0"/>
    <s v="Park Hopper"/>
    <n v="1"/>
    <n v="0"/>
    <s v="Main Entrance"/>
    <s v="Pixar Pals"/>
    <n v="8.3000000000000007"/>
    <n v="15"/>
    <x v="3571"/>
  </r>
  <r>
    <n v="3846"/>
    <n v="1262"/>
    <d v="2026-06-08T00:00:00"/>
    <s v="Monday"/>
    <n v="6"/>
    <n v="10.52"/>
    <x v="0"/>
    <x v="55"/>
    <s v="Male"/>
    <n v="65.8"/>
    <n v="146.1"/>
    <n v="23.5"/>
    <n v="15"/>
    <s v="CA"/>
    <n v="6"/>
    <n v="84.6"/>
    <s v="Middle"/>
    <n v="0"/>
    <s v="Park Hopper"/>
    <n v="1"/>
    <n v="0"/>
    <s v="Main Entrance"/>
    <s v="Pixar Pals"/>
    <n v="8.9"/>
    <n v="9"/>
    <x v="3572"/>
  </r>
  <r>
    <n v="3847"/>
    <n v="1262"/>
    <d v="2026-06-08T00:00:00"/>
    <s v="Monday"/>
    <n v="6"/>
    <n v="10.67"/>
    <x v="0"/>
    <x v="18"/>
    <s v="Female"/>
    <n v="69.2"/>
    <n v="200.1"/>
    <n v="29.4"/>
    <n v="16"/>
    <s v="CA"/>
    <n v="6"/>
    <n v="84.6"/>
    <s v="Middle"/>
    <n v="0"/>
    <s v="Park Hopper"/>
    <n v="1"/>
    <n v="0"/>
    <s v="Main Entrance"/>
    <s v="Pixar Pals"/>
    <n v="8.3000000000000007"/>
    <n v="9"/>
    <x v="3573"/>
  </r>
  <r>
    <n v="3848"/>
    <n v="1262"/>
    <d v="2026-06-08T00:00:00"/>
    <s v="Monday"/>
    <n v="6"/>
    <n v="10.87"/>
    <x v="0"/>
    <x v="38"/>
    <s v="Male"/>
    <n v="67.5"/>
    <n v="163.69999999999999"/>
    <n v="25.6"/>
    <n v="14"/>
    <s v="CA"/>
    <n v="6"/>
    <n v="84.6"/>
    <s v="Middle"/>
    <n v="0"/>
    <s v="Park Hopper"/>
    <n v="1"/>
    <n v="0"/>
    <s v="Main Entrance"/>
    <s v="Pixar Pals"/>
    <n v="6"/>
    <n v="10"/>
    <x v="3574"/>
  </r>
  <r>
    <n v="3849"/>
    <n v="1262"/>
    <d v="2026-06-08T00:00:00"/>
    <s v="Monday"/>
    <n v="6"/>
    <n v="10.65"/>
    <x v="0"/>
    <x v="37"/>
    <s v="Male"/>
    <n v="68"/>
    <n v="193.5"/>
    <n v="29.7"/>
    <n v="12"/>
    <s v="CA"/>
    <n v="6"/>
    <n v="84.6"/>
    <s v="Middle"/>
    <n v="0"/>
    <s v="Park Hopper"/>
    <n v="1"/>
    <n v="0"/>
    <s v="Main Entrance"/>
    <s v="Pixar Pals"/>
    <n v="11.2"/>
    <n v="5"/>
    <x v="3575"/>
  </r>
  <r>
    <n v="3850"/>
    <n v="1262"/>
    <d v="2026-06-08T00:00:00"/>
    <s v="Monday"/>
    <n v="6"/>
    <n v="10.59"/>
    <x v="0"/>
    <x v="15"/>
    <s v="Male"/>
    <n v="65.2"/>
    <n v="180.3"/>
    <n v="29.8"/>
    <n v="13"/>
    <s v="CA"/>
    <n v="6"/>
    <n v="84.6"/>
    <s v="Middle"/>
    <n v="0"/>
    <s v="Park Hopper"/>
    <n v="1"/>
    <n v="0"/>
    <s v="Main Entrance"/>
    <s v="Pixar Pals"/>
    <n v="6.7"/>
    <n v="7"/>
    <x v="3576"/>
  </r>
  <r>
    <n v="3851"/>
    <n v="1263"/>
    <d v="2026-04-03T00:00:00"/>
    <s v="Friday"/>
    <n v="4"/>
    <n v="10.42"/>
    <x v="0"/>
    <x v="55"/>
    <s v="Male"/>
    <n v="70.5"/>
    <n v="161"/>
    <n v="22.7"/>
    <n v="17"/>
    <s v="Other"/>
    <n v="6"/>
    <n v="1621.7"/>
    <s v="High"/>
    <n v="1"/>
    <s v="Multi-Day"/>
    <n v="0"/>
    <n v="0"/>
    <s v="Main Entrance"/>
    <s v="None/Dropoff/Transit"/>
    <n v="9.8000000000000007"/>
    <n v="6"/>
    <x v="3577"/>
  </r>
  <r>
    <n v="3852"/>
    <n v="1263"/>
    <d v="2026-04-03T00:00:00"/>
    <s v="Friday"/>
    <n v="4"/>
    <n v="10.5"/>
    <x v="0"/>
    <x v="0"/>
    <s v="Male"/>
    <n v="65"/>
    <n v="173.6"/>
    <n v="28.7"/>
    <n v="18"/>
    <s v="Other"/>
    <n v="6"/>
    <n v="1621.7"/>
    <s v="High"/>
    <n v="1"/>
    <s v="Multi-Day"/>
    <n v="0"/>
    <n v="0"/>
    <s v="Main Entrance"/>
    <s v="None/Dropoff/Transit"/>
    <n v="9.9"/>
    <n v="8"/>
    <x v="463"/>
  </r>
  <r>
    <n v="3853"/>
    <n v="1263"/>
    <d v="2026-04-03T00:00:00"/>
    <s v="Friday"/>
    <n v="4"/>
    <n v="10.4"/>
    <x v="0"/>
    <x v="66"/>
    <s v="Male"/>
    <n v="66.900000000000006"/>
    <n v="132.5"/>
    <n v="20.7"/>
    <n v="20"/>
    <s v="Other"/>
    <n v="6"/>
    <n v="1621.7"/>
    <s v="High"/>
    <n v="1"/>
    <s v="Multi-Day"/>
    <n v="0"/>
    <n v="0"/>
    <s v="Main Entrance"/>
    <s v="None/Dropoff/Transit"/>
    <n v="8.3000000000000007"/>
    <n v="5"/>
    <x v="3578"/>
  </r>
  <r>
    <n v="3854"/>
    <n v="1263"/>
    <d v="2026-04-03T00:00:00"/>
    <s v="Friday"/>
    <n v="4"/>
    <n v="10.38"/>
    <x v="0"/>
    <x v="30"/>
    <s v="Male"/>
    <n v="68.3"/>
    <n v="160.9"/>
    <n v="24.1"/>
    <n v="15"/>
    <s v="Other"/>
    <n v="6"/>
    <n v="1621.7"/>
    <s v="High"/>
    <n v="1"/>
    <s v="Multi-Day"/>
    <n v="0"/>
    <n v="0"/>
    <s v="Main Entrance"/>
    <s v="None/Dropoff/Transit"/>
    <n v="8.1999999999999993"/>
    <n v="9"/>
    <x v="3579"/>
  </r>
  <r>
    <n v="3855"/>
    <n v="1263"/>
    <d v="2026-04-03T00:00:00"/>
    <s v="Friday"/>
    <n v="4"/>
    <n v="10.41"/>
    <x v="0"/>
    <x v="16"/>
    <s v="Female"/>
    <n v="57"/>
    <n v="76.900000000000006"/>
    <n v="17"/>
    <n v="16"/>
    <s v="Other"/>
    <n v="6"/>
    <n v="1621.7"/>
    <s v="High"/>
    <n v="1"/>
    <s v="Multi-Day"/>
    <n v="0"/>
    <n v="0"/>
    <s v="Main Entrance"/>
    <s v="None/Dropoff/Transit"/>
    <n v="7.2"/>
    <n v="1"/>
    <x v="3580"/>
  </r>
  <r>
    <n v="3856"/>
    <n v="1263"/>
    <d v="2026-04-03T00:00:00"/>
    <s v="Friday"/>
    <n v="4"/>
    <n v="10.5"/>
    <x v="0"/>
    <x v="27"/>
    <s v="Female"/>
    <n v="67.7"/>
    <n v="152.80000000000001"/>
    <n v="23.2"/>
    <n v="18"/>
    <s v="Other"/>
    <n v="6"/>
    <n v="1621.7"/>
    <s v="High"/>
    <n v="1"/>
    <s v="Multi-Day"/>
    <n v="0"/>
    <n v="0"/>
    <s v="Main Entrance"/>
    <s v="None/Dropoff/Transit"/>
    <n v="7"/>
    <n v="4"/>
    <x v="1764"/>
  </r>
  <r>
    <n v="3857"/>
    <n v="1264"/>
    <d v="2026-09-07T00:00:00"/>
    <s v="Monday"/>
    <n v="9"/>
    <n v="11.19"/>
    <x v="1"/>
    <x v="38"/>
    <s v="Female"/>
    <n v="64"/>
    <n v="128.6"/>
    <n v="21.8"/>
    <n v="11"/>
    <s v="TX"/>
    <n v="5"/>
    <n v="1093.2"/>
    <s v="High"/>
    <n v="1"/>
    <s v="Single-Day"/>
    <n v="1"/>
    <n v="1"/>
    <s v="Hotel Guest Entrance"/>
    <s v="None/Walked from Resort"/>
    <n v="8.1999999999999993"/>
    <n v="9"/>
    <x v="3581"/>
  </r>
  <r>
    <n v="3858"/>
    <n v="1264"/>
    <d v="2026-09-07T00:00:00"/>
    <s v="Monday"/>
    <n v="9"/>
    <n v="11.33"/>
    <x v="1"/>
    <x v="38"/>
    <s v="Female"/>
    <n v="65.099999999999994"/>
    <n v="203.9"/>
    <n v="34.1"/>
    <n v="15"/>
    <s v="TX"/>
    <n v="5"/>
    <n v="1093.2"/>
    <s v="High"/>
    <n v="1"/>
    <s v="Single-Day"/>
    <n v="1"/>
    <n v="1"/>
    <s v="Hotel Guest Entrance"/>
    <s v="None/Walked from Resort"/>
    <n v="7.6"/>
    <n v="9"/>
    <x v="1769"/>
  </r>
  <r>
    <n v="3859"/>
    <n v="1264"/>
    <d v="2026-09-07T00:00:00"/>
    <s v="Monday"/>
    <n v="9"/>
    <n v="11.2"/>
    <x v="1"/>
    <x v="27"/>
    <s v="Female"/>
    <n v="62"/>
    <n v="99.9"/>
    <n v="18.399999999999999"/>
    <n v="19"/>
    <s v="TX"/>
    <n v="5"/>
    <n v="1093.2"/>
    <s v="High"/>
    <n v="1"/>
    <s v="Single-Day"/>
    <n v="1"/>
    <n v="1"/>
    <s v="Hotel Guest Entrance"/>
    <s v="None/Walked from Resort"/>
    <n v="7"/>
    <n v="8"/>
    <x v="1269"/>
  </r>
  <r>
    <n v="3860"/>
    <n v="1264"/>
    <d v="2026-09-07T00:00:00"/>
    <s v="Monday"/>
    <n v="9"/>
    <n v="11.26"/>
    <x v="1"/>
    <x v="70"/>
    <s v="Male"/>
    <n v="70"/>
    <n v="135.69999999999999"/>
    <n v="19.399999999999999"/>
    <n v="16"/>
    <s v="TX"/>
    <n v="5"/>
    <n v="1093.2"/>
    <s v="High"/>
    <n v="1"/>
    <s v="Single-Day"/>
    <n v="1"/>
    <n v="1"/>
    <s v="Hotel Guest Entrance"/>
    <s v="None/Walked from Resort"/>
    <n v="10.199999999999999"/>
    <n v="9"/>
    <x v="3582"/>
  </r>
  <r>
    <n v="3861"/>
    <n v="1264"/>
    <d v="2026-09-07T00:00:00"/>
    <s v="Monday"/>
    <n v="9"/>
    <n v="11.1"/>
    <x v="1"/>
    <x v="62"/>
    <s v="Female"/>
    <n v="59.2"/>
    <n v="132.80000000000001"/>
    <n v="26.8"/>
    <n v="17"/>
    <s v="TX"/>
    <n v="5"/>
    <n v="1093.2"/>
    <s v="High"/>
    <n v="1"/>
    <s v="Single-Day"/>
    <n v="1"/>
    <n v="1"/>
    <s v="Hotel Guest Entrance"/>
    <s v="None/Walked from Resort"/>
    <n v="8.1999999999999993"/>
    <n v="9"/>
    <x v="3583"/>
  </r>
  <r>
    <n v="3862"/>
    <n v="1265"/>
    <d v="2026-11-04T00:00:00"/>
    <s v="Wednesday"/>
    <n v="11"/>
    <n v="10.29"/>
    <x v="0"/>
    <x v="23"/>
    <s v="Male"/>
    <n v="72.3"/>
    <n v="243"/>
    <n v="32.6"/>
    <n v="19"/>
    <s v="NV"/>
    <n v="4"/>
    <n v="442.7"/>
    <s v="Middle"/>
    <n v="0"/>
    <s v="Park Hopper"/>
    <n v="1"/>
    <n v="0"/>
    <s v="Main Entrance"/>
    <s v="Toy Story Lot"/>
    <n v="7.5"/>
    <n v="9"/>
    <x v="3584"/>
  </r>
  <r>
    <n v="3863"/>
    <n v="1265"/>
    <d v="2026-11-04T00:00:00"/>
    <s v="Wednesday"/>
    <n v="11"/>
    <n v="9.99"/>
    <x v="0"/>
    <x v="30"/>
    <s v="Female"/>
    <n v="66.2"/>
    <n v="175.3"/>
    <n v="28.1"/>
    <n v="14"/>
    <s v="NV"/>
    <n v="4"/>
    <n v="442.7"/>
    <s v="Middle"/>
    <n v="0"/>
    <s v="Park Hopper"/>
    <n v="1"/>
    <n v="0"/>
    <s v="Main Entrance"/>
    <s v="Toy Story Lot"/>
    <n v="7.6"/>
    <n v="3"/>
    <x v="3585"/>
  </r>
  <r>
    <n v="3864"/>
    <n v="1265"/>
    <d v="2026-11-04T00:00:00"/>
    <s v="Wednesday"/>
    <n v="11"/>
    <n v="10.029999999999999"/>
    <x v="0"/>
    <x v="18"/>
    <s v="Female"/>
    <n v="61.3"/>
    <n v="150"/>
    <n v="28"/>
    <n v="17"/>
    <s v="NV"/>
    <n v="4"/>
    <n v="442.7"/>
    <s v="Middle"/>
    <n v="0"/>
    <s v="Park Hopper"/>
    <n v="1"/>
    <n v="0"/>
    <s v="Main Entrance"/>
    <s v="Toy Story Lot"/>
    <n v="8.5"/>
    <n v="14"/>
    <x v="3586"/>
  </r>
  <r>
    <n v="3865"/>
    <n v="1265"/>
    <d v="2026-11-04T00:00:00"/>
    <s v="Wednesday"/>
    <n v="11"/>
    <n v="10.15"/>
    <x v="0"/>
    <x v="42"/>
    <s v="Female"/>
    <n v="64.099999999999994"/>
    <n v="134.80000000000001"/>
    <n v="22.9"/>
    <n v="15"/>
    <s v="NV"/>
    <n v="4"/>
    <n v="442.7"/>
    <s v="Middle"/>
    <n v="0"/>
    <s v="Park Hopper"/>
    <n v="1"/>
    <n v="0"/>
    <s v="Main Entrance"/>
    <s v="Toy Story Lot"/>
    <n v="5.8"/>
    <n v="6"/>
    <x v="3423"/>
  </r>
  <r>
    <n v="3866"/>
    <n v="1266"/>
    <d v="2026-12-16T00:00:00"/>
    <s v="Wednesday"/>
    <n v="12"/>
    <n v="10.66"/>
    <x v="0"/>
    <x v="19"/>
    <s v="Male"/>
    <n v="67.900000000000006"/>
    <n v="184.7"/>
    <n v="27.7"/>
    <n v="12"/>
    <s v="CA"/>
    <n v="1"/>
    <n v="82.7"/>
    <s v="Middle"/>
    <n v="0"/>
    <s v="Multi-Day"/>
    <n v="0"/>
    <n v="0"/>
    <s v="Downtown Disney Gate"/>
    <s v="Toy Story Lot"/>
    <n v="7.9"/>
    <n v="13"/>
    <x v="3587"/>
  </r>
  <r>
    <n v="3867"/>
    <n v="1267"/>
    <d v="2026-04-03T00:00:00"/>
    <s v="Friday"/>
    <n v="4"/>
    <n v="12.14"/>
    <x v="1"/>
    <x v="1"/>
    <s v="Female"/>
    <n v="60.1"/>
    <n v="163.80000000000001"/>
    <n v="32.1"/>
    <n v="20"/>
    <s v="FL"/>
    <n v="4"/>
    <n v="2711"/>
    <s v="High"/>
    <n v="0"/>
    <s v="Single-Day"/>
    <n v="1"/>
    <n v="0"/>
    <s v="Downtown Disney Gate"/>
    <s v="Toy Story Lot"/>
    <n v="10.1"/>
    <n v="8"/>
    <x v="3588"/>
  </r>
  <r>
    <n v="3868"/>
    <n v="1267"/>
    <d v="2026-04-03T00:00:00"/>
    <s v="Friday"/>
    <n v="4"/>
    <n v="12.32"/>
    <x v="1"/>
    <x v="53"/>
    <s v="Female"/>
    <n v="50"/>
    <n v="88.4"/>
    <n v="25.1"/>
    <n v="13"/>
    <s v="FL"/>
    <n v="4"/>
    <n v="2711"/>
    <s v="High"/>
    <n v="0"/>
    <s v="Single-Day"/>
    <n v="1"/>
    <n v="0"/>
    <s v="Downtown Disney Gate"/>
    <s v="Toy Story Lot"/>
    <n v="8.8000000000000007"/>
    <n v="7"/>
    <x v="3589"/>
  </r>
  <r>
    <n v="3869"/>
    <n v="1267"/>
    <d v="2026-04-03T00:00:00"/>
    <s v="Friday"/>
    <n v="4"/>
    <n v="12.04"/>
    <x v="1"/>
    <x v="4"/>
    <s v="Male"/>
    <n v="70.599999999999994"/>
    <n v="182.8"/>
    <n v="25.9"/>
    <n v="19"/>
    <s v="FL"/>
    <n v="4"/>
    <n v="2711"/>
    <s v="High"/>
    <n v="0"/>
    <s v="Single-Day"/>
    <n v="1"/>
    <n v="0"/>
    <s v="Downtown Disney Gate"/>
    <s v="Toy Story Lot"/>
    <n v="8.3000000000000007"/>
    <n v="10"/>
    <x v="2659"/>
  </r>
  <r>
    <n v="3870"/>
    <n v="1267"/>
    <d v="2026-04-03T00:00:00"/>
    <s v="Friday"/>
    <n v="4"/>
    <n v="12.49"/>
    <x v="1"/>
    <x v="30"/>
    <s v="Male"/>
    <n v="74.400000000000006"/>
    <n v="191.9"/>
    <n v="24.2"/>
    <n v="18"/>
    <s v="FL"/>
    <n v="4"/>
    <n v="2711"/>
    <s v="High"/>
    <n v="0"/>
    <s v="Single-Day"/>
    <n v="1"/>
    <n v="0"/>
    <s v="Downtown Disney Gate"/>
    <s v="Toy Story Lot"/>
    <n v="7.3"/>
    <n v="10"/>
    <x v="3590"/>
  </r>
  <r>
    <n v="3871"/>
    <n v="1268"/>
    <d v="2026-11-29T00:00:00"/>
    <s v="Sunday"/>
    <n v="11"/>
    <n v="13.19"/>
    <x v="1"/>
    <x v="17"/>
    <s v="Male"/>
    <n v="67.900000000000006"/>
    <n v="159.9"/>
    <n v="24.5"/>
    <n v="16"/>
    <s v="CA"/>
    <n v="4"/>
    <n v="84.7"/>
    <s v="High"/>
    <n v="1"/>
    <s v="Park Hopper"/>
    <n v="0"/>
    <n v="0"/>
    <s v="Main Entrance"/>
    <s v="Mickey &amp; Friends"/>
    <n v="8.6999999999999993"/>
    <n v="7"/>
    <x v="3591"/>
  </r>
  <r>
    <n v="3872"/>
    <n v="1268"/>
    <d v="2026-11-29T00:00:00"/>
    <s v="Sunday"/>
    <n v="11"/>
    <n v="13.28"/>
    <x v="1"/>
    <x v="21"/>
    <s v="Female"/>
    <n v="66.5"/>
    <n v="181.7"/>
    <n v="28.9"/>
    <n v="16"/>
    <s v="CA"/>
    <n v="4"/>
    <n v="84.7"/>
    <s v="High"/>
    <n v="1"/>
    <s v="Park Hopper"/>
    <n v="0"/>
    <n v="0"/>
    <s v="Main Entrance"/>
    <s v="Mickey &amp; Friends"/>
    <n v="6.2"/>
    <n v="7"/>
    <x v="3592"/>
  </r>
  <r>
    <n v="3873"/>
    <n v="1268"/>
    <d v="2026-11-29T00:00:00"/>
    <s v="Sunday"/>
    <n v="11"/>
    <n v="13.11"/>
    <x v="1"/>
    <x v="4"/>
    <s v="Female"/>
    <n v="57.8"/>
    <n v="139"/>
    <n v="29.2"/>
    <n v="17"/>
    <s v="CA"/>
    <n v="4"/>
    <n v="84.7"/>
    <s v="High"/>
    <n v="1"/>
    <s v="Park Hopper"/>
    <n v="0"/>
    <n v="0"/>
    <s v="Main Entrance"/>
    <s v="Mickey &amp; Friends"/>
    <n v="11.6"/>
    <n v="12"/>
    <x v="3593"/>
  </r>
  <r>
    <n v="3874"/>
    <n v="1268"/>
    <d v="2026-11-29T00:00:00"/>
    <s v="Sunday"/>
    <n v="11"/>
    <n v="13.34"/>
    <x v="1"/>
    <x v="30"/>
    <s v="Male"/>
    <n v="66.2"/>
    <n v="169"/>
    <n v="27.3"/>
    <n v="15"/>
    <s v="CA"/>
    <n v="4"/>
    <n v="84.7"/>
    <s v="High"/>
    <n v="1"/>
    <s v="Park Hopper"/>
    <n v="0"/>
    <n v="0"/>
    <s v="Main Entrance"/>
    <s v="Mickey &amp; Friends"/>
    <n v="7.6"/>
    <n v="8"/>
    <x v="3594"/>
  </r>
  <r>
    <n v="3875"/>
    <n v="1269"/>
    <d v="2026-08-12T00:00:00"/>
    <s v="Wednesday"/>
    <n v="8"/>
    <n v="9.48"/>
    <x v="0"/>
    <x v="9"/>
    <s v="Male"/>
    <n v="73.5"/>
    <n v="184"/>
    <n v="23.9"/>
    <n v="14"/>
    <s v="NV"/>
    <n v="5"/>
    <n v="302.2"/>
    <s v="Middle"/>
    <n v="1"/>
    <s v="Park Hopper"/>
    <n v="0"/>
    <n v="0"/>
    <s v="Main Entrance"/>
    <s v="Mickey &amp; Friends"/>
    <n v="9.8000000000000007"/>
    <n v="5"/>
    <x v="3595"/>
  </r>
  <r>
    <n v="3876"/>
    <n v="1269"/>
    <d v="2026-08-12T00:00:00"/>
    <s v="Wednesday"/>
    <n v="8"/>
    <n v="9.56"/>
    <x v="0"/>
    <x v="37"/>
    <s v="Male"/>
    <n v="68.3"/>
    <n v="183.1"/>
    <n v="27.6"/>
    <n v="17"/>
    <s v="NV"/>
    <n v="5"/>
    <n v="302.2"/>
    <s v="Middle"/>
    <n v="1"/>
    <s v="Park Hopper"/>
    <n v="0"/>
    <n v="0"/>
    <s v="Main Entrance"/>
    <s v="Mickey &amp; Friends"/>
    <n v="6.3"/>
    <n v="7"/>
    <x v="3596"/>
  </r>
  <r>
    <n v="3877"/>
    <n v="1269"/>
    <d v="2026-08-12T00:00:00"/>
    <s v="Wednesday"/>
    <n v="8"/>
    <n v="9.48"/>
    <x v="0"/>
    <x v="19"/>
    <s v="Male"/>
    <n v="69.2"/>
    <n v="157.4"/>
    <n v="23"/>
    <n v="16"/>
    <s v="NV"/>
    <n v="5"/>
    <n v="302.2"/>
    <s v="Middle"/>
    <n v="1"/>
    <s v="Park Hopper"/>
    <n v="0"/>
    <n v="0"/>
    <s v="Main Entrance"/>
    <s v="Mickey &amp; Friends"/>
    <n v="8"/>
    <n v="8"/>
    <x v="3597"/>
  </r>
  <r>
    <n v="3878"/>
    <n v="1269"/>
    <d v="2026-08-12T00:00:00"/>
    <s v="Wednesday"/>
    <n v="8"/>
    <n v="9.42"/>
    <x v="0"/>
    <x v="31"/>
    <s v="Male"/>
    <n v="71.3"/>
    <n v="245.6"/>
    <n v="34.1"/>
    <n v="15"/>
    <s v="NV"/>
    <n v="5"/>
    <n v="302.2"/>
    <s v="Middle"/>
    <n v="1"/>
    <s v="Park Hopper"/>
    <n v="0"/>
    <n v="0"/>
    <s v="Main Entrance"/>
    <s v="Mickey &amp; Friends"/>
    <n v="10.6"/>
    <n v="13"/>
    <x v="3598"/>
  </r>
  <r>
    <n v="3879"/>
    <n v="1269"/>
    <d v="2026-08-12T00:00:00"/>
    <s v="Wednesday"/>
    <n v="8"/>
    <n v="9.4700000000000006"/>
    <x v="0"/>
    <x v="56"/>
    <s v="Female"/>
    <n v="65.099999999999994"/>
    <n v="143.5"/>
    <n v="23.9"/>
    <n v="12"/>
    <s v="NV"/>
    <n v="5"/>
    <n v="302.2"/>
    <s v="Middle"/>
    <n v="1"/>
    <s v="Park Hopper"/>
    <n v="0"/>
    <n v="0"/>
    <s v="Main Entrance"/>
    <s v="Mickey &amp; Friends"/>
    <n v="8.6"/>
    <n v="14"/>
    <x v="1233"/>
  </r>
  <r>
    <n v="3880"/>
    <n v="1270"/>
    <d v="2026-06-12T00:00:00"/>
    <s v="Friday"/>
    <n v="6"/>
    <n v="8.82"/>
    <x v="0"/>
    <x v="9"/>
    <s v="Male"/>
    <n v="64.900000000000006"/>
    <n v="173.1"/>
    <n v="28.9"/>
    <n v="20"/>
    <s v="MN"/>
    <n v="3"/>
    <n v="2057.6"/>
    <s v="High"/>
    <n v="1"/>
    <s v="Single-Day"/>
    <n v="0"/>
    <n v="1"/>
    <s v="Main Entrance"/>
    <s v="None/Walked from Resort"/>
    <n v="7.5"/>
    <n v="10"/>
    <x v="3599"/>
  </r>
  <r>
    <n v="3881"/>
    <n v="1270"/>
    <d v="2026-06-12T00:00:00"/>
    <s v="Friday"/>
    <n v="6"/>
    <n v="8.7100000000000009"/>
    <x v="0"/>
    <x v="9"/>
    <s v="Male"/>
    <n v="68.400000000000006"/>
    <n v="149.9"/>
    <n v="22.3"/>
    <n v="18"/>
    <s v="MN"/>
    <n v="3"/>
    <n v="2057.6"/>
    <s v="High"/>
    <n v="1"/>
    <s v="Single-Day"/>
    <n v="0"/>
    <n v="1"/>
    <s v="Main Entrance"/>
    <s v="None/Walked from Resort"/>
    <n v="11.1"/>
    <n v="9"/>
    <x v="3600"/>
  </r>
  <r>
    <n v="3882"/>
    <n v="1270"/>
    <d v="2026-06-12T00:00:00"/>
    <s v="Friday"/>
    <n v="6"/>
    <n v="8.8800000000000008"/>
    <x v="0"/>
    <x v="25"/>
    <s v="Female"/>
    <n v="65.400000000000006"/>
    <n v="180.5"/>
    <n v="29.4"/>
    <n v="16"/>
    <s v="MN"/>
    <n v="3"/>
    <n v="2057.6"/>
    <s v="High"/>
    <n v="1"/>
    <s v="Single-Day"/>
    <n v="0"/>
    <n v="1"/>
    <s v="Main Entrance"/>
    <s v="None/Walked from Resort"/>
    <n v="9.6"/>
    <n v="10"/>
    <x v="3601"/>
  </r>
  <r>
    <n v="3883"/>
    <n v="1271"/>
    <d v="2026-02-21T00:00:00"/>
    <s v="Saturday"/>
    <n v="2"/>
    <n v="10.99"/>
    <x v="0"/>
    <x v="17"/>
    <s v="Male"/>
    <n v="67.900000000000006"/>
    <n v="177.7"/>
    <n v="27.3"/>
    <n v="15"/>
    <s v="FL"/>
    <n v="3"/>
    <n v="2317"/>
    <s v="High"/>
    <n v="0"/>
    <s v="Park Hopper"/>
    <n v="0"/>
    <n v="0"/>
    <s v="Main Entrance"/>
    <s v="Mickey &amp; Friends"/>
    <n v="9.1"/>
    <n v="9"/>
    <x v="3602"/>
  </r>
  <r>
    <n v="3884"/>
    <n v="1271"/>
    <d v="2026-02-21T00:00:00"/>
    <s v="Saturday"/>
    <n v="2"/>
    <n v="11.09"/>
    <x v="1"/>
    <x v="53"/>
    <s v="Female"/>
    <n v="50.2"/>
    <n v="93.3"/>
    <n v="26.1"/>
    <n v="12"/>
    <s v="FL"/>
    <n v="3"/>
    <n v="2317"/>
    <s v="High"/>
    <n v="0"/>
    <s v="Park Hopper"/>
    <n v="0"/>
    <n v="0"/>
    <s v="Main Entrance"/>
    <s v="Mickey &amp; Friends"/>
    <n v="10.4"/>
    <n v="10"/>
    <x v="3603"/>
  </r>
  <r>
    <n v="3885"/>
    <n v="1271"/>
    <d v="2026-02-21T00:00:00"/>
    <s v="Saturday"/>
    <n v="2"/>
    <n v="10.89"/>
    <x v="0"/>
    <x v="38"/>
    <s v="Male"/>
    <n v="68.599999999999994"/>
    <n v="222.7"/>
    <n v="33.4"/>
    <n v="14"/>
    <s v="FL"/>
    <n v="3"/>
    <n v="2317"/>
    <s v="High"/>
    <n v="0"/>
    <s v="Park Hopper"/>
    <n v="0"/>
    <n v="0"/>
    <s v="Main Entrance"/>
    <s v="Mickey &amp; Friends"/>
    <n v="9.6"/>
    <n v="10"/>
    <x v="3604"/>
  </r>
  <r>
    <n v="3886"/>
    <n v="1272"/>
    <d v="2026-09-21T00:00:00"/>
    <s v="Monday"/>
    <n v="9"/>
    <n v="9.51"/>
    <x v="0"/>
    <x v="38"/>
    <s v="Male"/>
    <n v="68.400000000000006"/>
    <n v="129.4"/>
    <n v="19.399999999999999"/>
    <n v="15"/>
    <s v="CO"/>
    <n v="3"/>
    <n v="661.3"/>
    <s v="Middle"/>
    <n v="1"/>
    <s v="Single-Day"/>
    <n v="0"/>
    <n v="1"/>
    <s v="Main Entrance"/>
    <s v="None/Walked from Resort"/>
    <n v="10.7"/>
    <n v="16"/>
    <x v="1157"/>
  </r>
  <r>
    <n v="3887"/>
    <n v="1272"/>
    <d v="2026-09-21T00:00:00"/>
    <s v="Monday"/>
    <n v="9"/>
    <n v="9.8000000000000007"/>
    <x v="0"/>
    <x v="51"/>
    <s v="Female"/>
    <n v="58.3"/>
    <n v="131.80000000000001"/>
    <n v="27.5"/>
    <n v="14"/>
    <s v="CO"/>
    <n v="3"/>
    <n v="661.3"/>
    <s v="Middle"/>
    <n v="1"/>
    <s v="Single-Day"/>
    <n v="0"/>
    <n v="1"/>
    <s v="Main Entrance"/>
    <s v="None/Walked from Resort"/>
    <n v="11.7"/>
    <n v="11"/>
    <x v="3605"/>
  </r>
  <r>
    <n v="3888"/>
    <n v="1272"/>
    <d v="2026-09-21T00:00:00"/>
    <s v="Monday"/>
    <n v="9"/>
    <n v="9.64"/>
    <x v="0"/>
    <x v="7"/>
    <s v="Male"/>
    <n v="51.6"/>
    <n v="62.2"/>
    <n v="16.3"/>
    <n v="11"/>
    <s v="CO"/>
    <n v="3"/>
    <n v="661.3"/>
    <s v="Middle"/>
    <n v="1"/>
    <s v="Single-Day"/>
    <n v="0"/>
    <n v="1"/>
    <s v="Main Entrance"/>
    <s v="None/Walked from Resort"/>
    <n v="9.1999999999999993"/>
    <n v="3"/>
    <x v="3606"/>
  </r>
  <r>
    <n v="3889"/>
    <n v="1273"/>
    <d v="2026-07-11T00:00:00"/>
    <s v="Saturday"/>
    <n v="7"/>
    <n v="9.65"/>
    <x v="0"/>
    <x v="68"/>
    <s v="Male"/>
    <n v="68.5"/>
    <n v="181.1"/>
    <n v="27.2"/>
    <n v="14"/>
    <s v="Other"/>
    <n v="1"/>
    <n v="1111.5"/>
    <s v="Low"/>
    <n v="1"/>
    <s v="Multi-Day"/>
    <n v="0"/>
    <n v="0"/>
    <s v="Main Entrance"/>
    <s v="Mickey &amp; Friends"/>
    <n v="7.1"/>
    <n v="9"/>
    <x v="3607"/>
  </r>
  <r>
    <n v="3890"/>
    <n v="1274"/>
    <d v="2026-10-01T00:00:00"/>
    <s v="Thursday"/>
    <n v="10"/>
    <n v="10.78"/>
    <x v="0"/>
    <x v="4"/>
    <s v="Female"/>
    <n v="63.7"/>
    <n v="92.6"/>
    <n v="16"/>
    <n v="19"/>
    <s v="CO"/>
    <n v="3"/>
    <n v="1103.7"/>
    <s v="Middle"/>
    <n v="0"/>
    <s v="Single-Day"/>
    <n v="0"/>
    <n v="0"/>
    <s v="Main Entrance"/>
    <s v="Pixar Pals"/>
    <n v="8"/>
    <n v="4"/>
    <x v="3608"/>
  </r>
  <r>
    <n v="3891"/>
    <n v="1274"/>
    <d v="2026-10-01T00:00:00"/>
    <s v="Thursday"/>
    <n v="10"/>
    <n v="11.18"/>
    <x v="1"/>
    <x v="38"/>
    <s v="Male"/>
    <n v="66.5"/>
    <n v="156.19999999999999"/>
    <n v="24.9"/>
    <n v="12"/>
    <s v="CO"/>
    <n v="3"/>
    <n v="1103.7"/>
    <s v="Middle"/>
    <n v="0"/>
    <s v="Single-Day"/>
    <n v="0"/>
    <n v="0"/>
    <s v="Main Entrance"/>
    <s v="Pixar Pals"/>
    <n v="7"/>
    <n v="7"/>
    <x v="3609"/>
  </r>
  <r>
    <n v="3892"/>
    <n v="1274"/>
    <d v="2026-10-01T00:00:00"/>
    <s v="Thursday"/>
    <n v="10"/>
    <n v="11.17"/>
    <x v="1"/>
    <x v="16"/>
    <s v="Female"/>
    <n v="60.2"/>
    <n v="94.2"/>
    <n v="18.399999999999999"/>
    <n v="13"/>
    <s v="CO"/>
    <n v="3"/>
    <n v="1103.7"/>
    <s v="Middle"/>
    <n v="0"/>
    <s v="Single-Day"/>
    <n v="0"/>
    <n v="0"/>
    <s v="Main Entrance"/>
    <s v="Pixar Pals"/>
    <n v="7.2"/>
    <n v="5"/>
    <x v="3610"/>
  </r>
  <r>
    <n v="3893"/>
    <n v="1275"/>
    <d v="2026-03-16T00:00:00"/>
    <s v="Monday"/>
    <n v="3"/>
    <n v="12.25"/>
    <x v="1"/>
    <x v="28"/>
    <s v="Male"/>
    <n v="69.599999999999994"/>
    <n v="184.9"/>
    <n v="26.9"/>
    <n v="16"/>
    <s v="CO"/>
    <n v="3"/>
    <n v="1357"/>
    <s v="Middle"/>
    <n v="0"/>
    <s v="Single-Day"/>
    <n v="1"/>
    <n v="1"/>
    <s v="Downtown Disney Gate"/>
    <s v="None/Walked from Resort"/>
    <n v="8.9"/>
    <n v="10"/>
    <x v="3611"/>
  </r>
  <r>
    <n v="3894"/>
    <n v="1275"/>
    <d v="2026-03-16T00:00:00"/>
    <s v="Monday"/>
    <n v="3"/>
    <n v="12.35"/>
    <x v="1"/>
    <x v="25"/>
    <s v="Male"/>
    <n v="67.099999999999994"/>
    <n v="175.8"/>
    <n v="27.5"/>
    <n v="11"/>
    <s v="CO"/>
    <n v="3"/>
    <n v="1357"/>
    <s v="Middle"/>
    <n v="0"/>
    <s v="Single-Day"/>
    <n v="1"/>
    <n v="1"/>
    <s v="Downtown Disney Gate"/>
    <s v="None/Walked from Resort"/>
    <n v="9.1"/>
    <n v="3"/>
    <x v="3612"/>
  </r>
  <r>
    <n v="3895"/>
    <n v="1275"/>
    <d v="2026-03-16T00:00:00"/>
    <s v="Monday"/>
    <n v="3"/>
    <n v="12.46"/>
    <x v="1"/>
    <x v="50"/>
    <s v="Female"/>
    <n v="68.400000000000006"/>
    <n v="119.5"/>
    <n v="17.899999999999999"/>
    <n v="12"/>
    <s v="CO"/>
    <n v="3"/>
    <n v="1357"/>
    <s v="Middle"/>
    <n v="0"/>
    <s v="Single-Day"/>
    <n v="1"/>
    <n v="1"/>
    <s v="Downtown Disney Gate"/>
    <s v="None/Walked from Resort"/>
    <n v="8"/>
    <n v="6"/>
    <x v="3613"/>
  </r>
  <r>
    <n v="3896"/>
    <n v="1276"/>
    <d v="2026-08-10T00:00:00"/>
    <s v="Monday"/>
    <n v="8"/>
    <n v="9.36"/>
    <x v="0"/>
    <x v="13"/>
    <s v="Male"/>
    <n v="68.7"/>
    <n v="168.3"/>
    <n v="25"/>
    <n v="14"/>
    <s v="NV"/>
    <n v="2"/>
    <n v="372.3"/>
    <s v="Middle"/>
    <n v="1"/>
    <s v="Single-Day"/>
    <n v="0"/>
    <n v="0"/>
    <s v="Downtown Disney Gate"/>
    <s v="Mickey &amp; Friends"/>
    <n v="8.1999999999999993"/>
    <n v="7"/>
    <x v="3614"/>
  </r>
  <r>
    <n v="3897"/>
    <n v="1276"/>
    <d v="2026-08-10T00:00:00"/>
    <s v="Monday"/>
    <n v="8"/>
    <n v="9.3000000000000007"/>
    <x v="0"/>
    <x v="31"/>
    <s v="Female"/>
    <n v="63.7"/>
    <n v="151"/>
    <n v="26.1"/>
    <n v="15"/>
    <s v="NV"/>
    <n v="2"/>
    <n v="372.3"/>
    <s v="Middle"/>
    <n v="1"/>
    <s v="Single-Day"/>
    <n v="0"/>
    <n v="0"/>
    <s v="Downtown Disney Gate"/>
    <s v="Mickey &amp; Friends"/>
    <n v="9.6"/>
    <n v="3"/>
    <x v="3615"/>
  </r>
  <r>
    <n v="3898"/>
    <n v="1277"/>
    <d v="2026-02-12T00:00:00"/>
    <s v="Thursday"/>
    <n v="2"/>
    <n v="7.78"/>
    <x v="0"/>
    <x v="16"/>
    <s v="Male"/>
    <n v="51.5"/>
    <n v="73.099999999999994"/>
    <n v="19.2"/>
    <n v="18"/>
    <s v="CA"/>
    <n v="5"/>
    <n v="61.9"/>
    <s v="High"/>
    <n v="1"/>
    <s v="Single-Day"/>
    <n v="1"/>
    <n v="1"/>
    <s v="Downtown Disney Gate"/>
    <s v="None/Walked from Resort"/>
    <n v="9.1"/>
    <n v="8"/>
    <x v="3616"/>
  </r>
  <r>
    <n v="3899"/>
    <n v="1277"/>
    <d v="2026-02-12T00:00:00"/>
    <s v="Thursday"/>
    <n v="2"/>
    <n v="7.87"/>
    <x v="0"/>
    <x v="32"/>
    <s v="Male"/>
    <n v="60.9"/>
    <n v="109.9"/>
    <n v="20.9"/>
    <n v="16"/>
    <s v="CA"/>
    <n v="5"/>
    <n v="61.9"/>
    <s v="High"/>
    <n v="1"/>
    <s v="Single-Day"/>
    <n v="1"/>
    <n v="1"/>
    <s v="Downtown Disney Gate"/>
    <s v="None/Walked from Resort"/>
    <n v="9.8000000000000007"/>
    <n v="9"/>
    <x v="3617"/>
  </r>
  <r>
    <n v="3900"/>
    <n v="1277"/>
    <d v="2026-02-12T00:00:00"/>
    <s v="Thursday"/>
    <n v="2"/>
    <n v="7.68"/>
    <x v="0"/>
    <x v="61"/>
    <s v="Male"/>
    <n v="69.7"/>
    <n v="117.7"/>
    <n v="16.899999999999999"/>
    <n v="16"/>
    <s v="CA"/>
    <n v="5"/>
    <n v="61.9"/>
    <s v="High"/>
    <n v="1"/>
    <s v="Single-Day"/>
    <n v="1"/>
    <n v="1"/>
    <s v="Downtown Disney Gate"/>
    <s v="None/Walked from Resort"/>
    <n v="11.5"/>
    <n v="12"/>
    <x v="3618"/>
  </r>
  <r>
    <n v="3901"/>
    <n v="1277"/>
    <d v="2026-02-12T00:00:00"/>
    <s v="Thursday"/>
    <n v="2"/>
    <n v="7.9"/>
    <x v="0"/>
    <x v="69"/>
    <s v="Male"/>
    <n v="70"/>
    <n v="190.9"/>
    <n v="27.5"/>
    <n v="16"/>
    <s v="CA"/>
    <n v="5"/>
    <n v="61.9"/>
    <s v="High"/>
    <n v="1"/>
    <s v="Single-Day"/>
    <n v="1"/>
    <n v="1"/>
    <s v="Downtown Disney Gate"/>
    <s v="None/Walked from Resort"/>
    <n v="9"/>
    <n v="11"/>
    <x v="3619"/>
  </r>
  <r>
    <n v="3902"/>
    <n v="1277"/>
    <d v="2026-02-12T00:00:00"/>
    <s v="Thursday"/>
    <n v="2"/>
    <n v="7.7"/>
    <x v="0"/>
    <x v="40"/>
    <s v="Male"/>
    <n v="59.5"/>
    <n v="108.7"/>
    <n v="21.6"/>
    <n v="20"/>
    <s v="CA"/>
    <n v="5"/>
    <n v="61.9"/>
    <s v="High"/>
    <n v="1"/>
    <s v="Single-Day"/>
    <n v="1"/>
    <n v="1"/>
    <s v="Downtown Disney Gate"/>
    <s v="None/Walked from Resort"/>
    <n v="11.8"/>
    <n v="13"/>
    <x v="3620"/>
  </r>
  <r>
    <n v="3903"/>
    <n v="1278"/>
    <d v="2026-05-30T00:00:00"/>
    <s v="Saturday"/>
    <n v="5"/>
    <n v="8.94"/>
    <x v="0"/>
    <x v="39"/>
    <s v="Nonbinary/Other"/>
    <n v="69.7"/>
    <n v="193.5"/>
    <n v="28.2"/>
    <n v="15"/>
    <s v="CA"/>
    <n v="4"/>
    <n v="53.2"/>
    <s v="High"/>
    <n v="0"/>
    <s v="Multi-Day"/>
    <n v="0"/>
    <n v="0"/>
    <s v="Main Entrance"/>
    <s v="Mickey &amp; Friends"/>
    <n v="8.6"/>
    <n v="4"/>
    <x v="1610"/>
  </r>
  <r>
    <n v="3904"/>
    <n v="1278"/>
    <d v="2026-05-30T00:00:00"/>
    <s v="Saturday"/>
    <n v="5"/>
    <n v="8.8800000000000008"/>
    <x v="0"/>
    <x v="3"/>
    <s v="Female"/>
    <n v="64.599999999999994"/>
    <n v="183.4"/>
    <n v="30.9"/>
    <n v="17"/>
    <s v="CA"/>
    <n v="4"/>
    <n v="53.2"/>
    <s v="High"/>
    <n v="0"/>
    <s v="Multi-Day"/>
    <n v="0"/>
    <n v="0"/>
    <s v="Main Entrance"/>
    <s v="Mickey &amp; Friends"/>
    <n v="9.5"/>
    <n v="6"/>
    <x v="3621"/>
  </r>
  <r>
    <n v="3905"/>
    <n v="1278"/>
    <d v="2026-05-30T00:00:00"/>
    <s v="Saturday"/>
    <n v="5"/>
    <n v="8.81"/>
    <x v="0"/>
    <x v="29"/>
    <s v="Male"/>
    <n v="70.3"/>
    <n v="155.4"/>
    <n v="22.2"/>
    <n v="14"/>
    <s v="CA"/>
    <n v="4"/>
    <n v="53.2"/>
    <s v="High"/>
    <n v="0"/>
    <s v="Multi-Day"/>
    <n v="0"/>
    <n v="0"/>
    <s v="Main Entrance"/>
    <s v="Mickey &amp; Friends"/>
    <n v="7"/>
    <n v="7"/>
    <x v="3622"/>
  </r>
  <r>
    <n v="3906"/>
    <n v="1278"/>
    <d v="2026-05-30T00:00:00"/>
    <s v="Saturday"/>
    <n v="5"/>
    <n v="8.94"/>
    <x v="0"/>
    <x v="60"/>
    <s v="Female"/>
    <n v="64.7"/>
    <n v="135.1"/>
    <n v="22.5"/>
    <n v="15"/>
    <s v="CA"/>
    <n v="4"/>
    <n v="53.2"/>
    <s v="High"/>
    <n v="0"/>
    <s v="Multi-Day"/>
    <n v="0"/>
    <n v="0"/>
    <s v="Main Entrance"/>
    <s v="Mickey &amp; Friends"/>
    <n v="8.1"/>
    <n v="6"/>
    <x v="3623"/>
  </r>
  <r>
    <n v="3907"/>
    <n v="1279"/>
    <d v="2026-08-14T00:00:00"/>
    <s v="Friday"/>
    <n v="8"/>
    <n v="10.27"/>
    <x v="0"/>
    <x v="57"/>
    <s v="Female"/>
    <n v="65.599999999999994"/>
    <n v="124.4"/>
    <n v="20.399999999999999"/>
    <n v="15"/>
    <s v="CA"/>
    <n v="4"/>
    <n v="24"/>
    <s v="Middle"/>
    <n v="0"/>
    <s v="Multi-Day"/>
    <n v="0"/>
    <n v="0"/>
    <s v="Main Entrance"/>
    <s v="Pixar Pals"/>
    <n v="5.9"/>
    <n v="7"/>
    <x v="3624"/>
  </r>
  <r>
    <n v="3908"/>
    <n v="1279"/>
    <d v="2026-08-14T00:00:00"/>
    <s v="Friday"/>
    <n v="8"/>
    <n v="10.26"/>
    <x v="0"/>
    <x v="40"/>
    <s v="Female"/>
    <n v="59.3"/>
    <n v="76.900000000000006"/>
    <n v="15.3"/>
    <n v="11"/>
    <s v="CA"/>
    <n v="4"/>
    <n v="24"/>
    <s v="Middle"/>
    <n v="0"/>
    <s v="Multi-Day"/>
    <n v="0"/>
    <n v="0"/>
    <s v="Main Entrance"/>
    <s v="Pixar Pals"/>
    <n v="10.8"/>
    <n v="5"/>
    <x v="3625"/>
  </r>
  <r>
    <n v="3909"/>
    <n v="1279"/>
    <d v="2026-08-14T00:00:00"/>
    <s v="Friday"/>
    <n v="8"/>
    <n v="10.31"/>
    <x v="0"/>
    <x v="15"/>
    <s v="Male"/>
    <n v="61.9"/>
    <n v="167.2"/>
    <n v="30.8"/>
    <n v="14"/>
    <s v="CA"/>
    <n v="4"/>
    <n v="24"/>
    <s v="Middle"/>
    <n v="0"/>
    <s v="Multi-Day"/>
    <n v="0"/>
    <n v="0"/>
    <s v="Main Entrance"/>
    <s v="Pixar Pals"/>
    <n v="10.7"/>
    <n v="8"/>
    <x v="3626"/>
  </r>
  <r>
    <n v="3910"/>
    <n v="1279"/>
    <d v="2026-08-14T00:00:00"/>
    <s v="Friday"/>
    <n v="8"/>
    <n v="10.36"/>
    <x v="0"/>
    <x v="19"/>
    <s v="Male"/>
    <n v="66.5"/>
    <n v="179"/>
    <n v="28.5"/>
    <n v="13"/>
    <s v="CA"/>
    <n v="4"/>
    <n v="24"/>
    <s v="Middle"/>
    <n v="0"/>
    <s v="Multi-Day"/>
    <n v="0"/>
    <n v="0"/>
    <s v="Main Entrance"/>
    <s v="Pixar Pals"/>
    <n v="8"/>
    <n v="5"/>
    <x v="3627"/>
  </r>
  <r>
    <n v="3911"/>
    <n v="1280"/>
    <d v="2026-02-09T00:00:00"/>
    <s v="Monday"/>
    <n v="2"/>
    <n v="8.68"/>
    <x v="0"/>
    <x v="9"/>
    <s v="Nonbinary/Other"/>
    <n v="63.3"/>
    <n v="127.7"/>
    <n v="22.4"/>
    <n v="18"/>
    <s v="MN"/>
    <n v="4"/>
    <n v="2561.1999999999998"/>
    <s v="Middle"/>
    <n v="0"/>
    <s v="Single-Day"/>
    <n v="0"/>
    <n v="0"/>
    <s v="Main Entrance"/>
    <s v="Mickey &amp; Friends"/>
    <n v="10.5"/>
    <n v="10"/>
    <x v="3628"/>
  </r>
  <r>
    <n v="3912"/>
    <n v="1280"/>
    <d v="2026-02-09T00:00:00"/>
    <s v="Monday"/>
    <n v="2"/>
    <n v="8.81"/>
    <x v="0"/>
    <x v="35"/>
    <s v="Female"/>
    <n v="63.8"/>
    <n v="158.4"/>
    <n v="27.5"/>
    <n v="17"/>
    <s v="MN"/>
    <n v="4"/>
    <n v="2561.1999999999998"/>
    <s v="Middle"/>
    <n v="0"/>
    <s v="Single-Day"/>
    <n v="0"/>
    <n v="0"/>
    <s v="Main Entrance"/>
    <s v="Mickey &amp; Friends"/>
    <n v="8.8000000000000007"/>
    <n v="10"/>
    <x v="3629"/>
  </r>
  <r>
    <n v="3913"/>
    <n v="1280"/>
    <d v="2026-02-09T00:00:00"/>
    <s v="Monday"/>
    <n v="2"/>
    <n v="8.92"/>
    <x v="0"/>
    <x v="2"/>
    <s v="Male"/>
    <n v="73.5"/>
    <n v="179.5"/>
    <n v="23.2"/>
    <n v="14"/>
    <s v="MN"/>
    <n v="4"/>
    <n v="2561.1999999999998"/>
    <s v="Middle"/>
    <n v="0"/>
    <s v="Single-Day"/>
    <n v="0"/>
    <n v="0"/>
    <s v="Main Entrance"/>
    <s v="Mickey &amp; Friends"/>
    <n v="7.5"/>
    <n v="6"/>
    <x v="3630"/>
  </r>
  <r>
    <n v="3914"/>
    <n v="1280"/>
    <d v="2026-02-09T00:00:00"/>
    <s v="Monday"/>
    <n v="2"/>
    <n v="8.7200000000000006"/>
    <x v="0"/>
    <x v="11"/>
    <s v="Male"/>
    <n v="69.400000000000006"/>
    <n v="238.9"/>
    <n v="34.799999999999997"/>
    <n v="12"/>
    <s v="MN"/>
    <n v="4"/>
    <n v="2561.1999999999998"/>
    <s v="Middle"/>
    <n v="0"/>
    <s v="Single-Day"/>
    <n v="0"/>
    <n v="0"/>
    <s v="Main Entrance"/>
    <s v="Mickey &amp; Friends"/>
    <n v="8.5"/>
    <n v="5"/>
    <x v="3631"/>
  </r>
  <r>
    <n v="3915"/>
    <n v="1281"/>
    <d v="2026-05-10T00:00:00"/>
    <s v="Sunday"/>
    <n v="5"/>
    <n v="11"/>
    <x v="1"/>
    <x v="47"/>
    <s v="Female"/>
    <n v="61.3"/>
    <n v="141.19999999999999"/>
    <n v="26.4"/>
    <n v="14"/>
    <s v="OR"/>
    <n v="5"/>
    <n v="1065.8"/>
    <s v="Low"/>
    <n v="1"/>
    <s v="Single-Day"/>
    <n v="1"/>
    <n v="0"/>
    <s v="Main Entrance"/>
    <s v="None/Dropoff/Transit"/>
    <n v="8.1"/>
    <n v="7"/>
    <x v="3632"/>
  </r>
  <r>
    <n v="3916"/>
    <n v="1281"/>
    <d v="2026-05-10T00:00:00"/>
    <s v="Sunday"/>
    <n v="5"/>
    <n v="10.83"/>
    <x v="0"/>
    <x v="45"/>
    <s v="Male"/>
    <n v="66.5"/>
    <n v="174"/>
    <n v="27.7"/>
    <n v="15"/>
    <s v="OR"/>
    <n v="5"/>
    <n v="1065.8"/>
    <s v="Low"/>
    <n v="1"/>
    <s v="Single-Day"/>
    <n v="1"/>
    <n v="0"/>
    <s v="Main Entrance"/>
    <s v="None/Dropoff/Transit"/>
    <n v="9.3000000000000007"/>
    <n v="12"/>
    <x v="3633"/>
  </r>
  <r>
    <n v="3917"/>
    <n v="1281"/>
    <d v="2026-05-10T00:00:00"/>
    <s v="Sunday"/>
    <n v="5"/>
    <n v="10.78"/>
    <x v="0"/>
    <x v="6"/>
    <s v="Male"/>
    <n v="71.8"/>
    <n v="186"/>
    <n v="25.6"/>
    <n v="14"/>
    <s v="OR"/>
    <n v="5"/>
    <n v="1065.8"/>
    <s v="Low"/>
    <n v="1"/>
    <s v="Single-Day"/>
    <n v="1"/>
    <n v="0"/>
    <s v="Main Entrance"/>
    <s v="None/Dropoff/Transit"/>
    <n v="11"/>
    <n v="17"/>
    <x v="3634"/>
  </r>
  <r>
    <n v="3918"/>
    <n v="1281"/>
    <d v="2026-05-10T00:00:00"/>
    <s v="Sunday"/>
    <n v="5"/>
    <n v="11.01"/>
    <x v="1"/>
    <x v="56"/>
    <s v="Male"/>
    <n v="74.7"/>
    <n v="260.2"/>
    <n v="32.9"/>
    <n v="12"/>
    <s v="OR"/>
    <n v="5"/>
    <n v="1065.8"/>
    <s v="Low"/>
    <n v="1"/>
    <s v="Single-Day"/>
    <n v="1"/>
    <n v="0"/>
    <s v="Main Entrance"/>
    <s v="None/Dropoff/Transit"/>
    <n v="8"/>
    <n v="10"/>
    <x v="3635"/>
  </r>
  <r>
    <n v="3919"/>
    <n v="1281"/>
    <d v="2026-05-10T00:00:00"/>
    <s v="Sunday"/>
    <n v="5"/>
    <n v="10.94"/>
    <x v="0"/>
    <x v="23"/>
    <s v="Male"/>
    <n v="70.7"/>
    <n v="176.7"/>
    <n v="24.8"/>
    <n v="13"/>
    <s v="OR"/>
    <n v="5"/>
    <n v="1065.8"/>
    <s v="Low"/>
    <n v="1"/>
    <s v="Single-Day"/>
    <n v="1"/>
    <n v="0"/>
    <s v="Main Entrance"/>
    <s v="None/Dropoff/Transit"/>
    <n v="8.8000000000000007"/>
    <n v="7"/>
    <x v="3636"/>
  </r>
  <r>
    <n v="3920"/>
    <n v="1282"/>
    <d v="2026-01-04T00:00:00"/>
    <s v="Sunday"/>
    <n v="1"/>
    <n v="8.8000000000000007"/>
    <x v="0"/>
    <x v="52"/>
    <s v="Female"/>
    <n v="67.2"/>
    <n v="137.30000000000001"/>
    <n v="21.2"/>
    <n v="13"/>
    <s v="CA"/>
    <n v="1"/>
    <n v="68.8"/>
    <s v="Middle"/>
    <n v="0"/>
    <s v="Park Hopper"/>
    <n v="0"/>
    <n v="0"/>
    <s v="Main Entrance"/>
    <s v="None/Dropoff/Transit"/>
    <n v="10.5"/>
    <n v="8"/>
    <x v="3637"/>
  </r>
  <r>
    <n v="3921"/>
    <n v="1283"/>
    <d v="2026-10-12T00:00:00"/>
    <s v="Monday"/>
    <n v="10"/>
    <n v="10.95"/>
    <x v="0"/>
    <x v="9"/>
    <s v="Male"/>
    <n v="65.099999999999994"/>
    <n v="183.1"/>
    <n v="30.2"/>
    <n v="16"/>
    <s v="WA"/>
    <n v="2"/>
    <n v="845.8"/>
    <s v="Low"/>
    <n v="1"/>
    <s v="Multi-Day"/>
    <n v="0"/>
    <n v="0"/>
    <s v="Main Entrance"/>
    <s v="Pixar Pals"/>
    <n v="10.1"/>
    <n v="10"/>
    <x v="3638"/>
  </r>
  <r>
    <n v="3922"/>
    <n v="1283"/>
    <d v="2026-10-12T00:00:00"/>
    <s v="Monday"/>
    <n v="10"/>
    <n v="10.94"/>
    <x v="0"/>
    <x v="5"/>
    <s v="Male"/>
    <n v="67.2"/>
    <n v="197"/>
    <n v="30.4"/>
    <n v="13"/>
    <s v="WA"/>
    <n v="2"/>
    <n v="845.8"/>
    <s v="Low"/>
    <n v="1"/>
    <s v="Multi-Day"/>
    <n v="0"/>
    <n v="0"/>
    <s v="Main Entrance"/>
    <s v="Pixar Pals"/>
    <n v="8.6999999999999993"/>
    <n v="12"/>
    <x v="3639"/>
  </r>
  <r>
    <n v="3923"/>
    <n v="1284"/>
    <d v="2026-11-05T00:00:00"/>
    <s v="Thursday"/>
    <n v="11"/>
    <n v="12.05"/>
    <x v="1"/>
    <x v="64"/>
    <s v="Female"/>
    <n v="55.1"/>
    <n v="105.3"/>
    <n v="24.3"/>
    <n v="12"/>
    <s v="AZ"/>
    <n v="3"/>
    <n v="438.7"/>
    <s v="Middle"/>
    <n v="1"/>
    <s v="Single-Day"/>
    <n v="0"/>
    <n v="0"/>
    <s v="Main Entrance"/>
    <s v="Mickey &amp; Friends"/>
    <n v="6.1"/>
    <n v="6"/>
    <x v="2144"/>
  </r>
  <r>
    <n v="3924"/>
    <n v="1284"/>
    <d v="2026-11-05T00:00:00"/>
    <s v="Thursday"/>
    <n v="11"/>
    <n v="11.81"/>
    <x v="1"/>
    <x v="38"/>
    <s v="Female"/>
    <n v="64.599999999999994"/>
    <n v="93.3"/>
    <n v="15.8"/>
    <n v="12"/>
    <s v="AZ"/>
    <n v="3"/>
    <n v="438.7"/>
    <s v="Middle"/>
    <n v="1"/>
    <s v="Single-Day"/>
    <n v="0"/>
    <n v="0"/>
    <s v="Main Entrance"/>
    <s v="Mickey &amp; Friends"/>
    <n v="9.8000000000000007"/>
    <n v="13"/>
    <x v="3640"/>
  </r>
  <r>
    <n v="3925"/>
    <n v="1284"/>
    <d v="2026-11-05T00:00:00"/>
    <s v="Thursday"/>
    <n v="11"/>
    <n v="11.91"/>
    <x v="1"/>
    <x v="58"/>
    <s v="Female"/>
    <n v="66.3"/>
    <n v="130.69999999999999"/>
    <n v="21"/>
    <n v="15"/>
    <s v="AZ"/>
    <n v="3"/>
    <n v="438.7"/>
    <s v="Middle"/>
    <n v="1"/>
    <s v="Single-Day"/>
    <n v="0"/>
    <n v="0"/>
    <s v="Main Entrance"/>
    <s v="Mickey &amp; Friends"/>
    <n v="6.2"/>
    <n v="4"/>
    <x v="1682"/>
  </r>
  <r>
    <n v="3926"/>
    <n v="1285"/>
    <d v="2026-11-11T00:00:00"/>
    <s v="Wednesday"/>
    <n v="11"/>
    <n v="11.5"/>
    <x v="1"/>
    <x v="78"/>
    <s v="Female"/>
    <n v="70"/>
    <n v="147.69999999999999"/>
    <n v="21.3"/>
    <n v="18"/>
    <s v="CA"/>
    <n v="5"/>
    <n v="40.5"/>
    <s v="Middle"/>
    <n v="0"/>
    <s v="Single-Day"/>
    <n v="0"/>
    <n v="0"/>
    <s v="Main Entrance"/>
    <s v="Mickey &amp; Friends"/>
    <n v="6.1"/>
    <n v="7"/>
    <x v="3641"/>
  </r>
  <r>
    <n v="3927"/>
    <n v="1285"/>
    <d v="2026-11-11T00:00:00"/>
    <s v="Wednesday"/>
    <n v="11"/>
    <n v="11.75"/>
    <x v="1"/>
    <x v="71"/>
    <s v="Male"/>
    <n v="71"/>
    <n v="106"/>
    <n v="14.5"/>
    <n v="17"/>
    <s v="CA"/>
    <n v="5"/>
    <n v="40.5"/>
    <s v="Middle"/>
    <n v="0"/>
    <s v="Single-Day"/>
    <n v="0"/>
    <n v="0"/>
    <s v="Main Entrance"/>
    <s v="Mickey &amp; Friends"/>
    <n v="5.9"/>
    <n v="5"/>
    <x v="3642"/>
  </r>
  <r>
    <n v="3928"/>
    <n v="1285"/>
    <d v="2026-11-11T00:00:00"/>
    <s v="Wednesday"/>
    <n v="11"/>
    <n v="11.62"/>
    <x v="1"/>
    <x v="39"/>
    <s v="Female"/>
    <n v="61.1"/>
    <n v="157.19999999999999"/>
    <n v="29.6"/>
    <n v="11"/>
    <s v="CA"/>
    <n v="5"/>
    <n v="40.5"/>
    <s v="Middle"/>
    <n v="0"/>
    <s v="Single-Day"/>
    <n v="0"/>
    <n v="0"/>
    <s v="Main Entrance"/>
    <s v="Mickey &amp; Friends"/>
    <n v="8.6999999999999993"/>
    <n v="8"/>
    <x v="3643"/>
  </r>
  <r>
    <n v="3929"/>
    <n v="1285"/>
    <d v="2026-11-11T00:00:00"/>
    <s v="Wednesday"/>
    <n v="11"/>
    <n v="11.23"/>
    <x v="1"/>
    <x v="45"/>
    <s v="Male"/>
    <n v="68.2"/>
    <n v="176.7"/>
    <n v="26.7"/>
    <n v="17"/>
    <s v="CA"/>
    <n v="5"/>
    <n v="40.5"/>
    <s v="Middle"/>
    <n v="0"/>
    <s v="Single-Day"/>
    <n v="0"/>
    <n v="0"/>
    <s v="Main Entrance"/>
    <s v="Mickey &amp; Friends"/>
    <n v="5.7"/>
    <n v="8"/>
    <x v="3644"/>
  </r>
  <r>
    <n v="3930"/>
    <n v="1285"/>
    <d v="2026-11-11T00:00:00"/>
    <s v="Wednesday"/>
    <n v="11"/>
    <n v="11.61"/>
    <x v="1"/>
    <x v="55"/>
    <s v="Male"/>
    <n v="65.400000000000006"/>
    <n v="165.2"/>
    <n v="27.3"/>
    <n v="15"/>
    <s v="CA"/>
    <n v="5"/>
    <n v="40.5"/>
    <s v="Middle"/>
    <n v="0"/>
    <s v="Single-Day"/>
    <n v="0"/>
    <n v="0"/>
    <s v="Main Entrance"/>
    <s v="Mickey &amp; Friends"/>
    <n v="9"/>
    <n v="11"/>
    <x v="1621"/>
  </r>
  <r>
    <n v="3931"/>
    <n v="1286"/>
    <d v="2026-07-20T00:00:00"/>
    <s v="Monday"/>
    <n v="7"/>
    <n v="7.39"/>
    <x v="0"/>
    <x v="26"/>
    <s v="Female"/>
    <n v="63.6"/>
    <n v="206.9"/>
    <n v="36"/>
    <n v="20"/>
    <s v="OR"/>
    <n v="6"/>
    <n v="821.6"/>
    <s v="High"/>
    <n v="0"/>
    <s v="Single-Day"/>
    <n v="0"/>
    <n v="1"/>
    <s v="Main Entrance"/>
    <s v="None/Walked from Resort"/>
    <n v="7"/>
    <n v="9"/>
    <x v="2308"/>
  </r>
  <r>
    <n v="3932"/>
    <n v="1286"/>
    <d v="2026-07-20T00:00:00"/>
    <s v="Monday"/>
    <n v="7"/>
    <n v="7.18"/>
    <x v="0"/>
    <x v="5"/>
    <s v="Female"/>
    <n v="68.5"/>
    <n v="185.6"/>
    <n v="27.9"/>
    <n v="14"/>
    <s v="OR"/>
    <n v="6"/>
    <n v="821.6"/>
    <s v="High"/>
    <n v="0"/>
    <s v="Single-Day"/>
    <n v="0"/>
    <n v="1"/>
    <s v="Main Entrance"/>
    <s v="None/Walked from Resort"/>
    <n v="7.5"/>
    <n v="5"/>
    <x v="3645"/>
  </r>
  <r>
    <n v="3933"/>
    <n v="1286"/>
    <d v="2026-07-20T00:00:00"/>
    <s v="Monday"/>
    <n v="7"/>
    <n v="7.14"/>
    <x v="0"/>
    <x v="27"/>
    <s v="Female"/>
    <n v="63.7"/>
    <n v="156.4"/>
    <n v="27.2"/>
    <n v="16"/>
    <s v="OR"/>
    <n v="6"/>
    <n v="821.6"/>
    <s v="High"/>
    <n v="0"/>
    <s v="Single-Day"/>
    <n v="0"/>
    <n v="1"/>
    <s v="Main Entrance"/>
    <s v="None/Walked from Resort"/>
    <n v="10.6"/>
    <n v="12"/>
    <x v="3646"/>
  </r>
  <r>
    <n v="3934"/>
    <n v="1286"/>
    <d v="2026-07-20T00:00:00"/>
    <s v="Monday"/>
    <n v="7"/>
    <n v="7.16"/>
    <x v="0"/>
    <x v="18"/>
    <s v="Male"/>
    <n v="69.400000000000006"/>
    <n v="197.8"/>
    <n v="28.8"/>
    <n v="16"/>
    <s v="OR"/>
    <n v="6"/>
    <n v="821.6"/>
    <s v="High"/>
    <n v="0"/>
    <s v="Single-Day"/>
    <n v="0"/>
    <n v="1"/>
    <s v="Main Entrance"/>
    <s v="None/Walked from Resort"/>
    <n v="8"/>
    <n v="5"/>
    <x v="3647"/>
  </r>
  <r>
    <n v="3935"/>
    <n v="1286"/>
    <d v="2026-07-20T00:00:00"/>
    <s v="Monday"/>
    <n v="7"/>
    <n v="7.31"/>
    <x v="0"/>
    <x v="72"/>
    <s v="Female"/>
    <n v="66.7"/>
    <n v="212"/>
    <n v="33.5"/>
    <n v="19"/>
    <s v="OR"/>
    <n v="6"/>
    <n v="821.6"/>
    <s v="High"/>
    <n v="0"/>
    <s v="Single-Day"/>
    <n v="0"/>
    <n v="1"/>
    <s v="Main Entrance"/>
    <s v="None/Walked from Resort"/>
    <n v="6.9"/>
    <n v="4"/>
    <x v="3648"/>
  </r>
  <r>
    <n v="3936"/>
    <n v="1286"/>
    <d v="2026-07-20T00:00:00"/>
    <s v="Monday"/>
    <n v="7"/>
    <n v="7.06"/>
    <x v="0"/>
    <x v="18"/>
    <s v="Male"/>
    <n v="66.5"/>
    <n v="185.3"/>
    <n v="29.5"/>
    <n v="17"/>
    <s v="OR"/>
    <n v="6"/>
    <n v="821.6"/>
    <s v="High"/>
    <n v="0"/>
    <s v="Single-Day"/>
    <n v="0"/>
    <n v="1"/>
    <s v="Main Entrance"/>
    <s v="None/Walked from Resort"/>
    <n v="4.9000000000000004"/>
    <n v="6"/>
    <x v="1490"/>
  </r>
  <r>
    <n v="3937"/>
    <n v="1287"/>
    <d v="2026-09-18T00:00:00"/>
    <s v="Friday"/>
    <n v="9"/>
    <n v="13.3"/>
    <x v="1"/>
    <x v="12"/>
    <s v="Male"/>
    <n v="61.1"/>
    <n v="87.9"/>
    <n v="16.399999999999999"/>
    <n v="13"/>
    <s v="NY"/>
    <n v="2"/>
    <n v="3409.4"/>
    <s v="Low"/>
    <n v="1"/>
    <s v="Single-Day"/>
    <n v="1"/>
    <n v="0"/>
    <s v="Main Entrance"/>
    <s v="Pixar Pals"/>
    <n v="8.6"/>
    <n v="8"/>
    <x v="3649"/>
  </r>
  <r>
    <n v="3938"/>
    <n v="1287"/>
    <d v="2026-09-18T00:00:00"/>
    <s v="Friday"/>
    <n v="9"/>
    <n v="13.07"/>
    <x v="1"/>
    <x v="27"/>
    <s v="Female"/>
    <n v="63.6"/>
    <n v="131.4"/>
    <n v="23"/>
    <n v="15"/>
    <s v="NY"/>
    <n v="2"/>
    <n v="3409.4"/>
    <s v="Low"/>
    <n v="1"/>
    <s v="Single-Day"/>
    <n v="1"/>
    <n v="0"/>
    <s v="Main Entrance"/>
    <s v="Pixar Pals"/>
    <n v="7.4"/>
    <n v="7"/>
    <x v="3650"/>
  </r>
  <r>
    <n v="3939"/>
    <n v="1288"/>
    <d v="2026-01-25T00:00:00"/>
    <s v="Sunday"/>
    <n v="1"/>
    <n v="12.34"/>
    <x v="1"/>
    <x v="60"/>
    <s v="Male"/>
    <n v="65"/>
    <n v="149.80000000000001"/>
    <n v="25.1"/>
    <n v="14"/>
    <s v="CA"/>
    <n v="3"/>
    <n v="41.6"/>
    <s v="Middle"/>
    <n v="0"/>
    <s v="Single-Day"/>
    <n v="0"/>
    <n v="0"/>
    <s v="Main Entrance"/>
    <s v="Mickey &amp; Friends"/>
    <n v="4.5"/>
    <n v="3"/>
    <x v="3313"/>
  </r>
  <r>
    <n v="3940"/>
    <n v="1288"/>
    <d v="2026-01-25T00:00:00"/>
    <s v="Sunday"/>
    <n v="1"/>
    <n v="12.39"/>
    <x v="1"/>
    <x v="34"/>
    <s v="Male"/>
    <n v="69.099999999999994"/>
    <n v="164"/>
    <n v="23.9"/>
    <n v="18"/>
    <s v="CA"/>
    <n v="3"/>
    <n v="41.6"/>
    <s v="Middle"/>
    <n v="0"/>
    <s v="Single-Day"/>
    <n v="0"/>
    <n v="0"/>
    <s v="Main Entrance"/>
    <s v="Mickey &amp; Friends"/>
    <n v="9.8000000000000007"/>
    <n v="8"/>
    <x v="3651"/>
  </r>
  <r>
    <n v="3941"/>
    <n v="1288"/>
    <d v="2026-01-25T00:00:00"/>
    <s v="Sunday"/>
    <n v="1"/>
    <n v="12.24"/>
    <x v="1"/>
    <x v="21"/>
    <s v="Female"/>
    <n v="63.2"/>
    <n v="142.30000000000001"/>
    <n v="25.1"/>
    <n v="16"/>
    <s v="CA"/>
    <n v="3"/>
    <n v="41.6"/>
    <s v="Middle"/>
    <n v="0"/>
    <s v="Single-Day"/>
    <n v="0"/>
    <n v="0"/>
    <s v="Main Entrance"/>
    <s v="Mickey &amp; Friends"/>
    <n v="8.4"/>
    <n v="9"/>
    <x v="3652"/>
  </r>
  <r>
    <n v="3942"/>
    <n v="1289"/>
    <d v="2026-07-16T00:00:00"/>
    <s v="Thursday"/>
    <n v="7"/>
    <n v="8.81"/>
    <x v="0"/>
    <x v="23"/>
    <s v="Male"/>
    <n v="68.599999999999994"/>
    <n v="170.7"/>
    <n v="25.4"/>
    <n v="13"/>
    <s v="Other"/>
    <n v="4"/>
    <n v="1432.4"/>
    <s v="Low"/>
    <n v="1"/>
    <s v="Single-Day"/>
    <n v="1"/>
    <n v="1"/>
    <s v="Downtown Disney Gate"/>
    <s v="Mickey &amp; Friends"/>
    <n v="8.6"/>
    <n v="16"/>
    <x v="3653"/>
  </r>
  <r>
    <n v="3943"/>
    <n v="1289"/>
    <d v="2026-07-16T00:00:00"/>
    <s v="Thursday"/>
    <n v="7"/>
    <n v="9.1199999999999992"/>
    <x v="0"/>
    <x v="30"/>
    <s v="Female"/>
    <n v="64.3"/>
    <n v="158.9"/>
    <n v="27.1"/>
    <n v="10"/>
    <s v="Other"/>
    <n v="4"/>
    <n v="1432.4"/>
    <s v="Low"/>
    <n v="1"/>
    <s v="Single-Day"/>
    <n v="1"/>
    <n v="1"/>
    <s v="Downtown Disney Gate"/>
    <s v="Mickey &amp; Friends"/>
    <n v="11.3"/>
    <n v="15"/>
    <x v="3654"/>
  </r>
  <r>
    <n v="3944"/>
    <n v="1289"/>
    <d v="2026-07-16T00:00:00"/>
    <s v="Thursday"/>
    <n v="7"/>
    <n v="9.09"/>
    <x v="0"/>
    <x v="1"/>
    <s v="Female"/>
    <n v="64.900000000000006"/>
    <n v="140.1"/>
    <n v="23.5"/>
    <n v="15"/>
    <s v="Other"/>
    <n v="4"/>
    <n v="1432.4"/>
    <s v="Low"/>
    <n v="1"/>
    <s v="Single-Day"/>
    <n v="1"/>
    <n v="1"/>
    <s v="Downtown Disney Gate"/>
    <s v="Mickey &amp; Friends"/>
    <n v="10.5"/>
    <n v="12"/>
    <x v="3655"/>
  </r>
  <r>
    <n v="3945"/>
    <n v="1289"/>
    <d v="2026-07-16T00:00:00"/>
    <s v="Thursday"/>
    <n v="7"/>
    <n v="8.94"/>
    <x v="0"/>
    <x v="60"/>
    <s v="Male"/>
    <n v="58.7"/>
    <n v="65.7"/>
    <n v="13.4"/>
    <n v="12"/>
    <s v="Other"/>
    <n v="4"/>
    <n v="1432.4"/>
    <s v="Low"/>
    <n v="1"/>
    <s v="Single-Day"/>
    <n v="1"/>
    <n v="1"/>
    <s v="Downtown Disney Gate"/>
    <s v="Mickey &amp; Friends"/>
    <n v="9.5"/>
    <n v="10"/>
    <x v="3656"/>
  </r>
  <r>
    <n v="3946"/>
    <n v="1290"/>
    <d v="2026-08-03T00:00:00"/>
    <s v="Monday"/>
    <n v="8"/>
    <n v="8.83"/>
    <x v="0"/>
    <x v="55"/>
    <s v="Male"/>
    <n v="68.3"/>
    <n v="177.2"/>
    <n v="26.9"/>
    <n v="15"/>
    <s v="Other"/>
    <n v="3"/>
    <n v="1588.6"/>
    <s v="Middle"/>
    <n v="0"/>
    <s v="Single-Day"/>
    <n v="0"/>
    <n v="0"/>
    <s v="Main Entrance"/>
    <s v="Mickey &amp; Friends"/>
    <n v="8.8000000000000007"/>
    <n v="10"/>
    <x v="3657"/>
  </r>
  <r>
    <n v="3947"/>
    <n v="1290"/>
    <d v="2026-08-03T00:00:00"/>
    <s v="Monday"/>
    <n v="8"/>
    <n v="8.89"/>
    <x v="0"/>
    <x v="43"/>
    <s v="Female"/>
    <n v="61.8"/>
    <n v="144.19999999999999"/>
    <n v="26.2"/>
    <n v="17"/>
    <s v="Other"/>
    <n v="3"/>
    <n v="1588.6"/>
    <s v="Middle"/>
    <n v="0"/>
    <s v="Single-Day"/>
    <n v="0"/>
    <n v="0"/>
    <s v="Main Entrance"/>
    <s v="Mickey &amp; Friends"/>
    <n v="5.4"/>
    <n v="5"/>
    <x v="3658"/>
  </r>
  <r>
    <n v="3948"/>
    <n v="1290"/>
    <d v="2026-08-03T00:00:00"/>
    <s v="Monday"/>
    <n v="8"/>
    <n v="8.77"/>
    <x v="0"/>
    <x v="69"/>
    <s v="Female"/>
    <n v="67.400000000000006"/>
    <n v="139.4"/>
    <n v="21.5"/>
    <n v="14"/>
    <s v="Other"/>
    <n v="3"/>
    <n v="1588.6"/>
    <s v="Middle"/>
    <n v="0"/>
    <s v="Single-Day"/>
    <n v="0"/>
    <n v="0"/>
    <s v="Main Entrance"/>
    <s v="Mickey &amp; Friends"/>
    <n v="6.4"/>
    <n v="7"/>
    <x v="3659"/>
  </r>
  <r>
    <n v="3949"/>
    <n v="1291"/>
    <d v="2026-04-23T00:00:00"/>
    <s v="Thursday"/>
    <n v="4"/>
    <n v="8.7100000000000009"/>
    <x v="0"/>
    <x v="28"/>
    <s v="Male"/>
    <n v="69.599999999999994"/>
    <n v="176.1"/>
    <n v="25.8"/>
    <n v="21"/>
    <s v="AZ"/>
    <n v="3"/>
    <n v="492.9"/>
    <s v="Middle"/>
    <n v="1"/>
    <s v="Park Hopper"/>
    <n v="0"/>
    <n v="0"/>
    <s v="Main Entrance"/>
    <s v="Pixar Pals"/>
    <n v="9.4"/>
    <n v="14"/>
    <x v="3660"/>
  </r>
  <r>
    <n v="3950"/>
    <n v="1291"/>
    <d v="2026-04-23T00:00:00"/>
    <s v="Thursday"/>
    <n v="4"/>
    <n v="8.58"/>
    <x v="0"/>
    <x v="36"/>
    <s v="Female"/>
    <n v="66.400000000000006"/>
    <n v="129.9"/>
    <n v="20.7"/>
    <n v="15"/>
    <s v="AZ"/>
    <n v="3"/>
    <n v="492.9"/>
    <s v="Middle"/>
    <n v="1"/>
    <s v="Park Hopper"/>
    <n v="0"/>
    <n v="0"/>
    <s v="Main Entrance"/>
    <s v="Pixar Pals"/>
    <n v="7.8"/>
    <n v="6"/>
    <x v="3661"/>
  </r>
  <r>
    <n v="3951"/>
    <n v="1291"/>
    <d v="2026-04-23T00:00:00"/>
    <s v="Thursday"/>
    <n v="4"/>
    <n v="8.52"/>
    <x v="0"/>
    <x v="6"/>
    <s v="Female"/>
    <n v="67"/>
    <n v="183"/>
    <n v="28.8"/>
    <n v="17"/>
    <s v="AZ"/>
    <n v="3"/>
    <n v="492.9"/>
    <s v="Middle"/>
    <n v="1"/>
    <s v="Park Hopper"/>
    <n v="0"/>
    <n v="0"/>
    <s v="Main Entrance"/>
    <s v="Pixar Pals"/>
    <n v="11.3"/>
    <n v="13"/>
    <x v="3662"/>
  </r>
  <r>
    <n v="3952"/>
    <n v="1292"/>
    <d v="2026-05-10T00:00:00"/>
    <s v="Sunday"/>
    <n v="5"/>
    <n v="11.5"/>
    <x v="1"/>
    <x v="9"/>
    <s v="Male"/>
    <n v="72.5"/>
    <n v="198.4"/>
    <n v="26.7"/>
    <n v="15"/>
    <s v="WA"/>
    <n v="3"/>
    <n v="1073.5"/>
    <s v="Middle"/>
    <n v="0"/>
    <s v="Park Hopper"/>
    <n v="0"/>
    <n v="1"/>
    <s v="Downtown Disney Gate"/>
    <s v="None/Walked from Resort"/>
    <n v="8.5"/>
    <n v="10"/>
    <x v="3663"/>
  </r>
  <r>
    <n v="3953"/>
    <n v="1292"/>
    <d v="2026-05-10T00:00:00"/>
    <s v="Sunday"/>
    <n v="5"/>
    <n v="11.4"/>
    <x v="1"/>
    <x v="44"/>
    <s v="Female"/>
    <n v="65.900000000000006"/>
    <n v="168.5"/>
    <n v="27.3"/>
    <n v="15"/>
    <s v="WA"/>
    <n v="3"/>
    <n v="1073.5"/>
    <s v="Middle"/>
    <n v="0"/>
    <s v="Park Hopper"/>
    <n v="0"/>
    <n v="1"/>
    <s v="Downtown Disney Gate"/>
    <s v="None/Walked from Resort"/>
    <n v="8.8000000000000007"/>
    <n v="2"/>
    <x v="3664"/>
  </r>
  <r>
    <n v="3954"/>
    <n v="1292"/>
    <d v="2026-05-10T00:00:00"/>
    <s v="Sunday"/>
    <n v="5"/>
    <n v="11.39"/>
    <x v="1"/>
    <x v="58"/>
    <s v="Female"/>
    <n v="63.8"/>
    <n v="161.5"/>
    <n v="28"/>
    <n v="15"/>
    <s v="WA"/>
    <n v="3"/>
    <n v="1073.5"/>
    <s v="Middle"/>
    <n v="0"/>
    <s v="Park Hopper"/>
    <n v="0"/>
    <n v="1"/>
    <s v="Downtown Disney Gate"/>
    <s v="None/Walked from Resort"/>
    <n v="9.1999999999999993"/>
    <n v="13"/>
    <x v="3665"/>
  </r>
  <r>
    <n v="3955"/>
    <n v="1293"/>
    <d v="2026-04-28T00:00:00"/>
    <s v="Tuesday"/>
    <n v="4"/>
    <n v="10.87"/>
    <x v="0"/>
    <x v="3"/>
    <s v="Female"/>
    <n v="68.599999999999994"/>
    <n v="117.6"/>
    <n v="17.7"/>
    <n v="16"/>
    <s v="CA"/>
    <n v="3"/>
    <n v="77.7"/>
    <s v="Middle"/>
    <n v="0"/>
    <s v="Single-Day"/>
    <n v="0"/>
    <n v="0"/>
    <s v="Downtown Disney Gate"/>
    <s v="Pixar Pals"/>
    <n v="7.6"/>
    <n v="5"/>
    <x v="3666"/>
  </r>
  <r>
    <n v="3956"/>
    <n v="1293"/>
    <d v="2026-04-28T00:00:00"/>
    <s v="Tuesday"/>
    <n v="4"/>
    <n v="10.74"/>
    <x v="0"/>
    <x v="36"/>
    <s v="Female"/>
    <n v="64.7"/>
    <n v="220.4"/>
    <n v="37.1"/>
    <n v="13"/>
    <s v="CA"/>
    <n v="3"/>
    <n v="77.7"/>
    <s v="Middle"/>
    <n v="0"/>
    <s v="Single-Day"/>
    <n v="0"/>
    <n v="0"/>
    <s v="Downtown Disney Gate"/>
    <s v="Pixar Pals"/>
    <n v="7.7"/>
    <n v="7"/>
    <x v="3667"/>
  </r>
  <r>
    <n v="3957"/>
    <n v="1293"/>
    <d v="2026-04-28T00:00:00"/>
    <s v="Tuesday"/>
    <n v="4"/>
    <n v="10.55"/>
    <x v="0"/>
    <x v="58"/>
    <s v="Female"/>
    <n v="62.4"/>
    <n v="167.1"/>
    <n v="30.2"/>
    <n v="15"/>
    <s v="CA"/>
    <n v="3"/>
    <n v="77.7"/>
    <s v="Middle"/>
    <n v="0"/>
    <s v="Single-Day"/>
    <n v="0"/>
    <n v="0"/>
    <s v="Downtown Disney Gate"/>
    <s v="Pixar Pals"/>
    <n v="6.7"/>
    <n v="5"/>
    <x v="457"/>
  </r>
  <r>
    <n v="3958"/>
    <n v="1294"/>
    <d v="2026-09-16T00:00:00"/>
    <s v="Wednesday"/>
    <n v="9"/>
    <n v="9.43"/>
    <x v="0"/>
    <x v="57"/>
    <s v="Female"/>
    <n v="66.2"/>
    <n v="190.7"/>
    <n v="30.6"/>
    <n v="17"/>
    <s v="Other"/>
    <n v="2"/>
    <n v="1532.8"/>
    <s v="Middle"/>
    <n v="0"/>
    <s v="Multi-Day"/>
    <n v="0"/>
    <n v="1"/>
    <s v="Main Entrance"/>
    <s v="Mickey &amp; Friends"/>
    <n v="8"/>
    <n v="9"/>
    <x v="3668"/>
  </r>
  <r>
    <n v="3959"/>
    <n v="1294"/>
    <d v="2026-09-16T00:00:00"/>
    <s v="Wednesday"/>
    <n v="9"/>
    <n v="9.43"/>
    <x v="0"/>
    <x v="31"/>
    <s v="Female"/>
    <n v="63.9"/>
    <n v="141.69999999999999"/>
    <n v="24.5"/>
    <n v="17"/>
    <s v="Other"/>
    <n v="2"/>
    <n v="1532.8"/>
    <s v="Middle"/>
    <n v="0"/>
    <s v="Multi-Day"/>
    <n v="0"/>
    <n v="1"/>
    <s v="Main Entrance"/>
    <s v="Mickey &amp; Friends"/>
    <n v="10.7"/>
    <n v="8"/>
    <x v="3669"/>
  </r>
  <r>
    <n v="3960"/>
    <n v="1295"/>
    <d v="2026-08-30T00:00:00"/>
    <s v="Sunday"/>
    <n v="8"/>
    <n v="10.25"/>
    <x v="0"/>
    <x v="64"/>
    <s v="Male"/>
    <n v="50.8"/>
    <n v="74.400000000000006"/>
    <n v="20.399999999999999"/>
    <n v="9"/>
    <s v="ND"/>
    <n v="1"/>
    <n v="2531.1999999999998"/>
    <s v="Low"/>
    <n v="1"/>
    <s v="Single-Day"/>
    <n v="0"/>
    <n v="0"/>
    <s v="Main Entrance"/>
    <s v="Mickey &amp; Friends"/>
    <n v="9.4"/>
    <n v="8"/>
    <x v="3670"/>
  </r>
  <r>
    <n v="3961"/>
    <n v="1296"/>
    <d v="2026-09-29T00:00:00"/>
    <s v="Tuesday"/>
    <n v="9"/>
    <n v="10.29"/>
    <x v="0"/>
    <x v="3"/>
    <s v="Male"/>
    <n v="70"/>
    <n v="161.30000000000001"/>
    <n v="23.3"/>
    <n v="15"/>
    <s v="OR"/>
    <n v="5"/>
    <n v="859.5"/>
    <s v="Low"/>
    <n v="1"/>
    <s v="Single-Day"/>
    <n v="0"/>
    <n v="1"/>
    <s v="Main Entrance"/>
    <s v="None/Walked from Resort"/>
    <n v="8.1"/>
    <n v="3"/>
    <x v="2473"/>
  </r>
  <r>
    <n v="3962"/>
    <n v="1296"/>
    <d v="2026-09-29T00:00:00"/>
    <s v="Tuesday"/>
    <n v="9"/>
    <n v="10.45"/>
    <x v="0"/>
    <x v="60"/>
    <s v="Male"/>
    <n v="65.099999999999994"/>
    <n v="122.2"/>
    <n v="20.2"/>
    <n v="10"/>
    <s v="OR"/>
    <n v="5"/>
    <n v="859.5"/>
    <s v="Low"/>
    <n v="1"/>
    <s v="Single-Day"/>
    <n v="0"/>
    <n v="1"/>
    <s v="Main Entrance"/>
    <s v="None/Walked from Resort"/>
    <n v="11.2"/>
    <n v="10"/>
    <x v="3671"/>
  </r>
  <r>
    <n v="3963"/>
    <n v="1296"/>
    <d v="2026-09-29T00:00:00"/>
    <s v="Tuesday"/>
    <n v="9"/>
    <n v="10.26"/>
    <x v="0"/>
    <x v="9"/>
    <s v="Male"/>
    <n v="67.7"/>
    <n v="199.5"/>
    <n v="30.7"/>
    <n v="16"/>
    <s v="OR"/>
    <n v="5"/>
    <n v="859.5"/>
    <s v="Low"/>
    <n v="1"/>
    <s v="Single-Day"/>
    <n v="0"/>
    <n v="1"/>
    <s v="Main Entrance"/>
    <s v="None/Walked from Resort"/>
    <n v="9.8000000000000007"/>
    <n v="8"/>
    <x v="3672"/>
  </r>
  <r>
    <n v="3964"/>
    <n v="1296"/>
    <d v="2026-09-29T00:00:00"/>
    <s v="Tuesday"/>
    <n v="9"/>
    <n v="10.33"/>
    <x v="0"/>
    <x v="69"/>
    <s v="Male"/>
    <n v="71.7"/>
    <n v="176.3"/>
    <n v="23.8"/>
    <n v="16"/>
    <s v="OR"/>
    <n v="5"/>
    <n v="859.5"/>
    <s v="Low"/>
    <n v="1"/>
    <s v="Single-Day"/>
    <n v="0"/>
    <n v="1"/>
    <s v="Main Entrance"/>
    <s v="None/Walked from Resort"/>
    <n v="6.6"/>
    <n v="11"/>
    <x v="3673"/>
  </r>
  <r>
    <n v="3965"/>
    <n v="1296"/>
    <d v="2026-09-29T00:00:00"/>
    <s v="Tuesday"/>
    <n v="9"/>
    <n v="10.25"/>
    <x v="0"/>
    <x v="0"/>
    <s v="Male"/>
    <n v="68.099999999999994"/>
    <n v="173.3"/>
    <n v="26.3"/>
    <n v="11"/>
    <s v="OR"/>
    <n v="5"/>
    <n v="859.5"/>
    <s v="Low"/>
    <n v="1"/>
    <s v="Single-Day"/>
    <n v="0"/>
    <n v="1"/>
    <s v="Main Entrance"/>
    <s v="None/Walked from Resort"/>
    <n v="9.8000000000000007"/>
    <n v="8"/>
    <x v="3674"/>
  </r>
  <r>
    <n v="3966"/>
    <n v="1297"/>
    <d v="2026-02-21T00:00:00"/>
    <s v="Saturday"/>
    <n v="2"/>
    <n v="10.51"/>
    <x v="0"/>
    <x v="72"/>
    <s v="Female"/>
    <n v="70.400000000000006"/>
    <n v="163.19999999999999"/>
    <n v="23.4"/>
    <n v="17"/>
    <s v="TX"/>
    <n v="2"/>
    <n v="1423.5"/>
    <s v="Middle"/>
    <n v="1"/>
    <s v="Single-Day"/>
    <n v="0"/>
    <n v="0"/>
    <s v="Main Entrance"/>
    <s v="Toy Story Lot"/>
    <n v="5.8"/>
    <n v="8"/>
    <x v="3675"/>
  </r>
  <r>
    <n v="3967"/>
    <n v="1297"/>
    <d v="2026-02-21T00:00:00"/>
    <s v="Saturday"/>
    <n v="2"/>
    <n v="10.29"/>
    <x v="0"/>
    <x v="12"/>
    <s v="Male"/>
    <n v="65.099999999999994"/>
    <n v="125.5"/>
    <n v="20.7"/>
    <n v="11"/>
    <s v="TX"/>
    <n v="2"/>
    <n v="1423.5"/>
    <s v="Middle"/>
    <n v="1"/>
    <s v="Single-Day"/>
    <n v="0"/>
    <n v="0"/>
    <s v="Main Entrance"/>
    <s v="Toy Story Lot"/>
    <n v="9.8000000000000007"/>
    <n v="12"/>
    <x v="3676"/>
  </r>
  <r>
    <n v="3968"/>
    <n v="1298"/>
    <d v="2026-06-08T00:00:00"/>
    <s v="Monday"/>
    <n v="6"/>
    <n v="9.43"/>
    <x v="0"/>
    <x v="59"/>
    <s v="Male"/>
    <n v="69"/>
    <n v="188.4"/>
    <n v="28"/>
    <n v="20"/>
    <s v="FL"/>
    <n v="4"/>
    <n v="2600.1999999999998"/>
    <s v="High"/>
    <n v="0"/>
    <s v="Single-Day"/>
    <n v="1"/>
    <n v="1"/>
    <s v="Main Entrance"/>
    <s v="None/Walked from Resort"/>
    <n v="8.4"/>
    <n v="8"/>
    <x v="3677"/>
  </r>
  <r>
    <n v="3969"/>
    <n v="1298"/>
    <d v="2026-06-08T00:00:00"/>
    <s v="Monday"/>
    <n v="6"/>
    <n v="9.3800000000000008"/>
    <x v="0"/>
    <x v="57"/>
    <s v="Male"/>
    <n v="68.099999999999994"/>
    <n v="184.9"/>
    <n v="28.4"/>
    <n v="19"/>
    <s v="FL"/>
    <n v="4"/>
    <n v="2600.1999999999998"/>
    <s v="High"/>
    <n v="0"/>
    <s v="Single-Day"/>
    <n v="1"/>
    <n v="1"/>
    <s v="Main Entrance"/>
    <s v="None/Walked from Resort"/>
    <n v="9.1"/>
    <n v="9"/>
    <x v="3678"/>
  </r>
  <r>
    <n v="3970"/>
    <n v="1298"/>
    <d v="2026-06-08T00:00:00"/>
    <s v="Monday"/>
    <n v="6"/>
    <n v="9.2200000000000006"/>
    <x v="0"/>
    <x v="48"/>
    <s v="Female"/>
    <n v="69.400000000000006"/>
    <n v="155.19999999999999"/>
    <n v="22.6"/>
    <n v="19"/>
    <s v="FL"/>
    <n v="4"/>
    <n v="2600.1999999999998"/>
    <s v="High"/>
    <n v="0"/>
    <s v="Single-Day"/>
    <n v="1"/>
    <n v="1"/>
    <s v="Main Entrance"/>
    <s v="None/Walked from Resort"/>
    <n v="9.6999999999999993"/>
    <n v="8"/>
    <x v="3679"/>
  </r>
  <r>
    <n v="3971"/>
    <n v="1298"/>
    <d v="2026-06-08T00:00:00"/>
    <s v="Monday"/>
    <n v="6"/>
    <n v="9.2899999999999991"/>
    <x v="0"/>
    <x v="43"/>
    <s v="Female"/>
    <n v="57.8"/>
    <n v="112.1"/>
    <n v="23.4"/>
    <n v="17"/>
    <s v="FL"/>
    <n v="4"/>
    <n v="2600.1999999999998"/>
    <s v="High"/>
    <n v="0"/>
    <s v="Single-Day"/>
    <n v="1"/>
    <n v="1"/>
    <s v="Main Entrance"/>
    <s v="None/Walked from Resort"/>
    <n v="7.9"/>
    <n v="10"/>
    <x v="3680"/>
  </r>
  <r>
    <n v="3972"/>
    <n v="1299"/>
    <d v="2026-10-23T00:00:00"/>
    <s v="Friday"/>
    <n v="10"/>
    <n v="12.12"/>
    <x v="1"/>
    <x v="54"/>
    <s v="Female"/>
    <n v="68.099999999999994"/>
    <n v="181.4"/>
    <n v="27.4"/>
    <n v="17"/>
    <s v="NV"/>
    <n v="5"/>
    <n v="227.1"/>
    <s v="High"/>
    <n v="0"/>
    <s v="Park Hopper"/>
    <n v="1"/>
    <n v="1"/>
    <s v="Main Entrance"/>
    <s v="Toy Story Lot"/>
    <n v="10"/>
    <n v="7"/>
    <x v="1046"/>
  </r>
  <r>
    <n v="3973"/>
    <n v="1299"/>
    <d v="2026-10-23T00:00:00"/>
    <s v="Friday"/>
    <n v="10"/>
    <n v="12.21"/>
    <x v="1"/>
    <x v="42"/>
    <s v="Female"/>
    <n v="63.4"/>
    <n v="173.2"/>
    <n v="30.2"/>
    <n v="20"/>
    <s v="NV"/>
    <n v="5"/>
    <n v="227.1"/>
    <s v="High"/>
    <n v="0"/>
    <s v="Park Hopper"/>
    <n v="1"/>
    <n v="1"/>
    <s v="Main Entrance"/>
    <s v="Toy Story Lot"/>
    <n v="8.6999999999999993"/>
    <n v="7"/>
    <x v="3681"/>
  </r>
  <r>
    <n v="3974"/>
    <n v="1299"/>
    <d v="2026-10-23T00:00:00"/>
    <s v="Friday"/>
    <n v="10"/>
    <n v="12.36"/>
    <x v="1"/>
    <x v="69"/>
    <s v="Male"/>
    <n v="69.099999999999994"/>
    <n v="211.5"/>
    <n v="31.2"/>
    <n v="17"/>
    <s v="NV"/>
    <n v="5"/>
    <n v="227.1"/>
    <s v="High"/>
    <n v="0"/>
    <s v="Park Hopper"/>
    <n v="1"/>
    <n v="1"/>
    <s v="Main Entrance"/>
    <s v="Toy Story Lot"/>
    <n v="7.9"/>
    <n v="6"/>
    <x v="3682"/>
  </r>
  <r>
    <n v="3975"/>
    <n v="1299"/>
    <d v="2026-10-23T00:00:00"/>
    <s v="Friday"/>
    <n v="10"/>
    <n v="12.16"/>
    <x v="1"/>
    <x v="3"/>
    <s v="Male"/>
    <n v="65.099999999999994"/>
    <n v="127.5"/>
    <n v="21.1"/>
    <n v="18"/>
    <s v="NV"/>
    <n v="5"/>
    <n v="227.1"/>
    <s v="High"/>
    <n v="0"/>
    <s v="Park Hopper"/>
    <n v="1"/>
    <n v="1"/>
    <s v="Main Entrance"/>
    <s v="Toy Story Lot"/>
    <n v="9.3000000000000007"/>
    <n v="4"/>
    <x v="3683"/>
  </r>
  <r>
    <n v="3976"/>
    <n v="1299"/>
    <d v="2026-10-23T00:00:00"/>
    <s v="Friday"/>
    <n v="10"/>
    <n v="12.29"/>
    <x v="1"/>
    <x v="59"/>
    <s v="Male"/>
    <n v="71.8"/>
    <n v="182.5"/>
    <n v="24.9"/>
    <n v="18"/>
    <s v="NV"/>
    <n v="5"/>
    <n v="227.1"/>
    <s v="High"/>
    <n v="0"/>
    <s v="Park Hopper"/>
    <n v="1"/>
    <n v="1"/>
    <s v="Main Entrance"/>
    <s v="Toy Story Lot"/>
    <n v="5.9"/>
    <n v="10"/>
    <x v="3684"/>
  </r>
  <r>
    <n v="3977"/>
    <n v="1300"/>
    <d v="2026-08-05T00:00:00"/>
    <s v="Wednesday"/>
    <n v="8"/>
    <n v="9.31"/>
    <x v="0"/>
    <x v="64"/>
    <s v="Female"/>
    <n v="49.4"/>
    <n v="69"/>
    <n v="20"/>
    <n v="12"/>
    <s v="NV"/>
    <n v="1"/>
    <n v="406"/>
    <s v="Middle"/>
    <n v="0"/>
    <s v="Multi-Day"/>
    <n v="1"/>
    <n v="0"/>
    <s v="Main Entrance"/>
    <s v="Mickey &amp; Friends"/>
    <n v="7.7"/>
    <n v="6"/>
    <x v="3685"/>
  </r>
  <r>
    <n v="3978"/>
    <n v="1301"/>
    <d v="2026-09-29T00:00:00"/>
    <s v="Tuesday"/>
    <n v="9"/>
    <n v="9.26"/>
    <x v="0"/>
    <x v="41"/>
    <s v="Male"/>
    <n v="69.8"/>
    <n v="154.19999999999999"/>
    <n v="22"/>
    <n v="11"/>
    <s v="CA"/>
    <n v="4"/>
    <n v="2"/>
    <s v="Low"/>
    <n v="0"/>
    <s v="Single-Day"/>
    <n v="1"/>
    <n v="0"/>
    <s v="Main Entrance"/>
    <s v="Mickey &amp; Friends"/>
    <n v="10.4"/>
    <n v="16"/>
    <x v="3686"/>
  </r>
  <r>
    <n v="3979"/>
    <n v="1301"/>
    <d v="2026-09-29T00:00:00"/>
    <s v="Tuesday"/>
    <n v="9"/>
    <n v="9.2200000000000006"/>
    <x v="0"/>
    <x v="9"/>
    <s v="Male"/>
    <n v="76.7"/>
    <n v="240"/>
    <n v="28.8"/>
    <n v="15"/>
    <s v="CA"/>
    <n v="4"/>
    <n v="2"/>
    <s v="Low"/>
    <n v="0"/>
    <s v="Single-Day"/>
    <n v="1"/>
    <n v="0"/>
    <s v="Main Entrance"/>
    <s v="Mickey &amp; Friends"/>
    <n v="7.9"/>
    <n v="6"/>
    <x v="3687"/>
  </r>
  <r>
    <n v="3980"/>
    <n v="1301"/>
    <d v="2026-09-29T00:00:00"/>
    <s v="Tuesday"/>
    <n v="9"/>
    <n v="9.36"/>
    <x v="0"/>
    <x v="1"/>
    <s v="Female"/>
    <n v="67.2"/>
    <n v="155"/>
    <n v="24.1"/>
    <n v="15"/>
    <s v="CA"/>
    <n v="4"/>
    <n v="2"/>
    <s v="Low"/>
    <n v="0"/>
    <s v="Single-Day"/>
    <n v="1"/>
    <n v="0"/>
    <s v="Main Entrance"/>
    <s v="Mickey &amp; Friends"/>
    <n v="7.6"/>
    <n v="7"/>
    <x v="3688"/>
  </r>
  <r>
    <n v="3981"/>
    <n v="1301"/>
    <d v="2026-09-29T00:00:00"/>
    <s v="Tuesday"/>
    <n v="9"/>
    <n v="9.1"/>
    <x v="0"/>
    <x v="18"/>
    <s v="Female"/>
    <n v="63.4"/>
    <n v="201.5"/>
    <n v="35"/>
    <n v="13"/>
    <s v="CA"/>
    <n v="4"/>
    <n v="2"/>
    <s v="Low"/>
    <n v="0"/>
    <s v="Single-Day"/>
    <n v="1"/>
    <n v="0"/>
    <s v="Main Entrance"/>
    <s v="Mickey &amp; Friends"/>
    <n v="9.6999999999999993"/>
    <n v="5"/>
    <x v="3689"/>
  </r>
  <r>
    <n v="3982"/>
    <n v="1302"/>
    <d v="2026-03-22T00:00:00"/>
    <s v="Sunday"/>
    <n v="3"/>
    <n v="11.29"/>
    <x v="1"/>
    <x v="41"/>
    <s v="Male"/>
    <n v="68.7"/>
    <n v="151.9"/>
    <n v="22.8"/>
    <n v="15"/>
    <s v="MN"/>
    <n v="4"/>
    <n v="1726.9"/>
    <s v="Middle"/>
    <n v="1"/>
    <s v="Single-Day"/>
    <n v="0"/>
    <n v="0"/>
    <s v="Main Entrance"/>
    <s v="Pixar Pals"/>
    <n v="8.4"/>
    <n v="8"/>
    <x v="3690"/>
  </r>
  <r>
    <n v="3983"/>
    <n v="1302"/>
    <d v="2026-03-22T00:00:00"/>
    <s v="Sunday"/>
    <n v="3"/>
    <n v="11.32"/>
    <x v="1"/>
    <x v="8"/>
    <s v="Male"/>
    <n v="71.7"/>
    <n v="200"/>
    <n v="27.3"/>
    <n v="13"/>
    <s v="MN"/>
    <n v="4"/>
    <n v="1726.9"/>
    <s v="Middle"/>
    <n v="1"/>
    <s v="Single-Day"/>
    <n v="0"/>
    <n v="0"/>
    <s v="Main Entrance"/>
    <s v="Pixar Pals"/>
    <n v="9.8000000000000007"/>
    <n v="6"/>
    <x v="3691"/>
  </r>
  <r>
    <n v="3984"/>
    <n v="1302"/>
    <d v="2026-03-22T00:00:00"/>
    <s v="Sunday"/>
    <n v="3"/>
    <n v="11.13"/>
    <x v="1"/>
    <x v="41"/>
    <s v="Female"/>
    <n v="66.900000000000006"/>
    <n v="131.80000000000001"/>
    <n v="21"/>
    <n v="15"/>
    <s v="MN"/>
    <n v="4"/>
    <n v="1726.9"/>
    <s v="Middle"/>
    <n v="1"/>
    <s v="Single-Day"/>
    <n v="0"/>
    <n v="0"/>
    <s v="Main Entrance"/>
    <s v="Pixar Pals"/>
    <n v="9.1999999999999993"/>
    <n v="10"/>
    <x v="3692"/>
  </r>
  <r>
    <n v="3985"/>
    <n v="1302"/>
    <d v="2026-03-22T00:00:00"/>
    <s v="Sunday"/>
    <n v="3"/>
    <n v="11.13"/>
    <x v="1"/>
    <x v="2"/>
    <s v="Female"/>
    <n v="67.8"/>
    <n v="162.19999999999999"/>
    <n v="24.7"/>
    <n v="11"/>
    <s v="MN"/>
    <n v="4"/>
    <n v="1726.9"/>
    <s v="Middle"/>
    <n v="1"/>
    <s v="Single-Day"/>
    <n v="0"/>
    <n v="0"/>
    <s v="Main Entrance"/>
    <s v="Pixar Pals"/>
    <n v="5.4"/>
    <n v="2"/>
    <x v="3693"/>
  </r>
  <r>
    <n v="3986"/>
    <n v="1303"/>
    <d v="2026-11-22T00:00:00"/>
    <s v="Sunday"/>
    <n v="11"/>
    <n v="9.48"/>
    <x v="0"/>
    <x v="38"/>
    <s v="Male"/>
    <n v="68.7"/>
    <n v="211.1"/>
    <n v="31.5"/>
    <n v="12"/>
    <s v="CA"/>
    <n v="1"/>
    <n v="58"/>
    <s v="Low"/>
    <n v="0"/>
    <s v="Single-Day"/>
    <n v="0"/>
    <n v="1"/>
    <s v="Downtown Disney Gate"/>
    <s v="Mickey &amp; Friends"/>
    <n v="8.8000000000000007"/>
    <n v="2"/>
    <x v="3694"/>
  </r>
  <r>
    <n v="3987"/>
    <n v="1304"/>
    <d v="2026-06-16T00:00:00"/>
    <s v="Tuesday"/>
    <n v="6"/>
    <n v="9.17"/>
    <x v="0"/>
    <x v="59"/>
    <s v="Male"/>
    <n v="71.2"/>
    <n v="168.3"/>
    <n v="23.2"/>
    <n v="16"/>
    <s v="TX"/>
    <n v="2"/>
    <n v="1473.5"/>
    <s v="Middle"/>
    <n v="1"/>
    <s v="Single-Day"/>
    <n v="0"/>
    <n v="0"/>
    <s v="Downtown Disney Gate"/>
    <s v="Mickey &amp; Friends"/>
    <n v="8.1999999999999993"/>
    <n v="12"/>
    <x v="3695"/>
  </r>
  <r>
    <n v="3988"/>
    <n v="1304"/>
    <d v="2026-06-16T00:00:00"/>
    <s v="Tuesday"/>
    <n v="6"/>
    <n v="9.4"/>
    <x v="0"/>
    <x v="75"/>
    <s v="Male"/>
    <n v="71.3"/>
    <n v="140.9"/>
    <n v="19.600000000000001"/>
    <n v="16"/>
    <s v="TX"/>
    <n v="2"/>
    <n v="1473.5"/>
    <s v="Middle"/>
    <n v="1"/>
    <s v="Single-Day"/>
    <n v="0"/>
    <n v="0"/>
    <s v="Downtown Disney Gate"/>
    <s v="Mickey &amp; Friends"/>
    <n v="6.3"/>
    <n v="4"/>
    <x v="3696"/>
  </r>
  <r>
    <n v="3989"/>
    <n v="1305"/>
    <d v="2026-03-31T00:00:00"/>
    <s v="Tuesday"/>
    <n v="3"/>
    <n v="8.18"/>
    <x v="0"/>
    <x v="71"/>
    <s v="Female"/>
    <n v="65.599999999999994"/>
    <n v="175.8"/>
    <n v="28.6"/>
    <n v="15"/>
    <s v="CA"/>
    <n v="3"/>
    <n v="2"/>
    <s v="High"/>
    <n v="0"/>
    <s v="Park Hopper"/>
    <n v="1"/>
    <n v="0"/>
    <s v="Downtown Disney Gate"/>
    <s v="Toy Story Lot"/>
    <n v="9.5"/>
    <n v="10"/>
    <x v="3697"/>
  </r>
  <r>
    <n v="3990"/>
    <n v="1305"/>
    <d v="2026-03-31T00:00:00"/>
    <s v="Tuesday"/>
    <n v="3"/>
    <n v="8.26"/>
    <x v="0"/>
    <x v="61"/>
    <s v="Male"/>
    <n v="69.599999999999994"/>
    <n v="91.2"/>
    <n v="13.2"/>
    <n v="13"/>
    <s v="CA"/>
    <n v="3"/>
    <n v="2"/>
    <s v="High"/>
    <n v="0"/>
    <s v="Park Hopper"/>
    <n v="1"/>
    <n v="0"/>
    <s v="Downtown Disney Gate"/>
    <s v="Toy Story Lot"/>
    <n v="10.199999999999999"/>
    <n v="11"/>
    <x v="3698"/>
  </r>
  <r>
    <n v="3991"/>
    <n v="1305"/>
    <d v="2026-03-31T00:00:00"/>
    <s v="Tuesday"/>
    <n v="3"/>
    <n v="8.2899999999999991"/>
    <x v="0"/>
    <x v="47"/>
    <s v="Male"/>
    <n v="68.099999999999994"/>
    <n v="123.2"/>
    <n v="18.7"/>
    <n v="20"/>
    <s v="CA"/>
    <n v="3"/>
    <n v="2"/>
    <s v="High"/>
    <n v="0"/>
    <s v="Park Hopper"/>
    <n v="1"/>
    <n v="0"/>
    <s v="Downtown Disney Gate"/>
    <s v="Toy Story Lot"/>
    <n v="7.6"/>
    <n v="11"/>
    <x v="3699"/>
  </r>
  <r>
    <n v="3992"/>
    <n v="1306"/>
    <d v="2026-07-31T00:00:00"/>
    <s v="Friday"/>
    <n v="7"/>
    <n v="9.81"/>
    <x v="0"/>
    <x v="44"/>
    <s v="Female"/>
    <n v="64.7"/>
    <n v="155.80000000000001"/>
    <n v="26.3"/>
    <n v="12"/>
    <s v="NV"/>
    <n v="2"/>
    <n v="246.6"/>
    <s v="Middle"/>
    <n v="0"/>
    <s v="Park Hopper"/>
    <n v="1"/>
    <n v="0"/>
    <s v="Main Entrance"/>
    <s v="Mickey &amp; Friends"/>
    <n v="10.4"/>
    <n v="7"/>
    <x v="3700"/>
  </r>
  <r>
    <n v="3993"/>
    <n v="1306"/>
    <d v="2026-07-31T00:00:00"/>
    <s v="Friday"/>
    <n v="7"/>
    <n v="9.82"/>
    <x v="0"/>
    <x v="50"/>
    <s v="Male"/>
    <n v="67.900000000000006"/>
    <n v="96.8"/>
    <n v="14.7"/>
    <n v="9"/>
    <s v="NV"/>
    <n v="2"/>
    <n v="246.6"/>
    <s v="Middle"/>
    <n v="0"/>
    <s v="Park Hopper"/>
    <n v="1"/>
    <n v="0"/>
    <s v="Main Entrance"/>
    <s v="Mickey &amp; Friends"/>
    <n v="10.4"/>
    <n v="12"/>
    <x v="3701"/>
  </r>
  <r>
    <n v="3994"/>
    <n v="1307"/>
    <d v="2026-03-15T00:00:00"/>
    <s v="Sunday"/>
    <n v="3"/>
    <n v="12.01"/>
    <x v="1"/>
    <x v="18"/>
    <s v="Female"/>
    <n v="67"/>
    <n v="195.6"/>
    <n v="30.8"/>
    <n v="16"/>
    <s v="AZ"/>
    <n v="2"/>
    <n v="537.79999999999995"/>
    <s v="Middle"/>
    <n v="1"/>
    <s v="Single-Day"/>
    <n v="1"/>
    <n v="0"/>
    <s v="Main Entrance"/>
    <s v="Mickey &amp; Friends"/>
    <n v="5.9"/>
    <n v="4"/>
    <x v="3702"/>
  </r>
  <r>
    <n v="3995"/>
    <n v="1307"/>
    <d v="2026-03-15T00:00:00"/>
    <s v="Sunday"/>
    <n v="3"/>
    <n v="11.97"/>
    <x v="1"/>
    <x v="41"/>
    <s v="Female"/>
    <n v="69.400000000000006"/>
    <n v="196.9"/>
    <n v="28.5"/>
    <n v="17"/>
    <s v="AZ"/>
    <n v="2"/>
    <n v="537.79999999999995"/>
    <s v="Middle"/>
    <n v="1"/>
    <s v="Single-Day"/>
    <n v="1"/>
    <n v="0"/>
    <s v="Main Entrance"/>
    <s v="Mickey &amp; Friends"/>
    <n v="8.6999999999999993"/>
    <n v="4"/>
    <x v="3703"/>
  </r>
  <r>
    <n v="3996"/>
    <n v="1308"/>
    <d v="2026-12-31T00:00:00"/>
    <s v="Thursday"/>
    <n v="12"/>
    <n v="10.28"/>
    <x v="0"/>
    <x v="51"/>
    <s v="Male"/>
    <n v="68.599999999999994"/>
    <n v="179.4"/>
    <n v="26.6"/>
    <n v="15"/>
    <s v="CA"/>
    <n v="3"/>
    <n v="108"/>
    <s v="High"/>
    <n v="0"/>
    <s v="Multi-Day"/>
    <n v="0"/>
    <n v="0"/>
    <s v="Main Entrance"/>
    <s v="Pixar Pals"/>
    <n v="6.4"/>
    <n v="4"/>
    <x v="3704"/>
  </r>
  <r>
    <n v="3997"/>
    <n v="1308"/>
    <d v="2026-12-31T00:00:00"/>
    <s v="Thursday"/>
    <n v="12"/>
    <n v="10.38"/>
    <x v="0"/>
    <x v="15"/>
    <s v="Female"/>
    <n v="61.7"/>
    <n v="98.9"/>
    <n v="18.3"/>
    <n v="15"/>
    <s v="CA"/>
    <n v="3"/>
    <n v="108"/>
    <s v="High"/>
    <n v="0"/>
    <s v="Multi-Day"/>
    <n v="0"/>
    <n v="0"/>
    <s v="Main Entrance"/>
    <s v="Pixar Pals"/>
    <n v="7.8"/>
    <n v="11"/>
    <x v="3705"/>
  </r>
  <r>
    <n v="3998"/>
    <n v="1308"/>
    <d v="2026-12-31T00:00:00"/>
    <s v="Thursday"/>
    <n v="12"/>
    <n v="10.25"/>
    <x v="0"/>
    <x v="21"/>
    <s v="Female"/>
    <n v="61.9"/>
    <n v="121.3"/>
    <n v="22.2"/>
    <n v="17"/>
    <s v="CA"/>
    <n v="3"/>
    <n v="108"/>
    <s v="High"/>
    <n v="0"/>
    <s v="Multi-Day"/>
    <n v="0"/>
    <n v="0"/>
    <s v="Main Entrance"/>
    <s v="Pixar Pals"/>
    <n v="9.4"/>
    <n v="5"/>
    <x v="3706"/>
  </r>
  <r>
    <n v="3999"/>
    <n v="1309"/>
    <d v="2026-03-02T00:00:00"/>
    <s v="Monday"/>
    <n v="3"/>
    <n v="10.61"/>
    <x v="0"/>
    <x v="38"/>
    <s v="Nonbinary/Other"/>
    <n v="68.3"/>
    <n v="221.7"/>
    <n v="33.6"/>
    <n v="17"/>
    <s v="CO"/>
    <n v="3"/>
    <n v="948.7"/>
    <s v="High"/>
    <n v="1"/>
    <s v="Multi-Day"/>
    <n v="0"/>
    <n v="1"/>
    <s v="Main Entrance"/>
    <s v="None/Walked from Resort"/>
    <n v="8.4"/>
    <n v="15"/>
    <x v="3707"/>
  </r>
  <r>
    <n v="4000"/>
    <n v="1309"/>
    <d v="2026-03-02T00:00:00"/>
    <s v="Monday"/>
    <n v="3"/>
    <n v="10.53"/>
    <x v="0"/>
    <x v="1"/>
    <s v="Female"/>
    <n v="68.3"/>
    <n v="156.19999999999999"/>
    <n v="23.8"/>
    <n v="16"/>
    <s v="CO"/>
    <n v="3"/>
    <n v="948.7"/>
    <s v="High"/>
    <n v="1"/>
    <s v="Multi-Day"/>
    <n v="0"/>
    <n v="1"/>
    <s v="Main Entrance"/>
    <s v="None/Walked from Resort"/>
    <n v="9.1"/>
    <n v="7"/>
    <x v="3708"/>
  </r>
  <r>
    <n v="4001"/>
    <n v="1309"/>
    <d v="2026-03-02T00:00:00"/>
    <s v="Monday"/>
    <n v="3"/>
    <n v="10.66"/>
    <x v="0"/>
    <x v="45"/>
    <s v="Male"/>
    <n v="70.2"/>
    <n v="172.9"/>
    <n v="24.7"/>
    <n v="17"/>
    <s v="CO"/>
    <n v="3"/>
    <n v="948.7"/>
    <s v="High"/>
    <n v="1"/>
    <s v="Multi-Day"/>
    <n v="0"/>
    <n v="1"/>
    <s v="Main Entrance"/>
    <s v="None/Walked from Resort"/>
    <n v="7.3"/>
    <n v="4"/>
    <x v="3709"/>
  </r>
  <r>
    <n v="4002"/>
    <n v="1310"/>
    <d v="2026-07-24T00:00:00"/>
    <s v="Friday"/>
    <n v="7"/>
    <n v="9.73"/>
    <x v="0"/>
    <x v="30"/>
    <s v="Male"/>
    <n v="74.2"/>
    <n v="182.1"/>
    <n v="23.3"/>
    <n v="15"/>
    <s v="CA"/>
    <n v="4"/>
    <n v="82.4"/>
    <s v="Low"/>
    <n v="0"/>
    <s v="Single-Day"/>
    <n v="0"/>
    <n v="1"/>
    <s v="Downtown Disney Gate"/>
    <s v="None/Walked from Resort"/>
    <n v="9.1"/>
    <n v="15"/>
    <x v="3636"/>
  </r>
  <r>
    <n v="4003"/>
    <n v="1310"/>
    <d v="2026-07-24T00:00:00"/>
    <s v="Friday"/>
    <n v="7"/>
    <n v="9.9499999999999993"/>
    <x v="0"/>
    <x v="9"/>
    <s v="Male"/>
    <n v="70.5"/>
    <n v="221.4"/>
    <n v="31.4"/>
    <n v="12"/>
    <s v="CA"/>
    <n v="4"/>
    <n v="82.4"/>
    <s v="Low"/>
    <n v="0"/>
    <s v="Single-Day"/>
    <n v="0"/>
    <n v="1"/>
    <s v="Downtown Disney Gate"/>
    <s v="None/Walked from Resort"/>
    <n v="13.3"/>
    <n v="12"/>
    <x v="3710"/>
  </r>
  <r>
    <n v="4004"/>
    <n v="1310"/>
    <d v="2026-07-24T00:00:00"/>
    <s v="Friday"/>
    <n v="7"/>
    <n v="9.7899999999999991"/>
    <x v="0"/>
    <x v="39"/>
    <s v="Male"/>
    <n v="69.400000000000006"/>
    <n v="198.4"/>
    <n v="29.3"/>
    <n v="13"/>
    <s v="CA"/>
    <n v="4"/>
    <n v="82.4"/>
    <s v="Low"/>
    <n v="0"/>
    <s v="Single-Day"/>
    <n v="0"/>
    <n v="1"/>
    <s v="Downtown Disney Gate"/>
    <s v="None/Walked from Resort"/>
    <n v="10.1"/>
    <n v="12"/>
    <x v="3711"/>
  </r>
  <r>
    <n v="4005"/>
    <n v="1310"/>
    <d v="2026-07-24T00:00:00"/>
    <s v="Friday"/>
    <n v="7"/>
    <n v="9.8000000000000007"/>
    <x v="0"/>
    <x v="3"/>
    <s v="Male"/>
    <n v="71.599999999999994"/>
    <n v="174.7"/>
    <n v="24"/>
    <n v="13"/>
    <s v="CA"/>
    <n v="4"/>
    <n v="82.4"/>
    <s v="Low"/>
    <n v="0"/>
    <s v="Single-Day"/>
    <n v="0"/>
    <n v="1"/>
    <s v="Downtown Disney Gate"/>
    <s v="None/Walked from Resort"/>
    <n v="10.6"/>
    <n v="10"/>
    <x v="3712"/>
  </r>
  <r>
    <n v="4006"/>
    <n v="1311"/>
    <d v="2026-10-29T00:00:00"/>
    <s v="Thursday"/>
    <n v="10"/>
    <n v="9.2100000000000009"/>
    <x v="0"/>
    <x v="11"/>
    <s v="Male"/>
    <n v="69.8"/>
    <n v="177.7"/>
    <n v="25.9"/>
    <n v="13"/>
    <s v="TX"/>
    <n v="1"/>
    <n v="1582.7"/>
    <s v="High"/>
    <n v="1"/>
    <s v="Single-Day"/>
    <n v="0"/>
    <n v="0"/>
    <s v="Downtown Disney Gate"/>
    <s v="Toy Story Lot"/>
    <n v="8.4"/>
    <n v="10"/>
    <x v="3713"/>
  </r>
  <r>
    <n v="4007"/>
    <n v="1312"/>
    <d v="2026-09-17T00:00:00"/>
    <s v="Thursday"/>
    <n v="9"/>
    <n v="8.14"/>
    <x v="0"/>
    <x v="13"/>
    <s v="Male"/>
    <n v="71.3"/>
    <n v="166.1"/>
    <n v="22.6"/>
    <n v="18"/>
    <s v="Other"/>
    <n v="1"/>
    <n v="2017.4"/>
    <s v="High"/>
    <n v="0"/>
    <s v="Single-Day"/>
    <n v="0"/>
    <n v="1"/>
    <s v="Main Entrance"/>
    <s v="None/Walked from Resort"/>
    <n v="11.5"/>
    <n v="2"/>
    <x v="3714"/>
  </r>
  <r>
    <n v="4008"/>
    <n v="1313"/>
    <d v="2026-07-20T00:00:00"/>
    <s v="Monday"/>
    <n v="7"/>
    <n v="11.4"/>
    <x v="1"/>
    <x v="4"/>
    <s v="Male"/>
    <n v="77"/>
    <n v="220.4"/>
    <n v="26.2"/>
    <n v="14"/>
    <s v="WA"/>
    <n v="4"/>
    <n v="1166.8"/>
    <s v="Middle"/>
    <n v="1"/>
    <s v="Multi-Day"/>
    <n v="1"/>
    <n v="1"/>
    <s v="Main Entrance"/>
    <s v="Mickey &amp; Friends"/>
    <n v="8.6"/>
    <n v="6"/>
    <x v="3715"/>
  </r>
  <r>
    <n v="4009"/>
    <n v="1313"/>
    <d v="2026-07-20T00:00:00"/>
    <s v="Monday"/>
    <n v="7"/>
    <n v="11.66"/>
    <x v="1"/>
    <x v="73"/>
    <s v="Male"/>
    <n v="70"/>
    <n v="127.2"/>
    <n v="18.3"/>
    <n v="14"/>
    <s v="WA"/>
    <n v="4"/>
    <n v="1166.8"/>
    <s v="Middle"/>
    <n v="1"/>
    <s v="Multi-Day"/>
    <n v="1"/>
    <n v="1"/>
    <s v="Main Entrance"/>
    <s v="Mickey &amp; Friends"/>
    <n v="9.1"/>
    <n v="10"/>
    <x v="2325"/>
  </r>
  <r>
    <n v="4010"/>
    <n v="1313"/>
    <d v="2026-07-20T00:00:00"/>
    <s v="Monday"/>
    <n v="7"/>
    <n v="11.41"/>
    <x v="1"/>
    <x v="35"/>
    <s v="Male"/>
    <n v="67.400000000000006"/>
    <n v="182.3"/>
    <n v="28.4"/>
    <n v="19"/>
    <s v="WA"/>
    <n v="4"/>
    <n v="1166.8"/>
    <s v="Middle"/>
    <n v="1"/>
    <s v="Multi-Day"/>
    <n v="1"/>
    <n v="1"/>
    <s v="Main Entrance"/>
    <s v="Mickey &amp; Friends"/>
    <n v="10.6"/>
    <n v="13"/>
    <x v="3716"/>
  </r>
  <r>
    <n v="4011"/>
    <n v="1313"/>
    <d v="2026-07-20T00:00:00"/>
    <s v="Monday"/>
    <n v="7"/>
    <n v="11.25"/>
    <x v="1"/>
    <x v="66"/>
    <s v="Male"/>
    <n v="68"/>
    <n v="183.4"/>
    <n v="27.8"/>
    <n v="15"/>
    <s v="WA"/>
    <n v="4"/>
    <n v="1166.8"/>
    <s v="Middle"/>
    <n v="1"/>
    <s v="Multi-Day"/>
    <n v="1"/>
    <n v="1"/>
    <s v="Main Entrance"/>
    <s v="Mickey &amp; Friends"/>
    <n v="9.3000000000000007"/>
    <n v="5"/>
    <x v="3717"/>
  </r>
  <r>
    <n v="4012"/>
    <n v="1314"/>
    <d v="2026-11-29T00:00:00"/>
    <s v="Sunday"/>
    <n v="11"/>
    <n v="8.51"/>
    <x v="0"/>
    <x v="18"/>
    <s v="Male"/>
    <n v="66.7"/>
    <n v="141.30000000000001"/>
    <n v="22.4"/>
    <n v="19"/>
    <s v="CA"/>
    <n v="1"/>
    <n v="42.9"/>
    <s v="Low"/>
    <n v="0"/>
    <s v="Multi-Day"/>
    <n v="0"/>
    <n v="1"/>
    <s v="Main Entrance"/>
    <s v="None/Walked from Resort"/>
    <n v="6.1"/>
    <n v="5"/>
    <x v="3718"/>
  </r>
  <r>
    <n v="4013"/>
    <n v="1315"/>
    <d v="2026-02-18T00:00:00"/>
    <s v="Wednesday"/>
    <n v="2"/>
    <n v="10.63"/>
    <x v="0"/>
    <x v="16"/>
    <s v="Male"/>
    <n v="63.3"/>
    <n v="118.5"/>
    <n v="20.7"/>
    <n v="13"/>
    <s v="CA"/>
    <n v="2"/>
    <n v="96.8"/>
    <s v="Middle"/>
    <n v="0"/>
    <s v="Park Hopper"/>
    <n v="0"/>
    <n v="0"/>
    <s v="Downtown Disney Gate"/>
    <s v="Mickey &amp; Friends"/>
    <n v="7"/>
    <n v="9"/>
    <x v="3719"/>
  </r>
  <r>
    <n v="4014"/>
    <n v="1315"/>
    <d v="2026-02-18T00:00:00"/>
    <s v="Wednesday"/>
    <n v="2"/>
    <n v="10.53"/>
    <x v="0"/>
    <x v="2"/>
    <s v="Male"/>
    <n v="65.599999999999994"/>
    <n v="168.2"/>
    <n v="27.2"/>
    <n v="14"/>
    <s v="CA"/>
    <n v="2"/>
    <n v="96.8"/>
    <s v="Middle"/>
    <n v="0"/>
    <s v="Park Hopper"/>
    <n v="0"/>
    <n v="0"/>
    <s v="Downtown Disney Gate"/>
    <s v="Mickey &amp; Friends"/>
    <n v="8.1999999999999993"/>
    <n v="8"/>
    <x v="3720"/>
  </r>
  <r>
    <n v="4015"/>
    <n v="1316"/>
    <d v="2026-02-11T00:00:00"/>
    <s v="Wednesday"/>
    <n v="2"/>
    <n v="12.82"/>
    <x v="1"/>
    <x v="66"/>
    <s v="Male"/>
    <n v="69.2"/>
    <n v="169.7"/>
    <n v="25.4"/>
    <n v="14"/>
    <s v="CA"/>
    <n v="1"/>
    <n v="181"/>
    <s v="Middle"/>
    <n v="0"/>
    <s v="Multi-Day"/>
    <n v="0"/>
    <n v="0"/>
    <s v="Main Entrance"/>
    <s v="Toy Story Lot"/>
    <n v="5.9"/>
    <n v="10"/>
    <x v="3721"/>
  </r>
  <r>
    <n v="4016"/>
    <n v="1317"/>
    <d v="2026-04-02T00:00:00"/>
    <s v="Thursday"/>
    <n v="4"/>
    <n v="14.35"/>
    <x v="1"/>
    <x v="75"/>
    <s v="Female"/>
    <n v="66.400000000000006"/>
    <n v="210.2"/>
    <n v="33.6"/>
    <n v="19"/>
    <s v="SD"/>
    <n v="6"/>
    <n v="1507.1"/>
    <s v="High"/>
    <n v="0"/>
    <s v="Single-Day"/>
    <n v="1"/>
    <n v="0"/>
    <s v="Main Entrance"/>
    <s v="Pixar Pals"/>
    <n v="5.7"/>
    <n v="6"/>
    <x v="3722"/>
  </r>
  <r>
    <n v="4017"/>
    <n v="1317"/>
    <d v="2026-04-02T00:00:00"/>
    <s v="Thursday"/>
    <n v="4"/>
    <n v="14.31"/>
    <x v="1"/>
    <x v="50"/>
    <s v="Female"/>
    <n v="70"/>
    <n v="133.30000000000001"/>
    <n v="19.100000000000001"/>
    <n v="14"/>
    <s v="SD"/>
    <n v="6"/>
    <n v="1507.1"/>
    <s v="High"/>
    <n v="0"/>
    <s v="Single-Day"/>
    <n v="1"/>
    <n v="0"/>
    <s v="Main Entrance"/>
    <s v="Pixar Pals"/>
    <n v="4.5999999999999996"/>
    <n v="4"/>
    <x v="3723"/>
  </r>
  <r>
    <n v="4018"/>
    <n v="1317"/>
    <d v="2026-04-02T00:00:00"/>
    <s v="Thursday"/>
    <n v="4"/>
    <n v="14.25"/>
    <x v="1"/>
    <x v="53"/>
    <s v="Female"/>
    <n v="51.7"/>
    <n v="71.8"/>
    <n v="19"/>
    <n v="16"/>
    <s v="SD"/>
    <n v="6"/>
    <n v="1507.1"/>
    <s v="High"/>
    <n v="0"/>
    <s v="Single-Day"/>
    <n v="1"/>
    <n v="0"/>
    <s v="Main Entrance"/>
    <s v="Pixar Pals"/>
    <n v="6.5"/>
    <n v="8"/>
    <x v="3724"/>
  </r>
  <r>
    <n v="4019"/>
    <n v="1317"/>
    <d v="2026-04-02T00:00:00"/>
    <s v="Thursday"/>
    <n v="4"/>
    <n v="14.28"/>
    <x v="1"/>
    <x v="41"/>
    <s v="Male"/>
    <n v="68.3"/>
    <n v="168"/>
    <n v="25.5"/>
    <n v="19"/>
    <s v="SD"/>
    <n v="6"/>
    <n v="1507.1"/>
    <s v="High"/>
    <n v="0"/>
    <s v="Single-Day"/>
    <n v="1"/>
    <n v="0"/>
    <s v="Main Entrance"/>
    <s v="Pixar Pals"/>
    <n v="6.5"/>
    <n v="10"/>
    <x v="3725"/>
  </r>
  <r>
    <n v="4020"/>
    <n v="1317"/>
    <d v="2026-04-02T00:00:00"/>
    <s v="Thursday"/>
    <n v="4"/>
    <n v="14.26"/>
    <x v="1"/>
    <x v="35"/>
    <s v="Female"/>
    <n v="58"/>
    <n v="119.4"/>
    <n v="24.9"/>
    <n v="19"/>
    <s v="SD"/>
    <n v="6"/>
    <n v="1507.1"/>
    <s v="High"/>
    <n v="0"/>
    <s v="Single-Day"/>
    <n v="1"/>
    <n v="0"/>
    <s v="Main Entrance"/>
    <s v="Pixar Pals"/>
    <n v="5.5"/>
    <n v="7"/>
    <x v="3726"/>
  </r>
  <r>
    <n v="4021"/>
    <n v="1317"/>
    <d v="2026-04-02T00:00:00"/>
    <s v="Thursday"/>
    <n v="4"/>
    <n v="14.32"/>
    <x v="1"/>
    <x v="40"/>
    <s v="Female"/>
    <n v="64.099999999999994"/>
    <n v="88.5"/>
    <n v="14.9"/>
    <n v="13"/>
    <s v="SD"/>
    <n v="6"/>
    <n v="1507.1"/>
    <s v="High"/>
    <n v="0"/>
    <s v="Single-Day"/>
    <n v="1"/>
    <n v="0"/>
    <s v="Main Entrance"/>
    <s v="Pixar Pals"/>
    <n v="3.6"/>
    <n v="2"/>
    <x v="3727"/>
  </r>
  <r>
    <n v="4022"/>
    <n v="1318"/>
    <d v="2026-04-17T00:00:00"/>
    <s v="Friday"/>
    <n v="4"/>
    <n v="10.26"/>
    <x v="0"/>
    <x v="2"/>
    <s v="Male"/>
    <n v="72.7"/>
    <n v="218.6"/>
    <n v="28.9"/>
    <n v="15"/>
    <s v="OR"/>
    <n v="3"/>
    <n v="1064.7"/>
    <s v="High"/>
    <n v="1"/>
    <s v="Park Hopper"/>
    <n v="1"/>
    <n v="1"/>
    <s v="Downtown Disney Gate"/>
    <s v="None/Walked from Resort"/>
    <n v="11.9"/>
    <n v="16"/>
    <x v="3728"/>
  </r>
  <r>
    <n v="4023"/>
    <n v="1318"/>
    <d v="2026-04-17T00:00:00"/>
    <s v="Friday"/>
    <n v="4"/>
    <n v="10.199999999999999"/>
    <x v="0"/>
    <x v="38"/>
    <s v="Female"/>
    <n v="63.3"/>
    <n v="150.4"/>
    <n v="26.4"/>
    <n v="14"/>
    <s v="OR"/>
    <n v="3"/>
    <n v="1064.7"/>
    <s v="High"/>
    <n v="1"/>
    <s v="Park Hopper"/>
    <n v="1"/>
    <n v="1"/>
    <s v="Downtown Disney Gate"/>
    <s v="None/Walked from Resort"/>
    <n v="10.1"/>
    <n v="15"/>
    <x v="3729"/>
  </r>
  <r>
    <n v="4024"/>
    <n v="1318"/>
    <d v="2026-04-17T00:00:00"/>
    <s v="Friday"/>
    <n v="4"/>
    <n v="10.34"/>
    <x v="0"/>
    <x v="20"/>
    <s v="Male"/>
    <n v="70"/>
    <n v="104.2"/>
    <n v="14.9"/>
    <n v="12"/>
    <s v="OR"/>
    <n v="3"/>
    <n v="1064.7"/>
    <s v="High"/>
    <n v="1"/>
    <s v="Park Hopper"/>
    <n v="1"/>
    <n v="1"/>
    <s v="Downtown Disney Gate"/>
    <s v="None/Walked from Resort"/>
    <n v="10.5"/>
    <n v="12"/>
    <x v="3730"/>
  </r>
  <r>
    <n v="4025"/>
    <n v="1319"/>
    <d v="2026-10-19T00:00:00"/>
    <s v="Monday"/>
    <n v="10"/>
    <n v="11.45"/>
    <x v="1"/>
    <x v="53"/>
    <s v="Female"/>
    <n v="57.5"/>
    <n v="86.8"/>
    <n v="18.399999999999999"/>
    <n v="12"/>
    <s v="Other"/>
    <n v="4"/>
    <n v="1619.3"/>
    <s v="Low"/>
    <n v="0"/>
    <s v="Single-Day"/>
    <n v="0"/>
    <n v="0"/>
    <s v="Main Entrance"/>
    <s v="Toy Story Lot"/>
    <n v="7.5"/>
    <n v="6"/>
    <x v="3731"/>
  </r>
  <r>
    <n v="4026"/>
    <n v="1319"/>
    <d v="2026-10-19T00:00:00"/>
    <s v="Monday"/>
    <n v="10"/>
    <n v="11.44"/>
    <x v="1"/>
    <x v="51"/>
    <s v="Female"/>
    <n v="65"/>
    <n v="172.4"/>
    <n v="28.5"/>
    <n v="13"/>
    <s v="Other"/>
    <n v="4"/>
    <n v="1619.3"/>
    <s v="Low"/>
    <n v="0"/>
    <s v="Single-Day"/>
    <n v="0"/>
    <n v="0"/>
    <s v="Main Entrance"/>
    <s v="Toy Story Lot"/>
    <n v="8.1999999999999993"/>
    <n v="9"/>
    <x v="3732"/>
  </r>
  <r>
    <n v="4027"/>
    <n v="1319"/>
    <d v="2026-10-19T00:00:00"/>
    <s v="Monday"/>
    <n v="10"/>
    <n v="11.38"/>
    <x v="1"/>
    <x v="10"/>
    <s v="Male"/>
    <n v="60"/>
    <n v="136.6"/>
    <n v="26.6"/>
    <n v="14"/>
    <s v="Other"/>
    <n v="4"/>
    <n v="1619.3"/>
    <s v="Low"/>
    <n v="0"/>
    <s v="Single-Day"/>
    <n v="0"/>
    <n v="0"/>
    <s v="Main Entrance"/>
    <s v="Toy Story Lot"/>
    <n v="7.8"/>
    <n v="10"/>
    <x v="343"/>
  </r>
  <r>
    <n v="4028"/>
    <n v="1319"/>
    <d v="2026-10-19T00:00:00"/>
    <s v="Monday"/>
    <n v="10"/>
    <n v="11.43"/>
    <x v="1"/>
    <x v="65"/>
    <s v="Male"/>
    <n v="70.099999999999994"/>
    <n v="163"/>
    <n v="23.3"/>
    <n v="13"/>
    <s v="Other"/>
    <n v="4"/>
    <n v="1619.3"/>
    <s v="Low"/>
    <n v="0"/>
    <s v="Single-Day"/>
    <n v="0"/>
    <n v="0"/>
    <s v="Main Entrance"/>
    <s v="Toy Story Lot"/>
    <n v="6.7"/>
    <n v="5"/>
    <x v="3733"/>
  </r>
  <r>
    <n v="4029"/>
    <n v="1320"/>
    <d v="2026-11-09T00:00:00"/>
    <s v="Monday"/>
    <n v="11"/>
    <n v="11.29"/>
    <x v="1"/>
    <x v="38"/>
    <s v="Female"/>
    <n v="64.8"/>
    <n v="155.9"/>
    <n v="26.2"/>
    <n v="14"/>
    <s v="Other"/>
    <n v="5"/>
    <n v="1368.5"/>
    <s v="Middle"/>
    <n v="1"/>
    <s v="Single-Day"/>
    <n v="0"/>
    <n v="0"/>
    <s v="Main Entrance"/>
    <s v="Pixar Pals"/>
    <n v="11"/>
    <n v="5"/>
    <x v="3734"/>
  </r>
  <r>
    <n v="4030"/>
    <n v="1320"/>
    <d v="2026-11-09T00:00:00"/>
    <s v="Monday"/>
    <n v="11"/>
    <n v="11.57"/>
    <x v="1"/>
    <x v="71"/>
    <s v="Male"/>
    <n v="67.099999999999994"/>
    <n v="179.4"/>
    <n v="27.9"/>
    <n v="16"/>
    <s v="Other"/>
    <n v="5"/>
    <n v="1368.5"/>
    <s v="Middle"/>
    <n v="1"/>
    <s v="Single-Day"/>
    <n v="0"/>
    <n v="0"/>
    <s v="Main Entrance"/>
    <s v="Pixar Pals"/>
    <n v="7.1"/>
    <n v="9"/>
    <x v="3735"/>
  </r>
  <r>
    <n v="4031"/>
    <n v="1320"/>
    <d v="2026-11-09T00:00:00"/>
    <s v="Monday"/>
    <n v="11"/>
    <n v="11.45"/>
    <x v="1"/>
    <x v="22"/>
    <s v="Female"/>
    <n v="51.9"/>
    <n v="92"/>
    <n v="24.3"/>
    <n v="12"/>
    <s v="Other"/>
    <n v="5"/>
    <n v="1368.5"/>
    <s v="Middle"/>
    <n v="1"/>
    <s v="Single-Day"/>
    <n v="0"/>
    <n v="0"/>
    <s v="Main Entrance"/>
    <s v="Pixar Pals"/>
    <n v="10.9"/>
    <n v="10"/>
    <x v="3736"/>
  </r>
  <r>
    <n v="4032"/>
    <n v="1320"/>
    <d v="2026-11-09T00:00:00"/>
    <s v="Monday"/>
    <n v="11"/>
    <n v="11.19"/>
    <x v="1"/>
    <x v="60"/>
    <s v="Female"/>
    <n v="61.4"/>
    <n v="94.4"/>
    <n v="17.600000000000001"/>
    <n v="11"/>
    <s v="Other"/>
    <n v="5"/>
    <n v="1368.5"/>
    <s v="Middle"/>
    <n v="1"/>
    <s v="Single-Day"/>
    <n v="0"/>
    <n v="0"/>
    <s v="Main Entrance"/>
    <s v="Pixar Pals"/>
    <n v="9.6999999999999993"/>
    <n v="13"/>
    <x v="3737"/>
  </r>
  <r>
    <n v="4033"/>
    <n v="1320"/>
    <d v="2026-11-09T00:00:00"/>
    <s v="Monday"/>
    <n v="11"/>
    <n v="11.4"/>
    <x v="1"/>
    <x v="45"/>
    <s v="Male"/>
    <n v="68.400000000000006"/>
    <n v="127.5"/>
    <n v="19.3"/>
    <n v="16"/>
    <s v="Other"/>
    <n v="5"/>
    <n v="1368.5"/>
    <s v="Middle"/>
    <n v="1"/>
    <s v="Single-Day"/>
    <n v="0"/>
    <n v="0"/>
    <s v="Main Entrance"/>
    <s v="Pixar Pals"/>
    <n v="8.6999999999999993"/>
    <n v="5"/>
    <x v="3108"/>
  </r>
  <r>
    <n v="4034"/>
    <n v="1321"/>
    <d v="2026-07-20T00:00:00"/>
    <s v="Monday"/>
    <n v="7"/>
    <n v="10.16"/>
    <x v="0"/>
    <x v="14"/>
    <s v="Female"/>
    <n v="65.8"/>
    <n v="228.8"/>
    <n v="37.299999999999997"/>
    <n v="13"/>
    <s v="WA"/>
    <n v="2"/>
    <n v="895.6"/>
    <s v="Middle"/>
    <n v="1"/>
    <s v="Multi-Day"/>
    <n v="0"/>
    <n v="0"/>
    <s v="Main Entrance"/>
    <s v="Mickey &amp; Friends"/>
    <n v="9.3000000000000007"/>
    <n v="12"/>
    <x v="3738"/>
  </r>
  <r>
    <n v="4035"/>
    <n v="1321"/>
    <d v="2026-07-20T00:00:00"/>
    <s v="Monday"/>
    <n v="7"/>
    <n v="10.17"/>
    <x v="0"/>
    <x v="12"/>
    <s v="Male"/>
    <n v="61"/>
    <n v="104"/>
    <n v="19.3"/>
    <n v="14"/>
    <s v="WA"/>
    <n v="2"/>
    <n v="895.6"/>
    <s v="Middle"/>
    <n v="1"/>
    <s v="Multi-Day"/>
    <n v="0"/>
    <n v="0"/>
    <s v="Main Entrance"/>
    <s v="Mickey &amp; Friends"/>
    <n v="8.8000000000000007"/>
    <n v="14"/>
    <x v="3739"/>
  </r>
  <r>
    <n v="4036"/>
    <n v="1322"/>
    <d v="2026-09-24T00:00:00"/>
    <s v="Thursday"/>
    <n v="9"/>
    <n v="10.98"/>
    <x v="0"/>
    <x v="20"/>
    <s v="Female"/>
    <n v="68.5"/>
    <n v="133.80000000000001"/>
    <n v="19.8"/>
    <n v="11"/>
    <s v="FL"/>
    <n v="3"/>
    <n v="2044.6"/>
    <s v="Low"/>
    <n v="1"/>
    <s v="Single-Day"/>
    <n v="0"/>
    <n v="1"/>
    <s v="Main Entrance"/>
    <s v="Toy Story Lot"/>
    <n v="9"/>
    <n v="6"/>
    <x v="3740"/>
  </r>
  <r>
    <n v="4037"/>
    <n v="1322"/>
    <d v="2026-09-24T00:00:00"/>
    <s v="Thursday"/>
    <n v="9"/>
    <n v="11.01"/>
    <x v="1"/>
    <x v="43"/>
    <s v="Male"/>
    <n v="69"/>
    <n v="129"/>
    <n v="19.3"/>
    <n v="16"/>
    <s v="FL"/>
    <n v="3"/>
    <n v="2044.6"/>
    <s v="Low"/>
    <n v="1"/>
    <s v="Single-Day"/>
    <n v="0"/>
    <n v="1"/>
    <s v="Main Entrance"/>
    <s v="Toy Story Lot"/>
    <n v="12.3"/>
    <n v="14"/>
    <x v="3741"/>
  </r>
  <r>
    <n v="4038"/>
    <n v="1322"/>
    <d v="2026-09-24T00:00:00"/>
    <s v="Thursday"/>
    <n v="9"/>
    <n v="10.78"/>
    <x v="0"/>
    <x v="21"/>
    <s v="Male"/>
    <n v="74.099999999999994"/>
    <n v="248.5"/>
    <n v="31.7"/>
    <n v="14"/>
    <s v="FL"/>
    <n v="3"/>
    <n v="2044.6"/>
    <s v="Low"/>
    <n v="1"/>
    <s v="Single-Day"/>
    <n v="0"/>
    <n v="1"/>
    <s v="Main Entrance"/>
    <s v="Toy Story Lot"/>
    <n v="8.6999999999999993"/>
    <n v="10"/>
    <x v="3742"/>
  </r>
  <r>
    <n v="4039"/>
    <n v="1323"/>
    <d v="2026-05-28T00:00:00"/>
    <s v="Thursday"/>
    <n v="5"/>
    <n v="12.87"/>
    <x v="1"/>
    <x v="66"/>
    <s v="Female"/>
    <n v="65"/>
    <n v="145.19999999999999"/>
    <n v="23.9"/>
    <n v="19"/>
    <s v="CA"/>
    <n v="5"/>
    <n v="127"/>
    <s v="High"/>
    <n v="0"/>
    <s v="Multi-Day"/>
    <n v="0"/>
    <n v="0"/>
    <s v="Main Entrance"/>
    <s v="Mickey &amp; Friends"/>
    <n v="8.1"/>
    <n v="10"/>
    <x v="3743"/>
  </r>
  <r>
    <n v="4040"/>
    <n v="1323"/>
    <d v="2026-05-28T00:00:00"/>
    <s v="Thursday"/>
    <n v="5"/>
    <n v="12.95"/>
    <x v="1"/>
    <x v="12"/>
    <s v="Male"/>
    <n v="58.1"/>
    <n v="101.2"/>
    <n v="20.7"/>
    <n v="14"/>
    <s v="CA"/>
    <n v="5"/>
    <n v="127"/>
    <s v="High"/>
    <n v="0"/>
    <s v="Multi-Day"/>
    <n v="0"/>
    <n v="0"/>
    <s v="Main Entrance"/>
    <s v="Mickey &amp; Friends"/>
    <n v="8.1"/>
    <n v="7"/>
    <x v="3744"/>
  </r>
  <r>
    <n v="4041"/>
    <n v="1323"/>
    <d v="2026-05-28T00:00:00"/>
    <s v="Thursday"/>
    <n v="5"/>
    <n v="12.87"/>
    <x v="1"/>
    <x v="54"/>
    <s v="Male"/>
    <n v="66.099999999999994"/>
    <n v="148"/>
    <n v="23.9"/>
    <n v="18"/>
    <s v="CA"/>
    <n v="5"/>
    <n v="127"/>
    <s v="High"/>
    <n v="0"/>
    <s v="Multi-Day"/>
    <n v="0"/>
    <n v="0"/>
    <s v="Main Entrance"/>
    <s v="Mickey &amp; Friends"/>
    <n v="7"/>
    <n v="8"/>
    <x v="3745"/>
  </r>
  <r>
    <n v="4042"/>
    <n v="1323"/>
    <d v="2026-05-28T00:00:00"/>
    <s v="Thursday"/>
    <n v="5"/>
    <n v="12.72"/>
    <x v="1"/>
    <x v="17"/>
    <s v="Female"/>
    <n v="66.400000000000006"/>
    <n v="164"/>
    <n v="26"/>
    <n v="16"/>
    <s v="CA"/>
    <n v="5"/>
    <n v="127"/>
    <s v="High"/>
    <n v="0"/>
    <s v="Multi-Day"/>
    <n v="0"/>
    <n v="0"/>
    <s v="Main Entrance"/>
    <s v="Mickey &amp; Friends"/>
    <n v="7.3"/>
    <n v="12"/>
    <x v="3746"/>
  </r>
  <r>
    <n v="4043"/>
    <n v="1323"/>
    <d v="2026-05-28T00:00:00"/>
    <s v="Thursday"/>
    <n v="5"/>
    <n v="12.68"/>
    <x v="1"/>
    <x v="28"/>
    <s v="Male"/>
    <n v="69.8"/>
    <n v="206.4"/>
    <n v="29.8"/>
    <n v="18"/>
    <s v="CA"/>
    <n v="5"/>
    <n v="127"/>
    <s v="High"/>
    <n v="0"/>
    <s v="Multi-Day"/>
    <n v="0"/>
    <n v="0"/>
    <s v="Main Entrance"/>
    <s v="Mickey &amp; Friends"/>
    <n v="7.9"/>
    <n v="13"/>
    <x v="3747"/>
  </r>
  <r>
    <n v="4044"/>
    <n v="1324"/>
    <d v="2026-10-19T00:00:00"/>
    <s v="Monday"/>
    <n v="10"/>
    <n v="10.92"/>
    <x v="0"/>
    <x v="71"/>
    <s v="Female"/>
    <n v="61.8"/>
    <n v="137.19999999999999"/>
    <n v="25.1"/>
    <n v="8"/>
    <s v="NY"/>
    <n v="4"/>
    <n v="2305.1999999999998"/>
    <s v="Low"/>
    <n v="1"/>
    <s v="Single-Day"/>
    <n v="0"/>
    <n v="1"/>
    <s v="Main Entrance"/>
    <s v="Mickey &amp; Friends"/>
    <n v="8.6"/>
    <n v="6"/>
    <x v="3748"/>
  </r>
  <r>
    <n v="4045"/>
    <n v="1324"/>
    <d v="2026-10-19T00:00:00"/>
    <s v="Monday"/>
    <n v="10"/>
    <n v="11.01"/>
    <x v="1"/>
    <x v="20"/>
    <s v="Male"/>
    <n v="66.3"/>
    <n v="135.6"/>
    <n v="21.9"/>
    <n v="11"/>
    <s v="NY"/>
    <n v="4"/>
    <n v="2305.1999999999998"/>
    <s v="Low"/>
    <n v="1"/>
    <s v="Single-Day"/>
    <n v="0"/>
    <n v="1"/>
    <s v="Main Entrance"/>
    <s v="Mickey &amp; Friends"/>
    <n v="8.6"/>
    <n v="10"/>
    <x v="1520"/>
  </r>
  <r>
    <n v="4046"/>
    <n v="1324"/>
    <d v="2026-10-19T00:00:00"/>
    <s v="Monday"/>
    <n v="10"/>
    <n v="11.05"/>
    <x v="1"/>
    <x v="45"/>
    <s v="Male"/>
    <n v="76.599999999999994"/>
    <n v="221.6"/>
    <n v="26.5"/>
    <n v="12"/>
    <s v="NY"/>
    <n v="4"/>
    <n v="2305.1999999999998"/>
    <s v="Low"/>
    <n v="1"/>
    <s v="Single-Day"/>
    <n v="0"/>
    <n v="1"/>
    <s v="Main Entrance"/>
    <s v="Mickey &amp; Friends"/>
    <n v="9"/>
    <n v="3"/>
    <x v="3749"/>
  </r>
  <r>
    <n v="4047"/>
    <n v="1324"/>
    <d v="2026-10-19T00:00:00"/>
    <s v="Monday"/>
    <n v="10"/>
    <n v="11.13"/>
    <x v="1"/>
    <x v="2"/>
    <s v="Male"/>
    <n v="73.5"/>
    <n v="219.2"/>
    <n v="28.5"/>
    <n v="13"/>
    <s v="NY"/>
    <n v="4"/>
    <n v="2305.1999999999998"/>
    <s v="Low"/>
    <n v="1"/>
    <s v="Single-Day"/>
    <n v="0"/>
    <n v="1"/>
    <s v="Main Entrance"/>
    <s v="Mickey &amp; Friends"/>
    <n v="13.4"/>
    <n v="6"/>
    <x v="3750"/>
  </r>
  <r>
    <n v="4048"/>
    <n v="1325"/>
    <d v="2026-10-03T00:00:00"/>
    <s v="Saturday"/>
    <n v="10"/>
    <n v="8.92"/>
    <x v="0"/>
    <x v="40"/>
    <s v="Male"/>
    <n v="61.9"/>
    <n v="106.7"/>
    <n v="19.5"/>
    <n v="12"/>
    <s v="AZ"/>
    <n v="2"/>
    <n v="380"/>
    <s v="High"/>
    <n v="0"/>
    <s v="Multi-Day"/>
    <n v="0"/>
    <n v="0"/>
    <s v="Main Entrance"/>
    <s v="Pixar Pals"/>
    <n v="7.2"/>
    <n v="7"/>
    <x v="3751"/>
  </r>
  <r>
    <n v="4049"/>
    <n v="1325"/>
    <d v="2026-10-03T00:00:00"/>
    <s v="Saturday"/>
    <n v="10"/>
    <n v="8.74"/>
    <x v="0"/>
    <x v="67"/>
    <s v="Female"/>
    <n v="69.400000000000006"/>
    <n v="183.4"/>
    <n v="26.7"/>
    <n v="15"/>
    <s v="AZ"/>
    <n v="2"/>
    <n v="380"/>
    <s v="High"/>
    <n v="0"/>
    <s v="Multi-Day"/>
    <n v="0"/>
    <n v="0"/>
    <s v="Main Entrance"/>
    <s v="Pixar Pals"/>
    <n v="6.6"/>
    <n v="9"/>
    <x v="3752"/>
  </r>
  <r>
    <n v="4050"/>
    <n v="1326"/>
    <d v="2026-08-30T00:00:00"/>
    <s v="Sunday"/>
    <n v="8"/>
    <n v="10.39"/>
    <x v="0"/>
    <x v="12"/>
    <s v="Male"/>
    <n v="56.1"/>
    <n v="81.099999999999994"/>
    <n v="18.100000000000001"/>
    <n v="10"/>
    <s v="OR"/>
    <n v="2"/>
    <n v="950.5"/>
    <s v="Low"/>
    <n v="1"/>
    <s v="Single-Day"/>
    <n v="0"/>
    <n v="1"/>
    <s v="Main Entrance"/>
    <s v="None/Walked from Resort"/>
    <n v="8.6"/>
    <n v="9"/>
    <x v="3753"/>
  </r>
  <r>
    <n v="4051"/>
    <n v="1326"/>
    <d v="2026-08-30T00:00:00"/>
    <s v="Sunday"/>
    <n v="8"/>
    <n v="10.25"/>
    <x v="0"/>
    <x v="38"/>
    <s v="Male"/>
    <n v="70"/>
    <n v="177.1"/>
    <n v="25.7"/>
    <n v="11"/>
    <s v="OR"/>
    <n v="2"/>
    <n v="950.5"/>
    <s v="Low"/>
    <n v="1"/>
    <s v="Single-Day"/>
    <n v="0"/>
    <n v="1"/>
    <s v="Main Entrance"/>
    <s v="None/Walked from Resort"/>
    <n v="8.3000000000000007"/>
    <n v="8"/>
    <x v="3754"/>
  </r>
  <r>
    <n v="4052"/>
    <n v="1327"/>
    <d v="2026-11-26T00:00:00"/>
    <s v="Thursday"/>
    <n v="11"/>
    <n v="10.1"/>
    <x v="0"/>
    <x v="15"/>
    <s v="Male"/>
    <n v="64.3"/>
    <n v="136.80000000000001"/>
    <n v="23.2"/>
    <n v="15"/>
    <s v="WI"/>
    <n v="3"/>
    <n v="2083.6"/>
    <s v="Low"/>
    <n v="1"/>
    <s v="Single-Day"/>
    <n v="0"/>
    <n v="1"/>
    <s v="Hotel Guest Entrance"/>
    <s v="None/Walked from Resort"/>
    <n v="8.6"/>
    <n v="12"/>
    <x v="3755"/>
  </r>
  <r>
    <n v="4053"/>
    <n v="1327"/>
    <d v="2026-11-26T00:00:00"/>
    <s v="Thursday"/>
    <n v="11"/>
    <n v="10.119999999999999"/>
    <x v="0"/>
    <x v="60"/>
    <s v="Male"/>
    <n v="63.5"/>
    <n v="130.80000000000001"/>
    <n v="22.8"/>
    <n v="14"/>
    <s v="WI"/>
    <n v="3"/>
    <n v="2083.6"/>
    <s v="Low"/>
    <n v="1"/>
    <s v="Single-Day"/>
    <n v="0"/>
    <n v="1"/>
    <s v="Hotel Guest Entrance"/>
    <s v="None/Walked from Resort"/>
    <n v="9.5"/>
    <n v="9"/>
    <x v="118"/>
  </r>
  <r>
    <n v="4054"/>
    <n v="1327"/>
    <d v="2026-11-26T00:00:00"/>
    <s v="Thursday"/>
    <n v="11"/>
    <n v="10.15"/>
    <x v="0"/>
    <x v="32"/>
    <s v="Male"/>
    <n v="52.5"/>
    <n v="87.6"/>
    <n v="22.5"/>
    <n v="11"/>
    <s v="WI"/>
    <n v="3"/>
    <n v="2083.6"/>
    <s v="Low"/>
    <n v="1"/>
    <s v="Single-Day"/>
    <n v="0"/>
    <n v="1"/>
    <s v="Hotel Guest Entrance"/>
    <s v="None/Walked from Resort"/>
    <n v="10.1"/>
    <n v="10"/>
    <x v="3756"/>
  </r>
  <r>
    <n v="4055"/>
    <n v="1328"/>
    <d v="2026-04-26T00:00:00"/>
    <s v="Sunday"/>
    <n v="4"/>
    <n v="13.83"/>
    <x v="1"/>
    <x v="19"/>
    <s v="Male"/>
    <n v="67.8"/>
    <n v="174.2"/>
    <n v="26.4"/>
    <n v="11"/>
    <s v="CA"/>
    <n v="2"/>
    <n v="33.1"/>
    <s v="Low"/>
    <n v="0"/>
    <s v="Single-Day"/>
    <n v="1"/>
    <n v="0"/>
    <s v="Main Entrance"/>
    <s v="Mickey &amp; Friends"/>
    <n v="4.2"/>
    <n v="5"/>
    <x v="3757"/>
  </r>
  <r>
    <n v="4056"/>
    <n v="1328"/>
    <d v="2026-04-26T00:00:00"/>
    <s v="Sunday"/>
    <n v="4"/>
    <n v="14.07"/>
    <x v="1"/>
    <x v="5"/>
    <s v="Female"/>
    <n v="63.9"/>
    <n v="166.4"/>
    <n v="28.6"/>
    <n v="12"/>
    <s v="CA"/>
    <n v="2"/>
    <n v="33.1"/>
    <s v="Low"/>
    <n v="0"/>
    <s v="Single-Day"/>
    <n v="1"/>
    <n v="0"/>
    <s v="Main Entrance"/>
    <s v="Mickey &amp; Friends"/>
    <n v="6.9"/>
    <n v="8"/>
    <x v="3758"/>
  </r>
  <r>
    <n v="4057"/>
    <n v="1329"/>
    <d v="2026-04-14T00:00:00"/>
    <s v="Tuesday"/>
    <n v="4"/>
    <n v="10.44"/>
    <x v="0"/>
    <x v="41"/>
    <s v="Male"/>
    <n v="68.8"/>
    <n v="155.30000000000001"/>
    <n v="23.1"/>
    <n v="14"/>
    <s v="CA"/>
    <n v="5"/>
    <n v="149.80000000000001"/>
    <s v="High"/>
    <n v="0"/>
    <s v="Multi-Day"/>
    <n v="1"/>
    <n v="0"/>
    <s v="Main Entrance"/>
    <s v="Pixar Pals"/>
    <n v="7.5"/>
    <n v="10"/>
    <x v="3759"/>
  </r>
  <r>
    <n v="4058"/>
    <n v="1329"/>
    <d v="2026-04-14T00:00:00"/>
    <s v="Tuesday"/>
    <n v="4"/>
    <n v="10.35"/>
    <x v="0"/>
    <x v="55"/>
    <s v="Female"/>
    <n v="62.9"/>
    <n v="123.9"/>
    <n v="22"/>
    <n v="17"/>
    <s v="CA"/>
    <n v="5"/>
    <n v="149.80000000000001"/>
    <s v="High"/>
    <n v="0"/>
    <s v="Multi-Day"/>
    <n v="1"/>
    <n v="0"/>
    <s v="Main Entrance"/>
    <s v="Pixar Pals"/>
    <n v="6.2"/>
    <n v="3"/>
    <x v="3760"/>
  </r>
  <r>
    <n v="4059"/>
    <n v="1329"/>
    <d v="2026-04-14T00:00:00"/>
    <s v="Tuesday"/>
    <n v="4"/>
    <n v="10.33"/>
    <x v="0"/>
    <x v="66"/>
    <s v="Female"/>
    <n v="64.900000000000006"/>
    <n v="119.4"/>
    <n v="19.899999999999999"/>
    <n v="17"/>
    <s v="CA"/>
    <n v="5"/>
    <n v="149.80000000000001"/>
    <s v="High"/>
    <n v="0"/>
    <s v="Multi-Day"/>
    <n v="1"/>
    <n v="0"/>
    <s v="Main Entrance"/>
    <s v="Pixar Pals"/>
    <n v="9.6999999999999993"/>
    <n v="11"/>
    <x v="3761"/>
  </r>
  <r>
    <n v="4060"/>
    <n v="1329"/>
    <d v="2026-04-14T00:00:00"/>
    <s v="Tuesday"/>
    <n v="4"/>
    <n v="10.59"/>
    <x v="0"/>
    <x v="59"/>
    <s v="Female"/>
    <n v="65.400000000000006"/>
    <n v="118"/>
    <n v="19.2"/>
    <n v="14"/>
    <s v="CA"/>
    <n v="5"/>
    <n v="149.80000000000001"/>
    <s v="High"/>
    <n v="0"/>
    <s v="Multi-Day"/>
    <n v="1"/>
    <n v="0"/>
    <s v="Main Entrance"/>
    <s v="Pixar Pals"/>
    <n v="4.3"/>
    <n v="6"/>
    <x v="3762"/>
  </r>
  <r>
    <n v="4061"/>
    <n v="1329"/>
    <d v="2026-04-14T00:00:00"/>
    <s v="Tuesday"/>
    <n v="4"/>
    <n v="10.34"/>
    <x v="0"/>
    <x v="31"/>
    <s v="Male"/>
    <n v="73"/>
    <n v="149.69999999999999"/>
    <n v="19.8"/>
    <n v="14"/>
    <s v="CA"/>
    <n v="5"/>
    <n v="149.80000000000001"/>
    <s v="High"/>
    <n v="0"/>
    <s v="Multi-Day"/>
    <n v="1"/>
    <n v="0"/>
    <s v="Main Entrance"/>
    <s v="Pixar Pals"/>
    <n v="7.5"/>
    <n v="6"/>
    <x v="3763"/>
  </r>
  <r>
    <n v="4062"/>
    <n v="1330"/>
    <d v="2026-02-20T00:00:00"/>
    <s v="Friday"/>
    <n v="2"/>
    <n v="9.8000000000000007"/>
    <x v="0"/>
    <x v="53"/>
    <s v="Male"/>
    <n v="56.9"/>
    <n v="122.4"/>
    <n v="26.5"/>
    <n v="12"/>
    <s v="CA"/>
    <n v="5"/>
    <n v="2"/>
    <s v="High"/>
    <n v="0"/>
    <s v="Park Hopper"/>
    <n v="0"/>
    <n v="1"/>
    <s v="Main Entrance"/>
    <s v="None/Walked from Resort"/>
    <n v="9.6"/>
    <n v="10"/>
    <x v="3764"/>
  </r>
  <r>
    <n v="4063"/>
    <n v="1330"/>
    <d v="2026-02-20T00:00:00"/>
    <s v="Friday"/>
    <n v="2"/>
    <n v="9.7899999999999991"/>
    <x v="0"/>
    <x v="32"/>
    <s v="Female"/>
    <n v="60.4"/>
    <n v="100.4"/>
    <n v="19.2"/>
    <n v="15"/>
    <s v="CA"/>
    <n v="5"/>
    <n v="2"/>
    <s v="High"/>
    <n v="0"/>
    <s v="Park Hopper"/>
    <n v="0"/>
    <n v="1"/>
    <s v="Main Entrance"/>
    <s v="None/Walked from Resort"/>
    <n v="9"/>
    <n v="8"/>
    <x v="3765"/>
  </r>
  <r>
    <n v="4064"/>
    <n v="1330"/>
    <d v="2026-02-20T00:00:00"/>
    <s v="Friday"/>
    <n v="2"/>
    <n v="9.9600000000000009"/>
    <x v="0"/>
    <x v="73"/>
    <s v="Male"/>
    <n v="70"/>
    <n v="163"/>
    <n v="23.4"/>
    <n v="10"/>
    <s v="CA"/>
    <n v="5"/>
    <n v="2"/>
    <s v="High"/>
    <n v="0"/>
    <s v="Park Hopper"/>
    <n v="0"/>
    <n v="1"/>
    <s v="Main Entrance"/>
    <s v="None/Walked from Resort"/>
    <n v="9"/>
    <n v="11"/>
    <x v="3766"/>
  </r>
  <r>
    <n v="4065"/>
    <n v="1330"/>
    <d v="2026-02-20T00:00:00"/>
    <s v="Friday"/>
    <n v="2"/>
    <n v="10.08"/>
    <x v="0"/>
    <x v="15"/>
    <s v="Female"/>
    <n v="64.8"/>
    <n v="177.8"/>
    <n v="29.8"/>
    <n v="19"/>
    <s v="CA"/>
    <n v="5"/>
    <n v="2"/>
    <s v="High"/>
    <n v="0"/>
    <s v="Park Hopper"/>
    <n v="0"/>
    <n v="1"/>
    <s v="Main Entrance"/>
    <s v="None/Walked from Resort"/>
    <n v="9.1999999999999993"/>
    <n v="12"/>
    <x v="3767"/>
  </r>
  <r>
    <n v="4066"/>
    <n v="1330"/>
    <d v="2026-02-20T00:00:00"/>
    <s v="Friday"/>
    <n v="2"/>
    <n v="9.81"/>
    <x v="0"/>
    <x v="67"/>
    <s v="Female"/>
    <n v="63.1"/>
    <n v="144.1"/>
    <n v="25.4"/>
    <n v="9"/>
    <s v="CA"/>
    <n v="5"/>
    <n v="2"/>
    <s v="High"/>
    <n v="0"/>
    <s v="Park Hopper"/>
    <n v="0"/>
    <n v="1"/>
    <s v="Main Entrance"/>
    <s v="None/Walked from Resort"/>
    <n v="10.4"/>
    <n v="11"/>
    <x v="3768"/>
  </r>
  <r>
    <n v="4067"/>
    <n v="1331"/>
    <d v="2026-02-03T00:00:00"/>
    <s v="Tuesday"/>
    <n v="2"/>
    <n v="10.220000000000001"/>
    <x v="0"/>
    <x v="71"/>
    <s v="Female"/>
    <n v="68.900000000000006"/>
    <n v="169.7"/>
    <n v="24.9"/>
    <n v="13"/>
    <s v="AZ"/>
    <n v="3"/>
    <n v="430.7"/>
    <s v="Middle"/>
    <n v="1"/>
    <s v="Single-Day"/>
    <n v="0"/>
    <n v="1"/>
    <s v="Main Entrance"/>
    <s v="None/Walked from Resort"/>
    <n v="11.8"/>
    <n v="12"/>
    <x v="3769"/>
  </r>
  <r>
    <n v="4068"/>
    <n v="1331"/>
    <d v="2026-02-03T00:00:00"/>
    <s v="Tuesday"/>
    <n v="2"/>
    <n v="10.31"/>
    <x v="0"/>
    <x v="2"/>
    <s v="Female"/>
    <n v="63.8"/>
    <n v="142.69999999999999"/>
    <n v="24.7"/>
    <n v="15"/>
    <s v="AZ"/>
    <n v="3"/>
    <n v="430.7"/>
    <s v="Middle"/>
    <n v="1"/>
    <s v="Single-Day"/>
    <n v="0"/>
    <n v="1"/>
    <s v="Main Entrance"/>
    <s v="None/Walked from Resort"/>
    <n v="11.2"/>
    <n v="13"/>
    <x v="3770"/>
  </r>
  <r>
    <n v="4069"/>
    <n v="1331"/>
    <d v="2026-02-03T00:00:00"/>
    <s v="Tuesday"/>
    <n v="2"/>
    <n v="10.08"/>
    <x v="0"/>
    <x v="72"/>
    <s v="Male"/>
    <n v="67.400000000000006"/>
    <n v="193.1"/>
    <n v="29.9"/>
    <n v="15"/>
    <s v="AZ"/>
    <n v="3"/>
    <n v="430.7"/>
    <s v="Middle"/>
    <n v="1"/>
    <s v="Single-Day"/>
    <n v="0"/>
    <n v="1"/>
    <s v="Main Entrance"/>
    <s v="None/Walked from Resort"/>
    <n v="12.7"/>
    <n v="11"/>
    <x v="3771"/>
  </r>
  <r>
    <n v="4070"/>
    <n v="1332"/>
    <d v="2026-02-08T00:00:00"/>
    <s v="Sunday"/>
    <n v="2"/>
    <n v="8.61"/>
    <x v="0"/>
    <x v="25"/>
    <s v="Female"/>
    <n v="60"/>
    <n v="100.1"/>
    <n v="19.600000000000001"/>
    <n v="16"/>
    <s v="NY"/>
    <n v="2"/>
    <n v="2145.3000000000002"/>
    <s v="High"/>
    <n v="1"/>
    <s v="Multi-Day"/>
    <n v="0"/>
    <n v="0"/>
    <s v="Main Entrance"/>
    <s v="Mickey &amp; Friends"/>
    <n v="7.4"/>
    <n v="9"/>
    <x v="3772"/>
  </r>
  <r>
    <n v="4071"/>
    <n v="1332"/>
    <d v="2026-02-08T00:00:00"/>
    <s v="Sunday"/>
    <n v="2"/>
    <n v="8.69"/>
    <x v="0"/>
    <x v="37"/>
    <s v="Female"/>
    <n v="66.3"/>
    <n v="159"/>
    <n v="25.6"/>
    <n v="17"/>
    <s v="NY"/>
    <n v="2"/>
    <n v="2145.3000000000002"/>
    <s v="High"/>
    <n v="1"/>
    <s v="Multi-Day"/>
    <n v="0"/>
    <n v="0"/>
    <s v="Main Entrance"/>
    <s v="Mickey &amp; Friends"/>
    <n v="10.8"/>
    <n v="7"/>
    <x v="3773"/>
  </r>
  <r>
    <n v="4072"/>
    <n v="1333"/>
    <d v="2026-09-19T00:00:00"/>
    <s v="Saturday"/>
    <n v="9"/>
    <n v="12.37"/>
    <x v="1"/>
    <x v="0"/>
    <s v="Nonbinary/Other"/>
    <n v="63.3"/>
    <n v="130.30000000000001"/>
    <n v="22.9"/>
    <n v="13"/>
    <s v="CA"/>
    <n v="4"/>
    <n v="2"/>
    <s v="Middle"/>
    <n v="1"/>
    <s v="Park Hopper"/>
    <n v="1"/>
    <n v="0"/>
    <s v="Main Entrance"/>
    <s v="Pixar Pals"/>
    <n v="9.3000000000000007"/>
    <n v="14"/>
    <x v="3774"/>
  </r>
  <r>
    <n v="4073"/>
    <n v="1333"/>
    <d v="2026-09-19T00:00:00"/>
    <s v="Saturday"/>
    <n v="9"/>
    <n v="12.49"/>
    <x v="1"/>
    <x v="21"/>
    <s v="Female"/>
    <n v="64.900000000000006"/>
    <n v="174.9"/>
    <n v="29.4"/>
    <n v="17"/>
    <s v="CA"/>
    <n v="4"/>
    <n v="2"/>
    <s v="Middle"/>
    <n v="1"/>
    <s v="Park Hopper"/>
    <n v="1"/>
    <n v="0"/>
    <s v="Main Entrance"/>
    <s v="Pixar Pals"/>
    <n v="8.1"/>
    <n v="8"/>
    <x v="3775"/>
  </r>
  <r>
    <n v="4074"/>
    <n v="1333"/>
    <d v="2026-09-19T00:00:00"/>
    <s v="Saturday"/>
    <n v="9"/>
    <n v="12.74"/>
    <x v="1"/>
    <x v="78"/>
    <s v="Male"/>
    <n v="70"/>
    <n v="140.9"/>
    <n v="20.3"/>
    <n v="13"/>
    <s v="CA"/>
    <n v="4"/>
    <n v="2"/>
    <s v="Middle"/>
    <n v="1"/>
    <s v="Park Hopper"/>
    <n v="1"/>
    <n v="0"/>
    <s v="Main Entrance"/>
    <s v="Pixar Pals"/>
    <n v="6.3"/>
    <n v="9"/>
    <x v="3776"/>
  </r>
  <r>
    <n v="4075"/>
    <n v="1333"/>
    <d v="2026-09-19T00:00:00"/>
    <s v="Saturday"/>
    <n v="9"/>
    <n v="12.6"/>
    <x v="1"/>
    <x v="38"/>
    <s v="Female"/>
    <n v="64.900000000000006"/>
    <n v="141.5"/>
    <n v="23.6"/>
    <n v="9"/>
    <s v="CA"/>
    <n v="4"/>
    <n v="2"/>
    <s v="Middle"/>
    <n v="1"/>
    <s v="Park Hopper"/>
    <n v="1"/>
    <n v="0"/>
    <s v="Main Entrance"/>
    <s v="Pixar Pals"/>
    <n v="7.9"/>
    <n v="7"/>
    <x v="3161"/>
  </r>
  <r>
    <n v="4076"/>
    <n v="1334"/>
    <d v="2026-10-11T00:00:00"/>
    <s v="Sunday"/>
    <n v="10"/>
    <n v="10.98"/>
    <x v="0"/>
    <x v="71"/>
    <s v="Male"/>
    <n v="72.400000000000006"/>
    <n v="184.3"/>
    <n v="24.8"/>
    <n v="12"/>
    <s v="TX"/>
    <n v="2"/>
    <n v="1294.0999999999999"/>
    <s v="Middle"/>
    <n v="1"/>
    <s v="Multi-Day"/>
    <n v="1"/>
    <n v="0"/>
    <s v="Main Entrance"/>
    <s v="Pixar Pals"/>
    <n v="9"/>
    <n v="13"/>
    <x v="3777"/>
  </r>
  <r>
    <n v="4077"/>
    <n v="1334"/>
    <d v="2026-10-11T00:00:00"/>
    <s v="Sunday"/>
    <n v="10"/>
    <n v="11.13"/>
    <x v="1"/>
    <x v="5"/>
    <s v="Female"/>
    <n v="56"/>
    <n v="149.5"/>
    <n v="33.299999999999997"/>
    <n v="14"/>
    <s v="TX"/>
    <n v="2"/>
    <n v="1294.0999999999999"/>
    <s v="Middle"/>
    <n v="1"/>
    <s v="Multi-Day"/>
    <n v="1"/>
    <n v="0"/>
    <s v="Main Entrance"/>
    <s v="Pixar Pals"/>
    <n v="9.6"/>
    <n v="11"/>
    <x v="3778"/>
  </r>
  <r>
    <n v="4078"/>
    <n v="1335"/>
    <d v="2026-08-02T00:00:00"/>
    <s v="Sunday"/>
    <n v="8"/>
    <n v="10.62"/>
    <x v="0"/>
    <x v="69"/>
    <s v="Female"/>
    <n v="66.400000000000006"/>
    <n v="195.8"/>
    <n v="31.2"/>
    <n v="17"/>
    <s v="WI"/>
    <n v="1"/>
    <n v="1453.4"/>
    <s v="Low"/>
    <n v="0"/>
    <s v="Park Hopper"/>
    <n v="0"/>
    <n v="1"/>
    <s v="Main Entrance"/>
    <s v="Mickey &amp; Friends"/>
    <n v="9.4"/>
    <n v="3"/>
    <x v="3779"/>
  </r>
  <r>
    <n v="4079"/>
    <n v="1336"/>
    <d v="2026-12-15T00:00:00"/>
    <s v="Tuesday"/>
    <n v="12"/>
    <n v="8.4700000000000006"/>
    <x v="0"/>
    <x v="52"/>
    <s v="Male"/>
    <n v="67.599999999999994"/>
    <n v="155.4"/>
    <n v="24"/>
    <n v="15"/>
    <s v="CA"/>
    <n v="3"/>
    <n v="133.80000000000001"/>
    <s v="Middle"/>
    <n v="0"/>
    <s v="Multi-Day"/>
    <n v="0"/>
    <n v="0"/>
    <s v="Downtown Disney Gate"/>
    <s v="Mickey &amp; Friends"/>
    <n v="9.8000000000000007"/>
    <n v="8"/>
    <x v="2846"/>
  </r>
  <r>
    <n v="4080"/>
    <n v="1336"/>
    <d v="2026-12-15T00:00:00"/>
    <s v="Tuesday"/>
    <n v="12"/>
    <n v="8.43"/>
    <x v="0"/>
    <x v="30"/>
    <s v="Female"/>
    <n v="68.099999999999994"/>
    <n v="120.2"/>
    <n v="18.3"/>
    <n v="14"/>
    <s v="CA"/>
    <n v="3"/>
    <n v="133.80000000000001"/>
    <s v="Middle"/>
    <n v="0"/>
    <s v="Multi-Day"/>
    <n v="0"/>
    <n v="0"/>
    <s v="Downtown Disney Gate"/>
    <s v="Mickey &amp; Friends"/>
    <n v="6.2"/>
    <n v="4"/>
    <x v="3780"/>
  </r>
  <r>
    <n v="4081"/>
    <n v="1336"/>
    <d v="2026-12-15T00:00:00"/>
    <s v="Tuesday"/>
    <n v="12"/>
    <n v="8.33"/>
    <x v="0"/>
    <x v="39"/>
    <s v="Male"/>
    <n v="72.5"/>
    <n v="193.8"/>
    <n v="25.9"/>
    <n v="17"/>
    <s v="CA"/>
    <n v="3"/>
    <n v="133.80000000000001"/>
    <s v="Middle"/>
    <n v="0"/>
    <s v="Multi-Day"/>
    <n v="0"/>
    <n v="0"/>
    <s v="Downtown Disney Gate"/>
    <s v="Mickey &amp; Friends"/>
    <n v="8.8000000000000007"/>
    <n v="7"/>
    <x v="3781"/>
  </r>
  <r>
    <n v="4082"/>
    <n v="1337"/>
    <d v="2026-06-09T00:00:00"/>
    <s v="Tuesday"/>
    <n v="6"/>
    <n v="12.29"/>
    <x v="1"/>
    <x v="42"/>
    <s v="Female"/>
    <n v="65.400000000000006"/>
    <n v="128.4"/>
    <n v="20.9"/>
    <n v="15"/>
    <s v="CA"/>
    <n v="2"/>
    <n v="83.1"/>
    <s v="Low"/>
    <n v="0"/>
    <s v="Single-Day"/>
    <n v="1"/>
    <n v="0"/>
    <s v="Main Entrance"/>
    <s v="Pixar Pals"/>
    <n v="7.5"/>
    <n v="3"/>
    <x v="3782"/>
  </r>
  <r>
    <n v="4083"/>
    <n v="1337"/>
    <d v="2026-06-09T00:00:00"/>
    <s v="Tuesday"/>
    <n v="6"/>
    <n v="11.97"/>
    <x v="1"/>
    <x v="54"/>
    <s v="Female"/>
    <n v="62.6"/>
    <n v="165"/>
    <n v="29.7"/>
    <n v="15"/>
    <s v="CA"/>
    <n v="2"/>
    <n v="83.1"/>
    <s v="Low"/>
    <n v="0"/>
    <s v="Single-Day"/>
    <n v="1"/>
    <n v="0"/>
    <s v="Main Entrance"/>
    <s v="Pixar Pals"/>
    <n v="7.1"/>
    <n v="5"/>
    <x v="3783"/>
  </r>
  <r>
    <n v="4084"/>
    <n v="1338"/>
    <d v="2026-06-30T00:00:00"/>
    <s v="Tuesday"/>
    <n v="6"/>
    <n v="12.41"/>
    <x v="1"/>
    <x v="0"/>
    <s v="Male"/>
    <n v="69.3"/>
    <n v="167.1"/>
    <n v="24.5"/>
    <n v="16"/>
    <s v="CO"/>
    <n v="4"/>
    <n v="1047.5999999999999"/>
    <s v="High"/>
    <n v="0"/>
    <s v="Multi-Day"/>
    <n v="1"/>
    <n v="0"/>
    <s v="Main Entrance"/>
    <s v="None/Dropoff/Transit"/>
    <n v="8"/>
    <n v="11"/>
    <x v="3450"/>
  </r>
  <r>
    <n v="4085"/>
    <n v="1338"/>
    <d v="2026-06-30T00:00:00"/>
    <s v="Tuesday"/>
    <n v="6"/>
    <n v="12.45"/>
    <x v="1"/>
    <x v="3"/>
    <s v="Male"/>
    <n v="70.599999999999994"/>
    <n v="178.8"/>
    <n v="25.3"/>
    <n v="13"/>
    <s v="CO"/>
    <n v="4"/>
    <n v="1047.5999999999999"/>
    <s v="High"/>
    <n v="0"/>
    <s v="Multi-Day"/>
    <n v="1"/>
    <n v="0"/>
    <s v="Main Entrance"/>
    <s v="None/Dropoff/Transit"/>
    <n v="8.3000000000000007"/>
    <n v="11"/>
    <x v="2480"/>
  </r>
  <r>
    <n v="4086"/>
    <n v="1338"/>
    <d v="2026-06-30T00:00:00"/>
    <s v="Tuesday"/>
    <n v="6"/>
    <n v="12.62"/>
    <x v="1"/>
    <x v="19"/>
    <s v="Female"/>
    <n v="67.5"/>
    <n v="174.4"/>
    <n v="26.7"/>
    <n v="17"/>
    <s v="CO"/>
    <n v="4"/>
    <n v="1047.5999999999999"/>
    <s v="High"/>
    <n v="0"/>
    <s v="Multi-Day"/>
    <n v="1"/>
    <n v="0"/>
    <s v="Main Entrance"/>
    <s v="None/Dropoff/Transit"/>
    <n v="8.5"/>
    <n v="8"/>
    <x v="616"/>
  </r>
  <r>
    <n v="4087"/>
    <n v="1338"/>
    <d v="2026-06-30T00:00:00"/>
    <s v="Tuesday"/>
    <n v="6"/>
    <n v="12.33"/>
    <x v="1"/>
    <x v="44"/>
    <s v="Male"/>
    <n v="68.900000000000006"/>
    <n v="192.1"/>
    <n v="28.3"/>
    <n v="12"/>
    <s v="CO"/>
    <n v="4"/>
    <n v="1047.5999999999999"/>
    <s v="High"/>
    <n v="0"/>
    <s v="Multi-Day"/>
    <n v="1"/>
    <n v="0"/>
    <s v="Main Entrance"/>
    <s v="None/Dropoff/Transit"/>
    <n v="6.4"/>
    <n v="6"/>
    <x v="1913"/>
  </r>
  <r>
    <n v="4088"/>
    <n v="1339"/>
    <d v="2026-01-30T00:00:00"/>
    <s v="Friday"/>
    <n v="1"/>
    <n v="12.99"/>
    <x v="1"/>
    <x v="57"/>
    <s v="Male"/>
    <n v="68.7"/>
    <n v="133.19999999999999"/>
    <n v="19.8"/>
    <n v="15"/>
    <s v="AZ"/>
    <n v="2"/>
    <n v="493.7"/>
    <s v="Low"/>
    <n v="1"/>
    <s v="Single-Day"/>
    <n v="0"/>
    <n v="0"/>
    <s v="Main Entrance"/>
    <s v="None/Dropoff/Transit"/>
    <n v="7.2"/>
    <n v="9"/>
    <x v="1270"/>
  </r>
  <r>
    <n v="4089"/>
    <n v="1339"/>
    <d v="2026-01-30T00:00:00"/>
    <s v="Friday"/>
    <n v="1"/>
    <n v="12.98"/>
    <x v="1"/>
    <x v="0"/>
    <s v="Male"/>
    <n v="73.900000000000006"/>
    <n v="216.8"/>
    <n v="27.8"/>
    <n v="17"/>
    <s v="AZ"/>
    <n v="2"/>
    <n v="493.7"/>
    <s v="Low"/>
    <n v="1"/>
    <s v="Single-Day"/>
    <n v="0"/>
    <n v="0"/>
    <s v="Main Entrance"/>
    <s v="None/Dropoff/Transit"/>
    <n v="8.6"/>
    <n v="6"/>
    <x v="3784"/>
  </r>
  <r>
    <n v="4090"/>
    <n v="1340"/>
    <d v="2026-12-23T00:00:00"/>
    <s v="Wednesday"/>
    <n v="12"/>
    <n v="9.25"/>
    <x v="0"/>
    <x v="52"/>
    <s v="Female"/>
    <n v="64.7"/>
    <n v="202.9"/>
    <n v="34.200000000000003"/>
    <n v="17"/>
    <s v="NV"/>
    <n v="4"/>
    <n v="126.7"/>
    <s v="Middle"/>
    <n v="0"/>
    <s v="Single-Day"/>
    <n v="0"/>
    <n v="0"/>
    <s v="Main Entrance"/>
    <s v="Pixar Pals"/>
    <n v="8"/>
    <n v="7"/>
    <x v="2426"/>
  </r>
  <r>
    <n v="4091"/>
    <n v="1340"/>
    <d v="2026-12-23T00:00:00"/>
    <s v="Wednesday"/>
    <n v="12"/>
    <n v="9.14"/>
    <x v="0"/>
    <x v="62"/>
    <s v="Female"/>
    <n v="63.5"/>
    <n v="181"/>
    <n v="31.6"/>
    <n v="12"/>
    <s v="NV"/>
    <n v="4"/>
    <n v="126.7"/>
    <s v="Middle"/>
    <n v="0"/>
    <s v="Single-Day"/>
    <n v="0"/>
    <n v="0"/>
    <s v="Main Entrance"/>
    <s v="Pixar Pals"/>
    <n v="9.6"/>
    <n v="8"/>
    <x v="3785"/>
  </r>
  <r>
    <n v="4092"/>
    <n v="1340"/>
    <d v="2026-12-23T00:00:00"/>
    <s v="Wednesday"/>
    <n v="12"/>
    <n v="9.4499999999999993"/>
    <x v="0"/>
    <x v="20"/>
    <s v="Female"/>
    <n v="67.900000000000006"/>
    <n v="122.1"/>
    <n v="18.5"/>
    <n v="16"/>
    <s v="NV"/>
    <n v="4"/>
    <n v="126.7"/>
    <s v="Middle"/>
    <n v="0"/>
    <s v="Single-Day"/>
    <n v="0"/>
    <n v="0"/>
    <s v="Main Entrance"/>
    <s v="Pixar Pals"/>
    <n v="7.4"/>
    <n v="6"/>
    <x v="3786"/>
  </r>
  <r>
    <n v="4093"/>
    <n v="1340"/>
    <d v="2026-12-23T00:00:00"/>
    <s v="Wednesday"/>
    <n v="12"/>
    <n v="9.2799999999999994"/>
    <x v="0"/>
    <x v="72"/>
    <s v="Female"/>
    <n v="63.4"/>
    <n v="116.3"/>
    <n v="20"/>
    <n v="16"/>
    <s v="NV"/>
    <n v="4"/>
    <n v="126.7"/>
    <s v="Middle"/>
    <n v="0"/>
    <s v="Single-Day"/>
    <n v="0"/>
    <n v="0"/>
    <s v="Main Entrance"/>
    <s v="Pixar Pals"/>
    <n v="6.8"/>
    <n v="6"/>
    <x v="3264"/>
  </r>
  <r>
    <n v="4094"/>
    <n v="1341"/>
    <d v="2026-06-10T00:00:00"/>
    <s v="Wednesday"/>
    <n v="6"/>
    <n v="10.45"/>
    <x v="0"/>
    <x v="4"/>
    <s v="Female"/>
    <n v="68.900000000000006"/>
    <n v="210.5"/>
    <n v="31.1"/>
    <n v="19"/>
    <s v="NV"/>
    <n v="2"/>
    <n v="294.5"/>
    <s v="High"/>
    <n v="1"/>
    <s v="Single-Day"/>
    <n v="0"/>
    <n v="0"/>
    <s v="Main Entrance"/>
    <s v="Mickey &amp; Friends"/>
    <n v="8.9"/>
    <n v="9"/>
    <x v="3787"/>
  </r>
  <r>
    <n v="4095"/>
    <n v="1341"/>
    <d v="2026-06-10T00:00:00"/>
    <s v="Wednesday"/>
    <n v="6"/>
    <n v="10.039999999999999"/>
    <x v="0"/>
    <x v="50"/>
    <s v="Female"/>
    <n v="60.1"/>
    <n v="120.2"/>
    <n v="23.2"/>
    <n v="18"/>
    <s v="NV"/>
    <n v="2"/>
    <n v="294.5"/>
    <s v="High"/>
    <n v="1"/>
    <s v="Single-Day"/>
    <n v="0"/>
    <n v="0"/>
    <s v="Main Entrance"/>
    <s v="Mickey &amp; Friends"/>
    <n v="7.8"/>
    <n v="7"/>
    <x v="3788"/>
  </r>
  <r>
    <n v="4096"/>
    <n v="1342"/>
    <d v="2026-10-10T00:00:00"/>
    <s v="Saturday"/>
    <n v="10"/>
    <n v="11.83"/>
    <x v="1"/>
    <x v="71"/>
    <s v="Female"/>
    <n v="60.4"/>
    <n v="106.4"/>
    <n v="20.399999999999999"/>
    <n v="15"/>
    <s v="UT"/>
    <n v="2"/>
    <n v="523.5"/>
    <s v="Low"/>
    <n v="1"/>
    <s v="Multi-Day"/>
    <n v="1"/>
    <n v="1"/>
    <s v="Main Entrance"/>
    <s v="None/Walked from Resort"/>
    <n v="9.3000000000000007"/>
    <n v="8"/>
    <x v="2779"/>
  </r>
  <r>
    <n v="4097"/>
    <n v="1342"/>
    <d v="2026-10-10T00:00:00"/>
    <s v="Saturday"/>
    <n v="10"/>
    <n v="11.59"/>
    <x v="1"/>
    <x v="4"/>
    <s v="Male"/>
    <n v="71.2"/>
    <n v="150.69999999999999"/>
    <n v="20.6"/>
    <n v="15"/>
    <s v="UT"/>
    <n v="2"/>
    <n v="523.5"/>
    <s v="Low"/>
    <n v="1"/>
    <s v="Multi-Day"/>
    <n v="1"/>
    <n v="1"/>
    <s v="Main Entrance"/>
    <s v="None/Walked from Resort"/>
    <n v="7.1"/>
    <n v="11"/>
    <x v="3789"/>
  </r>
  <r>
    <n v="4098"/>
    <n v="1343"/>
    <d v="2026-01-10T00:00:00"/>
    <s v="Saturday"/>
    <n v="1"/>
    <n v="9.8000000000000007"/>
    <x v="0"/>
    <x v="37"/>
    <s v="Female"/>
    <n v="61.2"/>
    <n v="154.5"/>
    <n v="29"/>
    <n v="19"/>
    <s v="AZ"/>
    <n v="1"/>
    <n v="390.5"/>
    <s v="High"/>
    <n v="1"/>
    <s v="Multi-Day"/>
    <n v="0"/>
    <n v="1"/>
    <s v="Main Entrance"/>
    <s v="Toy Story Lot"/>
    <n v="9.5"/>
    <n v="15"/>
    <x v="3790"/>
  </r>
  <r>
    <n v="4099"/>
    <n v="1344"/>
    <d v="2026-05-14T00:00:00"/>
    <s v="Thursday"/>
    <n v="5"/>
    <n v="12.02"/>
    <x v="1"/>
    <x v="15"/>
    <s v="Female"/>
    <n v="66.3"/>
    <n v="168.1"/>
    <n v="26.8"/>
    <n v="14"/>
    <s v="TX"/>
    <n v="4"/>
    <n v="1487.8"/>
    <s v="Middle"/>
    <n v="1"/>
    <s v="Single-Day"/>
    <n v="1"/>
    <n v="0"/>
    <s v="Main Entrance"/>
    <s v="Toy Story Lot"/>
    <n v="4.3"/>
    <n v="10"/>
    <x v="3791"/>
  </r>
  <r>
    <n v="4100"/>
    <n v="1344"/>
    <d v="2026-05-14T00:00:00"/>
    <s v="Thursday"/>
    <n v="5"/>
    <n v="11.71"/>
    <x v="1"/>
    <x v="6"/>
    <s v="Female"/>
    <n v="62.6"/>
    <n v="170.3"/>
    <n v="30.6"/>
    <n v="15"/>
    <s v="TX"/>
    <n v="4"/>
    <n v="1487.8"/>
    <s v="Middle"/>
    <n v="1"/>
    <s v="Single-Day"/>
    <n v="1"/>
    <n v="0"/>
    <s v="Main Entrance"/>
    <s v="Toy Story Lot"/>
    <n v="7.6"/>
    <n v="10"/>
    <x v="458"/>
  </r>
  <r>
    <n v="4101"/>
    <n v="1344"/>
    <d v="2026-05-14T00:00:00"/>
    <s v="Thursday"/>
    <n v="5"/>
    <n v="11.7"/>
    <x v="1"/>
    <x v="41"/>
    <s v="Female"/>
    <n v="67.599999999999994"/>
    <n v="209.5"/>
    <n v="32.4"/>
    <n v="16"/>
    <s v="TX"/>
    <n v="4"/>
    <n v="1487.8"/>
    <s v="Middle"/>
    <n v="1"/>
    <s v="Single-Day"/>
    <n v="1"/>
    <n v="0"/>
    <s v="Main Entrance"/>
    <s v="Toy Story Lot"/>
    <n v="8.3000000000000007"/>
    <n v="14"/>
    <x v="3792"/>
  </r>
  <r>
    <n v="4102"/>
    <n v="1344"/>
    <d v="2026-05-14T00:00:00"/>
    <s v="Thursday"/>
    <n v="5"/>
    <n v="11.68"/>
    <x v="1"/>
    <x v="22"/>
    <s v="Male"/>
    <n v="65.400000000000006"/>
    <n v="123.6"/>
    <n v="20.3"/>
    <n v="10"/>
    <s v="TX"/>
    <n v="4"/>
    <n v="1487.8"/>
    <s v="Middle"/>
    <n v="1"/>
    <s v="Single-Day"/>
    <n v="1"/>
    <n v="0"/>
    <s v="Main Entrance"/>
    <s v="Toy Story Lot"/>
    <n v="8.6999999999999993"/>
    <n v="6"/>
    <x v="3793"/>
  </r>
  <r>
    <n v="4103"/>
    <n v="1345"/>
    <d v="2026-11-05T00:00:00"/>
    <s v="Thursday"/>
    <n v="11"/>
    <n v="10.72"/>
    <x v="0"/>
    <x v="2"/>
    <s v="Female"/>
    <n v="66.3"/>
    <n v="175.6"/>
    <n v="28"/>
    <n v="16"/>
    <s v="CA"/>
    <n v="3"/>
    <n v="67.2"/>
    <s v="Middle"/>
    <n v="0"/>
    <s v="Single-Day"/>
    <n v="0"/>
    <n v="0"/>
    <s v="Main Entrance"/>
    <s v="Pixar Pals"/>
    <n v="8.5"/>
    <n v="12"/>
    <x v="3794"/>
  </r>
  <r>
    <n v="4104"/>
    <n v="1345"/>
    <d v="2026-11-05T00:00:00"/>
    <s v="Thursday"/>
    <n v="11"/>
    <n v="10.56"/>
    <x v="0"/>
    <x v="6"/>
    <s v="Female"/>
    <n v="61.1"/>
    <n v="138.69999999999999"/>
    <n v="25.8"/>
    <n v="20"/>
    <s v="CA"/>
    <n v="3"/>
    <n v="67.2"/>
    <s v="Middle"/>
    <n v="0"/>
    <s v="Single-Day"/>
    <n v="0"/>
    <n v="0"/>
    <s v="Main Entrance"/>
    <s v="Pixar Pals"/>
    <n v="6.6"/>
    <n v="7"/>
    <x v="3795"/>
  </r>
  <r>
    <n v="4105"/>
    <n v="1345"/>
    <d v="2026-11-05T00:00:00"/>
    <s v="Thursday"/>
    <n v="11"/>
    <n v="10.65"/>
    <x v="0"/>
    <x v="14"/>
    <s v="Male"/>
    <n v="64.7"/>
    <n v="165.1"/>
    <n v="27.6"/>
    <n v="15"/>
    <s v="CA"/>
    <n v="3"/>
    <n v="67.2"/>
    <s v="Middle"/>
    <n v="0"/>
    <s v="Single-Day"/>
    <n v="0"/>
    <n v="0"/>
    <s v="Main Entrance"/>
    <s v="Pixar Pals"/>
    <n v="9.8000000000000007"/>
    <n v="4"/>
    <x v="3796"/>
  </r>
  <r>
    <n v="4106"/>
    <n v="1346"/>
    <d v="2026-03-04T00:00:00"/>
    <s v="Wednesday"/>
    <n v="3"/>
    <n v="8.2100000000000009"/>
    <x v="0"/>
    <x v="45"/>
    <s v="Female"/>
    <n v="63.9"/>
    <n v="167.8"/>
    <n v="29"/>
    <n v="15"/>
    <s v="IL"/>
    <n v="6"/>
    <n v="1559"/>
    <s v="Low"/>
    <n v="0"/>
    <s v="Single-Day"/>
    <n v="0"/>
    <n v="0"/>
    <s v="Main Entrance"/>
    <s v="Mickey &amp; Friends"/>
    <n v="8.6"/>
    <n v="14"/>
    <x v="3624"/>
  </r>
  <r>
    <n v="4107"/>
    <n v="1346"/>
    <d v="2026-03-04T00:00:00"/>
    <s v="Wednesday"/>
    <n v="3"/>
    <n v="8.51"/>
    <x v="0"/>
    <x v="15"/>
    <s v="Female"/>
    <n v="66.2"/>
    <n v="194.6"/>
    <n v="31.3"/>
    <n v="11"/>
    <s v="IL"/>
    <n v="6"/>
    <n v="1559"/>
    <s v="Low"/>
    <n v="0"/>
    <s v="Single-Day"/>
    <n v="0"/>
    <n v="0"/>
    <s v="Main Entrance"/>
    <s v="Mickey &amp; Friends"/>
    <n v="8.5"/>
    <n v="11"/>
    <x v="3797"/>
  </r>
  <r>
    <n v="4108"/>
    <n v="1346"/>
    <d v="2026-03-04T00:00:00"/>
    <s v="Wednesday"/>
    <n v="3"/>
    <n v="8.3800000000000008"/>
    <x v="0"/>
    <x v="50"/>
    <s v="Female"/>
    <n v="67"/>
    <n v="162.6"/>
    <n v="25.3"/>
    <n v="11"/>
    <s v="IL"/>
    <n v="6"/>
    <n v="1559"/>
    <s v="Low"/>
    <n v="0"/>
    <s v="Single-Day"/>
    <n v="0"/>
    <n v="0"/>
    <s v="Main Entrance"/>
    <s v="Mickey &amp; Friends"/>
    <n v="8.1"/>
    <n v="6"/>
    <x v="3798"/>
  </r>
  <r>
    <n v="4109"/>
    <n v="1346"/>
    <d v="2026-03-04T00:00:00"/>
    <s v="Wednesday"/>
    <n v="3"/>
    <n v="8.34"/>
    <x v="0"/>
    <x v="53"/>
    <s v="Male"/>
    <n v="58.1"/>
    <n v="83.7"/>
    <n v="17.399999999999999"/>
    <n v="10"/>
    <s v="IL"/>
    <n v="6"/>
    <n v="1559"/>
    <s v="Low"/>
    <n v="0"/>
    <s v="Single-Day"/>
    <n v="0"/>
    <n v="0"/>
    <s v="Main Entrance"/>
    <s v="Mickey &amp; Friends"/>
    <n v="7.8"/>
    <n v="8"/>
    <x v="3214"/>
  </r>
  <r>
    <n v="4110"/>
    <n v="1346"/>
    <d v="2026-03-04T00:00:00"/>
    <s v="Wednesday"/>
    <n v="3"/>
    <n v="8.07"/>
    <x v="0"/>
    <x v="1"/>
    <s v="Female"/>
    <n v="61.7"/>
    <n v="157.80000000000001"/>
    <n v="29"/>
    <n v="12"/>
    <s v="IL"/>
    <n v="6"/>
    <n v="1559"/>
    <s v="Low"/>
    <n v="0"/>
    <s v="Single-Day"/>
    <n v="0"/>
    <n v="0"/>
    <s v="Main Entrance"/>
    <s v="Mickey &amp; Friends"/>
    <n v="8.6999999999999993"/>
    <n v="13"/>
    <x v="3799"/>
  </r>
  <r>
    <n v="4111"/>
    <n v="1346"/>
    <d v="2026-03-04T00:00:00"/>
    <s v="Wednesday"/>
    <n v="3"/>
    <n v="8.15"/>
    <x v="0"/>
    <x v="64"/>
    <s v="Female"/>
    <n v="56.1"/>
    <n v="80.900000000000006"/>
    <n v="18.3"/>
    <n v="12"/>
    <s v="IL"/>
    <n v="6"/>
    <n v="1559"/>
    <s v="Low"/>
    <n v="0"/>
    <s v="Single-Day"/>
    <n v="0"/>
    <n v="0"/>
    <s v="Main Entrance"/>
    <s v="Mickey &amp; Friends"/>
    <n v="7.1"/>
    <n v="5"/>
    <x v="3800"/>
  </r>
  <r>
    <n v="4112"/>
    <n v="1347"/>
    <d v="2026-06-09T00:00:00"/>
    <s v="Tuesday"/>
    <n v="6"/>
    <n v="9.99"/>
    <x v="0"/>
    <x v="5"/>
    <s v="Male"/>
    <n v="66.3"/>
    <n v="167.8"/>
    <n v="26.7"/>
    <n v="18"/>
    <s v="AZ"/>
    <n v="2"/>
    <n v="388.9"/>
    <s v="High"/>
    <n v="1"/>
    <s v="Park Hopper"/>
    <n v="1"/>
    <n v="1"/>
    <s v="Main Entrance"/>
    <s v="Mickey &amp; Friends"/>
    <n v="9.6"/>
    <n v="12"/>
    <x v="3801"/>
  </r>
  <r>
    <n v="4113"/>
    <n v="1347"/>
    <d v="2026-06-09T00:00:00"/>
    <s v="Tuesday"/>
    <n v="6"/>
    <n v="10.11"/>
    <x v="0"/>
    <x v="49"/>
    <s v="Male"/>
    <n v="68.2"/>
    <n v="186.4"/>
    <n v="28"/>
    <n v="17"/>
    <s v="AZ"/>
    <n v="2"/>
    <n v="388.9"/>
    <s v="High"/>
    <n v="1"/>
    <s v="Park Hopper"/>
    <n v="1"/>
    <n v="1"/>
    <s v="Main Entrance"/>
    <s v="Mickey &amp; Friends"/>
    <n v="9.1999999999999993"/>
    <n v="9"/>
    <x v="3802"/>
  </r>
  <r>
    <n v="4114"/>
    <n v="1348"/>
    <d v="2026-03-12T00:00:00"/>
    <s v="Thursday"/>
    <n v="3"/>
    <n v="11.51"/>
    <x v="1"/>
    <x v="58"/>
    <s v="Male"/>
    <n v="72.3"/>
    <n v="158.6"/>
    <n v="21.2"/>
    <n v="15"/>
    <s v="AZ"/>
    <n v="3"/>
    <n v="475"/>
    <s v="High"/>
    <n v="0"/>
    <s v="Single-Day"/>
    <n v="0"/>
    <n v="0"/>
    <s v="Main Entrance"/>
    <s v="Mickey &amp; Friends"/>
    <n v="8"/>
    <n v="11"/>
    <x v="3803"/>
  </r>
  <r>
    <n v="4115"/>
    <n v="1348"/>
    <d v="2026-03-12T00:00:00"/>
    <s v="Thursday"/>
    <n v="3"/>
    <n v="11.15"/>
    <x v="1"/>
    <x v="2"/>
    <s v="Female"/>
    <n v="65.2"/>
    <n v="188.9"/>
    <n v="31.3"/>
    <n v="16"/>
    <s v="AZ"/>
    <n v="3"/>
    <n v="475"/>
    <s v="High"/>
    <n v="0"/>
    <s v="Single-Day"/>
    <n v="0"/>
    <n v="0"/>
    <s v="Main Entrance"/>
    <s v="Mickey &amp; Friends"/>
    <n v="6.4"/>
    <n v="9"/>
    <x v="3804"/>
  </r>
  <r>
    <n v="4116"/>
    <n v="1348"/>
    <d v="2026-03-12T00:00:00"/>
    <s v="Thursday"/>
    <n v="3"/>
    <n v="11.35"/>
    <x v="1"/>
    <x v="0"/>
    <s v="Female"/>
    <n v="63.9"/>
    <n v="167.3"/>
    <n v="28.8"/>
    <n v="20"/>
    <s v="AZ"/>
    <n v="3"/>
    <n v="475"/>
    <s v="High"/>
    <n v="0"/>
    <s v="Single-Day"/>
    <n v="0"/>
    <n v="0"/>
    <s v="Main Entrance"/>
    <s v="Mickey &amp; Friends"/>
    <n v="8.8000000000000007"/>
    <n v="4"/>
    <x v="3020"/>
  </r>
  <r>
    <n v="4117"/>
    <n v="1349"/>
    <d v="2026-05-20T00:00:00"/>
    <s v="Wednesday"/>
    <n v="5"/>
    <n v="9.4499999999999993"/>
    <x v="0"/>
    <x v="32"/>
    <s v="Female"/>
    <n v="57.1"/>
    <n v="108.1"/>
    <n v="23.3"/>
    <n v="18"/>
    <s v="CA"/>
    <n v="4"/>
    <n v="2"/>
    <s v="High"/>
    <n v="0"/>
    <s v="Single-Day"/>
    <n v="1"/>
    <n v="1"/>
    <s v="Main Entrance"/>
    <s v="Mickey &amp; Friends"/>
    <n v="8.5"/>
    <n v="10"/>
    <x v="3805"/>
  </r>
  <r>
    <n v="4118"/>
    <n v="1349"/>
    <d v="2026-05-20T00:00:00"/>
    <s v="Wednesday"/>
    <n v="5"/>
    <n v="9.33"/>
    <x v="0"/>
    <x v="51"/>
    <s v="Female"/>
    <n v="65.3"/>
    <n v="196.7"/>
    <n v="32.5"/>
    <n v="17"/>
    <s v="CA"/>
    <n v="4"/>
    <n v="2"/>
    <s v="High"/>
    <n v="0"/>
    <s v="Single-Day"/>
    <n v="1"/>
    <n v="1"/>
    <s v="Main Entrance"/>
    <s v="Mickey &amp; Friends"/>
    <n v="8.1"/>
    <n v="9"/>
    <x v="3806"/>
  </r>
  <r>
    <n v="4119"/>
    <n v="1349"/>
    <d v="2026-05-20T00:00:00"/>
    <s v="Wednesday"/>
    <n v="5"/>
    <n v="9.27"/>
    <x v="0"/>
    <x v="11"/>
    <s v="Female"/>
    <n v="59.5"/>
    <n v="159.5"/>
    <n v="32"/>
    <n v="13"/>
    <s v="CA"/>
    <n v="4"/>
    <n v="2"/>
    <s v="High"/>
    <n v="0"/>
    <s v="Single-Day"/>
    <n v="1"/>
    <n v="1"/>
    <s v="Main Entrance"/>
    <s v="Mickey &amp; Friends"/>
    <n v="8.9"/>
    <n v="5"/>
    <x v="3807"/>
  </r>
  <r>
    <n v="4120"/>
    <n v="1349"/>
    <d v="2026-05-20T00:00:00"/>
    <s v="Wednesday"/>
    <n v="5"/>
    <n v="9.36"/>
    <x v="0"/>
    <x v="78"/>
    <s v="Male"/>
    <n v="70"/>
    <n v="143.19999999999999"/>
    <n v="20.5"/>
    <n v="14"/>
    <s v="CA"/>
    <n v="4"/>
    <n v="2"/>
    <s v="High"/>
    <n v="0"/>
    <s v="Single-Day"/>
    <n v="1"/>
    <n v="1"/>
    <s v="Main Entrance"/>
    <s v="Mickey &amp; Friends"/>
    <n v="8"/>
    <n v="13"/>
    <x v="3808"/>
  </r>
  <r>
    <n v="4121"/>
    <n v="1350"/>
    <d v="2026-07-17T00:00:00"/>
    <s v="Friday"/>
    <n v="7"/>
    <n v="10.85"/>
    <x v="0"/>
    <x v="4"/>
    <s v="Female"/>
    <n v="58.9"/>
    <n v="149"/>
    <n v="30.2"/>
    <n v="16"/>
    <s v="CA"/>
    <n v="1"/>
    <n v="114.1"/>
    <s v="Middle"/>
    <n v="0"/>
    <s v="Single-Day"/>
    <n v="1"/>
    <n v="1"/>
    <s v="Main Entrance"/>
    <s v="Mickey &amp; Friends"/>
    <n v="5.2"/>
    <n v="6"/>
    <x v="3809"/>
  </r>
  <r>
    <n v="4122"/>
    <n v="1351"/>
    <d v="2026-11-13T00:00:00"/>
    <s v="Friday"/>
    <n v="11"/>
    <n v="10.5"/>
    <x v="0"/>
    <x v="64"/>
    <s v="Male"/>
    <n v="53.3"/>
    <n v="67.2"/>
    <n v="16.399999999999999"/>
    <n v="11"/>
    <s v="CA"/>
    <n v="3"/>
    <n v="139.30000000000001"/>
    <s v="Middle"/>
    <n v="0"/>
    <s v="Single-Day"/>
    <n v="0"/>
    <n v="0"/>
    <s v="Main Entrance"/>
    <s v="Toy Story Lot"/>
    <n v="9.1"/>
    <n v="7"/>
    <x v="3810"/>
  </r>
  <r>
    <n v="4123"/>
    <n v="1351"/>
    <d v="2026-11-13T00:00:00"/>
    <s v="Friday"/>
    <n v="11"/>
    <n v="10.55"/>
    <x v="0"/>
    <x v="15"/>
    <s v="Male"/>
    <n v="65.900000000000006"/>
    <n v="159.80000000000001"/>
    <n v="26"/>
    <n v="12"/>
    <s v="CA"/>
    <n v="3"/>
    <n v="139.30000000000001"/>
    <s v="Middle"/>
    <n v="0"/>
    <s v="Single-Day"/>
    <n v="0"/>
    <n v="0"/>
    <s v="Main Entrance"/>
    <s v="Toy Story Lot"/>
    <n v="9"/>
    <n v="6"/>
    <x v="3811"/>
  </r>
  <r>
    <n v="4124"/>
    <n v="1351"/>
    <d v="2026-11-13T00:00:00"/>
    <s v="Friday"/>
    <n v="11"/>
    <n v="10.36"/>
    <x v="0"/>
    <x v="57"/>
    <s v="Female"/>
    <n v="64.400000000000006"/>
    <n v="174.8"/>
    <n v="29.8"/>
    <n v="19"/>
    <s v="CA"/>
    <n v="3"/>
    <n v="139.30000000000001"/>
    <s v="Middle"/>
    <n v="0"/>
    <s v="Single-Day"/>
    <n v="0"/>
    <n v="0"/>
    <s v="Main Entrance"/>
    <s v="Toy Story Lot"/>
    <n v="8.4"/>
    <n v="11"/>
    <x v="3446"/>
  </r>
  <r>
    <n v="4125"/>
    <n v="1352"/>
    <d v="2026-07-30T00:00:00"/>
    <s v="Thursday"/>
    <n v="7"/>
    <n v="13.31"/>
    <x v="1"/>
    <x v="42"/>
    <s v="Male"/>
    <n v="63.1"/>
    <n v="176.5"/>
    <n v="31.1"/>
    <n v="13"/>
    <s v="UT"/>
    <n v="3"/>
    <n v="526.1"/>
    <s v="Middle"/>
    <n v="0"/>
    <s v="Single-Day"/>
    <n v="1"/>
    <n v="0"/>
    <s v="Main Entrance"/>
    <s v="Toy Story Lot"/>
    <n v="7.9"/>
    <n v="11"/>
    <x v="3812"/>
  </r>
  <r>
    <n v="4126"/>
    <n v="1352"/>
    <d v="2026-07-30T00:00:00"/>
    <s v="Thursday"/>
    <n v="7"/>
    <n v="13.27"/>
    <x v="1"/>
    <x v="12"/>
    <s v="Female"/>
    <n v="62.9"/>
    <n v="131.1"/>
    <n v="23.2"/>
    <n v="14"/>
    <s v="UT"/>
    <n v="3"/>
    <n v="526.1"/>
    <s v="Middle"/>
    <n v="0"/>
    <s v="Single-Day"/>
    <n v="1"/>
    <n v="0"/>
    <s v="Main Entrance"/>
    <s v="Toy Story Lot"/>
    <n v="6.5"/>
    <n v="5"/>
    <x v="525"/>
  </r>
  <r>
    <n v="4127"/>
    <n v="1352"/>
    <d v="2026-07-30T00:00:00"/>
    <s v="Thursday"/>
    <n v="7"/>
    <n v="13.41"/>
    <x v="1"/>
    <x v="47"/>
    <s v="Female"/>
    <n v="62"/>
    <n v="123.4"/>
    <n v="22.6"/>
    <n v="17"/>
    <s v="UT"/>
    <n v="3"/>
    <n v="526.1"/>
    <s v="Middle"/>
    <n v="0"/>
    <s v="Single-Day"/>
    <n v="1"/>
    <n v="0"/>
    <s v="Main Entrance"/>
    <s v="Toy Story Lot"/>
    <n v="6.6"/>
    <n v="11"/>
    <x v="3813"/>
  </r>
  <r>
    <n v="4128"/>
    <n v="1353"/>
    <d v="2026-12-13T00:00:00"/>
    <s v="Sunday"/>
    <n v="12"/>
    <n v="10.57"/>
    <x v="0"/>
    <x v="57"/>
    <s v="Male"/>
    <n v="71.599999999999994"/>
    <n v="143.1"/>
    <n v="19.600000000000001"/>
    <n v="17"/>
    <s v="Other"/>
    <n v="2"/>
    <n v="1683.2"/>
    <s v="High"/>
    <n v="0"/>
    <s v="Single-Day"/>
    <n v="0"/>
    <n v="0"/>
    <s v="Downtown Disney Gate"/>
    <s v="Toy Story Lot"/>
    <n v="7.1"/>
    <n v="5"/>
    <x v="3814"/>
  </r>
  <r>
    <n v="4129"/>
    <n v="1353"/>
    <d v="2026-12-13T00:00:00"/>
    <s v="Sunday"/>
    <n v="12"/>
    <n v="10.5"/>
    <x v="0"/>
    <x v="9"/>
    <s v="Male"/>
    <n v="68.3"/>
    <n v="179"/>
    <n v="27.2"/>
    <n v="20"/>
    <s v="Other"/>
    <n v="2"/>
    <n v="1683.2"/>
    <s v="High"/>
    <n v="0"/>
    <s v="Single-Day"/>
    <n v="0"/>
    <n v="0"/>
    <s v="Downtown Disney Gate"/>
    <s v="Toy Story Lot"/>
    <n v="7.5"/>
    <n v="9"/>
    <x v="3815"/>
  </r>
  <r>
    <n v="4130"/>
    <n v="1354"/>
    <d v="2026-11-30T00:00:00"/>
    <s v="Monday"/>
    <n v="11"/>
    <n v="12.52"/>
    <x v="1"/>
    <x v="1"/>
    <s v="Male"/>
    <n v="71.7"/>
    <n v="187.1"/>
    <n v="25.5"/>
    <n v="17"/>
    <s v="NV"/>
    <n v="3"/>
    <n v="303.5"/>
    <s v="Middle"/>
    <n v="1"/>
    <s v="Single-Day"/>
    <n v="0"/>
    <n v="0"/>
    <s v="Main Entrance"/>
    <s v="Pixar Pals"/>
    <n v="7.5"/>
    <n v="7"/>
    <x v="606"/>
  </r>
  <r>
    <n v="4131"/>
    <n v="1354"/>
    <d v="2026-11-30T00:00:00"/>
    <s v="Monday"/>
    <n v="11"/>
    <n v="12.58"/>
    <x v="1"/>
    <x v="29"/>
    <s v="Male"/>
    <n v="69.099999999999994"/>
    <n v="192.8"/>
    <n v="28.4"/>
    <n v="16"/>
    <s v="NV"/>
    <n v="3"/>
    <n v="303.5"/>
    <s v="Middle"/>
    <n v="1"/>
    <s v="Single-Day"/>
    <n v="0"/>
    <n v="0"/>
    <s v="Main Entrance"/>
    <s v="Pixar Pals"/>
    <n v="7.8"/>
    <n v="4"/>
    <x v="3816"/>
  </r>
  <r>
    <n v="4132"/>
    <n v="1354"/>
    <d v="2026-11-30T00:00:00"/>
    <s v="Monday"/>
    <n v="11"/>
    <n v="12.49"/>
    <x v="1"/>
    <x v="22"/>
    <s v="Male"/>
    <n v="56.5"/>
    <n v="72.099999999999994"/>
    <n v="16"/>
    <n v="13"/>
    <s v="NV"/>
    <n v="3"/>
    <n v="303.5"/>
    <s v="Middle"/>
    <n v="1"/>
    <s v="Single-Day"/>
    <n v="0"/>
    <n v="0"/>
    <s v="Main Entrance"/>
    <s v="Pixar Pals"/>
    <n v="9"/>
    <n v="10"/>
    <x v="3817"/>
  </r>
  <r>
    <n v="4133"/>
    <n v="1355"/>
    <d v="2026-06-28T00:00:00"/>
    <s v="Sunday"/>
    <n v="6"/>
    <n v="9.6300000000000008"/>
    <x v="0"/>
    <x v="4"/>
    <s v="Male"/>
    <n v="64.7"/>
    <n v="131.5"/>
    <n v="22"/>
    <n v="13"/>
    <s v="MN"/>
    <n v="2"/>
    <n v="1605"/>
    <s v="Low"/>
    <n v="0"/>
    <s v="Park Hopper"/>
    <n v="0"/>
    <n v="1"/>
    <s v="Main Entrance"/>
    <s v="None/Walked from Resort"/>
    <n v="8.1999999999999993"/>
    <n v="2"/>
    <x v="3818"/>
  </r>
  <r>
    <n v="4134"/>
    <n v="1355"/>
    <d v="2026-06-28T00:00:00"/>
    <s v="Sunday"/>
    <n v="6"/>
    <n v="9.51"/>
    <x v="0"/>
    <x v="33"/>
    <s v="Female"/>
    <n v="62.1"/>
    <n v="201.3"/>
    <n v="36.9"/>
    <n v="13"/>
    <s v="MN"/>
    <n v="2"/>
    <n v="1605"/>
    <s v="Low"/>
    <n v="0"/>
    <s v="Park Hopper"/>
    <n v="0"/>
    <n v="1"/>
    <s v="Main Entrance"/>
    <s v="None/Walked from Resort"/>
    <n v="7.8"/>
    <n v="8"/>
    <x v="3819"/>
  </r>
  <r>
    <n v="4135"/>
    <n v="1356"/>
    <d v="2026-02-07T00:00:00"/>
    <s v="Saturday"/>
    <n v="2"/>
    <n v="8.93"/>
    <x v="0"/>
    <x v="43"/>
    <s v="Female"/>
    <n v="63.5"/>
    <n v="138.19999999999999"/>
    <n v="24.2"/>
    <n v="18"/>
    <s v="OR"/>
    <n v="3"/>
    <n v="871.6"/>
    <s v="Middle"/>
    <n v="1"/>
    <s v="Multi-Day"/>
    <n v="0"/>
    <n v="0"/>
    <s v="Main Entrance"/>
    <s v="Toy Story Lot"/>
    <n v="10.6"/>
    <n v="14"/>
    <x v="3820"/>
  </r>
  <r>
    <n v="4136"/>
    <n v="1356"/>
    <d v="2026-02-07T00:00:00"/>
    <s v="Saturday"/>
    <n v="2"/>
    <n v="8.82"/>
    <x v="0"/>
    <x v="74"/>
    <s v="Male"/>
    <n v="65"/>
    <n v="218.5"/>
    <n v="36.5"/>
    <n v="14"/>
    <s v="OR"/>
    <n v="3"/>
    <n v="871.6"/>
    <s v="Middle"/>
    <n v="1"/>
    <s v="Multi-Day"/>
    <n v="0"/>
    <n v="0"/>
    <s v="Main Entrance"/>
    <s v="Toy Story Lot"/>
    <n v="11.2"/>
    <n v="7"/>
    <x v="3821"/>
  </r>
  <r>
    <n v="4137"/>
    <n v="1356"/>
    <d v="2026-02-07T00:00:00"/>
    <s v="Saturday"/>
    <n v="2"/>
    <n v="8.81"/>
    <x v="0"/>
    <x v="44"/>
    <s v="Male"/>
    <n v="66.7"/>
    <n v="170.6"/>
    <n v="27.1"/>
    <n v="10"/>
    <s v="OR"/>
    <n v="3"/>
    <n v="871.6"/>
    <s v="Middle"/>
    <n v="1"/>
    <s v="Multi-Day"/>
    <n v="0"/>
    <n v="0"/>
    <s v="Main Entrance"/>
    <s v="Toy Story Lot"/>
    <n v="10.5"/>
    <n v="7"/>
    <x v="3822"/>
  </r>
  <r>
    <n v="4138"/>
    <n v="1357"/>
    <d v="2026-01-06T00:00:00"/>
    <s v="Tuesday"/>
    <n v="1"/>
    <n v="9.14"/>
    <x v="0"/>
    <x v="45"/>
    <s v="Male"/>
    <n v="68"/>
    <n v="141.80000000000001"/>
    <n v="21.4"/>
    <n v="13"/>
    <s v="CA"/>
    <n v="2"/>
    <n v="40.200000000000003"/>
    <s v="Low"/>
    <n v="0"/>
    <s v="Single-Day"/>
    <n v="0"/>
    <n v="0"/>
    <s v="Downtown Disney Gate"/>
    <s v="Pixar Pals"/>
    <n v="7.8"/>
    <n v="5"/>
    <x v="3823"/>
  </r>
  <r>
    <n v="4139"/>
    <n v="1357"/>
    <d v="2026-01-06T00:00:00"/>
    <s v="Tuesday"/>
    <n v="1"/>
    <n v="9.35"/>
    <x v="0"/>
    <x v="58"/>
    <s v="Female"/>
    <n v="65.5"/>
    <n v="141.69999999999999"/>
    <n v="23.2"/>
    <n v="9"/>
    <s v="CA"/>
    <n v="2"/>
    <n v="40.200000000000003"/>
    <s v="Low"/>
    <n v="0"/>
    <s v="Single-Day"/>
    <n v="0"/>
    <n v="0"/>
    <s v="Downtown Disney Gate"/>
    <s v="Pixar Pals"/>
    <n v="5.0999999999999996"/>
    <n v="6"/>
    <x v="3824"/>
  </r>
  <r>
    <n v="4140"/>
    <n v="1358"/>
    <d v="2026-01-14T00:00:00"/>
    <s v="Wednesday"/>
    <n v="1"/>
    <n v="11.66"/>
    <x v="1"/>
    <x v="31"/>
    <s v="Female"/>
    <n v="59.6"/>
    <n v="116.4"/>
    <n v="23.4"/>
    <n v="19"/>
    <s v="MN"/>
    <n v="3"/>
    <n v="1621.1"/>
    <s v="High"/>
    <n v="0"/>
    <s v="Multi-Day"/>
    <n v="1"/>
    <n v="1"/>
    <s v="Hotel Guest Entrance"/>
    <s v="None/Walked from Resort"/>
    <n v="6.9"/>
    <n v="15"/>
    <x v="3825"/>
  </r>
  <r>
    <n v="4141"/>
    <n v="1358"/>
    <d v="2026-01-14T00:00:00"/>
    <s v="Wednesday"/>
    <n v="1"/>
    <n v="11.87"/>
    <x v="1"/>
    <x v="17"/>
    <s v="Male"/>
    <n v="74"/>
    <n v="188.1"/>
    <n v="24.3"/>
    <n v="16"/>
    <s v="MN"/>
    <n v="3"/>
    <n v="1621.1"/>
    <s v="High"/>
    <n v="0"/>
    <s v="Multi-Day"/>
    <n v="1"/>
    <n v="1"/>
    <s v="Hotel Guest Entrance"/>
    <s v="None/Walked from Resort"/>
    <n v="10.3"/>
    <n v="12"/>
    <x v="3826"/>
  </r>
  <r>
    <n v="4142"/>
    <n v="1358"/>
    <d v="2026-01-14T00:00:00"/>
    <s v="Wednesday"/>
    <n v="1"/>
    <n v="11.74"/>
    <x v="1"/>
    <x v="56"/>
    <s v="Female"/>
    <n v="56"/>
    <n v="101.8"/>
    <n v="22.9"/>
    <n v="19"/>
    <s v="MN"/>
    <n v="3"/>
    <n v="1621.1"/>
    <s v="High"/>
    <n v="0"/>
    <s v="Multi-Day"/>
    <n v="1"/>
    <n v="1"/>
    <s v="Hotel Guest Entrance"/>
    <s v="None/Walked from Resort"/>
    <n v="8.8000000000000007"/>
    <n v="8"/>
    <x v="3827"/>
  </r>
  <r>
    <n v="4143"/>
    <n v="1359"/>
    <d v="2026-06-12T00:00:00"/>
    <s v="Friday"/>
    <n v="6"/>
    <n v="11.11"/>
    <x v="1"/>
    <x v="52"/>
    <s v="Female"/>
    <n v="63.1"/>
    <n v="98.2"/>
    <n v="17.3"/>
    <n v="20"/>
    <s v="AZ"/>
    <n v="1"/>
    <n v="337.7"/>
    <s v="High"/>
    <n v="0"/>
    <s v="Single-Day"/>
    <n v="0"/>
    <n v="0"/>
    <s v="Main Entrance"/>
    <s v="Pixar Pals"/>
    <n v="6.2"/>
    <n v="7"/>
    <x v="3828"/>
  </r>
  <r>
    <n v="4144"/>
    <n v="1360"/>
    <d v="2026-06-17T00:00:00"/>
    <s v="Wednesday"/>
    <n v="6"/>
    <n v="10.06"/>
    <x v="0"/>
    <x v="59"/>
    <s v="Female"/>
    <n v="62"/>
    <n v="179.9"/>
    <n v="33"/>
    <n v="16"/>
    <s v="CA"/>
    <n v="5"/>
    <n v="9.9"/>
    <s v="High"/>
    <n v="0"/>
    <s v="Single-Day"/>
    <n v="0"/>
    <n v="1"/>
    <s v="Hotel Guest Entrance"/>
    <s v="Toy Story Lot"/>
    <n v="6.3"/>
    <n v="4"/>
    <x v="3829"/>
  </r>
  <r>
    <n v="4145"/>
    <n v="1360"/>
    <d v="2026-06-17T00:00:00"/>
    <s v="Wednesday"/>
    <n v="6"/>
    <n v="10.02"/>
    <x v="0"/>
    <x v="21"/>
    <s v="Female"/>
    <n v="64.3"/>
    <n v="150.19999999999999"/>
    <n v="25.7"/>
    <n v="18"/>
    <s v="CA"/>
    <n v="5"/>
    <n v="9.9"/>
    <s v="High"/>
    <n v="0"/>
    <s v="Single-Day"/>
    <n v="0"/>
    <n v="1"/>
    <s v="Hotel Guest Entrance"/>
    <s v="Toy Story Lot"/>
    <n v="7.9"/>
    <n v="11"/>
    <x v="3830"/>
  </r>
  <r>
    <n v="4146"/>
    <n v="1360"/>
    <d v="2026-06-17T00:00:00"/>
    <s v="Wednesday"/>
    <n v="6"/>
    <n v="9.98"/>
    <x v="0"/>
    <x v="62"/>
    <s v="Female"/>
    <n v="65.7"/>
    <n v="179"/>
    <n v="29"/>
    <n v="16"/>
    <s v="CA"/>
    <n v="5"/>
    <n v="9.9"/>
    <s v="High"/>
    <n v="0"/>
    <s v="Single-Day"/>
    <n v="0"/>
    <n v="1"/>
    <s v="Hotel Guest Entrance"/>
    <s v="Toy Story Lot"/>
    <n v="10"/>
    <n v="7"/>
    <x v="3831"/>
  </r>
  <r>
    <n v="4147"/>
    <n v="1360"/>
    <d v="2026-06-17T00:00:00"/>
    <s v="Wednesday"/>
    <n v="6"/>
    <n v="9.7200000000000006"/>
    <x v="0"/>
    <x v="35"/>
    <s v="Male"/>
    <n v="68.7"/>
    <n v="150.69999999999999"/>
    <n v="22.2"/>
    <n v="17"/>
    <s v="CA"/>
    <n v="5"/>
    <n v="9.9"/>
    <s v="High"/>
    <n v="0"/>
    <s v="Single-Day"/>
    <n v="0"/>
    <n v="1"/>
    <s v="Hotel Guest Entrance"/>
    <s v="Toy Story Lot"/>
    <n v="6"/>
    <n v="10"/>
    <x v="3832"/>
  </r>
  <r>
    <n v="4148"/>
    <n v="1360"/>
    <d v="2026-06-17T00:00:00"/>
    <s v="Wednesday"/>
    <n v="6"/>
    <n v="9.85"/>
    <x v="0"/>
    <x v="21"/>
    <s v="Female"/>
    <n v="65.5"/>
    <n v="157.80000000000001"/>
    <n v="26"/>
    <n v="16"/>
    <s v="CA"/>
    <n v="5"/>
    <n v="9.9"/>
    <s v="High"/>
    <n v="0"/>
    <s v="Single-Day"/>
    <n v="0"/>
    <n v="1"/>
    <s v="Hotel Guest Entrance"/>
    <s v="Toy Story Lot"/>
    <n v="10.4"/>
    <n v="5"/>
    <x v="3833"/>
  </r>
  <r>
    <n v="4149"/>
    <n v="1361"/>
    <d v="2026-08-01T00:00:00"/>
    <s v="Saturday"/>
    <n v="8"/>
    <n v="11.39"/>
    <x v="1"/>
    <x v="59"/>
    <s v="Female"/>
    <n v="63.8"/>
    <n v="128.80000000000001"/>
    <n v="22.4"/>
    <n v="17"/>
    <s v="Other"/>
    <n v="1"/>
    <n v="1919.3"/>
    <s v="Middle"/>
    <n v="1"/>
    <s v="Single-Day"/>
    <n v="0"/>
    <n v="0"/>
    <s v="Main Entrance"/>
    <s v="Mickey &amp; Friends"/>
    <n v="7.3"/>
    <n v="3"/>
    <x v="3834"/>
  </r>
  <r>
    <n v="4150"/>
    <n v="1362"/>
    <d v="2026-11-03T00:00:00"/>
    <s v="Tuesday"/>
    <n v="11"/>
    <n v="9.14"/>
    <x v="0"/>
    <x v="40"/>
    <s v="Female"/>
    <n v="65.099999999999994"/>
    <n v="104.1"/>
    <n v="17.3"/>
    <n v="12"/>
    <s v="AZ"/>
    <n v="5"/>
    <n v="363.2"/>
    <s v="Low"/>
    <n v="1"/>
    <s v="Multi-Day"/>
    <n v="0"/>
    <n v="0"/>
    <s v="Main Entrance"/>
    <s v="Toy Story Lot"/>
    <n v="9"/>
    <n v="13"/>
    <x v="3835"/>
  </r>
  <r>
    <n v="4151"/>
    <n v="1362"/>
    <d v="2026-11-03T00:00:00"/>
    <s v="Tuesday"/>
    <n v="11"/>
    <n v="9.39"/>
    <x v="0"/>
    <x v="78"/>
    <s v="Female"/>
    <n v="70"/>
    <n v="180.6"/>
    <n v="26"/>
    <n v="8"/>
    <s v="AZ"/>
    <n v="5"/>
    <n v="363.2"/>
    <s v="Low"/>
    <n v="1"/>
    <s v="Multi-Day"/>
    <n v="0"/>
    <n v="0"/>
    <s v="Main Entrance"/>
    <s v="Toy Story Lot"/>
    <n v="10.4"/>
    <n v="2"/>
    <x v="3836"/>
  </r>
  <r>
    <n v="4152"/>
    <n v="1362"/>
    <d v="2026-11-03T00:00:00"/>
    <s v="Tuesday"/>
    <n v="11"/>
    <n v="9.31"/>
    <x v="0"/>
    <x v="51"/>
    <s v="Male"/>
    <n v="68.2"/>
    <n v="201.9"/>
    <n v="30.6"/>
    <n v="11"/>
    <s v="AZ"/>
    <n v="5"/>
    <n v="363.2"/>
    <s v="Low"/>
    <n v="1"/>
    <s v="Multi-Day"/>
    <n v="0"/>
    <n v="0"/>
    <s v="Main Entrance"/>
    <s v="Toy Story Lot"/>
    <n v="11"/>
    <n v="10"/>
    <x v="3837"/>
  </r>
  <r>
    <n v="4153"/>
    <n v="1362"/>
    <d v="2026-11-03T00:00:00"/>
    <s v="Tuesday"/>
    <n v="11"/>
    <n v="9.25"/>
    <x v="0"/>
    <x v="38"/>
    <s v="Female"/>
    <n v="61.9"/>
    <n v="168.6"/>
    <n v="31"/>
    <n v="11"/>
    <s v="AZ"/>
    <n v="5"/>
    <n v="363.2"/>
    <s v="Low"/>
    <n v="1"/>
    <s v="Multi-Day"/>
    <n v="0"/>
    <n v="0"/>
    <s v="Main Entrance"/>
    <s v="Toy Story Lot"/>
    <n v="7.1"/>
    <n v="6"/>
    <x v="801"/>
  </r>
  <r>
    <n v="4154"/>
    <n v="1362"/>
    <d v="2026-11-03T00:00:00"/>
    <s v="Tuesday"/>
    <n v="11"/>
    <n v="9.23"/>
    <x v="0"/>
    <x v="65"/>
    <s v="Male"/>
    <n v="74.3"/>
    <n v="161.9"/>
    <n v="20.5"/>
    <n v="14"/>
    <s v="AZ"/>
    <n v="5"/>
    <n v="363.2"/>
    <s v="Low"/>
    <n v="1"/>
    <s v="Multi-Day"/>
    <n v="0"/>
    <n v="0"/>
    <s v="Main Entrance"/>
    <s v="Toy Story Lot"/>
    <n v="7.6"/>
    <n v="7"/>
    <x v="2239"/>
  </r>
  <r>
    <n v="4155"/>
    <n v="1363"/>
    <d v="2026-12-18T00:00:00"/>
    <s v="Friday"/>
    <n v="12"/>
    <n v="9.5399999999999991"/>
    <x v="0"/>
    <x v="55"/>
    <s v="Male"/>
    <n v="72.900000000000006"/>
    <n v="199.2"/>
    <n v="26.3"/>
    <n v="17"/>
    <s v="MN"/>
    <n v="6"/>
    <n v="2416.9"/>
    <s v="Middle"/>
    <n v="0"/>
    <s v="Multi-Day"/>
    <n v="1"/>
    <n v="0"/>
    <s v="Main Entrance"/>
    <s v="Pixar Pals"/>
    <n v="5.9"/>
    <n v="6"/>
    <x v="3838"/>
  </r>
  <r>
    <n v="4156"/>
    <n v="1363"/>
    <d v="2026-12-18T00:00:00"/>
    <s v="Friday"/>
    <n v="12"/>
    <n v="9.67"/>
    <x v="0"/>
    <x v="27"/>
    <s v="Male"/>
    <n v="72.7"/>
    <n v="209.6"/>
    <n v="27.9"/>
    <n v="19"/>
    <s v="MN"/>
    <n v="6"/>
    <n v="2416.9"/>
    <s v="Middle"/>
    <n v="0"/>
    <s v="Multi-Day"/>
    <n v="1"/>
    <n v="0"/>
    <s v="Main Entrance"/>
    <s v="Pixar Pals"/>
    <n v="7.5"/>
    <n v="11"/>
    <x v="3839"/>
  </r>
  <r>
    <n v="4157"/>
    <n v="1363"/>
    <d v="2026-12-18T00:00:00"/>
    <s v="Friday"/>
    <n v="12"/>
    <n v="9.56"/>
    <x v="0"/>
    <x v="2"/>
    <s v="Male"/>
    <n v="69.2"/>
    <n v="152.9"/>
    <n v="22.4"/>
    <n v="14"/>
    <s v="MN"/>
    <n v="6"/>
    <n v="2416.9"/>
    <s v="Middle"/>
    <n v="0"/>
    <s v="Multi-Day"/>
    <n v="1"/>
    <n v="0"/>
    <s v="Main Entrance"/>
    <s v="Pixar Pals"/>
    <n v="10.4"/>
    <n v="13"/>
    <x v="3840"/>
  </r>
  <r>
    <n v="4158"/>
    <n v="1363"/>
    <d v="2026-12-18T00:00:00"/>
    <s v="Friday"/>
    <n v="12"/>
    <n v="9.2799999999999994"/>
    <x v="0"/>
    <x v="34"/>
    <s v="Female"/>
    <n v="65.7"/>
    <n v="162.30000000000001"/>
    <n v="26.5"/>
    <n v="13"/>
    <s v="MN"/>
    <n v="6"/>
    <n v="2416.9"/>
    <s v="Middle"/>
    <n v="0"/>
    <s v="Multi-Day"/>
    <n v="1"/>
    <n v="0"/>
    <s v="Main Entrance"/>
    <s v="Pixar Pals"/>
    <n v="8"/>
    <n v="7"/>
    <x v="603"/>
  </r>
  <r>
    <n v="4159"/>
    <n v="1363"/>
    <d v="2026-12-18T00:00:00"/>
    <s v="Friday"/>
    <n v="12"/>
    <n v="9.52"/>
    <x v="0"/>
    <x v="47"/>
    <s v="Male"/>
    <n v="70.599999999999994"/>
    <n v="226.1"/>
    <n v="32"/>
    <n v="16"/>
    <s v="MN"/>
    <n v="6"/>
    <n v="2416.9"/>
    <s v="Middle"/>
    <n v="0"/>
    <s v="Multi-Day"/>
    <n v="1"/>
    <n v="0"/>
    <s v="Main Entrance"/>
    <s v="Pixar Pals"/>
    <n v="5.0999999999999996"/>
    <n v="8"/>
    <x v="3841"/>
  </r>
  <r>
    <n v="4160"/>
    <n v="1363"/>
    <d v="2026-12-18T00:00:00"/>
    <s v="Friday"/>
    <n v="12"/>
    <n v="9.52"/>
    <x v="0"/>
    <x v="60"/>
    <s v="Female"/>
    <n v="61.2"/>
    <n v="99.1"/>
    <n v="18.5"/>
    <n v="13"/>
    <s v="MN"/>
    <n v="6"/>
    <n v="2416.9"/>
    <s v="Middle"/>
    <n v="0"/>
    <s v="Multi-Day"/>
    <n v="1"/>
    <n v="0"/>
    <s v="Main Entrance"/>
    <s v="Pixar Pals"/>
    <n v="9.1"/>
    <n v="14"/>
    <x v="3842"/>
  </r>
  <r>
    <n v="4161"/>
    <n v="1364"/>
    <d v="2026-07-03T00:00:00"/>
    <s v="Friday"/>
    <n v="7"/>
    <n v="10.53"/>
    <x v="0"/>
    <x v="11"/>
    <s v="Male"/>
    <n v="71.5"/>
    <n v="184.7"/>
    <n v="25.6"/>
    <n v="15"/>
    <s v="MN"/>
    <n v="3"/>
    <n v="1738.5"/>
    <s v="Middle"/>
    <n v="1"/>
    <s v="Single-Day"/>
    <n v="1"/>
    <n v="0"/>
    <s v="Main Entrance"/>
    <s v="Toy Story Lot"/>
    <n v="11.9"/>
    <n v="15"/>
    <x v="3843"/>
  </r>
  <r>
    <n v="4162"/>
    <n v="1364"/>
    <d v="2026-07-03T00:00:00"/>
    <s v="Friday"/>
    <n v="7"/>
    <n v="10.69"/>
    <x v="0"/>
    <x v="23"/>
    <s v="Female"/>
    <n v="61.1"/>
    <n v="143.1"/>
    <n v="26.8"/>
    <n v="14"/>
    <s v="MN"/>
    <n v="3"/>
    <n v="1738.5"/>
    <s v="Middle"/>
    <n v="1"/>
    <s v="Single-Day"/>
    <n v="1"/>
    <n v="0"/>
    <s v="Main Entrance"/>
    <s v="Toy Story Lot"/>
    <n v="8.5"/>
    <n v="13"/>
    <x v="2183"/>
  </r>
  <r>
    <n v="4163"/>
    <n v="1364"/>
    <d v="2026-07-03T00:00:00"/>
    <s v="Friday"/>
    <n v="7"/>
    <n v="10.35"/>
    <x v="0"/>
    <x v="12"/>
    <s v="Male"/>
    <n v="58.3"/>
    <n v="120.6"/>
    <n v="24.7"/>
    <n v="14"/>
    <s v="MN"/>
    <n v="3"/>
    <n v="1738.5"/>
    <s v="Middle"/>
    <n v="1"/>
    <s v="Single-Day"/>
    <n v="1"/>
    <n v="0"/>
    <s v="Main Entrance"/>
    <s v="Toy Story Lot"/>
    <n v="7"/>
    <n v="8"/>
    <x v="3844"/>
  </r>
  <r>
    <n v="4164"/>
    <n v="1365"/>
    <d v="2026-04-26T00:00:00"/>
    <s v="Sunday"/>
    <n v="4"/>
    <n v="10.48"/>
    <x v="0"/>
    <x v="38"/>
    <s v="Male"/>
    <n v="66"/>
    <n v="175"/>
    <n v="28.2"/>
    <n v="13"/>
    <s v="CA"/>
    <n v="2"/>
    <n v="45.7"/>
    <s v="Middle"/>
    <n v="0"/>
    <s v="Single-Day"/>
    <n v="0"/>
    <n v="0"/>
    <s v="Hotel Guest Entrance"/>
    <s v="Mickey &amp; Friends"/>
    <n v="8.1999999999999993"/>
    <n v="11"/>
    <x v="3845"/>
  </r>
  <r>
    <n v="4165"/>
    <n v="1365"/>
    <d v="2026-04-26T00:00:00"/>
    <s v="Sunday"/>
    <n v="4"/>
    <n v="10.58"/>
    <x v="0"/>
    <x v="2"/>
    <s v="Male"/>
    <n v="69.900000000000006"/>
    <n v="187.6"/>
    <n v="27.3"/>
    <n v="14"/>
    <s v="CA"/>
    <n v="2"/>
    <n v="45.7"/>
    <s v="Middle"/>
    <n v="0"/>
    <s v="Single-Day"/>
    <n v="0"/>
    <n v="0"/>
    <s v="Hotel Guest Entrance"/>
    <s v="Mickey &amp; Friends"/>
    <n v="7.5"/>
    <n v="7"/>
    <x v="3846"/>
  </r>
  <r>
    <n v="4166"/>
    <n v="1366"/>
    <d v="2026-02-14T00:00:00"/>
    <s v="Saturday"/>
    <n v="2"/>
    <n v="12.33"/>
    <x v="1"/>
    <x v="45"/>
    <s v="Male"/>
    <n v="68.2"/>
    <n v="170.2"/>
    <n v="26"/>
    <n v="16"/>
    <s v="CA"/>
    <n v="3"/>
    <n v="179.9"/>
    <s v="Middle"/>
    <n v="0"/>
    <s v="Single-Day"/>
    <n v="1"/>
    <n v="0"/>
    <s v="Main Entrance"/>
    <s v="Toy Story Lot"/>
    <n v="9"/>
    <n v="15"/>
    <x v="133"/>
  </r>
  <r>
    <n v="4167"/>
    <n v="1366"/>
    <d v="2026-02-14T00:00:00"/>
    <s v="Saturday"/>
    <n v="2"/>
    <n v="12.53"/>
    <x v="1"/>
    <x v="45"/>
    <s v="Male"/>
    <n v="72.099999999999994"/>
    <n v="220.9"/>
    <n v="29.8"/>
    <n v="16"/>
    <s v="CA"/>
    <n v="3"/>
    <n v="179.9"/>
    <s v="Middle"/>
    <n v="0"/>
    <s v="Single-Day"/>
    <n v="1"/>
    <n v="0"/>
    <s v="Main Entrance"/>
    <s v="Toy Story Lot"/>
    <n v="7.9"/>
    <n v="5"/>
    <x v="3847"/>
  </r>
  <r>
    <n v="4168"/>
    <n v="1366"/>
    <d v="2026-02-14T00:00:00"/>
    <s v="Saturday"/>
    <n v="2"/>
    <n v="12.45"/>
    <x v="1"/>
    <x v="9"/>
    <s v="Female"/>
    <n v="62.2"/>
    <n v="159.5"/>
    <n v="28.8"/>
    <n v="14"/>
    <s v="CA"/>
    <n v="3"/>
    <n v="179.9"/>
    <s v="Middle"/>
    <n v="0"/>
    <s v="Single-Day"/>
    <n v="1"/>
    <n v="0"/>
    <s v="Main Entrance"/>
    <s v="Toy Story Lot"/>
    <n v="7"/>
    <n v="6"/>
    <x v="3848"/>
  </r>
  <r>
    <n v="4169"/>
    <n v="1367"/>
    <d v="2026-05-31T00:00:00"/>
    <s v="Sunday"/>
    <n v="5"/>
    <n v="11.62"/>
    <x v="1"/>
    <x v="66"/>
    <s v="Male"/>
    <n v="64.900000000000006"/>
    <n v="148.19999999999999"/>
    <n v="24.9"/>
    <n v="22"/>
    <s v="AZ"/>
    <n v="4"/>
    <n v="356.2"/>
    <s v="High"/>
    <n v="1"/>
    <s v="Single-Day"/>
    <n v="0"/>
    <n v="1"/>
    <s v="Hotel Guest Entrance"/>
    <s v="None/Walked from Resort"/>
    <n v="8.3000000000000007"/>
    <n v="5"/>
    <x v="3849"/>
  </r>
  <r>
    <n v="4170"/>
    <n v="1367"/>
    <d v="2026-05-31T00:00:00"/>
    <s v="Sunday"/>
    <n v="5"/>
    <n v="11.2"/>
    <x v="1"/>
    <x v="31"/>
    <s v="Male"/>
    <n v="66.400000000000006"/>
    <n v="110.4"/>
    <n v="17.5"/>
    <n v="20"/>
    <s v="AZ"/>
    <n v="4"/>
    <n v="356.2"/>
    <s v="High"/>
    <n v="1"/>
    <s v="Single-Day"/>
    <n v="0"/>
    <n v="1"/>
    <s v="Hotel Guest Entrance"/>
    <s v="None/Walked from Resort"/>
    <n v="9.9"/>
    <n v="11"/>
    <x v="3850"/>
  </r>
  <r>
    <n v="4171"/>
    <n v="1367"/>
    <d v="2026-05-31T00:00:00"/>
    <s v="Sunday"/>
    <n v="5"/>
    <n v="11.19"/>
    <x v="1"/>
    <x v="0"/>
    <s v="Female"/>
    <n v="61.2"/>
    <n v="104"/>
    <n v="19.2"/>
    <n v="15"/>
    <s v="AZ"/>
    <n v="4"/>
    <n v="356.2"/>
    <s v="High"/>
    <n v="1"/>
    <s v="Single-Day"/>
    <n v="0"/>
    <n v="1"/>
    <s v="Hotel Guest Entrance"/>
    <s v="None/Walked from Resort"/>
    <n v="8.6999999999999993"/>
    <n v="4"/>
    <x v="3851"/>
  </r>
  <r>
    <n v="4172"/>
    <n v="1367"/>
    <d v="2026-05-31T00:00:00"/>
    <s v="Sunday"/>
    <n v="5"/>
    <n v="11.54"/>
    <x v="1"/>
    <x v="64"/>
    <s v="Female"/>
    <n v="51.3"/>
    <n v="63.1"/>
    <n v="16.8"/>
    <n v="14"/>
    <s v="AZ"/>
    <n v="4"/>
    <n v="356.2"/>
    <s v="High"/>
    <n v="1"/>
    <s v="Single-Day"/>
    <n v="0"/>
    <n v="1"/>
    <s v="Hotel Guest Entrance"/>
    <s v="None/Walked from Resort"/>
    <n v="8.4"/>
    <n v="6"/>
    <x v="3852"/>
  </r>
  <r>
    <n v="4173"/>
    <n v="1368"/>
    <d v="2026-07-16T00:00:00"/>
    <s v="Thursday"/>
    <n v="7"/>
    <n v="9.65"/>
    <x v="0"/>
    <x v="57"/>
    <s v="Male"/>
    <n v="72.599999999999994"/>
    <n v="193.6"/>
    <n v="25.8"/>
    <n v="15"/>
    <s v="CA"/>
    <n v="5"/>
    <n v="175.6"/>
    <s v="High"/>
    <n v="0"/>
    <s v="Single-Day"/>
    <n v="1"/>
    <n v="0"/>
    <s v="Main Entrance"/>
    <s v="None/Dropoff/Transit"/>
    <n v="7.3"/>
    <n v="7"/>
    <x v="1928"/>
  </r>
  <r>
    <n v="4174"/>
    <n v="1368"/>
    <d v="2026-07-16T00:00:00"/>
    <s v="Thursday"/>
    <n v="7"/>
    <n v="9.64"/>
    <x v="0"/>
    <x v="55"/>
    <s v="Male"/>
    <n v="67.900000000000006"/>
    <n v="173.9"/>
    <n v="26.6"/>
    <n v="18"/>
    <s v="CA"/>
    <n v="5"/>
    <n v="175.6"/>
    <s v="High"/>
    <n v="0"/>
    <s v="Single-Day"/>
    <n v="1"/>
    <n v="0"/>
    <s v="Main Entrance"/>
    <s v="None/Dropoff/Transit"/>
    <n v="6.5"/>
    <n v="8"/>
    <x v="3827"/>
  </r>
  <r>
    <n v="4175"/>
    <n v="1368"/>
    <d v="2026-07-16T00:00:00"/>
    <s v="Thursday"/>
    <n v="7"/>
    <n v="9.74"/>
    <x v="0"/>
    <x v="66"/>
    <s v="Male"/>
    <n v="71.400000000000006"/>
    <n v="193.9"/>
    <n v="26.9"/>
    <n v="20"/>
    <s v="CA"/>
    <n v="5"/>
    <n v="175.6"/>
    <s v="High"/>
    <n v="0"/>
    <s v="Single-Day"/>
    <n v="1"/>
    <n v="0"/>
    <s v="Main Entrance"/>
    <s v="None/Dropoff/Transit"/>
    <n v="10.3"/>
    <n v="11"/>
    <x v="3853"/>
  </r>
  <r>
    <n v="4176"/>
    <n v="1368"/>
    <d v="2026-07-16T00:00:00"/>
    <s v="Thursday"/>
    <n v="7"/>
    <n v="9.75"/>
    <x v="0"/>
    <x v="55"/>
    <s v="Male"/>
    <n v="65.8"/>
    <n v="134.30000000000001"/>
    <n v="21.9"/>
    <n v="18"/>
    <s v="CA"/>
    <n v="5"/>
    <n v="175.6"/>
    <s v="High"/>
    <n v="0"/>
    <s v="Single-Day"/>
    <n v="1"/>
    <n v="0"/>
    <s v="Main Entrance"/>
    <s v="None/Dropoff/Transit"/>
    <n v="9.9"/>
    <n v="10"/>
    <x v="3854"/>
  </r>
  <r>
    <n v="4177"/>
    <n v="1368"/>
    <d v="2026-07-16T00:00:00"/>
    <s v="Thursday"/>
    <n v="7"/>
    <n v="9.5399999999999991"/>
    <x v="0"/>
    <x v="71"/>
    <s v="Male"/>
    <n v="66.8"/>
    <n v="185.7"/>
    <n v="29.5"/>
    <n v="14"/>
    <s v="CA"/>
    <n v="5"/>
    <n v="175.6"/>
    <s v="High"/>
    <n v="0"/>
    <s v="Single-Day"/>
    <n v="1"/>
    <n v="0"/>
    <s v="Main Entrance"/>
    <s v="None/Dropoff/Transit"/>
    <n v="9.4"/>
    <n v="11"/>
    <x v="3855"/>
  </r>
  <r>
    <n v="4178"/>
    <n v="1369"/>
    <d v="2026-05-07T00:00:00"/>
    <s v="Thursday"/>
    <n v="5"/>
    <n v="8.4499999999999993"/>
    <x v="0"/>
    <x v="66"/>
    <s v="Female"/>
    <n v="66.400000000000006"/>
    <n v="220"/>
    <n v="35.1"/>
    <n v="17"/>
    <s v="CA"/>
    <n v="3"/>
    <n v="119.6"/>
    <s v="High"/>
    <n v="0"/>
    <s v="Multi-Day"/>
    <n v="0"/>
    <n v="1"/>
    <s v="Main Entrance"/>
    <s v="Mickey &amp; Friends"/>
    <n v="7.9"/>
    <n v="11"/>
    <x v="3856"/>
  </r>
  <r>
    <n v="4179"/>
    <n v="1369"/>
    <d v="2026-05-07T00:00:00"/>
    <s v="Thursday"/>
    <n v="5"/>
    <n v="8.65"/>
    <x v="0"/>
    <x v="69"/>
    <s v="Female"/>
    <n v="63.9"/>
    <n v="117"/>
    <n v="20.3"/>
    <n v="16"/>
    <s v="CA"/>
    <n v="3"/>
    <n v="119.6"/>
    <s v="High"/>
    <n v="0"/>
    <s v="Multi-Day"/>
    <n v="0"/>
    <n v="1"/>
    <s v="Main Entrance"/>
    <s v="Mickey &amp; Friends"/>
    <n v="9.1999999999999993"/>
    <n v="4"/>
    <x v="1835"/>
  </r>
  <r>
    <n v="4180"/>
    <n v="1369"/>
    <d v="2026-05-07T00:00:00"/>
    <s v="Thursday"/>
    <n v="5"/>
    <n v="8.5399999999999991"/>
    <x v="0"/>
    <x v="55"/>
    <s v="Male"/>
    <n v="68.400000000000006"/>
    <n v="198.7"/>
    <n v="29.9"/>
    <n v="17"/>
    <s v="CA"/>
    <n v="3"/>
    <n v="119.6"/>
    <s v="High"/>
    <n v="0"/>
    <s v="Multi-Day"/>
    <n v="0"/>
    <n v="1"/>
    <s v="Main Entrance"/>
    <s v="Mickey &amp; Friends"/>
    <n v="11"/>
    <n v="13"/>
    <x v="219"/>
  </r>
  <r>
    <n v="4181"/>
    <n v="1370"/>
    <d v="2026-08-25T00:00:00"/>
    <s v="Tuesday"/>
    <n v="8"/>
    <n v="10.87"/>
    <x v="0"/>
    <x v="36"/>
    <s v="Male"/>
    <n v="67.599999999999994"/>
    <n v="168.2"/>
    <n v="25.8"/>
    <n v="12"/>
    <s v="ND"/>
    <n v="3"/>
    <n v="1299.0999999999999"/>
    <s v="Low"/>
    <n v="1"/>
    <s v="Multi-Day"/>
    <n v="1"/>
    <n v="0"/>
    <s v="Main Entrance"/>
    <s v="Pixar Pals"/>
    <n v="9.5"/>
    <n v="12"/>
    <x v="3004"/>
  </r>
  <r>
    <n v="4182"/>
    <n v="1370"/>
    <d v="2026-08-25T00:00:00"/>
    <s v="Tuesday"/>
    <n v="8"/>
    <n v="10.93"/>
    <x v="0"/>
    <x v="78"/>
    <s v="Male"/>
    <n v="70"/>
    <n v="136.5"/>
    <n v="19.7"/>
    <n v="9"/>
    <s v="ND"/>
    <n v="3"/>
    <n v="1299.0999999999999"/>
    <s v="Low"/>
    <n v="1"/>
    <s v="Multi-Day"/>
    <n v="1"/>
    <n v="0"/>
    <s v="Main Entrance"/>
    <s v="Pixar Pals"/>
    <n v="8"/>
    <n v="11"/>
    <x v="3857"/>
  </r>
  <r>
    <n v="4183"/>
    <n v="1370"/>
    <d v="2026-08-25T00:00:00"/>
    <s v="Tuesday"/>
    <n v="8"/>
    <n v="11"/>
    <x v="1"/>
    <x v="37"/>
    <s v="Female"/>
    <n v="62.2"/>
    <n v="109.2"/>
    <n v="20"/>
    <n v="14"/>
    <s v="ND"/>
    <n v="3"/>
    <n v="1299.0999999999999"/>
    <s v="Low"/>
    <n v="1"/>
    <s v="Multi-Day"/>
    <n v="1"/>
    <n v="0"/>
    <s v="Main Entrance"/>
    <s v="Pixar Pals"/>
    <n v="6.3"/>
    <n v="2"/>
    <x v="3858"/>
  </r>
  <r>
    <n v="4184"/>
    <n v="1371"/>
    <d v="2026-05-06T00:00:00"/>
    <s v="Wednesday"/>
    <n v="5"/>
    <n v="12.9"/>
    <x v="1"/>
    <x v="18"/>
    <s v="Female"/>
    <n v="61.5"/>
    <n v="148.80000000000001"/>
    <n v="27.7"/>
    <n v="12"/>
    <s v="CA"/>
    <n v="1"/>
    <n v="150.5"/>
    <s v="Low"/>
    <n v="0"/>
    <s v="Single-Day"/>
    <n v="0"/>
    <n v="0"/>
    <s v="Main Entrance"/>
    <s v="Toy Story Lot"/>
    <n v="6.4"/>
    <n v="0"/>
    <x v="3859"/>
  </r>
  <r>
    <n v="4185"/>
    <n v="1372"/>
    <d v="2026-12-20T00:00:00"/>
    <s v="Sunday"/>
    <n v="12"/>
    <n v="10.56"/>
    <x v="0"/>
    <x v="34"/>
    <s v="Female"/>
    <n v="64"/>
    <n v="136.69999999999999"/>
    <n v="23.3"/>
    <n v="18"/>
    <s v="UT"/>
    <n v="4"/>
    <n v="1163.5999999999999"/>
    <s v="Middle"/>
    <n v="0"/>
    <s v="Single-Day"/>
    <n v="0"/>
    <n v="0"/>
    <s v="Hotel Guest Entrance"/>
    <s v="Mickey &amp; Friends"/>
    <n v="6.7"/>
    <n v="4"/>
    <x v="1017"/>
  </r>
  <r>
    <n v="4186"/>
    <n v="1372"/>
    <d v="2026-12-20T00:00:00"/>
    <s v="Sunday"/>
    <n v="12"/>
    <n v="10.66"/>
    <x v="0"/>
    <x v="15"/>
    <s v="Male"/>
    <n v="67.7"/>
    <n v="191.9"/>
    <n v="29.4"/>
    <n v="15"/>
    <s v="UT"/>
    <n v="4"/>
    <n v="1163.5999999999999"/>
    <s v="Middle"/>
    <n v="0"/>
    <s v="Single-Day"/>
    <n v="0"/>
    <n v="0"/>
    <s v="Hotel Guest Entrance"/>
    <s v="Mickey &amp; Friends"/>
    <n v="7.7"/>
    <n v="10"/>
    <x v="3860"/>
  </r>
  <r>
    <n v="4187"/>
    <n v="1372"/>
    <d v="2026-12-20T00:00:00"/>
    <s v="Sunday"/>
    <n v="12"/>
    <n v="10.5"/>
    <x v="0"/>
    <x v="19"/>
    <s v="Male"/>
    <n v="68.599999999999994"/>
    <n v="193.5"/>
    <n v="28.7"/>
    <n v="19"/>
    <s v="UT"/>
    <n v="4"/>
    <n v="1163.5999999999999"/>
    <s v="Middle"/>
    <n v="0"/>
    <s v="Single-Day"/>
    <n v="0"/>
    <n v="0"/>
    <s v="Hotel Guest Entrance"/>
    <s v="Mickey &amp; Friends"/>
    <n v="4.9000000000000004"/>
    <n v="7"/>
    <x v="3861"/>
  </r>
  <r>
    <n v="4188"/>
    <n v="1372"/>
    <d v="2026-12-20T00:00:00"/>
    <s v="Sunday"/>
    <n v="12"/>
    <n v="10.41"/>
    <x v="0"/>
    <x v="20"/>
    <s v="Male"/>
    <n v="70"/>
    <n v="95.6"/>
    <n v="13.8"/>
    <n v="16"/>
    <s v="UT"/>
    <n v="4"/>
    <n v="1163.5999999999999"/>
    <s v="Middle"/>
    <n v="0"/>
    <s v="Single-Day"/>
    <n v="0"/>
    <n v="0"/>
    <s v="Hotel Guest Entrance"/>
    <s v="Mickey &amp; Friends"/>
    <n v="5.9"/>
    <n v="8"/>
    <x v="3862"/>
  </r>
  <r>
    <n v="4189"/>
    <n v="1373"/>
    <d v="2026-01-16T00:00:00"/>
    <s v="Friday"/>
    <n v="1"/>
    <n v="13.53"/>
    <x v="1"/>
    <x v="36"/>
    <s v="Male"/>
    <n v="68.5"/>
    <n v="161"/>
    <n v="24.2"/>
    <n v="15"/>
    <s v="TX"/>
    <n v="6"/>
    <n v="1040.8"/>
    <s v="Low"/>
    <n v="1"/>
    <s v="Park Hopper"/>
    <n v="0"/>
    <n v="1"/>
    <s v="Downtown Disney Gate"/>
    <s v="None/Walked from Resort"/>
    <n v="11"/>
    <n v="7"/>
    <x v="3863"/>
  </r>
  <r>
    <n v="4190"/>
    <n v="1373"/>
    <d v="2026-01-16T00:00:00"/>
    <s v="Friday"/>
    <n v="1"/>
    <n v="13.62"/>
    <x v="1"/>
    <x v="7"/>
    <s v="Female"/>
    <n v="57.1"/>
    <n v="93.6"/>
    <n v="20.100000000000001"/>
    <n v="11"/>
    <s v="TX"/>
    <n v="6"/>
    <n v="1040.8"/>
    <s v="Low"/>
    <n v="1"/>
    <s v="Park Hopper"/>
    <n v="0"/>
    <n v="1"/>
    <s v="Downtown Disney Gate"/>
    <s v="None/Walked from Resort"/>
    <n v="5.8"/>
    <n v="8"/>
    <x v="3864"/>
  </r>
  <r>
    <n v="4191"/>
    <n v="1373"/>
    <d v="2026-01-16T00:00:00"/>
    <s v="Friday"/>
    <n v="1"/>
    <n v="13.43"/>
    <x v="1"/>
    <x v="36"/>
    <s v="Female"/>
    <n v="61.8"/>
    <n v="98.6"/>
    <n v="18.2"/>
    <n v="14"/>
    <s v="TX"/>
    <n v="6"/>
    <n v="1040.8"/>
    <s v="Low"/>
    <n v="1"/>
    <s v="Park Hopper"/>
    <n v="0"/>
    <n v="1"/>
    <s v="Downtown Disney Gate"/>
    <s v="None/Walked from Resort"/>
    <n v="10"/>
    <n v="9"/>
    <x v="3865"/>
  </r>
  <r>
    <n v="4192"/>
    <n v="1373"/>
    <d v="2026-01-16T00:00:00"/>
    <s v="Friday"/>
    <n v="1"/>
    <n v="13.65"/>
    <x v="1"/>
    <x v="12"/>
    <s v="Male"/>
    <n v="67"/>
    <n v="105.8"/>
    <n v="16.600000000000001"/>
    <n v="13"/>
    <s v="TX"/>
    <n v="6"/>
    <n v="1040.8"/>
    <s v="Low"/>
    <n v="1"/>
    <s v="Park Hopper"/>
    <n v="0"/>
    <n v="1"/>
    <s v="Downtown Disney Gate"/>
    <s v="None/Walked from Resort"/>
    <n v="7.1"/>
    <n v="8"/>
    <x v="3866"/>
  </r>
  <r>
    <n v="4193"/>
    <n v="1373"/>
    <d v="2026-01-16T00:00:00"/>
    <s v="Friday"/>
    <n v="1"/>
    <n v="13.51"/>
    <x v="1"/>
    <x v="44"/>
    <s v="Female"/>
    <n v="66.5"/>
    <n v="187.1"/>
    <n v="29.7"/>
    <n v="11"/>
    <s v="TX"/>
    <n v="6"/>
    <n v="1040.8"/>
    <s v="Low"/>
    <n v="1"/>
    <s v="Park Hopper"/>
    <n v="0"/>
    <n v="1"/>
    <s v="Downtown Disney Gate"/>
    <s v="None/Walked from Resort"/>
    <n v="6.5"/>
    <n v="7"/>
    <x v="3867"/>
  </r>
  <r>
    <n v="4194"/>
    <n v="1373"/>
    <d v="2026-01-16T00:00:00"/>
    <s v="Friday"/>
    <n v="1"/>
    <n v="13.32"/>
    <x v="1"/>
    <x v="18"/>
    <s v="Female"/>
    <n v="67.099999999999994"/>
    <n v="174.7"/>
    <n v="27.4"/>
    <n v="14"/>
    <s v="TX"/>
    <n v="6"/>
    <n v="1040.8"/>
    <s v="Low"/>
    <n v="1"/>
    <s v="Park Hopper"/>
    <n v="0"/>
    <n v="1"/>
    <s v="Downtown Disney Gate"/>
    <s v="None/Walked from Resort"/>
    <n v="8.4"/>
    <n v="6"/>
    <x v="3868"/>
  </r>
  <r>
    <n v="4195"/>
    <n v="1374"/>
    <d v="2026-12-25T00:00:00"/>
    <s v="Friday"/>
    <n v="12"/>
    <n v="8.49"/>
    <x v="0"/>
    <x v="64"/>
    <s v="Male"/>
    <n v="53.6"/>
    <n v="88.1"/>
    <n v="21.9"/>
    <n v="11"/>
    <s v="CA"/>
    <n v="3"/>
    <n v="57.4"/>
    <s v="Middle"/>
    <n v="1"/>
    <s v="Single-Day"/>
    <n v="0"/>
    <n v="0"/>
    <s v="Downtown Disney Gate"/>
    <s v="Pixar Pals"/>
    <n v="8.6999999999999993"/>
    <n v="8"/>
    <x v="3869"/>
  </r>
  <r>
    <n v="4196"/>
    <n v="1374"/>
    <d v="2026-12-25T00:00:00"/>
    <s v="Friday"/>
    <n v="12"/>
    <n v="8.31"/>
    <x v="0"/>
    <x v="35"/>
    <s v="Female"/>
    <n v="64.900000000000006"/>
    <n v="127.7"/>
    <n v="21.6"/>
    <n v="20"/>
    <s v="CA"/>
    <n v="3"/>
    <n v="57.4"/>
    <s v="Middle"/>
    <n v="1"/>
    <s v="Single-Day"/>
    <n v="0"/>
    <n v="0"/>
    <s v="Downtown Disney Gate"/>
    <s v="Pixar Pals"/>
    <n v="8.8000000000000007"/>
    <n v="10"/>
    <x v="3870"/>
  </r>
  <r>
    <n v="4197"/>
    <n v="1374"/>
    <d v="2026-12-25T00:00:00"/>
    <s v="Friday"/>
    <n v="12"/>
    <n v="8.58"/>
    <x v="0"/>
    <x v="12"/>
    <s v="Male"/>
    <n v="64.599999999999994"/>
    <n v="76"/>
    <n v="12.7"/>
    <n v="13"/>
    <s v="CA"/>
    <n v="3"/>
    <n v="57.4"/>
    <s v="Middle"/>
    <n v="1"/>
    <s v="Single-Day"/>
    <n v="0"/>
    <n v="0"/>
    <s v="Downtown Disney Gate"/>
    <s v="Pixar Pals"/>
    <n v="5.4"/>
    <n v="7"/>
    <x v="3871"/>
  </r>
  <r>
    <n v="4198"/>
    <n v="1375"/>
    <d v="2026-06-18T00:00:00"/>
    <s v="Thursday"/>
    <n v="6"/>
    <n v="10.63"/>
    <x v="0"/>
    <x v="50"/>
    <s v="Female"/>
    <n v="70"/>
    <n v="128.80000000000001"/>
    <n v="18.399999999999999"/>
    <n v="12"/>
    <s v="CA"/>
    <n v="2"/>
    <n v="64.2"/>
    <s v="Middle"/>
    <n v="0"/>
    <s v="Single-Day"/>
    <n v="0"/>
    <n v="0"/>
    <s v="Main Entrance"/>
    <s v="Pixar Pals"/>
    <n v="9.1999999999999993"/>
    <n v="10"/>
    <x v="3872"/>
  </r>
  <r>
    <n v="4199"/>
    <n v="1375"/>
    <d v="2026-06-18T00:00:00"/>
    <s v="Thursday"/>
    <n v="6"/>
    <n v="10.7"/>
    <x v="0"/>
    <x v="41"/>
    <s v="Female"/>
    <n v="69.5"/>
    <n v="148"/>
    <n v="21.7"/>
    <n v="13"/>
    <s v="CA"/>
    <n v="2"/>
    <n v="64.2"/>
    <s v="Middle"/>
    <n v="0"/>
    <s v="Single-Day"/>
    <n v="0"/>
    <n v="0"/>
    <s v="Main Entrance"/>
    <s v="Pixar Pals"/>
    <n v="12.7"/>
    <n v="9"/>
    <x v="3873"/>
  </r>
  <r>
    <n v="4200"/>
    <n v="1376"/>
    <d v="2026-11-08T00:00:00"/>
    <s v="Sunday"/>
    <n v="11"/>
    <n v="13.03"/>
    <x v="1"/>
    <x v="71"/>
    <s v="Female"/>
    <n v="59.2"/>
    <n v="117.7"/>
    <n v="23.6"/>
    <n v="14"/>
    <s v="SD"/>
    <n v="6"/>
    <n v="2062.4"/>
    <s v="High"/>
    <n v="1"/>
    <s v="Multi-Day"/>
    <n v="1"/>
    <n v="0"/>
    <s v="Main Entrance"/>
    <s v="Toy Story Lot"/>
    <n v="5.9"/>
    <n v="13"/>
    <x v="939"/>
  </r>
  <r>
    <n v="4201"/>
    <n v="1376"/>
    <d v="2026-11-08T00:00:00"/>
    <s v="Sunday"/>
    <n v="11"/>
    <n v="13.08"/>
    <x v="1"/>
    <x v="38"/>
    <s v="Female"/>
    <n v="67.099999999999994"/>
    <n v="209.6"/>
    <n v="32.799999999999997"/>
    <n v="13"/>
    <s v="SD"/>
    <n v="6"/>
    <n v="2062.4"/>
    <s v="High"/>
    <n v="1"/>
    <s v="Multi-Day"/>
    <n v="1"/>
    <n v="0"/>
    <s v="Main Entrance"/>
    <s v="Toy Story Lot"/>
    <n v="5.8"/>
    <n v="6"/>
    <x v="3874"/>
  </r>
  <r>
    <n v="4202"/>
    <n v="1376"/>
    <d v="2026-11-08T00:00:00"/>
    <s v="Sunday"/>
    <n v="11"/>
    <n v="12.89"/>
    <x v="1"/>
    <x v="69"/>
    <s v="Female"/>
    <n v="64"/>
    <n v="153.69999999999999"/>
    <n v="26.5"/>
    <n v="20"/>
    <s v="SD"/>
    <n v="6"/>
    <n v="2062.4"/>
    <s v="High"/>
    <n v="1"/>
    <s v="Multi-Day"/>
    <n v="1"/>
    <n v="0"/>
    <s v="Main Entrance"/>
    <s v="Toy Story Lot"/>
    <n v="8.4"/>
    <n v="5"/>
    <x v="3875"/>
  </r>
  <r>
    <n v="4203"/>
    <n v="1376"/>
    <d v="2026-11-08T00:00:00"/>
    <s v="Sunday"/>
    <n v="11"/>
    <n v="13.26"/>
    <x v="1"/>
    <x v="7"/>
    <s v="Male"/>
    <n v="52.4"/>
    <n v="95.3"/>
    <n v="24.4"/>
    <n v="15"/>
    <s v="SD"/>
    <n v="6"/>
    <n v="2062.4"/>
    <s v="High"/>
    <n v="1"/>
    <s v="Multi-Day"/>
    <n v="1"/>
    <n v="0"/>
    <s v="Main Entrance"/>
    <s v="Toy Story Lot"/>
    <n v="7.1"/>
    <n v="15"/>
    <x v="3876"/>
  </r>
  <r>
    <n v="4204"/>
    <n v="1376"/>
    <d v="2026-11-08T00:00:00"/>
    <s v="Sunday"/>
    <n v="11"/>
    <n v="13.1"/>
    <x v="1"/>
    <x v="31"/>
    <s v="Female"/>
    <n v="66.400000000000006"/>
    <n v="168"/>
    <n v="26.8"/>
    <n v="14"/>
    <s v="SD"/>
    <n v="6"/>
    <n v="2062.4"/>
    <s v="High"/>
    <n v="1"/>
    <s v="Multi-Day"/>
    <n v="1"/>
    <n v="0"/>
    <s v="Main Entrance"/>
    <s v="Toy Story Lot"/>
    <n v="9.9"/>
    <n v="10"/>
    <x v="3877"/>
  </r>
  <r>
    <n v="4205"/>
    <n v="1376"/>
    <d v="2026-11-08T00:00:00"/>
    <s v="Sunday"/>
    <n v="11"/>
    <n v="13.06"/>
    <x v="1"/>
    <x v="47"/>
    <s v="Male"/>
    <n v="64.2"/>
    <n v="161.5"/>
    <n v="27.4"/>
    <n v="14"/>
    <s v="SD"/>
    <n v="6"/>
    <n v="2062.4"/>
    <s v="High"/>
    <n v="1"/>
    <s v="Multi-Day"/>
    <n v="1"/>
    <n v="0"/>
    <s v="Main Entrance"/>
    <s v="Toy Story Lot"/>
    <n v="9.1999999999999993"/>
    <n v="12"/>
    <x v="289"/>
  </r>
  <r>
    <n v="4206"/>
    <n v="1377"/>
    <d v="2026-05-26T00:00:00"/>
    <s v="Tuesday"/>
    <n v="5"/>
    <n v="9.8000000000000007"/>
    <x v="0"/>
    <x v="3"/>
    <s v="Male"/>
    <n v="70.099999999999994"/>
    <n v="249.2"/>
    <n v="35.700000000000003"/>
    <n v="16"/>
    <s v="NY"/>
    <n v="3"/>
    <n v="2006.1"/>
    <s v="Middle"/>
    <n v="0"/>
    <s v="Multi-Day"/>
    <n v="1"/>
    <n v="1"/>
    <s v="Main Entrance"/>
    <s v="None/Walked from Resort"/>
    <n v="8.6999999999999993"/>
    <n v="10"/>
    <x v="1399"/>
  </r>
  <r>
    <n v="4207"/>
    <n v="1377"/>
    <d v="2026-05-26T00:00:00"/>
    <s v="Tuesday"/>
    <n v="5"/>
    <n v="9.7100000000000009"/>
    <x v="0"/>
    <x v="23"/>
    <s v="Male"/>
    <n v="64.5"/>
    <n v="145.9"/>
    <n v="24.8"/>
    <n v="13"/>
    <s v="NY"/>
    <n v="3"/>
    <n v="2006.1"/>
    <s v="Middle"/>
    <n v="0"/>
    <s v="Multi-Day"/>
    <n v="1"/>
    <n v="1"/>
    <s v="Main Entrance"/>
    <s v="None/Walked from Resort"/>
    <n v="9.9"/>
    <n v="5"/>
    <x v="3878"/>
  </r>
  <r>
    <n v="4208"/>
    <n v="1377"/>
    <d v="2026-05-26T00:00:00"/>
    <s v="Tuesday"/>
    <n v="5"/>
    <n v="9.89"/>
    <x v="0"/>
    <x v="8"/>
    <s v="Female"/>
    <n v="66"/>
    <n v="139"/>
    <n v="22.4"/>
    <n v="15"/>
    <s v="NY"/>
    <n v="3"/>
    <n v="2006.1"/>
    <s v="Middle"/>
    <n v="0"/>
    <s v="Multi-Day"/>
    <n v="1"/>
    <n v="1"/>
    <s v="Main Entrance"/>
    <s v="None/Walked from Resort"/>
    <n v="7.8"/>
    <n v="8"/>
    <x v="3879"/>
  </r>
  <r>
    <n v="4209"/>
    <n v="1378"/>
    <d v="2026-12-03T00:00:00"/>
    <s v="Thursday"/>
    <n v="12"/>
    <n v="10.41"/>
    <x v="0"/>
    <x v="35"/>
    <s v="Female"/>
    <n v="59.4"/>
    <n v="111.2"/>
    <n v="22.2"/>
    <n v="14"/>
    <s v="UT"/>
    <n v="3"/>
    <n v="622.29999999999995"/>
    <s v="Middle"/>
    <n v="0"/>
    <s v="Multi-Day"/>
    <n v="0"/>
    <n v="0"/>
    <s v="Main Entrance"/>
    <s v="Pixar Pals"/>
    <n v="8.8000000000000007"/>
    <n v="6"/>
    <x v="3880"/>
  </r>
  <r>
    <n v="4210"/>
    <n v="1378"/>
    <d v="2026-12-03T00:00:00"/>
    <s v="Thursday"/>
    <n v="12"/>
    <n v="10.46"/>
    <x v="0"/>
    <x v="57"/>
    <s v="Male"/>
    <n v="73.900000000000006"/>
    <n v="209.3"/>
    <n v="27.2"/>
    <n v="17"/>
    <s v="UT"/>
    <n v="3"/>
    <n v="622.29999999999995"/>
    <s v="Middle"/>
    <n v="0"/>
    <s v="Multi-Day"/>
    <n v="0"/>
    <n v="0"/>
    <s v="Main Entrance"/>
    <s v="Pixar Pals"/>
    <n v="6.5"/>
    <n v="8"/>
    <x v="3881"/>
  </r>
  <r>
    <n v="4211"/>
    <n v="1378"/>
    <d v="2026-12-03T00:00:00"/>
    <s v="Thursday"/>
    <n v="12"/>
    <n v="10.31"/>
    <x v="0"/>
    <x v="10"/>
    <s v="Female"/>
    <n v="60.1"/>
    <n v="123.1"/>
    <n v="24"/>
    <n v="14"/>
    <s v="UT"/>
    <n v="3"/>
    <n v="622.29999999999995"/>
    <s v="Middle"/>
    <n v="0"/>
    <s v="Multi-Day"/>
    <n v="0"/>
    <n v="0"/>
    <s v="Main Entrance"/>
    <s v="Pixar Pals"/>
    <n v="7.5"/>
    <n v="8"/>
    <x v="3882"/>
  </r>
  <r>
    <n v="4212"/>
    <n v="1379"/>
    <d v="2026-07-18T00:00:00"/>
    <s v="Saturday"/>
    <n v="7"/>
    <n v="13.53"/>
    <x v="1"/>
    <x v="26"/>
    <s v="Female"/>
    <n v="65.400000000000006"/>
    <n v="156.4"/>
    <n v="25.8"/>
    <n v="14"/>
    <s v="MN"/>
    <n v="4"/>
    <n v="1712.6"/>
    <s v="Low"/>
    <n v="0"/>
    <s v="Park Hopper"/>
    <n v="0"/>
    <n v="0"/>
    <s v="Main Entrance"/>
    <s v="Toy Story Lot"/>
    <n v="7.8"/>
    <n v="8"/>
    <x v="3883"/>
  </r>
  <r>
    <n v="4213"/>
    <n v="1379"/>
    <d v="2026-07-18T00:00:00"/>
    <s v="Saturday"/>
    <n v="7"/>
    <n v="13.69"/>
    <x v="1"/>
    <x v="25"/>
    <s v="Male"/>
    <n v="69.5"/>
    <n v="171.5"/>
    <n v="25"/>
    <n v="17"/>
    <s v="MN"/>
    <n v="4"/>
    <n v="1712.6"/>
    <s v="Low"/>
    <n v="0"/>
    <s v="Park Hopper"/>
    <n v="0"/>
    <n v="0"/>
    <s v="Main Entrance"/>
    <s v="Toy Story Lot"/>
    <n v="7.7"/>
    <n v="12"/>
    <x v="3884"/>
  </r>
  <r>
    <n v="4214"/>
    <n v="1379"/>
    <d v="2026-07-18T00:00:00"/>
    <s v="Saturday"/>
    <n v="7"/>
    <n v="13.64"/>
    <x v="1"/>
    <x v="38"/>
    <s v="Female"/>
    <n v="60.5"/>
    <n v="145.6"/>
    <n v="27.8"/>
    <n v="10"/>
    <s v="MN"/>
    <n v="4"/>
    <n v="1712.6"/>
    <s v="Low"/>
    <n v="0"/>
    <s v="Park Hopper"/>
    <n v="0"/>
    <n v="0"/>
    <s v="Main Entrance"/>
    <s v="Toy Story Lot"/>
    <n v="6.6"/>
    <n v="6"/>
    <x v="3885"/>
  </r>
  <r>
    <n v="4215"/>
    <n v="1379"/>
    <d v="2026-07-18T00:00:00"/>
    <s v="Saturday"/>
    <n v="7"/>
    <n v="13.78"/>
    <x v="1"/>
    <x v="51"/>
    <s v="Female"/>
    <n v="62.5"/>
    <n v="135.1"/>
    <n v="24.5"/>
    <n v="11"/>
    <s v="MN"/>
    <n v="4"/>
    <n v="1712.6"/>
    <s v="Low"/>
    <n v="0"/>
    <s v="Park Hopper"/>
    <n v="0"/>
    <n v="0"/>
    <s v="Main Entrance"/>
    <s v="Toy Story Lot"/>
    <n v="7.8"/>
    <n v="9"/>
    <x v="635"/>
  </r>
  <r>
    <n v="4216"/>
    <n v="1380"/>
    <d v="2026-01-25T00:00:00"/>
    <s v="Sunday"/>
    <n v="1"/>
    <n v="12.33"/>
    <x v="1"/>
    <x v="28"/>
    <s v="Male"/>
    <n v="68.5"/>
    <n v="193.1"/>
    <n v="28.7"/>
    <n v="16"/>
    <s v="AZ"/>
    <n v="4"/>
    <n v="423.3"/>
    <s v="Middle"/>
    <n v="1"/>
    <s v="Multi-Day"/>
    <n v="0"/>
    <n v="0"/>
    <s v="Main Entrance"/>
    <s v="Mickey &amp; Friends"/>
    <n v="6.2"/>
    <n v="5"/>
    <x v="3886"/>
  </r>
  <r>
    <n v="4217"/>
    <n v="1380"/>
    <d v="2026-01-25T00:00:00"/>
    <s v="Sunday"/>
    <n v="1"/>
    <n v="12.34"/>
    <x v="1"/>
    <x v="12"/>
    <s v="Female"/>
    <n v="64.8"/>
    <n v="132.4"/>
    <n v="22.1"/>
    <n v="10"/>
    <s v="AZ"/>
    <n v="4"/>
    <n v="423.3"/>
    <s v="Middle"/>
    <n v="1"/>
    <s v="Multi-Day"/>
    <n v="0"/>
    <n v="0"/>
    <s v="Main Entrance"/>
    <s v="Mickey &amp; Friends"/>
    <n v="8.6999999999999993"/>
    <n v="4"/>
    <x v="3700"/>
  </r>
  <r>
    <n v="4218"/>
    <n v="1380"/>
    <d v="2026-01-25T00:00:00"/>
    <s v="Sunday"/>
    <n v="1"/>
    <n v="12.29"/>
    <x v="1"/>
    <x v="50"/>
    <s v="Male"/>
    <n v="65"/>
    <n v="124.4"/>
    <n v="20.399999999999999"/>
    <n v="10"/>
    <s v="AZ"/>
    <n v="4"/>
    <n v="423.3"/>
    <s v="Middle"/>
    <n v="1"/>
    <s v="Multi-Day"/>
    <n v="0"/>
    <n v="0"/>
    <s v="Main Entrance"/>
    <s v="Mickey &amp; Friends"/>
    <n v="8.6"/>
    <n v="3"/>
    <x v="3887"/>
  </r>
  <r>
    <n v="4219"/>
    <n v="1380"/>
    <d v="2026-01-25T00:00:00"/>
    <s v="Sunday"/>
    <n v="1"/>
    <n v="12.46"/>
    <x v="1"/>
    <x v="41"/>
    <s v="Male"/>
    <n v="71.599999999999994"/>
    <n v="147.30000000000001"/>
    <n v="20.2"/>
    <n v="12"/>
    <s v="AZ"/>
    <n v="4"/>
    <n v="423.3"/>
    <s v="Middle"/>
    <n v="1"/>
    <s v="Multi-Day"/>
    <n v="0"/>
    <n v="0"/>
    <s v="Main Entrance"/>
    <s v="Mickey &amp; Friends"/>
    <n v="9"/>
    <n v="9"/>
    <x v="3888"/>
  </r>
  <r>
    <n v="4220"/>
    <n v="1381"/>
    <d v="2026-04-23T00:00:00"/>
    <s v="Thursday"/>
    <n v="4"/>
    <n v="10.61"/>
    <x v="0"/>
    <x v="2"/>
    <s v="Female"/>
    <n v="64.599999999999994"/>
    <n v="173.1"/>
    <n v="29.2"/>
    <n v="14"/>
    <s v="AZ"/>
    <n v="2"/>
    <n v="449.4"/>
    <s v="High"/>
    <n v="1"/>
    <s v="Single-Day"/>
    <n v="0"/>
    <n v="0"/>
    <s v="Downtown Disney Gate"/>
    <s v="Mickey &amp; Friends"/>
    <n v="7.7"/>
    <n v="9"/>
    <x v="3889"/>
  </r>
  <r>
    <n v="4221"/>
    <n v="1381"/>
    <d v="2026-04-23T00:00:00"/>
    <s v="Thursday"/>
    <n v="4"/>
    <n v="10.66"/>
    <x v="0"/>
    <x v="37"/>
    <s v="Female"/>
    <n v="63.8"/>
    <n v="158.9"/>
    <n v="27.3"/>
    <n v="17"/>
    <s v="AZ"/>
    <n v="2"/>
    <n v="449.4"/>
    <s v="High"/>
    <n v="1"/>
    <s v="Single-Day"/>
    <n v="0"/>
    <n v="0"/>
    <s v="Downtown Disney Gate"/>
    <s v="Mickey &amp; Friends"/>
    <n v="9.9"/>
    <n v="14"/>
    <x v="3890"/>
  </r>
  <r>
    <n v="4222"/>
    <n v="1382"/>
    <d v="2026-04-15T00:00:00"/>
    <s v="Wednesday"/>
    <n v="4"/>
    <n v="11.02"/>
    <x v="1"/>
    <x v="47"/>
    <s v="Male"/>
    <n v="69.599999999999994"/>
    <n v="185.9"/>
    <n v="27.3"/>
    <n v="14"/>
    <s v="NV"/>
    <n v="1"/>
    <n v="427.4"/>
    <s v="Low"/>
    <n v="0"/>
    <s v="Single-Day"/>
    <n v="0"/>
    <n v="0"/>
    <s v="Main Entrance"/>
    <s v="Pixar Pals"/>
    <n v="6.7"/>
    <n v="10"/>
    <x v="3891"/>
  </r>
  <r>
    <n v="4223"/>
    <n v="1383"/>
    <d v="2026-08-27T00:00:00"/>
    <s v="Thursday"/>
    <n v="8"/>
    <n v="12.57"/>
    <x v="1"/>
    <x v="21"/>
    <s v="Female"/>
    <n v="60.2"/>
    <n v="149.9"/>
    <n v="29.1"/>
    <n v="16"/>
    <s v="CA"/>
    <n v="2"/>
    <n v="201.9"/>
    <s v="Middle"/>
    <n v="0"/>
    <s v="Single-Day"/>
    <n v="1"/>
    <n v="0"/>
    <s v="Main Entrance"/>
    <s v="Toy Story Lot"/>
    <n v="7.9"/>
    <n v="13"/>
    <x v="1381"/>
  </r>
  <r>
    <n v="4224"/>
    <n v="1383"/>
    <d v="2026-08-27T00:00:00"/>
    <s v="Thursday"/>
    <n v="8"/>
    <n v="12.53"/>
    <x v="1"/>
    <x v="42"/>
    <s v="Female"/>
    <n v="65.8"/>
    <n v="176"/>
    <n v="28.7"/>
    <n v="17"/>
    <s v="CA"/>
    <n v="2"/>
    <n v="201.9"/>
    <s v="Middle"/>
    <n v="0"/>
    <s v="Single-Day"/>
    <n v="1"/>
    <n v="0"/>
    <s v="Main Entrance"/>
    <s v="Toy Story Lot"/>
    <n v="7.2"/>
    <n v="11"/>
    <x v="3892"/>
  </r>
  <r>
    <n v="4225"/>
    <n v="1384"/>
    <d v="2026-11-11T00:00:00"/>
    <s v="Wednesday"/>
    <n v="11"/>
    <n v="9.68"/>
    <x v="0"/>
    <x v="34"/>
    <s v="Male"/>
    <n v="69.099999999999994"/>
    <n v="177.1"/>
    <n v="26.2"/>
    <n v="16"/>
    <s v="OR"/>
    <n v="2"/>
    <n v="835.4"/>
    <s v="Low"/>
    <n v="1"/>
    <s v="Single-Day"/>
    <n v="0"/>
    <n v="1"/>
    <s v="Main Entrance"/>
    <s v="None/Walked from Resort"/>
    <n v="8.9"/>
    <n v="9"/>
    <x v="3893"/>
  </r>
  <r>
    <n v="4226"/>
    <n v="1384"/>
    <d v="2026-11-11T00:00:00"/>
    <s v="Wednesday"/>
    <n v="11"/>
    <n v="9.48"/>
    <x v="0"/>
    <x v="65"/>
    <s v="Male"/>
    <n v="66.900000000000006"/>
    <n v="183"/>
    <n v="28.7"/>
    <n v="14"/>
    <s v="OR"/>
    <n v="2"/>
    <n v="835.4"/>
    <s v="Low"/>
    <n v="1"/>
    <s v="Single-Day"/>
    <n v="0"/>
    <n v="1"/>
    <s v="Main Entrance"/>
    <s v="None/Walked from Resort"/>
    <n v="9.6999999999999993"/>
    <n v="13"/>
    <x v="333"/>
  </r>
  <r>
    <n v="4227"/>
    <n v="1385"/>
    <d v="2026-05-07T00:00:00"/>
    <s v="Thursday"/>
    <n v="5"/>
    <n v="11.09"/>
    <x v="1"/>
    <x v="18"/>
    <s v="Male"/>
    <n v="70"/>
    <n v="179.2"/>
    <n v="25.8"/>
    <n v="15"/>
    <s v="NV"/>
    <n v="3"/>
    <n v="310.10000000000002"/>
    <s v="High"/>
    <n v="0"/>
    <s v="Single-Day"/>
    <n v="1"/>
    <n v="0"/>
    <s v="Main Entrance"/>
    <s v="Mickey &amp; Friends"/>
    <n v="5.2"/>
    <n v="9"/>
    <x v="3894"/>
  </r>
  <r>
    <n v="4228"/>
    <n v="1385"/>
    <d v="2026-05-07T00:00:00"/>
    <s v="Thursday"/>
    <n v="5"/>
    <n v="11.06"/>
    <x v="1"/>
    <x v="40"/>
    <s v="Female"/>
    <n v="60.6"/>
    <n v="89.2"/>
    <n v="17"/>
    <n v="16"/>
    <s v="NV"/>
    <n v="3"/>
    <n v="310.10000000000002"/>
    <s v="High"/>
    <n v="0"/>
    <s v="Single-Day"/>
    <n v="1"/>
    <n v="0"/>
    <s v="Main Entrance"/>
    <s v="Mickey &amp; Friends"/>
    <n v="11.2"/>
    <n v="13"/>
    <x v="3895"/>
  </r>
  <r>
    <n v="4229"/>
    <n v="1385"/>
    <d v="2026-05-07T00:00:00"/>
    <s v="Thursday"/>
    <n v="5"/>
    <n v="10.95"/>
    <x v="0"/>
    <x v="31"/>
    <s v="Female"/>
    <n v="69.8"/>
    <n v="222.6"/>
    <n v="32.299999999999997"/>
    <n v="18"/>
    <s v="NV"/>
    <n v="3"/>
    <n v="310.10000000000002"/>
    <s v="High"/>
    <n v="0"/>
    <s v="Single-Day"/>
    <n v="1"/>
    <n v="0"/>
    <s v="Main Entrance"/>
    <s v="Mickey &amp; Friends"/>
    <n v="11.7"/>
    <n v="10"/>
    <x v="161"/>
  </r>
  <r>
    <n v="4230"/>
    <n v="1386"/>
    <d v="2026-10-02T00:00:00"/>
    <s v="Friday"/>
    <n v="10"/>
    <n v="11.86"/>
    <x v="1"/>
    <x v="50"/>
    <s v="Female"/>
    <n v="62"/>
    <n v="98.3"/>
    <n v="18.2"/>
    <n v="11"/>
    <s v="NV"/>
    <n v="4"/>
    <n v="162.6"/>
    <s v="Low"/>
    <n v="1"/>
    <s v="Park Hopper"/>
    <n v="0"/>
    <n v="0"/>
    <s v="Main Entrance"/>
    <s v="Toy Story Lot"/>
    <n v="7.3"/>
    <n v="9"/>
    <x v="3896"/>
  </r>
  <r>
    <n v="4231"/>
    <n v="1386"/>
    <d v="2026-10-02T00:00:00"/>
    <s v="Friday"/>
    <n v="10"/>
    <n v="11.83"/>
    <x v="1"/>
    <x v="34"/>
    <s v="Male"/>
    <n v="77.7"/>
    <n v="228.6"/>
    <n v="26.6"/>
    <n v="11"/>
    <s v="NV"/>
    <n v="4"/>
    <n v="162.6"/>
    <s v="Low"/>
    <n v="1"/>
    <s v="Park Hopper"/>
    <n v="0"/>
    <n v="0"/>
    <s v="Main Entrance"/>
    <s v="Toy Story Lot"/>
    <n v="4.9000000000000004"/>
    <n v="7"/>
    <x v="513"/>
  </r>
  <r>
    <n v="4232"/>
    <n v="1386"/>
    <d v="2026-10-02T00:00:00"/>
    <s v="Friday"/>
    <n v="10"/>
    <n v="12.19"/>
    <x v="1"/>
    <x v="11"/>
    <s v="Male"/>
    <n v="67"/>
    <n v="147"/>
    <n v="23.1"/>
    <n v="14"/>
    <s v="NV"/>
    <n v="4"/>
    <n v="162.6"/>
    <s v="Low"/>
    <n v="1"/>
    <s v="Park Hopper"/>
    <n v="0"/>
    <n v="0"/>
    <s v="Main Entrance"/>
    <s v="Toy Story Lot"/>
    <n v="9.3000000000000007"/>
    <n v="12"/>
    <x v="3897"/>
  </r>
  <r>
    <n v="4233"/>
    <n v="1386"/>
    <d v="2026-10-02T00:00:00"/>
    <s v="Friday"/>
    <n v="10"/>
    <n v="11.97"/>
    <x v="1"/>
    <x v="10"/>
    <s v="Female"/>
    <n v="65.400000000000006"/>
    <n v="134.6"/>
    <n v="22.1"/>
    <n v="15"/>
    <s v="NV"/>
    <n v="4"/>
    <n v="162.6"/>
    <s v="Low"/>
    <n v="1"/>
    <s v="Park Hopper"/>
    <n v="0"/>
    <n v="0"/>
    <s v="Main Entrance"/>
    <s v="Toy Story Lot"/>
    <n v="7.3"/>
    <n v="7"/>
    <x v="3898"/>
  </r>
  <r>
    <n v="4234"/>
    <n v="1387"/>
    <d v="2026-10-02T00:00:00"/>
    <s v="Friday"/>
    <n v="10"/>
    <n v="11.82"/>
    <x v="1"/>
    <x v="39"/>
    <s v="Female"/>
    <n v="66.2"/>
    <n v="119.1"/>
    <n v="19"/>
    <n v="16"/>
    <s v="UT"/>
    <n v="3"/>
    <n v="775.1"/>
    <s v="High"/>
    <n v="0"/>
    <s v="Multi-Day"/>
    <n v="1"/>
    <n v="0"/>
    <s v="Main Entrance"/>
    <s v="Toy Story Lot"/>
    <n v="9.1"/>
    <n v="7"/>
    <x v="2165"/>
  </r>
  <r>
    <n v="4235"/>
    <n v="1387"/>
    <d v="2026-10-02T00:00:00"/>
    <s v="Friday"/>
    <n v="10"/>
    <n v="11.85"/>
    <x v="1"/>
    <x v="64"/>
    <s v="Male"/>
    <n v="51.5"/>
    <n v="69.5"/>
    <n v="18.600000000000001"/>
    <n v="15"/>
    <s v="UT"/>
    <n v="3"/>
    <n v="775.1"/>
    <s v="High"/>
    <n v="0"/>
    <s v="Multi-Day"/>
    <n v="1"/>
    <n v="0"/>
    <s v="Main Entrance"/>
    <s v="Toy Story Lot"/>
    <n v="9.1"/>
    <n v="9"/>
    <x v="3899"/>
  </r>
  <r>
    <n v="4236"/>
    <n v="1387"/>
    <d v="2026-10-02T00:00:00"/>
    <s v="Friday"/>
    <n v="10"/>
    <n v="11.82"/>
    <x v="1"/>
    <x v="52"/>
    <s v="Female"/>
    <n v="62.4"/>
    <n v="123.6"/>
    <n v="22.2"/>
    <n v="18"/>
    <s v="UT"/>
    <n v="3"/>
    <n v="775.1"/>
    <s v="High"/>
    <n v="0"/>
    <s v="Multi-Day"/>
    <n v="1"/>
    <n v="0"/>
    <s v="Main Entrance"/>
    <s v="Toy Story Lot"/>
    <n v="8.1999999999999993"/>
    <n v="6"/>
    <x v="421"/>
  </r>
  <r>
    <n v="4237"/>
    <n v="1388"/>
    <d v="2026-01-24T00:00:00"/>
    <s v="Saturday"/>
    <n v="1"/>
    <n v="11.88"/>
    <x v="1"/>
    <x v="12"/>
    <s v="Male"/>
    <n v="68.099999999999994"/>
    <n v="160"/>
    <n v="24.2"/>
    <n v="13"/>
    <s v="TX"/>
    <n v="1"/>
    <n v="1227.8"/>
    <s v="Middle"/>
    <n v="0"/>
    <s v="Park Hopper"/>
    <n v="0"/>
    <n v="0"/>
    <s v="Main Entrance"/>
    <s v="Mickey &amp; Friends"/>
    <n v="10"/>
    <n v="11"/>
    <x v="3900"/>
  </r>
  <r>
    <n v="4238"/>
    <n v="1389"/>
    <d v="2026-04-04T00:00:00"/>
    <s v="Saturday"/>
    <n v="4"/>
    <n v="9.98"/>
    <x v="0"/>
    <x v="1"/>
    <s v="Female"/>
    <n v="63.1"/>
    <n v="133.5"/>
    <n v="23.6"/>
    <n v="14"/>
    <s v="CA"/>
    <n v="2"/>
    <n v="130.69999999999999"/>
    <s v="Middle"/>
    <n v="1"/>
    <s v="Park Hopper"/>
    <n v="1"/>
    <n v="0"/>
    <s v="Main Entrance"/>
    <s v="Mickey &amp; Friends"/>
    <n v="9.1999999999999993"/>
    <n v="10"/>
    <x v="3901"/>
  </r>
  <r>
    <n v="4239"/>
    <n v="1389"/>
    <d v="2026-04-04T00:00:00"/>
    <s v="Saturday"/>
    <n v="4"/>
    <n v="10.210000000000001"/>
    <x v="0"/>
    <x v="34"/>
    <s v="Female"/>
    <n v="65.599999999999994"/>
    <n v="159.1"/>
    <n v="26.1"/>
    <n v="16"/>
    <s v="CA"/>
    <n v="2"/>
    <n v="130.69999999999999"/>
    <s v="Middle"/>
    <n v="1"/>
    <s v="Park Hopper"/>
    <n v="1"/>
    <n v="0"/>
    <s v="Main Entrance"/>
    <s v="Mickey &amp; Friends"/>
    <n v="11"/>
    <n v="13"/>
    <x v="3902"/>
  </r>
  <r>
    <n v="4240"/>
    <n v="1390"/>
    <d v="2026-11-12T00:00:00"/>
    <s v="Thursday"/>
    <n v="11"/>
    <n v="9.2799999999999994"/>
    <x v="0"/>
    <x v="33"/>
    <s v="Male"/>
    <n v="70.900000000000006"/>
    <n v="195.8"/>
    <n v="27.3"/>
    <n v="20"/>
    <s v="CA"/>
    <n v="1"/>
    <n v="60.3"/>
    <s v="High"/>
    <n v="1"/>
    <s v="Park Hopper"/>
    <n v="1"/>
    <n v="0"/>
    <s v="Main Entrance"/>
    <s v="Mickey &amp; Friends"/>
    <n v="9"/>
    <n v="12"/>
    <x v="3903"/>
  </r>
  <r>
    <n v="4241"/>
    <n v="1391"/>
    <d v="2026-01-25T00:00:00"/>
    <s v="Sunday"/>
    <n v="1"/>
    <n v="9.9499999999999993"/>
    <x v="0"/>
    <x v="13"/>
    <s v="Female"/>
    <n v="67.3"/>
    <n v="154"/>
    <n v="23.9"/>
    <n v="13"/>
    <s v="CA"/>
    <n v="6"/>
    <n v="198.2"/>
    <s v="Low"/>
    <n v="0"/>
    <s v="Single-Day"/>
    <n v="1"/>
    <n v="0"/>
    <s v="Main Entrance"/>
    <s v="Pixar Pals"/>
    <n v="8.1"/>
    <n v="8"/>
    <x v="3904"/>
  </r>
  <r>
    <n v="4242"/>
    <n v="1391"/>
    <d v="2026-01-25T00:00:00"/>
    <s v="Sunday"/>
    <n v="1"/>
    <n v="10.02"/>
    <x v="0"/>
    <x v="13"/>
    <s v="Male"/>
    <n v="74.8"/>
    <n v="253"/>
    <n v="31.5"/>
    <n v="14"/>
    <s v="CA"/>
    <n v="6"/>
    <n v="198.2"/>
    <s v="Low"/>
    <n v="0"/>
    <s v="Single-Day"/>
    <n v="1"/>
    <n v="0"/>
    <s v="Main Entrance"/>
    <s v="Pixar Pals"/>
    <n v="8.9"/>
    <n v="13"/>
    <x v="3905"/>
  </r>
  <r>
    <n v="4243"/>
    <n v="1391"/>
    <d v="2026-01-25T00:00:00"/>
    <s v="Sunday"/>
    <n v="1"/>
    <n v="10"/>
    <x v="0"/>
    <x v="11"/>
    <s v="Male"/>
    <n v="68.900000000000006"/>
    <n v="197.2"/>
    <n v="29.4"/>
    <n v="11"/>
    <s v="CA"/>
    <n v="6"/>
    <n v="198.2"/>
    <s v="Low"/>
    <n v="0"/>
    <s v="Single-Day"/>
    <n v="1"/>
    <n v="0"/>
    <s v="Main Entrance"/>
    <s v="Pixar Pals"/>
    <n v="7.8"/>
    <n v="9"/>
    <x v="3906"/>
  </r>
  <r>
    <n v="4244"/>
    <n v="1391"/>
    <d v="2026-01-25T00:00:00"/>
    <s v="Sunday"/>
    <n v="1"/>
    <n v="9.9700000000000006"/>
    <x v="0"/>
    <x v="42"/>
    <s v="Female"/>
    <n v="67.7"/>
    <n v="187.7"/>
    <n v="28.7"/>
    <n v="9"/>
    <s v="CA"/>
    <n v="6"/>
    <n v="198.2"/>
    <s v="Low"/>
    <n v="0"/>
    <s v="Single-Day"/>
    <n v="1"/>
    <n v="0"/>
    <s v="Main Entrance"/>
    <s v="Pixar Pals"/>
    <n v="8.1"/>
    <n v="9"/>
    <x v="3907"/>
  </r>
  <r>
    <n v="4245"/>
    <n v="1391"/>
    <d v="2026-01-25T00:00:00"/>
    <s v="Sunday"/>
    <n v="1"/>
    <n v="10"/>
    <x v="0"/>
    <x v="19"/>
    <s v="Male"/>
    <n v="69.3"/>
    <n v="163.5"/>
    <n v="23.6"/>
    <n v="15"/>
    <s v="CA"/>
    <n v="6"/>
    <n v="198.2"/>
    <s v="Low"/>
    <n v="0"/>
    <s v="Single-Day"/>
    <n v="1"/>
    <n v="0"/>
    <s v="Main Entrance"/>
    <s v="Pixar Pals"/>
    <n v="9.9"/>
    <n v="9"/>
    <x v="3908"/>
  </r>
  <r>
    <n v="4246"/>
    <n v="1391"/>
    <d v="2026-01-25T00:00:00"/>
    <s v="Sunday"/>
    <n v="1"/>
    <n v="10.029999999999999"/>
    <x v="0"/>
    <x v="35"/>
    <s v="Male"/>
    <n v="72.8"/>
    <n v="153"/>
    <n v="20.2"/>
    <n v="19"/>
    <s v="CA"/>
    <n v="6"/>
    <n v="198.2"/>
    <s v="Low"/>
    <n v="0"/>
    <s v="Single-Day"/>
    <n v="1"/>
    <n v="0"/>
    <s v="Main Entrance"/>
    <s v="Pixar Pals"/>
    <n v="8.9"/>
    <n v="9"/>
    <x v="3909"/>
  </r>
  <r>
    <n v="4247"/>
    <n v="1392"/>
    <d v="2026-01-28T00:00:00"/>
    <s v="Wednesday"/>
    <n v="1"/>
    <n v="10.029999999999999"/>
    <x v="0"/>
    <x v="71"/>
    <s v="Female"/>
    <n v="59.3"/>
    <n v="119.3"/>
    <n v="23.8"/>
    <n v="13"/>
    <s v="OR"/>
    <n v="1"/>
    <n v="809.2"/>
    <s v="Middle"/>
    <n v="1"/>
    <s v="Park Hopper"/>
    <n v="0"/>
    <n v="1"/>
    <s v="Downtown Disney Gate"/>
    <s v="None/Walked from Resort"/>
    <n v="11.9"/>
    <n v="5"/>
    <x v="3910"/>
  </r>
  <r>
    <n v="4248"/>
    <n v="1393"/>
    <d v="2026-03-06T00:00:00"/>
    <s v="Friday"/>
    <n v="3"/>
    <n v="10.47"/>
    <x v="0"/>
    <x v="10"/>
    <s v="Male"/>
    <n v="71.7"/>
    <n v="196.5"/>
    <n v="27.3"/>
    <n v="15"/>
    <s v="CA"/>
    <n v="2"/>
    <n v="160.4"/>
    <s v="Middle"/>
    <n v="1"/>
    <s v="Single-Day"/>
    <n v="1"/>
    <n v="0"/>
    <s v="Main Entrance"/>
    <s v="Pixar Pals"/>
    <n v="10.8"/>
    <n v="11"/>
    <x v="3911"/>
  </r>
  <r>
    <n v="4249"/>
    <n v="1393"/>
    <d v="2026-03-06T00:00:00"/>
    <s v="Friday"/>
    <n v="3"/>
    <n v="10.64"/>
    <x v="0"/>
    <x v="38"/>
    <s v="Female"/>
    <n v="62.2"/>
    <n v="99"/>
    <n v="17.600000000000001"/>
    <n v="11"/>
    <s v="CA"/>
    <n v="2"/>
    <n v="160.4"/>
    <s v="Middle"/>
    <n v="1"/>
    <s v="Single-Day"/>
    <n v="1"/>
    <n v="0"/>
    <s v="Main Entrance"/>
    <s v="Pixar Pals"/>
    <n v="8.6999999999999993"/>
    <n v="11"/>
    <x v="3912"/>
  </r>
  <r>
    <n v="4250"/>
    <n v="1394"/>
    <d v="2026-02-02T00:00:00"/>
    <s v="Monday"/>
    <n v="2"/>
    <n v="11.24"/>
    <x v="1"/>
    <x v="60"/>
    <s v="Male"/>
    <n v="66.3"/>
    <n v="110.7"/>
    <n v="17.8"/>
    <n v="10"/>
    <s v="CA"/>
    <n v="5"/>
    <n v="65.8"/>
    <s v="Low"/>
    <n v="0"/>
    <s v="Single-Day"/>
    <n v="0"/>
    <n v="0"/>
    <s v="Main Entrance"/>
    <s v="Mickey &amp; Friends"/>
    <n v="10.8"/>
    <n v="8"/>
    <x v="3913"/>
  </r>
  <r>
    <n v="4251"/>
    <n v="1394"/>
    <d v="2026-02-02T00:00:00"/>
    <s v="Monday"/>
    <n v="2"/>
    <n v="11.4"/>
    <x v="1"/>
    <x v="6"/>
    <s v="Female"/>
    <n v="67.8"/>
    <n v="178.8"/>
    <n v="27.2"/>
    <n v="10"/>
    <s v="CA"/>
    <n v="5"/>
    <n v="65.8"/>
    <s v="Low"/>
    <n v="0"/>
    <s v="Single-Day"/>
    <n v="0"/>
    <n v="0"/>
    <s v="Main Entrance"/>
    <s v="Mickey &amp; Friends"/>
    <n v="6.8"/>
    <n v="7"/>
    <x v="3914"/>
  </r>
  <r>
    <n v="4252"/>
    <n v="1394"/>
    <d v="2026-02-02T00:00:00"/>
    <s v="Monday"/>
    <n v="2"/>
    <n v="11.4"/>
    <x v="1"/>
    <x v="69"/>
    <s v="Male"/>
    <n v="69"/>
    <n v="200.6"/>
    <n v="29.5"/>
    <n v="14"/>
    <s v="CA"/>
    <n v="5"/>
    <n v="65.8"/>
    <s v="Low"/>
    <n v="0"/>
    <s v="Single-Day"/>
    <n v="0"/>
    <n v="0"/>
    <s v="Main Entrance"/>
    <s v="Mickey &amp; Friends"/>
    <n v="8.1999999999999993"/>
    <n v="5"/>
    <x v="3915"/>
  </r>
  <r>
    <n v="4253"/>
    <n v="1394"/>
    <d v="2026-02-02T00:00:00"/>
    <s v="Monday"/>
    <n v="2"/>
    <n v="11.31"/>
    <x v="1"/>
    <x v="33"/>
    <s v="Female"/>
    <n v="64.8"/>
    <n v="125.9"/>
    <n v="21"/>
    <n v="16"/>
    <s v="CA"/>
    <n v="5"/>
    <n v="65.8"/>
    <s v="Low"/>
    <n v="0"/>
    <s v="Single-Day"/>
    <n v="0"/>
    <n v="0"/>
    <s v="Main Entrance"/>
    <s v="Mickey &amp; Friends"/>
    <n v="6.7"/>
    <n v="2"/>
    <x v="3916"/>
  </r>
  <r>
    <n v="4254"/>
    <n v="1394"/>
    <d v="2026-02-02T00:00:00"/>
    <s v="Monday"/>
    <n v="2"/>
    <n v="11.29"/>
    <x v="1"/>
    <x v="71"/>
    <s v="Female"/>
    <n v="65.400000000000006"/>
    <n v="177.8"/>
    <n v="29"/>
    <n v="17"/>
    <s v="CA"/>
    <n v="5"/>
    <n v="65.8"/>
    <s v="Low"/>
    <n v="0"/>
    <s v="Single-Day"/>
    <n v="0"/>
    <n v="0"/>
    <s v="Main Entrance"/>
    <s v="Mickey &amp; Friends"/>
    <n v="8.9"/>
    <n v="7"/>
    <x v="2131"/>
  </r>
  <r>
    <n v="4255"/>
    <n v="1395"/>
    <d v="2026-01-18T00:00:00"/>
    <s v="Sunday"/>
    <n v="1"/>
    <n v="11.89"/>
    <x v="1"/>
    <x v="60"/>
    <s v="Male"/>
    <n v="64"/>
    <n v="121"/>
    <n v="20.6"/>
    <n v="14"/>
    <s v="AZ"/>
    <n v="6"/>
    <n v="422.5"/>
    <s v="Low"/>
    <n v="1"/>
    <s v="Park Hopper"/>
    <n v="1"/>
    <n v="0"/>
    <s v="Main Entrance"/>
    <s v="Toy Story Lot"/>
    <n v="7.4"/>
    <n v="8"/>
    <x v="3917"/>
  </r>
  <r>
    <n v="4256"/>
    <n v="1395"/>
    <d v="2026-01-18T00:00:00"/>
    <s v="Sunday"/>
    <n v="1"/>
    <n v="11.65"/>
    <x v="1"/>
    <x v="52"/>
    <s v="Male"/>
    <n v="70.5"/>
    <n v="267.3"/>
    <n v="37.799999999999997"/>
    <n v="13"/>
    <s v="AZ"/>
    <n v="6"/>
    <n v="422.5"/>
    <s v="Low"/>
    <n v="1"/>
    <s v="Park Hopper"/>
    <n v="1"/>
    <n v="0"/>
    <s v="Main Entrance"/>
    <s v="Toy Story Lot"/>
    <n v="7.6"/>
    <n v="1"/>
    <x v="3918"/>
  </r>
  <r>
    <n v="4257"/>
    <n v="1395"/>
    <d v="2026-01-18T00:00:00"/>
    <s v="Sunday"/>
    <n v="1"/>
    <n v="11.65"/>
    <x v="1"/>
    <x v="38"/>
    <s v="Female"/>
    <n v="58"/>
    <n v="153.69999999999999"/>
    <n v="32.200000000000003"/>
    <n v="10"/>
    <s v="AZ"/>
    <n v="6"/>
    <n v="422.5"/>
    <s v="Low"/>
    <n v="1"/>
    <s v="Park Hopper"/>
    <n v="1"/>
    <n v="0"/>
    <s v="Main Entrance"/>
    <s v="Toy Story Lot"/>
    <n v="9.5"/>
    <n v="13"/>
    <x v="3919"/>
  </r>
  <r>
    <n v="4258"/>
    <n v="1395"/>
    <d v="2026-01-18T00:00:00"/>
    <s v="Sunday"/>
    <n v="1"/>
    <n v="11.58"/>
    <x v="1"/>
    <x v="3"/>
    <s v="Female"/>
    <n v="63.4"/>
    <n v="136.5"/>
    <n v="24"/>
    <n v="15"/>
    <s v="AZ"/>
    <n v="6"/>
    <n v="422.5"/>
    <s v="Low"/>
    <n v="1"/>
    <s v="Park Hopper"/>
    <n v="1"/>
    <n v="0"/>
    <s v="Main Entrance"/>
    <s v="Toy Story Lot"/>
    <n v="10.1"/>
    <n v="8"/>
    <x v="3920"/>
  </r>
  <r>
    <n v="4259"/>
    <n v="1395"/>
    <d v="2026-01-18T00:00:00"/>
    <s v="Sunday"/>
    <n v="1"/>
    <n v="11.69"/>
    <x v="1"/>
    <x v="43"/>
    <s v="Female"/>
    <n v="60.7"/>
    <n v="114.7"/>
    <n v="22.1"/>
    <n v="12"/>
    <s v="AZ"/>
    <n v="6"/>
    <n v="422.5"/>
    <s v="Low"/>
    <n v="1"/>
    <s v="Park Hopper"/>
    <n v="1"/>
    <n v="0"/>
    <s v="Main Entrance"/>
    <s v="Toy Story Lot"/>
    <n v="10.8"/>
    <n v="7"/>
    <x v="3921"/>
  </r>
  <r>
    <n v="4260"/>
    <n v="1395"/>
    <d v="2026-01-18T00:00:00"/>
    <s v="Sunday"/>
    <n v="1"/>
    <n v="11.58"/>
    <x v="1"/>
    <x v="18"/>
    <s v="Female"/>
    <n v="65.2"/>
    <n v="183.8"/>
    <n v="30.2"/>
    <n v="15"/>
    <s v="AZ"/>
    <n v="6"/>
    <n v="422.5"/>
    <s v="Low"/>
    <n v="1"/>
    <s v="Park Hopper"/>
    <n v="1"/>
    <n v="0"/>
    <s v="Main Entrance"/>
    <s v="Toy Story Lot"/>
    <n v="8"/>
    <n v="6"/>
    <x v="3922"/>
  </r>
  <r>
    <n v="4261"/>
    <n v="1396"/>
    <d v="2026-01-24T00:00:00"/>
    <s v="Saturday"/>
    <n v="1"/>
    <n v="11.05"/>
    <x v="1"/>
    <x v="10"/>
    <s v="Female"/>
    <n v="64"/>
    <n v="144.5"/>
    <n v="25"/>
    <n v="19"/>
    <s v="UT"/>
    <n v="2"/>
    <n v="440.9"/>
    <s v="High"/>
    <n v="1"/>
    <s v="Single-Day"/>
    <n v="0"/>
    <n v="0"/>
    <s v="Downtown Disney Gate"/>
    <s v="Pixar Pals"/>
    <n v="8.5"/>
    <n v="5"/>
    <x v="3923"/>
  </r>
  <r>
    <n v="4262"/>
    <n v="1396"/>
    <d v="2026-01-24T00:00:00"/>
    <s v="Saturday"/>
    <n v="1"/>
    <n v="10.97"/>
    <x v="0"/>
    <x v="21"/>
    <s v="Male"/>
    <n v="73.900000000000006"/>
    <n v="222.5"/>
    <n v="28.8"/>
    <n v="17"/>
    <s v="UT"/>
    <n v="2"/>
    <n v="440.9"/>
    <s v="High"/>
    <n v="1"/>
    <s v="Single-Day"/>
    <n v="0"/>
    <n v="0"/>
    <s v="Downtown Disney Gate"/>
    <s v="Pixar Pals"/>
    <n v="7.1"/>
    <n v="12"/>
    <x v="2950"/>
  </r>
  <r>
    <n v="4263"/>
    <n v="1397"/>
    <d v="2026-03-29T00:00:00"/>
    <s v="Sunday"/>
    <n v="3"/>
    <n v="11.47"/>
    <x v="1"/>
    <x v="58"/>
    <s v="Male"/>
    <n v="66"/>
    <n v="223.7"/>
    <n v="36.200000000000003"/>
    <n v="16"/>
    <s v="OR"/>
    <n v="4"/>
    <n v="765.5"/>
    <s v="High"/>
    <n v="0"/>
    <s v="Multi-Day"/>
    <n v="0"/>
    <n v="0"/>
    <s v="Main Entrance"/>
    <s v="None/Dropoff/Transit"/>
    <n v="7.5"/>
    <n v="1"/>
    <x v="3924"/>
  </r>
  <r>
    <n v="4264"/>
    <n v="1397"/>
    <d v="2026-03-29T00:00:00"/>
    <s v="Sunday"/>
    <n v="3"/>
    <n v="11.36"/>
    <x v="1"/>
    <x v="34"/>
    <s v="Male"/>
    <n v="69.2"/>
    <n v="156.4"/>
    <n v="23.1"/>
    <n v="16"/>
    <s v="OR"/>
    <n v="4"/>
    <n v="765.5"/>
    <s v="High"/>
    <n v="0"/>
    <s v="Multi-Day"/>
    <n v="0"/>
    <n v="0"/>
    <s v="Main Entrance"/>
    <s v="None/Dropoff/Transit"/>
    <n v="4.5999999999999996"/>
    <n v="3"/>
    <x v="20"/>
  </r>
  <r>
    <n v="4265"/>
    <n v="1397"/>
    <d v="2026-03-29T00:00:00"/>
    <s v="Sunday"/>
    <n v="3"/>
    <n v="11.54"/>
    <x v="1"/>
    <x v="10"/>
    <s v="Male"/>
    <n v="71.599999999999994"/>
    <n v="225.6"/>
    <n v="30.7"/>
    <n v="17"/>
    <s v="OR"/>
    <n v="4"/>
    <n v="765.5"/>
    <s v="High"/>
    <n v="0"/>
    <s v="Multi-Day"/>
    <n v="0"/>
    <n v="0"/>
    <s v="Main Entrance"/>
    <s v="None/Dropoff/Transit"/>
    <n v="8.1"/>
    <n v="4"/>
    <x v="1506"/>
  </r>
  <r>
    <n v="4266"/>
    <n v="1397"/>
    <d v="2026-03-29T00:00:00"/>
    <s v="Sunday"/>
    <n v="3"/>
    <n v="11.57"/>
    <x v="1"/>
    <x v="25"/>
    <s v="Female"/>
    <n v="68.900000000000006"/>
    <n v="216.3"/>
    <n v="32"/>
    <n v="17"/>
    <s v="OR"/>
    <n v="4"/>
    <n v="765.5"/>
    <s v="High"/>
    <n v="0"/>
    <s v="Multi-Day"/>
    <n v="0"/>
    <n v="0"/>
    <s v="Main Entrance"/>
    <s v="None/Dropoff/Transit"/>
    <n v="9.1"/>
    <n v="7"/>
    <x v="3925"/>
  </r>
  <r>
    <n v="4267"/>
    <n v="1398"/>
    <d v="2026-04-25T00:00:00"/>
    <s v="Saturday"/>
    <n v="4"/>
    <n v="13.65"/>
    <x v="1"/>
    <x v="62"/>
    <s v="Male"/>
    <n v="74.7"/>
    <n v="163"/>
    <n v="20.3"/>
    <n v="15"/>
    <s v="WA"/>
    <n v="2"/>
    <n v="788"/>
    <s v="Middle"/>
    <n v="1"/>
    <s v="Single-Day"/>
    <n v="0"/>
    <n v="0"/>
    <s v="Main Entrance"/>
    <s v="Toy Story Lot"/>
    <n v="7.5"/>
    <n v="2"/>
    <x v="3926"/>
  </r>
  <r>
    <n v="4268"/>
    <n v="1398"/>
    <d v="2026-04-25T00:00:00"/>
    <s v="Saturday"/>
    <n v="4"/>
    <n v="13.71"/>
    <x v="1"/>
    <x v="1"/>
    <s v="Female"/>
    <n v="63.1"/>
    <n v="153.4"/>
    <n v="27"/>
    <n v="18"/>
    <s v="WA"/>
    <n v="2"/>
    <n v="788"/>
    <s v="Middle"/>
    <n v="1"/>
    <s v="Single-Day"/>
    <n v="0"/>
    <n v="0"/>
    <s v="Main Entrance"/>
    <s v="Toy Story Lot"/>
    <n v="7"/>
    <n v="6"/>
    <x v="3927"/>
  </r>
  <r>
    <n v="4269"/>
    <n v="1399"/>
    <d v="2026-01-19T00:00:00"/>
    <s v="Monday"/>
    <n v="1"/>
    <n v="9.48"/>
    <x v="0"/>
    <x v="9"/>
    <s v="Male"/>
    <n v="71.7"/>
    <n v="148.9"/>
    <n v="20.9"/>
    <n v="12"/>
    <s v="CA"/>
    <n v="4"/>
    <n v="48.4"/>
    <s v="Low"/>
    <n v="0"/>
    <s v="Single-Day"/>
    <n v="0"/>
    <n v="0"/>
    <s v="Main Entrance"/>
    <s v="Pixar Pals"/>
    <n v="7.6"/>
    <n v="11"/>
    <x v="3928"/>
  </r>
  <r>
    <n v="4270"/>
    <n v="1399"/>
    <d v="2026-01-19T00:00:00"/>
    <s v="Monday"/>
    <n v="1"/>
    <n v="9.59"/>
    <x v="0"/>
    <x v="0"/>
    <s v="Female"/>
    <n v="64.3"/>
    <n v="148.6"/>
    <n v="25.3"/>
    <n v="13"/>
    <s v="CA"/>
    <n v="4"/>
    <n v="48.4"/>
    <s v="Low"/>
    <n v="0"/>
    <s v="Single-Day"/>
    <n v="0"/>
    <n v="0"/>
    <s v="Main Entrance"/>
    <s v="Pixar Pals"/>
    <n v="7.4"/>
    <n v="11"/>
    <x v="3929"/>
  </r>
  <r>
    <n v="4271"/>
    <n v="1399"/>
    <d v="2026-01-19T00:00:00"/>
    <s v="Monday"/>
    <n v="1"/>
    <n v="9.49"/>
    <x v="0"/>
    <x v="43"/>
    <s v="Male"/>
    <n v="70.5"/>
    <n v="140.9"/>
    <n v="19.899999999999999"/>
    <n v="10"/>
    <s v="CA"/>
    <n v="4"/>
    <n v="48.4"/>
    <s v="Low"/>
    <n v="0"/>
    <s v="Single-Day"/>
    <n v="0"/>
    <n v="0"/>
    <s v="Main Entrance"/>
    <s v="Pixar Pals"/>
    <n v="7.3"/>
    <n v="5"/>
    <x v="3930"/>
  </r>
  <r>
    <n v="4272"/>
    <n v="1399"/>
    <d v="2026-01-19T00:00:00"/>
    <s v="Monday"/>
    <n v="1"/>
    <n v="9.6199999999999992"/>
    <x v="0"/>
    <x v="15"/>
    <s v="Female"/>
    <n v="66.900000000000006"/>
    <n v="199.8"/>
    <n v="31.8"/>
    <n v="12"/>
    <s v="CA"/>
    <n v="4"/>
    <n v="48.4"/>
    <s v="Low"/>
    <n v="0"/>
    <s v="Single-Day"/>
    <n v="0"/>
    <n v="0"/>
    <s v="Main Entrance"/>
    <s v="Pixar Pals"/>
    <n v="7"/>
    <n v="7"/>
    <x v="3931"/>
  </r>
  <r>
    <n v="4273"/>
    <n v="1400"/>
    <d v="2026-07-06T00:00:00"/>
    <s v="Monday"/>
    <n v="7"/>
    <n v="10.029999999999999"/>
    <x v="0"/>
    <x v="11"/>
    <s v="Male"/>
    <n v="70.599999999999994"/>
    <n v="180.6"/>
    <n v="25.4"/>
    <n v="13"/>
    <s v="Other"/>
    <n v="4"/>
    <n v="1213.8"/>
    <s v="Middle"/>
    <n v="1"/>
    <s v="Multi-Day"/>
    <n v="1"/>
    <n v="0"/>
    <s v="Hotel Guest Entrance"/>
    <s v="Pixar Pals"/>
    <n v="10"/>
    <n v="11"/>
    <x v="3932"/>
  </r>
  <r>
    <n v="4274"/>
    <n v="1400"/>
    <d v="2026-07-06T00:00:00"/>
    <s v="Monday"/>
    <n v="7"/>
    <n v="10.28"/>
    <x v="0"/>
    <x v="22"/>
    <s v="Female"/>
    <n v="62.7"/>
    <n v="108.7"/>
    <n v="19.3"/>
    <n v="14"/>
    <s v="Other"/>
    <n v="4"/>
    <n v="1213.8"/>
    <s v="Middle"/>
    <n v="1"/>
    <s v="Multi-Day"/>
    <n v="1"/>
    <n v="0"/>
    <s v="Hotel Guest Entrance"/>
    <s v="Pixar Pals"/>
    <n v="7"/>
    <n v="5"/>
    <x v="3933"/>
  </r>
  <r>
    <n v="4275"/>
    <n v="1400"/>
    <d v="2026-07-06T00:00:00"/>
    <s v="Monday"/>
    <n v="7"/>
    <n v="10.210000000000001"/>
    <x v="0"/>
    <x v="32"/>
    <s v="Female"/>
    <n v="63.7"/>
    <n v="88.9"/>
    <n v="15.3"/>
    <n v="13"/>
    <s v="Other"/>
    <n v="4"/>
    <n v="1213.8"/>
    <s v="Middle"/>
    <n v="1"/>
    <s v="Multi-Day"/>
    <n v="1"/>
    <n v="0"/>
    <s v="Hotel Guest Entrance"/>
    <s v="Pixar Pals"/>
    <n v="9.9"/>
    <n v="9"/>
    <x v="3934"/>
  </r>
  <r>
    <n v="4276"/>
    <n v="1400"/>
    <d v="2026-07-06T00:00:00"/>
    <s v="Monday"/>
    <n v="7"/>
    <n v="10.130000000000001"/>
    <x v="0"/>
    <x v="27"/>
    <s v="Male"/>
    <n v="66.900000000000006"/>
    <n v="155.9"/>
    <n v="24.7"/>
    <n v="18"/>
    <s v="Other"/>
    <n v="4"/>
    <n v="1213.8"/>
    <s v="Middle"/>
    <n v="1"/>
    <s v="Multi-Day"/>
    <n v="1"/>
    <n v="0"/>
    <s v="Hotel Guest Entrance"/>
    <s v="Pixar Pals"/>
    <n v="6.2"/>
    <n v="7"/>
    <x v="3935"/>
  </r>
  <r>
    <n v="4277"/>
    <n v="1401"/>
    <d v="2026-07-27T00:00:00"/>
    <s v="Monday"/>
    <n v="7"/>
    <n v="11.17"/>
    <x v="1"/>
    <x v="0"/>
    <s v="Male"/>
    <n v="72.8"/>
    <n v="234.3"/>
    <n v="30.9"/>
    <n v="15"/>
    <s v="CA"/>
    <n v="2"/>
    <n v="3.5"/>
    <s v="Low"/>
    <n v="1"/>
    <s v="Single-Day"/>
    <n v="0"/>
    <n v="0"/>
    <s v="Main Entrance"/>
    <s v="None/Dropoff/Transit"/>
    <n v="8.5"/>
    <n v="13"/>
    <x v="3936"/>
  </r>
  <r>
    <n v="4278"/>
    <n v="1401"/>
    <d v="2026-07-27T00:00:00"/>
    <s v="Monday"/>
    <n v="7"/>
    <n v="11.14"/>
    <x v="1"/>
    <x v="27"/>
    <s v="Female"/>
    <n v="66.2"/>
    <n v="163.80000000000001"/>
    <n v="26"/>
    <n v="12"/>
    <s v="CA"/>
    <n v="2"/>
    <n v="3.5"/>
    <s v="Low"/>
    <n v="1"/>
    <s v="Single-Day"/>
    <n v="0"/>
    <n v="0"/>
    <s v="Main Entrance"/>
    <s v="None/Dropoff/Transit"/>
    <n v="9.9"/>
    <n v="6"/>
    <x v="3937"/>
  </r>
  <r>
    <n v="4279"/>
    <n v="1402"/>
    <d v="2026-01-20T00:00:00"/>
    <s v="Tuesday"/>
    <n v="1"/>
    <n v="9.82"/>
    <x v="0"/>
    <x v="58"/>
    <s v="Male"/>
    <n v="70.8"/>
    <n v="163.69999999999999"/>
    <n v="23.1"/>
    <n v="12"/>
    <s v="CA"/>
    <n v="3"/>
    <n v="123.5"/>
    <s v="Middle"/>
    <n v="1"/>
    <s v="Single-Day"/>
    <n v="1"/>
    <n v="1"/>
    <s v="Main Entrance"/>
    <s v="Mickey &amp; Friends"/>
    <n v="6"/>
    <n v="9"/>
    <x v="3938"/>
  </r>
  <r>
    <n v="4280"/>
    <n v="1402"/>
    <d v="2026-01-20T00:00:00"/>
    <s v="Tuesday"/>
    <n v="1"/>
    <n v="9.8000000000000007"/>
    <x v="0"/>
    <x v="64"/>
    <s v="Male"/>
    <n v="54.3"/>
    <n v="82.1"/>
    <n v="19.8"/>
    <n v="14"/>
    <s v="CA"/>
    <n v="3"/>
    <n v="123.5"/>
    <s v="Middle"/>
    <n v="1"/>
    <s v="Single-Day"/>
    <n v="1"/>
    <n v="1"/>
    <s v="Main Entrance"/>
    <s v="Mickey &amp; Friends"/>
    <n v="10.7"/>
    <n v="7"/>
    <x v="3939"/>
  </r>
  <r>
    <n v="4281"/>
    <n v="1402"/>
    <d v="2026-01-20T00:00:00"/>
    <s v="Tuesday"/>
    <n v="1"/>
    <n v="9.85"/>
    <x v="0"/>
    <x v="38"/>
    <s v="Female"/>
    <n v="65.599999999999994"/>
    <n v="111.6"/>
    <n v="18.2"/>
    <n v="15"/>
    <s v="CA"/>
    <n v="3"/>
    <n v="123.5"/>
    <s v="Middle"/>
    <n v="1"/>
    <s v="Single-Day"/>
    <n v="1"/>
    <n v="1"/>
    <s v="Main Entrance"/>
    <s v="Mickey &amp; Friends"/>
    <n v="6.8"/>
    <n v="11"/>
    <x v="3940"/>
  </r>
  <r>
    <n v="4282"/>
    <n v="1403"/>
    <d v="2026-04-16T00:00:00"/>
    <s v="Thursday"/>
    <n v="4"/>
    <n v="13.27"/>
    <x v="1"/>
    <x v="78"/>
    <s v="Female"/>
    <n v="70"/>
    <n v="146.30000000000001"/>
    <n v="21.2"/>
    <n v="8"/>
    <s v="AZ"/>
    <n v="4"/>
    <n v="463.8"/>
    <s v="Low"/>
    <n v="0"/>
    <s v="Single-Day"/>
    <n v="0"/>
    <n v="0"/>
    <s v="Downtown Disney Gate"/>
    <s v="None/Dropoff/Transit"/>
    <n v="6.9"/>
    <n v="2"/>
    <x v="3941"/>
  </r>
  <r>
    <n v="4283"/>
    <n v="1403"/>
    <d v="2026-04-16T00:00:00"/>
    <s v="Thursday"/>
    <n v="4"/>
    <n v="13.5"/>
    <x v="1"/>
    <x v="32"/>
    <s v="Male"/>
    <n v="70"/>
    <n v="113.3"/>
    <n v="16.2"/>
    <n v="8"/>
    <s v="AZ"/>
    <n v="4"/>
    <n v="463.8"/>
    <s v="Low"/>
    <n v="0"/>
    <s v="Single-Day"/>
    <n v="0"/>
    <n v="0"/>
    <s v="Downtown Disney Gate"/>
    <s v="None/Dropoff/Transit"/>
    <n v="7.3"/>
    <n v="5"/>
    <x v="3942"/>
  </r>
  <r>
    <n v="4284"/>
    <n v="1403"/>
    <d v="2026-04-16T00:00:00"/>
    <s v="Thursday"/>
    <n v="4"/>
    <n v="13.54"/>
    <x v="1"/>
    <x v="71"/>
    <s v="Female"/>
    <n v="63.3"/>
    <n v="134.9"/>
    <n v="23.8"/>
    <n v="10"/>
    <s v="AZ"/>
    <n v="4"/>
    <n v="463.8"/>
    <s v="Low"/>
    <n v="0"/>
    <s v="Single-Day"/>
    <n v="0"/>
    <n v="0"/>
    <s v="Downtown Disney Gate"/>
    <s v="None/Dropoff/Transit"/>
    <n v="6.4"/>
    <n v="7"/>
    <x v="3943"/>
  </r>
  <r>
    <n v="4285"/>
    <n v="1403"/>
    <d v="2026-04-16T00:00:00"/>
    <s v="Thursday"/>
    <n v="4"/>
    <n v="13.73"/>
    <x v="1"/>
    <x v="59"/>
    <s v="Female"/>
    <n v="64.5"/>
    <n v="157.80000000000001"/>
    <n v="26.6"/>
    <n v="14"/>
    <s v="AZ"/>
    <n v="4"/>
    <n v="463.8"/>
    <s v="Low"/>
    <n v="0"/>
    <s v="Single-Day"/>
    <n v="0"/>
    <n v="0"/>
    <s v="Downtown Disney Gate"/>
    <s v="None/Dropoff/Transit"/>
    <n v="6.3"/>
    <n v="6"/>
    <x v="3944"/>
  </r>
  <r>
    <n v="4286"/>
    <n v="1404"/>
    <d v="2026-06-20T00:00:00"/>
    <s v="Saturday"/>
    <n v="6"/>
    <n v="9.08"/>
    <x v="0"/>
    <x v="71"/>
    <s v="Female"/>
    <n v="68.3"/>
    <n v="194.2"/>
    <n v="29.2"/>
    <n v="14"/>
    <s v="CA"/>
    <n v="1"/>
    <n v="74.8"/>
    <s v="Low"/>
    <n v="0"/>
    <s v="Single-Day"/>
    <n v="0"/>
    <n v="0"/>
    <s v="Main Entrance"/>
    <s v="None/Dropoff/Transit"/>
    <n v="5.3"/>
    <n v="6"/>
    <x v="3945"/>
  </r>
  <r>
    <n v="4287"/>
    <n v="1405"/>
    <d v="2026-08-26T00:00:00"/>
    <s v="Wednesday"/>
    <n v="8"/>
    <n v="9.9600000000000009"/>
    <x v="0"/>
    <x v="27"/>
    <s v="Female"/>
    <n v="68.599999999999994"/>
    <n v="128.19999999999999"/>
    <n v="19.100000000000001"/>
    <n v="17"/>
    <s v="Other"/>
    <n v="2"/>
    <n v="1025.5999999999999"/>
    <s v="Middle"/>
    <n v="1"/>
    <s v="Single-Day"/>
    <n v="1"/>
    <n v="1"/>
    <s v="Hotel Guest Entrance"/>
    <s v="None/Walked from Resort"/>
    <n v="9.1"/>
    <n v="8"/>
    <x v="3946"/>
  </r>
  <r>
    <n v="4288"/>
    <n v="1405"/>
    <d v="2026-08-26T00:00:00"/>
    <s v="Wednesday"/>
    <n v="8"/>
    <n v="9.99"/>
    <x v="0"/>
    <x v="18"/>
    <s v="Male"/>
    <n v="72.3"/>
    <n v="170.5"/>
    <n v="23"/>
    <n v="16"/>
    <s v="Other"/>
    <n v="2"/>
    <n v="1025.5999999999999"/>
    <s v="Middle"/>
    <n v="1"/>
    <s v="Single-Day"/>
    <n v="1"/>
    <n v="1"/>
    <s v="Hotel Guest Entrance"/>
    <s v="None/Walked from Resort"/>
    <n v="10.5"/>
    <n v="4"/>
    <x v="3947"/>
  </r>
  <r>
    <n v="4289"/>
    <n v="1406"/>
    <d v="2026-07-25T00:00:00"/>
    <s v="Saturday"/>
    <n v="7"/>
    <n v="8.58"/>
    <x v="0"/>
    <x v="30"/>
    <s v="Female"/>
    <n v="63.3"/>
    <n v="183"/>
    <n v="31.9"/>
    <n v="14"/>
    <s v="CO"/>
    <n v="2"/>
    <n v="1160.5999999999999"/>
    <s v="Middle"/>
    <n v="0"/>
    <s v="Single-Day"/>
    <n v="0"/>
    <n v="1"/>
    <s v="Main Entrance"/>
    <s v="Mickey &amp; Friends"/>
    <n v="8"/>
    <n v="5"/>
    <x v="2057"/>
  </r>
  <r>
    <n v="4290"/>
    <n v="1406"/>
    <d v="2026-07-25T00:00:00"/>
    <s v="Saturday"/>
    <n v="7"/>
    <n v="8.81"/>
    <x v="0"/>
    <x v="64"/>
    <s v="Female"/>
    <n v="53.4"/>
    <n v="73.8"/>
    <n v="18"/>
    <n v="12"/>
    <s v="CO"/>
    <n v="2"/>
    <n v="1160.5999999999999"/>
    <s v="Middle"/>
    <n v="0"/>
    <s v="Single-Day"/>
    <n v="0"/>
    <n v="1"/>
    <s v="Main Entrance"/>
    <s v="Mickey &amp; Friends"/>
    <n v="8.8000000000000007"/>
    <n v="9"/>
    <x v="3948"/>
  </r>
  <r>
    <n v="4291"/>
    <n v="1407"/>
    <d v="2026-08-08T00:00:00"/>
    <s v="Saturday"/>
    <n v="8"/>
    <n v="12.4"/>
    <x v="1"/>
    <x v="59"/>
    <s v="Female"/>
    <n v="64.5"/>
    <n v="140.30000000000001"/>
    <n v="23.6"/>
    <n v="12"/>
    <s v="UT"/>
    <n v="3"/>
    <n v="812.9"/>
    <s v="Low"/>
    <n v="1"/>
    <s v="Single-Day"/>
    <n v="0"/>
    <n v="0"/>
    <s v="Main Entrance"/>
    <s v="Mickey &amp; Friends"/>
    <n v="6.7"/>
    <n v="6"/>
    <x v="3949"/>
  </r>
  <r>
    <n v="4292"/>
    <n v="1407"/>
    <d v="2026-08-08T00:00:00"/>
    <s v="Saturday"/>
    <n v="8"/>
    <n v="12.55"/>
    <x v="1"/>
    <x v="41"/>
    <s v="Female"/>
    <n v="61"/>
    <n v="102.4"/>
    <n v="19.2"/>
    <n v="16"/>
    <s v="UT"/>
    <n v="3"/>
    <n v="812.9"/>
    <s v="Low"/>
    <n v="1"/>
    <s v="Single-Day"/>
    <n v="0"/>
    <n v="0"/>
    <s v="Main Entrance"/>
    <s v="Mickey &amp; Friends"/>
    <n v="6.4"/>
    <n v="5"/>
    <x v="3950"/>
  </r>
  <r>
    <n v="4293"/>
    <n v="1407"/>
    <d v="2026-08-08T00:00:00"/>
    <s v="Saturday"/>
    <n v="8"/>
    <n v="12.47"/>
    <x v="1"/>
    <x v="4"/>
    <s v="Female"/>
    <n v="64.7"/>
    <n v="203.6"/>
    <n v="34.1"/>
    <n v="16"/>
    <s v="UT"/>
    <n v="3"/>
    <n v="812.9"/>
    <s v="Low"/>
    <n v="1"/>
    <s v="Single-Day"/>
    <n v="0"/>
    <n v="0"/>
    <s v="Main Entrance"/>
    <s v="Mickey &amp; Friends"/>
    <n v="9.1"/>
    <n v="3"/>
    <x v="3951"/>
  </r>
  <r>
    <n v="4294"/>
    <n v="1408"/>
    <d v="2026-08-21T00:00:00"/>
    <s v="Friday"/>
    <n v="8"/>
    <n v="11.08"/>
    <x v="1"/>
    <x v="43"/>
    <s v="Female"/>
    <n v="65.099999999999994"/>
    <n v="137.9"/>
    <n v="22.7"/>
    <n v="16"/>
    <s v="NV"/>
    <n v="3"/>
    <n v="115.3"/>
    <s v="Low"/>
    <n v="0"/>
    <s v="Single-Day"/>
    <n v="1"/>
    <n v="0"/>
    <s v="Main Entrance"/>
    <s v="Toy Story Lot"/>
    <n v="6.2"/>
    <n v="7"/>
    <x v="3952"/>
  </r>
  <r>
    <n v="4295"/>
    <n v="1408"/>
    <d v="2026-08-21T00:00:00"/>
    <s v="Friday"/>
    <n v="8"/>
    <n v="10.98"/>
    <x v="0"/>
    <x v="18"/>
    <s v="Female"/>
    <n v="62.1"/>
    <n v="182.8"/>
    <n v="33.4"/>
    <n v="17"/>
    <s v="NV"/>
    <n v="3"/>
    <n v="115.3"/>
    <s v="Low"/>
    <n v="0"/>
    <s v="Single-Day"/>
    <n v="1"/>
    <n v="0"/>
    <s v="Main Entrance"/>
    <s v="Toy Story Lot"/>
    <n v="5.0999999999999996"/>
    <n v="4"/>
    <x v="3953"/>
  </r>
  <r>
    <n v="4296"/>
    <n v="1408"/>
    <d v="2026-08-21T00:00:00"/>
    <s v="Friday"/>
    <n v="8"/>
    <n v="11"/>
    <x v="0"/>
    <x v="49"/>
    <s v="Female"/>
    <n v="64.099999999999994"/>
    <n v="146.4"/>
    <n v="25"/>
    <n v="18"/>
    <s v="NV"/>
    <n v="3"/>
    <n v="115.3"/>
    <s v="Low"/>
    <n v="0"/>
    <s v="Single-Day"/>
    <n v="1"/>
    <n v="0"/>
    <s v="Main Entrance"/>
    <s v="Toy Story Lot"/>
    <n v="9.9"/>
    <n v="10"/>
    <x v="1307"/>
  </r>
  <r>
    <n v="4297"/>
    <n v="1409"/>
    <d v="2026-12-15T00:00:00"/>
    <s v="Tuesday"/>
    <n v="12"/>
    <n v="10.06"/>
    <x v="0"/>
    <x v="49"/>
    <s v="Male"/>
    <n v="71.5"/>
    <n v="203.8"/>
    <n v="28.2"/>
    <n v="11"/>
    <s v="NV"/>
    <n v="3"/>
    <n v="144.80000000000001"/>
    <s v="Low"/>
    <n v="1"/>
    <s v="Multi-Day"/>
    <n v="1"/>
    <n v="0"/>
    <s v="Main Entrance"/>
    <s v="Mickey &amp; Friends"/>
    <n v="11.9"/>
    <n v="7"/>
    <x v="63"/>
  </r>
  <r>
    <n v="4298"/>
    <n v="1409"/>
    <d v="2026-12-15T00:00:00"/>
    <s v="Tuesday"/>
    <n v="12"/>
    <n v="9.84"/>
    <x v="0"/>
    <x v="54"/>
    <s v="Female"/>
    <n v="68.099999999999994"/>
    <n v="205.6"/>
    <n v="31.2"/>
    <n v="14"/>
    <s v="NV"/>
    <n v="3"/>
    <n v="144.80000000000001"/>
    <s v="Low"/>
    <n v="1"/>
    <s v="Multi-Day"/>
    <n v="1"/>
    <n v="0"/>
    <s v="Main Entrance"/>
    <s v="Mickey &amp; Friends"/>
    <n v="9.6999999999999993"/>
    <n v="10"/>
    <x v="1475"/>
  </r>
  <r>
    <n v="4299"/>
    <n v="1409"/>
    <d v="2026-12-15T00:00:00"/>
    <s v="Tuesday"/>
    <n v="12"/>
    <n v="9.85"/>
    <x v="0"/>
    <x v="16"/>
    <s v="Female"/>
    <n v="57.1"/>
    <n v="115.3"/>
    <n v="24.9"/>
    <n v="11"/>
    <s v="NV"/>
    <n v="3"/>
    <n v="144.80000000000001"/>
    <s v="Low"/>
    <n v="1"/>
    <s v="Multi-Day"/>
    <n v="1"/>
    <n v="0"/>
    <s v="Main Entrance"/>
    <s v="Mickey &amp; Friends"/>
    <n v="9.6"/>
    <n v="10"/>
    <x v="3954"/>
  </r>
  <r>
    <n v="4300"/>
    <n v="1410"/>
    <d v="2026-03-02T00:00:00"/>
    <s v="Monday"/>
    <n v="3"/>
    <n v="8.85"/>
    <x v="0"/>
    <x v="32"/>
    <s v="Female"/>
    <n v="56.2"/>
    <n v="85.6"/>
    <n v="19.100000000000001"/>
    <n v="14"/>
    <s v="CA"/>
    <n v="1"/>
    <n v="139.69999999999999"/>
    <s v="Middle"/>
    <n v="0"/>
    <s v="Park Hopper"/>
    <n v="1"/>
    <n v="0"/>
    <s v="Main Entrance"/>
    <s v="Mickey &amp; Friends"/>
    <n v="7.3"/>
    <n v="11"/>
    <x v="3955"/>
  </r>
  <r>
    <n v="4301"/>
    <n v="1411"/>
    <d v="2026-10-21T00:00:00"/>
    <s v="Wednesday"/>
    <n v="10"/>
    <n v="8.92"/>
    <x v="0"/>
    <x v="14"/>
    <s v="Male"/>
    <n v="63"/>
    <n v="164.3"/>
    <n v="29.3"/>
    <n v="12"/>
    <s v="Other"/>
    <n v="2"/>
    <n v="1562"/>
    <s v="Middle"/>
    <n v="0"/>
    <s v="Park Hopper"/>
    <n v="1"/>
    <n v="0"/>
    <s v="Main Entrance"/>
    <s v="None/Dropoff/Transit"/>
    <n v="11.1"/>
    <n v="12"/>
    <x v="3956"/>
  </r>
  <r>
    <n v="4302"/>
    <n v="1411"/>
    <d v="2026-10-21T00:00:00"/>
    <s v="Wednesday"/>
    <n v="10"/>
    <n v="9.02"/>
    <x v="0"/>
    <x v="40"/>
    <s v="Male"/>
    <n v="56.7"/>
    <n v="95"/>
    <n v="20.8"/>
    <n v="8"/>
    <s v="Other"/>
    <n v="2"/>
    <n v="1562"/>
    <s v="Middle"/>
    <n v="0"/>
    <s v="Park Hopper"/>
    <n v="1"/>
    <n v="0"/>
    <s v="Main Entrance"/>
    <s v="None/Dropoff/Transit"/>
    <n v="6.6"/>
    <n v="8"/>
    <x v="3957"/>
  </r>
  <r>
    <n v="4303"/>
    <n v="1412"/>
    <d v="2026-05-23T00:00:00"/>
    <s v="Saturday"/>
    <n v="5"/>
    <n v="10.98"/>
    <x v="0"/>
    <x v="9"/>
    <s v="Female"/>
    <n v="63.5"/>
    <n v="162.5"/>
    <n v="28.1"/>
    <n v="18"/>
    <s v="IL"/>
    <n v="4"/>
    <n v="2272.4"/>
    <s v="Middle"/>
    <n v="1"/>
    <s v="Multi-Day"/>
    <n v="0"/>
    <n v="0"/>
    <s v="Main Entrance"/>
    <s v="Pixar Pals"/>
    <n v="9.8000000000000007"/>
    <n v="9"/>
    <x v="3958"/>
  </r>
  <r>
    <n v="4304"/>
    <n v="1412"/>
    <d v="2026-05-23T00:00:00"/>
    <s v="Saturday"/>
    <n v="5"/>
    <n v="10.98"/>
    <x v="0"/>
    <x v="38"/>
    <s v="Female"/>
    <n v="67.5"/>
    <n v="139.5"/>
    <n v="21.8"/>
    <n v="12"/>
    <s v="IL"/>
    <n v="4"/>
    <n v="2272.4"/>
    <s v="Middle"/>
    <n v="1"/>
    <s v="Multi-Day"/>
    <n v="0"/>
    <n v="0"/>
    <s v="Main Entrance"/>
    <s v="Pixar Pals"/>
    <n v="10.1"/>
    <n v="7"/>
    <x v="3959"/>
  </r>
  <r>
    <n v="4305"/>
    <n v="1412"/>
    <d v="2026-05-23T00:00:00"/>
    <s v="Saturday"/>
    <n v="5"/>
    <n v="10.74"/>
    <x v="0"/>
    <x v="38"/>
    <s v="Male"/>
    <n v="68.900000000000006"/>
    <n v="129.6"/>
    <n v="19.3"/>
    <n v="11"/>
    <s v="IL"/>
    <n v="4"/>
    <n v="2272.4"/>
    <s v="Middle"/>
    <n v="1"/>
    <s v="Multi-Day"/>
    <n v="0"/>
    <n v="0"/>
    <s v="Main Entrance"/>
    <s v="Pixar Pals"/>
    <n v="8.6"/>
    <n v="7"/>
    <x v="3960"/>
  </r>
  <r>
    <n v="4306"/>
    <n v="1412"/>
    <d v="2026-05-23T00:00:00"/>
    <s v="Saturday"/>
    <n v="5"/>
    <n v="10.77"/>
    <x v="0"/>
    <x v="25"/>
    <s v="Male"/>
    <n v="68.5"/>
    <n v="171.6"/>
    <n v="25.4"/>
    <n v="14"/>
    <s v="IL"/>
    <n v="4"/>
    <n v="2272.4"/>
    <s v="Middle"/>
    <n v="1"/>
    <s v="Multi-Day"/>
    <n v="0"/>
    <n v="0"/>
    <s v="Main Entrance"/>
    <s v="Pixar Pals"/>
    <n v="6.1"/>
    <n v="7"/>
    <x v="3961"/>
  </r>
  <r>
    <n v="4307"/>
    <n v="1413"/>
    <d v="2026-12-05T00:00:00"/>
    <s v="Saturday"/>
    <n v="12"/>
    <n v="9.6199999999999992"/>
    <x v="0"/>
    <x v="36"/>
    <s v="Male"/>
    <n v="74.599999999999994"/>
    <n v="244.2"/>
    <n v="31"/>
    <n v="9"/>
    <s v="NV"/>
    <n v="4"/>
    <n v="103.6"/>
    <s v="Middle"/>
    <n v="0"/>
    <s v="Single-Day"/>
    <n v="0"/>
    <n v="0"/>
    <s v="Main Entrance"/>
    <s v="Mickey &amp; Friends"/>
    <n v="7.3"/>
    <n v="10"/>
    <x v="3962"/>
  </r>
  <r>
    <n v="4308"/>
    <n v="1413"/>
    <d v="2026-12-05T00:00:00"/>
    <s v="Saturday"/>
    <n v="12"/>
    <n v="9.66"/>
    <x v="0"/>
    <x v="59"/>
    <s v="Male"/>
    <n v="64.8"/>
    <n v="154.80000000000001"/>
    <n v="25.7"/>
    <n v="14"/>
    <s v="NV"/>
    <n v="4"/>
    <n v="103.6"/>
    <s v="Middle"/>
    <n v="0"/>
    <s v="Single-Day"/>
    <n v="0"/>
    <n v="0"/>
    <s v="Main Entrance"/>
    <s v="Mickey &amp; Friends"/>
    <n v="9.8000000000000007"/>
    <n v="15"/>
    <x v="3420"/>
  </r>
  <r>
    <n v="4309"/>
    <n v="1413"/>
    <d v="2026-12-05T00:00:00"/>
    <s v="Saturday"/>
    <n v="12"/>
    <n v="9.49"/>
    <x v="0"/>
    <x v="20"/>
    <s v="Female"/>
    <n v="70"/>
    <n v="131.6"/>
    <n v="18.8"/>
    <n v="16"/>
    <s v="NV"/>
    <n v="4"/>
    <n v="103.6"/>
    <s v="Middle"/>
    <n v="0"/>
    <s v="Single-Day"/>
    <n v="0"/>
    <n v="0"/>
    <s v="Main Entrance"/>
    <s v="Mickey &amp; Friends"/>
    <n v="8.1999999999999993"/>
    <n v="14"/>
    <x v="3963"/>
  </r>
  <r>
    <n v="4310"/>
    <n v="1413"/>
    <d v="2026-12-05T00:00:00"/>
    <s v="Saturday"/>
    <n v="12"/>
    <n v="9.48"/>
    <x v="0"/>
    <x v="16"/>
    <s v="Female"/>
    <n v="56.6"/>
    <n v="103.4"/>
    <n v="23"/>
    <n v="16"/>
    <s v="NV"/>
    <n v="4"/>
    <n v="103.6"/>
    <s v="Middle"/>
    <n v="0"/>
    <s v="Single-Day"/>
    <n v="0"/>
    <n v="0"/>
    <s v="Main Entrance"/>
    <s v="Mickey &amp; Friends"/>
    <n v="7.5"/>
    <n v="8"/>
    <x v="3964"/>
  </r>
  <r>
    <n v="4311"/>
    <n v="1414"/>
    <d v="2026-04-26T00:00:00"/>
    <s v="Sunday"/>
    <n v="4"/>
    <n v="10.62"/>
    <x v="0"/>
    <x v="17"/>
    <s v="Male"/>
    <n v="73.8"/>
    <n v="205"/>
    <n v="26.5"/>
    <n v="18"/>
    <s v="CA"/>
    <n v="3"/>
    <n v="22.7"/>
    <s v="Middle"/>
    <n v="0"/>
    <s v="Multi-Day"/>
    <n v="0"/>
    <n v="0"/>
    <s v="Main Entrance"/>
    <s v="Mickey &amp; Friends"/>
    <n v="12.5"/>
    <n v="16"/>
    <x v="3965"/>
  </r>
  <r>
    <n v="4312"/>
    <n v="1414"/>
    <d v="2026-04-26T00:00:00"/>
    <s v="Sunday"/>
    <n v="4"/>
    <n v="10.42"/>
    <x v="0"/>
    <x v="23"/>
    <s v="Female"/>
    <n v="68.099999999999994"/>
    <n v="150.80000000000001"/>
    <n v="22.7"/>
    <n v="15"/>
    <s v="CA"/>
    <n v="3"/>
    <n v="22.7"/>
    <s v="Middle"/>
    <n v="0"/>
    <s v="Multi-Day"/>
    <n v="0"/>
    <n v="0"/>
    <s v="Main Entrance"/>
    <s v="Mickey &amp; Friends"/>
    <n v="7.8"/>
    <n v="2"/>
    <x v="3966"/>
  </r>
  <r>
    <n v="4313"/>
    <n v="1414"/>
    <d v="2026-04-26T00:00:00"/>
    <s v="Sunday"/>
    <n v="4"/>
    <n v="10.69"/>
    <x v="0"/>
    <x v="19"/>
    <s v="Female"/>
    <n v="68.099999999999994"/>
    <n v="170.8"/>
    <n v="25.8"/>
    <n v="17"/>
    <s v="CA"/>
    <n v="3"/>
    <n v="22.7"/>
    <s v="Middle"/>
    <n v="0"/>
    <s v="Multi-Day"/>
    <n v="0"/>
    <n v="0"/>
    <s v="Main Entrance"/>
    <s v="Mickey &amp; Friends"/>
    <n v="8.1"/>
    <n v="9"/>
    <x v="3967"/>
  </r>
  <r>
    <n v="4314"/>
    <n v="1415"/>
    <d v="2026-08-17T00:00:00"/>
    <s v="Monday"/>
    <n v="8"/>
    <n v="11.56"/>
    <x v="1"/>
    <x v="48"/>
    <s v="Female"/>
    <n v="58.5"/>
    <n v="106.6"/>
    <n v="21.9"/>
    <n v="14"/>
    <s v="FL"/>
    <n v="3"/>
    <n v="3257.8"/>
    <s v="Middle"/>
    <n v="1"/>
    <s v="Park Hopper"/>
    <n v="0"/>
    <n v="0"/>
    <s v="Main Entrance"/>
    <s v="Pixar Pals"/>
    <n v="7.9"/>
    <n v="1"/>
    <x v="3968"/>
  </r>
  <r>
    <n v="4315"/>
    <n v="1415"/>
    <d v="2026-08-17T00:00:00"/>
    <s v="Monday"/>
    <n v="8"/>
    <n v="11.96"/>
    <x v="1"/>
    <x v="69"/>
    <s v="Male"/>
    <n v="72.8"/>
    <n v="201.3"/>
    <n v="26.8"/>
    <n v="16"/>
    <s v="FL"/>
    <n v="3"/>
    <n v="3257.8"/>
    <s v="Middle"/>
    <n v="1"/>
    <s v="Park Hopper"/>
    <n v="0"/>
    <n v="0"/>
    <s v="Main Entrance"/>
    <s v="Pixar Pals"/>
    <n v="9.9"/>
    <n v="5"/>
    <x v="3923"/>
  </r>
  <r>
    <n v="4316"/>
    <n v="1415"/>
    <d v="2026-08-17T00:00:00"/>
    <s v="Monday"/>
    <n v="8"/>
    <n v="11.76"/>
    <x v="1"/>
    <x v="57"/>
    <s v="Male"/>
    <n v="70.3"/>
    <n v="196.4"/>
    <n v="28"/>
    <n v="16"/>
    <s v="FL"/>
    <n v="3"/>
    <n v="3257.8"/>
    <s v="Middle"/>
    <n v="1"/>
    <s v="Park Hopper"/>
    <n v="0"/>
    <n v="0"/>
    <s v="Main Entrance"/>
    <s v="Pixar Pals"/>
    <n v="8.9"/>
    <n v="8"/>
    <x v="3969"/>
  </r>
  <r>
    <n v="4317"/>
    <n v="1416"/>
    <d v="2026-02-16T00:00:00"/>
    <s v="Monday"/>
    <n v="2"/>
    <n v="9.5500000000000007"/>
    <x v="0"/>
    <x v="9"/>
    <s v="Male"/>
    <n v="62.9"/>
    <n v="190.4"/>
    <n v="33.9"/>
    <n v="15"/>
    <s v="CA"/>
    <n v="1"/>
    <n v="14.7"/>
    <s v="Middle"/>
    <n v="0"/>
    <s v="Single-Day"/>
    <n v="0"/>
    <n v="0"/>
    <s v="Main Entrance"/>
    <s v="Pixar Pals"/>
    <n v="8.8000000000000007"/>
    <n v="7"/>
    <x v="3970"/>
  </r>
  <r>
    <n v="4318"/>
    <n v="1417"/>
    <d v="2026-02-09T00:00:00"/>
    <s v="Monday"/>
    <n v="2"/>
    <n v="10.73"/>
    <x v="0"/>
    <x v="50"/>
    <s v="Male"/>
    <n v="70"/>
    <n v="135.5"/>
    <n v="19.3"/>
    <n v="13"/>
    <s v="WA"/>
    <n v="2"/>
    <n v="636.29999999999995"/>
    <s v="Low"/>
    <n v="1"/>
    <s v="Single-Day"/>
    <n v="0"/>
    <n v="0"/>
    <s v="Main Entrance"/>
    <s v="Mickey &amp; Friends"/>
    <n v="7.5"/>
    <n v="8"/>
    <x v="3971"/>
  </r>
  <r>
    <n v="4319"/>
    <n v="1417"/>
    <d v="2026-02-09T00:00:00"/>
    <s v="Monday"/>
    <n v="2"/>
    <n v="10.96"/>
    <x v="0"/>
    <x v="19"/>
    <s v="Male"/>
    <n v="67.7"/>
    <n v="148.4"/>
    <n v="22.9"/>
    <n v="15"/>
    <s v="WA"/>
    <n v="2"/>
    <n v="636.29999999999995"/>
    <s v="Low"/>
    <n v="1"/>
    <s v="Single-Day"/>
    <n v="0"/>
    <n v="0"/>
    <s v="Main Entrance"/>
    <s v="Mickey &amp; Friends"/>
    <n v="10.3"/>
    <n v="7"/>
    <x v="3972"/>
  </r>
  <r>
    <n v="4320"/>
    <n v="1418"/>
    <d v="2026-09-26T00:00:00"/>
    <s v="Saturday"/>
    <n v="9"/>
    <n v="8.1"/>
    <x v="0"/>
    <x v="51"/>
    <s v="Male"/>
    <n v="68.400000000000006"/>
    <n v="217.5"/>
    <n v="32.6"/>
    <n v="14"/>
    <s v="CA"/>
    <n v="6"/>
    <n v="92.9"/>
    <s v="Middle"/>
    <n v="0"/>
    <s v="Park Hopper"/>
    <n v="0"/>
    <n v="1"/>
    <s v="Main Entrance"/>
    <s v="None/Walked from Resort"/>
    <n v="11.7"/>
    <n v="13"/>
    <x v="3973"/>
  </r>
  <r>
    <n v="4321"/>
    <n v="1418"/>
    <d v="2026-09-26T00:00:00"/>
    <s v="Saturday"/>
    <n v="9"/>
    <n v="7.9"/>
    <x v="0"/>
    <x v="30"/>
    <s v="Male"/>
    <n v="68.2"/>
    <n v="203.4"/>
    <n v="30.7"/>
    <n v="12"/>
    <s v="CA"/>
    <n v="6"/>
    <n v="92.9"/>
    <s v="Middle"/>
    <n v="0"/>
    <s v="Park Hopper"/>
    <n v="0"/>
    <n v="1"/>
    <s v="Main Entrance"/>
    <s v="None/Walked from Resort"/>
    <n v="10.5"/>
    <n v="12"/>
    <x v="2496"/>
  </r>
  <r>
    <n v="4322"/>
    <n v="1418"/>
    <d v="2026-09-26T00:00:00"/>
    <s v="Saturday"/>
    <n v="9"/>
    <n v="7.93"/>
    <x v="0"/>
    <x v="20"/>
    <s v="Female"/>
    <n v="70"/>
    <n v="142"/>
    <n v="20.399999999999999"/>
    <n v="10"/>
    <s v="CA"/>
    <n v="6"/>
    <n v="92.9"/>
    <s v="Middle"/>
    <n v="0"/>
    <s v="Park Hopper"/>
    <n v="0"/>
    <n v="1"/>
    <s v="Main Entrance"/>
    <s v="None/Walked from Resort"/>
    <n v="10.1"/>
    <n v="8"/>
    <x v="3974"/>
  </r>
  <r>
    <n v="4323"/>
    <n v="1418"/>
    <d v="2026-09-26T00:00:00"/>
    <s v="Saturday"/>
    <n v="9"/>
    <n v="8.11"/>
    <x v="0"/>
    <x v="29"/>
    <s v="Male"/>
    <n v="69.7"/>
    <n v="213.7"/>
    <n v="30.8"/>
    <n v="14"/>
    <s v="CA"/>
    <n v="6"/>
    <n v="92.9"/>
    <s v="Middle"/>
    <n v="0"/>
    <s v="Park Hopper"/>
    <n v="0"/>
    <n v="1"/>
    <s v="Main Entrance"/>
    <s v="None/Walked from Resort"/>
    <n v="6"/>
    <n v="6"/>
    <x v="3975"/>
  </r>
  <r>
    <n v="4324"/>
    <n v="1418"/>
    <d v="2026-09-26T00:00:00"/>
    <s v="Saturday"/>
    <n v="9"/>
    <n v="7.85"/>
    <x v="0"/>
    <x v="51"/>
    <s v="Male"/>
    <n v="66.099999999999994"/>
    <n v="161.4"/>
    <n v="26.1"/>
    <n v="14"/>
    <s v="CA"/>
    <n v="6"/>
    <n v="92.9"/>
    <s v="Middle"/>
    <n v="0"/>
    <s v="Park Hopper"/>
    <n v="0"/>
    <n v="1"/>
    <s v="Main Entrance"/>
    <s v="None/Walked from Resort"/>
    <n v="10.1"/>
    <n v="2"/>
    <x v="3976"/>
  </r>
  <r>
    <n v="4325"/>
    <n v="1418"/>
    <d v="2026-09-26T00:00:00"/>
    <s v="Saturday"/>
    <n v="9"/>
    <n v="7.86"/>
    <x v="0"/>
    <x v="20"/>
    <s v="Male"/>
    <n v="66.7"/>
    <n v="126.4"/>
    <n v="20"/>
    <n v="12"/>
    <s v="CA"/>
    <n v="6"/>
    <n v="92.9"/>
    <s v="Middle"/>
    <n v="0"/>
    <s v="Park Hopper"/>
    <n v="0"/>
    <n v="1"/>
    <s v="Main Entrance"/>
    <s v="None/Walked from Resort"/>
    <n v="10"/>
    <n v="13"/>
    <x v="3977"/>
  </r>
  <r>
    <n v="4326"/>
    <n v="1419"/>
    <d v="2026-05-16T00:00:00"/>
    <s v="Saturday"/>
    <n v="5"/>
    <n v="9.69"/>
    <x v="0"/>
    <x v="40"/>
    <s v="Female"/>
    <n v="65"/>
    <n v="77.099999999999994"/>
    <n v="12.9"/>
    <n v="15"/>
    <s v="CA"/>
    <n v="2"/>
    <n v="89.2"/>
    <s v="High"/>
    <n v="1"/>
    <s v="Single-Day"/>
    <n v="1"/>
    <n v="0"/>
    <s v="Downtown Disney Gate"/>
    <s v="Mickey &amp; Friends"/>
    <n v="8.6999999999999993"/>
    <n v="11"/>
    <x v="2396"/>
  </r>
  <r>
    <n v="4327"/>
    <n v="1419"/>
    <d v="2026-05-16T00:00:00"/>
    <s v="Saturday"/>
    <n v="5"/>
    <n v="9.66"/>
    <x v="0"/>
    <x v="3"/>
    <s v="Male"/>
    <n v="69.7"/>
    <n v="192.9"/>
    <n v="27.9"/>
    <n v="14"/>
    <s v="CA"/>
    <n v="2"/>
    <n v="89.2"/>
    <s v="High"/>
    <n v="1"/>
    <s v="Single-Day"/>
    <n v="1"/>
    <n v="0"/>
    <s v="Downtown Disney Gate"/>
    <s v="Mickey &amp; Friends"/>
    <n v="7.8"/>
    <n v="13"/>
    <x v="3978"/>
  </r>
  <r>
    <n v="4328"/>
    <n v="1420"/>
    <d v="2026-08-04T00:00:00"/>
    <s v="Tuesday"/>
    <n v="8"/>
    <n v="8.3800000000000008"/>
    <x v="0"/>
    <x v="38"/>
    <s v="Female"/>
    <n v="62.1"/>
    <n v="119.2"/>
    <n v="21.6"/>
    <n v="9"/>
    <s v="AZ"/>
    <n v="5"/>
    <n v="241.3"/>
    <s v="Low"/>
    <n v="1"/>
    <s v="Single-Day"/>
    <n v="0"/>
    <n v="0"/>
    <s v="Downtown Disney Gate"/>
    <s v="Mickey &amp; Friends"/>
    <n v="6.8"/>
    <n v="6"/>
    <x v="3979"/>
  </r>
  <r>
    <n v="4329"/>
    <n v="1420"/>
    <d v="2026-08-04T00:00:00"/>
    <s v="Tuesday"/>
    <n v="8"/>
    <n v="8.44"/>
    <x v="0"/>
    <x v="38"/>
    <s v="Female"/>
    <n v="62.4"/>
    <n v="194"/>
    <n v="34.799999999999997"/>
    <n v="11"/>
    <s v="AZ"/>
    <n v="5"/>
    <n v="241.3"/>
    <s v="Low"/>
    <n v="1"/>
    <s v="Single-Day"/>
    <n v="0"/>
    <n v="0"/>
    <s v="Downtown Disney Gate"/>
    <s v="Mickey &amp; Friends"/>
    <n v="9.6999999999999993"/>
    <n v="6"/>
    <x v="3980"/>
  </r>
  <r>
    <n v="4330"/>
    <n v="1420"/>
    <d v="2026-08-04T00:00:00"/>
    <s v="Tuesday"/>
    <n v="8"/>
    <n v="8.2200000000000006"/>
    <x v="0"/>
    <x v="35"/>
    <s v="Female"/>
    <n v="61.7"/>
    <n v="144.6"/>
    <n v="26.6"/>
    <n v="16"/>
    <s v="AZ"/>
    <n v="5"/>
    <n v="241.3"/>
    <s v="Low"/>
    <n v="1"/>
    <s v="Single-Day"/>
    <n v="0"/>
    <n v="0"/>
    <s v="Downtown Disney Gate"/>
    <s v="Mickey &amp; Friends"/>
    <n v="7.7"/>
    <n v="10"/>
    <x v="3981"/>
  </r>
  <r>
    <n v="4331"/>
    <n v="1420"/>
    <d v="2026-08-04T00:00:00"/>
    <s v="Tuesday"/>
    <n v="8"/>
    <n v="8.4"/>
    <x v="0"/>
    <x v="58"/>
    <s v="Female"/>
    <n v="65"/>
    <n v="204.1"/>
    <n v="33.6"/>
    <n v="15"/>
    <s v="AZ"/>
    <n v="5"/>
    <n v="241.3"/>
    <s v="Low"/>
    <n v="1"/>
    <s v="Single-Day"/>
    <n v="0"/>
    <n v="0"/>
    <s v="Downtown Disney Gate"/>
    <s v="Mickey &amp; Friends"/>
    <n v="8.6999999999999993"/>
    <n v="11"/>
    <x v="3982"/>
  </r>
  <r>
    <n v="4332"/>
    <n v="1420"/>
    <d v="2026-08-04T00:00:00"/>
    <s v="Tuesday"/>
    <n v="8"/>
    <n v="8.36"/>
    <x v="0"/>
    <x v="19"/>
    <s v="Female"/>
    <n v="64.099999999999994"/>
    <n v="123.2"/>
    <n v="21.1"/>
    <n v="14"/>
    <s v="AZ"/>
    <n v="5"/>
    <n v="241.3"/>
    <s v="Low"/>
    <n v="1"/>
    <s v="Single-Day"/>
    <n v="0"/>
    <n v="0"/>
    <s v="Downtown Disney Gate"/>
    <s v="Mickey &amp; Friends"/>
    <n v="10.9"/>
    <n v="9"/>
    <x v="2558"/>
  </r>
  <r>
    <n v="4333"/>
    <n v="1421"/>
    <d v="2026-07-14T00:00:00"/>
    <s v="Tuesday"/>
    <n v="7"/>
    <n v="11.02"/>
    <x v="1"/>
    <x v="38"/>
    <s v="Female"/>
    <n v="61.7"/>
    <n v="148.69999999999999"/>
    <n v="27.6"/>
    <n v="12"/>
    <s v="CA"/>
    <n v="2"/>
    <n v="70.2"/>
    <s v="Middle"/>
    <n v="1"/>
    <s v="Park Hopper"/>
    <n v="0"/>
    <n v="0"/>
    <s v="Main Entrance"/>
    <s v="Toy Story Lot"/>
    <n v="5.8"/>
    <n v="6"/>
    <x v="3983"/>
  </r>
  <r>
    <n v="4334"/>
    <n v="1421"/>
    <d v="2026-07-14T00:00:00"/>
    <s v="Tuesday"/>
    <n v="7"/>
    <n v="11.15"/>
    <x v="1"/>
    <x v="26"/>
    <s v="Female"/>
    <n v="62.7"/>
    <n v="159.80000000000001"/>
    <n v="28.9"/>
    <n v="14"/>
    <s v="CA"/>
    <n v="2"/>
    <n v="70.2"/>
    <s v="Middle"/>
    <n v="1"/>
    <s v="Park Hopper"/>
    <n v="0"/>
    <n v="0"/>
    <s v="Main Entrance"/>
    <s v="Toy Story Lot"/>
    <n v="11.1"/>
    <n v="10"/>
    <x v="3984"/>
  </r>
  <r>
    <n v="4335"/>
    <n v="1422"/>
    <d v="2026-04-14T00:00:00"/>
    <s v="Tuesday"/>
    <n v="4"/>
    <n v="10.39"/>
    <x v="0"/>
    <x v="59"/>
    <s v="Female"/>
    <n v="64"/>
    <n v="147.4"/>
    <n v="25.2"/>
    <n v="18"/>
    <s v="CA"/>
    <n v="4"/>
    <n v="127.9"/>
    <s v="High"/>
    <n v="0"/>
    <s v="Single-Day"/>
    <n v="1"/>
    <n v="0"/>
    <s v="Main Entrance"/>
    <s v="None/Dropoff/Transit"/>
    <n v="11.8"/>
    <n v="11"/>
    <x v="3985"/>
  </r>
  <r>
    <n v="4336"/>
    <n v="1422"/>
    <d v="2026-04-14T00:00:00"/>
    <s v="Tuesday"/>
    <n v="4"/>
    <n v="10.29"/>
    <x v="0"/>
    <x v="12"/>
    <s v="Female"/>
    <n v="59.5"/>
    <n v="115.8"/>
    <n v="22.9"/>
    <n v="12"/>
    <s v="CA"/>
    <n v="4"/>
    <n v="127.9"/>
    <s v="High"/>
    <n v="0"/>
    <s v="Single-Day"/>
    <n v="1"/>
    <n v="0"/>
    <s v="Main Entrance"/>
    <s v="None/Dropoff/Transit"/>
    <n v="11"/>
    <n v="12"/>
    <x v="3986"/>
  </r>
  <r>
    <n v="4337"/>
    <n v="1422"/>
    <d v="2026-04-14T00:00:00"/>
    <s v="Tuesday"/>
    <n v="4"/>
    <n v="10.43"/>
    <x v="0"/>
    <x v="64"/>
    <s v="Male"/>
    <n v="57.4"/>
    <n v="87.2"/>
    <n v="18.5"/>
    <n v="16"/>
    <s v="CA"/>
    <n v="4"/>
    <n v="127.9"/>
    <s v="High"/>
    <n v="0"/>
    <s v="Single-Day"/>
    <n v="1"/>
    <n v="0"/>
    <s v="Main Entrance"/>
    <s v="None/Dropoff/Transit"/>
    <n v="7.5"/>
    <n v="6"/>
    <x v="3987"/>
  </r>
  <r>
    <n v="4338"/>
    <n v="1422"/>
    <d v="2026-04-14T00:00:00"/>
    <s v="Tuesday"/>
    <n v="4"/>
    <n v="10.42"/>
    <x v="0"/>
    <x v="71"/>
    <s v="Male"/>
    <n v="68"/>
    <n v="170.9"/>
    <n v="26"/>
    <n v="17"/>
    <s v="CA"/>
    <n v="4"/>
    <n v="127.9"/>
    <s v="High"/>
    <n v="0"/>
    <s v="Single-Day"/>
    <n v="1"/>
    <n v="0"/>
    <s v="Main Entrance"/>
    <s v="None/Dropoff/Transit"/>
    <n v="6.3"/>
    <n v="7"/>
    <x v="3988"/>
  </r>
  <r>
    <n v="4339"/>
    <n v="1423"/>
    <d v="2026-10-04T00:00:00"/>
    <s v="Sunday"/>
    <n v="10"/>
    <n v="12.65"/>
    <x v="1"/>
    <x v="12"/>
    <s v="Female"/>
    <n v="66.400000000000006"/>
    <n v="136.30000000000001"/>
    <n v="22.1"/>
    <n v="14"/>
    <s v="TX"/>
    <n v="4"/>
    <n v="1063.3"/>
    <s v="Middle"/>
    <n v="1"/>
    <s v="Single-Day"/>
    <n v="0"/>
    <n v="0"/>
    <s v="Main Entrance"/>
    <s v="Mickey &amp; Friends"/>
    <n v="10.5"/>
    <n v="6"/>
    <x v="3989"/>
  </r>
  <r>
    <n v="4340"/>
    <n v="1423"/>
    <d v="2026-10-04T00:00:00"/>
    <s v="Sunday"/>
    <n v="10"/>
    <n v="12.89"/>
    <x v="1"/>
    <x v="22"/>
    <s v="Female"/>
    <n v="59.2"/>
    <n v="95.1"/>
    <n v="19"/>
    <n v="16"/>
    <s v="TX"/>
    <n v="4"/>
    <n v="1063.3"/>
    <s v="Middle"/>
    <n v="1"/>
    <s v="Single-Day"/>
    <n v="0"/>
    <n v="0"/>
    <s v="Main Entrance"/>
    <s v="Mickey &amp; Friends"/>
    <n v="6.7"/>
    <n v="7"/>
    <x v="3990"/>
  </r>
  <r>
    <n v="4341"/>
    <n v="1423"/>
    <d v="2026-10-04T00:00:00"/>
    <s v="Sunday"/>
    <n v="10"/>
    <n v="12.72"/>
    <x v="1"/>
    <x v="9"/>
    <s v="Female"/>
    <n v="61.8"/>
    <n v="99.2"/>
    <n v="18.3"/>
    <n v="19"/>
    <s v="TX"/>
    <n v="4"/>
    <n v="1063.3"/>
    <s v="Middle"/>
    <n v="1"/>
    <s v="Single-Day"/>
    <n v="0"/>
    <n v="0"/>
    <s v="Main Entrance"/>
    <s v="Mickey &amp; Friends"/>
    <n v="6.2"/>
    <n v="8"/>
    <x v="3991"/>
  </r>
  <r>
    <n v="4342"/>
    <n v="1423"/>
    <d v="2026-10-04T00:00:00"/>
    <s v="Sunday"/>
    <n v="10"/>
    <n v="12.76"/>
    <x v="1"/>
    <x v="35"/>
    <s v="Male"/>
    <n v="69.3"/>
    <n v="195.9"/>
    <n v="28.6"/>
    <n v="16"/>
    <s v="TX"/>
    <n v="4"/>
    <n v="1063.3"/>
    <s v="Middle"/>
    <n v="1"/>
    <s v="Single-Day"/>
    <n v="0"/>
    <n v="0"/>
    <s v="Main Entrance"/>
    <s v="Mickey &amp; Friends"/>
    <n v="8.1999999999999993"/>
    <n v="6"/>
    <x v="3992"/>
  </r>
  <r>
    <n v="4343"/>
    <n v="1424"/>
    <d v="2026-08-28T00:00:00"/>
    <s v="Friday"/>
    <n v="8"/>
    <n v="10.59"/>
    <x v="0"/>
    <x v="29"/>
    <s v="Female"/>
    <n v="66.599999999999994"/>
    <n v="156.5"/>
    <n v="24.9"/>
    <n v="11"/>
    <s v="CA"/>
    <n v="2"/>
    <n v="4.2"/>
    <s v="Middle"/>
    <n v="1"/>
    <s v="Single-Day"/>
    <n v="1"/>
    <n v="0"/>
    <s v="Main Entrance"/>
    <s v="Pixar Pals"/>
    <n v="6.7"/>
    <n v="13"/>
    <x v="3993"/>
  </r>
  <r>
    <n v="4344"/>
    <n v="1424"/>
    <d v="2026-08-28T00:00:00"/>
    <s v="Friday"/>
    <n v="8"/>
    <n v="10.87"/>
    <x v="0"/>
    <x v="67"/>
    <s v="Female"/>
    <n v="62.3"/>
    <n v="139.80000000000001"/>
    <n v="25.3"/>
    <n v="10"/>
    <s v="CA"/>
    <n v="2"/>
    <n v="4.2"/>
    <s v="Middle"/>
    <n v="1"/>
    <s v="Single-Day"/>
    <n v="1"/>
    <n v="0"/>
    <s v="Main Entrance"/>
    <s v="Pixar Pals"/>
    <n v="6.9"/>
    <n v="2"/>
    <x v="2744"/>
  </r>
  <r>
    <n v="4345"/>
    <n v="1425"/>
    <d v="2026-09-30T00:00:00"/>
    <s v="Wednesday"/>
    <n v="9"/>
    <n v="9.36"/>
    <x v="0"/>
    <x v="21"/>
    <s v="Male"/>
    <n v="65.7"/>
    <n v="187.5"/>
    <n v="30.7"/>
    <n v="13"/>
    <s v="IA"/>
    <n v="4"/>
    <n v="1347"/>
    <s v="Low"/>
    <n v="1"/>
    <s v="Multi-Day"/>
    <n v="0"/>
    <n v="0"/>
    <s v="Main Entrance"/>
    <s v="Mickey &amp; Friends"/>
    <n v="7.8"/>
    <n v="9"/>
    <x v="3994"/>
  </r>
  <r>
    <n v="4346"/>
    <n v="1425"/>
    <d v="2026-09-30T00:00:00"/>
    <s v="Wednesday"/>
    <n v="9"/>
    <n v="9.25"/>
    <x v="0"/>
    <x v="51"/>
    <s v="Male"/>
    <n v="69"/>
    <n v="206.8"/>
    <n v="30.4"/>
    <n v="13"/>
    <s v="IA"/>
    <n v="4"/>
    <n v="1347"/>
    <s v="Low"/>
    <n v="1"/>
    <s v="Multi-Day"/>
    <n v="0"/>
    <n v="0"/>
    <s v="Main Entrance"/>
    <s v="Mickey &amp; Friends"/>
    <n v="7.3"/>
    <n v="7"/>
    <x v="3995"/>
  </r>
  <r>
    <n v="4347"/>
    <n v="1425"/>
    <d v="2026-09-30T00:00:00"/>
    <s v="Wednesday"/>
    <n v="9"/>
    <n v="9.23"/>
    <x v="0"/>
    <x v="7"/>
    <s v="Male"/>
    <n v="54.1"/>
    <n v="71.599999999999994"/>
    <n v="17.100000000000001"/>
    <n v="10"/>
    <s v="IA"/>
    <n v="4"/>
    <n v="1347"/>
    <s v="Low"/>
    <n v="1"/>
    <s v="Multi-Day"/>
    <n v="0"/>
    <n v="0"/>
    <s v="Main Entrance"/>
    <s v="Mickey &amp; Friends"/>
    <n v="9.1"/>
    <n v="5"/>
    <x v="3281"/>
  </r>
  <r>
    <n v="4348"/>
    <n v="1425"/>
    <d v="2026-09-30T00:00:00"/>
    <s v="Wednesday"/>
    <n v="9"/>
    <n v="9.3699999999999992"/>
    <x v="0"/>
    <x v="14"/>
    <s v="Female"/>
    <n v="63.1"/>
    <n v="114.5"/>
    <n v="19.899999999999999"/>
    <n v="16"/>
    <s v="IA"/>
    <n v="4"/>
    <n v="1347"/>
    <s v="Low"/>
    <n v="1"/>
    <s v="Multi-Day"/>
    <n v="0"/>
    <n v="0"/>
    <s v="Main Entrance"/>
    <s v="Mickey &amp; Friends"/>
    <n v="9.1"/>
    <n v="7"/>
    <x v="3996"/>
  </r>
  <r>
    <n v="4349"/>
    <n v="1426"/>
    <d v="2026-02-13T00:00:00"/>
    <s v="Friday"/>
    <n v="2"/>
    <n v="10.029999999999999"/>
    <x v="0"/>
    <x v="22"/>
    <s v="Female"/>
    <n v="59.8"/>
    <n v="91.5"/>
    <n v="18.2"/>
    <n v="14"/>
    <s v="CO"/>
    <n v="3"/>
    <n v="1263.0999999999999"/>
    <s v="High"/>
    <n v="0"/>
    <s v="Single-Day"/>
    <n v="1"/>
    <n v="1"/>
    <s v="Main Entrance"/>
    <s v="Pixar Pals"/>
    <n v="7.3"/>
    <n v="8"/>
    <x v="3997"/>
  </r>
  <r>
    <n v="4350"/>
    <n v="1426"/>
    <d v="2026-02-13T00:00:00"/>
    <s v="Friday"/>
    <n v="2"/>
    <n v="10.050000000000001"/>
    <x v="0"/>
    <x v="37"/>
    <s v="Male"/>
    <n v="68.599999999999994"/>
    <n v="183.8"/>
    <n v="27.6"/>
    <n v="15"/>
    <s v="CO"/>
    <n v="3"/>
    <n v="1263.0999999999999"/>
    <s v="High"/>
    <n v="0"/>
    <s v="Single-Day"/>
    <n v="1"/>
    <n v="1"/>
    <s v="Main Entrance"/>
    <s v="Pixar Pals"/>
    <n v="9.4"/>
    <n v="18"/>
    <x v="3998"/>
  </r>
  <r>
    <n v="4351"/>
    <n v="1426"/>
    <d v="2026-02-13T00:00:00"/>
    <s v="Friday"/>
    <n v="2"/>
    <n v="10.02"/>
    <x v="0"/>
    <x v="67"/>
    <s v="Female"/>
    <n v="64.8"/>
    <n v="156.5"/>
    <n v="26.2"/>
    <n v="12"/>
    <s v="CO"/>
    <n v="3"/>
    <n v="1263.0999999999999"/>
    <s v="High"/>
    <n v="0"/>
    <s v="Single-Day"/>
    <n v="1"/>
    <n v="1"/>
    <s v="Main Entrance"/>
    <s v="Pixar Pals"/>
    <n v="9.6"/>
    <n v="11"/>
    <x v="3999"/>
  </r>
  <r>
    <n v="4352"/>
    <n v="1427"/>
    <d v="2026-11-23T00:00:00"/>
    <s v="Monday"/>
    <n v="11"/>
    <n v="8.42"/>
    <x v="0"/>
    <x v="20"/>
    <s v="Female"/>
    <n v="70"/>
    <n v="159.30000000000001"/>
    <n v="23"/>
    <n v="11"/>
    <s v="Other"/>
    <n v="4"/>
    <n v="1515.8"/>
    <s v="Middle"/>
    <n v="1"/>
    <s v="Single-Day"/>
    <n v="1"/>
    <n v="1"/>
    <s v="Main Entrance"/>
    <s v="Pixar Pals"/>
    <n v="9.3000000000000007"/>
    <n v="6"/>
    <x v="4000"/>
  </r>
  <r>
    <n v="4353"/>
    <n v="1427"/>
    <d v="2026-11-23T00:00:00"/>
    <s v="Monday"/>
    <n v="11"/>
    <n v="8.43"/>
    <x v="0"/>
    <x v="60"/>
    <s v="Male"/>
    <n v="65.599999999999994"/>
    <n v="115.2"/>
    <n v="18.899999999999999"/>
    <n v="15"/>
    <s v="Other"/>
    <n v="4"/>
    <n v="1515.8"/>
    <s v="Middle"/>
    <n v="1"/>
    <s v="Single-Day"/>
    <n v="1"/>
    <n v="1"/>
    <s v="Main Entrance"/>
    <s v="Pixar Pals"/>
    <n v="10"/>
    <n v="9"/>
    <x v="4001"/>
  </r>
  <r>
    <n v="4354"/>
    <n v="1427"/>
    <d v="2026-11-23T00:00:00"/>
    <s v="Monday"/>
    <n v="11"/>
    <n v="8.5299999999999994"/>
    <x v="0"/>
    <x v="55"/>
    <s v="Female"/>
    <n v="65.7"/>
    <n v="108.7"/>
    <n v="17.8"/>
    <n v="14"/>
    <s v="Other"/>
    <n v="4"/>
    <n v="1515.8"/>
    <s v="Middle"/>
    <n v="1"/>
    <s v="Single-Day"/>
    <n v="1"/>
    <n v="1"/>
    <s v="Main Entrance"/>
    <s v="Pixar Pals"/>
    <n v="8.6"/>
    <n v="15"/>
    <x v="4002"/>
  </r>
  <r>
    <n v="4355"/>
    <n v="1427"/>
    <d v="2026-11-23T00:00:00"/>
    <s v="Monday"/>
    <n v="11"/>
    <n v="8.32"/>
    <x v="0"/>
    <x v="3"/>
    <s v="Male"/>
    <n v="72.099999999999994"/>
    <n v="181.8"/>
    <n v="24.8"/>
    <n v="16"/>
    <s v="Other"/>
    <n v="4"/>
    <n v="1515.8"/>
    <s v="Middle"/>
    <n v="1"/>
    <s v="Single-Day"/>
    <n v="1"/>
    <n v="1"/>
    <s v="Main Entrance"/>
    <s v="Pixar Pals"/>
    <n v="6.6"/>
    <n v="9"/>
    <x v="4003"/>
  </r>
  <r>
    <n v="4356"/>
    <n v="1428"/>
    <d v="2026-07-04T00:00:00"/>
    <s v="Saturday"/>
    <n v="7"/>
    <n v="11.7"/>
    <x v="1"/>
    <x v="50"/>
    <s v="Female"/>
    <n v="64.5"/>
    <n v="140.1"/>
    <n v="24"/>
    <n v="11"/>
    <s v="AZ"/>
    <n v="2"/>
    <n v="175.5"/>
    <s v="Middle"/>
    <n v="1"/>
    <s v="Single-Day"/>
    <n v="0"/>
    <n v="0"/>
    <s v="Main Entrance"/>
    <s v="Pixar Pals"/>
    <n v="8.1999999999999993"/>
    <n v="7"/>
    <x v="4004"/>
  </r>
  <r>
    <n v="4357"/>
    <n v="1428"/>
    <d v="2026-07-04T00:00:00"/>
    <s v="Saturday"/>
    <n v="7"/>
    <n v="11.5"/>
    <x v="1"/>
    <x v="52"/>
    <s v="Female"/>
    <n v="61.6"/>
    <n v="124.3"/>
    <n v="23.1"/>
    <n v="18"/>
    <s v="AZ"/>
    <n v="2"/>
    <n v="175.5"/>
    <s v="Middle"/>
    <n v="1"/>
    <s v="Single-Day"/>
    <n v="0"/>
    <n v="0"/>
    <s v="Main Entrance"/>
    <s v="Pixar Pals"/>
    <n v="9.4"/>
    <n v="12"/>
    <x v="4005"/>
  </r>
  <r>
    <n v="4358"/>
    <n v="1429"/>
    <d v="2026-05-01T00:00:00"/>
    <s v="Friday"/>
    <n v="5"/>
    <n v="9.57"/>
    <x v="0"/>
    <x v="63"/>
    <s v="Male"/>
    <n v="68.599999999999994"/>
    <n v="195.3"/>
    <n v="29.4"/>
    <n v="18"/>
    <s v="CA"/>
    <n v="4"/>
    <n v="88.2"/>
    <s v="Middle"/>
    <n v="0"/>
    <s v="Single-Day"/>
    <n v="0"/>
    <n v="0"/>
    <s v="Main Entrance"/>
    <s v="None/Dropoff/Transit"/>
    <n v="5.7"/>
    <n v="2"/>
    <x v="4006"/>
  </r>
  <r>
    <n v="4359"/>
    <n v="1429"/>
    <d v="2026-05-01T00:00:00"/>
    <s v="Friday"/>
    <n v="5"/>
    <n v="9.27"/>
    <x v="0"/>
    <x v="38"/>
    <s v="Female"/>
    <n v="60.6"/>
    <n v="103.1"/>
    <n v="19.899999999999999"/>
    <n v="16"/>
    <s v="CA"/>
    <n v="4"/>
    <n v="88.2"/>
    <s v="Middle"/>
    <n v="0"/>
    <s v="Single-Day"/>
    <n v="0"/>
    <n v="0"/>
    <s v="Main Entrance"/>
    <s v="None/Dropoff/Transit"/>
    <n v="7.5"/>
    <n v="8"/>
    <x v="4007"/>
  </r>
  <r>
    <n v="4360"/>
    <n v="1429"/>
    <d v="2026-05-01T00:00:00"/>
    <s v="Friday"/>
    <n v="5"/>
    <n v="9.44"/>
    <x v="0"/>
    <x v="25"/>
    <s v="Male"/>
    <n v="71.400000000000006"/>
    <n v="170.6"/>
    <n v="23.6"/>
    <n v="15"/>
    <s v="CA"/>
    <n v="4"/>
    <n v="88.2"/>
    <s v="Middle"/>
    <n v="0"/>
    <s v="Single-Day"/>
    <n v="0"/>
    <n v="0"/>
    <s v="Main Entrance"/>
    <s v="None/Dropoff/Transit"/>
    <n v="9.8000000000000007"/>
    <n v="4"/>
    <x v="4008"/>
  </r>
  <r>
    <n v="4361"/>
    <n v="1429"/>
    <d v="2026-05-01T00:00:00"/>
    <s v="Friday"/>
    <n v="5"/>
    <n v="9.5500000000000007"/>
    <x v="0"/>
    <x v="14"/>
    <s v="Male"/>
    <n v="68.599999999999994"/>
    <n v="140.6"/>
    <n v="21"/>
    <n v="18"/>
    <s v="CA"/>
    <n v="4"/>
    <n v="88.2"/>
    <s v="Middle"/>
    <n v="0"/>
    <s v="Single-Day"/>
    <n v="0"/>
    <n v="0"/>
    <s v="Main Entrance"/>
    <s v="None/Dropoff/Transit"/>
    <n v="8.3000000000000007"/>
    <n v="7"/>
    <x v="4009"/>
  </r>
  <r>
    <n v="4362"/>
    <n v="1430"/>
    <d v="2026-07-14T00:00:00"/>
    <s v="Tuesday"/>
    <n v="7"/>
    <n v="10.19"/>
    <x v="0"/>
    <x v="43"/>
    <s v="Female"/>
    <n v="61.1"/>
    <n v="144.1"/>
    <n v="27"/>
    <n v="12"/>
    <s v="WA"/>
    <n v="3"/>
    <n v="1058.9000000000001"/>
    <s v="Middle"/>
    <n v="1"/>
    <s v="Multi-Day"/>
    <n v="1"/>
    <n v="1"/>
    <s v="Main Entrance"/>
    <s v="Mickey &amp; Friends"/>
    <n v="9.5"/>
    <n v="10"/>
    <x v="4010"/>
  </r>
  <r>
    <n v="4363"/>
    <n v="1430"/>
    <d v="2026-07-14T00:00:00"/>
    <s v="Tuesday"/>
    <n v="7"/>
    <n v="10.14"/>
    <x v="0"/>
    <x v="13"/>
    <s v="Female"/>
    <n v="67.7"/>
    <n v="226"/>
    <n v="34.799999999999997"/>
    <n v="14"/>
    <s v="WA"/>
    <n v="3"/>
    <n v="1058.9000000000001"/>
    <s v="Middle"/>
    <n v="1"/>
    <s v="Multi-Day"/>
    <n v="1"/>
    <n v="1"/>
    <s v="Main Entrance"/>
    <s v="Mickey &amp; Friends"/>
    <n v="9.5"/>
    <n v="10"/>
    <x v="4011"/>
  </r>
  <r>
    <n v="4364"/>
    <n v="1430"/>
    <d v="2026-07-14T00:00:00"/>
    <s v="Tuesday"/>
    <n v="7"/>
    <n v="10.06"/>
    <x v="0"/>
    <x v="27"/>
    <s v="Female"/>
    <n v="63.3"/>
    <n v="139"/>
    <n v="24.5"/>
    <n v="19"/>
    <s v="WA"/>
    <n v="3"/>
    <n v="1058.9000000000001"/>
    <s v="Middle"/>
    <n v="1"/>
    <s v="Multi-Day"/>
    <n v="1"/>
    <n v="1"/>
    <s v="Main Entrance"/>
    <s v="Mickey &amp; Friends"/>
    <n v="8.8000000000000007"/>
    <n v="7"/>
    <x v="4012"/>
  </r>
  <r>
    <n v="4365"/>
    <n v="1431"/>
    <d v="2026-09-09T00:00:00"/>
    <s v="Wednesday"/>
    <n v="9"/>
    <n v="10.48"/>
    <x v="0"/>
    <x v="16"/>
    <s v="Female"/>
    <n v="59"/>
    <n v="97.7"/>
    <n v="19.899999999999999"/>
    <n v="10"/>
    <s v="NV"/>
    <n v="5"/>
    <n v="312.10000000000002"/>
    <s v="Low"/>
    <n v="1"/>
    <s v="Single-Day"/>
    <n v="1"/>
    <n v="1"/>
    <s v="Main Entrance"/>
    <s v="None/Walked from Resort"/>
    <n v="8.5"/>
    <n v="7"/>
    <x v="4013"/>
  </r>
  <r>
    <n v="4366"/>
    <n v="1431"/>
    <d v="2026-09-09T00:00:00"/>
    <s v="Wednesday"/>
    <n v="9"/>
    <n v="10.35"/>
    <x v="0"/>
    <x v="21"/>
    <s v="Female"/>
    <n v="64.900000000000006"/>
    <n v="179.9"/>
    <n v="30.3"/>
    <n v="14"/>
    <s v="NV"/>
    <n v="5"/>
    <n v="312.10000000000002"/>
    <s v="Low"/>
    <n v="1"/>
    <s v="Single-Day"/>
    <n v="1"/>
    <n v="1"/>
    <s v="Main Entrance"/>
    <s v="None/Walked from Resort"/>
    <n v="6.5"/>
    <n v="5"/>
    <x v="4014"/>
  </r>
  <r>
    <n v="4367"/>
    <n v="1431"/>
    <d v="2026-09-09T00:00:00"/>
    <s v="Wednesday"/>
    <n v="9"/>
    <n v="10.37"/>
    <x v="0"/>
    <x v="23"/>
    <s v="Male"/>
    <n v="70.2"/>
    <n v="188"/>
    <n v="26.8"/>
    <n v="15"/>
    <s v="NV"/>
    <n v="5"/>
    <n v="312.10000000000002"/>
    <s v="Low"/>
    <n v="1"/>
    <s v="Single-Day"/>
    <n v="1"/>
    <n v="1"/>
    <s v="Main Entrance"/>
    <s v="None/Walked from Resort"/>
    <n v="5.0999999999999996"/>
    <n v="6"/>
    <x v="3972"/>
  </r>
  <r>
    <n v="4368"/>
    <n v="1431"/>
    <d v="2026-09-09T00:00:00"/>
    <s v="Wednesday"/>
    <n v="9"/>
    <n v="10.17"/>
    <x v="0"/>
    <x v="38"/>
    <s v="Male"/>
    <n v="68.400000000000006"/>
    <n v="126.8"/>
    <n v="19"/>
    <n v="8"/>
    <s v="NV"/>
    <n v="5"/>
    <n v="312.10000000000002"/>
    <s v="Low"/>
    <n v="1"/>
    <s v="Single-Day"/>
    <n v="1"/>
    <n v="1"/>
    <s v="Main Entrance"/>
    <s v="None/Walked from Resort"/>
    <n v="9.5"/>
    <n v="11"/>
    <x v="4015"/>
  </r>
  <r>
    <n v="4369"/>
    <n v="1431"/>
    <d v="2026-09-09T00:00:00"/>
    <s v="Wednesday"/>
    <n v="9"/>
    <n v="10.51"/>
    <x v="0"/>
    <x v="64"/>
    <s v="Female"/>
    <n v="49.1"/>
    <n v="50.4"/>
    <n v="14.7"/>
    <n v="13"/>
    <s v="NV"/>
    <n v="5"/>
    <n v="312.10000000000002"/>
    <s v="Low"/>
    <n v="1"/>
    <s v="Single-Day"/>
    <n v="1"/>
    <n v="1"/>
    <s v="Main Entrance"/>
    <s v="None/Walked from Resort"/>
    <n v="9.1999999999999993"/>
    <n v="11"/>
    <x v="4016"/>
  </r>
  <r>
    <n v="4370"/>
    <n v="1432"/>
    <d v="2026-04-06T00:00:00"/>
    <s v="Monday"/>
    <n v="4"/>
    <n v="8.99"/>
    <x v="0"/>
    <x v="18"/>
    <s v="Male"/>
    <n v="70.400000000000006"/>
    <n v="240.4"/>
    <n v="34.1"/>
    <n v="18"/>
    <s v="Other"/>
    <n v="4"/>
    <n v="2033.1"/>
    <s v="Middle"/>
    <n v="0"/>
    <s v="Multi-Day"/>
    <n v="0"/>
    <n v="1"/>
    <s v="Main Entrance"/>
    <s v="None/Walked from Resort"/>
    <n v="11"/>
    <n v="9"/>
    <x v="4017"/>
  </r>
  <r>
    <n v="4371"/>
    <n v="1432"/>
    <d v="2026-04-06T00:00:00"/>
    <s v="Monday"/>
    <n v="4"/>
    <n v="8.9700000000000006"/>
    <x v="0"/>
    <x v="64"/>
    <s v="Female"/>
    <n v="52.9"/>
    <n v="69.400000000000006"/>
    <n v="17.600000000000001"/>
    <n v="13"/>
    <s v="Other"/>
    <n v="4"/>
    <n v="2033.1"/>
    <s v="Middle"/>
    <n v="0"/>
    <s v="Multi-Day"/>
    <n v="0"/>
    <n v="1"/>
    <s v="Main Entrance"/>
    <s v="None/Walked from Resort"/>
    <n v="9.5"/>
    <n v="7"/>
    <x v="4018"/>
  </r>
  <r>
    <n v="4372"/>
    <n v="1432"/>
    <d v="2026-04-06T00:00:00"/>
    <s v="Monday"/>
    <n v="4"/>
    <n v="9.32"/>
    <x v="0"/>
    <x v="71"/>
    <s v="Male"/>
    <n v="66.099999999999994"/>
    <n v="174.5"/>
    <n v="28.2"/>
    <n v="17"/>
    <s v="Other"/>
    <n v="4"/>
    <n v="2033.1"/>
    <s v="Middle"/>
    <n v="0"/>
    <s v="Multi-Day"/>
    <n v="0"/>
    <n v="1"/>
    <s v="Main Entrance"/>
    <s v="None/Walked from Resort"/>
    <n v="9.9"/>
    <n v="9"/>
    <x v="4019"/>
  </r>
  <r>
    <n v="4373"/>
    <n v="1432"/>
    <d v="2026-04-06T00:00:00"/>
    <s v="Monday"/>
    <n v="4"/>
    <n v="9.14"/>
    <x v="0"/>
    <x v="8"/>
    <s v="Female"/>
    <n v="63.3"/>
    <n v="119.9"/>
    <n v="21"/>
    <n v="14"/>
    <s v="Other"/>
    <n v="4"/>
    <n v="2033.1"/>
    <s v="Middle"/>
    <n v="0"/>
    <s v="Multi-Day"/>
    <n v="0"/>
    <n v="1"/>
    <s v="Main Entrance"/>
    <s v="None/Walked from Resort"/>
    <n v="9.9"/>
    <n v="8"/>
    <x v="4020"/>
  </r>
  <r>
    <n v="4374"/>
    <n v="1433"/>
    <d v="2026-12-30T00:00:00"/>
    <s v="Wednesday"/>
    <n v="12"/>
    <n v="10.210000000000001"/>
    <x v="0"/>
    <x v="19"/>
    <s v="Male"/>
    <n v="64.2"/>
    <n v="169.3"/>
    <n v="28.8"/>
    <n v="16"/>
    <s v="AZ"/>
    <n v="2"/>
    <n v="437"/>
    <s v="Middle"/>
    <n v="1"/>
    <s v="Multi-Day"/>
    <n v="1"/>
    <n v="0"/>
    <s v="Downtown Disney Gate"/>
    <s v="Toy Story Lot"/>
    <n v="7.3"/>
    <n v="7"/>
    <x v="4021"/>
  </r>
  <r>
    <n v="4375"/>
    <n v="1433"/>
    <d v="2026-12-30T00:00:00"/>
    <s v="Wednesday"/>
    <n v="12"/>
    <n v="10.47"/>
    <x v="0"/>
    <x v="36"/>
    <s v="Female"/>
    <n v="63.2"/>
    <n v="141.80000000000001"/>
    <n v="25"/>
    <n v="19"/>
    <s v="AZ"/>
    <n v="2"/>
    <n v="437"/>
    <s v="Middle"/>
    <n v="1"/>
    <s v="Multi-Day"/>
    <n v="1"/>
    <n v="0"/>
    <s v="Downtown Disney Gate"/>
    <s v="Toy Story Lot"/>
    <n v="5.8"/>
    <n v="11"/>
    <x v="4022"/>
  </r>
  <r>
    <n v="4376"/>
    <n v="1434"/>
    <d v="2026-03-12T00:00:00"/>
    <s v="Thursday"/>
    <n v="3"/>
    <n v="10.220000000000001"/>
    <x v="0"/>
    <x v="2"/>
    <s v="Male"/>
    <n v="72.2"/>
    <n v="147.4"/>
    <n v="19.899999999999999"/>
    <n v="16"/>
    <s v="CA"/>
    <n v="1"/>
    <n v="80.7"/>
    <s v="High"/>
    <n v="0"/>
    <s v="Single-Day"/>
    <n v="0"/>
    <n v="1"/>
    <s v="Main Entrance"/>
    <s v="None/Walked from Resort"/>
    <n v="9.1"/>
    <n v="4"/>
    <x v="4023"/>
  </r>
  <r>
    <n v="4377"/>
    <n v="1435"/>
    <d v="2026-06-14T00:00:00"/>
    <s v="Sunday"/>
    <n v="6"/>
    <n v="10"/>
    <x v="0"/>
    <x v="0"/>
    <s v="Male"/>
    <n v="68"/>
    <n v="168.1"/>
    <n v="25.5"/>
    <n v="15"/>
    <s v="CO"/>
    <n v="4"/>
    <n v="1094.5"/>
    <s v="Middle"/>
    <n v="1"/>
    <s v="Multi-Day"/>
    <n v="1"/>
    <n v="0"/>
    <s v="Main Entrance"/>
    <s v="Mickey &amp; Friends"/>
    <n v="11"/>
    <n v="11"/>
    <x v="4024"/>
  </r>
  <r>
    <n v="4378"/>
    <n v="1435"/>
    <d v="2026-06-14T00:00:00"/>
    <s v="Sunday"/>
    <n v="6"/>
    <n v="10.050000000000001"/>
    <x v="0"/>
    <x v="14"/>
    <s v="Female"/>
    <n v="64.599999999999994"/>
    <n v="162.69999999999999"/>
    <n v="27.5"/>
    <n v="16"/>
    <s v="CO"/>
    <n v="4"/>
    <n v="1094.5"/>
    <s v="Middle"/>
    <n v="1"/>
    <s v="Multi-Day"/>
    <n v="1"/>
    <n v="0"/>
    <s v="Main Entrance"/>
    <s v="Mickey &amp; Friends"/>
    <n v="10"/>
    <n v="9"/>
    <x v="4025"/>
  </r>
  <r>
    <n v="4379"/>
    <n v="1435"/>
    <d v="2026-06-14T00:00:00"/>
    <s v="Sunday"/>
    <n v="6"/>
    <n v="10.029999999999999"/>
    <x v="0"/>
    <x v="18"/>
    <s v="Female"/>
    <n v="63.3"/>
    <n v="150.19999999999999"/>
    <n v="26.3"/>
    <n v="16"/>
    <s v="CO"/>
    <n v="4"/>
    <n v="1094.5"/>
    <s v="Middle"/>
    <n v="1"/>
    <s v="Multi-Day"/>
    <n v="1"/>
    <n v="0"/>
    <s v="Main Entrance"/>
    <s v="Mickey &amp; Friends"/>
    <n v="8.9"/>
    <n v="10"/>
    <x v="4026"/>
  </r>
  <r>
    <n v="4380"/>
    <n v="1435"/>
    <d v="2026-06-14T00:00:00"/>
    <s v="Sunday"/>
    <n v="6"/>
    <n v="10.28"/>
    <x v="0"/>
    <x v="54"/>
    <s v="Female"/>
    <n v="65.2"/>
    <n v="141.69999999999999"/>
    <n v="23.4"/>
    <n v="15"/>
    <s v="CO"/>
    <n v="4"/>
    <n v="1094.5"/>
    <s v="Middle"/>
    <n v="1"/>
    <s v="Multi-Day"/>
    <n v="1"/>
    <n v="0"/>
    <s v="Main Entrance"/>
    <s v="Mickey &amp; Friends"/>
    <n v="8.8000000000000007"/>
    <n v="9"/>
    <x v="4027"/>
  </r>
  <r>
    <n v="4381"/>
    <n v="1436"/>
    <d v="2026-03-31T00:00:00"/>
    <s v="Tuesday"/>
    <n v="3"/>
    <n v="11.26"/>
    <x v="1"/>
    <x v="40"/>
    <s v="Male"/>
    <n v="64.400000000000006"/>
    <n v="111.5"/>
    <n v="19.100000000000001"/>
    <n v="11"/>
    <s v="CA"/>
    <n v="2"/>
    <n v="95.3"/>
    <s v="Low"/>
    <n v="1"/>
    <s v="Single-Day"/>
    <n v="0"/>
    <n v="1"/>
    <s v="Main Entrance"/>
    <s v="None/Walked from Resort"/>
    <n v="9.1"/>
    <n v="7"/>
    <x v="4028"/>
  </r>
  <r>
    <n v="4382"/>
    <n v="1436"/>
    <d v="2026-03-31T00:00:00"/>
    <s v="Tuesday"/>
    <n v="3"/>
    <n v="11.04"/>
    <x v="1"/>
    <x v="9"/>
    <s v="Male"/>
    <n v="70.3"/>
    <n v="153.1"/>
    <n v="21.7"/>
    <n v="16"/>
    <s v="CA"/>
    <n v="2"/>
    <n v="95.3"/>
    <s v="Low"/>
    <n v="1"/>
    <s v="Single-Day"/>
    <n v="0"/>
    <n v="1"/>
    <s v="Main Entrance"/>
    <s v="None/Walked from Resort"/>
    <n v="9.4"/>
    <n v="9"/>
    <x v="4029"/>
  </r>
  <r>
    <n v="4383"/>
    <n v="1437"/>
    <d v="2026-11-10T00:00:00"/>
    <s v="Tuesday"/>
    <n v="11"/>
    <n v="13.23"/>
    <x v="1"/>
    <x v="53"/>
    <s v="Female"/>
    <n v="55"/>
    <n v="74.3"/>
    <n v="17.5"/>
    <n v="12"/>
    <s v="CA"/>
    <n v="5"/>
    <n v="176.1"/>
    <s v="Middle"/>
    <n v="0"/>
    <s v="Single-Day"/>
    <n v="0"/>
    <n v="1"/>
    <s v="Hotel Guest Entrance"/>
    <s v="Toy Story Lot"/>
    <n v="5.8"/>
    <n v="7"/>
    <x v="4030"/>
  </r>
  <r>
    <n v="4384"/>
    <n v="1437"/>
    <d v="2026-11-10T00:00:00"/>
    <s v="Tuesday"/>
    <n v="11"/>
    <n v="13.33"/>
    <x v="1"/>
    <x v="13"/>
    <s v="Male"/>
    <n v="75.400000000000006"/>
    <n v="233.5"/>
    <n v="29"/>
    <n v="16"/>
    <s v="CA"/>
    <n v="5"/>
    <n v="176.1"/>
    <s v="Middle"/>
    <n v="0"/>
    <s v="Single-Day"/>
    <n v="0"/>
    <n v="1"/>
    <s v="Hotel Guest Entrance"/>
    <s v="Toy Story Lot"/>
    <n v="7"/>
    <n v="5"/>
    <x v="4031"/>
  </r>
  <r>
    <n v="4385"/>
    <n v="1437"/>
    <d v="2026-11-10T00:00:00"/>
    <s v="Tuesday"/>
    <n v="11"/>
    <n v="13.31"/>
    <x v="1"/>
    <x v="27"/>
    <s v="Female"/>
    <n v="62.5"/>
    <n v="140.1"/>
    <n v="25.3"/>
    <n v="17"/>
    <s v="CA"/>
    <n v="5"/>
    <n v="176.1"/>
    <s v="Middle"/>
    <n v="0"/>
    <s v="Single-Day"/>
    <n v="0"/>
    <n v="1"/>
    <s v="Hotel Guest Entrance"/>
    <s v="Toy Story Lot"/>
    <n v="4.5999999999999996"/>
    <n v="8"/>
    <x v="4032"/>
  </r>
  <r>
    <n v="4386"/>
    <n v="1437"/>
    <d v="2026-11-10T00:00:00"/>
    <s v="Tuesday"/>
    <n v="11"/>
    <n v="13.37"/>
    <x v="1"/>
    <x v="28"/>
    <s v="Female"/>
    <n v="70.599999999999994"/>
    <n v="281"/>
    <n v="39.700000000000003"/>
    <n v="19"/>
    <s v="CA"/>
    <n v="5"/>
    <n v="176.1"/>
    <s v="Middle"/>
    <n v="0"/>
    <s v="Single-Day"/>
    <n v="0"/>
    <n v="1"/>
    <s v="Hotel Guest Entrance"/>
    <s v="Toy Story Lot"/>
    <n v="7.1"/>
    <n v="7"/>
    <x v="4033"/>
  </r>
  <r>
    <n v="4387"/>
    <n v="1437"/>
    <d v="2026-11-10T00:00:00"/>
    <s v="Tuesday"/>
    <n v="11"/>
    <n v="13.26"/>
    <x v="1"/>
    <x v="71"/>
    <s v="Male"/>
    <n v="71.400000000000006"/>
    <n v="201.3"/>
    <n v="27.7"/>
    <n v="14"/>
    <s v="CA"/>
    <n v="5"/>
    <n v="176.1"/>
    <s v="Middle"/>
    <n v="0"/>
    <s v="Single-Day"/>
    <n v="0"/>
    <n v="1"/>
    <s v="Hotel Guest Entrance"/>
    <s v="Toy Story Lot"/>
    <n v="6.1"/>
    <n v="7"/>
    <x v="4034"/>
  </r>
  <r>
    <n v="4388"/>
    <n v="1438"/>
    <d v="2026-09-12T00:00:00"/>
    <s v="Saturday"/>
    <n v="9"/>
    <n v="10.58"/>
    <x v="0"/>
    <x v="4"/>
    <s v="Male"/>
    <n v="68.400000000000006"/>
    <n v="173.9"/>
    <n v="26.1"/>
    <n v="17"/>
    <s v="TX"/>
    <n v="4"/>
    <n v="1457.2"/>
    <s v="Middle"/>
    <n v="1"/>
    <s v="Multi-Day"/>
    <n v="0"/>
    <n v="0"/>
    <s v="Main Entrance"/>
    <s v="Toy Story Lot"/>
    <n v="8.4"/>
    <n v="9"/>
    <x v="4035"/>
  </r>
  <r>
    <n v="4389"/>
    <n v="1438"/>
    <d v="2026-09-12T00:00:00"/>
    <s v="Saturday"/>
    <n v="9"/>
    <n v="10.43"/>
    <x v="0"/>
    <x v="0"/>
    <s v="Nonbinary/Other"/>
    <n v="67.3"/>
    <n v="186.1"/>
    <n v="29.1"/>
    <n v="16"/>
    <s v="TX"/>
    <n v="4"/>
    <n v="1457.2"/>
    <s v="Middle"/>
    <n v="1"/>
    <s v="Multi-Day"/>
    <n v="0"/>
    <n v="0"/>
    <s v="Main Entrance"/>
    <s v="Toy Story Lot"/>
    <n v="11.4"/>
    <n v="11"/>
    <x v="4036"/>
  </r>
  <r>
    <n v="4390"/>
    <n v="1438"/>
    <d v="2026-09-12T00:00:00"/>
    <s v="Saturday"/>
    <n v="9"/>
    <n v="10.39"/>
    <x v="0"/>
    <x v="36"/>
    <s v="Male"/>
    <n v="73.7"/>
    <n v="177.9"/>
    <n v="22.9"/>
    <n v="12"/>
    <s v="TX"/>
    <n v="4"/>
    <n v="1457.2"/>
    <s v="Middle"/>
    <n v="1"/>
    <s v="Multi-Day"/>
    <n v="0"/>
    <n v="0"/>
    <s v="Main Entrance"/>
    <s v="Toy Story Lot"/>
    <n v="7.3"/>
    <n v="5"/>
    <x v="4037"/>
  </r>
  <r>
    <n v="4391"/>
    <n v="1438"/>
    <d v="2026-09-12T00:00:00"/>
    <s v="Saturday"/>
    <n v="9"/>
    <n v="10.5"/>
    <x v="0"/>
    <x v="29"/>
    <s v="Female"/>
    <n v="62.1"/>
    <n v="128.69999999999999"/>
    <n v="23.7"/>
    <n v="13"/>
    <s v="TX"/>
    <n v="4"/>
    <n v="1457.2"/>
    <s v="Middle"/>
    <n v="1"/>
    <s v="Multi-Day"/>
    <n v="0"/>
    <n v="0"/>
    <s v="Main Entrance"/>
    <s v="Toy Story Lot"/>
    <n v="9.3000000000000007"/>
    <n v="10"/>
    <x v="4038"/>
  </r>
  <r>
    <n v="4392"/>
    <n v="1439"/>
    <d v="2026-06-29T00:00:00"/>
    <s v="Monday"/>
    <n v="6"/>
    <n v="10.33"/>
    <x v="0"/>
    <x v="38"/>
    <s v="Male"/>
    <n v="67.5"/>
    <n v="162.1"/>
    <n v="24.6"/>
    <n v="13"/>
    <s v="CA"/>
    <n v="1"/>
    <n v="167"/>
    <s v="Middle"/>
    <n v="0"/>
    <s v="Single-Day"/>
    <n v="0"/>
    <n v="1"/>
    <s v="Main Entrance"/>
    <s v="None/Walked from Resort"/>
    <n v="9.8000000000000007"/>
    <n v="4"/>
    <x v="4039"/>
  </r>
  <r>
    <n v="4393"/>
    <n v="1440"/>
    <d v="2026-02-25T00:00:00"/>
    <s v="Wednesday"/>
    <n v="2"/>
    <n v="12.04"/>
    <x v="1"/>
    <x v="21"/>
    <s v="Male"/>
    <n v="64.400000000000006"/>
    <n v="200.7"/>
    <n v="34.1"/>
    <n v="18"/>
    <s v="CA"/>
    <n v="4"/>
    <n v="65.7"/>
    <s v="High"/>
    <n v="0"/>
    <s v="Single-Day"/>
    <n v="1"/>
    <n v="0"/>
    <s v="Main Entrance"/>
    <s v="Mickey &amp; Friends"/>
    <n v="8.6999999999999993"/>
    <n v="7"/>
    <x v="462"/>
  </r>
  <r>
    <n v="4394"/>
    <n v="1440"/>
    <d v="2026-02-25T00:00:00"/>
    <s v="Wednesday"/>
    <n v="2"/>
    <n v="11.96"/>
    <x v="1"/>
    <x v="5"/>
    <s v="Female"/>
    <n v="67.900000000000006"/>
    <n v="160.1"/>
    <n v="24.3"/>
    <n v="16"/>
    <s v="CA"/>
    <n v="4"/>
    <n v="65.7"/>
    <s v="High"/>
    <n v="0"/>
    <s v="Single-Day"/>
    <n v="1"/>
    <n v="0"/>
    <s v="Main Entrance"/>
    <s v="Mickey &amp; Friends"/>
    <n v="8.9"/>
    <n v="6"/>
    <x v="4040"/>
  </r>
  <r>
    <n v="4395"/>
    <n v="1440"/>
    <d v="2026-02-25T00:00:00"/>
    <s v="Wednesday"/>
    <n v="2"/>
    <n v="12.24"/>
    <x v="1"/>
    <x v="54"/>
    <s v="Male"/>
    <n v="68"/>
    <n v="166.2"/>
    <n v="25.1"/>
    <n v="16"/>
    <s v="CA"/>
    <n v="4"/>
    <n v="65.7"/>
    <s v="High"/>
    <n v="0"/>
    <s v="Single-Day"/>
    <n v="1"/>
    <n v="0"/>
    <s v="Main Entrance"/>
    <s v="Mickey &amp; Friends"/>
    <n v="8.6"/>
    <n v="10"/>
    <x v="4041"/>
  </r>
  <r>
    <n v="4396"/>
    <n v="1440"/>
    <d v="2026-02-25T00:00:00"/>
    <s v="Wednesday"/>
    <n v="2"/>
    <n v="12.08"/>
    <x v="1"/>
    <x v="41"/>
    <s v="Female"/>
    <n v="65.7"/>
    <n v="165.7"/>
    <n v="27"/>
    <n v="15"/>
    <s v="CA"/>
    <n v="4"/>
    <n v="65.7"/>
    <s v="High"/>
    <n v="0"/>
    <s v="Single-Day"/>
    <n v="1"/>
    <n v="0"/>
    <s v="Main Entrance"/>
    <s v="Mickey &amp; Friends"/>
    <n v="10.199999999999999"/>
    <n v="7"/>
    <x v="2625"/>
  </r>
  <r>
    <n v="4397"/>
    <n v="1441"/>
    <d v="2026-02-12T00:00:00"/>
    <s v="Thursday"/>
    <n v="2"/>
    <n v="8.02"/>
    <x v="0"/>
    <x v="30"/>
    <s v="Male"/>
    <n v="65.2"/>
    <n v="148.69999999999999"/>
    <n v="24.7"/>
    <n v="13"/>
    <s v="CA"/>
    <n v="3"/>
    <n v="99.9"/>
    <s v="Middle"/>
    <n v="0"/>
    <s v="Park Hopper"/>
    <n v="1"/>
    <n v="0"/>
    <s v="Downtown Disney Gate"/>
    <s v="Mickey &amp; Friends"/>
    <n v="11.2"/>
    <n v="9"/>
    <x v="4042"/>
  </r>
  <r>
    <n v="4398"/>
    <n v="1441"/>
    <d v="2026-02-12T00:00:00"/>
    <s v="Thursday"/>
    <n v="2"/>
    <n v="8.1"/>
    <x v="0"/>
    <x v="51"/>
    <s v="Male"/>
    <n v="67.900000000000006"/>
    <n v="174.7"/>
    <n v="26.8"/>
    <n v="16"/>
    <s v="CA"/>
    <n v="3"/>
    <n v="99.9"/>
    <s v="Middle"/>
    <n v="0"/>
    <s v="Park Hopper"/>
    <n v="1"/>
    <n v="0"/>
    <s v="Downtown Disney Gate"/>
    <s v="Mickey &amp; Friends"/>
    <n v="7.9"/>
    <n v="11"/>
    <x v="4043"/>
  </r>
  <r>
    <n v="4399"/>
    <n v="1441"/>
    <d v="2026-02-12T00:00:00"/>
    <s v="Thursday"/>
    <n v="2"/>
    <n v="8.0299999999999994"/>
    <x v="0"/>
    <x v="8"/>
    <s v="Female"/>
    <n v="66.2"/>
    <n v="153.19999999999999"/>
    <n v="24.7"/>
    <n v="13"/>
    <s v="CA"/>
    <n v="3"/>
    <n v="99.9"/>
    <s v="Middle"/>
    <n v="0"/>
    <s v="Park Hopper"/>
    <n v="1"/>
    <n v="0"/>
    <s v="Downtown Disney Gate"/>
    <s v="Mickey &amp; Friends"/>
    <n v="8.4"/>
    <n v="8"/>
    <x v="4044"/>
  </r>
  <r>
    <n v="4400"/>
    <n v="1442"/>
    <d v="2026-11-01T00:00:00"/>
    <s v="Sunday"/>
    <n v="11"/>
    <n v="11.36"/>
    <x v="1"/>
    <x v="21"/>
    <s v="Male"/>
    <n v="67.2"/>
    <n v="176.2"/>
    <n v="27.6"/>
    <n v="16"/>
    <s v="FL"/>
    <n v="4"/>
    <n v="3196.2"/>
    <s v="High"/>
    <n v="1"/>
    <s v="Single-Day"/>
    <n v="1"/>
    <n v="0"/>
    <s v="Main Entrance"/>
    <s v="Mickey &amp; Friends"/>
    <n v="8"/>
    <n v="8"/>
    <x v="4045"/>
  </r>
  <r>
    <n v="4401"/>
    <n v="1442"/>
    <d v="2026-11-01T00:00:00"/>
    <s v="Sunday"/>
    <n v="11"/>
    <n v="11.15"/>
    <x v="1"/>
    <x v="49"/>
    <s v="Female"/>
    <n v="61.2"/>
    <n v="122.3"/>
    <n v="23.1"/>
    <n v="17"/>
    <s v="FL"/>
    <n v="4"/>
    <n v="3196.2"/>
    <s v="High"/>
    <n v="1"/>
    <s v="Single-Day"/>
    <n v="1"/>
    <n v="0"/>
    <s v="Main Entrance"/>
    <s v="Mickey &amp; Friends"/>
    <n v="4.4000000000000004"/>
    <n v="11"/>
    <x v="4046"/>
  </r>
  <r>
    <n v="4402"/>
    <n v="1442"/>
    <d v="2026-11-01T00:00:00"/>
    <s v="Sunday"/>
    <n v="11"/>
    <n v="11.33"/>
    <x v="1"/>
    <x v="19"/>
    <s v="Female"/>
    <n v="62.7"/>
    <n v="153"/>
    <n v="27.4"/>
    <n v="17"/>
    <s v="FL"/>
    <n v="4"/>
    <n v="3196.2"/>
    <s v="High"/>
    <n v="1"/>
    <s v="Single-Day"/>
    <n v="1"/>
    <n v="0"/>
    <s v="Main Entrance"/>
    <s v="Mickey &amp; Friends"/>
    <n v="8.1"/>
    <n v="10"/>
    <x v="4047"/>
  </r>
  <r>
    <n v="4403"/>
    <n v="1442"/>
    <d v="2026-11-01T00:00:00"/>
    <s v="Sunday"/>
    <n v="11"/>
    <n v="11.18"/>
    <x v="1"/>
    <x v="21"/>
    <s v="Female"/>
    <n v="65.2"/>
    <n v="152.19999999999999"/>
    <n v="25.4"/>
    <n v="19"/>
    <s v="FL"/>
    <n v="4"/>
    <n v="3196.2"/>
    <s v="High"/>
    <n v="1"/>
    <s v="Single-Day"/>
    <n v="1"/>
    <n v="0"/>
    <s v="Main Entrance"/>
    <s v="Mickey &amp; Friends"/>
    <n v="8.6999999999999993"/>
    <n v="11"/>
    <x v="4048"/>
  </r>
  <r>
    <n v="4404"/>
    <n v="1443"/>
    <d v="2026-03-16T00:00:00"/>
    <s v="Monday"/>
    <n v="3"/>
    <n v="10.27"/>
    <x v="0"/>
    <x v="36"/>
    <s v="Male"/>
    <n v="70.900000000000006"/>
    <n v="182.3"/>
    <n v="25.3"/>
    <n v="13"/>
    <s v="Other"/>
    <n v="2"/>
    <n v="1602.2"/>
    <s v="Low"/>
    <n v="0"/>
    <s v="Single-Day"/>
    <n v="0"/>
    <n v="0"/>
    <s v="Main Entrance"/>
    <s v="Toy Story Lot"/>
    <n v="6.2"/>
    <n v="9"/>
    <x v="4049"/>
  </r>
  <r>
    <n v="4405"/>
    <n v="1443"/>
    <d v="2026-03-16T00:00:00"/>
    <s v="Monday"/>
    <n v="3"/>
    <n v="10.45"/>
    <x v="0"/>
    <x v="66"/>
    <s v="Female"/>
    <n v="60.3"/>
    <n v="147.80000000000001"/>
    <n v="28.7"/>
    <n v="14"/>
    <s v="Other"/>
    <n v="2"/>
    <n v="1602.2"/>
    <s v="Low"/>
    <n v="0"/>
    <s v="Single-Day"/>
    <n v="0"/>
    <n v="0"/>
    <s v="Main Entrance"/>
    <s v="Toy Story Lot"/>
    <n v="7.5"/>
    <n v="5"/>
    <x v="4050"/>
  </r>
  <r>
    <n v="4406"/>
    <n v="1444"/>
    <d v="2026-01-03T00:00:00"/>
    <s v="Saturday"/>
    <n v="1"/>
    <n v="11.32"/>
    <x v="1"/>
    <x v="30"/>
    <s v="Male"/>
    <n v="70.400000000000006"/>
    <n v="174.6"/>
    <n v="24.7"/>
    <n v="12"/>
    <s v="IL"/>
    <n v="4"/>
    <n v="2343.1"/>
    <s v="Low"/>
    <n v="1"/>
    <s v="Multi-Day"/>
    <n v="0"/>
    <n v="0"/>
    <s v="Main Entrance"/>
    <s v="Mickey &amp; Friends"/>
    <n v="8.1999999999999993"/>
    <n v="4"/>
    <x v="4051"/>
  </r>
  <r>
    <n v="4407"/>
    <n v="1444"/>
    <d v="2026-01-03T00:00:00"/>
    <s v="Saturday"/>
    <n v="1"/>
    <n v="11.23"/>
    <x v="1"/>
    <x v="42"/>
    <s v="Male"/>
    <n v="69.2"/>
    <n v="201.8"/>
    <n v="29.7"/>
    <n v="12"/>
    <s v="IL"/>
    <n v="4"/>
    <n v="2343.1"/>
    <s v="Low"/>
    <n v="1"/>
    <s v="Multi-Day"/>
    <n v="0"/>
    <n v="0"/>
    <s v="Main Entrance"/>
    <s v="Mickey &amp; Friends"/>
    <n v="8.6999999999999993"/>
    <n v="7"/>
    <x v="4052"/>
  </r>
  <r>
    <n v="4408"/>
    <n v="1444"/>
    <d v="2026-01-03T00:00:00"/>
    <s v="Saturday"/>
    <n v="1"/>
    <n v="10.92"/>
    <x v="0"/>
    <x v="24"/>
    <s v="Male"/>
    <n v="68.3"/>
    <n v="135.9"/>
    <n v="20.5"/>
    <n v="14"/>
    <s v="IL"/>
    <n v="4"/>
    <n v="2343.1"/>
    <s v="Low"/>
    <n v="1"/>
    <s v="Multi-Day"/>
    <n v="0"/>
    <n v="0"/>
    <s v="Main Entrance"/>
    <s v="Mickey &amp; Friends"/>
    <n v="8.1"/>
    <n v="10"/>
    <x v="4053"/>
  </r>
  <r>
    <n v="4409"/>
    <n v="1444"/>
    <d v="2026-01-03T00:00:00"/>
    <s v="Saturday"/>
    <n v="1"/>
    <n v="11.05"/>
    <x v="1"/>
    <x v="33"/>
    <s v="Male"/>
    <n v="64.7"/>
    <n v="145.30000000000001"/>
    <n v="24.3"/>
    <n v="18"/>
    <s v="IL"/>
    <n v="4"/>
    <n v="2343.1"/>
    <s v="Low"/>
    <n v="1"/>
    <s v="Multi-Day"/>
    <n v="0"/>
    <n v="0"/>
    <s v="Main Entrance"/>
    <s v="Mickey &amp; Friends"/>
    <n v="9.6"/>
    <n v="2"/>
    <x v="4054"/>
  </r>
  <r>
    <n v="4410"/>
    <n v="1445"/>
    <d v="2026-07-29T00:00:00"/>
    <s v="Wednesday"/>
    <n v="7"/>
    <n v="9.25"/>
    <x v="0"/>
    <x v="32"/>
    <s v="Female"/>
    <n v="55.6"/>
    <n v="67.099999999999994"/>
    <n v="15.3"/>
    <n v="9"/>
    <s v="TX"/>
    <n v="2"/>
    <n v="1518.2"/>
    <s v="Low"/>
    <n v="1"/>
    <s v="Single-Day"/>
    <n v="1"/>
    <n v="1"/>
    <s v="Hotel Guest Entrance"/>
    <s v="Mickey &amp; Friends"/>
    <n v="9.5"/>
    <n v="6"/>
    <x v="4055"/>
  </r>
  <r>
    <n v="4411"/>
    <n v="1445"/>
    <d v="2026-07-29T00:00:00"/>
    <s v="Wednesday"/>
    <n v="7"/>
    <n v="9.2899999999999991"/>
    <x v="0"/>
    <x v="64"/>
    <s v="Male"/>
    <n v="54.2"/>
    <n v="88.9"/>
    <n v="21.1"/>
    <n v="12"/>
    <s v="TX"/>
    <n v="2"/>
    <n v="1518.2"/>
    <s v="Low"/>
    <n v="1"/>
    <s v="Single-Day"/>
    <n v="1"/>
    <n v="1"/>
    <s v="Hotel Guest Entrance"/>
    <s v="Mickey &amp; Friends"/>
    <n v="9.3000000000000007"/>
    <n v="6"/>
    <x v="4056"/>
  </r>
  <r>
    <n v="4412"/>
    <n v="1446"/>
    <d v="2026-01-18T00:00:00"/>
    <s v="Sunday"/>
    <n v="1"/>
    <n v="10.58"/>
    <x v="0"/>
    <x v="32"/>
    <s v="Female"/>
    <n v="56.7"/>
    <n v="113.7"/>
    <n v="24.9"/>
    <n v="15"/>
    <s v="NY"/>
    <n v="4"/>
    <n v="2197.1999999999998"/>
    <s v="Middle"/>
    <n v="1"/>
    <s v="Park Hopper"/>
    <n v="1"/>
    <n v="1"/>
    <s v="Main Entrance"/>
    <s v="Mickey &amp; Friends"/>
    <n v="7"/>
    <n v="10"/>
    <x v="4057"/>
  </r>
  <r>
    <n v="4413"/>
    <n v="1446"/>
    <d v="2026-01-18T00:00:00"/>
    <s v="Sunday"/>
    <n v="1"/>
    <n v="10.61"/>
    <x v="0"/>
    <x v="41"/>
    <s v="Female"/>
    <n v="60.1"/>
    <n v="135.80000000000001"/>
    <n v="26.4"/>
    <n v="13"/>
    <s v="NY"/>
    <n v="4"/>
    <n v="2197.1999999999998"/>
    <s v="Middle"/>
    <n v="1"/>
    <s v="Park Hopper"/>
    <n v="1"/>
    <n v="1"/>
    <s v="Main Entrance"/>
    <s v="Mickey &amp; Friends"/>
    <n v="6.4"/>
    <n v="3"/>
    <x v="4058"/>
  </r>
  <r>
    <n v="4414"/>
    <n v="1446"/>
    <d v="2026-01-18T00:00:00"/>
    <s v="Sunday"/>
    <n v="1"/>
    <n v="10.62"/>
    <x v="0"/>
    <x v="11"/>
    <s v="Female"/>
    <n v="65.099999999999994"/>
    <n v="151.30000000000001"/>
    <n v="25.2"/>
    <n v="16"/>
    <s v="NY"/>
    <n v="4"/>
    <n v="2197.1999999999998"/>
    <s v="Middle"/>
    <n v="1"/>
    <s v="Park Hopper"/>
    <n v="1"/>
    <n v="1"/>
    <s v="Main Entrance"/>
    <s v="Mickey &amp; Friends"/>
    <n v="10.1"/>
    <n v="11"/>
    <x v="4059"/>
  </r>
  <r>
    <n v="4415"/>
    <n v="1446"/>
    <d v="2026-01-18T00:00:00"/>
    <s v="Sunday"/>
    <n v="1"/>
    <n v="10.41"/>
    <x v="0"/>
    <x v="12"/>
    <s v="Female"/>
    <n v="63.8"/>
    <n v="109.1"/>
    <n v="19.100000000000001"/>
    <n v="14"/>
    <s v="NY"/>
    <n v="4"/>
    <n v="2197.1999999999998"/>
    <s v="Middle"/>
    <n v="1"/>
    <s v="Park Hopper"/>
    <n v="1"/>
    <n v="1"/>
    <s v="Main Entrance"/>
    <s v="Mickey &amp; Friends"/>
    <n v="7.7"/>
    <n v="12"/>
    <x v="4060"/>
  </r>
  <r>
    <n v="4416"/>
    <n v="1447"/>
    <d v="2026-02-04T00:00:00"/>
    <s v="Wednesday"/>
    <n v="2"/>
    <n v="11.75"/>
    <x v="1"/>
    <x v="9"/>
    <s v="Male"/>
    <n v="70.5"/>
    <n v="202"/>
    <n v="28.5"/>
    <n v="18"/>
    <s v="Other"/>
    <n v="2"/>
    <n v="1301.2"/>
    <s v="Middle"/>
    <n v="1"/>
    <s v="Single-Day"/>
    <n v="0"/>
    <n v="0"/>
    <s v="Main Entrance"/>
    <s v="Mickey &amp; Friends"/>
    <n v="7.3"/>
    <n v="9"/>
    <x v="4061"/>
  </r>
  <r>
    <n v="4417"/>
    <n v="1447"/>
    <d v="2026-02-04T00:00:00"/>
    <s v="Wednesday"/>
    <n v="2"/>
    <n v="11.87"/>
    <x v="1"/>
    <x v="21"/>
    <s v="Male"/>
    <n v="71.7"/>
    <n v="143.5"/>
    <n v="19.8"/>
    <n v="19"/>
    <s v="Other"/>
    <n v="2"/>
    <n v="1301.2"/>
    <s v="Middle"/>
    <n v="1"/>
    <s v="Single-Day"/>
    <n v="0"/>
    <n v="0"/>
    <s v="Main Entrance"/>
    <s v="Mickey &amp; Friends"/>
    <n v="5.9"/>
    <n v="10"/>
    <x v="4062"/>
  </r>
  <r>
    <n v="4418"/>
    <n v="1448"/>
    <d v="2026-03-03T00:00:00"/>
    <s v="Tuesday"/>
    <n v="3"/>
    <n v="8.5299999999999994"/>
    <x v="0"/>
    <x v="56"/>
    <s v="Female"/>
    <n v="67.7"/>
    <n v="190.6"/>
    <n v="29.3"/>
    <n v="15"/>
    <s v="IL"/>
    <n v="3"/>
    <n v="2157.4"/>
    <s v="High"/>
    <n v="1"/>
    <s v="Park Hopper"/>
    <n v="1"/>
    <n v="0"/>
    <s v="Hotel Guest Entrance"/>
    <s v="Pixar Pals"/>
    <n v="9.1"/>
    <n v="11"/>
    <x v="4063"/>
  </r>
  <r>
    <n v="4419"/>
    <n v="1448"/>
    <d v="2026-03-03T00:00:00"/>
    <s v="Tuesday"/>
    <n v="3"/>
    <n v="8.6199999999999992"/>
    <x v="0"/>
    <x v="16"/>
    <s v="Male"/>
    <n v="52.2"/>
    <n v="81.900000000000006"/>
    <n v="21.1"/>
    <n v="14"/>
    <s v="IL"/>
    <n v="3"/>
    <n v="2157.4"/>
    <s v="High"/>
    <n v="1"/>
    <s v="Park Hopper"/>
    <n v="1"/>
    <n v="0"/>
    <s v="Hotel Guest Entrance"/>
    <s v="Pixar Pals"/>
    <n v="8.6999999999999993"/>
    <n v="5"/>
    <x v="4064"/>
  </r>
  <r>
    <n v="4420"/>
    <n v="1448"/>
    <d v="2026-03-03T00:00:00"/>
    <s v="Tuesday"/>
    <n v="3"/>
    <n v="8.39"/>
    <x v="0"/>
    <x v="31"/>
    <s v="Female"/>
    <n v="65.3"/>
    <n v="155.80000000000001"/>
    <n v="25.6"/>
    <n v="15"/>
    <s v="IL"/>
    <n v="3"/>
    <n v="2157.4"/>
    <s v="High"/>
    <n v="1"/>
    <s v="Park Hopper"/>
    <n v="1"/>
    <n v="0"/>
    <s v="Hotel Guest Entrance"/>
    <s v="Pixar Pals"/>
    <n v="9.1999999999999993"/>
    <n v="8"/>
    <x v="4065"/>
  </r>
  <r>
    <n v="4421"/>
    <n v="1449"/>
    <d v="2026-01-04T00:00:00"/>
    <s v="Sunday"/>
    <n v="1"/>
    <n v="11.69"/>
    <x v="1"/>
    <x v="26"/>
    <s v="Female"/>
    <n v="68.5"/>
    <n v="198.4"/>
    <n v="29.6"/>
    <n v="14"/>
    <s v="AZ"/>
    <n v="3"/>
    <n v="377.6"/>
    <s v="Middle"/>
    <n v="0"/>
    <s v="Multi-Day"/>
    <n v="0"/>
    <n v="1"/>
    <s v="Main Entrance"/>
    <s v="None/Walked from Resort"/>
    <n v="10.9"/>
    <n v="11"/>
    <x v="4066"/>
  </r>
  <r>
    <n v="4422"/>
    <n v="1449"/>
    <d v="2026-01-04T00:00:00"/>
    <s v="Sunday"/>
    <n v="1"/>
    <n v="11.74"/>
    <x v="1"/>
    <x v="14"/>
    <s v="Male"/>
    <n v="69.400000000000006"/>
    <n v="197.8"/>
    <n v="29"/>
    <n v="13"/>
    <s v="AZ"/>
    <n v="3"/>
    <n v="377.6"/>
    <s v="Middle"/>
    <n v="0"/>
    <s v="Multi-Day"/>
    <n v="0"/>
    <n v="1"/>
    <s v="Main Entrance"/>
    <s v="None/Walked from Resort"/>
    <n v="9.1"/>
    <n v="10"/>
    <x v="4067"/>
  </r>
  <r>
    <n v="4423"/>
    <n v="1449"/>
    <d v="2026-01-04T00:00:00"/>
    <s v="Sunday"/>
    <n v="1"/>
    <n v="11.83"/>
    <x v="1"/>
    <x v="5"/>
    <s v="Female"/>
    <n v="62.7"/>
    <n v="189.3"/>
    <n v="33.700000000000003"/>
    <n v="17"/>
    <s v="AZ"/>
    <n v="3"/>
    <n v="377.6"/>
    <s v="Middle"/>
    <n v="0"/>
    <s v="Multi-Day"/>
    <n v="0"/>
    <n v="1"/>
    <s v="Main Entrance"/>
    <s v="None/Walked from Resort"/>
    <n v="9.1"/>
    <n v="8"/>
    <x v="4068"/>
  </r>
  <r>
    <n v="4424"/>
    <n v="1450"/>
    <d v="2026-05-29T00:00:00"/>
    <s v="Friday"/>
    <n v="5"/>
    <n v="12.68"/>
    <x v="1"/>
    <x v="48"/>
    <s v="Male"/>
    <n v="67.900000000000006"/>
    <n v="156.30000000000001"/>
    <n v="23.8"/>
    <n v="12"/>
    <s v="CA"/>
    <n v="1"/>
    <n v="19.600000000000001"/>
    <s v="Middle"/>
    <n v="0"/>
    <s v="Single-Day"/>
    <n v="0"/>
    <n v="0"/>
    <s v="Main Entrance"/>
    <s v="Pixar Pals"/>
    <n v="9.8000000000000007"/>
    <n v="2"/>
    <x v="4069"/>
  </r>
  <r>
    <n v="4425"/>
    <n v="1451"/>
    <d v="2026-04-18T00:00:00"/>
    <s v="Saturday"/>
    <n v="4"/>
    <n v="9.91"/>
    <x v="0"/>
    <x v="6"/>
    <s v="Female"/>
    <n v="65"/>
    <n v="146.69999999999999"/>
    <n v="24.3"/>
    <n v="13"/>
    <s v="AZ"/>
    <n v="3"/>
    <n v="423.6"/>
    <s v="Middle"/>
    <n v="0"/>
    <s v="Single-Day"/>
    <n v="0"/>
    <n v="0"/>
    <s v="Main Entrance"/>
    <s v="None/Dropoff/Transit"/>
    <n v="7.5"/>
    <n v="10"/>
    <x v="4070"/>
  </r>
  <r>
    <n v="4426"/>
    <n v="1451"/>
    <d v="2026-04-18T00:00:00"/>
    <s v="Saturday"/>
    <n v="4"/>
    <n v="9.91"/>
    <x v="0"/>
    <x v="22"/>
    <s v="Male"/>
    <n v="63.7"/>
    <n v="122"/>
    <n v="21.1"/>
    <n v="11"/>
    <s v="AZ"/>
    <n v="3"/>
    <n v="423.6"/>
    <s v="Middle"/>
    <n v="0"/>
    <s v="Single-Day"/>
    <n v="0"/>
    <n v="0"/>
    <s v="Main Entrance"/>
    <s v="None/Dropoff/Transit"/>
    <n v="4.7"/>
    <n v="7"/>
    <x v="4071"/>
  </r>
  <r>
    <n v="4427"/>
    <n v="1451"/>
    <d v="2026-04-18T00:00:00"/>
    <s v="Saturday"/>
    <n v="4"/>
    <n v="9.77"/>
    <x v="0"/>
    <x v="49"/>
    <s v="Female"/>
    <n v="68"/>
    <n v="180.9"/>
    <n v="27.4"/>
    <n v="14"/>
    <s v="AZ"/>
    <n v="3"/>
    <n v="423.6"/>
    <s v="Middle"/>
    <n v="0"/>
    <s v="Single-Day"/>
    <n v="0"/>
    <n v="0"/>
    <s v="Main Entrance"/>
    <s v="None/Dropoff/Transit"/>
    <n v="8.1"/>
    <n v="7"/>
    <x v="4072"/>
  </r>
  <r>
    <n v="4428"/>
    <n v="1452"/>
    <d v="2026-07-26T00:00:00"/>
    <s v="Sunday"/>
    <n v="7"/>
    <n v="12.42"/>
    <x v="1"/>
    <x v="60"/>
    <s v="Female"/>
    <n v="65"/>
    <n v="121"/>
    <n v="20.2"/>
    <n v="14"/>
    <s v="CA"/>
    <n v="4"/>
    <n v="8.1999999999999993"/>
    <s v="High"/>
    <n v="1"/>
    <s v="Park Hopper"/>
    <n v="1"/>
    <n v="0"/>
    <s v="Main Entrance"/>
    <s v="Pixar Pals"/>
    <n v="9.1"/>
    <n v="12"/>
    <x v="4073"/>
  </r>
  <r>
    <n v="4429"/>
    <n v="1452"/>
    <d v="2026-07-26T00:00:00"/>
    <s v="Sunday"/>
    <n v="7"/>
    <n v="12.38"/>
    <x v="1"/>
    <x v="36"/>
    <s v="Male"/>
    <n v="71.3"/>
    <n v="185.7"/>
    <n v="25.5"/>
    <n v="19"/>
    <s v="CA"/>
    <n v="4"/>
    <n v="8.1999999999999993"/>
    <s v="High"/>
    <n v="1"/>
    <s v="Park Hopper"/>
    <n v="1"/>
    <n v="0"/>
    <s v="Main Entrance"/>
    <s v="Pixar Pals"/>
    <n v="7.3"/>
    <n v="6"/>
    <x v="511"/>
  </r>
  <r>
    <n v="4430"/>
    <n v="1452"/>
    <d v="2026-07-26T00:00:00"/>
    <s v="Sunday"/>
    <n v="7"/>
    <n v="12.33"/>
    <x v="1"/>
    <x v="3"/>
    <s v="Female"/>
    <n v="67.099999999999994"/>
    <n v="147.19999999999999"/>
    <n v="23.2"/>
    <n v="18"/>
    <s v="CA"/>
    <n v="4"/>
    <n v="8.1999999999999993"/>
    <s v="High"/>
    <n v="1"/>
    <s v="Park Hopper"/>
    <n v="1"/>
    <n v="0"/>
    <s v="Main Entrance"/>
    <s v="Pixar Pals"/>
    <n v="8.1"/>
    <n v="11"/>
    <x v="4074"/>
  </r>
  <r>
    <n v="4431"/>
    <n v="1452"/>
    <d v="2026-07-26T00:00:00"/>
    <s v="Sunday"/>
    <n v="7"/>
    <n v="12.57"/>
    <x v="1"/>
    <x v="44"/>
    <s v="Male"/>
    <n v="70.400000000000006"/>
    <n v="152.9"/>
    <n v="21.8"/>
    <n v="17"/>
    <s v="CA"/>
    <n v="4"/>
    <n v="8.1999999999999993"/>
    <s v="High"/>
    <n v="1"/>
    <s v="Park Hopper"/>
    <n v="1"/>
    <n v="0"/>
    <s v="Main Entrance"/>
    <s v="Pixar Pals"/>
    <n v="7.9"/>
    <n v="9"/>
    <x v="4075"/>
  </r>
  <r>
    <n v="4432"/>
    <n v="1453"/>
    <d v="2026-12-03T00:00:00"/>
    <s v="Thursday"/>
    <n v="12"/>
    <n v="10.050000000000001"/>
    <x v="0"/>
    <x v="61"/>
    <s v="Male"/>
    <n v="70"/>
    <n v="160.80000000000001"/>
    <n v="22.9"/>
    <n v="12"/>
    <s v="CA"/>
    <n v="3"/>
    <n v="108.1"/>
    <s v="Middle"/>
    <n v="0"/>
    <s v="Multi-Day"/>
    <n v="1"/>
    <n v="0"/>
    <s v="Main Entrance"/>
    <s v="Toy Story Lot"/>
    <n v="7.3"/>
    <n v="7"/>
    <x v="4076"/>
  </r>
  <r>
    <n v="4433"/>
    <n v="1453"/>
    <d v="2026-12-03T00:00:00"/>
    <s v="Thursday"/>
    <n v="12"/>
    <n v="9.81"/>
    <x v="0"/>
    <x v="4"/>
    <s v="Female"/>
    <n v="62.4"/>
    <n v="107.4"/>
    <n v="19.399999999999999"/>
    <n v="14"/>
    <s v="CA"/>
    <n v="3"/>
    <n v="108.1"/>
    <s v="Middle"/>
    <n v="0"/>
    <s v="Multi-Day"/>
    <n v="1"/>
    <n v="0"/>
    <s v="Main Entrance"/>
    <s v="Toy Story Lot"/>
    <n v="7.7"/>
    <n v="12"/>
    <x v="4077"/>
  </r>
  <r>
    <n v="4434"/>
    <n v="1453"/>
    <d v="2026-12-03T00:00:00"/>
    <s v="Thursday"/>
    <n v="12"/>
    <n v="9.7899999999999991"/>
    <x v="0"/>
    <x v="51"/>
    <s v="Male"/>
    <n v="69.5"/>
    <n v="192.9"/>
    <n v="28.2"/>
    <n v="15"/>
    <s v="CA"/>
    <n v="3"/>
    <n v="108.1"/>
    <s v="Middle"/>
    <n v="0"/>
    <s v="Multi-Day"/>
    <n v="1"/>
    <n v="0"/>
    <s v="Main Entrance"/>
    <s v="Toy Story Lot"/>
    <n v="9.1999999999999993"/>
    <n v="10"/>
    <x v="4078"/>
  </r>
  <r>
    <n v="4435"/>
    <n v="1454"/>
    <d v="2026-05-24T00:00:00"/>
    <s v="Sunday"/>
    <n v="5"/>
    <n v="10.98"/>
    <x v="0"/>
    <x v="48"/>
    <s v="Male"/>
    <n v="64.5"/>
    <n v="168.2"/>
    <n v="28.6"/>
    <n v="18"/>
    <s v="NY"/>
    <n v="2"/>
    <n v="3478.7"/>
    <s v="Middle"/>
    <n v="0"/>
    <s v="Single-Day"/>
    <n v="0"/>
    <n v="1"/>
    <s v="Main Entrance"/>
    <s v="None/Walked from Resort"/>
    <n v="9.6999999999999993"/>
    <n v="7"/>
    <x v="4079"/>
  </r>
  <r>
    <n v="4436"/>
    <n v="1454"/>
    <d v="2026-05-24T00:00:00"/>
    <s v="Sunday"/>
    <n v="5"/>
    <n v="11.01"/>
    <x v="1"/>
    <x v="53"/>
    <s v="Male"/>
    <n v="60.9"/>
    <n v="116.7"/>
    <n v="21.9"/>
    <n v="11"/>
    <s v="NY"/>
    <n v="2"/>
    <n v="3478.7"/>
    <s v="Middle"/>
    <n v="0"/>
    <s v="Single-Day"/>
    <n v="0"/>
    <n v="1"/>
    <s v="Main Entrance"/>
    <s v="None/Walked from Resort"/>
    <n v="9.1"/>
    <n v="9"/>
    <x v="4080"/>
  </r>
  <r>
    <n v="4437"/>
    <n v="1455"/>
    <d v="2026-09-11T00:00:00"/>
    <s v="Friday"/>
    <n v="9"/>
    <n v="11.27"/>
    <x v="1"/>
    <x v="72"/>
    <s v="Female"/>
    <n v="68.2"/>
    <n v="137.4"/>
    <n v="21.3"/>
    <n v="15"/>
    <s v="CA"/>
    <n v="1"/>
    <n v="27"/>
    <s v="Low"/>
    <n v="0"/>
    <s v="Park Hopper"/>
    <n v="0"/>
    <n v="0"/>
    <s v="Main Entrance"/>
    <s v="Pixar Pals"/>
    <n v="7.7"/>
    <n v="11"/>
    <x v="3316"/>
  </r>
  <r>
    <n v="4438"/>
    <n v="1456"/>
    <d v="2026-04-19T00:00:00"/>
    <s v="Sunday"/>
    <n v="4"/>
    <n v="11.01"/>
    <x v="1"/>
    <x v="54"/>
    <s v="Female"/>
    <n v="62.4"/>
    <n v="141.4"/>
    <n v="25.6"/>
    <n v="14"/>
    <s v="Other"/>
    <n v="4"/>
    <n v="1305.2"/>
    <s v="Middle"/>
    <n v="0"/>
    <s v="Single-Day"/>
    <n v="0"/>
    <n v="1"/>
    <s v="Main Entrance"/>
    <s v="Toy Story Lot"/>
    <n v="9.8000000000000007"/>
    <n v="9"/>
    <x v="2841"/>
  </r>
  <r>
    <n v="4439"/>
    <n v="1456"/>
    <d v="2026-04-19T00:00:00"/>
    <s v="Sunday"/>
    <n v="4"/>
    <n v="10.81"/>
    <x v="0"/>
    <x v="38"/>
    <s v="Female"/>
    <n v="61.7"/>
    <n v="141.4"/>
    <n v="26"/>
    <n v="10"/>
    <s v="Other"/>
    <n v="4"/>
    <n v="1305.2"/>
    <s v="Middle"/>
    <n v="0"/>
    <s v="Single-Day"/>
    <n v="0"/>
    <n v="1"/>
    <s v="Main Entrance"/>
    <s v="Toy Story Lot"/>
    <n v="10.8"/>
    <n v="5"/>
    <x v="4081"/>
  </r>
  <r>
    <n v="4440"/>
    <n v="1456"/>
    <d v="2026-04-19T00:00:00"/>
    <s v="Sunday"/>
    <n v="4"/>
    <n v="10.81"/>
    <x v="0"/>
    <x v="6"/>
    <s v="Female"/>
    <n v="64.400000000000006"/>
    <n v="92.3"/>
    <n v="15.5"/>
    <n v="14"/>
    <s v="Other"/>
    <n v="4"/>
    <n v="1305.2"/>
    <s v="Middle"/>
    <n v="0"/>
    <s v="Single-Day"/>
    <n v="0"/>
    <n v="1"/>
    <s v="Main Entrance"/>
    <s v="Toy Story Lot"/>
    <n v="7.2"/>
    <n v="7"/>
    <x v="4082"/>
  </r>
  <r>
    <n v="4441"/>
    <n v="1456"/>
    <d v="2026-04-19T00:00:00"/>
    <s v="Sunday"/>
    <n v="4"/>
    <n v="10.92"/>
    <x v="0"/>
    <x v="69"/>
    <s v="Male"/>
    <n v="70"/>
    <n v="207.3"/>
    <n v="29.7"/>
    <n v="13"/>
    <s v="Other"/>
    <n v="4"/>
    <n v="1305.2"/>
    <s v="Middle"/>
    <n v="0"/>
    <s v="Single-Day"/>
    <n v="0"/>
    <n v="1"/>
    <s v="Main Entrance"/>
    <s v="Toy Story Lot"/>
    <n v="6.5"/>
    <n v="1"/>
    <x v="1223"/>
  </r>
  <r>
    <n v="4442"/>
    <n v="1457"/>
    <d v="2026-01-02T00:00:00"/>
    <s v="Friday"/>
    <n v="1"/>
    <n v="7.6"/>
    <x v="0"/>
    <x v="75"/>
    <s v="Female"/>
    <n v="60.4"/>
    <n v="131.30000000000001"/>
    <n v="25.2"/>
    <n v="14"/>
    <s v="CA"/>
    <n v="4"/>
    <n v="133.30000000000001"/>
    <s v="Low"/>
    <n v="0"/>
    <s v="Single-Day"/>
    <n v="0"/>
    <n v="0"/>
    <s v="Main Entrance"/>
    <s v="Toy Story Lot"/>
    <n v="9.3000000000000007"/>
    <n v="7"/>
    <x v="4083"/>
  </r>
  <r>
    <n v="4443"/>
    <n v="1457"/>
    <d v="2026-01-02T00:00:00"/>
    <s v="Friday"/>
    <n v="1"/>
    <n v="7.62"/>
    <x v="0"/>
    <x v="11"/>
    <s v="Male"/>
    <n v="70.3"/>
    <n v="191.8"/>
    <n v="27.4"/>
    <n v="13"/>
    <s v="CA"/>
    <n v="4"/>
    <n v="133.30000000000001"/>
    <s v="Low"/>
    <n v="0"/>
    <s v="Single-Day"/>
    <n v="0"/>
    <n v="0"/>
    <s v="Main Entrance"/>
    <s v="Toy Story Lot"/>
    <n v="7.8"/>
    <n v="6"/>
    <x v="4084"/>
  </r>
  <r>
    <n v="4444"/>
    <n v="1457"/>
    <d v="2026-01-02T00:00:00"/>
    <s v="Friday"/>
    <n v="1"/>
    <n v="7.52"/>
    <x v="0"/>
    <x v="42"/>
    <s v="Female"/>
    <n v="62.4"/>
    <n v="151.6"/>
    <n v="27.5"/>
    <n v="15"/>
    <s v="CA"/>
    <n v="4"/>
    <n v="133.30000000000001"/>
    <s v="Low"/>
    <n v="0"/>
    <s v="Single-Day"/>
    <n v="0"/>
    <n v="0"/>
    <s v="Main Entrance"/>
    <s v="Toy Story Lot"/>
    <n v="10.1"/>
    <n v="10"/>
    <x v="4085"/>
  </r>
  <r>
    <n v="4445"/>
    <n v="1457"/>
    <d v="2026-01-02T00:00:00"/>
    <s v="Friday"/>
    <n v="1"/>
    <n v="7.61"/>
    <x v="0"/>
    <x v="13"/>
    <s v="Female"/>
    <n v="60"/>
    <n v="150.1"/>
    <n v="29.4"/>
    <n v="14"/>
    <s v="CA"/>
    <n v="4"/>
    <n v="133.30000000000001"/>
    <s v="Low"/>
    <n v="0"/>
    <s v="Single-Day"/>
    <n v="0"/>
    <n v="0"/>
    <s v="Main Entrance"/>
    <s v="Toy Story Lot"/>
    <n v="12.8"/>
    <n v="12"/>
    <x v="4086"/>
  </r>
  <r>
    <n v="4446"/>
    <n v="1458"/>
    <d v="2026-11-23T00:00:00"/>
    <s v="Monday"/>
    <n v="11"/>
    <n v="11.81"/>
    <x v="1"/>
    <x v="36"/>
    <s v="Female"/>
    <n v="63.9"/>
    <n v="157.1"/>
    <n v="27.4"/>
    <n v="14"/>
    <s v="CA"/>
    <n v="5"/>
    <n v="230"/>
    <s v="Middle"/>
    <n v="0"/>
    <s v="Multi-Day"/>
    <n v="1"/>
    <n v="0"/>
    <s v="Main Entrance"/>
    <s v="Mickey &amp; Friends"/>
    <n v="7.7"/>
    <n v="5"/>
    <x v="4087"/>
  </r>
  <r>
    <n v="4447"/>
    <n v="1458"/>
    <d v="2026-11-23T00:00:00"/>
    <s v="Monday"/>
    <n v="11"/>
    <n v="11.59"/>
    <x v="1"/>
    <x v="58"/>
    <s v="Female"/>
    <n v="67.3"/>
    <n v="133.19999999999999"/>
    <n v="20.7"/>
    <n v="15"/>
    <s v="CA"/>
    <n v="5"/>
    <n v="230"/>
    <s v="Middle"/>
    <n v="0"/>
    <s v="Multi-Day"/>
    <n v="1"/>
    <n v="0"/>
    <s v="Main Entrance"/>
    <s v="Mickey &amp; Friends"/>
    <n v="8.5"/>
    <n v="6"/>
    <x v="4088"/>
  </r>
  <r>
    <n v="4448"/>
    <n v="1458"/>
    <d v="2026-11-23T00:00:00"/>
    <s v="Monday"/>
    <n v="11"/>
    <n v="11.68"/>
    <x v="1"/>
    <x v="35"/>
    <s v="Male"/>
    <n v="70.8"/>
    <n v="166.8"/>
    <n v="23.5"/>
    <n v="13"/>
    <s v="CA"/>
    <n v="5"/>
    <n v="230"/>
    <s v="Middle"/>
    <n v="0"/>
    <s v="Multi-Day"/>
    <n v="1"/>
    <n v="0"/>
    <s v="Main Entrance"/>
    <s v="Mickey &amp; Friends"/>
    <n v="7.6"/>
    <n v="8"/>
    <x v="4089"/>
  </r>
  <r>
    <n v="4449"/>
    <n v="1458"/>
    <d v="2026-11-23T00:00:00"/>
    <s v="Monday"/>
    <n v="11"/>
    <n v="11.7"/>
    <x v="1"/>
    <x v="47"/>
    <s v="Female"/>
    <n v="66.599999999999994"/>
    <n v="137.80000000000001"/>
    <n v="21.8"/>
    <n v="16"/>
    <s v="CA"/>
    <n v="5"/>
    <n v="230"/>
    <s v="Middle"/>
    <n v="0"/>
    <s v="Multi-Day"/>
    <n v="1"/>
    <n v="0"/>
    <s v="Main Entrance"/>
    <s v="Mickey &amp; Friends"/>
    <n v="8.3000000000000007"/>
    <n v="3"/>
    <x v="4090"/>
  </r>
  <r>
    <n v="4450"/>
    <n v="1458"/>
    <d v="2026-11-23T00:00:00"/>
    <s v="Monday"/>
    <n v="11"/>
    <n v="11.93"/>
    <x v="1"/>
    <x v="43"/>
    <s v="Female"/>
    <n v="66.400000000000006"/>
    <n v="217.5"/>
    <n v="34.700000000000003"/>
    <n v="17"/>
    <s v="CA"/>
    <n v="5"/>
    <n v="230"/>
    <s v="Middle"/>
    <n v="0"/>
    <s v="Multi-Day"/>
    <n v="1"/>
    <n v="0"/>
    <s v="Main Entrance"/>
    <s v="Mickey &amp; Friends"/>
    <n v="7.9"/>
    <n v="9"/>
    <x v="4091"/>
  </r>
  <r>
    <n v="4451"/>
    <n v="1459"/>
    <d v="2026-12-31T00:00:00"/>
    <s v="Thursday"/>
    <n v="12"/>
    <n v="13.21"/>
    <x v="1"/>
    <x v="40"/>
    <s v="Male"/>
    <n v="59.2"/>
    <n v="89.6"/>
    <n v="18.100000000000001"/>
    <n v="15"/>
    <s v="WA"/>
    <n v="4"/>
    <n v="1157.0999999999999"/>
    <s v="Low"/>
    <n v="1"/>
    <s v="Single-Day"/>
    <n v="0"/>
    <n v="0"/>
    <s v="Main Entrance"/>
    <s v="Pixar Pals"/>
    <n v="7.3"/>
    <n v="11"/>
    <x v="4092"/>
  </r>
  <r>
    <n v="4452"/>
    <n v="1459"/>
    <d v="2026-12-31T00:00:00"/>
    <s v="Thursday"/>
    <n v="12"/>
    <n v="13.36"/>
    <x v="1"/>
    <x v="69"/>
    <s v="Male"/>
    <n v="65.5"/>
    <n v="150.1"/>
    <n v="24.7"/>
    <n v="14"/>
    <s v="WA"/>
    <n v="4"/>
    <n v="1157.0999999999999"/>
    <s v="Low"/>
    <n v="1"/>
    <s v="Single-Day"/>
    <n v="0"/>
    <n v="0"/>
    <s v="Main Entrance"/>
    <s v="Pixar Pals"/>
    <n v="5.9"/>
    <n v="2"/>
    <x v="4093"/>
  </r>
  <r>
    <n v="4453"/>
    <n v="1459"/>
    <d v="2026-12-31T00:00:00"/>
    <s v="Thursday"/>
    <n v="12"/>
    <n v="13.47"/>
    <x v="1"/>
    <x v="23"/>
    <s v="Female"/>
    <n v="63"/>
    <n v="110"/>
    <n v="19.2"/>
    <n v="17"/>
    <s v="WA"/>
    <n v="4"/>
    <n v="1157.0999999999999"/>
    <s v="Low"/>
    <n v="1"/>
    <s v="Single-Day"/>
    <n v="0"/>
    <n v="0"/>
    <s v="Main Entrance"/>
    <s v="Pixar Pals"/>
    <n v="8.3000000000000007"/>
    <n v="5"/>
    <x v="4094"/>
  </r>
  <r>
    <n v="4454"/>
    <n v="1459"/>
    <d v="2026-12-31T00:00:00"/>
    <s v="Thursday"/>
    <n v="12"/>
    <n v="13.5"/>
    <x v="1"/>
    <x v="0"/>
    <s v="Female"/>
    <n v="62.2"/>
    <n v="148.6"/>
    <n v="27"/>
    <n v="15"/>
    <s v="WA"/>
    <n v="4"/>
    <n v="1157.0999999999999"/>
    <s v="Low"/>
    <n v="1"/>
    <s v="Single-Day"/>
    <n v="0"/>
    <n v="0"/>
    <s v="Main Entrance"/>
    <s v="Pixar Pals"/>
    <n v="6.5"/>
    <n v="11"/>
    <x v="4095"/>
  </r>
  <r>
    <n v="4455"/>
    <n v="1460"/>
    <d v="2026-07-11T00:00:00"/>
    <s v="Saturday"/>
    <n v="7"/>
    <n v="11.61"/>
    <x v="1"/>
    <x v="42"/>
    <s v="Male"/>
    <n v="69.5"/>
    <n v="156"/>
    <n v="22.6"/>
    <n v="16"/>
    <s v="CA"/>
    <n v="4"/>
    <n v="6.2"/>
    <s v="High"/>
    <n v="0"/>
    <s v="Multi-Day"/>
    <n v="1"/>
    <n v="0"/>
    <s v="Main Entrance"/>
    <s v="None/Dropoff/Transit"/>
    <n v="7.3"/>
    <n v="11"/>
    <x v="4096"/>
  </r>
  <r>
    <n v="4456"/>
    <n v="1460"/>
    <d v="2026-07-11T00:00:00"/>
    <s v="Saturday"/>
    <n v="7"/>
    <n v="11.47"/>
    <x v="1"/>
    <x v="43"/>
    <s v="Male"/>
    <n v="67.7"/>
    <n v="173.5"/>
    <n v="26.8"/>
    <n v="17"/>
    <s v="CA"/>
    <n v="4"/>
    <n v="6.2"/>
    <s v="High"/>
    <n v="0"/>
    <s v="Multi-Day"/>
    <n v="1"/>
    <n v="0"/>
    <s v="Main Entrance"/>
    <s v="None/Dropoff/Transit"/>
    <n v="9"/>
    <n v="7"/>
    <x v="4097"/>
  </r>
  <r>
    <n v="4457"/>
    <n v="1460"/>
    <d v="2026-07-11T00:00:00"/>
    <s v="Saturday"/>
    <n v="7"/>
    <n v="11.58"/>
    <x v="1"/>
    <x v="9"/>
    <s v="Male"/>
    <n v="70.099999999999994"/>
    <n v="129.6"/>
    <n v="18.3"/>
    <n v="20"/>
    <s v="CA"/>
    <n v="4"/>
    <n v="6.2"/>
    <s v="High"/>
    <n v="0"/>
    <s v="Multi-Day"/>
    <n v="1"/>
    <n v="0"/>
    <s v="Main Entrance"/>
    <s v="None/Dropoff/Transit"/>
    <n v="5.4"/>
    <n v="9"/>
    <x v="4098"/>
  </r>
  <r>
    <n v="4458"/>
    <n v="1460"/>
    <d v="2026-07-11T00:00:00"/>
    <s v="Saturday"/>
    <n v="7"/>
    <n v="11.59"/>
    <x v="1"/>
    <x v="54"/>
    <s v="Female"/>
    <n v="59.5"/>
    <n v="136.9"/>
    <n v="27.2"/>
    <n v="16"/>
    <s v="CA"/>
    <n v="4"/>
    <n v="6.2"/>
    <s v="High"/>
    <n v="0"/>
    <s v="Multi-Day"/>
    <n v="1"/>
    <n v="0"/>
    <s v="Main Entrance"/>
    <s v="None/Dropoff/Transit"/>
    <n v="8.8000000000000007"/>
    <n v="3"/>
    <x v="4099"/>
  </r>
  <r>
    <n v="4459"/>
    <n v="1461"/>
    <d v="2026-12-30T00:00:00"/>
    <s v="Wednesday"/>
    <n v="12"/>
    <n v="10.99"/>
    <x v="0"/>
    <x v="9"/>
    <s v="Female"/>
    <n v="64.099999999999994"/>
    <n v="146.9"/>
    <n v="24.9"/>
    <n v="13"/>
    <s v="TX"/>
    <n v="3"/>
    <n v="1674.3"/>
    <s v="Low"/>
    <n v="1"/>
    <s v="Multi-Day"/>
    <n v="0"/>
    <n v="0"/>
    <s v="Downtown Disney Gate"/>
    <s v="Mickey &amp; Friends"/>
    <n v="6.2"/>
    <n v="8"/>
    <x v="4100"/>
  </r>
  <r>
    <n v="4460"/>
    <n v="1461"/>
    <d v="2026-12-30T00:00:00"/>
    <s v="Wednesday"/>
    <n v="12"/>
    <n v="10.89"/>
    <x v="0"/>
    <x v="53"/>
    <s v="Male"/>
    <n v="55.1"/>
    <n v="83.9"/>
    <n v="19.5"/>
    <n v="13"/>
    <s v="TX"/>
    <n v="3"/>
    <n v="1674.3"/>
    <s v="Low"/>
    <n v="1"/>
    <s v="Multi-Day"/>
    <n v="0"/>
    <n v="0"/>
    <s v="Downtown Disney Gate"/>
    <s v="Mickey &amp; Friends"/>
    <n v="10.4"/>
    <n v="12"/>
    <x v="4101"/>
  </r>
  <r>
    <n v="4461"/>
    <n v="1461"/>
    <d v="2026-12-30T00:00:00"/>
    <s v="Wednesday"/>
    <n v="12"/>
    <n v="10.81"/>
    <x v="0"/>
    <x v="60"/>
    <s v="Female"/>
    <n v="70"/>
    <n v="112"/>
    <n v="16"/>
    <n v="12"/>
    <s v="TX"/>
    <n v="3"/>
    <n v="1674.3"/>
    <s v="Low"/>
    <n v="1"/>
    <s v="Multi-Day"/>
    <n v="0"/>
    <n v="0"/>
    <s v="Downtown Disney Gate"/>
    <s v="Mickey &amp; Friends"/>
    <n v="9.4"/>
    <n v="13"/>
    <x v="2838"/>
  </r>
  <r>
    <n v="4462"/>
    <n v="1462"/>
    <d v="2026-02-12T00:00:00"/>
    <s v="Thursday"/>
    <n v="2"/>
    <n v="12.14"/>
    <x v="1"/>
    <x v="55"/>
    <s v="Female"/>
    <n v="63.2"/>
    <n v="101.1"/>
    <n v="18.100000000000001"/>
    <n v="15"/>
    <s v="IA"/>
    <n v="2"/>
    <n v="2350.5"/>
    <s v="Middle"/>
    <n v="1"/>
    <s v="Single-Day"/>
    <n v="0"/>
    <n v="0"/>
    <s v="Main Entrance"/>
    <s v="Toy Story Lot"/>
    <n v="9.5"/>
    <n v="11"/>
    <x v="4102"/>
  </r>
  <r>
    <n v="4463"/>
    <n v="1462"/>
    <d v="2026-02-12T00:00:00"/>
    <s v="Thursday"/>
    <n v="2"/>
    <n v="12.13"/>
    <x v="1"/>
    <x v="48"/>
    <s v="Male"/>
    <n v="68.3"/>
    <n v="165.4"/>
    <n v="25"/>
    <n v="16"/>
    <s v="IA"/>
    <n v="2"/>
    <n v="2350.5"/>
    <s v="Middle"/>
    <n v="1"/>
    <s v="Single-Day"/>
    <n v="0"/>
    <n v="0"/>
    <s v="Main Entrance"/>
    <s v="Toy Story Lot"/>
    <n v="8.6999999999999993"/>
    <n v="11"/>
    <x v="4103"/>
  </r>
  <r>
    <n v="4464"/>
    <n v="1463"/>
    <d v="2026-01-26T00:00:00"/>
    <s v="Monday"/>
    <n v="1"/>
    <n v="7.04"/>
    <x v="0"/>
    <x v="49"/>
    <s v="Male"/>
    <n v="64.599999999999994"/>
    <n v="160.6"/>
    <n v="27.1"/>
    <n v="16"/>
    <s v="CA"/>
    <n v="1"/>
    <n v="32.5"/>
    <s v="High"/>
    <n v="0"/>
    <s v="Multi-Day"/>
    <n v="0"/>
    <n v="0"/>
    <s v="Main Entrance"/>
    <s v="Pixar Pals"/>
    <n v="11.3"/>
    <n v="13"/>
    <x v="4104"/>
  </r>
  <r>
    <n v="4465"/>
    <n v="1464"/>
    <d v="2026-04-15T00:00:00"/>
    <s v="Wednesday"/>
    <n v="4"/>
    <n v="10.8"/>
    <x v="0"/>
    <x v="47"/>
    <s v="Male"/>
    <n v="72.7"/>
    <n v="220.4"/>
    <n v="29.4"/>
    <n v="20"/>
    <s v="NV"/>
    <n v="2"/>
    <n v="265.7"/>
    <s v="Middle"/>
    <n v="1"/>
    <s v="Multi-Day"/>
    <n v="0"/>
    <n v="0"/>
    <s v="Downtown Disney Gate"/>
    <s v="Toy Story Lot"/>
    <n v="8.1999999999999993"/>
    <n v="11"/>
    <x v="4105"/>
  </r>
  <r>
    <n v="4466"/>
    <n v="1464"/>
    <d v="2026-04-15T00:00:00"/>
    <s v="Wednesday"/>
    <n v="4"/>
    <n v="10.91"/>
    <x v="0"/>
    <x v="36"/>
    <s v="Female"/>
    <n v="65.3"/>
    <n v="156.6"/>
    <n v="25.6"/>
    <n v="13"/>
    <s v="NV"/>
    <n v="2"/>
    <n v="265.7"/>
    <s v="Middle"/>
    <n v="1"/>
    <s v="Multi-Day"/>
    <n v="0"/>
    <n v="0"/>
    <s v="Downtown Disney Gate"/>
    <s v="Toy Story Lot"/>
    <n v="6.9"/>
    <n v="5"/>
    <x v="4106"/>
  </r>
  <r>
    <n v="4467"/>
    <n v="1465"/>
    <d v="2026-02-20T00:00:00"/>
    <s v="Friday"/>
    <n v="2"/>
    <n v="9.42"/>
    <x v="0"/>
    <x v="69"/>
    <s v="Male"/>
    <n v="67.400000000000006"/>
    <n v="97.7"/>
    <n v="14.9"/>
    <n v="17"/>
    <s v="AZ"/>
    <n v="4"/>
    <n v="392.6"/>
    <s v="Low"/>
    <n v="1"/>
    <s v="Single-Day"/>
    <n v="0"/>
    <n v="0"/>
    <s v="Main Entrance"/>
    <s v="Toy Story Lot"/>
    <n v="10.6"/>
    <n v="6"/>
    <x v="4107"/>
  </r>
  <r>
    <n v="4468"/>
    <n v="1465"/>
    <d v="2026-02-20T00:00:00"/>
    <s v="Friday"/>
    <n v="2"/>
    <n v="9.48"/>
    <x v="0"/>
    <x v="12"/>
    <s v="Female"/>
    <n v="58.6"/>
    <n v="78.900000000000006"/>
    <n v="15.9"/>
    <n v="6"/>
    <s v="AZ"/>
    <n v="4"/>
    <n v="392.6"/>
    <s v="Low"/>
    <n v="1"/>
    <s v="Single-Day"/>
    <n v="0"/>
    <n v="0"/>
    <s v="Main Entrance"/>
    <s v="Toy Story Lot"/>
    <n v="7.9"/>
    <n v="6"/>
    <x v="4108"/>
  </r>
  <r>
    <n v="4469"/>
    <n v="1465"/>
    <d v="2026-02-20T00:00:00"/>
    <s v="Friday"/>
    <n v="2"/>
    <n v="9.52"/>
    <x v="0"/>
    <x v="44"/>
    <s v="Male"/>
    <n v="70.8"/>
    <n v="199.5"/>
    <n v="27.8"/>
    <n v="7"/>
    <s v="AZ"/>
    <n v="4"/>
    <n v="392.6"/>
    <s v="Low"/>
    <n v="1"/>
    <s v="Single-Day"/>
    <n v="0"/>
    <n v="0"/>
    <s v="Main Entrance"/>
    <s v="Toy Story Lot"/>
    <n v="8.8000000000000007"/>
    <n v="10"/>
    <x v="4109"/>
  </r>
  <r>
    <n v="4470"/>
    <n v="1465"/>
    <d v="2026-02-20T00:00:00"/>
    <s v="Friday"/>
    <n v="2"/>
    <n v="9.44"/>
    <x v="0"/>
    <x v="49"/>
    <s v="Male"/>
    <n v="68.3"/>
    <n v="136.69999999999999"/>
    <n v="20.5"/>
    <n v="9"/>
    <s v="AZ"/>
    <n v="4"/>
    <n v="392.6"/>
    <s v="Low"/>
    <n v="1"/>
    <s v="Single-Day"/>
    <n v="0"/>
    <n v="0"/>
    <s v="Main Entrance"/>
    <s v="Toy Story Lot"/>
    <n v="8.3000000000000007"/>
    <n v="5"/>
    <x v="4110"/>
  </r>
  <r>
    <n v="4471"/>
    <n v="1466"/>
    <d v="2026-09-15T00:00:00"/>
    <s v="Tuesday"/>
    <n v="9"/>
    <n v="9.7799999999999994"/>
    <x v="0"/>
    <x v="49"/>
    <s v="Female"/>
    <n v="61.6"/>
    <n v="142"/>
    <n v="26.3"/>
    <n v="14"/>
    <s v="CA"/>
    <n v="3"/>
    <n v="94"/>
    <s v="Low"/>
    <n v="1"/>
    <s v="Single-Day"/>
    <n v="0"/>
    <n v="0"/>
    <s v="Main Entrance"/>
    <s v="Pixar Pals"/>
    <n v="8.5"/>
    <n v="6"/>
    <x v="3632"/>
  </r>
  <r>
    <n v="4472"/>
    <n v="1466"/>
    <d v="2026-09-15T00:00:00"/>
    <s v="Tuesday"/>
    <n v="9"/>
    <n v="9.77"/>
    <x v="0"/>
    <x v="18"/>
    <s v="Female"/>
    <n v="65.900000000000006"/>
    <n v="252.6"/>
    <n v="40.4"/>
    <n v="16"/>
    <s v="CA"/>
    <n v="3"/>
    <n v="94"/>
    <s v="Low"/>
    <n v="1"/>
    <s v="Single-Day"/>
    <n v="0"/>
    <n v="0"/>
    <s v="Main Entrance"/>
    <s v="Pixar Pals"/>
    <n v="9.4"/>
    <n v="7"/>
    <x v="82"/>
  </r>
  <r>
    <n v="4473"/>
    <n v="1466"/>
    <d v="2026-09-15T00:00:00"/>
    <s v="Tuesday"/>
    <n v="9"/>
    <n v="9.82"/>
    <x v="0"/>
    <x v="2"/>
    <s v="Male"/>
    <n v="68.2"/>
    <n v="184.1"/>
    <n v="27.6"/>
    <n v="14"/>
    <s v="CA"/>
    <n v="3"/>
    <n v="94"/>
    <s v="Low"/>
    <n v="1"/>
    <s v="Single-Day"/>
    <n v="0"/>
    <n v="0"/>
    <s v="Main Entrance"/>
    <s v="Pixar Pals"/>
    <n v="9.6999999999999993"/>
    <n v="8"/>
    <x v="4111"/>
  </r>
  <r>
    <n v="4474"/>
    <n v="1467"/>
    <d v="2026-06-14T00:00:00"/>
    <s v="Sunday"/>
    <n v="6"/>
    <n v="9.36"/>
    <x v="0"/>
    <x v="71"/>
    <s v="Male"/>
    <n v="66.3"/>
    <n v="144"/>
    <n v="23.1"/>
    <n v="16"/>
    <s v="CA"/>
    <n v="2"/>
    <n v="80.400000000000006"/>
    <s v="High"/>
    <n v="0"/>
    <s v="Single-Day"/>
    <n v="0"/>
    <n v="0"/>
    <s v="Main Entrance"/>
    <s v="Pixar Pals"/>
    <n v="8.8000000000000007"/>
    <n v="6"/>
    <x v="4112"/>
  </r>
  <r>
    <n v="4475"/>
    <n v="1467"/>
    <d v="2026-06-14T00:00:00"/>
    <s v="Sunday"/>
    <n v="6"/>
    <n v="9.24"/>
    <x v="0"/>
    <x v="45"/>
    <s v="Female"/>
    <n v="61"/>
    <n v="159.1"/>
    <n v="29.8"/>
    <n v="18"/>
    <s v="CA"/>
    <n v="2"/>
    <n v="80.400000000000006"/>
    <s v="High"/>
    <n v="0"/>
    <s v="Single-Day"/>
    <n v="0"/>
    <n v="0"/>
    <s v="Main Entrance"/>
    <s v="Pixar Pals"/>
    <n v="7.5"/>
    <n v="6"/>
    <x v="4113"/>
  </r>
  <r>
    <n v="4476"/>
    <n v="1468"/>
    <d v="2026-11-14T00:00:00"/>
    <s v="Saturday"/>
    <n v="11"/>
    <n v="11.59"/>
    <x v="1"/>
    <x v="59"/>
    <s v="Female"/>
    <n v="63.5"/>
    <n v="172.3"/>
    <n v="30.1"/>
    <n v="13"/>
    <s v="CO"/>
    <n v="1"/>
    <n v="756.1"/>
    <s v="Middle"/>
    <n v="0"/>
    <s v="Single-Day"/>
    <n v="0"/>
    <n v="1"/>
    <s v="Main Entrance"/>
    <s v="None/Walked from Resort"/>
    <n v="9.3000000000000007"/>
    <n v="6"/>
    <x v="462"/>
  </r>
  <r>
    <n v="4477"/>
    <n v="1469"/>
    <d v="2026-08-13T00:00:00"/>
    <s v="Thursday"/>
    <n v="8"/>
    <n v="12.04"/>
    <x v="1"/>
    <x v="52"/>
    <s v="Male"/>
    <n v="71.2"/>
    <n v="212.4"/>
    <n v="29.3"/>
    <n v="17"/>
    <s v="NV"/>
    <n v="3"/>
    <n v="299.89999999999998"/>
    <s v="Middle"/>
    <n v="1"/>
    <s v="Park Hopper"/>
    <n v="1"/>
    <n v="0"/>
    <s v="Main Entrance"/>
    <s v="Mickey &amp; Friends"/>
    <n v="7"/>
    <n v="12"/>
    <x v="4114"/>
  </r>
  <r>
    <n v="4478"/>
    <n v="1469"/>
    <d v="2026-08-13T00:00:00"/>
    <s v="Thursday"/>
    <n v="8"/>
    <n v="12.39"/>
    <x v="1"/>
    <x v="22"/>
    <s v="Male"/>
    <n v="52.6"/>
    <n v="76.3"/>
    <n v="19.3"/>
    <n v="13"/>
    <s v="NV"/>
    <n v="3"/>
    <n v="299.89999999999998"/>
    <s v="Middle"/>
    <n v="1"/>
    <s v="Park Hopper"/>
    <n v="1"/>
    <n v="0"/>
    <s v="Main Entrance"/>
    <s v="Mickey &amp; Friends"/>
    <n v="10.9"/>
    <n v="15"/>
    <x v="4115"/>
  </r>
  <r>
    <n v="4479"/>
    <n v="1469"/>
    <d v="2026-08-13T00:00:00"/>
    <s v="Thursday"/>
    <n v="8"/>
    <n v="12.1"/>
    <x v="1"/>
    <x v="57"/>
    <s v="Female"/>
    <n v="63.5"/>
    <n v="180.1"/>
    <n v="31.4"/>
    <n v="19"/>
    <s v="NV"/>
    <n v="3"/>
    <n v="299.89999999999998"/>
    <s v="Middle"/>
    <n v="1"/>
    <s v="Park Hopper"/>
    <n v="1"/>
    <n v="0"/>
    <s v="Main Entrance"/>
    <s v="Mickey &amp; Friends"/>
    <n v="9.9"/>
    <n v="11"/>
    <x v="4116"/>
  </r>
  <r>
    <n v="4480"/>
    <n v="1470"/>
    <d v="2026-11-14T00:00:00"/>
    <s v="Saturday"/>
    <n v="11"/>
    <n v="11.96"/>
    <x v="1"/>
    <x v="58"/>
    <s v="Female"/>
    <n v="59.9"/>
    <n v="85.1"/>
    <n v="16.5"/>
    <n v="16"/>
    <s v="TX"/>
    <n v="4"/>
    <n v="1641.6"/>
    <s v="Middle"/>
    <n v="0"/>
    <s v="Single-Day"/>
    <n v="0"/>
    <n v="0"/>
    <s v="Main Entrance"/>
    <s v="Toy Story Lot"/>
    <n v="10.199999999999999"/>
    <n v="7"/>
    <x v="3279"/>
  </r>
  <r>
    <n v="4481"/>
    <n v="1470"/>
    <d v="2026-11-14T00:00:00"/>
    <s v="Saturday"/>
    <n v="11"/>
    <n v="12.06"/>
    <x v="1"/>
    <x v="56"/>
    <s v="Nonbinary/Other"/>
    <n v="67.3"/>
    <n v="192.7"/>
    <n v="29.8"/>
    <n v="15"/>
    <s v="TX"/>
    <n v="4"/>
    <n v="1641.6"/>
    <s v="Middle"/>
    <n v="0"/>
    <s v="Single-Day"/>
    <n v="0"/>
    <n v="0"/>
    <s v="Main Entrance"/>
    <s v="Toy Story Lot"/>
    <n v="8.8000000000000007"/>
    <n v="16"/>
    <x v="4117"/>
  </r>
  <r>
    <n v="4482"/>
    <n v="1470"/>
    <d v="2026-11-14T00:00:00"/>
    <s v="Saturday"/>
    <n v="11"/>
    <n v="12.17"/>
    <x v="1"/>
    <x v="71"/>
    <s v="Male"/>
    <n v="62.3"/>
    <n v="107.3"/>
    <n v="19.399999999999999"/>
    <n v="14"/>
    <s v="TX"/>
    <n v="4"/>
    <n v="1641.6"/>
    <s v="Middle"/>
    <n v="0"/>
    <s v="Single-Day"/>
    <n v="0"/>
    <n v="0"/>
    <s v="Main Entrance"/>
    <s v="Toy Story Lot"/>
    <n v="8.4"/>
    <n v="10"/>
    <x v="263"/>
  </r>
  <r>
    <n v="4483"/>
    <n v="1470"/>
    <d v="2026-11-14T00:00:00"/>
    <s v="Saturday"/>
    <n v="11"/>
    <n v="12"/>
    <x v="1"/>
    <x v="17"/>
    <s v="Male"/>
    <n v="72.2"/>
    <n v="226.2"/>
    <n v="30.6"/>
    <n v="15"/>
    <s v="TX"/>
    <n v="4"/>
    <n v="1641.6"/>
    <s v="Middle"/>
    <n v="0"/>
    <s v="Single-Day"/>
    <n v="0"/>
    <n v="0"/>
    <s v="Main Entrance"/>
    <s v="Toy Story Lot"/>
    <n v="9.9"/>
    <n v="9"/>
    <x v="4118"/>
  </r>
  <r>
    <n v="4484"/>
    <n v="1471"/>
    <d v="2026-05-24T00:00:00"/>
    <s v="Sunday"/>
    <n v="5"/>
    <n v="11.62"/>
    <x v="1"/>
    <x v="31"/>
    <s v="Female"/>
    <n v="66.3"/>
    <n v="95.2"/>
    <n v="15.3"/>
    <n v="14"/>
    <s v="WA"/>
    <n v="3"/>
    <n v="940.8"/>
    <s v="Middle"/>
    <n v="1"/>
    <s v="Single-Day"/>
    <n v="0"/>
    <n v="1"/>
    <s v="Main Entrance"/>
    <s v="Mickey &amp; Friends"/>
    <n v="6.8"/>
    <n v="7"/>
    <x v="4119"/>
  </r>
  <r>
    <n v="4485"/>
    <n v="1471"/>
    <d v="2026-05-24T00:00:00"/>
    <s v="Sunday"/>
    <n v="5"/>
    <n v="11.63"/>
    <x v="1"/>
    <x v="30"/>
    <s v="Male"/>
    <n v="71.2"/>
    <n v="203.2"/>
    <n v="28.2"/>
    <n v="14"/>
    <s v="WA"/>
    <n v="3"/>
    <n v="940.8"/>
    <s v="Middle"/>
    <n v="1"/>
    <s v="Single-Day"/>
    <n v="0"/>
    <n v="1"/>
    <s v="Main Entrance"/>
    <s v="Mickey &amp; Friends"/>
    <n v="8.4"/>
    <n v="8"/>
    <x v="3769"/>
  </r>
  <r>
    <n v="4486"/>
    <n v="1471"/>
    <d v="2026-05-24T00:00:00"/>
    <s v="Sunday"/>
    <n v="5"/>
    <n v="11.81"/>
    <x v="1"/>
    <x v="9"/>
    <s v="Male"/>
    <n v="70"/>
    <n v="231.9"/>
    <n v="33.5"/>
    <n v="15"/>
    <s v="WA"/>
    <n v="3"/>
    <n v="940.8"/>
    <s v="Middle"/>
    <n v="1"/>
    <s v="Single-Day"/>
    <n v="0"/>
    <n v="1"/>
    <s v="Main Entrance"/>
    <s v="Mickey &amp; Friends"/>
    <n v="10"/>
    <n v="10"/>
    <x v="4120"/>
  </r>
  <r>
    <n v="4487"/>
    <n v="1472"/>
    <d v="2026-07-24T00:00:00"/>
    <s v="Friday"/>
    <n v="7"/>
    <n v="7.2"/>
    <x v="0"/>
    <x v="14"/>
    <s v="Male"/>
    <n v="70.8"/>
    <n v="183.2"/>
    <n v="25.7"/>
    <n v="17"/>
    <s v="CA"/>
    <n v="2"/>
    <n v="126.5"/>
    <s v="High"/>
    <n v="1"/>
    <s v="Multi-Day"/>
    <n v="1"/>
    <n v="1"/>
    <s v="Downtown Disney Gate"/>
    <s v="None/Walked from Resort"/>
    <n v="9.6"/>
    <n v="15"/>
    <x v="4121"/>
  </r>
  <r>
    <n v="4488"/>
    <n v="1472"/>
    <d v="2026-07-24T00:00:00"/>
    <s v="Friday"/>
    <n v="7"/>
    <n v="7"/>
    <x v="0"/>
    <x v="25"/>
    <s v="Male"/>
    <n v="68.099999999999994"/>
    <n v="194.8"/>
    <n v="29.4"/>
    <n v="13"/>
    <s v="CA"/>
    <n v="2"/>
    <n v="126.5"/>
    <s v="High"/>
    <n v="1"/>
    <s v="Multi-Day"/>
    <n v="1"/>
    <n v="1"/>
    <s v="Downtown Disney Gate"/>
    <s v="None/Walked from Resort"/>
    <n v="10.1"/>
    <n v="7"/>
    <x v="4122"/>
  </r>
  <r>
    <n v="4489"/>
    <n v="1473"/>
    <d v="2026-08-17T00:00:00"/>
    <s v="Monday"/>
    <n v="8"/>
    <n v="10.47"/>
    <x v="0"/>
    <x v="47"/>
    <s v="Male"/>
    <n v="69.900000000000006"/>
    <n v="201.4"/>
    <n v="29.1"/>
    <n v="15"/>
    <s v="Other"/>
    <n v="5"/>
    <n v="1145"/>
    <s v="Low"/>
    <n v="0"/>
    <s v="Park Hopper"/>
    <n v="0"/>
    <n v="1"/>
    <s v="Main Entrance"/>
    <s v="None/Walked from Resort"/>
    <n v="8.3000000000000007"/>
    <n v="8"/>
    <x v="4123"/>
  </r>
  <r>
    <n v="4490"/>
    <n v="1473"/>
    <d v="2026-08-17T00:00:00"/>
    <s v="Monday"/>
    <n v="8"/>
    <n v="10.26"/>
    <x v="0"/>
    <x v="43"/>
    <s v="Male"/>
    <n v="70.099999999999994"/>
    <n v="157.5"/>
    <n v="22.6"/>
    <n v="13"/>
    <s v="Other"/>
    <n v="5"/>
    <n v="1145"/>
    <s v="Low"/>
    <n v="0"/>
    <s v="Park Hopper"/>
    <n v="0"/>
    <n v="1"/>
    <s v="Main Entrance"/>
    <s v="None/Walked from Resort"/>
    <n v="8.9"/>
    <n v="9"/>
    <x v="4124"/>
  </r>
  <r>
    <n v="4491"/>
    <n v="1473"/>
    <d v="2026-08-17T00:00:00"/>
    <s v="Monday"/>
    <n v="8"/>
    <n v="10.11"/>
    <x v="0"/>
    <x v="69"/>
    <s v="Female"/>
    <n v="65.900000000000006"/>
    <n v="129.5"/>
    <n v="20.7"/>
    <n v="13"/>
    <s v="Other"/>
    <n v="5"/>
    <n v="1145"/>
    <s v="Low"/>
    <n v="0"/>
    <s v="Park Hopper"/>
    <n v="0"/>
    <n v="1"/>
    <s v="Main Entrance"/>
    <s v="None/Walked from Resort"/>
    <n v="8.5"/>
    <n v="7"/>
    <x v="4125"/>
  </r>
  <r>
    <n v="4492"/>
    <n v="1473"/>
    <d v="2026-08-17T00:00:00"/>
    <s v="Monday"/>
    <n v="8"/>
    <n v="10.119999999999999"/>
    <x v="0"/>
    <x v="13"/>
    <s v="Male"/>
    <n v="73.900000000000006"/>
    <n v="191.5"/>
    <n v="24.9"/>
    <n v="13"/>
    <s v="Other"/>
    <n v="5"/>
    <n v="1145"/>
    <s v="Low"/>
    <n v="0"/>
    <s v="Park Hopper"/>
    <n v="0"/>
    <n v="1"/>
    <s v="Main Entrance"/>
    <s v="None/Walked from Resort"/>
    <n v="9.6"/>
    <n v="12"/>
    <x v="4126"/>
  </r>
  <r>
    <n v="4493"/>
    <n v="1473"/>
    <d v="2026-08-17T00:00:00"/>
    <s v="Monday"/>
    <n v="8"/>
    <n v="10.199999999999999"/>
    <x v="0"/>
    <x v="52"/>
    <s v="Male"/>
    <n v="63.1"/>
    <n v="138.69999999999999"/>
    <n v="24.6"/>
    <n v="15"/>
    <s v="Other"/>
    <n v="5"/>
    <n v="1145"/>
    <s v="Low"/>
    <n v="0"/>
    <s v="Park Hopper"/>
    <n v="0"/>
    <n v="1"/>
    <s v="Main Entrance"/>
    <s v="None/Walked from Resort"/>
    <n v="7.7"/>
    <n v="7"/>
    <x v="2742"/>
  </r>
  <r>
    <n v="4494"/>
    <n v="1474"/>
    <d v="2026-05-31T00:00:00"/>
    <s v="Sunday"/>
    <n v="5"/>
    <n v="9.91"/>
    <x v="0"/>
    <x v="28"/>
    <s v="Male"/>
    <n v="69.2"/>
    <n v="190.4"/>
    <n v="28"/>
    <n v="17"/>
    <s v="Other"/>
    <n v="3"/>
    <n v="1303.2"/>
    <s v="Middle"/>
    <n v="1"/>
    <s v="Single-Day"/>
    <n v="0"/>
    <n v="0"/>
    <s v="Hotel Guest Entrance"/>
    <s v="Toy Story Lot"/>
    <n v="6.9"/>
    <n v="8"/>
    <x v="2285"/>
  </r>
  <r>
    <n v="4495"/>
    <n v="1474"/>
    <d v="2026-05-31T00:00:00"/>
    <s v="Sunday"/>
    <n v="5"/>
    <n v="10.3"/>
    <x v="0"/>
    <x v="21"/>
    <s v="Male"/>
    <n v="65.599999999999994"/>
    <n v="99.9"/>
    <n v="16.100000000000001"/>
    <n v="18"/>
    <s v="Other"/>
    <n v="3"/>
    <n v="1303.2"/>
    <s v="Middle"/>
    <n v="1"/>
    <s v="Single-Day"/>
    <n v="0"/>
    <n v="0"/>
    <s v="Hotel Guest Entrance"/>
    <s v="Toy Story Lot"/>
    <n v="8.1"/>
    <n v="6"/>
    <x v="4127"/>
  </r>
  <r>
    <n v="4496"/>
    <n v="1474"/>
    <d v="2026-05-31T00:00:00"/>
    <s v="Sunday"/>
    <n v="5"/>
    <n v="10.34"/>
    <x v="0"/>
    <x v="0"/>
    <s v="Male"/>
    <n v="61.4"/>
    <n v="149.5"/>
    <n v="27.8"/>
    <n v="19"/>
    <s v="Other"/>
    <n v="3"/>
    <n v="1303.2"/>
    <s v="Middle"/>
    <n v="1"/>
    <s v="Single-Day"/>
    <n v="0"/>
    <n v="0"/>
    <s v="Hotel Guest Entrance"/>
    <s v="Toy Story Lot"/>
    <n v="8"/>
    <n v="7"/>
    <x v="4128"/>
  </r>
  <r>
    <n v="4497"/>
    <n v="1475"/>
    <d v="2026-06-09T00:00:00"/>
    <s v="Tuesday"/>
    <n v="6"/>
    <n v="9.3000000000000007"/>
    <x v="0"/>
    <x v="10"/>
    <s v="Female"/>
    <n v="64.599999999999994"/>
    <n v="185.7"/>
    <n v="31.2"/>
    <n v="15"/>
    <s v="CA"/>
    <n v="3"/>
    <n v="105.7"/>
    <s v="High"/>
    <n v="1"/>
    <s v="Park Hopper"/>
    <n v="0"/>
    <n v="0"/>
    <s v="Main Entrance"/>
    <s v="Pixar Pals"/>
    <n v="8.6"/>
    <n v="9"/>
    <x v="4129"/>
  </r>
  <r>
    <n v="4498"/>
    <n v="1475"/>
    <d v="2026-06-09T00:00:00"/>
    <s v="Tuesday"/>
    <n v="6"/>
    <n v="9.15"/>
    <x v="0"/>
    <x v="16"/>
    <s v="Male"/>
    <n v="65.900000000000006"/>
    <n v="117.9"/>
    <n v="18.899999999999999"/>
    <n v="17"/>
    <s v="CA"/>
    <n v="3"/>
    <n v="105.7"/>
    <s v="High"/>
    <n v="1"/>
    <s v="Park Hopper"/>
    <n v="0"/>
    <n v="0"/>
    <s v="Main Entrance"/>
    <s v="Pixar Pals"/>
    <n v="7.2"/>
    <n v="7"/>
    <x v="3965"/>
  </r>
  <r>
    <n v="4499"/>
    <n v="1475"/>
    <d v="2026-06-09T00:00:00"/>
    <s v="Tuesday"/>
    <n v="6"/>
    <n v="9.34"/>
    <x v="0"/>
    <x v="21"/>
    <s v="Female"/>
    <n v="63.2"/>
    <n v="150.30000000000001"/>
    <n v="26.7"/>
    <n v="16"/>
    <s v="CA"/>
    <n v="3"/>
    <n v="105.7"/>
    <s v="High"/>
    <n v="1"/>
    <s v="Park Hopper"/>
    <n v="0"/>
    <n v="0"/>
    <s v="Main Entrance"/>
    <s v="Pixar Pals"/>
    <n v="13.2"/>
    <n v="14"/>
    <x v="4130"/>
  </r>
  <r>
    <n v="4500"/>
    <n v="1476"/>
    <d v="2026-01-02T00:00:00"/>
    <s v="Friday"/>
    <n v="1"/>
    <n v="12.05"/>
    <x v="1"/>
    <x v="52"/>
    <s v="Female"/>
    <n v="60.7"/>
    <n v="142.30000000000001"/>
    <n v="27.2"/>
    <n v="18"/>
    <s v="WA"/>
    <n v="3"/>
    <n v="933.3"/>
    <s v="Low"/>
    <n v="1"/>
    <s v="Park Hopper"/>
    <n v="0"/>
    <n v="0"/>
    <s v="Main Entrance"/>
    <s v="Pixar Pals"/>
    <n v="6.6"/>
    <n v="5"/>
    <x v="4131"/>
  </r>
  <r>
    <n v="4501"/>
    <n v="1476"/>
    <d v="2026-01-02T00:00:00"/>
    <s v="Friday"/>
    <n v="1"/>
    <n v="12.57"/>
    <x v="1"/>
    <x v="62"/>
    <s v="Male"/>
    <n v="66.7"/>
    <n v="160.80000000000001"/>
    <n v="25.2"/>
    <n v="15"/>
    <s v="WA"/>
    <n v="3"/>
    <n v="933.3"/>
    <s v="Low"/>
    <n v="1"/>
    <s v="Park Hopper"/>
    <n v="0"/>
    <n v="0"/>
    <s v="Main Entrance"/>
    <s v="Pixar Pals"/>
    <n v="5.8"/>
    <n v="7"/>
    <x v="4132"/>
  </r>
  <r>
    <n v="4502"/>
    <n v="1476"/>
    <d v="2026-01-02T00:00:00"/>
    <s v="Friday"/>
    <n v="1"/>
    <n v="12.06"/>
    <x v="1"/>
    <x v="60"/>
    <s v="Male"/>
    <n v="64.599999999999994"/>
    <n v="84.3"/>
    <n v="14.1"/>
    <n v="7"/>
    <s v="WA"/>
    <n v="3"/>
    <n v="933.3"/>
    <s v="Low"/>
    <n v="1"/>
    <s v="Park Hopper"/>
    <n v="0"/>
    <n v="0"/>
    <s v="Main Entrance"/>
    <s v="Pixar Pals"/>
    <n v="10.4"/>
    <n v="11"/>
    <x v="4133"/>
  </r>
  <r>
    <n v="4503"/>
    <n v="1477"/>
    <d v="2026-07-12T00:00:00"/>
    <s v="Sunday"/>
    <n v="7"/>
    <n v="8.69"/>
    <x v="0"/>
    <x v="71"/>
    <s v="Male"/>
    <n v="66.8"/>
    <n v="136.4"/>
    <n v="21.6"/>
    <n v="13"/>
    <s v="MN"/>
    <n v="3"/>
    <n v="2150.5"/>
    <s v="Middle"/>
    <n v="1"/>
    <s v="Multi-Day"/>
    <n v="0"/>
    <n v="0"/>
    <s v="Downtown Disney Gate"/>
    <s v="Toy Story Lot"/>
    <n v="7.6"/>
    <n v="2"/>
    <x v="4134"/>
  </r>
  <r>
    <n v="4504"/>
    <n v="1477"/>
    <d v="2026-07-12T00:00:00"/>
    <s v="Sunday"/>
    <n v="7"/>
    <n v="8.8800000000000008"/>
    <x v="0"/>
    <x v="38"/>
    <s v="Female"/>
    <n v="62.8"/>
    <n v="136.5"/>
    <n v="24.4"/>
    <n v="14"/>
    <s v="MN"/>
    <n v="3"/>
    <n v="2150.5"/>
    <s v="Middle"/>
    <n v="1"/>
    <s v="Multi-Day"/>
    <n v="0"/>
    <n v="0"/>
    <s v="Downtown Disney Gate"/>
    <s v="Toy Story Lot"/>
    <n v="8.1999999999999993"/>
    <n v="3"/>
    <x v="4135"/>
  </r>
  <r>
    <n v="4505"/>
    <n v="1477"/>
    <d v="2026-07-12T00:00:00"/>
    <s v="Sunday"/>
    <n v="7"/>
    <n v="8.67"/>
    <x v="0"/>
    <x v="6"/>
    <s v="Male"/>
    <n v="70.5"/>
    <n v="166.7"/>
    <n v="23.8"/>
    <n v="17"/>
    <s v="MN"/>
    <n v="3"/>
    <n v="2150.5"/>
    <s v="Middle"/>
    <n v="1"/>
    <s v="Multi-Day"/>
    <n v="0"/>
    <n v="0"/>
    <s v="Downtown Disney Gate"/>
    <s v="Toy Story Lot"/>
    <n v="9.1999999999999993"/>
    <n v="5"/>
    <x v="4136"/>
  </r>
  <r>
    <n v="4506"/>
    <n v="1478"/>
    <d v="2026-02-04T00:00:00"/>
    <s v="Wednesday"/>
    <n v="2"/>
    <n v="11.08"/>
    <x v="1"/>
    <x v="7"/>
    <s v="Female"/>
    <n v="52.5"/>
    <n v="76.5"/>
    <n v="19.399999999999999"/>
    <n v="15"/>
    <s v="Other"/>
    <n v="2"/>
    <n v="1411.9"/>
    <s v="High"/>
    <n v="0"/>
    <s v="Multi-Day"/>
    <n v="1"/>
    <n v="1"/>
    <s v="Main Entrance"/>
    <s v="None/Walked from Resort"/>
    <n v="6.3"/>
    <n v="10"/>
    <x v="4137"/>
  </r>
  <r>
    <n v="4507"/>
    <n v="1478"/>
    <d v="2026-02-04T00:00:00"/>
    <s v="Wednesday"/>
    <n v="2"/>
    <n v="11.04"/>
    <x v="1"/>
    <x v="56"/>
    <s v="Male"/>
    <n v="72.099999999999994"/>
    <n v="148.69999999999999"/>
    <n v="20.5"/>
    <n v="17"/>
    <s v="Other"/>
    <n v="2"/>
    <n v="1411.9"/>
    <s v="High"/>
    <n v="0"/>
    <s v="Multi-Day"/>
    <n v="1"/>
    <n v="1"/>
    <s v="Main Entrance"/>
    <s v="None/Walked from Resort"/>
    <n v="9.9"/>
    <n v="6"/>
    <x v="4138"/>
  </r>
  <r>
    <n v="4508"/>
    <n v="1479"/>
    <d v="2026-06-28T00:00:00"/>
    <s v="Sunday"/>
    <n v="6"/>
    <n v="9.36"/>
    <x v="0"/>
    <x v="40"/>
    <s v="Female"/>
    <n v="64.2"/>
    <n v="128.19999999999999"/>
    <n v="21.8"/>
    <n v="12"/>
    <s v="CA"/>
    <n v="2"/>
    <n v="91.3"/>
    <s v="Middle"/>
    <n v="0"/>
    <s v="Single-Day"/>
    <n v="0"/>
    <n v="0"/>
    <s v="Main Entrance"/>
    <s v="Toy Story Lot"/>
    <n v="6"/>
    <n v="4"/>
    <x v="4139"/>
  </r>
  <r>
    <n v="4509"/>
    <n v="1479"/>
    <d v="2026-06-28T00:00:00"/>
    <s v="Sunday"/>
    <n v="6"/>
    <n v="9.68"/>
    <x v="0"/>
    <x v="35"/>
    <s v="Female"/>
    <n v="61.1"/>
    <n v="96.5"/>
    <n v="18.100000000000001"/>
    <n v="15"/>
    <s v="CA"/>
    <n v="2"/>
    <n v="91.3"/>
    <s v="Middle"/>
    <n v="0"/>
    <s v="Single-Day"/>
    <n v="0"/>
    <n v="0"/>
    <s v="Main Entrance"/>
    <s v="Toy Story Lot"/>
    <n v="9.1"/>
    <n v="9"/>
    <x v="4140"/>
  </r>
  <r>
    <n v="4510"/>
    <n v="1480"/>
    <d v="2026-07-27T00:00:00"/>
    <s v="Monday"/>
    <n v="7"/>
    <n v="13.55"/>
    <x v="1"/>
    <x v="41"/>
    <s v="Female"/>
    <n v="71.2"/>
    <n v="143.19999999999999"/>
    <n v="19.8"/>
    <n v="15"/>
    <s v="MN"/>
    <n v="3"/>
    <n v="2485.5"/>
    <s v="High"/>
    <n v="0"/>
    <s v="Single-Day"/>
    <n v="1"/>
    <n v="1"/>
    <s v="Main Entrance"/>
    <s v="Toy Story Lot"/>
    <n v="7.5"/>
    <n v="9"/>
    <x v="4141"/>
  </r>
  <r>
    <n v="4511"/>
    <n v="1480"/>
    <d v="2026-07-27T00:00:00"/>
    <s v="Monday"/>
    <n v="7"/>
    <n v="13.54"/>
    <x v="1"/>
    <x v="68"/>
    <s v="Female"/>
    <n v="66.7"/>
    <n v="204.9"/>
    <n v="32.1"/>
    <n v="19"/>
    <s v="MN"/>
    <n v="3"/>
    <n v="2485.5"/>
    <s v="High"/>
    <n v="0"/>
    <s v="Single-Day"/>
    <n v="1"/>
    <n v="1"/>
    <s v="Main Entrance"/>
    <s v="Toy Story Lot"/>
    <n v="7.9"/>
    <n v="10"/>
    <x v="4142"/>
  </r>
  <r>
    <n v="4512"/>
    <n v="1480"/>
    <d v="2026-07-27T00:00:00"/>
    <s v="Monday"/>
    <n v="7"/>
    <n v="13.42"/>
    <x v="1"/>
    <x v="58"/>
    <s v="Male"/>
    <n v="69"/>
    <n v="129.19999999999999"/>
    <n v="18.899999999999999"/>
    <n v="19"/>
    <s v="MN"/>
    <n v="3"/>
    <n v="2485.5"/>
    <s v="High"/>
    <n v="0"/>
    <s v="Single-Day"/>
    <n v="1"/>
    <n v="1"/>
    <s v="Main Entrance"/>
    <s v="Toy Story Lot"/>
    <n v="6.5"/>
    <n v="11"/>
    <x v="4143"/>
  </r>
  <r>
    <n v="4513"/>
    <n v="1481"/>
    <d v="2026-12-03T00:00:00"/>
    <s v="Thursday"/>
    <n v="12"/>
    <n v="12.57"/>
    <x v="1"/>
    <x v="14"/>
    <s v="Female"/>
    <n v="58.8"/>
    <n v="129.6"/>
    <n v="26.7"/>
    <n v="16"/>
    <s v="TX"/>
    <n v="2"/>
    <n v="1543"/>
    <s v="Middle"/>
    <n v="1"/>
    <s v="Multi-Day"/>
    <n v="0"/>
    <n v="1"/>
    <s v="Main Entrance"/>
    <s v="None/Walked from Resort"/>
    <n v="6.9"/>
    <n v="3"/>
    <x v="4144"/>
  </r>
  <r>
    <n v="4514"/>
    <n v="1481"/>
    <d v="2026-12-03T00:00:00"/>
    <s v="Thursday"/>
    <n v="12"/>
    <n v="12.64"/>
    <x v="1"/>
    <x v="19"/>
    <s v="Male"/>
    <n v="71.900000000000006"/>
    <n v="229.4"/>
    <n v="31.2"/>
    <n v="17"/>
    <s v="TX"/>
    <n v="2"/>
    <n v="1543"/>
    <s v="Middle"/>
    <n v="1"/>
    <s v="Multi-Day"/>
    <n v="0"/>
    <n v="1"/>
    <s v="Main Entrance"/>
    <s v="None/Walked from Resort"/>
    <n v="9.6999999999999993"/>
    <n v="5"/>
    <x v="3785"/>
  </r>
  <r>
    <n v="4515"/>
    <n v="1482"/>
    <d v="2026-03-05T00:00:00"/>
    <s v="Thursday"/>
    <n v="3"/>
    <n v="9.92"/>
    <x v="0"/>
    <x v="71"/>
    <s v="Female"/>
    <n v="64.5"/>
    <n v="155.9"/>
    <n v="26.2"/>
    <n v="15"/>
    <s v="NV"/>
    <n v="5"/>
    <n v="244.9"/>
    <s v="Middle"/>
    <n v="0"/>
    <s v="Park Hopper"/>
    <n v="0"/>
    <n v="1"/>
    <s v="Hotel Guest Entrance"/>
    <s v="None/Walked from Resort"/>
    <n v="7.8"/>
    <n v="10"/>
    <x v="4145"/>
  </r>
  <r>
    <n v="4516"/>
    <n v="1482"/>
    <d v="2026-03-05T00:00:00"/>
    <s v="Thursday"/>
    <n v="3"/>
    <n v="9.83"/>
    <x v="0"/>
    <x v="38"/>
    <s v="Female"/>
    <n v="64.5"/>
    <n v="179.7"/>
    <n v="30.3"/>
    <n v="12"/>
    <s v="NV"/>
    <n v="5"/>
    <n v="244.9"/>
    <s v="Middle"/>
    <n v="0"/>
    <s v="Park Hopper"/>
    <n v="0"/>
    <n v="1"/>
    <s v="Hotel Guest Entrance"/>
    <s v="None/Walked from Resort"/>
    <n v="8"/>
    <n v="10"/>
    <x v="4146"/>
  </r>
  <r>
    <n v="4517"/>
    <n v="1482"/>
    <d v="2026-03-05T00:00:00"/>
    <s v="Thursday"/>
    <n v="3"/>
    <n v="9.93"/>
    <x v="0"/>
    <x v="69"/>
    <s v="Female"/>
    <n v="66"/>
    <n v="109"/>
    <n v="17.600000000000001"/>
    <n v="14"/>
    <s v="NV"/>
    <n v="5"/>
    <n v="244.9"/>
    <s v="Middle"/>
    <n v="0"/>
    <s v="Park Hopper"/>
    <n v="0"/>
    <n v="1"/>
    <s v="Hotel Guest Entrance"/>
    <s v="None/Walked from Resort"/>
    <n v="7.7"/>
    <n v="9"/>
    <x v="4147"/>
  </r>
  <r>
    <n v="4518"/>
    <n v="1482"/>
    <d v="2026-03-05T00:00:00"/>
    <s v="Thursday"/>
    <n v="3"/>
    <n v="9.77"/>
    <x v="0"/>
    <x v="14"/>
    <s v="Male"/>
    <n v="73.099999999999994"/>
    <n v="216.2"/>
    <n v="28.6"/>
    <n v="13"/>
    <s v="NV"/>
    <n v="5"/>
    <n v="244.9"/>
    <s v="Middle"/>
    <n v="0"/>
    <s v="Park Hopper"/>
    <n v="0"/>
    <n v="1"/>
    <s v="Hotel Guest Entrance"/>
    <s v="None/Walked from Resort"/>
    <n v="10.1"/>
    <n v="15"/>
    <x v="4132"/>
  </r>
  <r>
    <n v="4519"/>
    <n v="1482"/>
    <d v="2026-03-05T00:00:00"/>
    <s v="Thursday"/>
    <n v="3"/>
    <n v="9.81"/>
    <x v="0"/>
    <x v="38"/>
    <s v="Female"/>
    <n v="63.2"/>
    <n v="119.2"/>
    <n v="21"/>
    <n v="11"/>
    <s v="NV"/>
    <n v="5"/>
    <n v="244.9"/>
    <s v="Middle"/>
    <n v="0"/>
    <s v="Park Hopper"/>
    <n v="0"/>
    <n v="1"/>
    <s v="Hotel Guest Entrance"/>
    <s v="None/Walked from Resort"/>
    <n v="8.3000000000000007"/>
    <n v="7"/>
    <x v="4148"/>
  </r>
  <r>
    <n v="4520"/>
    <n v="1483"/>
    <d v="2026-06-14T00:00:00"/>
    <s v="Sunday"/>
    <n v="6"/>
    <n v="7.38"/>
    <x v="0"/>
    <x v="59"/>
    <s v="Female"/>
    <n v="62.2"/>
    <n v="169.7"/>
    <n v="30.8"/>
    <n v="17"/>
    <s v="CA"/>
    <n v="3"/>
    <n v="2"/>
    <s v="High"/>
    <n v="0"/>
    <s v="Single-Day"/>
    <n v="1"/>
    <n v="1"/>
    <s v="Main Entrance"/>
    <s v="None/Walked from Resort"/>
    <n v="13"/>
    <n v="2"/>
    <x v="4149"/>
  </r>
  <r>
    <n v="4521"/>
    <n v="1483"/>
    <d v="2026-06-14T00:00:00"/>
    <s v="Sunday"/>
    <n v="6"/>
    <n v="7.21"/>
    <x v="0"/>
    <x v="67"/>
    <s v="Male"/>
    <n v="70.2"/>
    <n v="161.4"/>
    <n v="23.2"/>
    <n v="16"/>
    <s v="CA"/>
    <n v="3"/>
    <n v="2"/>
    <s v="High"/>
    <n v="0"/>
    <s v="Single-Day"/>
    <n v="1"/>
    <n v="1"/>
    <s v="Main Entrance"/>
    <s v="None/Walked from Resort"/>
    <n v="8.6"/>
    <n v="9"/>
    <x v="567"/>
  </r>
  <r>
    <n v="4522"/>
    <n v="1483"/>
    <d v="2026-06-14T00:00:00"/>
    <s v="Sunday"/>
    <n v="6"/>
    <n v="7.61"/>
    <x v="0"/>
    <x v="38"/>
    <s v="Female"/>
    <n v="64.2"/>
    <n v="107.6"/>
    <n v="18.2"/>
    <n v="14"/>
    <s v="CA"/>
    <n v="3"/>
    <n v="2"/>
    <s v="High"/>
    <n v="0"/>
    <s v="Single-Day"/>
    <n v="1"/>
    <n v="1"/>
    <s v="Main Entrance"/>
    <s v="None/Walked from Resort"/>
    <n v="7.2"/>
    <n v="6"/>
    <x v="4150"/>
  </r>
  <r>
    <n v="4523"/>
    <n v="1484"/>
    <d v="2026-05-31T00:00:00"/>
    <s v="Sunday"/>
    <n v="5"/>
    <n v="13.11"/>
    <x v="1"/>
    <x v="31"/>
    <s v="Female"/>
    <n v="67.8"/>
    <n v="144.69999999999999"/>
    <n v="22.1"/>
    <n v="8"/>
    <s v="OR"/>
    <n v="2"/>
    <n v="1290.5999999999999"/>
    <s v="Low"/>
    <n v="1"/>
    <s v="Multi-Day"/>
    <n v="0"/>
    <n v="0"/>
    <s v="Main Entrance"/>
    <s v="Toy Story Lot"/>
    <n v="7"/>
    <n v="9"/>
    <x v="242"/>
  </r>
  <r>
    <n v="4524"/>
    <n v="1484"/>
    <d v="2026-05-31T00:00:00"/>
    <s v="Sunday"/>
    <n v="5"/>
    <n v="12.8"/>
    <x v="1"/>
    <x v="56"/>
    <s v="Female"/>
    <n v="63.3"/>
    <n v="126"/>
    <n v="21.9"/>
    <n v="10"/>
    <s v="OR"/>
    <n v="2"/>
    <n v="1290.5999999999999"/>
    <s v="Low"/>
    <n v="1"/>
    <s v="Multi-Day"/>
    <n v="0"/>
    <n v="0"/>
    <s v="Main Entrance"/>
    <s v="Toy Story Lot"/>
    <n v="6.7"/>
    <n v="6"/>
    <x v="4151"/>
  </r>
  <r>
    <n v="4525"/>
    <n v="1485"/>
    <d v="2026-10-22T00:00:00"/>
    <s v="Thursday"/>
    <n v="10"/>
    <n v="10.67"/>
    <x v="0"/>
    <x v="64"/>
    <s v="Male"/>
    <n v="49.5"/>
    <n v="56.5"/>
    <n v="16.100000000000001"/>
    <n v="14"/>
    <s v="TX"/>
    <n v="4"/>
    <n v="1289.0999999999999"/>
    <s v="Middle"/>
    <n v="1"/>
    <s v="Single-Day"/>
    <n v="0"/>
    <n v="1"/>
    <s v="Main Entrance"/>
    <s v="None/Walked from Resort"/>
    <n v="9.1999999999999993"/>
    <n v="2"/>
    <x v="4152"/>
  </r>
  <r>
    <n v="4526"/>
    <n v="1485"/>
    <d v="2026-10-22T00:00:00"/>
    <s v="Thursday"/>
    <n v="10"/>
    <n v="10.77"/>
    <x v="0"/>
    <x v="4"/>
    <s v="Male"/>
    <n v="70.8"/>
    <n v="208.2"/>
    <n v="28.9"/>
    <n v="17"/>
    <s v="TX"/>
    <n v="4"/>
    <n v="1289.0999999999999"/>
    <s v="Middle"/>
    <n v="1"/>
    <s v="Single-Day"/>
    <n v="0"/>
    <n v="1"/>
    <s v="Main Entrance"/>
    <s v="None/Walked from Resort"/>
    <n v="8.9"/>
    <n v="11"/>
    <x v="4153"/>
  </r>
  <r>
    <n v="4527"/>
    <n v="1485"/>
    <d v="2026-10-22T00:00:00"/>
    <s v="Thursday"/>
    <n v="10"/>
    <n v="10.83"/>
    <x v="0"/>
    <x v="33"/>
    <s v="Male"/>
    <n v="73.3"/>
    <n v="194.4"/>
    <n v="25.3"/>
    <n v="17"/>
    <s v="TX"/>
    <n v="4"/>
    <n v="1289.0999999999999"/>
    <s v="Middle"/>
    <n v="1"/>
    <s v="Single-Day"/>
    <n v="0"/>
    <n v="1"/>
    <s v="Main Entrance"/>
    <s v="None/Walked from Resort"/>
    <n v="7.1"/>
    <n v="6"/>
    <x v="4154"/>
  </r>
  <r>
    <n v="4528"/>
    <n v="1485"/>
    <d v="2026-10-22T00:00:00"/>
    <s v="Thursday"/>
    <n v="10"/>
    <n v="10.55"/>
    <x v="0"/>
    <x v="30"/>
    <s v="Male"/>
    <n v="66.3"/>
    <n v="149.5"/>
    <n v="23.8"/>
    <n v="17"/>
    <s v="TX"/>
    <n v="4"/>
    <n v="1289.0999999999999"/>
    <s v="Middle"/>
    <n v="1"/>
    <s v="Single-Day"/>
    <n v="0"/>
    <n v="1"/>
    <s v="Main Entrance"/>
    <s v="None/Walked from Resort"/>
    <n v="8.6999999999999993"/>
    <n v="6"/>
    <x v="4155"/>
  </r>
  <r>
    <n v="4529"/>
    <n v="1486"/>
    <d v="2026-09-06T00:00:00"/>
    <s v="Sunday"/>
    <n v="9"/>
    <n v="7.12"/>
    <x v="0"/>
    <x v="32"/>
    <s v="Male"/>
    <n v="61.3"/>
    <n v="74.3"/>
    <n v="13.8"/>
    <n v="11"/>
    <s v="IA"/>
    <n v="2"/>
    <n v="2070.9"/>
    <s v="Low"/>
    <n v="1"/>
    <s v="Park Hopper"/>
    <n v="1"/>
    <n v="1"/>
    <s v="Main Entrance"/>
    <s v="None/Walked from Resort"/>
    <n v="9.9"/>
    <n v="12"/>
    <x v="4156"/>
  </r>
  <r>
    <n v="4530"/>
    <n v="1486"/>
    <d v="2026-09-06T00:00:00"/>
    <s v="Sunday"/>
    <n v="9"/>
    <n v="7"/>
    <x v="0"/>
    <x v="5"/>
    <s v="Male"/>
    <n v="71.900000000000006"/>
    <n v="173.1"/>
    <n v="23.6"/>
    <n v="14"/>
    <s v="IA"/>
    <n v="2"/>
    <n v="2070.9"/>
    <s v="Low"/>
    <n v="1"/>
    <s v="Park Hopper"/>
    <n v="1"/>
    <n v="1"/>
    <s v="Main Entrance"/>
    <s v="None/Walked from Resort"/>
    <n v="12.7"/>
    <n v="14"/>
    <x v="4157"/>
  </r>
  <r>
    <n v="4531"/>
    <n v="1487"/>
    <d v="2026-11-15T00:00:00"/>
    <s v="Sunday"/>
    <n v="11"/>
    <n v="12.16"/>
    <x v="1"/>
    <x v="35"/>
    <s v="Female"/>
    <n v="68.400000000000006"/>
    <n v="170.1"/>
    <n v="25.6"/>
    <n v="13"/>
    <s v="CA"/>
    <n v="4"/>
    <n v="9.8000000000000007"/>
    <s v="Low"/>
    <n v="0"/>
    <s v="Park Hopper"/>
    <n v="1"/>
    <n v="0"/>
    <s v="Main Entrance"/>
    <s v="Pixar Pals"/>
    <n v="10.1"/>
    <n v="17"/>
    <x v="1549"/>
  </r>
  <r>
    <n v="4532"/>
    <n v="1487"/>
    <d v="2026-11-15T00:00:00"/>
    <s v="Sunday"/>
    <n v="11"/>
    <n v="12.38"/>
    <x v="1"/>
    <x v="32"/>
    <s v="Female"/>
    <n v="60.4"/>
    <n v="113.5"/>
    <n v="21.8"/>
    <n v="14"/>
    <s v="CA"/>
    <n v="4"/>
    <n v="9.8000000000000007"/>
    <s v="Low"/>
    <n v="0"/>
    <s v="Park Hopper"/>
    <n v="1"/>
    <n v="0"/>
    <s v="Main Entrance"/>
    <s v="Pixar Pals"/>
    <n v="8.6999999999999993"/>
    <n v="10"/>
    <x v="2115"/>
  </r>
  <r>
    <n v="4533"/>
    <n v="1487"/>
    <d v="2026-11-15T00:00:00"/>
    <s v="Sunday"/>
    <n v="11"/>
    <n v="12.43"/>
    <x v="1"/>
    <x v="60"/>
    <s v="Female"/>
    <n v="69.3"/>
    <n v="131"/>
    <n v="19.2"/>
    <n v="10"/>
    <s v="CA"/>
    <n v="4"/>
    <n v="9.8000000000000007"/>
    <s v="Low"/>
    <n v="0"/>
    <s v="Park Hopper"/>
    <n v="1"/>
    <n v="0"/>
    <s v="Main Entrance"/>
    <s v="Pixar Pals"/>
    <n v="8"/>
    <n v="7"/>
    <x v="4158"/>
  </r>
  <r>
    <n v="4534"/>
    <n v="1487"/>
    <d v="2026-11-15T00:00:00"/>
    <s v="Sunday"/>
    <n v="11"/>
    <n v="12.1"/>
    <x v="1"/>
    <x v="53"/>
    <s v="Male"/>
    <n v="61"/>
    <n v="85.7"/>
    <n v="16.2"/>
    <n v="8"/>
    <s v="CA"/>
    <n v="4"/>
    <n v="9.8000000000000007"/>
    <s v="Low"/>
    <n v="0"/>
    <s v="Park Hopper"/>
    <n v="1"/>
    <n v="0"/>
    <s v="Main Entrance"/>
    <s v="Pixar Pals"/>
    <n v="7.6"/>
    <n v="6"/>
    <x v="4159"/>
  </r>
  <r>
    <n v="4535"/>
    <n v="1488"/>
    <d v="2026-10-30T00:00:00"/>
    <s v="Friday"/>
    <n v="10"/>
    <n v="7.03"/>
    <x v="0"/>
    <x v="68"/>
    <s v="Female"/>
    <n v="63.7"/>
    <n v="146.69999999999999"/>
    <n v="25.8"/>
    <n v="12"/>
    <s v="FL"/>
    <n v="4"/>
    <n v="3010"/>
    <s v="Low"/>
    <n v="0"/>
    <s v="Multi-Day"/>
    <n v="0"/>
    <n v="1"/>
    <s v="Downtown Disney Gate"/>
    <s v="Pixar Pals"/>
    <n v="9.1999999999999993"/>
    <n v="5"/>
    <x v="4160"/>
  </r>
  <r>
    <n v="4536"/>
    <n v="1488"/>
    <d v="2026-10-30T00:00:00"/>
    <s v="Friday"/>
    <n v="10"/>
    <n v="7"/>
    <x v="0"/>
    <x v="32"/>
    <s v="Male"/>
    <n v="49.9"/>
    <n v="71.900000000000006"/>
    <n v="20.3"/>
    <n v="13"/>
    <s v="FL"/>
    <n v="4"/>
    <n v="3010"/>
    <s v="Low"/>
    <n v="0"/>
    <s v="Multi-Day"/>
    <n v="0"/>
    <n v="1"/>
    <s v="Downtown Disney Gate"/>
    <s v="Pixar Pals"/>
    <n v="6.9"/>
    <n v="12"/>
    <x v="4161"/>
  </r>
  <r>
    <n v="4537"/>
    <n v="1488"/>
    <d v="2026-10-30T00:00:00"/>
    <s v="Friday"/>
    <n v="10"/>
    <n v="7"/>
    <x v="0"/>
    <x v="52"/>
    <s v="Male"/>
    <n v="73.599999999999994"/>
    <n v="137.6"/>
    <n v="17.8"/>
    <n v="14"/>
    <s v="FL"/>
    <n v="4"/>
    <n v="3010"/>
    <s v="Low"/>
    <n v="0"/>
    <s v="Multi-Day"/>
    <n v="0"/>
    <n v="1"/>
    <s v="Downtown Disney Gate"/>
    <s v="Pixar Pals"/>
    <n v="9.3000000000000007"/>
    <n v="12"/>
    <x v="344"/>
  </r>
  <r>
    <n v="4538"/>
    <n v="1488"/>
    <d v="2026-10-30T00:00:00"/>
    <s v="Friday"/>
    <n v="10"/>
    <n v="7.06"/>
    <x v="0"/>
    <x v="38"/>
    <s v="Female"/>
    <n v="63.6"/>
    <n v="88.9"/>
    <n v="15.6"/>
    <n v="9"/>
    <s v="FL"/>
    <n v="4"/>
    <n v="3010"/>
    <s v="Low"/>
    <n v="0"/>
    <s v="Multi-Day"/>
    <n v="0"/>
    <n v="1"/>
    <s v="Downtown Disney Gate"/>
    <s v="Pixar Pals"/>
    <n v="7.3"/>
    <n v="8"/>
    <x v="4162"/>
  </r>
  <r>
    <n v="4539"/>
    <n v="1489"/>
    <d v="2026-02-22T00:00:00"/>
    <s v="Sunday"/>
    <n v="2"/>
    <n v="8.0299999999999994"/>
    <x v="0"/>
    <x v="10"/>
    <s v="Female"/>
    <n v="65.2"/>
    <n v="121"/>
    <n v="19.899999999999999"/>
    <n v="13"/>
    <s v="WA"/>
    <n v="3"/>
    <n v="1075.9000000000001"/>
    <s v="Middle"/>
    <n v="0"/>
    <s v="Single-Day"/>
    <n v="0"/>
    <n v="1"/>
    <s v="Main Entrance"/>
    <s v="Toy Story Lot"/>
    <n v="9.8000000000000007"/>
    <n v="7"/>
    <x v="4163"/>
  </r>
  <r>
    <n v="4540"/>
    <n v="1489"/>
    <d v="2026-02-22T00:00:00"/>
    <s v="Sunday"/>
    <n v="2"/>
    <n v="8"/>
    <x v="0"/>
    <x v="53"/>
    <s v="Female"/>
    <n v="52.2"/>
    <n v="78.099999999999994"/>
    <n v="20.2"/>
    <n v="14"/>
    <s v="WA"/>
    <n v="3"/>
    <n v="1075.9000000000001"/>
    <s v="Middle"/>
    <n v="0"/>
    <s v="Single-Day"/>
    <n v="0"/>
    <n v="1"/>
    <s v="Main Entrance"/>
    <s v="Toy Story Lot"/>
    <n v="7.7"/>
    <n v="5"/>
    <x v="870"/>
  </r>
  <r>
    <n v="4541"/>
    <n v="1489"/>
    <d v="2026-02-22T00:00:00"/>
    <s v="Sunday"/>
    <n v="2"/>
    <n v="8.1199999999999992"/>
    <x v="0"/>
    <x v="2"/>
    <s v="Female"/>
    <n v="60"/>
    <n v="120.4"/>
    <n v="23.7"/>
    <n v="16"/>
    <s v="WA"/>
    <n v="3"/>
    <n v="1075.9000000000001"/>
    <s v="Middle"/>
    <n v="0"/>
    <s v="Single-Day"/>
    <n v="0"/>
    <n v="1"/>
    <s v="Main Entrance"/>
    <s v="Toy Story Lot"/>
    <n v="10.199999999999999"/>
    <n v="4"/>
    <x v="4164"/>
  </r>
  <r>
    <n v="4542"/>
    <n v="1490"/>
    <d v="2026-08-06T00:00:00"/>
    <s v="Thursday"/>
    <n v="8"/>
    <n v="10.93"/>
    <x v="0"/>
    <x v="76"/>
    <s v="Male"/>
    <n v="69.099999999999994"/>
    <n v="123.6"/>
    <n v="18.100000000000001"/>
    <n v="18"/>
    <s v="CA"/>
    <n v="3"/>
    <n v="83.1"/>
    <s v="Middle"/>
    <n v="0"/>
    <s v="Single-Day"/>
    <n v="0"/>
    <n v="0"/>
    <s v="Main Entrance"/>
    <s v="Mickey &amp; Friends"/>
    <n v="8.6"/>
    <n v="4"/>
    <x v="4165"/>
  </r>
  <r>
    <n v="4543"/>
    <n v="1490"/>
    <d v="2026-08-06T00:00:00"/>
    <s v="Thursday"/>
    <n v="8"/>
    <n v="10.89"/>
    <x v="0"/>
    <x v="50"/>
    <s v="Male"/>
    <n v="70"/>
    <n v="91.8"/>
    <n v="12.7"/>
    <n v="13"/>
    <s v="CA"/>
    <n v="3"/>
    <n v="83.1"/>
    <s v="Middle"/>
    <n v="0"/>
    <s v="Single-Day"/>
    <n v="0"/>
    <n v="0"/>
    <s v="Main Entrance"/>
    <s v="Mickey &amp; Friends"/>
    <n v="8.3000000000000007"/>
    <n v="5"/>
    <x v="4166"/>
  </r>
  <r>
    <n v="4544"/>
    <n v="1490"/>
    <d v="2026-08-06T00:00:00"/>
    <s v="Thursday"/>
    <n v="8"/>
    <n v="11.04"/>
    <x v="1"/>
    <x v="34"/>
    <s v="Female"/>
    <n v="64"/>
    <n v="185"/>
    <n v="31.8"/>
    <n v="16"/>
    <s v="CA"/>
    <n v="3"/>
    <n v="83.1"/>
    <s v="Middle"/>
    <n v="0"/>
    <s v="Single-Day"/>
    <n v="0"/>
    <n v="0"/>
    <s v="Main Entrance"/>
    <s v="Mickey &amp; Friends"/>
    <n v="7.5"/>
    <n v="6"/>
    <x v="4167"/>
  </r>
  <r>
    <n v="4545"/>
    <n v="1491"/>
    <d v="2026-07-15T00:00:00"/>
    <s v="Wednesday"/>
    <n v="7"/>
    <n v="10.43"/>
    <x v="0"/>
    <x v="4"/>
    <s v="Female"/>
    <n v="64.900000000000006"/>
    <n v="137.6"/>
    <n v="22.9"/>
    <n v="17"/>
    <s v="FL"/>
    <n v="4"/>
    <n v="2192.6999999999998"/>
    <s v="High"/>
    <n v="0"/>
    <s v="Park Hopper"/>
    <n v="1"/>
    <n v="1"/>
    <s v="Main Entrance"/>
    <s v="Mickey &amp; Friends"/>
    <n v="8.1"/>
    <n v="6"/>
    <x v="4016"/>
  </r>
  <r>
    <n v="4546"/>
    <n v="1491"/>
    <d v="2026-07-15T00:00:00"/>
    <s v="Wednesday"/>
    <n v="7"/>
    <n v="10.36"/>
    <x v="0"/>
    <x v="38"/>
    <s v="Female"/>
    <n v="65"/>
    <n v="138.30000000000001"/>
    <n v="23.3"/>
    <n v="13"/>
    <s v="FL"/>
    <n v="4"/>
    <n v="2192.6999999999998"/>
    <s v="High"/>
    <n v="0"/>
    <s v="Park Hopper"/>
    <n v="1"/>
    <n v="1"/>
    <s v="Main Entrance"/>
    <s v="Mickey &amp; Friends"/>
    <n v="10.9"/>
    <n v="10"/>
    <x v="4168"/>
  </r>
  <r>
    <n v="4547"/>
    <n v="1491"/>
    <d v="2026-07-15T00:00:00"/>
    <s v="Wednesday"/>
    <n v="7"/>
    <n v="10.33"/>
    <x v="0"/>
    <x v="11"/>
    <s v="Male"/>
    <n v="64.3"/>
    <n v="174"/>
    <n v="29.7"/>
    <n v="14"/>
    <s v="FL"/>
    <n v="4"/>
    <n v="2192.6999999999998"/>
    <s v="High"/>
    <n v="0"/>
    <s v="Park Hopper"/>
    <n v="1"/>
    <n v="1"/>
    <s v="Main Entrance"/>
    <s v="Mickey &amp; Friends"/>
    <n v="8"/>
    <n v="11"/>
    <x v="4169"/>
  </r>
  <r>
    <n v="4548"/>
    <n v="1491"/>
    <d v="2026-07-15T00:00:00"/>
    <s v="Wednesday"/>
    <n v="7"/>
    <n v="10.35"/>
    <x v="0"/>
    <x v="55"/>
    <s v="Male"/>
    <n v="71.3"/>
    <n v="198"/>
    <n v="27.3"/>
    <n v="18"/>
    <s v="FL"/>
    <n v="4"/>
    <n v="2192.6999999999998"/>
    <s v="High"/>
    <n v="0"/>
    <s v="Park Hopper"/>
    <n v="1"/>
    <n v="1"/>
    <s v="Main Entrance"/>
    <s v="Mickey &amp; Friends"/>
    <n v="9.4"/>
    <n v="14"/>
    <x v="4170"/>
  </r>
  <r>
    <n v="4549"/>
    <n v="1492"/>
    <d v="2026-05-13T00:00:00"/>
    <s v="Wednesday"/>
    <n v="5"/>
    <n v="10.18"/>
    <x v="0"/>
    <x v="16"/>
    <s v="Female"/>
    <n v="53.7"/>
    <n v="67.5"/>
    <n v="16.5"/>
    <n v="13"/>
    <s v="NV"/>
    <n v="2"/>
    <n v="270.39999999999998"/>
    <s v="Middle"/>
    <n v="1"/>
    <s v="Single-Day"/>
    <n v="0"/>
    <n v="0"/>
    <s v="Main Entrance"/>
    <s v="Mickey &amp; Friends"/>
    <n v="8"/>
    <n v="6"/>
    <x v="498"/>
  </r>
  <r>
    <n v="4550"/>
    <n v="1492"/>
    <d v="2026-05-13T00:00:00"/>
    <s v="Wednesday"/>
    <n v="5"/>
    <n v="10.199999999999999"/>
    <x v="0"/>
    <x v="31"/>
    <s v="Male"/>
    <n v="72.7"/>
    <n v="204.5"/>
    <n v="27.5"/>
    <n v="15"/>
    <s v="NV"/>
    <n v="2"/>
    <n v="270.39999999999998"/>
    <s v="Middle"/>
    <n v="1"/>
    <s v="Single-Day"/>
    <n v="0"/>
    <n v="0"/>
    <s v="Main Entrance"/>
    <s v="Mickey &amp; Friends"/>
    <n v="8.5"/>
    <n v="10"/>
    <x v="4171"/>
  </r>
  <r>
    <n v="4551"/>
    <n v="1493"/>
    <d v="2026-03-02T00:00:00"/>
    <s v="Monday"/>
    <n v="3"/>
    <n v="11.04"/>
    <x v="1"/>
    <x v="20"/>
    <s v="Male"/>
    <n v="60.9"/>
    <n v="82.6"/>
    <n v="15.8"/>
    <n v="10"/>
    <s v="CA"/>
    <n v="3"/>
    <n v="32.299999999999997"/>
    <s v="Middle"/>
    <n v="0"/>
    <s v="Single-Day"/>
    <n v="0"/>
    <n v="0"/>
    <s v="Main Entrance"/>
    <s v="None/Dropoff/Transit"/>
    <n v="10.8"/>
    <n v="10"/>
    <x v="4172"/>
  </r>
  <r>
    <n v="4552"/>
    <n v="1493"/>
    <d v="2026-03-02T00:00:00"/>
    <s v="Monday"/>
    <n v="3"/>
    <n v="11.07"/>
    <x v="1"/>
    <x v="22"/>
    <s v="Female"/>
    <n v="62.4"/>
    <n v="115.8"/>
    <n v="20.8"/>
    <n v="10"/>
    <s v="CA"/>
    <n v="3"/>
    <n v="32.299999999999997"/>
    <s v="Middle"/>
    <n v="0"/>
    <s v="Single-Day"/>
    <n v="0"/>
    <n v="0"/>
    <s v="Main Entrance"/>
    <s v="None/Dropoff/Transit"/>
    <n v="7.5"/>
    <n v="2"/>
    <x v="4173"/>
  </r>
  <r>
    <n v="4553"/>
    <n v="1493"/>
    <d v="2026-03-02T00:00:00"/>
    <s v="Monday"/>
    <n v="3"/>
    <n v="11.03"/>
    <x v="1"/>
    <x v="29"/>
    <s v="Male"/>
    <n v="73.7"/>
    <n v="159.1"/>
    <n v="20.3"/>
    <n v="16"/>
    <s v="CA"/>
    <n v="3"/>
    <n v="32.299999999999997"/>
    <s v="Middle"/>
    <n v="0"/>
    <s v="Single-Day"/>
    <n v="0"/>
    <n v="0"/>
    <s v="Main Entrance"/>
    <s v="None/Dropoff/Transit"/>
    <n v="8.5"/>
    <n v="6"/>
    <x v="4174"/>
  </r>
  <r>
    <n v="4554"/>
    <n v="1494"/>
    <d v="2026-07-26T00:00:00"/>
    <s v="Sunday"/>
    <n v="7"/>
    <n v="11.06"/>
    <x v="1"/>
    <x v="12"/>
    <s v="Female"/>
    <n v="61.6"/>
    <n v="102.9"/>
    <n v="19"/>
    <n v="18"/>
    <s v="NV"/>
    <n v="3"/>
    <n v="461.1"/>
    <s v="High"/>
    <n v="0"/>
    <s v="Park Hopper"/>
    <n v="1"/>
    <n v="1"/>
    <s v="Main Entrance"/>
    <s v="Pixar Pals"/>
    <n v="8.8000000000000007"/>
    <n v="4"/>
    <x v="2273"/>
  </r>
  <r>
    <n v="4555"/>
    <n v="1494"/>
    <d v="2026-07-26T00:00:00"/>
    <s v="Sunday"/>
    <n v="7"/>
    <n v="11.27"/>
    <x v="1"/>
    <x v="16"/>
    <s v="Male"/>
    <n v="55.3"/>
    <n v="91.3"/>
    <n v="21.1"/>
    <n v="11"/>
    <s v="NV"/>
    <n v="3"/>
    <n v="461.1"/>
    <s v="High"/>
    <n v="0"/>
    <s v="Park Hopper"/>
    <n v="1"/>
    <n v="1"/>
    <s v="Main Entrance"/>
    <s v="Pixar Pals"/>
    <n v="6.6"/>
    <n v="8"/>
    <x v="4175"/>
  </r>
  <r>
    <n v="4556"/>
    <n v="1494"/>
    <d v="2026-07-26T00:00:00"/>
    <s v="Sunday"/>
    <n v="7"/>
    <n v="11.23"/>
    <x v="1"/>
    <x v="38"/>
    <s v="Male"/>
    <n v="66.099999999999994"/>
    <n v="106.5"/>
    <n v="17.2"/>
    <n v="15"/>
    <s v="NV"/>
    <n v="3"/>
    <n v="461.1"/>
    <s v="High"/>
    <n v="0"/>
    <s v="Park Hopper"/>
    <n v="1"/>
    <n v="1"/>
    <s v="Main Entrance"/>
    <s v="Pixar Pals"/>
    <n v="8.1999999999999993"/>
    <n v="7"/>
    <x v="2039"/>
  </r>
  <r>
    <n v="4557"/>
    <n v="1495"/>
    <d v="2026-11-17T00:00:00"/>
    <s v="Tuesday"/>
    <n v="11"/>
    <n v="12.51"/>
    <x v="1"/>
    <x v="35"/>
    <s v="Female"/>
    <n v="67.3"/>
    <n v="160.5"/>
    <n v="24.7"/>
    <n v="16"/>
    <s v="CA"/>
    <n v="4"/>
    <n v="156.30000000000001"/>
    <s v="High"/>
    <n v="1"/>
    <s v="Single-Day"/>
    <n v="1"/>
    <n v="0"/>
    <s v="Main Entrance"/>
    <s v="Mickey &amp; Friends"/>
    <n v="6.3"/>
    <n v="11"/>
    <x v="4176"/>
  </r>
  <r>
    <n v="4558"/>
    <n v="1495"/>
    <d v="2026-11-17T00:00:00"/>
    <s v="Tuesday"/>
    <n v="11"/>
    <n v="12.64"/>
    <x v="1"/>
    <x v="54"/>
    <s v="Male"/>
    <n v="71.5"/>
    <n v="173.6"/>
    <n v="24"/>
    <n v="18"/>
    <s v="CA"/>
    <n v="4"/>
    <n v="156.30000000000001"/>
    <s v="High"/>
    <n v="1"/>
    <s v="Single-Day"/>
    <n v="1"/>
    <n v="0"/>
    <s v="Main Entrance"/>
    <s v="Mickey &amp; Friends"/>
    <n v="8"/>
    <n v="11"/>
    <x v="4177"/>
  </r>
  <r>
    <n v="4559"/>
    <n v="1495"/>
    <d v="2026-11-17T00:00:00"/>
    <s v="Tuesday"/>
    <n v="11"/>
    <n v="12.57"/>
    <x v="1"/>
    <x v="30"/>
    <s v="Female"/>
    <n v="67"/>
    <n v="205.5"/>
    <n v="32.4"/>
    <n v="18"/>
    <s v="CA"/>
    <n v="4"/>
    <n v="156.30000000000001"/>
    <s v="High"/>
    <n v="1"/>
    <s v="Single-Day"/>
    <n v="1"/>
    <n v="0"/>
    <s v="Main Entrance"/>
    <s v="Mickey &amp; Friends"/>
    <n v="7.4"/>
    <n v="10"/>
    <x v="4178"/>
  </r>
  <r>
    <n v="4560"/>
    <n v="1495"/>
    <d v="2026-11-17T00:00:00"/>
    <s v="Tuesday"/>
    <n v="11"/>
    <n v="12.41"/>
    <x v="1"/>
    <x v="60"/>
    <s v="Female"/>
    <n v="61.1"/>
    <n v="104.1"/>
    <n v="19.7"/>
    <n v="15"/>
    <s v="CA"/>
    <n v="4"/>
    <n v="156.30000000000001"/>
    <s v="High"/>
    <n v="1"/>
    <s v="Single-Day"/>
    <n v="1"/>
    <n v="0"/>
    <s v="Main Entrance"/>
    <s v="Mickey &amp; Friends"/>
    <n v="6.8"/>
    <n v="9"/>
    <x v="4179"/>
  </r>
  <r>
    <n v="4561"/>
    <n v="1496"/>
    <d v="2026-11-02T00:00:00"/>
    <s v="Monday"/>
    <n v="11"/>
    <n v="12"/>
    <x v="1"/>
    <x v="2"/>
    <s v="Female"/>
    <n v="65.900000000000006"/>
    <n v="151.4"/>
    <n v="24.7"/>
    <n v="16"/>
    <s v="CA"/>
    <n v="5"/>
    <n v="101.3"/>
    <s v="Middle"/>
    <n v="1"/>
    <s v="Multi-Day"/>
    <n v="0"/>
    <n v="0"/>
    <s v="Downtown Disney Gate"/>
    <s v="Mickey &amp; Friends"/>
    <n v="9"/>
    <n v="7"/>
    <x v="4180"/>
  </r>
  <r>
    <n v="4562"/>
    <n v="1496"/>
    <d v="2026-11-02T00:00:00"/>
    <s v="Monday"/>
    <n v="11"/>
    <n v="11.81"/>
    <x v="1"/>
    <x v="25"/>
    <s v="Female"/>
    <n v="66.900000000000006"/>
    <n v="161.80000000000001"/>
    <n v="25.5"/>
    <n v="18"/>
    <s v="CA"/>
    <n v="5"/>
    <n v="101.3"/>
    <s v="Middle"/>
    <n v="1"/>
    <s v="Multi-Day"/>
    <n v="0"/>
    <n v="0"/>
    <s v="Downtown Disney Gate"/>
    <s v="Mickey &amp; Friends"/>
    <n v="9.4"/>
    <n v="12"/>
    <x v="1993"/>
  </r>
  <r>
    <n v="4563"/>
    <n v="1496"/>
    <d v="2026-11-02T00:00:00"/>
    <s v="Monday"/>
    <n v="11"/>
    <n v="11.95"/>
    <x v="1"/>
    <x v="23"/>
    <s v="Male"/>
    <n v="67.7"/>
    <n v="201.4"/>
    <n v="31"/>
    <n v="17"/>
    <s v="CA"/>
    <n v="5"/>
    <n v="101.3"/>
    <s v="Middle"/>
    <n v="1"/>
    <s v="Multi-Day"/>
    <n v="0"/>
    <n v="0"/>
    <s v="Downtown Disney Gate"/>
    <s v="Mickey &amp; Friends"/>
    <n v="9"/>
    <n v="10"/>
    <x v="4181"/>
  </r>
  <r>
    <n v="4564"/>
    <n v="1496"/>
    <d v="2026-11-02T00:00:00"/>
    <s v="Monday"/>
    <n v="11"/>
    <n v="11.79"/>
    <x v="1"/>
    <x v="54"/>
    <s v="Male"/>
    <n v="63.7"/>
    <n v="150"/>
    <n v="26.2"/>
    <n v="16"/>
    <s v="CA"/>
    <n v="5"/>
    <n v="101.3"/>
    <s v="Middle"/>
    <n v="1"/>
    <s v="Multi-Day"/>
    <n v="0"/>
    <n v="0"/>
    <s v="Downtown Disney Gate"/>
    <s v="Mickey &amp; Friends"/>
    <n v="10.5"/>
    <n v="9"/>
    <x v="4182"/>
  </r>
  <r>
    <n v="4565"/>
    <n v="1496"/>
    <d v="2026-11-02T00:00:00"/>
    <s v="Monday"/>
    <n v="11"/>
    <n v="11.63"/>
    <x v="1"/>
    <x v="52"/>
    <s v="Male"/>
    <n v="66.099999999999994"/>
    <n v="186.5"/>
    <n v="30"/>
    <n v="17"/>
    <s v="CA"/>
    <n v="5"/>
    <n v="101.3"/>
    <s v="Middle"/>
    <n v="1"/>
    <s v="Multi-Day"/>
    <n v="0"/>
    <n v="0"/>
    <s v="Downtown Disney Gate"/>
    <s v="Mickey &amp; Friends"/>
    <n v="8.1999999999999993"/>
    <n v="9"/>
    <x v="4183"/>
  </r>
  <r>
    <n v="4566"/>
    <n v="1497"/>
    <d v="2026-10-22T00:00:00"/>
    <s v="Thursday"/>
    <n v="10"/>
    <n v="10.41"/>
    <x v="0"/>
    <x v="59"/>
    <s v="Female"/>
    <n v="69"/>
    <n v="142"/>
    <n v="21.2"/>
    <n v="16"/>
    <s v="AZ"/>
    <n v="4"/>
    <n v="599"/>
    <s v="High"/>
    <n v="1"/>
    <s v="Single-Day"/>
    <n v="0"/>
    <n v="0"/>
    <s v="Main Entrance"/>
    <s v="Mickey &amp; Friends"/>
    <n v="11.8"/>
    <n v="13"/>
    <x v="4184"/>
  </r>
  <r>
    <n v="4567"/>
    <n v="1497"/>
    <d v="2026-10-22T00:00:00"/>
    <s v="Thursday"/>
    <n v="10"/>
    <n v="10.47"/>
    <x v="0"/>
    <x v="25"/>
    <s v="Male"/>
    <n v="69"/>
    <n v="217.2"/>
    <n v="32.1"/>
    <n v="17"/>
    <s v="AZ"/>
    <n v="4"/>
    <n v="599"/>
    <s v="High"/>
    <n v="1"/>
    <s v="Single-Day"/>
    <n v="0"/>
    <n v="0"/>
    <s v="Main Entrance"/>
    <s v="Mickey &amp; Friends"/>
    <n v="5.9"/>
    <n v="10"/>
    <x v="4185"/>
  </r>
  <r>
    <n v="4568"/>
    <n v="1497"/>
    <d v="2026-10-22T00:00:00"/>
    <s v="Thursday"/>
    <n v="10"/>
    <n v="10.58"/>
    <x v="0"/>
    <x v="67"/>
    <s v="Female"/>
    <n v="64.599999999999994"/>
    <n v="122.3"/>
    <n v="20.6"/>
    <n v="19"/>
    <s v="AZ"/>
    <n v="4"/>
    <n v="599"/>
    <s v="High"/>
    <n v="1"/>
    <s v="Single-Day"/>
    <n v="0"/>
    <n v="0"/>
    <s v="Main Entrance"/>
    <s v="Mickey &amp; Friends"/>
    <n v="6.9"/>
    <n v="11"/>
    <x v="4186"/>
  </r>
  <r>
    <n v="4569"/>
    <n v="1497"/>
    <d v="2026-10-22T00:00:00"/>
    <s v="Thursday"/>
    <n v="10"/>
    <n v="10.67"/>
    <x v="0"/>
    <x v="32"/>
    <s v="Male"/>
    <n v="58"/>
    <n v="81.900000000000006"/>
    <n v="17.100000000000001"/>
    <n v="16"/>
    <s v="AZ"/>
    <n v="4"/>
    <n v="599"/>
    <s v="High"/>
    <n v="1"/>
    <s v="Single-Day"/>
    <n v="0"/>
    <n v="0"/>
    <s v="Main Entrance"/>
    <s v="Mickey &amp; Friends"/>
    <n v="8.5"/>
    <n v="13"/>
    <x v="4187"/>
  </r>
  <r>
    <n v="4570"/>
    <n v="1498"/>
    <d v="2026-08-03T00:00:00"/>
    <s v="Monday"/>
    <n v="8"/>
    <n v="8.6"/>
    <x v="0"/>
    <x v="13"/>
    <s v="Female"/>
    <n v="64.8"/>
    <n v="191.3"/>
    <n v="32"/>
    <n v="16"/>
    <s v="CA"/>
    <n v="2"/>
    <n v="135.9"/>
    <s v="Middle"/>
    <n v="0"/>
    <s v="Single-Day"/>
    <n v="0"/>
    <n v="1"/>
    <s v="Downtown Disney Gate"/>
    <s v="Pixar Pals"/>
    <n v="7.9"/>
    <n v="10"/>
    <x v="4188"/>
  </r>
  <r>
    <n v="4571"/>
    <n v="1498"/>
    <d v="2026-08-03T00:00:00"/>
    <s v="Monday"/>
    <n v="8"/>
    <n v="8.35"/>
    <x v="0"/>
    <x v="30"/>
    <s v="Male"/>
    <n v="73.5"/>
    <n v="219.5"/>
    <n v="28.6"/>
    <n v="15"/>
    <s v="CA"/>
    <n v="2"/>
    <n v="135.9"/>
    <s v="Middle"/>
    <n v="0"/>
    <s v="Single-Day"/>
    <n v="0"/>
    <n v="1"/>
    <s v="Downtown Disney Gate"/>
    <s v="Pixar Pals"/>
    <n v="10.1"/>
    <n v="11"/>
    <x v="4189"/>
  </r>
  <r>
    <n v="4572"/>
    <n v="1499"/>
    <d v="2026-08-30T00:00:00"/>
    <s v="Sunday"/>
    <n v="8"/>
    <n v="8.35"/>
    <x v="0"/>
    <x v="16"/>
    <s v="Male"/>
    <n v="59.7"/>
    <n v="78.3"/>
    <n v="15.6"/>
    <n v="10"/>
    <s v="CA"/>
    <n v="2"/>
    <n v="92.8"/>
    <s v="Low"/>
    <n v="0"/>
    <s v="Single-Day"/>
    <n v="0"/>
    <n v="0"/>
    <s v="Main Entrance"/>
    <s v="Mickey &amp; Friends"/>
    <n v="7.1"/>
    <n v="8"/>
    <x v="4190"/>
  </r>
  <r>
    <n v="4573"/>
    <n v="1499"/>
    <d v="2026-08-30T00:00:00"/>
    <s v="Sunday"/>
    <n v="8"/>
    <n v="8.11"/>
    <x v="0"/>
    <x v="38"/>
    <s v="Male"/>
    <n v="67.599999999999994"/>
    <n v="170.7"/>
    <n v="26.2"/>
    <n v="10"/>
    <s v="CA"/>
    <n v="2"/>
    <n v="92.8"/>
    <s v="Low"/>
    <n v="0"/>
    <s v="Single-Day"/>
    <n v="0"/>
    <n v="0"/>
    <s v="Main Entrance"/>
    <s v="Mickey &amp; Friends"/>
    <n v="10.8"/>
    <n v="7"/>
    <x v="4191"/>
  </r>
  <r>
    <n v="4574"/>
    <n v="1500"/>
    <d v="2026-03-17T00:00:00"/>
    <s v="Tuesday"/>
    <n v="3"/>
    <n v="10.35"/>
    <x v="0"/>
    <x v="30"/>
    <s v="Male"/>
    <n v="66.400000000000006"/>
    <n v="172.6"/>
    <n v="27.4"/>
    <n v="17"/>
    <s v="CA"/>
    <n v="2"/>
    <n v="88.2"/>
    <s v="High"/>
    <n v="1"/>
    <s v="Park Hopper"/>
    <n v="1"/>
    <n v="1"/>
    <s v="Main Entrance"/>
    <s v="Mickey &amp; Friends"/>
    <n v="8"/>
    <n v="12"/>
    <x v="4192"/>
  </r>
  <r>
    <n v="4575"/>
    <n v="1500"/>
    <d v="2026-03-17T00:00:00"/>
    <s v="Tuesday"/>
    <n v="3"/>
    <n v="10.26"/>
    <x v="0"/>
    <x v="45"/>
    <s v="Female"/>
    <n v="61.8"/>
    <n v="160.80000000000001"/>
    <n v="29.7"/>
    <n v="15"/>
    <s v="CA"/>
    <n v="2"/>
    <n v="88.2"/>
    <s v="High"/>
    <n v="1"/>
    <s v="Park Hopper"/>
    <n v="1"/>
    <n v="1"/>
    <s v="Main Entrance"/>
    <s v="Mickey &amp; Friends"/>
    <n v="10.3"/>
    <n v="1"/>
    <x v="4193"/>
  </r>
  <r>
    <n v="4576"/>
    <n v="1501"/>
    <d v="2026-04-02T00:00:00"/>
    <s v="Thursday"/>
    <n v="4"/>
    <n v="12.02"/>
    <x v="1"/>
    <x v="0"/>
    <s v="Female"/>
    <n v="72.3"/>
    <n v="177.7"/>
    <n v="23.9"/>
    <n v="14"/>
    <s v="OR"/>
    <n v="3"/>
    <n v="701.2"/>
    <s v="Middle"/>
    <n v="1"/>
    <s v="Single-Day"/>
    <n v="1"/>
    <n v="1"/>
    <s v="Main Entrance"/>
    <s v="None/Walked from Resort"/>
    <n v="7.8"/>
    <n v="12"/>
    <x v="3260"/>
  </r>
  <r>
    <n v="4577"/>
    <n v="1501"/>
    <d v="2026-04-02T00:00:00"/>
    <s v="Thursday"/>
    <n v="4"/>
    <n v="12.13"/>
    <x v="1"/>
    <x v="79"/>
    <s v="Female"/>
    <n v="66.400000000000006"/>
    <n v="190.1"/>
    <n v="30.3"/>
    <n v="18"/>
    <s v="OR"/>
    <n v="3"/>
    <n v="701.2"/>
    <s v="Middle"/>
    <n v="1"/>
    <s v="Single-Day"/>
    <n v="1"/>
    <n v="1"/>
    <s v="Main Entrance"/>
    <s v="None/Walked from Resort"/>
    <n v="9.8000000000000007"/>
    <n v="9"/>
    <x v="4194"/>
  </r>
  <r>
    <n v="4578"/>
    <n v="1501"/>
    <d v="2026-04-02T00:00:00"/>
    <s v="Thursday"/>
    <n v="4"/>
    <n v="11.99"/>
    <x v="1"/>
    <x v="32"/>
    <s v="Male"/>
    <n v="63.6"/>
    <n v="131.9"/>
    <n v="22.8"/>
    <n v="13"/>
    <s v="OR"/>
    <n v="3"/>
    <n v="701.2"/>
    <s v="Middle"/>
    <n v="1"/>
    <s v="Single-Day"/>
    <n v="1"/>
    <n v="1"/>
    <s v="Main Entrance"/>
    <s v="None/Walked from Resort"/>
    <n v="11.2"/>
    <n v="10"/>
    <x v="4195"/>
  </r>
  <r>
    <n v="4579"/>
    <n v="1502"/>
    <d v="2026-12-31T00:00:00"/>
    <s v="Thursday"/>
    <n v="12"/>
    <n v="10.24"/>
    <x v="0"/>
    <x v="55"/>
    <s v="Female"/>
    <n v="65.599999999999994"/>
    <n v="100.8"/>
    <n v="16.399999999999999"/>
    <n v="14"/>
    <s v="TX"/>
    <n v="5"/>
    <n v="1960.1"/>
    <s v="High"/>
    <n v="0"/>
    <s v="Single-Day"/>
    <n v="0"/>
    <n v="0"/>
    <s v="Main Entrance"/>
    <s v="None/Dropoff/Transit"/>
    <n v="8.3000000000000007"/>
    <n v="7"/>
    <x v="4196"/>
  </r>
  <r>
    <n v="4580"/>
    <n v="1502"/>
    <d v="2026-12-31T00:00:00"/>
    <s v="Thursday"/>
    <n v="12"/>
    <n v="10.3"/>
    <x v="0"/>
    <x v="71"/>
    <s v="Male"/>
    <n v="69.599999999999994"/>
    <n v="147.69999999999999"/>
    <n v="21.5"/>
    <n v="19"/>
    <s v="TX"/>
    <n v="5"/>
    <n v="1960.1"/>
    <s v="High"/>
    <n v="0"/>
    <s v="Single-Day"/>
    <n v="0"/>
    <n v="0"/>
    <s v="Main Entrance"/>
    <s v="None/Dropoff/Transit"/>
    <n v="8.6"/>
    <n v="9"/>
    <x v="4197"/>
  </r>
  <r>
    <n v="4581"/>
    <n v="1502"/>
    <d v="2026-12-31T00:00:00"/>
    <s v="Thursday"/>
    <n v="12"/>
    <n v="10.26"/>
    <x v="0"/>
    <x v="51"/>
    <s v="Male"/>
    <n v="65.7"/>
    <n v="166.6"/>
    <n v="27.1"/>
    <n v="17"/>
    <s v="TX"/>
    <n v="5"/>
    <n v="1960.1"/>
    <s v="High"/>
    <n v="0"/>
    <s v="Single-Day"/>
    <n v="0"/>
    <n v="0"/>
    <s v="Main Entrance"/>
    <s v="None/Dropoff/Transit"/>
    <n v="4.8"/>
    <n v="5"/>
    <x v="4198"/>
  </r>
  <r>
    <n v="4582"/>
    <n v="1502"/>
    <d v="2026-12-31T00:00:00"/>
    <s v="Thursday"/>
    <n v="12"/>
    <n v="10.11"/>
    <x v="0"/>
    <x v="45"/>
    <s v="Female"/>
    <n v="66.400000000000006"/>
    <n v="172.2"/>
    <n v="27.2"/>
    <n v="19"/>
    <s v="TX"/>
    <n v="5"/>
    <n v="1960.1"/>
    <s v="High"/>
    <n v="0"/>
    <s v="Single-Day"/>
    <n v="0"/>
    <n v="0"/>
    <s v="Main Entrance"/>
    <s v="None/Dropoff/Transit"/>
    <n v="7"/>
    <n v="10"/>
    <x v="4199"/>
  </r>
  <r>
    <n v="4583"/>
    <n v="1502"/>
    <d v="2026-12-31T00:00:00"/>
    <s v="Thursday"/>
    <n v="12"/>
    <n v="10.23"/>
    <x v="0"/>
    <x v="27"/>
    <s v="Female"/>
    <n v="64.099999999999994"/>
    <n v="141.6"/>
    <n v="24.3"/>
    <n v="15"/>
    <s v="TX"/>
    <n v="5"/>
    <n v="1960.1"/>
    <s v="High"/>
    <n v="0"/>
    <s v="Single-Day"/>
    <n v="0"/>
    <n v="0"/>
    <s v="Main Entrance"/>
    <s v="None/Dropoff/Transit"/>
    <n v="10.9"/>
    <n v="10"/>
    <x v="4200"/>
  </r>
  <r>
    <n v="4584"/>
    <n v="1503"/>
    <d v="2026-11-29T00:00:00"/>
    <s v="Sunday"/>
    <n v="11"/>
    <n v="9.57"/>
    <x v="0"/>
    <x v="16"/>
    <s v="Male"/>
    <n v="51.9"/>
    <n v="91.1"/>
    <n v="23.7"/>
    <n v="11"/>
    <s v="AZ"/>
    <n v="3"/>
    <n v="499"/>
    <s v="Low"/>
    <n v="1"/>
    <s v="Park Hopper"/>
    <n v="0"/>
    <n v="0"/>
    <s v="Downtown Disney Gate"/>
    <s v="Toy Story Lot"/>
    <n v="12"/>
    <n v="9"/>
    <x v="4201"/>
  </r>
  <r>
    <n v="4585"/>
    <n v="1503"/>
    <d v="2026-11-29T00:00:00"/>
    <s v="Sunday"/>
    <n v="11"/>
    <n v="9.77"/>
    <x v="0"/>
    <x v="32"/>
    <s v="Female"/>
    <n v="48.4"/>
    <n v="60.4"/>
    <n v="17.899999999999999"/>
    <n v="12"/>
    <s v="AZ"/>
    <n v="3"/>
    <n v="499"/>
    <s v="Low"/>
    <n v="1"/>
    <s v="Park Hopper"/>
    <n v="0"/>
    <n v="0"/>
    <s v="Downtown Disney Gate"/>
    <s v="Toy Story Lot"/>
    <n v="7.6"/>
    <n v="8"/>
    <x v="4202"/>
  </r>
  <r>
    <n v="4586"/>
    <n v="1503"/>
    <d v="2026-11-29T00:00:00"/>
    <s v="Sunday"/>
    <n v="11"/>
    <n v="9.64"/>
    <x v="0"/>
    <x v="38"/>
    <s v="Female"/>
    <n v="66.8"/>
    <n v="160.69999999999999"/>
    <n v="25.3"/>
    <n v="9"/>
    <s v="AZ"/>
    <n v="3"/>
    <n v="499"/>
    <s v="Low"/>
    <n v="1"/>
    <s v="Park Hopper"/>
    <n v="0"/>
    <n v="0"/>
    <s v="Downtown Disney Gate"/>
    <s v="Toy Story Lot"/>
    <n v="9.6999999999999993"/>
    <n v="7"/>
    <x v="4203"/>
  </r>
  <r>
    <n v="4587"/>
    <n v="1504"/>
    <d v="2026-07-06T00:00:00"/>
    <s v="Monday"/>
    <n v="7"/>
    <n v="7.17"/>
    <x v="0"/>
    <x v="3"/>
    <s v="Female"/>
    <n v="63"/>
    <n v="156.6"/>
    <n v="27.5"/>
    <n v="13"/>
    <s v="OR"/>
    <n v="3"/>
    <n v="1072.7"/>
    <s v="Low"/>
    <n v="0"/>
    <s v="Single-Day"/>
    <n v="0"/>
    <n v="0"/>
    <s v="Main Entrance"/>
    <s v="Pixar Pals"/>
    <n v="6.6"/>
    <n v="5"/>
    <x v="4204"/>
  </r>
  <r>
    <n v="4588"/>
    <n v="1504"/>
    <d v="2026-07-06T00:00:00"/>
    <s v="Monday"/>
    <n v="7"/>
    <n v="7.04"/>
    <x v="0"/>
    <x v="67"/>
    <s v="Male"/>
    <n v="66.400000000000006"/>
    <n v="141.5"/>
    <n v="22.2"/>
    <n v="10"/>
    <s v="OR"/>
    <n v="3"/>
    <n v="1072.7"/>
    <s v="Low"/>
    <n v="0"/>
    <s v="Single-Day"/>
    <n v="0"/>
    <n v="0"/>
    <s v="Main Entrance"/>
    <s v="Pixar Pals"/>
    <n v="9.5"/>
    <n v="10"/>
    <x v="4205"/>
  </r>
  <r>
    <n v="4589"/>
    <n v="1504"/>
    <d v="2026-07-06T00:00:00"/>
    <s v="Monday"/>
    <n v="7"/>
    <n v="7"/>
    <x v="0"/>
    <x v="37"/>
    <s v="Male"/>
    <n v="74.599999999999994"/>
    <n v="131.1"/>
    <n v="16.7"/>
    <n v="15"/>
    <s v="OR"/>
    <n v="3"/>
    <n v="1072.7"/>
    <s v="Low"/>
    <n v="0"/>
    <s v="Single-Day"/>
    <n v="0"/>
    <n v="0"/>
    <s v="Main Entrance"/>
    <s v="Pixar Pals"/>
    <n v="11.6"/>
    <n v="3"/>
    <x v="4206"/>
  </r>
  <r>
    <n v="4590"/>
    <n v="1505"/>
    <d v="2026-07-24T00:00:00"/>
    <s v="Friday"/>
    <n v="7"/>
    <n v="12.7"/>
    <x v="1"/>
    <x v="10"/>
    <s v="Male"/>
    <n v="67"/>
    <n v="178.1"/>
    <n v="28"/>
    <n v="15"/>
    <s v="CA"/>
    <n v="6"/>
    <n v="79.5"/>
    <s v="Middle"/>
    <n v="0"/>
    <s v="Single-Day"/>
    <n v="0"/>
    <n v="0"/>
    <s v="Main Entrance"/>
    <s v="Mickey &amp; Friends"/>
    <n v="6.4"/>
    <n v="5"/>
    <x v="4207"/>
  </r>
  <r>
    <n v="4591"/>
    <n v="1505"/>
    <d v="2026-07-24T00:00:00"/>
    <s v="Friday"/>
    <n v="7"/>
    <n v="12.75"/>
    <x v="1"/>
    <x v="43"/>
    <s v="Male"/>
    <n v="67.3"/>
    <n v="188.9"/>
    <n v="28.9"/>
    <n v="15"/>
    <s v="CA"/>
    <n v="6"/>
    <n v="79.5"/>
    <s v="Middle"/>
    <n v="0"/>
    <s v="Single-Day"/>
    <n v="0"/>
    <n v="0"/>
    <s v="Main Entrance"/>
    <s v="Mickey &amp; Friends"/>
    <n v="8.1999999999999993"/>
    <n v="9"/>
    <x v="4208"/>
  </r>
  <r>
    <n v="4592"/>
    <n v="1505"/>
    <d v="2026-07-24T00:00:00"/>
    <s v="Friday"/>
    <n v="7"/>
    <n v="12.76"/>
    <x v="1"/>
    <x v="28"/>
    <s v="Female"/>
    <n v="70.5"/>
    <n v="244"/>
    <n v="34.5"/>
    <n v="12"/>
    <s v="CA"/>
    <n v="6"/>
    <n v="79.5"/>
    <s v="Middle"/>
    <n v="0"/>
    <s v="Single-Day"/>
    <n v="0"/>
    <n v="0"/>
    <s v="Main Entrance"/>
    <s v="Mickey &amp; Friends"/>
    <n v="8"/>
    <n v="7"/>
    <x v="4209"/>
  </r>
  <r>
    <n v="4593"/>
    <n v="1505"/>
    <d v="2026-07-24T00:00:00"/>
    <s v="Friday"/>
    <n v="7"/>
    <n v="12.66"/>
    <x v="1"/>
    <x v="11"/>
    <s v="Female"/>
    <n v="64.3"/>
    <n v="160.30000000000001"/>
    <n v="27.2"/>
    <n v="13"/>
    <s v="CA"/>
    <n v="6"/>
    <n v="79.5"/>
    <s v="Middle"/>
    <n v="0"/>
    <s v="Single-Day"/>
    <n v="0"/>
    <n v="0"/>
    <s v="Main Entrance"/>
    <s v="Mickey &amp; Friends"/>
    <n v="8.1999999999999993"/>
    <n v="9"/>
    <x v="4210"/>
  </r>
  <r>
    <n v="4594"/>
    <n v="1505"/>
    <d v="2026-07-24T00:00:00"/>
    <s v="Friday"/>
    <n v="7"/>
    <n v="12.75"/>
    <x v="1"/>
    <x v="12"/>
    <s v="Male"/>
    <n v="60.1"/>
    <n v="105.6"/>
    <n v="20.5"/>
    <n v="13"/>
    <s v="CA"/>
    <n v="6"/>
    <n v="79.5"/>
    <s v="Middle"/>
    <n v="0"/>
    <s v="Single-Day"/>
    <n v="0"/>
    <n v="0"/>
    <s v="Main Entrance"/>
    <s v="Mickey &amp; Friends"/>
    <n v="8.6"/>
    <n v="4"/>
    <x v="4211"/>
  </r>
  <r>
    <n v="4595"/>
    <n v="1505"/>
    <d v="2026-07-24T00:00:00"/>
    <s v="Friday"/>
    <n v="7"/>
    <n v="12.94"/>
    <x v="1"/>
    <x v="14"/>
    <s v="Male"/>
    <n v="68.2"/>
    <n v="136.69999999999999"/>
    <n v="20.5"/>
    <n v="15"/>
    <s v="CA"/>
    <n v="6"/>
    <n v="79.5"/>
    <s v="Middle"/>
    <n v="0"/>
    <s v="Single-Day"/>
    <n v="0"/>
    <n v="0"/>
    <s v="Main Entrance"/>
    <s v="Mickey &amp; Friends"/>
    <n v="7.5"/>
    <n v="6"/>
    <x v="4212"/>
  </r>
  <r>
    <n v="4596"/>
    <n v="1506"/>
    <d v="2026-01-17T00:00:00"/>
    <s v="Saturday"/>
    <n v="1"/>
    <n v="11.36"/>
    <x v="1"/>
    <x v="51"/>
    <s v="Male"/>
    <n v="67.599999999999994"/>
    <n v="140.5"/>
    <n v="21.5"/>
    <n v="16"/>
    <s v="NV"/>
    <n v="4"/>
    <n v="226.4"/>
    <s v="Middle"/>
    <n v="0"/>
    <s v="Single-Day"/>
    <n v="1"/>
    <n v="0"/>
    <s v="Main Entrance"/>
    <s v="Pixar Pals"/>
    <n v="6.8"/>
    <n v="8"/>
    <x v="4213"/>
  </r>
  <r>
    <n v="4597"/>
    <n v="1506"/>
    <d v="2026-01-17T00:00:00"/>
    <s v="Saturday"/>
    <n v="1"/>
    <n v="11.59"/>
    <x v="1"/>
    <x v="67"/>
    <s v="Male"/>
    <n v="65.5"/>
    <n v="137.80000000000001"/>
    <n v="22.7"/>
    <n v="13"/>
    <s v="NV"/>
    <n v="4"/>
    <n v="226.4"/>
    <s v="Middle"/>
    <n v="0"/>
    <s v="Single-Day"/>
    <n v="1"/>
    <n v="0"/>
    <s v="Main Entrance"/>
    <s v="Pixar Pals"/>
    <n v="7.8"/>
    <n v="2"/>
    <x v="692"/>
  </r>
  <r>
    <n v="4598"/>
    <n v="1506"/>
    <d v="2026-01-17T00:00:00"/>
    <s v="Saturday"/>
    <n v="1"/>
    <n v="11.41"/>
    <x v="1"/>
    <x v="32"/>
    <s v="Female"/>
    <n v="64.900000000000006"/>
    <n v="124.3"/>
    <n v="20.7"/>
    <n v="13"/>
    <s v="NV"/>
    <n v="4"/>
    <n v="226.4"/>
    <s v="Middle"/>
    <n v="0"/>
    <s v="Single-Day"/>
    <n v="1"/>
    <n v="0"/>
    <s v="Main Entrance"/>
    <s v="Pixar Pals"/>
    <n v="9.6999999999999993"/>
    <n v="8"/>
    <x v="4214"/>
  </r>
  <r>
    <n v="4599"/>
    <n v="1506"/>
    <d v="2026-01-17T00:00:00"/>
    <s v="Saturday"/>
    <n v="1"/>
    <n v="11.27"/>
    <x v="1"/>
    <x v="28"/>
    <s v="Male"/>
    <n v="70.2"/>
    <n v="168.7"/>
    <n v="23.9"/>
    <n v="17"/>
    <s v="NV"/>
    <n v="4"/>
    <n v="226.4"/>
    <s v="Middle"/>
    <n v="0"/>
    <s v="Single-Day"/>
    <n v="1"/>
    <n v="0"/>
    <s v="Main Entrance"/>
    <s v="Pixar Pals"/>
    <n v="7.8"/>
    <n v="4"/>
    <x v="4215"/>
  </r>
  <r>
    <n v="4600"/>
    <n v="1507"/>
    <d v="2026-10-15T00:00:00"/>
    <s v="Thursday"/>
    <n v="10"/>
    <n v="8.57"/>
    <x v="0"/>
    <x v="49"/>
    <s v="Female"/>
    <n v="61.6"/>
    <n v="148"/>
    <n v="27.5"/>
    <n v="14"/>
    <s v="OR"/>
    <n v="2"/>
    <n v="1064"/>
    <s v="Low"/>
    <n v="1"/>
    <s v="Single-Day"/>
    <n v="1"/>
    <n v="0"/>
    <s v="Main Entrance"/>
    <s v="Toy Story Lot"/>
    <n v="7.6"/>
    <n v="6"/>
    <x v="3255"/>
  </r>
  <r>
    <n v="4601"/>
    <n v="1507"/>
    <d v="2026-10-15T00:00:00"/>
    <s v="Thursday"/>
    <n v="10"/>
    <n v="8.69"/>
    <x v="0"/>
    <x v="0"/>
    <s v="Male"/>
    <n v="70.400000000000006"/>
    <n v="192.5"/>
    <n v="27.1"/>
    <n v="12"/>
    <s v="OR"/>
    <n v="2"/>
    <n v="1064"/>
    <s v="Low"/>
    <n v="1"/>
    <s v="Single-Day"/>
    <n v="1"/>
    <n v="0"/>
    <s v="Main Entrance"/>
    <s v="Toy Story Lot"/>
    <n v="10.7"/>
    <n v="11"/>
    <x v="521"/>
  </r>
  <r>
    <n v="4602"/>
    <n v="1508"/>
    <d v="2026-07-28T00:00:00"/>
    <s v="Tuesday"/>
    <n v="7"/>
    <n v="12.8"/>
    <x v="1"/>
    <x v="71"/>
    <s v="Female"/>
    <n v="66.7"/>
    <n v="198.5"/>
    <n v="31.4"/>
    <n v="14"/>
    <s v="WA"/>
    <n v="2"/>
    <n v="1462.7"/>
    <s v="Middle"/>
    <n v="1"/>
    <s v="Park Hopper"/>
    <n v="1"/>
    <n v="0"/>
    <s v="Main Entrance"/>
    <s v="Pixar Pals"/>
    <n v="8.5"/>
    <n v="9"/>
    <x v="4216"/>
  </r>
  <r>
    <n v="4603"/>
    <n v="1508"/>
    <d v="2026-07-28T00:00:00"/>
    <s v="Tuesday"/>
    <n v="7"/>
    <n v="12.68"/>
    <x v="1"/>
    <x v="38"/>
    <s v="Male"/>
    <n v="70.400000000000006"/>
    <n v="184.6"/>
    <n v="26.2"/>
    <n v="14"/>
    <s v="WA"/>
    <n v="2"/>
    <n v="1462.7"/>
    <s v="Middle"/>
    <n v="1"/>
    <s v="Park Hopper"/>
    <n v="1"/>
    <n v="0"/>
    <s v="Main Entrance"/>
    <s v="Pixar Pals"/>
    <n v="8"/>
    <n v="5"/>
    <x v="813"/>
  </r>
  <r>
    <n v="4604"/>
    <n v="1509"/>
    <d v="2026-05-26T00:00:00"/>
    <s v="Tuesday"/>
    <n v="5"/>
    <n v="11.14"/>
    <x v="1"/>
    <x v="34"/>
    <s v="Female"/>
    <n v="66"/>
    <n v="140.5"/>
    <n v="22.8"/>
    <n v="18"/>
    <s v="CA"/>
    <n v="4"/>
    <n v="177.3"/>
    <s v="Middle"/>
    <n v="0"/>
    <s v="Multi-Day"/>
    <n v="1"/>
    <n v="0"/>
    <s v="Main Entrance"/>
    <s v="Toy Story Lot"/>
    <n v="10.7"/>
    <n v="12"/>
    <x v="4217"/>
  </r>
  <r>
    <n v="4605"/>
    <n v="1509"/>
    <d v="2026-05-26T00:00:00"/>
    <s v="Tuesday"/>
    <n v="5"/>
    <n v="11.11"/>
    <x v="1"/>
    <x v="34"/>
    <s v="Male"/>
    <n v="71"/>
    <n v="180.6"/>
    <n v="25.2"/>
    <n v="16"/>
    <s v="CA"/>
    <n v="4"/>
    <n v="177.3"/>
    <s v="Middle"/>
    <n v="0"/>
    <s v="Multi-Day"/>
    <n v="1"/>
    <n v="0"/>
    <s v="Main Entrance"/>
    <s v="Toy Story Lot"/>
    <n v="4.4000000000000004"/>
    <n v="10"/>
    <x v="4218"/>
  </r>
  <r>
    <n v="4606"/>
    <n v="1509"/>
    <d v="2026-05-26T00:00:00"/>
    <s v="Tuesday"/>
    <n v="5"/>
    <n v="11.22"/>
    <x v="1"/>
    <x v="30"/>
    <s v="Female"/>
    <n v="66.400000000000006"/>
    <n v="160.9"/>
    <n v="25.5"/>
    <n v="16"/>
    <s v="CA"/>
    <n v="4"/>
    <n v="177.3"/>
    <s v="Middle"/>
    <n v="0"/>
    <s v="Multi-Day"/>
    <n v="1"/>
    <n v="0"/>
    <s v="Main Entrance"/>
    <s v="Toy Story Lot"/>
    <n v="11.3"/>
    <n v="16"/>
    <x v="4219"/>
  </r>
  <r>
    <n v="4607"/>
    <n v="1509"/>
    <d v="2026-05-26T00:00:00"/>
    <s v="Tuesday"/>
    <n v="5"/>
    <n v="11.05"/>
    <x v="1"/>
    <x v="1"/>
    <s v="Male"/>
    <n v="65.7"/>
    <n v="180.5"/>
    <n v="29.2"/>
    <n v="11"/>
    <s v="CA"/>
    <n v="4"/>
    <n v="177.3"/>
    <s v="Middle"/>
    <n v="0"/>
    <s v="Multi-Day"/>
    <n v="1"/>
    <n v="0"/>
    <s v="Main Entrance"/>
    <s v="Toy Story Lot"/>
    <n v="8.1"/>
    <n v="7"/>
    <x v="2089"/>
  </r>
  <r>
    <n v="4608"/>
    <n v="1510"/>
    <d v="2026-11-13T00:00:00"/>
    <s v="Friday"/>
    <n v="11"/>
    <n v="10.7"/>
    <x v="0"/>
    <x v="36"/>
    <s v="Male"/>
    <n v="68.8"/>
    <n v="148"/>
    <n v="21.9"/>
    <n v="13"/>
    <s v="Other"/>
    <n v="4"/>
    <n v="1416.9"/>
    <s v="Low"/>
    <n v="1"/>
    <s v="Park Hopper"/>
    <n v="0"/>
    <n v="0"/>
    <s v="Main Entrance"/>
    <s v="None/Dropoff/Transit"/>
    <n v="5.0999999999999996"/>
    <n v="10"/>
    <x v="4220"/>
  </r>
  <r>
    <n v="4609"/>
    <n v="1510"/>
    <d v="2026-11-13T00:00:00"/>
    <s v="Friday"/>
    <n v="11"/>
    <n v="10.67"/>
    <x v="0"/>
    <x v="19"/>
    <s v="Female"/>
    <n v="63.9"/>
    <n v="164"/>
    <n v="28.2"/>
    <n v="12"/>
    <s v="Other"/>
    <n v="4"/>
    <n v="1416.9"/>
    <s v="Low"/>
    <n v="1"/>
    <s v="Park Hopper"/>
    <n v="0"/>
    <n v="0"/>
    <s v="Main Entrance"/>
    <s v="None/Dropoff/Transit"/>
    <n v="6"/>
    <n v="10"/>
    <x v="4221"/>
  </r>
  <r>
    <n v="4610"/>
    <n v="1510"/>
    <d v="2026-11-13T00:00:00"/>
    <s v="Friday"/>
    <n v="11"/>
    <n v="10.81"/>
    <x v="0"/>
    <x v="23"/>
    <s v="Male"/>
    <n v="67.3"/>
    <n v="157.6"/>
    <n v="24.4"/>
    <n v="13"/>
    <s v="Other"/>
    <n v="4"/>
    <n v="1416.9"/>
    <s v="Low"/>
    <n v="1"/>
    <s v="Park Hopper"/>
    <n v="0"/>
    <n v="0"/>
    <s v="Main Entrance"/>
    <s v="None/Dropoff/Transit"/>
    <n v="9"/>
    <n v="15"/>
    <x v="4222"/>
  </r>
  <r>
    <n v="4611"/>
    <n v="1510"/>
    <d v="2026-11-13T00:00:00"/>
    <s v="Friday"/>
    <n v="11"/>
    <n v="10.87"/>
    <x v="0"/>
    <x v="47"/>
    <s v="Male"/>
    <n v="68.7"/>
    <n v="183.5"/>
    <n v="27.2"/>
    <n v="14"/>
    <s v="Other"/>
    <n v="4"/>
    <n v="1416.9"/>
    <s v="Low"/>
    <n v="1"/>
    <s v="Park Hopper"/>
    <n v="0"/>
    <n v="0"/>
    <s v="Main Entrance"/>
    <s v="None/Dropoff/Transit"/>
    <n v="9"/>
    <n v="5"/>
    <x v="3562"/>
  </r>
  <r>
    <n v="4612"/>
    <n v="1511"/>
    <d v="2026-07-17T00:00:00"/>
    <s v="Friday"/>
    <n v="7"/>
    <n v="10.25"/>
    <x v="0"/>
    <x v="25"/>
    <s v="Male"/>
    <n v="75.5"/>
    <n v="200.9"/>
    <n v="24.7"/>
    <n v="13"/>
    <s v="Other"/>
    <n v="1"/>
    <n v="1842.4"/>
    <s v="Middle"/>
    <n v="0"/>
    <s v="Multi-Day"/>
    <n v="0"/>
    <n v="0"/>
    <s v="Main Entrance"/>
    <s v="Pixar Pals"/>
    <n v="7.9"/>
    <n v="9"/>
    <x v="4223"/>
  </r>
  <r>
    <n v="4613"/>
    <n v="1512"/>
    <d v="2026-07-23T00:00:00"/>
    <s v="Thursday"/>
    <n v="7"/>
    <n v="8.6"/>
    <x v="0"/>
    <x v="22"/>
    <s v="Female"/>
    <n v="62.1"/>
    <n v="100.4"/>
    <n v="18.3"/>
    <n v="10"/>
    <s v="NY"/>
    <n v="4"/>
    <n v="1512.1"/>
    <s v="Middle"/>
    <n v="1"/>
    <s v="Single-Day"/>
    <n v="0"/>
    <n v="1"/>
    <s v="Main Entrance"/>
    <s v="None/Walked from Resort"/>
    <n v="9.3000000000000007"/>
    <n v="6"/>
    <x v="4224"/>
  </r>
  <r>
    <n v="4614"/>
    <n v="1512"/>
    <d v="2026-07-23T00:00:00"/>
    <s v="Thursday"/>
    <n v="7"/>
    <n v="8.5"/>
    <x v="0"/>
    <x v="4"/>
    <s v="Female"/>
    <n v="67.599999999999994"/>
    <n v="161.9"/>
    <n v="24.9"/>
    <n v="18"/>
    <s v="NY"/>
    <n v="4"/>
    <n v="1512.1"/>
    <s v="Middle"/>
    <n v="1"/>
    <s v="Single-Day"/>
    <n v="0"/>
    <n v="1"/>
    <s v="Main Entrance"/>
    <s v="None/Walked from Resort"/>
    <n v="10.7"/>
    <n v="10"/>
    <x v="4225"/>
  </r>
  <r>
    <n v="4615"/>
    <n v="1512"/>
    <d v="2026-07-23T00:00:00"/>
    <s v="Thursday"/>
    <n v="7"/>
    <n v="8.5299999999999994"/>
    <x v="0"/>
    <x v="18"/>
    <s v="Female"/>
    <n v="66.400000000000006"/>
    <n v="158.6"/>
    <n v="25.1"/>
    <n v="13"/>
    <s v="NY"/>
    <n v="4"/>
    <n v="1512.1"/>
    <s v="Middle"/>
    <n v="1"/>
    <s v="Single-Day"/>
    <n v="0"/>
    <n v="1"/>
    <s v="Main Entrance"/>
    <s v="None/Walked from Resort"/>
    <n v="9.5"/>
    <n v="12"/>
    <x v="4226"/>
  </r>
  <r>
    <n v="4616"/>
    <n v="1512"/>
    <d v="2026-07-23T00:00:00"/>
    <s v="Thursday"/>
    <n v="7"/>
    <n v="8.74"/>
    <x v="0"/>
    <x v="69"/>
    <s v="Female"/>
    <n v="58.8"/>
    <n v="103.7"/>
    <n v="21"/>
    <n v="19"/>
    <s v="NY"/>
    <n v="4"/>
    <n v="1512.1"/>
    <s v="Middle"/>
    <n v="1"/>
    <s v="Single-Day"/>
    <n v="0"/>
    <n v="1"/>
    <s v="Main Entrance"/>
    <s v="None/Walked from Resort"/>
    <n v="9.1"/>
    <n v="5"/>
    <x v="4227"/>
  </r>
  <r>
    <n v="4617"/>
    <n v="1513"/>
    <d v="2026-09-30T00:00:00"/>
    <s v="Wednesday"/>
    <n v="9"/>
    <n v="10.02"/>
    <x v="0"/>
    <x v="34"/>
    <s v="Male"/>
    <n v="76.7"/>
    <n v="177.9"/>
    <n v="21.3"/>
    <n v="15"/>
    <s v="CA"/>
    <n v="1"/>
    <n v="2"/>
    <s v="Middle"/>
    <n v="0"/>
    <s v="Single-Day"/>
    <n v="0"/>
    <n v="0"/>
    <s v="Main Entrance"/>
    <s v="Toy Story Lot"/>
    <n v="7.3"/>
    <n v="7"/>
    <x v="4228"/>
  </r>
  <r>
    <n v="4618"/>
    <n v="1514"/>
    <d v="2026-03-06T00:00:00"/>
    <s v="Friday"/>
    <n v="3"/>
    <n v="15.06"/>
    <x v="2"/>
    <x v="36"/>
    <s v="Nonbinary/Other"/>
    <n v="72.599999999999994"/>
    <n v="151.5"/>
    <n v="20.399999999999999"/>
    <n v="12"/>
    <s v="CA"/>
    <n v="4"/>
    <n v="27.4"/>
    <s v="Low"/>
    <n v="0"/>
    <s v="Single-Day"/>
    <n v="0"/>
    <n v="0"/>
    <s v="Main Entrance"/>
    <s v="Toy Story Lot"/>
    <n v="7.6"/>
    <n v="9"/>
    <x v="4229"/>
  </r>
  <r>
    <n v="4619"/>
    <n v="1514"/>
    <d v="2026-03-06T00:00:00"/>
    <s v="Friday"/>
    <n v="3"/>
    <n v="15.19"/>
    <x v="2"/>
    <x v="22"/>
    <s v="Female"/>
    <n v="59.7"/>
    <n v="74.8"/>
    <n v="14.8"/>
    <n v="9"/>
    <s v="CA"/>
    <n v="4"/>
    <n v="27.4"/>
    <s v="Low"/>
    <n v="0"/>
    <s v="Single-Day"/>
    <n v="0"/>
    <n v="0"/>
    <s v="Main Entrance"/>
    <s v="Toy Story Lot"/>
    <n v="6.1"/>
    <n v="4"/>
    <x v="4230"/>
  </r>
  <r>
    <n v="4620"/>
    <n v="1514"/>
    <d v="2026-03-06T00:00:00"/>
    <s v="Friday"/>
    <n v="3"/>
    <n v="15.35"/>
    <x v="2"/>
    <x v="21"/>
    <s v="Male"/>
    <n v="62.6"/>
    <n v="185.1"/>
    <n v="33.299999999999997"/>
    <n v="11"/>
    <s v="CA"/>
    <n v="4"/>
    <n v="27.4"/>
    <s v="Low"/>
    <n v="0"/>
    <s v="Single-Day"/>
    <n v="0"/>
    <n v="0"/>
    <s v="Main Entrance"/>
    <s v="Toy Story Lot"/>
    <n v="5.2"/>
    <n v="7"/>
    <x v="4231"/>
  </r>
  <r>
    <n v="4621"/>
    <n v="1514"/>
    <d v="2026-03-06T00:00:00"/>
    <s v="Friday"/>
    <n v="3"/>
    <n v="15.21"/>
    <x v="2"/>
    <x v="0"/>
    <s v="Female"/>
    <n v="62.2"/>
    <n v="108.9"/>
    <n v="19.8"/>
    <n v="16"/>
    <s v="CA"/>
    <n v="4"/>
    <n v="27.4"/>
    <s v="Low"/>
    <n v="0"/>
    <s v="Single-Day"/>
    <n v="0"/>
    <n v="0"/>
    <s v="Main Entrance"/>
    <s v="Toy Story Lot"/>
    <n v="9.5"/>
    <n v="15"/>
    <x v="4232"/>
  </r>
  <r>
    <n v="4622"/>
    <n v="1515"/>
    <d v="2026-03-14T00:00:00"/>
    <s v="Saturday"/>
    <n v="3"/>
    <n v="9.14"/>
    <x v="0"/>
    <x v="28"/>
    <s v="Male"/>
    <n v="70.7"/>
    <n v="150.9"/>
    <n v="21.3"/>
    <n v="19"/>
    <s v="NV"/>
    <n v="3"/>
    <n v="2"/>
    <s v="High"/>
    <n v="1"/>
    <s v="Single-Day"/>
    <n v="0"/>
    <n v="0"/>
    <s v="Main Entrance"/>
    <s v="None/Dropoff/Transit"/>
    <n v="9.9"/>
    <n v="7"/>
    <x v="4233"/>
  </r>
  <r>
    <n v="4623"/>
    <n v="1515"/>
    <d v="2026-03-14T00:00:00"/>
    <s v="Saturday"/>
    <n v="3"/>
    <n v="9.18"/>
    <x v="0"/>
    <x v="28"/>
    <s v="Male"/>
    <n v="67.2"/>
    <n v="144.69999999999999"/>
    <n v="22.3"/>
    <n v="16"/>
    <s v="NV"/>
    <n v="3"/>
    <n v="2"/>
    <s v="High"/>
    <n v="1"/>
    <s v="Single-Day"/>
    <n v="0"/>
    <n v="0"/>
    <s v="Main Entrance"/>
    <s v="None/Dropoff/Transit"/>
    <n v="8.3000000000000007"/>
    <n v="9"/>
    <x v="4234"/>
  </r>
  <r>
    <n v="4624"/>
    <n v="1515"/>
    <d v="2026-03-14T00:00:00"/>
    <s v="Saturday"/>
    <n v="3"/>
    <n v="9.0399999999999991"/>
    <x v="0"/>
    <x v="44"/>
    <s v="Male"/>
    <n v="69.5"/>
    <n v="196.3"/>
    <n v="28.8"/>
    <n v="15"/>
    <s v="NV"/>
    <n v="3"/>
    <n v="2"/>
    <s v="High"/>
    <n v="1"/>
    <s v="Single-Day"/>
    <n v="0"/>
    <n v="0"/>
    <s v="Main Entrance"/>
    <s v="None/Dropoff/Transit"/>
    <n v="8"/>
    <n v="12"/>
    <x v="4235"/>
  </r>
  <r>
    <n v="4625"/>
    <n v="1516"/>
    <d v="2026-01-28T00:00:00"/>
    <s v="Wednesday"/>
    <n v="1"/>
    <n v="8.6300000000000008"/>
    <x v="0"/>
    <x v="28"/>
    <s v="Male"/>
    <n v="66"/>
    <n v="196.3"/>
    <n v="31.7"/>
    <n v="15"/>
    <s v="CA"/>
    <n v="3"/>
    <n v="49.8"/>
    <s v="High"/>
    <n v="0"/>
    <s v="Park Hopper"/>
    <n v="0"/>
    <n v="0"/>
    <s v="Main Entrance"/>
    <s v="Toy Story Lot"/>
    <n v="9.6"/>
    <n v="7"/>
    <x v="4236"/>
  </r>
  <r>
    <n v="4626"/>
    <n v="1516"/>
    <d v="2026-01-28T00:00:00"/>
    <s v="Wednesday"/>
    <n v="1"/>
    <n v="8.7899999999999991"/>
    <x v="0"/>
    <x v="66"/>
    <s v="Male"/>
    <n v="66.900000000000006"/>
    <n v="129.4"/>
    <n v="20.100000000000001"/>
    <n v="20"/>
    <s v="CA"/>
    <n v="3"/>
    <n v="49.8"/>
    <s v="High"/>
    <n v="0"/>
    <s v="Park Hopper"/>
    <n v="0"/>
    <n v="0"/>
    <s v="Main Entrance"/>
    <s v="Toy Story Lot"/>
    <n v="6.3"/>
    <n v="3"/>
    <x v="4237"/>
  </r>
  <r>
    <n v="4627"/>
    <n v="1516"/>
    <d v="2026-01-28T00:00:00"/>
    <s v="Wednesday"/>
    <n v="1"/>
    <n v="9.11"/>
    <x v="0"/>
    <x v="32"/>
    <s v="Female"/>
    <n v="55.8"/>
    <n v="104.8"/>
    <n v="23.6"/>
    <n v="15"/>
    <s v="CA"/>
    <n v="3"/>
    <n v="49.8"/>
    <s v="High"/>
    <n v="0"/>
    <s v="Park Hopper"/>
    <n v="0"/>
    <n v="0"/>
    <s v="Main Entrance"/>
    <s v="Toy Story Lot"/>
    <n v="5.0999999999999996"/>
    <n v="8"/>
    <x v="4238"/>
  </r>
  <r>
    <n v="4628"/>
    <n v="1517"/>
    <d v="2026-06-14T00:00:00"/>
    <s v="Sunday"/>
    <n v="6"/>
    <n v="8.52"/>
    <x v="0"/>
    <x v="58"/>
    <s v="Male"/>
    <n v="68"/>
    <n v="224.2"/>
    <n v="33.9"/>
    <n v="19"/>
    <s v="FL"/>
    <n v="2"/>
    <n v="2646.6"/>
    <s v="Middle"/>
    <n v="0"/>
    <s v="Park Hopper"/>
    <n v="0"/>
    <n v="1"/>
    <s v="Main Entrance"/>
    <s v="None/Walked from Resort"/>
    <n v="9.1"/>
    <n v="9"/>
    <x v="4239"/>
  </r>
  <r>
    <n v="4629"/>
    <n v="1517"/>
    <d v="2026-06-14T00:00:00"/>
    <s v="Sunday"/>
    <n v="6"/>
    <n v="8.4499999999999993"/>
    <x v="0"/>
    <x v="12"/>
    <s v="Female"/>
    <n v="55"/>
    <n v="92.2"/>
    <n v="21.4"/>
    <n v="12"/>
    <s v="FL"/>
    <n v="2"/>
    <n v="2646.6"/>
    <s v="Middle"/>
    <n v="0"/>
    <s v="Park Hopper"/>
    <n v="0"/>
    <n v="1"/>
    <s v="Main Entrance"/>
    <s v="None/Walked from Resort"/>
    <n v="9.4"/>
    <n v="4"/>
    <x v="4240"/>
  </r>
  <r>
    <n v="4630"/>
    <n v="1518"/>
    <d v="2026-04-16T00:00:00"/>
    <s v="Thursday"/>
    <n v="4"/>
    <n v="10.220000000000001"/>
    <x v="0"/>
    <x v="48"/>
    <s v="Male"/>
    <n v="71.5"/>
    <n v="149.80000000000001"/>
    <n v="20.399999999999999"/>
    <n v="15"/>
    <s v="Other"/>
    <n v="3"/>
    <n v="1237.3"/>
    <s v="Low"/>
    <n v="1"/>
    <s v="Multi-Day"/>
    <n v="0"/>
    <n v="1"/>
    <s v="Main Entrance"/>
    <s v="None/Walked from Resort"/>
    <n v="10.8"/>
    <n v="2"/>
    <x v="4241"/>
  </r>
  <r>
    <n v="4631"/>
    <n v="1518"/>
    <d v="2026-04-16T00:00:00"/>
    <s v="Thursday"/>
    <n v="4"/>
    <n v="10.11"/>
    <x v="0"/>
    <x v="8"/>
    <s v="Female"/>
    <n v="58.5"/>
    <n v="113.4"/>
    <n v="23.1"/>
    <n v="15"/>
    <s v="Other"/>
    <n v="3"/>
    <n v="1237.3"/>
    <s v="Low"/>
    <n v="1"/>
    <s v="Multi-Day"/>
    <n v="0"/>
    <n v="1"/>
    <s v="Main Entrance"/>
    <s v="None/Walked from Resort"/>
    <n v="7.7"/>
    <n v="14"/>
    <x v="4242"/>
  </r>
  <r>
    <n v="4632"/>
    <n v="1518"/>
    <d v="2026-04-16T00:00:00"/>
    <s v="Thursday"/>
    <n v="4"/>
    <n v="10.24"/>
    <x v="0"/>
    <x v="38"/>
    <s v="Female"/>
    <n v="64.5"/>
    <n v="152.1"/>
    <n v="25.6"/>
    <n v="8"/>
    <s v="Other"/>
    <n v="3"/>
    <n v="1237.3"/>
    <s v="Low"/>
    <n v="1"/>
    <s v="Multi-Day"/>
    <n v="0"/>
    <n v="1"/>
    <s v="Main Entrance"/>
    <s v="None/Walked from Resort"/>
    <n v="10.1"/>
    <n v="9"/>
    <x v="4243"/>
  </r>
  <r>
    <n v="4633"/>
    <n v="1519"/>
    <d v="2026-08-20T00:00:00"/>
    <s v="Thursday"/>
    <n v="8"/>
    <n v="8.64"/>
    <x v="0"/>
    <x v="15"/>
    <s v="Male"/>
    <n v="68.7"/>
    <n v="202.4"/>
    <n v="30.4"/>
    <n v="15"/>
    <s v="Other"/>
    <n v="2"/>
    <n v="1686.8"/>
    <s v="Low"/>
    <n v="1"/>
    <s v="Park Hopper"/>
    <n v="0"/>
    <n v="1"/>
    <s v="Main Entrance"/>
    <s v="None/Walked from Resort"/>
    <n v="11"/>
    <n v="10"/>
    <x v="4244"/>
  </r>
  <r>
    <n v="4634"/>
    <n v="1519"/>
    <d v="2026-08-20T00:00:00"/>
    <s v="Thursday"/>
    <n v="8"/>
    <n v="8.89"/>
    <x v="0"/>
    <x v="54"/>
    <s v="Female"/>
    <n v="64.099999999999994"/>
    <n v="121.2"/>
    <n v="21"/>
    <n v="15"/>
    <s v="Other"/>
    <n v="2"/>
    <n v="1686.8"/>
    <s v="Low"/>
    <n v="1"/>
    <s v="Park Hopper"/>
    <n v="0"/>
    <n v="1"/>
    <s v="Main Entrance"/>
    <s v="None/Walked from Resort"/>
    <n v="7.7"/>
    <n v="2"/>
    <x v="4245"/>
  </r>
  <r>
    <n v="4635"/>
    <n v="1520"/>
    <d v="2026-03-26T00:00:00"/>
    <s v="Thursday"/>
    <n v="3"/>
    <n v="8.0399999999999991"/>
    <x v="0"/>
    <x v="22"/>
    <s v="Male"/>
    <n v="59.1"/>
    <n v="94.9"/>
    <n v="19"/>
    <n v="15"/>
    <s v="CA"/>
    <n v="5"/>
    <n v="108.3"/>
    <s v="High"/>
    <n v="1"/>
    <s v="Single-Day"/>
    <n v="1"/>
    <n v="0"/>
    <s v="Main Entrance"/>
    <s v="Mickey &amp; Friends"/>
    <n v="6.6"/>
    <n v="10"/>
    <x v="4246"/>
  </r>
  <r>
    <n v="4636"/>
    <n v="1520"/>
    <d v="2026-03-26T00:00:00"/>
    <s v="Thursday"/>
    <n v="3"/>
    <n v="7.96"/>
    <x v="0"/>
    <x v="54"/>
    <s v="Female"/>
    <n v="62.8"/>
    <n v="135.30000000000001"/>
    <n v="24.1"/>
    <n v="18"/>
    <s v="CA"/>
    <n v="5"/>
    <n v="108.3"/>
    <s v="High"/>
    <n v="1"/>
    <s v="Single-Day"/>
    <n v="1"/>
    <n v="0"/>
    <s v="Main Entrance"/>
    <s v="Mickey &amp; Friends"/>
    <n v="9.4"/>
    <n v="13"/>
    <x v="4247"/>
  </r>
  <r>
    <n v="4637"/>
    <n v="1520"/>
    <d v="2026-03-26T00:00:00"/>
    <s v="Thursday"/>
    <n v="3"/>
    <n v="7.98"/>
    <x v="0"/>
    <x v="38"/>
    <s v="Female"/>
    <n v="61.6"/>
    <n v="181.6"/>
    <n v="33.4"/>
    <n v="12"/>
    <s v="CA"/>
    <n v="5"/>
    <n v="108.3"/>
    <s v="High"/>
    <n v="1"/>
    <s v="Single-Day"/>
    <n v="1"/>
    <n v="0"/>
    <s v="Main Entrance"/>
    <s v="Mickey &amp; Friends"/>
    <n v="5.4"/>
    <n v="7"/>
    <x v="3483"/>
  </r>
  <r>
    <n v="4638"/>
    <n v="1520"/>
    <d v="2026-03-26T00:00:00"/>
    <s v="Thursday"/>
    <n v="3"/>
    <n v="8.07"/>
    <x v="0"/>
    <x v="3"/>
    <s v="Male"/>
    <n v="71.599999999999994"/>
    <n v="162.4"/>
    <n v="22.1"/>
    <n v="18"/>
    <s v="CA"/>
    <n v="5"/>
    <n v="108.3"/>
    <s v="High"/>
    <n v="1"/>
    <s v="Single-Day"/>
    <n v="1"/>
    <n v="0"/>
    <s v="Main Entrance"/>
    <s v="Mickey &amp; Friends"/>
    <n v="10.4"/>
    <n v="11"/>
    <x v="4248"/>
  </r>
  <r>
    <n v="4639"/>
    <n v="1520"/>
    <d v="2026-03-26T00:00:00"/>
    <s v="Thursday"/>
    <n v="3"/>
    <n v="7.86"/>
    <x v="0"/>
    <x v="38"/>
    <s v="Female"/>
    <n v="67.2"/>
    <n v="155.69999999999999"/>
    <n v="24.1"/>
    <n v="13"/>
    <s v="CA"/>
    <n v="5"/>
    <n v="108.3"/>
    <s v="High"/>
    <n v="1"/>
    <s v="Single-Day"/>
    <n v="1"/>
    <n v="0"/>
    <s v="Main Entrance"/>
    <s v="Mickey &amp; Friends"/>
    <n v="9.3000000000000007"/>
    <n v="9"/>
    <x v="4249"/>
  </r>
  <r>
    <n v="4640"/>
    <n v="1521"/>
    <d v="2026-02-11T00:00:00"/>
    <s v="Wednesday"/>
    <n v="2"/>
    <n v="11.12"/>
    <x v="1"/>
    <x v="15"/>
    <s v="Female"/>
    <n v="64.099999999999994"/>
    <n v="150.4"/>
    <n v="25.8"/>
    <n v="16"/>
    <s v="NV"/>
    <n v="5"/>
    <n v="243"/>
    <s v="Middle"/>
    <n v="0"/>
    <s v="Single-Day"/>
    <n v="0"/>
    <n v="0"/>
    <s v="Downtown Disney Gate"/>
    <s v="Mickey &amp; Friends"/>
    <n v="8.6999999999999993"/>
    <n v="1"/>
    <x v="4250"/>
  </r>
  <r>
    <n v="4641"/>
    <n v="1521"/>
    <d v="2026-02-11T00:00:00"/>
    <s v="Wednesday"/>
    <n v="2"/>
    <n v="10.97"/>
    <x v="0"/>
    <x v="17"/>
    <s v="Female"/>
    <n v="62.6"/>
    <n v="132.30000000000001"/>
    <n v="23.7"/>
    <n v="15"/>
    <s v="NV"/>
    <n v="5"/>
    <n v="243"/>
    <s v="Middle"/>
    <n v="0"/>
    <s v="Single-Day"/>
    <n v="0"/>
    <n v="0"/>
    <s v="Downtown Disney Gate"/>
    <s v="Mickey &amp; Friends"/>
    <n v="7.5"/>
    <n v="8"/>
    <x v="4251"/>
  </r>
  <r>
    <n v="4642"/>
    <n v="1521"/>
    <d v="2026-02-11T00:00:00"/>
    <s v="Wednesday"/>
    <n v="2"/>
    <n v="11.09"/>
    <x v="1"/>
    <x v="4"/>
    <s v="Female"/>
    <n v="60.7"/>
    <n v="102.3"/>
    <n v="19.399999999999999"/>
    <n v="20"/>
    <s v="NV"/>
    <n v="5"/>
    <n v="243"/>
    <s v="Middle"/>
    <n v="0"/>
    <s v="Single-Day"/>
    <n v="0"/>
    <n v="0"/>
    <s v="Downtown Disney Gate"/>
    <s v="Mickey &amp; Friends"/>
    <n v="5.0999999999999996"/>
    <n v="6"/>
    <x v="4252"/>
  </r>
  <r>
    <n v="4643"/>
    <n v="1521"/>
    <d v="2026-02-11T00:00:00"/>
    <s v="Wednesday"/>
    <n v="2"/>
    <n v="10.81"/>
    <x v="0"/>
    <x v="55"/>
    <s v="Male"/>
    <n v="69.7"/>
    <n v="142.1"/>
    <n v="20.399999999999999"/>
    <n v="11"/>
    <s v="NV"/>
    <n v="5"/>
    <n v="243"/>
    <s v="Middle"/>
    <n v="0"/>
    <s v="Single-Day"/>
    <n v="0"/>
    <n v="0"/>
    <s v="Downtown Disney Gate"/>
    <s v="Mickey &amp; Friends"/>
    <n v="7.9"/>
    <n v="7"/>
    <x v="4253"/>
  </r>
  <r>
    <n v="4644"/>
    <n v="1521"/>
    <d v="2026-02-11T00:00:00"/>
    <s v="Wednesday"/>
    <n v="2"/>
    <n v="11.05"/>
    <x v="1"/>
    <x v="36"/>
    <s v="Female"/>
    <n v="63.6"/>
    <n v="139.30000000000001"/>
    <n v="24.3"/>
    <n v="17"/>
    <s v="NV"/>
    <n v="5"/>
    <n v="243"/>
    <s v="Middle"/>
    <n v="0"/>
    <s v="Single-Day"/>
    <n v="0"/>
    <n v="0"/>
    <s v="Downtown Disney Gate"/>
    <s v="Mickey &amp; Friends"/>
    <n v="9.6"/>
    <n v="13"/>
    <x v="28"/>
  </r>
  <r>
    <n v="4645"/>
    <n v="1522"/>
    <d v="2026-04-07T00:00:00"/>
    <s v="Tuesday"/>
    <n v="4"/>
    <n v="7.16"/>
    <x v="0"/>
    <x v="11"/>
    <s v="Female"/>
    <n v="61.8"/>
    <n v="139.80000000000001"/>
    <n v="25.4"/>
    <n v="17"/>
    <s v="ND"/>
    <n v="2"/>
    <n v="959.4"/>
    <s v="Middle"/>
    <n v="1"/>
    <s v="Single-Day"/>
    <n v="1"/>
    <n v="1"/>
    <s v="Downtown Disney Gate"/>
    <s v="None/Walked from Resort"/>
    <n v="11.5"/>
    <n v="8"/>
    <x v="4254"/>
  </r>
  <r>
    <n v="4646"/>
    <n v="1522"/>
    <d v="2026-04-07T00:00:00"/>
    <s v="Tuesday"/>
    <n v="4"/>
    <n v="7.15"/>
    <x v="0"/>
    <x v="29"/>
    <s v="Male"/>
    <n v="67.900000000000006"/>
    <n v="215.5"/>
    <n v="32.799999999999997"/>
    <n v="13"/>
    <s v="ND"/>
    <n v="2"/>
    <n v="959.4"/>
    <s v="Middle"/>
    <n v="1"/>
    <s v="Single-Day"/>
    <n v="1"/>
    <n v="1"/>
    <s v="Downtown Disney Gate"/>
    <s v="None/Walked from Resort"/>
    <n v="8.1"/>
    <n v="8"/>
    <x v="3566"/>
  </r>
  <r>
    <n v="4647"/>
    <n v="1523"/>
    <d v="2026-09-05T00:00:00"/>
    <s v="Saturday"/>
    <n v="9"/>
    <n v="9.6300000000000008"/>
    <x v="0"/>
    <x v="4"/>
    <s v="Female"/>
    <n v="64.599999999999994"/>
    <n v="131.4"/>
    <n v="21.8"/>
    <n v="14"/>
    <s v="CA"/>
    <n v="4"/>
    <n v="123.2"/>
    <s v="Middle"/>
    <n v="0"/>
    <s v="Single-Day"/>
    <n v="0"/>
    <n v="1"/>
    <s v="Main Entrance"/>
    <s v="None/Walked from Resort"/>
    <n v="7"/>
    <n v="5"/>
    <x v="4255"/>
  </r>
  <r>
    <n v="4648"/>
    <n v="1523"/>
    <d v="2026-09-05T00:00:00"/>
    <s v="Saturday"/>
    <n v="9"/>
    <n v="9.69"/>
    <x v="0"/>
    <x v="67"/>
    <s v="Female"/>
    <n v="62.8"/>
    <n v="191.1"/>
    <n v="33.9"/>
    <n v="14"/>
    <s v="CA"/>
    <n v="4"/>
    <n v="123.2"/>
    <s v="Middle"/>
    <n v="0"/>
    <s v="Single-Day"/>
    <n v="0"/>
    <n v="1"/>
    <s v="Main Entrance"/>
    <s v="None/Walked from Resort"/>
    <n v="7.9"/>
    <n v="6"/>
    <x v="4256"/>
  </r>
  <r>
    <n v="4649"/>
    <n v="1523"/>
    <d v="2026-09-05T00:00:00"/>
    <s v="Saturday"/>
    <n v="9"/>
    <n v="9.75"/>
    <x v="0"/>
    <x v="25"/>
    <s v="Male"/>
    <n v="74.7"/>
    <n v="147"/>
    <n v="18.600000000000001"/>
    <n v="14"/>
    <s v="CA"/>
    <n v="4"/>
    <n v="123.2"/>
    <s v="Middle"/>
    <n v="0"/>
    <s v="Single-Day"/>
    <n v="0"/>
    <n v="1"/>
    <s v="Main Entrance"/>
    <s v="None/Walked from Resort"/>
    <n v="11"/>
    <n v="9"/>
    <x v="4257"/>
  </r>
  <r>
    <n v="4650"/>
    <n v="1523"/>
    <d v="2026-09-05T00:00:00"/>
    <s v="Saturday"/>
    <n v="9"/>
    <n v="9.57"/>
    <x v="0"/>
    <x v="51"/>
    <s v="Female"/>
    <n v="68.7"/>
    <n v="177"/>
    <n v="26.5"/>
    <n v="14"/>
    <s v="CA"/>
    <n v="4"/>
    <n v="123.2"/>
    <s v="Middle"/>
    <n v="0"/>
    <s v="Single-Day"/>
    <n v="0"/>
    <n v="1"/>
    <s v="Main Entrance"/>
    <s v="None/Walked from Resort"/>
    <n v="7.2"/>
    <n v="7"/>
    <x v="4258"/>
  </r>
  <r>
    <n v="4651"/>
    <n v="1524"/>
    <d v="2026-05-27T00:00:00"/>
    <s v="Wednesday"/>
    <n v="5"/>
    <n v="9.8699999999999992"/>
    <x v="0"/>
    <x v="22"/>
    <s v="Female"/>
    <n v="60.2"/>
    <n v="94.2"/>
    <n v="18.100000000000001"/>
    <n v="9"/>
    <s v="WA"/>
    <n v="2"/>
    <n v="1095"/>
    <s v="Low"/>
    <n v="1"/>
    <s v="Park Hopper"/>
    <n v="1"/>
    <n v="0"/>
    <s v="Main Entrance"/>
    <s v="Mickey &amp; Friends"/>
    <n v="8.9"/>
    <n v="6"/>
    <x v="3496"/>
  </r>
  <r>
    <n v="4652"/>
    <n v="1524"/>
    <d v="2026-05-27T00:00:00"/>
    <s v="Wednesday"/>
    <n v="5"/>
    <n v="9.8699999999999992"/>
    <x v="0"/>
    <x v="69"/>
    <s v="Female"/>
    <n v="63.9"/>
    <n v="182.8"/>
    <n v="31.1"/>
    <n v="12"/>
    <s v="WA"/>
    <n v="2"/>
    <n v="1095"/>
    <s v="Low"/>
    <n v="1"/>
    <s v="Park Hopper"/>
    <n v="1"/>
    <n v="0"/>
    <s v="Main Entrance"/>
    <s v="Mickey &amp; Friends"/>
    <n v="8.1"/>
    <n v="7"/>
    <x v="4259"/>
  </r>
  <r>
    <n v="4653"/>
    <n v="1525"/>
    <d v="2026-11-27T00:00:00"/>
    <s v="Friday"/>
    <n v="11"/>
    <n v="9.7899999999999991"/>
    <x v="0"/>
    <x v="7"/>
    <s v="Male"/>
    <n v="52.6"/>
    <n v="82.8"/>
    <n v="21.2"/>
    <n v="13"/>
    <s v="IL"/>
    <n v="2"/>
    <n v="1944.7"/>
    <s v="Middle"/>
    <n v="1"/>
    <s v="Single-Day"/>
    <n v="1"/>
    <n v="1"/>
    <s v="Main Entrance"/>
    <s v="None/Walked from Resort"/>
    <n v="8.1999999999999993"/>
    <n v="9"/>
    <x v="4260"/>
  </r>
  <r>
    <n v="4654"/>
    <n v="1525"/>
    <d v="2026-11-27T00:00:00"/>
    <s v="Friday"/>
    <n v="11"/>
    <n v="9.8699999999999992"/>
    <x v="0"/>
    <x v="19"/>
    <s v="Male"/>
    <n v="66.599999999999994"/>
    <n v="178.9"/>
    <n v="28.2"/>
    <n v="15"/>
    <s v="IL"/>
    <n v="2"/>
    <n v="1944.7"/>
    <s v="Middle"/>
    <n v="1"/>
    <s v="Single-Day"/>
    <n v="1"/>
    <n v="1"/>
    <s v="Main Entrance"/>
    <s v="None/Walked from Resort"/>
    <n v="8.3000000000000007"/>
    <n v="9"/>
    <x v="4261"/>
  </r>
  <r>
    <n v="4655"/>
    <n v="1526"/>
    <d v="2026-01-12T00:00:00"/>
    <s v="Monday"/>
    <n v="1"/>
    <n v="12.06"/>
    <x v="1"/>
    <x v="34"/>
    <s v="Male"/>
    <n v="64.3"/>
    <n v="142.4"/>
    <n v="24.3"/>
    <n v="18"/>
    <s v="CA"/>
    <n v="3"/>
    <n v="25.3"/>
    <s v="High"/>
    <n v="1"/>
    <s v="Single-Day"/>
    <n v="0"/>
    <n v="0"/>
    <s v="Main Entrance"/>
    <s v="None/Dropoff/Transit"/>
    <n v="5.0999999999999996"/>
    <n v="12"/>
    <x v="4262"/>
  </r>
  <r>
    <n v="4656"/>
    <n v="1526"/>
    <d v="2026-01-12T00:00:00"/>
    <s v="Monday"/>
    <n v="1"/>
    <n v="12.05"/>
    <x v="1"/>
    <x v="17"/>
    <s v="Male"/>
    <n v="66.3"/>
    <n v="120.4"/>
    <n v="19.2"/>
    <n v="17"/>
    <s v="CA"/>
    <n v="3"/>
    <n v="25.3"/>
    <s v="High"/>
    <n v="1"/>
    <s v="Single-Day"/>
    <n v="0"/>
    <n v="0"/>
    <s v="Main Entrance"/>
    <s v="None/Dropoff/Transit"/>
    <n v="7.2"/>
    <n v="6"/>
    <x v="4263"/>
  </r>
  <r>
    <n v="4657"/>
    <n v="1526"/>
    <d v="2026-01-12T00:00:00"/>
    <s v="Monday"/>
    <n v="1"/>
    <n v="12.18"/>
    <x v="1"/>
    <x v="43"/>
    <s v="Female"/>
    <n v="65.5"/>
    <n v="148.6"/>
    <n v="24.6"/>
    <n v="16"/>
    <s v="CA"/>
    <n v="3"/>
    <n v="25.3"/>
    <s v="High"/>
    <n v="1"/>
    <s v="Single-Day"/>
    <n v="0"/>
    <n v="0"/>
    <s v="Main Entrance"/>
    <s v="None/Dropoff/Transit"/>
    <n v="9.1"/>
    <n v="12"/>
    <x v="4264"/>
  </r>
  <r>
    <n v="4658"/>
    <n v="1527"/>
    <d v="2026-11-16T00:00:00"/>
    <s v="Monday"/>
    <n v="11"/>
    <n v="12.77"/>
    <x v="1"/>
    <x v="21"/>
    <s v="Female"/>
    <n v="62.7"/>
    <n v="137.4"/>
    <n v="24.7"/>
    <n v="16"/>
    <s v="CA"/>
    <n v="5"/>
    <n v="123.8"/>
    <s v="Low"/>
    <n v="0"/>
    <s v="Single-Day"/>
    <n v="0"/>
    <n v="0"/>
    <s v="Main Entrance"/>
    <s v="Pixar Pals"/>
    <n v="4.2"/>
    <n v="5"/>
    <x v="4265"/>
  </r>
  <r>
    <n v="4659"/>
    <n v="1527"/>
    <d v="2026-11-16T00:00:00"/>
    <s v="Monday"/>
    <n v="11"/>
    <n v="12.7"/>
    <x v="1"/>
    <x v="1"/>
    <s v="Male"/>
    <n v="66.900000000000006"/>
    <n v="139.6"/>
    <n v="22.1"/>
    <n v="13"/>
    <s v="CA"/>
    <n v="5"/>
    <n v="123.8"/>
    <s v="Low"/>
    <n v="0"/>
    <s v="Single-Day"/>
    <n v="0"/>
    <n v="0"/>
    <s v="Main Entrance"/>
    <s v="Pixar Pals"/>
    <n v="8.3000000000000007"/>
    <n v="6"/>
    <x v="4266"/>
  </r>
  <r>
    <n v="4660"/>
    <n v="1527"/>
    <d v="2026-11-16T00:00:00"/>
    <s v="Monday"/>
    <n v="11"/>
    <n v="12.78"/>
    <x v="1"/>
    <x v="47"/>
    <s v="Male"/>
    <n v="64.2"/>
    <n v="157.69999999999999"/>
    <n v="26.7"/>
    <n v="15"/>
    <s v="CA"/>
    <n v="5"/>
    <n v="123.8"/>
    <s v="Low"/>
    <n v="0"/>
    <s v="Single-Day"/>
    <n v="0"/>
    <n v="0"/>
    <s v="Main Entrance"/>
    <s v="Pixar Pals"/>
    <n v="3.9"/>
    <n v="0"/>
    <x v="4267"/>
  </r>
  <r>
    <n v="4661"/>
    <n v="1527"/>
    <d v="2026-11-16T00:00:00"/>
    <s v="Monday"/>
    <n v="11"/>
    <n v="12.65"/>
    <x v="1"/>
    <x v="76"/>
    <s v="Male"/>
    <n v="68.8"/>
    <n v="143.1"/>
    <n v="21.2"/>
    <n v="17"/>
    <s v="CA"/>
    <n v="5"/>
    <n v="123.8"/>
    <s v="Low"/>
    <n v="0"/>
    <s v="Single-Day"/>
    <n v="0"/>
    <n v="0"/>
    <s v="Main Entrance"/>
    <s v="Pixar Pals"/>
    <n v="7.7"/>
    <n v="6"/>
    <x v="4268"/>
  </r>
  <r>
    <n v="4662"/>
    <n v="1527"/>
    <d v="2026-11-16T00:00:00"/>
    <s v="Monday"/>
    <n v="11"/>
    <n v="12.78"/>
    <x v="1"/>
    <x v="48"/>
    <s v="Male"/>
    <n v="70.099999999999994"/>
    <n v="197.1"/>
    <n v="28.4"/>
    <n v="12"/>
    <s v="CA"/>
    <n v="5"/>
    <n v="123.8"/>
    <s v="Low"/>
    <n v="0"/>
    <s v="Single-Day"/>
    <n v="0"/>
    <n v="0"/>
    <s v="Main Entrance"/>
    <s v="Pixar Pals"/>
    <n v="7.5"/>
    <n v="7"/>
    <x v="4269"/>
  </r>
  <r>
    <n v="4663"/>
    <n v="1528"/>
    <d v="2026-04-21T00:00:00"/>
    <s v="Tuesday"/>
    <n v="4"/>
    <n v="12.35"/>
    <x v="1"/>
    <x v="20"/>
    <s v="Female"/>
    <n v="70"/>
    <n v="121.7"/>
    <n v="17.5"/>
    <n v="15"/>
    <s v="CA"/>
    <n v="1"/>
    <n v="21.6"/>
    <s v="High"/>
    <n v="0"/>
    <s v="Park Hopper"/>
    <n v="1"/>
    <n v="1"/>
    <s v="Main Entrance"/>
    <s v="None/Walked from Resort"/>
    <n v="8.1999999999999993"/>
    <n v="12"/>
    <x v="4270"/>
  </r>
  <r>
    <n v="4664"/>
    <n v="1529"/>
    <d v="2026-07-26T00:00:00"/>
    <s v="Sunday"/>
    <n v="7"/>
    <n v="10.82"/>
    <x v="0"/>
    <x v="68"/>
    <s v="Female"/>
    <n v="61"/>
    <n v="127.6"/>
    <n v="24.1"/>
    <n v="18"/>
    <s v="NV"/>
    <n v="2"/>
    <n v="310.2"/>
    <s v="Middle"/>
    <n v="0"/>
    <s v="Single-Day"/>
    <n v="0"/>
    <n v="1"/>
    <s v="Main Entrance"/>
    <s v="None/Walked from Resort"/>
    <n v="9"/>
    <n v="8"/>
    <x v="4271"/>
  </r>
  <r>
    <n v="4665"/>
    <n v="1529"/>
    <d v="2026-07-26T00:00:00"/>
    <s v="Sunday"/>
    <n v="7"/>
    <n v="10.81"/>
    <x v="0"/>
    <x v="69"/>
    <s v="Male"/>
    <n v="64"/>
    <n v="138.6"/>
    <n v="24"/>
    <n v="18"/>
    <s v="NV"/>
    <n v="2"/>
    <n v="310.2"/>
    <s v="Middle"/>
    <n v="0"/>
    <s v="Single-Day"/>
    <n v="0"/>
    <n v="1"/>
    <s v="Main Entrance"/>
    <s v="None/Walked from Resort"/>
    <n v="8.6999999999999993"/>
    <n v="3"/>
    <x v="4272"/>
  </r>
  <r>
    <n v="4666"/>
    <n v="1530"/>
    <d v="2026-10-17T00:00:00"/>
    <s v="Saturday"/>
    <n v="10"/>
    <n v="12.48"/>
    <x v="1"/>
    <x v="36"/>
    <s v="Male"/>
    <n v="62"/>
    <n v="163.9"/>
    <n v="29.7"/>
    <n v="17"/>
    <s v="CO"/>
    <n v="3"/>
    <n v="993.2"/>
    <s v="Middle"/>
    <n v="1"/>
    <s v="Single-Day"/>
    <n v="0"/>
    <n v="0"/>
    <s v="Main Entrance"/>
    <s v="Toy Story Lot"/>
    <n v="5.8"/>
    <n v="7"/>
    <x v="4273"/>
  </r>
  <r>
    <n v="4667"/>
    <n v="1530"/>
    <d v="2026-10-17T00:00:00"/>
    <s v="Saturday"/>
    <n v="10"/>
    <n v="12.48"/>
    <x v="1"/>
    <x v="19"/>
    <s v="Male"/>
    <n v="69.7"/>
    <n v="162.4"/>
    <n v="23.6"/>
    <n v="19"/>
    <s v="CO"/>
    <n v="3"/>
    <n v="993.2"/>
    <s v="Middle"/>
    <n v="1"/>
    <s v="Single-Day"/>
    <n v="0"/>
    <n v="0"/>
    <s v="Main Entrance"/>
    <s v="Toy Story Lot"/>
    <n v="8.1"/>
    <n v="9"/>
    <x v="4274"/>
  </r>
  <r>
    <n v="4668"/>
    <n v="1530"/>
    <d v="2026-10-17T00:00:00"/>
    <s v="Saturday"/>
    <n v="10"/>
    <n v="12.48"/>
    <x v="1"/>
    <x v="35"/>
    <s v="Male"/>
    <n v="67.5"/>
    <n v="208.3"/>
    <n v="32.1"/>
    <n v="17"/>
    <s v="CO"/>
    <n v="3"/>
    <n v="993.2"/>
    <s v="Middle"/>
    <n v="1"/>
    <s v="Single-Day"/>
    <n v="0"/>
    <n v="0"/>
    <s v="Main Entrance"/>
    <s v="Toy Story Lot"/>
    <n v="6.9"/>
    <n v="3"/>
    <x v="4275"/>
  </r>
  <r>
    <n v="4669"/>
    <n v="1531"/>
    <d v="2026-08-29T00:00:00"/>
    <s v="Saturday"/>
    <n v="8"/>
    <n v="8.4700000000000006"/>
    <x v="0"/>
    <x v="48"/>
    <s v="Female"/>
    <n v="63.9"/>
    <n v="152.4"/>
    <n v="26.2"/>
    <n v="13"/>
    <s v="WA"/>
    <n v="2"/>
    <n v="1117"/>
    <s v="Low"/>
    <n v="1"/>
    <s v="Single-Day"/>
    <n v="0"/>
    <n v="0"/>
    <s v="Main Entrance"/>
    <s v="Mickey &amp; Friends"/>
    <n v="8.8000000000000007"/>
    <n v="10"/>
    <x v="4276"/>
  </r>
  <r>
    <n v="4670"/>
    <n v="1531"/>
    <d v="2026-08-29T00:00:00"/>
    <s v="Saturday"/>
    <n v="8"/>
    <n v="8.51"/>
    <x v="0"/>
    <x v="51"/>
    <s v="Female"/>
    <n v="65.2"/>
    <n v="110.3"/>
    <n v="18.100000000000001"/>
    <n v="10"/>
    <s v="WA"/>
    <n v="2"/>
    <n v="1117"/>
    <s v="Low"/>
    <n v="1"/>
    <s v="Single-Day"/>
    <n v="0"/>
    <n v="0"/>
    <s v="Main Entrance"/>
    <s v="Mickey &amp; Friends"/>
    <n v="7.4"/>
    <n v="9"/>
    <x v="4277"/>
  </r>
  <r>
    <n v="4671"/>
    <n v="1532"/>
    <d v="2026-03-28T00:00:00"/>
    <s v="Saturday"/>
    <n v="3"/>
    <n v="11.43"/>
    <x v="1"/>
    <x v="45"/>
    <s v="Female"/>
    <n v="64.3"/>
    <n v="140.5"/>
    <n v="24"/>
    <n v="16"/>
    <s v="UT"/>
    <n v="3"/>
    <n v="436.5"/>
    <s v="Middle"/>
    <n v="0"/>
    <s v="Single-Day"/>
    <n v="0"/>
    <n v="0"/>
    <s v="Main Entrance"/>
    <s v="None/Dropoff/Transit"/>
    <n v="5.8"/>
    <n v="6"/>
    <x v="4278"/>
  </r>
  <r>
    <n v="4672"/>
    <n v="1532"/>
    <d v="2026-03-28T00:00:00"/>
    <s v="Saturday"/>
    <n v="3"/>
    <n v="11.24"/>
    <x v="1"/>
    <x v="43"/>
    <s v="Female"/>
    <n v="59.6"/>
    <n v="138.5"/>
    <n v="27.2"/>
    <n v="17"/>
    <s v="UT"/>
    <n v="3"/>
    <n v="436.5"/>
    <s v="Middle"/>
    <n v="0"/>
    <s v="Single-Day"/>
    <n v="0"/>
    <n v="0"/>
    <s v="Main Entrance"/>
    <s v="None/Dropoff/Transit"/>
    <n v="7.6"/>
    <n v="8"/>
    <x v="3271"/>
  </r>
  <r>
    <n v="4673"/>
    <n v="1532"/>
    <d v="2026-03-28T00:00:00"/>
    <s v="Saturday"/>
    <n v="3"/>
    <n v="11.39"/>
    <x v="1"/>
    <x v="10"/>
    <s v="Male"/>
    <n v="70.8"/>
    <n v="115.7"/>
    <n v="16.100000000000001"/>
    <n v="13"/>
    <s v="UT"/>
    <n v="3"/>
    <n v="436.5"/>
    <s v="Middle"/>
    <n v="0"/>
    <s v="Single-Day"/>
    <n v="0"/>
    <n v="0"/>
    <s v="Main Entrance"/>
    <s v="None/Dropoff/Transit"/>
    <n v="8.5"/>
    <n v="3"/>
    <x v="344"/>
  </r>
  <r>
    <n v="4674"/>
    <n v="1533"/>
    <d v="2026-06-08T00:00:00"/>
    <s v="Monday"/>
    <n v="6"/>
    <n v="8.27"/>
    <x v="0"/>
    <x v="6"/>
    <s v="Female"/>
    <n v="65.5"/>
    <n v="174.1"/>
    <n v="28.4"/>
    <n v="16"/>
    <s v="FL"/>
    <n v="4"/>
    <n v="3089.8"/>
    <s v="Middle"/>
    <n v="0"/>
    <s v="Multi-Day"/>
    <n v="0"/>
    <n v="0"/>
    <s v="Main Entrance"/>
    <s v="Mickey &amp; Friends"/>
    <n v="9.6"/>
    <n v="10"/>
    <x v="4279"/>
  </r>
  <r>
    <n v="4675"/>
    <n v="1533"/>
    <d v="2026-06-08T00:00:00"/>
    <s v="Monday"/>
    <n v="6"/>
    <n v="8.33"/>
    <x v="0"/>
    <x v="74"/>
    <s v="Female"/>
    <n v="63.4"/>
    <n v="152.9"/>
    <n v="27"/>
    <n v="18"/>
    <s v="FL"/>
    <n v="4"/>
    <n v="3089.8"/>
    <s v="Middle"/>
    <n v="0"/>
    <s v="Multi-Day"/>
    <n v="0"/>
    <n v="0"/>
    <s v="Main Entrance"/>
    <s v="Mickey &amp; Friends"/>
    <n v="9.8000000000000007"/>
    <n v="7"/>
    <x v="4280"/>
  </r>
  <r>
    <n v="4676"/>
    <n v="1533"/>
    <d v="2026-06-08T00:00:00"/>
    <s v="Monday"/>
    <n v="6"/>
    <n v="8.3699999999999992"/>
    <x v="0"/>
    <x v="36"/>
    <s v="Female"/>
    <n v="62.9"/>
    <n v="132.80000000000001"/>
    <n v="23.3"/>
    <n v="15"/>
    <s v="FL"/>
    <n v="4"/>
    <n v="3089.8"/>
    <s v="Middle"/>
    <n v="0"/>
    <s v="Multi-Day"/>
    <n v="0"/>
    <n v="0"/>
    <s v="Main Entrance"/>
    <s v="Mickey &amp; Friends"/>
    <n v="8.8000000000000007"/>
    <n v="7"/>
    <x v="4281"/>
  </r>
  <r>
    <n v="4677"/>
    <n v="1533"/>
    <d v="2026-06-08T00:00:00"/>
    <s v="Monday"/>
    <n v="6"/>
    <n v="8.16"/>
    <x v="0"/>
    <x v="38"/>
    <s v="Female"/>
    <n v="68.8"/>
    <n v="136.30000000000001"/>
    <n v="20.3"/>
    <n v="16"/>
    <s v="FL"/>
    <n v="4"/>
    <n v="3089.8"/>
    <s v="Middle"/>
    <n v="0"/>
    <s v="Multi-Day"/>
    <n v="0"/>
    <n v="0"/>
    <s v="Main Entrance"/>
    <s v="Mickey &amp; Friends"/>
    <n v="11.2"/>
    <n v="5"/>
    <x v="4282"/>
  </r>
  <r>
    <n v="4678"/>
    <n v="1534"/>
    <d v="2026-01-28T00:00:00"/>
    <s v="Wednesday"/>
    <n v="1"/>
    <n v="8.36"/>
    <x v="0"/>
    <x v="13"/>
    <s v="Female"/>
    <n v="66.7"/>
    <n v="174.6"/>
    <n v="27.6"/>
    <n v="14"/>
    <s v="TX"/>
    <n v="3"/>
    <n v="1228.8"/>
    <s v="Middle"/>
    <n v="1"/>
    <s v="Park Hopper"/>
    <n v="1"/>
    <n v="0"/>
    <s v="Main Entrance"/>
    <s v="Mickey &amp; Friends"/>
    <n v="10"/>
    <n v="9"/>
    <x v="4283"/>
  </r>
  <r>
    <n v="4679"/>
    <n v="1534"/>
    <d v="2026-01-28T00:00:00"/>
    <s v="Wednesday"/>
    <n v="1"/>
    <n v="8.5500000000000007"/>
    <x v="0"/>
    <x v="59"/>
    <s v="Female"/>
    <n v="65.900000000000006"/>
    <n v="178.5"/>
    <n v="29.1"/>
    <n v="13"/>
    <s v="TX"/>
    <n v="3"/>
    <n v="1228.8"/>
    <s v="Middle"/>
    <n v="1"/>
    <s v="Park Hopper"/>
    <n v="1"/>
    <n v="0"/>
    <s v="Main Entrance"/>
    <s v="Mickey &amp; Friends"/>
    <n v="8.5"/>
    <n v="10"/>
    <x v="4284"/>
  </r>
  <r>
    <n v="4680"/>
    <n v="1534"/>
    <d v="2026-01-28T00:00:00"/>
    <s v="Wednesday"/>
    <n v="1"/>
    <n v="8.5299999999999994"/>
    <x v="0"/>
    <x v="45"/>
    <s v="Female"/>
    <n v="61.5"/>
    <n v="120.9"/>
    <n v="22.5"/>
    <n v="14"/>
    <s v="TX"/>
    <n v="3"/>
    <n v="1228.8"/>
    <s v="Middle"/>
    <n v="1"/>
    <s v="Park Hopper"/>
    <n v="1"/>
    <n v="0"/>
    <s v="Main Entrance"/>
    <s v="Mickey &amp; Friends"/>
    <n v="13.3"/>
    <n v="10"/>
    <x v="4285"/>
  </r>
  <r>
    <n v="4681"/>
    <n v="1535"/>
    <d v="2026-12-09T00:00:00"/>
    <s v="Wednesday"/>
    <n v="12"/>
    <n v="9.7100000000000009"/>
    <x v="0"/>
    <x v="53"/>
    <s v="Female"/>
    <n v="56.4"/>
    <n v="116.4"/>
    <n v="25.8"/>
    <n v="13"/>
    <s v="CA"/>
    <n v="4"/>
    <n v="120.5"/>
    <s v="Middle"/>
    <n v="0"/>
    <s v="Multi-Day"/>
    <n v="0"/>
    <n v="0"/>
    <s v="Main Entrance"/>
    <s v="Pixar Pals"/>
    <n v="7.8"/>
    <n v="4"/>
    <x v="4286"/>
  </r>
  <r>
    <n v="4682"/>
    <n v="1535"/>
    <d v="2026-12-09T00:00:00"/>
    <s v="Wednesday"/>
    <n v="12"/>
    <n v="9.68"/>
    <x v="0"/>
    <x v="60"/>
    <s v="Male"/>
    <n v="66.2"/>
    <n v="115.7"/>
    <n v="18.5"/>
    <n v="10"/>
    <s v="CA"/>
    <n v="4"/>
    <n v="120.5"/>
    <s v="Middle"/>
    <n v="0"/>
    <s v="Multi-Day"/>
    <n v="0"/>
    <n v="0"/>
    <s v="Main Entrance"/>
    <s v="Pixar Pals"/>
    <n v="7.4"/>
    <n v="7"/>
    <x v="4287"/>
  </r>
  <r>
    <n v="4683"/>
    <n v="1535"/>
    <d v="2026-12-09T00:00:00"/>
    <s v="Wednesday"/>
    <n v="12"/>
    <n v="9.51"/>
    <x v="0"/>
    <x v="32"/>
    <s v="Female"/>
    <n v="57.4"/>
    <n v="81.900000000000006"/>
    <n v="17.3"/>
    <n v="14"/>
    <s v="CA"/>
    <n v="4"/>
    <n v="120.5"/>
    <s v="Middle"/>
    <n v="0"/>
    <s v="Multi-Day"/>
    <n v="0"/>
    <n v="0"/>
    <s v="Main Entrance"/>
    <s v="Pixar Pals"/>
    <n v="9.3000000000000007"/>
    <n v="5"/>
    <x v="1891"/>
  </r>
  <r>
    <n v="4684"/>
    <n v="1535"/>
    <d v="2026-12-09T00:00:00"/>
    <s v="Wednesday"/>
    <n v="12"/>
    <n v="9.67"/>
    <x v="0"/>
    <x v="16"/>
    <s v="Male"/>
    <n v="53.2"/>
    <n v="60.1"/>
    <n v="15"/>
    <n v="15"/>
    <s v="CA"/>
    <n v="4"/>
    <n v="120.5"/>
    <s v="Middle"/>
    <n v="0"/>
    <s v="Multi-Day"/>
    <n v="0"/>
    <n v="0"/>
    <s v="Main Entrance"/>
    <s v="Pixar Pals"/>
    <n v="9.5"/>
    <n v="3"/>
    <x v="4288"/>
  </r>
  <r>
    <n v="4685"/>
    <n v="1536"/>
    <d v="2026-09-15T00:00:00"/>
    <s v="Tuesday"/>
    <n v="9"/>
    <n v="11.35"/>
    <x v="1"/>
    <x v="52"/>
    <s v="Female"/>
    <n v="64.3"/>
    <n v="155.1"/>
    <n v="26.3"/>
    <n v="16"/>
    <s v="NV"/>
    <n v="4"/>
    <n v="156.5"/>
    <s v="Middle"/>
    <n v="1"/>
    <s v="Park Hopper"/>
    <n v="1"/>
    <n v="1"/>
    <s v="Downtown Disney Gate"/>
    <s v="Pixar Pals"/>
    <n v="10.5"/>
    <n v="17"/>
    <x v="4289"/>
  </r>
  <r>
    <n v="4686"/>
    <n v="1536"/>
    <d v="2026-09-15T00:00:00"/>
    <s v="Tuesday"/>
    <n v="9"/>
    <n v="11.32"/>
    <x v="1"/>
    <x v="11"/>
    <s v="Male"/>
    <n v="63.6"/>
    <n v="183"/>
    <n v="31.7"/>
    <n v="13"/>
    <s v="NV"/>
    <n v="4"/>
    <n v="156.5"/>
    <s v="Middle"/>
    <n v="1"/>
    <s v="Park Hopper"/>
    <n v="1"/>
    <n v="1"/>
    <s v="Downtown Disney Gate"/>
    <s v="Pixar Pals"/>
    <n v="7.9"/>
    <n v="7"/>
    <x v="4290"/>
  </r>
  <r>
    <n v="4687"/>
    <n v="1536"/>
    <d v="2026-09-15T00:00:00"/>
    <s v="Tuesday"/>
    <n v="9"/>
    <n v="11.22"/>
    <x v="1"/>
    <x v="57"/>
    <s v="Male"/>
    <n v="68.8"/>
    <n v="124.1"/>
    <n v="18.5"/>
    <n v="17"/>
    <s v="NV"/>
    <n v="4"/>
    <n v="156.5"/>
    <s v="Middle"/>
    <n v="1"/>
    <s v="Park Hopper"/>
    <n v="1"/>
    <n v="1"/>
    <s v="Downtown Disney Gate"/>
    <s v="Pixar Pals"/>
    <n v="9.8000000000000007"/>
    <n v="14"/>
    <x v="4291"/>
  </r>
  <r>
    <n v="4688"/>
    <n v="1536"/>
    <d v="2026-09-15T00:00:00"/>
    <s v="Tuesday"/>
    <n v="9"/>
    <n v="11.5"/>
    <x v="1"/>
    <x v="55"/>
    <s v="Male"/>
    <n v="68.599999999999994"/>
    <n v="157.9"/>
    <n v="23.6"/>
    <n v="18"/>
    <s v="NV"/>
    <n v="4"/>
    <n v="156.5"/>
    <s v="Middle"/>
    <n v="1"/>
    <s v="Park Hopper"/>
    <n v="1"/>
    <n v="1"/>
    <s v="Downtown Disney Gate"/>
    <s v="Pixar Pals"/>
    <n v="11.2"/>
    <n v="14"/>
    <x v="4292"/>
  </r>
  <r>
    <n v="4689"/>
    <n v="1537"/>
    <d v="2026-08-09T00:00:00"/>
    <s v="Sunday"/>
    <n v="8"/>
    <n v="10.92"/>
    <x v="0"/>
    <x v="39"/>
    <s v="Male"/>
    <n v="71.599999999999994"/>
    <n v="253.9"/>
    <n v="34.9"/>
    <n v="16"/>
    <s v="CA"/>
    <n v="4"/>
    <n v="108.9"/>
    <s v="Middle"/>
    <n v="0"/>
    <s v="Multi-Day"/>
    <n v="0"/>
    <n v="1"/>
    <s v="Main Entrance"/>
    <s v="None/Walked from Resort"/>
    <n v="9.1999999999999993"/>
    <n v="8"/>
    <x v="4293"/>
  </r>
  <r>
    <n v="4690"/>
    <n v="1537"/>
    <d v="2026-08-09T00:00:00"/>
    <s v="Sunday"/>
    <n v="8"/>
    <n v="10.9"/>
    <x v="0"/>
    <x v="2"/>
    <s v="Female"/>
    <n v="60.8"/>
    <n v="121.5"/>
    <n v="23.2"/>
    <n v="13"/>
    <s v="CA"/>
    <n v="4"/>
    <n v="108.9"/>
    <s v="Middle"/>
    <n v="0"/>
    <s v="Multi-Day"/>
    <n v="0"/>
    <n v="1"/>
    <s v="Main Entrance"/>
    <s v="None/Walked from Resort"/>
    <n v="9"/>
    <n v="9"/>
    <x v="4294"/>
  </r>
  <r>
    <n v="4691"/>
    <n v="1537"/>
    <d v="2026-08-09T00:00:00"/>
    <s v="Sunday"/>
    <n v="8"/>
    <n v="11.19"/>
    <x v="1"/>
    <x v="45"/>
    <s v="Male"/>
    <n v="71"/>
    <n v="174.6"/>
    <n v="24.3"/>
    <n v="17"/>
    <s v="CA"/>
    <n v="4"/>
    <n v="108.9"/>
    <s v="Middle"/>
    <n v="0"/>
    <s v="Multi-Day"/>
    <n v="0"/>
    <n v="1"/>
    <s v="Main Entrance"/>
    <s v="None/Walked from Resort"/>
    <n v="8.1999999999999993"/>
    <n v="9"/>
    <x v="1686"/>
  </r>
  <r>
    <n v="4692"/>
    <n v="1537"/>
    <d v="2026-08-09T00:00:00"/>
    <s v="Sunday"/>
    <n v="8"/>
    <n v="11.04"/>
    <x v="1"/>
    <x v="24"/>
    <s v="Male"/>
    <n v="68.2"/>
    <n v="145.19999999999999"/>
    <n v="21.9"/>
    <n v="14"/>
    <s v="CA"/>
    <n v="4"/>
    <n v="108.9"/>
    <s v="Middle"/>
    <n v="0"/>
    <s v="Multi-Day"/>
    <n v="0"/>
    <n v="1"/>
    <s v="Main Entrance"/>
    <s v="None/Walked from Resort"/>
    <n v="8.6999999999999993"/>
    <n v="8"/>
    <x v="4295"/>
  </r>
  <r>
    <n v="4693"/>
    <n v="1538"/>
    <d v="2026-01-22T00:00:00"/>
    <s v="Thursday"/>
    <n v="1"/>
    <n v="12.34"/>
    <x v="1"/>
    <x v="45"/>
    <s v="Female"/>
    <n v="66.099999999999994"/>
    <n v="132.5"/>
    <n v="21.6"/>
    <n v="15"/>
    <s v="NV"/>
    <n v="2"/>
    <n v="337.8"/>
    <s v="Low"/>
    <n v="0"/>
    <s v="Single-Day"/>
    <n v="1"/>
    <n v="0"/>
    <s v="Main Entrance"/>
    <s v="Pixar Pals"/>
    <n v="9.1999999999999993"/>
    <n v="16"/>
    <x v="4296"/>
  </r>
  <r>
    <n v="4694"/>
    <n v="1538"/>
    <d v="2026-01-22T00:00:00"/>
    <s v="Thursday"/>
    <n v="1"/>
    <n v="12.67"/>
    <x v="1"/>
    <x v="56"/>
    <s v="Male"/>
    <n v="66"/>
    <n v="134.19999999999999"/>
    <n v="21.7"/>
    <n v="15"/>
    <s v="NV"/>
    <n v="2"/>
    <n v="337.8"/>
    <s v="Low"/>
    <n v="0"/>
    <s v="Single-Day"/>
    <n v="1"/>
    <n v="0"/>
    <s v="Main Entrance"/>
    <s v="Pixar Pals"/>
    <n v="5.7"/>
    <n v="9"/>
    <x v="2077"/>
  </r>
  <r>
    <n v="4695"/>
    <n v="1539"/>
    <d v="2026-11-01T00:00:00"/>
    <s v="Sunday"/>
    <n v="11"/>
    <n v="10.37"/>
    <x v="0"/>
    <x v="3"/>
    <s v="Male"/>
    <n v="66.599999999999994"/>
    <n v="212.4"/>
    <n v="33.6"/>
    <n v="14"/>
    <s v="CO"/>
    <n v="1"/>
    <n v="738"/>
    <s v="Low"/>
    <n v="1"/>
    <s v="Single-Day"/>
    <n v="0"/>
    <n v="0"/>
    <s v="Downtown Disney Gate"/>
    <s v="Pixar Pals"/>
    <n v="6.7"/>
    <n v="7"/>
    <x v="4297"/>
  </r>
  <r>
    <n v="4696"/>
    <n v="1540"/>
    <d v="2026-05-26T00:00:00"/>
    <s v="Tuesday"/>
    <n v="5"/>
    <n v="11.79"/>
    <x v="1"/>
    <x v="36"/>
    <s v="Male"/>
    <n v="67.099999999999994"/>
    <n v="159.1"/>
    <n v="24.8"/>
    <n v="17"/>
    <s v="FL"/>
    <n v="4"/>
    <n v="3016.4"/>
    <s v="Middle"/>
    <n v="1"/>
    <s v="Park Hopper"/>
    <n v="0"/>
    <n v="0"/>
    <s v="Main Entrance"/>
    <s v="Toy Story Lot"/>
    <n v="9"/>
    <n v="11"/>
    <x v="4298"/>
  </r>
  <r>
    <n v="4697"/>
    <n v="1540"/>
    <d v="2026-05-26T00:00:00"/>
    <s v="Tuesday"/>
    <n v="5"/>
    <n v="11.83"/>
    <x v="1"/>
    <x v="59"/>
    <s v="Male"/>
    <n v="69.2"/>
    <n v="200.4"/>
    <n v="29.1"/>
    <n v="18"/>
    <s v="FL"/>
    <n v="4"/>
    <n v="3016.4"/>
    <s v="Middle"/>
    <n v="1"/>
    <s v="Park Hopper"/>
    <n v="0"/>
    <n v="0"/>
    <s v="Main Entrance"/>
    <s v="Toy Story Lot"/>
    <n v="7.5"/>
    <n v="7"/>
    <x v="4299"/>
  </r>
  <r>
    <n v="4698"/>
    <n v="1540"/>
    <d v="2026-05-26T00:00:00"/>
    <s v="Tuesday"/>
    <n v="5"/>
    <n v="11.64"/>
    <x v="1"/>
    <x v="53"/>
    <s v="Male"/>
    <n v="56.9"/>
    <n v="82"/>
    <n v="17.7"/>
    <n v="12"/>
    <s v="FL"/>
    <n v="4"/>
    <n v="3016.4"/>
    <s v="Middle"/>
    <n v="1"/>
    <s v="Park Hopper"/>
    <n v="0"/>
    <n v="0"/>
    <s v="Main Entrance"/>
    <s v="Toy Story Lot"/>
    <n v="10.5"/>
    <n v="7"/>
    <x v="4300"/>
  </r>
  <r>
    <n v="4699"/>
    <n v="1540"/>
    <d v="2026-05-26T00:00:00"/>
    <s v="Tuesday"/>
    <n v="5"/>
    <n v="11.78"/>
    <x v="1"/>
    <x v="52"/>
    <s v="Female"/>
    <n v="63.8"/>
    <n v="132.80000000000001"/>
    <n v="23"/>
    <n v="15"/>
    <s v="FL"/>
    <n v="4"/>
    <n v="3016.4"/>
    <s v="Middle"/>
    <n v="1"/>
    <s v="Park Hopper"/>
    <n v="0"/>
    <n v="0"/>
    <s v="Main Entrance"/>
    <s v="Toy Story Lot"/>
    <n v="12.1"/>
    <n v="12"/>
    <x v="4301"/>
  </r>
  <r>
    <n v="4700"/>
    <n v="1541"/>
    <d v="2026-02-27T00:00:00"/>
    <s v="Friday"/>
    <n v="2"/>
    <n v="9.24"/>
    <x v="0"/>
    <x v="57"/>
    <s v="Male"/>
    <n v="65.900000000000006"/>
    <n v="169.2"/>
    <n v="27.3"/>
    <n v="20"/>
    <s v="CA"/>
    <n v="4"/>
    <n v="75.7"/>
    <s v="High"/>
    <n v="0"/>
    <s v="Single-Day"/>
    <n v="0"/>
    <n v="1"/>
    <s v="Main Entrance"/>
    <s v="None/Walked from Resort"/>
    <n v="7.8"/>
    <n v="12"/>
    <x v="4302"/>
  </r>
  <r>
    <n v="4701"/>
    <n v="1541"/>
    <d v="2026-02-27T00:00:00"/>
    <s v="Friday"/>
    <n v="2"/>
    <n v="8.9499999999999993"/>
    <x v="0"/>
    <x v="6"/>
    <s v="Male"/>
    <n v="69.599999999999994"/>
    <n v="213.2"/>
    <n v="30.8"/>
    <n v="17"/>
    <s v="CA"/>
    <n v="4"/>
    <n v="75.7"/>
    <s v="High"/>
    <n v="0"/>
    <s v="Single-Day"/>
    <n v="0"/>
    <n v="1"/>
    <s v="Main Entrance"/>
    <s v="None/Walked from Resort"/>
    <n v="6.9"/>
    <n v="7"/>
    <x v="4303"/>
  </r>
  <r>
    <n v="4702"/>
    <n v="1541"/>
    <d v="2026-02-27T00:00:00"/>
    <s v="Friday"/>
    <n v="2"/>
    <n v="9.1300000000000008"/>
    <x v="0"/>
    <x v="50"/>
    <s v="Female"/>
    <n v="67.400000000000006"/>
    <n v="142.4"/>
    <n v="22.2"/>
    <n v="16"/>
    <s v="CA"/>
    <n v="4"/>
    <n v="75.7"/>
    <s v="High"/>
    <n v="0"/>
    <s v="Single-Day"/>
    <n v="0"/>
    <n v="1"/>
    <s v="Main Entrance"/>
    <s v="None/Walked from Resort"/>
    <n v="8.5"/>
    <n v="7"/>
    <x v="3580"/>
  </r>
  <r>
    <n v="4703"/>
    <n v="1541"/>
    <d v="2026-02-27T00:00:00"/>
    <s v="Friday"/>
    <n v="2"/>
    <n v="8.9700000000000006"/>
    <x v="0"/>
    <x v="67"/>
    <s v="Female"/>
    <n v="67.2"/>
    <n v="191.4"/>
    <n v="29.7"/>
    <n v="16"/>
    <s v="CA"/>
    <n v="4"/>
    <n v="75.7"/>
    <s v="High"/>
    <n v="0"/>
    <s v="Single-Day"/>
    <n v="0"/>
    <n v="1"/>
    <s v="Main Entrance"/>
    <s v="None/Walked from Resort"/>
    <n v="8.6999999999999993"/>
    <n v="8"/>
    <x v="4304"/>
  </r>
  <r>
    <n v="4704"/>
    <n v="1542"/>
    <d v="2026-10-05T00:00:00"/>
    <s v="Monday"/>
    <n v="10"/>
    <n v="11.45"/>
    <x v="1"/>
    <x v="66"/>
    <s v="Male"/>
    <n v="64.3"/>
    <n v="144"/>
    <n v="24.4"/>
    <n v="13"/>
    <s v="WA"/>
    <n v="2"/>
    <n v="1008.2"/>
    <s v="Low"/>
    <n v="0"/>
    <s v="Single-Day"/>
    <n v="0"/>
    <n v="0"/>
    <s v="Main Entrance"/>
    <s v="Pixar Pals"/>
    <n v="9.3000000000000007"/>
    <n v="10"/>
    <x v="4305"/>
  </r>
  <r>
    <n v="4705"/>
    <n v="1542"/>
    <d v="2026-10-05T00:00:00"/>
    <s v="Monday"/>
    <n v="10"/>
    <n v="11.24"/>
    <x v="1"/>
    <x v="5"/>
    <s v="Male"/>
    <n v="70.400000000000006"/>
    <n v="194.6"/>
    <n v="27.6"/>
    <n v="13"/>
    <s v="WA"/>
    <n v="2"/>
    <n v="1008.2"/>
    <s v="Low"/>
    <n v="0"/>
    <s v="Single-Day"/>
    <n v="0"/>
    <n v="0"/>
    <s v="Main Entrance"/>
    <s v="Pixar Pals"/>
    <n v="9.8000000000000007"/>
    <n v="10"/>
    <x v="4306"/>
  </r>
  <r>
    <n v="4706"/>
    <n v="1543"/>
    <d v="2026-10-19T00:00:00"/>
    <s v="Monday"/>
    <n v="10"/>
    <n v="9.2799999999999994"/>
    <x v="0"/>
    <x v="64"/>
    <s v="Female"/>
    <n v="41.4"/>
    <n v="45"/>
    <n v="18.7"/>
    <n v="11"/>
    <s v="CA"/>
    <n v="3"/>
    <n v="97.5"/>
    <s v="Low"/>
    <n v="0"/>
    <s v="Park Hopper"/>
    <n v="1"/>
    <n v="0"/>
    <s v="Main Entrance"/>
    <s v="Toy Story Lot"/>
    <n v="10.5"/>
    <n v="9"/>
    <x v="4307"/>
  </r>
  <r>
    <n v="4707"/>
    <n v="1543"/>
    <d v="2026-10-19T00:00:00"/>
    <s v="Monday"/>
    <n v="10"/>
    <n v="9.32"/>
    <x v="0"/>
    <x v="37"/>
    <s v="Male"/>
    <n v="68.099999999999994"/>
    <n v="157.4"/>
    <n v="23.6"/>
    <n v="13"/>
    <s v="CA"/>
    <n v="3"/>
    <n v="97.5"/>
    <s v="Low"/>
    <n v="0"/>
    <s v="Park Hopper"/>
    <n v="1"/>
    <n v="0"/>
    <s v="Main Entrance"/>
    <s v="Toy Story Lot"/>
    <n v="6.6"/>
    <n v="9"/>
    <x v="4308"/>
  </r>
  <r>
    <n v="4708"/>
    <n v="1543"/>
    <d v="2026-10-19T00:00:00"/>
    <s v="Monday"/>
    <n v="10"/>
    <n v="9.36"/>
    <x v="0"/>
    <x v="56"/>
    <s v="Male"/>
    <n v="68.599999999999994"/>
    <n v="141.80000000000001"/>
    <n v="21.1"/>
    <n v="13"/>
    <s v="CA"/>
    <n v="3"/>
    <n v="97.5"/>
    <s v="Low"/>
    <n v="0"/>
    <s v="Park Hopper"/>
    <n v="1"/>
    <n v="0"/>
    <s v="Main Entrance"/>
    <s v="Toy Story Lot"/>
    <n v="8.1"/>
    <n v="6"/>
    <x v="4309"/>
  </r>
  <r>
    <n v="4709"/>
    <n v="1544"/>
    <d v="2026-03-11T00:00:00"/>
    <s v="Wednesday"/>
    <n v="3"/>
    <n v="13.66"/>
    <x v="1"/>
    <x v="55"/>
    <s v="Female"/>
    <n v="61.8"/>
    <n v="134.30000000000001"/>
    <n v="24.6"/>
    <n v="15"/>
    <s v="SD"/>
    <n v="2"/>
    <n v="1034.5"/>
    <s v="Low"/>
    <n v="0"/>
    <s v="Single-Day"/>
    <n v="0"/>
    <n v="0"/>
    <s v="Main Entrance"/>
    <s v="None/Dropoff/Transit"/>
    <n v="6.4"/>
    <n v="10"/>
    <x v="4310"/>
  </r>
  <r>
    <n v="4710"/>
    <n v="1544"/>
    <d v="2026-03-11T00:00:00"/>
    <s v="Wednesday"/>
    <n v="3"/>
    <n v="13.83"/>
    <x v="1"/>
    <x v="13"/>
    <s v="Male"/>
    <n v="66.900000000000006"/>
    <n v="219.2"/>
    <n v="34.299999999999997"/>
    <n v="13"/>
    <s v="SD"/>
    <n v="2"/>
    <n v="1034.5"/>
    <s v="Low"/>
    <n v="0"/>
    <s v="Single-Day"/>
    <n v="0"/>
    <n v="0"/>
    <s v="Main Entrance"/>
    <s v="None/Dropoff/Transit"/>
    <n v="7"/>
    <n v="9"/>
    <x v="4311"/>
  </r>
  <r>
    <n v="4711"/>
    <n v="1545"/>
    <d v="2026-12-02T00:00:00"/>
    <s v="Wednesday"/>
    <n v="12"/>
    <n v="9.52"/>
    <x v="0"/>
    <x v="79"/>
    <s v="Male"/>
    <n v="65.099999999999994"/>
    <n v="208.4"/>
    <n v="34.5"/>
    <n v="14"/>
    <s v="AZ"/>
    <n v="2"/>
    <n v="388.2"/>
    <s v="Middle"/>
    <n v="1"/>
    <s v="Single-Day"/>
    <n v="1"/>
    <n v="0"/>
    <s v="Hotel Guest Entrance"/>
    <s v="Mickey &amp; Friends"/>
    <n v="6"/>
    <n v="2"/>
    <x v="1787"/>
  </r>
  <r>
    <n v="4712"/>
    <n v="1545"/>
    <d v="2026-12-02T00:00:00"/>
    <s v="Wednesday"/>
    <n v="12"/>
    <n v="9.59"/>
    <x v="0"/>
    <x v="32"/>
    <s v="Female"/>
    <n v="59.5"/>
    <n v="81.099999999999994"/>
    <n v="16.2"/>
    <n v="14"/>
    <s v="AZ"/>
    <n v="2"/>
    <n v="388.2"/>
    <s v="Middle"/>
    <n v="1"/>
    <s v="Single-Day"/>
    <n v="1"/>
    <n v="0"/>
    <s v="Hotel Guest Entrance"/>
    <s v="Mickey &amp; Friends"/>
    <n v="9.5"/>
    <n v="9"/>
    <x v="4312"/>
  </r>
  <r>
    <n v="4713"/>
    <n v="1546"/>
    <d v="2026-02-16T00:00:00"/>
    <s v="Monday"/>
    <n v="2"/>
    <n v="8.92"/>
    <x v="0"/>
    <x v="12"/>
    <s v="Male"/>
    <n v="58.2"/>
    <n v="81.900000000000006"/>
    <n v="16.899999999999999"/>
    <n v="14"/>
    <s v="OR"/>
    <n v="2"/>
    <n v="804.7"/>
    <s v="High"/>
    <n v="1"/>
    <s v="Single-Day"/>
    <n v="0"/>
    <n v="1"/>
    <s v="Main Entrance"/>
    <s v="None/Walked from Resort"/>
    <n v="9.8000000000000007"/>
    <n v="8"/>
    <x v="4313"/>
  </r>
  <r>
    <n v="4714"/>
    <n v="1546"/>
    <d v="2026-02-16T00:00:00"/>
    <s v="Monday"/>
    <n v="2"/>
    <n v="9.0299999999999994"/>
    <x v="0"/>
    <x v="11"/>
    <s v="Female"/>
    <n v="63.5"/>
    <n v="151.19999999999999"/>
    <n v="26.5"/>
    <n v="15"/>
    <s v="OR"/>
    <n v="2"/>
    <n v="804.7"/>
    <s v="High"/>
    <n v="1"/>
    <s v="Single-Day"/>
    <n v="0"/>
    <n v="1"/>
    <s v="Main Entrance"/>
    <s v="None/Walked from Resort"/>
    <n v="7.1"/>
    <n v="11"/>
    <x v="43"/>
  </r>
  <r>
    <n v="4715"/>
    <n v="1547"/>
    <d v="2026-08-15T00:00:00"/>
    <s v="Saturday"/>
    <n v="8"/>
    <n v="12.5"/>
    <x v="1"/>
    <x v="45"/>
    <s v="Female"/>
    <n v="64.8"/>
    <n v="155.1"/>
    <n v="25.8"/>
    <n v="20"/>
    <s v="CA"/>
    <n v="4"/>
    <n v="143.6"/>
    <s v="High"/>
    <n v="1"/>
    <s v="Single-Day"/>
    <n v="0"/>
    <n v="0"/>
    <s v="Main Entrance"/>
    <s v="None/Dropoff/Transit"/>
    <n v="8.6999999999999993"/>
    <n v="4"/>
    <x v="4314"/>
  </r>
  <r>
    <n v="4716"/>
    <n v="1547"/>
    <d v="2026-08-15T00:00:00"/>
    <s v="Saturday"/>
    <n v="8"/>
    <n v="12.85"/>
    <x v="1"/>
    <x v="66"/>
    <s v="Female"/>
    <n v="63.9"/>
    <n v="162.1"/>
    <n v="27.9"/>
    <n v="18"/>
    <s v="CA"/>
    <n v="4"/>
    <n v="143.6"/>
    <s v="High"/>
    <n v="1"/>
    <s v="Single-Day"/>
    <n v="0"/>
    <n v="0"/>
    <s v="Main Entrance"/>
    <s v="None/Dropoff/Transit"/>
    <n v="7.8"/>
    <n v="7"/>
    <x v="4315"/>
  </r>
  <r>
    <n v="4717"/>
    <n v="1547"/>
    <d v="2026-08-15T00:00:00"/>
    <s v="Saturday"/>
    <n v="8"/>
    <n v="12.62"/>
    <x v="1"/>
    <x v="66"/>
    <s v="Male"/>
    <n v="67.7"/>
    <n v="167.6"/>
    <n v="25.7"/>
    <n v="21"/>
    <s v="CA"/>
    <n v="4"/>
    <n v="143.6"/>
    <s v="High"/>
    <n v="1"/>
    <s v="Single-Day"/>
    <n v="0"/>
    <n v="0"/>
    <s v="Main Entrance"/>
    <s v="None/Dropoff/Transit"/>
    <n v="8.1999999999999993"/>
    <n v="4"/>
    <x v="4316"/>
  </r>
  <r>
    <n v="4718"/>
    <n v="1547"/>
    <d v="2026-08-15T00:00:00"/>
    <s v="Saturday"/>
    <n v="8"/>
    <n v="12.68"/>
    <x v="1"/>
    <x v="41"/>
    <s v="Male"/>
    <n v="70.8"/>
    <n v="140"/>
    <n v="19.600000000000001"/>
    <n v="17"/>
    <s v="CA"/>
    <n v="4"/>
    <n v="143.6"/>
    <s v="High"/>
    <n v="1"/>
    <s v="Single-Day"/>
    <n v="0"/>
    <n v="0"/>
    <s v="Main Entrance"/>
    <s v="None/Dropoff/Transit"/>
    <n v="7"/>
    <n v="8"/>
    <x v="4317"/>
  </r>
  <r>
    <n v="4719"/>
    <n v="1548"/>
    <d v="2026-04-16T00:00:00"/>
    <s v="Thursday"/>
    <n v="4"/>
    <n v="11.12"/>
    <x v="1"/>
    <x v="14"/>
    <s v="Male"/>
    <n v="75.400000000000006"/>
    <n v="147.69999999999999"/>
    <n v="18"/>
    <n v="16"/>
    <s v="WA"/>
    <n v="2"/>
    <n v="1276.2"/>
    <s v="Middle"/>
    <n v="1"/>
    <s v="Park Hopper"/>
    <n v="1"/>
    <n v="0"/>
    <s v="Main Entrance"/>
    <s v="Toy Story Lot"/>
    <n v="9.1999999999999993"/>
    <n v="13"/>
    <x v="4318"/>
  </r>
  <r>
    <n v="4720"/>
    <n v="1548"/>
    <d v="2026-04-16T00:00:00"/>
    <s v="Thursday"/>
    <n v="4"/>
    <n v="10.96"/>
    <x v="0"/>
    <x v="64"/>
    <s v="Female"/>
    <n v="60"/>
    <n v="103.5"/>
    <n v="20.3"/>
    <n v="11"/>
    <s v="WA"/>
    <n v="2"/>
    <n v="1276.2"/>
    <s v="Middle"/>
    <n v="1"/>
    <s v="Park Hopper"/>
    <n v="1"/>
    <n v="0"/>
    <s v="Main Entrance"/>
    <s v="Toy Story Lot"/>
    <n v="6.5"/>
    <n v="10"/>
    <x v="4319"/>
  </r>
  <r>
    <n v="4721"/>
    <n v="1549"/>
    <d v="2026-04-03T00:00:00"/>
    <s v="Friday"/>
    <n v="4"/>
    <n v="9.19"/>
    <x v="0"/>
    <x v="21"/>
    <s v="Female"/>
    <n v="68.400000000000006"/>
    <n v="93.9"/>
    <n v="14"/>
    <n v="11"/>
    <s v="NV"/>
    <n v="5"/>
    <n v="118.4"/>
    <s v="Low"/>
    <n v="0"/>
    <s v="Multi-Day"/>
    <n v="0"/>
    <n v="0"/>
    <s v="Main Entrance"/>
    <s v="Pixar Pals"/>
    <n v="7.7"/>
    <n v="7"/>
    <x v="4320"/>
  </r>
  <r>
    <n v="4722"/>
    <n v="1549"/>
    <d v="2026-04-03T00:00:00"/>
    <s v="Friday"/>
    <n v="4"/>
    <n v="9.2899999999999991"/>
    <x v="0"/>
    <x v="36"/>
    <s v="Female"/>
    <n v="64.599999999999994"/>
    <n v="146.69999999999999"/>
    <n v="24.6"/>
    <n v="15"/>
    <s v="NV"/>
    <n v="5"/>
    <n v="118.4"/>
    <s v="Low"/>
    <n v="0"/>
    <s v="Multi-Day"/>
    <n v="0"/>
    <n v="0"/>
    <s v="Main Entrance"/>
    <s v="Pixar Pals"/>
    <n v="8.1999999999999993"/>
    <n v="8"/>
    <x v="2390"/>
  </r>
  <r>
    <n v="4723"/>
    <n v="1549"/>
    <d v="2026-04-03T00:00:00"/>
    <s v="Friday"/>
    <n v="4"/>
    <n v="9.17"/>
    <x v="0"/>
    <x v="23"/>
    <s v="Female"/>
    <n v="65.7"/>
    <n v="178.9"/>
    <n v="29.2"/>
    <n v="17"/>
    <s v="NV"/>
    <n v="5"/>
    <n v="118.4"/>
    <s v="Low"/>
    <n v="0"/>
    <s v="Multi-Day"/>
    <n v="0"/>
    <n v="0"/>
    <s v="Main Entrance"/>
    <s v="Pixar Pals"/>
    <n v="10.4"/>
    <n v="12"/>
    <x v="821"/>
  </r>
  <r>
    <n v="4724"/>
    <n v="1549"/>
    <d v="2026-04-03T00:00:00"/>
    <s v="Friday"/>
    <n v="4"/>
    <n v="9.31"/>
    <x v="0"/>
    <x v="34"/>
    <s v="Male"/>
    <n v="70.400000000000006"/>
    <n v="112.2"/>
    <n v="16.100000000000001"/>
    <n v="14"/>
    <s v="NV"/>
    <n v="5"/>
    <n v="118.4"/>
    <s v="Low"/>
    <n v="0"/>
    <s v="Multi-Day"/>
    <n v="0"/>
    <n v="0"/>
    <s v="Main Entrance"/>
    <s v="Pixar Pals"/>
    <n v="8.8000000000000007"/>
    <n v="8"/>
    <x v="4321"/>
  </r>
  <r>
    <n v="4725"/>
    <n v="1549"/>
    <d v="2026-04-03T00:00:00"/>
    <s v="Friday"/>
    <n v="4"/>
    <n v="9.2200000000000006"/>
    <x v="0"/>
    <x v="36"/>
    <s v="Female"/>
    <n v="59.6"/>
    <n v="125"/>
    <n v="25"/>
    <n v="15"/>
    <s v="NV"/>
    <n v="5"/>
    <n v="118.4"/>
    <s v="Low"/>
    <n v="0"/>
    <s v="Multi-Day"/>
    <n v="0"/>
    <n v="0"/>
    <s v="Main Entrance"/>
    <s v="Pixar Pals"/>
    <n v="7.5"/>
    <n v="4"/>
    <x v="4014"/>
  </r>
  <r>
    <n v="4726"/>
    <n v="1550"/>
    <d v="2026-04-13T00:00:00"/>
    <s v="Monday"/>
    <n v="4"/>
    <n v="11.23"/>
    <x v="1"/>
    <x v="38"/>
    <s v="Male"/>
    <n v="72.2"/>
    <n v="188"/>
    <n v="25.5"/>
    <n v="7"/>
    <s v="NV"/>
    <n v="5"/>
    <n v="451.5"/>
    <s v="Low"/>
    <n v="0"/>
    <s v="Park Hopper"/>
    <n v="0"/>
    <n v="0"/>
    <s v="Main Entrance"/>
    <s v="Pixar Pals"/>
    <n v="9.6"/>
    <n v="11"/>
    <x v="3277"/>
  </r>
  <r>
    <n v="4727"/>
    <n v="1550"/>
    <d v="2026-04-13T00:00:00"/>
    <s v="Monday"/>
    <n v="4"/>
    <n v="11.41"/>
    <x v="1"/>
    <x v="59"/>
    <s v="Female"/>
    <n v="67.8"/>
    <n v="189.3"/>
    <n v="29"/>
    <n v="12"/>
    <s v="NV"/>
    <n v="5"/>
    <n v="451.5"/>
    <s v="Low"/>
    <n v="0"/>
    <s v="Park Hopper"/>
    <n v="0"/>
    <n v="0"/>
    <s v="Main Entrance"/>
    <s v="Pixar Pals"/>
    <n v="9.6999999999999993"/>
    <n v="12"/>
    <x v="4322"/>
  </r>
  <r>
    <n v="4728"/>
    <n v="1550"/>
    <d v="2026-04-13T00:00:00"/>
    <s v="Monday"/>
    <n v="4"/>
    <n v="11.16"/>
    <x v="1"/>
    <x v="47"/>
    <s v="Male"/>
    <n v="69"/>
    <n v="140.5"/>
    <n v="20.6"/>
    <n v="15"/>
    <s v="NV"/>
    <n v="5"/>
    <n v="451.5"/>
    <s v="Low"/>
    <n v="0"/>
    <s v="Park Hopper"/>
    <n v="0"/>
    <n v="0"/>
    <s v="Main Entrance"/>
    <s v="Pixar Pals"/>
    <n v="6.7"/>
    <n v="8"/>
    <x v="514"/>
  </r>
  <r>
    <n v="4729"/>
    <n v="1550"/>
    <d v="2026-04-13T00:00:00"/>
    <s v="Monday"/>
    <n v="4"/>
    <n v="11.22"/>
    <x v="1"/>
    <x v="33"/>
    <s v="Female"/>
    <n v="65.7"/>
    <n v="165.9"/>
    <n v="26.9"/>
    <n v="12"/>
    <s v="NV"/>
    <n v="5"/>
    <n v="451.5"/>
    <s v="Low"/>
    <n v="0"/>
    <s v="Park Hopper"/>
    <n v="0"/>
    <n v="0"/>
    <s v="Main Entrance"/>
    <s v="Pixar Pals"/>
    <n v="6.8"/>
    <n v="4"/>
    <x v="4323"/>
  </r>
  <r>
    <n v="4730"/>
    <n v="1550"/>
    <d v="2026-04-13T00:00:00"/>
    <s v="Monday"/>
    <n v="4"/>
    <n v="11.28"/>
    <x v="1"/>
    <x v="50"/>
    <s v="Female"/>
    <n v="68.3"/>
    <n v="127.6"/>
    <n v="19.3"/>
    <n v="9"/>
    <s v="NV"/>
    <n v="5"/>
    <n v="451.5"/>
    <s v="Low"/>
    <n v="0"/>
    <s v="Park Hopper"/>
    <n v="0"/>
    <n v="0"/>
    <s v="Main Entrance"/>
    <s v="Pixar Pals"/>
    <n v="6.9"/>
    <n v="4"/>
    <x v="4324"/>
  </r>
  <r>
    <n v="4731"/>
    <n v="1551"/>
    <d v="2026-03-23T00:00:00"/>
    <s v="Monday"/>
    <n v="3"/>
    <n v="9.7100000000000009"/>
    <x v="0"/>
    <x v="51"/>
    <s v="Female"/>
    <n v="66.2"/>
    <n v="143.4"/>
    <n v="22.8"/>
    <n v="15"/>
    <s v="WA"/>
    <n v="3"/>
    <n v="900.4"/>
    <s v="Low"/>
    <n v="1"/>
    <s v="Single-Day"/>
    <n v="0"/>
    <n v="0"/>
    <s v="Main Entrance"/>
    <s v="Pixar Pals"/>
    <n v="7.7"/>
    <n v="10"/>
    <x v="4325"/>
  </r>
  <r>
    <n v="4732"/>
    <n v="1551"/>
    <d v="2026-03-23T00:00:00"/>
    <s v="Monday"/>
    <n v="3"/>
    <n v="9.8699999999999992"/>
    <x v="0"/>
    <x v="11"/>
    <s v="Male"/>
    <n v="72.5"/>
    <n v="181.4"/>
    <n v="24.4"/>
    <n v="12"/>
    <s v="WA"/>
    <n v="3"/>
    <n v="900.4"/>
    <s v="Low"/>
    <n v="1"/>
    <s v="Single-Day"/>
    <n v="0"/>
    <n v="0"/>
    <s v="Main Entrance"/>
    <s v="Pixar Pals"/>
    <n v="7.8"/>
    <n v="7"/>
    <x v="1506"/>
  </r>
  <r>
    <n v="4733"/>
    <n v="1551"/>
    <d v="2026-03-23T00:00:00"/>
    <s v="Monday"/>
    <n v="3"/>
    <n v="9.93"/>
    <x v="0"/>
    <x v="60"/>
    <s v="Male"/>
    <n v="63"/>
    <n v="91.8"/>
    <n v="16.5"/>
    <n v="11"/>
    <s v="WA"/>
    <n v="3"/>
    <n v="900.4"/>
    <s v="Low"/>
    <n v="1"/>
    <s v="Single-Day"/>
    <n v="0"/>
    <n v="0"/>
    <s v="Main Entrance"/>
    <s v="Pixar Pals"/>
    <n v="6.6"/>
    <n v="5"/>
    <x v="4326"/>
  </r>
  <r>
    <n v="4734"/>
    <n v="1552"/>
    <d v="2026-09-29T00:00:00"/>
    <s v="Tuesday"/>
    <n v="9"/>
    <n v="12.17"/>
    <x v="1"/>
    <x v="61"/>
    <s v="Male"/>
    <n v="64.599999999999994"/>
    <n v="117.6"/>
    <n v="19.7"/>
    <n v="14"/>
    <s v="FL"/>
    <n v="3"/>
    <n v="2614.5"/>
    <s v="Middle"/>
    <n v="1"/>
    <s v="Single-Day"/>
    <n v="0"/>
    <n v="0"/>
    <s v="Main Entrance"/>
    <s v="Pixar Pals"/>
    <n v="10.199999999999999"/>
    <n v="9"/>
    <x v="2288"/>
  </r>
  <r>
    <n v="4735"/>
    <n v="1552"/>
    <d v="2026-09-29T00:00:00"/>
    <s v="Tuesday"/>
    <n v="9"/>
    <n v="12.2"/>
    <x v="1"/>
    <x v="30"/>
    <s v="Male"/>
    <n v="66.599999999999994"/>
    <n v="89.8"/>
    <n v="14.2"/>
    <n v="14"/>
    <s v="FL"/>
    <n v="3"/>
    <n v="2614.5"/>
    <s v="Middle"/>
    <n v="1"/>
    <s v="Single-Day"/>
    <n v="0"/>
    <n v="0"/>
    <s v="Main Entrance"/>
    <s v="Pixar Pals"/>
    <n v="8.6999999999999993"/>
    <n v="11"/>
    <x v="4327"/>
  </r>
  <r>
    <n v="4736"/>
    <n v="1552"/>
    <d v="2026-09-29T00:00:00"/>
    <s v="Tuesday"/>
    <n v="9"/>
    <n v="11.99"/>
    <x v="1"/>
    <x v="57"/>
    <s v="Female"/>
    <n v="64.900000000000006"/>
    <n v="193.2"/>
    <n v="32.4"/>
    <n v="17"/>
    <s v="FL"/>
    <n v="3"/>
    <n v="2614.5"/>
    <s v="Middle"/>
    <n v="1"/>
    <s v="Single-Day"/>
    <n v="0"/>
    <n v="0"/>
    <s v="Main Entrance"/>
    <s v="Pixar Pals"/>
    <n v="8.5"/>
    <n v="3"/>
    <x v="4328"/>
  </r>
  <r>
    <n v="4737"/>
    <n v="1553"/>
    <d v="2026-01-17T00:00:00"/>
    <s v="Saturday"/>
    <n v="1"/>
    <n v="12.46"/>
    <x v="1"/>
    <x v="16"/>
    <s v="Male"/>
    <n v="57.4"/>
    <n v="73.8"/>
    <n v="15.8"/>
    <n v="11"/>
    <s v="CA"/>
    <n v="1"/>
    <n v="37.799999999999997"/>
    <s v="Low"/>
    <n v="1"/>
    <s v="Multi-Day"/>
    <n v="0"/>
    <n v="0"/>
    <s v="Downtown Disney Gate"/>
    <s v="Pixar Pals"/>
    <n v="8.6999999999999993"/>
    <n v="7"/>
    <x v="4329"/>
  </r>
  <r>
    <n v="4738"/>
    <n v="1554"/>
    <d v="2026-04-11T00:00:00"/>
    <s v="Saturday"/>
    <n v="4"/>
    <n v="11.48"/>
    <x v="1"/>
    <x v="18"/>
    <s v="Male"/>
    <n v="69.2"/>
    <n v="164.2"/>
    <n v="24.1"/>
    <n v="11"/>
    <s v="UT"/>
    <n v="3"/>
    <n v="482.4"/>
    <s v="Low"/>
    <n v="1"/>
    <s v="Park Hopper"/>
    <n v="1"/>
    <n v="0"/>
    <s v="Main Entrance"/>
    <s v="Mickey &amp; Friends"/>
    <n v="7.3"/>
    <n v="7"/>
    <x v="4330"/>
  </r>
  <r>
    <n v="4739"/>
    <n v="1554"/>
    <d v="2026-04-11T00:00:00"/>
    <s v="Saturday"/>
    <n v="4"/>
    <n v="11.53"/>
    <x v="1"/>
    <x v="74"/>
    <s v="Female"/>
    <n v="61.5"/>
    <n v="130.19999999999999"/>
    <n v="24.3"/>
    <n v="15"/>
    <s v="UT"/>
    <n v="3"/>
    <n v="482.4"/>
    <s v="Low"/>
    <n v="1"/>
    <s v="Park Hopper"/>
    <n v="1"/>
    <n v="0"/>
    <s v="Main Entrance"/>
    <s v="Mickey &amp; Friends"/>
    <n v="10.6"/>
    <n v="11"/>
    <x v="4331"/>
  </r>
  <r>
    <n v="4740"/>
    <n v="1554"/>
    <d v="2026-04-11T00:00:00"/>
    <s v="Saturday"/>
    <n v="4"/>
    <n v="11.54"/>
    <x v="1"/>
    <x v="72"/>
    <s v="Female"/>
    <n v="58.1"/>
    <n v="110.9"/>
    <n v="23.4"/>
    <n v="14"/>
    <s v="UT"/>
    <n v="3"/>
    <n v="482.4"/>
    <s v="Low"/>
    <n v="1"/>
    <s v="Park Hopper"/>
    <n v="1"/>
    <n v="0"/>
    <s v="Main Entrance"/>
    <s v="Mickey &amp; Friends"/>
    <n v="8.1"/>
    <n v="3"/>
    <x v="4332"/>
  </r>
  <r>
    <n v="4741"/>
    <n v="1555"/>
    <d v="2026-06-07T00:00:00"/>
    <s v="Sunday"/>
    <n v="6"/>
    <n v="10.23"/>
    <x v="0"/>
    <x v="21"/>
    <s v="Female"/>
    <n v="65.3"/>
    <n v="126.5"/>
    <n v="21.2"/>
    <n v="14"/>
    <s v="IL"/>
    <n v="3"/>
    <n v="1820.3"/>
    <s v="Low"/>
    <n v="1"/>
    <s v="Single-Day"/>
    <n v="0"/>
    <n v="0"/>
    <s v="Main Entrance"/>
    <s v="Toy Story Lot"/>
    <n v="8.6"/>
    <n v="5"/>
    <x v="4333"/>
  </r>
  <r>
    <n v="4742"/>
    <n v="1555"/>
    <d v="2026-06-07T00:00:00"/>
    <s v="Sunday"/>
    <n v="6"/>
    <n v="10.38"/>
    <x v="0"/>
    <x v="42"/>
    <s v="Female"/>
    <n v="62.9"/>
    <n v="167.1"/>
    <n v="29.7"/>
    <n v="16"/>
    <s v="IL"/>
    <n v="3"/>
    <n v="1820.3"/>
    <s v="Low"/>
    <n v="1"/>
    <s v="Single-Day"/>
    <n v="0"/>
    <n v="0"/>
    <s v="Main Entrance"/>
    <s v="Toy Story Lot"/>
    <n v="9.6999999999999993"/>
    <n v="10"/>
    <x v="4334"/>
  </r>
  <r>
    <n v="4743"/>
    <n v="1555"/>
    <d v="2026-06-07T00:00:00"/>
    <s v="Sunday"/>
    <n v="6"/>
    <n v="10.16"/>
    <x v="0"/>
    <x v="53"/>
    <s v="Female"/>
    <n v="51.6"/>
    <n v="89.2"/>
    <n v="23.9"/>
    <n v="8"/>
    <s v="IL"/>
    <n v="3"/>
    <n v="1820.3"/>
    <s v="Low"/>
    <n v="1"/>
    <s v="Single-Day"/>
    <n v="0"/>
    <n v="0"/>
    <s v="Main Entrance"/>
    <s v="Toy Story Lot"/>
    <n v="10.9"/>
    <n v="4"/>
    <x v="4335"/>
  </r>
  <r>
    <n v="4744"/>
    <n v="1556"/>
    <d v="2026-06-08T00:00:00"/>
    <s v="Monday"/>
    <n v="6"/>
    <n v="10.51"/>
    <x v="0"/>
    <x v="60"/>
    <s v="Female"/>
    <n v="65.099999999999994"/>
    <n v="82.4"/>
    <n v="13.7"/>
    <n v="12"/>
    <s v="NV"/>
    <n v="2"/>
    <n v="341.1"/>
    <s v="Low"/>
    <n v="0"/>
    <s v="Single-Day"/>
    <n v="0"/>
    <n v="0"/>
    <s v="Downtown Disney Gate"/>
    <s v="Pixar Pals"/>
    <n v="6.7"/>
    <n v="5"/>
    <x v="4336"/>
  </r>
  <r>
    <n v="4745"/>
    <n v="1556"/>
    <d v="2026-06-08T00:00:00"/>
    <s v="Monday"/>
    <n v="6"/>
    <n v="10.35"/>
    <x v="0"/>
    <x v="38"/>
    <s v="Female"/>
    <n v="66.099999999999994"/>
    <n v="137.80000000000001"/>
    <n v="22.2"/>
    <n v="11"/>
    <s v="NV"/>
    <n v="2"/>
    <n v="341.1"/>
    <s v="Low"/>
    <n v="0"/>
    <s v="Single-Day"/>
    <n v="0"/>
    <n v="0"/>
    <s v="Downtown Disney Gate"/>
    <s v="Pixar Pals"/>
    <n v="5.7"/>
    <n v="8"/>
    <x v="4337"/>
  </r>
  <r>
    <n v="4746"/>
    <n v="1557"/>
    <d v="2026-09-29T00:00:00"/>
    <s v="Tuesday"/>
    <n v="9"/>
    <n v="7.98"/>
    <x v="0"/>
    <x v="21"/>
    <s v="Female"/>
    <n v="61.9"/>
    <n v="122.9"/>
    <n v="22.4"/>
    <n v="19"/>
    <s v="CA"/>
    <n v="3"/>
    <n v="90.6"/>
    <s v="High"/>
    <n v="0"/>
    <s v="Single-Day"/>
    <n v="0"/>
    <n v="1"/>
    <s v="Hotel Guest Entrance"/>
    <s v="None/Walked from Resort"/>
    <n v="7.8"/>
    <n v="8"/>
    <x v="1020"/>
  </r>
  <r>
    <n v="4747"/>
    <n v="1557"/>
    <d v="2026-09-29T00:00:00"/>
    <s v="Tuesday"/>
    <n v="9"/>
    <n v="7.89"/>
    <x v="0"/>
    <x v="27"/>
    <s v="Male"/>
    <n v="73.2"/>
    <n v="153.30000000000001"/>
    <n v="19.899999999999999"/>
    <n v="19"/>
    <s v="CA"/>
    <n v="3"/>
    <n v="90.6"/>
    <s v="High"/>
    <n v="0"/>
    <s v="Single-Day"/>
    <n v="0"/>
    <n v="1"/>
    <s v="Hotel Guest Entrance"/>
    <s v="None/Walked from Resort"/>
    <n v="9.1"/>
    <n v="13"/>
    <x v="4338"/>
  </r>
  <r>
    <n v="4748"/>
    <n v="1557"/>
    <d v="2026-09-29T00:00:00"/>
    <s v="Tuesday"/>
    <n v="9"/>
    <n v="8.3000000000000007"/>
    <x v="0"/>
    <x v="18"/>
    <s v="Female"/>
    <n v="66.5"/>
    <n v="132.80000000000001"/>
    <n v="21.2"/>
    <n v="18"/>
    <s v="CA"/>
    <n v="3"/>
    <n v="90.6"/>
    <s v="High"/>
    <n v="0"/>
    <s v="Single-Day"/>
    <n v="0"/>
    <n v="1"/>
    <s v="Hotel Guest Entrance"/>
    <s v="None/Walked from Resort"/>
    <n v="9.6999999999999993"/>
    <n v="4"/>
    <x v="2816"/>
  </r>
  <r>
    <n v="4749"/>
    <n v="1558"/>
    <d v="2026-04-29T00:00:00"/>
    <s v="Wednesday"/>
    <n v="4"/>
    <n v="10.23"/>
    <x v="0"/>
    <x v="5"/>
    <s v="Male"/>
    <n v="72.099999999999994"/>
    <n v="199.8"/>
    <n v="26.9"/>
    <n v="13"/>
    <s v="IL"/>
    <n v="2"/>
    <n v="1955.1"/>
    <s v="Low"/>
    <n v="1"/>
    <s v="Single-Day"/>
    <n v="1"/>
    <n v="0"/>
    <s v="Main Entrance"/>
    <s v="Mickey &amp; Friends"/>
    <n v="10.199999999999999"/>
    <n v="5"/>
    <x v="4339"/>
  </r>
  <r>
    <n v="4750"/>
    <n v="1558"/>
    <d v="2026-04-29T00:00:00"/>
    <s v="Wednesday"/>
    <n v="4"/>
    <n v="10.07"/>
    <x v="0"/>
    <x v="10"/>
    <s v="Male"/>
    <n v="68.5"/>
    <n v="185.2"/>
    <n v="28"/>
    <n v="9"/>
    <s v="IL"/>
    <n v="2"/>
    <n v="1955.1"/>
    <s v="Low"/>
    <n v="1"/>
    <s v="Single-Day"/>
    <n v="1"/>
    <n v="0"/>
    <s v="Main Entrance"/>
    <s v="Mickey &amp; Friends"/>
    <n v="7.7"/>
    <n v="9"/>
    <x v="4340"/>
  </r>
  <r>
    <n v="4751"/>
    <n v="1559"/>
    <d v="2026-04-21T00:00:00"/>
    <s v="Tuesday"/>
    <n v="4"/>
    <n v="13.38"/>
    <x v="1"/>
    <x v="43"/>
    <s v="Male"/>
    <n v="73.599999999999994"/>
    <n v="155.9"/>
    <n v="20"/>
    <n v="16"/>
    <s v="CA"/>
    <n v="3"/>
    <n v="5.7"/>
    <s v="Middle"/>
    <n v="0"/>
    <s v="Multi-Day"/>
    <n v="0"/>
    <n v="0"/>
    <s v="Downtown Disney Gate"/>
    <s v="Toy Story Lot"/>
    <n v="9.1999999999999993"/>
    <n v="4"/>
    <x v="4341"/>
  </r>
  <r>
    <n v="4752"/>
    <n v="1559"/>
    <d v="2026-04-21T00:00:00"/>
    <s v="Tuesday"/>
    <n v="4"/>
    <n v="13.33"/>
    <x v="1"/>
    <x v="34"/>
    <s v="Male"/>
    <n v="73.3"/>
    <n v="171.1"/>
    <n v="22.6"/>
    <n v="16"/>
    <s v="CA"/>
    <n v="3"/>
    <n v="5.7"/>
    <s v="Middle"/>
    <n v="0"/>
    <s v="Multi-Day"/>
    <n v="0"/>
    <n v="0"/>
    <s v="Downtown Disney Gate"/>
    <s v="Toy Story Lot"/>
    <n v="7"/>
    <n v="12"/>
    <x v="4342"/>
  </r>
  <r>
    <n v="4753"/>
    <n v="1559"/>
    <d v="2026-04-21T00:00:00"/>
    <s v="Tuesday"/>
    <n v="4"/>
    <n v="13.76"/>
    <x v="1"/>
    <x v="32"/>
    <s v="Male"/>
    <n v="62.8"/>
    <n v="86.3"/>
    <n v="15.3"/>
    <n v="12"/>
    <s v="CA"/>
    <n v="3"/>
    <n v="5.7"/>
    <s v="Middle"/>
    <n v="0"/>
    <s v="Multi-Day"/>
    <n v="0"/>
    <n v="0"/>
    <s v="Downtown Disney Gate"/>
    <s v="Toy Story Lot"/>
    <n v="9.8000000000000007"/>
    <n v="6"/>
    <x v="4343"/>
  </r>
  <r>
    <n v="4754"/>
    <n v="1560"/>
    <d v="2026-12-29T00:00:00"/>
    <s v="Tuesday"/>
    <n v="12"/>
    <n v="9.9499999999999993"/>
    <x v="0"/>
    <x v="19"/>
    <s v="Male"/>
    <n v="68.3"/>
    <n v="160.30000000000001"/>
    <n v="24.3"/>
    <n v="16"/>
    <s v="IL"/>
    <n v="1"/>
    <n v="1461.5"/>
    <s v="Low"/>
    <n v="1"/>
    <s v="Park Hopper"/>
    <n v="1"/>
    <n v="0"/>
    <s v="Main Entrance"/>
    <s v="Pixar Pals"/>
    <n v="8.1999999999999993"/>
    <n v="11"/>
    <x v="4344"/>
  </r>
  <r>
    <n v="4755"/>
    <n v="1561"/>
    <d v="2026-01-01T00:00:00"/>
    <s v="Thursday"/>
    <n v="1"/>
    <n v="10.47"/>
    <x v="0"/>
    <x v="43"/>
    <s v="Female"/>
    <n v="63.3"/>
    <n v="142.30000000000001"/>
    <n v="25"/>
    <n v="15"/>
    <s v="NV"/>
    <n v="4"/>
    <n v="364.7"/>
    <s v="Middle"/>
    <n v="1"/>
    <s v="Single-Day"/>
    <n v="0"/>
    <n v="0"/>
    <s v="Downtown Disney Gate"/>
    <s v="Pixar Pals"/>
    <n v="9.6999999999999993"/>
    <n v="9"/>
    <x v="4345"/>
  </r>
  <r>
    <n v="4756"/>
    <n v="1561"/>
    <d v="2026-01-01T00:00:00"/>
    <s v="Thursday"/>
    <n v="1"/>
    <n v="10.38"/>
    <x v="0"/>
    <x v="27"/>
    <s v="Female"/>
    <n v="59.1"/>
    <n v="138.19999999999999"/>
    <n v="27.8"/>
    <n v="12"/>
    <s v="NV"/>
    <n v="4"/>
    <n v="364.7"/>
    <s v="Middle"/>
    <n v="1"/>
    <s v="Single-Day"/>
    <n v="0"/>
    <n v="0"/>
    <s v="Downtown Disney Gate"/>
    <s v="Pixar Pals"/>
    <n v="8.6"/>
    <n v="7"/>
    <x v="4346"/>
  </r>
  <r>
    <n v="4757"/>
    <n v="1561"/>
    <d v="2026-01-01T00:00:00"/>
    <s v="Thursday"/>
    <n v="1"/>
    <n v="10.46"/>
    <x v="0"/>
    <x v="3"/>
    <s v="Female"/>
    <n v="69.099999999999994"/>
    <n v="162.80000000000001"/>
    <n v="23.9"/>
    <n v="16"/>
    <s v="NV"/>
    <n v="4"/>
    <n v="364.7"/>
    <s v="Middle"/>
    <n v="1"/>
    <s v="Single-Day"/>
    <n v="0"/>
    <n v="0"/>
    <s v="Downtown Disney Gate"/>
    <s v="Pixar Pals"/>
    <n v="9.5"/>
    <n v="13"/>
    <x v="4347"/>
  </r>
  <r>
    <n v="4758"/>
    <n v="1561"/>
    <d v="2026-01-01T00:00:00"/>
    <s v="Thursday"/>
    <n v="1"/>
    <n v="10.37"/>
    <x v="0"/>
    <x v="59"/>
    <s v="Female"/>
    <n v="60.5"/>
    <n v="136.9"/>
    <n v="26.4"/>
    <n v="18"/>
    <s v="NV"/>
    <n v="4"/>
    <n v="364.7"/>
    <s v="Middle"/>
    <n v="1"/>
    <s v="Single-Day"/>
    <n v="0"/>
    <n v="0"/>
    <s v="Downtown Disney Gate"/>
    <s v="Pixar Pals"/>
    <n v="7.8"/>
    <n v="6"/>
    <x v="1359"/>
  </r>
  <r>
    <n v="4759"/>
    <n v="1562"/>
    <d v="2026-09-06T00:00:00"/>
    <s v="Sunday"/>
    <n v="9"/>
    <n v="8.35"/>
    <x v="0"/>
    <x v="5"/>
    <s v="Female"/>
    <n v="63.9"/>
    <n v="199"/>
    <n v="34.299999999999997"/>
    <n v="16"/>
    <s v="NV"/>
    <n v="3"/>
    <n v="226.2"/>
    <s v="High"/>
    <n v="0"/>
    <s v="Multi-Day"/>
    <n v="1"/>
    <n v="0"/>
    <s v="Main Entrance"/>
    <s v="Toy Story Lot"/>
    <n v="8.6"/>
    <n v="6"/>
    <x v="4348"/>
  </r>
  <r>
    <n v="4760"/>
    <n v="1562"/>
    <d v="2026-09-06T00:00:00"/>
    <s v="Sunday"/>
    <n v="9"/>
    <n v="8.4"/>
    <x v="0"/>
    <x v="51"/>
    <s v="Male"/>
    <n v="67"/>
    <n v="167"/>
    <n v="26.1"/>
    <n v="14"/>
    <s v="NV"/>
    <n v="3"/>
    <n v="226.2"/>
    <s v="High"/>
    <n v="0"/>
    <s v="Multi-Day"/>
    <n v="1"/>
    <n v="0"/>
    <s v="Main Entrance"/>
    <s v="Toy Story Lot"/>
    <n v="9.4"/>
    <n v="7"/>
    <x v="4349"/>
  </r>
  <r>
    <n v="4761"/>
    <n v="1562"/>
    <d v="2026-09-06T00:00:00"/>
    <s v="Sunday"/>
    <n v="9"/>
    <n v="8.4600000000000009"/>
    <x v="0"/>
    <x v="16"/>
    <s v="Female"/>
    <n v="57.9"/>
    <n v="91.9"/>
    <n v="19.3"/>
    <n v="16"/>
    <s v="NV"/>
    <n v="3"/>
    <n v="226.2"/>
    <s v="High"/>
    <n v="0"/>
    <s v="Multi-Day"/>
    <n v="1"/>
    <n v="0"/>
    <s v="Main Entrance"/>
    <s v="Toy Story Lot"/>
    <n v="9.4"/>
    <n v="10"/>
    <x v="4350"/>
  </r>
  <r>
    <n v="4762"/>
    <n v="1563"/>
    <d v="2026-03-07T00:00:00"/>
    <s v="Saturday"/>
    <n v="3"/>
    <n v="11.91"/>
    <x v="1"/>
    <x v="25"/>
    <s v="Male"/>
    <n v="71.3"/>
    <n v="147.30000000000001"/>
    <n v="20.7"/>
    <n v="18"/>
    <s v="CA"/>
    <n v="4"/>
    <n v="35.5"/>
    <s v="Middle"/>
    <n v="0"/>
    <s v="Single-Day"/>
    <n v="0"/>
    <n v="0"/>
    <s v="Main Entrance"/>
    <s v="Mickey &amp; Friends"/>
    <n v="6.1"/>
    <n v="8"/>
    <x v="4351"/>
  </r>
  <r>
    <n v="4763"/>
    <n v="1563"/>
    <d v="2026-03-07T00:00:00"/>
    <s v="Saturday"/>
    <n v="3"/>
    <n v="12.12"/>
    <x v="1"/>
    <x v="71"/>
    <s v="Male"/>
    <n v="65.5"/>
    <n v="152.9"/>
    <n v="24.9"/>
    <n v="15"/>
    <s v="CA"/>
    <n v="4"/>
    <n v="35.5"/>
    <s v="Middle"/>
    <n v="0"/>
    <s v="Single-Day"/>
    <n v="0"/>
    <n v="0"/>
    <s v="Main Entrance"/>
    <s v="Mickey &amp; Friends"/>
    <n v="8.1"/>
    <n v="1"/>
    <x v="4352"/>
  </r>
  <r>
    <n v="4764"/>
    <n v="1563"/>
    <d v="2026-03-07T00:00:00"/>
    <s v="Saturday"/>
    <n v="3"/>
    <n v="11.81"/>
    <x v="1"/>
    <x v="28"/>
    <s v="Male"/>
    <n v="75.8"/>
    <n v="245.4"/>
    <n v="30.1"/>
    <n v="17"/>
    <s v="CA"/>
    <n v="4"/>
    <n v="35.5"/>
    <s v="Middle"/>
    <n v="0"/>
    <s v="Single-Day"/>
    <n v="0"/>
    <n v="0"/>
    <s v="Main Entrance"/>
    <s v="Mickey &amp; Friends"/>
    <n v="4.7"/>
    <n v="1"/>
    <x v="4353"/>
  </r>
  <r>
    <n v="4765"/>
    <n v="1563"/>
    <d v="2026-03-07T00:00:00"/>
    <s v="Saturday"/>
    <n v="3"/>
    <n v="12.08"/>
    <x v="1"/>
    <x v="0"/>
    <s v="Female"/>
    <n v="64.400000000000006"/>
    <n v="168"/>
    <n v="28.5"/>
    <n v="16"/>
    <s v="CA"/>
    <n v="4"/>
    <n v="35.5"/>
    <s v="Middle"/>
    <n v="0"/>
    <s v="Single-Day"/>
    <n v="0"/>
    <n v="0"/>
    <s v="Main Entrance"/>
    <s v="Mickey &amp; Friends"/>
    <n v="8.1999999999999993"/>
    <n v="7"/>
    <x v="2608"/>
  </r>
  <r>
    <n v="4766"/>
    <n v="1564"/>
    <d v="2026-04-04T00:00:00"/>
    <s v="Saturday"/>
    <n v="4"/>
    <n v="9.64"/>
    <x v="0"/>
    <x v="38"/>
    <s v="Male"/>
    <n v="69.900000000000006"/>
    <n v="214.4"/>
    <n v="30.9"/>
    <n v="11"/>
    <s v="CA"/>
    <n v="4"/>
    <n v="113.8"/>
    <s v="Low"/>
    <n v="1"/>
    <s v="Multi-Day"/>
    <n v="1"/>
    <n v="0"/>
    <s v="Main Entrance"/>
    <s v="Toy Story Lot"/>
    <n v="11.8"/>
    <n v="11"/>
    <x v="4354"/>
  </r>
  <r>
    <n v="4767"/>
    <n v="1564"/>
    <d v="2026-04-04T00:00:00"/>
    <s v="Saturday"/>
    <n v="4"/>
    <n v="9.68"/>
    <x v="0"/>
    <x v="47"/>
    <s v="Female"/>
    <n v="61.6"/>
    <n v="179.4"/>
    <n v="33.299999999999997"/>
    <n v="16"/>
    <s v="CA"/>
    <n v="4"/>
    <n v="113.8"/>
    <s v="Low"/>
    <n v="1"/>
    <s v="Multi-Day"/>
    <n v="1"/>
    <n v="0"/>
    <s v="Main Entrance"/>
    <s v="Toy Story Lot"/>
    <n v="9.4"/>
    <n v="9"/>
    <x v="4355"/>
  </r>
  <r>
    <n v="4768"/>
    <n v="1564"/>
    <d v="2026-04-04T00:00:00"/>
    <s v="Saturday"/>
    <n v="4"/>
    <n v="9.49"/>
    <x v="0"/>
    <x v="67"/>
    <s v="Male"/>
    <n v="67.3"/>
    <n v="193.2"/>
    <n v="29.8"/>
    <n v="9"/>
    <s v="CA"/>
    <n v="4"/>
    <n v="113.8"/>
    <s v="Low"/>
    <n v="1"/>
    <s v="Multi-Day"/>
    <n v="1"/>
    <n v="0"/>
    <s v="Main Entrance"/>
    <s v="Toy Story Lot"/>
    <n v="8.1999999999999993"/>
    <n v="9"/>
    <x v="4356"/>
  </r>
  <r>
    <n v="4769"/>
    <n v="1564"/>
    <d v="2026-04-04T00:00:00"/>
    <s v="Saturday"/>
    <n v="4"/>
    <n v="9.43"/>
    <x v="0"/>
    <x v="41"/>
    <s v="Female"/>
    <n v="68.5"/>
    <n v="190.3"/>
    <n v="28.6"/>
    <n v="12"/>
    <s v="CA"/>
    <n v="4"/>
    <n v="113.8"/>
    <s v="Low"/>
    <n v="1"/>
    <s v="Multi-Day"/>
    <n v="1"/>
    <n v="0"/>
    <s v="Main Entrance"/>
    <s v="Toy Story Lot"/>
    <n v="10.1"/>
    <n v="13"/>
    <x v="4357"/>
  </r>
  <r>
    <n v="4770"/>
    <n v="1565"/>
    <d v="2026-10-04T00:00:00"/>
    <s v="Sunday"/>
    <n v="10"/>
    <n v="11.08"/>
    <x v="1"/>
    <x v="39"/>
    <s v="Male"/>
    <n v="66.7"/>
    <n v="152.5"/>
    <n v="24"/>
    <n v="17"/>
    <s v="WA"/>
    <n v="6"/>
    <n v="1336.9"/>
    <s v="Middle"/>
    <n v="1"/>
    <s v="Single-Day"/>
    <n v="1"/>
    <n v="0"/>
    <s v="Main Entrance"/>
    <s v="Mickey &amp; Friends"/>
    <n v="6.2"/>
    <n v="11"/>
    <x v="4358"/>
  </r>
  <r>
    <n v="4771"/>
    <n v="1565"/>
    <d v="2026-10-04T00:00:00"/>
    <s v="Sunday"/>
    <n v="10"/>
    <n v="10.99"/>
    <x v="0"/>
    <x v="36"/>
    <s v="Male"/>
    <n v="67.900000000000006"/>
    <n v="190.4"/>
    <n v="29.2"/>
    <n v="17"/>
    <s v="WA"/>
    <n v="6"/>
    <n v="1336.9"/>
    <s v="Middle"/>
    <n v="1"/>
    <s v="Single-Day"/>
    <n v="1"/>
    <n v="0"/>
    <s v="Main Entrance"/>
    <s v="Mickey &amp; Friends"/>
    <n v="6.5"/>
    <n v="10"/>
    <x v="4359"/>
  </r>
  <r>
    <n v="4772"/>
    <n v="1565"/>
    <d v="2026-10-04T00:00:00"/>
    <s v="Sunday"/>
    <n v="10"/>
    <n v="11.2"/>
    <x v="1"/>
    <x v="48"/>
    <s v="Male"/>
    <n v="65"/>
    <n v="145.69999999999999"/>
    <n v="24.5"/>
    <n v="17"/>
    <s v="WA"/>
    <n v="6"/>
    <n v="1336.9"/>
    <s v="Middle"/>
    <n v="1"/>
    <s v="Single-Day"/>
    <n v="1"/>
    <n v="0"/>
    <s v="Main Entrance"/>
    <s v="Mickey &amp; Friends"/>
    <n v="6.8"/>
    <n v="5"/>
    <x v="4360"/>
  </r>
  <r>
    <n v="4773"/>
    <n v="1565"/>
    <d v="2026-10-04T00:00:00"/>
    <s v="Sunday"/>
    <n v="10"/>
    <n v="11.23"/>
    <x v="1"/>
    <x v="19"/>
    <s v="Male"/>
    <n v="70.099999999999994"/>
    <n v="194.1"/>
    <n v="27.6"/>
    <n v="14"/>
    <s v="WA"/>
    <n v="6"/>
    <n v="1336.9"/>
    <s v="Middle"/>
    <n v="1"/>
    <s v="Single-Day"/>
    <n v="1"/>
    <n v="0"/>
    <s v="Main Entrance"/>
    <s v="Mickey &amp; Friends"/>
    <n v="7.1"/>
    <n v="6"/>
    <x v="1137"/>
  </r>
  <r>
    <n v="4774"/>
    <n v="1565"/>
    <d v="2026-10-04T00:00:00"/>
    <s v="Sunday"/>
    <n v="10"/>
    <n v="11.16"/>
    <x v="1"/>
    <x v="21"/>
    <s v="Female"/>
    <n v="61.9"/>
    <n v="155.19999999999999"/>
    <n v="28.1"/>
    <n v="13"/>
    <s v="WA"/>
    <n v="6"/>
    <n v="1336.9"/>
    <s v="Middle"/>
    <n v="1"/>
    <s v="Single-Day"/>
    <n v="1"/>
    <n v="0"/>
    <s v="Main Entrance"/>
    <s v="Mickey &amp; Friends"/>
    <n v="9.1999999999999993"/>
    <n v="11"/>
    <x v="4361"/>
  </r>
  <r>
    <n v="4775"/>
    <n v="1565"/>
    <d v="2026-10-04T00:00:00"/>
    <s v="Sunday"/>
    <n v="10"/>
    <n v="10.92"/>
    <x v="0"/>
    <x v="16"/>
    <s v="Male"/>
    <n v="58.8"/>
    <n v="113.6"/>
    <n v="23.3"/>
    <n v="14"/>
    <s v="WA"/>
    <n v="6"/>
    <n v="1336.9"/>
    <s v="Middle"/>
    <n v="1"/>
    <s v="Single-Day"/>
    <n v="1"/>
    <n v="0"/>
    <s v="Main Entrance"/>
    <s v="Mickey &amp; Friends"/>
    <n v="11.1"/>
    <n v="11"/>
    <x v="4362"/>
  </r>
  <r>
    <n v="4776"/>
    <n v="1566"/>
    <d v="2026-04-15T00:00:00"/>
    <s v="Wednesday"/>
    <n v="4"/>
    <n v="9.51"/>
    <x v="0"/>
    <x v="57"/>
    <s v="Male"/>
    <n v="68.8"/>
    <n v="153.19999999999999"/>
    <n v="23.1"/>
    <n v="17"/>
    <s v="NY"/>
    <n v="2"/>
    <n v="2419.1999999999998"/>
    <s v="Middle"/>
    <n v="1"/>
    <s v="Park Hopper"/>
    <n v="0"/>
    <n v="0"/>
    <s v="Main Entrance"/>
    <s v="Mickey &amp; Friends"/>
    <n v="8.1"/>
    <n v="8"/>
    <x v="4363"/>
  </r>
  <r>
    <n v="4777"/>
    <n v="1566"/>
    <d v="2026-04-15T00:00:00"/>
    <s v="Wednesday"/>
    <n v="4"/>
    <n v="9.6"/>
    <x v="0"/>
    <x v="53"/>
    <s v="Female"/>
    <n v="56.2"/>
    <n v="89.7"/>
    <n v="20.100000000000001"/>
    <n v="13"/>
    <s v="NY"/>
    <n v="2"/>
    <n v="2419.1999999999998"/>
    <s v="Middle"/>
    <n v="1"/>
    <s v="Park Hopper"/>
    <n v="0"/>
    <n v="0"/>
    <s v="Main Entrance"/>
    <s v="Mickey &amp; Friends"/>
    <n v="7.2"/>
    <n v="8"/>
    <x v="3373"/>
  </r>
  <r>
    <n v="4778"/>
    <n v="1567"/>
    <d v="2026-08-30T00:00:00"/>
    <s v="Sunday"/>
    <n v="8"/>
    <n v="12.84"/>
    <x v="1"/>
    <x v="42"/>
    <s v="Female"/>
    <n v="61.8"/>
    <n v="170.5"/>
    <n v="31.2"/>
    <n v="15"/>
    <s v="CA"/>
    <n v="5"/>
    <n v="92.2"/>
    <s v="Middle"/>
    <n v="0"/>
    <s v="Park Hopper"/>
    <n v="1"/>
    <n v="0"/>
    <s v="Main Entrance"/>
    <s v="None/Dropoff/Transit"/>
    <n v="5.3"/>
    <n v="8"/>
    <x v="4364"/>
  </r>
  <r>
    <n v="4779"/>
    <n v="1567"/>
    <d v="2026-08-30T00:00:00"/>
    <s v="Sunday"/>
    <n v="8"/>
    <n v="13.06"/>
    <x v="1"/>
    <x v="11"/>
    <s v="Male"/>
    <n v="68.3"/>
    <n v="134.9"/>
    <n v="20.3"/>
    <n v="14"/>
    <s v="CA"/>
    <n v="5"/>
    <n v="92.2"/>
    <s v="Middle"/>
    <n v="0"/>
    <s v="Park Hopper"/>
    <n v="1"/>
    <n v="0"/>
    <s v="Main Entrance"/>
    <s v="None/Dropoff/Transit"/>
    <n v="9.5"/>
    <n v="12"/>
    <x v="4365"/>
  </r>
  <r>
    <n v="4780"/>
    <n v="1567"/>
    <d v="2026-08-30T00:00:00"/>
    <s v="Sunday"/>
    <n v="8"/>
    <n v="12.81"/>
    <x v="1"/>
    <x v="59"/>
    <s v="Female"/>
    <n v="64.7"/>
    <n v="145.4"/>
    <n v="24.4"/>
    <n v="17"/>
    <s v="CA"/>
    <n v="5"/>
    <n v="92.2"/>
    <s v="Middle"/>
    <n v="0"/>
    <s v="Park Hopper"/>
    <n v="1"/>
    <n v="0"/>
    <s v="Main Entrance"/>
    <s v="None/Dropoff/Transit"/>
    <n v="5.9"/>
    <n v="6"/>
    <x v="4366"/>
  </r>
  <r>
    <n v="4781"/>
    <n v="1567"/>
    <d v="2026-08-30T00:00:00"/>
    <s v="Sunday"/>
    <n v="8"/>
    <n v="12.93"/>
    <x v="1"/>
    <x v="50"/>
    <s v="Female"/>
    <n v="70"/>
    <n v="128.1"/>
    <n v="18.100000000000001"/>
    <n v="13"/>
    <s v="CA"/>
    <n v="5"/>
    <n v="92.2"/>
    <s v="Middle"/>
    <n v="0"/>
    <s v="Park Hopper"/>
    <n v="1"/>
    <n v="0"/>
    <s v="Main Entrance"/>
    <s v="None/Dropoff/Transit"/>
    <n v="7.8"/>
    <n v="4"/>
    <x v="4367"/>
  </r>
  <r>
    <n v="4782"/>
    <n v="1567"/>
    <d v="2026-08-30T00:00:00"/>
    <s v="Sunday"/>
    <n v="8"/>
    <n v="12.79"/>
    <x v="1"/>
    <x v="23"/>
    <s v="Female"/>
    <n v="68.5"/>
    <n v="200.7"/>
    <n v="30"/>
    <n v="16"/>
    <s v="CA"/>
    <n v="5"/>
    <n v="92.2"/>
    <s v="Middle"/>
    <n v="0"/>
    <s v="Park Hopper"/>
    <n v="1"/>
    <n v="0"/>
    <s v="Main Entrance"/>
    <s v="None/Dropoff/Transit"/>
    <n v="8.5"/>
    <n v="5"/>
    <x v="2794"/>
  </r>
  <r>
    <n v="4783"/>
    <n v="1568"/>
    <d v="2026-06-21T00:00:00"/>
    <s v="Sunday"/>
    <n v="6"/>
    <n v="8.9600000000000009"/>
    <x v="0"/>
    <x v="56"/>
    <s v="Female"/>
    <n v="64.8"/>
    <n v="174.1"/>
    <n v="29.3"/>
    <n v="14"/>
    <s v="CA"/>
    <n v="5"/>
    <n v="88.2"/>
    <s v="Middle"/>
    <n v="0"/>
    <s v="Multi-Day"/>
    <n v="1"/>
    <n v="0"/>
    <s v="Main Entrance"/>
    <s v="Mickey &amp; Friends"/>
    <n v="10.199999999999999"/>
    <n v="7"/>
    <x v="4368"/>
  </r>
  <r>
    <n v="4784"/>
    <n v="1568"/>
    <d v="2026-06-21T00:00:00"/>
    <s v="Sunday"/>
    <n v="6"/>
    <n v="8.91"/>
    <x v="0"/>
    <x v="50"/>
    <s v="Female"/>
    <n v="68.400000000000006"/>
    <n v="104.3"/>
    <n v="15.5"/>
    <n v="14"/>
    <s v="CA"/>
    <n v="5"/>
    <n v="88.2"/>
    <s v="Middle"/>
    <n v="0"/>
    <s v="Multi-Day"/>
    <n v="1"/>
    <n v="0"/>
    <s v="Main Entrance"/>
    <s v="Mickey &amp; Friends"/>
    <n v="6.1"/>
    <n v="12"/>
    <x v="4369"/>
  </r>
  <r>
    <n v="4785"/>
    <n v="1568"/>
    <d v="2026-06-21T00:00:00"/>
    <s v="Sunday"/>
    <n v="6"/>
    <n v="8.92"/>
    <x v="0"/>
    <x v="39"/>
    <s v="Female"/>
    <n v="61.1"/>
    <n v="125.6"/>
    <n v="23.5"/>
    <n v="14"/>
    <s v="CA"/>
    <n v="5"/>
    <n v="88.2"/>
    <s v="Middle"/>
    <n v="0"/>
    <s v="Multi-Day"/>
    <n v="1"/>
    <n v="0"/>
    <s v="Main Entrance"/>
    <s v="Mickey &amp; Friends"/>
    <n v="8.3000000000000007"/>
    <n v="9"/>
    <x v="4370"/>
  </r>
  <r>
    <n v="4786"/>
    <n v="1568"/>
    <d v="2026-06-21T00:00:00"/>
    <s v="Sunday"/>
    <n v="6"/>
    <n v="8.9700000000000006"/>
    <x v="0"/>
    <x v="45"/>
    <s v="Male"/>
    <n v="76.7"/>
    <n v="259.10000000000002"/>
    <n v="30.9"/>
    <n v="19"/>
    <s v="CA"/>
    <n v="5"/>
    <n v="88.2"/>
    <s v="Middle"/>
    <n v="0"/>
    <s v="Multi-Day"/>
    <n v="1"/>
    <n v="0"/>
    <s v="Main Entrance"/>
    <s v="Mickey &amp; Friends"/>
    <n v="9.6"/>
    <n v="10"/>
    <x v="4371"/>
  </r>
  <r>
    <n v="4787"/>
    <n v="1568"/>
    <d v="2026-06-21T00:00:00"/>
    <s v="Sunday"/>
    <n v="6"/>
    <n v="8.99"/>
    <x v="0"/>
    <x v="52"/>
    <s v="Male"/>
    <n v="74.099999999999994"/>
    <n v="173.9"/>
    <n v="22.3"/>
    <n v="15"/>
    <s v="CA"/>
    <n v="5"/>
    <n v="88.2"/>
    <s v="Middle"/>
    <n v="0"/>
    <s v="Multi-Day"/>
    <n v="1"/>
    <n v="0"/>
    <s v="Main Entrance"/>
    <s v="Mickey &amp; Friends"/>
    <n v="9.6999999999999993"/>
    <n v="13"/>
    <x v="4372"/>
  </r>
  <r>
    <n v="4788"/>
    <n v="1569"/>
    <d v="2026-07-18T00:00:00"/>
    <s v="Saturday"/>
    <n v="7"/>
    <n v="8.18"/>
    <x v="0"/>
    <x v="65"/>
    <s v="Male"/>
    <n v="67.5"/>
    <n v="149.5"/>
    <n v="23"/>
    <n v="16"/>
    <s v="CO"/>
    <n v="3"/>
    <n v="1260"/>
    <s v="Middle"/>
    <n v="1"/>
    <s v="Multi-Day"/>
    <n v="0"/>
    <n v="0"/>
    <s v="Main Entrance"/>
    <s v="None/Dropoff/Transit"/>
    <n v="10.7"/>
    <n v="11"/>
    <x v="4373"/>
  </r>
  <r>
    <n v="4789"/>
    <n v="1569"/>
    <d v="2026-07-18T00:00:00"/>
    <s v="Saturday"/>
    <n v="7"/>
    <n v="7.9"/>
    <x v="0"/>
    <x v="21"/>
    <s v="Male"/>
    <n v="68.400000000000006"/>
    <n v="170.6"/>
    <n v="25.5"/>
    <n v="16"/>
    <s v="CO"/>
    <n v="3"/>
    <n v="1260"/>
    <s v="Middle"/>
    <n v="1"/>
    <s v="Multi-Day"/>
    <n v="0"/>
    <n v="0"/>
    <s v="Main Entrance"/>
    <s v="None/Dropoff/Transit"/>
    <n v="11.6"/>
    <n v="9"/>
    <x v="4374"/>
  </r>
  <r>
    <n v="4790"/>
    <n v="1569"/>
    <d v="2026-07-18T00:00:00"/>
    <s v="Saturday"/>
    <n v="7"/>
    <n v="8.1300000000000008"/>
    <x v="0"/>
    <x v="34"/>
    <s v="Female"/>
    <n v="65.3"/>
    <n v="216"/>
    <n v="35.4"/>
    <n v="16"/>
    <s v="CO"/>
    <n v="3"/>
    <n v="1260"/>
    <s v="Middle"/>
    <n v="1"/>
    <s v="Multi-Day"/>
    <n v="0"/>
    <n v="0"/>
    <s v="Main Entrance"/>
    <s v="None/Dropoff/Transit"/>
    <n v="7.9"/>
    <n v="7"/>
    <x v="4375"/>
  </r>
  <r>
    <n v="4791"/>
    <n v="1570"/>
    <d v="2026-07-21T00:00:00"/>
    <s v="Tuesday"/>
    <n v="7"/>
    <n v="7.6"/>
    <x v="0"/>
    <x v="2"/>
    <s v="Female"/>
    <n v="70.900000000000006"/>
    <n v="209"/>
    <n v="29.2"/>
    <n v="12"/>
    <s v="SD"/>
    <n v="3"/>
    <n v="1425.8"/>
    <s v="Low"/>
    <n v="1"/>
    <s v="Multi-Day"/>
    <n v="0"/>
    <n v="0"/>
    <s v="Main Entrance"/>
    <s v="Toy Story Lot"/>
    <n v="8.6999999999999993"/>
    <n v="9"/>
    <x v="4376"/>
  </r>
  <r>
    <n v="4792"/>
    <n v="1570"/>
    <d v="2026-07-21T00:00:00"/>
    <s v="Tuesday"/>
    <n v="7"/>
    <n v="7.78"/>
    <x v="0"/>
    <x v="17"/>
    <s v="Female"/>
    <n v="70.400000000000006"/>
    <n v="189.6"/>
    <n v="26.9"/>
    <n v="19"/>
    <s v="SD"/>
    <n v="3"/>
    <n v="1425.8"/>
    <s v="Low"/>
    <n v="1"/>
    <s v="Multi-Day"/>
    <n v="0"/>
    <n v="0"/>
    <s v="Main Entrance"/>
    <s v="Toy Story Lot"/>
    <n v="11.1"/>
    <n v="15"/>
    <x v="355"/>
  </r>
  <r>
    <n v="4793"/>
    <n v="1570"/>
    <d v="2026-07-21T00:00:00"/>
    <s v="Tuesday"/>
    <n v="7"/>
    <n v="7.84"/>
    <x v="0"/>
    <x v="38"/>
    <s v="Female"/>
    <n v="67.2"/>
    <n v="119.8"/>
    <n v="18.600000000000001"/>
    <n v="15"/>
    <s v="SD"/>
    <n v="3"/>
    <n v="1425.8"/>
    <s v="Low"/>
    <n v="1"/>
    <s v="Multi-Day"/>
    <n v="0"/>
    <n v="0"/>
    <s v="Main Entrance"/>
    <s v="Toy Story Lot"/>
    <n v="7.4"/>
    <n v="5"/>
    <x v="4377"/>
  </r>
  <r>
    <n v="4794"/>
    <n v="1571"/>
    <d v="2026-12-12T00:00:00"/>
    <s v="Saturday"/>
    <n v="12"/>
    <n v="11.76"/>
    <x v="1"/>
    <x v="71"/>
    <s v="Male"/>
    <n v="67.599999999999994"/>
    <n v="182.9"/>
    <n v="28.2"/>
    <n v="15"/>
    <s v="Other"/>
    <n v="1"/>
    <n v="2278.5"/>
    <s v="Middle"/>
    <n v="0"/>
    <s v="Single-Day"/>
    <n v="1"/>
    <n v="1"/>
    <s v="Main Entrance"/>
    <s v="None/Walked from Resort"/>
    <n v="11.7"/>
    <n v="15"/>
    <x v="4378"/>
  </r>
  <r>
    <n v="4795"/>
    <n v="1572"/>
    <d v="2026-10-01T00:00:00"/>
    <s v="Thursday"/>
    <n v="10"/>
    <n v="9.75"/>
    <x v="0"/>
    <x v="53"/>
    <s v="Male"/>
    <n v="53.1"/>
    <n v="89.5"/>
    <n v="22.4"/>
    <n v="17"/>
    <s v="Other"/>
    <n v="5"/>
    <n v="1841"/>
    <s v="High"/>
    <n v="1"/>
    <s v="Multi-Day"/>
    <n v="0"/>
    <n v="0"/>
    <s v="Main Entrance"/>
    <s v="Mickey &amp; Friends"/>
    <n v="7.8"/>
    <n v="6"/>
    <x v="4379"/>
  </r>
  <r>
    <n v="4796"/>
    <n v="1572"/>
    <d v="2026-10-01T00:00:00"/>
    <s v="Thursday"/>
    <n v="10"/>
    <n v="9.73"/>
    <x v="0"/>
    <x v="37"/>
    <s v="Male"/>
    <n v="69.8"/>
    <n v="140.30000000000001"/>
    <n v="20.2"/>
    <n v="16"/>
    <s v="Other"/>
    <n v="5"/>
    <n v="1841"/>
    <s v="High"/>
    <n v="1"/>
    <s v="Multi-Day"/>
    <n v="0"/>
    <n v="0"/>
    <s v="Main Entrance"/>
    <s v="Mickey &amp; Friends"/>
    <n v="8.6"/>
    <n v="9"/>
    <x v="4380"/>
  </r>
  <r>
    <n v="4797"/>
    <n v="1572"/>
    <d v="2026-10-01T00:00:00"/>
    <s v="Thursday"/>
    <n v="10"/>
    <n v="9.77"/>
    <x v="0"/>
    <x v="50"/>
    <s v="Male"/>
    <n v="64.5"/>
    <n v="133.5"/>
    <n v="22.4"/>
    <n v="13"/>
    <s v="Other"/>
    <n v="5"/>
    <n v="1841"/>
    <s v="High"/>
    <n v="1"/>
    <s v="Multi-Day"/>
    <n v="0"/>
    <n v="0"/>
    <s v="Main Entrance"/>
    <s v="Mickey &amp; Friends"/>
    <n v="7.8"/>
    <n v="8"/>
    <x v="4381"/>
  </r>
  <r>
    <n v="4798"/>
    <n v="1572"/>
    <d v="2026-10-01T00:00:00"/>
    <s v="Thursday"/>
    <n v="10"/>
    <n v="9.59"/>
    <x v="0"/>
    <x v="64"/>
    <s v="Female"/>
    <n v="51.4"/>
    <n v="78.2"/>
    <n v="20.8"/>
    <n v="15"/>
    <s v="Other"/>
    <n v="5"/>
    <n v="1841"/>
    <s v="High"/>
    <n v="1"/>
    <s v="Multi-Day"/>
    <n v="0"/>
    <n v="0"/>
    <s v="Main Entrance"/>
    <s v="Mickey &amp; Friends"/>
    <n v="7.7"/>
    <n v="7"/>
    <x v="4382"/>
  </r>
  <r>
    <n v="4799"/>
    <n v="1572"/>
    <d v="2026-10-01T00:00:00"/>
    <s v="Thursday"/>
    <n v="10"/>
    <n v="9.82"/>
    <x v="0"/>
    <x v="43"/>
    <s v="Female"/>
    <n v="64"/>
    <n v="131.80000000000001"/>
    <n v="22.5"/>
    <n v="19"/>
    <s v="Other"/>
    <n v="5"/>
    <n v="1841"/>
    <s v="High"/>
    <n v="1"/>
    <s v="Multi-Day"/>
    <n v="0"/>
    <n v="0"/>
    <s v="Main Entrance"/>
    <s v="Mickey &amp; Friends"/>
    <n v="6.3"/>
    <n v="10"/>
    <x v="4383"/>
  </r>
  <r>
    <n v="4800"/>
    <n v="1573"/>
    <d v="2026-12-17T00:00:00"/>
    <s v="Thursday"/>
    <n v="12"/>
    <n v="8.56"/>
    <x v="0"/>
    <x v="66"/>
    <s v="Female"/>
    <n v="63.5"/>
    <n v="161.80000000000001"/>
    <n v="28.2"/>
    <n v="14"/>
    <s v="ND"/>
    <n v="2"/>
    <n v="2192.4"/>
    <s v="Low"/>
    <n v="1"/>
    <s v="Park Hopper"/>
    <n v="0"/>
    <n v="0"/>
    <s v="Main Entrance"/>
    <s v="Toy Story Lot"/>
    <n v="9.8000000000000007"/>
    <n v="9"/>
    <x v="4384"/>
  </r>
  <r>
    <n v="4801"/>
    <n v="1573"/>
    <d v="2026-12-17T00:00:00"/>
    <s v="Thursday"/>
    <n v="12"/>
    <n v="8.66"/>
    <x v="0"/>
    <x v="16"/>
    <s v="Male"/>
    <n v="55.9"/>
    <n v="91.4"/>
    <n v="20.6"/>
    <n v="11"/>
    <s v="ND"/>
    <n v="2"/>
    <n v="2192.4"/>
    <s v="Low"/>
    <n v="1"/>
    <s v="Park Hopper"/>
    <n v="0"/>
    <n v="0"/>
    <s v="Main Entrance"/>
    <s v="Toy Story Lot"/>
    <n v="10"/>
    <n v="12"/>
    <x v="4385"/>
  </r>
  <r>
    <n v="4802"/>
    <n v="1574"/>
    <d v="2026-10-28T00:00:00"/>
    <s v="Wednesday"/>
    <n v="10"/>
    <n v="9.7899999999999991"/>
    <x v="0"/>
    <x v="33"/>
    <s v="Female"/>
    <n v="64.099999999999994"/>
    <n v="114.2"/>
    <n v="19.5"/>
    <n v="22"/>
    <s v="TX"/>
    <n v="3"/>
    <n v="1734.5"/>
    <s v="High"/>
    <n v="1"/>
    <s v="Park Hopper"/>
    <n v="1"/>
    <n v="1"/>
    <s v="Downtown Disney Gate"/>
    <s v="Pixar Pals"/>
    <n v="9.5"/>
    <n v="18"/>
    <x v="2943"/>
  </r>
  <r>
    <n v="4803"/>
    <n v="1574"/>
    <d v="2026-10-28T00:00:00"/>
    <s v="Wednesday"/>
    <n v="10"/>
    <n v="9.73"/>
    <x v="0"/>
    <x v="3"/>
    <s v="Female"/>
    <n v="66.099999999999994"/>
    <n v="97.9"/>
    <n v="15.7"/>
    <n v="17"/>
    <s v="TX"/>
    <n v="3"/>
    <n v="1734.5"/>
    <s v="High"/>
    <n v="1"/>
    <s v="Park Hopper"/>
    <n v="1"/>
    <n v="1"/>
    <s v="Downtown Disney Gate"/>
    <s v="Pixar Pals"/>
    <n v="11"/>
    <n v="13"/>
    <x v="4386"/>
  </r>
  <r>
    <n v="4804"/>
    <n v="1574"/>
    <d v="2026-10-28T00:00:00"/>
    <s v="Wednesday"/>
    <n v="10"/>
    <n v="9.76"/>
    <x v="0"/>
    <x v="6"/>
    <s v="Male"/>
    <n v="77.3"/>
    <n v="230.2"/>
    <n v="27.2"/>
    <n v="14"/>
    <s v="TX"/>
    <n v="3"/>
    <n v="1734.5"/>
    <s v="High"/>
    <n v="1"/>
    <s v="Park Hopper"/>
    <n v="1"/>
    <n v="1"/>
    <s v="Downtown Disney Gate"/>
    <s v="Pixar Pals"/>
    <n v="8.1999999999999993"/>
    <n v="8"/>
    <x v="4387"/>
  </r>
  <r>
    <n v="4805"/>
    <n v="1575"/>
    <d v="2026-01-22T00:00:00"/>
    <s v="Thursday"/>
    <n v="1"/>
    <n v="12.65"/>
    <x v="1"/>
    <x v="12"/>
    <s v="Female"/>
    <n v="65.5"/>
    <n v="123.3"/>
    <n v="20.2"/>
    <n v="13"/>
    <s v="Other"/>
    <n v="4"/>
    <n v="1848.9"/>
    <s v="Middle"/>
    <n v="0"/>
    <s v="Multi-Day"/>
    <n v="0"/>
    <n v="0"/>
    <s v="Main Entrance"/>
    <s v="Toy Story Lot"/>
    <n v="7.3"/>
    <n v="10"/>
    <x v="4172"/>
  </r>
  <r>
    <n v="4806"/>
    <n v="1575"/>
    <d v="2026-01-22T00:00:00"/>
    <s v="Thursday"/>
    <n v="1"/>
    <n v="12.91"/>
    <x v="1"/>
    <x v="38"/>
    <s v="Male"/>
    <n v="71.5"/>
    <n v="179.2"/>
    <n v="24.7"/>
    <n v="12"/>
    <s v="Other"/>
    <n v="4"/>
    <n v="1848.9"/>
    <s v="Middle"/>
    <n v="0"/>
    <s v="Multi-Day"/>
    <n v="0"/>
    <n v="0"/>
    <s v="Main Entrance"/>
    <s v="Toy Story Lot"/>
    <n v="6.3"/>
    <n v="12"/>
    <x v="4388"/>
  </r>
  <r>
    <n v="4807"/>
    <n v="1575"/>
    <d v="2026-01-22T00:00:00"/>
    <s v="Thursday"/>
    <n v="1"/>
    <n v="12.74"/>
    <x v="1"/>
    <x v="3"/>
    <s v="Male"/>
    <n v="70.400000000000006"/>
    <n v="165.3"/>
    <n v="23.5"/>
    <n v="13"/>
    <s v="Other"/>
    <n v="4"/>
    <n v="1848.9"/>
    <s v="Middle"/>
    <n v="0"/>
    <s v="Multi-Day"/>
    <n v="0"/>
    <n v="0"/>
    <s v="Main Entrance"/>
    <s v="Toy Story Lot"/>
    <n v="8.1999999999999993"/>
    <n v="11"/>
    <x v="4389"/>
  </r>
  <r>
    <n v="4808"/>
    <n v="1575"/>
    <d v="2026-01-22T00:00:00"/>
    <s v="Thursday"/>
    <n v="1"/>
    <n v="12.65"/>
    <x v="1"/>
    <x v="56"/>
    <s v="Male"/>
    <n v="67.599999999999994"/>
    <n v="155.9"/>
    <n v="23.8"/>
    <n v="12"/>
    <s v="Other"/>
    <n v="4"/>
    <n v="1848.9"/>
    <s v="Middle"/>
    <n v="0"/>
    <s v="Multi-Day"/>
    <n v="0"/>
    <n v="0"/>
    <s v="Main Entrance"/>
    <s v="Toy Story Lot"/>
    <n v="6"/>
    <n v="1"/>
    <x v="4390"/>
  </r>
  <r>
    <n v="4809"/>
    <n v="1576"/>
    <d v="2026-10-15T00:00:00"/>
    <s v="Thursday"/>
    <n v="10"/>
    <n v="9.24"/>
    <x v="0"/>
    <x v="44"/>
    <s v="Male"/>
    <n v="74"/>
    <n v="222.8"/>
    <n v="28.6"/>
    <n v="19"/>
    <s v="CA"/>
    <n v="5"/>
    <n v="16.899999999999999"/>
    <s v="High"/>
    <n v="0"/>
    <s v="Single-Day"/>
    <n v="1"/>
    <n v="0"/>
    <s v="Main Entrance"/>
    <s v="Toy Story Lot"/>
    <n v="6.2"/>
    <n v="6"/>
    <x v="4391"/>
  </r>
  <r>
    <n v="4810"/>
    <n v="1576"/>
    <d v="2026-10-15T00:00:00"/>
    <s v="Thursday"/>
    <n v="10"/>
    <n v="9.1199999999999992"/>
    <x v="0"/>
    <x v="9"/>
    <s v="Female"/>
    <n v="61"/>
    <n v="115.9"/>
    <n v="21.9"/>
    <n v="18"/>
    <s v="CA"/>
    <n v="5"/>
    <n v="16.899999999999999"/>
    <s v="High"/>
    <n v="0"/>
    <s v="Single-Day"/>
    <n v="1"/>
    <n v="0"/>
    <s v="Main Entrance"/>
    <s v="Toy Story Lot"/>
    <n v="7.6"/>
    <n v="5"/>
    <x v="4392"/>
  </r>
  <r>
    <n v="4811"/>
    <n v="1576"/>
    <d v="2026-10-15T00:00:00"/>
    <s v="Thursday"/>
    <n v="10"/>
    <n v="8.9600000000000009"/>
    <x v="0"/>
    <x v="34"/>
    <s v="Male"/>
    <n v="69.2"/>
    <n v="183"/>
    <n v="27"/>
    <n v="18"/>
    <s v="CA"/>
    <n v="5"/>
    <n v="16.899999999999999"/>
    <s v="High"/>
    <n v="0"/>
    <s v="Single-Day"/>
    <n v="1"/>
    <n v="0"/>
    <s v="Main Entrance"/>
    <s v="Toy Story Lot"/>
    <n v="8.5"/>
    <n v="14"/>
    <x v="1891"/>
  </r>
  <r>
    <n v="4812"/>
    <n v="1576"/>
    <d v="2026-10-15T00:00:00"/>
    <s v="Thursday"/>
    <n v="10"/>
    <n v="9.4499999999999993"/>
    <x v="0"/>
    <x v="56"/>
    <s v="Female"/>
    <n v="60"/>
    <n v="101.9"/>
    <n v="20.100000000000001"/>
    <n v="17"/>
    <s v="CA"/>
    <n v="5"/>
    <n v="16.899999999999999"/>
    <s v="High"/>
    <n v="0"/>
    <s v="Single-Day"/>
    <n v="1"/>
    <n v="0"/>
    <s v="Main Entrance"/>
    <s v="Toy Story Lot"/>
    <n v="8.3000000000000007"/>
    <n v="8"/>
    <x v="2539"/>
  </r>
  <r>
    <n v="4813"/>
    <n v="1576"/>
    <d v="2026-10-15T00:00:00"/>
    <s v="Thursday"/>
    <n v="10"/>
    <n v="9.31"/>
    <x v="0"/>
    <x v="11"/>
    <s v="Male"/>
    <n v="72.2"/>
    <n v="210.8"/>
    <n v="28.7"/>
    <n v="16"/>
    <s v="CA"/>
    <n v="5"/>
    <n v="16.899999999999999"/>
    <s v="High"/>
    <n v="0"/>
    <s v="Single-Day"/>
    <n v="1"/>
    <n v="0"/>
    <s v="Main Entrance"/>
    <s v="Toy Story Lot"/>
    <n v="7.8"/>
    <n v="10"/>
    <x v="4393"/>
  </r>
  <r>
    <n v="4814"/>
    <n v="1577"/>
    <d v="2026-10-17T00:00:00"/>
    <s v="Saturday"/>
    <n v="10"/>
    <n v="10.32"/>
    <x v="0"/>
    <x v="43"/>
    <s v="Male"/>
    <n v="70"/>
    <n v="183.8"/>
    <n v="26.4"/>
    <n v="18"/>
    <s v="CO"/>
    <n v="2"/>
    <n v="839.6"/>
    <s v="Middle"/>
    <n v="1"/>
    <s v="Park Hopper"/>
    <n v="1"/>
    <n v="0"/>
    <s v="Main Entrance"/>
    <s v="Mickey &amp; Friends"/>
    <n v="7.9"/>
    <n v="11"/>
    <x v="4394"/>
  </r>
  <r>
    <n v="4815"/>
    <n v="1577"/>
    <d v="2026-10-17T00:00:00"/>
    <s v="Saturday"/>
    <n v="10"/>
    <n v="10.32"/>
    <x v="0"/>
    <x v="30"/>
    <s v="Female"/>
    <n v="59.9"/>
    <n v="131.4"/>
    <n v="25.5"/>
    <n v="15"/>
    <s v="CO"/>
    <n v="2"/>
    <n v="839.6"/>
    <s v="Middle"/>
    <n v="1"/>
    <s v="Park Hopper"/>
    <n v="1"/>
    <n v="0"/>
    <s v="Main Entrance"/>
    <s v="Mickey &amp; Friends"/>
    <n v="9.1"/>
    <n v="8"/>
    <x v="4395"/>
  </r>
  <r>
    <n v="4816"/>
    <n v="1578"/>
    <d v="2026-06-09T00:00:00"/>
    <s v="Tuesday"/>
    <n v="6"/>
    <n v="9.94"/>
    <x v="0"/>
    <x v="69"/>
    <s v="Male"/>
    <n v="73.7"/>
    <n v="203.1"/>
    <n v="26.2"/>
    <n v="13"/>
    <s v="CA"/>
    <n v="4"/>
    <n v="11.7"/>
    <s v="Low"/>
    <n v="1"/>
    <s v="Multi-Day"/>
    <n v="1"/>
    <n v="0"/>
    <s v="Main Entrance"/>
    <s v="Mickey &amp; Friends"/>
    <n v="9.6"/>
    <n v="1"/>
    <x v="4396"/>
  </r>
  <r>
    <n v="4817"/>
    <n v="1578"/>
    <d v="2026-06-09T00:00:00"/>
    <s v="Tuesday"/>
    <n v="6"/>
    <n v="10.050000000000001"/>
    <x v="0"/>
    <x v="45"/>
    <s v="Female"/>
    <n v="68.2"/>
    <n v="131.6"/>
    <n v="19.899999999999999"/>
    <n v="16"/>
    <s v="CA"/>
    <n v="4"/>
    <n v="11.7"/>
    <s v="Low"/>
    <n v="1"/>
    <s v="Multi-Day"/>
    <n v="1"/>
    <n v="0"/>
    <s v="Main Entrance"/>
    <s v="Mickey &amp; Friends"/>
    <n v="6.8"/>
    <n v="13"/>
    <x v="4397"/>
  </r>
  <r>
    <n v="4818"/>
    <n v="1578"/>
    <d v="2026-06-09T00:00:00"/>
    <s v="Tuesday"/>
    <n v="6"/>
    <n v="9.84"/>
    <x v="0"/>
    <x v="15"/>
    <s v="Male"/>
    <n v="67.900000000000006"/>
    <n v="130.80000000000001"/>
    <n v="19.899999999999999"/>
    <n v="11"/>
    <s v="CA"/>
    <n v="4"/>
    <n v="11.7"/>
    <s v="Low"/>
    <n v="1"/>
    <s v="Multi-Day"/>
    <n v="1"/>
    <n v="0"/>
    <s v="Main Entrance"/>
    <s v="Mickey &amp; Friends"/>
    <n v="7.8"/>
    <n v="3"/>
    <x v="4398"/>
  </r>
  <r>
    <n v="4819"/>
    <n v="1578"/>
    <d v="2026-06-09T00:00:00"/>
    <s v="Tuesday"/>
    <n v="6"/>
    <n v="10.17"/>
    <x v="0"/>
    <x v="65"/>
    <s v="Female"/>
    <n v="64.900000000000006"/>
    <n v="168.8"/>
    <n v="28.4"/>
    <n v="15"/>
    <s v="CA"/>
    <n v="4"/>
    <n v="11.7"/>
    <s v="Low"/>
    <n v="1"/>
    <s v="Multi-Day"/>
    <n v="1"/>
    <n v="0"/>
    <s v="Main Entrance"/>
    <s v="Mickey &amp; Friends"/>
    <n v="9.9"/>
    <n v="9"/>
    <x v="4399"/>
  </r>
  <r>
    <n v="4820"/>
    <n v="1579"/>
    <d v="2026-03-25T00:00:00"/>
    <s v="Wednesday"/>
    <n v="3"/>
    <n v="8.07"/>
    <x v="0"/>
    <x v="53"/>
    <s v="Female"/>
    <n v="59.1"/>
    <n v="84.1"/>
    <n v="16.8"/>
    <n v="12"/>
    <s v="FL"/>
    <n v="1"/>
    <n v="1969.9"/>
    <s v="High"/>
    <n v="1"/>
    <s v="Multi-Day"/>
    <n v="1"/>
    <n v="1"/>
    <s v="Downtown Disney Gate"/>
    <s v="Toy Story Lot"/>
    <n v="11.4"/>
    <n v="11"/>
    <x v="4400"/>
  </r>
  <r>
    <n v="4821"/>
    <n v="1580"/>
    <d v="2026-01-09T00:00:00"/>
    <s v="Friday"/>
    <n v="1"/>
    <n v="11.69"/>
    <x v="1"/>
    <x v="66"/>
    <s v="Female"/>
    <n v="65.599999999999994"/>
    <n v="109.2"/>
    <n v="17.899999999999999"/>
    <n v="10"/>
    <s v="AZ"/>
    <n v="1"/>
    <n v="514.9"/>
    <s v="Low"/>
    <n v="1"/>
    <s v="Single-Day"/>
    <n v="0"/>
    <n v="0"/>
    <s v="Downtown Disney Gate"/>
    <s v="Pixar Pals"/>
    <n v="9.1"/>
    <n v="12"/>
    <x v="4401"/>
  </r>
  <r>
    <n v="4822"/>
    <n v="1581"/>
    <d v="2026-12-08T00:00:00"/>
    <s v="Tuesday"/>
    <n v="12"/>
    <n v="11.34"/>
    <x v="1"/>
    <x v="56"/>
    <s v="Nonbinary/Other"/>
    <n v="67.7"/>
    <n v="249.7"/>
    <n v="38.200000000000003"/>
    <n v="17"/>
    <s v="CA"/>
    <n v="3"/>
    <n v="99.5"/>
    <s v="High"/>
    <n v="0"/>
    <s v="Single-Day"/>
    <n v="1"/>
    <n v="1"/>
    <s v="Main Entrance"/>
    <s v="Pixar Pals"/>
    <n v="9.6"/>
    <n v="14"/>
    <x v="4402"/>
  </r>
  <r>
    <n v="4823"/>
    <n v="1581"/>
    <d v="2026-12-08T00:00:00"/>
    <s v="Tuesday"/>
    <n v="12"/>
    <n v="11.19"/>
    <x v="1"/>
    <x v="9"/>
    <s v="Male"/>
    <n v="73.400000000000006"/>
    <n v="143.80000000000001"/>
    <n v="18.7"/>
    <n v="17"/>
    <s v="CA"/>
    <n v="3"/>
    <n v="99.5"/>
    <s v="High"/>
    <n v="0"/>
    <s v="Single-Day"/>
    <n v="1"/>
    <n v="1"/>
    <s v="Main Entrance"/>
    <s v="Pixar Pals"/>
    <n v="9.1999999999999993"/>
    <n v="3"/>
    <x v="4403"/>
  </r>
  <r>
    <n v="4824"/>
    <n v="1581"/>
    <d v="2026-12-08T00:00:00"/>
    <s v="Tuesday"/>
    <n v="12"/>
    <n v="11.36"/>
    <x v="1"/>
    <x v="58"/>
    <s v="Female"/>
    <n v="66.400000000000006"/>
    <n v="106.4"/>
    <n v="16.899999999999999"/>
    <n v="17"/>
    <s v="CA"/>
    <n v="3"/>
    <n v="99.5"/>
    <s v="High"/>
    <n v="0"/>
    <s v="Single-Day"/>
    <n v="1"/>
    <n v="1"/>
    <s v="Main Entrance"/>
    <s v="Pixar Pals"/>
    <n v="6"/>
    <n v="9"/>
    <x v="4404"/>
  </r>
  <r>
    <n v="4825"/>
    <n v="1582"/>
    <d v="2026-05-19T00:00:00"/>
    <s v="Tuesday"/>
    <n v="5"/>
    <n v="10.91"/>
    <x v="0"/>
    <x v="40"/>
    <s v="Female"/>
    <n v="58"/>
    <n v="87.4"/>
    <n v="18"/>
    <n v="11"/>
    <s v="ND"/>
    <n v="2"/>
    <n v="1937.1"/>
    <s v="Middle"/>
    <n v="1"/>
    <s v="Park Hopper"/>
    <n v="1"/>
    <n v="1"/>
    <s v="Main Entrance"/>
    <s v="None/Walked from Resort"/>
    <n v="8"/>
    <n v="13"/>
    <x v="4405"/>
  </r>
  <r>
    <n v="4826"/>
    <n v="1582"/>
    <d v="2026-05-19T00:00:00"/>
    <s v="Tuesday"/>
    <n v="5"/>
    <n v="10.85"/>
    <x v="0"/>
    <x v="21"/>
    <s v="Female"/>
    <n v="65"/>
    <n v="166.1"/>
    <n v="27.3"/>
    <n v="14"/>
    <s v="ND"/>
    <n v="2"/>
    <n v="1937.1"/>
    <s v="Middle"/>
    <n v="1"/>
    <s v="Park Hopper"/>
    <n v="1"/>
    <n v="1"/>
    <s v="Main Entrance"/>
    <s v="None/Walked from Resort"/>
    <n v="7.7"/>
    <n v="13"/>
    <x v="4406"/>
  </r>
  <r>
    <n v="4827"/>
    <n v="1583"/>
    <d v="2026-04-07T00:00:00"/>
    <s v="Tuesday"/>
    <n v="4"/>
    <n v="11.15"/>
    <x v="1"/>
    <x v="38"/>
    <s v="Male"/>
    <n v="74"/>
    <n v="205.2"/>
    <n v="26.3"/>
    <n v="16"/>
    <s v="OR"/>
    <n v="4"/>
    <n v="873.5"/>
    <s v="High"/>
    <n v="0"/>
    <s v="Park Hopper"/>
    <n v="1"/>
    <n v="0"/>
    <s v="Downtown Disney Gate"/>
    <s v="Mickey &amp; Friends"/>
    <n v="6.5"/>
    <n v="7"/>
    <x v="4407"/>
  </r>
  <r>
    <n v="4828"/>
    <n v="1583"/>
    <d v="2026-04-07T00:00:00"/>
    <s v="Tuesday"/>
    <n v="4"/>
    <n v="10.96"/>
    <x v="0"/>
    <x v="18"/>
    <s v="Female"/>
    <n v="67.400000000000006"/>
    <n v="197.1"/>
    <n v="30.6"/>
    <n v="20"/>
    <s v="OR"/>
    <n v="4"/>
    <n v="873.5"/>
    <s v="High"/>
    <n v="0"/>
    <s v="Park Hopper"/>
    <n v="1"/>
    <n v="0"/>
    <s v="Downtown Disney Gate"/>
    <s v="Mickey &amp; Friends"/>
    <n v="8.1"/>
    <n v="9"/>
    <x v="2474"/>
  </r>
  <r>
    <n v="4829"/>
    <n v="1583"/>
    <d v="2026-04-07T00:00:00"/>
    <s v="Tuesday"/>
    <n v="4"/>
    <n v="10.94"/>
    <x v="0"/>
    <x v="60"/>
    <s v="Female"/>
    <n v="61.4"/>
    <n v="86.7"/>
    <n v="16.100000000000001"/>
    <n v="12"/>
    <s v="OR"/>
    <n v="4"/>
    <n v="873.5"/>
    <s v="High"/>
    <n v="0"/>
    <s v="Park Hopper"/>
    <n v="1"/>
    <n v="0"/>
    <s v="Downtown Disney Gate"/>
    <s v="Mickey &amp; Friends"/>
    <n v="9.1"/>
    <n v="6"/>
    <x v="4408"/>
  </r>
  <r>
    <n v="4830"/>
    <n v="1583"/>
    <d v="2026-04-07T00:00:00"/>
    <s v="Tuesday"/>
    <n v="4"/>
    <n v="11.13"/>
    <x v="1"/>
    <x v="25"/>
    <s v="Female"/>
    <n v="62.1"/>
    <n v="91"/>
    <n v="16.8"/>
    <n v="17"/>
    <s v="OR"/>
    <n v="4"/>
    <n v="873.5"/>
    <s v="High"/>
    <n v="0"/>
    <s v="Park Hopper"/>
    <n v="1"/>
    <n v="0"/>
    <s v="Downtown Disney Gate"/>
    <s v="Mickey &amp; Friends"/>
    <n v="8.1999999999999993"/>
    <n v="14"/>
    <x v="4409"/>
  </r>
  <r>
    <n v="4831"/>
    <n v="1584"/>
    <d v="2026-01-24T00:00:00"/>
    <s v="Saturday"/>
    <n v="1"/>
    <n v="12.27"/>
    <x v="1"/>
    <x v="70"/>
    <s v="Nonbinary/Other"/>
    <n v="68.5"/>
    <n v="149.6"/>
    <n v="22.6"/>
    <n v="11"/>
    <s v="NV"/>
    <n v="2"/>
    <n v="365.6"/>
    <s v="Middle"/>
    <n v="0"/>
    <s v="Single-Day"/>
    <n v="0"/>
    <n v="0"/>
    <s v="Main Entrance"/>
    <s v="None/Dropoff/Transit"/>
    <n v="7.4"/>
    <n v="3"/>
    <x v="4410"/>
  </r>
  <r>
    <n v="4832"/>
    <n v="1584"/>
    <d v="2026-01-24T00:00:00"/>
    <s v="Saturday"/>
    <n v="1"/>
    <n v="12.58"/>
    <x v="1"/>
    <x v="59"/>
    <s v="Male"/>
    <n v="71.400000000000006"/>
    <n v="147"/>
    <n v="20.2"/>
    <n v="14"/>
    <s v="NV"/>
    <n v="2"/>
    <n v="365.6"/>
    <s v="Middle"/>
    <n v="0"/>
    <s v="Single-Day"/>
    <n v="0"/>
    <n v="0"/>
    <s v="Main Entrance"/>
    <s v="None/Dropoff/Transit"/>
    <n v="6.6"/>
    <n v="10"/>
    <x v="4411"/>
  </r>
  <r>
    <n v="4833"/>
    <n v="1585"/>
    <d v="2026-08-22T00:00:00"/>
    <s v="Saturday"/>
    <n v="8"/>
    <n v="11.88"/>
    <x v="1"/>
    <x v="38"/>
    <s v="Male"/>
    <n v="67"/>
    <n v="157.80000000000001"/>
    <n v="24.7"/>
    <n v="12"/>
    <s v="IL"/>
    <n v="6"/>
    <n v="1785"/>
    <s v="High"/>
    <n v="1"/>
    <s v="Multi-Day"/>
    <n v="0"/>
    <n v="0"/>
    <s v="Main Entrance"/>
    <s v="Mickey &amp; Friends"/>
    <n v="8.8000000000000007"/>
    <n v="7"/>
    <x v="4412"/>
  </r>
  <r>
    <n v="4834"/>
    <n v="1585"/>
    <d v="2026-08-22T00:00:00"/>
    <s v="Saturday"/>
    <n v="8"/>
    <n v="12.13"/>
    <x v="1"/>
    <x v="31"/>
    <s v="Male"/>
    <n v="62.7"/>
    <n v="146.6"/>
    <n v="26.2"/>
    <n v="17"/>
    <s v="IL"/>
    <n v="6"/>
    <n v="1785"/>
    <s v="High"/>
    <n v="1"/>
    <s v="Multi-Day"/>
    <n v="0"/>
    <n v="0"/>
    <s v="Main Entrance"/>
    <s v="Mickey &amp; Friends"/>
    <n v="5.8"/>
    <n v="2"/>
    <x v="3552"/>
  </r>
  <r>
    <n v="4835"/>
    <n v="1585"/>
    <d v="2026-08-22T00:00:00"/>
    <s v="Saturday"/>
    <n v="8"/>
    <n v="11.97"/>
    <x v="1"/>
    <x v="29"/>
    <s v="Female"/>
    <n v="63.9"/>
    <n v="136"/>
    <n v="23.4"/>
    <n v="17"/>
    <s v="IL"/>
    <n v="6"/>
    <n v="1785"/>
    <s v="High"/>
    <n v="1"/>
    <s v="Multi-Day"/>
    <n v="0"/>
    <n v="0"/>
    <s v="Main Entrance"/>
    <s v="Mickey &amp; Friends"/>
    <n v="6.3"/>
    <n v="5"/>
    <x v="4413"/>
  </r>
  <r>
    <n v="4836"/>
    <n v="1585"/>
    <d v="2026-08-22T00:00:00"/>
    <s v="Saturday"/>
    <n v="8"/>
    <n v="11.93"/>
    <x v="1"/>
    <x v="27"/>
    <s v="Male"/>
    <n v="71.7"/>
    <n v="175.1"/>
    <n v="23.8"/>
    <n v="16"/>
    <s v="IL"/>
    <n v="6"/>
    <n v="1785"/>
    <s v="High"/>
    <n v="1"/>
    <s v="Multi-Day"/>
    <n v="0"/>
    <n v="0"/>
    <s v="Main Entrance"/>
    <s v="Mickey &amp; Friends"/>
    <n v="9.5"/>
    <n v="5"/>
    <x v="4414"/>
  </r>
  <r>
    <n v="4837"/>
    <n v="1585"/>
    <d v="2026-08-22T00:00:00"/>
    <s v="Saturday"/>
    <n v="8"/>
    <n v="11.8"/>
    <x v="1"/>
    <x v="13"/>
    <s v="Male"/>
    <n v="66.2"/>
    <n v="97"/>
    <n v="15.9"/>
    <n v="17"/>
    <s v="IL"/>
    <n v="6"/>
    <n v="1785"/>
    <s v="High"/>
    <n v="1"/>
    <s v="Multi-Day"/>
    <n v="0"/>
    <n v="0"/>
    <s v="Main Entrance"/>
    <s v="Mickey &amp; Friends"/>
    <n v="8"/>
    <n v="7"/>
    <x v="4415"/>
  </r>
  <r>
    <n v="4838"/>
    <n v="1585"/>
    <d v="2026-08-22T00:00:00"/>
    <s v="Saturday"/>
    <n v="8"/>
    <n v="11.94"/>
    <x v="1"/>
    <x v="28"/>
    <s v="Female"/>
    <n v="61.1"/>
    <n v="129.4"/>
    <n v="24.6"/>
    <n v="20"/>
    <s v="IL"/>
    <n v="6"/>
    <n v="1785"/>
    <s v="High"/>
    <n v="1"/>
    <s v="Multi-Day"/>
    <n v="0"/>
    <n v="0"/>
    <s v="Main Entrance"/>
    <s v="Mickey &amp; Friends"/>
    <n v="12.2"/>
    <n v="11"/>
    <x v="4416"/>
  </r>
  <r>
    <n v="4839"/>
    <n v="1586"/>
    <d v="2026-09-23T00:00:00"/>
    <s v="Wednesday"/>
    <n v="9"/>
    <n v="10.76"/>
    <x v="0"/>
    <x v="41"/>
    <s v="Male"/>
    <n v="70.3"/>
    <n v="172"/>
    <n v="24.6"/>
    <n v="14"/>
    <s v="CA"/>
    <n v="5"/>
    <n v="10.1"/>
    <s v="Middle"/>
    <n v="1"/>
    <s v="Single-Day"/>
    <n v="0"/>
    <n v="0"/>
    <s v="Main Entrance"/>
    <s v="Toy Story Lot"/>
    <n v="8.9"/>
    <n v="11"/>
    <x v="4417"/>
  </r>
  <r>
    <n v="4840"/>
    <n v="1586"/>
    <d v="2026-09-23T00:00:00"/>
    <s v="Wednesday"/>
    <n v="9"/>
    <n v="10.77"/>
    <x v="0"/>
    <x v="71"/>
    <s v="Female"/>
    <n v="63.1"/>
    <n v="184.9"/>
    <n v="32.6"/>
    <n v="16"/>
    <s v="CA"/>
    <n v="5"/>
    <n v="10.1"/>
    <s v="Middle"/>
    <n v="1"/>
    <s v="Single-Day"/>
    <n v="0"/>
    <n v="0"/>
    <s v="Main Entrance"/>
    <s v="Toy Story Lot"/>
    <n v="8.9"/>
    <n v="9"/>
    <x v="1683"/>
  </r>
  <r>
    <n v="4841"/>
    <n v="1586"/>
    <d v="2026-09-23T00:00:00"/>
    <s v="Wednesday"/>
    <n v="9"/>
    <n v="10.81"/>
    <x v="0"/>
    <x v="57"/>
    <s v="Female"/>
    <n v="62"/>
    <n v="125.7"/>
    <n v="23.1"/>
    <n v="16"/>
    <s v="CA"/>
    <n v="5"/>
    <n v="10.1"/>
    <s v="Middle"/>
    <n v="1"/>
    <s v="Single-Day"/>
    <n v="0"/>
    <n v="0"/>
    <s v="Main Entrance"/>
    <s v="Toy Story Lot"/>
    <n v="9.6999999999999993"/>
    <n v="4"/>
    <x v="1710"/>
  </r>
  <r>
    <n v="4842"/>
    <n v="1586"/>
    <d v="2026-09-23T00:00:00"/>
    <s v="Wednesday"/>
    <n v="9"/>
    <n v="10.76"/>
    <x v="0"/>
    <x v="62"/>
    <s v="Male"/>
    <n v="66.5"/>
    <n v="152"/>
    <n v="24.2"/>
    <n v="17"/>
    <s v="CA"/>
    <n v="5"/>
    <n v="10.1"/>
    <s v="Middle"/>
    <n v="1"/>
    <s v="Single-Day"/>
    <n v="0"/>
    <n v="0"/>
    <s v="Main Entrance"/>
    <s v="Toy Story Lot"/>
    <n v="9.5"/>
    <n v="11"/>
    <x v="4418"/>
  </r>
  <r>
    <n v="4843"/>
    <n v="1586"/>
    <d v="2026-09-23T00:00:00"/>
    <s v="Wednesday"/>
    <n v="9"/>
    <n v="10.96"/>
    <x v="0"/>
    <x v="51"/>
    <s v="Male"/>
    <n v="70.7"/>
    <n v="223.4"/>
    <n v="31.3"/>
    <n v="16"/>
    <s v="CA"/>
    <n v="5"/>
    <n v="10.1"/>
    <s v="Middle"/>
    <n v="1"/>
    <s v="Single-Day"/>
    <n v="0"/>
    <n v="0"/>
    <s v="Main Entrance"/>
    <s v="Toy Story Lot"/>
    <n v="7.2"/>
    <n v="9"/>
    <x v="4419"/>
  </r>
  <r>
    <n v="4844"/>
    <n v="1587"/>
    <d v="2026-06-05T00:00:00"/>
    <s v="Friday"/>
    <n v="6"/>
    <n v="9.82"/>
    <x v="0"/>
    <x v="41"/>
    <s v="Female"/>
    <n v="67.400000000000006"/>
    <n v="181.3"/>
    <n v="28.2"/>
    <n v="12"/>
    <s v="CO"/>
    <n v="3"/>
    <n v="1184.5"/>
    <s v="Low"/>
    <n v="1"/>
    <s v="Park Hopper"/>
    <n v="0"/>
    <n v="0"/>
    <s v="Downtown Disney Gate"/>
    <s v="Mickey &amp; Friends"/>
    <n v="10.1"/>
    <n v="10"/>
    <x v="1441"/>
  </r>
  <r>
    <n v="4845"/>
    <n v="1587"/>
    <d v="2026-06-05T00:00:00"/>
    <s v="Friday"/>
    <n v="6"/>
    <n v="10.199999999999999"/>
    <x v="0"/>
    <x v="39"/>
    <s v="Male"/>
    <n v="71.5"/>
    <n v="163.30000000000001"/>
    <n v="22.9"/>
    <n v="12"/>
    <s v="CO"/>
    <n v="3"/>
    <n v="1184.5"/>
    <s v="Low"/>
    <n v="1"/>
    <s v="Park Hopper"/>
    <n v="0"/>
    <n v="0"/>
    <s v="Downtown Disney Gate"/>
    <s v="Mickey &amp; Friends"/>
    <n v="8.6999999999999993"/>
    <n v="6"/>
    <x v="4420"/>
  </r>
  <r>
    <n v="4846"/>
    <n v="1587"/>
    <d v="2026-06-05T00:00:00"/>
    <s v="Friday"/>
    <n v="6"/>
    <n v="10.06"/>
    <x v="0"/>
    <x v="22"/>
    <s v="Male"/>
    <n v="56.5"/>
    <n v="77.2"/>
    <n v="16.899999999999999"/>
    <n v="14"/>
    <s v="CO"/>
    <n v="3"/>
    <n v="1184.5"/>
    <s v="Low"/>
    <n v="1"/>
    <s v="Park Hopper"/>
    <n v="0"/>
    <n v="0"/>
    <s v="Downtown Disney Gate"/>
    <s v="Mickey &amp; Friends"/>
    <n v="8.6"/>
    <n v="5"/>
    <x v="4421"/>
  </r>
  <r>
    <n v="4847"/>
    <n v="1588"/>
    <d v="2026-04-09T00:00:00"/>
    <s v="Thursday"/>
    <n v="4"/>
    <n v="10.85"/>
    <x v="0"/>
    <x v="43"/>
    <s v="Male"/>
    <n v="74.599999999999994"/>
    <n v="216.8"/>
    <n v="27.3"/>
    <n v="13"/>
    <s v="WA"/>
    <n v="6"/>
    <n v="1128.2"/>
    <s v="Middle"/>
    <n v="0"/>
    <s v="Park Hopper"/>
    <n v="0"/>
    <n v="0"/>
    <s v="Main Entrance"/>
    <s v="Mickey &amp; Friends"/>
    <n v="7.1"/>
    <n v="5"/>
    <x v="4422"/>
  </r>
  <r>
    <n v="4848"/>
    <n v="1588"/>
    <d v="2026-04-09T00:00:00"/>
    <s v="Thursday"/>
    <n v="4"/>
    <n v="10.73"/>
    <x v="0"/>
    <x v="59"/>
    <s v="Female"/>
    <n v="63.3"/>
    <n v="121.9"/>
    <n v="21.3"/>
    <n v="16"/>
    <s v="WA"/>
    <n v="6"/>
    <n v="1128.2"/>
    <s v="Middle"/>
    <n v="0"/>
    <s v="Park Hopper"/>
    <n v="0"/>
    <n v="0"/>
    <s v="Main Entrance"/>
    <s v="Mickey &amp; Friends"/>
    <n v="10.7"/>
    <n v="7"/>
    <x v="1001"/>
  </r>
  <r>
    <n v="4849"/>
    <n v="1588"/>
    <d v="2026-04-09T00:00:00"/>
    <s v="Thursday"/>
    <n v="4"/>
    <n v="10.89"/>
    <x v="0"/>
    <x v="27"/>
    <s v="Male"/>
    <n v="66.599999999999994"/>
    <n v="152.6"/>
    <n v="24.3"/>
    <n v="13"/>
    <s v="WA"/>
    <n v="6"/>
    <n v="1128.2"/>
    <s v="Middle"/>
    <n v="0"/>
    <s v="Park Hopper"/>
    <n v="0"/>
    <n v="0"/>
    <s v="Main Entrance"/>
    <s v="Mickey &amp; Friends"/>
    <n v="8.1999999999999993"/>
    <n v="12"/>
    <x v="4423"/>
  </r>
  <r>
    <n v="4850"/>
    <n v="1588"/>
    <d v="2026-04-09T00:00:00"/>
    <s v="Thursday"/>
    <n v="4"/>
    <n v="10.88"/>
    <x v="0"/>
    <x v="30"/>
    <s v="Female"/>
    <n v="63.5"/>
    <n v="153.6"/>
    <n v="26.7"/>
    <n v="15"/>
    <s v="WA"/>
    <n v="6"/>
    <n v="1128.2"/>
    <s v="Middle"/>
    <n v="0"/>
    <s v="Park Hopper"/>
    <n v="0"/>
    <n v="0"/>
    <s v="Main Entrance"/>
    <s v="Mickey &amp; Friends"/>
    <n v="7.4"/>
    <n v="8"/>
    <x v="210"/>
  </r>
  <r>
    <n v="4851"/>
    <n v="1588"/>
    <d v="2026-04-09T00:00:00"/>
    <s v="Thursday"/>
    <n v="4"/>
    <n v="10.76"/>
    <x v="0"/>
    <x v="19"/>
    <s v="Male"/>
    <n v="72.7"/>
    <n v="238.6"/>
    <n v="31.6"/>
    <n v="17"/>
    <s v="WA"/>
    <n v="6"/>
    <n v="1128.2"/>
    <s v="Middle"/>
    <n v="0"/>
    <s v="Park Hopper"/>
    <n v="0"/>
    <n v="0"/>
    <s v="Main Entrance"/>
    <s v="Mickey &amp; Friends"/>
    <n v="7.8"/>
    <n v="11"/>
    <x v="2826"/>
  </r>
  <r>
    <n v="4852"/>
    <n v="1588"/>
    <d v="2026-04-09T00:00:00"/>
    <s v="Thursday"/>
    <n v="4"/>
    <n v="10.75"/>
    <x v="0"/>
    <x v="31"/>
    <s v="Male"/>
    <n v="71.7"/>
    <n v="261.2"/>
    <n v="35.5"/>
    <n v="14"/>
    <s v="WA"/>
    <n v="6"/>
    <n v="1128.2"/>
    <s v="Middle"/>
    <n v="0"/>
    <s v="Park Hopper"/>
    <n v="0"/>
    <n v="0"/>
    <s v="Main Entrance"/>
    <s v="Mickey &amp; Friends"/>
    <n v="7.8"/>
    <n v="10"/>
    <x v="4424"/>
  </r>
  <r>
    <n v="4853"/>
    <n v="1589"/>
    <d v="2026-10-23T00:00:00"/>
    <s v="Friday"/>
    <n v="10"/>
    <n v="11.73"/>
    <x v="1"/>
    <x v="53"/>
    <s v="Male"/>
    <n v="55.5"/>
    <n v="92.3"/>
    <n v="21"/>
    <n v="11"/>
    <s v="WA"/>
    <n v="3"/>
    <n v="1138.9000000000001"/>
    <s v="Low"/>
    <n v="1"/>
    <s v="Multi-Day"/>
    <n v="0"/>
    <n v="1"/>
    <s v="Main Entrance"/>
    <s v="None/Walked from Resort"/>
    <n v="10.8"/>
    <n v="11"/>
    <x v="4425"/>
  </r>
  <r>
    <n v="4854"/>
    <n v="1589"/>
    <d v="2026-10-23T00:00:00"/>
    <s v="Friday"/>
    <n v="10"/>
    <n v="11.68"/>
    <x v="1"/>
    <x v="12"/>
    <s v="Male"/>
    <n v="66.3"/>
    <n v="125.6"/>
    <n v="20.3"/>
    <n v="13"/>
    <s v="WA"/>
    <n v="3"/>
    <n v="1138.9000000000001"/>
    <s v="Low"/>
    <n v="1"/>
    <s v="Multi-Day"/>
    <n v="0"/>
    <n v="1"/>
    <s v="Main Entrance"/>
    <s v="None/Walked from Resort"/>
    <n v="8.6999999999999993"/>
    <n v="12"/>
    <x v="4426"/>
  </r>
  <r>
    <n v="4855"/>
    <n v="1589"/>
    <d v="2026-10-23T00:00:00"/>
    <s v="Friday"/>
    <n v="10"/>
    <n v="11.73"/>
    <x v="1"/>
    <x v="31"/>
    <s v="Male"/>
    <n v="75.900000000000006"/>
    <n v="177.1"/>
    <n v="21.4"/>
    <n v="13"/>
    <s v="WA"/>
    <n v="3"/>
    <n v="1138.9000000000001"/>
    <s v="Low"/>
    <n v="1"/>
    <s v="Multi-Day"/>
    <n v="0"/>
    <n v="1"/>
    <s v="Main Entrance"/>
    <s v="None/Walked from Resort"/>
    <n v="9.1999999999999993"/>
    <n v="16"/>
    <x v="4427"/>
  </r>
  <r>
    <n v="4856"/>
    <n v="1590"/>
    <d v="2026-09-05T00:00:00"/>
    <s v="Saturday"/>
    <n v="9"/>
    <n v="11.82"/>
    <x v="1"/>
    <x v="27"/>
    <s v="Male"/>
    <n v="68.400000000000006"/>
    <n v="145.1"/>
    <n v="21.9"/>
    <n v="15"/>
    <s v="IL"/>
    <n v="2"/>
    <n v="2532.5"/>
    <s v="Low"/>
    <n v="1"/>
    <s v="Single-Day"/>
    <n v="0"/>
    <n v="0"/>
    <s v="Main Entrance"/>
    <s v="None/Dropoff/Transit"/>
    <n v="8"/>
    <n v="7"/>
    <x v="4428"/>
  </r>
  <r>
    <n v="4857"/>
    <n v="1590"/>
    <d v="2026-09-05T00:00:00"/>
    <s v="Saturday"/>
    <n v="9"/>
    <n v="11.88"/>
    <x v="1"/>
    <x v="72"/>
    <s v="Female"/>
    <n v="60.3"/>
    <n v="148.30000000000001"/>
    <n v="28.6"/>
    <n v="13"/>
    <s v="IL"/>
    <n v="2"/>
    <n v="2532.5"/>
    <s v="Low"/>
    <n v="1"/>
    <s v="Single-Day"/>
    <n v="0"/>
    <n v="0"/>
    <s v="Main Entrance"/>
    <s v="None/Dropoff/Transit"/>
    <n v="9.1"/>
    <n v="12"/>
    <x v="4429"/>
  </r>
  <r>
    <n v="4858"/>
    <n v="1591"/>
    <d v="2026-12-02T00:00:00"/>
    <s v="Wednesday"/>
    <n v="12"/>
    <n v="12.48"/>
    <x v="1"/>
    <x v="61"/>
    <s v="Male"/>
    <n v="69.5"/>
    <n v="143.19999999999999"/>
    <n v="20.399999999999999"/>
    <n v="11"/>
    <s v="NV"/>
    <n v="5"/>
    <n v="394.8"/>
    <s v="Middle"/>
    <n v="1"/>
    <s v="Single-Day"/>
    <n v="0"/>
    <n v="0"/>
    <s v="Main Entrance"/>
    <s v="Mickey &amp; Friends"/>
    <n v="7.2"/>
    <n v="6"/>
    <x v="4430"/>
  </r>
  <r>
    <n v="4859"/>
    <n v="1591"/>
    <d v="2026-12-02T00:00:00"/>
    <s v="Wednesday"/>
    <n v="12"/>
    <n v="12.47"/>
    <x v="1"/>
    <x v="12"/>
    <s v="Female"/>
    <n v="58.3"/>
    <n v="92.4"/>
    <n v="19.3"/>
    <n v="12"/>
    <s v="NV"/>
    <n v="5"/>
    <n v="394.8"/>
    <s v="Middle"/>
    <n v="1"/>
    <s v="Single-Day"/>
    <n v="0"/>
    <n v="0"/>
    <s v="Main Entrance"/>
    <s v="Mickey &amp; Friends"/>
    <n v="7.2"/>
    <n v="7"/>
    <x v="4431"/>
  </r>
  <r>
    <n v="4860"/>
    <n v="1591"/>
    <d v="2026-12-02T00:00:00"/>
    <s v="Wednesday"/>
    <n v="12"/>
    <n v="12.69"/>
    <x v="1"/>
    <x v="16"/>
    <s v="Male"/>
    <n v="58.1"/>
    <n v="68.099999999999994"/>
    <n v="14.3"/>
    <n v="11"/>
    <s v="NV"/>
    <n v="5"/>
    <n v="394.8"/>
    <s v="Middle"/>
    <n v="1"/>
    <s v="Single-Day"/>
    <n v="0"/>
    <n v="0"/>
    <s v="Main Entrance"/>
    <s v="Mickey &amp; Friends"/>
    <n v="9.4"/>
    <n v="3"/>
    <x v="1100"/>
  </r>
  <r>
    <n v="4861"/>
    <n v="1591"/>
    <d v="2026-12-02T00:00:00"/>
    <s v="Wednesday"/>
    <n v="12"/>
    <n v="12.73"/>
    <x v="1"/>
    <x v="15"/>
    <s v="Female"/>
    <n v="62.3"/>
    <n v="134.30000000000001"/>
    <n v="24.2"/>
    <n v="13"/>
    <s v="NV"/>
    <n v="5"/>
    <n v="394.8"/>
    <s v="Middle"/>
    <n v="1"/>
    <s v="Single-Day"/>
    <n v="0"/>
    <n v="0"/>
    <s v="Main Entrance"/>
    <s v="Mickey &amp; Friends"/>
    <n v="7.4"/>
    <n v="6"/>
    <x v="4432"/>
  </r>
  <r>
    <n v="4862"/>
    <n v="1591"/>
    <d v="2026-12-02T00:00:00"/>
    <s v="Wednesday"/>
    <n v="12"/>
    <n v="12.38"/>
    <x v="1"/>
    <x v="61"/>
    <s v="Male"/>
    <n v="70"/>
    <n v="119.5"/>
    <n v="17.2"/>
    <n v="16"/>
    <s v="NV"/>
    <n v="5"/>
    <n v="394.8"/>
    <s v="Middle"/>
    <n v="1"/>
    <s v="Single-Day"/>
    <n v="0"/>
    <n v="0"/>
    <s v="Main Entrance"/>
    <s v="Mickey &amp; Friends"/>
    <n v="8.8000000000000007"/>
    <n v="13"/>
    <x v="3719"/>
  </r>
  <r>
    <n v="4863"/>
    <n v="1592"/>
    <d v="2026-04-06T00:00:00"/>
    <s v="Monday"/>
    <n v="4"/>
    <n v="9.8699999999999992"/>
    <x v="0"/>
    <x v="69"/>
    <s v="Female"/>
    <n v="63.1"/>
    <n v="110.9"/>
    <n v="19.7"/>
    <n v="13"/>
    <s v="TX"/>
    <n v="2"/>
    <n v="1658.5"/>
    <s v="Low"/>
    <n v="1"/>
    <s v="Park Hopper"/>
    <n v="0"/>
    <n v="0"/>
    <s v="Main Entrance"/>
    <s v="Toy Story Lot"/>
    <n v="11.7"/>
    <n v="11"/>
    <x v="4433"/>
  </r>
  <r>
    <n v="4864"/>
    <n v="1592"/>
    <d v="2026-04-06T00:00:00"/>
    <s v="Monday"/>
    <n v="4"/>
    <n v="9.57"/>
    <x v="0"/>
    <x v="59"/>
    <s v="Male"/>
    <n v="69.8"/>
    <n v="195.5"/>
    <n v="28.2"/>
    <n v="16"/>
    <s v="TX"/>
    <n v="2"/>
    <n v="1658.5"/>
    <s v="Low"/>
    <n v="1"/>
    <s v="Park Hopper"/>
    <n v="0"/>
    <n v="0"/>
    <s v="Main Entrance"/>
    <s v="Toy Story Lot"/>
    <n v="10.7"/>
    <n v="10"/>
    <x v="4434"/>
  </r>
  <r>
    <n v="4865"/>
    <n v="1593"/>
    <d v="2026-04-11T00:00:00"/>
    <s v="Saturday"/>
    <n v="4"/>
    <n v="10.23"/>
    <x v="0"/>
    <x v="19"/>
    <s v="Female"/>
    <n v="66.7"/>
    <n v="162.9"/>
    <n v="25.8"/>
    <n v="13"/>
    <s v="UT"/>
    <n v="3"/>
    <n v="481.6"/>
    <s v="Middle"/>
    <n v="1"/>
    <s v="Multi-Day"/>
    <n v="0"/>
    <n v="0"/>
    <s v="Main Entrance"/>
    <s v="Toy Story Lot"/>
    <n v="7.1"/>
    <n v="5"/>
    <x v="4435"/>
  </r>
  <r>
    <n v="4866"/>
    <n v="1593"/>
    <d v="2026-04-11T00:00:00"/>
    <s v="Saturday"/>
    <n v="4"/>
    <n v="10.18"/>
    <x v="0"/>
    <x v="64"/>
    <s v="Male"/>
    <n v="43.3"/>
    <n v="65.400000000000006"/>
    <n v="24.5"/>
    <n v="13"/>
    <s v="UT"/>
    <n v="3"/>
    <n v="481.6"/>
    <s v="Middle"/>
    <n v="1"/>
    <s v="Multi-Day"/>
    <n v="0"/>
    <n v="0"/>
    <s v="Main Entrance"/>
    <s v="Toy Story Lot"/>
    <n v="10"/>
    <n v="10"/>
    <x v="4436"/>
  </r>
  <r>
    <n v="4867"/>
    <n v="1593"/>
    <d v="2026-04-11T00:00:00"/>
    <s v="Saturday"/>
    <n v="4"/>
    <n v="9.98"/>
    <x v="0"/>
    <x v="38"/>
    <s v="Male"/>
    <n v="69.599999999999994"/>
    <n v="207.9"/>
    <n v="30.3"/>
    <n v="14"/>
    <s v="UT"/>
    <n v="3"/>
    <n v="481.6"/>
    <s v="Middle"/>
    <n v="1"/>
    <s v="Multi-Day"/>
    <n v="0"/>
    <n v="0"/>
    <s v="Main Entrance"/>
    <s v="Toy Story Lot"/>
    <n v="9.1999999999999993"/>
    <n v="8"/>
    <x v="4437"/>
  </r>
  <r>
    <n v="4868"/>
    <n v="1594"/>
    <d v="2026-04-26T00:00:00"/>
    <s v="Sunday"/>
    <n v="4"/>
    <n v="10.039999999999999"/>
    <x v="0"/>
    <x v="22"/>
    <s v="Female"/>
    <n v="62.4"/>
    <n v="118.9"/>
    <n v="21.6"/>
    <n v="19"/>
    <s v="NV"/>
    <n v="4"/>
    <n v="399.2"/>
    <s v="High"/>
    <n v="1"/>
    <s v="Park Hopper"/>
    <n v="1"/>
    <n v="0"/>
    <s v="Main Entrance"/>
    <s v="Pixar Pals"/>
    <n v="8"/>
    <n v="8"/>
    <x v="4438"/>
  </r>
  <r>
    <n v="4869"/>
    <n v="1594"/>
    <d v="2026-04-26T00:00:00"/>
    <s v="Sunday"/>
    <n v="4"/>
    <n v="9.89"/>
    <x v="0"/>
    <x v="54"/>
    <s v="Female"/>
    <n v="62.5"/>
    <n v="181.8"/>
    <n v="32.5"/>
    <n v="17"/>
    <s v="NV"/>
    <n v="4"/>
    <n v="399.2"/>
    <s v="High"/>
    <n v="1"/>
    <s v="Park Hopper"/>
    <n v="1"/>
    <n v="0"/>
    <s v="Main Entrance"/>
    <s v="Pixar Pals"/>
    <n v="9.1"/>
    <n v="7"/>
    <x v="4439"/>
  </r>
  <r>
    <n v="4870"/>
    <n v="1594"/>
    <d v="2026-04-26T00:00:00"/>
    <s v="Sunday"/>
    <n v="4"/>
    <n v="9.6300000000000008"/>
    <x v="0"/>
    <x v="41"/>
    <s v="Male"/>
    <n v="72.5"/>
    <n v="181.7"/>
    <n v="24.4"/>
    <n v="15"/>
    <s v="NV"/>
    <n v="4"/>
    <n v="399.2"/>
    <s v="High"/>
    <n v="1"/>
    <s v="Park Hopper"/>
    <n v="1"/>
    <n v="0"/>
    <s v="Main Entrance"/>
    <s v="Pixar Pals"/>
    <n v="8.6"/>
    <n v="6"/>
    <x v="4440"/>
  </r>
  <r>
    <n v="4871"/>
    <n v="1594"/>
    <d v="2026-04-26T00:00:00"/>
    <s v="Sunday"/>
    <n v="4"/>
    <n v="9.69"/>
    <x v="0"/>
    <x v="66"/>
    <s v="Male"/>
    <n v="67.099999999999994"/>
    <n v="200.6"/>
    <n v="31.4"/>
    <n v="20"/>
    <s v="NV"/>
    <n v="4"/>
    <n v="399.2"/>
    <s v="High"/>
    <n v="1"/>
    <s v="Park Hopper"/>
    <n v="1"/>
    <n v="0"/>
    <s v="Main Entrance"/>
    <s v="Pixar Pals"/>
    <n v="10.5"/>
    <n v="9"/>
    <x v="4441"/>
  </r>
  <r>
    <n v="4872"/>
    <n v="1595"/>
    <d v="2026-05-03T00:00:00"/>
    <s v="Sunday"/>
    <n v="5"/>
    <n v="10.039999999999999"/>
    <x v="0"/>
    <x v="31"/>
    <s v="Female"/>
    <n v="68.099999999999994"/>
    <n v="182"/>
    <n v="27.6"/>
    <n v="13"/>
    <s v="AZ"/>
    <n v="5"/>
    <n v="277.39999999999998"/>
    <s v="Low"/>
    <n v="0"/>
    <s v="Single-Day"/>
    <n v="0"/>
    <n v="1"/>
    <s v="Hotel Guest Entrance"/>
    <s v="None/Walked from Resort"/>
    <n v="7.3"/>
    <n v="2"/>
    <x v="3177"/>
  </r>
  <r>
    <n v="4873"/>
    <n v="1595"/>
    <d v="2026-05-03T00:00:00"/>
    <s v="Sunday"/>
    <n v="5"/>
    <n v="10.06"/>
    <x v="0"/>
    <x v="8"/>
    <s v="Female"/>
    <n v="62.3"/>
    <n v="133.30000000000001"/>
    <n v="24.4"/>
    <n v="16"/>
    <s v="AZ"/>
    <n v="5"/>
    <n v="277.39999999999998"/>
    <s v="Low"/>
    <n v="0"/>
    <s v="Single-Day"/>
    <n v="0"/>
    <n v="1"/>
    <s v="Hotel Guest Entrance"/>
    <s v="None/Walked from Resort"/>
    <n v="7.3"/>
    <n v="6"/>
    <x v="4442"/>
  </r>
  <r>
    <n v="4874"/>
    <n v="1595"/>
    <d v="2026-05-03T00:00:00"/>
    <s v="Sunday"/>
    <n v="5"/>
    <n v="9.76"/>
    <x v="0"/>
    <x v="30"/>
    <s v="Female"/>
    <n v="68.900000000000006"/>
    <n v="164.5"/>
    <n v="24.4"/>
    <n v="11"/>
    <s v="AZ"/>
    <n v="5"/>
    <n v="277.39999999999998"/>
    <s v="Low"/>
    <n v="0"/>
    <s v="Single-Day"/>
    <n v="0"/>
    <n v="1"/>
    <s v="Hotel Guest Entrance"/>
    <s v="None/Walked from Resort"/>
    <n v="9.1999999999999993"/>
    <n v="5"/>
    <x v="4443"/>
  </r>
  <r>
    <n v="4875"/>
    <n v="1595"/>
    <d v="2026-05-03T00:00:00"/>
    <s v="Sunday"/>
    <n v="5"/>
    <n v="9.59"/>
    <x v="0"/>
    <x v="42"/>
    <s v="Male"/>
    <n v="68.5"/>
    <n v="136.80000000000001"/>
    <n v="20.399999999999999"/>
    <n v="10"/>
    <s v="AZ"/>
    <n v="5"/>
    <n v="277.39999999999998"/>
    <s v="Low"/>
    <n v="0"/>
    <s v="Single-Day"/>
    <n v="0"/>
    <n v="1"/>
    <s v="Hotel Guest Entrance"/>
    <s v="None/Walked from Resort"/>
    <n v="8.1999999999999993"/>
    <n v="18"/>
    <x v="4444"/>
  </r>
  <r>
    <n v="4876"/>
    <n v="1595"/>
    <d v="2026-05-03T00:00:00"/>
    <s v="Sunday"/>
    <n v="5"/>
    <n v="9.77"/>
    <x v="0"/>
    <x v="10"/>
    <s v="Female"/>
    <n v="65.900000000000006"/>
    <n v="170.3"/>
    <n v="27.7"/>
    <n v="11"/>
    <s v="AZ"/>
    <n v="5"/>
    <n v="277.39999999999998"/>
    <s v="Low"/>
    <n v="0"/>
    <s v="Single-Day"/>
    <n v="0"/>
    <n v="1"/>
    <s v="Hotel Guest Entrance"/>
    <s v="None/Walked from Resort"/>
    <n v="7"/>
    <n v="8"/>
    <x v="4445"/>
  </r>
  <r>
    <n v="4877"/>
    <n v="1596"/>
    <d v="2026-04-13T00:00:00"/>
    <s v="Monday"/>
    <n v="4"/>
    <n v="9.11"/>
    <x v="0"/>
    <x v="57"/>
    <s v="Male"/>
    <n v="67.400000000000006"/>
    <n v="156.30000000000001"/>
    <n v="24.3"/>
    <n v="16"/>
    <s v="CA"/>
    <n v="1"/>
    <n v="22.7"/>
    <s v="Low"/>
    <n v="0"/>
    <s v="Park Hopper"/>
    <n v="1"/>
    <n v="0"/>
    <s v="Main Entrance"/>
    <s v="Mickey &amp; Friends"/>
    <n v="8.9"/>
    <n v="8"/>
    <x v="4446"/>
  </r>
  <r>
    <n v="4878"/>
    <n v="1597"/>
    <d v="2026-05-17T00:00:00"/>
    <s v="Sunday"/>
    <n v="5"/>
    <n v="10.47"/>
    <x v="0"/>
    <x v="2"/>
    <s v="Female"/>
    <n v="68.7"/>
    <n v="204.8"/>
    <n v="30.7"/>
    <n v="13"/>
    <s v="AZ"/>
    <n v="1"/>
    <n v="295.89999999999998"/>
    <s v="Low"/>
    <n v="0"/>
    <s v="Single-Day"/>
    <n v="1"/>
    <n v="0"/>
    <s v="Main Entrance"/>
    <s v="None/Dropoff/Transit"/>
    <n v="8.3000000000000007"/>
    <n v="12"/>
    <x v="339"/>
  </r>
  <r>
    <n v="4879"/>
    <n v="1598"/>
    <d v="2026-09-10T00:00:00"/>
    <s v="Thursday"/>
    <n v="9"/>
    <n v="8.26"/>
    <x v="0"/>
    <x v="34"/>
    <s v="Male"/>
    <n v="65.8"/>
    <n v="161.4"/>
    <n v="26.2"/>
    <n v="16"/>
    <s v="CA"/>
    <n v="3"/>
    <n v="76.8"/>
    <s v="Middle"/>
    <n v="0"/>
    <s v="Single-Day"/>
    <n v="0"/>
    <n v="0"/>
    <s v="Main Entrance"/>
    <s v="Pixar Pals"/>
    <n v="5.7"/>
    <n v="6"/>
    <x v="4447"/>
  </r>
  <r>
    <n v="4880"/>
    <n v="1598"/>
    <d v="2026-09-10T00:00:00"/>
    <s v="Thursday"/>
    <n v="9"/>
    <n v="8.06"/>
    <x v="0"/>
    <x v="69"/>
    <s v="Female"/>
    <n v="64.099999999999994"/>
    <n v="147.9"/>
    <n v="25.5"/>
    <n v="15"/>
    <s v="CA"/>
    <n v="3"/>
    <n v="76.8"/>
    <s v="Middle"/>
    <n v="0"/>
    <s v="Single-Day"/>
    <n v="0"/>
    <n v="0"/>
    <s v="Main Entrance"/>
    <s v="Pixar Pals"/>
    <n v="8.4"/>
    <n v="9"/>
    <x v="1428"/>
  </r>
  <r>
    <n v="4881"/>
    <n v="1598"/>
    <d v="2026-09-10T00:00:00"/>
    <s v="Thursday"/>
    <n v="9"/>
    <n v="8.31"/>
    <x v="0"/>
    <x v="41"/>
    <s v="Male"/>
    <n v="74.3"/>
    <n v="234.7"/>
    <n v="29.8"/>
    <n v="14"/>
    <s v="CA"/>
    <n v="3"/>
    <n v="76.8"/>
    <s v="Middle"/>
    <n v="0"/>
    <s v="Single-Day"/>
    <n v="0"/>
    <n v="0"/>
    <s v="Main Entrance"/>
    <s v="Pixar Pals"/>
    <n v="7"/>
    <n v="6"/>
    <x v="4448"/>
  </r>
  <r>
    <n v="4882"/>
    <n v="1599"/>
    <d v="2026-08-23T00:00:00"/>
    <s v="Sunday"/>
    <n v="8"/>
    <n v="11.19"/>
    <x v="1"/>
    <x v="38"/>
    <s v="Male"/>
    <n v="66.7"/>
    <n v="159.6"/>
    <n v="25.5"/>
    <n v="15"/>
    <s v="CA"/>
    <n v="6"/>
    <n v="270.2"/>
    <s v="High"/>
    <n v="1"/>
    <s v="Single-Day"/>
    <n v="1"/>
    <n v="0"/>
    <s v="Main Entrance"/>
    <s v="Pixar Pals"/>
    <n v="9.9"/>
    <n v="7"/>
    <x v="4449"/>
  </r>
  <r>
    <n v="4883"/>
    <n v="1599"/>
    <d v="2026-08-23T00:00:00"/>
    <s v="Sunday"/>
    <n v="8"/>
    <n v="11.31"/>
    <x v="1"/>
    <x v="54"/>
    <s v="Female"/>
    <n v="65.3"/>
    <n v="172.2"/>
    <n v="28.3"/>
    <n v="19"/>
    <s v="CA"/>
    <n v="6"/>
    <n v="270.2"/>
    <s v="High"/>
    <n v="1"/>
    <s v="Single-Day"/>
    <n v="1"/>
    <n v="0"/>
    <s v="Main Entrance"/>
    <s v="Pixar Pals"/>
    <n v="7.2"/>
    <n v="11"/>
    <x v="4450"/>
  </r>
  <r>
    <n v="4884"/>
    <n v="1599"/>
    <d v="2026-08-23T00:00:00"/>
    <s v="Sunday"/>
    <n v="8"/>
    <n v="11.03"/>
    <x v="1"/>
    <x v="71"/>
    <s v="Male"/>
    <n v="70.7"/>
    <n v="195.5"/>
    <n v="27.8"/>
    <n v="16"/>
    <s v="CA"/>
    <n v="6"/>
    <n v="270.2"/>
    <s v="High"/>
    <n v="1"/>
    <s v="Single-Day"/>
    <n v="1"/>
    <n v="0"/>
    <s v="Main Entrance"/>
    <s v="Pixar Pals"/>
    <n v="8.6999999999999993"/>
    <n v="16"/>
    <x v="4451"/>
  </r>
  <r>
    <n v="4885"/>
    <n v="1599"/>
    <d v="2026-08-23T00:00:00"/>
    <s v="Sunday"/>
    <n v="8"/>
    <n v="11.24"/>
    <x v="1"/>
    <x v="31"/>
    <s v="Female"/>
    <n v="64.099999999999994"/>
    <n v="184.5"/>
    <n v="31.4"/>
    <n v="16"/>
    <s v="CA"/>
    <n v="6"/>
    <n v="270.2"/>
    <s v="High"/>
    <n v="1"/>
    <s v="Single-Day"/>
    <n v="1"/>
    <n v="0"/>
    <s v="Main Entrance"/>
    <s v="Pixar Pals"/>
    <n v="9.8000000000000007"/>
    <n v="9"/>
    <x v="4452"/>
  </r>
  <r>
    <n v="4886"/>
    <n v="1599"/>
    <d v="2026-08-23T00:00:00"/>
    <s v="Sunday"/>
    <n v="8"/>
    <n v="11.27"/>
    <x v="1"/>
    <x v="42"/>
    <s v="Female"/>
    <n v="58.6"/>
    <n v="135.9"/>
    <n v="27.4"/>
    <n v="15"/>
    <s v="CA"/>
    <n v="6"/>
    <n v="270.2"/>
    <s v="High"/>
    <n v="1"/>
    <s v="Single-Day"/>
    <n v="1"/>
    <n v="0"/>
    <s v="Main Entrance"/>
    <s v="Pixar Pals"/>
    <n v="8.6"/>
    <n v="13"/>
    <x v="4453"/>
  </r>
  <r>
    <n v="4887"/>
    <n v="1599"/>
    <d v="2026-08-23T00:00:00"/>
    <s v="Sunday"/>
    <n v="8"/>
    <n v="11.01"/>
    <x v="1"/>
    <x v="18"/>
    <s v="Male"/>
    <n v="64.599999999999994"/>
    <n v="121.1"/>
    <n v="20.399999999999999"/>
    <n v="19"/>
    <s v="CA"/>
    <n v="6"/>
    <n v="270.2"/>
    <s v="High"/>
    <n v="1"/>
    <s v="Single-Day"/>
    <n v="1"/>
    <n v="0"/>
    <s v="Main Entrance"/>
    <s v="Pixar Pals"/>
    <n v="9"/>
    <n v="4"/>
    <x v="4454"/>
  </r>
  <r>
    <n v="4888"/>
    <n v="1600"/>
    <d v="2026-10-22T00:00:00"/>
    <s v="Thursday"/>
    <n v="10"/>
    <n v="13.28"/>
    <x v="1"/>
    <x v="52"/>
    <s v="Male"/>
    <n v="61.1"/>
    <n v="104.7"/>
    <n v="19.600000000000001"/>
    <n v="18"/>
    <s v="ND"/>
    <n v="1"/>
    <n v="2434.3000000000002"/>
    <s v="High"/>
    <n v="1"/>
    <s v="Single-Day"/>
    <n v="1"/>
    <n v="0"/>
    <s v="Main Entrance"/>
    <s v="Pixar Pals"/>
    <n v="7.7"/>
    <n v="10"/>
    <x v="1662"/>
  </r>
  <r>
    <n v="4889"/>
    <n v="1601"/>
    <d v="2026-05-26T00:00:00"/>
    <s v="Tuesday"/>
    <n v="5"/>
    <n v="11.51"/>
    <x v="1"/>
    <x v="9"/>
    <s v="Male"/>
    <n v="64.3"/>
    <n v="119.5"/>
    <n v="20.3"/>
    <n v="17"/>
    <s v="CO"/>
    <n v="6"/>
    <n v="724.8"/>
    <s v="High"/>
    <n v="1"/>
    <s v="Single-Day"/>
    <n v="0"/>
    <n v="1"/>
    <s v="Main Entrance"/>
    <s v="None/Walked from Resort"/>
    <n v="5.4"/>
    <n v="2"/>
    <x v="4455"/>
  </r>
  <r>
    <n v="4890"/>
    <n v="1601"/>
    <d v="2026-05-26T00:00:00"/>
    <s v="Tuesday"/>
    <n v="5"/>
    <n v="11.59"/>
    <x v="1"/>
    <x v="48"/>
    <s v="Nonbinary/Other"/>
    <n v="64.8"/>
    <n v="138.9"/>
    <n v="23.2"/>
    <n v="17"/>
    <s v="CO"/>
    <n v="6"/>
    <n v="724.8"/>
    <s v="High"/>
    <n v="1"/>
    <s v="Single-Day"/>
    <n v="0"/>
    <n v="1"/>
    <s v="Main Entrance"/>
    <s v="None/Walked from Resort"/>
    <n v="11.2"/>
    <n v="11"/>
    <x v="4456"/>
  </r>
  <r>
    <n v="4891"/>
    <n v="1601"/>
    <d v="2026-05-26T00:00:00"/>
    <s v="Tuesday"/>
    <n v="5"/>
    <n v="11.57"/>
    <x v="1"/>
    <x v="5"/>
    <s v="Female"/>
    <n v="66.3"/>
    <n v="230.8"/>
    <n v="36.6"/>
    <n v="15"/>
    <s v="CO"/>
    <n v="6"/>
    <n v="724.8"/>
    <s v="High"/>
    <n v="1"/>
    <s v="Single-Day"/>
    <n v="0"/>
    <n v="1"/>
    <s v="Main Entrance"/>
    <s v="None/Walked from Resort"/>
    <n v="9.6"/>
    <n v="9"/>
    <x v="4457"/>
  </r>
  <r>
    <n v="4892"/>
    <n v="1601"/>
    <d v="2026-05-26T00:00:00"/>
    <s v="Tuesday"/>
    <n v="5"/>
    <n v="11.77"/>
    <x v="1"/>
    <x v="30"/>
    <s v="Male"/>
    <n v="67.7"/>
    <n v="125.3"/>
    <n v="19.399999999999999"/>
    <n v="19"/>
    <s v="CO"/>
    <n v="6"/>
    <n v="724.8"/>
    <s v="High"/>
    <n v="1"/>
    <s v="Single-Day"/>
    <n v="0"/>
    <n v="1"/>
    <s v="Main Entrance"/>
    <s v="None/Walked from Resort"/>
    <n v="7.2"/>
    <n v="5"/>
    <x v="4458"/>
  </r>
  <r>
    <n v="4893"/>
    <n v="1601"/>
    <d v="2026-05-26T00:00:00"/>
    <s v="Tuesday"/>
    <n v="5"/>
    <n v="11.63"/>
    <x v="1"/>
    <x v="1"/>
    <s v="Male"/>
    <n v="66.5"/>
    <n v="192.8"/>
    <n v="30.6"/>
    <n v="17"/>
    <s v="CO"/>
    <n v="6"/>
    <n v="724.8"/>
    <s v="High"/>
    <n v="1"/>
    <s v="Single-Day"/>
    <n v="0"/>
    <n v="1"/>
    <s v="Main Entrance"/>
    <s v="None/Walked from Resort"/>
    <n v="10.199999999999999"/>
    <n v="10"/>
    <x v="4459"/>
  </r>
  <r>
    <n v="4894"/>
    <n v="1601"/>
    <d v="2026-05-26T00:00:00"/>
    <s v="Tuesday"/>
    <n v="5"/>
    <n v="11.71"/>
    <x v="1"/>
    <x v="58"/>
    <s v="Female"/>
    <n v="64.7"/>
    <n v="157.80000000000001"/>
    <n v="26.4"/>
    <n v="16"/>
    <s v="CO"/>
    <n v="6"/>
    <n v="724.8"/>
    <s v="High"/>
    <n v="1"/>
    <s v="Single-Day"/>
    <n v="0"/>
    <n v="1"/>
    <s v="Main Entrance"/>
    <s v="None/Walked from Resort"/>
    <n v="8"/>
    <n v="10"/>
    <x v="4460"/>
  </r>
  <r>
    <n v="4895"/>
    <n v="1602"/>
    <d v="2026-07-22T00:00:00"/>
    <s v="Wednesday"/>
    <n v="7"/>
    <n v="9.81"/>
    <x v="0"/>
    <x v="1"/>
    <s v="Female"/>
    <n v="65.599999999999994"/>
    <n v="159.4"/>
    <n v="25.8"/>
    <n v="16"/>
    <s v="NV"/>
    <n v="3"/>
    <n v="130.30000000000001"/>
    <s v="High"/>
    <n v="0"/>
    <s v="Single-Day"/>
    <n v="0"/>
    <n v="0"/>
    <s v="Main Entrance"/>
    <s v="Toy Story Lot"/>
    <n v="7.4"/>
    <n v="12"/>
    <x v="4461"/>
  </r>
  <r>
    <n v="4896"/>
    <n v="1602"/>
    <d v="2026-07-22T00:00:00"/>
    <s v="Wednesday"/>
    <n v="7"/>
    <n v="9.7200000000000006"/>
    <x v="0"/>
    <x v="25"/>
    <s v="Female"/>
    <n v="59"/>
    <n v="140.30000000000001"/>
    <n v="28.1"/>
    <n v="14"/>
    <s v="NV"/>
    <n v="3"/>
    <n v="130.30000000000001"/>
    <s v="High"/>
    <n v="0"/>
    <s v="Single-Day"/>
    <n v="0"/>
    <n v="0"/>
    <s v="Main Entrance"/>
    <s v="Toy Story Lot"/>
    <n v="6"/>
    <n v="10"/>
    <x v="4462"/>
  </r>
  <r>
    <n v="4897"/>
    <n v="1602"/>
    <d v="2026-07-22T00:00:00"/>
    <s v="Wednesday"/>
    <n v="7"/>
    <n v="9.9700000000000006"/>
    <x v="0"/>
    <x v="33"/>
    <s v="Male"/>
    <n v="65"/>
    <n v="136.9"/>
    <n v="22.5"/>
    <n v="16"/>
    <s v="NV"/>
    <n v="3"/>
    <n v="130.30000000000001"/>
    <s v="High"/>
    <n v="0"/>
    <s v="Single-Day"/>
    <n v="0"/>
    <n v="0"/>
    <s v="Main Entrance"/>
    <s v="Toy Story Lot"/>
    <n v="10.8"/>
    <n v="9"/>
    <x v="4463"/>
  </r>
  <r>
    <n v="4898"/>
    <n v="1603"/>
    <d v="2026-12-06T00:00:00"/>
    <s v="Sunday"/>
    <n v="12"/>
    <n v="11.23"/>
    <x v="1"/>
    <x v="56"/>
    <s v="Female"/>
    <n v="64.3"/>
    <n v="154.30000000000001"/>
    <n v="26.3"/>
    <n v="14"/>
    <s v="CA"/>
    <n v="2"/>
    <n v="36.299999999999997"/>
    <s v="Middle"/>
    <n v="0"/>
    <s v="Single-Day"/>
    <n v="1"/>
    <n v="0"/>
    <s v="Main Entrance"/>
    <s v="Pixar Pals"/>
    <n v="8.4"/>
    <n v="10"/>
    <x v="2136"/>
  </r>
  <r>
    <n v="4899"/>
    <n v="1603"/>
    <d v="2026-12-06T00:00:00"/>
    <s v="Sunday"/>
    <n v="12"/>
    <n v="11.16"/>
    <x v="1"/>
    <x v="9"/>
    <s v="Male"/>
    <n v="70"/>
    <n v="190.2"/>
    <n v="27.4"/>
    <n v="17"/>
    <s v="CA"/>
    <n v="2"/>
    <n v="36.299999999999997"/>
    <s v="Middle"/>
    <n v="0"/>
    <s v="Single-Day"/>
    <n v="1"/>
    <n v="0"/>
    <s v="Main Entrance"/>
    <s v="Pixar Pals"/>
    <n v="7"/>
    <n v="6"/>
    <x v="4464"/>
  </r>
  <r>
    <n v="4900"/>
    <n v="1604"/>
    <d v="2026-06-01T00:00:00"/>
    <s v="Monday"/>
    <n v="6"/>
    <n v="11.89"/>
    <x v="1"/>
    <x v="13"/>
    <s v="Female"/>
    <n v="65.8"/>
    <n v="154"/>
    <n v="25.1"/>
    <n v="15"/>
    <s v="NY"/>
    <n v="3"/>
    <n v="2662.1"/>
    <s v="High"/>
    <n v="0"/>
    <s v="Single-Day"/>
    <n v="1"/>
    <n v="1"/>
    <s v="Main Entrance"/>
    <s v="None/Walked from Resort"/>
    <n v="9.5"/>
    <n v="13"/>
    <x v="4465"/>
  </r>
  <r>
    <n v="4901"/>
    <n v="1604"/>
    <d v="2026-06-01T00:00:00"/>
    <s v="Monday"/>
    <n v="6"/>
    <n v="11.9"/>
    <x v="1"/>
    <x v="36"/>
    <s v="Male"/>
    <n v="74.599999999999994"/>
    <n v="213"/>
    <n v="26.7"/>
    <n v="15"/>
    <s v="NY"/>
    <n v="3"/>
    <n v="2662.1"/>
    <s v="High"/>
    <n v="0"/>
    <s v="Single-Day"/>
    <n v="1"/>
    <n v="1"/>
    <s v="Main Entrance"/>
    <s v="None/Walked from Resort"/>
    <n v="8.3000000000000007"/>
    <n v="10"/>
    <x v="4466"/>
  </r>
  <r>
    <n v="4902"/>
    <n v="1604"/>
    <d v="2026-06-01T00:00:00"/>
    <s v="Monday"/>
    <n v="6"/>
    <n v="11.91"/>
    <x v="1"/>
    <x v="9"/>
    <s v="Male"/>
    <n v="78"/>
    <n v="217.6"/>
    <n v="25.3"/>
    <n v="18"/>
    <s v="NY"/>
    <n v="3"/>
    <n v="2662.1"/>
    <s v="High"/>
    <n v="0"/>
    <s v="Single-Day"/>
    <n v="1"/>
    <n v="1"/>
    <s v="Main Entrance"/>
    <s v="None/Walked from Resort"/>
    <n v="4.5999999999999996"/>
    <n v="7"/>
    <x v="4467"/>
  </r>
  <r>
    <n v="4903"/>
    <n v="1605"/>
    <d v="2026-03-26T00:00:00"/>
    <s v="Thursday"/>
    <n v="3"/>
    <n v="9.3000000000000007"/>
    <x v="0"/>
    <x v="41"/>
    <s v="Male"/>
    <n v="68.7"/>
    <n v="181.3"/>
    <n v="27"/>
    <n v="14"/>
    <s v="CA"/>
    <n v="3"/>
    <n v="73.2"/>
    <s v="Low"/>
    <n v="1"/>
    <s v="Multi-Day"/>
    <n v="0"/>
    <n v="0"/>
    <s v="Main Entrance"/>
    <s v="Toy Story Lot"/>
    <n v="9.9"/>
    <n v="12"/>
    <x v="4468"/>
  </r>
  <r>
    <n v="4904"/>
    <n v="1605"/>
    <d v="2026-03-26T00:00:00"/>
    <s v="Thursday"/>
    <n v="3"/>
    <n v="9.2899999999999991"/>
    <x v="0"/>
    <x v="17"/>
    <s v="Female"/>
    <n v="62.4"/>
    <n v="120.6"/>
    <n v="21.6"/>
    <n v="12"/>
    <s v="CA"/>
    <n v="3"/>
    <n v="73.2"/>
    <s v="Low"/>
    <n v="1"/>
    <s v="Multi-Day"/>
    <n v="0"/>
    <n v="0"/>
    <s v="Main Entrance"/>
    <s v="Toy Story Lot"/>
    <n v="9.9"/>
    <n v="7"/>
    <x v="4469"/>
  </r>
  <r>
    <n v="4905"/>
    <n v="1605"/>
    <d v="2026-03-26T00:00:00"/>
    <s v="Thursday"/>
    <n v="3"/>
    <n v="9.24"/>
    <x v="0"/>
    <x v="25"/>
    <s v="Male"/>
    <n v="71.2"/>
    <n v="153.80000000000001"/>
    <n v="21.3"/>
    <n v="12"/>
    <s v="CA"/>
    <n v="3"/>
    <n v="73.2"/>
    <s v="Low"/>
    <n v="1"/>
    <s v="Multi-Day"/>
    <n v="0"/>
    <n v="0"/>
    <s v="Main Entrance"/>
    <s v="Toy Story Lot"/>
    <n v="9.1"/>
    <n v="4"/>
    <x v="3192"/>
  </r>
  <r>
    <n v="4906"/>
    <n v="1606"/>
    <d v="2026-09-28T00:00:00"/>
    <s v="Monday"/>
    <n v="9"/>
    <n v="11.37"/>
    <x v="1"/>
    <x v="23"/>
    <s v="Male"/>
    <n v="73.5"/>
    <n v="193.6"/>
    <n v="25.3"/>
    <n v="16"/>
    <s v="CA"/>
    <n v="2"/>
    <n v="110.2"/>
    <s v="Middle"/>
    <n v="0"/>
    <s v="Park Hopper"/>
    <n v="0"/>
    <n v="1"/>
    <s v="Main Entrance"/>
    <s v="Pixar Pals"/>
    <n v="9.1999999999999993"/>
    <n v="6"/>
    <x v="4470"/>
  </r>
  <r>
    <n v="4907"/>
    <n v="1606"/>
    <d v="2026-09-28T00:00:00"/>
    <s v="Monday"/>
    <n v="9"/>
    <n v="11.24"/>
    <x v="1"/>
    <x v="6"/>
    <s v="Female"/>
    <n v="67.400000000000006"/>
    <n v="170.5"/>
    <n v="26.7"/>
    <n v="11"/>
    <s v="CA"/>
    <n v="2"/>
    <n v="110.2"/>
    <s v="Middle"/>
    <n v="0"/>
    <s v="Park Hopper"/>
    <n v="0"/>
    <n v="1"/>
    <s v="Main Entrance"/>
    <s v="Pixar Pals"/>
    <n v="9.8000000000000007"/>
    <n v="10"/>
    <x v="4471"/>
  </r>
  <r>
    <n v="4908"/>
    <n v="1607"/>
    <d v="2026-10-05T00:00:00"/>
    <s v="Monday"/>
    <n v="10"/>
    <n v="11.96"/>
    <x v="1"/>
    <x v="63"/>
    <s v="Male"/>
    <n v="63.5"/>
    <n v="175.9"/>
    <n v="30.7"/>
    <n v="14"/>
    <s v="WA"/>
    <n v="2"/>
    <n v="1058.4000000000001"/>
    <s v="Middle"/>
    <n v="1"/>
    <s v="Single-Day"/>
    <n v="0"/>
    <n v="0"/>
    <s v="Main Entrance"/>
    <s v="None/Dropoff/Transit"/>
    <n v="8.3000000000000007"/>
    <n v="4"/>
    <x v="4472"/>
  </r>
  <r>
    <n v="4909"/>
    <n v="1607"/>
    <d v="2026-10-05T00:00:00"/>
    <s v="Monday"/>
    <n v="10"/>
    <n v="11.81"/>
    <x v="1"/>
    <x v="54"/>
    <s v="Female"/>
    <n v="65.3"/>
    <n v="105"/>
    <n v="17.100000000000001"/>
    <n v="17"/>
    <s v="WA"/>
    <n v="2"/>
    <n v="1058.4000000000001"/>
    <s v="Middle"/>
    <n v="1"/>
    <s v="Single-Day"/>
    <n v="0"/>
    <n v="0"/>
    <s v="Main Entrance"/>
    <s v="None/Dropoff/Transit"/>
    <n v="6.7"/>
    <n v="9"/>
    <x v="4473"/>
  </r>
  <r>
    <n v="4910"/>
    <n v="1608"/>
    <d v="2026-05-20T00:00:00"/>
    <s v="Wednesday"/>
    <n v="5"/>
    <n v="10.33"/>
    <x v="0"/>
    <x v="0"/>
    <s v="Female"/>
    <n v="62"/>
    <n v="168"/>
    <n v="30.9"/>
    <n v="15"/>
    <s v="CA"/>
    <n v="2"/>
    <n v="65.900000000000006"/>
    <s v="High"/>
    <n v="0"/>
    <s v="Multi-Day"/>
    <n v="1"/>
    <n v="0"/>
    <s v="Downtown Disney Gate"/>
    <s v="Pixar Pals"/>
    <n v="7.6"/>
    <n v="4"/>
    <x v="4474"/>
  </r>
  <r>
    <n v="4911"/>
    <n v="1608"/>
    <d v="2026-05-20T00:00:00"/>
    <s v="Wednesday"/>
    <n v="5"/>
    <n v="10.53"/>
    <x v="0"/>
    <x v="34"/>
    <s v="Female"/>
    <n v="63.5"/>
    <n v="160.69999999999999"/>
    <n v="28"/>
    <n v="18"/>
    <s v="CA"/>
    <n v="2"/>
    <n v="65.900000000000006"/>
    <s v="High"/>
    <n v="0"/>
    <s v="Multi-Day"/>
    <n v="1"/>
    <n v="0"/>
    <s v="Downtown Disney Gate"/>
    <s v="Pixar Pals"/>
    <n v="8.1999999999999993"/>
    <n v="8"/>
    <x v="4475"/>
  </r>
  <r>
    <n v="4912"/>
    <n v="1609"/>
    <d v="2026-04-24T00:00:00"/>
    <s v="Friday"/>
    <n v="4"/>
    <n v="10.82"/>
    <x v="0"/>
    <x v="0"/>
    <s v="Male"/>
    <n v="71"/>
    <n v="200.2"/>
    <n v="27.9"/>
    <n v="16"/>
    <s v="UT"/>
    <n v="1"/>
    <n v="584.29999999999995"/>
    <s v="High"/>
    <n v="1"/>
    <s v="Multi-Day"/>
    <n v="0"/>
    <n v="1"/>
    <s v="Hotel Guest Entrance"/>
    <s v="None/Walked from Resort"/>
    <n v="9.6999999999999993"/>
    <n v="14"/>
    <x v="4476"/>
  </r>
  <r>
    <n v="4913"/>
    <n v="1610"/>
    <d v="2026-09-15T00:00:00"/>
    <s v="Tuesday"/>
    <n v="9"/>
    <n v="10.63"/>
    <x v="0"/>
    <x v="10"/>
    <s v="Male"/>
    <n v="64.3"/>
    <n v="186.1"/>
    <n v="31.7"/>
    <n v="12"/>
    <s v="IL"/>
    <n v="4"/>
    <n v="2628.7"/>
    <s v="Low"/>
    <n v="0"/>
    <s v="Single-Day"/>
    <n v="0"/>
    <n v="0"/>
    <s v="Main Entrance"/>
    <s v="Toy Story Lot"/>
    <n v="6.9"/>
    <n v="9"/>
    <x v="4477"/>
  </r>
  <r>
    <n v="4914"/>
    <n v="1610"/>
    <d v="2026-09-15T00:00:00"/>
    <s v="Tuesday"/>
    <n v="9"/>
    <n v="10.71"/>
    <x v="0"/>
    <x v="29"/>
    <s v="Female"/>
    <n v="61.5"/>
    <n v="111"/>
    <n v="20.6"/>
    <n v="10"/>
    <s v="IL"/>
    <n v="4"/>
    <n v="2628.7"/>
    <s v="Low"/>
    <n v="0"/>
    <s v="Single-Day"/>
    <n v="0"/>
    <n v="0"/>
    <s v="Main Entrance"/>
    <s v="Toy Story Lot"/>
    <n v="8.3000000000000007"/>
    <n v="7"/>
    <x v="4478"/>
  </r>
  <r>
    <n v="4915"/>
    <n v="1610"/>
    <d v="2026-09-15T00:00:00"/>
    <s v="Tuesday"/>
    <n v="9"/>
    <n v="10.72"/>
    <x v="0"/>
    <x v="43"/>
    <s v="Male"/>
    <n v="65.2"/>
    <n v="171.2"/>
    <n v="28.5"/>
    <n v="14"/>
    <s v="IL"/>
    <n v="4"/>
    <n v="2628.7"/>
    <s v="Low"/>
    <n v="0"/>
    <s v="Single-Day"/>
    <n v="0"/>
    <n v="0"/>
    <s v="Main Entrance"/>
    <s v="Toy Story Lot"/>
    <n v="6.2"/>
    <n v="11"/>
    <x v="4479"/>
  </r>
  <r>
    <n v="4916"/>
    <n v="1610"/>
    <d v="2026-09-15T00:00:00"/>
    <s v="Tuesday"/>
    <n v="9"/>
    <n v="10.96"/>
    <x v="0"/>
    <x v="41"/>
    <s v="Female"/>
    <n v="58.3"/>
    <n v="128.19999999999999"/>
    <n v="26.7"/>
    <n v="14"/>
    <s v="IL"/>
    <n v="4"/>
    <n v="2628.7"/>
    <s v="Low"/>
    <n v="0"/>
    <s v="Single-Day"/>
    <n v="0"/>
    <n v="0"/>
    <s v="Main Entrance"/>
    <s v="Toy Story Lot"/>
    <n v="9.5"/>
    <n v="11"/>
    <x v="4480"/>
  </r>
  <r>
    <n v="4917"/>
    <n v="1611"/>
    <d v="2026-01-13T00:00:00"/>
    <s v="Tuesday"/>
    <n v="1"/>
    <n v="8.5299999999999994"/>
    <x v="0"/>
    <x v="45"/>
    <s v="Male"/>
    <n v="66.3"/>
    <n v="165.9"/>
    <n v="26.4"/>
    <n v="17"/>
    <s v="CA"/>
    <n v="2"/>
    <n v="2.8"/>
    <s v="High"/>
    <n v="0"/>
    <s v="Single-Day"/>
    <n v="0"/>
    <n v="0"/>
    <s v="Downtown Disney Gate"/>
    <s v="Pixar Pals"/>
    <n v="9"/>
    <n v="6"/>
    <x v="4481"/>
  </r>
  <r>
    <n v="4918"/>
    <n v="1611"/>
    <d v="2026-01-13T00:00:00"/>
    <s v="Tuesday"/>
    <n v="1"/>
    <n v="8.5399999999999991"/>
    <x v="0"/>
    <x v="17"/>
    <s v="Female"/>
    <n v="65.3"/>
    <n v="175"/>
    <n v="28.8"/>
    <n v="16"/>
    <s v="CA"/>
    <n v="2"/>
    <n v="2.8"/>
    <s v="High"/>
    <n v="0"/>
    <s v="Single-Day"/>
    <n v="0"/>
    <n v="0"/>
    <s v="Downtown Disney Gate"/>
    <s v="Pixar Pals"/>
    <n v="8.1"/>
    <n v="13"/>
    <x v="4482"/>
  </r>
  <r>
    <n v="4919"/>
    <n v="1612"/>
    <d v="2026-11-19T00:00:00"/>
    <s v="Thursday"/>
    <n v="11"/>
    <n v="11.8"/>
    <x v="1"/>
    <x v="9"/>
    <s v="Male"/>
    <n v="67.900000000000006"/>
    <n v="162.5"/>
    <n v="24.7"/>
    <n v="17"/>
    <s v="Other"/>
    <n v="2"/>
    <n v="1178.9000000000001"/>
    <s v="High"/>
    <n v="1"/>
    <s v="Single-Day"/>
    <n v="1"/>
    <n v="1"/>
    <s v="Main Entrance"/>
    <s v="None/Walked from Resort"/>
    <n v="9.1"/>
    <n v="13"/>
    <x v="4483"/>
  </r>
  <r>
    <n v="4920"/>
    <n v="1612"/>
    <d v="2026-11-19T00:00:00"/>
    <s v="Thursday"/>
    <n v="11"/>
    <n v="11.78"/>
    <x v="1"/>
    <x v="16"/>
    <s v="Male"/>
    <n v="58.1"/>
    <n v="105.2"/>
    <n v="22.2"/>
    <n v="16"/>
    <s v="Other"/>
    <n v="2"/>
    <n v="1178.9000000000001"/>
    <s v="High"/>
    <n v="1"/>
    <s v="Single-Day"/>
    <n v="1"/>
    <n v="1"/>
    <s v="Main Entrance"/>
    <s v="None/Walked from Resort"/>
    <n v="7.8"/>
    <n v="9"/>
    <x v="4484"/>
  </r>
  <r>
    <n v="4921"/>
    <n v="1613"/>
    <d v="2026-02-06T00:00:00"/>
    <s v="Friday"/>
    <n v="2"/>
    <n v="10.55"/>
    <x v="0"/>
    <x v="7"/>
    <s v="Male"/>
    <n v="55"/>
    <n v="95"/>
    <n v="22"/>
    <n v="14"/>
    <s v="Other"/>
    <n v="2"/>
    <n v="1852.8"/>
    <s v="Middle"/>
    <n v="1"/>
    <s v="Single-Day"/>
    <n v="0"/>
    <n v="0"/>
    <s v="Main Entrance"/>
    <s v="Mickey &amp; Friends"/>
    <n v="11.4"/>
    <n v="5"/>
    <x v="4485"/>
  </r>
  <r>
    <n v="4922"/>
    <n v="1613"/>
    <d v="2026-02-06T00:00:00"/>
    <s v="Friday"/>
    <n v="2"/>
    <n v="10.52"/>
    <x v="0"/>
    <x v="67"/>
    <s v="Male"/>
    <n v="67.7"/>
    <n v="174.7"/>
    <n v="27"/>
    <n v="16"/>
    <s v="Other"/>
    <n v="2"/>
    <n v="1852.8"/>
    <s v="Middle"/>
    <n v="1"/>
    <s v="Single-Day"/>
    <n v="0"/>
    <n v="0"/>
    <s v="Main Entrance"/>
    <s v="Mickey &amp; Friends"/>
    <n v="8.5"/>
    <n v="9"/>
    <x v="4486"/>
  </r>
  <r>
    <n v="4923"/>
    <n v="1614"/>
    <d v="2026-06-05T00:00:00"/>
    <s v="Friday"/>
    <n v="6"/>
    <n v="9.4600000000000009"/>
    <x v="0"/>
    <x v="74"/>
    <s v="Male"/>
    <n v="66.3"/>
    <n v="146.30000000000001"/>
    <n v="23.4"/>
    <n v="15"/>
    <s v="CA"/>
    <n v="1"/>
    <n v="45"/>
    <s v="Middle"/>
    <n v="0"/>
    <s v="Park Hopper"/>
    <n v="0"/>
    <n v="1"/>
    <s v="Main Entrance"/>
    <s v="None/Walked from Resort"/>
    <n v="9.4"/>
    <n v="9"/>
    <x v="4487"/>
  </r>
  <r>
    <n v="4924"/>
    <n v="1615"/>
    <d v="2026-02-28T00:00:00"/>
    <s v="Saturday"/>
    <n v="2"/>
    <n v="12.15"/>
    <x v="1"/>
    <x v="14"/>
    <s v="Male"/>
    <n v="70.400000000000006"/>
    <n v="167.1"/>
    <n v="23.6"/>
    <n v="18"/>
    <s v="Other"/>
    <n v="2"/>
    <n v="1664.7"/>
    <s v="Middle"/>
    <n v="0"/>
    <s v="Single-Day"/>
    <n v="1"/>
    <n v="0"/>
    <s v="Main Entrance"/>
    <s v="Pixar Pals"/>
    <n v="7.7"/>
    <n v="8"/>
    <x v="4488"/>
  </r>
  <r>
    <n v="4925"/>
    <n v="1615"/>
    <d v="2026-02-28T00:00:00"/>
    <s v="Saturday"/>
    <n v="2"/>
    <n v="12.17"/>
    <x v="1"/>
    <x v="11"/>
    <s v="Male"/>
    <n v="71.099999999999994"/>
    <n v="179.5"/>
    <n v="24.9"/>
    <n v="14"/>
    <s v="Other"/>
    <n v="2"/>
    <n v="1664.7"/>
    <s v="Middle"/>
    <n v="0"/>
    <s v="Single-Day"/>
    <n v="1"/>
    <n v="0"/>
    <s v="Main Entrance"/>
    <s v="Pixar Pals"/>
    <n v="5.6"/>
    <n v="7"/>
    <x v="4489"/>
  </r>
  <r>
    <n v="4926"/>
    <n v="1616"/>
    <d v="2026-03-19T00:00:00"/>
    <s v="Thursday"/>
    <n v="3"/>
    <n v="11.58"/>
    <x v="1"/>
    <x v="35"/>
    <s v="Male"/>
    <n v="66.8"/>
    <n v="189.8"/>
    <n v="29.8"/>
    <n v="15"/>
    <s v="CA"/>
    <n v="3"/>
    <n v="147.5"/>
    <s v="Low"/>
    <n v="0"/>
    <s v="Multi-Day"/>
    <n v="1"/>
    <n v="1"/>
    <s v="Hotel Guest Entrance"/>
    <s v="None/Walked from Resort"/>
    <n v="9"/>
    <n v="4"/>
    <x v="4490"/>
  </r>
  <r>
    <n v="4927"/>
    <n v="1616"/>
    <d v="2026-03-19T00:00:00"/>
    <s v="Thursday"/>
    <n v="3"/>
    <n v="11.63"/>
    <x v="1"/>
    <x v="22"/>
    <s v="Male"/>
    <n v="58.7"/>
    <n v="97.9"/>
    <n v="20.100000000000001"/>
    <n v="12"/>
    <s v="CA"/>
    <n v="3"/>
    <n v="147.5"/>
    <s v="Low"/>
    <n v="0"/>
    <s v="Multi-Day"/>
    <n v="1"/>
    <n v="1"/>
    <s v="Hotel Guest Entrance"/>
    <s v="None/Walked from Resort"/>
    <n v="6.3"/>
    <n v="8"/>
    <x v="1326"/>
  </r>
  <r>
    <n v="4928"/>
    <n v="1616"/>
    <d v="2026-03-19T00:00:00"/>
    <s v="Thursday"/>
    <n v="3"/>
    <n v="11.5"/>
    <x v="1"/>
    <x v="54"/>
    <s v="Male"/>
    <n v="72.3"/>
    <n v="176.8"/>
    <n v="23.6"/>
    <n v="16"/>
    <s v="CA"/>
    <n v="3"/>
    <n v="147.5"/>
    <s v="Low"/>
    <n v="0"/>
    <s v="Multi-Day"/>
    <n v="1"/>
    <n v="1"/>
    <s v="Hotel Guest Entrance"/>
    <s v="None/Walked from Resort"/>
    <n v="7.9"/>
    <n v="8"/>
    <x v="2395"/>
  </r>
  <r>
    <n v="4929"/>
    <n v="1617"/>
    <d v="2026-08-06T00:00:00"/>
    <s v="Thursday"/>
    <n v="8"/>
    <n v="10.78"/>
    <x v="0"/>
    <x v="16"/>
    <s v="Female"/>
    <n v="54.4"/>
    <n v="90.2"/>
    <n v="21.3"/>
    <n v="15"/>
    <s v="CA"/>
    <n v="1"/>
    <n v="2"/>
    <s v="Middle"/>
    <n v="0"/>
    <s v="Multi-Day"/>
    <n v="0"/>
    <n v="0"/>
    <s v="Main Entrance"/>
    <s v="Pixar Pals"/>
    <n v="7"/>
    <n v="6"/>
    <x v="4491"/>
  </r>
  <r>
    <n v="4930"/>
    <n v="1618"/>
    <d v="2026-06-15T00:00:00"/>
    <s v="Monday"/>
    <n v="6"/>
    <n v="7.57"/>
    <x v="0"/>
    <x v="55"/>
    <s v="Male"/>
    <n v="63.4"/>
    <n v="137.5"/>
    <n v="24"/>
    <n v="19"/>
    <s v="CA"/>
    <n v="2"/>
    <n v="104.7"/>
    <s v="Middle"/>
    <n v="0"/>
    <s v="Single-Day"/>
    <n v="1"/>
    <n v="0"/>
    <s v="Main Entrance"/>
    <s v="Toy Story Lot"/>
    <n v="11.4"/>
    <n v="11"/>
    <x v="4492"/>
  </r>
  <r>
    <n v="4931"/>
    <n v="1618"/>
    <d v="2026-06-15T00:00:00"/>
    <s v="Monday"/>
    <n v="6"/>
    <n v="7.74"/>
    <x v="0"/>
    <x v="32"/>
    <s v="Female"/>
    <n v="64"/>
    <n v="117.1"/>
    <n v="20"/>
    <n v="11"/>
    <s v="CA"/>
    <n v="2"/>
    <n v="104.7"/>
    <s v="Middle"/>
    <n v="0"/>
    <s v="Single-Day"/>
    <n v="1"/>
    <n v="0"/>
    <s v="Main Entrance"/>
    <s v="Toy Story Lot"/>
    <n v="8.8000000000000007"/>
    <n v="9"/>
    <x v="1100"/>
  </r>
  <r>
    <n v="4932"/>
    <n v="1619"/>
    <d v="2026-03-12T00:00:00"/>
    <s v="Thursday"/>
    <n v="3"/>
    <n v="8.77"/>
    <x v="0"/>
    <x v="64"/>
    <s v="Female"/>
    <n v="53.7"/>
    <n v="79.7"/>
    <n v="19.600000000000001"/>
    <n v="9"/>
    <s v="CA"/>
    <n v="3"/>
    <n v="110.6"/>
    <s v="Low"/>
    <n v="1"/>
    <s v="Single-Day"/>
    <n v="0"/>
    <n v="0"/>
    <s v="Main Entrance"/>
    <s v="Toy Story Lot"/>
    <n v="8.1999999999999993"/>
    <n v="6"/>
    <x v="1852"/>
  </r>
  <r>
    <n v="4933"/>
    <n v="1619"/>
    <d v="2026-03-12T00:00:00"/>
    <s v="Thursday"/>
    <n v="3"/>
    <n v="8.6300000000000008"/>
    <x v="0"/>
    <x v="16"/>
    <s v="Male"/>
    <n v="55.3"/>
    <n v="104.7"/>
    <n v="24.1"/>
    <n v="12"/>
    <s v="CA"/>
    <n v="3"/>
    <n v="110.6"/>
    <s v="Low"/>
    <n v="1"/>
    <s v="Single-Day"/>
    <n v="0"/>
    <n v="0"/>
    <s v="Main Entrance"/>
    <s v="Toy Story Lot"/>
    <n v="7.3"/>
    <n v="6"/>
    <x v="4493"/>
  </r>
  <r>
    <n v="4934"/>
    <n v="1619"/>
    <d v="2026-03-12T00:00:00"/>
    <s v="Thursday"/>
    <n v="3"/>
    <n v="8.66"/>
    <x v="0"/>
    <x v="33"/>
    <s v="Female"/>
    <n v="62.6"/>
    <n v="136.69999999999999"/>
    <n v="24.4"/>
    <n v="15"/>
    <s v="CA"/>
    <n v="3"/>
    <n v="110.6"/>
    <s v="Low"/>
    <n v="1"/>
    <s v="Single-Day"/>
    <n v="0"/>
    <n v="0"/>
    <s v="Main Entrance"/>
    <s v="Toy Story Lot"/>
    <n v="9.9"/>
    <n v="5"/>
    <x v="4494"/>
  </r>
  <r>
    <n v="4935"/>
    <n v="1620"/>
    <d v="2026-07-09T00:00:00"/>
    <s v="Thursday"/>
    <n v="7"/>
    <n v="10.71"/>
    <x v="0"/>
    <x v="44"/>
    <s v="Female"/>
    <n v="62.5"/>
    <n v="166.8"/>
    <n v="30"/>
    <n v="15"/>
    <s v="CA"/>
    <n v="5"/>
    <n v="38.700000000000003"/>
    <s v="Middle"/>
    <n v="0"/>
    <s v="Single-Day"/>
    <n v="0"/>
    <n v="0"/>
    <s v="Main Entrance"/>
    <s v="Pixar Pals"/>
    <n v="11.6"/>
    <n v="11"/>
    <x v="4495"/>
  </r>
  <r>
    <n v="4936"/>
    <n v="1620"/>
    <d v="2026-07-09T00:00:00"/>
    <s v="Thursday"/>
    <n v="7"/>
    <n v="10.82"/>
    <x v="0"/>
    <x v="18"/>
    <s v="Female"/>
    <n v="63.7"/>
    <n v="136.4"/>
    <n v="23.5"/>
    <n v="12"/>
    <s v="CA"/>
    <n v="5"/>
    <n v="38.700000000000003"/>
    <s v="Middle"/>
    <n v="0"/>
    <s v="Single-Day"/>
    <n v="0"/>
    <n v="0"/>
    <s v="Main Entrance"/>
    <s v="Pixar Pals"/>
    <n v="7.5"/>
    <n v="6"/>
    <x v="4496"/>
  </r>
  <r>
    <n v="4937"/>
    <n v="1620"/>
    <d v="2026-07-09T00:00:00"/>
    <s v="Thursday"/>
    <n v="7"/>
    <n v="10.88"/>
    <x v="0"/>
    <x v="19"/>
    <s v="Male"/>
    <n v="67.2"/>
    <n v="167"/>
    <n v="25.8"/>
    <n v="15"/>
    <s v="CA"/>
    <n v="5"/>
    <n v="38.700000000000003"/>
    <s v="Middle"/>
    <n v="0"/>
    <s v="Single-Day"/>
    <n v="0"/>
    <n v="0"/>
    <s v="Main Entrance"/>
    <s v="Pixar Pals"/>
    <n v="6"/>
    <n v="10"/>
    <x v="4497"/>
  </r>
  <r>
    <n v="4938"/>
    <n v="1620"/>
    <d v="2026-07-09T00:00:00"/>
    <s v="Thursday"/>
    <n v="7"/>
    <n v="10.85"/>
    <x v="0"/>
    <x v="21"/>
    <s v="Female"/>
    <n v="64.2"/>
    <n v="202.5"/>
    <n v="34.5"/>
    <n v="17"/>
    <s v="CA"/>
    <n v="5"/>
    <n v="38.700000000000003"/>
    <s v="Middle"/>
    <n v="0"/>
    <s v="Single-Day"/>
    <n v="0"/>
    <n v="0"/>
    <s v="Main Entrance"/>
    <s v="Pixar Pals"/>
    <n v="6.8"/>
    <n v="5"/>
    <x v="4498"/>
  </r>
  <r>
    <n v="4939"/>
    <n v="1620"/>
    <d v="2026-07-09T00:00:00"/>
    <s v="Thursday"/>
    <n v="7"/>
    <n v="10.66"/>
    <x v="0"/>
    <x v="38"/>
    <s v="Female"/>
    <n v="63.5"/>
    <n v="155.80000000000001"/>
    <n v="27"/>
    <n v="11"/>
    <s v="CA"/>
    <n v="5"/>
    <n v="38.700000000000003"/>
    <s v="Middle"/>
    <n v="0"/>
    <s v="Single-Day"/>
    <n v="0"/>
    <n v="0"/>
    <s v="Main Entrance"/>
    <s v="Pixar Pals"/>
    <n v="9.4"/>
    <n v="5"/>
    <x v="180"/>
  </r>
  <r>
    <n v="4940"/>
    <n v="1621"/>
    <d v="2026-10-08T00:00:00"/>
    <s v="Thursday"/>
    <n v="10"/>
    <n v="9.5"/>
    <x v="0"/>
    <x v="64"/>
    <s v="Female"/>
    <n v="50.2"/>
    <n v="60.2"/>
    <n v="16.7"/>
    <n v="10"/>
    <s v="OR"/>
    <n v="4"/>
    <n v="789.7"/>
    <s v="High"/>
    <n v="1"/>
    <s v="Multi-Day"/>
    <n v="1"/>
    <n v="1"/>
    <s v="Main Entrance"/>
    <s v="Pixar Pals"/>
    <n v="11"/>
    <n v="8"/>
    <x v="4499"/>
  </r>
  <r>
    <n v="4941"/>
    <n v="1621"/>
    <d v="2026-10-08T00:00:00"/>
    <s v="Thursday"/>
    <n v="10"/>
    <n v="9.44"/>
    <x v="0"/>
    <x v="57"/>
    <s v="Male"/>
    <n v="71"/>
    <n v="176.3"/>
    <n v="24.7"/>
    <n v="20"/>
    <s v="OR"/>
    <n v="4"/>
    <n v="789.7"/>
    <s v="High"/>
    <n v="1"/>
    <s v="Multi-Day"/>
    <n v="1"/>
    <n v="1"/>
    <s v="Main Entrance"/>
    <s v="Pixar Pals"/>
    <n v="10.4"/>
    <n v="14"/>
    <x v="4500"/>
  </r>
  <r>
    <n v="4942"/>
    <n v="1621"/>
    <d v="2026-10-08T00:00:00"/>
    <s v="Thursday"/>
    <n v="10"/>
    <n v="9.57"/>
    <x v="0"/>
    <x v="41"/>
    <s v="Female"/>
    <n v="65.400000000000006"/>
    <n v="175"/>
    <n v="28.6"/>
    <n v="19"/>
    <s v="OR"/>
    <n v="4"/>
    <n v="789.7"/>
    <s v="High"/>
    <n v="1"/>
    <s v="Multi-Day"/>
    <n v="1"/>
    <n v="1"/>
    <s v="Main Entrance"/>
    <s v="Pixar Pals"/>
    <n v="8.6999999999999993"/>
    <n v="10"/>
    <x v="4501"/>
  </r>
  <r>
    <n v="4943"/>
    <n v="1621"/>
    <d v="2026-10-08T00:00:00"/>
    <s v="Thursday"/>
    <n v="10"/>
    <n v="9.4499999999999993"/>
    <x v="0"/>
    <x v="20"/>
    <s v="Male"/>
    <n v="67.599999999999994"/>
    <n v="146.1"/>
    <n v="22.5"/>
    <n v="15"/>
    <s v="OR"/>
    <n v="4"/>
    <n v="789.7"/>
    <s v="High"/>
    <n v="1"/>
    <s v="Multi-Day"/>
    <n v="1"/>
    <n v="1"/>
    <s v="Main Entrance"/>
    <s v="Pixar Pals"/>
    <n v="12.2"/>
    <n v="13"/>
    <x v="4502"/>
  </r>
  <r>
    <n v="4944"/>
    <n v="1622"/>
    <d v="2026-10-13T00:00:00"/>
    <s v="Tuesday"/>
    <n v="10"/>
    <n v="10.24"/>
    <x v="0"/>
    <x v="32"/>
    <s v="Male"/>
    <n v="67.099999999999994"/>
    <n v="88.2"/>
    <n v="14"/>
    <n v="10"/>
    <s v="MN"/>
    <n v="5"/>
    <n v="1598.6"/>
    <s v="Middle"/>
    <n v="1"/>
    <s v="Park Hopper"/>
    <n v="0"/>
    <n v="0"/>
    <s v="Main Entrance"/>
    <s v="Toy Story Lot"/>
    <n v="8.5"/>
    <n v="11"/>
    <x v="4503"/>
  </r>
  <r>
    <n v="4945"/>
    <n v="1622"/>
    <d v="2026-10-13T00:00:00"/>
    <s v="Tuesday"/>
    <n v="10"/>
    <n v="10.29"/>
    <x v="0"/>
    <x v="32"/>
    <s v="Male"/>
    <n v="50.2"/>
    <n v="81.7"/>
    <n v="22.6"/>
    <n v="12"/>
    <s v="MN"/>
    <n v="5"/>
    <n v="1598.6"/>
    <s v="Middle"/>
    <n v="1"/>
    <s v="Park Hopper"/>
    <n v="0"/>
    <n v="0"/>
    <s v="Main Entrance"/>
    <s v="Toy Story Lot"/>
    <n v="8.1999999999999993"/>
    <n v="7"/>
    <x v="4504"/>
  </r>
  <r>
    <n v="4946"/>
    <n v="1622"/>
    <d v="2026-10-13T00:00:00"/>
    <s v="Tuesday"/>
    <n v="10"/>
    <n v="10.24"/>
    <x v="0"/>
    <x v="78"/>
    <s v="Male"/>
    <n v="70"/>
    <n v="154.30000000000001"/>
    <n v="21.9"/>
    <n v="13"/>
    <s v="MN"/>
    <n v="5"/>
    <n v="1598.6"/>
    <s v="Middle"/>
    <n v="1"/>
    <s v="Park Hopper"/>
    <n v="0"/>
    <n v="0"/>
    <s v="Main Entrance"/>
    <s v="Toy Story Lot"/>
    <n v="9.5"/>
    <n v="14"/>
    <x v="4505"/>
  </r>
  <r>
    <n v="4947"/>
    <n v="1622"/>
    <d v="2026-10-13T00:00:00"/>
    <s v="Tuesday"/>
    <n v="10"/>
    <n v="10.16"/>
    <x v="0"/>
    <x v="4"/>
    <s v="Female"/>
    <n v="64.8"/>
    <n v="147.19999999999999"/>
    <n v="24.4"/>
    <n v="15"/>
    <s v="MN"/>
    <n v="5"/>
    <n v="1598.6"/>
    <s v="Middle"/>
    <n v="1"/>
    <s v="Park Hopper"/>
    <n v="0"/>
    <n v="0"/>
    <s v="Main Entrance"/>
    <s v="Toy Story Lot"/>
    <n v="10.199999999999999"/>
    <n v="5"/>
    <x v="4506"/>
  </r>
  <r>
    <n v="4948"/>
    <n v="1622"/>
    <d v="2026-10-13T00:00:00"/>
    <s v="Tuesday"/>
    <n v="10"/>
    <n v="10.199999999999999"/>
    <x v="0"/>
    <x v="13"/>
    <s v="Male"/>
    <n v="69.7"/>
    <n v="186.6"/>
    <n v="27.2"/>
    <n v="17"/>
    <s v="MN"/>
    <n v="5"/>
    <n v="1598.6"/>
    <s v="Middle"/>
    <n v="1"/>
    <s v="Park Hopper"/>
    <n v="0"/>
    <n v="0"/>
    <s v="Main Entrance"/>
    <s v="Toy Story Lot"/>
    <n v="8.9"/>
    <n v="11"/>
    <x v="4507"/>
  </r>
  <r>
    <n v="4949"/>
    <n v="1623"/>
    <d v="2026-07-18T00:00:00"/>
    <s v="Saturday"/>
    <n v="7"/>
    <n v="11.59"/>
    <x v="1"/>
    <x v="32"/>
    <s v="Female"/>
    <n v="62.6"/>
    <n v="87.2"/>
    <n v="15.7"/>
    <n v="7"/>
    <s v="CA"/>
    <n v="2"/>
    <n v="139.1"/>
    <s v="Low"/>
    <n v="0"/>
    <s v="Park Hopper"/>
    <n v="1"/>
    <n v="0"/>
    <s v="Main Entrance"/>
    <s v="Toy Story Lot"/>
    <n v="9"/>
    <n v="11"/>
    <x v="4508"/>
  </r>
  <r>
    <n v="4950"/>
    <n v="1623"/>
    <d v="2026-07-18T00:00:00"/>
    <s v="Saturday"/>
    <n v="7"/>
    <n v="11.62"/>
    <x v="1"/>
    <x v="36"/>
    <s v="Female"/>
    <n v="65.3"/>
    <n v="114"/>
    <n v="19"/>
    <n v="12"/>
    <s v="CA"/>
    <n v="2"/>
    <n v="139.1"/>
    <s v="Low"/>
    <n v="0"/>
    <s v="Park Hopper"/>
    <n v="1"/>
    <n v="0"/>
    <s v="Main Entrance"/>
    <s v="Toy Story Lot"/>
    <n v="8.4"/>
    <n v="14"/>
    <x v="4509"/>
  </r>
  <r>
    <n v="4951"/>
    <n v="1624"/>
    <d v="2026-06-02T00:00:00"/>
    <s v="Tuesday"/>
    <n v="6"/>
    <n v="10.15"/>
    <x v="0"/>
    <x v="2"/>
    <s v="Male"/>
    <n v="73.7"/>
    <n v="196.9"/>
    <n v="25.3"/>
    <n v="17"/>
    <s v="NV"/>
    <n v="3"/>
    <n v="210.4"/>
    <s v="Middle"/>
    <n v="0"/>
    <s v="Multi-Day"/>
    <n v="0"/>
    <n v="0"/>
    <s v="Hotel Guest Entrance"/>
    <s v="Mickey &amp; Friends"/>
    <n v="8.9"/>
    <n v="10"/>
    <x v="4510"/>
  </r>
  <r>
    <n v="4952"/>
    <n v="1624"/>
    <d v="2026-06-02T00:00:00"/>
    <s v="Tuesday"/>
    <n v="6"/>
    <n v="10.25"/>
    <x v="0"/>
    <x v="12"/>
    <s v="Male"/>
    <n v="63.1"/>
    <n v="118.9"/>
    <n v="20.9"/>
    <n v="14"/>
    <s v="NV"/>
    <n v="3"/>
    <n v="210.4"/>
    <s v="Middle"/>
    <n v="0"/>
    <s v="Multi-Day"/>
    <n v="0"/>
    <n v="0"/>
    <s v="Hotel Guest Entrance"/>
    <s v="Mickey &amp; Friends"/>
    <n v="9"/>
    <n v="4"/>
    <x v="4511"/>
  </r>
  <r>
    <n v="4953"/>
    <n v="1624"/>
    <d v="2026-06-02T00:00:00"/>
    <s v="Tuesday"/>
    <n v="6"/>
    <n v="10.35"/>
    <x v="0"/>
    <x v="25"/>
    <s v="Male"/>
    <n v="71.2"/>
    <n v="223.4"/>
    <n v="30.9"/>
    <n v="14"/>
    <s v="NV"/>
    <n v="3"/>
    <n v="210.4"/>
    <s v="Middle"/>
    <n v="0"/>
    <s v="Multi-Day"/>
    <n v="0"/>
    <n v="0"/>
    <s v="Hotel Guest Entrance"/>
    <s v="Mickey &amp; Friends"/>
    <n v="9"/>
    <n v="9"/>
    <x v="4512"/>
  </r>
  <r>
    <n v="4954"/>
    <n v="1625"/>
    <d v="2026-04-09T00:00:00"/>
    <s v="Thursday"/>
    <n v="4"/>
    <n v="9.52"/>
    <x v="0"/>
    <x v="34"/>
    <s v="Male"/>
    <n v="69.900000000000006"/>
    <n v="193.7"/>
    <n v="27.8"/>
    <n v="16"/>
    <s v="Other"/>
    <n v="4"/>
    <n v="1269.3"/>
    <s v="Middle"/>
    <n v="1"/>
    <s v="Single-Day"/>
    <n v="1"/>
    <n v="0"/>
    <s v="Main Entrance"/>
    <s v="Mickey &amp; Friends"/>
    <n v="8"/>
    <n v="0"/>
    <x v="4513"/>
  </r>
  <r>
    <n v="4955"/>
    <n v="1625"/>
    <d v="2026-04-09T00:00:00"/>
    <s v="Thursday"/>
    <n v="4"/>
    <n v="9.85"/>
    <x v="0"/>
    <x v="64"/>
    <s v="Male"/>
    <n v="56.9"/>
    <n v="85.5"/>
    <n v="18.3"/>
    <n v="10"/>
    <s v="Other"/>
    <n v="4"/>
    <n v="1269.3"/>
    <s v="Middle"/>
    <n v="1"/>
    <s v="Single-Day"/>
    <n v="1"/>
    <n v="0"/>
    <s v="Main Entrance"/>
    <s v="Mickey &amp; Friends"/>
    <n v="6.6"/>
    <n v="6"/>
    <x v="4104"/>
  </r>
  <r>
    <n v="4956"/>
    <n v="1625"/>
    <d v="2026-04-09T00:00:00"/>
    <s v="Thursday"/>
    <n v="4"/>
    <n v="9.8000000000000007"/>
    <x v="0"/>
    <x v="20"/>
    <s v="Male"/>
    <n v="70"/>
    <n v="121.7"/>
    <n v="17.5"/>
    <n v="13"/>
    <s v="Other"/>
    <n v="4"/>
    <n v="1269.3"/>
    <s v="Middle"/>
    <n v="1"/>
    <s v="Single-Day"/>
    <n v="1"/>
    <n v="0"/>
    <s v="Main Entrance"/>
    <s v="Mickey &amp; Friends"/>
    <n v="8.1999999999999993"/>
    <n v="16"/>
    <x v="4514"/>
  </r>
  <r>
    <n v="4957"/>
    <n v="1625"/>
    <d v="2026-04-09T00:00:00"/>
    <s v="Thursday"/>
    <n v="4"/>
    <n v="9.58"/>
    <x v="0"/>
    <x v="52"/>
    <s v="Female"/>
    <n v="66.7"/>
    <n v="121.4"/>
    <n v="19.2"/>
    <n v="16"/>
    <s v="Other"/>
    <n v="4"/>
    <n v="1269.3"/>
    <s v="Middle"/>
    <n v="1"/>
    <s v="Single-Day"/>
    <n v="1"/>
    <n v="0"/>
    <s v="Main Entrance"/>
    <s v="Mickey &amp; Friends"/>
    <n v="7.1"/>
    <n v="12"/>
    <x v="4515"/>
  </r>
  <r>
    <n v="4958"/>
    <n v="1626"/>
    <d v="2026-10-23T00:00:00"/>
    <s v="Friday"/>
    <n v="10"/>
    <n v="8.2100000000000009"/>
    <x v="0"/>
    <x v="44"/>
    <s v="Male"/>
    <n v="67.2"/>
    <n v="188.4"/>
    <n v="29.4"/>
    <n v="11"/>
    <s v="TX"/>
    <n v="1"/>
    <n v="1496.9"/>
    <s v="Middle"/>
    <n v="1"/>
    <s v="Park Hopper"/>
    <n v="0"/>
    <n v="0"/>
    <s v="Downtown Disney Gate"/>
    <s v="Pixar Pals"/>
    <n v="10.3"/>
    <n v="3"/>
    <x v="1488"/>
  </r>
  <r>
    <n v="4959"/>
    <n v="1627"/>
    <d v="2026-12-23T00:00:00"/>
    <s v="Wednesday"/>
    <n v="12"/>
    <n v="11.27"/>
    <x v="1"/>
    <x v="55"/>
    <s v="Male"/>
    <n v="71"/>
    <n v="160.69999999999999"/>
    <n v="22.2"/>
    <n v="15"/>
    <s v="IL"/>
    <n v="2"/>
    <n v="2074.6999999999998"/>
    <s v="Middle"/>
    <n v="1"/>
    <s v="Multi-Day"/>
    <n v="0"/>
    <n v="1"/>
    <s v="Main Entrance"/>
    <s v="None/Walked from Resort"/>
    <n v="9.8000000000000007"/>
    <n v="11"/>
    <x v="4516"/>
  </r>
  <r>
    <n v="4960"/>
    <n v="1627"/>
    <d v="2026-12-23T00:00:00"/>
    <s v="Wednesday"/>
    <n v="12"/>
    <n v="11.5"/>
    <x v="1"/>
    <x v="14"/>
    <s v="Male"/>
    <n v="78"/>
    <n v="278.2"/>
    <n v="32"/>
    <n v="18"/>
    <s v="IL"/>
    <n v="2"/>
    <n v="2074.6999999999998"/>
    <s v="Middle"/>
    <n v="1"/>
    <s v="Multi-Day"/>
    <n v="0"/>
    <n v="1"/>
    <s v="Main Entrance"/>
    <s v="None/Walked from Resort"/>
    <n v="9.1"/>
    <n v="9"/>
    <x v="4517"/>
  </r>
  <r>
    <n v="4961"/>
    <n v="1628"/>
    <d v="2026-02-18T00:00:00"/>
    <s v="Wednesday"/>
    <n v="2"/>
    <n v="14.05"/>
    <x v="1"/>
    <x v="0"/>
    <s v="Female"/>
    <n v="62.9"/>
    <n v="90.8"/>
    <n v="16.100000000000001"/>
    <n v="17"/>
    <s v="AZ"/>
    <n v="2"/>
    <n v="296.60000000000002"/>
    <s v="Middle"/>
    <n v="0"/>
    <s v="Multi-Day"/>
    <n v="0"/>
    <n v="1"/>
    <s v="Main Entrance"/>
    <s v="Pixar Pals"/>
    <n v="10.3"/>
    <n v="8"/>
    <x v="4518"/>
  </r>
  <r>
    <n v="4962"/>
    <n v="1628"/>
    <d v="2026-02-18T00:00:00"/>
    <s v="Wednesday"/>
    <n v="2"/>
    <n v="14.03"/>
    <x v="1"/>
    <x v="50"/>
    <s v="Male"/>
    <n v="70"/>
    <n v="130.30000000000001"/>
    <n v="18.7"/>
    <n v="15"/>
    <s v="AZ"/>
    <n v="2"/>
    <n v="296.60000000000002"/>
    <s v="Middle"/>
    <n v="0"/>
    <s v="Multi-Day"/>
    <n v="0"/>
    <n v="1"/>
    <s v="Main Entrance"/>
    <s v="Pixar Pals"/>
    <n v="8.5"/>
    <n v="11"/>
    <x v="4519"/>
  </r>
  <r>
    <n v="4963"/>
    <n v="1629"/>
    <d v="2026-08-11T00:00:00"/>
    <s v="Tuesday"/>
    <n v="8"/>
    <n v="9.42"/>
    <x v="0"/>
    <x v="49"/>
    <s v="Female"/>
    <n v="67.5"/>
    <n v="135"/>
    <n v="20.9"/>
    <n v="15"/>
    <s v="CA"/>
    <n v="3"/>
    <n v="10.8"/>
    <s v="Low"/>
    <n v="1"/>
    <s v="Single-Day"/>
    <n v="1"/>
    <n v="1"/>
    <s v="Main Entrance"/>
    <s v="Mickey &amp; Friends"/>
    <n v="11"/>
    <n v="15"/>
    <x v="4520"/>
  </r>
  <r>
    <n v="4964"/>
    <n v="1629"/>
    <d v="2026-08-11T00:00:00"/>
    <s v="Tuesday"/>
    <n v="8"/>
    <n v="9.6"/>
    <x v="0"/>
    <x v="60"/>
    <s v="Male"/>
    <n v="63.7"/>
    <n v="107.7"/>
    <n v="18.600000000000001"/>
    <n v="13"/>
    <s v="CA"/>
    <n v="3"/>
    <n v="10.8"/>
    <s v="Low"/>
    <n v="1"/>
    <s v="Single-Day"/>
    <n v="1"/>
    <n v="1"/>
    <s v="Main Entrance"/>
    <s v="Mickey &amp; Friends"/>
    <n v="12.4"/>
    <n v="10"/>
    <x v="4022"/>
  </r>
  <r>
    <n v="4965"/>
    <n v="1629"/>
    <d v="2026-08-11T00:00:00"/>
    <s v="Tuesday"/>
    <n v="8"/>
    <n v="9.42"/>
    <x v="0"/>
    <x v="17"/>
    <s v="Male"/>
    <n v="70.8"/>
    <n v="211.7"/>
    <n v="29.6"/>
    <n v="16"/>
    <s v="CA"/>
    <n v="3"/>
    <n v="10.8"/>
    <s v="Low"/>
    <n v="1"/>
    <s v="Single-Day"/>
    <n v="1"/>
    <n v="1"/>
    <s v="Main Entrance"/>
    <s v="Mickey &amp; Friends"/>
    <n v="8.6"/>
    <n v="9"/>
    <x v="4521"/>
  </r>
  <r>
    <n v="4966"/>
    <n v="1630"/>
    <d v="2026-11-22T00:00:00"/>
    <s v="Sunday"/>
    <n v="11"/>
    <n v="10.96"/>
    <x v="0"/>
    <x v="24"/>
    <s v="Male"/>
    <n v="65.900000000000006"/>
    <n v="159.4"/>
    <n v="25.9"/>
    <n v="12"/>
    <s v="CA"/>
    <n v="4"/>
    <n v="160.69999999999999"/>
    <s v="Low"/>
    <n v="1"/>
    <s v="Multi-Day"/>
    <n v="0"/>
    <n v="0"/>
    <s v="Main Entrance"/>
    <s v="Toy Story Lot"/>
    <n v="8.9"/>
    <n v="6"/>
    <x v="4522"/>
  </r>
  <r>
    <n v="4967"/>
    <n v="1630"/>
    <d v="2026-11-22T00:00:00"/>
    <s v="Sunday"/>
    <n v="11"/>
    <n v="10.79"/>
    <x v="0"/>
    <x v="28"/>
    <s v="Female"/>
    <n v="66"/>
    <n v="157.69999999999999"/>
    <n v="25.4"/>
    <n v="13"/>
    <s v="CA"/>
    <n v="4"/>
    <n v="160.69999999999999"/>
    <s v="Low"/>
    <n v="1"/>
    <s v="Multi-Day"/>
    <n v="0"/>
    <n v="0"/>
    <s v="Main Entrance"/>
    <s v="Toy Story Lot"/>
    <n v="8.6999999999999993"/>
    <n v="11"/>
    <x v="4523"/>
  </r>
  <r>
    <n v="4968"/>
    <n v="1630"/>
    <d v="2026-11-22T00:00:00"/>
    <s v="Sunday"/>
    <n v="11"/>
    <n v="10.83"/>
    <x v="0"/>
    <x v="38"/>
    <s v="Female"/>
    <n v="63"/>
    <n v="140.69999999999999"/>
    <n v="24.9"/>
    <n v="9"/>
    <s v="CA"/>
    <n v="4"/>
    <n v="160.69999999999999"/>
    <s v="Low"/>
    <n v="1"/>
    <s v="Multi-Day"/>
    <n v="0"/>
    <n v="0"/>
    <s v="Main Entrance"/>
    <s v="Toy Story Lot"/>
    <n v="9.8000000000000007"/>
    <n v="3"/>
    <x v="4524"/>
  </r>
  <r>
    <n v="4969"/>
    <n v="1630"/>
    <d v="2026-11-22T00:00:00"/>
    <s v="Sunday"/>
    <n v="11"/>
    <n v="10.68"/>
    <x v="0"/>
    <x v="71"/>
    <s v="Male"/>
    <n v="64.900000000000006"/>
    <n v="114.4"/>
    <n v="19.399999999999999"/>
    <n v="13"/>
    <s v="CA"/>
    <n v="4"/>
    <n v="160.69999999999999"/>
    <s v="Low"/>
    <n v="1"/>
    <s v="Multi-Day"/>
    <n v="0"/>
    <n v="0"/>
    <s v="Main Entrance"/>
    <s v="Toy Story Lot"/>
    <n v="6.6"/>
    <n v="3"/>
    <x v="4525"/>
  </r>
  <r>
    <n v="4970"/>
    <n v="1631"/>
    <d v="2026-08-20T00:00:00"/>
    <s v="Thursday"/>
    <n v="8"/>
    <n v="12.94"/>
    <x v="1"/>
    <x v="45"/>
    <s v="Male"/>
    <n v="73.2"/>
    <n v="184"/>
    <n v="24.2"/>
    <n v="16"/>
    <s v="CA"/>
    <n v="2"/>
    <n v="2"/>
    <s v="High"/>
    <n v="0"/>
    <s v="Single-Day"/>
    <n v="0"/>
    <n v="0"/>
    <s v="Main Entrance"/>
    <s v="Mickey &amp; Friends"/>
    <n v="6.8"/>
    <n v="10"/>
    <x v="4526"/>
  </r>
  <r>
    <n v="4971"/>
    <n v="1631"/>
    <d v="2026-08-20T00:00:00"/>
    <s v="Thursday"/>
    <n v="8"/>
    <n v="13.07"/>
    <x v="1"/>
    <x v="33"/>
    <s v="Female"/>
    <n v="68.599999999999994"/>
    <n v="127.2"/>
    <n v="19.100000000000001"/>
    <n v="19"/>
    <s v="CA"/>
    <n v="2"/>
    <n v="2"/>
    <s v="High"/>
    <n v="0"/>
    <s v="Single-Day"/>
    <n v="0"/>
    <n v="0"/>
    <s v="Main Entrance"/>
    <s v="Mickey &amp; Friends"/>
    <n v="9.3000000000000007"/>
    <n v="6"/>
    <x v="4527"/>
  </r>
  <r>
    <n v="4972"/>
    <n v="1632"/>
    <d v="2026-02-04T00:00:00"/>
    <s v="Wednesday"/>
    <n v="2"/>
    <n v="10.81"/>
    <x v="0"/>
    <x v="44"/>
    <s v="Male"/>
    <n v="70.2"/>
    <n v="116"/>
    <n v="16.5"/>
    <n v="11"/>
    <s v="CA"/>
    <n v="1"/>
    <n v="92.7"/>
    <s v="Low"/>
    <n v="1"/>
    <s v="Multi-Day"/>
    <n v="1"/>
    <n v="1"/>
    <s v="Main Entrance"/>
    <s v="None/Walked from Resort"/>
    <n v="8.9"/>
    <n v="10"/>
    <x v="4528"/>
  </r>
  <r>
    <n v="4973"/>
    <n v="1633"/>
    <d v="2026-03-14T00:00:00"/>
    <s v="Saturday"/>
    <n v="3"/>
    <n v="12.52"/>
    <x v="1"/>
    <x v="8"/>
    <s v="Male"/>
    <n v="65.599999999999994"/>
    <n v="119.1"/>
    <n v="19.2"/>
    <n v="16"/>
    <s v="CA"/>
    <n v="2"/>
    <n v="68.900000000000006"/>
    <s v="Middle"/>
    <n v="0"/>
    <s v="Multi-Day"/>
    <n v="0"/>
    <n v="0"/>
    <s v="Main Entrance"/>
    <s v="Mickey &amp; Friends"/>
    <n v="5.7"/>
    <n v="7"/>
    <x v="1096"/>
  </r>
  <r>
    <n v="4974"/>
    <n v="1633"/>
    <d v="2026-03-14T00:00:00"/>
    <s v="Saturday"/>
    <n v="3"/>
    <n v="12.55"/>
    <x v="1"/>
    <x v="10"/>
    <s v="Male"/>
    <n v="72.599999999999994"/>
    <n v="187.1"/>
    <n v="25"/>
    <n v="15"/>
    <s v="CA"/>
    <n v="2"/>
    <n v="68.900000000000006"/>
    <s v="Middle"/>
    <n v="0"/>
    <s v="Multi-Day"/>
    <n v="0"/>
    <n v="0"/>
    <s v="Main Entrance"/>
    <s v="Mickey &amp; Friends"/>
    <n v="9.1999999999999993"/>
    <n v="5"/>
    <x v="4529"/>
  </r>
  <r>
    <n v="4975"/>
    <n v="1634"/>
    <d v="2026-07-06T00:00:00"/>
    <s v="Monday"/>
    <n v="7"/>
    <n v="9.74"/>
    <x v="0"/>
    <x v="41"/>
    <s v="Male"/>
    <n v="67.3"/>
    <n v="190"/>
    <n v="29.5"/>
    <n v="14"/>
    <s v="CA"/>
    <n v="5"/>
    <n v="54"/>
    <s v="Middle"/>
    <n v="1"/>
    <s v="Single-Day"/>
    <n v="1"/>
    <n v="0"/>
    <s v="Main Entrance"/>
    <s v="Mickey &amp; Friends"/>
    <n v="7.5"/>
    <n v="7"/>
    <x v="4530"/>
  </r>
  <r>
    <n v="4976"/>
    <n v="1634"/>
    <d v="2026-07-06T00:00:00"/>
    <s v="Monday"/>
    <n v="7"/>
    <n v="9.75"/>
    <x v="0"/>
    <x v="66"/>
    <s v="Female"/>
    <n v="64.400000000000006"/>
    <n v="142.80000000000001"/>
    <n v="24.2"/>
    <n v="14"/>
    <s v="CA"/>
    <n v="5"/>
    <n v="54"/>
    <s v="Middle"/>
    <n v="1"/>
    <s v="Single-Day"/>
    <n v="1"/>
    <n v="0"/>
    <s v="Main Entrance"/>
    <s v="Mickey &amp; Friends"/>
    <n v="10.199999999999999"/>
    <n v="8"/>
    <x v="4531"/>
  </r>
  <r>
    <n v="4977"/>
    <n v="1634"/>
    <d v="2026-07-06T00:00:00"/>
    <s v="Monday"/>
    <n v="7"/>
    <n v="9.66"/>
    <x v="0"/>
    <x v="1"/>
    <s v="Female"/>
    <n v="67.5"/>
    <n v="191"/>
    <n v="29.6"/>
    <n v="19"/>
    <s v="CA"/>
    <n v="5"/>
    <n v="54"/>
    <s v="Middle"/>
    <n v="1"/>
    <s v="Single-Day"/>
    <n v="1"/>
    <n v="0"/>
    <s v="Main Entrance"/>
    <s v="Mickey &amp; Friends"/>
    <n v="9.1"/>
    <n v="6"/>
    <x v="1021"/>
  </r>
  <r>
    <n v="4978"/>
    <n v="1634"/>
    <d v="2026-07-06T00:00:00"/>
    <s v="Monday"/>
    <n v="7"/>
    <n v="9.93"/>
    <x v="0"/>
    <x v="1"/>
    <s v="Male"/>
    <n v="67.400000000000006"/>
    <n v="199.1"/>
    <n v="30.6"/>
    <n v="17"/>
    <s v="CA"/>
    <n v="5"/>
    <n v="54"/>
    <s v="Middle"/>
    <n v="1"/>
    <s v="Single-Day"/>
    <n v="1"/>
    <n v="0"/>
    <s v="Main Entrance"/>
    <s v="Mickey &amp; Friends"/>
    <n v="10.8"/>
    <n v="15"/>
    <x v="4532"/>
  </r>
  <r>
    <n v="4979"/>
    <n v="1634"/>
    <d v="2026-07-06T00:00:00"/>
    <s v="Monday"/>
    <n v="7"/>
    <n v="9.73"/>
    <x v="0"/>
    <x v="36"/>
    <s v="Male"/>
    <n v="71.5"/>
    <n v="187"/>
    <n v="25.8"/>
    <n v="15"/>
    <s v="CA"/>
    <n v="5"/>
    <n v="54"/>
    <s v="Middle"/>
    <n v="1"/>
    <s v="Single-Day"/>
    <n v="1"/>
    <n v="0"/>
    <s v="Main Entrance"/>
    <s v="Mickey &amp; Friends"/>
    <n v="9.1999999999999993"/>
    <n v="12"/>
    <x v="4533"/>
  </r>
  <r>
    <n v="4980"/>
    <n v="1635"/>
    <d v="2026-03-03T00:00:00"/>
    <s v="Tuesday"/>
    <n v="3"/>
    <n v="7.32"/>
    <x v="0"/>
    <x v="47"/>
    <s v="Male"/>
    <n v="66.900000000000006"/>
    <n v="170.5"/>
    <n v="26.5"/>
    <n v="15"/>
    <s v="CA"/>
    <n v="1"/>
    <n v="51.5"/>
    <s v="Low"/>
    <n v="0"/>
    <s v="Single-Day"/>
    <n v="0"/>
    <n v="0"/>
    <s v="Main Entrance"/>
    <s v="Mickey &amp; Friends"/>
    <n v="8.6"/>
    <n v="9"/>
    <x v="58"/>
  </r>
  <r>
    <n v="4981"/>
    <n v="1636"/>
    <d v="2026-08-09T00:00:00"/>
    <s v="Sunday"/>
    <n v="8"/>
    <n v="8.5"/>
    <x v="0"/>
    <x v="42"/>
    <s v="Female"/>
    <n v="62.5"/>
    <n v="104.8"/>
    <n v="18.7"/>
    <n v="14"/>
    <s v="Other"/>
    <n v="2"/>
    <n v="2623.5"/>
    <s v="Low"/>
    <n v="1"/>
    <s v="Single-Day"/>
    <n v="0"/>
    <n v="0"/>
    <s v="Main Entrance"/>
    <s v="Pixar Pals"/>
    <n v="7.9"/>
    <n v="6"/>
    <x v="3393"/>
  </r>
  <r>
    <n v="4982"/>
    <n v="1636"/>
    <d v="2026-08-09T00:00:00"/>
    <s v="Sunday"/>
    <n v="8"/>
    <n v="8.4700000000000006"/>
    <x v="0"/>
    <x v="60"/>
    <s v="Male"/>
    <n v="63.2"/>
    <n v="105.1"/>
    <n v="18.5"/>
    <n v="11"/>
    <s v="Other"/>
    <n v="2"/>
    <n v="2623.5"/>
    <s v="Low"/>
    <n v="1"/>
    <s v="Single-Day"/>
    <n v="0"/>
    <n v="0"/>
    <s v="Main Entrance"/>
    <s v="Pixar Pals"/>
    <n v="10.199999999999999"/>
    <n v="9"/>
    <x v="4534"/>
  </r>
  <r>
    <n v="4983"/>
    <n v="1637"/>
    <d v="2026-06-09T00:00:00"/>
    <s v="Tuesday"/>
    <n v="6"/>
    <n v="9.6999999999999993"/>
    <x v="0"/>
    <x v="38"/>
    <s v="Male"/>
    <n v="67.599999999999994"/>
    <n v="146.80000000000001"/>
    <n v="22.4"/>
    <n v="9"/>
    <s v="Other"/>
    <n v="2"/>
    <n v="1488.6"/>
    <s v="Low"/>
    <n v="1"/>
    <s v="Park Hopper"/>
    <n v="1"/>
    <n v="0"/>
    <s v="Main Entrance"/>
    <s v="Toy Story Lot"/>
    <n v="9.4"/>
    <n v="14"/>
    <x v="4535"/>
  </r>
  <r>
    <n v="4984"/>
    <n v="1637"/>
    <d v="2026-06-09T00:00:00"/>
    <s v="Tuesday"/>
    <n v="6"/>
    <n v="9.69"/>
    <x v="0"/>
    <x v="35"/>
    <s v="Female"/>
    <n v="66.8"/>
    <n v="154.5"/>
    <n v="24.2"/>
    <n v="13"/>
    <s v="Other"/>
    <n v="2"/>
    <n v="1488.6"/>
    <s v="Low"/>
    <n v="1"/>
    <s v="Park Hopper"/>
    <n v="1"/>
    <n v="0"/>
    <s v="Main Entrance"/>
    <s v="Toy Story Lot"/>
    <n v="6.3"/>
    <n v="4"/>
    <x v="1063"/>
  </r>
  <r>
    <n v="4985"/>
    <n v="1638"/>
    <d v="2026-04-21T00:00:00"/>
    <s v="Tuesday"/>
    <n v="4"/>
    <n v="12.75"/>
    <x v="1"/>
    <x v="59"/>
    <s v="Female"/>
    <n v="67"/>
    <n v="127.7"/>
    <n v="20.100000000000001"/>
    <n v="14"/>
    <s v="CA"/>
    <n v="2"/>
    <n v="229.9"/>
    <s v="Low"/>
    <n v="0"/>
    <s v="Single-Day"/>
    <n v="0"/>
    <n v="0"/>
    <s v="Main Entrance"/>
    <s v="Pixar Pals"/>
    <n v="6.5"/>
    <n v="4"/>
    <x v="4536"/>
  </r>
  <r>
    <n v="4986"/>
    <n v="1638"/>
    <d v="2026-04-21T00:00:00"/>
    <s v="Tuesday"/>
    <n v="4"/>
    <n v="12.59"/>
    <x v="1"/>
    <x v="50"/>
    <s v="Female"/>
    <n v="66"/>
    <n v="144.4"/>
    <n v="23.2"/>
    <n v="11"/>
    <s v="CA"/>
    <n v="2"/>
    <n v="229.9"/>
    <s v="Low"/>
    <n v="0"/>
    <s v="Single-Day"/>
    <n v="0"/>
    <n v="0"/>
    <s v="Main Entrance"/>
    <s v="Pixar Pals"/>
    <n v="5.5"/>
    <n v="3"/>
    <x v="4231"/>
  </r>
  <r>
    <n v="4987"/>
    <n v="1639"/>
    <d v="2026-07-11T00:00:00"/>
    <s v="Saturday"/>
    <n v="7"/>
    <n v="7.01"/>
    <x v="0"/>
    <x v="25"/>
    <s v="Male"/>
    <n v="74.7"/>
    <n v="177.5"/>
    <n v="22.3"/>
    <n v="15"/>
    <s v="NV"/>
    <n v="2"/>
    <n v="248.3"/>
    <s v="Middle"/>
    <n v="1"/>
    <s v="Single-Day"/>
    <n v="0"/>
    <n v="1"/>
    <s v="Main Entrance"/>
    <s v="Toy Story Lot"/>
    <n v="10.6"/>
    <n v="8"/>
    <x v="4537"/>
  </r>
  <r>
    <n v="4988"/>
    <n v="1639"/>
    <d v="2026-07-11T00:00:00"/>
    <s v="Saturday"/>
    <n v="7"/>
    <n v="7.12"/>
    <x v="0"/>
    <x v="16"/>
    <s v="Female"/>
    <n v="47.5"/>
    <n v="73.599999999999994"/>
    <n v="22.9"/>
    <n v="13"/>
    <s v="NV"/>
    <n v="2"/>
    <n v="248.3"/>
    <s v="Middle"/>
    <n v="1"/>
    <s v="Single-Day"/>
    <n v="0"/>
    <n v="1"/>
    <s v="Main Entrance"/>
    <s v="Toy Story Lot"/>
    <n v="11.1"/>
    <n v="7"/>
    <x v="4538"/>
  </r>
  <r>
    <n v="4989"/>
    <n v="1640"/>
    <d v="2026-08-25T00:00:00"/>
    <s v="Tuesday"/>
    <n v="8"/>
    <n v="9.8699999999999992"/>
    <x v="0"/>
    <x v="48"/>
    <s v="Female"/>
    <n v="63.9"/>
    <n v="141.30000000000001"/>
    <n v="24.3"/>
    <n v="15"/>
    <s v="TX"/>
    <n v="2"/>
    <n v="1201.4000000000001"/>
    <s v="Middle"/>
    <n v="1"/>
    <s v="Single-Day"/>
    <n v="0"/>
    <n v="1"/>
    <s v="Downtown Disney Gate"/>
    <s v="None/Walked from Resort"/>
    <n v="7.1"/>
    <n v="7"/>
    <x v="4539"/>
  </r>
  <r>
    <n v="4990"/>
    <n v="1640"/>
    <d v="2026-08-25T00:00:00"/>
    <s v="Tuesday"/>
    <n v="8"/>
    <n v="10.199999999999999"/>
    <x v="0"/>
    <x v="12"/>
    <s v="Female"/>
    <n v="62.7"/>
    <n v="84.7"/>
    <n v="15"/>
    <n v="14"/>
    <s v="TX"/>
    <n v="2"/>
    <n v="1201.4000000000001"/>
    <s v="Middle"/>
    <n v="1"/>
    <s v="Single-Day"/>
    <n v="0"/>
    <n v="1"/>
    <s v="Downtown Disney Gate"/>
    <s v="None/Walked from Resort"/>
    <n v="5.6"/>
    <n v="5"/>
    <x v="4540"/>
  </r>
  <r>
    <n v="4991"/>
    <n v="1641"/>
    <d v="2026-01-27T00:00:00"/>
    <s v="Tuesday"/>
    <n v="1"/>
    <n v="10.52"/>
    <x v="0"/>
    <x v="41"/>
    <s v="Female"/>
    <n v="62.3"/>
    <n v="152.80000000000001"/>
    <n v="27.6"/>
    <n v="13"/>
    <s v="TX"/>
    <n v="4"/>
    <n v="1309"/>
    <s v="Middle"/>
    <n v="1"/>
    <s v="Park Hopper"/>
    <n v="0"/>
    <n v="0"/>
    <s v="Downtown Disney Gate"/>
    <s v="Pixar Pals"/>
    <n v="4.8"/>
    <n v="5"/>
    <x v="4541"/>
  </r>
  <r>
    <n v="4992"/>
    <n v="1641"/>
    <d v="2026-01-27T00:00:00"/>
    <s v="Tuesday"/>
    <n v="1"/>
    <n v="10.46"/>
    <x v="0"/>
    <x v="34"/>
    <s v="Male"/>
    <n v="73.900000000000006"/>
    <n v="200.4"/>
    <n v="25.7"/>
    <n v="16"/>
    <s v="TX"/>
    <n v="4"/>
    <n v="1309"/>
    <s v="Middle"/>
    <n v="1"/>
    <s v="Park Hopper"/>
    <n v="0"/>
    <n v="0"/>
    <s v="Downtown Disney Gate"/>
    <s v="Pixar Pals"/>
    <n v="9.6"/>
    <n v="13"/>
    <x v="4542"/>
  </r>
  <r>
    <n v="4993"/>
    <n v="1641"/>
    <d v="2026-01-27T00:00:00"/>
    <s v="Tuesday"/>
    <n v="1"/>
    <n v="10.74"/>
    <x v="0"/>
    <x v="34"/>
    <s v="Male"/>
    <n v="67.8"/>
    <n v="174.7"/>
    <n v="26.7"/>
    <n v="17"/>
    <s v="TX"/>
    <n v="4"/>
    <n v="1309"/>
    <s v="Middle"/>
    <n v="1"/>
    <s v="Park Hopper"/>
    <n v="0"/>
    <n v="0"/>
    <s v="Downtown Disney Gate"/>
    <s v="Pixar Pals"/>
    <n v="7.7"/>
    <n v="10"/>
    <x v="4543"/>
  </r>
  <r>
    <n v="4994"/>
    <n v="1641"/>
    <d v="2026-01-27T00:00:00"/>
    <s v="Tuesday"/>
    <n v="1"/>
    <n v="10.74"/>
    <x v="0"/>
    <x v="54"/>
    <s v="Male"/>
    <n v="65.400000000000006"/>
    <n v="147"/>
    <n v="24.1"/>
    <n v="18"/>
    <s v="TX"/>
    <n v="4"/>
    <n v="1309"/>
    <s v="Middle"/>
    <n v="1"/>
    <s v="Park Hopper"/>
    <n v="0"/>
    <n v="0"/>
    <s v="Downtown Disney Gate"/>
    <s v="Pixar Pals"/>
    <n v="7.7"/>
    <n v="7"/>
    <x v="4544"/>
  </r>
  <r>
    <n v="4995"/>
    <n v="1642"/>
    <d v="2026-07-22T00:00:00"/>
    <s v="Wednesday"/>
    <n v="7"/>
    <n v="12.25"/>
    <x v="1"/>
    <x v="31"/>
    <s v="Female"/>
    <n v="57.8"/>
    <n v="91.2"/>
    <n v="19.3"/>
    <n v="14"/>
    <s v="CA"/>
    <n v="3"/>
    <n v="95.2"/>
    <s v="Middle"/>
    <n v="0"/>
    <s v="Single-Day"/>
    <n v="0"/>
    <n v="0"/>
    <s v="Main Entrance"/>
    <s v="Mickey &amp; Friends"/>
    <n v="10.4"/>
    <n v="16"/>
    <x v="4545"/>
  </r>
  <r>
    <n v="4996"/>
    <n v="1642"/>
    <d v="2026-07-22T00:00:00"/>
    <s v="Wednesday"/>
    <n v="7"/>
    <n v="12.2"/>
    <x v="1"/>
    <x v="64"/>
    <s v="Male"/>
    <n v="52.7"/>
    <n v="62.5"/>
    <n v="16"/>
    <n v="11"/>
    <s v="CA"/>
    <n v="3"/>
    <n v="95.2"/>
    <s v="Middle"/>
    <n v="0"/>
    <s v="Single-Day"/>
    <n v="0"/>
    <n v="0"/>
    <s v="Main Entrance"/>
    <s v="Mickey &amp; Friends"/>
    <n v="6.2"/>
    <n v="9"/>
    <x v="4546"/>
  </r>
  <r>
    <n v="4997"/>
    <n v="1642"/>
    <d v="2026-07-22T00:00:00"/>
    <s v="Wednesday"/>
    <n v="7"/>
    <n v="12.3"/>
    <x v="1"/>
    <x v="16"/>
    <s v="Female"/>
    <n v="59.8"/>
    <n v="103"/>
    <n v="20.5"/>
    <n v="9"/>
    <s v="CA"/>
    <n v="3"/>
    <n v="95.2"/>
    <s v="Middle"/>
    <n v="0"/>
    <s v="Single-Day"/>
    <n v="0"/>
    <n v="0"/>
    <s v="Main Entrance"/>
    <s v="Mickey &amp; Friends"/>
    <n v="10.6"/>
    <n v="10"/>
    <x v="4547"/>
  </r>
  <r>
    <n v="4998"/>
    <n v="1643"/>
    <d v="2026-02-19T00:00:00"/>
    <s v="Thursday"/>
    <n v="2"/>
    <n v="8.81"/>
    <x v="0"/>
    <x v="52"/>
    <s v="Male"/>
    <n v="67.7"/>
    <n v="149"/>
    <n v="22.8"/>
    <n v="18"/>
    <s v="OR"/>
    <n v="1"/>
    <n v="802.6"/>
    <s v="Middle"/>
    <n v="0"/>
    <s v="Single-Day"/>
    <n v="1"/>
    <n v="1"/>
    <s v="Main Entrance"/>
    <s v="Pixar Pals"/>
    <n v="9.8000000000000007"/>
    <n v="11"/>
    <x v="4548"/>
  </r>
  <r>
    <n v="4999"/>
    <n v="1644"/>
    <d v="2026-07-13T00:00:00"/>
    <s v="Monday"/>
    <n v="7"/>
    <n v="9.8800000000000008"/>
    <x v="0"/>
    <x v="7"/>
    <s v="Female"/>
    <n v="61.5"/>
    <n v="81.099999999999994"/>
    <n v="15.2"/>
    <n v="17"/>
    <s v="IA"/>
    <n v="2"/>
    <n v="1815.1"/>
    <s v="High"/>
    <n v="1"/>
    <s v="Single-Day"/>
    <n v="1"/>
    <n v="0"/>
    <s v="Main Entrance"/>
    <s v="None/Dropoff/Transit"/>
    <n v="6.6"/>
    <n v="8"/>
    <x v="4549"/>
  </r>
  <r>
    <n v="5000"/>
    <n v="1644"/>
    <d v="2026-07-13T00:00:00"/>
    <s v="Monday"/>
    <n v="7"/>
    <n v="9.93"/>
    <x v="0"/>
    <x v="0"/>
    <s v="Female"/>
    <n v="66.599999999999994"/>
    <n v="181.9"/>
    <n v="28.9"/>
    <n v="15"/>
    <s v="IA"/>
    <n v="2"/>
    <n v="1815.1"/>
    <s v="High"/>
    <n v="1"/>
    <s v="Single-Day"/>
    <n v="1"/>
    <n v="0"/>
    <s v="Main Entrance"/>
    <s v="None/Dropoff/Transit"/>
    <n v="9"/>
    <n v="10"/>
    <x v="45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331A31-E206-4989-91CE-063B19F79D7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:B5" firstHeaderRow="1" firstDataRow="1" firstDataCol="1"/>
  <pivotFields count="22">
    <pivotField dataField="1" showAll="0"/>
    <pivotField showAll="0"/>
    <pivotField numFmtId="164" showAll="0"/>
    <pivotField showAll="0"/>
    <pivotField showAll="0"/>
    <pivotField numFmtId="2" showAll="0"/>
    <pivotField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2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Visitor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E197F-B0F5-4FC0-9F8E-2E79D54526E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3" firstHeaderRow="1" firstDataRow="1" firstDataCol="1"/>
  <pivotFields count="26">
    <pivotField dataField="1" showAll="0"/>
    <pivotField showAll="0"/>
    <pivotField numFmtId="164" showAll="0"/>
    <pivotField showAll="0"/>
    <pivotField showAll="0"/>
    <pivotField numFmtId="2"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numFmtId="165" showAll="0"/>
    <pivotField numFmtId="165" showAll="0"/>
    <pivotField numFmtId="165"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66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7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Visito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094B1-F668-4607-BDAE-F201C1E5068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H8" firstHeaderRow="1" firstDataRow="2" firstDataCol="1"/>
  <pivotFields count="26">
    <pivotField dataField="1" showAll="0"/>
    <pivotField showAll="0"/>
    <pivotField numFmtId="164" showAll="0"/>
    <pivotField showAll="0"/>
    <pivotField showAll="0"/>
    <pivotField numFmtId="2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axis="axisCol" numFmtId="166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5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VisitorID" fld="0" subtotal="count" baseField="6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neylandVisitorsTable" displayName="DisneylandVisitorsTable" ref="A1:Z5001">
  <tableColumns count="26">
    <tableColumn id="1" xr3:uid="{00000000-0010-0000-0000-000001000000}" name="VisitorID"/>
    <tableColumn id="2" xr3:uid="{00000000-0010-0000-0000-000002000000}" name="HHID"/>
    <tableColumn id="3" xr3:uid="{00000000-0010-0000-0000-000003000000}" name="VisitDate"/>
    <tableColumn id="4" xr3:uid="{00000000-0010-0000-0000-000004000000}" name="DayOfWeek"/>
    <tableColumn id="5" xr3:uid="{00000000-0010-0000-0000-000005000000}" name="Month"/>
    <tableColumn id="6" xr3:uid="{00000000-0010-0000-0000-000006000000}" name="EntryTime"/>
    <tableColumn id="7" xr3:uid="{00000000-0010-0000-0000-000007000000}" name="EntryWindow"/>
    <tableColumn id="8" xr3:uid="{00000000-0010-0000-0000-000008000000}" name="Age"/>
    <tableColumn id="9" xr3:uid="{00000000-0010-0000-0000-000009000000}" name="Gender"/>
    <tableColumn id="10" xr3:uid="{00000000-0010-0000-0000-00000A000000}" name="Height_in"/>
    <tableColumn id="11" xr3:uid="{00000000-0010-0000-0000-00000B000000}" name="Weight_lb"/>
    <tableColumn id="12" xr3:uid="{00000000-0010-0000-0000-00000C000000}" name="BMI"/>
    <tableColumn id="13" xr3:uid="{00000000-0010-0000-0000-00000D000000}" name="EducationYears"/>
    <tableColumn id="14" xr3:uid="{00000000-0010-0000-0000-00000E000000}" name="State"/>
    <tableColumn id="15" xr3:uid="{00000000-0010-0000-0000-00000F000000}" name="GroupSize"/>
    <tableColumn id="16" xr3:uid="{00000000-0010-0000-0000-000010000000}" name="DistanceTraveled"/>
    <tableColumn id="17" xr3:uid="{00000000-0010-0000-0000-000011000000}" name="IncomeLevel"/>
    <tableColumn id="18" xr3:uid="{00000000-0010-0000-0000-000012000000}" name="FirstVisit"/>
    <tableColumn id="19" xr3:uid="{00000000-0010-0000-0000-000013000000}" name="TicketType"/>
    <tableColumn id="20" xr3:uid="{00000000-0010-0000-0000-000014000000}" name="FastPass"/>
    <tableColumn id="21" xr3:uid="{00000000-0010-0000-0000-000015000000}" name="StayAtResort"/>
    <tableColumn id="22" xr3:uid="{00000000-0010-0000-0000-000016000000}" name="EntryGate"/>
    <tableColumn id="23" xr3:uid="{00000000-0010-0000-0000-000017000000}" name="ParkingLot"/>
    <tableColumn id="24" xr3:uid="{00000000-0010-0000-0000-000018000000}" name="TimeInPark"/>
    <tableColumn id="25" xr3:uid="{00000000-0010-0000-0000-000019000000}" name="NumberOfRides"/>
    <tableColumn id="26" xr3:uid="{00000000-0010-0000-0000-00001A000000}" name="TotalSpend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1CDD-A372-42AE-AA9C-E043A7822E5C}">
  <dimension ref="A1:BF61"/>
  <sheetViews>
    <sheetView topLeftCell="H9" zoomScale="84" zoomScaleNormal="175" workbookViewId="0">
      <selection activeCell="V20" sqref="V20"/>
    </sheetView>
  </sheetViews>
  <sheetFormatPr defaultRowHeight="14.25"/>
  <cols>
    <col min="1" max="1" width="20.25" bestFit="1" customWidth="1"/>
    <col min="2" max="2" width="16.625" bestFit="1" customWidth="1"/>
    <col min="14" max="16" width="12.625" customWidth="1"/>
    <col min="17" max="17" width="20.625" customWidth="1"/>
    <col min="19" max="20" width="20.625" customWidth="1"/>
    <col min="23" max="23" width="19.125" bestFit="1" customWidth="1"/>
    <col min="24" max="30" width="8.625" customWidth="1"/>
    <col min="32" max="32" width="19.125" customWidth="1"/>
    <col min="33" max="39" width="8.625" customWidth="1"/>
    <col min="42" max="42" width="19.125" customWidth="1"/>
    <col min="43" max="48" width="8.625" customWidth="1"/>
    <col min="51" max="51" width="19.125" customWidth="1"/>
    <col min="52" max="57" width="8.625" customWidth="1"/>
  </cols>
  <sheetData>
    <row r="1" spans="1:58">
      <c r="A1" s="7" t="s">
        <v>174</v>
      </c>
      <c r="B1" t="s">
        <v>176</v>
      </c>
    </row>
    <row r="2" spans="1:58">
      <c r="A2" s="8" t="s">
        <v>32</v>
      </c>
      <c r="B2">
        <v>21</v>
      </c>
      <c r="U2" s="9"/>
    </row>
    <row r="3" spans="1:58">
      <c r="A3" s="8" t="s">
        <v>45</v>
      </c>
      <c r="B3">
        <v>2</v>
      </c>
      <c r="M3" s="9"/>
      <c r="N3" s="9"/>
      <c r="O3" s="9"/>
      <c r="P3" s="9"/>
      <c r="Q3" s="9"/>
      <c r="R3" s="9"/>
      <c r="S3" s="9"/>
      <c r="T3" s="9"/>
      <c r="U3" s="9"/>
    </row>
    <row r="4" spans="1:58">
      <c r="A4" s="8" t="s">
        <v>64</v>
      </c>
      <c r="B4">
        <v>3</v>
      </c>
      <c r="M4" s="9"/>
      <c r="N4" s="9"/>
      <c r="O4" s="9"/>
      <c r="P4" s="9"/>
      <c r="Q4" s="9"/>
      <c r="R4" s="9"/>
      <c r="S4" s="9"/>
      <c r="T4" s="9"/>
      <c r="U4" s="9"/>
      <c r="AE4" s="9"/>
      <c r="AF4" s="9"/>
      <c r="AG4" s="9"/>
      <c r="AH4" s="9"/>
      <c r="AI4" s="9"/>
      <c r="AJ4" s="9"/>
      <c r="AK4" s="9"/>
      <c r="AL4" s="9"/>
      <c r="AM4" s="9"/>
      <c r="AN4" s="9"/>
      <c r="AW4" s="9"/>
    </row>
    <row r="5" spans="1:58">
      <c r="A5" s="8" t="s">
        <v>175</v>
      </c>
      <c r="B5">
        <v>26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spans="1:58" ht="30" customHeight="1" thickBot="1">
      <c r="M6" s="9"/>
      <c r="N6" s="10" t="s">
        <v>177</v>
      </c>
      <c r="O6" s="10" t="s">
        <v>178</v>
      </c>
      <c r="P6" s="15" t="s">
        <v>179</v>
      </c>
      <c r="Q6" s="21"/>
      <c r="R6" s="9"/>
      <c r="S6" s="10" t="s">
        <v>177</v>
      </c>
      <c r="T6" s="10" t="s">
        <v>178</v>
      </c>
      <c r="U6" s="9"/>
      <c r="V6" s="9"/>
      <c r="W6" s="10" t="s">
        <v>206</v>
      </c>
      <c r="X6" s="10" t="s">
        <v>199</v>
      </c>
      <c r="Y6" s="10" t="s">
        <v>200</v>
      </c>
      <c r="Z6" s="10" t="s">
        <v>201</v>
      </c>
      <c r="AA6" s="10" t="s">
        <v>202</v>
      </c>
      <c r="AB6" s="10" t="s">
        <v>203</v>
      </c>
      <c r="AC6" s="10" t="s">
        <v>204</v>
      </c>
      <c r="AD6" s="10" t="s">
        <v>205</v>
      </c>
      <c r="AE6" s="9"/>
      <c r="AF6" s="10"/>
      <c r="AG6" s="39" t="s">
        <v>211</v>
      </c>
      <c r="AH6" s="39"/>
      <c r="AI6" s="39"/>
      <c r="AJ6" s="39"/>
      <c r="AK6" s="39"/>
      <c r="AL6" s="39"/>
      <c r="AM6" s="28" t="s">
        <v>205</v>
      </c>
      <c r="AN6" s="9"/>
      <c r="AO6" s="9"/>
      <c r="AP6" s="10" t="s">
        <v>206</v>
      </c>
      <c r="AQ6" s="10" t="s">
        <v>199</v>
      </c>
      <c r="AR6" s="10" t="s">
        <v>200</v>
      </c>
      <c r="AS6" s="10" t="s">
        <v>201</v>
      </c>
      <c r="AT6" s="10" t="s">
        <v>202</v>
      </c>
      <c r="AU6" s="10" t="s">
        <v>203</v>
      </c>
      <c r="AV6" s="10" t="s">
        <v>204</v>
      </c>
      <c r="AW6" s="9"/>
      <c r="AX6" s="9"/>
      <c r="AY6" s="10" t="s">
        <v>206</v>
      </c>
      <c r="AZ6" s="10" t="s">
        <v>199</v>
      </c>
      <c r="BA6" s="10" t="s">
        <v>200</v>
      </c>
      <c r="BB6" s="10" t="s">
        <v>201</v>
      </c>
      <c r="BC6" s="10" t="s">
        <v>202</v>
      </c>
      <c r="BD6" s="10" t="s">
        <v>203</v>
      </c>
      <c r="BE6" s="10" t="s">
        <v>204</v>
      </c>
      <c r="BF6" s="9"/>
    </row>
    <row r="7" spans="1:58" ht="30" customHeight="1" thickTop="1">
      <c r="M7" s="9"/>
      <c r="N7" s="11" t="s">
        <v>32</v>
      </c>
      <c r="O7" s="11">
        <v>21</v>
      </c>
      <c r="P7" s="16">
        <f>21/26</f>
        <v>0.80769230769230771</v>
      </c>
      <c r="Q7" s="16"/>
      <c r="R7" s="9"/>
      <c r="S7" s="11" t="s">
        <v>32</v>
      </c>
      <c r="T7" s="11">
        <v>21</v>
      </c>
      <c r="U7" s="9"/>
      <c r="V7" s="9"/>
      <c r="W7" s="11" t="s">
        <v>27</v>
      </c>
      <c r="X7" s="11">
        <v>431</v>
      </c>
      <c r="Y7" s="11">
        <v>1514</v>
      </c>
      <c r="Z7" s="11">
        <v>873</v>
      </c>
      <c r="AA7" s="11">
        <v>239</v>
      </c>
      <c r="AB7" s="11">
        <v>57</v>
      </c>
      <c r="AC7" s="11">
        <v>21</v>
      </c>
      <c r="AD7" s="11">
        <v>3135</v>
      </c>
      <c r="AE7" s="9"/>
      <c r="AF7" s="36" t="s">
        <v>210</v>
      </c>
      <c r="AG7" s="40" t="s">
        <v>209</v>
      </c>
      <c r="AH7" s="40"/>
      <c r="AI7" s="40"/>
      <c r="AJ7" s="40"/>
      <c r="AK7" s="40"/>
      <c r="AL7" s="40"/>
      <c r="AM7" s="43" t="s">
        <v>207</v>
      </c>
      <c r="AN7" s="9"/>
      <c r="AO7" s="9"/>
      <c r="AP7" s="11" t="s">
        <v>27</v>
      </c>
      <c r="AQ7" s="30" t="s">
        <v>213</v>
      </c>
      <c r="AR7" s="16">
        <f>Y7/Y10</f>
        <v>0.62613730355665842</v>
      </c>
      <c r="AS7" s="16">
        <f t="shared" ref="AS7:AV7" si="0">Z7/Z10</f>
        <v>0.65100671140939592</v>
      </c>
      <c r="AT7" s="16">
        <f t="shared" si="0"/>
        <v>0.68285714285714283</v>
      </c>
      <c r="AU7" s="16">
        <f t="shared" si="0"/>
        <v>0.6705882352941176</v>
      </c>
      <c r="AV7" s="16">
        <f t="shared" si="0"/>
        <v>0.72413793103448276</v>
      </c>
      <c r="AW7" s="9"/>
      <c r="AX7" s="9"/>
      <c r="AY7" s="11" t="s">
        <v>27</v>
      </c>
      <c r="AZ7" s="30" t="s">
        <v>214</v>
      </c>
      <c r="BA7" s="16">
        <f>Y7/$AD$7</f>
        <v>0.48293460925039872</v>
      </c>
      <c r="BB7" s="16">
        <f>Z7/$AD$7</f>
        <v>0.27846889952153109</v>
      </c>
      <c r="BC7" s="16">
        <f>AA7/$AD$7</f>
        <v>7.6236044657097282E-2</v>
      </c>
      <c r="BD7" s="16">
        <f>AB7/$AD$7</f>
        <v>1.8181818181818181E-2</v>
      </c>
      <c r="BE7" s="16">
        <f>AC7/$AD$7</f>
        <v>6.6985645933014355E-3</v>
      </c>
      <c r="BF7" s="9"/>
    </row>
    <row r="8" spans="1:58" ht="30" customHeight="1">
      <c r="M8" s="9"/>
      <c r="N8" s="12" t="s">
        <v>45</v>
      </c>
      <c r="O8" s="11">
        <v>2</v>
      </c>
      <c r="P8" s="16">
        <f>O8/26</f>
        <v>7.6923076923076927E-2</v>
      </c>
      <c r="Q8" s="16"/>
      <c r="R8" s="9"/>
      <c r="S8" s="12" t="s">
        <v>45</v>
      </c>
      <c r="T8" s="11">
        <v>2</v>
      </c>
      <c r="U8" s="9"/>
      <c r="V8" s="9"/>
      <c r="W8" s="12" t="s">
        <v>36</v>
      </c>
      <c r="X8" s="11">
        <v>341</v>
      </c>
      <c r="Y8" s="12">
        <v>897</v>
      </c>
      <c r="Z8" s="11">
        <v>464</v>
      </c>
      <c r="AA8" s="12">
        <v>110</v>
      </c>
      <c r="AB8" s="11">
        <v>28</v>
      </c>
      <c r="AC8" s="12">
        <v>8</v>
      </c>
      <c r="AD8" s="11">
        <v>1848</v>
      </c>
      <c r="AE8" s="9"/>
      <c r="AF8" s="37"/>
      <c r="AG8" s="41"/>
      <c r="AH8" s="41"/>
      <c r="AI8" s="41"/>
      <c r="AJ8" s="41"/>
      <c r="AK8" s="41"/>
      <c r="AL8" s="41"/>
      <c r="AM8" s="44"/>
      <c r="AN8" s="9"/>
      <c r="AO8" s="9"/>
      <c r="AP8" s="12" t="s">
        <v>36</v>
      </c>
      <c r="AQ8" s="16">
        <f>X8/X10</f>
        <v>0.43886743886743884</v>
      </c>
      <c r="AR8" s="16">
        <f t="shared" ref="AR8:AV8" si="1">Y8/Y10</f>
        <v>0.37096774193548387</v>
      </c>
      <c r="AS8" s="16">
        <f t="shared" si="1"/>
        <v>0.3460104399701715</v>
      </c>
      <c r="AT8" s="16">
        <f t="shared" si="1"/>
        <v>0.31428571428571428</v>
      </c>
      <c r="AU8" s="16">
        <f t="shared" si="1"/>
        <v>0.32941176470588235</v>
      </c>
      <c r="AV8" s="16">
        <f t="shared" si="1"/>
        <v>0.27586206896551724</v>
      </c>
      <c r="AW8" s="9"/>
      <c r="AX8" s="9"/>
      <c r="AY8" s="12" t="s">
        <v>36</v>
      </c>
      <c r="AZ8" s="16">
        <f t="shared" ref="AZ8:BE8" si="2">X8/$AD$8</f>
        <v>0.18452380952380953</v>
      </c>
      <c r="BA8" s="16">
        <f t="shared" si="2"/>
        <v>0.48538961038961037</v>
      </c>
      <c r="BB8" s="16">
        <f t="shared" si="2"/>
        <v>0.25108225108225107</v>
      </c>
      <c r="BC8" s="16">
        <f t="shared" si="2"/>
        <v>5.9523809523809521E-2</v>
      </c>
      <c r="BD8" s="16">
        <f t="shared" si="2"/>
        <v>1.5151515151515152E-2</v>
      </c>
      <c r="BE8" s="16">
        <f t="shared" si="2"/>
        <v>4.329004329004329E-3</v>
      </c>
      <c r="BF8" s="9"/>
    </row>
    <row r="9" spans="1:58" ht="30" customHeight="1">
      <c r="M9" s="9"/>
      <c r="N9" s="13" t="s">
        <v>64</v>
      </c>
      <c r="O9" s="14">
        <v>3</v>
      </c>
      <c r="P9" s="17">
        <f>O9/26</f>
        <v>0.11538461538461539</v>
      </c>
      <c r="Q9" s="16"/>
      <c r="R9" s="9"/>
      <c r="S9" s="13" t="s">
        <v>64</v>
      </c>
      <c r="T9" s="14">
        <v>3</v>
      </c>
      <c r="U9" s="9"/>
      <c r="V9" s="9"/>
      <c r="W9" s="13" t="s">
        <v>68</v>
      </c>
      <c r="X9" s="14">
        <v>5</v>
      </c>
      <c r="Y9" s="13">
        <v>7</v>
      </c>
      <c r="Z9" s="14">
        <v>4</v>
      </c>
      <c r="AA9" s="13">
        <v>1</v>
      </c>
      <c r="AB9" s="14"/>
      <c r="AC9" s="13"/>
      <c r="AD9" s="14">
        <v>17</v>
      </c>
      <c r="AE9" s="9"/>
      <c r="AF9" s="38"/>
      <c r="AG9" s="42"/>
      <c r="AH9" s="42"/>
      <c r="AI9" s="42"/>
      <c r="AJ9" s="42"/>
      <c r="AK9" s="42"/>
      <c r="AL9" s="42"/>
      <c r="AM9" s="45"/>
      <c r="AN9" s="9"/>
      <c r="AO9" s="9"/>
      <c r="AP9" s="13" t="s">
        <v>68</v>
      </c>
      <c r="AQ9" s="16">
        <f>X9/X10</f>
        <v>6.4350064350064346E-3</v>
      </c>
      <c r="AR9" s="16">
        <f t="shared" ref="AR9:AV9" si="3">Y9/Y10</f>
        <v>2.8949545078577337E-3</v>
      </c>
      <c r="AS9" s="16">
        <f t="shared" si="3"/>
        <v>2.9828486204325128E-3</v>
      </c>
      <c r="AT9" s="16">
        <f t="shared" si="3"/>
        <v>2.8571428571428571E-3</v>
      </c>
      <c r="AU9" s="16">
        <f t="shared" si="3"/>
        <v>0</v>
      </c>
      <c r="AV9" s="16">
        <f t="shared" si="3"/>
        <v>0</v>
      </c>
      <c r="AW9" s="9"/>
      <c r="AX9" s="9"/>
      <c r="AY9" s="13" t="s">
        <v>68</v>
      </c>
      <c r="AZ9" s="16">
        <f>X9/$AD$9</f>
        <v>0.29411764705882354</v>
      </c>
      <c r="BA9" s="16">
        <f t="shared" ref="BA9:BE9" si="4">Y9/$AD$9</f>
        <v>0.41176470588235292</v>
      </c>
      <c r="BB9" s="16">
        <f t="shared" si="4"/>
        <v>0.23529411764705882</v>
      </c>
      <c r="BC9" s="16">
        <f t="shared" si="4"/>
        <v>5.8823529411764705E-2</v>
      </c>
      <c r="BD9" s="16">
        <f t="shared" si="4"/>
        <v>0</v>
      </c>
      <c r="BE9" s="16">
        <f t="shared" si="4"/>
        <v>0</v>
      </c>
      <c r="BF9" s="9"/>
    </row>
    <row r="10" spans="1:58" ht="30" customHeight="1" thickBot="1">
      <c r="M10" s="9"/>
      <c r="N10" s="18" t="s">
        <v>175</v>
      </c>
      <c r="O10" s="19">
        <f>SUM(O7:O9)</f>
        <v>26</v>
      </c>
      <c r="P10" s="20">
        <f>SUM(P7:P9)</f>
        <v>1</v>
      </c>
      <c r="Q10" s="16"/>
      <c r="R10" s="9"/>
      <c r="S10" s="18" t="s">
        <v>175</v>
      </c>
      <c r="T10" s="19">
        <f>SUM(T7:T9)</f>
        <v>26</v>
      </c>
      <c r="U10" s="9"/>
      <c r="V10" s="9"/>
      <c r="W10" s="18" t="s">
        <v>205</v>
      </c>
      <c r="X10" s="19">
        <v>777</v>
      </c>
      <c r="Y10" s="18">
        <v>2418</v>
      </c>
      <c r="Z10" s="19">
        <v>1341</v>
      </c>
      <c r="AA10" s="18">
        <v>350</v>
      </c>
      <c r="AB10" s="19">
        <v>85</v>
      </c>
      <c r="AC10" s="18">
        <v>29</v>
      </c>
      <c r="AD10" s="19">
        <v>5000</v>
      </c>
      <c r="AE10" s="9"/>
      <c r="AF10" s="18" t="s">
        <v>205</v>
      </c>
      <c r="AG10" s="46" t="s">
        <v>208</v>
      </c>
      <c r="AH10" s="46"/>
      <c r="AI10" s="46"/>
      <c r="AJ10" s="46"/>
      <c r="AK10" s="46"/>
      <c r="AL10" s="46"/>
      <c r="AM10" s="29" t="s">
        <v>212</v>
      </c>
      <c r="AN10" s="9"/>
      <c r="AO10" s="9"/>
      <c r="AP10" s="18" t="s">
        <v>205</v>
      </c>
      <c r="AQ10" s="19">
        <v>1</v>
      </c>
      <c r="AR10" s="18">
        <f>SUM(AR7:AR9)</f>
        <v>1</v>
      </c>
      <c r="AS10" s="18">
        <f>SUM(AS7:AS9)</f>
        <v>0.99999999999999989</v>
      </c>
      <c r="AT10" s="18">
        <f>SUM(AT7:AT9)</f>
        <v>1</v>
      </c>
      <c r="AU10" s="18">
        <f>SUM(AU7:AU9)</f>
        <v>1</v>
      </c>
      <c r="AV10" s="18">
        <f>SUM(AV7:AV9)</f>
        <v>1</v>
      </c>
      <c r="AW10" s="9"/>
      <c r="AX10" s="9"/>
      <c r="AY10" s="18"/>
      <c r="AZ10" s="19"/>
      <c r="BA10" s="18"/>
      <c r="BB10" s="18"/>
      <c r="BC10" s="18"/>
      <c r="BD10" s="18"/>
      <c r="BE10" s="18"/>
      <c r="BF10" s="9"/>
    </row>
    <row r="11" spans="1:58"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</row>
    <row r="12" spans="1:58">
      <c r="M12" s="9"/>
      <c r="N12" s="9"/>
      <c r="O12" s="9"/>
      <c r="P12" s="9"/>
      <c r="Q12" s="9"/>
      <c r="R12" s="9"/>
      <c r="S12" s="9"/>
      <c r="T12" s="9"/>
      <c r="U12" s="9"/>
    </row>
    <row r="13" spans="1:58">
      <c r="M13" s="9"/>
      <c r="N13" s="9"/>
      <c r="O13" s="9"/>
      <c r="P13" s="9"/>
      <c r="Q13" s="9"/>
      <c r="R13" s="9"/>
      <c r="S13" s="9"/>
      <c r="T13" s="9"/>
      <c r="U13" s="9"/>
    </row>
    <row r="14" spans="1:58">
      <c r="M14" s="9"/>
      <c r="N14" s="9"/>
      <c r="O14" s="9"/>
      <c r="P14" s="9"/>
      <c r="Q14" s="9"/>
      <c r="R14" s="9"/>
      <c r="S14" s="9"/>
      <c r="T14" s="9"/>
      <c r="U14" s="9"/>
    </row>
    <row r="15" spans="1:58">
      <c r="M15" s="9"/>
      <c r="N15" s="9"/>
      <c r="O15" s="9"/>
      <c r="P15" s="9"/>
      <c r="Q15" s="9"/>
      <c r="R15" s="9"/>
      <c r="S15" s="9"/>
      <c r="T15" s="9"/>
      <c r="U15" s="9"/>
    </row>
    <row r="16" spans="1:58">
      <c r="M16" s="9"/>
      <c r="N16" s="9"/>
      <c r="O16" s="9"/>
      <c r="P16" s="9"/>
      <c r="Q16" s="9"/>
      <c r="R16" s="9"/>
      <c r="S16" s="9"/>
      <c r="T16" s="9"/>
      <c r="U16" s="9"/>
    </row>
    <row r="17" spans="13:21">
      <c r="M17" s="9"/>
      <c r="N17" s="9"/>
      <c r="O17" s="9"/>
      <c r="P17" s="9"/>
      <c r="Q17" s="9"/>
      <c r="R17" s="9"/>
      <c r="S17" s="9"/>
      <c r="T17" s="9"/>
      <c r="U17" s="9"/>
    </row>
    <row r="18" spans="13:21">
      <c r="M18" s="9"/>
      <c r="N18" s="9"/>
      <c r="O18" s="9"/>
      <c r="P18" s="9"/>
      <c r="Q18" s="9"/>
      <c r="R18" s="9"/>
      <c r="S18" s="9"/>
      <c r="T18" s="9"/>
      <c r="U18" s="9"/>
    </row>
    <row r="19" spans="13:21" ht="24.95" customHeight="1" thickBot="1">
      <c r="M19" s="9"/>
      <c r="N19" s="10" t="s">
        <v>7</v>
      </c>
      <c r="O19" s="10" t="s">
        <v>178</v>
      </c>
      <c r="P19" s="9"/>
      <c r="Q19" s="10" t="s">
        <v>215</v>
      </c>
      <c r="R19" s="10" t="s">
        <v>216</v>
      </c>
      <c r="S19" s="10" t="s">
        <v>220</v>
      </c>
      <c r="T19" s="31"/>
      <c r="U19" s="9"/>
    </row>
    <row r="20" spans="13:21" ht="24.95" customHeight="1" thickTop="1">
      <c r="M20" s="9"/>
      <c r="N20" s="11" t="s">
        <v>180</v>
      </c>
      <c r="O20" s="22">
        <v>536</v>
      </c>
      <c r="P20" s="9"/>
      <c r="Q20" s="11" t="s">
        <v>217</v>
      </c>
      <c r="R20" s="11">
        <v>4</v>
      </c>
      <c r="S20" s="11">
        <v>3.7</v>
      </c>
      <c r="T20" s="11"/>
      <c r="U20" s="9"/>
    </row>
    <row r="21" spans="13:21" ht="24.95" customHeight="1">
      <c r="M21" s="9"/>
      <c r="N21" s="11" t="s">
        <v>181</v>
      </c>
      <c r="O21" s="22">
        <v>642</v>
      </c>
      <c r="P21" s="9"/>
      <c r="Q21" s="12" t="s">
        <v>223</v>
      </c>
      <c r="R21" s="11">
        <v>4</v>
      </c>
      <c r="S21" s="12">
        <v>3.3</v>
      </c>
      <c r="T21" s="11"/>
      <c r="U21" s="9"/>
    </row>
    <row r="22" spans="13:21" ht="24.95" customHeight="1">
      <c r="M22" s="9"/>
      <c r="N22" s="11" t="s">
        <v>182</v>
      </c>
      <c r="O22" s="22">
        <v>582</v>
      </c>
      <c r="P22" s="9"/>
      <c r="Q22" s="12" t="s">
        <v>218</v>
      </c>
      <c r="R22" s="11">
        <v>3</v>
      </c>
      <c r="S22" s="12">
        <v>3.7</v>
      </c>
      <c r="T22" s="11"/>
      <c r="U22" s="9"/>
    </row>
    <row r="23" spans="13:21" ht="24.95" customHeight="1">
      <c r="M23" s="9"/>
      <c r="N23" s="11" t="s">
        <v>183</v>
      </c>
      <c r="O23" s="22">
        <v>776</v>
      </c>
      <c r="P23" s="9"/>
      <c r="Q23" s="13" t="s">
        <v>219</v>
      </c>
      <c r="R23" s="14">
        <v>1</v>
      </c>
      <c r="S23" s="13">
        <v>4</v>
      </c>
      <c r="T23" s="11"/>
      <c r="U23" s="9"/>
    </row>
    <row r="24" spans="13:21" ht="24.95" customHeight="1" thickBot="1">
      <c r="M24" s="9"/>
      <c r="N24" s="11" t="s">
        <v>184</v>
      </c>
      <c r="O24" s="22">
        <v>744</v>
      </c>
      <c r="P24" s="9"/>
      <c r="Q24" s="19" t="s">
        <v>222</v>
      </c>
      <c r="R24" s="19">
        <f>SUM(R20:R23)</f>
        <v>12</v>
      </c>
      <c r="S24" s="32" t="s">
        <v>221</v>
      </c>
      <c r="T24" s="9"/>
      <c r="U24" s="9"/>
    </row>
    <row r="25" spans="13:21" ht="24.95" customHeight="1">
      <c r="M25" s="9"/>
      <c r="N25" s="11" t="s">
        <v>185</v>
      </c>
      <c r="O25" s="22">
        <v>791</v>
      </c>
      <c r="P25" s="9"/>
      <c r="Q25" s="9"/>
      <c r="R25" s="9"/>
      <c r="S25" s="9"/>
      <c r="T25" s="9"/>
      <c r="U25" s="9"/>
    </row>
    <row r="26" spans="13:21" ht="24.95" customHeight="1">
      <c r="M26" s="9"/>
      <c r="N26" s="11" t="s">
        <v>186</v>
      </c>
      <c r="O26" s="22">
        <v>692</v>
      </c>
      <c r="P26" s="9"/>
      <c r="Q26" s="9"/>
      <c r="R26" s="9"/>
      <c r="S26" s="9"/>
      <c r="T26" s="9"/>
      <c r="U26" s="9"/>
    </row>
    <row r="27" spans="13:21" ht="24.95" customHeight="1">
      <c r="M27" s="9"/>
      <c r="N27" s="11" t="s">
        <v>187</v>
      </c>
      <c r="O27" s="22">
        <v>216</v>
      </c>
      <c r="P27" s="9"/>
      <c r="Q27" s="9"/>
      <c r="R27" s="9"/>
      <c r="S27" s="9"/>
      <c r="T27" s="9"/>
      <c r="U27" s="9"/>
    </row>
    <row r="28" spans="13:21" ht="24.95" customHeight="1">
      <c r="M28" s="9"/>
      <c r="N28" s="11" t="s">
        <v>188</v>
      </c>
      <c r="O28" s="22">
        <v>21</v>
      </c>
      <c r="P28" s="9"/>
      <c r="Q28" s="9"/>
      <c r="R28" s="9"/>
      <c r="S28" s="9"/>
      <c r="T28" s="9"/>
      <c r="U28" s="9"/>
    </row>
    <row r="29" spans="13:21" ht="24.95" customHeight="1" thickBot="1">
      <c r="M29" s="9"/>
      <c r="N29" s="18" t="s">
        <v>175</v>
      </c>
      <c r="O29" s="19">
        <v>5000</v>
      </c>
      <c r="P29" s="9"/>
      <c r="Q29" s="9"/>
      <c r="R29" s="9"/>
      <c r="S29" s="9"/>
      <c r="T29" s="9"/>
      <c r="U29" s="9"/>
    </row>
    <row r="30" spans="13:21">
      <c r="M30" s="9"/>
      <c r="N30" s="9"/>
      <c r="O30" s="9"/>
      <c r="P30" s="9"/>
      <c r="Q30" s="9"/>
      <c r="R30" s="9"/>
      <c r="S30" s="9"/>
      <c r="T30" s="9"/>
      <c r="U30" s="9"/>
    </row>
    <row r="31" spans="13:21">
      <c r="M31" s="9"/>
      <c r="N31" s="9"/>
      <c r="O31" s="9"/>
      <c r="P31" s="9"/>
      <c r="Q31" s="9"/>
      <c r="R31" s="9"/>
      <c r="S31" s="9"/>
      <c r="T31" s="9"/>
      <c r="U31" s="9"/>
    </row>
    <row r="32" spans="13:21">
      <c r="M32" s="9"/>
      <c r="N32" s="9"/>
      <c r="O32" s="9"/>
      <c r="P32" s="9"/>
      <c r="Q32" s="9"/>
      <c r="R32" s="9"/>
      <c r="S32" s="9"/>
      <c r="T32" s="9"/>
      <c r="U32" s="9"/>
    </row>
    <row r="33" spans="13:18">
      <c r="M33" s="9"/>
      <c r="N33" s="9"/>
      <c r="O33" s="9"/>
      <c r="P33" s="9"/>
      <c r="Q33" s="9"/>
      <c r="R33" s="9"/>
    </row>
    <row r="34" spans="13:18" ht="35.1" customHeight="1" thickBot="1">
      <c r="M34" s="9"/>
      <c r="N34" s="10" t="s">
        <v>7</v>
      </c>
      <c r="O34" s="10" t="s">
        <v>178</v>
      </c>
      <c r="P34" s="15" t="s">
        <v>189</v>
      </c>
      <c r="Q34" s="9"/>
      <c r="R34" s="9"/>
    </row>
    <row r="35" spans="13:18" ht="20.100000000000001" customHeight="1" thickTop="1">
      <c r="M35" s="9"/>
      <c r="N35" s="11" t="s">
        <v>180</v>
      </c>
      <c r="O35" s="22">
        <v>536</v>
      </c>
      <c r="P35" s="22">
        <f>SUM($O$35:O35)</f>
        <v>536</v>
      </c>
      <c r="Q35" s="9"/>
      <c r="R35" s="9"/>
    </row>
    <row r="36" spans="13:18" ht="20.100000000000001" customHeight="1">
      <c r="M36" s="9"/>
      <c r="N36" s="11" t="s">
        <v>181</v>
      </c>
      <c r="O36" s="22">
        <v>642</v>
      </c>
      <c r="P36" s="22">
        <f>SUM($O$35:O36)</f>
        <v>1178</v>
      </c>
      <c r="Q36" s="9"/>
      <c r="R36" s="9"/>
    </row>
    <row r="37" spans="13:18" ht="20.100000000000001" customHeight="1">
      <c r="M37" s="9"/>
      <c r="N37" s="11" t="s">
        <v>182</v>
      </c>
      <c r="O37" s="22">
        <v>582</v>
      </c>
      <c r="P37" s="22">
        <f>SUM($O$35:O37)</f>
        <v>1760</v>
      </c>
      <c r="Q37" s="9"/>
      <c r="R37" s="9"/>
    </row>
    <row r="38" spans="13:18" ht="20.100000000000001" customHeight="1">
      <c r="M38" s="9"/>
      <c r="N38" s="11" t="s">
        <v>183</v>
      </c>
      <c r="O38" s="22">
        <v>776</v>
      </c>
      <c r="P38" s="22">
        <f>SUM($O$35:O38)</f>
        <v>2536</v>
      </c>
      <c r="Q38" s="9"/>
      <c r="R38" s="9"/>
    </row>
    <row r="39" spans="13:18" ht="20.100000000000001" customHeight="1">
      <c r="M39" s="9"/>
      <c r="N39" s="11" t="s">
        <v>184</v>
      </c>
      <c r="O39" s="22">
        <v>744</v>
      </c>
      <c r="P39" s="22">
        <f>SUM($O$35:O39)</f>
        <v>3280</v>
      </c>
      <c r="Q39" s="9"/>
      <c r="R39" s="9"/>
    </row>
    <row r="40" spans="13:18" ht="20.100000000000001" customHeight="1">
      <c r="M40" s="9"/>
      <c r="N40" s="11" t="s">
        <v>185</v>
      </c>
      <c r="O40" s="22">
        <v>791</v>
      </c>
      <c r="P40" s="22">
        <f>SUM($O$35:O40)</f>
        <v>4071</v>
      </c>
      <c r="Q40" s="9"/>
      <c r="R40" s="9"/>
    </row>
    <row r="41" spans="13:18" ht="20.100000000000001" customHeight="1">
      <c r="M41" s="9"/>
      <c r="N41" s="11" t="s">
        <v>186</v>
      </c>
      <c r="O41" s="22">
        <v>692</v>
      </c>
      <c r="P41" s="22">
        <f>SUM($O$35:O41)</f>
        <v>4763</v>
      </c>
      <c r="Q41" s="9"/>
      <c r="R41" s="9"/>
    </row>
    <row r="42" spans="13:18" ht="20.100000000000001" customHeight="1">
      <c r="M42" s="9"/>
      <c r="N42" s="11" t="s">
        <v>187</v>
      </c>
      <c r="O42" s="22">
        <v>216</v>
      </c>
      <c r="P42" s="22">
        <f>SUM($O$35:O42)</f>
        <v>4979</v>
      </c>
      <c r="Q42" s="9"/>
      <c r="R42" s="9"/>
    </row>
    <row r="43" spans="13:18" ht="20.100000000000001" customHeight="1" thickBot="1">
      <c r="M43" s="9"/>
      <c r="N43" s="23" t="s">
        <v>188</v>
      </c>
      <c r="O43" s="24">
        <v>21</v>
      </c>
      <c r="P43" s="24">
        <f>SUM($O$35:O43)</f>
        <v>5000</v>
      </c>
      <c r="Q43" s="9"/>
      <c r="R43" s="9"/>
    </row>
    <row r="44" spans="13:18">
      <c r="M44" s="9"/>
      <c r="N44" s="9"/>
      <c r="O44" s="9"/>
      <c r="P44" s="9"/>
      <c r="Q44" s="9"/>
      <c r="R44" s="9"/>
    </row>
    <row r="45" spans="13:18">
      <c r="M45" s="9"/>
      <c r="N45" s="9"/>
      <c r="O45" s="9"/>
      <c r="P45" s="9"/>
      <c r="Q45" s="9"/>
      <c r="R45" s="9"/>
    </row>
    <row r="46" spans="13:18" ht="32.25" thickBot="1">
      <c r="M46" s="9"/>
      <c r="N46" s="10" t="s">
        <v>7</v>
      </c>
      <c r="O46" s="10" t="s">
        <v>178</v>
      </c>
      <c r="P46" s="15" t="s">
        <v>190</v>
      </c>
      <c r="Q46" s="15" t="s">
        <v>191</v>
      </c>
      <c r="R46" s="9"/>
    </row>
    <row r="47" spans="13:18" ht="15.75" thickTop="1">
      <c r="M47" s="9"/>
      <c r="N47" s="11" t="s">
        <v>180</v>
      </c>
      <c r="O47" s="22">
        <v>536</v>
      </c>
      <c r="P47" s="25">
        <f>O47/5000</f>
        <v>0.1072</v>
      </c>
      <c r="Q47" s="25">
        <f>SUM($P$47:P47)</f>
        <v>0.1072</v>
      </c>
      <c r="R47" s="9"/>
    </row>
    <row r="48" spans="13:18" ht="15">
      <c r="M48" s="9"/>
      <c r="N48" s="11" t="s">
        <v>181</v>
      </c>
      <c r="O48" s="22">
        <v>642</v>
      </c>
      <c r="P48" s="25">
        <f>O48/5000</f>
        <v>0.12839999999999999</v>
      </c>
      <c r="Q48" s="25">
        <f>SUM($P$47:P48)</f>
        <v>0.23559999999999998</v>
      </c>
      <c r="R48" s="9"/>
    </row>
    <row r="49" spans="13:18" ht="15">
      <c r="M49" s="9"/>
      <c r="N49" s="11" t="s">
        <v>182</v>
      </c>
      <c r="O49" s="22">
        <v>582</v>
      </c>
      <c r="P49" s="25">
        <f>O49/5000</f>
        <v>0.1164</v>
      </c>
      <c r="Q49" s="25">
        <f>SUM($P$47:P49)</f>
        <v>0.35199999999999998</v>
      </c>
      <c r="R49" s="9"/>
    </row>
    <row r="50" spans="13:18" ht="15">
      <c r="M50" s="9"/>
      <c r="N50" s="11" t="s">
        <v>183</v>
      </c>
      <c r="O50" s="22">
        <v>776</v>
      </c>
      <c r="P50" s="27">
        <f t="shared" ref="P50:P55" si="5">O50/5000</f>
        <v>0.1552</v>
      </c>
      <c r="Q50" s="27">
        <f>SUM($P$47:P50)</f>
        <v>0.50719999999999998</v>
      </c>
      <c r="R50" s="9"/>
    </row>
    <row r="51" spans="13:18" ht="15">
      <c r="M51" s="9"/>
      <c r="N51" s="11" t="s">
        <v>184</v>
      </c>
      <c r="O51" s="22">
        <v>744</v>
      </c>
      <c r="P51" s="25">
        <f t="shared" si="5"/>
        <v>0.14879999999999999</v>
      </c>
      <c r="Q51" s="25">
        <f>SUM($P$47:P51)</f>
        <v>0.65599999999999992</v>
      </c>
      <c r="R51" s="9"/>
    </row>
    <row r="52" spans="13:18" ht="15">
      <c r="M52" s="9"/>
      <c r="N52" s="11" t="s">
        <v>185</v>
      </c>
      <c r="O52" s="22">
        <v>791</v>
      </c>
      <c r="P52" s="25">
        <f t="shared" si="5"/>
        <v>0.15820000000000001</v>
      </c>
      <c r="Q52" s="25">
        <f>SUM($P$47:P52)</f>
        <v>0.81419999999999992</v>
      </c>
      <c r="R52" s="9"/>
    </row>
    <row r="53" spans="13:18" ht="15">
      <c r="M53" s="9"/>
      <c r="N53" s="11" t="s">
        <v>186</v>
      </c>
      <c r="O53" s="22">
        <v>692</v>
      </c>
      <c r="P53" s="25">
        <f t="shared" si="5"/>
        <v>0.1384</v>
      </c>
      <c r="Q53" s="25">
        <f>SUM($P$47:P53)</f>
        <v>0.95259999999999989</v>
      </c>
      <c r="R53" s="9"/>
    </row>
    <row r="54" spans="13:18" ht="15">
      <c r="M54" s="9"/>
      <c r="N54" s="11" t="s">
        <v>187</v>
      </c>
      <c r="O54" s="22">
        <v>216</v>
      </c>
      <c r="P54" s="25">
        <f t="shared" si="5"/>
        <v>4.3200000000000002E-2</v>
      </c>
      <c r="Q54" s="25">
        <f>SUM($P$47:P54)</f>
        <v>0.99579999999999991</v>
      </c>
      <c r="R54" s="9"/>
    </row>
    <row r="55" spans="13:18" ht="15.75" thickBot="1">
      <c r="M55" s="9"/>
      <c r="N55" s="23" t="s">
        <v>188</v>
      </c>
      <c r="O55" s="24">
        <v>21</v>
      </c>
      <c r="P55" s="26">
        <f t="shared" si="5"/>
        <v>4.1999999999999997E-3</v>
      </c>
      <c r="Q55" s="26">
        <f>SUM($P$47:P55)</f>
        <v>0.99999999999999989</v>
      </c>
      <c r="R55" s="9"/>
    </row>
    <row r="56" spans="13:18">
      <c r="M56" s="9"/>
      <c r="N56" s="9"/>
      <c r="O56" s="9"/>
      <c r="P56" s="9"/>
      <c r="Q56" s="9"/>
      <c r="R56" s="9"/>
    </row>
    <row r="57" spans="13:18">
      <c r="M57" s="9"/>
      <c r="N57" s="9"/>
      <c r="O57" s="9"/>
      <c r="P57" s="9"/>
      <c r="Q57" s="9"/>
      <c r="R57" s="9"/>
    </row>
    <row r="58" spans="13:18">
      <c r="M58" s="9"/>
      <c r="N58" s="9"/>
      <c r="O58" s="9"/>
      <c r="P58" s="9"/>
      <c r="Q58" s="9"/>
      <c r="R58" s="9"/>
    </row>
    <row r="59" spans="13:18">
      <c r="M59" s="9"/>
      <c r="N59" s="9"/>
      <c r="O59" s="9"/>
      <c r="P59" s="9"/>
      <c r="Q59" s="9"/>
      <c r="R59" s="9"/>
    </row>
    <row r="60" spans="13:18">
      <c r="M60" s="9"/>
      <c r="N60" s="9"/>
      <c r="O60" s="9"/>
      <c r="P60" s="9"/>
      <c r="Q60" s="9"/>
      <c r="R60" s="9"/>
    </row>
    <row r="61" spans="13:18">
      <c r="M61" s="9"/>
      <c r="N61" s="9"/>
      <c r="O61" s="9"/>
      <c r="P61" s="9"/>
      <c r="Q61" s="9"/>
    </row>
  </sheetData>
  <mergeCells count="5">
    <mergeCell ref="AF7:AF9"/>
    <mergeCell ref="AG6:AL6"/>
    <mergeCell ref="AG7:AL9"/>
    <mergeCell ref="AM7:AM9"/>
    <mergeCell ref="AG10:AL10"/>
  </mergeCells>
  <phoneticPr fontId="7" type="noConversion"/>
  <pageMargins left="0.7" right="0.7" top="0.75" bottom="0.75" header="0.3" footer="0.3"/>
  <pageSetup orientation="portrait" r:id="rId2"/>
  <ignoredErrors>
    <ignoredError sqref="P36:P43" formulaRange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E1B4-95B6-4E2D-9B20-62F3AC197E45}">
  <dimension ref="A3:O77"/>
  <sheetViews>
    <sheetView tabSelected="1" zoomScaleNormal="100" workbookViewId="0">
      <selection activeCell="Q7" sqref="Q7"/>
    </sheetView>
  </sheetViews>
  <sheetFormatPr defaultRowHeight="14.25"/>
  <cols>
    <col min="1" max="1" width="13.125" bestFit="1" customWidth="1"/>
    <col min="2" max="2" width="16.625" bestFit="1" customWidth="1"/>
    <col min="9" max="13" width="7.625" customWidth="1"/>
    <col min="14" max="14" width="11.5" customWidth="1"/>
  </cols>
  <sheetData>
    <row r="3" spans="1:2">
      <c r="A3" s="7" t="s">
        <v>174</v>
      </c>
      <c r="B3" t="s">
        <v>176</v>
      </c>
    </row>
    <row r="4" spans="1:2">
      <c r="A4" s="8" t="s">
        <v>180</v>
      </c>
      <c r="B4">
        <v>536</v>
      </c>
    </row>
    <row r="5" spans="1:2">
      <c r="A5" s="8" t="s">
        <v>181</v>
      </c>
      <c r="B5">
        <v>642</v>
      </c>
    </row>
    <row r="6" spans="1:2">
      <c r="A6" s="8" t="s">
        <v>182</v>
      </c>
      <c r="B6">
        <v>582</v>
      </c>
    </row>
    <row r="7" spans="1:2">
      <c r="A7" s="8" t="s">
        <v>183</v>
      </c>
      <c r="B7">
        <v>776</v>
      </c>
    </row>
    <row r="8" spans="1:2">
      <c r="A8" s="8" t="s">
        <v>184</v>
      </c>
      <c r="B8">
        <v>744</v>
      </c>
    </row>
    <row r="9" spans="1:2">
      <c r="A9" s="8" t="s">
        <v>185</v>
      </c>
      <c r="B9">
        <v>791</v>
      </c>
    </row>
    <row r="10" spans="1:2">
      <c r="A10" s="8" t="s">
        <v>186</v>
      </c>
      <c r="B10">
        <v>692</v>
      </c>
    </row>
    <row r="11" spans="1:2">
      <c r="A11" s="8" t="s">
        <v>187</v>
      </c>
      <c r="B11">
        <v>216</v>
      </c>
    </row>
    <row r="12" spans="1:2">
      <c r="A12" s="8" t="s">
        <v>188</v>
      </c>
      <c r="B12">
        <v>21</v>
      </c>
    </row>
    <row r="13" spans="1:2">
      <c r="A13" s="8" t="s">
        <v>175</v>
      </c>
      <c r="B13">
        <v>5000</v>
      </c>
    </row>
    <row r="17" spans="1:15">
      <c r="A17" t="s">
        <v>226</v>
      </c>
      <c r="B17" t="s">
        <v>224</v>
      </c>
      <c r="C17" t="s">
        <v>225</v>
      </c>
    </row>
    <row r="18" spans="1:15">
      <c r="A18">
        <v>26.0076</v>
      </c>
      <c r="B18">
        <v>39.893900000000002</v>
      </c>
      <c r="C18">
        <v>4.8746999999999998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ht="15">
      <c r="A19">
        <v>30.357299999999999</v>
      </c>
      <c r="B19">
        <v>40.402500000000003</v>
      </c>
      <c r="C19">
        <v>21.436</v>
      </c>
      <c r="E19" s="9"/>
      <c r="F19" s="35" t="s">
        <v>227</v>
      </c>
      <c r="G19" s="35" t="s">
        <v>7</v>
      </c>
      <c r="H19" s="9"/>
      <c r="I19" s="51" t="s">
        <v>230</v>
      </c>
      <c r="J19" s="50" t="s">
        <v>228</v>
      </c>
      <c r="K19" s="50" t="s">
        <v>229</v>
      </c>
      <c r="L19" s="49"/>
      <c r="M19" s="49"/>
      <c r="N19" s="49"/>
      <c r="O19" s="9"/>
    </row>
    <row r="20" spans="1:15">
      <c r="A20">
        <v>32.645299999999999</v>
      </c>
      <c r="B20">
        <v>40.749899999999997</v>
      </c>
      <c r="C20">
        <v>28.095800000000001</v>
      </c>
      <c r="E20" s="9"/>
      <c r="F20" s="33">
        <v>1</v>
      </c>
      <c r="G20" s="33">
        <v>35</v>
      </c>
      <c r="H20" s="9"/>
      <c r="I20" s="33">
        <v>1</v>
      </c>
      <c r="J20" s="33">
        <v>4</v>
      </c>
      <c r="K20" s="33">
        <v>88</v>
      </c>
      <c r="L20" s="33">
        <v>-8</v>
      </c>
      <c r="M20" s="33">
        <v>55</v>
      </c>
      <c r="N20" s="33">
        <f>L20*M20</f>
        <v>-440</v>
      </c>
      <c r="O20" s="9"/>
    </row>
    <row r="21" spans="1:15">
      <c r="A21">
        <v>34.276299999999999</v>
      </c>
      <c r="B21">
        <v>41.039299999999997</v>
      </c>
      <c r="C21">
        <v>32.153100000000002</v>
      </c>
      <c r="E21" s="9"/>
      <c r="F21" s="33">
        <v>2</v>
      </c>
      <c r="G21" s="33">
        <v>21</v>
      </c>
      <c r="H21" s="9"/>
      <c r="I21" s="33">
        <v>2</v>
      </c>
      <c r="J21" s="33">
        <v>8</v>
      </c>
      <c r="K21" s="33">
        <v>23</v>
      </c>
      <c r="L21" s="33">
        <v>-4</v>
      </c>
      <c r="M21" s="33">
        <v>-10</v>
      </c>
      <c r="N21" s="33">
        <f t="shared" ref="N21:N24" si="0">L21*M21</f>
        <v>40</v>
      </c>
      <c r="O21" s="9"/>
    </row>
    <row r="22" spans="1:15">
      <c r="A22">
        <v>35.573</v>
      </c>
      <c r="B22">
        <v>41.297800000000002</v>
      </c>
      <c r="C22">
        <v>35.022300000000001</v>
      </c>
      <c r="E22" s="9"/>
      <c r="F22" s="33">
        <v>3</v>
      </c>
      <c r="G22" s="33">
        <v>6</v>
      </c>
      <c r="H22" s="9"/>
      <c r="I22" s="33">
        <v>3</v>
      </c>
      <c r="J22" s="33">
        <v>10</v>
      </c>
      <c r="K22" s="33">
        <v>20</v>
      </c>
      <c r="L22" s="33">
        <v>-2</v>
      </c>
      <c r="M22" s="33">
        <v>-13</v>
      </c>
      <c r="N22" s="33">
        <f t="shared" si="0"/>
        <v>26</v>
      </c>
      <c r="O22" s="9"/>
    </row>
    <row r="23" spans="1:15">
      <c r="A23">
        <v>36.665100000000002</v>
      </c>
      <c r="B23">
        <v>41.537300000000002</v>
      </c>
      <c r="C23">
        <v>37.218699999999998</v>
      </c>
      <c r="E23" s="9"/>
      <c r="F23" s="33">
        <v>4</v>
      </c>
      <c r="G23" s="33">
        <v>38</v>
      </c>
      <c r="H23" s="9"/>
      <c r="I23" s="33">
        <v>4</v>
      </c>
      <c r="J23" s="33">
        <v>14</v>
      </c>
      <c r="K23" s="33">
        <v>28</v>
      </c>
      <c r="L23" s="33">
        <v>2</v>
      </c>
      <c r="M23" s="33">
        <v>-5</v>
      </c>
      <c r="N23" s="33">
        <f t="shared" si="0"/>
        <v>-10</v>
      </c>
      <c r="O23" s="9"/>
    </row>
    <row r="24" spans="1:15">
      <c r="A24">
        <v>37.618400000000001</v>
      </c>
      <c r="B24">
        <v>41.764099999999999</v>
      </c>
      <c r="C24">
        <v>38.985500000000002</v>
      </c>
      <c r="E24" s="9"/>
      <c r="F24" s="33">
        <v>5</v>
      </c>
      <c r="G24" s="33">
        <v>36</v>
      </c>
      <c r="H24" s="9"/>
      <c r="I24" s="34">
        <v>5</v>
      </c>
      <c r="J24" s="34">
        <v>24</v>
      </c>
      <c r="K24" s="34">
        <v>6</v>
      </c>
      <c r="L24" s="34">
        <v>12</v>
      </c>
      <c r="M24" s="34">
        <v>-27</v>
      </c>
      <c r="N24" s="34">
        <f t="shared" si="0"/>
        <v>-324</v>
      </c>
      <c r="O24" s="9"/>
    </row>
    <row r="25" spans="1:15">
      <c r="A25">
        <v>38.471200000000003</v>
      </c>
      <c r="B25">
        <v>41.982199999999999</v>
      </c>
      <c r="C25">
        <v>40.456000000000003</v>
      </c>
      <c r="E25" s="9"/>
      <c r="F25" s="33">
        <v>6</v>
      </c>
      <c r="G25" s="33">
        <v>16</v>
      </c>
      <c r="H25" s="9"/>
      <c r="I25" s="33"/>
      <c r="J25" s="33"/>
      <c r="K25" s="33"/>
      <c r="L25" s="9"/>
      <c r="M25" s="9"/>
      <c r="N25" s="9"/>
      <c r="O25" s="9"/>
    </row>
    <row r="26" spans="1:15">
      <c r="A26">
        <v>39.247799999999998</v>
      </c>
      <c r="B26">
        <v>42.194099999999999</v>
      </c>
      <c r="C26">
        <v>41.710799999999999</v>
      </c>
      <c r="E26" s="9"/>
      <c r="F26" s="33">
        <v>7</v>
      </c>
      <c r="G26" s="33">
        <v>180</v>
      </c>
      <c r="H26" s="9"/>
      <c r="I26" s="33"/>
      <c r="J26" s="33"/>
      <c r="K26" s="33"/>
      <c r="L26" s="9"/>
      <c r="M26" s="9"/>
      <c r="N26" s="9"/>
      <c r="O26" s="9"/>
    </row>
    <row r="27" spans="1:15">
      <c r="A27">
        <v>39.964700000000001</v>
      </c>
      <c r="B27">
        <v>42.401699999999998</v>
      </c>
      <c r="C27">
        <v>42.802</v>
      </c>
      <c r="E27" s="9"/>
      <c r="F27" s="33">
        <v>8</v>
      </c>
      <c r="G27" s="33">
        <v>33</v>
      </c>
      <c r="H27" s="9"/>
      <c r="I27" s="33"/>
      <c r="J27" s="33"/>
      <c r="K27" s="33"/>
      <c r="O27" s="9"/>
    </row>
    <row r="28" spans="1:15">
      <c r="A28">
        <v>40.633600000000001</v>
      </c>
      <c r="B28">
        <v>42.606400000000001</v>
      </c>
      <c r="C28">
        <v>43.7654</v>
      </c>
      <c r="E28" s="9"/>
      <c r="F28" s="33">
        <v>9</v>
      </c>
      <c r="G28" s="33">
        <v>21</v>
      </c>
      <c r="H28" s="9"/>
      <c r="I28" s="33"/>
      <c r="J28" s="33"/>
      <c r="K28" s="33"/>
    </row>
    <row r="29" spans="1:15">
      <c r="A29">
        <v>41.263100000000001</v>
      </c>
      <c r="B29">
        <v>42.809399999999997</v>
      </c>
      <c r="C29">
        <v>44.626399999999997</v>
      </c>
      <c r="E29" s="9"/>
      <c r="F29" s="33">
        <v>10</v>
      </c>
      <c r="G29" s="33">
        <v>35</v>
      </c>
      <c r="H29" s="9"/>
      <c r="I29" s="33"/>
      <c r="J29" s="33"/>
      <c r="K29" s="33"/>
    </row>
    <row r="30" spans="1:15">
      <c r="A30">
        <v>41.86</v>
      </c>
      <c r="B30">
        <v>43.011400000000002</v>
      </c>
      <c r="C30">
        <v>45.403599999999997</v>
      </c>
      <c r="E30" s="9"/>
      <c r="F30" s="33">
        <v>11</v>
      </c>
      <c r="G30" s="33">
        <v>44</v>
      </c>
      <c r="H30" s="9"/>
      <c r="I30" s="33"/>
      <c r="J30" s="33"/>
      <c r="K30" s="33"/>
    </row>
    <row r="31" spans="1:15">
      <c r="A31">
        <v>42.429200000000002</v>
      </c>
      <c r="B31">
        <v>43.213299999999997</v>
      </c>
      <c r="C31">
        <v>46.111199999999997</v>
      </c>
      <c r="E31" s="9"/>
      <c r="F31" s="33">
        <v>12</v>
      </c>
      <c r="G31" s="33">
        <v>9</v>
      </c>
      <c r="H31" s="9"/>
      <c r="I31" s="33"/>
      <c r="J31" s="33"/>
      <c r="K31" s="33"/>
    </row>
    <row r="32" spans="1:15">
      <c r="A32">
        <v>42.975099999999998</v>
      </c>
      <c r="B32">
        <v>43.415700000000001</v>
      </c>
      <c r="C32">
        <v>46.760100000000001</v>
      </c>
      <c r="E32" s="9"/>
      <c r="F32" s="34">
        <v>13</v>
      </c>
      <c r="G32" s="34">
        <v>23</v>
      </c>
      <c r="H32" s="9"/>
      <c r="I32" s="34"/>
      <c r="J32" s="34"/>
      <c r="K32" s="34"/>
    </row>
    <row r="33" spans="1:8">
      <c r="A33">
        <v>43.500799999999998</v>
      </c>
      <c r="B33">
        <v>43.619199999999999</v>
      </c>
      <c r="C33">
        <v>47.359000000000002</v>
      </c>
      <c r="E33" s="9"/>
      <c r="F33" s="9"/>
      <c r="G33" s="9"/>
      <c r="H33" s="9"/>
    </row>
    <row r="34" spans="1:8">
      <c r="A34">
        <v>44.009300000000003</v>
      </c>
      <c r="B34">
        <v>43.824300000000001</v>
      </c>
      <c r="C34">
        <v>47.914700000000003</v>
      </c>
    </row>
    <row r="35" spans="1:8">
      <c r="A35">
        <v>44.502699999999997</v>
      </c>
      <c r="B35">
        <v>44.031399999999998</v>
      </c>
      <c r="C35">
        <v>48.432899999999997</v>
      </c>
    </row>
    <row r="36" spans="1:8">
      <c r="A36">
        <v>44.983199999999997</v>
      </c>
      <c r="B36">
        <v>44.241100000000003</v>
      </c>
      <c r="C36">
        <v>48.918199999999999</v>
      </c>
    </row>
    <row r="37" spans="1:8">
      <c r="A37">
        <v>45.452399999999997</v>
      </c>
      <c r="B37">
        <v>44.453699999999998</v>
      </c>
      <c r="C37">
        <v>49.374600000000001</v>
      </c>
    </row>
    <row r="38" spans="1:8">
      <c r="A38">
        <v>45.911799999999999</v>
      </c>
      <c r="B38">
        <v>44.669800000000002</v>
      </c>
      <c r="C38">
        <v>49.805100000000003</v>
      </c>
    </row>
    <row r="39" spans="1:8">
      <c r="A39">
        <v>46.3628</v>
      </c>
      <c r="B39">
        <v>44.889800000000001</v>
      </c>
      <c r="C39">
        <v>50.212699999999998</v>
      </c>
    </row>
    <row r="40" spans="1:8">
      <c r="A40">
        <v>46.806600000000003</v>
      </c>
      <c r="B40">
        <v>45.114100000000001</v>
      </c>
      <c r="C40">
        <v>50.599699999999999</v>
      </c>
    </row>
    <row r="41" spans="1:8">
      <c r="A41">
        <v>47.244199999999999</v>
      </c>
      <c r="B41">
        <v>45.343200000000003</v>
      </c>
      <c r="C41">
        <v>50.968000000000004</v>
      </c>
    </row>
    <row r="42" spans="1:8">
      <c r="A42">
        <v>47.676600000000001</v>
      </c>
      <c r="B42">
        <v>45.577599999999997</v>
      </c>
      <c r="C42">
        <v>51.319600000000001</v>
      </c>
    </row>
    <row r="43" spans="1:8">
      <c r="A43">
        <v>48.104700000000001</v>
      </c>
      <c r="B43">
        <v>45.817799999999998</v>
      </c>
      <c r="C43">
        <v>51.655999999999999</v>
      </c>
    </row>
    <row r="44" spans="1:8">
      <c r="A44">
        <v>48.529299999999999</v>
      </c>
      <c r="B44">
        <v>46.064300000000003</v>
      </c>
      <c r="C44">
        <v>51.978499999999997</v>
      </c>
    </row>
    <row r="45" spans="1:8">
      <c r="A45">
        <v>48.9514</v>
      </c>
      <c r="B45">
        <v>46.317700000000002</v>
      </c>
      <c r="C45">
        <v>52.2883</v>
      </c>
    </row>
    <row r="46" spans="1:8">
      <c r="A46">
        <v>49.371600000000001</v>
      </c>
      <c r="B46">
        <v>46.578600000000002</v>
      </c>
      <c r="C46">
        <v>52.586599999999997</v>
      </c>
    </row>
    <row r="47" spans="1:8">
      <c r="A47">
        <v>49.790599999999998</v>
      </c>
      <c r="B47">
        <v>46.847700000000003</v>
      </c>
      <c r="C47">
        <v>52.874299999999998</v>
      </c>
    </row>
    <row r="48" spans="1:8">
      <c r="A48">
        <v>50.209400000000002</v>
      </c>
      <c r="B48">
        <v>47.125700000000002</v>
      </c>
      <c r="C48">
        <v>53.152299999999997</v>
      </c>
    </row>
    <row r="49" spans="1:8">
      <c r="A49">
        <v>50.628399999999999</v>
      </c>
      <c r="B49">
        <v>47.413400000000003</v>
      </c>
      <c r="C49">
        <v>53.421399999999998</v>
      </c>
    </row>
    <row r="50" spans="1:8">
      <c r="A50">
        <v>51.0486</v>
      </c>
      <c r="B50">
        <v>47.7117</v>
      </c>
      <c r="C50">
        <v>53.682299999999998</v>
      </c>
    </row>
    <row r="51" spans="1:8">
      <c r="A51">
        <v>51.470700000000001</v>
      </c>
      <c r="B51">
        <v>48.021500000000003</v>
      </c>
      <c r="C51">
        <v>53.935699999999997</v>
      </c>
      <c r="F51">
        <f>AVERAGE(A18:A77)</f>
        <v>49.999999999999993</v>
      </c>
      <c r="G51">
        <f>AVERAGE(B18:B77)</f>
        <v>49.999991666666659</v>
      </c>
      <c r="H51">
        <f>AVERAGE(C18:C77)</f>
        <v>50.000008333333334</v>
      </c>
    </row>
    <row r="52" spans="1:8">
      <c r="A52">
        <v>51.895299999999999</v>
      </c>
      <c r="B52">
        <v>48.344000000000001</v>
      </c>
      <c r="C52">
        <v>54.182200000000002</v>
      </c>
      <c r="F52">
        <f>_xlfn.STDEV.P(A18:A77)</f>
        <v>9.916309716337727</v>
      </c>
      <c r="G52">
        <f>_xlfn.STDEV.P(B18:B77)</f>
        <v>9.9163197787165664</v>
      </c>
      <c r="H52">
        <f>_xlfn.STDEV.P(C18:C77)</f>
        <v>9.9163197787164883</v>
      </c>
    </row>
    <row r="53" spans="1:8">
      <c r="A53">
        <v>52.323399999999999</v>
      </c>
      <c r="B53">
        <v>48.680399999999999</v>
      </c>
      <c r="C53">
        <v>54.422400000000003</v>
      </c>
    </row>
    <row r="54" spans="1:8">
      <c r="A54">
        <v>52.755800000000001</v>
      </c>
      <c r="B54">
        <v>49.031999999999996</v>
      </c>
      <c r="C54">
        <v>54.656799999999997</v>
      </c>
    </row>
    <row r="55" spans="1:8">
      <c r="A55">
        <v>53.193399999999997</v>
      </c>
      <c r="B55">
        <v>49.400300000000001</v>
      </c>
      <c r="C55">
        <v>54.885899999999999</v>
      </c>
    </row>
    <row r="56" spans="1:8">
      <c r="A56">
        <v>53.6372</v>
      </c>
      <c r="B56">
        <v>49.787300000000002</v>
      </c>
      <c r="C56">
        <v>55.110199999999999</v>
      </c>
    </row>
    <row r="57" spans="1:8">
      <c r="A57">
        <v>54.088200000000001</v>
      </c>
      <c r="B57">
        <v>50.194899999999997</v>
      </c>
      <c r="C57">
        <v>55.330199999999998</v>
      </c>
    </row>
    <row r="58" spans="1:8">
      <c r="A58">
        <v>54.547600000000003</v>
      </c>
      <c r="B58">
        <v>50.625399999999999</v>
      </c>
      <c r="C58">
        <v>55.546300000000002</v>
      </c>
    </row>
    <row r="59" spans="1:8">
      <c r="A59">
        <v>55.016800000000003</v>
      </c>
      <c r="B59">
        <v>51.081800000000001</v>
      </c>
      <c r="C59">
        <v>55.758899999999997</v>
      </c>
    </row>
    <row r="60" spans="1:8">
      <c r="A60">
        <v>55.497300000000003</v>
      </c>
      <c r="B60">
        <v>51.567100000000003</v>
      </c>
      <c r="C60">
        <v>55.968600000000002</v>
      </c>
    </row>
    <row r="61" spans="1:8">
      <c r="A61">
        <v>55.990699999999997</v>
      </c>
      <c r="B61">
        <v>52.085299999999997</v>
      </c>
      <c r="C61">
        <v>56.175699999999999</v>
      </c>
    </row>
    <row r="62" spans="1:8">
      <c r="A62">
        <v>56.499200000000002</v>
      </c>
      <c r="B62">
        <v>52.640999999999998</v>
      </c>
      <c r="C62">
        <v>56.380800000000001</v>
      </c>
    </row>
    <row r="63" spans="1:8">
      <c r="A63">
        <v>57.024900000000002</v>
      </c>
      <c r="B63">
        <v>53.239899999999999</v>
      </c>
      <c r="C63">
        <v>56.584299999999999</v>
      </c>
    </row>
    <row r="64" spans="1:8">
      <c r="A64">
        <v>57.570799999999998</v>
      </c>
      <c r="B64">
        <v>53.888800000000003</v>
      </c>
      <c r="C64">
        <v>56.786700000000003</v>
      </c>
    </row>
    <row r="65" spans="1:3">
      <c r="A65">
        <v>58.14</v>
      </c>
      <c r="B65">
        <v>54.596400000000003</v>
      </c>
      <c r="C65">
        <v>56.988599999999998</v>
      </c>
    </row>
    <row r="66" spans="1:3">
      <c r="A66">
        <v>58.736899999999999</v>
      </c>
      <c r="B66">
        <v>55.373600000000003</v>
      </c>
      <c r="C66">
        <v>57.190600000000003</v>
      </c>
    </row>
    <row r="67" spans="1:3">
      <c r="A67">
        <v>59.366399999999999</v>
      </c>
      <c r="B67">
        <v>56.2346</v>
      </c>
      <c r="C67">
        <v>57.393599999999999</v>
      </c>
    </row>
    <row r="68" spans="1:3">
      <c r="A68">
        <v>60.035299999999999</v>
      </c>
      <c r="B68">
        <v>57.198</v>
      </c>
      <c r="C68">
        <v>57.598300000000002</v>
      </c>
    </row>
    <row r="69" spans="1:3">
      <c r="A69">
        <v>60.752200000000002</v>
      </c>
      <c r="B69">
        <v>58.289200000000001</v>
      </c>
      <c r="C69">
        <v>57.805900000000001</v>
      </c>
    </row>
    <row r="70" spans="1:3">
      <c r="A70">
        <v>61.528799999999997</v>
      </c>
      <c r="B70">
        <v>59.543999999999997</v>
      </c>
      <c r="C70">
        <v>58.017800000000001</v>
      </c>
    </row>
    <row r="71" spans="1:3">
      <c r="A71">
        <v>62.381599999999999</v>
      </c>
      <c r="B71">
        <v>61.014499999999998</v>
      </c>
      <c r="C71">
        <v>58.235900000000001</v>
      </c>
    </row>
    <row r="72" spans="1:3">
      <c r="A72">
        <v>63.334899999999998</v>
      </c>
      <c r="B72">
        <v>62.781300000000002</v>
      </c>
      <c r="C72">
        <v>58.462699999999998</v>
      </c>
    </row>
    <row r="73" spans="1:3">
      <c r="A73">
        <v>64.427000000000007</v>
      </c>
      <c r="B73">
        <v>64.977699999999999</v>
      </c>
      <c r="C73">
        <v>58.702199999999998</v>
      </c>
    </row>
    <row r="74" spans="1:3">
      <c r="A74">
        <v>65.723699999999994</v>
      </c>
      <c r="B74">
        <v>67.846900000000005</v>
      </c>
      <c r="C74">
        <v>58.960700000000003</v>
      </c>
    </row>
    <row r="75" spans="1:3">
      <c r="A75">
        <v>67.354699999999994</v>
      </c>
      <c r="B75">
        <v>71.904200000000003</v>
      </c>
      <c r="C75">
        <v>59.250100000000003</v>
      </c>
    </row>
    <row r="76" spans="1:3">
      <c r="A76">
        <v>69.642700000000005</v>
      </c>
      <c r="B76">
        <v>78.563999999999993</v>
      </c>
      <c r="C76">
        <v>59.597499999999997</v>
      </c>
    </row>
    <row r="77" spans="1:3">
      <c r="A77">
        <v>73.992400000000004</v>
      </c>
      <c r="B77">
        <v>95.125299999999996</v>
      </c>
      <c r="C77">
        <v>60.106099999999998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8CB8-17DA-412D-9667-43F925917B59}">
  <dimension ref="A3:H8"/>
  <sheetViews>
    <sheetView topLeftCell="B1" zoomScale="145" zoomScaleNormal="145" workbookViewId="0">
      <selection activeCell="R1" sqref="R1"/>
    </sheetView>
  </sheetViews>
  <sheetFormatPr defaultRowHeight="14.25"/>
  <cols>
    <col min="1" max="1" width="19.875" bestFit="1" customWidth="1"/>
    <col min="2" max="2" width="16.125" bestFit="1" customWidth="1"/>
    <col min="3" max="7" width="7.5" bestFit="1" customWidth="1"/>
    <col min="8" max="8" width="11.375" bestFit="1" customWidth="1"/>
    <col min="9" max="98" width="6.375" bestFit="1" customWidth="1"/>
    <col min="99" max="4552" width="7.375" bestFit="1" customWidth="1"/>
    <col min="4553" max="4553" width="11.375" bestFit="1" customWidth="1"/>
  </cols>
  <sheetData>
    <row r="3" spans="1:8">
      <c r="A3" s="7" t="s">
        <v>176</v>
      </c>
      <c r="B3" s="7" t="s">
        <v>192</v>
      </c>
    </row>
    <row r="4" spans="1:8">
      <c r="A4" s="7" t="s">
        <v>174</v>
      </c>
      <c r="B4" s="5" t="s">
        <v>193</v>
      </c>
      <c r="C4" s="5" t="s">
        <v>194</v>
      </c>
      <c r="D4" s="5" t="s">
        <v>195</v>
      </c>
      <c r="E4" s="5" t="s">
        <v>196</v>
      </c>
      <c r="F4" s="5" t="s">
        <v>197</v>
      </c>
      <c r="G4" s="5" t="s">
        <v>198</v>
      </c>
      <c r="H4" s="5" t="s">
        <v>175</v>
      </c>
    </row>
    <row r="5" spans="1:8">
      <c r="A5" s="8" t="s">
        <v>27</v>
      </c>
      <c r="B5">
        <v>431</v>
      </c>
      <c r="C5">
        <v>1514</v>
      </c>
      <c r="D5">
        <v>873</v>
      </c>
      <c r="E5">
        <v>239</v>
      </c>
      <c r="F5">
        <v>57</v>
      </c>
      <c r="G5">
        <v>21</v>
      </c>
      <c r="H5">
        <v>3135</v>
      </c>
    </row>
    <row r="6" spans="1:8">
      <c r="A6" s="8" t="s">
        <v>36</v>
      </c>
      <c r="B6">
        <v>341</v>
      </c>
      <c r="C6">
        <v>897</v>
      </c>
      <c r="D6">
        <v>464</v>
      </c>
      <c r="E6">
        <v>110</v>
      </c>
      <c r="F6">
        <v>28</v>
      </c>
      <c r="G6">
        <v>8</v>
      </c>
      <c r="H6">
        <v>1848</v>
      </c>
    </row>
    <row r="7" spans="1:8">
      <c r="A7" s="8" t="s">
        <v>68</v>
      </c>
      <c r="B7">
        <v>5</v>
      </c>
      <c r="C7">
        <v>7</v>
      </c>
      <c r="D7">
        <v>4</v>
      </c>
      <c r="E7">
        <v>1</v>
      </c>
      <c r="H7">
        <v>17</v>
      </c>
    </row>
    <row r="8" spans="1:8">
      <c r="A8" s="8" t="s">
        <v>175</v>
      </c>
      <c r="B8">
        <v>777</v>
      </c>
      <c r="C8">
        <v>2418</v>
      </c>
      <c r="D8">
        <v>1341</v>
      </c>
      <c r="E8">
        <v>350</v>
      </c>
      <c r="F8">
        <v>85</v>
      </c>
      <c r="G8">
        <v>29</v>
      </c>
      <c r="H8">
        <v>5000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01"/>
  <sheetViews>
    <sheetView zoomScale="130" zoomScaleNormal="130" workbookViewId="0">
      <selection activeCell="O9" sqref="O9"/>
    </sheetView>
  </sheetViews>
  <sheetFormatPr defaultRowHeight="14.25"/>
  <cols>
    <col min="1" max="1" width="10" customWidth="1"/>
    <col min="2" max="2" width="8" hidden="1" customWidth="1"/>
    <col min="3" max="3" width="12" hidden="1" customWidth="1"/>
    <col min="4" max="4" width="14" hidden="1" customWidth="1"/>
    <col min="5" max="5" width="8" hidden="1" customWidth="1"/>
    <col min="6" max="6" width="10" hidden="1" customWidth="1"/>
    <col min="7" max="7" width="20" hidden="1" customWidth="1"/>
    <col min="8" max="8" width="8" customWidth="1"/>
    <col min="9" max="9" width="16" customWidth="1"/>
    <col min="10" max="11" width="10" customWidth="1"/>
    <col min="12" max="12" width="8" customWidth="1"/>
    <col min="13" max="13" width="16" customWidth="1"/>
    <col min="14" max="14" width="8" customWidth="1"/>
    <col min="15" max="15" width="10" customWidth="1"/>
    <col min="16" max="16" width="18" customWidth="1"/>
    <col min="17" max="17" width="12" customWidth="1"/>
    <col min="18" max="18" width="10" customWidth="1"/>
    <col min="19" max="19" width="14" customWidth="1"/>
    <col min="20" max="20" width="10" customWidth="1"/>
    <col min="21" max="21" width="14" customWidth="1"/>
    <col min="22" max="22" width="22" customWidth="1"/>
    <col min="23" max="23" width="24" customWidth="1"/>
    <col min="24" max="24" width="12" customWidth="1"/>
    <col min="25" max="26" width="14" customWidth="1"/>
  </cols>
  <sheetData>
    <row r="1" spans="1:2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>
        <v>1</v>
      </c>
      <c r="C2" s="2">
        <v>46185</v>
      </c>
      <c r="D2" t="s">
        <v>26</v>
      </c>
      <c r="E2">
        <v>6</v>
      </c>
      <c r="F2" s="3">
        <v>10.220000000000001</v>
      </c>
      <c r="G2" t="s">
        <v>27</v>
      </c>
      <c r="H2">
        <v>49</v>
      </c>
      <c r="I2" t="s">
        <v>28</v>
      </c>
      <c r="J2" s="4">
        <v>68.5</v>
      </c>
      <c r="K2" s="4">
        <v>157.19999999999999</v>
      </c>
      <c r="L2" s="4">
        <v>23.4</v>
      </c>
      <c r="M2">
        <v>12</v>
      </c>
      <c r="N2" t="s">
        <v>29</v>
      </c>
      <c r="O2">
        <v>6</v>
      </c>
      <c r="P2" s="4">
        <v>1873.5</v>
      </c>
      <c r="Q2" t="s">
        <v>30</v>
      </c>
      <c r="R2">
        <v>1</v>
      </c>
      <c r="S2" t="s">
        <v>31</v>
      </c>
      <c r="T2">
        <v>1</v>
      </c>
      <c r="U2">
        <v>1</v>
      </c>
      <c r="V2" t="s">
        <v>32</v>
      </c>
      <c r="W2" t="s">
        <v>33</v>
      </c>
      <c r="X2" s="4">
        <v>8.5</v>
      </c>
      <c r="Y2">
        <v>8</v>
      </c>
      <c r="Z2" s="5">
        <v>272.44</v>
      </c>
    </row>
    <row r="3" spans="1:26">
      <c r="A3">
        <v>2</v>
      </c>
      <c r="B3">
        <v>1</v>
      </c>
      <c r="C3" s="2">
        <v>46185</v>
      </c>
      <c r="D3" t="s">
        <v>26</v>
      </c>
      <c r="E3">
        <v>6</v>
      </c>
      <c r="F3" s="3">
        <v>10.27</v>
      </c>
      <c r="G3" t="s">
        <v>27</v>
      </c>
      <c r="H3">
        <v>30</v>
      </c>
      <c r="I3" t="s">
        <v>34</v>
      </c>
      <c r="J3" s="4">
        <v>61.3</v>
      </c>
      <c r="K3" s="4">
        <v>171.1</v>
      </c>
      <c r="L3" s="4">
        <v>32.1</v>
      </c>
      <c r="M3">
        <v>13</v>
      </c>
      <c r="N3" t="s">
        <v>29</v>
      </c>
      <c r="O3">
        <v>6</v>
      </c>
      <c r="P3" s="4">
        <v>1873.5</v>
      </c>
      <c r="Q3" t="s">
        <v>30</v>
      </c>
      <c r="R3">
        <v>1</v>
      </c>
      <c r="S3" t="s">
        <v>31</v>
      </c>
      <c r="T3">
        <v>1</v>
      </c>
      <c r="U3">
        <v>1</v>
      </c>
      <c r="V3" t="s">
        <v>32</v>
      </c>
      <c r="W3" t="s">
        <v>33</v>
      </c>
      <c r="X3" s="4">
        <v>8.4</v>
      </c>
      <c r="Y3">
        <v>7</v>
      </c>
      <c r="Z3" s="5">
        <v>195.14</v>
      </c>
    </row>
    <row r="4" spans="1:26">
      <c r="A4">
        <v>3</v>
      </c>
      <c r="B4">
        <v>1</v>
      </c>
      <c r="C4" s="2">
        <v>46185</v>
      </c>
      <c r="D4" t="s">
        <v>26</v>
      </c>
      <c r="E4">
        <v>6</v>
      </c>
      <c r="F4" s="3">
        <v>10.27</v>
      </c>
      <c r="G4" t="s">
        <v>27</v>
      </c>
      <c r="H4">
        <v>35</v>
      </c>
      <c r="I4" t="s">
        <v>28</v>
      </c>
      <c r="J4" s="4">
        <v>72</v>
      </c>
      <c r="K4" s="4">
        <v>270.39999999999998</v>
      </c>
      <c r="L4" s="4">
        <v>36.700000000000003</v>
      </c>
      <c r="M4">
        <v>14</v>
      </c>
      <c r="N4" t="s">
        <v>29</v>
      </c>
      <c r="O4">
        <v>6</v>
      </c>
      <c r="P4" s="4">
        <v>1873.5</v>
      </c>
      <c r="Q4" t="s">
        <v>30</v>
      </c>
      <c r="R4">
        <v>1</v>
      </c>
      <c r="S4" t="s">
        <v>31</v>
      </c>
      <c r="T4">
        <v>1</v>
      </c>
      <c r="U4">
        <v>1</v>
      </c>
      <c r="V4" t="s">
        <v>32</v>
      </c>
      <c r="W4" t="s">
        <v>33</v>
      </c>
      <c r="X4" s="4">
        <v>9.4</v>
      </c>
      <c r="Y4">
        <v>9</v>
      </c>
      <c r="Z4" s="5">
        <v>351.49</v>
      </c>
    </row>
    <row r="5" spans="1:26">
      <c r="A5">
        <v>4</v>
      </c>
      <c r="B5">
        <v>1</v>
      </c>
      <c r="C5" s="2">
        <v>46185</v>
      </c>
      <c r="D5" t="s">
        <v>26</v>
      </c>
      <c r="E5">
        <v>6</v>
      </c>
      <c r="F5" s="3">
        <v>10.09</v>
      </c>
      <c r="G5" t="s">
        <v>27</v>
      </c>
      <c r="H5">
        <v>42</v>
      </c>
      <c r="I5" t="s">
        <v>34</v>
      </c>
      <c r="J5" s="4">
        <v>64.5</v>
      </c>
      <c r="K5" s="4">
        <v>152.69999999999999</v>
      </c>
      <c r="L5" s="4">
        <v>25.8</v>
      </c>
      <c r="M5">
        <v>12</v>
      </c>
      <c r="N5" t="s">
        <v>29</v>
      </c>
      <c r="O5">
        <v>6</v>
      </c>
      <c r="P5" s="4">
        <v>1873.5</v>
      </c>
      <c r="Q5" t="s">
        <v>30</v>
      </c>
      <c r="R5">
        <v>1</v>
      </c>
      <c r="S5" t="s">
        <v>31</v>
      </c>
      <c r="T5">
        <v>1</v>
      </c>
      <c r="U5">
        <v>1</v>
      </c>
      <c r="V5" t="s">
        <v>32</v>
      </c>
      <c r="W5" t="s">
        <v>33</v>
      </c>
      <c r="X5" s="4">
        <v>9.8000000000000007</v>
      </c>
      <c r="Y5">
        <v>10</v>
      </c>
      <c r="Z5" s="5">
        <v>212.75</v>
      </c>
    </row>
    <row r="6" spans="1:26">
      <c r="A6">
        <v>5</v>
      </c>
      <c r="B6">
        <v>1</v>
      </c>
      <c r="C6" s="2">
        <v>46185</v>
      </c>
      <c r="D6" t="s">
        <v>26</v>
      </c>
      <c r="E6">
        <v>6</v>
      </c>
      <c r="F6" s="3">
        <v>10.14</v>
      </c>
      <c r="G6" t="s">
        <v>27</v>
      </c>
      <c r="H6">
        <v>59</v>
      </c>
      <c r="I6" t="s">
        <v>28</v>
      </c>
      <c r="J6" s="4">
        <v>69.7</v>
      </c>
      <c r="K6" s="4">
        <v>164.6</v>
      </c>
      <c r="L6" s="4">
        <v>23.8</v>
      </c>
      <c r="M6">
        <v>14</v>
      </c>
      <c r="N6" t="s">
        <v>29</v>
      </c>
      <c r="O6">
        <v>6</v>
      </c>
      <c r="P6" s="4">
        <v>1873.5</v>
      </c>
      <c r="Q6" t="s">
        <v>30</v>
      </c>
      <c r="R6">
        <v>1</v>
      </c>
      <c r="S6" t="s">
        <v>31</v>
      </c>
      <c r="T6">
        <v>1</v>
      </c>
      <c r="U6">
        <v>1</v>
      </c>
      <c r="V6" t="s">
        <v>32</v>
      </c>
      <c r="W6" t="s">
        <v>33</v>
      </c>
      <c r="X6" s="4">
        <v>8</v>
      </c>
      <c r="Y6">
        <v>7</v>
      </c>
      <c r="Z6" s="5">
        <v>149.51</v>
      </c>
    </row>
    <row r="7" spans="1:26">
      <c r="A7">
        <v>6</v>
      </c>
      <c r="B7">
        <v>1</v>
      </c>
      <c r="C7" s="2">
        <v>46185</v>
      </c>
      <c r="D7" t="s">
        <v>26</v>
      </c>
      <c r="E7">
        <v>6</v>
      </c>
      <c r="F7" s="3">
        <v>10.38</v>
      </c>
      <c r="G7" t="s">
        <v>27</v>
      </c>
      <c r="H7">
        <v>44</v>
      </c>
      <c r="I7" t="s">
        <v>28</v>
      </c>
      <c r="J7" s="4">
        <v>66.3</v>
      </c>
      <c r="K7" s="4">
        <v>144.6</v>
      </c>
      <c r="L7" s="4">
        <v>23.1</v>
      </c>
      <c r="M7">
        <v>12</v>
      </c>
      <c r="N7" t="s">
        <v>29</v>
      </c>
      <c r="O7">
        <v>6</v>
      </c>
      <c r="P7" s="4">
        <v>1873.5</v>
      </c>
      <c r="Q7" t="s">
        <v>30</v>
      </c>
      <c r="R7">
        <v>1</v>
      </c>
      <c r="S7" t="s">
        <v>31</v>
      </c>
      <c r="T7">
        <v>1</v>
      </c>
      <c r="U7">
        <v>1</v>
      </c>
      <c r="V7" t="s">
        <v>32</v>
      </c>
      <c r="W7" t="s">
        <v>33</v>
      </c>
      <c r="X7" s="4">
        <v>8.5</v>
      </c>
      <c r="Y7">
        <v>4</v>
      </c>
      <c r="Z7" s="5">
        <v>247.77</v>
      </c>
    </row>
    <row r="8" spans="1:26">
      <c r="A8">
        <v>7</v>
      </c>
      <c r="B8">
        <v>2</v>
      </c>
      <c r="C8" s="2">
        <v>46091</v>
      </c>
      <c r="D8" t="s">
        <v>35</v>
      </c>
      <c r="E8">
        <v>3</v>
      </c>
      <c r="F8" s="3">
        <v>13.46</v>
      </c>
      <c r="G8" t="s">
        <v>36</v>
      </c>
      <c r="H8">
        <v>24</v>
      </c>
      <c r="I8" t="s">
        <v>34</v>
      </c>
      <c r="J8" s="4">
        <v>65.5</v>
      </c>
      <c r="K8" s="4">
        <v>187.6</v>
      </c>
      <c r="L8" s="4">
        <v>30.7</v>
      </c>
      <c r="M8">
        <v>13</v>
      </c>
      <c r="N8" t="s">
        <v>37</v>
      </c>
      <c r="O8">
        <v>3</v>
      </c>
      <c r="P8" s="4">
        <v>1107.5</v>
      </c>
      <c r="Q8" t="s">
        <v>30</v>
      </c>
      <c r="R8">
        <v>0</v>
      </c>
      <c r="S8" t="s">
        <v>38</v>
      </c>
      <c r="T8">
        <v>0</v>
      </c>
      <c r="U8">
        <v>0</v>
      </c>
      <c r="V8" t="s">
        <v>64</v>
      </c>
      <c r="W8" t="s">
        <v>39</v>
      </c>
      <c r="X8" s="4">
        <v>7.5</v>
      </c>
      <c r="Y8">
        <v>2</v>
      </c>
      <c r="Z8" s="5">
        <v>127.52</v>
      </c>
    </row>
    <row r="9" spans="1:26">
      <c r="A9">
        <v>8</v>
      </c>
      <c r="B9">
        <v>2</v>
      </c>
      <c r="C9" s="2">
        <v>46091</v>
      </c>
      <c r="D9" t="s">
        <v>35</v>
      </c>
      <c r="E9">
        <v>3</v>
      </c>
      <c r="F9" s="3">
        <v>13.5</v>
      </c>
      <c r="G9" t="s">
        <v>36</v>
      </c>
      <c r="H9">
        <v>4</v>
      </c>
      <c r="I9" t="s">
        <v>34</v>
      </c>
      <c r="J9" s="4">
        <v>65.3</v>
      </c>
      <c r="K9" s="4">
        <v>119</v>
      </c>
      <c r="L9" s="4">
        <v>19.7</v>
      </c>
      <c r="M9">
        <v>13</v>
      </c>
      <c r="N9" t="s">
        <v>37</v>
      </c>
      <c r="O9">
        <v>3</v>
      </c>
      <c r="P9" s="4">
        <v>1107.5</v>
      </c>
      <c r="Q9" t="s">
        <v>30</v>
      </c>
      <c r="R9">
        <v>0</v>
      </c>
      <c r="S9" t="s">
        <v>38</v>
      </c>
      <c r="T9">
        <v>0</v>
      </c>
      <c r="U9">
        <v>0</v>
      </c>
      <c r="V9" t="s">
        <v>64</v>
      </c>
      <c r="W9" t="s">
        <v>39</v>
      </c>
      <c r="X9" s="4">
        <v>5.3</v>
      </c>
      <c r="Y9">
        <v>4</v>
      </c>
      <c r="Z9" s="5">
        <v>128.78</v>
      </c>
    </row>
    <row r="10" spans="1:26">
      <c r="A10">
        <v>9</v>
      </c>
      <c r="B10">
        <v>2</v>
      </c>
      <c r="C10" s="2">
        <v>46091</v>
      </c>
      <c r="D10" t="s">
        <v>35</v>
      </c>
      <c r="E10">
        <v>3</v>
      </c>
      <c r="F10" s="3">
        <v>13.29</v>
      </c>
      <c r="G10" t="s">
        <v>36</v>
      </c>
      <c r="H10">
        <v>54</v>
      </c>
      <c r="I10" t="s">
        <v>28</v>
      </c>
      <c r="J10" s="4">
        <v>70.3</v>
      </c>
      <c r="K10" s="4">
        <v>206</v>
      </c>
      <c r="L10" s="4">
        <v>28.8</v>
      </c>
      <c r="M10">
        <v>14</v>
      </c>
      <c r="N10" t="s">
        <v>37</v>
      </c>
      <c r="O10">
        <v>3</v>
      </c>
      <c r="P10" s="4">
        <v>1107.5</v>
      </c>
      <c r="Q10" t="s">
        <v>30</v>
      </c>
      <c r="R10">
        <v>0</v>
      </c>
      <c r="S10" t="s">
        <v>38</v>
      </c>
      <c r="T10">
        <v>0</v>
      </c>
      <c r="U10">
        <v>0</v>
      </c>
      <c r="V10" t="s">
        <v>64</v>
      </c>
      <c r="W10" t="s">
        <v>39</v>
      </c>
      <c r="X10" s="4">
        <v>5.6</v>
      </c>
      <c r="Y10">
        <v>10</v>
      </c>
      <c r="Z10" s="5">
        <v>130.47</v>
      </c>
    </row>
    <row r="11" spans="1:26">
      <c r="A11">
        <v>10</v>
      </c>
      <c r="B11">
        <v>3</v>
      </c>
      <c r="C11" s="2">
        <v>46109</v>
      </c>
      <c r="D11" t="s">
        <v>40</v>
      </c>
      <c r="E11">
        <v>3</v>
      </c>
      <c r="F11" s="3">
        <v>10.199999999999999</v>
      </c>
      <c r="G11" t="s">
        <v>27</v>
      </c>
      <c r="H11">
        <v>64</v>
      </c>
      <c r="I11" t="s">
        <v>28</v>
      </c>
      <c r="J11" s="4">
        <v>63</v>
      </c>
      <c r="K11" s="4">
        <v>106.4</v>
      </c>
      <c r="L11" s="4">
        <v>18.899999999999999</v>
      </c>
      <c r="M11">
        <v>14</v>
      </c>
      <c r="N11" t="s">
        <v>41</v>
      </c>
      <c r="O11">
        <v>2</v>
      </c>
      <c r="P11" s="4">
        <v>2019.7</v>
      </c>
      <c r="Q11" t="s">
        <v>42</v>
      </c>
      <c r="R11">
        <v>0</v>
      </c>
      <c r="S11" t="s">
        <v>31</v>
      </c>
      <c r="T11">
        <v>1</v>
      </c>
      <c r="U11">
        <v>0</v>
      </c>
      <c r="V11" t="s">
        <v>32</v>
      </c>
      <c r="W11" t="s">
        <v>43</v>
      </c>
      <c r="X11" s="4">
        <v>7.8</v>
      </c>
      <c r="Y11">
        <v>9</v>
      </c>
      <c r="Z11" s="5">
        <v>257.8</v>
      </c>
    </row>
    <row r="12" spans="1:26">
      <c r="A12">
        <v>11</v>
      </c>
      <c r="B12">
        <v>3</v>
      </c>
      <c r="C12" s="2">
        <v>46109</v>
      </c>
      <c r="D12" t="s">
        <v>40</v>
      </c>
      <c r="E12">
        <v>3</v>
      </c>
      <c r="F12" s="3">
        <v>10.38</v>
      </c>
      <c r="G12" t="s">
        <v>27</v>
      </c>
      <c r="H12">
        <v>33</v>
      </c>
      <c r="I12" t="s">
        <v>34</v>
      </c>
      <c r="J12" s="4">
        <v>64.7</v>
      </c>
      <c r="K12" s="4">
        <v>153.69999999999999</v>
      </c>
      <c r="L12" s="4">
        <v>25.8</v>
      </c>
      <c r="M12">
        <v>13</v>
      </c>
      <c r="N12" t="s">
        <v>41</v>
      </c>
      <c r="O12">
        <v>2</v>
      </c>
      <c r="P12" s="4">
        <v>2019.7</v>
      </c>
      <c r="Q12" t="s">
        <v>42</v>
      </c>
      <c r="R12">
        <v>0</v>
      </c>
      <c r="S12" t="s">
        <v>31</v>
      </c>
      <c r="T12">
        <v>1</v>
      </c>
      <c r="U12">
        <v>0</v>
      </c>
      <c r="V12" t="s">
        <v>32</v>
      </c>
      <c r="W12" t="s">
        <v>43</v>
      </c>
      <c r="X12" s="4">
        <v>8.3000000000000007</v>
      </c>
      <c r="Y12">
        <v>9</v>
      </c>
      <c r="Z12" s="5">
        <v>180.62</v>
      </c>
    </row>
    <row r="13" spans="1:26">
      <c r="A13">
        <v>12</v>
      </c>
      <c r="B13">
        <v>4</v>
      </c>
      <c r="C13" s="2">
        <v>46200</v>
      </c>
      <c r="D13" t="s">
        <v>40</v>
      </c>
      <c r="E13">
        <v>6</v>
      </c>
      <c r="F13" s="3">
        <v>10.01</v>
      </c>
      <c r="G13" t="s">
        <v>27</v>
      </c>
      <c r="H13">
        <v>22</v>
      </c>
      <c r="I13" t="s">
        <v>34</v>
      </c>
      <c r="J13" s="4">
        <v>67.400000000000006</v>
      </c>
      <c r="K13" s="4">
        <v>128.30000000000001</v>
      </c>
      <c r="L13" s="4">
        <v>19.899999999999999</v>
      </c>
      <c r="M13">
        <v>14</v>
      </c>
      <c r="N13" t="s">
        <v>37</v>
      </c>
      <c r="O13">
        <v>2</v>
      </c>
      <c r="P13" s="4">
        <v>865.4</v>
      </c>
      <c r="Q13" t="s">
        <v>42</v>
      </c>
      <c r="R13">
        <v>1</v>
      </c>
      <c r="S13" t="s">
        <v>44</v>
      </c>
      <c r="T13">
        <v>1</v>
      </c>
      <c r="U13">
        <v>1</v>
      </c>
      <c r="V13" t="s">
        <v>45</v>
      </c>
      <c r="W13" t="s">
        <v>39</v>
      </c>
      <c r="X13" s="4">
        <v>10</v>
      </c>
      <c r="Y13">
        <v>10</v>
      </c>
      <c r="Z13" s="5">
        <v>228.9</v>
      </c>
    </row>
    <row r="14" spans="1:26">
      <c r="A14">
        <v>13</v>
      </c>
      <c r="B14">
        <v>4</v>
      </c>
      <c r="C14" s="2">
        <v>46200</v>
      </c>
      <c r="D14" t="s">
        <v>40</v>
      </c>
      <c r="E14">
        <v>6</v>
      </c>
      <c r="F14" s="3">
        <v>9.8800000000000008</v>
      </c>
      <c r="G14" t="s">
        <v>27</v>
      </c>
      <c r="H14">
        <v>9</v>
      </c>
      <c r="I14" t="s">
        <v>34</v>
      </c>
      <c r="J14" s="4">
        <v>61.7</v>
      </c>
      <c r="K14" s="4">
        <v>131.30000000000001</v>
      </c>
      <c r="L14" s="4">
        <v>24.3</v>
      </c>
      <c r="M14">
        <v>15</v>
      </c>
      <c r="N14" t="s">
        <v>37</v>
      </c>
      <c r="O14">
        <v>2</v>
      </c>
      <c r="P14" s="4">
        <v>865.4</v>
      </c>
      <c r="Q14" t="s">
        <v>42</v>
      </c>
      <c r="R14">
        <v>1</v>
      </c>
      <c r="S14" t="s">
        <v>44</v>
      </c>
      <c r="T14">
        <v>1</v>
      </c>
      <c r="U14">
        <v>1</v>
      </c>
      <c r="V14" t="s">
        <v>45</v>
      </c>
      <c r="W14" t="s">
        <v>39</v>
      </c>
      <c r="X14" s="4">
        <v>9.5</v>
      </c>
      <c r="Y14">
        <v>7</v>
      </c>
      <c r="Z14" s="5">
        <v>288.97000000000003</v>
      </c>
    </row>
    <row r="15" spans="1:26">
      <c r="A15">
        <v>14</v>
      </c>
      <c r="B15">
        <v>5</v>
      </c>
      <c r="C15" s="2">
        <v>46286</v>
      </c>
      <c r="D15" t="s">
        <v>46</v>
      </c>
      <c r="E15">
        <v>9</v>
      </c>
      <c r="F15" s="3">
        <v>9.51</v>
      </c>
      <c r="G15" t="s">
        <v>27</v>
      </c>
      <c r="H15">
        <v>25</v>
      </c>
      <c r="I15" t="s">
        <v>34</v>
      </c>
      <c r="J15" s="4">
        <v>64.400000000000006</v>
      </c>
      <c r="K15" s="4">
        <v>145.9</v>
      </c>
      <c r="L15" s="4">
        <v>24.6</v>
      </c>
      <c r="M15">
        <v>15</v>
      </c>
      <c r="N15" t="s">
        <v>47</v>
      </c>
      <c r="O15">
        <v>2</v>
      </c>
      <c r="P15" s="4">
        <v>102.2</v>
      </c>
      <c r="Q15" t="s">
        <v>48</v>
      </c>
      <c r="R15">
        <v>1</v>
      </c>
      <c r="S15" t="s">
        <v>31</v>
      </c>
      <c r="T15">
        <v>1</v>
      </c>
      <c r="U15">
        <v>1</v>
      </c>
      <c r="V15" t="s">
        <v>32</v>
      </c>
      <c r="W15" t="s">
        <v>49</v>
      </c>
      <c r="X15" s="4">
        <v>10.4</v>
      </c>
      <c r="Y15">
        <v>10</v>
      </c>
      <c r="Z15" s="5">
        <v>310.3</v>
      </c>
    </row>
    <row r="16" spans="1:26">
      <c r="A16">
        <v>15</v>
      </c>
      <c r="B16">
        <v>5</v>
      </c>
      <c r="C16" s="2">
        <v>46286</v>
      </c>
      <c r="D16" t="s">
        <v>46</v>
      </c>
      <c r="E16">
        <v>9</v>
      </c>
      <c r="F16" s="3">
        <v>10.01</v>
      </c>
      <c r="G16" t="s">
        <v>27</v>
      </c>
      <c r="H16">
        <v>48</v>
      </c>
      <c r="I16" t="s">
        <v>28</v>
      </c>
      <c r="J16" s="4">
        <v>72.8</v>
      </c>
      <c r="K16" s="4">
        <v>135.9</v>
      </c>
      <c r="L16" s="4">
        <v>18.3</v>
      </c>
      <c r="M16">
        <v>16</v>
      </c>
      <c r="N16" t="s">
        <v>47</v>
      </c>
      <c r="O16">
        <v>2</v>
      </c>
      <c r="P16" s="4">
        <v>102.2</v>
      </c>
      <c r="Q16" t="s">
        <v>48</v>
      </c>
      <c r="R16">
        <v>1</v>
      </c>
      <c r="S16" t="s">
        <v>31</v>
      </c>
      <c r="T16">
        <v>1</v>
      </c>
      <c r="U16">
        <v>1</v>
      </c>
      <c r="V16" t="s">
        <v>32</v>
      </c>
      <c r="W16" t="s">
        <v>49</v>
      </c>
      <c r="X16" s="4">
        <v>7.4</v>
      </c>
      <c r="Y16">
        <v>7</v>
      </c>
      <c r="Z16" s="5">
        <v>331.52</v>
      </c>
    </row>
    <row r="17" spans="1:26">
      <c r="A17">
        <v>16</v>
      </c>
      <c r="B17">
        <v>6</v>
      </c>
      <c r="C17" s="2">
        <v>46073</v>
      </c>
      <c r="D17" t="s">
        <v>26</v>
      </c>
      <c r="E17">
        <v>2</v>
      </c>
      <c r="F17" s="3">
        <v>7.99</v>
      </c>
      <c r="G17" t="s">
        <v>27</v>
      </c>
      <c r="H17">
        <v>26</v>
      </c>
      <c r="I17" t="s">
        <v>34</v>
      </c>
      <c r="J17" s="4">
        <v>62</v>
      </c>
      <c r="K17" s="4">
        <v>122.7</v>
      </c>
      <c r="L17" s="4">
        <v>22.5</v>
      </c>
      <c r="M17">
        <v>17</v>
      </c>
      <c r="N17" t="s">
        <v>50</v>
      </c>
      <c r="O17">
        <v>5</v>
      </c>
      <c r="P17" s="4">
        <v>293.10000000000002</v>
      </c>
      <c r="Q17" t="s">
        <v>42</v>
      </c>
      <c r="R17">
        <v>1</v>
      </c>
      <c r="S17" t="s">
        <v>44</v>
      </c>
      <c r="T17">
        <v>0</v>
      </c>
      <c r="U17">
        <v>0</v>
      </c>
      <c r="V17" t="s">
        <v>32</v>
      </c>
      <c r="W17" t="s">
        <v>49</v>
      </c>
      <c r="X17" s="4">
        <v>8</v>
      </c>
      <c r="Y17">
        <v>3</v>
      </c>
      <c r="Z17" s="5">
        <v>274.83</v>
      </c>
    </row>
    <row r="18" spans="1:26">
      <c r="A18">
        <v>17</v>
      </c>
      <c r="B18">
        <v>6</v>
      </c>
      <c r="C18" s="2">
        <v>46073</v>
      </c>
      <c r="D18" t="s">
        <v>26</v>
      </c>
      <c r="E18">
        <v>2</v>
      </c>
      <c r="F18" s="3">
        <v>7.87</v>
      </c>
      <c r="G18" t="s">
        <v>27</v>
      </c>
      <c r="H18">
        <v>6</v>
      </c>
      <c r="I18" t="s">
        <v>34</v>
      </c>
      <c r="J18" s="4">
        <v>60.4</v>
      </c>
      <c r="K18" s="4">
        <v>135.80000000000001</v>
      </c>
      <c r="L18" s="4">
        <v>26.1</v>
      </c>
      <c r="M18">
        <v>9</v>
      </c>
      <c r="N18" t="s">
        <v>50</v>
      </c>
      <c r="O18">
        <v>5</v>
      </c>
      <c r="P18" s="4">
        <v>293.10000000000002</v>
      </c>
      <c r="Q18" t="s">
        <v>42</v>
      </c>
      <c r="R18">
        <v>1</v>
      </c>
      <c r="S18" t="s">
        <v>44</v>
      </c>
      <c r="T18">
        <v>0</v>
      </c>
      <c r="U18">
        <v>0</v>
      </c>
      <c r="V18" t="s">
        <v>32</v>
      </c>
      <c r="W18" t="s">
        <v>49</v>
      </c>
      <c r="X18" s="4">
        <v>9.1999999999999993</v>
      </c>
      <c r="Y18">
        <v>8</v>
      </c>
      <c r="Z18" s="5">
        <v>371.6</v>
      </c>
    </row>
    <row r="19" spans="1:26">
      <c r="A19">
        <v>18</v>
      </c>
      <c r="B19">
        <v>6</v>
      </c>
      <c r="C19" s="2">
        <v>46073</v>
      </c>
      <c r="D19" t="s">
        <v>26</v>
      </c>
      <c r="E19">
        <v>2</v>
      </c>
      <c r="F19" s="3">
        <v>7.9</v>
      </c>
      <c r="G19" t="s">
        <v>27</v>
      </c>
      <c r="H19">
        <v>55</v>
      </c>
      <c r="I19" t="s">
        <v>28</v>
      </c>
      <c r="J19" s="4">
        <v>68.7</v>
      </c>
      <c r="K19" s="4">
        <v>215.8</v>
      </c>
      <c r="L19" s="4">
        <v>31.9</v>
      </c>
      <c r="M19">
        <v>15</v>
      </c>
      <c r="N19" t="s">
        <v>50</v>
      </c>
      <c r="O19">
        <v>5</v>
      </c>
      <c r="P19" s="4">
        <v>293.10000000000002</v>
      </c>
      <c r="Q19" t="s">
        <v>42</v>
      </c>
      <c r="R19">
        <v>1</v>
      </c>
      <c r="S19" t="s">
        <v>44</v>
      </c>
      <c r="T19">
        <v>0</v>
      </c>
      <c r="U19">
        <v>0</v>
      </c>
      <c r="V19" t="s">
        <v>32</v>
      </c>
      <c r="W19" t="s">
        <v>49</v>
      </c>
      <c r="X19" s="4">
        <v>5.5</v>
      </c>
      <c r="Y19">
        <v>9</v>
      </c>
      <c r="Z19" s="5">
        <v>154.76</v>
      </c>
    </row>
    <row r="20" spans="1:26">
      <c r="A20">
        <v>19</v>
      </c>
      <c r="B20">
        <v>6</v>
      </c>
      <c r="C20" s="2">
        <v>46073</v>
      </c>
      <c r="D20" t="s">
        <v>26</v>
      </c>
      <c r="E20">
        <v>2</v>
      </c>
      <c r="F20" s="3">
        <v>7.99</v>
      </c>
      <c r="G20" t="s">
        <v>27</v>
      </c>
      <c r="H20">
        <v>58</v>
      </c>
      <c r="I20" t="s">
        <v>34</v>
      </c>
      <c r="J20" s="4">
        <v>58.7</v>
      </c>
      <c r="K20" s="4">
        <v>110.3</v>
      </c>
      <c r="L20" s="4">
        <v>22.5</v>
      </c>
      <c r="M20">
        <v>18</v>
      </c>
      <c r="N20" t="s">
        <v>50</v>
      </c>
      <c r="O20">
        <v>5</v>
      </c>
      <c r="P20" s="4">
        <v>293.10000000000002</v>
      </c>
      <c r="Q20" t="s">
        <v>42</v>
      </c>
      <c r="R20">
        <v>1</v>
      </c>
      <c r="S20" t="s">
        <v>44</v>
      </c>
      <c r="T20">
        <v>0</v>
      </c>
      <c r="U20">
        <v>0</v>
      </c>
      <c r="V20" t="s">
        <v>32</v>
      </c>
      <c r="W20" t="s">
        <v>49</v>
      </c>
      <c r="X20" s="4">
        <v>7.1</v>
      </c>
      <c r="Y20">
        <v>9</v>
      </c>
      <c r="Z20" s="5">
        <v>214.66</v>
      </c>
    </row>
    <row r="21" spans="1:26">
      <c r="A21">
        <v>20</v>
      </c>
      <c r="B21">
        <v>6</v>
      </c>
      <c r="C21" s="2">
        <v>46073</v>
      </c>
      <c r="D21" t="s">
        <v>26</v>
      </c>
      <c r="E21">
        <v>2</v>
      </c>
      <c r="F21" s="3">
        <v>7.94</v>
      </c>
      <c r="G21" t="s">
        <v>27</v>
      </c>
      <c r="H21">
        <v>56</v>
      </c>
      <c r="I21" t="s">
        <v>51</v>
      </c>
      <c r="J21" s="4">
        <v>66.099999999999994</v>
      </c>
      <c r="K21" s="4">
        <v>180.7</v>
      </c>
      <c r="L21" s="4">
        <v>29</v>
      </c>
      <c r="M21">
        <v>16</v>
      </c>
      <c r="N21" t="s">
        <v>50</v>
      </c>
      <c r="O21">
        <v>5</v>
      </c>
      <c r="P21" s="4">
        <v>293.10000000000002</v>
      </c>
      <c r="Q21" t="s">
        <v>42</v>
      </c>
      <c r="R21">
        <v>1</v>
      </c>
      <c r="S21" t="s">
        <v>44</v>
      </c>
      <c r="T21">
        <v>0</v>
      </c>
      <c r="U21">
        <v>0</v>
      </c>
      <c r="V21" t="s">
        <v>32</v>
      </c>
      <c r="W21" t="s">
        <v>49</v>
      </c>
      <c r="X21" s="4">
        <v>8.6999999999999993</v>
      </c>
      <c r="Y21">
        <v>11</v>
      </c>
      <c r="Z21" s="5">
        <v>320.08999999999997</v>
      </c>
    </row>
    <row r="22" spans="1:26">
      <c r="A22">
        <v>21</v>
      </c>
      <c r="B22">
        <v>7</v>
      </c>
      <c r="C22" s="2">
        <v>46071</v>
      </c>
      <c r="D22" t="s">
        <v>52</v>
      </c>
      <c r="E22">
        <v>2</v>
      </c>
      <c r="F22" s="3">
        <v>7.66</v>
      </c>
      <c r="G22" t="s">
        <v>27</v>
      </c>
      <c r="H22">
        <v>13</v>
      </c>
      <c r="I22" t="s">
        <v>28</v>
      </c>
      <c r="J22" s="4">
        <v>70</v>
      </c>
      <c r="K22" s="4">
        <v>127.5</v>
      </c>
      <c r="L22" s="4">
        <v>18.2</v>
      </c>
      <c r="M22">
        <v>11</v>
      </c>
      <c r="N22" t="s">
        <v>53</v>
      </c>
      <c r="O22">
        <v>2</v>
      </c>
      <c r="P22" s="4">
        <v>1358.8</v>
      </c>
      <c r="Q22" t="s">
        <v>30</v>
      </c>
      <c r="R22">
        <v>1</v>
      </c>
      <c r="S22" t="s">
        <v>31</v>
      </c>
      <c r="T22">
        <v>0</v>
      </c>
      <c r="U22">
        <v>0</v>
      </c>
      <c r="V22" t="s">
        <v>32</v>
      </c>
      <c r="W22" t="s">
        <v>39</v>
      </c>
      <c r="X22" s="4">
        <v>11.8</v>
      </c>
      <c r="Y22">
        <v>6</v>
      </c>
      <c r="Z22" s="5">
        <v>154.68</v>
      </c>
    </row>
    <row r="23" spans="1:26">
      <c r="A23">
        <v>22</v>
      </c>
      <c r="B23">
        <v>7</v>
      </c>
      <c r="C23" s="2">
        <v>46071</v>
      </c>
      <c r="D23" t="s">
        <v>52</v>
      </c>
      <c r="E23">
        <v>2</v>
      </c>
      <c r="F23" s="3">
        <v>7.68</v>
      </c>
      <c r="G23" t="s">
        <v>27</v>
      </c>
      <c r="H23">
        <v>43</v>
      </c>
      <c r="I23" t="s">
        <v>34</v>
      </c>
      <c r="J23" s="4">
        <v>63.6</v>
      </c>
      <c r="K23" s="4">
        <v>157.69999999999999</v>
      </c>
      <c r="L23" s="4">
        <v>27.5</v>
      </c>
      <c r="M23">
        <v>14</v>
      </c>
      <c r="N23" t="s">
        <v>53</v>
      </c>
      <c r="O23">
        <v>2</v>
      </c>
      <c r="P23" s="4">
        <v>1358.8</v>
      </c>
      <c r="Q23" t="s">
        <v>30</v>
      </c>
      <c r="R23">
        <v>1</v>
      </c>
      <c r="S23" t="s">
        <v>31</v>
      </c>
      <c r="T23">
        <v>0</v>
      </c>
      <c r="U23">
        <v>0</v>
      </c>
      <c r="V23" t="s">
        <v>32</v>
      </c>
      <c r="W23" t="s">
        <v>39</v>
      </c>
      <c r="X23" s="4">
        <v>10.9</v>
      </c>
      <c r="Y23">
        <v>13</v>
      </c>
      <c r="Z23" s="5">
        <v>238.32</v>
      </c>
    </row>
    <row r="24" spans="1:26">
      <c r="A24">
        <v>23</v>
      </c>
      <c r="B24">
        <v>8</v>
      </c>
      <c r="C24" s="2">
        <v>46326</v>
      </c>
      <c r="D24" t="s">
        <v>40</v>
      </c>
      <c r="E24">
        <v>10</v>
      </c>
      <c r="F24" s="3">
        <v>11.76</v>
      </c>
      <c r="G24" t="s">
        <v>36</v>
      </c>
      <c r="H24">
        <v>26</v>
      </c>
      <c r="I24" t="s">
        <v>34</v>
      </c>
      <c r="J24" s="4">
        <v>62.4</v>
      </c>
      <c r="K24" s="4">
        <v>148.1</v>
      </c>
      <c r="L24" s="4">
        <v>26.6</v>
      </c>
      <c r="M24">
        <v>15</v>
      </c>
      <c r="N24" t="s">
        <v>47</v>
      </c>
      <c r="O24">
        <v>3</v>
      </c>
      <c r="P24" s="4">
        <v>163.69999999999999</v>
      </c>
      <c r="Q24" t="s">
        <v>48</v>
      </c>
      <c r="R24">
        <v>0</v>
      </c>
      <c r="S24" t="s">
        <v>44</v>
      </c>
      <c r="T24">
        <v>0</v>
      </c>
      <c r="U24">
        <v>0</v>
      </c>
      <c r="V24" t="s">
        <v>32</v>
      </c>
      <c r="W24" t="s">
        <v>49</v>
      </c>
      <c r="X24" s="4">
        <v>6.8</v>
      </c>
      <c r="Y24">
        <v>5</v>
      </c>
      <c r="Z24" s="5">
        <v>138.83000000000001</v>
      </c>
    </row>
    <row r="25" spans="1:26">
      <c r="A25">
        <v>24</v>
      </c>
      <c r="B25">
        <v>8</v>
      </c>
      <c r="C25" s="2">
        <v>46326</v>
      </c>
      <c r="D25" t="s">
        <v>40</v>
      </c>
      <c r="E25">
        <v>10</v>
      </c>
      <c r="F25" s="3">
        <v>11.82</v>
      </c>
      <c r="G25" t="s">
        <v>36</v>
      </c>
      <c r="H25">
        <v>8</v>
      </c>
      <c r="I25" t="s">
        <v>28</v>
      </c>
      <c r="J25" s="4">
        <v>58.3</v>
      </c>
      <c r="K25" s="4">
        <v>90.5</v>
      </c>
      <c r="L25" s="4">
        <v>18.899999999999999</v>
      </c>
      <c r="M25">
        <v>11</v>
      </c>
      <c r="N25" t="s">
        <v>47</v>
      </c>
      <c r="O25">
        <v>3</v>
      </c>
      <c r="P25" s="4">
        <v>163.69999999999999</v>
      </c>
      <c r="Q25" t="s">
        <v>48</v>
      </c>
      <c r="R25">
        <v>0</v>
      </c>
      <c r="S25" t="s">
        <v>44</v>
      </c>
      <c r="T25">
        <v>0</v>
      </c>
      <c r="U25">
        <v>0</v>
      </c>
      <c r="V25" t="s">
        <v>32</v>
      </c>
      <c r="W25" t="s">
        <v>49</v>
      </c>
      <c r="X25" s="4">
        <v>6</v>
      </c>
      <c r="Y25">
        <v>5</v>
      </c>
      <c r="Z25" s="5">
        <v>388.63</v>
      </c>
    </row>
    <row r="26" spans="1:26">
      <c r="A26">
        <v>25</v>
      </c>
      <c r="B26">
        <v>8</v>
      </c>
      <c r="C26" s="2">
        <v>46326</v>
      </c>
      <c r="D26" t="s">
        <v>40</v>
      </c>
      <c r="E26">
        <v>10</v>
      </c>
      <c r="F26" s="3">
        <v>11.73</v>
      </c>
      <c r="G26" t="s">
        <v>36</v>
      </c>
      <c r="H26">
        <v>60</v>
      </c>
      <c r="I26" t="s">
        <v>34</v>
      </c>
      <c r="J26" s="4">
        <v>65.5</v>
      </c>
      <c r="K26" s="4">
        <v>183.1</v>
      </c>
      <c r="L26" s="4">
        <v>29.8</v>
      </c>
      <c r="M26">
        <v>21</v>
      </c>
      <c r="N26" t="s">
        <v>47</v>
      </c>
      <c r="O26">
        <v>3</v>
      </c>
      <c r="P26" s="4">
        <v>163.69999999999999</v>
      </c>
      <c r="Q26" t="s">
        <v>48</v>
      </c>
      <c r="R26">
        <v>0</v>
      </c>
      <c r="S26" t="s">
        <v>44</v>
      </c>
      <c r="T26">
        <v>0</v>
      </c>
      <c r="U26">
        <v>0</v>
      </c>
      <c r="V26" t="s">
        <v>32</v>
      </c>
      <c r="W26" t="s">
        <v>49</v>
      </c>
      <c r="X26" s="4">
        <v>8</v>
      </c>
      <c r="Y26">
        <v>4</v>
      </c>
      <c r="Z26" s="5">
        <v>240.71</v>
      </c>
    </row>
    <row r="27" spans="1:26">
      <c r="A27">
        <v>26</v>
      </c>
      <c r="B27">
        <v>9</v>
      </c>
      <c r="C27" s="2">
        <v>46034</v>
      </c>
      <c r="D27" t="s">
        <v>46</v>
      </c>
      <c r="E27">
        <v>1</v>
      </c>
      <c r="F27" s="3">
        <v>9.06</v>
      </c>
      <c r="G27" t="s">
        <v>27</v>
      </c>
      <c r="H27">
        <v>74</v>
      </c>
      <c r="I27" t="s">
        <v>28</v>
      </c>
      <c r="J27" s="4">
        <v>66.7</v>
      </c>
      <c r="K27" s="4">
        <v>191.9</v>
      </c>
      <c r="L27" s="4">
        <v>30.1</v>
      </c>
      <c r="M27">
        <v>21</v>
      </c>
      <c r="N27" t="s">
        <v>54</v>
      </c>
      <c r="O27">
        <v>3</v>
      </c>
      <c r="P27" s="4">
        <v>2275.6</v>
      </c>
      <c r="Q27" t="s">
        <v>48</v>
      </c>
      <c r="R27">
        <v>1</v>
      </c>
      <c r="S27" t="s">
        <v>31</v>
      </c>
      <c r="T27">
        <v>1</v>
      </c>
      <c r="U27">
        <v>0</v>
      </c>
      <c r="V27" t="s">
        <v>32</v>
      </c>
      <c r="W27" t="s">
        <v>39</v>
      </c>
      <c r="X27" s="4">
        <v>7.9</v>
      </c>
      <c r="Y27">
        <v>13</v>
      </c>
      <c r="Z27" s="5">
        <v>268.68</v>
      </c>
    </row>
    <row r="28" spans="1:26">
      <c r="A28">
        <v>27</v>
      </c>
      <c r="B28">
        <v>9</v>
      </c>
      <c r="C28" s="2">
        <v>46034</v>
      </c>
      <c r="D28" t="s">
        <v>46</v>
      </c>
      <c r="E28">
        <v>1</v>
      </c>
      <c r="F28" s="3">
        <v>9.06</v>
      </c>
      <c r="G28" t="s">
        <v>27</v>
      </c>
      <c r="H28">
        <v>55</v>
      </c>
      <c r="I28" t="s">
        <v>28</v>
      </c>
      <c r="J28" s="4">
        <v>69.8</v>
      </c>
      <c r="K28" s="4">
        <v>236.6</v>
      </c>
      <c r="L28" s="4">
        <v>34</v>
      </c>
      <c r="M28">
        <v>19</v>
      </c>
      <c r="N28" t="s">
        <v>54</v>
      </c>
      <c r="O28">
        <v>3</v>
      </c>
      <c r="P28" s="4">
        <v>2275.6</v>
      </c>
      <c r="Q28" t="s">
        <v>48</v>
      </c>
      <c r="R28">
        <v>1</v>
      </c>
      <c r="S28" t="s">
        <v>31</v>
      </c>
      <c r="T28">
        <v>1</v>
      </c>
      <c r="U28">
        <v>0</v>
      </c>
      <c r="V28" t="s">
        <v>32</v>
      </c>
      <c r="W28" t="s">
        <v>39</v>
      </c>
      <c r="X28" s="4">
        <v>11.3</v>
      </c>
      <c r="Y28">
        <v>9</v>
      </c>
      <c r="Z28" s="5">
        <v>440.41</v>
      </c>
    </row>
    <row r="29" spans="1:26">
      <c r="A29">
        <v>28</v>
      </c>
      <c r="B29">
        <v>9</v>
      </c>
      <c r="C29" s="2">
        <v>46034</v>
      </c>
      <c r="D29" t="s">
        <v>46</v>
      </c>
      <c r="E29">
        <v>1</v>
      </c>
      <c r="F29" s="3">
        <v>8.84</v>
      </c>
      <c r="G29" t="s">
        <v>27</v>
      </c>
      <c r="H29">
        <v>45</v>
      </c>
      <c r="I29" t="s">
        <v>34</v>
      </c>
      <c r="J29" s="4">
        <v>63.2</v>
      </c>
      <c r="K29" s="4">
        <v>176</v>
      </c>
      <c r="L29" s="4">
        <v>30.9</v>
      </c>
      <c r="M29">
        <v>16</v>
      </c>
      <c r="N29" t="s">
        <v>54</v>
      </c>
      <c r="O29">
        <v>3</v>
      </c>
      <c r="P29" s="4">
        <v>2275.6</v>
      </c>
      <c r="Q29" t="s">
        <v>48</v>
      </c>
      <c r="R29">
        <v>1</v>
      </c>
      <c r="S29" t="s">
        <v>31</v>
      </c>
      <c r="T29">
        <v>1</v>
      </c>
      <c r="U29">
        <v>0</v>
      </c>
      <c r="V29" t="s">
        <v>32</v>
      </c>
      <c r="W29" t="s">
        <v>39</v>
      </c>
      <c r="X29" s="4">
        <v>10.1</v>
      </c>
      <c r="Y29">
        <v>9</v>
      </c>
      <c r="Z29" s="5">
        <v>405.41</v>
      </c>
    </row>
    <row r="30" spans="1:26">
      <c r="A30">
        <v>29</v>
      </c>
      <c r="B30">
        <v>10</v>
      </c>
      <c r="C30" s="2">
        <v>46170</v>
      </c>
      <c r="D30" t="s">
        <v>55</v>
      </c>
      <c r="E30">
        <v>5</v>
      </c>
      <c r="F30" s="3">
        <v>9.76</v>
      </c>
      <c r="G30" t="s">
        <v>27</v>
      </c>
      <c r="H30">
        <v>72</v>
      </c>
      <c r="I30" t="s">
        <v>34</v>
      </c>
      <c r="J30" s="4">
        <v>62.3</v>
      </c>
      <c r="K30" s="4">
        <v>167.3</v>
      </c>
      <c r="L30" s="4">
        <v>30.3</v>
      </c>
      <c r="M30">
        <v>18</v>
      </c>
      <c r="N30" t="s">
        <v>56</v>
      </c>
      <c r="O30">
        <v>4</v>
      </c>
      <c r="P30" s="4">
        <v>291.5</v>
      </c>
      <c r="Q30" t="s">
        <v>48</v>
      </c>
      <c r="R30">
        <v>1</v>
      </c>
      <c r="S30" t="s">
        <v>44</v>
      </c>
      <c r="T30">
        <v>1</v>
      </c>
      <c r="U30">
        <v>1</v>
      </c>
      <c r="V30" t="s">
        <v>32</v>
      </c>
      <c r="W30" t="s">
        <v>33</v>
      </c>
      <c r="X30" s="4">
        <v>8</v>
      </c>
      <c r="Y30">
        <v>8</v>
      </c>
      <c r="Z30" s="5">
        <v>297.27</v>
      </c>
    </row>
    <row r="31" spans="1:26">
      <c r="A31">
        <v>30</v>
      </c>
      <c r="B31">
        <v>10</v>
      </c>
      <c r="C31" s="2">
        <v>46170</v>
      </c>
      <c r="D31" t="s">
        <v>55</v>
      </c>
      <c r="E31">
        <v>5</v>
      </c>
      <c r="F31" s="3">
        <v>9.69</v>
      </c>
      <c r="G31" t="s">
        <v>27</v>
      </c>
      <c r="H31">
        <v>64</v>
      </c>
      <c r="I31" t="s">
        <v>28</v>
      </c>
      <c r="J31" s="4">
        <v>72.900000000000006</v>
      </c>
      <c r="K31" s="4">
        <v>174.5</v>
      </c>
      <c r="L31" s="4">
        <v>23.1</v>
      </c>
      <c r="M31">
        <v>17</v>
      </c>
      <c r="N31" t="s">
        <v>56</v>
      </c>
      <c r="O31">
        <v>4</v>
      </c>
      <c r="P31" s="4">
        <v>291.5</v>
      </c>
      <c r="Q31" t="s">
        <v>48</v>
      </c>
      <c r="R31">
        <v>1</v>
      </c>
      <c r="S31" t="s">
        <v>44</v>
      </c>
      <c r="T31">
        <v>1</v>
      </c>
      <c r="U31">
        <v>1</v>
      </c>
      <c r="V31" t="s">
        <v>32</v>
      </c>
      <c r="W31" t="s">
        <v>33</v>
      </c>
      <c r="X31" s="4">
        <v>9.5</v>
      </c>
      <c r="Y31">
        <v>14</v>
      </c>
      <c r="Z31" s="5">
        <v>332.28</v>
      </c>
    </row>
    <row r="32" spans="1:26">
      <c r="A32">
        <v>31</v>
      </c>
      <c r="B32">
        <v>10</v>
      </c>
      <c r="C32" s="2">
        <v>46170</v>
      </c>
      <c r="D32" t="s">
        <v>55</v>
      </c>
      <c r="E32">
        <v>5</v>
      </c>
      <c r="F32" s="3">
        <v>9.5299999999999994</v>
      </c>
      <c r="G32" t="s">
        <v>27</v>
      </c>
      <c r="H32">
        <v>51</v>
      </c>
      <c r="I32" t="s">
        <v>28</v>
      </c>
      <c r="J32" s="4">
        <v>72.8</v>
      </c>
      <c r="K32" s="4">
        <v>187.1</v>
      </c>
      <c r="L32" s="4">
        <v>24.7</v>
      </c>
      <c r="M32">
        <v>18</v>
      </c>
      <c r="N32" t="s">
        <v>56</v>
      </c>
      <c r="O32">
        <v>4</v>
      </c>
      <c r="P32" s="4">
        <v>291.5</v>
      </c>
      <c r="Q32" t="s">
        <v>48</v>
      </c>
      <c r="R32">
        <v>1</v>
      </c>
      <c r="S32" t="s">
        <v>44</v>
      </c>
      <c r="T32">
        <v>1</v>
      </c>
      <c r="U32">
        <v>1</v>
      </c>
      <c r="V32" t="s">
        <v>32</v>
      </c>
      <c r="W32" t="s">
        <v>33</v>
      </c>
      <c r="X32" s="4">
        <v>10.5</v>
      </c>
      <c r="Y32">
        <v>11</v>
      </c>
      <c r="Z32" s="5">
        <v>273.48</v>
      </c>
    </row>
    <row r="33" spans="1:26">
      <c r="A33">
        <v>32</v>
      </c>
      <c r="B33">
        <v>10</v>
      </c>
      <c r="C33" s="2">
        <v>46170</v>
      </c>
      <c r="D33" t="s">
        <v>55</v>
      </c>
      <c r="E33">
        <v>5</v>
      </c>
      <c r="F33" s="3">
        <v>9.91</v>
      </c>
      <c r="G33" t="s">
        <v>27</v>
      </c>
      <c r="H33">
        <v>52</v>
      </c>
      <c r="I33" t="s">
        <v>34</v>
      </c>
      <c r="J33" s="4">
        <v>65.3</v>
      </c>
      <c r="K33" s="4">
        <v>157.80000000000001</v>
      </c>
      <c r="L33" s="4">
        <v>25.9</v>
      </c>
      <c r="M33">
        <v>19</v>
      </c>
      <c r="N33" t="s">
        <v>56</v>
      </c>
      <c r="O33">
        <v>4</v>
      </c>
      <c r="P33" s="4">
        <v>291.5</v>
      </c>
      <c r="Q33" t="s">
        <v>48</v>
      </c>
      <c r="R33">
        <v>1</v>
      </c>
      <c r="S33" t="s">
        <v>44</v>
      </c>
      <c r="T33">
        <v>1</v>
      </c>
      <c r="U33">
        <v>1</v>
      </c>
      <c r="V33" t="s">
        <v>32</v>
      </c>
      <c r="W33" t="s">
        <v>33</v>
      </c>
      <c r="X33" s="4">
        <v>6.1</v>
      </c>
      <c r="Y33">
        <v>10</v>
      </c>
      <c r="Z33" s="5">
        <v>244.12</v>
      </c>
    </row>
    <row r="34" spans="1:26">
      <c r="A34">
        <v>33</v>
      </c>
      <c r="B34">
        <v>11</v>
      </c>
      <c r="C34" s="2">
        <v>46298</v>
      </c>
      <c r="D34" t="s">
        <v>40</v>
      </c>
      <c r="E34">
        <v>10</v>
      </c>
      <c r="F34" s="3">
        <v>10.050000000000001</v>
      </c>
      <c r="G34" t="s">
        <v>27</v>
      </c>
      <c r="H34">
        <v>21</v>
      </c>
      <c r="I34" t="s">
        <v>28</v>
      </c>
      <c r="J34" s="4">
        <v>73.8</v>
      </c>
      <c r="K34" s="4">
        <v>223.2</v>
      </c>
      <c r="L34" s="4">
        <v>29.1</v>
      </c>
      <c r="M34">
        <v>13</v>
      </c>
      <c r="N34" t="s">
        <v>50</v>
      </c>
      <c r="O34">
        <v>4</v>
      </c>
      <c r="P34" s="4">
        <v>250.3</v>
      </c>
      <c r="Q34" t="s">
        <v>48</v>
      </c>
      <c r="R34">
        <v>0</v>
      </c>
      <c r="S34" t="s">
        <v>44</v>
      </c>
      <c r="T34">
        <v>1</v>
      </c>
      <c r="U34">
        <v>0</v>
      </c>
      <c r="V34" t="s">
        <v>32</v>
      </c>
      <c r="W34" t="s">
        <v>39</v>
      </c>
      <c r="X34" s="4">
        <v>8.3000000000000007</v>
      </c>
      <c r="Y34">
        <v>7</v>
      </c>
      <c r="Z34" s="5">
        <v>210.81</v>
      </c>
    </row>
    <row r="35" spans="1:26">
      <c r="A35">
        <v>34</v>
      </c>
      <c r="B35">
        <v>11</v>
      </c>
      <c r="C35" s="2">
        <v>46298</v>
      </c>
      <c r="D35" t="s">
        <v>40</v>
      </c>
      <c r="E35">
        <v>10</v>
      </c>
      <c r="F35" s="3">
        <v>10.09</v>
      </c>
      <c r="G35" t="s">
        <v>27</v>
      </c>
      <c r="H35">
        <v>56</v>
      </c>
      <c r="I35" t="s">
        <v>28</v>
      </c>
      <c r="J35" s="4">
        <v>68.5</v>
      </c>
      <c r="K35" s="4">
        <v>225.7</v>
      </c>
      <c r="L35" s="4">
        <v>33.9</v>
      </c>
      <c r="M35">
        <v>21</v>
      </c>
      <c r="N35" t="s">
        <v>50</v>
      </c>
      <c r="O35">
        <v>4</v>
      </c>
      <c r="P35" s="4">
        <v>250.3</v>
      </c>
      <c r="Q35" t="s">
        <v>48</v>
      </c>
      <c r="R35">
        <v>0</v>
      </c>
      <c r="S35" t="s">
        <v>44</v>
      </c>
      <c r="T35">
        <v>1</v>
      </c>
      <c r="U35">
        <v>0</v>
      </c>
      <c r="V35" t="s">
        <v>32</v>
      </c>
      <c r="W35" t="s">
        <v>39</v>
      </c>
      <c r="X35" s="4">
        <v>11.1</v>
      </c>
      <c r="Y35">
        <v>10</v>
      </c>
      <c r="Z35" s="5">
        <v>332.26</v>
      </c>
    </row>
    <row r="36" spans="1:26">
      <c r="A36">
        <v>35</v>
      </c>
      <c r="B36">
        <v>11</v>
      </c>
      <c r="C36" s="2">
        <v>46298</v>
      </c>
      <c r="D36" t="s">
        <v>40</v>
      </c>
      <c r="E36">
        <v>10</v>
      </c>
      <c r="F36" s="3">
        <v>10.039999999999999</v>
      </c>
      <c r="G36" t="s">
        <v>27</v>
      </c>
      <c r="H36">
        <v>56</v>
      </c>
      <c r="I36" t="s">
        <v>28</v>
      </c>
      <c r="J36" s="4">
        <v>73.900000000000006</v>
      </c>
      <c r="K36" s="4">
        <v>154.30000000000001</v>
      </c>
      <c r="L36" s="4">
        <v>19.600000000000001</v>
      </c>
      <c r="M36">
        <v>19</v>
      </c>
      <c r="N36" t="s">
        <v>50</v>
      </c>
      <c r="O36">
        <v>4</v>
      </c>
      <c r="P36" s="4">
        <v>250.3</v>
      </c>
      <c r="Q36" t="s">
        <v>48</v>
      </c>
      <c r="R36">
        <v>0</v>
      </c>
      <c r="S36" t="s">
        <v>44</v>
      </c>
      <c r="T36">
        <v>1</v>
      </c>
      <c r="U36">
        <v>0</v>
      </c>
      <c r="V36" t="s">
        <v>32</v>
      </c>
      <c r="W36" t="s">
        <v>39</v>
      </c>
      <c r="X36" s="4">
        <v>11.4</v>
      </c>
      <c r="Y36">
        <v>9</v>
      </c>
      <c r="Z36" s="5">
        <v>288.29000000000002</v>
      </c>
    </row>
    <row r="37" spans="1:26">
      <c r="A37">
        <v>36</v>
      </c>
      <c r="B37">
        <v>11</v>
      </c>
      <c r="C37" s="2">
        <v>46298</v>
      </c>
      <c r="D37" t="s">
        <v>40</v>
      </c>
      <c r="E37">
        <v>10</v>
      </c>
      <c r="F37" s="3">
        <v>9.82</v>
      </c>
      <c r="G37" t="s">
        <v>27</v>
      </c>
      <c r="H37">
        <v>54</v>
      </c>
      <c r="I37" t="s">
        <v>28</v>
      </c>
      <c r="J37" s="4">
        <v>72.400000000000006</v>
      </c>
      <c r="K37" s="4">
        <v>151.19999999999999</v>
      </c>
      <c r="L37" s="4">
        <v>20.399999999999999</v>
      </c>
      <c r="M37">
        <v>15</v>
      </c>
      <c r="N37" t="s">
        <v>50</v>
      </c>
      <c r="O37">
        <v>4</v>
      </c>
      <c r="P37" s="4">
        <v>250.3</v>
      </c>
      <c r="Q37" t="s">
        <v>48</v>
      </c>
      <c r="R37">
        <v>0</v>
      </c>
      <c r="S37" t="s">
        <v>44</v>
      </c>
      <c r="T37">
        <v>1</v>
      </c>
      <c r="U37">
        <v>0</v>
      </c>
      <c r="V37" t="s">
        <v>32</v>
      </c>
      <c r="W37" t="s">
        <v>39</v>
      </c>
      <c r="X37" s="4">
        <v>8.3000000000000007</v>
      </c>
      <c r="Y37">
        <v>7</v>
      </c>
      <c r="Z37" s="5">
        <v>285.02999999999997</v>
      </c>
    </row>
    <row r="38" spans="1:26">
      <c r="A38">
        <v>37</v>
      </c>
      <c r="B38">
        <v>12</v>
      </c>
      <c r="C38" s="2">
        <v>46235</v>
      </c>
      <c r="D38" t="s">
        <v>40</v>
      </c>
      <c r="E38">
        <v>8</v>
      </c>
      <c r="F38" s="3">
        <v>8.64</v>
      </c>
      <c r="G38" t="s">
        <v>27</v>
      </c>
      <c r="H38">
        <v>60</v>
      </c>
      <c r="I38" t="s">
        <v>28</v>
      </c>
      <c r="J38" s="4">
        <v>64</v>
      </c>
      <c r="K38" s="4">
        <v>119</v>
      </c>
      <c r="L38" s="4">
        <v>20.5</v>
      </c>
      <c r="M38">
        <v>16</v>
      </c>
      <c r="N38" t="s">
        <v>47</v>
      </c>
      <c r="O38">
        <v>2</v>
      </c>
      <c r="P38" s="4">
        <v>70.599999999999994</v>
      </c>
      <c r="Q38" t="s">
        <v>48</v>
      </c>
      <c r="R38">
        <v>0</v>
      </c>
      <c r="S38" t="s">
        <v>31</v>
      </c>
      <c r="T38">
        <v>1</v>
      </c>
      <c r="U38">
        <v>0</v>
      </c>
      <c r="V38" t="s">
        <v>32</v>
      </c>
      <c r="W38" t="s">
        <v>39</v>
      </c>
      <c r="X38" s="4">
        <v>7.2</v>
      </c>
      <c r="Y38">
        <v>7</v>
      </c>
      <c r="Z38" s="5">
        <v>250.34</v>
      </c>
    </row>
    <row r="39" spans="1:26">
      <c r="A39">
        <v>38</v>
      </c>
      <c r="B39">
        <v>12</v>
      </c>
      <c r="C39" s="2">
        <v>46235</v>
      </c>
      <c r="D39" t="s">
        <v>40</v>
      </c>
      <c r="E39">
        <v>8</v>
      </c>
      <c r="F39" s="3">
        <v>8.61</v>
      </c>
      <c r="G39" t="s">
        <v>27</v>
      </c>
      <c r="H39">
        <v>54</v>
      </c>
      <c r="I39" t="s">
        <v>28</v>
      </c>
      <c r="J39" s="4">
        <v>71.5</v>
      </c>
      <c r="K39" s="4">
        <v>159.6</v>
      </c>
      <c r="L39" s="4">
        <v>22.1</v>
      </c>
      <c r="M39">
        <v>18</v>
      </c>
      <c r="N39" t="s">
        <v>47</v>
      </c>
      <c r="O39">
        <v>2</v>
      </c>
      <c r="P39" s="4">
        <v>70.599999999999994</v>
      </c>
      <c r="Q39" t="s">
        <v>48</v>
      </c>
      <c r="R39">
        <v>0</v>
      </c>
      <c r="S39" t="s">
        <v>31</v>
      </c>
      <c r="T39">
        <v>1</v>
      </c>
      <c r="U39">
        <v>0</v>
      </c>
      <c r="V39" t="s">
        <v>32</v>
      </c>
      <c r="W39" t="s">
        <v>39</v>
      </c>
      <c r="X39" s="4">
        <v>9.4</v>
      </c>
      <c r="Y39">
        <v>10</v>
      </c>
      <c r="Z39" s="5">
        <v>225.96</v>
      </c>
    </row>
    <row r="40" spans="1:26">
      <c r="A40">
        <v>39</v>
      </c>
      <c r="B40">
        <v>13</v>
      </c>
      <c r="C40" s="2">
        <v>46290</v>
      </c>
      <c r="D40" t="s">
        <v>26</v>
      </c>
      <c r="E40">
        <v>9</v>
      </c>
      <c r="F40" s="3">
        <v>11.67</v>
      </c>
      <c r="G40" t="s">
        <v>36</v>
      </c>
      <c r="H40">
        <v>32</v>
      </c>
      <c r="I40" t="s">
        <v>28</v>
      </c>
      <c r="J40" s="4">
        <v>76.5</v>
      </c>
      <c r="K40" s="4">
        <v>225.2</v>
      </c>
      <c r="L40" s="4">
        <v>27</v>
      </c>
      <c r="M40">
        <v>14</v>
      </c>
      <c r="N40" t="s">
        <v>47</v>
      </c>
      <c r="O40">
        <v>2</v>
      </c>
      <c r="P40" s="4">
        <v>2</v>
      </c>
      <c r="Q40" t="s">
        <v>42</v>
      </c>
      <c r="R40">
        <v>1</v>
      </c>
      <c r="S40" t="s">
        <v>38</v>
      </c>
      <c r="T40">
        <v>1</v>
      </c>
      <c r="U40">
        <v>0</v>
      </c>
      <c r="V40" t="s">
        <v>32</v>
      </c>
      <c r="W40" t="s">
        <v>57</v>
      </c>
      <c r="X40" s="4">
        <v>9.1</v>
      </c>
      <c r="Y40">
        <v>13</v>
      </c>
      <c r="Z40" s="5">
        <v>284.64</v>
      </c>
    </row>
    <row r="41" spans="1:26">
      <c r="A41">
        <v>40</v>
      </c>
      <c r="B41">
        <v>13</v>
      </c>
      <c r="C41" s="2">
        <v>46290</v>
      </c>
      <c r="D41" t="s">
        <v>26</v>
      </c>
      <c r="E41">
        <v>9</v>
      </c>
      <c r="F41" s="3">
        <v>11.86</v>
      </c>
      <c r="G41" t="s">
        <v>36</v>
      </c>
      <c r="H41">
        <v>46</v>
      </c>
      <c r="I41" t="s">
        <v>34</v>
      </c>
      <c r="J41" s="4">
        <v>68.599999999999994</v>
      </c>
      <c r="K41" s="4">
        <v>225.3</v>
      </c>
      <c r="L41" s="4">
        <v>33.700000000000003</v>
      </c>
      <c r="M41">
        <v>12</v>
      </c>
      <c r="N41" t="s">
        <v>47</v>
      </c>
      <c r="O41">
        <v>2</v>
      </c>
      <c r="P41" s="4">
        <v>2</v>
      </c>
      <c r="Q41" t="s">
        <v>42</v>
      </c>
      <c r="R41">
        <v>1</v>
      </c>
      <c r="S41" t="s">
        <v>38</v>
      </c>
      <c r="T41">
        <v>1</v>
      </c>
      <c r="U41">
        <v>0</v>
      </c>
      <c r="V41" t="s">
        <v>32</v>
      </c>
      <c r="W41" t="s">
        <v>57</v>
      </c>
      <c r="X41" s="4">
        <v>10.3</v>
      </c>
      <c r="Y41">
        <v>11</v>
      </c>
      <c r="Z41" s="5">
        <v>511.24</v>
      </c>
    </row>
    <row r="42" spans="1:26">
      <c r="A42">
        <v>41</v>
      </c>
      <c r="B42">
        <v>14</v>
      </c>
      <c r="C42" s="2">
        <v>46271</v>
      </c>
      <c r="D42" t="s">
        <v>58</v>
      </c>
      <c r="E42">
        <v>9</v>
      </c>
      <c r="F42" s="3">
        <v>10.96</v>
      </c>
      <c r="G42" t="s">
        <v>27</v>
      </c>
      <c r="H42">
        <v>7</v>
      </c>
      <c r="I42" t="s">
        <v>34</v>
      </c>
      <c r="J42" s="4">
        <v>60.3</v>
      </c>
      <c r="K42" s="4">
        <v>82.5</v>
      </c>
      <c r="L42" s="4">
        <v>15.8</v>
      </c>
      <c r="M42">
        <v>10</v>
      </c>
      <c r="N42" t="s">
        <v>47</v>
      </c>
      <c r="O42">
        <v>1</v>
      </c>
      <c r="P42" s="4">
        <v>172.1</v>
      </c>
      <c r="Q42" t="s">
        <v>30</v>
      </c>
      <c r="R42">
        <v>0</v>
      </c>
      <c r="S42" t="s">
        <v>31</v>
      </c>
      <c r="T42">
        <v>0</v>
      </c>
      <c r="U42">
        <v>0</v>
      </c>
      <c r="V42" t="s">
        <v>32</v>
      </c>
      <c r="W42" t="s">
        <v>43</v>
      </c>
      <c r="X42" s="4">
        <v>7.4</v>
      </c>
      <c r="Y42">
        <v>7</v>
      </c>
      <c r="Z42" s="5">
        <v>132.1</v>
      </c>
    </row>
    <row r="43" spans="1:26">
      <c r="A43">
        <v>42</v>
      </c>
      <c r="B43">
        <v>15</v>
      </c>
      <c r="C43" s="2">
        <v>46052</v>
      </c>
      <c r="D43" t="s">
        <v>26</v>
      </c>
      <c r="E43">
        <v>1</v>
      </c>
      <c r="F43" s="3">
        <v>9.24</v>
      </c>
      <c r="G43" t="s">
        <v>27</v>
      </c>
      <c r="H43">
        <v>64</v>
      </c>
      <c r="I43" t="s">
        <v>34</v>
      </c>
      <c r="J43" s="4">
        <v>68.7</v>
      </c>
      <c r="K43" s="4">
        <v>150.30000000000001</v>
      </c>
      <c r="L43" s="4">
        <v>22.6</v>
      </c>
      <c r="M43">
        <v>15</v>
      </c>
      <c r="N43" t="s">
        <v>59</v>
      </c>
      <c r="O43">
        <v>5</v>
      </c>
      <c r="P43" s="4">
        <v>814.9</v>
      </c>
      <c r="Q43" t="s">
        <v>42</v>
      </c>
      <c r="R43">
        <v>0</v>
      </c>
      <c r="S43" t="s">
        <v>31</v>
      </c>
      <c r="T43">
        <v>0</v>
      </c>
      <c r="U43">
        <v>1</v>
      </c>
      <c r="V43" t="s">
        <v>32</v>
      </c>
      <c r="W43" t="s">
        <v>33</v>
      </c>
      <c r="X43" s="4">
        <v>10.199999999999999</v>
      </c>
      <c r="Y43">
        <v>16</v>
      </c>
      <c r="Z43" s="5">
        <v>279.17</v>
      </c>
    </row>
    <row r="44" spans="1:26">
      <c r="A44">
        <v>43</v>
      </c>
      <c r="B44">
        <v>15</v>
      </c>
      <c r="C44" s="2">
        <v>46052</v>
      </c>
      <c r="D44" t="s">
        <v>26</v>
      </c>
      <c r="E44">
        <v>1</v>
      </c>
      <c r="F44" s="3">
        <v>9.17</v>
      </c>
      <c r="G44" t="s">
        <v>27</v>
      </c>
      <c r="H44">
        <v>62</v>
      </c>
      <c r="I44" t="s">
        <v>34</v>
      </c>
      <c r="J44" s="4">
        <v>63.7</v>
      </c>
      <c r="K44" s="4">
        <v>156.4</v>
      </c>
      <c r="L44" s="4">
        <v>27.1</v>
      </c>
      <c r="M44">
        <v>20</v>
      </c>
      <c r="N44" t="s">
        <v>59</v>
      </c>
      <c r="O44">
        <v>5</v>
      </c>
      <c r="P44" s="4">
        <v>814.9</v>
      </c>
      <c r="Q44" t="s">
        <v>42</v>
      </c>
      <c r="R44">
        <v>0</v>
      </c>
      <c r="S44" t="s">
        <v>31</v>
      </c>
      <c r="T44">
        <v>0</v>
      </c>
      <c r="U44">
        <v>1</v>
      </c>
      <c r="V44" t="s">
        <v>32</v>
      </c>
      <c r="W44" t="s">
        <v>33</v>
      </c>
      <c r="X44" s="4">
        <v>11.5</v>
      </c>
      <c r="Y44">
        <v>6</v>
      </c>
      <c r="Z44" s="5">
        <v>161.4</v>
      </c>
    </row>
    <row r="45" spans="1:26">
      <c r="A45">
        <v>44</v>
      </c>
      <c r="B45">
        <v>15</v>
      </c>
      <c r="C45" s="2">
        <v>46052</v>
      </c>
      <c r="D45" t="s">
        <v>26</v>
      </c>
      <c r="E45">
        <v>1</v>
      </c>
      <c r="F45" s="3">
        <v>9.43</v>
      </c>
      <c r="G45" t="s">
        <v>27</v>
      </c>
      <c r="H45">
        <v>61</v>
      </c>
      <c r="I45" t="s">
        <v>28</v>
      </c>
      <c r="J45" s="4">
        <v>66.400000000000006</v>
      </c>
      <c r="K45" s="4">
        <v>158.69999999999999</v>
      </c>
      <c r="L45" s="4">
        <v>25.6</v>
      </c>
      <c r="M45">
        <v>18</v>
      </c>
      <c r="N45" t="s">
        <v>59</v>
      </c>
      <c r="O45">
        <v>5</v>
      </c>
      <c r="P45" s="4">
        <v>814.9</v>
      </c>
      <c r="Q45" t="s">
        <v>42</v>
      </c>
      <c r="R45">
        <v>0</v>
      </c>
      <c r="S45" t="s">
        <v>31</v>
      </c>
      <c r="T45">
        <v>0</v>
      </c>
      <c r="U45">
        <v>1</v>
      </c>
      <c r="V45" t="s">
        <v>32</v>
      </c>
      <c r="W45" t="s">
        <v>33</v>
      </c>
      <c r="X45" s="4">
        <v>8.5</v>
      </c>
      <c r="Y45">
        <v>6</v>
      </c>
      <c r="Z45" s="5">
        <v>339.32</v>
      </c>
    </row>
    <row r="46" spans="1:26">
      <c r="A46">
        <v>45</v>
      </c>
      <c r="B46">
        <v>15</v>
      </c>
      <c r="C46" s="2">
        <v>46052</v>
      </c>
      <c r="D46" t="s">
        <v>26</v>
      </c>
      <c r="E46">
        <v>1</v>
      </c>
      <c r="F46" s="3">
        <v>9.14</v>
      </c>
      <c r="G46" t="s">
        <v>27</v>
      </c>
      <c r="H46">
        <v>49</v>
      </c>
      <c r="I46" t="s">
        <v>34</v>
      </c>
      <c r="J46" s="4">
        <v>65.7</v>
      </c>
      <c r="K46" s="4">
        <v>140.69999999999999</v>
      </c>
      <c r="L46" s="4">
        <v>22.9</v>
      </c>
      <c r="M46">
        <v>15</v>
      </c>
      <c r="N46" t="s">
        <v>59</v>
      </c>
      <c r="O46">
        <v>5</v>
      </c>
      <c r="P46" s="4">
        <v>814.9</v>
      </c>
      <c r="Q46" t="s">
        <v>42</v>
      </c>
      <c r="R46">
        <v>0</v>
      </c>
      <c r="S46" t="s">
        <v>31</v>
      </c>
      <c r="T46">
        <v>0</v>
      </c>
      <c r="U46">
        <v>1</v>
      </c>
      <c r="V46" t="s">
        <v>32</v>
      </c>
      <c r="W46" t="s">
        <v>33</v>
      </c>
      <c r="X46" s="4">
        <v>10.4</v>
      </c>
      <c r="Y46">
        <v>12</v>
      </c>
      <c r="Z46" s="5">
        <v>161.19999999999999</v>
      </c>
    </row>
    <row r="47" spans="1:26">
      <c r="A47">
        <v>46</v>
      </c>
      <c r="B47">
        <v>15</v>
      </c>
      <c r="C47" s="2">
        <v>46052</v>
      </c>
      <c r="D47" t="s">
        <v>26</v>
      </c>
      <c r="E47">
        <v>1</v>
      </c>
      <c r="F47" s="3">
        <v>9.26</v>
      </c>
      <c r="G47" t="s">
        <v>27</v>
      </c>
      <c r="H47">
        <v>13</v>
      </c>
      <c r="I47" t="s">
        <v>34</v>
      </c>
      <c r="J47" s="4">
        <v>64.2</v>
      </c>
      <c r="K47" s="4">
        <v>123.2</v>
      </c>
      <c r="L47" s="4">
        <v>21.2</v>
      </c>
      <c r="M47">
        <v>12</v>
      </c>
      <c r="N47" t="s">
        <v>59</v>
      </c>
      <c r="O47">
        <v>5</v>
      </c>
      <c r="P47" s="4">
        <v>814.9</v>
      </c>
      <c r="Q47" t="s">
        <v>42</v>
      </c>
      <c r="R47">
        <v>0</v>
      </c>
      <c r="S47" t="s">
        <v>31</v>
      </c>
      <c r="T47">
        <v>0</v>
      </c>
      <c r="U47">
        <v>1</v>
      </c>
      <c r="V47" t="s">
        <v>32</v>
      </c>
      <c r="W47" t="s">
        <v>33</v>
      </c>
      <c r="X47" s="4">
        <v>11.9</v>
      </c>
      <c r="Y47">
        <v>14</v>
      </c>
      <c r="Z47" s="5">
        <v>282.39</v>
      </c>
    </row>
    <row r="48" spans="1:26">
      <c r="A48">
        <v>47</v>
      </c>
      <c r="B48">
        <v>16</v>
      </c>
      <c r="C48" s="2">
        <v>46150</v>
      </c>
      <c r="D48" t="s">
        <v>26</v>
      </c>
      <c r="E48">
        <v>5</v>
      </c>
      <c r="F48" s="3">
        <v>13.03</v>
      </c>
      <c r="G48" t="s">
        <v>36</v>
      </c>
      <c r="H48">
        <v>67</v>
      </c>
      <c r="I48" t="s">
        <v>28</v>
      </c>
      <c r="J48" s="4">
        <v>64.8</v>
      </c>
      <c r="K48" s="4">
        <v>148.80000000000001</v>
      </c>
      <c r="L48" s="4">
        <v>24.8</v>
      </c>
      <c r="M48">
        <v>22</v>
      </c>
      <c r="N48" t="s">
        <v>47</v>
      </c>
      <c r="O48">
        <v>5</v>
      </c>
      <c r="P48" s="4">
        <v>115.9</v>
      </c>
      <c r="Q48" t="s">
        <v>42</v>
      </c>
      <c r="R48">
        <v>0</v>
      </c>
      <c r="S48" t="s">
        <v>44</v>
      </c>
      <c r="T48">
        <v>0</v>
      </c>
      <c r="U48">
        <v>0</v>
      </c>
      <c r="V48" t="s">
        <v>32</v>
      </c>
      <c r="W48" t="s">
        <v>39</v>
      </c>
      <c r="X48" s="4">
        <v>7.5</v>
      </c>
      <c r="Y48">
        <v>7</v>
      </c>
      <c r="Z48" s="5">
        <v>248.38</v>
      </c>
    </row>
    <row r="49" spans="1:26">
      <c r="A49">
        <v>48</v>
      </c>
      <c r="B49">
        <v>16</v>
      </c>
      <c r="C49" s="2">
        <v>46150</v>
      </c>
      <c r="D49" t="s">
        <v>26</v>
      </c>
      <c r="E49">
        <v>5</v>
      </c>
      <c r="F49" s="3">
        <v>12.73</v>
      </c>
      <c r="G49" t="s">
        <v>36</v>
      </c>
      <c r="H49">
        <v>37</v>
      </c>
      <c r="I49" t="s">
        <v>28</v>
      </c>
      <c r="J49" s="4">
        <v>64.599999999999994</v>
      </c>
      <c r="K49" s="4">
        <v>143.1</v>
      </c>
      <c r="L49" s="4">
        <v>24.1</v>
      </c>
      <c r="M49">
        <v>15</v>
      </c>
      <c r="N49" t="s">
        <v>47</v>
      </c>
      <c r="O49">
        <v>5</v>
      </c>
      <c r="P49" s="4">
        <v>115.9</v>
      </c>
      <c r="Q49" t="s">
        <v>42</v>
      </c>
      <c r="R49">
        <v>0</v>
      </c>
      <c r="S49" t="s">
        <v>44</v>
      </c>
      <c r="T49">
        <v>0</v>
      </c>
      <c r="U49">
        <v>0</v>
      </c>
      <c r="V49" t="s">
        <v>32</v>
      </c>
      <c r="W49" t="s">
        <v>39</v>
      </c>
      <c r="X49" s="4">
        <v>7</v>
      </c>
      <c r="Y49">
        <v>11</v>
      </c>
      <c r="Z49" s="5">
        <v>226.61</v>
      </c>
    </row>
    <row r="50" spans="1:26">
      <c r="A50">
        <v>49</v>
      </c>
      <c r="B50">
        <v>16</v>
      </c>
      <c r="C50" s="2">
        <v>46150</v>
      </c>
      <c r="D50" t="s">
        <v>26</v>
      </c>
      <c r="E50">
        <v>5</v>
      </c>
      <c r="F50" s="3">
        <v>12.91</v>
      </c>
      <c r="G50" t="s">
        <v>36</v>
      </c>
      <c r="H50">
        <v>35</v>
      </c>
      <c r="I50" t="s">
        <v>34</v>
      </c>
      <c r="J50" s="4">
        <v>62.1</v>
      </c>
      <c r="K50" s="4">
        <v>138.5</v>
      </c>
      <c r="L50" s="4">
        <v>25.4</v>
      </c>
      <c r="M50">
        <v>15</v>
      </c>
      <c r="N50" t="s">
        <v>47</v>
      </c>
      <c r="O50">
        <v>5</v>
      </c>
      <c r="P50" s="4">
        <v>115.9</v>
      </c>
      <c r="Q50" t="s">
        <v>42</v>
      </c>
      <c r="R50">
        <v>0</v>
      </c>
      <c r="S50" t="s">
        <v>44</v>
      </c>
      <c r="T50">
        <v>0</v>
      </c>
      <c r="U50">
        <v>0</v>
      </c>
      <c r="V50" t="s">
        <v>32</v>
      </c>
      <c r="W50" t="s">
        <v>39</v>
      </c>
      <c r="X50" s="4">
        <v>6.1</v>
      </c>
      <c r="Y50">
        <v>7</v>
      </c>
      <c r="Z50" s="5">
        <v>238.93</v>
      </c>
    </row>
    <row r="51" spans="1:26">
      <c r="A51">
        <v>50</v>
      </c>
      <c r="B51">
        <v>16</v>
      </c>
      <c r="C51" s="2">
        <v>46150</v>
      </c>
      <c r="D51" t="s">
        <v>26</v>
      </c>
      <c r="E51">
        <v>5</v>
      </c>
      <c r="F51" s="3">
        <v>12.92</v>
      </c>
      <c r="G51" t="s">
        <v>36</v>
      </c>
      <c r="H51">
        <v>36</v>
      </c>
      <c r="I51" t="s">
        <v>28</v>
      </c>
      <c r="J51" s="4">
        <v>70.400000000000006</v>
      </c>
      <c r="K51" s="4">
        <v>177.9</v>
      </c>
      <c r="L51" s="4">
        <v>25.3</v>
      </c>
      <c r="M51">
        <v>14</v>
      </c>
      <c r="N51" t="s">
        <v>47</v>
      </c>
      <c r="O51">
        <v>5</v>
      </c>
      <c r="P51" s="4">
        <v>115.9</v>
      </c>
      <c r="Q51" t="s">
        <v>42</v>
      </c>
      <c r="R51">
        <v>0</v>
      </c>
      <c r="S51" t="s">
        <v>44</v>
      </c>
      <c r="T51">
        <v>0</v>
      </c>
      <c r="U51">
        <v>0</v>
      </c>
      <c r="V51" t="s">
        <v>32</v>
      </c>
      <c r="W51" t="s">
        <v>39</v>
      </c>
      <c r="X51" s="4">
        <v>8.3000000000000007</v>
      </c>
      <c r="Y51">
        <v>9</v>
      </c>
      <c r="Z51" s="5">
        <v>276.38</v>
      </c>
    </row>
    <row r="52" spans="1:26">
      <c r="A52">
        <v>51</v>
      </c>
      <c r="B52">
        <v>16</v>
      </c>
      <c r="C52" s="2">
        <v>46150</v>
      </c>
      <c r="D52" t="s">
        <v>26</v>
      </c>
      <c r="E52">
        <v>5</v>
      </c>
      <c r="F52" s="3">
        <v>12.92</v>
      </c>
      <c r="G52" t="s">
        <v>36</v>
      </c>
      <c r="H52">
        <v>18</v>
      </c>
      <c r="I52" t="s">
        <v>34</v>
      </c>
      <c r="J52" s="4">
        <v>63.7</v>
      </c>
      <c r="K52" s="4">
        <v>115.7</v>
      </c>
      <c r="L52" s="4">
        <v>20.2</v>
      </c>
      <c r="M52">
        <v>10</v>
      </c>
      <c r="N52" t="s">
        <v>47</v>
      </c>
      <c r="O52">
        <v>5</v>
      </c>
      <c r="P52" s="4">
        <v>115.9</v>
      </c>
      <c r="Q52" t="s">
        <v>42</v>
      </c>
      <c r="R52">
        <v>0</v>
      </c>
      <c r="S52" t="s">
        <v>44</v>
      </c>
      <c r="T52">
        <v>0</v>
      </c>
      <c r="U52">
        <v>0</v>
      </c>
      <c r="V52" t="s">
        <v>32</v>
      </c>
      <c r="W52" t="s">
        <v>39</v>
      </c>
      <c r="X52" s="4">
        <v>8.6999999999999993</v>
      </c>
      <c r="Y52">
        <v>9</v>
      </c>
      <c r="Z52" s="5">
        <v>123.87</v>
      </c>
    </row>
    <row r="53" spans="1:26">
      <c r="A53">
        <v>52</v>
      </c>
      <c r="B53">
        <v>17</v>
      </c>
      <c r="C53" s="2">
        <v>46114</v>
      </c>
      <c r="D53" t="s">
        <v>55</v>
      </c>
      <c r="E53">
        <v>4</v>
      </c>
      <c r="F53" s="3">
        <v>9.51</v>
      </c>
      <c r="G53" t="s">
        <v>27</v>
      </c>
      <c r="H53">
        <v>24</v>
      </c>
      <c r="I53" t="s">
        <v>34</v>
      </c>
      <c r="J53" s="4">
        <v>67.5</v>
      </c>
      <c r="K53" s="4">
        <v>175.4</v>
      </c>
      <c r="L53" s="4">
        <v>27.2</v>
      </c>
      <c r="M53">
        <v>17</v>
      </c>
      <c r="N53" t="s">
        <v>47</v>
      </c>
      <c r="O53">
        <v>4</v>
      </c>
      <c r="P53" s="4">
        <v>31</v>
      </c>
      <c r="Q53" t="s">
        <v>48</v>
      </c>
      <c r="R53">
        <v>0</v>
      </c>
      <c r="S53" t="s">
        <v>44</v>
      </c>
      <c r="T53">
        <v>1</v>
      </c>
      <c r="U53">
        <v>0</v>
      </c>
      <c r="V53" t="s">
        <v>32</v>
      </c>
      <c r="W53" t="s">
        <v>39</v>
      </c>
      <c r="X53" s="4">
        <v>7.9</v>
      </c>
      <c r="Y53">
        <v>12</v>
      </c>
      <c r="Z53" s="5">
        <v>378.53</v>
      </c>
    </row>
    <row r="54" spans="1:26">
      <c r="A54">
        <v>53</v>
      </c>
      <c r="B54">
        <v>17</v>
      </c>
      <c r="C54" s="2">
        <v>46114</v>
      </c>
      <c r="D54" t="s">
        <v>55</v>
      </c>
      <c r="E54">
        <v>4</v>
      </c>
      <c r="F54" s="3">
        <v>9.86</v>
      </c>
      <c r="G54" t="s">
        <v>27</v>
      </c>
      <c r="H54">
        <v>28</v>
      </c>
      <c r="I54" t="s">
        <v>34</v>
      </c>
      <c r="J54" s="4">
        <v>60.2</v>
      </c>
      <c r="K54" s="4">
        <v>167.6</v>
      </c>
      <c r="L54" s="4">
        <v>32.700000000000003</v>
      </c>
      <c r="M54">
        <v>14</v>
      </c>
      <c r="N54" t="s">
        <v>47</v>
      </c>
      <c r="O54">
        <v>4</v>
      </c>
      <c r="P54" s="4">
        <v>31</v>
      </c>
      <c r="Q54" t="s">
        <v>48</v>
      </c>
      <c r="R54">
        <v>0</v>
      </c>
      <c r="S54" t="s">
        <v>44</v>
      </c>
      <c r="T54">
        <v>1</v>
      </c>
      <c r="U54">
        <v>0</v>
      </c>
      <c r="V54" t="s">
        <v>32</v>
      </c>
      <c r="W54" t="s">
        <v>39</v>
      </c>
      <c r="X54" s="4">
        <v>9.4</v>
      </c>
      <c r="Y54">
        <v>9</v>
      </c>
      <c r="Z54" s="5">
        <v>181.93</v>
      </c>
    </row>
    <row r="55" spans="1:26">
      <c r="A55">
        <v>54</v>
      </c>
      <c r="B55">
        <v>17</v>
      </c>
      <c r="C55" s="2">
        <v>46114</v>
      </c>
      <c r="D55" t="s">
        <v>55</v>
      </c>
      <c r="E55">
        <v>4</v>
      </c>
      <c r="F55" s="3">
        <v>9.76</v>
      </c>
      <c r="G55" t="s">
        <v>27</v>
      </c>
      <c r="H55">
        <v>21</v>
      </c>
      <c r="I55" t="s">
        <v>28</v>
      </c>
      <c r="J55" s="4">
        <v>65.599999999999994</v>
      </c>
      <c r="K55" s="4">
        <v>152.5</v>
      </c>
      <c r="L55" s="4">
        <v>25.1</v>
      </c>
      <c r="M55">
        <v>15</v>
      </c>
      <c r="N55" t="s">
        <v>47</v>
      </c>
      <c r="O55">
        <v>4</v>
      </c>
      <c r="P55" s="4">
        <v>31</v>
      </c>
      <c r="Q55" t="s">
        <v>48</v>
      </c>
      <c r="R55">
        <v>0</v>
      </c>
      <c r="S55" t="s">
        <v>44</v>
      </c>
      <c r="T55">
        <v>1</v>
      </c>
      <c r="U55">
        <v>0</v>
      </c>
      <c r="V55" t="s">
        <v>32</v>
      </c>
      <c r="W55" t="s">
        <v>39</v>
      </c>
      <c r="X55" s="4">
        <v>9.8000000000000007</v>
      </c>
      <c r="Y55">
        <v>12</v>
      </c>
      <c r="Z55" s="5">
        <v>281.2</v>
      </c>
    </row>
    <row r="56" spans="1:26">
      <c r="A56">
        <v>55</v>
      </c>
      <c r="B56">
        <v>17</v>
      </c>
      <c r="C56" s="2">
        <v>46114</v>
      </c>
      <c r="D56" t="s">
        <v>55</v>
      </c>
      <c r="E56">
        <v>4</v>
      </c>
      <c r="F56" s="3">
        <v>9.9</v>
      </c>
      <c r="G56" t="s">
        <v>27</v>
      </c>
      <c r="H56">
        <v>55</v>
      </c>
      <c r="I56" t="s">
        <v>34</v>
      </c>
      <c r="J56" s="4">
        <v>62.3</v>
      </c>
      <c r="K56" s="4">
        <v>147.5</v>
      </c>
      <c r="L56" s="4">
        <v>26.5</v>
      </c>
      <c r="M56">
        <v>17</v>
      </c>
      <c r="N56" t="s">
        <v>47</v>
      </c>
      <c r="O56">
        <v>4</v>
      </c>
      <c r="P56" s="4">
        <v>31</v>
      </c>
      <c r="Q56" t="s">
        <v>48</v>
      </c>
      <c r="R56">
        <v>0</v>
      </c>
      <c r="S56" t="s">
        <v>44</v>
      </c>
      <c r="T56">
        <v>1</v>
      </c>
      <c r="U56">
        <v>0</v>
      </c>
      <c r="V56" t="s">
        <v>32</v>
      </c>
      <c r="W56" t="s">
        <v>39</v>
      </c>
      <c r="X56" s="4">
        <v>9.3000000000000007</v>
      </c>
      <c r="Y56">
        <v>6</v>
      </c>
      <c r="Z56" s="5">
        <v>200.29</v>
      </c>
    </row>
    <row r="57" spans="1:26">
      <c r="A57">
        <v>56</v>
      </c>
      <c r="B57">
        <v>18</v>
      </c>
      <c r="C57" s="2">
        <v>46269</v>
      </c>
      <c r="D57" t="s">
        <v>26</v>
      </c>
      <c r="E57">
        <v>9</v>
      </c>
      <c r="F57" s="3">
        <v>9.73</v>
      </c>
      <c r="G57" t="s">
        <v>27</v>
      </c>
      <c r="H57">
        <v>10</v>
      </c>
      <c r="I57" t="s">
        <v>34</v>
      </c>
      <c r="J57" s="4">
        <v>68.7</v>
      </c>
      <c r="K57" s="4">
        <v>149.80000000000001</v>
      </c>
      <c r="L57" s="4">
        <v>22</v>
      </c>
      <c r="M57">
        <v>9</v>
      </c>
      <c r="N57" t="s">
        <v>37</v>
      </c>
      <c r="O57">
        <v>1</v>
      </c>
      <c r="P57" s="4">
        <v>1130.3</v>
      </c>
      <c r="Q57" t="s">
        <v>30</v>
      </c>
      <c r="R57">
        <v>1</v>
      </c>
      <c r="S57" t="s">
        <v>44</v>
      </c>
      <c r="T57">
        <v>0</v>
      </c>
      <c r="U57">
        <v>0</v>
      </c>
      <c r="V57" t="s">
        <v>32</v>
      </c>
      <c r="W57" t="s">
        <v>49</v>
      </c>
      <c r="X57" s="4">
        <v>7.4</v>
      </c>
      <c r="Y57">
        <v>6</v>
      </c>
      <c r="Z57" s="5">
        <v>235.25</v>
      </c>
    </row>
    <row r="58" spans="1:26">
      <c r="A58">
        <v>57</v>
      </c>
      <c r="B58">
        <v>19</v>
      </c>
      <c r="C58" s="2">
        <v>46275</v>
      </c>
      <c r="D58" t="s">
        <v>55</v>
      </c>
      <c r="E58">
        <v>9</v>
      </c>
      <c r="F58" s="3">
        <v>12.34</v>
      </c>
      <c r="G58" t="s">
        <v>36</v>
      </c>
      <c r="H58">
        <v>48</v>
      </c>
      <c r="I58" t="s">
        <v>34</v>
      </c>
      <c r="J58" s="4">
        <v>66.099999999999994</v>
      </c>
      <c r="K58" s="4">
        <v>161.80000000000001</v>
      </c>
      <c r="L58" s="4">
        <v>26.2</v>
      </c>
      <c r="M58">
        <v>15</v>
      </c>
      <c r="N58" t="s">
        <v>47</v>
      </c>
      <c r="O58">
        <v>2</v>
      </c>
      <c r="P58" s="4">
        <v>97.9</v>
      </c>
      <c r="Q58" t="s">
        <v>42</v>
      </c>
      <c r="R58">
        <v>0</v>
      </c>
      <c r="S58" t="s">
        <v>44</v>
      </c>
      <c r="T58">
        <v>0</v>
      </c>
      <c r="U58">
        <v>0</v>
      </c>
      <c r="V58" t="s">
        <v>32</v>
      </c>
      <c r="W58" t="s">
        <v>39</v>
      </c>
      <c r="X58" s="4">
        <v>8.4</v>
      </c>
      <c r="Y58">
        <v>6</v>
      </c>
      <c r="Z58" s="5">
        <v>101.27</v>
      </c>
    </row>
    <row r="59" spans="1:26">
      <c r="A59">
        <v>58</v>
      </c>
      <c r="B59">
        <v>19</v>
      </c>
      <c r="C59" s="2">
        <v>46275</v>
      </c>
      <c r="D59" t="s">
        <v>55</v>
      </c>
      <c r="E59">
        <v>9</v>
      </c>
      <c r="F59" s="3">
        <v>12.47</v>
      </c>
      <c r="G59" t="s">
        <v>36</v>
      </c>
      <c r="H59">
        <v>51</v>
      </c>
      <c r="I59" t="s">
        <v>34</v>
      </c>
      <c r="J59" s="4">
        <v>62.4</v>
      </c>
      <c r="K59" s="4">
        <v>98.6</v>
      </c>
      <c r="L59" s="4">
        <v>17.8</v>
      </c>
      <c r="M59">
        <v>16</v>
      </c>
      <c r="N59" t="s">
        <v>47</v>
      </c>
      <c r="O59">
        <v>2</v>
      </c>
      <c r="P59" s="4">
        <v>97.9</v>
      </c>
      <c r="Q59" t="s">
        <v>42</v>
      </c>
      <c r="R59">
        <v>0</v>
      </c>
      <c r="S59" t="s">
        <v>44</v>
      </c>
      <c r="T59">
        <v>0</v>
      </c>
      <c r="U59">
        <v>0</v>
      </c>
      <c r="V59" t="s">
        <v>32</v>
      </c>
      <c r="W59" t="s">
        <v>39</v>
      </c>
      <c r="X59" s="4">
        <v>4.4000000000000004</v>
      </c>
      <c r="Y59">
        <v>3</v>
      </c>
      <c r="Z59" s="5">
        <v>82.14</v>
      </c>
    </row>
    <row r="60" spans="1:26">
      <c r="A60">
        <v>59</v>
      </c>
      <c r="B60">
        <v>20</v>
      </c>
      <c r="C60" s="2">
        <v>46069</v>
      </c>
      <c r="D60" t="s">
        <v>46</v>
      </c>
      <c r="E60">
        <v>2</v>
      </c>
      <c r="F60" s="3">
        <v>13.61</v>
      </c>
      <c r="G60" t="s">
        <v>36</v>
      </c>
      <c r="H60">
        <v>49</v>
      </c>
      <c r="I60" t="s">
        <v>34</v>
      </c>
      <c r="J60" s="4">
        <v>60.7</v>
      </c>
      <c r="K60" s="4">
        <v>152.9</v>
      </c>
      <c r="L60" s="4">
        <v>29</v>
      </c>
      <c r="M60">
        <v>16</v>
      </c>
      <c r="N60" t="s">
        <v>29</v>
      </c>
      <c r="O60">
        <v>3</v>
      </c>
      <c r="P60" s="4">
        <v>2074.4</v>
      </c>
      <c r="Q60" t="s">
        <v>42</v>
      </c>
      <c r="R60">
        <v>1</v>
      </c>
      <c r="S60" t="s">
        <v>44</v>
      </c>
      <c r="T60">
        <v>0</v>
      </c>
      <c r="U60">
        <v>0</v>
      </c>
      <c r="V60" t="s">
        <v>32</v>
      </c>
      <c r="W60" t="s">
        <v>43</v>
      </c>
      <c r="X60" s="4">
        <v>9.3000000000000007</v>
      </c>
      <c r="Y60">
        <v>8</v>
      </c>
      <c r="Z60" s="5">
        <v>268.92</v>
      </c>
    </row>
    <row r="61" spans="1:26">
      <c r="A61">
        <v>60</v>
      </c>
      <c r="B61">
        <v>20</v>
      </c>
      <c r="C61" s="2">
        <v>46069</v>
      </c>
      <c r="D61" t="s">
        <v>46</v>
      </c>
      <c r="E61">
        <v>2</v>
      </c>
      <c r="F61" s="3">
        <v>13.56</v>
      </c>
      <c r="G61" t="s">
        <v>36</v>
      </c>
      <c r="H61">
        <v>31</v>
      </c>
      <c r="I61" t="s">
        <v>34</v>
      </c>
      <c r="J61" s="4">
        <v>64.7</v>
      </c>
      <c r="K61" s="4">
        <v>163.5</v>
      </c>
      <c r="L61" s="4">
        <v>27.6</v>
      </c>
      <c r="M61">
        <v>15</v>
      </c>
      <c r="N61" t="s">
        <v>29</v>
      </c>
      <c r="O61">
        <v>3</v>
      </c>
      <c r="P61" s="4">
        <v>2074.4</v>
      </c>
      <c r="Q61" t="s">
        <v>42</v>
      </c>
      <c r="R61">
        <v>1</v>
      </c>
      <c r="S61" t="s">
        <v>44</v>
      </c>
      <c r="T61">
        <v>0</v>
      </c>
      <c r="U61">
        <v>0</v>
      </c>
      <c r="V61" t="s">
        <v>32</v>
      </c>
      <c r="W61" t="s">
        <v>43</v>
      </c>
      <c r="X61" s="4">
        <v>9.1</v>
      </c>
      <c r="Y61">
        <v>9</v>
      </c>
      <c r="Z61" s="5">
        <v>371.27</v>
      </c>
    </row>
    <row r="62" spans="1:26">
      <c r="A62">
        <v>61</v>
      </c>
      <c r="B62">
        <v>20</v>
      </c>
      <c r="C62" s="2">
        <v>46069</v>
      </c>
      <c r="D62" t="s">
        <v>46</v>
      </c>
      <c r="E62">
        <v>2</v>
      </c>
      <c r="F62" s="3">
        <v>13.44</v>
      </c>
      <c r="G62" t="s">
        <v>36</v>
      </c>
      <c r="H62">
        <v>50</v>
      </c>
      <c r="I62" t="s">
        <v>34</v>
      </c>
      <c r="J62" s="4">
        <v>63.1</v>
      </c>
      <c r="K62" s="4">
        <v>145.5</v>
      </c>
      <c r="L62" s="4">
        <v>25.5</v>
      </c>
      <c r="M62">
        <v>18</v>
      </c>
      <c r="N62" t="s">
        <v>29</v>
      </c>
      <c r="O62">
        <v>3</v>
      </c>
      <c r="P62" s="4">
        <v>2074.4</v>
      </c>
      <c r="Q62" t="s">
        <v>42</v>
      </c>
      <c r="R62">
        <v>1</v>
      </c>
      <c r="S62" t="s">
        <v>44</v>
      </c>
      <c r="T62">
        <v>0</v>
      </c>
      <c r="U62">
        <v>0</v>
      </c>
      <c r="V62" t="s">
        <v>32</v>
      </c>
      <c r="W62" t="s">
        <v>43</v>
      </c>
      <c r="X62" s="4">
        <v>7.9</v>
      </c>
      <c r="Y62">
        <v>13</v>
      </c>
      <c r="Z62" s="5">
        <v>118.46</v>
      </c>
    </row>
    <row r="63" spans="1:26">
      <c r="A63">
        <v>62</v>
      </c>
      <c r="B63">
        <v>21</v>
      </c>
      <c r="C63" s="2">
        <v>46094</v>
      </c>
      <c r="D63" t="s">
        <v>26</v>
      </c>
      <c r="E63">
        <v>3</v>
      </c>
      <c r="F63" s="3">
        <v>9.0399999999999991</v>
      </c>
      <c r="G63" t="s">
        <v>27</v>
      </c>
      <c r="H63">
        <v>46</v>
      </c>
      <c r="I63" t="s">
        <v>28</v>
      </c>
      <c r="J63" s="4">
        <v>66.8</v>
      </c>
      <c r="K63" s="4">
        <v>154</v>
      </c>
      <c r="L63" s="4">
        <v>24.2</v>
      </c>
      <c r="M63">
        <v>13</v>
      </c>
      <c r="N63" t="s">
        <v>47</v>
      </c>
      <c r="O63">
        <v>1</v>
      </c>
      <c r="P63" s="4">
        <v>39.4</v>
      </c>
      <c r="Q63" t="s">
        <v>30</v>
      </c>
      <c r="R63">
        <v>0</v>
      </c>
      <c r="S63" t="s">
        <v>44</v>
      </c>
      <c r="T63">
        <v>0</v>
      </c>
      <c r="U63">
        <v>0</v>
      </c>
      <c r="V63" t="s">
        <v>32</v>
      </c>
      <c r="W63" t="s">
        <v>39</v>
      </c>
      <c r="X63" s="4">
        <v>7.1</v>
      </c>
      <c r="Y63">
        <v>9</v>
      </c>
      <c r="Z63" s="5">
        <v>195.5</v>
      </c>
    </row>
    <row r="64" spans="1:26">
      <c r="A64">
        <v>63</v>
      </c>
      <c r="B64">
        <v>22</v>
      </c>
      <c r="C64" s="2">
        <v>46232</v>
      </c>
      <c r="D64" t="s">
        <v>52</v>
      </c>
      <c r="E64">
        <v>7</v>
      </c>
      <c r="F64" s="3">
        <v>8.73</v>
      </c>
      <c r="G64" t="s">
        <v>27</v>
      </c>
      <c r="H64">
        <v>18</v>
      </c>
      <c r="I64" t="s">
        <v>34</v>
      </c>
      <c r="J64" s="4">
        <v>65.2</v>
      </c>
      <c r="K64" s="4">
        <v>178.3</v>
      </c>
      <c r="L64" s="4">
        <v>29.4</v>
      </c>
      <c r="M64">
        <v>11</v>
      </c>
      <c r="N64" t="s">
        <v>56</v>
      </c>
      <c r="O64">
        <v>3</v>
      </c>
      <c r="P64" s="4">
        <v>270.89999999999998</v>
      </c>
      <c r="Q64" t="s">
        <v>30</v>
      </c>
      <c r="R64">
        <v>1</v>
      </c>
      <c r="S64" t="s">
        <v>44</v>
      </c>
      <c r="T64">
        <v>0</v>
      </c>
      <c r="U64">
        <v>0</v>
      </c>
      <c r="V64" t="s">
        <v>32</v>
      </c>
      <c r="W64" t="s">
        <v>39</v>
      </c>
      <c r="X64" s="4">
        <v>8.6</v>
      </c>
      <c r="Y64">
        <v>5</v>
      </c>
      <c r="Z64" s="5">
        <v>148.13</v>
      </c>
    </row>
    <row r="65" spans="1:26">
      <c r="A65">
        <v>64</v>
      </c>
      <c r="B65">
        <v>22</v>
      </c>
      <c r="C65" s="2">
        <v>46232</v>
      </c>
      <c r="D65" t="s">
        <v>52</v>
      </c>
      <c r="E65">
        <v>7</v>
      </c>
      <c r="F65" s="3">
        <v>8.89</v>
      </c>
      <c r="G65" t="s">
        <v>27</v>
      </c>
      <c r="H65">
        <v>47</v>
      </c>
      <c r="I65" t="s">
        <v>34</v>
      </c>
      <c r="J65" s="4">
        <v>62.6</v>
      </c>
      <c r="K65" s="4">
        <v>179.5</v>
      </c>
      <c r="L65" s="4">
        <v>31.9</v>
      </c>
      <c r="M65">
        <v>14</v>
      </c>
      <c r="N65" t="s">
        <v>56</v>
      </c>
      <c r="O65">
        <v>3</v>
      </c>
      <c r="P65" s="4">
        <v>270.89999999999998</v>
      </c>
      <c r="Q65" t="s">
        <v>30</v>
      </c>
      <c r="R65">
        <v>1</v>
      </c>
      <c r="S65" t="s">
        <v>44</v>
      </c>
      <c r="T65">
        <v>0</v>
      </c>
      <c r="U65">
        <v>0</v>
      </c>
      <c r="V65" t="s">
        <v>32</v>
      </c>
      <c r="W65" t="s">
        <v>39</v>
      </c>
      <c r="X65" s="4">
        <v>9.3000000000000007</v>
      </c>
      <c r="Y65">
        <v>10</v>
      </c>
      <c r="Z65" s="5">
        <v>193.57</v>
      </c>
    </row>
    <row r="66" spans="1:26">
      <c r="A66">
        <v>65</v>
      </c>
      <c r="B66">
        <v>22</v>
      </c>
      <c r="C66" s="2">
        <v>46232</v>
      </c>
      <c r="D66" t="s">
        <v>52</v>
      </c>
      <c r="E66">
        <v>7</v>
      </c>
      <c r="F66" s="3">
        <v>8.75</v>
      </c>
      <c r="G66" t="s">
        <v>27</v>
      </c>
      <c r="H66">
        <v>20</v>
      </c>
      <c r="I66" t="s">
        <v>28</v>
      </c>
      <c r="J66" s="4">
        <v>76.8</v>
      </c>
      <c r="K66" s="4">
        <v>182.3</v>
      </c>
      <c r="L66" s="4">
        <v>21.8</v>
      </c>
      <c r="M66">
        <v>13</v>
      </c>
      <c r="N66" t="s">
        <v>56</v>
      </c>
      <c r="O66">
        <v>3</v>
      </c>
      <c r="P66" s="4">
        <v>270.89999999999998</v>
      </c>
      <c r="Q66" t="s">
        <v>30</v>
      </c>
      <c r="R66">
        <v>1</v>
      </c>
      <c r="S66" t="s">
        <v>44</v>
      </c>
      <c r="T66">
        <v>0</v>
      </c>
      <c r="U66">
        <v>0</v>
      </c>
      <c r="V66" t="s">
        <v>32</v>
      </c>
      <c r="W66" t="s">
        <v>39</v>
      </c>
      <c r="X66" s="4">
        <v>6.4</v>
      </c>
      <c r="Y66">
        <v>6</v>
      </c>
      <c r="Z66" s="5">
        <v>136.24</v>
      </c>
    </row>
    <row r="67" spans="1:26">
      <c r="A67">
        <v>66</v>
      </c>
      <c r="B67">
        <v>23</v>
      </c>
      <c r="C67" s="2">
        <v>46110</v>
      </c>
      <c r="D67" t="s">
        <v>58</v>
      </c>
      <c r="E67">
        <v>3</v>
      </c>
      <c r="F67" s="3">
        <v>9.2100000000000009</v>
      </c>
      <c r="G67" t="s">
        <v>27</v>
      </c>
      <c r="H67">
        <v>63</v>
      </c>
      <c r="I67" t="s">
        <v>34</v>
      </c>
      <c r="J67" s="4">
        <v>65.099999999999994</v>
      </c>
      <c r="K67" s="4">
        <v>176.6</v>
      </c>
      <c r="L67" s="4">
        <v>29</v>
      </c>
      <c r="M67">
        <v>16</v>
      </c>
      <c r="N67" t="s">
        <v>60</v>
      </c>
      <c r="O67">
        <v>2</v>
      </c>
      <c r="P67" s="4">
        <v>1900.1</v>
      </c>
      <c r="Q67" t="s">
        <v>42</v>
      </c>
      <c r="R67">
        <v>1</v>
      </c>
      <c r="S67" t="s">
        <v>44</v>
      </c>
      <c r="T67">
        <v>0</v>
      </c>
      <c r="U67">
        <v>0</v>
      </c>
      <c r="V67" t="s">
        <v>32</v>
      </c>
      <c r="W67" t="s">
        <v>43</v>
      </c>
      <c r="X67" s="4">
        <v>8.8000000000000007</v>
      </c>
      <c r="Y67">
        <v>5</v>
      </c>
      <c r="Z67" s="5">
        <v>205.88</v>
      </c>
    </row>
    <row r="68" spans="1:26">
      <c r="A68">
        <v>67</v>
      </c>
      <c r="B68">
        <v>23</v>
      </c>
      <c r="C68" s="2">
        <v>46110</v>
      </c>
      <c r="D68" t="s">
        <v>58</v>
      </c>
      <c r="E68">
        <v>3</v>
      </c>
      <c r="F68" s="3">
        <v>8.94</v>
      </c>
      <c r="G68" t="s">
        <v>27</v>
      </c>
      <c r="H68">
        <v>8</v>
      </c>
      <c r="I68" t="s">
        <v>28</v>
      </c>
      <c r="J68" s="4">
        <v>60.5</v>
      </c>
      <c r="K68" s="4">
        <v>104.4</v>
      </c>
      <c r="L68" s="4">
        <v>20.2</v>
      </c>
      <c r="M68">
        <v>16</v>
      </c>
      <c r="N68" t="s">
        <v>60</v>
      </c>
      <c r="O68">
        <v>2</v>
      </c>
      <c r="P68" s="4">
        <v>1900.1</v>
      </c>
      <c r="Q68" t="s">
        <v>42</v>
      </c>
      <c r="R68">
        <v>1</v>
      </c>
      <c r="S68" t="s">
        <v>44</v>
      </c>
      <c r="T68">
        <v>0</v>
      </c>
      <c r="U68">
        <v>0</v>
      </c>
      <c r="V68" t="s">
        <v>32</v>
      </c>
      <c r="W68" t="s">
        <v>43</v>
      </c>
      <c r="X68" s="4">
        <v>9.4</v>
      </c>
      <c r="Y68">
        <v>7</v>
      </c>
      <c r="Z68" s="5">
        <v>287.16000000000003</v>
      </c>
    </row>
    <row r="69" spans="1:26">
      <c r="A69">
        <v>68</v>
      </c>
      <c r="B69">
        <v>24</v>
      </c>
      <c r="C69" s="2">
        <v>46067</v>
      </c>
      <c r="D69" t="s">
        <v>40</v>
      </c>
      <c r="E69">
        <v>2</v>
      </c>
      <c r="F69" s="3">
        <v>12.4</v>
      </c>
      <c r="G69" t="s">
        <v>36</v>
      </c>
      <c r="H69">
        <v>32</v>
      </c>
      <c r="I69" t="s">
        <v>34</v>
      </c>
      <c r="J69" s="4">
        <v>58.9</v>
      </c>
      <c r="K69" s="4">
        <v>137.5</v>
      </c>
      <c r="L69" s="4">
        <v>28</v>
      </c>
      <c r="M69">
        <v>12</v>
      </c>
      <c r="N69" t="s">
        <v>50</v>
      </c>
      <c r="O69">
        <v>2</v>
      </c>
      <c r="P69" s="4">
        <v>428</v>
      </c>
      <c r="Q69" t="s">
        <v>42</v>
      </c>
      <c r="R69">
        <v>0</v>
      </c>
      <c r="S69" t="s">
        <v>44</v>
      </c>
      <c r="T69">
        <v>0</v>
      </c>
      <c r="U69">
        <v>0</v>
      </c>
      <c r="V69" t="s">
        <v>32</v>
      </c>
      <c r="W69" t="s">
        <v>39</v>
      </c>
      <c r="X69" s="4">
        <v>9.8000000000000007</v>
      </c>
      <c r="Y69">
        <v>9</v>
      </c>
      <c r="Z69" s="5">
        <v>297.16000000000003</v>
      </c>
    </row>
    <row r="70" spans="1:26">
      <c r="A70">
        <v>69</v>
      </c>
      <c r="B70">
        <v>24</v>
      </c>
      <c r="C70" s="2">
        <v>46067</v>
      </c>
      <c r="D70" t="s">
        <v>40</v>
      </c>
      <c r="E70">
        <v>2</v>
      </c>
      <c r="F70" s="3">
        <v>12.57</v>
      </c>
      <c r="G70" t="s">
        <v>36</v>
      </c>
      <c r="H70">
        <v>25</v>
      </c>
      <c r="I70" t="s">
        <v>28</v>
      </c>
      <c r="J70" s="4">
        <v>67.8</v>
      </c>
      <c r="K70" s="4">
        <v>180.6</v>
      </c>
      <c r="L70" s="4">
        <v>27.6</v>
      </c>
      <c r="M70">
        <v>12</v>
      </c>
      <c r="N70" t="s">
        <v>50</v>
      </c>
      <c r="O70">
        <v>2</v>
      </c>
      <c r="P70" s="4">
        <v>428</v>
      </c>
      <c r="Q70" t="s">
        <v>42</v>
      </c>
      <c r="R70">
        <v>0</v>
      </c>
      <c r="S70" t="s">
        <v>44</v>
      </c>
      <c r="T70">
        <v>0</v>
      </c>
      <c r="U70">
        <v>0</v>
      </c>
      <c r="V70" t="s">
        <v>32</v>
      </c>
      <c r="W70" t="s">
        <v>39</v>
      </c>
      <c r="X70" s="4">
        <v>4.2</v>
      </c>
      <c r="Y70">
        <v>4</v>
      </c>
      <c r="Z70" s="5">
        <v>96.84</v>
      </c>
    </row>
    <row r="71" spans="1:26">
      <c r="A71">
        <v>70</v>
      </c>
      <c r="B71">
        <v>25</v>
      </c>
      <c r="C71" s="2">
        <v>46028</v>
      </c>
      <c r="D71" t="s">
        <v>35</v>
      </c>
      <c r="E71">
        <v>1</v>
      </c>
      <c r="F71" s="3">
        <v>11.91</v>
      </c>
      <c r="G71" t="s">
        <v>36</v>
      </c>
      <c r="H71">
        <v>28</v>
      </c>
      <c r="I71" t="s">
        <v>28</v>
      </c>
      <c r="J71" s="4">
        <v>70.900000000000006</v>
      </c>
      <c r="K71" s="4">
        <v>125.2</v>
      </c>
      <c r="L71" s="4">
        <v>17.399999999999999</v>
      </c>
      <c r="M71">
        <v>14</v>
      </c>
      <c r="N71" t="s">
        <v>54</v>
      </c>
      <c r="O71">
        <v>3</v>
      </c>
      <c r="P71" s="4">
        <v>2547.6</v>
      </c>
      <c r="Q71" t="s">
        <v>42</v>
      </c>
      <c r="R71">
        <v>1</v>
      </c>
      <c r="S71" t="s">
        <v>31</v>
      </c>
      <c r="T71">
        <v>0</v>
      </c>
      <c r="U71">
        <v>0</v>
      </c>
      <c r="V71" t="s">
        <v>32</v>
      </c>
      <c r="W71" t="s">
        <v>57</v>
      </c>
      <c r="X71" s="4">
        <v>4.9000000000000004</v>
      </c>
      <c r="Y71">
        <v>4</v>
      </c>
      <c r="Z71" s="5">
        <v>106.87</v>
      </c>
    </row>
    <row r="72" spans="1:26">
      <c r="A72">
        <v>71</v>
      </c>
      <c r="B72">
        <v>25</v>
      </c>
      <c r="C72" s="2">
        <v>46028</v>
      </c>
      <c r="D72" t="s">
        <v>35</v>
      </c>
      <c r="E72">
        <v>1</v>
      </c>
      <c r="F72" s="3">
        <v>12.23</v>
      </c>
      <c r="G72" t="s">
        <v>36</v>
      </c>
      <c r="H72">
        <v>58</v>
      </c>
      <c r="I72" t="s">
        <v>34</v>
      </c>
      <c r="J72" s="4">
        <v>61.5</v>
      </c>
      <c r="K72" s="4">
        <v>149.5</v>
      </c>
      <c r="L72" s="4">
        <v>27.9</v>
      </c>
      <c r="M72">
        <v>17</v>
      </c>
      <c r="N72" t="s">
        <v>54</v>
      </c>
      <c r="O72">
        <v>3</v>
      </c>
      <c r="P72" s="4">
        <v>2547.6</v>
      </c>
      <c r="Q72" t="s">
        <v>42</v>
      </c>
      <c r="R72">
        <v>1</v>
      </c>
      <c r="S72" t="s">
        <v>31</v>
      </c>
      <c r="T72">
        <v>0</v>
      </c>
      <c r="U72">
        <v>0</v>
      </c>
      <c r="V72" t="s">
        <v>32</v>
      </c>
      <c r="W72" t="s">
        <v>57</v>
      </c>
      <c r="X72" s="4">
        <v>9.9</v>
      </c>
      <c r="Y72">
        <v>12</v>
      </c>
      <c r="Z72" s="5">
        <v>191.04</v>
      </c>
    </row>
    <row r="73" spans="1:26">
      <c r="A73">
        <v>72</v>
      </c>
      <c r="B73">
        <v>25</v>
      </c>
      <c r="C73" s="2">
        <v>46028</v>
      </c>
      <c r="D73" t="s">
        <v>35</v>
      </c>
      <c r="E73">
        <v>1</v>
      </c>
      <c r="F73" s="3">
        <v>12.16</v>
      </c>
      <c r="G73" t="s">
        <v>36</v>
      </c>
      <c r="H73">
        <v>18</v>
      </c>
      <c r="I73" t="s">
        <v>34</v>
      </c>
      <c r="J73" s="4">
        <v>64.8</v>
      </c>
      <c r="K73" s="4">
        <v>145.69999999999999</v>
      </c>
      <c r="L73" s="4">
        <v>24.4</v>
      </c>
      <c r="M73">
        <v>11</v>
      </c>
      <c r="N73" t="s">
        <v>54</v>
      </c>
      <c r="O73">
        <v>3</v>
      </c>
      <c r="P73" s="4">
        <v>2547.6</v>
      </c>
      <c r="Q73" t="s">
        <v>42</v>
      </c>
      <c r="R73">
        <v>1</v>
      </c>
      <c r="S73" t="s">
        <v>31</v>
      </c>
      <c r="T73">
        <v>0</v>
      </c>
      <c r="U73">
        <v>0</v>
      </c>
      <c r="V73" t="s">
        <v>32</v>
      </c>
      <c r="W73" t="s">
        <v>57</v>
      </c>
      <c r="X73" s="4">
        <v>8.6999999999999993</v>
      </c>
      <c r="Y73">
        <v>6</v>
      </c>
      <c r="Z73" s="5">
        <v>183.32</v>
      </c>
    </row>
    <row r="74" spans="1:26">
      <c r="A74">
        <v>73</v>
      </c>
      <c r="B74">
        <v>26</v>
      </c>
      <c r="C74" s="2">
        <v>46384</v>
      </c>
      <c r="D74" t="s">
        <v>46</v>
      </c>
      <c r="E74">
        <v>12</v>
      </c>
      <c r="F74" s="3">
        <v>12.31</v>
      </c>
      <c r="G74" t="s">
        <v>36</v>
      </c>
      <c r="H74">
        <v>64</v>
      </c>
      <c r="I74" t="s">
        <v>34</v>
      </c>
      <c r="J74" s="4">
        <v>71</v>
      </c>
      <c r="K74" s="4">
        <v>170.7</v>
      </c>
      <c r="L74" s="4">
        <v>23.7</v>
      </c>
      <c r="M74">
        <v>18</v>
      </c>
      <c r="N74" t="s">
        <v>47</v>
      </c>
      <c r="O74">
        <v>5</v>
      </c>
      <c r="P74" s="4">
        <v>74.599999999999994</v>
      </c>
      <c r="Q74" t="s">
        <v>48</v>
      </c>
      <c r="R74">
        <v>0</v>
      </c>
      <c r="S74" t="s">
        <v>31</v>
      </c>
      <c r="T74">
        <v>1</v>
      </c>
      <c r="U74">
        <v>0</v>
      </c>
      <c r="V74" t="s">
        <v>32</v>
      </c>
      <c r="W74" t="s">
        <v>43</v>
      </c>
      <c r="X74" s="4">
        <v>8.5</v>
      </c>
      <c r="Y74">
        <v>7</v>
      </c>
      <c r="Z74" s="5">
        <v>348.11</v>
      </c>
    </row>
    <row r="75" spans="1:26">
      <c r="A75">
        <v>74</v>
      </c>
      <c r="B75">
        <v>26</v>
      </c>
      <c r="C75" s="2">
        <v>46384</v>
      </c>
      <c r="D75" t="s">
        <v>46</v>
      </c>
      <c r="E75">
        <v>12</v>
      </c>
      <c r="F75" s="3">
        <v>12.51</v>
      </c>
      <c r="G75" t="s">
        <v>36</v>
      </c>
      <c r="H75">
        <v>79</v>
      </c>
      <c r="I75" t="s">
        <v>34</v>
      </c>
      <c r="J75" s="4">
        <v>66.5</v>
      </c>
      <c r="K75" s="4">
        <v>181.5</v>
      </c>
      <c r="L75" s="4">
        <v>29.1</v>
      </c>
      <c r="M75">
        <v>19</v>
      </c>
      <c r="N75" t="s">
        <v>47</v>
      </c>
      <c r="O75">
        <v>5</v>
      </c>
      <c r="P75" s="4">
        <v>74.599999999999994</v>
      </c>
      <c r="Q75" t="s">
        <v>48</v>
      </c>
      <c r="R75">
        <v>0</v>
      </c>
      <c r="S75" t="s">
        <v>31</v>
      </c>
      <c r="T75">
        <v>1</v>
      </c>
      <c r="U75">
        <v>0</v>
      </c>
      <c r="V75" t="s">
        <v>32</v>
      </c>
      <c r="W75" t="s">
        <v>43</v>
      </c>
      <c r="X75" s="4">
        <v>6.3</v>
      </c>
      <c r="Y75">
        <v>6</v>
      </c>
      <c r="Z75" s="5">
        <v>198.13</v>
      </c>
    </row>
    <row r="76" spans="1:26">
      <c r="A76">
        <v>75</v>
      </c>
      <c r="B76">
        <v>26</v>
      </c>
      <c r="C76" s="2">
        <v>46384</v>
      </c>
      <c r="D76" t="s">
        <v>46</v>
      </c>
      <c r="E76">
        <v>12</v>
      </c>
      <c r="F76" s="3">
        <v>12.12</v>
      </c>
      <c r="G76" t="s">
        <v>36</v>
      </c>
      <c r="H76">
        <v>69</v>
      </c>
      <c r="I76" t="s">
        <v>28</v>
      </c>
      <c r="J76" s="4">
        <v>67.5</v>
      </c>
      <c r="K76" s="4">
        <v>164.9</v>
      </c>
      <c r="L76" s="4">
        <v>25.3</v>
      </c>
      <c r="M76">
        <v>20</v>
      </c>
      <c r="N76" t="s">
        <v>47</v>
      </c>
      <c r="O76">
        <v>5</v>
      </c>
      <c r="P76" s="4">
        <v>74.599999999999994</v>
      </c>
      <c r="Q76" t="s">
        <v>48</v>
      </c>
      <c r="R76">
        <v>0</v>
      </c>
      <c r="S76" t="s">
        <v>31</v>
      </c>
      <c r="T76">
        <v>1</v>
      </c>
      <c r="U76">
        <v>0</v>
      </c>
      <c r="V76" t="s">
        <v>32</v>
      </c>
      <c r="W76" t="s">
        <v>43</v>
      </c>
      <c r="X76" s="4">
        <v>8</v>
      </c>
      <c r="Y76">
        <v>9</v>
      </c>
      <c r="Z76" s="5">
        <v>216.09</v>
      </c>
    </row>
    <row r="77" spans="1:26">
      <c r="A77">
        <v>76</v>
      </c>
      <c r="B77">
        <v>26</v>
      </c>
      <c r="C77" s="2">
        <v>46384</v>
      </c>
      <c r="D77" t="s">
        <v>46</v>
      </c>
      <c r="E77">
        <v>12</v>
      </c>
      <c r="F77" s="3">
        <v>12.38</v>
      </c>
      <c r="G77" t="s">
        <v>36</v>
      </c>
      <c r="H77">
        <v>53</v>
      </c>
      <c r="I77" t="s">
        <v>28</v>
      </c>
      <c r="J77" s="4">
        <v>70.900000000000006</v>
      </c>
      <c r="K77" s="4">
        <v>196.6</v>
      </c>
      <c r="L77" s="4">
        <v>27.6</v>
      </c>
      <c r="M77">
        <v>16</v>
      </c>
      <c r="N77" t="s">
        <v>47</v>
      </c>
      <c r="O77">
        <v>5</v>
      </c>
      <c r="P77" s="4">
        <v>74.599999999999994</v>
      </c>
      <c r="Q77" t="s">
        <v>48</v>
      </c>
      <c r="R77">
        <v>0</v>
      </c>
      <c r="S77" t="s">
        <v>31</v>
      </c>
      <c r="T77">
        <v>1</v>
      </c>
      <c r="U77">
        <v>0</v>
      </c>
      <c r="V77" t="s">
        <v>32</v>
      </c>
      <c r="W77" t="s">
        <v>43</v>
      </c>
      <c r="X77" s="4">
        <v>7.5</v>
      </c>
      <c r="Y77">
        <v>6</v>
      </c>
      <c r="Z77" s="5">
        <v>199.25</v>
      </c>
    </row>
    <row r="78" spans="1:26">
      <c r="A78">
        <v>77</v>
      </c>
      <c r="B78">
        <v>26</v>
      </c>
      <c r="C78" s="2">
        <v>46384</v>
      </c>
      <c r="D78" t="s">
        <v>46</v>
      </c>
      <c r="E78">
        <v>12</v>
      </c>
      <c r="F78" s="3">
        <v>12.22</v>
      </c>
      <c r="G78" t="s">
        <v>36</v>
      </c>
      <c r="H78">
        <v>39</v>
      </c>
      <c r="I78" t="s">
        <v>34</v>
      </c>
      <c r="J78" s="4">
        <v>65.599999999999994</v>
      </c>
      <c r="K78" s="4">
        <v>174.5</v>
      </c>
      <c r="L78" s="4">
        <v>28.7</v>
      </c>
      <c r="M78">
        <v>15</v>
      </c>
      <c r="N78" t="s">
        <v>47</v>
      </c>
      <c r="O78">
        <v>5</v>
      </c>
      <c r="P78" s="4">
        <v>74.599999999999994</v>
      </c>
      <c r="Q78" t="s">
        <v>48</v>
      </c>
      <c r="R78">
        <v>0</v>
      </c>
      <c r="S78" t="s">
        <v>31</v>
      </c>
      <c r="T78">
        <v>1</v>
      </c>
      <c r="U78">
        <v>0</v>
      </c>
      <c r="V78" t="s">
        <v>32</v>
      </c>
      <c r="W78" t="s">
        <v>43</v>
      </c>
      <c r="X78" s="4">
        <v>7.3</v>
      </c>
      <c r="Y78">
        <v>8</v>
      </c>
      <c r="Z78" s="5">
        <v>285.24</v>
      </c>
    </row>
    <row r="79" spans="1:26">
      <c r="A79">
        <v>78</v>
      </c>
      <c r="B79">
        <v>27</v>
      </c>
      <c r="C79" s="2">
        <v>46047</v>
      </c>
      <c r="D79" t="s">
        <v>58</v>
      </c>
      <c r="E79">
        <v>1</v>
      </c>
      <c r="F79" s="3">
        <v>8.86</v>
      </c>
      <c r="G79" t="s">
        <v>27</v>
      </c>
      <c r="H79">
        <v>12</v>
      </c>
      <c r="I79" t="s">
        <v>34</v>
      </c>
      <c r="J79" s="4">
        <v>70</v>
      </c>
      <c r="K79" s="4">
        <v>161.4</v>
      </c>
      <c r="L79" s="4">
        <v>23</v>
      </c>
      <c r="M79">
        <v>12</v>
      </c>
      <c r="N79" t="s">
        <v>37</v>
      </c>
      <c r="O79">
        <v>3</v>
      </c>
      <c r="P79" s="4">
        <v>1285.9000000000001</v>
      </c>
      <c r="Q79" t="s">
        <v>42</v>
      </c>
      <c r="R79">
        <v>0</v>
      </c>
      <c r="S79" t="s">
        <v>44</v>
      </c>
      <c r="T79">
        <v>0</v>
      </c>
      <c r="U79">
        <v>0</v>
      </c>
      <c r="V79" t="s">
        <v>32</v>
      </c>
      <c r="W79" t="s">
        <v>39</v>
      </c>
      <c r="X79" s="4">
        <v>9.6</v>
      </c>
      <c r="Y79">
        <v>11</v>
      </c>
      <c r="Z79" s="5">
        <v>216.33</v>
      </c>
    </row>
    <row r="80" spans="1:26">
      <c r="A80">
        <v>79</v>
      </c>
      <c r="B80">
        <v>27</v>
      </c>
      <c r="C80" s="2">
        <v>46047</v>
      </c>
      <c r="D80" t="s">
        <v>58</v>
      </c>
      <c r="E80">
        <v>1</v>
      </c>
      <c r="F80" s="3">
        <v>8.7899999999999991</v>
      </c>
      <c r="G80" t="s">
        <v>27</v>
      </c>
      <c r="H80">
        <v>24</v>
      </c>
      <c r="I80" t="s">
        <v>28</v>
      </c>
      <c r="J80" s="4">
        <v>68.5</v>
      </c>
      <c r="K80" s="4">
        <v>170.2</v>
      </c>
      <c r="L80" s="4">
        <v>25.6</v>
      </c>
      <c r="M80">
        <v>15</v>
      </c>
      <c r="N80" t="s">
        <v>37</v>
      </c>
      <c r="O80">
        <v>3</v>
      </c>
      <c r="P80" s="4">
        <v>1285.9000000000001</v>
      </c>
      <c r="Q80" t="s">
        <v>42</v>
      </c>
      <c r="R80">
        <v>0</v>
      </c>
      <c r="S80" t="s">
        <v>44</v>
      </c>
      <c r="T80">
        <v>0</v>
      </c>
      <c r="U80">
        <v>0</v>
      </c>
      <c r="V80" t="s">
        <v>32</v>
      </c>
      <c r="W80" t="s">
        <v>39</v>
      </c>
      <c r="X80" s="4">
        <v>9.6</v>
      </c>
      <c r="Y80">
        <v>5</v>
      </c>
      <c r="Z80" s="5">
        <v>254.3</v>
      </c>
    </row>
    <row r="81" spans="1:26">
      <c r="A81">
        <v>80</v>
      </c>
      <c r="B81">
        <v>27</v>
      </c>
      <c r="C81" s="2">
        <v>46047</v>
      </c>
      <c r="D81" t="s">
        <v>58</v>
      </c>
      <c r="E81">
        <v>1</v>
      </c>
      <c r="F81" s="3">
        <v>8.57</v>
      </c>
      <c r="G81" t="s">
        <v>27</v>
      </c>
      <c r="H81">
        <v>49</v>
      </c>
      <c r="I81" t="s">
        <v>34</v>
      </c>
      <c r="J81" s="4">
        <v>61.3</v>
      </c>
      <c r="K81" s="4">
        <v>141.19999999999999</v>
      </c>
      <c r="L81" s="4">
        <v>26.5</v>
      </c>
      <c r="M81">
        <v>14</v>
      </c>
      <c r="N81" t="s">
        <v>37</v>
      </c>
      <c r="O81">
        <v>3</v>
      </c>
      <c r="P81" s="4">
        <v>1285.9000000000001</v>
      </c>
      <c r="Q81" t="s">
        <v>42</v>
      </c>
      <c r="R81">
        <v>0</v>
      </c>
      <c r="S81" t="s">
        <v>44</v>
      </c>
      <c r="T81">
        <v>0</v>
      </c>
      <c r="U81">
        <v>0</v>
      </c>
      <c r="V81" t="s">
        <v>32</v>
      </c>
      <c r="W81" t="s">
        <v>39</v>
      </c>
      <c r="X81" s="4">
        <v>8.6</v>
      </c>
      <c r="Y81">
        <v>4</v>
      </c>
      <c r="Z81" s="5">
        <v>269.79000000000002</v>
      </c>
    </row>
    <row r="82" spans="1:26">
      <c r="A82">
        <v>81</v>
      </c>
      <c r="B82">
        <v>28</v>
      </c>
      <c r="C82" s="2">
        <v>46059</v>
      </c>
      <c r="D82" t="s">
        <v>26</v>
      </c>
      <c r="E82">
        <v>2</v>
      </c>
      <c r="F82" s="3">
        <v>8.2899999999999991</v>
      </c>
      <c r="G82" t="s">
        <v>27</v>
      </c>
      <c r="H82">
        <v>62</v>
      </c>
      <c r="I82" t="s">
        <v>34</v>
      </c>
      <c r="J82" s="4">
        <v>64.400000000000006</v>
      </c>
      <c r="K82" s="4">
        <v>144.9</v>
      </c>
      <c r="L82" s="4">
        <v>24.7</v>
      </c>
      <c r="M82">
        <v>17</v>
      </c>
      <c r="N82" t="s">
        <v>54</v>
      </c>
      <c r="O82">
        <v>3</v>
      </c>
      <c r="P82" s="4">
        <v>2565.3000000000002</v>
      </c>
      <c r="Q82" t="s">
        <v>42</v>
      </c>
      <c r="R82">
        <v>1</v>
      </c>
      <c r="S82" t="s">
        <v>44</v>
      </c>
      <c r="T82">
        <v>0</v>
      </c>
      <c r="U82">
        <v>0</v>
      </c>
      <c r="V82" t="s">
        <v>45</v>
      </c>
      <c r="W82" t="s">
        <v>43</v>
      </c>
      <c r="X82" s="4">
        <v>7.4</v>
      </c>
      <c r="Y82">
        <v>6</v>
      </c>
      <c r="Z82" s="5">
        <v>158.61000000000001</v>
      </c>
    </row>
    <row r="83" spans="1:26">
      <c r="A83">
        <v>82</v>
      </c>
      <c r="B83">
        <v>28</v>
      </c>
      <c r="C83" s="2">
        <v>46059</v>
      </c>
      <c r="D83" t="s">
        <v>26</v>
      </c>
      <c r="E83">
        <v>2</v>
      </c>
      <c r="F83" s="3">
        <v>8.48</v>
      </c>
      <c r="G83" t="s">
        <v>27</v>
      </c>
      <c r="H83">
        <v>26</v>
      </c>
      <c r="I83" t="s">
        <v>28</v>
      </c>
      <c r="J83" s="4">
        <v>67.900000000000006</v>
      </c>
      <c r="K83" s="4">
        <v>175.2</v>
      </c>
      <c r="L83" s="4">
        <v>26.7</v>
      </c>
      <c r="M83">
        <v>14</v>
      </c>
      <c r="N83" t="s">
        <v>54</v>
      </c>
      <c r="O83">
        <v>3</v>
      </c>
      <c r="P83" s="4">
        <v>2565.3000000000002</v>
      </c>
      <c r="Q83" t="s">
        <v>42</v>
      </c>
      <c r="R83">
        <v>1</v>
      </c>
      <c r="S83" t="s">
        <v>44</v>
      </c>
      <c r="T83">
        <v>0</v>
      </c>
      <c r="U83">
        <v>0</v>
      </c>
      <c r="V83" t="s">
        <v>45</v>
      </c>
      <c r="W83" t="s">
        <v>43</v>
      </c>
      <c r="X83" s="4">
        <v>7.9</v>
      </c>
      <c r="Y83">
        <v>6</v>
      </c>
      <c r="Z83" s="5">
        <v>336.73</v>
      </c>
    </row>
    <row r="84" spans="1:26">
      <c r="A84">
        <v>83</v>
      </c>
      <c r="B84">
        <v>28</v>
      </c>
      <c r="C84" s="2">
        <v>46059</v>
      </c>
      <c r="D84" t="s">
        <v>26</v>
      </c>
      <c r="E84">
        <v>2</v>
      </c>
      <c r="F84" s="3">
        <v>8.39</v>
      </c>
      <c r="G84" t="s">
        <v>27</v>
      </c>
      <c r="H84">
        <v>47</v>
      </c>
      <c r="I84" t="s">
        <v>34</v>
      </c>
      <c r="J84" s="4">
        <v>65.5</v>
      </c>
      <c r="K84" s="4">
        <v>157.4</v>
      </c>
      <c r="L84" s="4">
        <v>25.7</v>
      </c>
      <c r="M84">
        <v>20</v>
      </c>
      <c r="N84" t="s">
        <v>54</v>
      </c>
      <c r="O84">
        <v>3</v>
      </c>
      <c r="P84" s="4">
        <v>2565.3000000000002</v>
      </c>
      <c r="Q84" t="s">
        <v>42</v>
      </c>
      <c r="R84">
        <v>1</v>
      </c>
      <c r="S84" t="s">
        <v>44</v>
      </c>
      <c r="T84">
        <v>0</v>
      </c>
      <c r="U84">
        <v>0</v>
      </c>
      <c r="V84" t="s">
        <v>45</v>
      </c>
      <c r="W84" t="s">
        <v>43</v>
      </c>
      <c r="X84" s="4">
        <v>8.3000000000000007</v>
      </c>
      <c r="Y84">
        <v>12</v>
      </c>
      <c r="Z84" s="5">
        <v>288.02</v>
      </c>
    </row>
    <row r="85" spans="1:26">
      <c r="A85">
        <v>84</v>
      </c>
      <c r="B85">
        <v>29</v>
      </c>
      <c r="C85" s="2">
        <v>46381</v>
      </c>
      <c r="D85" t="s">
        <v>26</v>
      </c>
      <c r="E85">
        <v>12</v>
      </c>
      <c r="F85" s="3">
        <v>9.3699999999999992</v>
      </c>
      <c r="G85" t="s">
        <v>27</v>
      </c>
      <c r="H85">
        <v>52</v>
      </c>
      <c r="I85" t="s">
        <v>28</v>
      </c>
      <c r="J85" s="4">
        <v>67.599999999999994</v>
      </c>
      <c r="K85" s="4">
        <v>174.1</v>
      </c>
      <c r="L85" s="4">
        <v>26.9</v>
      </c>
      <c r="M85">
        <v>18</v>
      </c>
      <c r="N85" t="s">
        <v>50</v>
      </c>
      <c r="O85">
        <v>2</v>
      </c>
      <c r="P85" s="4">
        <v>274.39999999999998</v>
      </c>
      <c r="Q85" t="s">
        <v>42</v>
      </c>
      <c r="R85">
        <v>1</v>
      </c>
      <c r="S85" t="s">
        <v>38</v>
      </c>
      <c r="T85">
        <v>0</v>
      </c>
      <c r="U85">
        <v>0</v>
      </c>
      <c r="V85" t="s">
        <v>32</v>
      </c>
      <c r="W85" t="s">
        <v>49</v>
      </c>
      <c r="X85" s="4">
        <v>8</v>
      </c>
      <c r="Y85">
        <v>12</v>
      </c>
      <c r="Z85" s="5">
        <v>199.6</v>
      </c>
    </row>
    <row r="86" spans="1:26">
      <c r="A86">
        <v>85</v>
      </c>
      <c r="B86">
        <v>29</v>
      </c>
      <c r="C86" s="2">
        <v>46381</v>
      </c>
      <c r="D86" t="s">
        <v>26</v>
      </c>
      <c r="E86">
        <v>12</v>
      </c>
      <c r="F86" s="3">
        <v>9.4700000000000006</v>
      </c>
      <c r="G86" t="s">
        <v>27</v>
      </c>
      <c r="H86">
        <v>49</v>
      </c>
      <c r="I86" t="s">
        <v>28</v>
      </c>
      <c r="J86" s="4">
        <v>70.8</v>
      </c>
      <c r="K86" s="4">
        <v>104.6</v>
      </c>
      <c r="L86" s="4">
        <v>14.6</v>
      </c>
      <c r="M86">
        <v>15</v>
      </c>
      <c r="N86" t="s">
        <v>50</v>
      </c>
      <c r="O86">
        <v>2</v>
      </c>
      <c r="P86" s="4">
        <v>274.39999999999998</v>
      </c>
      <c r="Q86" t="s">
        <v>42</v>
      </c>
      <c r="R86">
        <v>1</v>
      </c>
      <c r="S86" t="s">
        <v>38</v>
      </c>
      <c r="T86">
        <v>0</v>
      </c>
      <c r="U86">
        <v>0</v>
      </c>
      <c r="V86" t="s">
        <v>32</v>
      </c>
      <c r="W86" t="s">
        <v>49</v>
      </c>
      <c r="X86" s="4">
        <v>9.9</v>
      </c>
      <c r="Y86">
        <v>13</v>
      </c>
      <c r="Z86" s="5">
        <v>406.11</v>
      </c>
    </row>
    <row r="87" spans="1:26">
      <c r="A87">
        <v>86</v>
      </c>
      <c r="B87">
        <v>30</v>
      </c>
      <c r="C87" s="2">
        <v>46380</v>
      </c>
      <c r="D87" t="s">
        <v>55</v>
      </c>
      <c r="E87">
        <v>12</v>
      </c>
      <c r="F87" s="3">
        <v>8.5399999999999991</v>
      </c>
      <c r="G87" t="s">
        <v>27</v>
      </c>
      <c r="H87">
        <v>60</v>
      </c>
      <c r="I87" t="s">
        <v>28</v>
      </c>
      <c r="J87" s="4">
        <v>70.900000000000006</v>
      </c>
      <c r="K87" s="4">
        <v>185.4</v>
      </c>
      <c r="L87" s="4">
        <v>25.9</v>
      </c>
      <c r="M87">
        <v>20</v>
      </c>
      <c r="N87" t="s">
        <v>61</v>
      </c>
      <c r="O87">
        <v>4</v>
      </c>
      <c r="P87" s="4">
        <v>1313.2</v>
      </c>
      <c r="Q87" t="s">
        <v>42</v>
      </c>
      <c r="R87">
        <v>0</v>
      </c>
      <c r="S87" t="s">
        <v>31</v>
      </c>
      <c r="T87">
        <v>1</v>
      </c>
      <c r="U87">
        <v>0</v>
      </c>
      <c r="V87" t="s">
        <v>32</v>
      </c>
      <c r="W87" t="s">
        <v>39</v>
      </c>
      <c r="X87" s="4">
        <v>8.9</v>
      </c>
      <c r="Y87">
        <v>8</v>
      </c>
      <c r="Z87" s="5">
        <v>156.77000000000001</v>
      </c>
    </row>
    <row r="88" spans="1:26">
      <c r="A88">
        <v>87</v>
      </c>
      <c r="B88">
        <v>30</v>
      </c>
      <c r="C88" s="2">
        <v>46380</v>
      </c>
      <c r="D88" t="s">
        <v>55</v>
      </c>
      <c r="E88">
        <v>12</v>
      </c>
      <c r="F88" s="3">
        <v>8.49</v>
      </c>
      <c r="G88" t="s">
        <v>27</v>
      </c>
      <c r="H88">
        <v>29</v>
      </c>
      <c r="I88" t="s">
        <v>34</v>
      </c>
      <c r="J88" s="4">
        <v>64.5</v>
      </c>
      <c r="K88" s="4">
        <v>138.5</v>
      </c>
      <c r="L88" s="4">
        <v>23.5</v>
      </c>
      <c r="M88">
        <v>13</v>
      </c>
      <c r="N88" t="s">
        <v>61</v>
      </c>
      <c r="O88">
        <v>4</v>
      </c>
      <c r="P88" s="4">
        <v>1313.2</v>
      </c>
      <c r="Q88" t="s">
        <v>42</v>
      </c>
      <c r="R88">
        <v>0</v>
      </c>
      <c r="S88" t="s">
        <v>31</v>
      </c>
      <c r="T88">
        <v>1</v>
      </c>
      <c r="U88">
        <v>0</v>
      </c>
      <c r="V88" t="s">
        <v>32</v>
      </c>
      <c r="W88" t="s">
        <v>39</v>
      </c>
      <c r="X88" s="4">
        <v>8.3000000000000007</v>
      </c>
      <c r="Y88">
        <v>7</v>
      </c>
      <c r="Z88" s="5">
        <v>238.37</v>
      </c>
    </row>
    <row r="89" spans="1:26">
      <c r="A89">
        <v>88</v>
      </c>
      <c r="B89">
        <v>30</v>
      </c>
      <c r="C89" s="2">
        <v>46380</v>
      </c>
      <c r="D89" t="s">
        <v>55</v>
      </c>
      <c r="E89">
        <v>12</v>
      </c>
      <c r="F89" s="3">
        <v>8.58</v>
      </c>
      <c r="G89" t="s">
        <v>27</v>
      </c>
      <c r="H89">
        <v>65</v>
      </c>
      <c r="I89" t="s">
        <v>34</v>
      </c>
      <c r="J89" s="4">
        <v>63.1</v>
      </c>
      <c r="K89" s="4">
        <v>133.5</v>
      </c>
      <c r="L89" s="4">
        <v>23.5</v>
      </c>
      <c r="M89">
        <v>18</v>
      </c>
      <c r="N89" t="s">
        <v>61</v>
      </c>
      <c r="O89">
        <v>4</v>
      </c>
      <c r="P89" s="4">
        <v>1313.2</v>
      </c>
      <c r="Q89" t="s">
        <v>42</v>
      </c>
      <c r="R89">
        <v>0</v>
      </c>
      <c r="S89" t="s">
        <v>31</v>
      </c>
      <c r="T89">
        <v>1</v>
      </c>
      <c r="U89">
        <v>0</v>
      </c>
      <c r="V89" t="s">
        <v>32</v>
      </c>
      <c r="W89" t="s">
        <v>39</v>
      </c>
      <c r="X89" s="4">
        <v>9.1</v>
      </c>
      <c r="Y89">
        <v>8</v>
      </c>
      <c r="Z89" s="5">
        <v>145.77000000000001</v>
      </c>
    </row>
    <row r="90" spans="1:26">
      <c r="A90">
        <v>89</v>
      </c>
      <c r="B90">
        <v>30</v>
      </c>
      <c r="C90" s="2">
        <v>46380</v>
      </c>
      <c r="D90" t="s">
        <v>55</v>
      </c>
      <c r="E90">
        <v>12</v>
      </c>
      <c r="F90" s="3">
        <v>8.4700000000000006</v>
      </c>
      <c r="G90" t="s">
        <v>27</v>
      </c>
      <c r="H90">
        <v>7</v>
      </c>
      <c r="I90" t="s">
        <v>28</v>
      </c>
      <c r="J90" s="4">
        <v>54.7</v>
      </c>
      <c r="K90" s="4">
        <v>76.3</v>
      </c>
      <c r="L90" s="4">
        <v>18</v>
      </c>
      <c r="M90">
        <v>16</v>
      </c>
      <c r="N90" t="s">
        <v>61</v>
      </c>
      <c r="O90">
        <v>4</v>
      </c>
      <c r="P90" s="4">
        <v>1313.2</v>
      </c>
      <c r="Q90" t="s">
        <v>42</v>
      </c>
      <c r="R90">
        <v>0</v>
      </c>
      <c r="S90" t="s">
        <v>31</v>
      </c>
      <c r="T90">
        <v>1</v>
      </c>
      <c r="U90">
        <v>0</v>
      </c>
      <c r="V90" t="s">
        <v>32</v>
      </c>
      <c r="W90" t="s">
        <v>39</v>
      </c>
      <c r="X90" s="4">
        <v>7.1</v>
      </c>
      <c r="Y90">
        <v>9</v>
      </c>
      <c r="Z90" s="5">
        <v>159.34</v>
      </c>
    </row>
    <row r="91" spans="1:26">
      <c r="A91">
        <v>90</v>
      </c>
      <c r="B91">
        <v>31</v>
      </c>
      <c r="C91" s="2">
        <v>46074</v>
      </c>
      <c r="D91" t="s">
        <v>40</v>
      </c>
      <c r="E91">
        <v>2</v>
      </c>
      <c r="F91" s="3">
        <v>10.59</v>
      </c>
      <c r="G91" t="s">
        <v>27</v>
      </c>
      <c r="H91">
        <v>18</v>
      </c>
      <c r="I91" t="s">
        <v>34</v>
      </c>
      <c r="J91" s="4">
        <v>64.5</v>
      </c>
      <c r="K91" s="4">
        <v>110.8</v>
      </c>
      <c r="L91" s="4">
        <v>19</v>
      </c>
      <c r="M91">
        <v>11</v>
      </c>
      <c r="N91" t="s">
        <v>56</v>
      </c>
      <c r="O91">
        <v>4</v>
      </c>
      <c r="P91" s="4">
        <v>303.5</v>
      </c>
      <c r="Q91" t="s">
        <v>30</v>
      </c>
      <c r="R91">
        <v>1</v>
      </c>
      <c r="S91" t="s">
        <v>44</v>
      </c>
      <c r="T91">
        <v>0</v>
      </c>
      <c r="U91">
        <v>0</v>
      </c>
      <c r="V91" t="s">
        <v>32</v>
      </c>
      <c r="W91" t="s">
        <v>39</v>
      </c>
      <c r="X91" s="4">
        <v>11</v>
      </c>
      <c r="Y91">
        <v>14</v>
      </c>
      <c r="Z91" s="5">
        <v>114.29</v>
      </c>
    </row>
    <row r="92" spans="1:26">
      <c r="A92">
        <v>91</v>
      </c>
      <c r="B92">
        <v>31</v>
      </c>
      <c r="C92" s="2">
        <v>46074</v>
      </c>
      <c r="D92" t="s">
        <v>40</v>
      </c>
      <c r="E92">
        <v>2</v>
      </c>
      <c r="F92" s="3">
        <v>10.3</v>
      </c>
      <c r="G92" t="s">
        <v>27</v>
      </c>
      <c r="H92">
        <v>36</v>
      </c>
      <c r="I92" t="s">
        <v>28</v>
      </c>
      <c r="J92" s="4">
        <v>73.3</v>
      </c>
      <c r="K92" s="4">
        <v>173.6</v>
      </c>
      <c r="L92" s="4">
        <v>22.5</v>
      </c>
      <c r="M92">
        <v>13</v>
      </c>
      <c r="N92" t="s">
        <v>56</v>
      </c>
      <c r="O92">
        <v>4</v>
      </c>
      <c r="P92" s="4">
        <v>303.5</v>
      </c>
      <c r="Q92" t="s">
        <v>30</v>
      </c>
      <c r="R92">
        <v>1</v>
      </c>
      <c r="S92" t="s">
        <v>44</v>
      </c>
      <c r="T92">
        <v>0</v>
      </c>
      <c r="U92">
        <v>0</v>
      </c>
      <c r="V92" t="s">
        <v>32</v>
      </c>
      <c r="W92" t="s">
        <v>39</v>
      </c>
      <c r="X92" s="4">
        <v>7.6</v>
      </c>
      <c r="Y92">
        <v>10</v>
      </c>
      <c r="Z92" s="5">
        <v>261.36</v>
      </c>
    </row>
    <row r="93" spans="1:26">
      <c r="A93">
        <v>92</v>
      </c>
      <c r="B93">
        <v>31</v>
      </c>
      <c r="C93" s="2">
        <v>46074</v>
      </c>
      <c r="D93" t="s">
        <v>40</v>
      </c>
      <c r="E93">
        <v>2</v>
      </c>
      <c r="F93" s="3">
        <v>10.53</v>
      </c>
      <c r="G93" t="s">
        <v>27</v>
      </c>
      <c r="H93">
        <v>60</v>
      </c>
      <c r="I93" t="s">
        <v>34</v>
      </c>
      <c r="J93" s="4">
        <v>63.2</v>
      </c>
      <c r="K93" s="4">
        <v>181.8</v>
      </c>
      <c r="L93" s="4">
        <v>31.9</v>
      </c>
      <c r="M93">
        <v>14</v>
      </c>
      <c r="N93" t="s">
        <v>56</v>
      </c>
      <c r="O93">
        <v>4</v>
      </c>
      <c r="P93" s="4">
        <v>303.5</v>
      </c>
      <c r="Q93" t="s">
        <v>30</v>
      </c>
      <c r="R93">
        <v>1</v>
      </c>
      <c r="S93" t="s">
        <v>44</v>
      </c>
      <c r="T93">
        <v>0</v>
      </c>
      <c r="U93">
        <v>0</v>
      </c>
      <c r="V93" t="s">
        <v>32</v>
      </c>
      <c r="W93" t="s">
        <v>39</v>
      </c>
      <c r="X93" s="4">
        <v>11.8</v>
      </c>
      <c r="Y93">
        <v>2</v>
      </c>
      <c r="Z93" s="5">
        <v>305.35000000000002</v>
      </c>
    </row>
    <row r="94" spans="1:26">
      <c r="A94">
        <v>93</v>
      </c>
      <c r="B94">
        <v>31</v>
      </c>
      <c r="C94" s="2">
        <v>46074</v>
      </c>
      <c r="D94" t="s">
        <v>40</v>
      </c>
      <c r="E94">
        <v>2</v>
      </c>
      <c r="F94" s="3">
        <v>10.44</v>
      </c>
      <c r="G94" t="s">
        <v>27</v>
      </c>
      <c r="H94">
        <v>13</v>
      </c>
      <c r="I94" t="s">
        <v>34</v>
      </c>
      <c r="J94" s="4">
        <v>64.400000000000006</v>
      </c>
      <c r="K94" s="4">
        <v>109.4</v>
      </c>
      <c r="L94" s="4">
        <v>18.399999999999999</v>
      </c>
      <c r="M94">
        <v>9</v>
      </c>
      <c r="N94" t="s">
        <v>56</v>
      </c>
      <c r="O94">
        <v>4</v>
      </c>
      <c r="P94" s="4">
        <v>303.5</v>
      </c>
      <c r="Q94" t="s">
        <v>30</v>
      </c>
      <c r="R94">
        <v>1</v>
      </c>
      <c r="S94" t="s">
        <v>44</v>
      </c>
      <c r="T94">
        <v>0</v>
      </c>
      <c r="U94">
        <v>0</v>
      </c>
      <c r="V94" t="s">
        <v>32</v>
      </c>
      <c r="W94" t="s">
        <v>39</v>
      </c>
      <c r="X94" s="4">
        <v>6.7</v>
      </c>
      <c r="Y94">
        <v>3</v>
      </c>
      <c r="Z94" s="5">
        <v>148.99</v>
      </c>
    </row>
    <row r="95" spans="1:26">
      <c r="A95">
        <v>94</v>
      </c>
      <c r="B95">
        <v>32</v>
      </c>
      <c r="C95" s="2">
        <v>46066</v>
      </c>
      <c r="D95" t="s">
        <v>26</v>
      </c>
      <c r="E95">
        <v>2</v>
      </c>
      <c r="F95" s="3">
        <v>11.43</v>
      </c>
      <c r="G95" t="s">
        <v>36</v>
      </c>
      <c r="H95">
        <v>30</v>
      </c>
      <c r="I95" t="s">
        <v>28</v>
      </c>
      <c r="J95" s="4">
        <v>69.2</v>
      </c>
      <c r="K95" s="4">
        <v>165.4</v>
      </c>
      <c r="L95" s="4">
        <v>24.4</v>
      </c>
      <c r="M95">
        <v>12</v>
      </c>
      <c r="N95" t="s">
        <v>62</v>
      </c>
      <c r="O95">
        <v>3</v>
      </c>
      <c r="P95" s="4">
        <v>1486.7</v>
      </c>
      <c r="Q95" t="s">
        <v>30</v>
      </c>
      <c r="R95">
        <v>0</v>
      </c>
      <c r="S95" t="s">
        <v>31</v>
      </c>
      <c r="T95">
        <v>0</v>
      </c>
      <c r="U95">
        <v>0</v>
      </c>
      <c r="V95" t="s">
        <v>45</v>
      </c>
      <c r="W95" t="s">
        <v>43</v>
      </c>
      <c r="X95" s="4">
        <v>10.199999999999999</v>
      </c>
      <c r="Y95">
        <v>7</v>
      </c>
      <c r="Z95" s="5">
        <v>132.25</v>
      </c>
    </row>
    <row r="96" spans="1:26">
      <c r="A96">
        <v>95</v>
      </c>
      <c r="B96">
        <v>32</v>
      </c>
      <c r="C96" s="2">
        <v>46066</v>
      </c>
      <c r="D96" t="s">
        <v>26</v>
      </c>
      <c r="E96">
        <v>2</v>
      </c>
      <c r="F96" s="3">
        <v>11.61</v>
      </c>
      <c r="G96" t="s">
        <v>36</v>
      </c>
      <c r="H96">
        <v>5</v>
      </c>
      <c r="I96" t="s">
        <v>34</v>
      </c>
      <c r="J96" s="4">
        <v>60.8</v>
      </c>
      <c r="K96" s="4">
        <v>135.4</v>
      </c>
      <c r="L96" s="4">
        <v>25.5</v>
      </c>
      <c r="M96">
        <v>9</v>
      </c>
      <c r="N96" t="s">
        <v>62</v>
      </c>
      <c r="O96">
        <v>3</v>
      </c>
      <c r="P96" s="4">
        <v>1486.7</v>
      </c>
      <c r="Q96" t="s">
        <v>30</v>
      </c>
      <c r="R96">
        <v>0</v>
      </c>
      <c r="S96" t="s">
        <v>31</v>
      </c>
      <c r="T96">
        <v>0</v>
      </c>
      <c r="U96">
        <v>0</v>
      </c>
      <c r="V96" t="s">
        <v>45</v>
      </c>
      <c r="W96" t="s">
        <v>43</v>
      </c>
      <c r="X96" s="4">
        <v>6.3</v>
      </c>
      <c r="Y96">
        <v>4</v>
      </c>
      <c r="Z96" s="5">
        <v>84.32</v>
      </c>
    </row>
    <row r="97" spans="1:26">
      <c r="A97">
        <v>96</v>
      </c>
      <c r="B97">
        <v>32</v>
      </c>
      <c r="C97" s="2">
        <v>46066</v>
      </c>
      <c r="D97" t="s">
        <v>26</v>
      </c>
      <c r="E97">
        <v>2</v>
      </c>
      <c r="F97" s="3">
        <v>11.64</v>
      </c>
      <c r="G97" t="s">
        <v>36</v>
      </c>
      <c r="H97">
        <v>70</v>
      </c>
      <c r="I97" t="s">
        <v>28</v>
      </c>
      <c r="J97" s="4">
        <v>75.400000000000006</v>
      </c>
      <c r="K97" s="4">
        <v>182.8</v>
      </c>
      <c r="L97" s="4">
        <v>22.7</v>
      </c>
      <c r="M97">
        <v>15</v>
      </c>
      <c r="N97" t="s">
        <v>62</v>
      </c>
      <c r="O97">
        <v>3</v>
      </c>
      <c r="P97" s="4">
        <v>1486.7</v>
      </c>
      <c r="Q97" t="s">
        <v>30</v>
      </c>
      <c r="R97">
        <v>0</v>
      </c>
      <c r="S97" t="s">
        <v>31</v>
      </c>
      <c r="T97">
        <v>0</v>
      </c>
      <c r="U97">
        <v>0</v>
      </c>
      <c r="V97" t="s">
        <v>45</v>
      </c>
      <c r="W97" t="s">
        <v>43</v>
      </c>
      <c r="X97" s="4">
        <v>9.4</v>
      </c>
      <c r="Y97">
        <v>7</v>
      </c>
      <c r="Z97" s="5">
        <v>173.41</v>
      </c>
    </row>
    <row r="98" spans="1:26">
      <c r="A98">
        <v>97</v>
      </c>
      <c r="B98">
        <v>33</v>
      </c>
      <c r="C98" s="2">
        <v>46383</v>
      </c>
      <c r="D98" t="s">
        <v>58</v>
      </c>
      <c r="E98">
        <v>12</v>
      </c>
      <c r="F98" s="3">
        <v>9.8800000000000008</v>
      </c>
      <c r="G98" t="s">
        <v>27</v>
      </c>
      <c r="H98">
        <v>24</v>
      </c>
      <c r="I98" t="s">
        <v>34</v>
      </c>
      <c r="J98" s="4">
        <v>57</v>
      </c>
      <c r="K98" s="4">
        <v>119.5</v>
      </c>
      <c r="L98" s="4">
        <v>25.9</v>
      </c>
      <c r="M98">
        <v>14</v>
      </c>
      <c r="N98" t="s">
        <v>50</v>
      </c>
      <c r="O98">
        <v>3</v>
      </c>
      <c r="P98" s="4">
        <v>532.79999999999995</v>
      </c>
      <c r="Q98" t="s">
        <v>30</v>
      </c>
      <c r="R98">
        <v>1</v>
      </c>
      <c r="S98" t="s">
        <v>38</v>
      </c>
      <c r="T98">
        <v>0</v>
      </c>
      <c r="U98">
        <v>0</v>
      </c>
      <c r="V98" t="s">
        <v>32</v>
      </c>
      <c r="W98" t="s">
        <v>43</v>
      </c>
      <c r="X98" s="4">
        <v>10.3</v>
      </c>
      <c r="Y98">
        <v>9</v>
      </c>
      <c r="Z98" s="5">
        <v>250.86</v>
      </c>
    </row>
    <row r="99" spans="1:26">
      <c r="A99">
        <v>98</v>
      </c>
      <c r="B99">
        <v>33</v>
      </c>
      <c r="C99" s="2">
        <v>46383</v>
      </c>
      <c r="D99" t="s">
        <v>58</v>
      </c>
      <c r="E99">
        <v>12</v>
      </c>
      <c r="F99" s="3">
        <v>9.9</v>
      </c>
      <c r="G99" t="s">
        <v>27</v>
      </c>
      <c r="H99">
        <v>9</v>
      </c>
      <c r="I99" t="s">
        <v>28</v>
      </c>
      <c r="J99" s="4">
        <v>55.2</v>
      </c>
      <c r="K99" s="4">
        <v>98.2</v>
      </c>
      <c r="L99" s="4">
        <v>22.6</v>
      </c>
      <c r="M99">
        <v>8</v>
      </c>
      <c r="N99" t="s">
        <v>50</v>
      </c>
      <c r="O99">
        <v>3</v>
      </c>
      <c r="P99" s="4">
        <v>532.79999999999995</v>
      </c>
      <c r="Q99" t="s">
        <v>30</v>
      </c>
      <c r="R99">
        <v>1</v>
      </c>
      <c r="S99" t="s">
        <v>38</v>
      </c>
      <c r="T99">
        <v>0</v>
      </c>
      <c r="U99">
        <v>0</v>
      </c>
      <c r="V99" t="s">
        <v>32</v>
      </c>
      <c r="W99" t="s">
        <v>43</v>
      </c>
      <c r="X99" s="4">
        <v>7.1</v>
      </c>
      <c r="Y99">
        <v>7</v>
      </c>
      <c r="Z99" s="5">
        <v>160</v>
      </c>
    </row>
    <row r="100" spans="1:26">
      <c r="A100">
        <v>99</v>
      </c>
      <c r="B100">
        <v>33</v>
      </c>
      <c r="C100" s="2">
        <v>46383</v>
      </c>
      <c r="D100" t="s">
        <v>58</v>
      </c>
      <c r="E100">
        <v>12</v>
      </c>
      <c r="F100" s="3">
        <v>9.77</v>
      </c>
      <c r="G100" t="s">
        <v>27</v>
      </c>
      <c r="H100">
        <v>18</v>
      </c>
      <c r="I100" t="s">
        <v>28</v>
      </c>
      <c r="J100" s="4">
        <v>69.2</v>
      </c>
      <c r="K100" s="4">
        <v>175.4</v>
      </c>
      <c r="L100" s="4">
        <v>25.8</v>
      </c>
      <c r="M100">
        <v>11</v>
      </c>
      <c r="N100" t="s">
        <v>50</v>
      </c>
      <c r="O100">
        <v>3</v>
      </c>
      <c r="P100" s="4">
        <v>532.79999999999995</v>
      </c>
      <c r="Q100" t="s">
        <v>30</v>
      </c>
      <c r="R100">
        <v>1</v>
      </c>
      <c r="S100" t="s">
        <v>38</v>
      </c>
      <c r="T100">
        <v>0</v>
      </c>
      <c r="U100">
        <v>0</v>
      </c>
      <c r="V100" t="s">
        <v>32</v>
      </c>
      <c r="W100" t="s">
        <v>43</v>
      </c>
      <c r="X100" s="4">
        <v>10.3</v>
      </c>
      <c r="Y100">
        <v>6</v>
      </c>
      <c r="Z100" s="5">
        <v>209.61</v>
      </c>
    </row>
    <row r="101" spans="1:26">
      <c r="A101">
        <v>100</v>
      </c>
      <c r="B101">
        <v>34</v>
      </c>
      <c r="C101" s="2">
        <v>46344</v>
      </c>
      <c r="D101" t="s">
        <v>52</v>
      </c>
      <c r="E101">
        <v>11</v>
      </c>
      <c r="F101" s="3">
        <v>8.75</v>
      </c>
      <c r="G101" t="s">
        <v>27</v>
      </c>
      <c r="H101">
        <v>42</v>
      </c>
      <c r="I101" t="s">
        <v>28</v>
      </c>
      <c r="J101" s="4">
        <v>73.2</v>
      </c>
      <c r="K101" s="4">
        <v>161.30000000000001</v>
      </c>
      <c r="L101" s="4">
        <v>21.3</v>
      </c>
      <c r="M101">
        <v>16</v>
      </c>
      <c r="N101" t="s">
        <v>56</v>
      </c>
      <c r="O101">
        <v>3</v>
      </c>
      <c r="P101" s="4">
        <v>390.9</v>
      </c>
      <c r="Q101" t="s">
        <v>30</v>
      </c>
      <c r="R101">
        <v>1</v>
      </c>
      <c r="S101" t="s">
        <v>44</v>
      </c>
      <c r="T101">
        <v>0</v>
      </c>
      <c r="U101">
        <v>0</v>
      </c>
      <c r="V101" t="s">
        <v>32</v>
      </c>
      <c r="W101" t="s">
        <v>57</v>
      </c>
      <c r="X101" s="4">
        <v>9</v>
      </c>
      <c r="Y101">
        <v>2</v>
      </c>
      <c r="Z101" s="5">
        <v>213.26</v>
      </c>
    </row>
    <row r="102" spans="1:26">
      <c r="A102">
        <v>101</v>
      </c>
      <c r="B102">
        <v>34</v>
      </c>
      <c r="C102" s="2">
        <v>46344</v>
      </c>
      <c r="D102" t="s">
        <v>52</v>
      </c>
      <c r="E102">
        <v>11</v>
      </c>
      <c r="F102" s="3">
        <v>8.7899999999999991</v>
      </c>
      <c r="G102" t="s">
        <v>27</v>
      </c>
      <c r="H102">
        <v>49</v>
      </c>
      <c r="I102" t="s">
        <v>34</v>
      </c>
      <c r="J102" s="4">
        <v>63.3</v>
      </c>
      <c r="K102" s="4">
        <v>204.1</v>
      </c>
      <c r="L102" s="4">
        <v>36</v>
      </c>
      <c r="M102">
        <v>17</v>
      </c>
      <c r="N102" t="s">
        <v>56</v>
      </c>
      <c r="O102">
        <v>3</v>
      </c>
      <c r="P102" s="4">
        <v>390.9</v>
      </c>
      <c r="Q102" t="s">
        <v>30</v>
      </c>
      <c r="R102">
        <v>1</v>
      </c>
      <c r="S102" t="s">
        <v>44</v>
      </c>
      <c r="T102">
        <v>0</v>
      </c>
      <c r="U102">
        <v>0</v>
      </c>
      <c r="V102" t="s">
        <v>32</v>
      </c>
      <c r="W102" t="s">
        <v>57</v>
      </c>
      <c r="X102" s="4">
        <v>6.3</v>
      </c>
      <c r="Y102">
        <v>7</v>
      </c>
      <c r="Z102" s="5">
        <v>140.6</v>
      </c>
    </row>
    <row r="103" spans="1:26">
      <c r="A103">
        <v>102</v>
      </c>
      <c r="B103">
        <v>34</v>
      </c>
      <c r="C103" s="2">
        <v>46344</v>
      </c>
      <c r="D103" t="s">
        <v>52</v>
      </c>
      <c r="E103">
        <v>11</v>
      </c>
      <c r="F103" s="3">
        <v>8.7799999999999994</v>
      </c>
      <c r="G103" t="s">
        <v>27</v>
      </c>
      <c r="H103">
        <v>18</v>
      </c>
      <c r="I103" t="s">
        <v>34</v>
      </c>
      <c r="J103" s="4">
        <v>63.7</v>
      </c>
      <c r="K103" s="4">
        <v>142.4</v>
      </c>
      <c r="L103" s="4">
        <v>24.9</v>
      </c>
      <c r="M103">
        <v>13</v>
      </c>
      <c r="N103" t="s">
        <v>56</v>
      </c>
      <c r="O103">
        <v>3</v>
      </c>
      <c r="P103" s="4">
        <v>390.9</v>
      </c>
      <c r="Q103" t="s">
        <v>30</v>
      </c>
      <c r="R103">
        <v>1</v>
      </c>
      <c r="S103" t="s">
        <v>44</v>
      </c>
      <c r="T103">
        <v>0</v>
      </c>
      <c r="U103">
        <v>0</v>
      </c>
      <c r="V103" t="s">
        <v>32</v>
      </c>
      <c r="W103" t="s">
        <v>57</v>
      </c>
      <c r="X103" s="4">
        <v>8</v>
      </c>
      <c r="Y103">
        <v>8</v>
      </c>
      <c r="Z103" s="5">
        <v>144.11000000000001</v>
      </c>
    </row>
    <row r="104" spans="1:26">
      <c r="A104">
        <v>103</v>
      </c>
      <c r="B104">
        <v>35</v>
      </c>
      <c r="C104" s="2">
        <v>46344</v>
      </c>
      <c r="D104" t="s">
        <v>52</v>
      </c>
      <c r="E104">
        <v>11</v>
      </c>
      <c r="F104" s="3">
        <v>10.16</v>
      </c>
      <c r="G104" t="s">
        <v>27</v>
      </c>
      <c r="H104">
        <v>67</v>
      </c>
      <c r="I104" t="s">
        <v>34</v>
      </c>
      <c r="J104" s="4">
        <v>63.6</v>
      </c>
      <c r="K104" s="4">
        <v>150.80000000000001</v>
      </c>
      <c r="L104" s="4">
        <v>26.3</v>
      </c>
      <c r="M104">
        <v>19</v>
      </c>
      <c r="N104" t="s">
        <v>63</v>
      </c>
      <c r="O104">
        <v>4</v>
      </c>
      <c r="P104" s="4">
        <v>1729.1</v>
      </c>
      <c r="Q104" t="s">
        <v>48</v>
      </c>
      <c r="R104">
        <v>0</v>
      </c>
      <c r="S104" t="s">
        <v>44</v>
      </c>
      <c r="T104">
        <v>1</v>
      </c>
      <c r="U104">
        <v>0</v>
      </c>
      <c r="V104" t="s">
        <v>64</v>
      </c>
      <c r="W104" t="s">
        <v>39</v>
      </c>
      <c r="X104" s="4">
        <v>7.9</v>
      </c>
      <c r="Y104">
        <v>9</v>
      </c>
      <c r="Z104" s="5">
        <v>282.3</v>
      </c>
    </row>
    <row r="105" spans="1:26">
      <c r="A105">
        <v>104</v>
      </c>
      <c r="B105">
        <v>35</v>
      </c>
      <c r="C105" s="2">
        <v>46344</v>
      </c>
      <c r="D105" t="s">
        <v>52</v>
      </c>
      <c r="E105">
        <v>11</v>
      </c>
      <c r="F105" s="3">
        <v>10.37</v>
      </c>
      <c r="G105" t="s">
        <v>27</v>
      </c>
      <c r="H105">
        <v>37</v>
      </c>
      <c r="I105" t="s">
        <v>28</v>
      </c>
      <c r="J105" s="4">
        <v>69.8</v>
      </c>
      <c r="K105" s="4">
        <v>160.30000000000001</v>
      </c>
      <c r="L105" s="4">
        <v>23.3</v>
      </c>
      <c r="M105">
        <v>19</v>
      </c>
      <c r="N105" t="s">
        <v>63</v>
      </c>
      <c r="O105">
        <v>4</v>
      </c>
      <c r="P105" s="4">
        <v>1729.1</v>
      </c>
      <c r="Q105" t="s">
        <v>48</v>
      </c>
      <c r="R105">
        <v>0</v>
      </c>
      <c r="S105" t="s">
        <v>44</v>
      </c>
      <c r="T105">
        <v>1</v>
      </c>
      <c r="U105">
        <v>0</v>
      </c>
      <c r="V105" t="s">
        <v>64</v>
      </c>
      <c r="W105" t="s">
        <v>39</v>
      </c>
      <c r="X105" s="4">
        <v>6.5</v>
      </c>
      <c r="Y105">
        <v>10</v>
      </c>
      <c r="Z105" s="5">
        <v>327.74</v>
      </c>
    </row>
    <row r="106" spans="1:26">
      <c r="A106">
        <v>105</v>
      </c>
      <c r="B106">
        <v>35</v>
      </c>
      <c r="C106" s="2">
        <v>46344</v>
      </c>
      <c r="D106" t="s">
        <v>52</v>
      </c>
      <c r="E106">
        <v>11</v>
      </c>
      <c r="F106" s="3">
        <v>10.32</v>
      </c>
      <c r="G106" t="s">
        <v>27</v>
      </c>
      <c r="H106">
        <v>7</v>
      </c>
      <c r="I106" t="s">
        <v>34</v>
      </c>
      <c r="J106" s="4">
        <v>63.9</v>
      </c>
      <c r="K106" s="4">
        <v>112.5</v>
      </c>
      <c r="L106" s="4">
        <v>19.399999999999999</v>
      </c>
      <c r="M106">
        <v>16</v>
      </c>
      <c r="N106" t="s">
        <v>63</v>
      </c>
      <c r="O106">
        <v>4</v>
      </c>
      <c r="P106" s="4">
        <v>1729.1</v>
      </c>
      <c r="Q106" t="s">
        <v>48</v>
      </c>
      <c r="R106">
        <v>0</v>
      </c>
      <c r="S106" t="s">
        <v>44</v>
      </c>
      <c r="T106">
        <v>1</v>
      </c>
      <c r="U106">
        <v>0</v>
      </c>
      <c r="V106" t="s">
        <v>64</v>
      </c>
      <c r="W106" t="s">
        <v>39</v>
      </c>
      <c r="X106" s="4">
        <v>6.9</v>
      </c>
      <c r="Y106">
        <v>5</v>
      </c>
      <c r="Z106" s="5">
        <v>159.19</v>
      </c>
    </row>
    <row r="107" spans="1:26">
      <c r="A107">
        <v>106</v>
      </c>
      <c r="B107">
        <v>35</v>
      </c>
      <c r="C107" s="2">
        <v>46344</v>
      </c>
      <c r="D107" t="s">
        <v>52</v>
      </c>
      <c r="E107">
        <v>11</v>
      </c>
      <c r="F107" s="3">
        <v>10.199999999999999</v>
      </c>
      <c r="G107" t="s">
        <v>27</v>
      </c>
      <c r="H107">
        <v>28</v>
      </c>
      <c r="I107" t="s">
        <v>28</v>
      </c>
      <c r="J107" s="4">
        <v>68.400000000000006</v>
      </c>
      <c r="K107" s="4">
        <v>175.3</v>
      </c>
      <c r="L107" s="4">
        <v>26.3</v>
      </c>
      <c r="M107">
        <v>17</v>
      </c>
      <c r="N107" t="s">
        <v>63</v>
      </c>
      <c r="O107">
        <v>4</v>
      </c>
      <c r="P107" s="4">
        <v>1729.1</v>
      </c>
      <c r="Q107" t="s">
        <v>48</v>
      </c>
      <c r="R107">
        <v>0</v>
      </c>
      <c r="S107" t="s">
        <v>44</v>
      </c>
      <c r="T107">
        <v>1</v>
      </c>
      <c r="U107">
        <v>0</v>
      </c>
      <c r="V107" t="s">
        <v>64</v>
      </c>
      <c r="W107" t="s">
        <v>39</v>
      </c>
      <c r="X107" s="4">
        <v>9</v>
      </c>
      <c r="Y107">
        <v>4</v>
      </c>
      <c r="Z107" s="5">
        <v>349.17</v>
      </c>
    </row>
    <row r="108" spans="1:26">
      <c r="A108">
        <v>107</v>
      </c>
      <c r="B108">
        <v>36</v>
      </c>
      <c r="C108" s="2">
        <v>46138</v>
      </c>
      <c r="D108" t="s">
        <v>58</v>
      </c>
      <c r="E108">
        <v>4</v>
      </c>
      <c r="F108" s="3">
        <v>11.78</v>
      </c>
      <c r="G108" t="s">
        <v>36</v>
      </c>
      <c r="H108">
        <v>56</v>
      </c>
      <c r="I108" t="s">
        <v>28</v>
      </c>
      <c r="J108" s="4">
        <v>64.2</v>
      </c>
      <c r="K108" s="4">
        <v>184.5</v>
      </c>
      <c r="L108" s="4">
        <v>31.6</v>
      </c>
      <c r="M108">
        <v>18</v>
      </c>
      <c r="N108" t="s">
        <v>60</v>
      </c>
      <c r="O108">
        <v>4</v>
      </c>
      <c r="P108" s="4">
        <v>1167.0999999999999</v>
      </c>
      <c r="Q108" t="s">
        <v>48</v>
      </c>
      <c r="R108">
        <v>1</v>
      </c>
      <c r="S108" t="s">
        <v>44</v>
      </c>
      <c r="T108">
        <v>1</v>
      </c>
      <c r="U108">
        <v>1</v>
      </c>
      <c r="V108" t="s">
        <v>32</v>
      </c>
      <c r="W108" t="s">
        <v>33</v>
      </c>
      <c r="X108" s="4">
        <v>7.2</v>
      </c>
      <c r="Y108">
        <v>10</v>
      </c>
      <c r="Z108" s="5">
        <v>347.01</v>
      </c>
    </row>
    <row r="109" spans="1:26">
      <c r="A109">
        <v>108</v>
      </c>
      <c r="B109">
        <v>36</v>
      </c>
      <c r="C109" s="2">
        <v>46138</v>
      </c>
      <c r="D109" t="s">
        <v>58</v>
      </c>
      <c r="E109">
        <v>4</v>
      </c>
      <c r="F109" s="3">
        <v>11.95</v>
      </c>
      <c r="G109" t="s">
        <v>36</v>
      </c>
      <c r="H109">
        <v>41</v>
      </c>
      <c r="I109" t="s">
        <v>34</v>
      </c>
      <c r="J109" s="4">
        <v>70</v>
      </c>
      <c r="K109" s="4">
        <v>158.30000000000001</v>
      </c>
      <c r="L109" s="4">
        <v>22.6</v>
      </c>
      <c r="M109">
        <v>16</v>
      </c>
      <c r="N109" t="s">
        <v>60</v>
      </c>
      <c r="O109">
        <v>4</v>
      </c>
      <c r="P109" s="4">
        <v>1167.0999999999999</v>
      </c>
      <c r="Q109" t="s">
        <v>48</v>
      </c>
      <c r="R109">
        <v>1</v>
      </c>
      <c r="S109" t="s">
        <v>44</v>
      </c>
      <c r="T109">
        <v>1</v>
      </c>
      <c r="U109">
        <v>1</v>
      </c>
      <c r="V109" t="s">
        <v>32</v>
      </c>
      <c r="W109" t="s">
        <v>33</v>
      </c>
      <c r="X109" s="4">
        <v>6.6</v>
      </c>
      <c r="Y109">
        <v>11</v>
      </c>
      <c r="Z109" s="5">
        <v>229.51</v>
      </c>
    </row>
    <row r="110" spans="1:26">
      <c r="A110">
        <v>109</v>
      </c>
      <c r="B110">
        <v>36</v>
      </c>
      <c r="C110" s="2">
        <v>46138</v>
      </c>
      <c r="D110" t="s">
        <v>58</v>
      </c>
      <c r="E110">
        <v>4</v>
      </c>
      <c r="F110" s="3">
        <v>11.93</v>
      </c>
      <c r="G110" t="s">
        <v>36</v>
      </c>
      <c r="H110">
        <v>27</v>
      </c>
      <c r="I110" t="s">
        <v>34</v>
      </c>
      <c r="J110" s="4">
        <v>58.6</v>
      </c>
      <c r="K110" s="4">
        <v>150.9</v>
      </c>
      <c r="L110" s="4">
        <v>31.1</v>
      </c>
      <c r="M110">
        <v>18</v>
      </c>
      <c r="N110" t="s">
        <v>60</v>
      </c>
      <c r="O110">
        <v>4</v>
      </c>
      <c r="P110" s="4">
        <v>1167.0999999999999</v>
      </c>
      <c r="Q110" t="s">
        <v>48</v>
      </c>
      <c r="R110">
        <v>1</v>
      </c>
      <c r="S110" t="s">
        <v>44</v>
      </c>
      <c r="T110">
        <v>1</v>
      </c>
      <c r="U110">
        <v>1</v>
      </c>
      <c r="V110" t="s">
        <v>32</v>
      </c>
      <c r="W110" t="s">
        <v>33</v>
      </c>
      <c r="X110" s="4">
        <v>9.4</v>
      </c>
      <c r="Y110">
        <v>5</v>
      </c>
      <c r="Z110" s="5">
        <v>263.14999999999998</v>
      </c>
    </row>
    <row r="111" spans="1:26">
      <c r="A111">
        <v>110</v>
      </c>
      <c r="B111">
        <v>36</v>
      </c>
      <c r="C111" s="2">
        <v>46138</v>
      </c>
      <c r="D111" t="s">
        <v>58</v>
      </c>
      <c r="E111">
        <v>4</v>
      </c>
      <c r="F111" s="3">
        <v>11.69</v>
      </c>
      <c r="G111" t="s">
        <v>36</v>
      </c>
      <c r="H111">
        <v>21</v>
      </c>
      <c r="I111" t="s">
        <v>28</v>
      </c>
      <c r="J111" s="4">
        <v>69.900000000000006</v>
      </c>
      <c r="K111" s="4">
        <v>200.1</v>
      </c>
      <c r="L111" s="4">
        <v>28.7</v>
      </c>
      <c r="M111">
        <v>18</v>
      </c>
      <c r="N111" t="s">
        <v>60</v>
      </c>
      <c r="O111">
        <v>4</v>
      </c>
      <c r="P111" s="4">
        <v>1167.0999999999999</v>
      </c>
      <c r="Q111" t="s">
        <v>48</v>
      </c>
      <c r="R111">
        <v>1</v>
      </c>
      <c r="S111" t="s">
        <v>44</v>
      </c>
      <c r="T111">
        <v>1</v>
      </c>
      <c r="U111">
        <v>1</v>
      </c>
      <c r="V111" t="s">
        <v>32</v>
      </c>
      <c r="W111" t="s">
        <v>33</v>
      </c>
      <c r="X111" s="4">
        <v>8.1</v>
      </c>
      <c r="Y111">
        <v>6</v>
      </c>
      <c r="Z111" s="5">
        <v>128.72999999999999</v>
      </c>
    </row>
    <row r="112" spans="1:26">
      <c r="A112">
        <v>111</v>
      </c>
      <c r="B112">
        <v>37</v>
      </c>
      <c r="C112" s="2">
        <v>46352</v>
      </c>
      <c r="D112" t="s">
        <v>55</v>
      </c>
      <c r="E112">
        <v>11</v>
      </c>
      <c r="F112" s="3">
        <v>11.07</v>
      </c>
      <c r="G112" t="s">
        <v>36</v>
      </c>
      <c r="H112">
        <v>57</v>
      </c>
      <c r="I112" t="s">
        <v>34</v>
      </c>
      <c r="J112" s="4">
        <v>60.2</v>
      </c>
      <c r="K112" s="4">
        <v>115.3</v>
      </c>
      <c r="L112" s="4">
        <v>22.4</v>
      </c>
      <c r="M112">
        <v>15</v>
      </c>
      <c r="N112" t="s">
        <v>65</v>
      </c>
      <c r="O112">
        <v>1</v>
      </c>
      <c r="P112" s="4">
        <v>1370.4</v>
      </c>
      <c r="Q112" t="s">
        <v>42</v>
      </c>
      <c r="R112">
        <v>0</v>
      </c>
      <c r="S112" t="s">
        <v>31</v>
      </c>
      <c r="T112">
        <v>0</v>
      </c>
      <c r="U112">
        <v>0</v>
      </c>
      <c r="V112" t="s">
        <v>32</v>
      </c>
      <c r="W112" t="s">
        <v>43</v>
      </c>
      <c r="X112" s="4">
        <v>6.5</v>
      </c>
      <c r="Y112">
        <v>4</v>
      </c>
      <c r="Z112" s="5">
        <v>137.94</v>
      </c>
    </row>
    <row r="113" spans="1:26">
      <c r="A113">
        <v>112</v>
      </c>
      <c r="B113">
        <v>38</v>
      </c>
      <c r="C113" s="2">
        <v>46042</v>
      </c>
      <c r="D113" t="s">
        <v>35</v>
      </c>
      <c r="E113">
        <v>1</v>
      </c>
      <c r="F113" s="3">
        <v>9.18</v>
      </c>
      <c r="G113" t="s">
        <v>27</v>
      </c>
      <c r="H113">
        <v>23</v>
      </c>
      <c r="I113" t="s">
        <v>34</v>
      </c>
      <c r="J113" s="4">
        <v>64.400000000000006</v>
      </c>
      <c r="K113" s="4">
        <v>228.3</v>
      </c>
      <c r="L113" s="4">
        <v>38.5</v>
      </c>
      <c r="M113">
        <v>19</v>
      </c>
      <c r="N113" t="s">
        <v>60</v>
      </c>
      <c r="O113">
        <v>2</v>
      </c>
      <c r="P113" s="4">
        <v>1252.4000000000001</v>
      </c>
      <c r="Q113" t="s">
        <v>48</v>
      </c>
      <c r="R113">
        <v>1</v>
      </c>
      <c r="S113" t="s">
        <v>44</v>
      </c>
      <c r="T113">
        <v>0</v>
      </c>
      <c r="U113">
        <v>1</v>
      </c>
      <c r="V113" t="s">
        <v>32</v>
      </c>
      <c r="W113" t="s">
        <v>33</v>
      </c>
      <c r="X113" s="4">
        <v>9.4</v>
      </c>
      <c r="Y113">
        <v>8</v>
      </c>
      <c r="Z113" s="5">
        <v>392.01</v>
      </c>
    </row>
    <row r="114" spans="1:26">
      <c r="A114">
        <v>113</v>
      </c>
      <c r="B114">
        <v>38</v>
      </c>
      <c r="C114" s="2">
        <v>46042</v>
      </c>
      <c r="D114" t="s">
        <v>35</v>
      </c>
      <c r="E114">
        <v>1</v>
      </c>
      <c r="F114" s="3">
        <v>9.24</v>
      </c>
      <c r="G114" t="s">
        <v>27</v>
      </c>
      <c r="H114">
        <v>35</v>
      </c>
      <c r="I114" t="s">
        <v>34</v>
      </c>
      <c r="J114" s="4">
        <v>64.900000000000006</v>
      </c>
      <c r="K114" s="4">
        <v>176.7</v>
      </c>
      <c r="L114" s="4">
        <v>29.5</v>
      </c>
      <c r="M114">
        <v>20</v>
      </c>
      <c r="N114" t="s">
        <v>60</v>
      </c>
      <c r="O114">
        <v>2</v>
      </c>
      <c r="P114" s="4">
        <v>1252.4000000000001</v>
      </c>
      <c r="Q114" t="s">
        <v>48</v>
      </c>
      <c r="R114">
        <v>1</v>
      </c>
      <c r="S114" t="s">
        <v>44</v>
      </c>
      <c r="T114">
        <v>0</v>
      </c>
      <c r="U114">
        <v>1</v>
      </c>
      <c r="V114" t="s">
        <v>32</v>
      </c>
      <c r="W114" t="s">
        <v>33</v>
      </c>
      <c r="X114" s="4">
        <v>7.7</v>
      </c>
      <c r="Y114">
        <v>8</v>
      </c>
      <c r="Z114" s="5">
        <v>163.13999999999999</v>
      </c>
    </row>
    <row r="115" spans="1:26">
      <c r="A115">
        <v>114</v>
      </c>
      <c r="B115">
        <v>39</v>
      </c>
      <c r="C115" s="2">
        <v>46383</v>
      </c>
      <c r="D115" t="s">
        <v>58</v>
      </c>
      <c r="E115">
        <v>12</v>
      </c>
      <c r="F115" s="3">
        <v>10.64</v>
      </c>
      <c r="G115" t="s">
        <v>27</v>
      </c>
      <c r="H115">
        <v>41</v>
      </c>
      <c r="I115" t="s">
        <v>28</v>
      </c>
      <c r="J115" s="4">
        <v>70.5</v>
      </c>
      <c r="K115" s="4">
        <v>182.1</v>
      </c>
      <c r="L115" s="4">
        <v>26.1</v>
      </c>
      <c r="M115">
        <v>18</v>
      </c>
      <c r="N115" t="s">
        <v>60</v>
      </c>
      <c r="O115">
        <v>4</v>
      </c>
      <c r="P115" s="4">
        <v>1299.4000000000001</v>
      </c>
      <c r="Q115" t="s">
        <v>48</v>
      </c>
      <c r="R115">
        <v>1</v>
      </c>
      <c r="S115" t="s">
        <v>44</v>
      </c>
      <c r="T115">
        <v>0</v>
      </c>
      <c r="U115">
        <v>1</v>
      </c>
      <c r="V115" t="s">
        <v>32</v>
      </c>
      <c r="W115" t="s">
        <v>33</v>
      </c>
      <c r="X115" s="4">
        <v>6.8</v>
      </c>
      <c r="Y115">
        <v>4</v>
      </c>
      <c r="Z115" s="5">
        <v>202.37</v>
      </c>
    </row>
    <row r="116" spans="1:26">
      <c r="A116">
        <v>115</v>
      </c>
      <c r="B116">
        <v>39</v>
      </c>
      <c r="C116" s="2">
        <v>46383</v>
      </c>
      <c r="D116" t="s">
        <v>58</v>
      </c>
      <c r="E116">
        <v>12</v>
      </c>
      <c r="F116" s="3">
        <v>10.41</v>
      </c>
      <c r="G116" t="s">
        <v>27</v>
      </c>
      <c r="H116">
        <v>52</v>
      </c>
      <c r="I116" t="s">
        <v>28</v>
      </c>
      <c r="J116" s="4">
        <v>73.599999999999994</v>
      </c>
      <c r="K116" s="4">
        <v>165.5</v>
      </c>
      <c r="L116" s="4">
        <v>21.7</v>
      </c>
      <c r="M116">
        <v>14</v>
      </c>
      <c r="N116" t="s">
        <v>60</v>
      </c>
      <c r="O116">
        <v>4</v>
      </c>
      <c r="P116" s="4">
        <v>1299.4000000000001</v>
      </c>
      <c r="Q116" t="s">
        <v>48</v>
      </c>
      <c r="R116">
        <v>1</v>
      </c>
      <c r="S116" t="s">
        <v>44</v>
      </c>
      <c r="T116">
        <v>0</v>
      </c>
      <c r="U116">
        <v>1</v>
      </c>
      <c r="V116" t="s">
        <v>32</v>
      </c>
      <c r="W116" t="s">
        <v>33</v>
      </c>
      <c r="X116" s="4">
        <v>9.9</v>
      </c>
      <c r="Y116">
        <v>12</v>
      </c>
      <c r="Z116" s="5">
        <v>410.42</v>
      </c>
    </row>
    <row r="117" spans="1:26">
      <c r="A117">
        <v>116</v>
      </c>
      <c r="B117">
        <v>39</v>
      </c>
      <c r="C117" s="2">
        <v>46383</v>
      </c>
      <c r="D117" t="s">
        <v>58</v>
      </c>
      <c r="E117">
        <v>12</v>
      </c>
      <c r="F117" s="3">
        <v>10.83</v>
      </c>
      <c r="G117" t="s">
        <v>27</v>
      </c>
      <c r="H117">
        <v>37</v>
      </c>
      <c r="I117" t="s">
        <v>34</v>
      </c>
      <c r="J117" s="4">
        <v>68.900000000000006</v>
      </c>
      <c r="K117" s="4">
        <v>170.8</v>
      </c>
      <c r="L117" s="4">
        <v>25.3</v>
      </c>
      <c r="M117">
        <v>18</v>
      </c>
      <c r="N117" t="s">
        <v>60</v>
      </c>
      <c r="O117">
        <v>4</v>
      </c>
      <c r="P117" s="4">
        <v>1299.4000000000001</v>
      </c>
      <c r="Q117" t="s">
        <v>48</v>
      </c>
      <c r="R117">
        <v>1</v>
      </c>
      <c r="S117" t="s">
        <v>44</v>
      </c>
      <c r="T117">
        <v>0</v>
      </c>
      <c r="U117">
        <v>1</v>
      </c>
      <c r="V117" t="s">
        <v>32</v>
      </c>
      <c r="W117" t="s">
        <v>33</v>
      </c>
      <c r="X117" s="4">
        <v>10.3</v>
      </c>
      <c r="Y117">
        <v>12</v>
      </c>
      <c r="Z117" s="5">
        <v>192.1</v>
      </c>
    </row>
    <row r="118" spans="1:26">
      <c r="A118">
        <v>117</v>
      </c>
      <c r="B118">
        <v>39</v>
      </c>
      <c r="C118" s="2">
        <v>46383</v>
      </c>
      <c r="D118" t="s">
        <v>58</v>
      </c>
      <c r="E118">
        <v>12</v>
      </c>
      <c r="F118" s="3">
        <v>10.59</v>
      </c>
      <c r="G118" t="s">
        <v>27</v>
      </c>
      <c r="H118">
        <v>63</v>
      </c>
      <c r="I118" t="s">
        <v>28</v>
      </c>
      <c r="J118" s="4">
        <v>73.8</v>
      </c>
      <c r="K118" s="4">
        <v>229.7</v>
      </c>
      <c r="L118" s="4">
        <v>29.5</v>
      </c>
      <c r="M118">
        <v>20</v>
      </c>
      <c r="N118" t="s">
        <v>60</v>
      </c>
      <c r="O118">
        <v>4</v>
      </c>
      <c r="P118" s="4">
        <v>1299.4000000000001</v>
      </c>
      <c r="Q118" t="s">
        <v>48</v>
      </c>
      <c r="R118">
        <v>1</v>
      </c>
      <c r="S118" t="s">
        <v>44</v>
      </c>
      <c r="T118">
        <v>0</v>
      </c>
      <c r="U118">
        <v>1</v>
      </c>
      <c r="V118" t="s">
        <v>32</v>
      </c>
      <c r="W118" t="s">
        <v>33</v>
      </c>
      <c r="X118" s="4">
        <v>7.6</v>
      </c>
      <c r="Y118">
        <v>10</v>
      </c>
      <c r="Z118" s="5">
        <v>373.88</v>
      </c>
    </row>
    <row r="119" spans="1:26">
      <c r="A119">
        <v>118</v>
      </c>
      <c r="B119">
        <v>40</v>
      </c>
      <c r="C119" s="2">
        <v>46136</v>
      </c>
      <c r="D119" t="s">
        <v>26</v>
      </c>
      <c r="E119">
        <v>4</v>
      </c>
      <c r="F119" s="3">
        <v>13.63</v>
      </c>
      <c r="G119" t="s">
        <v>36</v>
      </c>
      <c r="H119">
        <v>53</v>
      </c>
      <c r="I119" t="s">
        <v>34</v>
      </c>
      <c r="J119" s="4">
        <v>67</v>
      </c>
      <c r="K119" s="4">
        <v>187.7</v>
      </c>
      <c r="L119" s="4">
        <v>29.5</v>
      </c>
      <c r="M119">
        <v>13</v>
      </c>
      <c r="N119" t="s">
        <v>66</v>
      </c>
      <c r="O119">
        <v>3</v>
      </c>
      <c r="P119" s="4">
        <v>705.5</v>
      </c>
      <c r="Q119" t="s">
        <v>30</v>
      </c>
      <c r="R119">
        <v>1</v>
      </c>
      <c r="S119" t="s">
        <v>31</v>
      </c>
      <c r="T119">
        <v>1</v>
      </c>
      <c r="U119">
        <v>0</v>
      </c>
      <c r="V119" t="s">
        <v>32</v>
      </c>
      <c r="W119" t="s">
        <v>39</v>
      </c>
      <c r="X119" s="4">
        <v>7</v>
      </c>
      <c r="Y119">
        <v>6</v>
      </c>
      <c r="Z119" s="5">
        <v>194.52</v>
      </c>
    </row>
    <row r="120" spans="1:26">
      <c r="A120">
        <v>119</v>
      </c>
      <c r="B120">
        <v>40</v>
      </c>
      <c r="C120" s="2">
        <v>46136</v>
      </c>
      <c r="D120" t="s">
        <v>26</v>
      </c>
      <c r="E120">
        <v>4</v>
      </c>
      <c r="F120" s="3">
        <v>13.53</v>
      </c>
      <c r="G120" t="s">
        <v>36</v>
      </c>
      <c r="H120">
        <v>43</v>
      </c>
      <c r="I120" t="s">
        <v>34</v>
      </c>
      <c r="J120" s="4">
        <v>64.3</v>
      </c>
      <c r="K120" s="4">
        <v>177.9</v>
      </c>
      <c r="L120" s="4">
        <v>30</v>
      </c>
      <c r="M120">
        <v>13</v>
      </c>
      <c r="N120" t="s">
        <v>66</v>
      </c>
      <c r="O120">
        <v>3</v>
      </c>
      <c r="P120" s="4">
        <v>705.5</v>
      </c>
      <c r="Q120" t="s">
        <v>30</v>
      </c>
      <c r="R120">
        <v>1</v>
      </c>
      <c r="S120" t="s">
        <v>31</v>
      </c>
      <c r="T120">
        <v>1</v>
      </c>
      <c r="U120">
        <v>0</v>
      </c>
      <c r="V120" t="s">
        <v>32</v>
      </c>
      <c r="W120" t="s">
        <v>39</v>
      </c>
      <c r="X120" s="4">
        <v>6.9</v>
      </c>
      <c r="Y120">
        <v>9</v>
      </c>
      <c r="Z120" s="5">
        <v>204.11</v>
      </c>
    </row>
    <row r="121" spans="1:26">
      <c r="A121">
        <v>120</v>
      </c>
      <c r="B121">
        <v>40</v>
      </c>
      <c r="C121" s="2">
        <v>46136</v>
      </c>
      <c r="D121" t="s">
        <v>26</v>
      </c>
      <c r="E121">
        <v>4</v>
      </c>
      <c r="F121" s="3">
        <v>13.82</v>
      </c>
      <c r="G121" t="s">
        <v>36</v>
      </c>
      <c r="H121">
        <v>51</v>
      </c>
      <c r="I121" t="s">
        <v>28</v>
      </c>
      <c r="J121" s="4">
        <v>68.3</v>
      </c>
      <c r="K121" s="4">
        <v>164.2</v>
      </c>
      <c r="L121" s="4">
        <v>24.6</v>
      </c>
      <c r="M121">
        <v>12</v>
      </c>
      <c r="N121" t="s">
        <v>66</v>
      </c>
      <c r="O121">
        <v>3</v>
      </c>
      <c r="P121" s="4">
        <v>705.5</v>
      </c>
      <c r="Q121" t="s">
        <v>30</v>
      </c>
      <c r="R121">
        <v>1</v>
      </c>
      <c r="S121" t="s">
        <v>31</v>
      </c>
      <c r="T121">
        <v>1</v>
      </c>
      <c r="U121">
        <v>0</v>
      </c>
      <c r="V121" t="s">
        <v>32</v>
      </c>
      <c r="W121" t="s">
        <v>39</v>
      </c>
      <c r="X121" s="4">
        <v>6</v>
      </c>
      <c r="Y121">
        <v>9</v>
      </c>
      <c r="Z121" s="5">
        <v>193.92</v>
      </c>
    </row>
    <row r="122" spans="1:26">
      <c r="A122">
        <v>121</v>
      </c>
      <c r="B122">
        <v>41</v>
      </c>
      <c r="C122" s="2">
        <v>46223</v>
      </c>
      <c r="D122" t="s">
        <v>46</v>
      </c>
      <c r="E122">
        <v>7</v>
      </c>
      <c r="F122" s="3">
        <v>11.3</v>
      </c>
      <c r="G122" t="s">
        <v>36</v>
      </c>
      <c r="H122">
        <v>48</v>
      </c>
      <c r="I122" t="s">
        <v>34</v>
      </c>
      <c r="J122" s="4">
        <v>64.3</v>
      </c>
      <c r="K122" s="4">
        <v>124.4</v>
      </c>
      <c r="L122" s="4">
        <v>21.1</v>
      </c>
      <c r="M122">
        <v>12</v>
      </c>
      <c r="N122" t="s">
        <v>50</v>
      </c>
      <c r="O122">
        <v>3</v>
      </c>
      <c r="P122" s="4">
        <v>335.4</v>
      </c>
      <c r="Q122" t="s">
        <v>30</v>
      </c>
      <c r="R122">
        <v>0</v>
      </c>
      <c r="S122" t="s">
        <v>44</v>
      </c>
      <c r="T122">
        <v>0</v>
      </c>
      <c r="U122">
        <v>0</v>
      </c>
      <c r="V122" t="s">
        <v>32</v>
      </c>
      <c r="W122" t="s">
        <v>39</v>
      </c>
      <c r="X122" s="4">
        <v>7</v>
      </c>
      <c r="Y122">
        <v>11</v>
      </c>
      <c r="Z122" s="5">
        <v>146.74</v>
      </c>
    </row>
    <row r="123" spans="1:26">
      <c r="A123">
        <v>122</v>
      </c>
      <c r="B123">
        <v>41</v>
      </c>
      <c r="C123" s="2">
        <v>46223</v>
      </c>
      <c r="D123" t="s">
        <v>46</v>
      </c>
      <c r="E123">
        <v>7</v>
      </c>
      <c r="F123" s="3">
        <v>11.22</v>
      </c>
      <c r="G123" t="s">
        <v>36</v>
      </c>
      <c r="H123">
        <v>34</v>
      </c>
      <c r="I123" t="s">
        <v>28</v>
      </c>
      <c r="J123" s="4">
        <v>72.2</v>
      </c>
      <c r="K123" s="4">
        <v>198.1</v>
      </c>
      <c r="L123" s="4">
        <v>26.7</v>
      </c>
      <c r="M123">
        <v>15</v>
      </c>
      <c r="N123" t="s">
        <v>50</v>
      </c>
      <c r="O123">
        <v>3</v>
      </c>
      <c r="P123" s="4">
        <v>335.4</v>
      </c>
      <c r="Q123" t="s">
        <v>30</v>
      </c>
      <c r="R123">
        <v>0</v>
      </c>
      <c r="S123" t="s">
        <v>44</v>
      </c>
      <c r="T123">
        <v>0</v>
      </c>
      <c r="U123">
        <v>0</v>
      </c>
      <c r="V123" t="s">
        <v>32</v>
      </c>
      <c r="W123" t="s">
        <v>39</v>
      </c>
      <c r="X123" s="4">
        <v>7.2</v>
      </c>
      <c r="Y123">
        <v>6</v>
      </c>
      <c r="Z123" s="5">
        <v>183.05</v>
      </c>
    </row>
    <row r="124" spans="1:26">
      <c r="A124">
        <v>123</v>
      </c>
      <c r="B124">
        <v>41</v>
      </c>
      <c r="C124" s="2">
        <v>46223</v>
      </c>
      <c r="D124" t="s">
        <v>46</v>
      </c>
      <c r="E124">
        <v>7</v>
      </c>
      <c r="F124" s="3">
        <v>11.39</v>
      </c>
      <c r="G124" t="s">
        <v>36</v>
      </c>
      <c r="H124">
        <v>23</v>
      </c>
      <c r="I124" t="s">
        <v>28</v>
      </c>
      <c r="J124" s="4">
        <v>66.2</v>
      </c>
      <c r="K124" s="4">
        <v>201.1</v>
      </c>
      <c r="L124" s="4">
        <v>32</v>
      </c>
      <c r="M124">
        <v>13</v>
      </c>
      <c r="N124" t="s">
        <v>50</v>
      </c>
      <c r="O124">
        <v>3</v>
      </c>
      <c r="P124" s="4">
        <v>335.4</v>
      </c>
      <c r="Q124" t="s">
        <v>30</v>
      </c>
      <c r="R124">
        <v>0</v>
      </c>
      <c r="S124" t="s">
        <v>44</v>
      </c>
      <c r="T124">
        <v>0</v>
      </c>
      <c r="U124">
        <v>0</v>
      </c>
      <c r="V124" t="s">
        <v>32</v>
      </c>
      <c r="W124" t="s">
        <v>39</v>
      </c>
      <c r="X124" s="4">
        <v>7.3</v>
      </c>
      <c r="Y124">
        <v>9</v>
      </c>
      <c r="Z124" s="5">
        <v>151.81</v>
      </c>
    </row>
    <row r="125" spans="1:26">
      <c r="A125">
        <v>124</v>
      </c>
      <c r="B125">
        <v>42</v>
      </c>
      <c r="C125" s="2">
        <v>46289</v>
      </c>
      <c r="D125" t="s">
        <v>55</v>
      </c>
      <c r="E125">
        <v>9</v>
      </c>
      <c r="F125" s="3">
        <v>9.41</v>
      </c>
      <c r="G125" t="s">
        <v>27</v>
      </c>
      <c r="H125">
        <v>36</v>
      </c>
      <c r="I125" t="s">
        <v>34</v>
      </c>
      <c r="J125" s="4">
        <v>61.5</v>
      </c>
      <c r="K125" s="4">
        <v>84.7</v>
      </c>
      <c r="L125" s="4">
        <v>15.8</v>
      </c>
      <c r="M125">
        <v>14</v>
      </c>
      <c r="N125" t="s">
        <v>54</v>
      </c>
      <c r="O125">
        <v>5</v>
      </c>
      <c r="P125" s="4">
        <v>2536.1</v>
      </c>
      <c r="Q125" t="s">
        <v>48</v>
      </c>
      <c r="R125">
        <v>1</v>
      </c>
      <c r="S125" t="s">
        <v>44</v>
      </c>
      <c r="T125">
        <v>0</v>
      </c>
      <c r="U125">
        <v>1</v>
      </c>
      <c r="V125" t="s">
        <v>32</v>
      </c>
      <c r="W125" t="s">
        <v>33</v>
      </c>
      <c r="X125" s="4">
        <v>9.6999999999999993</v>
      </c>
      <c r="Y125">
        <v>10</v>
      </c>
      <c r="Z125" s="5">
        <v>495.81</v>
      </c>
    </row>
    <row r="126" spans="1:26">
      <c r="A126">
        <v>125</v>
      </c>
      <c r="B126">
        <v>42</v>
      </c>
      <c r="C126" s="2">
        <v>46289</v>
      </c>
      <c r="D126" t="s">
        <v>55</v>
      </c>
      <c r="E126">
        <v>9</v>
      </c>
      <c r="F126" s="3">
        <v>9.35</v>
      </c>
      <c r="G126" t="s">
        <v>27</v>
      </c>
      <c r="H126">
        <v>51</v>
      </c>
      <c r="I126" t="s">
        <v>28</v>
      </c>
      <c r="J126" s="4">
        <v>66.8</v>
      </c>
      <c r="K126" s="4">
        <v>185.2</v>
      </c>
      <c r="L126" s="4">
        <v>29.1</v>
      </c>
      <c r="M126">
        <v>17</v>
      </c>
      <c r="N126" t="s">
        <v>54</v>
      </c>
      <c r="O126">
        <v>5</v>
      </c>
      <c r="P126" s="4">
        <v>2536.1</v>
      </c>
      <c r="Q126" t="s">
        <v>48</v>
      </c>
      <c r="R126">
        <v>1</v>
      </c>
      <c r="S126" t="s">
        <v>44</v>
      </c>
      <c r="T126">
        <v>0</v>
      </c>
      <c r="U126">
        <v>1</v>
      </c>
      <c r="V126" t="s">
        <v>32</v>
      </c>
      <c r="W126" t="s">
        <v>33</v>
      </c>
      <c r="X126" s="4">
        <v>7.1</v>
      </c>
      <c r="Y126">
        <v>8</v>
      </c>
      <c r="Z126" s="5">
        <v>311.67</v>
      </c>
    </row>
    <row r="127" spans="1:26">
      <c r="A127">
        <v>126</v>
      </c>
      <c r="B127">
        <v>42</v>
      </c>
      <c r="C127" s="2">
        <v>46289</v>
      </c>
      <c r="D127" t="s">
        <v>55</v>
      </c>
      <c r="E127">
        <v>9</v>
      </c>
      <c r="F127" s="3">
        <v>9.4600000000000009</v>
      </c>
      <c r="G127" t="s">
        <v>27</v>
      </c>
      <c r="H127">
        <v>69</v>
      </c>
      <c r="I127" t="s">
        <v>34</v>
      </c>
      <c r="J127" s="4">
        <v>67.2</v>
      </c>
      <c r="K127" s="4">
        <v>163.5</v>
      </c>
      <c r="L127" s="4">
        <v>25.1</v>
      </c>
      <c r="M127">
        <v>20</v>
      </c>
      <c r="N127" t="s">
        <v>54</v>
      </c>
      <c r="O127">
        <v>5</v>
      </c>
      <c r="P127" s="4">
        <v>2536.1</v>
      </c>
      <c r="Q127" t="s">
        <v>48</v>
      </c>
      <c r="R127">
        <v>1</v>
      </c>
      <c r="S127" t="s">
        <v>44</v>
      </c>
      <c r="T127">
        <v>0</v>
      </c>
      <c r="U127">
        <v>1</v>
      </c>
      <c r="V127" t="s">
        <v>32</v>
      </c>
      <c r="W127" t="s">
        <v>33</v>
      </c>
      <c r="X127" s="4">
        <v>11.2</v>
      </c>
      <c r="Y127">
        <v>9</v>
      </c>
      <c r="Z127" s="5">
        <v>252.9</v>
      </c>
    </row>
    <row r="128" spans="1:26">
      <c r="A128">
        <v>127</v>
      </c>
      <c r="B128">
        <v>42</v>
      </c>
      <c r="C128" s="2">
        <v>46289</v>
      </c>
      <c r="D128" t="s">
        <v>55</v>
      </c>
      <c r="E128">
        <v>9</v>
      </c>
      <c r="F128" s="3">
        <v>9.42</v>
      </c>
      <c r="G128" t="s">
        <v>27</v>
      </c>
      <c r="H128">
        <v>51</v>
      </c>
      <c r="I128" t="s">
        <v>34</v>
      </c>
      <c r="J128" s="4">
        <v>62.4</v>
      </c>
      <c r="K128" s="4">
        <v>124</v>
      </c>
      <c r="L128" s="4">
        <v>22.4</v>
      </c>
      <c r="M128">
        <v>15</v>
      </c>
      <c r="N128" t="s">
        <v>54</v>
      </c>
      <c r="O128">
        <v>5</v>
      </c>
      <c r="P128" s="4">
        <v>2536.1</v>
      </c>
      <c r="Q128" t="s">
        <v>48</v>
      </c>
      <c r="R128">
        <v>1</v>
      </c>
      <c r="S128" t="s">
        <v>44</v>
      </c>
      <c r="T128">
        <v>0</v>
      </c>
      <c r="U128">
        <v>1</v>
      </c>
      <c r="V128" t="s">
        <v>32</v>
      </c>
      <c r="W128" t="s">
        <v>33</v>
      </c>
      <c r="X128" s="4">
        <v>9.5</v>
      </c>
      <c r="Y128">
        <v>15</v>
      </c>
      <c r="Z128" s="5">
        <v>306.60000000000002</v>
      </c>
    </row>
    <row r="129" spans="1:26">
      <c r="A129">
        <v>128</v>
      </c>
      <c r="B129">
        <v>42</v>
      </c>
      <c r="C129" s="2">
        <v>46289</v>
      </c>
      <c r="D129" t="s">
        <v>55</v>
      </c>
      <c r="E129">
        <v>9</v>
      </c>
      <c r="F129" s="3">
        <v>9.4600000000000009</v>
      </c>
      <c r="G129" t="s">
        <v>27</v>
      </c>
      <c r="H129">
        <v>41</v>
      </c>
      <c r="I129" t="s">
        <v>28</v>
      </c>
      <c r="J129" s="4">
        <v>66.099999999999994</v>
      </c>
      <c r="K129" s="4">
        <v>168.3</v>
      </c>
      <c r="L129" s="4">
        <v>27.2</v>
      </c>
      <c r="M129">
        <v>17</v>
      </c>
      <c r="N129" t="s">
        <v>54</v>
      </c>
      <c r="O129">
        <v>5</v>
      </c>
      <c r="P129" s="4">
        <v>2536.1</v>
      </c>
      <c r="Q129" t="s">
        <v>48</v>
      </c>
      <c r="R129">
        <v>1</v>
      </c>
      <c r="S129" t="s">
        <v>44</v>
      </c>
      <c r="T129">
        <v>0</v>
      </c>
      <c r="U129">
        <v>1</v>
      </c>
      <c r="V129" t="s">
        <v>32</v>
      </c>
      <c r="W129" t="s">
        <v>33</v>
      </c>
      <c r="X129" s="4">
        <v>8.1999999999999993</v>
      </c>
      <c r="Y129">
        <v>12</v>
      </c>
      <c r="Z129" s="5">
        <v>312.92</v>
      </c>
    </row>
    <row r="130" spans="1:26">
      <c r="A130">
        <v>129</v>
      </c>
      <c r="B130">
        <v>43</v>
      </c>
      <c r="C130" s="2">
        <v>46166</v>
      </c>
      <c r="D130" t="s">
        <v>58</v>
      </c>
      <c r="E130">
        <v>5</v>
      </c>
      <c r="F130" s="3">
        <v>12.36</v>
      </c>
      <c r="G130" t="s">
        <v>36</v>
      </c>
      <c r="H130">
        <v>25</v>
      </c>
      <c r="I130" t="s">
        <v>28</v>
      </c>
      <c r="J130" s="4">
        <v>70.7</v>
      </c>
      <c r="K130" s="4">
        <v>209.2</v>
      </c>
      <c r="L130" s="4">
        <v>29.6</v>
      </c>
      <c r="M130">
        <v>16</v>
      </c>
      <c r="N130" t="s">
        <v>47</v>
      </c>
      <c r="O130">
        <v>2</v>
      </c>
      <c r="P130" s="4">
        <v>75.099999999999994</v>
      </c>
      <c r="Q130" t="s">
        <v>30</v>
      </c>
      <c r="R130">
        <v>0</v>
      </c>
      <c r="S130" t="s">
        <v>44</v>
      </c>
      <c r="T130">
        <v>0</v>
      </c>
      <c r="U130">
        <v>0</v>
      </c>
      <c r="V130" t="s">
        <v>32</v>
      </c>
      <c r="W130" t="s">
        <v>49</v>
      </c>
      <c r="X130" s="4">
        <v>8.4</v>
      </c>
      <c r="Y130">
        <v>12</v>
      </c>
      <c r="Z130" s="5">
        <v>161.78</v>
      </c>
    </row>
    <row r="131" spans="1:26">
      <c r="A131">
        <v>130</v>
      </c>
      <c r="B131">
        <v>43</v>
      </c>
      <c r="C131" s="2">
        <v>46166</v>
      </c>
      <c r="D131" t="s">
        <v>58</v>
      </c>
      <c r="E131">
        <v>5</v>
      </c>
      <c r="F131" s="3">
        <v>12.29</v>
      </c>
      <c r="G131" t="s">
        <v>36</v>
      </c>
      <c r="H131">
        <v>9</v>
      </c>
      <c r="I131" t="s">
        <v>28</v>
      </c>
      <c r="J131" s="4">
        <v>59.9</v>
      </c>
      <c r="K131" s="4">
        <v>103.3</v>
      </c>
      <c r="L131" s="4">
        <v>20.399999999999999</v>
      </c>
      <c r="M131">
        <v>12</v>
      </c>
      <c r="N131" t="s">
        <v>47</v>
      </c>
      <c r="O131">
        <v>2</v>
      </c>
      <c r="P131" s="4">
        <v>75.099999999999994</v>
      </c>
      <c r="Q131" t="s">
        <v>30</v>
      </c>
      <c r="R131">
        <v>0</v>
      </c>
      <c r="S131" t="s">
        <v>44</v>
      </c>
      <c r="T131">
        <v>0</v>
      </c>
      <c r="U131">
        <v>0</v>
      </c>
      <c r="V131" t="s">
        <v>32</v>
      </c>
      <c r="W131" t="s">
        <v>49</v>
      </c>
      <c r="X131" s="4">
        <v>8.4</v>
      </c>
      <c r="Y131">
        <v>3</v>
      </c>
      <c r="Z131" s="5">
        <v>251.18</v>
      </c>
    </row>
    <row r="132" spans="1:26">
      <c r="A132">
        <v>131</v>
      </c>
      <c r="B132">
        <v>44</v>
      </c>
      <c r="C132" s="2">
        <v>46114</v>
      </c>
      <c r="D132" t="s">
        <v>55</v>
      </c>
      <c r="E132">
        <v>4</v>
      </c>
      <c r="F132" s="3">
        <v>9.7200000000000006</v>
      </c>
      <c r="G132" t="s">
        <v>27</v>
      </c>
      <c r="H132">
        <v>6</v>
      </c>
      <c r="I132" t="s">
        <v>28</v>
      </c>
      <c r="J132" s="4">
        <v>62.9</v>
      </c>
      <c r="K132" s="4">
        <v>97.9</v>
      </c>
      <c r="L132" s="4">
        <v>17.399999999999999</v>
      </c>
      <c r="M132">
        <v>14</v>
      </c>
      <c r="N132" t="s">
        <v>29</v>
      </c>
      <c r="O132">
        <v>2</v>
      </c>
      <c r="P132" s="4">
        <v>1191.3</v>
      </c>
      <c r="Q132" t="s">
        <v>30</v>
      </c>
      <c r="R132">
        <v>1</v>
      </c>
      <c r="S132" t="s">
        <v>44</v>
      </c>
      <c r="T132">
        <v>0</v>
      </c>
      <c r="U132">
        <v>0</v>
      </c>
      <c r="V132" t="s">
        <v>32</v>
      </c>
      <c r="W132" t="s">
        <v>43</v>
      </c>
      <c r="X132" s="4">
        <v>6.2</v>
      </c>
      <c r="Y132">
        <v>8</v>
      </c>
      <c r="Z132" s="5">
        <v>183.44</v>
      </c>
    </row>
    <row r="133" spans="1:26">
      <c r="A133">
        <v>132</v>
      </c>
      <c r="B133">
        <v>44</v>
      </c>
      <c r="C133" s="2">
        <v>46114</v>
      </c>
      <c r="D133" t="s">
        <v>55</v>
      </c>
      <c r="E133">
        <v>4</v>
      </c>
      <c r="F133" s="3">
        <v>9.73</v>
      </c>
      <c r="G133" t="s">
        <v>27</v>
      </c>
      <c r="H133">
        <v>52</v>
      </c>
      <c r="I133" t="s">
        <v>28</v>
      </c>
      <c r="J133" s="4">
        <v>73.5</v>
      </c>
      <c r="K133" s="4">
        <v>239.2</v>
      </c>
      <c r="L133" s="4">
        <v>31.1</v>
      </c>
      <c r="M133">
        <v>15</v>
      </c>
      <c r="N133" t="s">
        <v>29</v>
      </c>
      <c r="O133">
        <v>2</v>
      </c>
      <c r="P133" s="4">
        <v>1191.3</v>
      </c>
      <c r="Q133" t="s">
        <v>30</v>
      </c>
      <c r="R133">
        <v>1</v>
      </c>
      <c r="S133" t="s">
        <v>44</v>
      </c>
      <c r="T133">
        <v>0</v>
      </c>
      <c r="U133">
        <v>0</v>
      </c>
      <c r="V133" t="s">
        <v>32</v>
      </c>
      <c r="W133" t="s">
        <v>43</v>
      </c>
      <c r="X133" s="4">
        <v>8.4</v>
      </c>
      <c r="Y133">
        <v>11</v>
      </c>
      <c r="Z133" s="5">
        <v>204.29</v>
      </c>
    </row>
    <row r="134" spans="1:26">
      <c r="A134">
        <v>133</v>
      </c>
      <c r="B134">
        <v>45</v>
      </c>
      <c r="C134" s="2">
        <v>46181</v>
      </c>
      <c r="D134" t="s">
        <v>46</v>
      </c>
      <c r="E134">
        <v>6</v>
      </c>
      <c r="F134" s="3">
        <v>9.1999999999999993</v>
      </c>
      <c r="G134" t="s">
        <v>27</v>
      </c>
      <c r="H134">
        <v>31</v>
      </c>
      <c r="I134" t="s">
        <v>28</v>
      </c>
      <c r="J134" s="4">
        <v>69.599999999999994</v>
      </c>
      <c r="K134" s="4">
        <v>135</v>
      </c>
      <c r="L134" s="4">
        <v>19.899999999999999</v>
      </c>
      <c r="M134">
        <v>12</v>
      </c>
      <c r="N134" t="s">
        <v>41</v>
      </c>
      <c r="O134">
        <v>3</v>
      </c>
      <c r="P134" s="4">
        <v>3660.7</v>
      </c>
      <c r="Q134" t="s">
        <v>30</v>
      </c>
      <c r="R134">
        <v>0</v>
      </c>
      <c r="S134" t="s">
        <v>44</v>
      </c>
      <c r="T134">
        <v>0</v>
      </c>
      <c r="U134">
        <v>0</v>
      </c>
      <c r="V134" t="s">
        <v>32</v>
      </c>
      <c r="W134" t="s">
        <v>49</v>
      </c>
      <c r="X134" s="4">
        <v>8.8000000000000007</v>
      </c>
      <c r="Y134">
        <v>9</v>
      </c>
      <c r="Z134" s="5">
        <v>246.74</v>
      </c>
    </row>
    <row r="135" spans="1:26">
      <c r="A135">
        <v>134</v>
      </c>
      <c r="B135">
        <v>45</v>
      </c>
      <c r="C135" s="2">
        <v>46181</v>
      </c>
      <c r="D135" t="s">
        <v>46</v>
      </c>
      <c r="E135">
        <v>6</v>
      </c>
      <c r="F135" s="3">
        <v>9.09</v>
      </c>
      <c r="G135" t="s">
        <v>27</v>
      </c>
      <c r="H135">
        <v>8</v>
      </c>
      <c r="I135" t="s">
        <v>28</v>
      </c>
      <c r="J135" s="4">
        <v>54.8</v>
      </c>
      <c r="K135" s="4">
        <v>89.5</v>
      </c>
      <c r="L135" s="4">
        <v>21</v>
      </c>
      <c r="M135">
        <v>12</v>
      </c>
      <c r="N135" t="s">
        <v>41</v>
      </c>
      <c r="O135">
        <v>3</v>
      </c>
      <c r="P135" s="4">
        <v>3660.7</v>
      </c>
      <c r="Q135" t="s">
        <v>30</v>
      </c>
      <c r="R135">
        <v>0</v>
      </c>
      <c r="S135" t="s">
        <v>44</v>
      </c>
      <c r="T135">
        <v>0</v>
      </c>
      <c r="U135">
        <v>0</v>
      </c>
      <c r="V135" t="s">
        <v>32</v>
      </c>
      <c r="W135" t="s">
        <v>49</v>
      </c>
      <c r="X135" s="4">
        <v>9.8000000000000007</v>
      </c>
      <c r="Y135">
        <v>7</v>
      </c>
      <c r="Z135" s="5">
        <v>192.99</v>
      </c>
    </row>
    <row r="136" spans="1:26">
      <c r="A136">
        <v>135</v>
      </c>
      <c r="B136">
        <v>45</v>
      </c>
      <c r="C136" s="2">
        <v>46181</v>
      </c>
      <c r="D136" t="s">
        <v>46</v>
      </c>
      <c r="E136">
        <v>6</v>
      </c>
      <c r="F136" s="3">
        <v>9.31</v>
      </c>
      <c r="G136" t="s">
        <v>27</v>
      </c>
      <c r="H136">
        <v>33</v>
      </c>
      <c r="I136" t="s">
        <v>34</v>
      </c>
      <c r="J136" s="4">
        <v>59.1</v>
      </c>
      <c r="K136" s="4">
        <v>124.5</v>
      </c>
      <c r="L136" s="4">
        <v>25.1</v>
      </c>
      <c r="M136">
        <v>12</v>
      </c>
      <c r="N136" t="s">
        <v>41</v>
      </c>
      <c r="O136">
        <v>3</v>
      </c>
      <c r="P136" s="4">
        <v>3660.7</v>
      </c>
      <c r="Q136" t="s">
        <v>30</v>
      </c>
      <c r="R136">
        <v>0</v>
      </c>
      <c r="S136" t="s">
        <v>44</v>
      </c>
      <c r="T136">
        <v>0</v>
      </c>
      <c r="U136">
        <v>0</v>
      </c>
      <c r="V136" t="s">
        <v>32</v>
      </c>
      <c r="W136" t="s">
        <v>49</v>
      </c>
      <c r="X136" s="4">
        <v>7.5</v>
      </c>
      <c r="Y136">
        <v>5</v>
      </c>
      <c r="Z136" s="5">
        <v>163.31</v>
      </c>
    </row>
    <row r="137" spans="1:26">
      <c r="A137">
        <v>136</v>
      </c>
      <c r="B137">
        <v>46</v>
      </c>
      <c r="C137" s="2">
        <v>46296</v>
      </c>
      <c r="D137" t="s">
        <v>55</v>
      </c>
      <c r="E137">
        <v>10</v>
      </c>
      <c r="F137" s="3">
        <v>8.43</v>
      </c>
      <c r="G137" t="s">
        <v>27</v>
      </c>
      <c r="H137">
        <v>37</v>
      </c>
      <c r="I137" t="s">
        <v>34</v>
      </c>
      <c r="J137" s="4">
        <v>63.9</v>
      </c>
      <c r="K137" s="4">
        <v>209</v>
      </c>
      <c r="L137" s="4">
        <v>35.9</v>
      </c>
      <c r="M137">
        <v>10</v>
      </c>
      <c r="N137" t="s">
        <v>59</v>
      </c>
      <c r="O137">
        <v>3</v>
      </c>
      <c r="P137" s="4">
        <v>1069.4000000000001</v>
      </c>
      <c r="Q137" t="s">
        <v>30</v>
      </c>
      <c r="R137">
        <v>1</v>
      </c>
      <c r="S137" t="s">
        <v>44</v>
      </c>
      <c r="T137">
        <v>0</v>
      </c>
      <c r="U137">
        <v>0</v>
      </c>
      <c r="V137" t="s">
        <v>32</v>
      </c>
      <c r="W137" t="s">
        <v>49</v>
      </c>
      <c r="X137" s="4">
        <v>11.1</v>
      </c>
      <c r="Y137">
        <v>12</v>
      </c>
      <c r="Z137" s="5">
        <v>250.56</v>
      </c>
    </row>
    <row r="138" spans="1:26">
      <c r="A138">
        <v>137</v>
      </c>
      <c r="B138">
        <v>46</v>
      </c>
      <c r="C138" s="2">
        <v>46296</v>
      </c>
      <c r="D138" t="s">
        <v>55</v>
      </c>
      <c r="E138">
        <v>10</v>
      </c>
      <c r="F138" s="3">
        <v>8.49</v>
      </c>
      <c r="G138" t="s">
        <v>27</v>
      </c>
      <c r="H138">
        <v>12</v>
      </c>
      <c r="I138" t="s">
        <v>34</v>
      </c>
      <c r="J138" s="4">
        <v>68.400000000000006</v>
      </c>
      <c r="K138" s="4">
        <v>159.6</v>
      </c>
      <c r="L138" s="4">
        <v>24</v>
      </c>
      <c r="M138">
        <v>11</v>
      </c>
      <c r="N138" t="s">
        <v>59</v>
      </c>
      <c r="O138">
        <v>3</v>
      </c>
      <c r="P138" s="4">
        <v>1069.4000000000001</v>
      </c>
      <c r="Q138" t="s">
        <v>30</v>
      </c>
      <c r="R138">
        <v>1</v>
      </c>
      <c r="S138" t="s">
        <v>44</v>
      </c>
      <c r="T138">
        <v>0</v>
      </c>
      <c r="U138">
        <v>0</v>
      </c>
      <c r="V138" t="s">
        <v>32</v>
      </c>
      <c r="W138" t="s">
        <v>49</v>
      </c>
      <c r="X138" s="4">
        <v>9.8000000000000007</v>
      </c>
      <c r="Y138">
        <v>8</v>
      </c>
      <c r="Z138" s="5">
        <v>238.52</v>
      </c>
    </row>
    <row r="139" spans="1:26">
      <c r="A139">
        <v>138</v>
      </c>
      <c r="B139">
        <v>46</v>
      </c>
      <c r="C139" s="2">
        <v>46296</v>
      </c>
      <c r="D139" t="s">
        <v>55</v>
      </c>
      <c r="E139">
        <v>10</v>
      </c>
      <c r="F139" s="3">
        <v>8.35</v>
      </c>
      <c r="G139" t="s">
        <v>27</v>
      </c>
      <c r="H139">
        <v>70</v>
      </c>
      <c r="I139" t="s">
        <v>28</v>
      </c>
      <c r="J139" s="4">
        <v>65.400000000000006</v>
      </c>
      <c r="K139" s="4">
        <v>153.1</v>
      </c>
      <c r="L139" s="4">
        <v>25.4</v>
      </c>
      <c r="M139">
        <v>15</v>
      </c>
      <c r="N139" t="s">
        <v>59</v>
      </c>
      <c r="O139">
        <v>3</v>
      </c>
      <c r="P139" s="4">
        <v>1069.4000000000001</v>
      </c>
      <c r="Q139" t="s">
        <v>30</v>
      </c>
      <c r="R139">
        <v>1</v>
      </c>
      <c r="S139" t="s">
        <v>44</v>
      </c>
      <c r="T139">
        <v>0</v>
      </c>
      <c r="U139">
        <v>0</v>
      </c>
      <c r="V139" t="s">
        <v>32</v>
      </c>
      <c r="W139" t="s">
        <v>49</v>
      </c>
      <c r="X139" s="4">
        <v>9.4</v>
      </c>
      <c r="Y139">
        <v>10</v>
      </c>
      <c r="Z139" s="5">
        <v>129.38999999999999</v>
      </c>
    </row>
    <row r="140" spans="1:26">
      <c r="A140">
        <v>139</v>
      </c>
      <c r="B140">
        <v>47</v>
      </c>
      <c r="C140" s="2">
        <v>46270</v>
      </c>
      <c r="D140" t="s">
        <v>40</v>
      </c>
      <c r="E140">
        <v>9</v>
      </c>
      <c r="F140" s="3">
        <v>11.36</v>
      </c>
      <c r="G140" t="s">
        <v>36</v>
      </c>
      <c r="H140">
        <v>7</v>
      </c>
      <c r="I140" t="s">
        <v>28</v>
      </c>
      <c r="J140" s="4">
        <v>59</v>
      </c>
      <c r="K140" s="4">
        <v>97.3</v>
      </c>
      <c r="L140" s="4">
        <v>19.600000000000001</v>
      </c>
      <c r="M140">
        <v>12</v>
      </c>
      <c r="N140" t="s">
        <v>67</v>
      </c>
      <c r="O140">
        <v>2</v>
      </c>
      <c r="P140" s="4">
        <v>1626.2</v>
      </c>
      <c r="Q140" t="s">
        <v>42</v>
      </c>
      <c r="R140">
        <v>1</v>
      </c>
      <c r="S140" t="s">
        <v>38</v>
      </c>
      <c r="T140">
        <v>0</v>
      </c>
      <c r="U140">
        <v>0</v>
      </c>
      <c r="V140" t="s">
        <v>32</v>
      </c>
      <c r="W140" t="s">
        <v>39</v>
      </c>
      <c r="X140" s="4">
        <v>8.9</v>
      </c>
      <c r="Y140">
        <v>18</v>
      </c>
      <c r="Z140" s="5">
        <v>201.08</v>
      </c>
    </row>
    <row r="141" spans="1:26">
      <c r="A141">
        <v>140</v>
      </c>
      <c r="B141">
        <v>47</v>
      </c>
      <c r="C141" s="2">
        <v>46270</v>
      </c>
      <c r="D141" t="s">
        <v>40</v>
      </c>
      <c r="E141">
        <v>9</v>
      </c>
      <c r="F141" s="3">
        <v>11.26</v>
      </c>
      <c r="G141" t="s">
        <v>36</v>
      </c>
      <c r="H141">
        <v>63</v>
      </c>
      <c r="I141" t="s">
        <v>34</v>
      </c>
      <c r="J141" s="4">
        <v>63</v>
      </c>
      <c r="K141" s="4">
        <v>186.4</v>
      </c>
      <c r="L141" s="4">
        <v>33.1</v>
      </c>
      <c r="M141">
        <v>16</v>
      </c>
      <c r="N141" t="s">
        <v>67</v>
      </c>
      <c r="O141">
        <v>2</v>
      </c>
      <c r="P141" s="4">
        <v>1626.2</v>
      </c>
      <c r="Q141" t="s">
        <v>42</v>
      </c>
      <c r="R141">
        <v>1</v>
      </c>
      <c r="S141" t="s">
        <v>38</v>
      </c>
      <c r="T141">
        <v>0</v>
      </c>
      <c r="U141">
        <v>0</v>
      </c>
      <c r="V141" t="s">
        <v>32</v>
      </c>
      <c r="W141" t="s">
        <v>39</v>
      </c>
      <c r="X141" s="4">
        <v>8.5</v>
      </c>
      <c r="Y141">
        <v>10</v>
      </c>
      <c r="Z141" s="5">
        <v>150.77000000000001</v>
      </c>
    </row>
    <row r="142" spans="1:26">
      <c r="A142">
        <v>141</v>
      </c>
      <c r="B142">
        <v>48</v>
      </c>
      <c r="C142" s="2">
        <v>46029</v>
      </c>
      <c r="D142" t="s">
        <v>52</v>
      </c>
      <c r="E142">
        <v>1</v>
      </c>
      <c r="F142" s="3">
        <v>9.11</v>
      </c>
      <c r="G142" t="s">
        <v>27</v>
      </c>
      <c r="H142">
        <v>35</v>
      </c>
      <c r="I142" t="s">
        <v>28</v>
      </c>
      <c r="J142" s="4">
        <v>69.599999999999994</v>
      </c>
      <c r="K142" s="4">
        <v>172.8</v>
      </c>
      <c r="L142" s="4">
        <v>25</v>
      </c>
      <c r="M142">
        <v>13</v>
      </c>
      <c r="N142" t="s">
        <v>61</v>
      </c>
      <c r="O142">
        <v>4</v>
      </c>
      <c r="P142" s="4">
        <v>1426.7</v>
      </c>
      <c r="Q142" t="s">
        <v>42</v>
      </c>
      <c r="R142">
        <v>1</v>
      </c>
      <c r="S142" t="s">
        <v>44</v>
      </c>
      <c r="T142">
        <v>1</v>
      </c>
      <c r="U142">
        <v>0</v>
      </c>
      <c r="V142" t="s">
        <v>45</v>
      </c>
      <c r="W142" t="s">
        <v>43</v>
      </c>
      <c r="X142" s="4">
        <v>10</v>
      </c>
      <c r="Y142">
        <v>15</v>
      </c>
      <c r="Z142" s="5">
        <v>232.63</v>
      </c>
    </row>
    <row r="143" spans="1:26">
      <c r="A143">
        <v>142</v>
      </c>
      <c r="B143">
        <v>48</v>
      </c>
      <c r="C143" s="2">
        <v>46029</v>
      </c>
      <c r="D143" t="s">
        <v>52</v>
      </c>
      <c r="E143">
        <v>1</v>
      </c>
      <c r="F143" s="3">
        <v>9.2200000000000006</v>
      </c>
      <c r="G143" t="s">
        <v>27</v>
      </c>
      <c r="H143">
        <v>61</v>
      </c>
      <c r="I143" t="s">
        <v>34</v>
      </c>
      <c r="J143" s="4">
        <v>64.900000000000006</v>
      </c>
      <c r="K143" s="4">
        <v>156.30000000000001</v>
      </c>
      <c r="L143" s="4">
        <v>26</v>
      </c>
      <c r="M143">
        <v>17</v>
      </c>
      <c r="N143" t="s">
        <v>61</v>
      </c>
      <c r="O143">
        <v>4</v>
      </c>
      <c r="P143" s="4">
        <v>1426.7</v>
      </c>
      <c r="Q143" t="s">
        <v>42</v>
      </c>
      <c r="R143">
        <v>1</v>
      </c>
      <c r="S143" t="s">
        <v>44</v>
      </c>
      <c r="T143">
        <v>1</v>
      </c>
      <c r="U143">
        <v>0</v>
      </c>
      <c r="V143" t="s">
        <v>45</v>
      </c>
      <c r="W143" t="s">
        <v>43</v>
      </c>
      <c r="X143" s="4">
        <v>9.6</v>
      </c>
      <c r="Y143">
        <v>12</v>
      </c>
      <c r="Z143" s="5">
        <v>223.49</v>
      </c>
    </row>
    <row r="144" spans="1:26">
      <c r="A144">
        <v>143</v>
      </c>
      <c r="B144">
        <v>48</v>
      </c>
      <c r="C144" s="2">
        <v>46029</v>
      </c>
      <c r="D144" t="s">
        <v>52</v>
      </c>
      <c r="E144">
        <v>1</v>
      </c>
      <c r="F144" s="3">
        <v>9.2200000000000006</v>
      </c>
      <c r="G144" t="s">
        <v>27</v>
      </c>
      <c r="H144">
        <v>11</v>
      </c>
      <c r="I144" t="s">
        <v>34</v>
      </c>
      <c r="J144" s="4">
        <v>67.5</v>
      </c>
      <c r="K144" s="4">
        <v>91.9</v>
      </c>
      <c r="L144" s="4">
        <v>14.5</v>
      </c>
      <c r="M144">
        <v>13</v>
      </c>
      <c r="N144" t="s">
        <v>61</v>
      </c>
      <c r="O144">
        <v>4</v>
      </c>
      <c r="P144" s="4">
        <v>1426.7</v>
      </c>
      <c r="Q144" t="s">
        <v>42</v>
      </c>
      <c r="R144">
        <v>1</v>
      </c>
      <c r="S144" t="s">
        <v>44</v>
      </c>
      <c r="T144">
        <v>1</v>
      </c>
      <c r="U144">
        <v>0</v>
      </c>
      <c r="V144" t="s">
        <v>45</v>
      </c>
      <c r="W144" t="s">
        <v>43</v>
      </c>
      <c r="X144" s="4">
        <v>6.4</v>
      </c>
      <c r="Y144">
        <v>8</v>
      </c>
      <c r="Z144" s="5">
        <v>236.41</v>
      </c>
    </row>
    <row r="145" spans="1:26">
      <c r="A145">
        <v>144</v>
      </c>
      <c r="B145">
        <v>48</v>
      </c>
      <c r="C145" s="2">
        <v>46029</v>
      </c>
      <c r="D145" t="s">
        <v>52</v>
      </c>
      <c r="E145">
        <v>1</v>
      </c>
      <c r="F145" s="3">
        <v>9.08</v>
      </c>
      <c r="G145" t="s">
        <v>27</v>
      </c>
      <c r="H145">
        <v>52</v>
      </c>
      <c r="I145" t="s">
        <v>34</v>
      </c>
      <c r="J145" s="4">
        <v>68.8</v>
      </c>
      <c r="K145" s="4">
        <v>203.3</v>
      </c>
      <c r="L145" s="4">
        <v>29.8</v>
      </c>
      <c r="M145">
        <v>13</v>
      </c>
      <c r="N145" t="s">
        <v>61</v>
      </c>
      <c r="O145">
        <v>4</v>
      </c>
      <c r="P145" s="4">
        <v>1426.7</v>
      </c>
      <c r="Q145" t="s">
        <v>42</v>
      </c>
      <c r="R145">
        <v>1</v>
      </c>
      <c r="S145" t="s">
        <v>44</v>
      </c>
      <c r="T145">
        <v>1</v>
      </c>
      <c r="U145">
        <v>0</v>
      </c>
      <c r="V145" t="s">
        <v>45</v>
      </c>
      <c r="W145" t="s">
        <v>43</v>
      </c>
      <c r="X145" s="4">
        <v>7.3</v>
      </c>
      <c r="Y145">
        <v>9</v>
      </c>
      <c r="Z145" s="5">
        <v>311.63</v>
      </c>
    </row>
    <row r="146" spans="1:26">
      <c r="A146">
        <v>145</v>
      </c>
      <c r="B146">
        <v>49</v>
      </c>
      <c r="C146" s="2">
        <v>46057</v>
      </c>
      <c r="D146" t="s">
        <v>52</v>
      </c>
      <c r="E146">
        <v>2</v>
      </c>
      <c r="F146" s="3">
        <v>11.41</v>
      </c>
      <c r="G146" t="s">
        <v>36</v>
      </c>
      <c r="H146">
        <v>42</v>
      </c>
      <c r="I146" t="s">
        <v>34</v>
      </c>
      <c r="J146" s="4">
        <v>63.3</v>
      </c>
      <c r="K146" s="4">
        <v>173.6</v>
      </c>
      <c r="L146" s="4">
        <v>30.6</v>
      </c>
      <c r="M146">
        <v>15</v>
      </c>
      <c r="N146" t="s">
        <v>29</v>
      </c>
      <c r="O146">
        <v>4</v>
      </c>
      <c r="P146" s="4">
        <v>1933</v>
      </c>
      <c r="Q146" t="s">
        <v>42</v>
      </c>
      <c r="R146">
        <v>1</v>
      </c>
      <c r="S146" t="s">
        <v>44</v>
      </c>
      <c r="T146">
        <v>0</v>
      </c>
      <c r="U146">
        <v>0</v>
      </c>
      <c r="V146" t="s">
        <v>32</v>
      </c>
      <c r="W146" t="s">
        <v>43</v>
      </c>
      <c r="X146" s="4">
        <v>7.8</v>
      </c>
      <c r="Y146">
        <v>2</v>
      </c>
      <c r="Z146" s="5">
        <v>116.61</v>
      </c>
    </row>
    <row r="147" spans="1:26">
      <c r="A147">
        <v>146</v>
      </c>
      <c r="B147">
        <v>49</v>
      </c>
      <c r="C147" s="2">
        <v>46057</v>
      </c>
      <c r="D147" t="s">
        <v>52</v>
      </c>
      <c r="E147">
        <v>2</v>
      </c>
      <c r="F147" s="3">
        <v>11.5</v>
      </c>
      <c r="G147" t="s">
        <v>36</v>
      </c>
      <c r="H147">
        <v>12</v>
      </c>
      <c r="I147" t="s">
        <v>28</v>
      </c>
      <c r="J147" s="4">
        <v>69.400000000000006</v>
      </c>
      <c r="K147" s="4">
        <v>165.8</v>
      </c>
      <c r="L147" s="4">
        <v>24.3</v>
      </c>
      <c r="M147">
        <v>13</v>
      </c>
      <c r="N147" t="s">
        <v>29</v>
      </c>
      <c r="O147">
        <v>4</v>
      </c>
      <c r="P147" s="4">
        <v>1933</v>
      </c>
      <c r="Q147" t="s">
        <v>42</v>
      </c>
      <c r="R147">
        <v>1</v>
      </c>
      <c r="S147" t="s">
        <v>44</v>
      </c>
      <c r="T147">
        <v>0</v>
      </c>
      <c r="U147">
        <v>0</v>
      </c>
      <c r="V147" t="s">
        <v>32</v>
      </c>
      <c r="W147" t="s">
        <v>43</v>
      </c>
      <c r="X147" s="4">
        <v>7.9</v>
      </c>
      <c r="Y147">
        <v>6</v>
      </c>
      <c r="Z147" s="5">
        <v>198.56</v>
      </c>
    </row>
    <row r="148" spans="1:26">
      <c r="A148">
        <v>147</v>
      </c>
      <c r="B148">
        <v>49</v>
      </c>
      <c r="C148" s="2">
        <v>46057</v>
      </c>
      <c r="D148" t="s">
        <v>52</v>
      </c>
      <c r="E148">
        <v>2</v>
      </c>
      <c r="F148" s="3">
        <v>11.35</v>
      </c>
      <c r="G148" t="s">
        <v>36</v>
      </c>
      <c r="H148">
        <v>43</v>
      </c>
      <c r="I148" t="s">
        <v>34</v>
      </c>
      <c r="J148" s="4">
        <v>64.7</v>
      </c>
      <c r="K148" s="4">
        <v>125.7</v>
      </c>
      <c r="L148" s="4">
        <v>21.1</v>
      </c>
      <c r="M148">
        <v>17</v>
      </c>
      <c r="N148" t="s">
        <v>29</v>
      </c>
      <c r="O148">
        <v>4</v>
      </c>
      <c r="P148" s="4">
        <v>1933</v>
      </c>
      <c r="Q148" t="s">
        <v>42</v>
      </c>
      <c r="R148">
        <v>1</v>
      </c>
      <c r="S148" t="s">
        <v>44</v>
      </c>
      <c r="T148">
        <v>0</v>
      </c>
      <c r="U148">
        <v>0</v>
      </c>
      <c r="V148" t="s">
        <v>32</v>
      </c>
      <c r="W148" t="s">
        <v>43</v>
      </c>
      <c r="X148" s="4">
        <v>8.8000000000000007</v>
      </c>
      <c r="Y148">
        <v>7</v>
      </c>
      <c r="Z148" s="5">
        <v>214.8</v>
      </c>
    </row>
    <row r="149" spans="1:26">
      <c r="A149">
        <v>148</v>
      </c>
      <c r="B149">
        <v>49</v>
      </c>
      <c r="C149" s="2">
        <v>46057</v>
      </c>
      <c r="D149" t="s">
        <v>52</v>
      </c>
      <c r="E149">
        <v>2</v>
      </c>
      <c r="F149" s="3">
        <v>11.59</v>
      </c>
      <c r="G149" t="s">
        <v>36</v>
      </c>
      <c r="H149">
        <v>70</v>
      </c>
      <c r="I149" t="s">
        <v>34</v>
      </c>
      <c r="J149" s="4">
        <v>59</v>
      </c>
      <c r="K149" s="4">
        <v>110.8</v>
      </c>
      <c r="L149" s="4">
        <v>22.3</v>
      </c>
      <c r="M149">
        <v>16</v>
      </c>
      <c r="N149" t="s">
        <v>29</v>
      </c>
      <c r="O149">
        <v>4</v>
      </c>
      <c r="P149" s="4">
        <v>1933</v>
      </c>
      <c r="Q149" t="s">
        <v>42</v>
      </c>
      <c r="R149">
        <v>1</v>
      </c>
      <c r="S149" t="s">
        <v>44</v>
      </c>
      <c r="T149">
        <v>0</v>
      </c>
      <c r="U149">
        <v>0</v>
      </c>
      <c r="V149" t="s">
        <v>32</v>
      </c>
      <c r="W149" t="s">
        <v>43</v>
      </c>
      <c r="X149" s="4">
        <v>11.3</v>
      </c>
      <c r="Y149">
        <v>9</v>
      </c>
      <c r="Z149" s="5">
        <v>187.7</v>
      </c>
    </row>
    <row r="150" spans="1:26">
      <c r="A150">
        <v>149</v>
      </c>
      <c r="B150">
        <v>50</v>
      </c>
      <c r="C150" s="2">
        <v>46289</v>
      </c>
      <c r="D150" t="s">
        <v>55</v>
      </c>
      <c r="E150">
        <v>9</v>
      </c>
      <c r="F150" s="3">
        <v>10.56</v>
      </c>
      <c r="G150" t="s">
        <v>27</v>
      </c>
      <c r="H150">
        <v>12</v>
      </c>
      <c r="I150" t="s">
        <v>34</v>
      </c>
      <c r="J150" s="4">
        <v>65.599999999999994</v>
      </c>
      <c r="K150" s="4">
        <v>136</v>
      </c>
      <c r="L150" s="4">
        <v>22.2</v>
      </c>
      <c r="M150">
        <v>13</v>
      </c>
      <c r="N150" t="s">
        <v>61</v>
      </c>
      <c r="O150">
        <v>2</v>
      </c>
      <c r="P150" s="4">
        <v>1643.2</v>
      </c>
      <c r="Q150" t="s">
        <v>30</v>
      </c>
      <c r="R150">
        <v>1</v>
      </c>
      <c r="S150" t="s">
        <v>31</v>
      </c>
      <c r="T150">
        <v>0</v>
      </c>
      <c r="U150">
        <v>0</v>
      </c>
      <c r="V150" t="s">
        <v>32</v>
      </c>
      <c r="W150" t="s">
        <v>49</v>
      </c>
      <c r="X150" s="4">
        <v>9.1999999999999993</v>
      </c>
      <c r="Y150">
        <v>9</v>
      </c>
      <c r="Z150" s="5">
        <v>214.23</v>
      </c>
    </row>
    <row r="151" spans="1:26">
      <c r="A151">
        <v>150</v>
      </c>
      <c r="B151">
        <v>50</v>
      </c>
      <c r="C151" s="2">
        <v>46289</v>
      </c>
      <c r="D151" t="s">
        <v>55</v>
      </c>
      <c r="E151">
        <v>9</v>
      </c>
      <c r="F151" s="3">
        <v>10.65</v>
      </c>
      <c r="G151" t="s">
        <v>27</v>
      </c>
      <c r="H151">
        <v>9</v>
      </c>
      <c r="I151" t="s">
        <v>34</v>
      </c>
      <c r="J151" s="4">
        <v>60.2</v>
      </c>
      <c r="K151" s="4">
        <v>101.2</v>
      </c>
      <c r="L151" s="4">
        <v>19.600000000000001</v>
      </c>
      <c r="M151">
        <v>10</v>
      </c>
      <c r="N151" t="s">
        <v>61</v>
      </c>
      <c r="O151">
        <v>2</v>
      </c>
      <c r="P151" s="4">
        <v>1643.2</v>
      </c>
      <c r="Q151" t="s">
        <v>30</v>
      </c>
      <c r="R151">
        <v>1</v>
      </c>
      <c r="S151" t="s">
        <v>31</v>
      </c>
      <c r="T151">
        <v>0</v>
      </c>
      <c r="U151">
        <v>0</v>
      </c>
      <c r="V151" t="s">
        <v>32</v>
      </c>
      <c r="W151" t="s">
        <v>49</v>
      </c>
      <c r="X151" s="4">
        <v>8.3000000000000007</v>
      </c>
      <c r="Y151">
        <v>9</v>
      </c>
      <c r="Z151" s="5">
        <v>198.48</v>
      </c>
    </row>
    <row r="152" spans="1:26">
      <c r="A152">
        <v>151</v>
      </c>
      <c r="B152">
        <v>51</v>
      </c>
      <c r="C152" s="2">
        <v>46340</v>
      </c>
      <c r="D152" t="s">
        <v>40</v>
      </c>
      <c r="E152">
        <v>11</v>
      </c>
      <c r="F152" s="3">
        <v>10.99</v>
      </c>
      <c r="G152" t="s">
        <v>27</v>
      </c>
      <c r="H152">
        <v>56</v>
      </c>
      <c r="I152" t="s">
        <v>34</v>
      </c>
      <c r="J152" s="4">
        <v>63.7</v>
      </c>
      <c r="K152" s="4">
        <v>127</v>
      </c>
      <c r="L152" s="4">
        <v>22</v>
      </c>
      <c r="M152">
        <v>16</v>
      </c>
      <c r="N152" t="s">
        <v>60</v>
      </c>
      <c r="O152">
        <v>3</v>
      </c>
      <c r="P152" s="4">
        <v>1885.9</v>
      </c>
      <c r="Q152" t="s">
        <v>42</v>
      </c>
      <c r="R152">
        <v>0</v>
      </c>
      <c r="S152" t="s">
        <v>31</v>
      </c>
      <c r="T152">
        <v>0</v>
      </c>
      <c r="U152">
        <v>0</v>
      </c>
      <c r="V152" t="s">
        <v>32</v>
      </c>
      <c r="W152" t="s">
        <v>43</v>
      </c>
      <c r="X152" s="4">
        <v>9.6999999999999993</v>
      </c>
      <c r="Y152">
        <v>5</v>
      </c>
      <c r="Z152" s="5">
        <v>212.57</v>
      </c>
    </row>
    <row r="153" spans="1:26">
      <c r="A153">
        <v>152</v>
      </c>
      <c r="B153">
        <v>51</v>
      </c>
      <c r="C153" s="2">
        <v>46340</v>
      </c>
      <c r="D153" t="s">
        <v>40</v>
      </c>
      <c r="E153">
        <v>11</v>
      </c>
      <c r="F153" s="3">
        <v>11.04</v>
      </c>
      <c r="G153" t="s">
        <v>36</v>
      </c>
      <c r="H153">
        <v>18</v>
      </c>
      <c r="I153" t="s">
        <v>34</v>
      </c>
      <c r="J153" s="4">
        <v>62.8</v>
      </c>
      <c r="K153" s="4">
        <v>135.80000000000001</v>
      </c>
      <c r="L153" s="4">
        <v>24.1</v>
      </c>
      <c r="M153">
        <v>12</v>
      </c>
      <c r="N153" t="s">
        <v>60</v>
      </c>
      <c r="O153">
        <v>3</v>
      </c>
      <c r="P153" s="4">
        <v>1885.9</v>
      </c>
      <c r="Q153" t="s">
        <v>42</v>
      </c>
      <c r="R153">
        <v>0</v>
      </c>
      <c r="S153" t="s">
        <v>31</v>
      </c>
      <c r="T153">
        <v>0</v>
      </c>
      <c r="U153">
        <v>0</v>
      </c>
      <c r="V153" t="s">
        <v>32</v>
      </c>
      <c r="W153" t="s">
        <v>43</v>
      </c>
      <c r="X153" s="4">
        <v>8.1999999999999993</v>
      </c>
      <c r="Y153">
        <v>7</v>
      </c>
      <c r="Z153" s="5">
        <v>189</v>
      </c>
    </row>
    <row r="154" spans="1:26">
      <c r="A154">
        <v>153</v>
      </c>
      <c r="B154">
        <v>51</v>
      </c>
      <c r="C154" s="2">
        <v>46340</v>
      </c>
      <c r="D154" t="s">
        <v>40</v>
      </c>
      <c r="E154">
        <v>11</v>
      </c>
      <c r="F154" s="3">
        <v>10.96</v>
      </c>
      <c r="G154" t="s">
        <v>27</v>
      </c>
      <c r="H154">
        <v>8</v>
      </c>
      <c r="I154" t="s">
        <v>28</v>
      </c>
      <c r="J154" s="4">
        <v>62.9</v>
      </c>
      <c r="K154" s="4">
        <v>118.8</v>
      </c>
      <c r="L154" s="4">
        <v>21.1</v>
      </c>
      <c r="M154">
        <v>14</v>
      </c>
      <c r="N154" t="s">
        <v>60</v>
      </c>
      <c r="O154">
        <v>3</v>
      </c>
      <c r="P154" s="4">
        <v>1885.9</v>
      </c>
      <c r="Q154" t="s">
        <v>42</v>
      </c>
      <c r="R154">
        <v>0</v>
      </c>
      <c r="S154" t="s">
        <v>31</v>
      </c>
      <c r="T154">
        <v>0</v>
      </c>
      <c r="U154">
        <v>0</v>
      </c>
      <c r="V154" t="s">
        <v>32</v>
      </c>
      <c r="W154" t="s">
        <v>43</v>
      </c>
      <c r="X154" s="4">
        <v>6.4</v>
      </c>
      <c r="Y154">
        <v>9</v>
      </c>
      <c r="Z154" s="5">
        <v>307.73</v>
      </c>
    </row>
    <row r="155" spans="1:26">
      <c r="A155">
        <v>154</v>
      </c>
      <c r="B155">
        <v>52</v>
      </c>
      <c r="C155" s="2">
        <v>46205</v>
      </c>
      <c r="D155" t="s">
        <v>55</v>
      </c>
      <c r="E155">
        <v>7</v>
      </c>
      <c r="F155" s="3">
        <v>12.24</v>
      </c>
      <c r="G155" t="s">
        <v>36</v>
      </c>
      <c r="H155">
        <v>31</v>
      </c>
      <c r="I155" t="s">
        <v>28</v>
      </c>
      <c r="J155" s="4">
        <v>70.2</v>
      </c>
      <c r="K155" s="4">
        <v>138.19999999999999</v>
      </c>
      <c r="L155" s="4">
        <v>19.600000000000001</v>
      </c>
      <c r="M155">
        <v>15</v>
      </c>
      <c r="N155" t="s">
        <v>61</v>
      </c>
      <c r="O155">
        <v>1</v>
      </c>
      <c r="P155" s="4">
        <v>1254.4000000000001</v>
      </c>
      <c r="Q155" t="s">
        <v>42</v>
      </c>
      <c r="R155">
        <v>0</v>
      </c>
      <c r="S155" t="s">
        <v>38</v>
      </c>
      <c r="T155">
        <v>0</v>
      </c>
      <c r="U155">
        <v>0</v>
      </c>
      <c r="V155" t="s">
        <v>32</v>
      </c>
      <c r="W155" t="s">
        <v>43</v>
      </c>
      <c r="X155" s="4">
        <v>5.9</v>
      </c>
      <c r="Y155">
        <v>11</v>
      </c>
      <c r="Z155" s="5">
        <v>257.47000000000003</v>
      </c>
    </row>
    <row r="156" spans="1:26">
      <c r="A156">
        <v>155</v>
      </c>
      <c r="B156">
        <v>53</v>
      </c>
      <c r="C156" s="2">
        <v>46354</v>
      </c>
      <c r="D156" t="s">
        <v>40</v>
      </c>
      <c r="E156">
        <v>11</v>
      </c>
      <c r="F156" s="3">
        <v>11.03</v>
      </c>
      <c r="G156" t="s">
        <v>36</v>
      </c>
      <c r="H156">
        <v>42</v>
      </c>
      <c r="I156" t="s">
        <v>34</v>
      </c>
      <c r="J156" s="4">
        <v>65.7</v>
      </c>
      <c r="K156" s="4">
        <v>183.2</v>
      </c>
      <c r="L156" s="4">
        <v>29.8</v>
      </c>
      <c r="M156">
        <v>16</v>
      </c>
      <c r="N156" t="s">
        <v>56</v>
      </c>
      <c r="O156">
        <v>6</v>
      </c>
      <c r="P156" s="4">
        <v>186.7</v>
      </c>
      <c r="Q156" t="s">
        <v>42</v>
      </c>
      <c r="R156">
        <v>0</v>
      </c>
      <c r="S156" t="s">
        <v>44</v>
      </c>
      <c r="T156">
        <v>0</v>
      </c>
      <c r="U156">
        <v>0</v>
      </c>
      <c r="V156" t="s">
        <v>32</v>
      </c>
      <c r="W156" t="s">
        <v>39</v>
      </c>
      <c r="X156" s="4">
        <v>7.5</v>
      </c>
      <c r="Y156">
        <v>6</v>
      </c>
      <c r="Z156" s="5">
        <v>153.43</v>
      </c>
    </row>
    <row r="157" spans="1:26">
      <c r="A157">
        <v>156</v>
      </c>
      <c r="B157">
        <v>53</v>
      </c>
      <c r="C157" s="2">
        <v>46354</v>
      </c>
      <c r="D157" t="s">
        <v>40</v>
      </c>
      <c r="E157">
        <v>11</v>
      </c>
      <c r="F157" s="3">
        <v>10.89</v>
      </c>
      <c r="G157" t="s">
        <v>27</v>
      </c>
      <c r="H157">
        <v>14</v>
      </c>
      <c r="I157" t="s">
        <v>34</v>
      </c>
      <c r="J157" s="4">
        <v>70</v>
      </c>
      <c r="K157" s="4">
        <v>145.6</v>
      </c>
      <c r="L157" s="4">
        <v>20.9</v>
      </c>
      <c r="M157">
        <v>11</v>
      </c>
      <c r="N157" t="s">
        <v>56</v>
      </c>
      <c r="O157">
        <v>6</v>
      </c>
      <c r="P157" s="4">
        <v>186.7</v>
      </c>
      <c r="Q157" t="s">
        <v>42</v>
      </c>
      <c r="R157">
        <v>0</v>
      </c>
      <c r="S157" t="s">
        <v>44</v>
      </c>
      <c r="T157">
        <v>0</v>
      </c>
      <c r="U157">
        <v>0</v>
      </c>
      <c r="V157" t="s">
        <v>32</v>
      </c>
      <c r="W157" t="s">
        <v>39</v>
      </c>
      <c r="X157" s="4">
        <v>8.8000000000000007</v>
      </c>
      <c r="Y157">
        <v>3</v>
      </c>
      <c r="Z157" s="5">
        <v>206.81</v>
      </c>
    </row>
    <row r="158" spans="1:26">
      <c r="A158">
        <v>157</v>
      </c>
      <c r="B158">
        <v>53</v>
      </c>
      <c r="C158" s="2">
        <v>46354</v>
      </c>
      <c r="D158" t="s">
        <v>40</v>
      </c>
      <c r="E158">
        <v>11</v>
      </c>
      <c r="F158" s="3">
        <v>11.07</v>
      </c>
      <c r="G158" t="s">
        <v>36</v>
      </c>
      <c r="H158">
        <v>63</v>
      </c>
      <c r="I158" t="s">
        <v>34</v>
      </c>
      <c r="J158" s="4">
        <v>64.7</v>
      </c>
      <c r="K158" s="4">
        <v>175.3</v>
      </c>
      <c r="L158" s="4">
        <v>29.6</v>
      </c>
      <c r="M158">
        <v>15</v>
      </c>
      <c r="N158" t="s">
        <v>56</v>
      </c>
      <c r="O158">
        <v>6</v>
      </c>
      <c r="P158" s="4">
        <v>186.7</v>
      </c>
      <c r="Q158" t="s">
        <v>42</v>
      </c>
      <c r="R158">
        <v>0</v>
      </c>
      <c r="S158" t="s">
        <v>44</v>
      </c>
      <c r="T158">
        <v>0</v>
      </c>
      <c r="U158">
        <v>0</v>
      </c>
      <c r="V158" t="s">
        <v>32</v>
      </c>
      <c r="W158" t="s">
        <v>39</v>
      </c>
      <c r="X158" s="4">
        <v>7.2</v>
      </c>
      <c r="Y158">
        <v>5</v>
      </c>
      <c r="Z158" s="5">
        <v>115.97</v>
      </c>
    </row>
    <row r="159" spans="1:26">
      <c r="A159">
        <v>158</v>
      </c>
      <c r="B159">
        <v>53</v>
      </c>
      <c r="C159" s="2">
        <v>46354</v>
      </c>
      <c r="D159" t="s">
        <v>40</v>
      </c>
      <c r="E159">
        <v>11</v>
      </c>
      <c r="F159" s="3">
        <v>11.44</v>
      </c>
      <c r="G159" t="s">
        <v>36</v>
      </c>
      <c r="H159">
        <v>70</v>
      </c>
      <c r="I159" t="s">
        <v>28</v>
      </c>
      <c r="J159" s="4">
        <v>70.8</v>
      </c>
      <c r="K159" s="4">
        <v>184.8</v>
      </c>
      <c r="L159" s="4">
        <v>25.9</v>
      </c>
      <c r="M159">
        <v>17</v>
      </c>
      <c r="N159" t="s">
        <v>56</v>
      </c>
      <c r="O159">
        <v>6</v>
      </c>
      <c r="P159" s="4">
        <v>186.7</v>
      </c>
      <c r="Q159" t="s">
        <v>42</v>
      </c>
      <c r="R159">
        <v>0</v>
      </c>
      <c r="S159" t="s">
        <v>44</v>
      </c>
      <c r="T159">
        <v>0</v>
      </c>
      <c r="U159">
        <v>0</v>
      </c>
      <c r="V159" t="s">
        <v>32</v>
      </c>
      <c r="W159" t="s">
        <v>39</v>
      </c>
      <c r="X159" s="4">
        <v>8.1</v>
      </c>
      <c r="Y159">
        <v>0</v>
      </c>
      <c r="Z159" s="5">
        <v>138.44</v>
      </c>
    </row>
    <row r="160" spans="1:26">
      <c r="A160">
        <v>159</v>
      </c>
      <c r="B160">
        <v>53</v>
      </c>
      <c r="C160" s="2">
        <v>46354</v>
      </c>
      <c r="D160" t="s">
        <v>40</v>
      </c>
      <c r="E160">
        <v>11</v>
      </c>
      <c r="F160" s="3">
        <v>11</v>
      </c>
      <c r="G160" t="s">
        <v>27</v>
      </c>
      <c r="H160">
        <v>54</v>
      </c>
      <c r="I160" t="s">
        <v>34</v>
      </c>
      <c r="J160" s="4">
        <v>67.7</v>
      </c>
      <c r="K160" s="4">
        <v>192.3</v>
      </c>
      <c r="L160" s="4">
        <v>29.3</v>
      </c>
      <c r="M160">
        <v>15</v>
      </c>
      <c r="N160" t="s">
        <v>56</v>
      </c>
      <c r="O160">
        <v>6</v>
      </c>
      <c r="P160" s="4">
        <v>186.7</v>
      </c>
      <c r="Q160" t="s">
        <v>42</v>
      </c>
      <c r="R160">
        <v>0</v>
      </c>
      <c r="S160" t="s">
        <v>44</v>
      </c>
      <c r="T160">
        <v>0</v>
      </c>
      <c r="U160">
        <v>0</v>
      </c>
      <c r="V160" t="s">
        <v>32</v>
      </c>
      <c r="W160" t="s">
        <v>39</v>
      </c>
      <c r="X160" s="4">
        <v>7.1</v>
      </c>
      <c r="Y160">
        <v>3</v>
      </c>
      <c r="Z160" s="5">
        <v>141.78</v>
      </c>
    </row>
    <row r="161" spans="1:26">
      <c r="A161">
        <v>160</v>
      </c>
      <c r="B161">
        <v>53</v>
      </c>
      <c r="C161" s="2">
        <v>46354</v>
      </c>
      <c r="D161" t="s">
        <v>40</v>
      </c>
      <c r="E161">
        <v>11</v>
      </c>
      <c r="F161" s="3">
        <v>11.03</v>
      </c>
      <c r="G161" t="s">
        <v>36</v>
      </c>
      <c r="H161">
        <v>52</v>
      </c>
      <c r="I161" t="s">
        <v>28</v>
      </c>
      <c r="J161" s="4">
        <v>64.900000000000006</v>
      </c>
      <c r="K161" s="4">
        <v>173.6</v>
      </c>
      <c r="L161" s="4">
        <v>28.9</v>
      </c>
      <c r="M161">
        <v>16</v>
      </c>
      <c r="N161" t="s">
        <v>56</v>
      </c>
      <c r="O161">
        <v>6</v>
      </c>
      <c r="P161" s="4">
        <v>186.7</v>
      </c>
      <c r="Q161" t="s">
        <v>42</v>
      </c>
      <c r="R161">
        <v>0</v>
      </c>
      <c r="S161" t="s">
        <v>44</v>
      </c>
      <c r="T161">
        <v>0</v>
      </c>
      <c r="U161">
        <v>0</v>
      </c>
      <c r="V161" t="s">
        <v>32</v>
      </c>
      <c r="W161" t="s">
        <v>39</v>
      </c>
      <c r="X161" s="4">
        <v>7.6</v>
      </c>
      <c r="Y161">
        <v>9</v>
      </c>
      <c r="Z161" s="5">
        <v>188.85</v>
      </c>
    </row>
    <row r="162" spans="1:26">
      <c r="A162">
        <v>161</v>
      </c>
      <c r="B162">
        <v>54</v>
      </c>
      <c r="C162" s="2">
        <v>46162</v>
      </c>
      <c r="D162" t="s">
        <v>52</v>
      </c>
      <c r="E162">
        <v>5</v>
      </c>
      <c r="F162" s="3">
        <v>9.59</v>
      </c>
      <c r="G162" t="s">
        <v>27</v>
      </c>
      <c r="H162">
        <v>70</v>
      </c>
      <c r="I162" t="s">
        <v>34</v>
      </c>
      <c r="J162" s="4">
        <v>64.900000000000006</v>
      </c>
      <c r="K162" s="4">
        <v>194.7</v>
      </c>
      <c r="L162" s="4">
        <v>32.5</v>
      </c>
      <c r="M162">
        <v>18</v>
      </c>
      <c r="N162" t="s">
        <v>41</v>
      </c>
      <c r="O162">
        <v>5</v>
      </c>
      <c r="P162" s="4">
        <v>1861.7</v>
      </c>
      <c r="Q162" t="s">
        <v>42</v>
      </c>
      <c r="R162">
        <v>1</v>
      </c>
      <c r="S162" t="s">
        <v>44</v>
      </c>
      <c r="T162">
        <v>0</v>
      </c>
      <c r="U162">
        <v>0</v>
      </c>
      <c r="V162" t="s">
        <v>32</v>
      </c>
      <c r="W162" t="s">
        <v>39</v>
      </c>
      <c r="X162" s="4">
        <v>8.3000000000000007</v>
      </c>
      <c r="Y162">
        <v>8</v>
      </c>
      <c r="Z162" s="5">
        <v>125.36</v>
      </c>
    </row>
    <row r="163" spans="1:26">
      <c r="A163">
        <v>162</v>
      </c>
      <c r="B163">
        <v>54</v>
      </c>
      <c r="C163" s="2">
        <v>46162</v>
      </c>
      <c r="D163" t="s">
        <v>52</v>
      </c>
      <c r="E163">
        <v>5</v>
      </c>
      <c r="F163" s="3">
        <v>9.26</v>
      </c>
      <c r="G163" t="s">
        <v>27</v>
      </c>
      <c r="H163">
        <v>67</v>
      </c>
      <c r="I163" t="s">
        <v>28</v>
      </c>
      <c r="J163" s="4">
        <v>69.3</v>
      </c>
      <c r="K163" s="4">
        <v>138.5</v>
      </c>
      <c r="L163" s="4">
        <v>20.3</v>
      </c>
      <c r="M163">
        <v>13</v>
      </c>
      <c r="N163" t="s">
        <v>41</v>
      </c>
      <c r="O163">
        <v>5</v>
      </c>
      <c r="P163" s="4">
        <v>1861.7</v>
      </c>
      <c r="Q163" t="s">
        <v>42</v>
      </c>
      <c r="R163">
        <v>1</v>
      </c>
      <c r="S163" t="s">
        <v>44</v>
      </c>
      <c r="T163">
        <v>0</v>
      </c>
      <c r="U163">
        <v>0</v>
      </c>
      <c r="V163" t="s">
        <v>32</v>
      </c>
      <c r="W163" t="s">
        <v>39</v>
      </c>
      <c r="X163" s="4">
        <v>8.3000000000000007</v>
      </c>
      <c r="Y163">
        <v>12</v>
      </c>
      <c r="Z163" s="5">
        <v>347.6</v>
      </c>
    </row>
    <row r="164" spans="1:26">
      <c r="A164">
        <v>163</v>
      </c>
      <c r="B164">
        <v>54</v>
      </c>
      <c r="C164" s="2">
        <v>46162</v>
      </c>
      <c r="D164" t="s">
        <v>52</v>
      </c>
      <c r="E164">
        <v>5</v>
      </c>
      <c r="F164" s="3">
        <v>9.6300000000000008</v>
      </c>
      <c r="G164" t="s">
        <v>27</v>
      </c>
      <c r="H164">
        <v>7</v>
      </c>
      <c r="I164" t="s">
        <v>28</v>
      </c>
      <c r="J164" s="4">
        <v>58.5</v>
      </c>
      <c r="K164" s="4">
        <v>67</v>
      </c>
      <c r="L164" s="4">
        <v>14</v>
      </c>
      <c r="M164">
        <v>15</v>
      </c>
      <c r="N164" t="s">
        <v>41</v>
      </c>
      <c r="O164">
        <v>5</v>
      </c>
      <c r="P164" s="4">
        <v>1861.7</v>
      </c>
      <c r="Q164" t="s">
        <v>42</v>
      </c>
      <c r="R164">
        <v>1</v>
      </c>
      <c r="S164" t="s">
        <v>44</v>
      </c>
      <c r="T164">
        <v>0</v>
      </c>
      <c r="U164">
        <v>0</v>
      </c>
      <c r="V164" t="s">
        <v>32</v>
      </c>
      <c r="W164" t="s">
        <v>39</v>
      </c>
      <c r="X164" s="4">
        <v>10.7</v>
      </c>
      <c r="Y164">
        <v>12</v>
      </c>
      <c r="Z164" s="5">
        <v>228.78</v>
      </c>
    </row>
    <row r="165" spans="1:26">
      <c r="A165">
        <v>164</v>
      </c>
      <c r="B165">
        <v>54</v>
      </c>
      <c r="C165" s="2">
        <v>46162</v>
      </c>
      <c r="D165" t="s">
        <v>52</v>
      </c>
      <c r="E165">
        <v>5</v>
      </c>
      <c r="F165" s="3">
        <v>9.44</v>
      </c>
      <c r="G165" t="s">
        <v>27</v>
      </c>
      <c r="H165">
        <v>46</v>
      </c>
      <c r="I165" t="s">
        <v>34</v>
      </c>
      <c r="J165" s="4">
        <v>60.9</v>
      </c>
      <c r="K165" s="4">
        <v>151.4</v>
      </c>
      <c r="L165" s="4">
        <v>28.7</v>
      </c>
      <c r="M165">
        <v>11</v>
      </c>
      <c r="N165" t="s">
        <v>41</v>
      </c>
      <c r="O165">
        <v>5</v>
      </c>
      <c r="P165" s="4">
        <v>1861.7</v>
      </c>
      <c r="Q165" t="s">
        <v>42</v>
      </c>
      <c r="R165">
        <v>1</v>
      </c>
      <c r="S165" t="s">
        <v>44</v>
      </c>
      <c r="T165">
        <v>0</v>
      </c>
      <c r="U165">
        <v>0</v>
      </c>
      <c r="V165" t="s">
        <v>32</v>
      </c>
      <c r="W165" t="s">
        <v>39</v>
      </c>
      <c r="X165" s="4">
        <v>11.2</v>
      </c>
      <c r="Y165">
        <v>11</v>
      </c>
      <c r="Z165" s="5">
        <v>253.9</v>
      </c>
    </row>
    <row r="166" spans="1:26">
      <c r="A166">
        <v>165</v>
      </c>
      <c r="B166">
        <v>54</v>
      </c>
      <c r="C166" s="2">
        <v>46162</v>
      </c>
      <c r="D166" t="s">
        <v>52</v>
      </c>
      <c r="E166">
        <v>5</v>
      </c>
      <c r="F166" s="3">
        <v>9.39</v>
      </c>
      <c r="G166" t="s">
        <v>27</v>
      </c>
      <c r="H166">
        <v>64</v>
      </c>
      <c r="I166" t="s">
        <v>34</v>
      </c>
      <c r="J166" s="4">
        <v>60.2</v>
      </c>
      <c r="K166" s="4">
        <v>142.4</v>
      </c>
      <c r="L166" s="4">
        <v>27.5</v>
      </c>
      <c r="M166">
        <v>17</v>
      </c>
      <c r="N166" t="s">
        <v>41</v>
      </c>
      <c r="O166">
        <v>5</v>
      </c>
      <c r="P166" s="4">
        <v>1861.7</v>
      </c>
      <c r="Q166" t="s">
        <v>42</v>
      </c>
      <c r="R166">
        <v>1</v>
      </c>
      <c r="S166" t="s">
        <v>44</v>
      </c>
      <c r="T166">
        <v>0</v>
      </c>
      <c r="U166">
        <v>0</v>
      </c>
      <c r="V166" t="s">
        <v>32</v>
      </c>
      <c r="W166" t="s">
        <v>39</v>
      </c>
      <c r="X166" s="4">
        <v>10.8</v>
      </c>
      <c r="Y166">
        <v>8</v>
      </c>
      <c r="Z166" s="5">
        <v>337.57</v>
      </c>
    </row>
    <row r="167" spans="1:26">
      <c r="A167">
        <v>166</v>
      </c>
      <c r="B167">
        <v>55</v>
      </c>
      <c r="C167" s="2">
        <v>46100</v>
      </c>
      <c r="D167" t="s">
        <v>55</v>
      </c>
      <c r="E167">
        <v>3</v>
      </c>
      <c r="F167" s="3">
        <v>7</v>
      </c>
      <c r="G167" t="s">
        <v>27</v>
      </c>
      <c r="H167">
        <v>33</v>
      </c>
      <c r="I167" t="s">
        <v>34</v>
      </c>
      <c r="J167" s="4">
        <v>65.5</v>
      </c>
      <c r="K167" s="4">
        <v>224.6</v>
      </c>
      <c r="L167" s="4">
        <v>36.700000000000003</v>
      </c>
      <c r="M167">
        <v>15</v>
      </c>
      <c r="N167" t="s">
        <v>47</v>
      </c>
      <c r="O167">
        <v>2</v>
      </c>
      <c r="P167" s="4">
        <v>69.2</v>
      </c>
      <c r="Q167" t="s">
        <v>42</v>
      </c>
      <c r="R167">
        <v>0</v>
      </c>
      <c r="S167" t="s">
        <v>38</v>
      </c>
      <c r="T167">
        <v>0</v>
      </c>
      <c r="U167">
        <v>0</v>
      </c>
      <c r="V167" t="s">
        <v>32</v>
      </c>
      <c r="W167" t="s">
        <v>57</v>
      </c>
      <c r="X167" s="4">
        <v>10.9</v>
      </c>
      <c r="Y167">
        <v>11</v>
      </c>
      <c r="Z167" s="5">
        <v>252.88</v>
      </c>
    </row>
    <row r="168" spans="1:26">
      <c r="A168">
        <v>167</v>
      </c>
      <c r="B168">
        <v>55</v>
      </c>
      <c r="C168" s="2">
        <v>46100</v>
      </c>
      <c r="D168" t="s">
        <v>55</v>
      </c>
      <c r="E168">
        <v>3</v>
      </c>
      <c r="F168" s="3">
        <v>7.05</v>
      </c>
      <c r="G168" t="s">
        <v>27</v>
      </c>
      <c r="H168">
        <v>32</v>
      </c>
      <c r="I168" t="s">
        <v>28</v>
      </c>
      <c r="J168" s="4">
        <v>66.8</v>
      </c>
      <c r="K168" s="4">
        <v>163</v>
      </c>
      <c r="L168" s="4">
        <v>25.7</v>
      </c>
      <c r="M168">
        <v>15</v>
      </c>
      <c r="N168" t="s">
        <v>47</v>
      </c>
      <c r="O168">
        <v>2</v>
      </c>
      <c r="P168" s="4">
        <v>69.2</v>
      </c>
      <c r="Q168" t="s">
        <v>42</v>
      </c>
      <c r="R168">
        <v>0</v>
      </c>
      <c r="S168" t="s">
        <v>38</v>
      </c>
      <c r="T168">
        <v>0</v>
      </c>
      <c r="U168">
        <v>0</v>
      </c>
      <c r="V168" t="s">
        <v>32</v>
      </c>
      <c r="W168" t="s">
        <v>57</v>
      </c>
      <c r="X168" s="4">
        <v>9.6999999999999993</v>
      </c>
      <c r="Y168">
        <v>7</v>
      </c>
      <c r="Z168" s="5">
        <v>235.34</v>
      </c>
    </row>
    <row r="169" spans="1:26">
      <c r="A169">
        <v>168</v>
      </c>
      <c r="B169">
        <v>56</v>
      </c>
      <c r="C169" s="2">
        <v>46146</v>
      </c>
      <c r="D169" t="s">
        <v>46</v>
      </c>
      <c r="E169">
        <v>5</v>
      </c>
      <c r="F169" s="3">
        <v>15.68</v>
      </c>
      <c r="G169" t="s">
        <v>68</v>
      </c>
      <c r="H169">
        <v>61</v>
      </c>
      <c r="I169" t="s">
        <v>28</v>
      </c>
      <c r="J169" s="4">
        <v>72.7</v>
      </c>
      <c r="K169" s="4">
        <v>236.1</v>
      </c>
      <c r="L169" s="4">
        <v>31.5</v>
      </c>
      <c r="M169">
        <v>11</v>
      </c>
      <c r="N169" t="s">
        <v>47</v>
      </c>
      <c r="O169">
        <v>3</v>
      </c>
      <c r="P169" s="4">
        <v>64.900000000000006</v>
      </c>
      <c r="Q169" t="s">
        <v>30</v>
      </c>
      <c r="R169">
        <v>0</v>
      </c>
      <c r="S169" t="s">
        <v>44</v>
      </c>
      <c r="T169">
        <v>0</v>
      </c>
      <c r="U169">
        <v>0</v>
      </c>
      <c r="V169" t="s">
        <v>45</v>
      </c>
      <c r="W169" t="s">
        <v>39</v>
      </c>
      <c r="X169" s="4">
        <v>7</v>
      </c>
      <c r="Y169">
        <v>4</v>
      </c>
      <c r="Z169" s="5">
        <v>96.37</v>
      </c>
    </row>
    <row r="170" spans="1:26">
      <c r="A170">
        <v>169</v>
      </c>
      <c r="B170">
        <v>56</v>
      </c>
      <c r="C170" s="2">
        <v>46146</v>
      </c>
      <c r="D170" t="s">
        <v>46</v>
      </c>
      <c r="E170">
        <v>5</v>
      </c>
      <c r="F170" s="3">
        <v>15.74</v>
      </c>
      <c r="G170" t="s">
        <v>68</v>
      </c>
      <c r="H170">
        <v>59</v>
      </c>
      <c r="I170" t="s">
        <v>28</v>
      </c>
      <c r="J170" s="4">
        <v>70.599999999999994</v>
      </c>
      <c r="K170" s="4">
        <v>143.1</v>
      </c>
      <c r="L170" s="4">
        <v>20</v>
      </c>
      <c r="M170">
        <v>13</v>
      </c>
      <c r="N170" t="s">
        <v>47</v>
      </c>
      <c r="O170">
        <v>3</v>
      </c>
      <c r="P170" s="4">
        <v>64.900000000000006</v>
      </c>
      <c r="Q170" t="s">
        <v>30</v>
      </c>
      <c r="R170">
        <v>0</v>
      </c>
      <c r="S170" t="s">
        <v>44</v>
      </c>
      <c r="T170">
        <v>0</v>
      </c>
      <c r="U170">
        <v>0</v>
      </c>
      <c r="V170" t="s">
        <v>45</v>
      </c>
      <c r="W170" t="s">
        <v>39</v>
      </c>
      <c r="X170" s="4">
        <v>7.7</v>
      </c>
      <c r="Y170">
        <v>9</v>
      </c>
      <c r="Z170" s="5">
        <v>184.53</v>
      </c>
    </row>
    <row r="171" spans="1:26">
      <c r="A171">
        <v>170</v>
      </c>
      <c r="B171">
        <v>56</v>
      </c>
      <c r="C171" s="2">
        <v>46146</v>
      </c>
      <c r="D171" t="s">
        <v>46</v>
      </c>
      <c r="E171">
        <v>5</v>
      </c>
      <c r="F171" s="3">
        <v>15.91</v>
      </c>
      <c r="G171" t="s">
        <v>68</v>
      </c>
      <c r="H171">
        <v>7</v>
      </c>
      <c r="I171" t="s">
        <v>34</v>
      </c>
      <c r="J171" s="4">
        <v>56.5</v>
      </c>
      <c r="K171" s="4">
        <v>80.3</v>
      </c>
      <c r="L171" s="4">
        <v>17.7</v>
      </c>
      <c r="M171">
        <v>10</v>
      </c>
      <c r="N171" t="s">
        <v>47</v>
      </c>
      <c r="O171">
        <v>3</v>
      </c>
      <c r="P171" s="4">
        <v>64.900000000000006</v>
      </c>
      <c r="Q171" t="s">
        <v>30</v>
      </c>
      <c r="R171">
        <v>0</v>
      </c>
      <c r="S171" t="s">
        <v>44</v>
      </c>
      <c r="T171">
        <v>0</v>
      </c>
      <c r="U171">
        <v>0</v>
      </c>
      <c r="V171" t="s">
        <v>45</v>
      </c>
      <c r="W171" t="s">
        <v>39</v>
      </c>
      <c r="X171" s="4">
        <v>7.3</v>
      </c>
      <c r="Y171">
        <v>8</v>
      </c>
      <c r="Z171" s="5">
        <v>104.13</v>
      </c>
    </row>
    <row r="172" spans="1:26">
      <c r="A172">
        <v>171</v>
      </c>
      <c r="B172">
        <v>57</v>
      </c>
      <c r="C172" s="2">
        <v>46072</v>
      </c>
      <c r="D172" t="s">
        <v>55</v>
      </c>
      <c r="E172">
        <v>2</v>
      </c>
      <c r="F172" s="3">
        <v>11.36</v>
      </c>
      <c r="G172" t="s">
        <v>36</v>
      </c>
      <c r="H172">
        <v>56</v>
      </c>
      <c r="I172" t="s">
        <v>34</v>
      </c>
      <c r="J172" s="4">
        <v>66.3</v>
      </c>
      <c r="K172" s="4">
        <v>128</v>
      </c>
      <c r="L172" s="4">
        <v>20.399999999999999</v>
      </c>
      <c r="M172">
        <v>14</v>
      </c>
      <c r="N172" t="s">
        <v>47</v>
      </c>
      <c r="O172">
        <v>4</v>
      </c>
      <c r="P172" s="4">
        <v>17.100000000000001</v>
      </c>
      <c r="Q172" t="s">
        <v>48</v>
      </c>
      <c r="R172">
        <v>0</v>
      </c>
      <c r="S172" t="s">
        <v>44</v>
      </c>
      <c r="T172">
        <v>0</v>
      </c>
      <c r="U172">
        <v>1</v>
      </c>
      <c r="V172" t="s">
        <v>32</v>
      </c>
      <c r="W172" t="s">
        <v>43</v>
      </c>
      <c r="X172" s="4">
        <v>8.9</v>
      </c>
      <c r="Y172">
        <v>6</v>
      </c>
      <c r="Z172" s="5">
        <v>184.86</v>
      </c>
    </row>
    <row r="173" spans="1:26">
      <c r="A173">
        <v>172</v>
      </c>
      <c r="B173">
        <v>57</v>
      </c>
      <c r="C173" s="2">
        <v>46072</v>
      </c>
      <c r="D173" t="s">
        <v>55</v>
      </c>
      <c r="E173">
        <v>2</v>
      </c>
      <c r="F173" s="3">
        <v>11.54</v>
      </c>
      <c r="G173" t="s">
        <v>36</v>
      </c>
      <c r="H173">
        <v>58</v>
      </c>
      <c r="I173" t="s">
        <v>28</v>
      </c>
      <c r="J173" s="4">
        <v>65.7</v>
      </c>
      <c r="K173" s="4">
        <v>172.3</v>
      </c>
      <c r="L173" s="4">
        <v>28.1</v>
      </c>
      <c r="M173">
        <v>19</v>
      </c>
      <c r="N173" t="s">
        <v>47</v>
      </c>
      <c r="O173">
        <v>4</v>
      </c>
      <c r="P173" s="4">
        <v>17.100000000000001</v>
      </c>
      <c r="Q173" t="s">
        <v>48</v>
      </c>
      <c r="R173">
        <v>0</v>
      </c>
      <c r="S173" t="s">
        <v>44</v>
      </c>
      <c r="T173">
        <v>0</v>
      </c>
      <c r="U173">
        <v>1</v>
      </c>
      <c r="V173" t="s">
        <v>32</v>
      </c>
      <c r="W173" t="s">
        <v>43</v>
      </c>
      <c r="X173" s="4">
        <v>9.3000000000000007</v>
      </c>
      <c r="Y173">
        <v>7</v>
      </c>
      <c r="Z173" s="5">
        <v>278.58</v>
      </c>
    </row>
    <row r="174" spans="1:26">
      <c r="A174">
        <v>173</v>
      </c>
      <c r="B174">
        <v>57</v>
      </c>
      <c r="C174" s="2">
        <v>46072</v>
      </c>
      <c r="D174" t="s">
        <v>55</v>
      </c>
      <c r="E174">
        <v>2</v>
      </c>
      <c r="F174" s="3">
        <v>11.62</v>
      </c>
      <c r="G174" t="s">
        <v>36</v>
      </c>
      <c r="H174">
        <v>11</v>
      </c>
      <c r="I174" t="s">
        <v>28</v>
      </c>
      <c r="J174" s="4">
        <v>70</v>
      </c>
      <c r="K174" s="4">
        <v>126</v>
      </c>
      <c r="L174" s="4">
        <v>18.2</v>
      </c>
      <c r="M174">
        <v>15</v>
      </c>
      <c r="N174" t="s">
        <v>47</v>
      </c>
      <c r="O174">
        <v>4</v>
      </c>
      <c r="P174" s="4">
        <v>17.100000000000001</v>
      </c>
      <c r="Q174" t="s">
        <v>48</v>
      </c>
      <c r="R174">
        <v>0</v>
      </c>
      <c r="S174" t="s">
        <v>44</v>
      </c>
      <c r="T174">
        <v>0</v>
      </c>
      <c r="U174">
        <v>1</v>
      </c>
      <c r="V174" t="s">
        <v>32</v>
      </c>
      <c r="W174" t="s">
        <v>43</v>
      </c>
      <c r="X174" s="4">
        <v>8.8000000000000007</v>
      </c>
      <c r="Y174">
        <v>9</v>
      </c>
      <c r="Z174" s="5">
        <v>204.13</v>
      </c>
    </row>
    <row r="175" spans="1:26">
      <c r="A175">
        <v>174</v>
      </c>
      <c r="B175">
        <v>57</v>
      </c>
      <c r="C175" s="2">
        <v>46072</v>
      </c>
      <c r="D175" t="s">
        <v>55</v>
      </c>
      <c r="E175">
        <v>2</v>
      </c>
      <c r="F175" s="3">
        <v>11.7</v>
      </c>
      <c r="G175" t="s">
        <v>36</v>
      </c>
      <c r="H175">
        <v>26</v>
      </c>
      <c r="I175" t="s">
        <v>28</v>
      </c>
      <c r="J175" s="4">
        <v>69</v>
      </c>
      <c r="K175" s="4">
        <v>155.6</v>
      </c>
      <c r="L175" s="4">
        <v>22.8</v>
      </c>
      <c r="M175">
        <v>19</v>
      </c>
      <c r="N175" t="s">
        <v>47</v>
      </c>
      <c r="O175">
        <v>4</v>
      </c>
      <c r="P175" s="4">
        <v>17.100000000000001</v>
      </c>
      <c r="Q175" t="s">
        <v>48</v>
      </c>
      <c r="R175">
        <v>0</v>
      </c>
      <c r="S175" t="s">
        <v>44</v>
      </c>
      <c r="T175">
        <v>0</v>
      </c>
      <c r="U175">
        <v>1</v>
      </c>
      <c r="V175" t="s">
        <v>32</v>
      </c>
      <c r="W175" t="s">
        <v>43</v>
      </c>
      <c r="X175" s="4">
        <v>7.9</v>
      </c>
      <c r="Y175">
        <v>7</v>
      </c>
      <c r="Z175" s="5">
        <v>231.33</v>
      </c>
    </row>
    <row r="176" spans="1:26">
      <c r="A176">
        <v>175</v>
      </c>
      <c r="B176">
        <v>58</v>
      </c>
      <c r="C176" s="2">
        <v>46368</v>
      </c>
      <c r="D176" t="s">
        <v>40</v>
      </c>
      <c r="E176">
        <v>12</v>
      </c>
      <c r="F176" s="3">
        <v>12.45</v>
      </c>
      <c r="G176" t="s">
        <v>36</v>
      </c>
      <c r="H176">
        <v>24</v>
      </c>
      <c r="I176" t="s">
        <v>34</v>
      </c>
      <c r="J176" s="4">
        <v>64.8</v>
      </c>
      <c r="K176" s="4">
        <v>142.6</v>
      </c>
      <c r="L176" s="4">
        <v>24.1</v>
      </c>
      <c r="M176">
        <v>19</v>
      </c>
      <c r="N176" t="s">
        <v>60</v>
      </c>
      <c r="O176">
        <v>3</v>
      </c>
      <c r="P176" s="4">
        <v>1327.4</v>
      </c>
      <c r="Q176" t="s">
        <v>48</v>
      </c>
      <c r="R176">
        <v>1</v>
      </c>
      <c r="S176" t="s">
        <v>38</v>
      </c>
      <c r="T176">
        <v>1</v>
      </c>
      <c r="U176">
        <v>0</v>
      </c>
      <c r="V176" t="s">
        <v>32</v>
      </c>
      <c r="W176" t="s">
        <v>43</v>
      </c>
      <c r="X176" s="4">
        <v>8.6</v>
      </c>
      <c r="Y176">
        <v>13</v>
      </c>
      <c r="Z176" s="5">
        <v>401.87</v>
      </c>
    </row>
    <row r="177" spans="1:26">
      <c r="A177">
        <v>176</v>
      </c>
      <c r="B177">
        <v>58</v>
      </c>
      <c r="C177" s="2">
        <v>46368</v>
      </c>
      <c r="D177" t="s">
        <v>40</v>
      </c>
      <c r="E177">
        <v>12</v>
      </c>
      <c r="F177" s="3">
        <v>12.32</v>
      </c>
      <c r="G177" t="s">
        <v>36</v>
      </c>
      <c r="H177">
        <v>48</v>
      </c>
      <c r="I177" t="s">
        <v>28</v>
      </c>
      <c r="J177" s="4">
        <v>67.5</v>
      </c>
      <c r="K177" s="4">
        <v>193</v>
      </c>
      <c r="L177" s="4">
        <v>29.8</v>
      </c>
      <c r="M177">
        <v>16</v>
      </c>
      <c r="N177" t="s">
        <v>60</v>
      </c>
      <c r="O177">
        <v>3</v>
      </c>
      <c r="P177" s="4">
        <v>1327.4</v>
      </c>
      <c r="Q177" t="s">
        <v>48</v>
      </c>
      <c r="R177">
        <v>1</v>
      </c>
      <c r="S177" t="s">
        <v>38</v>
      </c>
      <c r="T177">
        <v>1</v>
      </c>
      <c r="U177">
        <v>0</v>
      </c>
      <c r="V177" t="s">
        <v>32</v>
      </c>
      <c r="W177" t="s">
        <v>43</v>
      </c>
      <c r="X177" s="4">
        <v>7.4</v>
      </c>
      <c r="Y177">
        <v>4</v>
      </c>
      <c r="Z177" s="5">
        <v>255.54</v>
      </c>
    </row>
    <row r="178" spans="1:26">
      <c r="A178">
        <v>177</v>
      </c>
      <c r="B178">
        <v>58</v>
      </c>
      <c r="C178" s="2">
        <v>46368</v>
      </c>
      <c r="D178" t="s">
        <v>40</v>
      </c>
      <c r="E178">
        <v>12</v>
      </c>
      <c r="F178" s="3">
        <v>12.56</v>
      </c>
      <c r="G178" t="s">
        <v>36</v>
      </c>
      <c r="H178">
        <v>36</v>
      </c>
      <c r="I178" t="s">
        <v>34</v>
      </c>
      <c r="J178" s="4">
        <v>67.7</v>
      </c>
      <c r="K178" s="4">
        <v>163.9</v>
      </c>
      <c r="L178" s="4">
        <v>25</v>
      </c>
      <c r="M178">
        <v>16</v>
      </c>
      <c r="N178" t="s">
        <v>60</v>
      </c>
      <c r="O178">
        <v>3</v>
      </c>
      <c r="P178" s="4">
        <v>1327.4</v>
      </c>
      <c r="Q178" t="s">
        <v>48</v>
      </c>
      <c r="R178">
        <v>1</v>
      </c>
      <c r="S178" t="s">
        <v>38</v>
      </c>
      <c r="T178">
        <v>1</v>
      </c>
      <c r="U178">
        <v>0</v>
      </c>
      <c r="V178" t="s">
        <v>32</v>
      </c>
      <c r="W178" t="s">
        <v>43</v>
      </c>
      <c r="X178" s="4">
        <v>8.6</v>
      </c>
      <c r="Y178">
        <v>3</v>
      </c>
      <c r="Z178" s="5">
        <v>159.08000000000001</v>
      </c>
    </row>
    <row r="179" spans="1:26">
      <c r="A179">
        <v>178</v>
      </c>
      <c r="B179">
        <v>59</v>
      </c>
      <c r="C179" s="2">
        <v>46126</v>
      </c>
      <c r="D179" t="s">
        <v>35</v>
      </c>
      <c r="E179">
        <v>4</v>
      </c>
      <c r="F179" s="3">
        <v>8</v>
      </c>
      <c r="G179" t="s">
        <v>27</v>
      </c>
      <c r="H179">
        <v>31</v>
      </c>
      <c r="I179" t="s">
        <v>34</v>
      </c>
      <c r="J179" s="4">
        <v>65.400000000000006</v>
      </c>
      <c r="K179" s="4">
        <v>147.80000000000001</v>
      </c>
      <c r="L179" s="4">
        <v>24.3</v>
      </c>
      <c r="M179">
        <v>17</v>
      </c>
      <c r="N179" t="s">
        <v>60</v>
      </c>
      <c r="O179">
        <v>3</v>
      </c>
      <c r="P179" s="4">
        <v>1278.4000000000001</v>
      </c>
      <c r="Q179" t="s">
        <v>48</v>
      </c>
      <c r="R179">
        <v>1</v>
      </c>
      <c r="S179" t="s">
        <v>38</v>
      </c>
      <c r="T179">
        <v>0</v>
      </c>
      <c r="U179">
        <v>0</v>
      </c>
      <c r="V179" t="s">
        <v>32</v>
      </c>
      <c r="W179" t="s">
        <v>49</v>
      </c>
      <c r="X179" s="4">
        <v>11</v>
      </c>
      <c r="Y179">
        <v>8</v>
      </c>
      <c r="Z179" s="5">
        <v>252.06</v>
      </c>
    </row>
    <row r="180" spans="1:26">
      <c r="A180">
        <v>179</v>
      </c>
      <c r="B180">
        <v>59</v>
      </c>
      <c r="C180" s="2">
        <v>46126</v>
      </c>
      <c r="D180" t="s">
        <v>35</v>
      </c>
      <c r="E180">
        <v>4</v>
      </c>
      <c r="F180" s="3">
        <v>7.77</v>
      </c>
      <c r="G180" t="s">
        <v>27</v>
      </c>
      <c r="H180">
        <v>47</v>
      </c>
      <c r="I180" t="s">
        <v>34</v>
      </c>
      <c r="J180" s="4">
        <v>64.8</v>
      </c>
      <c r="K180" s="4">
        <v>176.2</v>
      </c>
      <c r="L180" s="4">
        <v>29.8</v>
      </c>
      <c r="M180">
        <v>18</v>
      </c>
      <c r="N180" t="s">
        <v>60</v>
      </c>
      <c r="O180">
        <v>3</v>
      </c>
      <c r="P180" s="4">
        <v>1278.4000000000001</v>
      </c>
      <c r="Q180" t="s">
        <v>48</v>
      </c>
      <c r="R180">
        <v>1</v>
      </c>
      <c r="S180" t="s">
        <v>38</v>
      </c>
      <c r="T180">
        <v>0</v>
      </c>
      <c r="U180">
        <v>0</v>
      </c>
      <c r="V180" t="s">
        <v>32</v>
      </c>
      <c r="W180" t="s">
        <v>49</v>
      </c>
      <c r="X180" s="4">
        <v>8.9</v>
      </c>
      <c r="Y180">
        <v>12</v>
      </c>
      <c r="Z180" s="5">
        <v>252.09</v>
      </c>
    </row>
    <row r="181" spans="1:26">
      <c r="A181">
        <v>180</v>
      </c>
      <c r="B181">
        <v>59</v>
      </c>
      <c r="C181" s="2">
        <v>46126</v>
      </c>
      <c r="D181" t="s">
        <v>35</v>
      </c>
      <c r="E181">
        <v>4</v>
      </c>
      <c r="F181" s="3">
        <v>8.1</v>
      </c>
      <c r="G181" t="s">
        <v>27</v>
      </c>
      <c r="H181">
        <v>58</v>
      </c>
      <c r="I181" t="s">
        <v>34</v>
      </c>
      <c r="J181" s="4">
        <v>65.099999999999994</v>
      </c>
      <c r="K181" s="4">
        <v>152.5</v>
      </c>
      <c r="L181" s="4">
        <v>25.3</v>
      </c>
      <c r="M181">
        <v>17</v>
      </c>
      <c r="N181" t="s">
        <v>60</v>
      </c>
      <c r="O181">
        <v>3</v>
      </c>
      <c r="P181" s="4">
        <v>1278.4000000000001</v>
      </c>
      <c r="Q181" t="s">
        <v>48</v>
      </c>
      <c r="R181">
        <v>1</v>
      </c>
      <c r="S181" t="s">
        <v>38</v>
      </c>
      <c r="T181">
        <v>0</v>
      </c>
      <c r="U181">
        <v>0</v>
      </c>
      <c r="V181" t="s">
        <v>32</v>
      </c>
      <c r="W181" t="s">
        <v>49</v>
      </c>
      <c r="X181" s="4">
        <v>10.6</v>
      </c>
      <c r="Y181">
        <v>8</v>
      </c>
      <c r="Z181" s="5">
        <v>424.82</v>
      </c>
    </row>
    <row r="182" spans="1:26">
      <c r="A182">
        <v>181</v>
      </c>
      <c r="B182">
        <v>60</v>
      </c>
      <c r="C182" s="2">
        <v>46051</v>
      </c>
      <c r="D182" t="s">
        <v>55</v>
      </c>
      <c r="E182">
        <v>1</v>
      </c>
      <c r="F182" s="3">
        <v>12.78</v>
      </c>
      <c r="G182" t="s">
        <v>36</v>
      </c>
      <c r="H182">
        <v>25</v>
      </c>
      <c r="I182" t="s">
        <v>28</v>
      </c>
      <c r="J182" s="4">
        <v>71.5</v>
      </c>
      <c r="K182" s="4">
        <v>199.7</v>
      </c>
      <c r="L182" s="4">
        <v>27.4</v>
      </c>
      <c r="M182">
        <v>16</v>
      </c>
      <c r="N182" t="s">
        <v>54</v>
      </c>
      <c r="O182">
        <v>5</v>
      </c>
      <c r="P182" s="4">
        <v>1983.6</v>
      </c>
      <c r="Q182" t="s">
        <v>42</v>
      </c>
      <c r="R182">
        <v>1</v>
      </c>
      <c r="S182" t="s">
        <v>44</v>
      </c>
      <c r="T182">
        <v>0</v>
      </c>
      <c r="U182">
        <v>0</v>
      </c>
      <c r="V182" t="s">
        <v>32</v>
      </c>
      <c r="W182" t="s">
        <v>49</v>
      </c>
      <c r="X182" s="4">
        <v>8.6</v>
      </c>
      <c r="Y182">
        <v>7</v>
      </c>
      <c r="Z182" s="5">
        <v>187.65</v>
      </c>
    </row>
    <row r="183" spans="1:26">
      <c r="A183">
        <v>182</v>
      </c>
      <c r="B183">
        <v>60</v>
      </c>
      <c r="C183" s="2">
        <v>46051</v>
      </c>
      <c r="D183" t="s">
        <v>55</v>
      </c>
      <c r="E183">
        <v>1</v>
      </c>
      <c r="F183" s="3">
        <v>12.74</v>
      </c>
      <c r="G183" t="s">
        <v>36</v>
      </c>
      <c r="H183">
        <v>5</v>
      </c>
      <c r="I183" t="s">
        <v>34</v>
      </c>
      <c r="J183" s="4">
        <v>58.3</v>
      </c>
      <c r="K183" s="4">
        <v>118.5</v>
      </c>
      <c r="L183" s="4">
        <v>24.5</v>
      </c>
      <c r="M183">
        <v>14</v>
      </c>
      <c r="N183" t="s">
        <v>54</v>
      </c>
      <c r="O183">
        <v>5</v>
      </c>
      <c r="P183" s="4">
        <v>1983.6</v>
      </c>
      <c r="Q183" t="s">
        <v>42</v>
      </c>
      <c r="R183">
        <v>1</v>
      </c>
      <c r="S183" t="s">
        <v>44</v>
      </c>
      <c r="T183">
        <v>0</v>
      </c>
      <c r="U183">
        <v>0</v>
      </c>
      <c r="V183" t="s">
        <v>32</v>
      </c>
      <c r="W183" t="s">
        <v>49</v>
      </c>
      <c r="X183" s="4">
        <v>5.8</v>
      </c>
      <c r="Y183">
        <v>5</v>
      </c>
      <c r="Z183" s="5">
        <v>94.39</v>
      </c>
    </row>
    <row r="184" spans="1:26">
      <c r="A184">
        <v>183</v>
      </c>
      <c r="B184">
        <v>60</v>
      </c>
      <c r="C184" s="2">
        <v>46051</v>
      </c>
      <c r="D184" t="s">
        <v>55</v>
      </c>
      <c r="E184">
        <v>1</v>
      </c>
      <c r="F184" s="3">
        <v>12.84</v>
      </c>
      <c r="G184" t="s">
        <v>36</v>
      </c>
      <c r="H184">
        <v>20</v>
      </c>
      <c r="I184" t="s">
        <v>34</v>
      </c>
      <c r="J184" s="4">
        <v>58.3</v>
      </c>
      <c r="K184" s="4">
        <v>138.5</v>
      </c>
      <c r="L184" s="4">
        <v>28.7</v>
      </c>
      <c r="M184">
        <v>10</v>
      </c>
      <c r="N184" t="s">
        <v>54</v>
      </c>
      <c r="O184">
        <v>5</v>
      </c>
      <c r="P184" s="4">
        <v>1983.6</v>
      </c>
      <c r="Q184" t="s">
        <v>42</v>
      </c>
      <c r="R184">
        <v>1</v>
      </c>
      <c r="S184" t="s">
        <v>44</v>
      </c>
      <c r="T184">
        <v>0</v>
      </c>
      <c r="U184">
        <v>0</v>
      </c>
      <c r="V184" t="s">
        <v>32</v>
      </c>
      <c r="W184" t="s">
        <v>49</v>
      </c>
      <c r="X184" s="4">
        <v>5.0999999999999996</v>
      </c>
      <c r="Y184">
        <v>11</v>
      </c>
      <c r="Z184" s="5">
        <v>212.68</v>
      </c>
    </row>
    <row r="185" spans="1:26">
      <c r="A185">
        <v>184</v>
      </c>
      <c r="B185">
        <v>60</v>
      </c>
      <c r="C185" s="2">
        <v>46051</v>
      </c>
      <c r="D185" t="s">
        <v>55</v>
      </c>
      <c r="E185">
        <v>1</v>
      </c>
      <c r="F185" s="3">
        <v>12.82</v>
      </c>
      <c r="G185" t="s">
        <v>36</v>
      </c>
      <c r="H185">
        <v>48</v>
      </c>
      <c r="I185" t="s">
        <v>28</v>
      </c>
      <c r="J185" s="4">
        <v>67.400000000000006</v>
      </c>
      <c r="K185" s="4">
        <v>183.7</v>
      </c>
      <c r="L185" s="4">
        <v>28.4</v>
      </c>
      <c r="M185">
        <v>16</v>
      </c>
      <c r="N185" t="s">
        <v>54</v>
      </c>
      <c r="O185">
        <v>5</v>
      </c>
      <c r="P185" s="4">
        <v>1983.6</v>
      </c>
      <c r="Q185" t="s">
        <v>42</v>
      </c>
      <c r="R185">
        <v>1</v>
      </c>
      <c r="S185" t="s">
        <v>44</v>
      </c>
      <c r="T185">
        <v>0</v>
      </c>
      <c r="U185">
        <v>0</v>
      </c>
      <c r="V185" t="s">
        <v>32</v>
      </c>
      <c r="W185" t="s">
        <v>49</v>
      </c>
      <c r="X185" s="4">
        <v>9</v>
      </c>
      <c r="Y185">
        <v>12</v>
      </c>
      <c r="Z185" s="5">
        <v>284.51</v>
      </c>
    </row>
    <row r="186" spans="1:26">
      <c r="A186">
        <v>185</v>
      </c>
      <c r="B186">
        <v>60</v>
      </c>
      <c r="C186" s="2">
        <v>46051</v>
      </c>
      <c r="D186" t="s">
        <v>55</v>
      </c>
      <c r="E186">
        <v>1</v>
      </c>
      <c r="F186" s="3">
        <v>12.71</v>
      </c>
      <c r="G186" t="s">
        <v>36</v>
      </c>
      <c r="H186">
        <v>68</v>
      </c>
      <c r="I186" t="s">
        <v>34</v>
      </c>
      <c r="J186" s="4">
        <v>67.599999999999994</v>
      </c>
      <c r="K186" s="4">
        <v>158.30000000000001</v>
      </c>
      <c r="L186" s="4">
        <v>24.3</v>
      </c>
      <c r="M186">
        <v>16</v>
      </c>
      <c r="N186" t="s">
        <v>54</v>
      </c>
      <c r="O186">
        <v>5</v>
      </c>
      <c r="P186" s="4">
        <v>1983.6</v>
      </c>
      <c r="Q186" t="s">
        <v>42</v>
      </c>
      <c r="R186">
        <v>1</v>
      </c>
      <c r="S186" t="s">
        <v>44</v>
      </c>
      <c r="T186">
        <v>0</v>
      </c>
      <c r="U186">
        <v>0</v>
      </c>
      <c r="V186" t="s">
        <v>32</v>
      </c>
      <c r="W186" t="s">
        <v>49</v>
      </c>
      <c r="X186" s="4">
        <v>7.2</v>
      </c>
      <c r="Y186">
        <v>8</v>
      </c>
      <c r="Z186" s="5">
        <v>213.55</v>
      </c>
    </row>
    <row r="187" spans="1:26">
      <c r="A187">
        <v>186</v>
      </c>
      <c r="B187">
        <v>61</v>
      </c>
      <c r="C187" s="2">
        <v>46230</v>
      </c>
      <c r="D187" t="s">
        <v>46</v>
      </c>
      <c r="E187">
        <v>7</v>
      </c>
      <c r="F187" s="3">
        <v>11.33</v>
      </c>
      <c r="G187" t="s">
        <v>36</v>
      </c>
      <c r="H187">
        <v>18</v>
      </c>
      <c r="I187" t="s">
        <v>34</v>
      </c>
      <c r="J187" s="4">
        <v>63.4</v>
      </c>
      <c r="K187" s="4">
        <v>135.19999999999999</v>
      </c>
      <c r="L187" s="4">
        <v>23.6</v>
      </c>
      <c r="M187">
        <v>8</v>
      </c>
      <c r="N187" t="s">
        <v>65</v>
      </c>
      <c r="O187">
        <v>2</v>
      </c>
      <c r="P187" s="4">
        <v>1654.7</v>
      </c>
      <c r="Q187" t="s">
        <v>30</v>
      </c>
      <c r="R187">
        <v>0</v>
      </c>
      <c r="S187" t="s">
        <v>44</v>
      </c>
      <c r="T187">
        <v>0</v>
      </c>
      <c r="U187">
        <v>0</v>
      </c>
      <c r="V187" t="s">
        <v>32</v>
      </c>
      <c r="W187" t="s">
        <v>39</v>
      </c>
      <c r="X187" s="4">
        <v>8.8000000000000007</v>
      </c>
      <c r="Y187">
        <v>13</v>
      </c>
      <c r="Z187" s="5">
        <v>163.71</v>
      </c>
    </row>
    <row r="188" spans="1:26">
      <c r="A188">
        <v>187</v>
      </c>
      <c r="B188">
        <v>61</v>
      </c>
      <c r="C188" s="2">
        <v>46230</v>
      </c>
      <c r="D188" t="s">
        <v>46</v>
      </c>
      <c r="E188">
        <v>7</v>
      </c>
      <c r="F188" s="3">
        <v>11.02</v>
      </c>
      <c r="G188" t="s">
        <v>36</v>
      </c>
      <c r="H188">
        <v>62</v>
      </c>
      <c r="I188" t="s">
        <v>34</v>
      </c>
      <c r="J188" s="4">
        <v>67.7</v>
      </c>
      <c r="K188" s="4">
        <v>196.7</v>
      </c>
      <c r="L188" s="4">
        <v>30</v>
      </c>
      <c r="M188">
        <v>16</v>
      </c>
      <c r="N188" t="s">
        <v>65</v>
      </c>
      <c r="O188">
        <v>2</v>
      </c>
      <c r="P188" s="4">
        <v>1654.7</v>
      </c>
      <c r="Q188" t="s">
        <v>30</v>
      </c>
      <c r="R188">
        <v>0</v>
      </c>
      <c r="S188" t="s">
        <v>44</v>
      </c>
      <c r="T188">
        <v>0</v>
      </c>
      <c r="U188">
        <v>0</v>
      </c>
      <c r="V188" t="s">
        <v>32</v>
      </c>
      <c r="W188" t="s">
        <v>39</v>
      </c>
      <c r="X188" s="4">
        <v>8.5</v>
      </c>
      <c r="Y188">
        <v>6</v>
      </c>
      <c r="Z188" s="5">
        <v>201.9</v>
      </c>
    </row>
    <row r="189" spans="1:26">
      <c r="A189">
        <v>188</v>
      </c>
      <c r="B189">
        <v>62</v>
      </c>
      <c r="C189" s="2">
        <v>46380</v>
      </c>
      <c r="D189" t="s">
        <v>55</v>
      </c>
      <c r="E189">
        <v>12</v>
      </c>
      <c r="F189" s="3">
        <v>10.18</v>
      </c>
      <c r="G189" t="s">
        <v>27</v>
      </c>
      <c r="H189">
        <v>39</v>
      </c>
      <c r="I189" t="s">
        <v>28</v>
      </c>
      <c r="J189" s="4">
        <v>65.7</v>
      </c>
      <c r="K189" s="4">
        <v>118.4</v>
      </c>
      <c r="L189" s="4">
        <v>19.600000000000001</v>
      </c>
      <c r="M189">
        <v>15</v>
      </c>
      <c r="N189" t="s">
        <v>65</v>
      </c>
      <c r="O189">
        <v>2</v>
      </c>
      <c r="P189" s="4">
        <v>1695.2</v>
      </c>
      <c r="Q189" t="s">
        <v>42</v>
      </c>
      <c r="R189">
        <v>1</v>
      </c>
      <c r="S189" t="s">
        <v>38</v>
      </c>
      <c r="T189">
        <v>0</v>
      </c>
      <c r="U189">
        <v>1</v>
      </c>
      <c r="V189" t="s">
        <v>32</v>
      </c>
      <c r="W189" t="s">
        <v>33</v>
      </c>
      <c r="X189" s="4">
        <v>12.8</v>
      </c>
      <c r="Y189">
        <v>10</v>
      </c>
      <c r="Z189" s="5">
        <v>231.4</v>
      </c>
    </row>
    <row r="190" spans="1:26">
      <c r="A190">
        <v>189</v>
      </c>
      <c r="B190">
        <v>62</v>
      </c>
      <c r="C190" s="2">
        <v>46380</v>
      </c>
      <c r="D190" t="s">
        <v>55</v>
      </c>
      <c r="E190">
        <v>12</v>
      </c>
      <c r="F190" s="3">
        <v>10.42</v>
      </c>
      <c r="G190" t="s">
        <v>27</v>
      </c>
      <c r="H190">
        <v>34</v>
      </c>
      <c r="I190" t="s">
        <v>34</v>
      </c>
      <c r="J190" s="4">
        <v>66.8</v>
      </c>
      <c r="K190" s="4">
        <v>225.2</v>
      </c>
      <c r="L190" s="4">
        <v>35.5</v>
      </c>
      <c r="M190">
        <v>15</v>
      </c>
      <c r="N190" t="s">
        <v>65</v>
      </c>
      <c r="O190">
        <v>2</v>
      </c>
      <c r="P190" s="4">
        <v>1695.2</v>
      </c>
      <c r="Q190" t="s">
        <v>42</v>
      </c>
      <c r="R190">
        <v>1</v>
      </c>
      <c r="S190" t="s">
        <v>38</v>
      </c>
      <c r="T190">
        <v>0</v>
      </c>
      <c r="U190">
        <v>1</v>
      </c>
      <c r="V190" t="s">
        <v>32</v>
      </c>
      <c r="W190" t="s">
        <v>33</v>
      </c>
      <c r="X190" s="4">
        <v>9.9</v>
      </c>
      <c r="Y190">
        <v>13</v>
      </c>
      <c r="Z190" s="5">
        <v>266.49</v>
      </c>
    </row>
    <row r="191" spans="1:26">
      <c r="A191">
        <v>190</v>
      </c>
      <c r="B191">
        <v>63</v>
      </c>
      <c r="C191" s="2">
        <v>46253</v>
      </c>
      <c r="D191" t="s">
        <v>52</v>
      </c>
      <c r="E191">
        <v>8</v>
      </c>
      <c r="F191" s="3">
        <v>8.68</v>
      </c>
      <c r="G191" t="s">
        <v>27</v>
      </c>
      <c r="H191">
        <v>60</v>
      </c>
      <c r="I191" t="s">
        <v>28</v>
      </c>
      <c r="J191" s="4">
        <v>72.8</v>
      </c>
      <c r="K191" s="4">
        <v>193</v>
      </c>
      <c r="L191" s="4">
        <v>25.6</v>
      </c>
      <c r="M191">
        <v>16</v>
      </c>
      <c r="N191" t="s">
        <v>47</v>
      </c>
      <c r="O191">
        <v>1</v>
      </c>
      <c r="P191" s="4">
        <v>2</v>
      </c>
      <c r="Q191" t="s">
        <v>48</v>
      </c>
      <c r="R191">
        <v>1</v>
      </c>
      <c r="S191" t="s">
        <v>44</v>
      </c>
      <c r="T191">
        <v>1</v>
      </c>
      <c r="U191">
        <v>1</v>
      </c>
      <c r="V191" t="s">
        <v>32</v>
      </c>
      <c r="W191" t="s">
        <v>49</v>
      </c>
      <c r="X191" s="4">
        <v>10.3</v>
      </c>
      <c r="Y191">
        <v>6</v>
      </c>
      <c r="Z191" s="5">
        <v>297.44</v>
      </c>
    </row>
    <row r="192" spans="1:26">
      <c r="A192">
        <v>191</v>
      </c>
      <c r="B192">
        <v>64</v>
      </c>
      <c r="C192" s="2">
        <v>46350</v>
      </c>
      <c r="D192" t="s">
        <v>35</v>
      </c>
      <c r="E192">
        <v>11</v>
      </c>
      <c r="F192" s="3">
        <v>8.6199999999999992</v>
      </c>
      <c r="G192" t="s">
        <v>27</v>
      </c>
      <c r="H192">
        <v>47</v>
      </c>
      <c r="I192" t="s">
        <v>34</v>
      </c>
      <c r="J192" s="4">
        <v>68.7</v>
      </c>
      <c r="K192" s="4">
        <v>162.69999999999999</v>
      </c>
      <c r="L192" s="4">
        <v>24.4</v>
      </c>
      <c r="M192">
        <v>14</v>
      </c>
      <c r="N192" t="s">
        <v>50</v>
      </c>
      <c r="O192">
        <v>3</v>
      </c>
      <c r="P192" s="4">
        <v>383.9</v>
      </c>
      <c r="Q192" t="s">
        <v>42</v>
      </c>
      <c r="R192">
        <v>1</v>
      </c>
      <c r="S192" t="s">
        <v>31</v>
      </c>
      <c r="T192">
        <v>1</v>
      </c>
      <c r="U192">
        <v>0</v>
      </c>
      <c r="V192" t="s">
        <v>32</v>
      </c>
      <c r="W192" t="s">
        <v>57</v>
      </c>
      <c r="X192" s="4">
        <v>10.1</v>
      </c>
      <c r="Y192">
        <v>10</v>
      </c>
      <c r="Z192" s="5">
        <v>253.82</v>
      </c>
    </row>
    <row r="193" spans="1:26">
      <c r="A193">
        <v>192</v>
      </c>
      <c r="B193">
        <v>64</v>
      </c>
      <c r="C193" s="2">
        <v>46350</v>
      </c>
      <c r="D193" t="s">
        <v>35</v>
      </c>
      <c r="E193">
        <v>11</v>
      </c>
      <c r="F193" s="3">
        <v>8.57</v>
      </c>
      <c r="G193" t="s">
        <v>27</v>
      </c>
      <c r="H193">
        <v>37</v>
      </c>
      <c r="I193" t="s">
        <v>28</v>
      </c>
      <c r="J193" s="4">
        <v>71.400000000000006</v>
      </c>
      <c r="K193" s="4">
        <v>216.7</v>
      </c>
      <c r="L193" s="4">
        <v>29.9</v>
      </c>
      <c r="M193">
        <v>13</v>
      </c>
      <c r="N193" t="s">
        <v>50</v>
      </c>
      <c r="O193">
        <v>3</v>
      </c>
      <c r="P193" s="4">
        <v>383.9</v>
      </c>
      <c r="Q193" t="s">
        <v>42</v>
      </c>
      <c r="R193">
        <v>1</v>
      </c>
      <c r="S193" t="s">
        <v>31</v>
      </c>
      <c r="T193">
        <v>1</v>
      </c>
      <c r="U193">
        <v>0</v>
      </c>
      <c r="V193" t="s">
        <v>32</v>
      </c>
      <c r="W193" t="s">
        <v>57</v>
      </c>
      <c r="X193" s="4">
        <v>9.4</v>
      </c>
      <c r="Y193">
        <v>11</v>
      </c>
      <c r="Z193" s="5">
        <v>236.87</v>
      </c>
    </row>
    <row r="194" spans="1:26">
      <c r="A194">
        <v>193</v>
      </c>
      <c r="B194">
        <v>64</v>
      </c>
      <c r="C194" s="2">
        <v>46350</v>
      </c>
      <c r="D194" t="s">
        <v>35</v>
      </c>
      <c r="E194">
        <v>11</v>
      </c>
      <c r="F194" s="3">
        <v>8.5500000000000007</v>
      </c>
      <c r="G194" t="s">
        <v>27</v>
      </c>
      <c r="H194">
        <v>80</v>
      </c>
      <c r="I194" t="s">
        <v>28</v>
      </c>
      <c r="J194" s="4">
        <v>67.3</v>
      </c>
      <c r="K194" s="4">
        <v>127.8</v>
      </c>
      <c r="L194" s="4">
        <v>19.8</v>
      </c>
      <c r="M194">
        <v>17</v>
      </c>
      <c r="N194" t="s">
        <v>50</v>
      </c>
      <c r="O194">
        <v>3</v>
      </c>
      <c r="P194" s="4">
        <v>383.9</v>
      </c>
      <c r="Q194" t="s">
        <v>42</v>
      </c>
      <c r="R194">
        <v>1</v>
      </c>
      <c r="S194" t="s">
        <v>31</v>
      </c>
      <c r="T194">
        <v>1</v>
      </c>
      <c r="U194">
        <v>0</v>
      </c>
      <c r="V194" t="s">
        <v>32</v>
      </c>
      <c r="W194" t="s">
        <v>57</v>
      </c>
      <c r="X194" s="4">
        <v>7.9</v>
      </c>
      <c r="Y194">
        <v>10</v>
      </c>
      <c r="Z194" s="5">
        <v>227.1</v>
      </c>
    </row>
    <row r="195" spans="1:26">
      <c r="A195">
        <v>194</v>
      </c>
      <c r="B195">
        <v>65</v>
      </c>
      <c r="C195" s="2">
        <v>46142</v>
      </c>
      <c r="D195" t="s">
        <v>55</v>
      </c>
      <c r="E195">
        <v>4</v>
      </c>
      <c r="F195" s="3">
        <v>9.5500000000000007</v>
      </c>
      <c r="G195" t="s">
        <v>27</v>
      </c>
      <c r="H195">
        <v>3</v>
      </c>
      <c r="I195" t="s">
        <v>28</v>
      </c>
      <c r="J195" s="4">
        <v>59.3</v>
      </c>
      <c r="K195" s="4">
        <v>127.8</v>
      </c>
      <c r="L195" s="4">
        <v>25.5</v>
      </c>
      <c r="M195">
        <v>13</v>
      </c>
      <c r="N195" t="s">
        <v>60</v>
      </c>
      <c r="O195">
        <v>4</v>
      </c>
      <c r="P195" s="4">
        <v>2255.1</v>
      </c>
      <c r="Q195" t="s">
        <v>42</v>
      </c>
      <c r="R195">
        <v>0</v>
      </c>
      <c r="S195" t="s">
        <v>31</v>
      </c>
      <c r="T195">
        <v>1</v>
      </c>
      <c r="U195">
        <v>0</v>
      </c>
      <c r="V195" t="s">
        <v>32</v>
      </c>
      <c r="W195" t="s">
        <v>49</v>
      </c>
      <c r="X195" s="4">
        <v>10.1</v>
      </c>
      <c r="Y195">
        <v>12</v>
      </c>
      <c r="Z195" s="5">
        <v>153.75</v>
      </c>
    </row>
    <row r="196" spans="1:26">
      <c r="A196">
        <v>195</v>
      </c>
      <c r="B196">
        <v>65</v>
      </c>
      <c r="C196" s="2">
        <v>46142</v>
      </c>
      <c r="D196" t="s">
        <v>55</v>
      </c>
      <c r="E196">
        <v>4</v>
      </c>
      <c r="F196" s="3">
        <v>9.6300000000000008</v>
      </c>
      <c r="G196" t="s">
        <v>27</v>
      </c>
      <c r="H196">
        <v>67</v>
      </c>
      <c r="I196" t="s">
        <v>28</v>
      </c>
      <c r="J196" s="4">
        <v>65.7</v>
      </c>
      <c r="K196" s="4">
        <v>157</v>
      </c>
      <c r="L196" s="4">
        <v>25.8</v>
      </c>
      <c r="M196">
        <v>16</v>
      </c>
      <c r="N196" t="s">
        <v>60</v>
      </c>
      <c r="O196">
        <v>4</v>
      </c>
      <c r="P196" s="4">
        <v>2255.1</v>
      </c>
      <c r="Q196" t="s">
        <v>42</v>
      </c>
      <c r="R196">
        <v>0</v>
      </c>
      <c r="S196" t="s">
        <v>31</v>
      </c>
      <c r="T196">
        <v>1</v>
      </c>
      <c r="U196">
        <v>0</v>
      </c>
      <c r="V196" t="s">
        <v>32</v>
      </c>
      <c r="W196" t="s">
        <v>49</v>
      </c>
      <c r="X196" s="4">
        <v>7</v>
      </c>
      <c r="Y196">
        <v>6</v>
      </c>
      <c r="Z196" s="5">
        <v>188.71</v>
      </c>
    </row>
    <row r="197" spans="1:26">
      <c r="A197">
        <v>196</v>
      </c>
      <c r="B197">
        <v>65</v>
      </c>
      <c r="C197" s="2">
        <v>46142</v>
      </c>
      <c r="D197" t="s">
        <v>55</v>
      </c>
      <c r="E197">
        <v>4</v>
      </c>
      <c r="F197" s="3">
        <v>9.5500000000000007</v>
      </c>
      <c r="G197" t="s">
        <v>27</v>
      </c>
      <c r="H197">
        <v>31</v>
      </c>
      <c r="I197" t="s">
        <v>34</v>
      </c>
      <c r="J197" s="4">
        <v>61.8</v>
      </c>
      <c r="K197" s="4">
        <v>168.1</v>
      </c>
      <c r="L197" s="4">
        <v>31</v>
      </c>
      <c r="M197">
        <v>14</v>
      </c>
      <c r="N197" t="s">
        <v>60</v>
      </c>
      <c r="O197">
        <v>4</v>
      </c>
      <c r="P197" s="4">
        <v>2255.1</v>
      </c>
      <c r="Q197" t="s">
        <v>42</v>
      </c>
      <c r="R197">
        <v>0</v>
      </c>
      <c r="S197" t="s">
        <v>31</v>
      </c>
      <c r="T197">
        <v>1</v>
      </c>
      <c r="U197">
        <v>0</v>
      </c>
      <c r="V197" t="s">
        <v>32</v>
      </c>
      <c r="W197" t="s">
        <v>49</v>
      </c>
      <c r="X197" s="4">
        <v>10.5</v>
      </c>
      <c r="Y197">
        <v>17</v>
      </c>
      <c r="Z197" s="5">
        <v>212.59</v>
      </c>
    </row>
    <row r="198" spans="1:26">
      <c r="A198">
        <v>197</v>
      </c>
      <c r="B198">
        <v>65</v>
      </c>
      <c r="C198" s="2">
        <v>46142</v>
      </c>
      <c r="D198" t="s">
        <v>55</v>
      </c>
      <c r="E198">
        <v>4</v>
      </c>
      <c r="F198" s="3">
        <v>9.58</v>
      </c>
      <c r="G198" t="s">
        <v>27</v>
      </c>
      <c r="H198">
        <v>64</v>
      </c>
      <c r="I198" t="s">
        <v>28</v>
      </c>
      <c r="J198" s="4">
        <v>69.900000000000006</v>
      </c>
      <c r="K198" s="4">
        <v>265.60000000000002</v>
      </c>
      <c r="L198" s="4">
        <v>38.299999999999997</v>
      </c>
      <c r="M198">
        <v>14</v>
      </c>
      <c r="N198" t="s">
        <v>60</v>
      </c>
      <c r="O198">
        <v>4</v>
      </c>
      <c r="P198" s="4">
        <v>2255.1</v>
      </c>
      <c r="Q198" t="s">
        <v>42</v>
      </c>
      <c r="R198">
        <v>0</v>
      </c>
      <c r="S198" t="s">
        <v>31</v>
      </c>
      <c r="T198">
        <v>1</v>
      </c>
      <c r="U198">
        <v>0</v>
      </c>
      <c r="V198" t="s">
        <v>32</v>
      </c>
      <c r="W198" t="s">
        <v>49</v>
      </c>
      <c r="X198" s="4">
        <v>7.1</v>
      </c>
      <c r="Y198">
        <v>9</v>
      </c>
      <c r="Z198" s="5">
        <v>266.27</v>
      </c>
    </row>
    <row r="199" spans="1:26">
      <c r="A199">
        <v>198</v>
      </c>
      <c r="B199">
        <v>66</v>
      </c>
      <c r="C199" s="2">
        <v>46348</v>
      </c>
      <c r="D199" t="s">
        <v>58</v>
      </c>
      <c r="E199">
        <v>11</v>
      </c>
      <c r="F199" s="3">
        <v>8.36</v>
      </c>
      <c r="G199" t="s">
        <v>27</v>
      </c>
      <c r="H199">
        <v>12</v>
      </c>
      <c r="I199" t="s">
        <v>28</v>
      </c>
      <c r="J199" s="4">
        <v>67.099999999999994</v>
      </c>
      <c r="K199" s="4">
        <v>163.6</v>
      </c>
      <c r="L199" s="4">
        <v>25.8</v>
      </c>
      <c r="M199">
        <v>12</v>
      </c>
      <c r="N199" t="s">
        <v>61</v>
      </c>
      <c r="O199">
        <v>5</v>
      </c>
      <c r="P199" s="4">
        <v>1206.5</v>
      </c>
      <c r="Q199" t="s">
        <v>42</v>
      </c>
      <c r="R199">
        <v>1</v>
      </c>
      <c r="S199" t="s">
        <v>44</v>
      </c>
      <c r="T199">
        <v>0</v>
      </c>
      <c r="U199">
        <v>1</v>
      </c>
      <c r="V199" t="s">
        <v>32</v>
      </c>
      <c r="W199" t="s">
        <v>49</v>
      </c>
      <c r="X199" s="4">
        <v>10.6</v>
      </c>
      <c r="Y199">
        <v>15</v>
      </c>
      <c r="Z199" s="5">
        <v>389</v>
      </c>
    </row>
    <row r="200" spans="1:26">
      <c r="A200">
        <v>199</v>
      </c>
      <c r="B200">
        <v>66</v>
      </c>
      <c r="C200" s="2">
        <v>46348</v>
      </c>
      <c r="D200" t="s">
        <v>58</v>
      </c>
      <c r="E200">
        <v>11</v>
      </c>
      <c r="F200" s="3">
        <v>8.36</v>
      </c>
      <c r="G200" t="s">
        <v>27</v>
      </c>
      <c r="H200">
        <v>56</v>
      </c>
      <c r="I200" t="s">
        <v>28</v>
      </c>
      <c r="J200" s="4">
        <v>67.2</v>
      </c>
      <c r="K200" s="4">
        <v>105.1</v>
      </c>
      <c r="L200" s="4">
        <v>16.5</v>
      </c>
      <c r="M200">
        <v>13</v>
      </c>
      <c r="N200" t="s">
        <v>61</v>
      </c>
      <c r="O200">
        <v>5</v>
      </c>
      <c r="P200" s="4">
        <v>1206.5</v>
      </c>
      <c r="Q200" t="s">
        <v>42</v>
      </c>
      <c r="R200">
        <v>1</v>
      </c>
      <c r="S200" t="s">
        <v>44</v>
      </c>
      <c r="T200">
        <v>0</v>
      </c>
      <c r="U200">
        <v>1</v>
      </c>
      <c r="V200" t="s">
        <v>32</v>
      </c>
      <c r="W200" t="s">
        <v>49</v>
      </c>
      <c r="X200" s="4">
        <v>10.3</v>
      </c>
      <c r="Y200">
        <v>8</v>
      </c>
      <c r="Z200" s="5">
        <v>224.51</v>
      </c>
    </row>
    <row r="201" spans="1:26">
      <c r="A201">
        <v>200</v>
      </c>
      <c r="B201">
        <v>66</v>
      </c>
      <c r="C201" s="2">
        <v>46348</v>
      </c>
      <c r="D201" t="s">
        <v>58</v>
      </c>
      <c r="E201">
        <v>11</v>
      </c>
      <c r="F201" s="3">
        <v>8.5500000000000007</v>
      </c>
      <c r="G201" t="s">
        <v>27</v>
      </c>
      <c r="H201">
        <v>73</v>
      </c>
      <c r="I201" t="s">
        <v>34</v>
      </c>
      <c r="J201" s="4">
        <v>65.5</v>
      </c>
      <c r="K201" s="4">
        <v>213.2</v>
      </c>
      <c r="L201" s="4">
        <v>34.799999999999997</v>
      </c>
      <c r="M201">
        <v>19</v>
      </c>
      <c r="N201" t="s">
        <v>61</v>
      </c>
      <c r="O201">
        <v>5</v>
      </c>
      <c r="P201" s="4">
        <v>1206.5</v>
      </c>
      <c r="Q201" t="s">
        <v>42</v>
      </c>
      <c r="R201">
        <v>1</v>
      </c>
      <c r="S201" t="s">
        <v>44</v>
      </c>
      <c r="T201">
        <v>0</v>
      </c>
      <c r="U201">
        <v>1</v>
      </c>
      <c r="V201" t="s">
        <v>32</v>
      </c>
      <c r="W201" t="s">
        <v>49</v>
      </c>
      <c r="X201" s="4">
        <v>8.6999999999999993</v>
      </c>
      <c r="Y201">
        <v>6</v>
      </c>
      <c r="Z201" s="5">
        <v>320.68</v>
      </c>
    </row>
    <row r="202" spans="1:26">
      <c r="A202">
        <v>201</v>
      </c>
      <c r="B202">
        <v>66</v>
      </c>
      <c r="C202" s="2">
        <v>46348</v>
      </c>
      <c r="D202" t="s">
        <v>58</v>
      </c>
      <c r="E202">
        <v>11</v>
      </c>
      <c r="F202" s="3">
        <v>8.42</v>
      </c>
      <c r="G202" t="s">
        <v>27</v>
      </c>
      <c r="H202">
        <v>59</v>
      </c>
      <c r="I202" t="s">
        <v>28</v>
      </c>
      <c r="J202" s="4">
        <v>66.599999999999994</v>
      </c>
      <c r="K202" s="4">
        <v>137</v>
      </c>
      <c r="L202" s="4">
        <v>21.8</v>
      </c>
      <c r="M202">
        <v>15</v>
      </c>
      <c r="N202" t="s">
        <v>61</v>
      </c>
      <c r="O202">
        <v>5</v>
      </c>
      <c r="P202" s="4">
        <v>1206.5</v>
      </c>
      <c r="Q202" t="s">
        <v>42</v>
      </c>
      <c r="R202">
        <v>1</v>
      </c>
      <c r="S202" t="s">
        <v>44</v>
      </c>
      <c r="T202">
        <v>0</v>
      </c>
      <c r="U202">
        <v>1</v>
      </c>
      <c r="V202" t="s">
        <v>32</v>
      </c>
      <c r="W202" t="s">
        <v>49</v>
      </c>
      <c r="X202" s="4">
        <v>11.4</v>
      </c>
      <c r="Y202">
        <v>6</v>
      </c>
      <c r="Z202" s="5">
        <v>222.88</v>
      </c>
    </row>
    <row r="203" spans="1:26">
      <c r="A203">
        <v>202</v>
      </c>
      <c r="B203">
        <v>66</v>
      </c>
      <c r="C203" s="2">
        <v>46348</v>
      </c>
      <c r="D203" t="s">
        <v>58</v>
      </c>
      <c r="E203">
        <v>11</v>
      </c>
      <c r="F203" s="3">
        <v>8.48</v>
      </c>
      <c r="G203" t="s">
        <v>27</v>
      </c>
      <c r="H203">
        <v>61</v>
      </c>
      <c r="I203" t="s">
        <v>28</v>
      </c>
      <c r="J203" s="4">
        <v>69.2</v>
      </c>
      <c r="K203" s="4">
        <v>195.9</v>
      </c>
      <c r="L203" s="4">
        <v>28.8</v>
      </c>
      <c r="M203">
        <v>14</v>
      </c>
      <c r="N203" t="s">
        <v>61</v>
      </c>
      <c r="O203">
        <v>5</v>
      </c>
      <c r="P203" s="4">
        <v>1206.5</v>
      </c>
      <c r="Q203" t="s">
        <v>42</v>
      </c>
      <c r="R203">
        <v>1</v>
      </c>
      <c r="S203" t="s">
        <v>44</v>
      </c>
      <c r="T203">
        <v>0</v>
      </c>
      <c r="U203">
        <v>1</v>
      </c>
      <c r="V203" t="s">
        <v>32</v>
      </c>
      <c r="W203" t="s">
        <v>49</v>
      </c>
      <c r="X203" s="4">
        <v>7.7</v>
      </c>
      <c r="Y203">
        <v>1</v>
      </c>
      <c r="Z203" s="5">
        <v>305.17</v>
      </c>
    </row>
    <row r="204" spans="1:26">
      <c r="A204">
        <v>203</v>
      </c>
      <c r="B204">
        <v>67</v>
      </c>
      <c r="C204" s="2">
        <v>46197</v>
      </c>
      <c r="D204" t="s">
        <v>52</v>
      </c>
      <c r="E204">
        <v>6</v>
      </c>
      <c r="F204" s="3">
        <v>9.2899999999999991</v>
      </c>
      <c r="G204" t="s">
        <v>27</v>
      </c>
      <c r="H204">
        <v>39</v>
      </c>
      <c r="I204" t="s">
        <v>34</v>
      </c>
      <c r="J204" s="4">
        <v>64.2</v>
      </c>
      <c r="K204" s="4">
        <v>165.5</v>
      </c>
      <c r="L204" s="4">
        <v>28.2</v>
      </c>
      <c r="M204">
        <v>14</v>
      </c>
      <c r="N204" t="s">
        <v>41</v>
      </c>
      <c r="O204">
        <v>4</v>
      </c>
      <c r="P204" s="4">
        <v>2613.1</v>
      </c>
      <c r="Q204" t="s">
        <v>48</v>
      </c>
      <c r="R204">
        <v>0</v>
      </c>
      <c r="S204" t="s">
        <v>44</v>
      </c>
      <c r="T204">
        <v>1</v>
      </c>
      <c r="U204">
        <v>1</v>
      </c>
      <c r="V204" t="s">
        <v>45</v>
      </c>
      <c r="W204" t="s">
        <v>49</v>
      </c>
      <c r="X204" s="4">
        <v>11.9</v>
      </c>
      <c r="Y204">
        <v>13</v>
      </c>
      <c r="Z204" s="5">
        <v>426.27</v>
      </c>
    </row>
    <row r="205" spans="1:26">
      <c r="A205">
        <v>204</v>
      </c>
      <c r="B205">
        <v>67</v>
      </c>
      <c r="C205" s="2">
        <v>46197</v>
      </c>
      <c r="D205" t="s">
        <v>52</v>
      </c>
      <c r="E205">
        <v>6</v>
      </c>
      <c r="F205" s="3">
        <v>9.1</v>
      </c>
      <c r="G205" t="s">
        <v>27</v>
      </c>
      <c r="H205">
        <v>65</v>
      </c>
      <c r="I205" t="s">
        <v>28</v>
      </c>
      <c r="J205" s="4">
        <v>70.900000000000006</v>
      </c>
      <c r="K205" s="4">
        <v>190.4</v>
      </c>
      <c r="L205" s="4">
        <v>26.7</v>
      </c>
      <c r="M205">
        <v>18</v>
      </c>
      <c r="N205" t="s">
        <v>41</v>
      </c>
      <c r="O205">
        <v>4</v>
      </c>
      <c r="P205" s="4">
        <v>2613.1</v>
      </c>
      <c r="Q205" t="s">
        <v>48</v>
      </c>
      <c r="R205">
        <v>0</v>
      </c>
      <c r="S205" t="s">
        <v>44</v>
      </c>
      <c r="T205">
        <v>1</v>
      </c>
      <c r="U205">
        <v>1</v>
      </c>
      <c r="V205" t="s">
        <v>45</v>
      </c>
      <c r="W205" t="s">
        <v>49</v>
      </c>
      <c r="X205" s="4">
        <v>7.6</v>
      </c>
      <c r="Y205">
        <v>11</v>
      </c>
      <c r="Z205" s="5">
        <v>209.38</v>
      </c>
    </row>
    <row r="206" spans="1:26">
      <c r="A206">
        <v>205</v>
      </c>
      <c r="B206">
        <v>67</v>
      </c>
      <c r="C206" s="2">
        <v>46197</v>
      </c>
      <c r="D206" t="s">
        <v>52</v>
      </c>
      <c r="E206">
        <v>6</v>
      </c>
      <c r="F206" s="3">
        <v>9.1</v>
      </c>
      <c r="G206" t="s">
        <v>27</v>
      </c>
      <c r="H206">
        <v>72</v>
      </c>
      <c r="I206" t="s">
        <v>34</v>
      </c>
      <c r="J206" s="4">
        <v>62.4</v>
      </c>
      <c r="K206" s="4">
        <v>154</v>
      </c>
      <c r="L206" s="4">
        <v>27.7</v>
      </c>
      <c r="M206">
        <v>19</v>
      </c>
      <c r="N206" t="s">
        <v>41</v>
      </c>
      <c r="O206">
        <v>4</v>
      </c>
      <c r="P206" s="4">
        <v>2613.1</v>
      </c>
      <c r="Q206" t="s">
        <v>48</v>
      </c>
      <c r="R206">
        <v>0</v>
      </c>
      <c r="S206" t="s">
        <v>44</v>
      </c>
      <c r="T206">
        <v>1</v>
      </c>
      <c r="U206">
        <v>1</v>
      </c>
      <c r="V206" t="s">
        <v>45</v>
      </c>
      <c r="W206" t="s">
        <v>49</v>
      </c>
      <c r="X206" s="4">
        <v>10</v>
      </c>
      <c r="Y206">
        <v>7</v>
      </c>
      <c r="Z206" s="5">
        <v>379.32</v>
      </c>
    </row>
    <row r="207" spans="1:26">
      <c r="A207">
        <v>206</v>
      </c>
      <c r="B207">
        <v>67</v>
      </c>
      <c r="C207" s="2">
        <v>46197</v>
      </c>
      <c r="D207" t="s">
        <v>52</v>
      </c>
      <c r="E207">
        <v>6</v>
      </c>
      <c r="F207" s="3">
        <v>9.09</v>
      </c>
      <c r="G207" t="s">
        <v>27</v>
      </c>
      <c r="H207">
        <v>49</v>
      </c>
      <c r="I207" t="s">
        <v>28</v>
      </c>
      <c r="J207" s="4">
        <v>68</v>
      </c>
      <c r="K207" s="4">
        <v>139.69999999999999</v>
      </c>
      <c r="L207" s="4">
        <v>21.2</v>
      </c>
      <c r="M207">
        <v>16</v>
      </c>
      <c r="N207" t="s">
        <v>41</v>
      </c>
      <c r="O207">
        <v>4</v>
      </c>
      <c r="P207" s="4">
        <v>2613.1</v>
      </c>
      <c r="Q207" t="s">
        <v>48</v>
      </c>
      <c r="R207">
        <v>0</v>
      </c>
      <c r="S207" t="s">
        <v>44</v>
      </c>
      <c r="T207">
        <v>1</v>
      </c>
      <c r="U207">
        <v>1</v>
      </c>
      <c r="V207" t="s">
        <v>45</v>
      </c>
      <c r="W207" t="s">
        <v>49</v>
      </c>
      <c r="X207" s="4">
        <v>10.3</v>
      </c>
      <c r="Y207">
        <v>12</v>
      </c>
      <c r="Z207" s="5">
        <v>575.14</v>
      </c>
    </row>
    <row r="208" spans="1:26">
      <c r="A208">
        <v>207</v>
      </c>
      <c r="B208">
        <v>68</v>
      </c>
      <c r="C208" s="2">
        <v>46031</v>
      </c>
      <c r="D208" t="s">
        <v>26</v>
      </c>
      <c r="E208">
        <v>1</v>
      </c>
      <c r="F208" s="3">
        <v>7.68</v>
      </c>
      <c r="G208" t="s">
        <v>27</v>
      </c>
      <c r="H208">
        <v>10</v>
      </c>
      <c r="I208" t="s">
        <v>34</v>
      </c>
      <c r="J208" s="4">
        <v>58.7</v>
      </c>
      <c r="K208" s="4">
        <v>96.3</v>
      </c>
      <c r="L208" s="4">
        <v>19.5</v>
      </c>
      <c r="M208">
        <v>10</v>
      </c>
      <c r="N208" t="s">
        <v>50</v>
      </c>
      <c r="O208">
        <v>2</v>
      </c>
      <c r="P208" s="4">
        <v>322.10000000000002</v>
      </c>
      <c r="Q208" t="s">
        <v>42</v>
      </c>
      <c r="R208">
        <v>1</v>
      </c>
      <c r="S208" t="s">
        <v>44</v>
      </c>
      <c r="T208">
        <v>1</v>
      </c>
      <c r="U208">
        <v>0</v>
      </c>
      <c r="V208" t="s">
        <v>32</v>
      </c>
      <c r="W208" t="s">
        <v>39</v>
      </c>
      <c r="X208" s="4">
        <v>9.4</v>
      </c>
      <c r="Y208">
        <v>10</v>
      </c>
      <c r="Z208" s="5">
        <v>340.04</v>
      </c>
    </row>
    <row r="209" spans="1:26">
      <c r="A209">
        <v>208</v>
      </c>
      <c r="B209">
        <v>68</v>
      </c>
      <c r="C209" s="2">
        <v>46031</v>
      </c>
      <c r="D209" t="s">
        <v>26</v>
      </c>
      <c r="E209">
        <v>1</v>
      </c>
      <c r="F209" s="3">
        <v>7.89</v>
      </c>
      <c r="G209" t="s">
        <v>27</v>
      </c>
      <c r="H209">
        <v>8</v>
      </c>
      <c r="I209" t="s">
        <v>34</v>
      </c>
      <c r="J209" s="4">
        <v>60.1</v>
      </c>
      <c r="K209" s="4">
        <v>106.4</v>
      </c>
      <c r="L209" s="4">
        <v>20.6</v>
      </c>
      <c r="M209">
        <v>11</v>
      </c>
      <c r="N209" t="s">
        <v>50</v>
      </c>
      <c r="O209">
        <v>2</v>
      </c>
      <c r="P209" s="4">
        <v>322.10000000000002</v>
      </c>
      <c r="Q209" t="s">
        <v>42</v>
      </c>
      <c r="R209">
        <v>1</v>
      </c>
      <c r="S209" t="s">
        <v>44</v>
      </c>
      <c r="T209">
        <v>1</v>
      </c>
      <c r="U209">
        <v>0</v>
      </c>
      <c r="V209" t="s">
        <v>32</v>
      </c>
      <c r="W209" t="s">
        <v>39</v>
      </c>
      <c r="X209" s="4">
        <v>6.5</v>
      </c>
      <c r="Y209">
        <v>7</v>
      </c>
      <c r="Z209" s="5">
        <v>207.8</v>
      </c>
    </row>
    <row r="210" spans="1:26">
      <c r="A210">
        <v>209</v>
      </c>
      <c r="B210">
        <v>69</v>
      </c>
      <c r="C210" s="2">
        <v>46245</v>
      </c>
      <c r="D210" t="s">
        <v>35</v>
      </c>
      <c r="E210">
        <v>8</v>
      </c>
      <c r="F210" s="3">
        <v>7.24</v>
      </c>
      <c r="G210" t="s">
        <v>27</v>
      </c>
      <c r="H210">
        <v>45</v>
      </c>
      <c r="I210" t="s">
        <v>28</v>
      </c>
      <c r="J210" s="4">
        <v>63.5</v>
      </c>
      <c r="K210" s="4">
        <v>173.2</v>
      </c>
      <c r="L210" s="4">
        <v>30.1</v>
      </c>
      <c r="M210">
        <v>14</v>
      </c>
      <c r="N210" t="s">
        <v>47</v>
      </c>
      <c r="O210">
        <v>4</v>
      </c>
      <c r="P210" s="4">
        <v>160</v>
      </c>
      <c r="Q210" t="s">
        <v>48</v>
      </c>
      <c r="R210">
        <v>0</v>
      </c>
      <c r="S210" t="s">
        <v>44</v>
      </c>
      <c r="T210">
        <v>0</v>
      </c>
      <c r="U210">
        <v>0</v>
      </c>
      <c r="V210" t="s">
        <v>32</v>
      </c>
      <c r="W210" t="s">
        <v>43</v>
      </c>
      <c r="X210" s="4">
        <v>8.4</v>
      </c>
      <c r="Y210">
        <v>11</v>
      </c>
      <c r="Z210" s="5">
        <v>185.35</v>
      </c>
    </row>
    <row r="211" spans="1:26">
      <c r="A211">
        <v>210</v>
      </c>
      <c r="B211">
        <v>69</v>
      </c>
      <c r="C211" s="2">
        <v>46245</v>
      </c>
      <c r="D211" t="s">
        <v>35</v>
      </c>
      <c r="E211">
        <v>8</v>
      </c>
      <c r="F211" s="3">
        <v>7.25</v>
      </c>
      <c r="G211" t="s">
        <v>27</v>
      </c>
      <c r="H211">
        <v>51</v>
      </c>
      <c r="I211" t="s">
        <v>28</v>
      </c>
      <c r="J211" s="4">
        <v>70.7</v>
      </c>
      <c r="K211" s="4">
        <v>159.6</v>
      </c>
      <c r="L211" s="4">
        <v>22.5</v>
      </c>
      <c r="M211">
        <v>18</v>
      </c>
      <c r="N211" t="s">
        <v>47</v>
      </c>
      <c r="O211">
        <v>4</v>
      </c>
      <c r="P211" s="4">
        <v>160</v>
      </c>
      <c r="Q211" t="s">
        <v>48</v>
      </c>
      <c r="R211">
        <v>0</v>
      </c>
      <c r="S211" t="s">
        <v>44</v>
      </c>
      <c r="T211">
        <v>0</v>
      </c>
      <c r="U211">
        <v>0</v>
      </c>
      <c r="V211" t="s">
        <v>32</v>
      </c>
      <c r="W211" t="s">
        <v>43</v>
      </c>
      <c r="X211" s="4">
        <v>9</v>
      </c>
      <c r="Y211">
        <v>12</v>
      </c>
      <c r="Z211" s="5">
        <v>337.72</v>
      </c>
    </row>
    <row r="212" spans="1:26">
      <c r="A212">
        <v>211</v>
      </c>
      <c r="B212">
        <v>69</v>
      </c>
      <c r="C212" s="2">
        <v>46245</v>
      </c>
      <c r="D212" t="s">
        <v>35</v>
      </c>
      <c r="E212">
        <v>8</v>
      </c>
      <c r="F212" s="3">
        <v>7.26</v>
      </c>
      <c r="G212" t="s">
        <v>27</v>
      </c>
      <c r="H212">
        <v>34</v>
      </c>
      <c r="I212" t="s">
        <v>28</v>
      </c>
      <c r="J212" s="4">
        <v>68.5</v>
      </c>
      <c r="K212" s="4">
        <v>123.8</v>
      </c>
      <c r="L212" s="4">
        <v>18.399999999999999</v>
      </c>
      <c r="M212">
        <v>14</v>
      </c>
      <c r="N212" t="s">
        <v>47</v>
      </c>
      <c r="O212">
        <v>4</v>
      </c>
      <c r="P212" s="4">
        <v>160</v>
      </c>
      <c r="Q212" t="s">
        <v>48</v>
      </c>
      <c r="R212">
        <v>0</v>
      </c>
      <c r="S212" t="s">
        <v>44</v>
      </c>
      <c r="T212">
        <v>0</v>
      </c>
      <c r="U212">
        <v>0</v>
      </c>
      <c r="V212" t="s">
        <v>32</v>
      </c>
      <c r="W212" t="s">
        <v>43</v>
      </c>
      <c r="X212" s="4">
        <v>9.6999999999999993</v>
      </c>
      <c r="Y212">
        <v>8</v>
      </c>
      <c r="Z212" s="5">
        <v>193.89</v>
      </c>
    </row>
    <row r="213" spans="1:26">
      <c r="A213">
        <v>212</v>
      </c>
      <c r="B213">
        <v>69</v>
      </c>
      <c r="C213" s="2">
        <v>46245</v>
      </c>
      <c r="D213" t="s">
        <v>35</v>
      </c>
      <c r="E213">
        <v>8</v>
      </c>
      <c r="F213" s="3">
        <v>7.05</v>
      </c>
      <c r="G213" t="s">
        <v>27</v>
      </c>
      <c r="H213">
        <v>46</v>
      </c>
      <c r="I213" t="s">
        <v>34</v>
      </c>
      <c r="J213" s="4">
        <v>71</v>
      </c>
      <c r="K213" s="4">
        <v>203</v>
      </c>
      <c r="L213" s="4">
        <v>28.2</v>
      </c>
      <c r="M213">
        <v>17</v>
      </c>
      <c r="N213" t="s">
        <v>47</v>
      </c>
      <c r="O213">
        <v>4</v>
      </c>
      <c r="P213" s="4">
        <v>160</v>
      </c>
      <c r="Q213" t="s">
        <v>48</v>
      </c>
      <c r="R213">
        <v>0</v>
      </c>
      <c r="S213" t="s">
        <v>44</v>
      </c>
      <c r="T213">
        <v>0</v>
      </c>
      <c r="U213">
        <v>0</v>
      </c>
      <c r="V213" t="s">
        <v>32</v>
      </c>
      <c r="W213" t="s">
        <v>43</v>
      </c>
      <c r="X213" s="4">
        <v>6.4</v>
      </c>
      <c r="Y213">
        <v>5</v>
      </c>
      <c r="Z213" s="5">
        <v>238.36</v>
      </c>
    </row>
    <row r="214" spans="1:26">
      <c r="A214">
        <v>213</v>
      </c>
      <c r="B214">
        <v>70</v>
      </c>
      <c r="C214" s="2">
        <v>46180</v>
      </c>
      <c r="D214" t="s">
        <v>58</v>
      </c>
      <c r="E214">
        <v>6</v>
      </c>
      <c r="F214" s="3">
        <v>9.6</v>
      </c>
      <c r="G214" t="s">
        <v>27</v>
      </c>
      <c r="H214">
        <v>60</v>
      </c>
      <c r="I214" t="s">
        <v>28</v>
      </c>
      <c r="J214" s="4">
        <v>72.099999999999994</v>
      </c>
      <c r="K214" s="4">
        <v>181.2</v>
      </c>
      <c r="L214" s="4">
        <v>24.6</v>
      </c>
      <c r="M214">
        <v>17</v>
      </c>
      <c r="N214" t="s">
        <v>59</v>
      </c>
      <c r="O214">
        <v>3</v>
      </c>
      <c r="P214" s="4">
        <v>741.3</v>
      </c>
      <c r="Q214" t="s">
        <v>48</v>
      </c>
      <c r="R214">
        <v>1</v>
      </c>
      <c r="S214" t="s">
        <v>44</v>
      </c>
      <c r="T214">
        <v>1</v>
      </c>
      <c r="U214">
        <v>1</v>
      </c>
      <c r="V214" t="s">
        <v>45</v>
      </c>
      <c r="W214" t="s">
        <v>39</v>
      </c>
      <c r="X214" s="4">
        <v>7</v>
      </c>
      <c r="Y214">
        <v>5</v>
      </c>
      <c r="Z214" s="5">
        <v>182.41</v>
      </c>
    </row>
    <row r="215" spans="1:26">
      <c r="A215">
        <v>214</v>
      </c>
      <c r="B215">
        <v>70</v>
      </c>
      <c r="C215" s="2">
        <v>46180</v>
      </c>
      <c r="D215" t="s">
        <v>58</v>
      </c>
      <c r="E215">
        <v>6</v>
      </c>
      <c r="F215" s="3">
        <v>9.8000000000000007</v>
      </c>
      <c r="G215" t="s">
        <v>27</v>
      </c>
      <c r="H215">
        <v>37</v>
      </c>
      <c r="I215" t="s">
        <v>34</v>
      </c>
      <c r="J215" s="4">
        <v>63.2</v>
      </c>
      <c r="K215" s="4">
        <v>171.6</v>
      </c>
      <c r="L215" s="4">
        <v>30.2</v>
      </c>
      <c r="M215">
        <v>15</v>
      </c>
      <c r="N215" t="s">
        <v>59</v>
      </c>
      <c r="O215">
        <v>3</v>
      </c>
      <c r="P215" s="4">
        <v>741.3</v>
      </c>
      <c r="Q215" t="s">
        <v>48</v>
      </c>
      <c r="R215">
        <v>1</v>
      </c>
      <c r="S215" t="s">
        <v>44</v>
      </c>
      <c r="T215">
        <v>1</v>
      </c>
      <c r="U215">
        <v>1</v>
      </c>
      <c r="V215" t="s">
        <v>45</v>
      </c>
      <c r="W215" t="s">
        <v>39</v>
      </c>
      <c r="X215" s="4">
        <v>9.1999999999999993</v>
      </c>
      <c r="Y215">
        <v>11</v>
      </c>
      <c r="Z215" s="5">
        <v>353.62</v>
      </c>
    </row>
    <row r="216" spans="1:26">
      <c r="A216">
        <v>215</v>
      </c>
      <c r="B216">
        <v>70</v>
      </c>
      <c r="C216" s="2">
        <v>46180</v>
      </c>
      <c r="D216" t="s">
        <v>58</v>
      </c>
      <c r="E216">
        <v>6</v>
      </c>
      <c r="F216" s="3">
        <v>9.6</v>
      </c>
      <c r="G216" t="s">
        <v>27</v>
      </c>
      <c r="H216">
        <v>54</v>
      </c>
      <c r="I216" t="s">
        <v>34</v>
      </c>
      <c r="J216" s="4">
        <v>66</v>
      </c>
      <c r="K216" s="4">
        <v>170.4</v>
      </c>
      <c r="L216" s="4">
        <v>27.3</v>
      </c>
      <c r="M216">
        <v>17</v>
      </c>
      <c r="N216" t="s">
        <v>59</v>
      </c>
      <c r="O216">
        <v>3</v>
      </c>
      <c r="P216" s="4">
        <v>741.3</v>
      </c>
      <c r="Q216" t="s">
        <v>48</v>
      </c>
      <c r="R216">
        <v>1</v>
      </c>
      <c r="S216" t="s">
        <v>44</v>
      </c>
      <c r="T216">
        <v>1</v>
      </c>
      <c r="U216">
        <v>1</v>
      </c>
      <c r="V216" t="s">
        <v>45</v>
      </c>
      <c r="W216" t="s">
        <v>39</v>
      </c>
      <c r="X216" s="4">
        <v>10.6</v>
      </c>
      <c r="Y216">
        <v>9</v>
      </c>
      <c r="Z216" s="5">
        <v>581.52</v>
      </c>
    </row>
    <row r="217" spans="1:26">
      <c r="A217">
        <v>216</v>
      </c>
      <c r="B217">
        <v>71</v>
      </c>
      <c r="C217" s="2">
        <v>46134</v>
      </c>
      <c r="D217" t="s">
        <v>52</v>
      </c>
      <c r="E217">
        <v>4</v>
      </c>
      <c r="F217" s="3">
        <v>13.18</v>
      </c>
      <c r="G217" t="s">
        <v>36</v>
      </c>
      <c r="H217">
        <v>32</v>
      </c>
      <c r="I217" t="s">
        <v>34</v>
      </c>
      <c r="J217" s="4">
        <v>64.8</v>
      </c>
      <c r="K217" s="4">
        <v>148.30000000000001</v>
      </c>
      <c r="L217" s="4">
        <v>25</v>
      </c>
      <c r="M217">
        <v>11</v>
      </c>
      <c r="N217" t="s">
        <v>59</v>
      </c>
      <c r="O217">
        <v>4</v>
      </c>
      <c r="P217" s="4">
        <v>1175.3</v>
      </c>
      <c r="Q217" t="s">
        <v>42</v>
      </c>
      <c r="R217">
        <v>1</v>
      </c>
      <c r="S217" t="s">
        <v>44</v>
      </c>
      <c r="T217">
        <v>1</v>
      </c>
      <c r="U217">
        <v>0</v>
      </c>
      <c r="V217" t="s">
        <v>32</v>
      </c>
      <c r="W217" t="s">
        <v>39</v>
      </c>
      <c r="X217" s="4">
        <v>5.9</v>
      </c>
      <c r="Y217">
        <v>2</v>
      </c>
      <c r="Z217" s="5">
        <v>143.83000000000001</v>
      </c>
    </row>
    <row r="218" spans="1:26">
      <c r="A218">
        <v>217</v>
      </c>
      <c r="B218">
        <v>71</v>
      </c>
      <c r="C218" s="2">
        <v>46134</v>
      </c>
      <c r="D218" t="s">
        <v>52</v>
      </c>
      <c r="E218">
        <v>4</v>
      </c>
      <c r="F218" s="3">
        <v>13.2</v>
      </c>
      <c r="G218" t="s">
        <v>36</v>
      </c>
      <c r="H218">
        <v>63</v>
      </c>
      <c r="I218" t="s">
        <v>28</v>
      </c>
      <c r="J218" s="4">
        <v>72.400000000000006</v>
      </c>
      <c r="K218" s="4">
        <v>212.6</v>
      </c>
      <c r="L218" s="4">
        <v>28.5</v>
      </c>
      <c r="M218">
        <v>11</v>
      </c>
      <c r="N218" t="s">
        <v>59</v>
      </c>
      <c r="O218">
        <v>4</v>
      </c>
      <c r="P218" s="4">
        <v>1175.3</v>
      </c>
      <c r="Q218" t="s">
        <v>42</v>
      </c>
      <c r="R218">
        <v>1</v>
      </c>
      <c r="S218" t="s">
        <v>44</v>
      </c>
      <c r="T218">
        <v>1</v>
      </c>
      <c r="U218">
        <v>0</v>
      </c>
      <c r="V218" t="s">
        <v>32</v>
      </c>
      <c r="W218" t="s">
        <v>39</v>
      </c>
      <c r="X218" s="4">
        <v>9.8000000000000007</v>
      </c>
      <c r="Y218">
        <v>12</v>
      </c>
      <c r="Z218" s="5">
        <v>258.98</v>
      </c>
    </row>
    <row r="219" spans="1:26">
      <c r="A219">
        <v>218</v>
      </c>
      <c r="B219">
        <v>71</v>
      </c>
      <c r="C219" s="2">
        <v>46134</v>
      </c>
      <c r="D219" t="s">
        <v>52</v>
      </c>
      <c r="E219">
        <v>4</v>
      </c>
      <c r="F219" s="3">
        <v>13.32</v>
      </c>
      <c r="G219" t="s">
        <v>36</v>
      </c>
      <c r="H219">
        <v>18</v>
      </c>
      <c r="I219" t="s">
        <v>34</v>
      </c>
      <c r="J219" s="4">
        <v>64.5</v>
      </c>
      <c r="K219" s="4">
        <v>128.80000000000001</v>
      </c>
      <c r="L219" s="4">
        <v>21.6</v>
      </c>
      <c r="M219">
        <v>10</v>
      </c>
      <c r="N219" t="s">
        <v>59</v>
      </c>
      <c r="O219">
        <v>4</v>
      </c>
      <c r="P219" s="4">
        <v>1175.3</v>
      </c>
      <c r="Q219" t="s">
        <v>42</v>
      </c>
      <c r="R219">
        <v>1</v>
      </c>
      <c r="S219" t="s">
        <v>44</v>
      </c>
      <c r="T219">
        <v>1</v>
      </c>
      <c r="U219">
        <v>0</v>
      </c>
      <c r="V219" t="s">
        <v>32</v>
      </c>
      <c r="W219" t="s">
        <v>39</v>
      </c>
      <c r="X219" s="4">
        <v>8.1999999999999993</v>
      </c>
      <c r="Y219">
        <v>8</v>
      </c>
      <c r="Z219" s="5">
        <v>193.6</v>
      </c>
    </row>
    <row r="220" spans="1:26">
      <c r="A220">
        <v>219</v>
      </c>
      <c r="B220">
        <v>71</v>
      </c>
      <c r="C220" s="2">
        <v>46134</v>
      </c>
      <c r="D220" t="s">
        <v>52</v>
      </c>
      <c r="E220">
        <v>4</v>
      </c>
      <c r="F220" s="3">
        <v>13.41</v>
      </c>
      <c r="G220" t="s">
        <v>36</v>
      </c>
      <c r="H220">
        <v>49</v>
      </c>
      <c r="I220" t="s">
        <v>28</v>
      </c>
      <c r="J220" s="4">
        <v>71.099999999999994</v>
      </c>
      <c r="K220" s="4">
        <v>217.2</v>
      </c>
      <c r="L220" s="4">
        <v>30.5</v>
      </c>
      <c r="M220">
        <v>15</v>
      </c>
      <c r="N220" t="s">
        <v>59</v>
      </c>
      <c r="O220">
        <v>4</v>
      </c>
      <c r="P220" s="4">
        <v>1175.3</v>
      </c>
      <c r="Q220" t="s">
        <v>42</v>
      </c>
      <c r="R220">
        <v>1</v>
      </c>
      <c r="S220" t="s">
        <v>44</v>
      </c>
      <c r="T220">
        <v>1</v>
      </c>
      <c r="U220">
        <v>0</v>
      </c>
      <c r="V220" t="s">
        <v>32</v>
      </c>
      <c r="W220" t="s">
        <v>39</v>
      </c>
      <c r="X220" s="4">
        <v>6.3</v>
      </c>
      <c r="Y220">
        <v>6</v>
      </c>
      <c r="Z220" s="5">
        <v>306.99</v>
      </c>
    </row>
    <row r="221" spans="1:26">
      <c r="A221">
        <v>220</v>
      </c>
      <c r="B221">
        <v>72</v>
      </c>
      <c r="C221" s="2">
        <v>46287</v>
      </c>
      <c r="D221" t="s">
        <v>35</v>
      </c>
      <c r="E221">
        <v>9</v>
      </c>
      <c r="F221" s="3">
        <v>7.66</v>
      </c>
      <c r="G221" t="s">
        <v>27</v>
      </c>
      <c r="H221">
        <v>23</v>
      </c>
      <c r="I221" t="s">
        <v>28</v>
      </c>
      <c r="J221" s="4">
        <v>64.099999999999994</v>
      </c>
      <c r="K221" s="4">
        <v>159</v>
      </c>
      <c r="L221" s="4">
        <v>27.4</v>
      </c>
      <c r="M221">
        <v>8</v>
      </c>
      <c r="N221" t="s">
        <v>47</v>
      </c>
      <c r="O221">
        <v>2</v>
      </c>
      <c r="P221" s="4">
        <v>102.7</v>
      </c>
      <c r="Q221" t="s">
        <v>42</v>
      </c>
      <c r="R221">
        <v>0</v>
      </c>
      <c r="S221" t="s">
        <v>44</v>
      </c>
      <c r="T221">
        <v>0</v>
      </c>
      <c r="U221">
        <v>1</v>
      </c>
      <c r="V221" t="s">
        <v>32</v>
      </c>
      <c r="W221" t="s">
        <v>39</v>
      </c>
      <c r="X221" s="4">
        <v>10</v>
      </c>
      <c r="Y221">
        <v>10</v>
      </c>
      <c r="Z221" s="5">
        <v>306.45</v>
      </c>
    </row>
    <row r="222" spans="1:26">
      <c r="A222">
        <v>221</v>
      </c>
      <c r="B222">
        <v>72</v>
      </c>
      <c r="C222" s="2">
        <v>46287</v>
      </c>
      <c r="D222" t="s">
        <v>35</v>
      </c>
      <c r="E222">
        <v>9</v>
      </c>
      <c r="F222" s="3">
        <v>7.54</v>
      </c>
      <c r="G222" t="s">
        <v>27</v>
      </c>
      <c r="H222">
        <v>25</v>
      </c>
      <c r="I222" t="s">
        <v>28</v>
      </c>
      <c r="J222" s="4">
        <v>71.900000000000006</v>
      </c>
      <c r="K222" s="4">
        <v>245</v>
      </c>
      <c r="L222" s="4">
        <v>33.4</v>
      </c>
      <c r="M222">
        <v>11</v>
      </c>
      <c r="N222" t="s">
        <v>47</v>
      </c>
      <c r="O222">
        <v>2</v>
      </c>
      <c r="P222" s="4">
        <v>102.7</v>
      </c>
      <c r="Q222" t="s">
        <v>42</v>
      </c>
      <c r="R222">
        <v>0</v>
      </c>
      <c r="S222" t="s">
        <v>44</v>
      </c>
      <c r="T222">
        <v>0</v>
      </c>
      <c r="U222">
        <v>1</v>
      </c>
      <c r="V222" t="s">
        <v>32</v>
      </c>
      <c r="W222" t="s">
        <v>39</v>
      </c>
      <c r="X222" s="4">
        <v>11.5</v>
      </c>
      <c r="Y222">
        <v>6</v>
      </c>
      <c r="Z222" s="5">
        <v>247.7</v>
      </c>
    </row>
    <row r="223" spans="1:26">
      <c r="A223">
        <v>222</v>
      </c>
      <c r="B223">
        <v>73</v>
      </c>
      <c r="C223" s="2">
        <v>46261</v>
      </c>
      <c r="D223" t="s">
        <v>55</v>
      </c>
      <c r="E223">
        <v>8</v>
      </c>
      <c r="F223" s="3">
        <v>9.66</v>
      </c>
      <c r="G223" t="s">
        <v>27</v>
      </c>
      <c r="H223">
        <v>64</v>
      </c>
      <c r="I223" t="s">
        <v>28</v>
      </c>
      <c r="J223" s="4">
        <v>67.8</v>
      </c>
      <c r="K223" s="4">
        <v>205</v>
      </c>
      <c r="L223" s="4">
        <v>31.4</v>
      </c>
      <c r="M223">
        <v>13</v>
      </c>
      <c r="N223" t="s">
        <v>62</v>
      </c>
      <c r="O223">
        <v>3</v>
      </c>
      <c r="P223" s="4">
        <v>2364.1</v>
      </c>
      <c r="Q223" t="s">
        <v>30</v>
      </c>
      <c r="R223">
        <v>1</v>
      </c>
      <c r="S223" t="s">
        <v>31</v>
      </c>
      <c r="T223">
        <v>1</v>
      </c>
      <c r="U223">
        <v>1</v>
      </c>
      <c r="V223" t="s">
        <v>32</v>
      </c>
      <c r="W223" t="s">
        <v>43</v>
      </c>
      <c r="X223" s="4">
        <v>7.8</v>
      </c>
      <c r="Y223">
        <v>9</v>
      </c>
      <c r="Z223" s="5">
        <v>164.97</v>
      </c>
    </row>
    <row r="224" spans="1:26">
      <c r="A224">
        <v>223</v>
      </c>
      <c r="B224">
        <v>73</v>
      </c>
      <c r="C224" s="2">
        <v>46261</v>
      </c>
      <c r="D224" t="s">
        <v>55</v>
      </c>
      <c r="E224">
        <v>8</v>
      </c>
      <c r="F224" s="3">
        <v>9.73</v>
      </c>
      <c r="G224" t="s">
        <v>27</v>
      </c>
      <c r="H224">
        <v>3</v>
      </c>
      <c r="I224" t="s">
        <v>28</v>
      </c>
      <c r="J224" s="4">
        <v>50.3</v>
      </c>
      <c r="K224" s="4">
        <v>50</v>
      </c>
      <c r="L224" s="4">
        <v>14.2</v>
      </c>
      <c r="M224">
        <v>11</v>
      </c>
      <c r="N224" t="s">
        <v>62</v>
      </c>
      <c r="O224">
        <v>3</v>
      </c>
      <c r="P224" s="4">
        <v>2364.1</v>
      </c>
      <c r="Q224" t="s">
        <v>30</v>
      </c>
      <c r="R224">
        <v>1</v>
      </c>
      <c r="S224" t="s">
        <v>31</v>
      </c>
      <c r="T224">
        <v>1</v>
      </c>
      <c r="U224">
        <v>1</v>
      </c>
      <c r="V224" t="s">
        <v>32</v>
      </c>
      <c r="W224" t="s">
        <v>43</v>
      </c>
      <c r="X224" s="4">
        <v>11.6</v>
      </c>
      <c r="Y224">
        <v>9</v>
      </c>
      <c r="Z224" s="5">
        <v>280.2</v>
      </c>
    </row>
    <row r="225" spans="1:26">
      <c r="A225">
        <v>224</v>
      </c>
      <c r="B225">
        <v>73</v>
      </c>
      <c r="C225" s="2">
        <v>46261</v>
      </c>
      <c r="D225" t="s">
        <v>55</v>
      </c>
      <c r="E225">
        <v>8</v>
      </c>
      <c r="F225" s="3">
        <v>9.7200000000000006</v>
      </c>
      <c r="G225" t="s">
        <v>27</v>
      </c>
      <c r="H225">
        <v>45</v>
      </c>
      <c r="I225" t="s">
        <v>34</v>
      </c>
      <c r="J225" s="4">
        <v>65.3</v>
      </c>
      <c r="K225" s="4">
        <v>159</v>
      </c>
      <c r="L225" s="4">
        <v>26.4</v>
      </c>
      <c r="M225">
        <v>12</v>
      </c>
      <c r="N225" t="s">
        <v>62</v>
      </c>
      <c r="O225">
        <v>3</v>
      </c>
      <c r="P225" s="4">
        <v>2364.1</v>
      </c>
      <c r="Q225" t="s">
        <v>30</v>
      </c>
      <c r="R225">
        <v>1</v>
      </c>
      <c r="S225" t="s">
        <v>31</v>
      </c>
      <c r="T225">
        <v>1</v>
      </c>
      <c r="U225">
        <v>1</v>
      </c>
      <c r="V225" t="s">
        <v>32</v>
      </c>
      <c r="W225" t="s">
        <v>43</v>
      </c>
      <c r="X225" s="4">
        <v>10.4</v>
      </c>
      <c r="Y225">
        <v>13</v>
      </c>
      <c r="Z225" s="5">
        <v>259.24</v>
      </c>
    </row>
    <row r="226" spans="1:26">
      <c r="A226">
        <v>225</v>
      </c>
      <c r="B226">
        <v>74</v>
      </c>
      <c r="C226" s="2">
        <v>46118</v>
      </c>
      <c r="D226" t="s">
        <v>46</v>
      </c>
      <c r="E226">
        <v>4</v>
      </c>
      <c r="F226" s="3">
        <v>9.9600000000000009</v>
      </c>
      <c r="G226" t="s">
        <v>27</v>
      </c>
      <c r="H226">
        <v>66</v>
      </c>
      <c r="I226" t="s">
        <v>28</v>
      </c>
      <c r="J226" s="4">
        <v>64.099999999999994</v>
      </c>
      <c r="K226" s="4">
        <v>178.6</v>
      </c>
      <c r="L226" s="4">
        <v>30.7</v>
      </c>
      <c r="M226">
        <v>18</v>
      </c>
      <c r="N226" t="s">
        <v>47</v>
      </c>
      <c r="O226">
        <v>2</v>
      </c>
      <c r="P226" s="4">
        <v>137.4</v>
      </c>
      <c r="Q226" t="s">
        <v>42</v>
      </c>
      <c r="R226">
        <v>0</v>
      </c>
      <c r="S226" t="s">
        <v>44</v>
      </c>
      <c r="T226">
        <v>0</v>
      </c>
      <c r="U226">
        <v>0</v>
      </c>
      <c r="V226" t="s">
        <v>32</v>
      </c>
      <c r="W226" t="s">
        <v>39</v>
      </c>
      <c r="X226" s="4">
        <v>4.4000000000000004</v>
      </c>
      <c r="Y226">
        <v>4</v>
      </c>
      <c r="Z226" s="5">
        <v>111.73</v>
      </c>
    </row>
    <row r="227" spans="1:26">
      <c r="A227">
        <v>226</v>
      </c>
      <c r="B227">
        <v>74</v>
      </c>
      <c r="C227" s="2">
        <v>46118</v>
      </c>
      <c r="D227" t="s">
        <v>46</v>
      </c>
      <c r="E227">
        <v>4</v>
      </c>
      <c r="F227" s="3">
        <v>10.06</v>
      </c>
      <c r="G227" t="s">
        <v>27</v>
      </c>
      <c r="H227">
        <v>4</v>
      </c>
      <c r="I227" t="s">
        <v>28</v>
      </c>
      <c r="J227" s="4">
        <v>57.3</v>
      </c>
      <c r="K227" s="4">
        <v>94.1</v>
      </c>
      <c r="L227" s="4">
        <v>20.100000000000001</v>
      </c>
      <c r="M227">
        <v>12</v>
      </c>
      <c r="N227" t="s">
        <v>47</v>
      </c>
      <c r="O227">
        <v>2</v>
      </c>
      <c r="P227" s="4">
        <v>137.4</v>
      </c>
      <c r="Q227" t="s">
        <v>42</v>
      </c>
      <c r="R227">
        <v>0</v>
      </c>
      <c r="S227" t="s">
        <v>44</v>
      </c>
      <c r="T227">
        <v>0</v>
      </c>
      <c r="U227">
        <v>0</v>
      </c>
      <c r="V227" t="s">
        <v>32</v>
      </c>
      <c r="W227" t="s">
        <v>39</v>
      </c>
      <c r="X227" s="4">
        <v>7.6</v>
      </c>
      <c r="Y227">
        <v>4</v>
      </c>
      <c r="Z227" s="5">
        <v>172.99</v>
      </c>
    </row>
    <row r="228" spans="1:26">
      <c r="A228">
        <v>227</v>
      </c>
      <c r="B228">
        <v>75</v>
      </c>
      <c r="C228" s="2">
        <v>46265</v>
      </c>
      <c r="D228" t="s">
        <v>46</v>
      </c>
      <c r="E228">
        <v>8</v>
      </c>
      <c r="F228" s="3">
        <v>10.37</v>
      </c>
      <c r="G228" t="s">
        <v>27</v>
      </c>
      <c r="H228">
        <v>7</v>
      </c>
      <c r="I228" t="s">
        <v>28</v>
      </c>
      <c r="J228" s="4">
        <v>56.6</v>
      </c>
      <c r="K228" s="4">
        <v>93.4</v>
      </c>
      <c r="L228" s="4">
        <v>20.3</v>
      </c>
      <c r="M228">
        <v>13</v>
      </c>
      <c r="N228" t="s">
        <v>47</v>
      </c>
      <c r="O228">
        <v>3</v>
      </c>
      <c r="P228" s="4">
        <v>6.4</v>
      </c>
      <c r="Q228" t="s">
        <v>42</v>
      </c>
      <c r="R228">
        <v>0</v>
      </c>
      <c r="S228" t="s">
        <v>44</v>
      </c>
      <c r="T228">
        <v>0</v>
      </c>
      <c r="U228">
        <v>0</v>
      </c>
      <c r="V228" t="s">
        <v>32</v>
      </c>
      <c r="W228" t="s">
        <v>43</v>
      </c>
      <c r="X228" s="4">
        <v>7.6</v>
      </c>
      <c r="Y228">
        <v>7</v>
      </c>
      <c r="Z228" s="5">
        <v>166.16</v>
      </c>
    </row>
    <row r="229" spans="1:26">
      <c r="A229">
        <v>228</v>
      </c>
      <c r="B229">
        <v>75</v>
      </c>
      <c r="C229" s="2">
        <v>46265</v>
      </c>
      <c r="D229" t="s">
        <v>46</v>
      </c>
      <c r="E229">
        <v>8</v>
      </c>
      <c r="F229" s="3">
        <v>10.68</v>
      </c>
      <c r="G229" t="s">
        <v>27</v>
      </c>
      <c r="H229">
        <v>55</v>
      </c>
      <c r="I229" t="s">
        <v>34</v>
      </c>
      <c r="J229" s="4">
        <v>65.599999999999994</v>
      </c>
      <c r="K229" s="4">
        <v>136.80000000000001</v>
      </c>
      <c r="L229" s="4">
        <v>22.2</v>
      </c>
      <c r="M229">
        <v>14</v>
      </c>
      <c r="N229" t="s">
        <v>47</v>
      </c>
      <c r="O229">
        <v>3</v>
      </c>
      <c r="P229" s="4">
        <v>6.4</v>
      </c>
      <c r="Q229" t="s">
        <v>42</v>
      </c>
      <c r="R229">
        <v>0</v>
      </c>
      <c r="S229" t="s">
        <v>44</v>
      </c>
      <c r="T229">
        <v>0</v>
      </c>
      <c r="U229">
        <v>0</v>
      </c>
      <c r="V229" t="s">
        <v>32</v>
      </c>
      <c r="W229" t="s">
        <v>43</v>
      </c>
      <c r="X229" s="4">
        <v>6.9</v>
      </c>
      <c r="Y229">
        <v>7</v>
      </c>
      <c r="Z229" s="5">
        <v>176.24</v>
      </c>
    </row>
    <row r="230" spans="1:26">
      <c r="A230">
        <v>229</v>
      </c>
      <c r="B230">
        <v>75</v>
      </c>
      <c r="C230" s="2">
        <v>46265</v>
      </c>
      <c r="D230" t="s">
        <v>46</v>
      </c>
      <c r="E230">
        <v>8</v>
      </c>
      <c r="F230" s="3">
        <v>10.33</v>
      </c>
      <c r="G230" t="s">
        <v>27</v>
      </c>
      <c r="H230">
        <v>36</v>
      </c>
      <c r="I230" t="s">
        <v>34</v>
      </c>
      <c r="J230" s="4">
        <v>64.3</v>
      </c>
      <c r="K230" s="4">
        <v>143.80000000000001</v>
      </c>
      <c r="L230" s="4">
        <v>24.5</v>
      </c>
      <c r="M230">
        <v>13</v>
      </c>
      <c r="N230" t="s">
        <v>47</v>
      </c>
      <c r="O230">
        <v>3</v>
      </c>
      <c r="P230" s="4">
        <v>6.4</v>
      </c>
      <c r="Q230" t="s">
        <v>42</v>
      </c>
      <c r="R230">
        <v>0</v>
      </c>
      <c r="S230" t="s">
        <v>44</v>
      </c>
      <c r="T230">
        <v>0</v>
      </c>
      <c r="U230">
        <v>0</v>
      </c>
      <c r="V230" t="s">
        <v>32</v>
      </c>
      <c r="W230" t="s">
        <v>43</v>
      </c>
      <c r="X230" s="4">
        <v>9.5</v>
      </c>
      <c r="Y230">
        <v>8</v>
      </c>
      <c r="Z230" s="5">
        <v>224.33</v>
      </c>
    </row>
    <row r="231" spans="1:26">
      <c r="A231">
        <v>230</v>
      </c>
      <c r="B231">
        <v>76</v>
      </c>
      <c r="C231" s="2">
        <v>46199</v>
      </c>
      <c r="D231" t="s">
        <v>26</v>
      </c>
      <c r="E231">
        <v>6</v>
      </c>
      <c r="F231" s="3">
        <v>8.91</v>
      </c>
      <c r="G231" t="s">
        <v>27</v>
      </c>
      <c r="H231">
        <v>21</v>
      </c>
      <c r="I231" t="s">
        <v>34</v>
      </c>
      <c r="J231" s="4">
        <v>64.7</v>
      </c>
      <c r="K231" s="4">
        <v>155.80000000000001</v>
      </c>
      <c r="L231" s="4">
        <v>26.1</v>
      </c>
      <c r="M231">
        <v>11</v>
      </c>
      <c r="N231" t="s">
        <v>47</v>
      </c>
      <c r="O231">
        <v>1</v>
      </c>
      <c r="P231" s="4">
        <v>27.9</v>
      </c>
      <c r="Q231" t="s">
        <v>42</v>
      </c>
      <c r="R231">
        <v>0</v>
      </c>
      <c r="S231" t="s">
        <v>31</v>
      </c>
      <c r="T231">
        <v>0</v>
      </c>
      <c r="U231">
        <v>1</v>
      </c>
      <c r="V231" t="s">
        <v>32</v>
      </c>
      <c r="W231" t="s">
        <v>39</v>
      </c>
      <c r="X231" s="4">
        <v>6.4</v>
      </c>
      <c r="Y231">
        <v>6</v>
      </c>
      <c r="Z231" s="5">
        <v>234.54</v>
      </c>
    </row>
    <row r="232" spans="1:26">
      <c r="A232">
        <v>231</v>
      </c>
      <c r="B232">
        <v>77</v>
      </c>
      <c r="C232" s="2">
        <v>46032</v>
      </c>
      <c r="D232" t="s">
        <v>40</v>
      </c>
      <c r="E232">
        <v>1</v>
      </c>
      <c r="F232" s="3">
        <v>10.61</v>
      </c>
      <c r="G232" t="s">
        <v>27</v>
      </c>
      <c r="H232">
        <v>18</v>
      </c>
      <c r="I232" t="s">
        <v>34</v>
      </c>
      <c r="J232" s="4">
        <v>66.3</v>
      </c>
      <c r="K232" s="4">
        <v>163.69999999999999</v>
      </c>
      <c r="L232" s="4">
        <v>26.1</v>
      </c>
      <c r="M232">
        <v>13</v>
      </c>
      <c r="N232" t="s">
        <v>53</v>
      </c>
      <c r="O232">
        <v>2</v>
      </c>
      <c r="P232" s="4">
        <v>740.1</v>
      </c>
      <c r="Q232" t="s">
        <v>42</v>
      </c>
      <c r="R232">
        <v>0</v>
      </c>
      <c r="S232" t="s">
        <v>44</v>
      </c>
      <c r="T232">
        <v>0</v>
      </c>
      <c r="U232">
        <v>0</v>
      </c>
      <c r="V232" t="s">
        <v>32</v>
      </c>
      <c r="W232" t="s">
        <v>43</v>
      </c>
      <c r="X232" s="4">
        <v>10</v>
      </c>
      <c r="Y232">
        <v>10</v>
      </c>
      <c r="Z232" s="5">
        <v>255.84</v>
      </c>
    </row>
    <row r="233" spans="1:26">
      <c r="A233">
        <v>232</v>
      </c>
      <c r="B233">
        <v>77</v>
      </c>
      <c r="C233" s="2">
        <v>46032</v>
      </c>
      <c r="D233" t="s">
        <v>40</v>
      </c>
      <c r="E233">
        <v>1</v>
      </c>
      <c r="F233" s="3">
        <v>10.27</v>
      </c>
      <c r="G233" t="s">
        <v>27</v>
      </c>
      <c r="H233">
        <v>58</v>
      </c>
      <c r="I233" t="s">
        <v>28</v>
      </c>
      <c r="J233" s="4">
        <v>73.599999999999994</v>
      </c>
      <c r="K233" s="4">
        <v>154.19999999999999</v>
      </c>
      <c r="L233" s="4">
        <v>20</v>
      </c>
      <c r="M233">
        <v>17</v>
      </c>
      <c r="N233" t="s">
        <v>53</v>
      </c>
      <c r="O233">
        <v>2</v>
      </c>
      <c r="P233" s="4">
        <v>740.1</v>
      </c>
      <c r="Q233" t="s">
        <v>42</v>
      </c>
      <c r="R233">
        <v>0</v>
      </c>
      <c r="S233" t="s">
        <v>44</v>
      </c>
      <c r="T233">
        <v>0</v>
      </c>
      <c r="U233">
        <v>0</v>
      </c>
      <c r="V233" t="s">
        <v>32</v>
      </c>
      <c r="W233" t="s">
        <v>43</v>
      </c>
      <c r="X233" s="4">
        <v>7.8</v>
      </c>
      <c r="Y233">
        <v>8</v>
      </c>
      <c r="Z233" s="5">
        <v>148.86000000000001</v>
      </c>
    </row>
    <row r="234" spans="1:26">
      <c r="A234">
        <v>233</v>
      </c>
      <c r="B234">
        <v>78</v>
      </c>
      <c r="C234" s="2">
        <v>46282</v>
      </c>
      <c r="D234" t="s">
        <v>55</v>
      </c>
      <c r="E234">
        <v>9</v>
      </c>
      <c r="F234" s="3">
        <v>9.66</v>
      </c>
      <c r="G234" t="s">
        <v>27</v>
      </c>
      <c r="H234">
        <v>45</v>
      </c>
      <c r="I234" t="s">
        <v>34</v>
      </c>
      <c r="J234" s="4">
        <v>65.599999999999994</v>
      </c>
      <c r="K234" s="4">
        <v>107.3</v>
      </c>
      <c r="L234" s="4">
        <v>17.5</v>
      </c>
      <c r="M234">
        <v>14</v>
      </c>
      <c r="N234" t="s">
        <v>60</v>
      </c>
      <c r="O234">
        <v>3</v>
      </c>
      <c r="P234" s="4">
        <v>1226.4000000000001</v>
      </c>
      <c r="Q234" t="s">
        <v>30</v>
      </c>
      <c r="R234">
        <v>0</v>
      </c>
      <c r="S234" t="s">
        <v>31</v>
      </c>
      <c r="T234">
        <v>0</v>
      </c>
      <c r="U234">
        <v>0</v>
      </c>
      <c r="V234" t="s">
        <v>32</v>
      </c>
      <c r="W234" t="s">
        <v>43</v>
      </c>
      <c r="X234" s="4">
        <v>5.4</v>
      </c>
      <c r="Y234">
        <v>3</v>
      </c>
      <c r="Z234" s="5">
        <v>72.709999999999994</v>
      </c>
    </row>
    <row r="235" spans="1:26">
      <c r="A235">
        <v>234</v>
      </c>
      <c r="B235">
        <v>78</v>
      </c>
      <c r="C235" s="2">
        <v>46282</v>
      </c>
      <c r="D235" t="s">
        <v>55</v>
      </c>
      <c r="E235">
        <v>9</v>
      </c>
      <c r="F235" s="3">
        <v>9.8699999999999992</v>
      </c>
      <c r="G235" t="s">
        <v>27</v>
      </c>
      <c r="H235">
        <v>49</v>
      </c>
      <c r="I235" t="s">
        <v>34</v>
      </c>
      <c r="J235" s="4">
        <v>60</v>
      </c>
      <c r="K235" s="4">
        <v>149.4</v>
      </c>
      <c r="L235" s="4">
        <v>29.1</v>
      </c>
      <c r="M235">
        <v>13</v>
      </c>
      <c r="N235" t="s">
        <v>60</v>
      </c>
      <c r="O235">
        <v>3</v>
      </c>
      <c r="P235" s="4">
        <v>1226.4000000000001</v>
      </c>
      <c r="Q235" t="s">
        <v>30</v>
      </c>
      <c r="R235">
        <v>0</v>
      </c>
      <c r="S235" t="s">
        <v>31</v>
      </c>
      <c r="T235">
        <v>0</v>
      </c>
      <c r="U235">
        <v>0</v>
      </c>
      <c r="V235" t="s">
        <v>32</v>
      </c>
      <c r="W235" t="s">
        <v>43</v>
      </c>
      <c r="X235" s="4">
        <v>8.9</v>
      </c>
      <c r="Y235">
        <v>8</v>
      </c>
      <c r="Z235" s="5">
        <v>154.87</v>
      </c>
    </row>
    <row r="236" spans="1:26">
      <c r="A236">
        <v>235</v>
      </c>
      <c r="B236">
        <v>78</v>
      </c>
      <c r="C236" s="2">
        <v>46282</v>
      </c>
      <c r="D236" t="s">
        <v>55</v>
      </c>
      <c r="E236">
        <v>9</v>
      </c>
      <c r="F236" s="3">
        <v>9.93</v>
      </c>
      <c r="G236" t="s">
        <v>27</v>
      </c>
      <c r="H236">
        <v>26</v>
      </c>
      <c r="I236" t="s">
        <v>34</v>
      </c>
      <c r="J236" s="4">
        <v>64.599999999999994</v>
      </c>
      <c r="K236" s="4">
        <v>138.6</v>
      </c>
      <c r="L236" s="4">
        <v>23.6</v>
      </c>
      <c r="M236">
        <v>14</v>
      </c>
      <c r="N236" t="s">
        <v>60</v>
      </c>
      <c r="O236">
        <v>3</v>
      </c>
      <c r="P236" s="4">
        <v>1226.4000000000001</v>
      </c>
      <c r="Q236" t="s">
        <v>30</v>
      </c>
      <c r="R236">
        <v>0</v>
      </c>
      <c r="S236" t="s">
        <v>31</v>
      </c>
      <c r="T236">
        <v>0</v>
      </c>
      <c r="U236">
        <v>0</v>
      </c>
      <c r="V236" t="s">
        <v>32</v>
      </c>
      <c r="W236" t="s">
        <v>43</v>
      </c>
      <c r="X236" s="4">
        <v>6.7</v>
      </c>
      <c r="Y236">
        <v>9</v>
      </c>
      <c r="Z236" s="5">
        <v>131.57</v>
      </c>
    </row>
    <row r="237" spans="1:26">
      <c r="A237">
        <v>236</v>
      </c>
      <c r="B237">
        <v>79</v>
      </c>
      <c r="C237" s="2">
        <v>46059</v>
      </c>
      <c r="D237" t="s">
        <v>26</v>
      </c>
      <c r="E237">
        <v>2</v>
      </c>
      <c r="F237" s="3">
        <v>9.3000000000000007</v>
      </c>
      <c r="G237" t="s">
        <v>27</v>
      </c>
      <c r="H237">
        <v>18</v>
      </c>
      <c r="I237" t="s">
        <v>28</v>
      </c>
      <c r="J237" s="4">
        <v>67.8</v>
      </c>
      <c r="K237" s="4">
        <v>196.1</v>
      </c>
      <c r="L237" s="4">
        <v>30.1</v>
      </c>
      <c r="M237">
        <v>7</v>
      </c>
      <c r="N237" t="s">
        <v>60</v>
      </c>
      <c r="O237">
        <v>6</v>
      </c>
      <c r="P237" s="4">
        <v>1714.7</v>
      </c>
      <c r="Q237" t="s">
        <v>30</v>
      </c>
      <c r="R237">
        <v>1</v>
      </c>
      <c r="S237" t="s">
        <v>31</v>
      </c>
      <c r="T237">
        <v>0</v>
      </c>
      <c r="U237">
        <v>1</v>
      </c>
      <c r="V237" t="s">
        <v>32</v>
      </c>
      <c r="W237" t="s">
        <v>39</v>
      </c>
      <c r="X237" s="4">
        <v>9.3000000000000007</v>
      </c>
      <c r="Y237">
        <v>11</v>
      </c>
      <c r="Z237" s="5">
        <v>190.75</v>
      </c>
    </row>
    <row r="238" spans="1:26">
      <c r="A238">
        <v>237</v>
      </c>
      <c r="B238">
        <v>79</v>
      </c>
      <c r="C238" s="2">
        <v>46059</v>
      </c>
      <c r="D238" t="s">
        <v>26</v>
      </c>
      <c r="E238">
        <v>2</v>
      </c>
      <c r="F238" s="3">
        <v>8.9499999999999993</v>
      </c>
      <c r="G238" t="s">
        <v>27</v>
      </c>
      <c r="H238">
        <v>66</v>
      </c>
      <c r="I238" t="s">
        <v>28</v>
      </c>
      <c r="J238" s="4">
        <v>69.8</v>
      </c>
      <c r="K238" s="4">
        <v>147</v>
      </c>
      <c r="L238" s="4">
        <v>21.2</v>
      </c>
      <c r="M238">
        <v>12</v>
      </c>
      <c r="N238" t="s">
        <v>60</v>
      </c>
      <c r="O238">
        <v>6</v>
      </c>
      <c r="P238" s="4">
        <v>1714.7</v>
      </c>
      <c r="Q238" t="s">
        <v>30</v>
      </c>
      <c r="R238">
        <v>1</v>
      </c>
      <c r="S238" t="s">
        <v>31</v>
      </c>
      <c r="T238">
        <v>0</v>
      </c>
      <c r="U238">
        <v>1</v>
      </c>
      <c r="V238" t="s">
        <v>32</v>
      </c>
      <c r="W238" t="s">
        <v>39</v>
      </c>
      <c r="X238" s="4">
        <v>11.3</v>
      </c>
      <c r="Y238">
        <v>15</v>
      </c>
      <c r="Z238" s="5">
        <v>426.94</v>
      </c>
    </row>
    <row r="239" spans="1:26">
      <c r="A239">
        <v>238</v>
      </c>
      <c r="B239">
        <v>79</v>
      </c>
      <c r="C239" s="2">
        <v>46059</v>
      </c>
      <c r="D239" t="s">
        <v>26</v>
      </c>
      <c r="E239">
        <v>2</v>
      </c>
      <c r="F239" s="3">
        <v>9.2200000000000006</v>
      </c>
      <c r="G239" t="s">
        <v>27</v>
      </c>
      <c r="H239">
        <v>19</v>
      </c>
      <c r="I239" t="s">
        <v>28</v>
      </c>
      <c r="J239" s="4">
        <v>71.599999999999994</v>
      </c>
      <c r="K239" s="4">
        <v>144.5</v>
      </c>
      <c r="L239" s="4">
        <v>19.899999999999999</v>
      </c>
      <c r="M239">
        <v>7</v>
      </c>
      <c r="N239" t="s">
        <v>60</v>
      </c>
      <c r="O239">
        <v>6</v>
      </c>
      <c r="P239" s="4">
        <v>1714.7</v>
      </c>
      <c r="Q239" t="s">
        <v>30</v>
      </c>
      <c r="R239">
        <v>1</v>
      </c>
      <c r="S239" t="s">
        <v>31</v>
      </c>
      <c r="T239">
        <v>0</v>
      </c>
      <c r="U239">
        <v>1</v>
      </c>
      <c r="V239" t="s">
        <v>32</v>
      </c>
      <c r="W239" t="s">
        <v>39</v>
      </c>
      <c r="X239" s="4">
        <v>12.4</v>
      </c>
      <c r="Y239">
        <v>10</v>
      </c>
      <c r="Z239" s="5">
        <v>257.33999999999997</v>
      </c>
    </row>
    <row r="240" spans="1:26">
      <c r="A240">
        <v>239</v>
      </c>
      <c r="B240">
        <v>79</v>
      </c>
      <c r="C240" s="2">
        <v>46059</v>
      </c>
      <c r="D240" t="s">
        <v>26</v>
      </c>
      <c r="E240">
        <v>2</v>
      </c>
      <c r="F240" s="3">
        <v>9.09</v>
      </c>
      <c r="G240" t="s">
        <v>27</v>
      </c>
      <c r="H240">
        <v>3</v>
      </c>
      <c r="I240" t="s">
        <v>28</v>
      </c>
      <c r="J240" s="4">
        <v>48</v>
      </c>
      <c r="K240" s="4">
        <v>53.9</v>
      </c>
      <c r="L240" s="4">
        <v>16.399999999999999</v>
      </c>
      <c r="M240">
        <v>11</v>
      </c>
      <c r="N240" t="s">
        <v>60</v>
      </c>
      <c r="O240">
        <v>6</v>
      </c>
      <c r="P240" s="4">
        <v>1714.7</v>
      </c>
      <c r="Q240" t="s">
        <v>30</v>
      </c>
      <c r="R240">
        <v>1</v>
      </c>
      <c r="S240" t="s">
        <v>31</v>
      </c>
      <c r="T240">
        <v>0</v>
      </c>
      <c r="U240">
        <v>1</v>
      </c>
      <c r="V240" t="s">
        <v>32</v>
      </c>
      <c r="W240" t="s">
        <v>39</v>
      </c>
      <c r="X240" s="4">
        <v>8.8000000000000007</v>
      </c>
      <c r="Y240">
        <v>12</v>
      </c>
      <c r="Z240" s="5">
        <v>267.20999999999998</v>
      </c>
    </row>
    <row r="241" spans="1:26">
      <c r="A241">
        <v>240</v>
      </c>
      <c r="B241">
        <v>79</v>
      </c>
      <c r="C241" s="2">
        <v>46059</v>
      </c>
      <c r="D241" t="s">
        <v>26</v>
      </c>
      <c r="E241">
        <v>2</v>
      </c>
      <c r="F241" s="3">
        <v>9.1300000000000008</v>
      </c>
      <c r="G241" t="s">
        <v>27</v>
      </c>
      <c r="H241">
        <v>47</v>
      </c>
      <c r="I241" t="s">
        <v>34</v>
      </c>
      <c r="J241" s="4">
        <v>66.900000000000006</v>
      </c>
      <c r="K241" s="4">
        <v>132.19999999999999</v>
      </c>
      <c r="L241" s="4">
        <v>21</v>
      </c>
      <c r="M241">
        <v>15</v>
      </c>
      <c r="N241" t="s">
        <v>60</v>
      </c>
      <c r="O241">
        <v>6</v>
      </c>
      <c r="P241" s="4">
        <v>1714.7</v>
      </c>
      <c r="Q241" t="s">
        <v>30</v>
      </c>
      <c r="R241">
        <v>1</v>
      </c>
      <c r="S241" t="s">
        <v>31</v>
      </c>
      <c r="T241">
        <v>0</v>
      </c>
      <c r="U241">
        <v>1</v>
      </c>
      <c r="V241" t="s">
        <v>32</v>
      </c>
      <c r="W241" t="s">
        <v>39</v>
      </c>
      <c r="X241" s="4">
        <v>8.9</v>
      </c>
      <c r="Y241">
        <v>7</v>
      </c>
      <c r="Z241" s="5">
        <v>194.95</v>
      </c>
    </row>
    <row r="242" spans="1:26">
      <c r="A242">
        <v>241</v>
      </c>
      <c r="B242">
        <v>79</v>
      </c>
      <c r="C242" s="2">
        <v>46059</v>
      </c>
      <c r="D242" t="s">
        <v>26</v>
      </c>
      <c r="E242">
        <v>2</v>
      </c>
      <c r="F242" s="3">
        <v>9.14</v>
      </c>
      <c r="G242" t="s">
        <v>27</v>
      </c>
      <c r="H242">
        <v>65</v>
      </c>
      <c r="I242" t="s">
        <v>28</v>
      </c>
      <c r="J242" s="4">
        <v>63.5</v>
      </c>
      <c r="K242" s="4">
        <v>148.1</v>
      </c>
      <c r="L242" s="4">
        <v>25.9</v>
      </c>
      <c r="M242">
        <v>14</v>
      </c>
      <c r="N242" t="s">
        <v>60</v>
      </c>
      <c r="O242">
        <v>6</v>
      </c>
      <c r="P242" s="4">
        <v>1714.7</v>
      </c>
      <c r="Q242" t="s">
        <v>30</v>
      </c>
      <c r="R242">
        <v>1</v>
      </c>
      <c r="S242" t="s">
        <v>31</v>
      </c>
      <c r="T242">
        <v>0</v>
      </c>
      <c r="U242">
        <v>1</v>
      </c>
      <c r="V242" t="s">
        <v>32</v>
      </c>
      <c r="W242" t="s">
        <v>39</v>
      </c>
      <c r="X242" s="4">
        <v>8.4</v>
      </c>
      <c r="Y242">
        <v>6</v>
      </c>
      <c r="Z242" s="5">
        <v>173.84</v>
      </c>
    </row>
    <row r="243" spans="1:26">
      <c r="A243">
        <v>242</v>
      </c>
      <c r="B243">
        <v>80</v>
      </c>
      <c r="C243" s="2">
        <v>46377</v>
      </c>
      <c r="D243" t="s">
        <v>46</v>
      </c>
      <c r="E243">
        <v>12</v>
      </c>
      <c r="F243" s="3">
        <v>8.7799999999999994</v>
      </c>
      <c r="G243" t="s">
        <v>27</v>
      </c>
      <c r="H243">
        <v>76</v>
      </c>
      <c r="I243" t="s">
        <v>28</v>
      </c>
      <c r="J243" s="4">
        <v>74.099999999999994</v>
      </c>
      <c r="K243" s="4">
        <v>235</v>
      </c>
      <c r="L243" s="4">
        <v>30.2</v>
      </c>
      <c r="M243">
        <v>16</v>
      </c>
      <c r="N243" t="s">
        <v>60</v>
      </c>
      <c r="O243">
        <v>4</v>
      </c>
      <c r="P243" s="4">
        <v>1939.9</v>
      </c>
      <c r="Q243" t="s">
        <v>48</v>
      </c>
      <c r="R243">
        <v>1</v>
      </c>
      <c r="S243" t="s">
        <v>38</v>
      </c>
      <c r="T243">
        <v>0</v>
      </c>
      <c r="U243">
        <v>0</v>
      </c>
      <c r="V243" t="s">
        <v>32</v>
      </c>
      <c r="W243" t="s">
        <v>39</v>
      </c>
      <c r="X243" s="4">
        <v>10.8</v>
      </c>
      <c r="Y243">
        <v>10</v>
      </c>
      <c r="Z243" s="5">
        <v>286.44</v>
      </c>
    </row>
    <row r="244" spans="1:26">
      <c r="A244">
        <v>243</v>
      </c>
      <c r="B244">
        <v>80</v>
      </c>
      <c r="C244" s="2">
        <v>46377</v>
      </c>
      <c r="D244" t="s">
        <v>46</v>
      </c>
      <c r="E244">
        <v>12</v>
      </c>
      <c r="F244" s="3">
        <v>8.5500000000000007</v>
      </c>
      <c r="G244" t="s">
        <v>27</v>
      </c>
      <c r="H244">
        <v>49</v>
      </c>
      <c r="I244" t="s">
        <v>28</v>
      </c>
      <c r="J244" s="4">
        <v>69</v>
      </c>
      <c r="K244" s="4">
        <v>211.2</v>
      </c>
      <c r="L244" s="4">
        <v>31.1</v>
      </c>
      <c r="M244">
        <v>18</v>
      </c>
      <c r="N244" t="s">
        <v>60</v>
      </c>
      <c r="O244">
        <v>4</v>
      </c>
      <c r="P244" s="4">
        <v>1939.9</v>
      </c>
      <c r="Q244" t="s">
        <v>48</v>
      </c>
      <c r="R244">
        <v>1</v>
      </c>
      <c r="S244" t="s">
        <v>38</v>
      </c>
      <c r="T244">
        <v>0</v>
      </c>
      <c r="U244">
        <v>0</v>
      </c>
      <c r="V244" t="s">
        <v>32</v>
      </c>
      <c r="W244" t="s">
        <v>39</v>
      </c>
      <c r="X244" s="4">
        <v>8.3000000000000007</v>
      </c>
      <c r="Y244">
        <v>4</v>
      </c>
      <c r="Z244" s="5">
        <v>236.46</v>
      </c>
    </row>
    <row r="245" spans="1:26">
      <c r="A245">
        <v>244</v>
      </c>
      <c r="B245">
        <v>80</v>
      </c>
      <c r="C245" s="2">
        <v>46377</v>
      </c>
      <c r="D245" t="s">
        <v>46</v>
      </c>
      <c r="E245">
        <v>12</v>
      </c>
      <c r="F245" s="3">
        <v>8.73</v>
      </c>
      <c r="G245" t="s">
        <v>27</v>
      </c>
      <c r="H245">
        <v>3</v>
      </c>
      <c r="I245" t="s">
        <v>34</v>
      </c>
      <c r="J245" s="4">
        <v>56.1</v>
      </c>
      <c r="K245" s="4">
        <v>84.8</v>
      </c>
      <c r="L245" s="4">
        <v>19.100000000000001</v>
      </c>
      <c r="M245">
        <v>13</v>
      </c>
      <c r="N245" t="s">
        <v>60</v>
      </c>
      <c r="O245">
        <v>4</v>
      </c>
      <c r="P245" s="4">
        <v>1939.9</v>
      </c>
      <c r="Q245" t="s">
        <v>48</v>
      </c>
      <c r="R245">
        <v>1</v>
      </c>
      <c r="S245" t="s">
        <v>38</v>
      </c>
      <c r="T245">
        <v>0</v>
      </c>
      <c r="U245">
        <v>0</v>
      </c>
      <c r="V245" t="s">
        <v>32</v>
      </c>
      <c r="W245" t="s">
        <v>39</v>
      </c>
      <c r="X245" s="4">
        <v>10.1</v>
      </c>
      <c r="Y245">
        <v>15</v>
      </c>
      <c r="Z245" s="5">
        <v>359.37</v>
      </c>
    </row>
    <row r="246" spans="1:26">
      <c r="A246">
        <v>245</v>
      </c>
      <c r="B246">
        <v>80</v>
      </c>
      <c r="C246" s="2">
        <v>46377</v>
      </c>
      <c r="D246" t="s">
        <v>46</v>
      </c>
      <c r="E246">
        <v>12</v>
      </c>
      <c r="F246" s="3">
        <v>8.74</v>
      </c>
      <c r="G246" t="s">
        <v>27</v>
      </c>
      <c r="H246">
        <v>57</v>
      </c>
      <c r="I246" t="s">
        <v>34</v>
      </c>
      <c r="J246" s="4">
        <v>66.8</v>
      </c>
      <c r="K246" s="4">
        <v>187.3</v>
      </c>
      <c r="L246" s="4">
        <v>29.5</v>
      </c>
      <c r="M246">
        <v>18</v>
      </c>
      <c r="N246" t="s">
        <v>60</v>
      </c>
      <c r="O246">
        <v>4</v>
      </c>
      <c r="P246" s="4">
        <v>1939.9</v>
      </c>
      <c r="Q246" t="s">
        <v>48</v>
      </c>
      <c r="R246">
        <v>1</v>
      </c>
      <c r="S246" t="s">
        <v>38</v>
      </c>
      <c r="T246">
        <v>0</v>
      </c>
      <c r="U246">
        <v>0</v>
      </c>
      <c r="V246" t="s">
        <v>32</v>
      </c>
      <c r="W246" t="s">
        <v>39</v>
      </c>
      <c r="X246" s="4">
        <v>9.8000000000000007</v>
      </c>
      <c r="Y246">
        <v>12</v>
      </c>
      <c r="Z246" s="5">
        <v>279.43</v>
      </c>
    </row>
    <row r="247" spans="1:26">
      <c r="A247">
        <v>246</v>
      </c>
      <c r="B247">
        <v>81</v>
      </c>
      <c r="C247" s="2">
        <v>46047</v>
      </c>
      <c r="D247" t="s">
        <v>58</v>
      </c>
      <c r="E247">
        <v>1</v>
      </c>
      <c r="F247" s="3">
        <v>12.63</v>
      </c>
      <c r="G247" t="s">
        <v>36</v>
      </c>
      <c r="H247">
        <v>66</v>
      </c>
      <c r="I247" t="s">
        <v>34</v>
      </c>
      <c r="J247" s="4">
        <v>64.7</v>
      </c>
      <c r="K247" s="4">
        <v>153.30000000000001</v>
      </c>
      <c r="L247" s="4">
        <v>25.7</v>
      </c>
      <c r="M247">
        <v>11</v>
      </c>
      <c r="N247" t="s">
        <v>61</v>
      </c>
      <c r="O247">
        <v>1</v>
      </c>
      <c r="P247" s="4">
        <v>1630.4</v>
      </c>
      <c r="Q247" t="s">
        <v>30</v>
      </c>
      <c r="R247">
        <v>1</v>
      </c>
      <c r="S247" t="s">
        <v>38</v>
      </c>
      <c r="T247">
        <v>1</v>
      </c>
      <c r="U247">
        <v>1</v>
      </c>
      <c r="V247" t="s">
        <v>32</v>
      </c>
      <c r="W247" t="s">
        <v>49</v>
      </c>
      <c r="X247" s="4">
        <v>11.1</v>
      </c>
      <c r="Y247">
        <v>11</v>
      </c>
      <c r="Z247" s="5">
        <v>258.14999999999998</v>
      </c>
    </row>
    <row r="248" spans="1:26">
      <c r="A248">
        <v>247</v>
      </c>
      <c r="B248">
        <v>82</v>
      </c>
      <c r="C248" s="2">
        <v>46211</v>
      </c>
      <c r="D248" t="s">
        <v>52</v>
      </c>
      <c r="E248">
        <v>7</v>
      </c>
      <c r="F248" s="3">
        <v>10.36</v>
      </c>
      <c r="G248" t="s">
        <v>27</v>
      </c>
      <c r="H248">
        <v>8</v>
      </c>
      <c r="I248" t="s">
        <v>34</v>
      </c>
      <c r="J248" s="4">
        <v>59.2</v>
      </c>
      <c r="K248" s="4">
        <v>77.2</v>
      </c>
      <c r="L248" s="4">
        <v>15.7</v>
      </c>
      <c r="M248">
        <v>12</v>
      </c>
      <c r="N248" t="s">
        <v>47</v>
      </c>
      <c r="O248">
        <v>4</v>
      </c>
      <c r="P248" s="4">
        <v>31</v>
      </c>
      <c r="Q248" t="s">
        <v>42</v>
      </c>
      <c r="R248">
        <v>0</v>
      </c>
      <c r="S248" t="s">
        <v>44</v>
      </c>
      <c r="T248">
        <v>0</v>
      </c>
      <c r="U248">
        <v>1</v>
      </c>
      <c r="V248" t="s">
        <v>32</v>
      </c>
      <c r="W248" t="s">
        <v>33</v>
      </c>
      <c r="X248" s="4">
        <v>6.5</v>
      </c>
      <c r="Y248">
        <v>9</v>
      </c>
      <c r="Z248" s="5">
        <v>168.26</v>
      </c>
    </row>
    <row r="249" spans="1:26">
      <c r="A249">
        <v>248</v>
      </c>
      <c r="B249">
        <v>82</v>
      </c>
      <c r="C249" s="2">
        <v>46211</v>
      </c>
      <c r="D249" t="s">
        <v>52</v>
      </c>
      <c r="E249">
        <v>7</v>
      </c>
      <c r="F249" s="3">
        <v>10.4</v>
      </c>
      <c r="G249" t="s">
        <v>27</v>
      </c>
      <c r="H249">
        <v>24</v>
      </c>
      <c r="I249" t="s">
        <v>34</v>
      </c>
      <c r="J249" s="4">
        <v>63.9</v>
      </c>
      <c r="K249" s="4">
        <v>141.80000000000001</v>
      </c>
      <c r="L249" s="4">
        <v>24</v>
      </c>
      <c r="M249">
        <v>16</v>
      </c>
      <c r="N249" t="s">
        <v>47</v>
      </c>
      <c r="O249">
        <v>4</v>
      </c>
      <c r="P249" s="4">
        <v>31</v>
      </c>
      <c r="Q249" t="s">
        <v>42</v>
      </c>
      <c r="R249">
        <v>0</v>
      </c>
      <c r="S249" t="s">
        <v>44</v>
      </c>
      <c r="T249">
        <v>0</v>
      </c>
      <c r="U249">
        <v>1</v>
      </c>
      <c r="V249" t="s">
        <v>32</v>
      </c>
      <c r="W249" t="s">
        <v>33</v>
      </c>
      <c r="X249" s="4">
        <v>7.5</v>
      </c>
      <c r="Y249">
        <v>5</v>
      </c>
      <c r="Z249" s="5">
        <v>118.65</v>
      </c>
    </row>
    <row r="250" spans="1:26">
      <c r="A250">
        <v>249</v>
      </c>
      <c r="B250">
        <v>82</v>
      </c>
      <c r="C250" s="2">
        <v>46211</v>
      </c>
      <c r="D250" t="s">
        <v>52</v>
      </c>
      <c r="E250">
        <v>7</v>
      </c>
      <c r="F250" s="3">
        <v>10.26</v>
      </c>
      <c r="G250" t="s">
        <v>27</v>
      </c>
      <c r="H250">
        <v>14</v>
      </c>
      <c r="I250" t="s">
        <v>28</v>
      </c>
      <c r="J250" s="4">
        <v>70</v>
      </c>
      <c r="K250" s="4">
        <v>134.5</v>
      </c>
      <c r="L250" s="4">
        <v>19.399999999999999</v>
      </c>
      <c r="M250">
        <v>12</v>
      </c>
      <c r="N250" t="s">
        <v>47</v>
      </c>
      <c r="O250">
        <v>4</v>
      </c>
      <c r="P250" s="4">
        <v>31</v>
      </c>
      <c r="Q250" t="s">
        <v>42</v>
      </c>
      <c r="R250">
        <v>0</v>
      </c>
      <c r="S250" t="s">
        <v>44</v>
      </c>
      <c r="T250">
        <v>0</v>
      </c>
      <c r="U250">
        <v>1</v>
      </c>
      <c r="V250" t="s">
        <v>32</v>
      </c>
      <c r="W250" t="s">
        <v>33</v>
      </c>
      <c r="X250" s="4">
        <v>8.4</v>
      </c>
      <c r="Y250">
        <v>11</v>
      </c>
      <c r="Z250" s="5">
        <v>344.17</v>
      </c>
    </row>
    <row r="251" spans="1:26">
      <c r="A251">
        <v>250</v>
      </c>
      <c r="B251">
        <v>82</v>
      </c>
      <c r="C251" s="2">
        <v>46211</v>
      </c>
      <c r="D251" t="s">
        <v>52</v>
      </c>
      <c r="E251">
        <v>7</v>
      </c>
      <c r="F251" s="3">
        <v>10.43</v>
      </c>
      <c r="G251" t="s">
        <v>27</v>
      </c>
      <c r="H251">
        <v>29</v>
      </c>
      <c r="I251" t="s">
        <v>34</v>
      </c>
      <c r="J251" s="4">
        <v>64</v>
      </c>
      <c r="K251" s="4">
        <v>174.9</v>
      </c>
      <c r="L251" s="4">
        <v>30</v>
      </c>
      <c r="M251">
        <v>15</v>
      </c>
      <c r="N251" t="s">
        <v>47</v>
      </c>
      <c r="O251">
        <v>4</v>
      </c>
      <c r="P251" s="4">
        <v>31</v>
      </c>
      <c r="Q251" t="s">
        <v>42</v>
      </c>
      <c r="R251">
        <v>0</v>
      </c>
      <c r="S251" t="s">
        <v>44</v>
      </c>
      <c r="T251">
        <v>0</v>
      </c>
      <c r="U251">
        <v>1</v>
      </c>
      <c r="V251" t="s">
        <v>32</v>
      </c>
      <c r="W251" t="s">
        <v>33</v>
      </c>
      <c r="X251" s="4">
        <v>9.1999999999999993</v>
      </c>
      <c r="Y251">
        <v>3</v>
      </c>
      <c r="Z251" s="5">
        <v>99.71</v>
      </c>
    </row>
    <row r="252" spans="1:26">
      <c r="A252">
        <v>251</v>
      </c>
      <c r="B252">
        <v>83</v>
      </c>
      <c r="C252" s="2">
        <v>46204</v>
      </c>
      <c r="D252" t="s">
        <v>52</v>
      </c>
      <c r="E252">
        <v>7</v>
      </c>
      <c r="F252" s="3">
        <v>10.96</v>
      </c>
      <c r="G252" t="s">
        <v>27</v>
      </c>
      <c r="H252">
        <v>25</v>
      </c>
      <c r="I252" t="s">
        <v>34</v>
      </c>
      <c r="J252" s="4">
        <v>61.7</v>
      </c>
      <c r="K252" s="4">
        <v>80.400000000000006</v>
      </c>
      <c r="L252" s="4">
        <v>14.8</v>
      </c>
      <c r="M252">
        <v>11</v>
      </c>
      <c r="N252" t="s">
        <v>61</v>
      </c>
      <c r="O252">
        <v>2</v>
      </c>
      <c r="P252" s="4">
        <v>1441.3</v>
      </c>
      <c r="Q252" t="s">
        <v>42</v>
      </c>
      <c r="R252">
        <v>1</v>
      </c>
      <c r="S252" t="s">
        <v>38</v>
      </c>
      <c r="T252">
        <v>0</v>
      </c>
      <c r="U252">
        <v>0</v>
      </c>
      <c r="V252" t="s">
        <v>32</v>
      </c>
      <c r="W252" t="s">
        <v>49</v>
      </c>
      <c r="X252" s="4">
        <v>9.4</v>
      </c>
      <c r="Y252">
        <v>3</v>
      </c>
      <c r="Z252" s="5">
        <v>217.58</v>
      </c>
    </row>
    <row r="253" spans="1:26">
      <c r="A253">
        <v>252</v>
      </c>
      <c r="B253">
        <v>83</v>
      </c>
      <c r="C253" s="2">
        <v>46204</v>
      </c>
      <c r="D253" t="s">
        <v>52</v>
      </c>
      <c r="E253">
        <v>7</v>
      </c>
      <c r="F253" s="3">
        <v>11.07</v>
      </c>
      <c r="G253" t="s">
        <v>36</v>
      </c>
      <c r="H253">
        <v>64</v>
      </c>
      <c r="I253" t="s">
        <v>34</v>
      </c>
      <c r="J253" s="4">
        <v>63.2</v>
      </c>
      <c r="K253" s="4">
        <v>121.7</v>
      </c>
      <c r="L253" s="4">
        <v>21.5</v>
      </c>
      <c r="M253">
        <v>15</v>
      </c>
      <c r="N253" t="s">
        <v>61</v>
      </c>
      <c r="O253">
        <v>2</v>
      </c>
      <c r="P253" s="4">
        <v>1441.3</v>
      </c>
      <c r="Q253" t="s">
        <v>42</v>
      </c>
      <c r="R253">
        <v>1</v>
      </c>
      <c r="S253" t="s">
        <v>38</v>
      </c>
      <c r="T253">
        <v>0</v>
      </c>
      <c r="U253">
        <v>0</v>
      </c>
      <c r="V253" t="s">
        <v>32</v>
      </c>
      <c r="W253" t="s">
        <v>49</v>
      </c>
      <c r="X253" s="4">
        <v>7.4</v>
      </c>
      <c r="Y253">
        <v>6</v>
      </c>
      <c r="Z253" s="5">
        <v>316.7</v>
      </c>
    </row>
    <row r="254" spans="1:26">
      <c r="A254">
        <v>253</v>
      </c>
      <c r="B254">
        <v>84</v>
      </c>
      <c r="C254" s="2">
        <v>46206</v>
      </c>
      <c r="D254" t="s">
        <v>26</v>
      </c>
      <c r="E254">
        <v>7</v>
      </c>
      <c r="F254" s="3">
        <v>11.72</v>
      </c>
      <c r="G254" t="s">
        <v>36</v>
      </c>
      <c r="H254">
        <v>6</v>
      </c>
      <c r="I254" t="s">
        <v>28</v>
      </c>
      <c r="J254" s="4">
        <v>56.5</v>
      </c>
      <c r="K254" s="4">
        <v>87.8</v>
      </c>
      <c r="L254" s="4">
        <v>19.5</v>
      </c>
      <c r="M254">
        <v>10</v>
      </c>
      <c r="N254" t="s">
        <v>47</v>
      </c>
      <c r="O254">
        <v>4</v>
      </c>
      <c r="P254" s="4">
        <v>111.9</v>
      </c>
      <c r="Q254" t="s">
        <v>42</v>
      </c>
      <c r="R254">
        <v>0</v>
      </c>
      <c r="S254" t="s">
        <v>44</v>
      </c>
      <c r="T254">
        <v>0</v>
      </c>
      <c r="U254">
        <v>0</v>
      </c>
      <c r="V254" t="s">
        <v>32</v>
      </c>
      <c r="W254" t="s">
        <v>43</v>
      </c>
      <c r="X254" s="4">
        <v>8.6999999999999993</v>
      </c>
      <c r="Y254">
        <v>7</v>
      </c>
      <c r="Z254" s="5">
        <v>296.35000000000002</v>
      </c>
    </row>
    <row r="255" spans="1:26">
      <c r="A255">
        <v>254</v>
      </c>
      <c r="B255">
        <v>84</v>
      </c>
      <c r="C255" s="2">
        <v>46206</v>
      </c>
      <c r="D255" t="s">
        <v>26</v>
      </c>
      <c r="E255">
        <v>7</v>
      </c>
      <c r="F255" s="3">
        <v>11.62</v>
      </c>
      <c r="G255" t="s">
        <v>36</v>
      </c>
      <c r="H255">
        <v>55</v>
      </c>
      <c r="I255" t="s">
        <v>28</v>
      </c>
      <c r="J255" s="4">
        <v>65.8</v>
      </c>
      <c r="K255" s="4">
        <v>155.80000000000001</v>
      </c>
      <c r="L255" s="4">
        <v>25</v>
      </c>
      <c r="M255">
        <v>13</v>
      </c>
      <c r="N255" t="s">
        <v>47</v>
      </c>
      <c r="O255">
        <v>4</v>
      </c>
      <c r="P255" s="4">
        <v>111.9</v>
      </c>
      <c r="Q255" t="s">
        <v>42</v>
      </c>
      <c r="R255">
        <v>0</v>
      </c>
      <c r="S255" t="s">
        <v>44</v>
      </c>
      <c r="T255">
        <v>0</v>
      </c>
      <c r="U255">
        <v>0</v>
      </c>
      <c r="V255" t="s">
        <v>32</v>
      </c>
      <c r="W255" t="s">
        <v>43</v>
      </c>
      <c r="X255" s="4">
        <v>7.2</v>
      </c>
      <c r="Y255">
        <v>13</v>
      </c>
      <c r="Z255" s="5">
        <v>303.81</v>
      </c>
    </row>
    <row r="256" spans="1:26">
      <c r="A256">
        <v>255</v>
      </c>
      <c r="B256">
        <v>84</v>
      </c>
      <c r="C256" s="2">
        <v>46206</v>
      </c>
      <c r="D256" t="s">
        <v>26</v>
      </c>
      <c r="E256">
        <v>7</v>
      </c>
      <c r="F256" s="3">
        <v>11.57</v>
      </c>
      <c r="G256" t="s">
        <v>36</v>
      </c>
      <c r="H256">
        <v>68</v>
      </c>
      <c r="I256" t="s">
        <v>34</v>
      </c>
      <c r="J256" s="4">
        <v>62.7</v>
      </c>
      <c r="K256" s="4">
        <v>119.8</v>
      </c>
      <c r="L256" s="4">
        <v>21.4</v>
      </c>
      <c r="M256">
        <v>13</v>
      </c>
      <c r="N256" t="s">
        <v>47</v>
      </c>
      <c r="O256">
        <v>4</v>
      </c>
      <c r="P256" s="4">
        <v>111.9</v>
      </c>
      <c r="Q256" t="s">
        <v>42</v>
      </c>
      <c r="R256">
        <v>0</v>
      </c>
      <c r="S256" t="s">
        <v>44</v>
      </c>
      <c r="T256">
        <v>0</v>
      </c>
      <c r="U256">
        <v>0</v>
      </c>
      <c r="V256" t="s">
        <v>32</v>
      </c>
      <c r="W256" t="s">
        <v>43</v>
      </c>
      <c r="X256" s="4">
        <v>5.3</v>
      </c>
      <c r="Y256">
        <v>0</v>
      </c>
      <c r="Z256" s="5">
        <v>122.01</v>
      </c>
    </row>
    <row r="257" spans="1:26">
      <c r="A257">
        <v>256</v>
      </c>
      <c r="B257">
        <v>84</v>
      </c>
      <c r="C257" s="2">
        <v>46206</v>
      </c>
      <c r="D257" t="s">
        <v>26</v>
      </c>
      <c r="E257">
        <v>7</v>
      </c>
      <c r="F257" s="3">
        <v>11.54</v>
      </c>
      <c r="G257" t="s">
        <v>36</v>
      </c>
      <c r="H257">
        <v>9</v>
      </c>
      <c r="I257" t="s">
        <v>28</v>
      </c>
      <c r="J257" s="4">
        <v>66.900000000000006</v>
      </c>
      <c r="K257" s="4">
        <v>134.6</v>
      </c>
      <c r="L257" s="4">
        <v>21.5</v>
      </c>
      <c r="M257">
        <v>11</v>
      </c>
      <c r="N257" t="s">
        <v>47</v>
      </c>
      <c r="O257">
        <v>4</v>
      </c>
      <c r="P257" s="4">
        <v>111.9</v>
      </c>
      <c r="Q257" t="s">
        <v>42</v>
      </c>
      <c r="R257">
        <v>0</v>
      </c>
      <c r="S257" t="s">
        <v>44</v>
      </c>
      <c r="T257">
        <v>0</v>
      </c>
      <c r="U257">
        <v>0</v>
      </c>
      <c r="V257" t="s">
        <v>32</v>
      </c>
      <c r="W257" t="s">
        <v>43</v>
      </c>
      <c r="X257" s="4">
        <v>11.5</v>
      </c>
      <c r="Y257">
        <v>7</v>
      </c>
      <c r="Z257" s="5">
        <v>210.18</v>
      </c>
    </row>
    <row r="258" spans="1:26">
      <c r="A258">
        <v>257</v>
      </c>
      <c r="B258">
        <v>85</v>
      </c>
      <c r="C258" s="2">
        <v>46052</v>
      </c>
      <c r="D258" t="s">
        <v>26</v>
      </c>
      <c r="E258">
        <v>1</v>
      </c>
      <c r="F258" s="3">
        <v>10.31</v>
      </c>
      <c r="G258" t="s">
        <v>27</v>
      </c>
      <c r="H258">
        <v>62</v>
      </c>
      <c r="I258" t="s">
        <v>28</v>
      </c>
      <c r="J258" s="4">
        <v>65.3</v>
      </c>
      <c r="K258" s="4">
        <v>165.9</v>
      </c>
      <c r="L258" s="4">
        <v>27.5</v>
      </c>
      <c r="M258">
        <v>12</v>
      </c>
      <c r="N258" t="s">
        <v>47</v>
      </c>
      <c r="O258">
        <v>3</v>
      </c>
      <c r="P258" s="4">
        <v>27.4</v>
      </c>
      <c r="Q258" t="s">
        <v>42</v>
      </c>
      <c r="R258">
        <v>0</v>
      </c>
      <c r="S258" t="s">
        <v>31</v>
      </c>
      <c r="T258">
        <v>0</v>
      </c>
      <c r="U258">
        <v>1</v>
      </c>
      <c r="V258" t="s">
        <v>32</v>
      </c>
      <c r="W258" t="s">
        <v>33</v>
      </c>
      <c r="X258" s="4">
        <v>11.1</v>
      </c>
      <c r="Y258">
        <v>12</v>
      </c>
      <c r="Z258" s="5">
        <v>282.41000000000003</v>
      </c>
    </row>
    <row r="259" spans="1:26">
      <c r="A259">
        <v>258</v>
      </c>
      <c r="B259">
        <v>85</v>
      </c>
      <c r="C259" s="2">
        <v>46052</v>
      </c>
      <c r="D259" t="s">
        <v>26</v>
      </c>
      <c r="E259">
        <v>1</v>
      </c>
      <c r="F259" s="3">
        <v>10.35</v>
      </c>
      <c r="G259" t="s">
        <v>27</v>
      </c>
      <c r="H259">
        <v>18</v>
      </c>
      <c r="I259" t="s">
        <v>34</v>
      </c>
      <c r="J259" s="4">
        <v>62.7</v>
      </c>
      <c r="K259" s="4">
        <v>181.5</v>
      </c>
      <c r="L259" s="4">
        <v>32.6</v>
      </c>
      <c r="M259">
        <v>15</v>
      </c>
      <c r="N259" t="s">
        <v>47</v>
      </c>
      <c r="O259">
        <v>3</v>
      </c>
      <c r="P259" s="4">
        <v>27.4</v>
      </c>
      <c r="Q259" t="s">
        <v>42</v>
      </c>
      <c r="R259">
        <v>0</v>
      </c>
      <c r="S259" t="s">
        <v>31</v>
      </c>
      <c r="T259">
        <v>0</v>
      </c>
      <c r="U259">
        <v>1</v>
      </c>
      <c r="V259" t="s">
        <v>32</v>
      </c>
      <c r="W259" t="s">
        <v>33</v>
      </c>
      <c r="X259" s="4">
        <v>8.3000000000000007</v>
      </c>
      <c r="Y259">
        <v>12</v>
      </c>
      <c r="Z259" s="5">
        <v>241.84</v>
      </c>
    </row>
    <row r="260" spans="1:26">
      <c r="A260">
        <v>259</v>
      </c>
      <c r="B260">
        <v>85</v>
      </c>
      <c r="C260" s="2">
        <v>46052</v>
      </c>
      <c r="D260" t="s">
        <v>26</v>
      </c>
      <c r="E260">
        <v>1</v>
      </c>
      <c r="F260" s="3">
        <v>10.55</v>
      </c>
      <c r="G260" t="s">
        <v>27</v>
      </c>
      <c r="H260">
        <v>45</v>
      </c>
      <c r="I260" t="s">
        <v>28</v>
      </c>
      <c r="J260" s="4">
        <v>71.900000000000006</v>
      </c>
      <c r="K260" s="4">
        <v>176.7</v>
      </c>
      <c r="L260" s="4">
        <v>24.1</v>
      </c>
      <c r="M260">
        <v>14</v>
      </c>
      <c r="N260" t="s">
        <v>47</v>
      </c>
      <c r="O260">
        <v>3</v>
      </c>
      <c r="P260" s="4">
        <v>27.4</v>
      </c>
      <c r="Q260" t="s">
        <v>42</v>
      </c>
      <c r="R260">
        <v>0</v>
      </c>
      <c r="S260" t="s">
        <v>31</v>
      </c>
      <c r="T260">
        <v>0</v>
      </c>
      <c r="U260">
        <v>1</v>
      </c>
      <c r="V260" t="s">
        <v>32</v>
      </c>
      <c r="W260" t="s">
        <v>33</v>
      </c>
      <c r="X260" s="4">
        <v>9.1</v>
      </c>
      <c r="Y260">
        <v>8</v>
      </c>
      <c r="Z260" s="5">
        <v>283.93</v>
      </c>
    </row>
    <row r="261" spans="1:26">
      <c r="A261">
        <v>260</v>
      </c>
      <c r="B261">
        <v>86</v>
      </c>
      <c r="C261" s="2">
        <v>46063</v>
      </c>
      <c r="D261" t="s">
        <v>35</v>
      </c>
      <c r="E261">
        <v>2</v>
      </c>
      <c r="F261" s="3">
        <v>7.65</v>
      </c>
      <c r="G261" t="s">
        <v>27</v>
      </c>
      <c r="H261">
        <v>8</v>
      </c>
      <c r="I261" t="s">
        <v>34</v>
      </c>
      <c r="J261" s="4">
        <v>59.5</v>
      </c>
      <c r="K261" s="4">
        <v>93.2</v>
      </c>
      <c r="L261" s="4">
        <v>18.5</v>
      </c>
      <c r="M261">
        <v>14</v>
      </c>
      <c r="N261" t="s">
        <v>50</v>
      </c>
      <c r="O261">
        <v>2</v>
      </c>
      <c r="P261" s="4">
        <v>410</v>
      </c>
      <c r="Q261" t="s">
        <v>42</v>
      </c>
      <c r="R261">
        <v>0</v>
      </c>
      <c r="S261" t="s">
        <v>44</v>
      </c>
      <c r="T261">
        <v>0</v>
      </c>
      <c r="U261">
        <v>0</v>
      </c>
      <c r="V261" t="s">
        <v>32</v>
      </c>
      <c r="W261" t="s">
        <v>57</v>
      </c>
      <c r="X261" s="4">
        <v>8.6999999999999993</v>
      </c>
      <c r="Y261">
        <v>12</v>
      </c>
      <c r="Z261" s="5">
        <v>268.07</v>
      </c>
    </row>
    <row r="262" spans="1:26">
      <c r="A262">
        <v>261</v>
      </c>
      <c r="B262">
        <v>86</v>
      </c>
      <c r="C262" s="2">
        <v>46063</v>
      </c>
      <c r="D262" t="s">
        <v>35</v>
      </c>
      <c r="E262">
        <v>2</v>
      </c>
      <c r="F262" s="3">
        <v>7.81</v>
      </c>
      <c r="G262" t="s">
        <v>27</v>
      </c>
      <c r="H262">
        <v>31</v>
      </c>
      <c r="I262" t="s">
        <v>28</v>
      </c>
      <c r="J262" s="4">
        <v>64.8</v>
      </c>
      <c r="K262" s="4">
        <v>149.9</v>
      </c>
      <c r="L262" s="4">
        <v>24.8</v>
      </c>
      <c r="M262">
        <v>16</v>
      </c>
      <c r="N262" t="s">
        <v>50</v>
      </c>
      <c r="O262">
        <v>2</v>
      </c>
      <c r="P262" s="4">
        <v>410</v>
      </c>
      <c r="Q262" t="s">
        <v>42</v>
      </c>
      <c r="R262">
        <v>0</v>
      </c>
      <c r="S262" t="s">
        <v>44</v>
      </c>
      <c r="T262">
        <v>0</v>
      </c>
      <c r="U262">
        <v>0</v>
      </c>
      <c r="V262" t="s">
        <v>32</v>
      </c>
      <c r="W262" t="s">
        <v>57</v>
      </c>
      <c r="X262" s="4">
        <v>9.1</v>
      </c>
      <c r="Y262">
        <v>11</v>
      </c>
      <c r="Z262" s="5">
        <v>199.86</v>
      </c>
    </row>
    <row r="263" spans="1:26">
      <c r="A263">
        <v>262</v>
      </c>
      <c r="B263">
        <v>87</v>
      </c>
      <c r="C263" s="2">
        <v>46243</v>
      </c>
      <c r="D263" t="s">
        <v>58</v>
      </c>
      <c r="E263">
        <v>8</v>
      </c>
      <c r="F263" s="3">
        <v>11.07</v>
      </c>
      <c r="G263" t="s">
        <v>36</v>
      </c>
      <c r="H263">
        <v>29</v>
      </c>
      <c r="I263" t="s">
        <v>34</v>
      </c>
      <c r="J263" s="4">
        <v>63.5</v>
      </c>
      <c r="K263" s="4">
        <v>170.1</v>
      </c>
      <c r="L263" s="4">
        <v>29.8</v>
      </c>
      <c r="M263">
        <v>15</v>
      </c>
      <c r="N263" t="s">
        <v>61</v>
      </c>
      <c r="O263">
        <v>4</v>
      </c>
      <c r="P263" s="4">
        <v>1541.9</v>
      </c>
      <c r="Q263" t="s">
        <v>42</v>
      </c>
      <c r="R263">
        <v>0</v>
      </c>
      <c r="S263" t="s">
        <v>38</v>
      </c>
      <c r="T263">
        <v>0</v>
      </c>
      <c r="U263">
        <v>0</v>
      </c>
      <c r="V263" t="s">
        <v>32</v>
      </c>
      <c r="W263" t="s">
        <v>39</v>
      </c>
      <c r="X263" s="4">
        <v>6.6</v>
      </c>
      <c r="Y263">
        <v>6</v>
      </c>
      <c r="Z263" s="5">
        <v>170.86</v>
      </c>
    </row>
    <row r="264" spans="1:26">
      <c r="A264">
        <v>263</v>
      </c>
      <c r="B264">
        <v>87</v>
      </c>
      <c r="C264" s="2">
        <v>46243</v>
      </c>
      <c r="D264" t="s">
        <v>58</v>
      </c>
      <c r="E264">
        <v>8</v>
      </c>
      <c r="F264" s="3">
        <v>11.2</v>
      </c>
      <c r="G264" t="s">
        <v>36</v>
      </c>
      <c r="H264">
        <v>54</v>
      </c>
      <c r="I264" t="s">
        <v>28</v>
      </c>
      <c r="J264" s="4">
        <v>67.8</v>
      </c>
      <c r="K264" s="4">
        <v>125.4</v>
      </c>
      <c r="L264" s="4">
        <v>19.100000000000001</v>
      </c>
      <c r="M264">
        <v>17</v>
      </c>
      <c r="N264" t="s">
        <v>61</v>
      </c>
      <c r="O264">
        <v>4</v>
      </c>
      <c r="P264" s="4">
        <v>1541.9</v>
      </c>
      <c r="Q264" t="s">
        <v>42</v>
      </c>
      <c r="R264">
        <v>0</v>
      </c>
      <c r="S264" t="s">
        <v>38</v>
      </c>
      <c r="T264">
        <v>0</v>
      </c>
      <c r="U264">
        <v>0</v>
      </c>
      <c r="V264" t="s">
        <v>32</v>
      </c>
      <c r="W264" t="s">
        <v>39</v>
      </c>
      <c r="X264" s="4">
        <v>8.8000000000000007</v>
      </c>
      <c r="Y264">
        <v>12</v>
      </c>
      <c r="Z264" s="5">
        <v>207.51</v>
      </c>
    </row>
    <row r="265" spans="1:26">
      <c r="A265">
        <v>264</v>
      </c>
      <c r="B265">
        <v>87</v>
      </c>
      <c r="C265" s="2">
        <v>46243</v>
      </c>
      <c r="D265" t="s">
        <v>58</v>
      </c>
      <c r="E265">
        <v>8</v>
      </c>
      <c r="F265" s="3">
        <v>11.01</v>
      </c>
      <c r="G265" t="s">
        <v>36</v>
      </c>
      <c r="H265">
        <v>40</v>
      </c>
      <c r="I265" t="s">
        <v>28</v>
      </c>
      <c r="J265" s="4">
        <v>71.5</v>
      </c>
      <c r="K265" s="4">
        <v>136.1</v>
      </c>
      <c r="L265" s="4">
        <v>18.8</v>
      </c>
      <c r="M265">
        <v>16</v>
      </c>
      <c r="N265" t="s">
        <v>61</v>
      </c>
      <c r="O265">
        <v>4</v>
      </c>
      <c r="P265" s="4">
        <v>1541.9</v>
      </c>
      <c r="Q265" t="s">
        <v>42</v>
      </c>
      <c r="R265">
        <v>0</v>
      </c>
      <c r="S265" t="s">
        <v>38</v>
      </c>
      <c r="T265">
        <v>0</v>
      </c>
      <c r="U265">
        <v>0</v>
      </c>
      <c r="V265" t="s">
        <v>32</v>
      </c>
      <c r="W265" t="s">
        <v>39</v>
      </c>
      <c r="X265" s="4">
        <v>9.5</v>
      </c>
      <c r="Y265">
        <v>10</v>
      </c>
      <c r="Z265" s="5">
        <v>231.93</v>
      </c>
    </row>
    <row r="266" spans="1:26">
      <c r="A266">
        <v>265</v>
      </c>
      <c r="B266">
        <v>87</v>
      </c>
      <c r="C266" s="2">
        <v>46243</v>
      </c>
      <c r="D266" t="s">
        <v>58</v>
      </c>
      <c r="E266">
        <v>8</v>
      </c>
      <c r="F266" s="3">
        <v>11.13</v>
      </c>
      <c r="G266" t="s">
        <v>36</v>
      </c>
      <c r="H266">
        <v>18</v>
      </c>
      <c r="I266" t="s">
        <v>34</v>
      </c>
      <c r="J266" s="4">
        <v>65.099999999999994</v>
      </c>
      <c r="K266" s="4">
        <v>140.69999999999999</v>
      </c>
      <c r="L266" s="4">
        <v>23.3</v>
      </c>
      <c r="M266">
        <v>13</v>
      </c>
      <c r="N266" t="s">
        <v>61</v>
      </c>
      <c r="O266">
        <v>4</v>
      </c>
      <c r="P266" s="4">
        <v>1541.9</v>
      </c>
      <c r="Q266" t="s">
        <v>42</v>
      </c>
      <c r="R266">
        <v>0</v>
      </c>
      <c r="S266" t="s">
        <v>38</v>
      </c>
      <c r="T266">
        <v>0</v>
      </c>
      <c r="U266">
        <v>0</v>
      </c>
      <c r="V266" t="s">
        <v>32</v>
      </c>
      <c r="W266" t="s">
        <v>39</v>
      </c>
      <c r="X266" s="4">
        <v>7.8</v>
      </c>
      <c r="Y266">
        <v>9</v>
      </c>
      <c r="Z266" s="5">
        <v>189.67</v>
      </c>
    </row>
    <row r="267" spans="1:26">
      <c r="A267">
        <v>266</v>
      </c>
      <c r="B267">
        <v>88</v>
      </c>
      <c r="C267" s="2">
        <v>46159</v>
      </c>
      <c r="D267" t="s">
        <v>58</v>
      </c>
      <c r="E267">
        <v>5</v>
      </c>
      <c r="F267" s="3">
        <v>10.61</v>
      </c>
      <c r="G267" t="s">
        <v>27</v>
      </c>
      <c r="H267">
        <v>27</v>
      </c>
      <c r="I267" t="s">
        <v>34</v>
      </c>
      <c r="J267" s="4">
        <v>65.8</v>
      </c>
      <c r="K267" s="4">
        <v>152.6</v>
      </c>
      <c r="L267" s="4">
        <v>24.6</v>
      </c>
      <c r="M267">
        <v>15</v>
      </c>
      <c r="N267" t="s">
        <v>59</v>
      </c>
      <c r="O267">
        <v>5</v>
      </c>
      <c r="P267" s="4">
        <v>840.6</v>
      </c>
      <c r="Q267" t="s">
        <v>42</v>
      </c>
      <c r="R267">
        <v>1</v>
      </c>
      <c r="S267" t="s">
        <v>31</v>
      </c>
      <c r="T267">
        <v>0</v>
      </c>
      <c r="U267">
        <v>0</v>
      </c>
      <c r="V267" t="s">
        <v>32</v>
      </c>
      <c r="W267" t="s">
        <v>39</v>
      </c>
      <c r="X267" s="4">
        <v>8.4</v>
      </c>
      <c r="Y267">
        <v>9</v>
      </c>
      <c r="Z267" s="5">
        <v>263.12</v>
      </c>
    </row>
    <row r="268" spans="1:26">
      <c r="A268">
        <v>267</v>
      </c>
      <c r="B268">
        <v>88</v>
      </c>
      <c r="C268" s="2">
        <v>46159</v>
      </c>
      <c r="D268" t="s">
        <v>58</v>
      </c>
      <c r="E268">
        <v>5</v>
      </c>
      <c r="F268" s="3">
        <v>10.88</v>
      </c>
      <c r="G268" t="s">
        <v>27</v>
      </c>
      <c r="H268">
        <v>68</v>
      </c>
      <c r="I268" t="s">
        <v>34</v>
      </c>
      <c r="J268" s="4">
        <v>64.3</v>
      </c>
      <c r="K268" s="4">
        <v>171.9</v>
      </c>
      <c r="L268" s="4">
        <v>29.1</v>
      </c>
      <c r="M268">
        <v>17</v>
      </c>
      <c r="N268" t="s">
        <v>59</v>
      </c>
      <c r="O268">
        <v>5</v>
      </c>
      <c r="P268" s="4">
        <v>840.6</v>
      </c>
      <c r="Q268" t="s">
        <v>42</v>
      </c>
      <c r="R268">
        <v>1</v>
      </c>
      <c r="S268" t="s">
        <v>31</v>
      </c>
      <c r="T268">
        <v>0</v>
      </c>
      <c r="U268">
        <v>0</v>
      </c>
      <c r="V268" t="s">
        <v>32</v>
      </c>
      <c r="W268" t="s">
        <v>39</v>
      </c>
      <c r="X268" s="4">
        <v>7.7</v>
      </c>
      <c r="Y268">
        <v>7</v>
      </c>
      <c r="Z268" s="5">
        <v>192.48</v>
      </c>
    </row>
    <row r="269" spans="1:26">
      <c r="A269">
        <v>268</v>
      </c>
      <c r="B269">
        <v>88</v>
      </c>
      <c r="C269" s="2">
        <v>46159</v>
      </c>
      <c r="D269" t="s">
        <v>58</v>
      </c>
      <c r="E269">
        <v>5</v>
      </c>
      <c r="F269" s="3">
        <v>10.84</v>
      </c>
      <c r="G269" t="s">
        <v>27</v>
      </c>
      <c r="H269">
        <v>5</v>
      </c>
      <c r="I269" t="s">
        <v>34</v>
      </c>
      <c r="J269" s="4">
        <v>54.2</v>
      </c>
      <c r="K269" s="4">
        <v>97</v>
      </c>
      <c r="L269" s="4">
        <v>22.8</v>
      </c>
      <c r="M269">
        <v>15</v>
      </c>
      <c r="N269" t="s">
        <v>59</v>
      </c>
      <c r="O269">
        <v>5</v>
      </c>
      <c r="P269" s="4">
        <v>840.6</v>
      </c>
      <c r="Q269" t="s">
        <v>42</v>
      </c>
      <c r="R269">
        <v>1</v>
      </c>
      <c r="S269" t="s">
        <v>31</v>
      </c>
      <c r="T269">
        <v>0</v>
      </c>
      <c r="U269">
        <v>0</v>
      </c>
      <c r="V269" t="s">
        <v>32</v>
      </c>
      <c r="W269" t="s">
        <v>39</v>
      </c>
      <c r="X269" s="4">
        <v>8.3000000000000007</v>
      </c>
      <c r="Y269">
        <v>4</v>
      </c>
      <c r="Z269" s="5">
        <v>184.66</v>
      </c>
    </row>
    <row r="270" spans="1:26">
      <c r="A270">
        <v>269</v>
      </c>
      <c r="B270">
        <v>88</v>
      </c>
      <c r="C270" s="2">
        <v>46159</v>
      </c>
      <c r="D270" t="s">
        <v>58</v>
      </c>
      <c r="E270">
        <v>5</v>
      </c>
      <c r="F270" s="3">
        <v>10.72</v>
      </c>
      <c r="G270" t="s">
        <v>27</v>
      </c>
      <c r="H270">
        <v>58</v>
      </c>
      <c r="I270" t="s">
        <v>28</v>
      </c>
      <c r="J270" s="4">
        <v>69.3</v>
      </c>
      <c r="K270" s="4">
        <v>191</v>
      </c>
      <c r="L270" s="4">
        <v>27.9</v>
      </c>
      <c r="M270">
        <v>19</v>
      </c>
      <c r="N270" t="s">
        <v>59</v>
      </c>
      <c r="O270">
        <v>5</v>
      </c>
      <c r="P270" s="4">
        <v>840.6</v>
      </c>
      <c r="Q270" t="s">
        <v>42</v>
      </c>
      <c r="R270">
        <v>1</v>
      </c>
      <c r="S270" t="s">
        <v>31</v>
      </c>
      <c r="T270">
        <v>0</v>
      </c>
      <c r="U270">
        <v>0</v>
      </c>
      <c r="V270" t="s">
        <v>32</v>
      </c>
      <c r="W270" t="s">
        <v>39</v>
      </c>
      <c r="X270" s="4">
        <v>8.9</v>
      </c>
      <c r="Y270">
        <v>6</v>
      </c>
      <c r="Z270" s="5">
        <v>197.87</v>
      </c>
    </row>
    <row r="271" spans="1:26">
      <c r="A271">
        <v>270</v>
      </c>
      <c r="B271">
        <v>88</v>
      </c>
      <c r="C271" s="2">
        <v>46159</v>
      </c>
      <c r="D271" t="s">
        <v>58</v>
      </c>
      <c r="E271">
        <v>5</v>
      </c>
      <c r="F271" s="3">
        <v>10.81</v>
      </c>
      <c r="G271" t="s">
        <v>27</v>
      </c>
      <c r="H271">
        <v>7</v>
      </c>
      <c r="I271" t="s">
        <v>51</v>
      </c>
      <c r="J271" s="4">
        <v>60.7</v>
      </c>
      <c r="K271" s="4">
        <v>111.5</v>
      </c>
      <c r="L271" s="4">
        <v>21.2</v>
      </c>
      <c r="M271">
        <v>12</v>
      </c>
      <c r="N271" t="s">
        <v>59</v>
      </c>
      <c r="O271">
        <v>5</v>
      </c>
      <c r="P271" s="4">
        <v>840.6</v>
      </c>
      <c r="Q271" t="s">
        <v>42</v>
      </c>
      <c r="R271">
        <v>1</v>
      </c>
      <c r="S271" t="s">
        <v>31</v>
      </c>
      <c r="T271">
        <v>0</v>
      </c>
      <c r="U271">
        <v>0</v>
      </c>
      <c r="V271" t="s">
        <v>32</v>
      </c>
      <c r="W271" t="s">
        <v>39</v>
      </c>
      <c r="X271" s="4">
        <v>6.8</v>
      </c>
      <c r="Y271">
        <v>6</v>
      </c>
      <c r="Z271" s="5">
        <v>139.01</v>
      </c>
    </row>
    <row r="272" spans="1:26">
      <c r="A272">
        <v>271</v>
      </c>
      <c r="B272">
        <v>89</v>
      </c>
      <c r="C272" s="2">
        <v>46264</v>
      </c>
      <c r="D272" t="s">
        <v>58</v>
      </c>
      <c r="E272">
        <v>8</v>
      </c>
      <c r="F272" s="3">
        <v>10.34</v>
      </c>
      <c r="G272" t="s">
        <v>27</v>
      </c>
      <c r="H272">
        <v>18</v>
      </c>
      <c r="I272" t="s">
        <v>28</v>
      </c>
      <c r="J272" s="4">
        <v>70.400000000000006</v>
      </c>
      <c r="K272" s="4">
        <v>174.8</v>
      </c>
      <c r="L272" s="4">
        <v>24.9</v>
      </c>
      <c r="M272">
        <v>13</v>
      </c>
      <c r="N272" t="s">
        <v>54</v>
      </c>
      <c r="O272">
        <v>1</v>
      </c>
      <c r="P272" s="4">
        <v>2368.1999999999998</v>
      </c>
      <c r="Q272" t="s">
        <v>42</v>
      </c>
      <c r="R272">
        <v>1</v>
      </c>
      <c r="S272" t="s">
        <v>44</v>
      </c>
      <c r="T272">
        <v>1</v>
      </c>
      <c r="U272">
        <v>1</v>
      </c>
      <c r="V272" t="s">
        <v>32</v>
      </c>
      <c r="W272" t="s">
        <v>43</v>
      </c>
      <c r="X272" s="4">
        <v>7.7</v>
      </c>
      <c r="Y272">
        <v>7</v>
      </c>
      <c r="Z272" s="5">
        <v>235.12</v>
      </c>
    </row>
    <row r="273" spans="1:26">
      <c r="A273">
        <v>272</v>
      </c>
      <c r="B273">
        <v>90</v>
      </c>
      <c r="C273" s="2">
        <v>46309</v>
      </c>
      <c r="D273" t="s">
        <v>52</v>
      </c>
      <c r="E273">
        <v>10</v>
      </c>
      <c r="F273" s="3">
        <v>10.97</v>
      </c>
      <c r="G273" t="s">
        <v>27</v>
      </c>
      <c r="H273">
        <v>65</v>
      </c>
      <c r="I273" t="s">
        <v>28</v>
      </c>
      <c r="J273" s="4">
        <v>66.8</v>
      </c>
      <c r="K273" s="4">
        <v>170.1</v>
      </c>
      <c r="L273" s="4">
        <v>26.7</v>
      </c>
      <c r="M273">
        <v>18</v>
      </c>
      <c r="N273" t="s">
        <v>54</v>
      </c>
      <c r="O273">
        <v>4</v>
      </c>
      <c r="P273" s="4">
        <v>2212</v>
      </c>
      <c r="Q273" t="s">
        <v>48</v>
      </c>
      <c r="R273">
        <v>1</v>
      </c>
      <c r="S273" t="s">
        <v>44</v>
      </c>
      <c r="T273">
        <v>1</v>
      </c>
      <c r="U273">
        <v>0</v>
      </c>
      <c r="V273" t="s">
        <v>32</v>
      </c>
      <c r="W273" t="s">
        <v>39</v>
      </c>
      <c r="X273" s="4">
        <v>7</v>
      </c>
      <c r="Y273">
        <v>4</v>
      </c>
      <c r="Z273" s="5">
        <v>165.07</v>
      </c>
    </row>
    <row r="274" spans="1:26">
      <c r="A274">
        <v>273</v>
      </c>
      <c r="B274">
        <v>90</v>
      </c>
      <c r="C274" s="2">
        <v>46309</v>
      </c>
      <c r="D274" t="s">
        <v>52</v>
      </c>
      <c r="E274">
        <v>10</v>
      </c>
      <c r="F274" s="3">
        <v>10.86</v>
      </c>
      <c r="G274" t="s">
        <v>27</v>
      </c>
      <c r="H274">
        <v>17</v>
      </c>
      <c r="I274" t="s">
        <v>34</v>
      </c>
      <c r="J274" s="4">
        <v>70</v>
      </c>
      <c r="K274" s="4">
        <v>139.19999999999999</v>
      </c>
      <c r="L274" s="4">
        <v>19.899999999999999</v>
      </c>
      <c r="M274">
        <v>18</v>
      </c>
      <c r="N274" t="s">
        <v>54</v>
      </c>
      <c r="O274">
        <v>4</v>
      </c>
      <c r="P274" s="4">
        <v>2212</v>
      </c>
      <c r="Q274" t="s">
        <v>48</v>
      </c>
      <c r="R274">
        <v>1</v>
      </c>
      <c r="S274" t="s">
        <v>44</v>
      </c>
      <c r="T274">
        <v>1</v>
      </c>
      <c r="U274">
        <v>0</v>
      </c>
      <c r="V274" t="s">
        <v>32</v>
      </c>
      <c r="W274" t="s">
        <v>39</v>
      </c>
      <c r="X274" s="4">
        <v>8</v>
      </c>
      <c r="Y274">
        <v>6</v>
      </c>
      <c r="Z274" s="5">
        <v>209.51</v>
      </c>
    </row>
    <row r="275" spans="1:26">
      <c r="A275">
        <v>274</v>
      </c>
      <c r="B275">
        <v>90</v>
      </c>
      <c r="C275" s="2">
        <v>46309</v>
      </c>
      <c r="D275" t="s">
        <v>52</v>
      </c>
      <c r="E275">
        <v>10</v>
      </c>
      <c r="F275" s="3">
        <v>10.73</v>
      </c>
      <c r="G275" t="s">
        <v>27</v>
      </c>
      <c r="H275">
        <v>58</v>
      </c>
      <c r="I275" t="s">
        <v>34</v>
      </c>
      <c r="J275" s="4">
        <v>65</v>
      </c>
      <c r="K275" s="4">
        <v>128.4</v>
      </c>
      <c r="L275" s="4">
        <v>21.3</v>
      </c>
      <c r="M275">
        <v>17</v>
      </c>
      <c r="N275" t="s">
        <v>54</v>
      </c>
      <c r="O275">
        <v>4</v>
      </c>
      <c r="P275" s="4">
        <v>2212</v>
      </c>
      <c r="Q275" t="s">
        <v>48</v>
      </c>
      <c r="R275">
        <v>1</v>
      </c>
      <c r="S275" t="s">
        <v>44</v>
      </c>
      <c r="T275">
        <v>1</v>
      </c>
      <c r="U275">
        <v>0</v>
      </c>
      <c r="V275" t="s">
        <v>32</v>
      </c>
      <c r="W275" t="s">
        <v>39</v>
      </c>
      <c r="X275" s="4">
        <v>7.8</v>
      </c>
      <c r="Y275">
        <v>8</v>
      </c>
      <c r="Z275" s="5">
        <v>293.13</v>
      </c>
    </row>
    <row r="276" spans="1:26">
      <c r="A276">
        <v>275</v>
      </c>
      <c r="B276">
        <v>90</v>
      </c>
      <c r="C276" s="2">
        <v>46309</v>
      </c>
      <c r="D276" t="s">
        <v>52</v>
      </c>
      <c r="E276">
        <v>10</v>
      </c>
      <c r="F276" s="3">
        <v>10.89</v>
      </c>
      <c r="G276" t="s">
        <v>27</v>
      </c>
      <c r="H276">
        <v>34</v>
      </c>
      <c r="I276" t="s">
        <v>28</v>
      </c>
      <c r="J276" s="4">
        <v>70.5</v>
      </c>
      <c r="K276" s="4">
        <v>168.8</v>
      </c>
      <c r="L276" s="4">
        <v>23.8</v>
      </c>
      <c r="M276">
        <v>20</v>
      </c>
      <c r="N276" t="s">
        <v>54</v>
      </c>
      <c r="O276">
        <v>4</v>
      </c>
      <c r="P276" s="4">
        <v>2212</v>
      </c>
      <c r="Q276" t="s">
        <v>48</v>
      </c>
      <c r="R276">
        <v>1</v>
      </c>
      <c r="S276" t="s">
        <v>44</v>
      </c>
      <c r="T276">
        <v>1</v>
      </c>
      <c r="U276">
        <v>0</v>
      </c>
      <c r="V276" t="s">
        <v>32</v>
      </c>
      <c r="W276" t="s">
        <v>39</v>
      </c>
      <c r="X276" s="4">
        <v>7.1</v>
      </c>
      <c r="Y276">
        <v>11</v>
      </c>
      <c r="Z276" s="5">
        <v>321.73</v>
      </c>
    </row>
    <row r="277" spans="1:26">
      <c r="A277">
        <v>276</v>
      </c>
      <c r="B277">
        <v>91</v>
      </c>
      <c r="C277" s="2">
        <v>46216</v>
      </c>
      <c r="D277" t="s">
        <v>46</v>
      </c>
      <c r="E277">
        <v>7</v>
      </c>
      <c r="F277" s="3">
        <v>10.3</v>
      </c>
      <c r="G277" t="s">
        <v>27</v>
      </c>
      <c r="H277">
        <v>10</v>
      </c>
      <c r="I277" t="s">
        <v>34</v>
      </c>
      <c r="J277" s="4">
        <v>70</v>
      </c>
      <c r="K277" s="4">
        <v>184.2</v>
      </c>
      <c r="L277" s="4">
        <v>26.4</v>
      </c>
      <c r="M277">
        <v>14</v>
      </c>
      <c r="N277" t="s">
        <v>47</v>
      </c>
      <c r="O277">
        <v>5</v>
      </c>
      <c r="P277" s="4">
        <v>55</v>
      </c>
      <c r="Q277" t="s">
        <v>48</v>
      </c>
      <c r="R277">
        <v>1</v>
      </c>
      <c r="S277" t="s">
        <v>44</v>
      </c>
      <c r="T277">
        <v>1</v>
      </c>
      <c r="U277">
        <v>1</v>
      </c>
      <c r="V277" t="s">
        <v>32</v>
      </c>
      <c r="W277" t="s">
        <v>39</v>
      </c>
      <c r="X277" s="4">
        <v>11</v>
      </c>
      <c r="Y277">
        <v>11</v>
      </c>
      <c r="Z277" s="5">
        <v>650</v>
      </c>
    </row>
    <row r="278" spans="1:26">
      <c r="A278">
        <v>277</v>
      </c>
      <c r="B278">
        <v>91</v>
      </c>
      <c r="C278" s="2">
        <v>46216</v>
      </c>
      <c r="D278" t="s">
        <v>46</v>
      </c>
      <c r="E278">
        <v>7</v>
      </c>
      <c r="F278" s="3">
        <v>10.119999999999999</v>
      </c>
      <c r="G278" t="s">
        <v>27</v>
      </c>
      <c r="H278">
        <v>47</v>
      </c>
      <c r="I278" t="s">
        <v>28</v>
      </c>
      <c r="J278" s="4">
        <v>69.400000000000006</v>
      </c>
      <c r="K278" s="4">
        <v>157.6</v>
      </c>
      <c r="L278" s="4">
        <v>23</v>
      </c>
      <c r="M278">
        <v>16</v>
      </c>
      <c r="N278" t="s">
        <v>47</v>
      </c>
      <c r="O278">
        <v>5</v>
      </c>
      <c r="P278" s="4">
        <v>55</v>
      </c>
      <c r="Q278" t="s">
        <v>48</v>
      </c>
      <c r="R278">
        <v>1</v>
      </c>
      <c r="S278" t="s">
        <v>44</v>
      </c>
      <c r="T278">
        <v>1</v>
      </c>
      <c r="U278">
        <v>1</v>
      </c>
      <c r="V278" t="s">
        <v>32</v>
      </c>
      <c r="W278" t="s">
        <v>39</v>
      </c>
      <c r="X278" s="4">
        <v>10.5</v>
      </c>
      <c r="Y278">
        <v>8</v>
      </c>
      <c r="Z278" s="5">
        <v>425.61</v>
      </c>
    </row>
    <row r="279" spans="1:26">
      <c r="A279">
        <v>278</v>
      </c>
      <c r="B279">
        <v>91</v>
      </c>
      <c r="C279" s="2">
        <v>46216</v>
      </c>
      <c r="D279" t="s">
        <v>46</v>
      </c>
      <c r="E279">
        <v>7</v>
      </c>
      <c r="F279" s="3">
        <v>10.26</v>
      </c>
      <c r="G279" t="s">
        <v>27</v>
      </c>
      <c r="H279">
        <v>8</v>
      </c>
      <c r="I279" t="s">
        <v>28</v>
      </c>
      <c r="J279" s="4">
        <v>53.1</v>
      </c>
      <c r="K279" s="4">
        <v>74.099999999999994</v>
      </c>
      <c r="L279" s="4">
        <v>18.3</v>
      </c>
      <c r="M279">
        <v>18</v>
      </c>
      <c r="N279" t="s">
        <v>47</v>
      </c>
      <c r="O279">
        <v>5</v>
      </c>
      <c r="P279" s="4">
        <v>55</v>
      </c>
      <c r="Q279" t="s">
        <v>48</v>
      </c>
      <c r="R279">
        <v>1</v>
      </c>
      <c r="S279" t="s">
        <v>44</v>
      </c>
      <c r="T279">
        <v>1</v>
      </c>
      <c r="U279">
        <v>1</v>
      </c>
      <c r="V279" t="s">
        <v>32</v>
      </c>
      <c r="W279" t="s">
        <v>39</v>
      </c>
      <c r="X279" s="4">
        <v>8.6999999999999993</v>
      </c>
      <c r="Y279">
        <v>9</v>
      </c>
      <c r="Z279" s="5">
        <v>262.39</v>
      </c>
    </row>
    <row r="280" spans="1:26">
      <c r="A280">
        <v>279</v>
      </c>
      <c r="B280">
        <v>91</v>
      </c>
      <c r="C280" s="2">
        <v>46216</v>
      </c>
      <c r="D280" t="s">
        <v>46</v>
      </c>
      <c r="E280">
        <v>7</v>
      </c>
      <c r="F280" s="3">
        <v>10.029999999999999</v>
      </c>
      <c r="G280" t="s">
        <v>27</v>
      </c>
      <c r="H280">
        <v>34</v>
      </c>
      <c r="I280" t="s">
        <v>34</v>
      </c>
      <c r="J280" s="4">
        <v>65.599999999999994</v>
      </c>
      <c r="K280" s="4">
        <v>158.19999999999999</v>
      </c>
      <c r="L280" s="4">
        <v>25.9</v>
      </c>
      <c r="M280">
        <v>13</v>
      </c>
      <c r="N280" t="s">
        <v>47</v>
      </c>
      <c r="O280">
        <v>5</v>
      </c>
      <c r="P280" s="4">
        <v>55</v>
      </c>
      <c r="Q280" t="s">
        <v>48</v>
      </c>
      <c r="R280">
        <v>1</v>
      </c>
      <c r="S280" t="s">
        <v>44</v>
      </c>
      <c r="T280">
        <v>1</v>
      </c>
      <c r="U280">
        <v>1</v>
      </c>
      <c r="V280" t="s">
        <v>32</v>
      </c>
      <c r="W280" t="s">
        <v>39</v>
      </c>
      <c r="X280" s="4">
        <v>9.3000000000000007</v>
      </c>
      <c r="Y280">
        <v>13</v>
      </c>
      <c r="Z280" s="5">
        <v>283.64999999999998</v>
      </c>
    </row>
    <row r="281" spans="1:26">
      <c r="A281">
        <v>280</v>
      </c>
      <c r="B281">
        <v>91</v>
      </c>
      <c r="C281" s="2">
        <v>46216</v>
      </c>
      <c r="D281" t="s">
        <v>46</v>
      </c>
      <c r="E281">
        <v>7</v>
      </c>
      <c r="F281" s="3">
        <v>10.18</v>
      </c>
      <c r="G281" t="s">
        <v>27</v>
      </c>
      <c r="H281">
        <v>55</v>
      </c>
      <c r="I281" t="s">
        <v>28</v>
      </c>
      <c r="J281" s="4">
        <v>67.400000000000006</v>
      </c>
      <c r="K281" s="4">
        <v>155.1</v>
      </c>
      <c r="L281" s="4">
        <v>23.9</v>
      </c>
      <c r="M281">
        <v>19</v>
      </c>
      <c r="N281" t="s">
        <v>47</v>
      </c>
      <c r="O281">
        <v>5</v>
      </c>
      <c r="P281" s="4">
        <v>55</v>
      </c>
      <c r="Q281" t="s">
        <v>48</v>
      </c>
      <c r="R281">
        <v>1</v>
      </c>
      <c r="S281" t="s">
        <v>44</v>
      </c>
      <c r="T281">
        <v>1</v>
      </c>
      <c r="U281">
        <v>1</v>
      </c>
      <c r="V281" t="s">
        <v>32</v>
      </c>
      <c r="W281" t="s">
        <v>39</v>
      </c>
      <c r="X281" s="4">
        <v>8.3000000000000007</v>
      </c>
      <c r="Y281">
        <v>2</v>
      </c>
      <c r="Z281" s="5">
        <v>191.97</v>
      </c>
    </row>
    <row r="282" spans="1:26">
      <c r="A282">
        <v>281</v>
      </c>
      <c r="B282">
        <v>92</v>
      </c>
      <c r="C282" s="2">
        <v>46243</v>
      </c>
      <c r="D282" t="s">
        <v>58</v>
      </c>
      <c r="E282">
        <v>8</v>
      </c>
      <c r="F282" s="3">
        <v>12.61</v>
      </c>
      <c r="G282" t="s">
        <v>36</v>
      </c>
      <c r="H282">
        <v>7</v>
      </c>
      <c r="I282" t="s">
        <v>34</v>
      </c>
      <c r="J282" s="4">
        <v>64.2</v>
      </c>
      <c r="K282" s="4">
        <v>158.30000000000001</v>
      </c>
      <c r="L282" s="4">
        <v>27</v>
      </c>
      <c r="M282">
        <v>11</v>
      </c>
      <c r="N282" t="s">
        <v>56</v>
      </c>
      <c r="O282">
        <v>5</v>
      </c>
      <c r="P282" s="4">
        <v>347.3</v>
      </c>
      <c r="Q282" t="s">
        <v>48</v>
      </c>
      <c r="R282">
        <v>1</v>
      </c>
      <c r="S282" t="s">
        <v>31</v>
      </c>
      <c r="T282">
        <v>1</v>
      </c>
      <c r="U282">
        <v>0</v>
      </c>
      <c r="V282" t="s">
        <v>45</v>
      </c>
      <c r="W282" t="s">
        <v>39</v>
      </c>
      <c r="X282" s="4">
        <v>9.1999999999999993</v>
      </c>
      <c r="Y282">
        <v>8</v>
      </c>
      <c r="Z282" s="5">
        <v>190.54</v>
      </c>
    </row>
    <row r="283" spans="1:26">
      <c r="A283">
        <v>282</v>
      </c>
      <c r="B283">
        <v>92</v>
      </c>
      <c r="C283" s="2">
        <v>46243</v>
      </c>
      <c r="D283" t="s">
        <v>58</v>
      </c>
      <c r="E283">
        <v>8</v>
      </c>
      <c r="F283" s="3">
        <v>12.76</v>
      </c>
      <c r="G283" t="s">
        <v>36</v>
      </c>
      <c r="H283">
        <v>26</v>
      </c>
      <c r="I283" t="s">
        <v>34</v>
      </c>
      <c r="J283" s="4">
        <v>66.599999999999994</v>
      </c>
      <c r="K283" s="4">
        <v>179.4</v>
      </c>
      <c r="L283" s="4">
        <v>28.3</v>
      </c>
      <c r="M283">
        <v>17</v>
      </c>
      <c r="N283" t="s">
        <v>56</v>
      </c>
      <c r="O283">
        <v>5</v>
      </c>
      <c r="P283" s="4">
        <v>347.3</v>
      </c>
      <c r="Q283" t="s">
        <v>48</v>
      </c>
      <c r="R283">
        <v>1</v>
      </c>
      <c r="S283" t="s">
        <v>31</v>
      </c>
      <c r="T283">
        <v>1</v>
      </c>
      <c r="U283">
        <v>0</v>
      </c>
      <c r="V283" t="s">
        <v>45</v>
      </c>
      <c r="W283" t="s">
        <v>39</v>
      </c>
      <c r="X283" s="4">
        <v>7.8</v>
      </c>
      <c r="Y283">
        <v>6</v>
      </c>
      <c r="Z283" s="5">
        <v>242.75</v>
      </c>
    </row>
    <row r="284" spans="1:26">
      <c r="A284">
        <v>283</v>
      </c>
      <c r="B284">
        <v>92</v>
      </c>
      <c r="C284" s="2">
        <v>46243</v>
      </c>
      <c r="D284" t="s">
        <v>58</v>
      </c>
      <c r="E284">
        <v>8</v>
      </c>
      <c r="F284" s="3">
        <v>12.52</v>
      </c>
      <c r="G284" t="s">
        <v>36</v>
      </c>
      <c r="H284">
        <v>35</v>
      </c>
      <c r="I284" t="s">
        <v>34</v>
      </c>
      <c r="J284" s="4">
        <v>62.8</v>
      </c>
      <c r="K284" s="4">
        <v>179.6</v>
      </c>
      <c r="L284" s="4">
        <v>32.200000000000003</v>
      </c>
      <c r="M284">
        <v>17</v>
      </c>
      <c r="N284" t="s">
        <v>56</v>
      </c>
      <c r="O284">
        <v>5</v>
      </c>
      <c r="P284" s="4">
        <v>347.3</v>
      </c>
      <c r="Q284" t="s">
        <v>48</v>
      </c>
      <c r="R284">
        <v>1</v>
      </c>
      <c r="S284" t="s">
        <v>31</v>
      </c>
      <c r="T284">
        <v>1</v>
      </c>
      <c r="U284">
        <v>0</v>
      </c>
      <c r="V284" t="s">
        <v>45</v>
      </c>
      <c r="W284" t="s">
        <v>39</v>
      </c>
      <c r="X284" s="4">
        <v>9</v>
      </c>
      <c r="Y284">
        <v>12</v>
      </c>
      <c r="Z284" s="5">
        <v>650</v>
      </c>
    </row>
    <row r="285" spans="1:26">
      <c r="A285">
        <v>284</v>
      </c>
      <c r="B285">
        <v>92</v>
      </c>
      <c r="C285" s="2">
        <v>46243</v>
      </c>
      <c r="D285" t="s">
        <v>58</v>
      </c>
      <c r="E285">
        <v>8</v>
      </c>
      <c r="F285" s="3">
        <v>12.5</v>
      </c>
      <c r="G285" t="s">
        <v>36</v>
      </c>
      <c r="H285">
        <v>65</v>
      </c>
      <c r="I285" t="s">
        <v>34</v>
      </c>
      <c r="J285" s="4">
        <v>63.4</v>
      </c>
      <c r="K285" s="4">
        <v>129.5</v>
      </c>
      <c r="L285" s="4">
        <v>22.6</v>
      </c>
      <c r="M285">
        <v>17</v>
      </c>
      <c r="N285" t="s">
        <v>56</v>
      </c>
      <c r="O285">
        <v>5</v>
      </c>
      <c r="P285" s="4">
        <v>347.3</v>
      </c>
      <c r="Q285" t="s">
        <v>48</v>
      </c>
      <c r="R285">
        <v>1</v>
      </c>
      <c r="S285" t="s">
        <v>31</v>
      </c>
      <c r="T285">
        <v>1</v>
      </c>
      <c r="U285">
        <v>0</v>
      </c>
      <c r="V285" t="s">
        <v>45</v>
      </c>
      <c r="W285" t="s">
        <v>39</v>
      </c>
      <c r="X285" s="4">
        <v>9.4</v>
      </c>
      <c r="Y285">
        <v>10</v>
      </c>
      <c r="Z285" s="5">
        <v>276.35000000000002</v>
      </c>
    </row>
    <row r="286" spans="1:26">
      <c r="A286">
        <v>285</v>
      </c>
      <c r="B286">
        <v>92</v>
      </c>
      <c r="C286" s="2">
        <v>46243</v>
      </c>
      <c r="D286" t="s">
        <v>58</v>
      </c>
      <c r="E286">
        <v>8</v>
      </c>
      <c r="F286" s="3">
        <v>12.93</v>
      </c>
      <c r="G286" t="s">
        <v>36</v>
      </c>
      <c r="H286">
        <v>5</v>
      </c>
      <c r="I286" t="s">
        <v>28</v>
      </c>
      <c r="J286" s="4">
        <v>49.2</v>
      </c>
      <c r="K286" s="4">
        <v>45.2</v>
      </c>
      <c r="L286" s="4">
        <v>12.9</v>
      </c>
      <c r="M286">
        <v>14</v>
      </c>
      <c r="N286" t="s">
        <v>56</v>
      </c>
      <c r="O286">
        <v>5</v>
      </c>
      <c r="P286" s="4">
        <v>347.3</v>
      </c>
      <c r="Q286" t="s">
        <v>48</v>
      </c>
      <c r="R286">
        <v>1</v>
      </c>
      <c r="S286" t="s">
        <v>31</v>
      </c>
      <c r="T286">
        <v>1</v>
      </c>
      <c r="U286">
        <v>0</v>
      </c>
      <c r="V286" t="s">
        <v>45</v>
      </c>
      <c r="W286" t="s">
        <v>39</v>
      </c>
      <c r="X286" s="4">
        <v>7.7</v>
      </c>
      <c r="Y286">
        <v>8</v>
      </c>
      <c r="Z286" s="5">
        <v>265.8</v>
      </c>
    </row>
    <row r="287" spans="1:26">
      <c r="A287">
        <v>286</v>
      </c>
      <c r="B287">
        <v>93</v>
      </c>
      <c r="C287" s="2">
        <v>46316</v>
      </c>
      <c r="D287" t="s">
        <v>52</v>
      </c>
      <c r="E287">
        <v>10</v>
      </c>
      <c r="F287" s="3">
        <v>14</v>
      </c>
      <c r="G287" t="s">
        <v>36</v>
      </c>
      <c r="H287">
        <v>31</v>
      </c>
      <c r="I287" t="s">
        <v>34</v>
      </c>
      <c r="J287" s="4">
        <v>61.9</v>
      </c>
      <c r="K287" s="4">
        <v>146</v>
      </c>
      <c r="L287" s="4">
        <v>26.8</v>
      </c>
      <c r="M287">
        <v>14</v>
      </c>
      <c r="N287" t="s">
        <v>50</v>
      </c>
      <c r="O287">
        <v>2</v>
      </c>
      <c r="P287" s="4">
        <v>436.3</v>
      </c>
      <c r="Q287" t="s">
        <v>42</v>
      </c>
      <c r="R287">
        <v>1</v>
      </c>
      <c r="S287" t="s">
        <v>44</v>
      </c>
      <c r="T287">
        <v>0</v>
      </c>
      <c r="U287">
        <v>0</v>
      </c>
      <c r="V287" t="s">
        <v>45</v>
      </c>
      <c r="W287" t="s">
        <v>49</v>
      </c>
      <c r="X287" s="4">
        <v>5.8</v>
      </c>
      <c r="Y287">
        <v>8</v>
      </c>
      <c r="Z287" s="5">
        <v>176.02</v>
      </c>
    </row>
    <row r="288" spans="1:26">
      <c r="A288">
        <v>287</v>
      </c>
      <c r="B288">
        <v>93</v>
      </c>
      <c r="C288" s="2">
        <v>46316</v>
      </c>
      <c r="D288" t="s">
        <v>52</v>
      </c>
      <c r="E288">
        <v>10</v>
      </c>
      <c r="F288" s="3">
        <v>14.06</v>
      </c>
      <c r="G288" t="s">
        <v>36</v>
      </c>
      <c r="H288">
        <v>62</v>
      </c>
      <c r="I288" t="s">
        <v>34</v>
      </c>
      <c r="J288" s="4">
        <v>58.8</v>
      </c>
      <c r="K288" s="4">
        <v>132.4</v>
      </c>
      <c r="L288" s="4">
        <v>26.9</v>
      </c>
      <c r="M288">
        <v>14</v>
      </c>
      <c r="N288" t="s">
        <v>50</v>
      </c>
      <c r="O288">
        <v>2</v>
      </c>
      <c r="P288" s="4">
        <v>436.3</v>
      </c>
      <c r="Q288" t="s">
        <v>42</v>
      </c>
      <c r="R288">
        <v>1</v>
      </c>
      <c r="S288" t="s">
        <v>44</v>
      </c>
      <c r="T288">
        <v>0</v>
      </c>
      <c r="U288">
        <v>0</v>
      </c>
      <c r="V288" t="s">
        <v>45</v>
      </c>
      <c r="W288" t="s">
        <v>49</v>
      </c>
      <c r="X288" s="4">
        <v>7.7</v>
      </c>
      <c r="Y288">
        <v>9</v>
      </c>
      <c r="Z288" s="5">
        <v>242.54</v>
      </c>
    </row>
    <row r="289" spans="1:26">
      <c r="A289">
        <v>288</v>
      </c>
      <c r="B289">
        <v>94</v>
      </c>
      <c r="C289" s="2">
        <v>46338</v>
      </c>
      <c r="D289" t="s">
        <v>55</v>
      </c>
      <c r="E289">
        <v>11</v>
      </c>
      <c r="F289" s="3">
        <v>8.42</v>
      </c>
      <c r="G289" t="s">
        <v>27</v>
      </c>
      <c r="H289">
        <v>52</v>
      </c>
      <c r="I289" t="s">
        <v>28</v>
      </c>
      <c r="J289" s="4">
        <v>61.6</v>
      </c>
      <c r="K289" s="4">
        <v>121.2</v>
      </c>
      <c r="L289" s="4">
        <v>22.3</v>
      </c>
      <c r="M289">
        <v>15</v>
      </c>
      <c r="N289" t="s">
        <v>37</v>
      </c>
      <c r="O289">
        <v>3</v>
      </c>
      <c r="P289" s="4">
        <v>950.7</v>
      </c>
      <c r="Q289" t="s">
        <v>42</v>
      </c>
      <c r="R289">
        <v>1</v>
      </c>
      <c r="S289" t="s">
        <v>44</v>
      </c>
      <c r="T289">
        <v>0</v>
      </c>
      <c r="U289">
        <v>0</v>
      </c>
      <c r="V289" t="s">
        <v>45</v>
      </c>
      <c r="W289" t="s">
        <v>49</v>
      </c>
      <c r="X289" s="4">
        <v>7.8</v>
      </c>
      <c r="Y289">
        <v>5</v>
      </c>
      <c r="Z289" s="5">
        <v>188.71</v>
      </c>
    </row>
    <row r="290" spans="1:26">
      <c r="A290">
        <v>289</v>
      </c>
      <c r="B290">
        <v>94</v>
      </c>
      <c r="C290" s="2">
        <v>46338</v>
      </c>
      <c r="D290" t="s">
        <v>55</v>
      </c>
      <c r="E290">
        <v>11</v>
      </c>
      <c r="F290" s="3">
        <v>8.32</v>
      </c>
      <c r="G290" t="s">
        <v>27</v>
      </c>
      <c r="H290">
        <v>52</v>
      </c>
      <c r="I290" t="s">
        <v>34</v>
      </c>
      <c r="J290" s="4">
        <v>68.5</v>
      </c>
      <c r="K290" s="4">
        <v>124.8</v>
      </c>
      <c r="L290" s="4">
        <v>18.7</v>
      </c>
      <c r="M290">
        <v>17</v>
      </c>
      <c r="N290" t="s">
        <v>37</v>
      </c>
      <c r="O290">
        <v>3</v>
      </c>
      <c r="P290" s="4">
        <v>950.7</v>
      </c>
      <c r="Q290" t="s">
        <v>42</v>
      </c>
      <c r="R290">
        <v>1</v>
      </c>
      <c r="S290" t="s">
        <v>44</v>
      </c>
      <c r="T290">
        <v>0</v>
      </c>
      <c r="U290">
        <v>0</v>
      </c>
      <c r="V290" t="s">
        <v>45</v>
      </c>
      <c r="W290" t="s">
        <v>49</v>
      </c>
      <c r="X290" s="4">
        <v>9.4</v>
      </c>
      <c r="Y290">
        <v>13</v>
      </c>
      <c r="Z290" s="5">
        <v>264.08999999999997</v>
      </c>
    </row>
    <row r="291" spans="1:26">
      <c r="A291">
        <v>290</v>
      </c>
      <c r="B291">
        <v>94</v>
      </c>
      <c r="C291" s="2">
        <v>46338</v>
      </c>
      <c r="D291" t="s">
        <v>55</v>
      </c>
      <c r="E291">
        <v>11</v>
      </c>
      <c r="F291" s="3">
        <v>8.44</v>
      </c>
      <c r="G291" t="s">
        <v>27</v>
      </c>
      <c r="H291">
        <v>40</v>
      </c>
      <c r="I291" t="s">
        <v>34</v>
      </c>
      <c r="J291" s="4">
        <v>62.5</v>
      </c>
      <c r="K291" s="4">
        <v>157.1</v>
      </c>
      <c r="L291" s="4">
        <v>28.1</v>
      </c>
      <c r="M291">
        <v>12</v>
      </c>
      <c r="N291" t="s">
        <v>37</v>
      </c>
      <c r="O291">
        <v>3</v>
      </c>
      <c r="P291" s="4">
        <v>950.7</v>
      </c>
      <c r="Q291" t="s">
        <v>42</v>
      </c>
      <c r="R291">
        <v>1</v>
      </c>
      <c r="S291" t="s">
        <v>44</v>
      </c>
      <c r="T291">
        <v>0</v>
      </c>
      <c r="U291">
        <v>0</v>
      </c>
      <c r="V291" t="s">
        <v>45</v>
      </c>
      <c r="W291" t="s">
        <v>49</v>
      </c>
      <c r="X291" s="4">
        <v>8.5</v>
      </c>
      <c r="Y291">
        <v>5</v>
      </c>
      <c r="Z291" s="5">
        <v>293.60000000000002</v>
      </c>
    </row>
    <row r="292" spans="1:26">
      <c r="A292">
        <v>291</v>
      </c>
      <c r="B292">
        <v>95</v>
      </c>
      <c r="C292" s="2">
        <v>46034</v>
      </c>
      <c r="D292" t="s">
        <v>46</v>
      </c>
      <c r="E292">
        <v>1</v>
      </c>
      <c r="F292" s="3">
        <v>9.32</v>
      </c>
      <c r="G292" t="s">
        <v>27</v>
      </c>
      <c r="H292">
        <v>22</v>
      </c>
      <c r="I292" t="s">
        <v>28</v>
      </c>
      <c r="J292" s="4">
        <v>66.599999999999994</v>
      </c>
      <c r="K292" s="4">
        <v>156.19999999999999</v>
      </c>
      <c r="L292" s="4">
        <v>24.9</v>
      </c>
      <c r="M292">
        <v>14</v>
      </c>
      <c r="N292" t="s">
        <v>50</v>
      </c>
      <c r="O292">
        <v>2</v>
      </c>
      <c r="P292" s="4">
        <v>394.2</v>
      </c>
      <c r="Q292" t="s">
        <v>30</v>
      </c>
      <c r="R292">
        <v>1</v>
      </c>
      <c r="S292" t="s">
        <v>31</v>
      </c>
      <c r="T292">
        <v>1</v>
      </c>
      <c r="U292">
        <v>0</v>
      </c>
      <c r="V292" t="s">
        <v>32</v>
      </c>
      <c r="W292" t="s">
        <v>39</v>
      </c>
      <c r="X292" s="4">
        <v>7.8</v>
      </c>
      <c r="Y292">
        <v>12</v>
      </c>
      <c r="Z292" s="5">
        <v>242.15</v>
      </c>
    </row>
    <row r="293" spans="1:26">
      <c r="A293">
        <v>292</v>
      </c>
      <c r="B293">
        <v>95</v>
      </c>
      <c r="C293" s="2">
        <v>46034</v>
      </c>
      <c r="D293" t="s">
        <v>46</v>
      </c>
      <c r="E293">
        <v>1</v>
      </c>
      <c r="F293" s="3">
        <v>9.1</v>
      </c>
      <c r="G293" t="s">
        <v>27</v>
      </c>
      <c r="H293">
        <v>39</v>
      </c>
      <c r="I293" t="s">
        <v>34</v>
      </c>
      <c r="J293" s="4">
        <v>69.099999999999994</v>
      </c>
      <c r="K293" s="4">
        <v>187.6</v>
      </c>
      <c r="L293" s="4">
        <v>27.6</v>
      </c>
      <c r="M293">
        <v>13</v>
      </c>
      <c r="N293" t="s">
        <v>50</v>
      </c>
      <c r="O293">
        <v>2</v>
      </c>
      <c r="P293" s="4">
        <v>394.2</v>
      </c>
      <c r="Q293" t="s">
        <v>30</v>
      </c>
      <c r="R293">
        <v>1</v>
      </c>
      <c r="S293" t="s">
        <v>31</v>
      </c>
      <c r="T293">
        <v>1</v>
      </c>
      <c r="U293">
        <v>0</v>
      </c>
      <c r="V293" t="s">
        <v>32</v>
      </c>
      <c r="W293" t="s">
        <v>39</v>
      </c>
      <c r="X293" s="4">
        <v>9</v>
      </c>
      <c r="Y293">
        <v>12</v>
      </c>
      <c r="Z293" s="5">
        <v>284.82</v>
      </c>
    </row>
    <row r="294" spans="1:26">
      <c r="A294">
        <v>293</v>
      </c>
      <c r="B294">
        <v>96</v>
      </c>
      <c r="C294" s="2">
        <v>46383</v>
      </c>
      <c r="D294" t="s">
        <v>58</v>
      </c>
      <c r="E294">
        <v>12</v>
      </c>
      <c r="F294" s="3">
        <v>11.13</v>
      </c>
      <c r="G294" t="s">
        <v>36</v>
      </c>
      <c r="H294">
        <v>50</v>
      </c>
      <c r="I294" t="s">
        <v>34</v>
      </c>
      <c r="J294" s="4">
        <v>64.3</v>
      </c>
      <c r="K294" s="4">
        <v>164</v>
      </c>
      <c r="L294" s="4">
        <v>27.8</v>
      </c>
      <c r="M294">
        <v>12</v>
      </c>
      <c r="N294" t="s">
        <v>50</v>
      </c>
      <c r="O294">
        <v>6</v>
      </c>
      <c r="P294" s="4">
        <v>589.5</v>
      </c>
      <c r="Q294" t="s">
        <v>30</v>
      </c>
      <c r="R294">
        <v>0</v>
      </c>
      <c r="S294" t="s">
        <v>44</v>
      </c>
      <c r="T294">
        <v>0</v>
      </c>
      <c r="U294">
        <v>0</v>
      </c>
      <c r="V294" t="s">
        <v>32</v>
      </c>
      <c r="W294" t="s">
        <v>39</v>
      </c>
      <c r="X294" s="4">
        <v>5.5</v>
      </c>
      <c r="Y294">
        <v>6</v>
      </c>
      <c r="Z294" s="5">
        <v>174.97</v>
      </c>
    </row>
    <row r="295" spans="1:26">
      <c r="A295">
        <v>294</v>
      </c>
      <c r="B295">
        <v>96</v>
      </c>
      <c r="C295" s="2">
        <v>46383</v>
      </c>
      <c r="D295" t="s">
        <v>58</v>
      </c>
      <c r="E295">
        <v>12</v>
      </c>
      <c r="F295" s="3">
        <v>10.73</v>
      </c>
      <c r="G295" t="s">
        <v>27</v>
      </c>
      <c r="H295">
        <v>38</v>
      </c>
      <c r="I295" t="s">
        <v>28</v>
      </c>
      <c r="J295" s="4">
        <v>71.8</v>
      </c>
      <c r="K295" s="4">
        <v>187.1</v>
      </c>
      <c r="L295" s="4">
        <v>25.4</v>
      </c>
      <c r="M295">
        <v>17</v>
      </c>
      <c r="N295" t="s">
        <v>50</v>
      </c>
      <c r="O295">
        <v>6</v>
      </c>
      <c r="P295" s="4">
        <v>589.5</v>
      </c>
      <c r="Q295" t="s">
        <v>30</v>
      </c>
      <c r="R295">
        <v>0</v>
      </c>
      <c r="S295" t="s">
        <v>44</v>
      </c>
      <c r="T295">
        <v>0</v>
      </c>
      <c r="U295">
        <v>0</v>
      </c>
      <c r="V295" t="s">
        <v>32</v>
      </c>
      <c r="W295" t="s">
        <v>39</v>
      </c>
      <c r="X295" s="4">
        <v>7.4</v>
      </c>
      <c r="Y295">
        <v>8</v>
      </c>
      <c r="Z295" s="5">
        <v>188.7</v>
      </c>
    </row>
    <row r="296" spans="1:26">
      <c r="A296">
        <v>295</v>
      </c>
      <c r="B296">
        <v>96</v>
      </c>
      <c r="C296" s="2">
        <v>46383</v>
      </c>
      <c r="D296" t="s">
        <v>58</v>
      </c>
      <c r="E296">
        <v>12</v>
      </c>
      <c r="F296" s="3">
        <v>10.86</v>
      </c>
      <c r="G296" t="s">
        <v>27</v>
      </c>
      <c r="H296">
        <v>65</v>
      </c>
      <c r="I296" t="s">
        <v>34</v>
      </c>
      <c r="J296" s="4">
        <v>60.2</v>
      </c>
      <c r="K296" s="4">
        <v>160.9</v>
      </c>
      <c r="L296" s="4">
        <v>31</v>
      </c>
      <c r="M296">
        <v>14</v>
      </c>
      <c r="N296" t="s">
        <v>50</v>
      </c>
      <c r="O296">
        <v>6</v>
      </c>
      <c r="P296" s="4">
        <v>589.5</v>
      </c>
      <c r="Q296" t="s">
        <v>30</v>
      </c>
      <c r="R296">
        <v>0</v>
      </c>
      <c r="S296" t="s">
        <v>44</v>
      </c>
      <c r="T296">
        <v>0</v>
      </c>
      <c r="U296">
        <v>0</v>
      </c>
      <c r="V296" t="s">
        <v>32</v>
      </c>
      <c r="W296" t="s">
        <v>39</v>
      </c>
      <c r="X296" s="4">
        <v>7.7</v>
      </c>
      <c r="Y296">
        <v>7</v>
      </c>
      <c r="Z296" s="5">
        <v>143.68</v>
      </c>
    </row>
    <row r="297" spans="1:26">
      <c r="A297">
        <v>296</v>
      </c>
      <c r="B297">
        <v>96</v>
      </c>
      <c r="C297" s="2">
        <v>46383</v>
      </c>
      <c r="D297" t="s">
        <v>58</v>
      </c>
      <c r="E297">
        <v>12</v>
      </c>
      <c r="F297" s="3">
        <v>10.8</v>
      </c>
      <c r="G297" t="s">
        <v>27</v>
      </c>
      <c r="H297">
        <v>36</v>
      </c>
      <c r="I297" t="s">
        <v>34</v>
      </c>
      <c r="J297" s="4">
        <v>65.400000000000006</v>
      </c>
      <c r="K297" s="4">
        <v>141.9</v>
      </c>
      <c r="L297" s="4">
        <v>23.2</v>
      </c>
      <c r="M297">
        <v>14</v>
      </c>
      <c r="N297" t="s">
        <v>50</v>
      </c>
      <c r="O297">
        <v>6</v>
      </c>
      <c r="P297" s="4">
        <v>589.5</v>
      </c>
      <c r="Q297" t="s">
        <v>30</v>
      </c>
      <c r="R297">
        <v>0</v>
      </c>
      <c r="S297" t="s">
        <v>44</v>
      </c>
      <c r="T297">
        <v>0</v>
      </c>
      <c r="U297">
        <v>0</v>
      </c>
      <c r="V297" t="s">
        <v>32</v>
      </c>
      <c r="W297" t="s">
        <v>39</v>
      </c>
      <c r="X297" s="4">
        <v>7.6</v>
      </c>
      <c r="Y297">
        <v>7</v>
      </c>
      <c r="Z297" s="5">
        <v>187.53</v>
      </c>
    </row>
    <row r="298" spans="1:26">
      <c r="A298">
        <v>297</v>
      </c>
      <c r="B298">
        <v>96</v>
      </c>
      <c r="C298" s="2">
        <v>46383</v>
      </c>
      <c r="D298" t="s">
        <v>58</v>
      </c>
      <c r="E298">
        <v>12</v>
      </c>
      <c r="F298" s="3">
        <v>10.76</v>
      </c>
      <c r="G298" t="s">
        <v>27</v>
      </c>
      <c r="H298">
        <v>56</v>
      </c>
      <c r="I298" t="s">
        <v>34</v>
      </c>
      <c r="J298" s="4">
        <v>66.5</v>
      </c>
      <c r="K298" s="4">
        <v>147.9</v>
      </c>
      <c r="L298" s="4">
        <v>23.7</v>
      </c>
      <c r="M298">
        <v>16</v>
      </c>
      <c r="N298" t="s">
        <v>50</v>
      </c>
      <c r="O298">
        <v>6</v>
      </c>
      <c r="P298" s="4">
        <v>589.5</v>
      </c>
      <c r="Q298" t="s">
        <v>30</v>
      </c>
      <c r="R298">
        <v>0</v>
      </c>
      <c r="S298" t="s">
        <v>44</v>
      </c>
      <c r="T298">
        <v>0</v>
      </c>
      <c r="U298">
        <v>0</v>
      </c>
      <c r="V298" t="s">
        <v>32</v>
      </c>
      <c r="W298" t="s">
        <v>39</v>
      </c>
      <c r="X298" s="4">
        <v>5.8</v>
      </c>
      <c r="Y298">
        <v>8</v>
      </c>
      <c r="Z298" s="5">
        <v>140.44</v>
      </c>
    </row>
    <row r="299" spans="1:26">
      <c r="A299">
        <v>298</v>
      </c>
      <c r="B299">
        <v>96</v>
      </c>
      <c r="C299" s="2">
        <v>46383</v>
      </c>
      <c r="D299" t="s">
        <v>58</v>
      </c>
      <c r="E299">
        <v>12</v>
      </c>
      <c r="F299" s="3">
        <v>10.67</v>
      </c>
      <c r="G299" t="s">
        <v>27</v>
      </c>
      <c r="H299">
        <v>46</v>
      </c>
      <c r="I299" t="s">
        <v>28</v>
      </c>
      <c r="J299" s="4">
        <v>68.2</v>
      </c>
      <c r="K299" s="4">
        <v>161.1</v>
      </c>
      <c r="L299" s="4">
        <v>24.3</v>
      </c>
      <c r="M299">
        <v>13</v>
      </c>
      <c r="N299" t="s">
        <v>50</v>
      </c>
      <c r="O299">
        <v>6</v>
      </c>
      <c r="P299" s="4">
        <v>589.5</v>
      </c>
      <c r="Q299" t="s">
        <v>30</v>
      </c>
      <c r="R299">
        <v>0</v>
      </c>
      <c r="S299" t="s">
        <v>44</v>
      </c>
      <c r="T299">
        <v>0</v>
      </c>
      <c r="U299">
        <v>0</v>
      </c>
      <c r="V299" t="s">
        <v>32</v>
      </c>
      <c r="W299" t="s">
        <v>39</v>
      </c>
      <c r="X299" s="4">
        <v>9.8000000000000007</v>
      </c>
      <c r="Y299">
        <v>8</v>
      </c>
      <c r="Z299" s="5">
        <v>156.74</v>
      </c>
    </row>
    <row r="300" spans="1:26">
      <c r="A300">
        <v>299</v>
      </c>
      <c r="B300">
        <v>97</v>
      </c>
      <c r="C300" s="2">
        <v>46199</v>
      </c>
      <c r="D300" t="s">
        <v>26</v>
      </c>
      <c r="E300">
        <v>6</v>
      </c>
      <c r="F300" s="3">
        <v>11.48</v>
      </c>
      <c r="G300" t="s">
        <v>36</v>
      </c>
      <c r="H300">
        <v>32</v>
      </c>
      <c r="I300" t="s">
        <v>34</v>
      </c>
      <c r="J300" s="4">
        <v>64.2</v>
      </c>
      <c r="K300" s="4">
        <v>142.69999999999999</v>
      </c>
      <c r="L300" s="4">
        <v>24.1</v>
      </c>
      <c r="M300">
        <v>17</v>
      </c>
      <c r="N300" t="s">
        <v>56</v>
      </c>
      <c r="O300">
        <v>6</v>
      </c>
      <c r="P300" s="4">
        <v>383.7</v>
      </c>
      <c r="Q300" t="s">
        <v>42</v>
      </c>
      <c r="R300">
        <v>1</v>
      </c>
      <c r="S300" t="s">
        <v>31</v>
      </c>
      <c r="T300">
        <v>0</v>
      </c>
      <c r="U300">
        <v>0</v>
      </c>
      <c r="V300" t="s">
        <v>32</v>
      </c>
      <c r="W300" t="s">
        <v>39</v>
      </c>
      <c r="X300" s="4">
        <v>7.5</v>
      </c>
      <c r="Y300">
        <v>10</v>
      </c>
      <c r="Z300" s="5">
        <v>159.25</v>
      </c>
    </row>
    <row r="301" spans="1:26">
      <c r="A301">
        <v>300</v>
      </c>
      <c r="B301">
        <v>97</v>
      </c>
      <c r="C301" s="2">
        <v>46199</v>
      </c>
      <c r="D301" t="s">
        <v>26</v>
      </c>
      <c r="E301">
        <v>6</v>
      </c>
      <c r="F301" s="3">
        <v>11.47</v>
      </c>
      <c r="G301" t="s">
        <v>36</v>
      </c>
      <c r="H301">
        <v>31</v>
      </c>
      <c r="I301" t="s">
        <v>34</v>
      </c>
      <c r="J301" s="4">
        <v>64.5</v>
      </c>
      <c r="K301" s="4">
        <v>149.30000000000001</v>
      </c>
      <c r="L301" s="4">
        <v>25.3</v>
      </c>
      <c r="M301">
        <v>14</v>
      </c>
      <c r="N301" t="s">
        <v>56</v>
      </c>
      <c r="O301">
        <v>6</v>
      </c>
      <c r="P301" s="4">
        <v>383.7</v>
      </c>
      <c r="Q301" t="s">
        <v>42</v>
      </c>
      <c r="R301">
        <v>1</v>
      </c>
      <c r="S301" t="s">
        <v>31</v>
      </c>
      <c r="T301">
        <v>0</v>
      </c>
      <c r="U301">
        <v>0</v>
      </c>
      <c r="V301" t="s">
        <v>32</v>
      </c>
      <c r="W301" t="s">
        <v>39</v>
      </c>
      <c r="X301" s="4">
        <v>8</v>
      </c>
      <c r="Y301">
        <v>11</v>
      </c>
      <c r="Z301" s="5">
        <v>387.15</v>
      </c>
    </row>
    <row r="302" spans="1:26">
      <c r="A302">
        <v>301</v>
      </c>
      <c r="B302">
        <v>97</v>
      </c>
      <c r="C302" s="2">
        <v>46199</v>
      </c>
      <c r="D302" t="s">
        <v>26</v>
      </c>
      <c r="E302">
        <v>6</v>
      </c>
      <c r="F302" s="3">
        <v>11.54</v>
      </c>
      <c r="G302" t="s">
        <v>36</v>
      </c>
      <c r="H302">
        <v>27</v>
      </c>
      <c r="I302" t="s">
        <v>28</v>
      </c>
      <c r="J302" s="4">
        <v>68</v>
      </c>
      <c r="K302" s="4">
        <v>211.5</v>
      </c>
      <c r="L302" s="4">
        <v>32</v>
      </c>
      <c r="M302">
        <v>16</v>
      </c>
      <c r="N302" t="s">
        <v>56</v>
      </c>
      <c r="O302">
        <v>6</v>
      </c>
      <c r="P302" s="4">
        <v>383.7</v>
      </c>
      <c r="Q302" t="s">
        <v>42</v>
      </c>
      <c r="R302">
        <v>1</v>
      </c>
      <c r="S302" t="s">
        <v>31</v>
      </c>
      <c r="T302">
        <v>0</v>
      </c>
      <c r="U302">
        <v>0</v>
      </c>
      <c r="V302" t="s">
        <v>32</v>
      </c>
      <c r="W302" t="s">
        <v>39</v>
      </c>
      <c r="X302" s="4">
        <v>7.8</v>
      </c>
      <c r="Y302">
        <v>9</v>
      </c>
      <c r="Z302" s="5">
        <v>218.62</v>
      </c>
    </row>
    <row r="303" spans="1:26">
      <c r="A303">
        <v>302</v>
      </c>
      <c r="B303">
        <v>97</v>
      </c>
      <c r="C303" s="2">
        <v>46199</v>
      </c>
      <c r="D303" t="s">
        <v>26</v>
      </c>
      <c r="E303">
        <v>6</v>
      </c>
      <c r="F303" s="3">
        <v>11.51</v>
      </c>
      <c r="G303" t="s">
        <v>36</v>
      </c>
      <c r="H303">
        <v>18</v>
      </c>
      <c r="I303" t="s">
        <v>34</v>
      </c>
      <c r="J303" s="4">
        <v>67.8</v>
      </c>
      <c r="K303" s="4">
        <v>194.3</v>
      </c>
      <c r="L303" s="4">
        <v>29.6</v>
      </c>
      <c r="M303">
        <v>11</v>
      </c>
      <c r="N303" t="s">
        <v>56</v>
      </c>
      <c r="O303">
        <v>6</v>
      </c>
      <c r="P303" s="4">
        <v>383.7</v>
      </c>
      <c r="Q303" t="s">
        <v>42</v>
      </c>
      <c r="R303">
        <v>1</v>
      </c>
      <c r="S303" t="s">
        <v>31</v>
      </c>
      <c r="T303">
        <v>0</v>
      </c>
      <c r="U303">
        <v>0</v>
      </c>
      <c r="V303" t="s">
        <v>32</v>
      </c>
      <c r="W303" t="s">
        <v>39</v>
      </c>
      <c r="X303" s="4">
        <v>8.3000000000000007</v>
      </c>
      <c r="Y303">
        <v>9</v>
      </c>
      <c r="Z303" s="5">
        <v>205.92</v>
      </c>
    </row>
    <row r="304" spans="1:26">
      <c r="A304">
        <v>303</v>
      </c>
      <c r="B304">
        <v>97</v>
      </c>
      <c r="C304" s="2">
        <v>46199</v>
      </c>
      <c r="D304" t="s">
        <v>26</v>
      </c>
      <c r="E304">
        <v>6</v>
      </c>
      <c r="F304" s="3">
        <v>11.42</v>
      </c>
      <c r="G304" t="s">
        <v>36</v>
      </c>
      <c r="H304">
        <v>66</v>
      </c>
      <c r="I304" t="s">
        <v>34</v>
      </c>
      <c r="J304" s="4">
        <v>68.099999999999994</v>
      </c>
      <c r="K304" s="4">
        <v>168.1</v>
      </c>
      <c r="L304" s="4">
        <v>25.5</v>
      </c>
      <c r="M304">
        <v>15</v>
      </c>
      <c r="N304" t="s">
        <v>56</v>
      </c>
      <c r="O304">
        <v>6</v>
      </c>
      <c r="P304" s="4">
        <v>383.7</v>
      </c>
      <c r="Q304" t="s">
        <v>42</v>
      </c>
      <c r="R304">
        <v>1</v>
      </c>
      <c r="S304" t="s">
        <v>31</v>
      </c>
      <c r="T304">
        <v>0</v>
      </c>
      <c r="U304">
        <v>0</v>
      </c>
      <c r="V304" t="s">
        <v>32</v>
      </c>
      <c r="W304" t="s">
        <v>39</v>
      </c>
      <c r="X304" s="4">
        <v>9.3000000000000007</v>
      </c>
      <c r="Y304">
        <v>5</v>
      </c>
      <c r="Z304" s="5">
        <v>339.78</v>
      </c>
    </row>
    <row r="305" spans="1:26">
      <c r="A305">
        <v>304</v>
      </c>
      <c r="B305">
        <v>97</v>
      </c>
      <c r="C305" s="2">
        <v>46199</v>
      </c>
      <c r="D305" t="s">
        <v>26</v>
      </c>
      <c r="E305">
        <v>6</v>
      </c>
      <c r="F305" s="3">
        <v>11.64</v>
      </c>
      <c r="G305" t="s">
        <v>36</v>
      </c>
      <c r="H305">
        <v>65</v>
      </c>
      <c r="I305" t="s">
        <v>34</v>
      </c>
      <c r="J305" s="4">
        <v>63.5</v>
      </c>
      <c r="K305" s="4">
        <v>155.6</v>
      </c>
      <c r="L305" s="4">
        <v>27.1</v>
      </c>
      <c r="M305">
        <v>17</v>
      </c>
      <c r="N305" t="s">
        <v>56</v>
      </c>
      <c r="O305">
        <v>6</v>
      </c>
      <c r="P305" s="4">
        <v>383.7</v>
      </c>
      <c r="Q305" t="s">
        <v>42</v>
      </c>
      <c r="R305">
        <v>1</v>
      </c>
      <c r="S305" t="s">
        <v>31</v>
      </c>
      <c r="T305">
        <v>0</v>
      </c>
      <c r="U305">
        <v>0</v>
      </c>
      <c r="V305" t="s">
        <v>32</v>
      </c>
      <c r="W305" t="s">
        <v>39</v>
      </c>
      <c r="X305" s="4">
        <v>7.3</v>
      </c>
      <c r="Y305">
        <v>9</v>
      </c>
      <c r="Z305" s="5">
        <v>184.17</v>
      </c>
    </row>
    <row r="306" spans="1:26">
      <c r="A306">
        <v>305</v>
      </c>
      <c r="B306">
        <v>98</v>
      </c>
      <c r="C306" s="2">
        <v>46251</v>
      </c>
      <c r="D306" t="s">
        <v>46</v>
      </c>
      <c r="E306">
        <v>8</v>
      </c>
      <c r="F306" s="3">
        <v>7.76</v>
      </c>
      <c r="G306" t="s">
        <v>27</v>
      </c>
      <c r="H306">
        <v>56</v>
      </c>
      <c r="I306" t="s">
        <v>28</v>
      </c>
      <c r="J306" s="4">
        <v>73.599999999999994</v>
      </c>
      <c r="K306" s="4">
        <v>204.3</v>
      </c>
      <c r="L306" s="4">
        <v>26.4</v>
      </c>
      <c r="M306">
        <v>14</v>
      </c>
      <c r="N306" t="s">
        <v>50</v>
      </c>
      <c r="O306">
        <v>4</v>
      </c>
      <c r="P306" s="4">
        <v>456.9</v>
      </c>
      <c r="Q306" t="s">
        <v>30</v>
      </c>
      <c r="R306">
        <v>0</v>
      </c>
      <c r="S306" t="s">
        <v>44</v>
      </c>
      <c r="T306">
        <v>0</v>
      </c>
      <c r="U306">
        <v>0</v>
      </c>
      <c r="V306" t="s">
        <v>32</v>
      </c>
      <c r="W306" t="s">
        <v>39</v>
      </c>
      <c r="X306" s="4">
        <v>9.3000000000000007</v>
      </c>
      <c r="Y306">
        <v>7</v>
      </c>
      <c r="Z306" s="5">
        <v>167.21</v>
      </c>
    </row>
    <row r="307" spans="1:26">
      <c r="A307">
        <v>306</v>
      </c>
      <c r="B307">
        <v>98</v>
      </c>
      <c r="C307" s="2">
        <v>46251</v>
      </c>
      <c r="D307" t="s">
        <v>46</v>
      </c>
      <c r="E307">
        <v>8</v>
      </c>
      <c r="F307" s="3">
        <v>7.72</v>
      </c>
      <c r="G307" t="s">
        <v>27</v>
      </c>
      <c r="H307">
        <v>32</v>
      </c>
      <c r="I307" t="s">
        <v>28</v>
      </c>
      <c r="J307" s="4">
        <v>72.5</v>
      </c>
      <c r="K307" s="4">
        <v>245</v>
      </c>
      <c r="L307" s="4">
        <v>32.9</v>
      </c>
      <c r="M307">
        <v>13</v>
      </c>
      <c r="N307" t="s">
        <v>50</v>
      </c>
      <c r="O307">
        <v>4</v>
      </c>
      <c r="P307" s="4">
        <v>456.9</v>
      </c>
      <c r="Q307" t="s">
        <v>30</v>
      </c>
      <c r="R307">
        <v>0</v>
      </c>
      <c r="S307" t="s">
        <v>44</v>
      </c>
      <c r="T307">
        <v>0</v>
      </c>
      <c r="U307">
        <v>0</v>
      </c>
      <c r="V307" t="s">
        <v>32</v>
      </c>
      <c r="W307" t="s">
        <v>39</v>
      </c>
      <c r="X307" s="4">
        <v>5.4</v>
      </c>
      <c r="Y307">
        <v>11</v>
      </c>
      <c r="Z307" s="5">
        <v>151.24</v>
      </c>
    </row>
    <row r="308" spans="1:26">
      <c r="A308">
        <v>307</v>
      </c>
      <c r="B308">
        <v>98</v>
      </c>
      <c r="C308" s="2">
        <v>46251</v>
      </c>
      <c r="D308" t="s">
        <v>46</v>
      </c>
      <c r="E308">
        <v>8</v>
      </c>
      <c r="F308" s="3">
        <v>7.75</v>
      </c>
      <c r="G308" t="s">
        <v>27</v>
      </c>
      <c r="H308">
        <v>18</v>
      </c>
      <c r="I308" t="s">
        <v>34</v>
      </c>
      <c r="J308" s="4">
        <v>59.3</v>
      </c>
      <c r="K308" s="4">
        <v>113.3</v>
      </c>
      <c r="L308" s="4">
        <v>22.5</v>
      </c>
      <c r="M308">
        <v>13</v>
      </c>
      <c r="N308" t="s">
        <v>50</v>
      </c>
      <c r="O308">
        <v>4</v>
      </c>
      <c r="P308" s="4">
        <v>456.9</v>
      </c>
      <c r="Q308" t="s">
        <v>30</v>
      </c>
      <c r="R308">
        <v>0</v>
      </c>
      <c r="S308" t="s">
        <v>44</v>
      </c>
      <c r="T308">
        <v>0</v>
      </c>
      <c r="U308">
        <v>0</v>
      </c>
      <c r="V308" t="s">
        <v>32</v>
      </c>
      <c r="W308" t="s">
        <v>39</v>
      </c>
      <c r="X308" s="4">
        <v>8.5</v>
      </c>
      <c r="Y308">
        <v>5</v>
      </c>
      <c r="Z308" s="5">
        <v>226.97</v>
      </c>
    </row>
    <row r="309" spans="1:26">
      <c r="A309">
        <v>308</v>
      </c>
      <c r="B309">
        <v>98</v>
      </c>
      <c r="C309" s="2">
        <v>46251</v>
      </c>
      <c r="D309" t="s">
        <v>46</v>
      </c>
      <c r="E309">
        <v>8</v>
      </c>
      <c r="F309" s="3">
        <v>7.62</v>
      </c>
      <c r="G309" t="s">
        <v>27</v>
      </c>
      <c r="H309">
        <v>65</v>
      </c>
      <c r="I309" t="s">
        <v>34</v>
      </c>
      <c r="J309" s="4">
        <v>62.9</v>
      </c>
      <c r="K309" s="4">
        <v>188.5</v>
      </c>
      <c r="L309" s="4">
        <v>33.4</v>
      </c>
      <c r="M309">
        <v>16</v>
      </c>
      <c r="N309" t="s">
        <v>50</v>
      </c>
      <c r="O309">
        <v>4</v>
      </c>
      <c r="P309" s="4">
        <v>456.9</v>
      </c>
      <c r="Q309" t="s">
        <v>30</v>
      </c>
      <c r="R309">
        <v>0</v>
      </c>
      <c r="S309" t="s">
        <v>44</v>
      </c>
      <c r="T309">
        <v>0</v>
      </c>
      <c r="U309">
        <v>0</v>
      </c>
      <c r="V309" t="s">
        <v>32</v>
      </c>
      <c r="W309" t="s">
        <v>39</v>
      </c>
      <c r="X309" s="4">
        <v>7.6</v>
      </c>
      <c r="Y309">
        <v>10</v>
      </c>
      <c r="Z309" s="5">
        <v>181.53</v>
      </c>
    </row>
    <row r="310" spans="1:26">
      <c r="A310">
        <v>309</v>
      </c>
      <c r="B310">
        <v>99</v>
      </c>
      <c r="C310" s="2">
        <v>46068</v>
      </c>
      <c r="D310" t="s">
        <v>58</v>
      </c>
      <c r="E310">
        <v>2</v>
      </c>
      <c r="F310" s="3">
        <v>9.61</v>
      </c>
      <c r="G310" t="s">
        <v>27</v>
      </c>
      <c r="H310">
        <v>68</v>
      </c>
      <c r="I310" t="s">
        <v>34</v>
      </c>
      <c r="J310" s="4">
        <v>66.2</v>
      </c>
      <c r="K310" s="4">
        <v>161.4</v>
      </c>
      <c r="L310" s="4">
        <v>26</v>
      </c>
      <c r="M310">
        <v>17</v>
      </c>
      <c r="N310" t="s">
        <v>61</v>
      </c>
      <c r="O310">
        <v>4</v>
      </c>
      <c r="P310" s="4">
        <v>1740.3</v>
      </c>
      <c r="Q310" t="s">
        <v>48</v>
      </c>
      <c r="R310">
        <v>1</v>
      </c>
      <c r="S310" t="s">
        <v>44</v>
      </c>
      <c r="T310">
        <v>0</v>
      </c>
      <c r="U310">
        <v>0</v>
      </c>
      <c r="V310" t="s">
        <v>32</v>
      </c>
      <c r="W310" t="s">
        <v>43</v>
      </c>
      <c r="X310" s="4">
        <v>5.5</v>
      </c>
      <c r="Y310">
        <v>3</v>
      </c>
      <c r="Z310" s="5">
        <v>160.16</v>
      </c>
    </row>
    <row r="311" spans="1:26">
      <c r="A311">
        <v>310</v>
      </c>
      <c r="B311">
        <v>99</v>
      </c>
      <c r="C311" s="2">
        <v>46068</v>
      </c>
      <c r="D311" t="s">
        <v>58</v>
      </c>
      <c r="E311">
        <v>2</v>
      </c>
      <c r="F311" s="3">
        <v>9.61</v>
      </c>
      <c r="G311" t="s">
        <v>27</v>
      </c>
      <c r="H311">
        <v>51</v>
      </c>
      <c r="I311" t="s">
        <v>28</v>
      </c>
      <c r="J311" s="4">
        <v>71.099999999999994</v>
      </c>
      <c r="K311" s="4">
        <v>200.5</v>
      </c>
      <c r="L311" s="4">
        <v>27.8</v>
      </c>
      <c r="M311">
        <v>15</v>
      </c>
      <c r="N311" t="s">
        <v>61</v>
      </c>
      <c r="O311">
        <v>4</v>
      </c>
      <c r="P311" s="4">
        <v>1740.3</v>
      </c>
      <c r="Q311" t="s">
        <v>48</v>
      </c>
      <c r="R311">
        <v>1</v>
      </c>
      <c r="S311" t="s">
        <v>44</v>
      </c>
      <c r="T311">
        <v>0</v>
      </c>
      <c r="U311">
        <v>0</v>
      </c>
      <c r="V311" t="s">
        <v>32</v>
      </c>
      <c r="W311" t="s">
        <v>43</v>
      </c>
      <c r="X311" s="4">
        <v>8.4</v>
      </c>
      <c r="Y311">
        <v>10</v>
      </c>
      <c r="Z311" s="5">
        <v>325.32</v>
      </c>
    </row>
    <row r="312" spans="1:26">
      <c r="A312">
        <v>311</v>
      </c>
      <c r="B312">
        <v>99</v>
      </c>
      <c r="C312" s="2">
        <v>46068</v>
      </c>
      <c r="D312" t="s">
        <v>58</v>
      </c>
      <c r="E312">
        <v>2</v>
      </c>
      <c r="F312" s="3">
        <v>9.52</v>
      </c>
      <c r="G312" t="s">
        <v>27</v>
      </c>
      <c r="H312">
        <v>54</v>
      </c>
      <c r="I312" t="s">
        <v>34</v>
      </c>
      <c r="J312" s="4">
        <v>61.6</v>
      </c>
      <c r="K312" s="4">
        <v>124.9</v>
      </c>
      <c r="L312" s="4">
        <v>23</v>
      </c>
      <c r="M312">
        <v>20</v>
      </c>
      <c r="N312" t="s">
        <v>61</v>
      </c>
      <c r="O312">
        <v>4</v>
      </c>
      <c r="P312" s="4">
        <v>1740.3</v>
      </c>
      <c r="Q312" t="s">
        <v>48</v>
      </c>
      <c r="R312">
        <v>1</v>
      </c>
      <c r="S312" t="s">
        <v>44</v>
      </c>
      <c r="T312">
        <v>0</v>
      </c>
      <c r="U312">
        <v>0</v>
      </c>
      <c r="V312" t="s">
        <v>32</v>
      </c>
      <c r="W312" t="s">
        <v>43</v>
      </c>
      <c r="X312" s="4">
        <v>5.7</v>
      </c>
      <c r="Y312">
        <v>5</v>
      </c>
      <c r="Z312" s="5">
        <v>163.27000000000001</v>
      </c>
    </row>
    <row r="313" spans="1:26">
      <c r="A313">
        <v>312</v>
      </c>
      <c r="B313">
        <v>99</v>
      </c>
      <c r="C313" s="2">
        <v>46068</v>
      </c>
      <c r="D313" t="s">
        <v>58</v>
      </c>
      <c r="E313">
        <v>2</v>
      </c>
      <c r="F313" s="3">
        <v>9.6300000000000008</v>
      </c>
      <c r="G313" t="s">
        <v>27</v>
      </c>
      <c r="H313">
        <v>31</v>
      </c>
      <c r="I313" t="s">
        <v>34</v>
      </c>
      <c r="J313" s="4">
        <v>63.7</v>
      </c>
      <c r="K313" s="4">
        <v>127.4</v>
      </c>
      <c r="L313" s="4">
        <v>22</v>
      </c>
      <c r="M313">
        <v>14</v>
      </c>
      <c r="N313" t="s">
        <v>61</v>
      </c>
      <c r="O313">
        <v>4</v>
      </c>
      <c r="P313" s="4">
        <v>1740.3</v>
      </c>
      <c r="Q313" t="s">
        <v>48</v>
      </c>
      <c r="R313">
        <v>1</v>
      </c>
      <c r="S313" t="s">
        <v>44</v>
      </c>
      <c r="T313">
        <v>0</v>
      </c>
      <c r="U313">
        <v>0</v>
      </c>
      <c r="V313" t="s">
        <v>32</v>
      </c>
      <c r="W313" t="s">
        <v>43</v>
      </c>
      <c r="X313" s="4">
        <v>4.8</v>
      </c>
      <c r="Y313">
        <v>7</v>
      </c>
      <c r="Z313" s="5">
        <v>184.63</v>
      </c>
    </row>
    <row r="314" spans="1:26">
      <c r="A314">
        <v>313</v>
      </c>
      <c r="B314">
        <v>100</v>
      </c>
      <c r="C314" s="2">
        <v>46357</v>
      </c>
      <c r="D314" t="s">
        <v>35</v>
      </c>
      <c r="E314">
        <v>12</v>
      </c>
      <c r="F314" s="3">
        <v>11.42</v>
      </c>
      <c r="G314" t="s">
        <v>36</v>
      </c>
      <c r="H314">
        <v>6</v>
      </c>
      <c r="I314" t="s">
        <v>34</v>
      </c>
      <c r="J314" s="4">
        <v>53.5</v>
      </c>
      <c r="K314" s="4">
        <v>58.3</v>
      </c>
      <c r="L314" s="4">
        <v>14</v>
      </c>
      <c r="M314">
        <v>11</v>
      </c>
      <c r="N314" t="s">
        <v>60</v>
      </c>
      <c r="O314">
        <v>5</v>
      </c>
      <c r="P314" s="4">
        <v>2189.8000000000002</v>
      </c>
      <c r="Q314" t="s">
        <v>42</v>
      </c>
      <c r="R314">
        <v>0</v>
      </c>
      <c r="S314" t="s">
        <v>38</v>
      </c>
      <c r="T314">
        <v>1</v>
      </c>
      <c r="U314">
        <v>0</v>
      </c>
      <c r="V314" t="s">
        <v>32</v>
      </c>
      <c r="W314" t="s">
        <v>49</v>
      </c>
      <c r="X314" s="4">
        <v>8.6999999999999993</v>
      </c>
      <c r="Y314">
        <v>15</v>
      </c>
      <c r="Z314" s="5">
        <v>433.37</v>
      </c>
    </row>
    <row r="315" spans="1:26">
      <c r="A315">
        <v>314</v>
      </c>
      <c r="B315">
        <v>100</v>
      </c>
      <c r="C315" s="2">
        <v>46357</v>
      </c>
      <c r="D315" t="s">
        <v>35</v>
      </c>
      <c r="E315">
        <v>12</v>
      </c>
      <c r="F315" s="3">
        <v>11.18</v>
      </c>
      <c r="G315" t="s">
        <v>36</v>
      </c>
      <c r="H315">
        <v>18</v>
      </c>
      <c r="I315" t="s">
        <v>28</v>
      </c>
      <c r="J315" s="4">
        <v>67.8</v>
      </c>
      <c r="K315" s="4">
        <v>184.8</v>
      </c>
      <c r="L315" s="4">
        <v>28.1</v>
      </c>
      <c r="M315">
        <v>11</v>
      </c>
      <c r="N315" t="s">
        <v>60</v>
      </c>
      <c r="O315">
        <v>5</v>
      </c>
      <c r="P315" s="4">
        <v>2189.8000000000002</v>
      </c>
      <c r="Q315" t="s">
        <v>42</v>
      </c>
      <c r="R315">
        <v>0</v>
      </c>
      <c r="S315" t="s">
        <v>38</v>
      </c>
      <c r="T315">
        <v>1</v>
      </c>
      <c r="U315">
        <v>0</v>
      </c>
      <c r="V315" t="s">
        <v>32</v>
      </c>
      <c r="W315" t="s">
        <v>49</v>
      </c>
      <c r="X315" s="4">
        <v>8</v>
      </c>
      <c r="Y315">
        <v>3</v>
      </c>
      <c r="Z315" s="5">
        <v>191.1</v>
      </c>
    </row>
    <row r="316" spans="1:26">
      <c r="A316">
        <v>315</v>
      </c>
      <c r="B316">
        <v>100</v>
      </c>
      <c r="C316" s="2">
        <v>46357</v>
      </c>
      <c r="D316" t="s">
        <v>35</v>
      </c>
      <c r="E316">
        <v>12</v>
      </c>
      <c r="F316" s="3">
        <v>11.63</v>
      </c>
      <c r="G316" t="s">
        <v>36</v>
      </c>
      <c r="H316">
        <v>28</v>
      </c>
      <c r="I316" t="s">
        <v>34</v>
      </c>
      <c r="J316" s="4">
        <v>67.400000000000006</v>
      </c>
      <c r="K316" s="4">
        <v>129.9</v>
      </c>
      <c r="L316" s="4">
        <v>20.2</v>
      </c>
      <c r="M316">
        <v>13</v>
      </c>
      <c r="N316" t="s">
        <v>60</v>
      </c>
      <c r="O316">
        <v>5</v>
      </c>
      <c r="P316" s="4">
        <v>2189.8000000000002</v>
      </c>
      <c r="Q316" t="s">
        <v>42</v>
      </c>
      <c r="R316">
        <v>0</v>
      </c>
      <c r="S316" t="s">
        <v>38</v>
      </c>
      <c r="T316">
        <v>1</v>
      </c>
      <c r="U316">
        <v>0</v>
      </c>
      <c r="V316" t="s">
        <v>32</v>
      </c>
      <c r="W316" t="s">
        <v>49</v>
      </c>
      <c r="X316" s="4">
        <v>6.5</v>
      </c>
      <c r="Y316">
        <v>6</v>
      </c>
      <c r="Z316" s="5">
        <v>266.95</v>
      </c>
    </row>
    <row r="317" spans="1:26">
      <c r="A317">
        <v>316</v>
      </c>
      <c r="B317">
        <v>100</v>
      </c>
      <c r="C317" s="2">
        <v>46357</v>
      </c>
      <c r="D317" t="s">
        <v>35</v>
      </c>
      <c r="E317">
        <v>12</v>
      </c>
      <c r="F317" s="3">
        <v>11.52</v>
      </c>
      <c r="G317" t="s">
        <v>36</v>
      </c>
      <c r="H317">
        <v>58</v>
      </c>
      <c r="I317" t="s">
        <v>34</v>
      </c>
      <c r="J317" s="4">
        <v>66.599999999999994</v>
      </c>
      <c r="K317" s="4">
        <v>143.4</v>
      </c>
      <c r="L317" s="4">
        <v>22.5</v>
      </c>
      <c r="M317">
        <v>19</v>
      </c>
      <c r="N317" t="s">
        <v>60</v>
      </c>
      <c r="O317">
        <v>5</v>
      </c>
      <c r="P317" s="4">
        <v>2189.8000000000002</v>
      </c>
      <c r="Q317" t="s">
        <v>42</v>
      </c>
      <c r="R317">
        <v>0</v>
      </c>
      <c r="S317" t="s">
        <v>38</v>
      </c>
      <c r="T317">
        <v>1</v>
      </c>
      <c r="U317">
        <v>0</v>
      </c>
      <c r="V317" t="s">
        <v>32</v>
      </c>
      <c r="W317" t="s">
        <v>49</v>
      </c>
      <c r="X317" s="4">
        <v>6.8</v>
      </c>
      <c r="Y317">
        <v>5</v>
      </c>
      <c r="Z317" s="5">
        <v>212.34</v>
      </c>
    </row>
    <row r="318" spans="1:26">
      <c r="A318">
        <v>317</v>
      </c>
      <c r="B318">
        <v>100</v>
      </c>
      <c r="C318" s="2">
        <v>46357</v>
      </c>
      <c r="D318" t="s">
        <v>35</v>
      </c>
      <c r="E318">
        <v>12</v>
      </c>
      <c r="F318" s="3">
        <v>11.68</v>
      </c>
      <c r="G318" t="s">
        <v>36</v>
      </c>
      <c r="H318">
        <v>54</v>
      </c>
      <c r="I318" t="s">
        <v>34</v>
      </c>
      <c r="J318" s="4">
        <v>63.4</v>
      </c>
      <c r="K318" s="4">
        <v>152.1</v>
      </c>
      <c r="L318" s="4">
        <v>26.5</v>
      </c>
      <c r="M318">
        <v>20</v>
      </c>
      <c r="N318" t="s">
        <v>60</v>
      </c>
      <c r="O318">
        <v>5</v>
      </c>
      <c r="P318" s="4">
        <v>2189.8000000000002</v>
      </c>
      <c r="Q318" t="s">
        <v>42</v>
      </c>
      <c r="R318">
        <v>0</v>
      </c>
      <c r="S318" t="s">
        <v>38</v>
      </c>
      <c r="T318">
        <v>1</v>
      </c>
      <c r="U318">
        <v>0</v>
      </c>
      <c r="V318" t="s">
        <v>32</v>
      </c>
      <c r="W318" t="s">
        <v>49</v>
      </c>
      <c r="X318" s="4">
        <v>6.7</v>
      </c>
      <c r="Y318">
        <v>12</v>
      </c>
      <c r="Z318" s="5">
        <v>132.28</v>
      </c>
    </row>
    <row r="319" spans="1:26">
      <c r="A319">
        <v>318</v>
      </c>
      <c r="B319">
        <v>101</v>
      </c>
      <c r="C319" s="2">
        <v>46188</v>
      </c>
      <c r="D319" t="s">
        <v>46</v>
      </c>
      <c r="E319">
        <v>6</v>
      </c>
      <c r="F319" s="3">
        <v>9.84</v>
      </c>
      <c r="G319" t="s">
        <v>27</v>
      </c>
      <c r="H319">
        <v>6</v>
      </c>
      <c r="I319" t="s">
        <v>34</v>
      </c>
      <c r="J319" s="4">
        <v>57.9</v>
      </c>
      <c r="K319" s="4">
        <v>58.8</v>
      </c>
      <c r="L319" s="4">
        <v>12.1</v>
      </c>
      <c r="M319">
        <v>12</v>
      </c>
      <c r="N319" t="s">
        <v>67</v>
      </c>
      <c r="O319">
        <v>2</v>
      </c>
      <c r="P319" s="4">
        <v>2175.4</v>
      </c>
      <c r="Q319" t="s">
        <v>42</v>
      </c>
      <c r="R319">
        <v>1</v>
      </c>
      <c r="S319" t="s">
        <v>44</v>
      </c>
      <c r="T319">
        <v>0</v>
      </c>
      <c r="U319">
        <v>0</v>
      </c>
      <c r="V319" t="s">
        <v>32</v>
      </c>
      <c r="W319" t="s">
        <v>39</v>
      </c>
      <c r="X319" s="4">
        <v>10.4</v>
      </c>
      <c r="Y319">
        <v>8</v>
      </c>
      <c r="Z319" s="5">
        <v>224.95</v>
      </c>
    </row>
    <row r="320" spans="1:26">
      <c r="A320">
        <v>319</v>
      </c>
      <c r="B320">
        <v>101</v>
      </c>
      <c r="C320" s="2">
        <v>46188</v>
      </c>
      <c r="D320" t="s">
        <v>46</v>
      </c>
      <c r="E320">
        <v>6</v>
      </c>
      <c r="F320" s="3">
        <v>9.86</v>
      </c>
      <c r="G320" t="s">
        <v>27</v>
      </c>
      <c r="H320">
        <v>35</v>
      </c>
      <c r="I320" t="s">
        <v>34</v>
      </c>
      <c r="J320" s="4">
        <v>60.2</v>
      </c>
      <c r="K320" s="4">
        <v>138.80000000000001</v>
      </c>
      <c r="L320" s="4">
        <v>26.8</v>
      </c>
      <c r="M320">
        <v>16</v>
      </c>
      <c r="N320" t="s">
        <v>67</v>
      </c>
      <c r="O320">
        <v>2</v>
      </c>
      <c r="P320" s="4">
        <v>2175.4</v>
      </c>
      <c r="Q320" t="s">
        <v>42</v>
      </c>
      <c r="R320">
        <v>1</v>
      </c>
      <c r="S320" t="s">
        <v>44</v>
      </c>
      <c r="T320">
        <v>0</v>
      </c>
      <c r="U320">
        <v>0</v>
      </c>
      <c r="V320" t="s">
        <v>32</v>
      </c>
      <c r="W320" t="s">
        <v>39</v>
      </c>
      <c r="X320" s="4">
        <v>10.5</v>
      </c>
      <c r="Y320">
        <v>11</v>
      </c>
      <c r="Z320" s="5">
        <v>237</v>
      </c>
    </row>
    <row r="321" spans="1:26">
      <c r="A321">
        <v>320</v>
      </c>
      <c r="B321">
        <v>102</v>
      </c>
      <c r="C321" s="2">
        <v>46348</v>
      </c>
      <c r="D321" t="s">
        <v>58</v>
      </c>
      <c r="E321">
        <v>11</v>
      </c>
      <c r="F321" s="3">
        <v>11.13</v>
      </c>
      <c r="G321" t="s">
        <v>36</v>
      </c>
      <c r="H321">
        <v>7</v>
      </c>
      <c r="I321" t="s">
        <v>28</v>
      </c>
      <c r="J321" s="4">
        <v>59.7</v>
      </c>
      <c r="K321" s="4">
        <v>81.900000000000006</v>
      </c>
      <c r="L321" s="4">
        <v>16.100000000000001</v>
      </c>
      <c r="M321">
        <v>14</v>
      </c>
      <c r="N321" t="s">
        <v>56</v>
      </c>
      <c r="O321">
        <v>4</v>
      </c>
      <c r="P321" s="4">
        <v>343</v>
      </c>
      <c r="Q321" t="s">
        <v>42</v>
      </c>
      <c r="R321">
        <v>1</v>
      </c>
      <c r="S321" t="s">
        <v>44</v>
      </c>
      <c r="T321">
        <v>1</v>
      </c>
      <c r="U321">
        <v>0</v>
      </c>
      <c r="V321" t="s">
        <v>32</v>
      </c>
      <c r="W321" t="s">
        <v>43</v>
      </c>
      <c r="X321" s="4">
        <v>8.1999999999999993</v>
      </c>
      <c r="Y321">
        <v>8</v>
      </c>
      <c r="Z321" s="5">
        <v>182.35</v>
      </c>
    </row>
    <row r="322" spans="1:26">
      <c r="A322">
        <v>321</v>
      </c>
      <c r="B322">
        <v>102</v>
      </c>
      <c r="C322" s="2">
        <v>46348</v>
      </c>
      <c r="D322" t="s">
        <v>58</v>
      </c>
      <c r="E322">
        <v>11</v>
      </c>
      <c r="F322" s="3">
        <v>11.32</v>
      </c>
      <c r="G322" t="s">
        <v>36</v>
      </c>
      <c r="H322">
        <v>30</v>
      </c>
      <c r="I322" t="s">
        <v>28</v>
      </c>
      <c r="J322" s="4">
        <v>68.2</v>
      </c>
      <c r="K322" s="4">
        <v>169.9</v>
      </c>
      <c r="L322" s="4">
        <v>25.7</v>
      </c>
      <c r="M322">
        <v>17</v>
      </c>
      <c r="N322" t="s">
        <v>56</v>
      </c>
      <c r="O322">
        <v>4</v>
      </c>
      <c r="P322" s="4">
        <v>343</v>
      </c>
      <c r="Q322" t="s">
        <v>42</v>
      </c>
      <c r="R322">
        <v>1</v>
      </c>
      <c r="S322" t="s">
        <v>44</v>
      </c>
      <c r="T322">
        <v>1</v>
      </c>
      <c r="U322">
        <v>0</v>
      </c>
      <c r="V322" t="s">
        <v>32</v>
      </c>
      <c r="W322" t="s">
        <v>43</v>
      </c>
      <c r="X322" s="4">
        <v>8.1</v>
      </c>
      <c r="Y322">
        <v>10</v>
      </c>
      <c r="Z322" s="5">
        <v>238</v>
      </c>
    </row>
    <row r="323" spans="1:26">
      <c r="A323">
        <v>322</v>
      </c>
      <c r="B323">
        <v>102</v>
      </c>
      <c r="C323" s="2">
        <v>46348</v>
      </c>
      <c r="D323" t="s">
        <v>58</v>
      </c>
      <c r="E323">
        <v>11</v>
      </c>
      <c r="F323" s="3">
        <v>11.35</v>
      </c>
      <c r="G323" t="s">
        <v>36</v>
      </c>
      <c r="H323">
        <v>33</v>
      </c>
      <c r="I323" t="s">
        <v>28</v>
      </c>
      <c r="J323" s="4">
        <v>72.7</v>
      </c>
      <c r="K323" s="4">
        <v>168.4</v>
      </c>
      <c r="L323" s="4">
        <v>22.4</v>
      </c>
      <c r="M323">
        <v>14</v>
      </c>
      <c r="N323" t="s">
        <v>56</v>
      </c>
      <c r="O323">
        <v>4</v>
      </c>
      <c r="P323" s="4">
        <v>343</v>
      </c>
      <c r="Q323" t="s">
        <v>42</v>
      </c>
      <c r="R323">
        <v>1</v>
      </c>
      <c r="S323" t="s">
        <v>44</v>
      </c>
      <c r="T323">
        <v>1</v>
      </c>
      <c r="U323">
        <v>0</v>
      </c>
      <c r="V323" t="s">
        <v>32</v>
      </c>
      <c r="W323" t="s">
        <v>43</v>
      </c>
      <c r="X323" s="4">
        <v>8.3000000000000007</v>
      </c>
      <c r="Y323">
        <v>7</v>
      </c>
      <c r="Z323" s="5">
        <v>328.8</v>
      </c>
    </row>
    <row r="324" spans="1:26">
      <c r="A324">
        <v>323</v>
      </c>
      <c r="B324">
        <v>102</v>
      </c>
      <c r="C324" s="2">
        <v>46348</v>
      </c>
      <c r="D324" t="s">
        <v>58</v>
      </c>
      <c r="E324">
        <v>11</v>
      </c>
      <c r="F324" s="3">
        <v>11.05</v>
      </c>
      <c r="G324" t="s">
        <v>36</v>
      </c>
      <c r="H324">
        <v>65</v>
      </c>
      <c r="I324" t="s">
        <v>28</v>
      </c>
      <c r="J324" s="4">
        <v>67.2</v>
      </c>
      <c r="K324" s="4">
        <v>207</v>
      </c>
      <c r="L324" s="4">
        <v>32.200000000000003</v>
      </c>
      <c r="M324">
        <v>16</v>
      </c>
      <c r="N324" t="s">
        <v>56</v>
      </c>
      <c r="O324">
        <v>4</v>
      </c>
      <c r="P324" s="4">
        <v>343</v>
      </c>
      <c r="Q324" t="s">
        <v>42</v>
      </c>
      <c r="R324">
        <v>1</v>
      </c>
      <c r="S324" t="s">
        <v>44</v>
      </c>
      <c r="T324">
        <v>1</v>
      </c>
      <c r="U324">
        <v>0</v>
      </c>
      <c r="V324" t="s">
        <v>32</v>
      </c>
      <c r="W324" t="s">
        <v>43</v>
      </c>
      <c r="X324" s="4">
        <v>5.8</v>
      </c>
      <c r="Y324">
        <v>6</v>
      </c>
      <c r="Z324" s="5">
        <v>178.98</v>
      </c>
    </row>
    <row r="325" spans="1:26">
      <c r="A325">
        <v>324</v>
      </c>
      <c r="B325">
        <v>103</v>
      </c>
      <c r="C325" s="2">
        <v>46374</v>
      </c>
      <c r="D325" t="s">
        <v>26</v>
      </c>
      <c r="E325">
        <v>12</v>
      </c>
      <c r="F325" s="3">
        <v>10.8</v>
      </c>
      <c r="G325" t="s">
        <v>27</v>
      </c>
      <c r="H325">
        <v>5</v>
      </c>
      <c r="I325" t="s">
        <v>34</v>
      </c>
      <c r="J325" s="4">
        <v>50.9</v>
      </c>
      <c r="K325" s="4">
        <v>82.1</v>
      </c>
      <c r="L325" s="4">
        <v>22.4</v>
      </c>
      <c r="M325">
        <v>14</v>
      </c>
      <c r="N325" t="s">
        <v>66</v>
      </c>
      <c r="O325">
        <v>5</v>
      </c>
      <c r="P325" s="4">
        <v>713.8</v>
      </c>
      <c r="Q325" t="s">
        <v>48</v>
      </c>
      <c r="R325">
        <v>1</v>
      </c>
      <c r="S325" t="s">
        <v>44</v>
      </c>
      <c r="T325">
        <v>0</v>
      </c>
      <c r="U325">
        <v>0</v>
      </c>
      <c r="V325" t="s">
        <v>32</v>
      </c>
      <c r="W325" t="s">
        <v>39</v>
      </c>
      <c r="X325" s="4">
        <v>6.9</v>
      </c>
      <c r="Y325">
        <v>3</v>
      </c>
      <c r="Z325" s="5">
        <v>227.55</v>
      </c>
    </row>
    <row r="326" spans="1:26">
      <c r="A326">
        <v>325</v>
      </c>
      <c r="B326">
        <v>103</v>
      </c>
      <c r="C326" s="2">
        <v>46374</v>
      </c>
      <c r="D326" t="s">
        <v>26</v>
      </c>
      <c r="E326">
        <v>12</v>
      </c>
      <c r="F326" s="3">
        <v>10.75</v>
      </c>
      <c r="G326" t="s">
        <v>27</v>
      </c>
      <c r="H326">
        <v>8</v>
      </c>
      <c r="I326" t="s">
        <v>28</v>
      </c>
      <c r="J326" s="4">
        <v>58.5</v>
      </c>
      <c r="K326" s="4">
        <v>77.900000000000006</v>
      </c>
      <c r="L326" s="4">
        <v>15.8</v>
      </c>
      <c r="M326">
        <v>15</v>
      </c>
      <c r="N326" t="s">
        <v>66</v>
      </c>
      <c r="O326">
        <v>5</v>
      </c>
      <c r="P326" s="4">
        <v>713.8</v>
      </c>
      <c r="Q326" t="s">
        <v>48</v>
      </c>
      <c r="R326">
        <v>1</v>
      </c>
      <c r="S326" t="s">
        <v>44</v>
      </c>
      <c r="T326">
        <v>0</v>
      </c>
      <c r="U326">
        <v>0</v>
      </c>
      <c r="V326" t="s">
        <v>32</v>
      </c>
      <c r="W326" t="s">
        <v>39</v>
      </c>
      <c r="X326" s="4">
        <v>9.9</v>
      </c>
      <c r="Y326">
        <v>8</v>
      </c>
      <c r="Z326" s="5">
        <v>258.2</v>
      </c>
    </row>
    <row r="327" spans="1:26">
      <c r="A327">
        <v>326</v>
      </c>
      <c r="B327">
        <v>103</v>
      </c>
      <c r="C327" s="2">
        <v>46374</v>
      </c>
      <c r="D327" t="s">
        <v>26</v>
      </c>
      <c r="E327">
        <v>12</v>
      </c>
      <c r="F327" s="3">
        <v>10.63</v>
      </c>
      <c r="G327" t="s">
        <v>27</v>
      </c>
      <c r="H327">
        <v>18</v>
      </c>
      <c r="I327" t="s">
        <v>34</v>
      </c>
      <c r="J327" s="4">
        <v>69</v>
      </c>
      <c r="K327" s="4">
        <v>130.5</v>
      </c>
      <c r="L327" s="4">
        <v>19.3</v>
      </c>
      <c r="M327">
        <v>14</v>
      </c>
      <c r="N327" t="s">
        <v>66</v>
      </c>
      <c r="O327">
        <v>5</v>
      </c>
      <c r="P327" s="4">
        <v>713.8</v>
      </c>
      <c r="Q327" t="s">
        <v>48</v>
      </c>
      <c r="R327">
        <v>1</v>
      </c>
      <c r="S327" t="s">
        <v>44</v>
      </c>
      <c r="T327">
        <v>0</v>
      </c>
      <c r="U327">
        <v>0</v>
      </c>
      <c r="V327" t="s">
        <v>32</v>
      </c>
      <c r="W327" t="s">
        <v>39</v>
      </c>
      <c r="X327" s="4">
        <v>9.3000000000000007</v>
      </c>
      <c r="Y327">
        <v>6</v>
      </c>
      <c r="Z327" s="5">
        <v>475.18</v>
      </c>
    </row>
    <row r="328" spans="1:26">
      <c r="A328">
        <v>327</v>
      </c>
      <c r="B328">
        <v>103</v>
      </c>
      <c r="C328" s="2">
        <v>46374</v>
      </c>
      <c r="D328" t="s">
        <v>26</v>
      </c>
      <c r="E328">
        <v>12</v>
      </c>
      <c r="F328" s="3">
        <v>10.78</v>
      </c>
      <c r="G328" t="s">
        <v>27</v>
      </c>
      <c r="H328">
        <v>33</v>
      </c>
      <c r="I328" t="s">
        <v>28</v>
      </c>
      <c r="J328" s="4">
        <v>72.599999999999994</v>
      </c>
      <c r="K328" s="4">
        <v>243.8</v>
      </c>
      <c r="L328" s="4">
        <v>32.799999999999997</v>
      </c>
      <c r="M328">
        <v>16</v>
      </c>
      <c r="N328" t="s">
        <v>66</v>
      </c>
      <c r="O328">
        <v>5</v>
      </c>
      <c r="P328" s="4">
        <v>713.8</v>
      </c>
      <c r="Q328" t="s">
        <v>48</v>
      </c>
      <c r="R328">
        <v>1</v>
      </c>
      <c r="S328" t="s">
        <v>44</v>
      </c>
      <c r="T328">
        <v>0</v>
      </c>
      <c r="U328">
        <v>0</v>
      </c>
      <c r="V328" t="s">
        <v>32</v>
      </c>
      <c r="W328" t="s">
        <v>39</v>
      </c>
      <c r="X328" s="4">
        <v>6.3</v>
      </c>
      <c r="Y328">
        <v>6</v>
      </c>
      <c r="Z328" s="5">
        <v>362.68</v>
      </c>
    </row>
    <row r="329" spans="1:26">
      <c r="A329">
        <v>328</v>
      </c>
      <c r="B329">
        <v>103</v>
      </c>
      <c r="C329" s="2">
        <v>46374</v>
      </c>
      <c r="D329" t="s">
        <v>26</v>
      </c>
      <c r="E329">
        <v>12</v>
      </c>
      <c r="F329" s="3">
        <v>10.57</v>
      </c>
      <c r="G329" t="s">
        <v>27</v>
      </c>
      <c r="H329">
        <v>50</v>
      </c>
      <c r="I329" t="s">
        <v>28</v>
      </c>
      <c r="J329" s="4">
        <v>71</v>
      </c>
      <c r="K329" s="4">
        <v>141.6</v>
      </c>
      <c r="L329" s="4">
        <v>20</v>
      </c>
      <c r="M329">
        <v>18</v>
      </c>
      <c r="N329" t="s">
        <v>66</v>
      </c>
      <c r="O329">
        <v>5</v>
      </c>
      <c r="P329" s="4">
        <v>713.8</v>
      </c>
      <c r="Q329" t="s">
        <v>48</v>
      </c>
      <c r="R329">
        <v>1</v>
      </c>
      <c r="S329" t="s">
        <v>44</v>
      </c>
      <c r="T329">
        <v>0</v>
      </c>
      <c r="U329">
        <v>0</v>
      </c>
      <c r="V329" t="s">
        <v>32</v>
      </c>
      <c r="W329" t="s">
        <v>39</v>
      </c>
      <c r="X329" s="4">
        <v>9.5</v>
      </c>
      <c r="Y329">
        <v>9</v>
      </c>
      <c r="Z329" s="5">
        <v>324.43</v>
      </c>
    </row>
    <row r="330" spans="1:26">
      <c r="A330">
        <v>329</v>
      </c>
      <c r="B330">
        <v>104</v>
      </c>
      <c r="C330" s="2">
        <v>46215</v>
      </c>
      <c r="D330" t="s">
        <v>58</v>
      </c>
      <c r="E330">
        <v>7</v>
      </c>
      <c r="F330" s="3">
        <v>11.73</v>
      </c>
      <c r="G330" t="s">
        <v>36</v>
      </c>
      <c r="H330">
        <v>30</v>
      </c>
      <c r="I330" t="s">
        <v>28</v>
      </c>
      <c r="J330" s="4">
        <v>67.3</v>
      </c>
      <c r="K330" s="4">
        <v>136</v>
      </c>
      <c r="L330" s="4">
        <v>21</v>
      </c>
      <c r="M330">
        <v>17</v>
      </c>
      <c r="N330" t="s">
        <v>53</v>
      </c>
      <c r="O330">
        <v>2</v>
      </c>
      <c r="P330" s="4">
        <v>1002.1</v>
      </c>
      <c r="Q330" t="s">
        <v>42</v>
      </c>
      <c r="R330">
        <v>0</v>
      </c>
      <c r="S330" t="s">
        <v>38</v>
      </c>
      <c r="T330">
        <v>1</v>
      </c>
      <c r="U330">
        <v>0</v>
      </c>
      <c r="V330" t="s">
        <v>32</v>
      </c>
      <c r="W330" t="s">
        <v>43</v>
      </c>
      <c r="X330" s="4">
        <v>5.9</v>
      </c>
      <c r="Y330">
        <v>6</v>
      </c>
      <c r="Z330" s="5">
        <v>174.9</v>
      </c>
    </row>
    <row r="331" spans="1:26">
      <c r="A331">
        <v>330</v>
      </c>
      <c r="B331">
        <v>104</v>
      </c>
      <c r="C331" s="2">
        <v>46215</v>
      </c>
      <c r="D331" t="s">
        <v>58</v>
      </c>
      <c r="E331">
        <v>7</v>
      </c>
      <c r="F331" s="3">
        <v>12.17</v>
      </c>
      <c r="G331" t="s">
        <v>36</v>
      </c>
      <c r="H331">
        <v>35</v>
      </c>
      <c r="I331" t="s">
        <v>34</v>
      </c>
      <c r="J331" s="4">
        <v>61.4</v>
      </c>
      <c r="K331" s="4">
        <v>166.5</v>
      </c>
      <c r="L331" s="4">
        <v>31</v>
      </c>
      <c r="M331">
        <v>13</v>
      </c>
      <c r="N331" t="s">
        <v>53</v>
      </c>
      <c r="O331">
        <v>2</v>
      </c>
      <c r="P331" s="4">
        <v>1002.1</v>
      </c>
      <c r="Q331" t="s">
        <v>42</v>
      </c>
      <c r="R331">
        <v>0</v>
      </c>
      <c r="S331" t="s">
        <v>38</v>
      </c>
      <c r="T331">
        <v>1</v>
      </c>
      <c r="U331">
        <v>0</v>
      </c>
      <c r="V331" t="s">
        <v>32</v>
      </c>
      <c r="W331" t="s">
        <v>43</v>
      </c>
      <c r="X331" s="4">
        <v>7.6</v>
      </c>
      <c r="Y331">
        <v>10</v>
      </c>
      <c r="Z331" s="5">
        <v>132.91</v>
      </c>
    </row>
    <row r="332" spans="1:26">
      <c r="A332">
        <v>331</v>
      </c>
      <c r="B332">
        <v>105</v>
      </c>
      <c r="C332" s="2">
        <v>46111</v>
      </c>
      <c r="D332" t="s">
        <v>46</v>
      </c>
      <c r="E332">
        <v>3</v>
      </c>
      <c r="F332" s="3">
        <v>10.31</v>
      </c>
      <c r="G332" t="s">
        <v>27</v>
      </c>
      <c r="H332">
        <v>34</v>
      </c>
      <c r="I332" t="s">
        <v>28</v>
      </c>
      <c r="J332" s="4">
        <v>68.7</v>
      </c>
      <c r="K332" s="4">
        <v>116.8</v>
      </c>
      <c r="L332" s="4">
        <v>17.100000000000001</v>
      </c>
      <c r="M332">
        <v>13</v>
      </c>
      <c r="N332" t="s">
        <v>56</v>
      </c>
      <c r="O332">
        <v>1</v>
      </c>
      <c r="P332" s="4">
        <v>162.19999999999999</v>
      </c>
      <c r="Q332" t="s">
        <v>42</v>
      </c>
      <c r="R332">
        <v>0</v>
      </c>
      <c r="S332" t="s">
        <v>44</v>
      </c>
      <c r="T332">
        <v>0</v>
      </c>
      <c r="U332">
        <v>0</v>
      </c>
      <c r="V332" t="s">
        <v>32</v>
      </c>
      <c r="W332" t="s">
        <v>39</v>
      </c>
      <c r="X332" s="4">
        <v>8.5</v>
      </c>
      <c r="Y332">
        <v>6</v>
      </c>
      <c r="Z332" s="5">
        <v>139.87</v>
      </c>
    </row>
    <row r="333" spans="1:26">
      <c r="A333">
        <v>332</v>
      </c>
      <c r="B333">
        <v>106</v>
      </c>
      <c r="C333" s="2">
        <v>46136</v>
      </c>
      <c r="D333" t="s">
        <v>26</v>
      </c>
      <c r="E333">
        <v>4</v>
      </c>
      <c r="F333" s="3">
        <v>13.3</v>
      </c>
      <c r="G333" t="s">
        <v>36</v>
      </c>
      <c r="H333">
        <v>29</v>
      </c>
      <c r="I333" t="s">
        <v>28</v>
      </c>
      <c r="J333" s="4">
        <v>65.2</v>
      </c>
      <c r="K333" s="4">
        <v>162.9</v>
      </c>
      <c r="L333" s="4">
        <v>26.8</v>
      </c>
      <c r="M333">
        <v>14</v>
      </c>
      <c r="N333" t="s">
        <v>50</v>
      </c>
      <c r="O333">
        <v>3</v>
      </c>
      <c r="P333" s="4">
        <v>529.70000000000005</v>
      </c>
      <c r="Q333" t="s">
        <v>30</v>
      </c>
      <c r="R333">
        <v>0</v>
      </c>
      <c r="S333" t="s">
        <v>44</v>
      </c>
      <c r="T333">
        <v>0</v>
      </c>
      <c r="U333">
        <v>0</v>
      </c>
      <c r="V333" t="s">
        <v>45</v>
      </c>
      <c r="W333" t="s">
        <v>39</v>
      </c>
      <c r="X333" s="4">
        <v>5.7</v>
      </c>
      <c r="Y333">
        <v>9</v>
      </c>
      <c r="Z333" s="5">
        <v>116.14</v>
      </c>
    </row>
    <row r="334" spans="1:26">
      <c r="A334">
        <v>333</v>
      </c>
      <c r="B334">
        <v>106</v>
      </c>
      <c r="C334" s="2">
        <v>46136</v>
      </c>
      <c r="D334" t="s">
        <v>26</v>
      </c>
      <c r="E334">
        <v>4</v>
      </c>
      <c r="F334" s="3">
        <v>13.39</v>
      </c>
      <c r="G334" t="s">
        <v>36</v>
      </c>
      <c r="H334">
        <v>42</v>
      </c>
      <c r="I334" t="s">
        <v>28</v>
      </c>
      <c r="J334" s="4">
        <v>70.5</v>
      </c>
      <c r="K334" s="4">
        <v>186.7</v>
      </c>
      <c r="L334" s="4">
        <v>26.3</v>
      </c>
      <c r="M334">
        <v>13</v>
      </c>
      <c r="N334" t="s">
        <v>50</v>
      </c>
      <c r="O334">
        <v>3</v>
      </c>
      <c r="P334" s="4">
        <v>529.70000000000005</v>
      </c>
      <c r="Q334" t="s">
        <v>30</v>
      </c>
      <c r="R334">
        <v>0</v>
      </c>
      <c r="S334" t="s">
        <v>44</v>
      </c>
      <c r="T334">
        <v>0</v>
      </c>
      <c r="U334">
        <v>0</v>
      </c>
      <c r="V334" t="s">
        <v>45</v>
      </c>
      <c r="W334" t="s">
        <v>39</v>
      </c>
      <c r="X334" s="4">
        <v>6.1</v>
      </c>
      <c r="Y334">
        <v>2</v>
      </c>
      <c r="Z334" s="5">
        <v>99.83</v>
      </c>
    </row>
    <row r="335" spans="1:26">
      <c r="A335">
        <v>334</v>
      </c>
      <c r="B335">
        <v>106</v>
      </c>
      <c r="C335" s="2">
        <v>46136</v>
      </c>
      <c r="D335" t="s">
        <v>26</v>
      </c>
      <c r="E335">
        <v>4</v>
      </c>
      <c r="F335" s="3">
        <v>13.12</v>
      </c>
      <c r="G335" t="s">
        <v>36</v>
      </c>
      <c r="H335">
        <v>72</v>
      </c>
      <c r="I335" t="s">
        <v>51</v>
      </c>
      <c r="J335" s="4">
        <v>65</v>
      </c>
      <c r="K335" s="4">
        <v>167.7</v>
      </c>
      <c r="L335" s="4">
        <v>27.9</v>
      </c>
      <c r="M335">
        <v>15</v>
      </c>
      <c r="N335" t="s">
        <v>50</v>
      </c>
      <c r="O335">
        <v>3</v>
      </c>
      <c r="P335" s="4">
        <v>529.70000000000005</v>
      </c>
      <c r="Q335" t="s">
        <v>30</v>
      </c>
      <c r="R335">
        <v>0</v>
      </c>
      <c r="S335" t="s">
        <v>44</v>
      </c>
      <c r="T335">
        <v>0</v>
      </c>
      <c r="U335">
        <v>0</v>
      </c>
      <c r="V335" t="s">
        <v>45</v>
      </c>
      <c r="W335" t="s">
        <v>39</v>
      </c>
      <c r="X335" s="4">
        <v>6.1</v>
      </c>
      <c r="Y335">
        <v>4</v>
      </c>
      <c r="Z335" s="5">
        <v>115.36</v>
      </c>
    </row>
    <row r="336" spans="1:26">
      <c r="A336">
        <v>335</v>
      </c>
      <c r="B336">
        <v>107</v>
      </c>
      <c r="C336" s="2">
        <v>46309</v>
      </c>
      <c r="D336" t="s">
        <v>52</v>
      </c>
      <c r="E336">
        <v>10</v>
      </c>
      <c r="F336" s="3">
        <v>9.07</v>
      </c>
      <c r="G336" t="s">
        <v>27</v>
      </c>
      <c r="H336">
        <v>67</v>
      </c>
      <c r="I336" t="s">
        <v>28</v>
      </c>
      <c r="J336" s="4">
        <v>70.5</v>
      </c>
      <c r="K336" s="4">
        <v>182.9</v>
      </c>
      <c r="L336" s="4">
        <v>26</v>
      </c>
      <c r="M336">
        <v>18</v>
      </c>
      <c r="N336" t="s">
        <v>59</v>
      </c>
      <c r="O336">
        <v>2</v>
      </c>
      <c r="P336" s="4">
        <v>706.3</v>
      </c>
      <c r="Q336" t="s">
        <v>42</v>
      </c>
      <c r="R336">
        <v>1</v>
      </c>
      <c r="S336" t="s">
        <v>38</v>
      </c>
      <c r="T336">
        <v>0</v>
      </c>
      <c r="U336">
        <v>0</v>
      </c>
      <c r="V336" t="s">
        <v>64</v>
      </c>
      <c r="W336" t="s">
        <v>49</v>
      </c>
      <c r="X336" s="4">
        <v>7.9</v>
      </c>
      <c r="Y336">
        <v>7</v>
      </c>
      <c r="Z336" s="5">
        <v>236.93</v>
      </c>
    </row>
    <row r="337" spans="1:26">
      <c r="A337">
        <v>336</v>
      </c>
      <c r="B337">
        <v>107</v>
      </c>
      <c r="C337" s="2">
        <v>46309</v>
      </c>
      <c r="D337" t="s">
        <v>52</v>
      </c>
      <c r="E337">
        <v>10</v>
      </c>
      <c r="F337" s="3">
        <v>9.2200000000000006</v>
      </c>
      <c r="G337" t="s">
        <v>27</v>
      </c>
      <c r="H337">
        <v>9</v>
      </c>
      <c r="I337" t="s">
        <v>28</v>
      </c>
      <c r="J337" s="4">
        <v>64.7</v>
      </c>
      <c r="K337" s="4">
        <v>136.80000000000001</v>
      </c>
      <c r="L337" s="4">
        <v>23.1</v>
      </c>
      <c r="M337">
        <v>12</v>
      </c>
      <c r="N337" t="s">
        <v>59</v>
      </c>
      <c r="O337">
        <v>2</v>
      </c>
      <c r="P337" s="4">
        <v>706.3</v>
      </c>
      <c r="Q337" t="s">
        <v>42</v>
      </c>
      <c r="R337">
        <v>1</v>
      </c>
      <c r="S337" t="s">
        <v>38</v>
      </c>
      <c r="T337">
        <v>0</v>
      </c>
      <c r="U337">
        <v>0</v>
      </c>
      <c r="V337" t="s">
        <v>64</v>
      </c>
      <c r="W337" t="s">
        <v>49</v>
      </c>
      <c r="X337" s="4">
        <v>12.6</v>
      </c>
      <c r="Y337">
        <v>6</v>
      </c>
      <c r="Z337" s="5">
        <v>241.61</v>
      </c>
    </row>
    <row r="338" spans="1:26">
      <c r="A338">
        <v>337</v>
      </c>
      <c r="B338">
        <v>108</v>
      </c>
      <c r="C338" s="2">
        <v>46262</v>
      </c>
      <c r="D338" t="s">
        <v>26</v>
      </c>
      <c r="E338">
        <v>8</v>
      </c>
      <c r="F338" s="3">
        <v>11.89</v>
      </c>
      <c r="G338" t="s">
        <v>36</v>
      </c>
      <c r="H338">
        <v>42</v>
      </c>
      <c r="I338" t="s">
        <v>28</v>
      </c>
      <c r="J338" s="4">
        <v>69.099999999999994</v>
      </c>
      <c r="K338" s="4">
        <v>142.19999999999999</v>
      </c>
      <c r="L338" s="4">
        <v>20.7</v>
      </c>
      <c r="M338">
        <v>15</v>
      </c>
      <c r="N338" t="s">
        <v>61</v>
      </c>
      <c r="O338">
        <v>3</v>
      </c>
      <c r="P338" s="4">
        <v>1525.9</v>
      </c>
      <c r="Q338" t="s">
        <v>30</v>
      </c>
      <c r="R338">
        <v>1</v>
      </c>
      <c r="S338" t="s">
        <v>44</v>
      </c>
      <c r="T338">
        <v>0</v>
      </c>
      <c r="U338">
        <v>0</v>
      </c>
      <c r="V338" t="s">
        <v>32</v>
      </c>
      <c r="W338" t="s">
        <v>57</v>
      </c>
      <c r="X338" s="4">
        <v>10.7</v>
      </c>
      <c r="Y338">
        <v>11</v>
      </c>
      <c r="Z338" s="5">
        <v>339.95</v>
      </c>
    </row>
    <row r="339" spans="1:26">
      <c r="A339">
        <v>338</v>
      </c>
      <c r="B339">
        <v>108</v>
      </c>
      <c r="C339" s="2">
        <v>46262</v>
      </c>
      <c r="D339" t="s">
        <v>26</v>
      </c>
      <c r="E339">
        <v>8</v>
      </c>
      <c r="F339" s="3">
        <v>11.79</v>
      </c>
      <c r="G339" t="s">
        <v>36</v>
      </c>
      <c r="H339">
        <v>27</v>
      </c>
      <c r="I339" t="s">
        <v>34</v>
      </c>
      <c r="J339" s="4">
        <v>60.2</v>
      </c>
      <c r="K339" s="4">
        <v>127.9</v>
      </c>
      <c r="L339" s="4">
        <v>24.8</v>
      </c>
      <c r="M339">
        <v>14</v>
      </c>
      <c r="N339" t="s">
        <v>61</v>
      </c>
      <c r="O339">
        <v>3</v>
      </c>
      <c r="P339" s="4">
        <v>1525.9</v>
      </c>
      <c r="Q339" t="s">
        <v>30</v>
      </c>
      <c r="R339">
        <v>1</v>
      </c>
      <c r="S339" t="s">
        <v>44</v>
      </c>
      <c r="T339">
        <v>0</v>
      </c>
      <c r="U339">
        <v>0</v>
      </c>
      <c r="V339" t="s">
        <v>32</v>
      </c>
      <c r="W339" t="s">
        <v>57</v>
      </c>
      <c r="X339" s="4">
        <v>8</v>
      </c>
      <c r="Y339">
        <v>8</v>
      </c>
      <c r="Z339" s="5">
        <v>194.51</v>
      </c>
    </row>
    <row r="340" spans="1:26">
      <c r="A340">
        <v>339</v>
      </c>
      <c r="B340">
        <v>108</v>
      </c>
      <c r="C340" s="2">
        <v>46262</v>
      </c>
      <c r="D340" t="s">
        <v>26</v>
      </c>
      <c r="E340">
        <v>8</v>
      </c>
      <c r="F340" s="3">
        <v>11.92</v>
      </c>
      <c r="G340" t="s">
        <v>36</v>
      </c>
      <c r="H340">
        <v>13</v>
      </c>
      <c r="I340" t="s">
        <v>28</v>
      </c>
      <c r="J340" s="4">
        <v>70</v>
      </c>
      <c r="K340" s="4">
        <v>138.5</v>
      </c>
      <c r="L340" s="4">
        <v>19.8</v>
      </c>
      <c r="M340">
        <v>12</v>
      </c>
      <c r="N340" t="s">
        <v>61</v>
      </c>
      <c r="O340">
        <v>3</v>
      </c>
      <c r="P340" s="4">
        <v>1525.9</v>
      </c>
      <c r="Q340" t="s">
        <v>30</v>
      </c>
      <c r="R340">
        <v>1</v>
      </c>
      <c r="S340" t="s">
        <v>44</v>
      </c>
      <c r="T340">
        <v>0</v>
      </c>
      <c r="U340">
        <v>0</v>
      </c>
      <c r="V340" t="s">
        <v>32</v>
      </c>
      <c r="W340" t="s">
        <v>57</v>
      </c>
      <c r="X340" s="4">
        <v>6.7</v>
      </c>
      <c r="Y340">
        <v>9</v>
      </c>
      <c r="Z340" s="5">
        <v>182.64</v>
      </c>
    </row>
    <row r="341" spans="1:26">
      <c r="A341">
        <v>340</v>
      </c>
      <c r="B341">
        <v>109</v>
      </c>
      <c r="C341" s="2">
        <v>46201</v>
      </c>
      <c r="D341" t="s">
        <v>58</v>
      </c>
      <c r="E341">
        <v>6</v>
      </c>
      <c r="F341" s="3">
        <v>9.15</v>
      </c>
      <c r="G341" t="s">
        <v>27</v>
      </c>
      <c r="H341">
        <v>44</v>
      </c>
      <c r="I341" t="s">
        <v>34</v>
      </c>
      <c r="J341" s="4">
        <v>68.8</v>
      </c>
      <c r="K341" s="4">
        <v>239.6</v>
      </c>
      <c r="L341" s="4">
        <v>35.6</v>
      </c>
      <c r="M341">
        <v>14</v>
      </c>
      <c r="N341" t="s">
        <v>50</v>
      </c>
      <c r="O341">
        <v>2</v>
      </c>
      <c r="P341" s="4">
        <v>300.2</v>
      </c>
      <c r="Q341" t="s">
        <v>30</v>
      </c>
      <c r="R341">
        <v>0</v>
      </c>
      <c r="S341" t="s">
        <v>44</v>
      </c>
      <c r="T341">
        <v>1</v>
      </c>
      <c r="U341">
        <v>0</v>
      </c>
      <c r="V341" t="s">
        <v>64</v>
      </c>
      <c r="W341" t="s">
        <v>39</v>
      </c>
      <c r="X341" s="4">
        <v>8.9</v>
      </c>
      <c r="Y341">
        <v>11</v>
      </c>
      <c r="Z341" s="5">
        <v>100.04</v>
      </c>
    </row>
    <row r="342" spans="1:26">
      <c r="A342">
        <v>341</v>
      </c>
      <c r="B342">
        <v>109</v>
      </c>
      <c r="C342" s="2">
        <v>46201</v>
      </c>
      <c r="D342" t="s">
        <v>58</v>
      </c>
      <c r="E342">
        <v>6</v>
      </c>
      <c r="F342" s="3">
        <v>9.27</v>
      </c>
      <c r="G342" t="s">
        <v>27</v>
      </c>
      <c r="H342">
        <v>29</v>
      </c>
      <c r="I342" t="s">
        <v>34</v>
      </c>
      <c r="J342" s="4">
        <v>63.7</v>
      </c>
      <c r="K342" s="4">
        <v>145.30000000000001</v>
      </c>
      <c r="L342" s="4">
        <v>25.2</v>
      </c>
      <c r="M342">
        <v>17</v>
      </c>
      <c r="N342" t="s">
        <v>50</v>
      </c>
      <c r="O342">
        <v>2</v>
      </c>
      <c r="P342" s="4">
        <v>300.2</v>
      </c>
      <c r="Q342" t="s">
        <v>30</v>
      </c>
      <c r="R342">
        <v>0</v>
      </c>
      <c r="S342" t="s">
        <v>44</v>
      </c>
      <c r="T342">
        <v>1</v>
      </c>
      <c r="U342">
        <v>0</v>
      </c>
      <c r="V342" t="s">
        <v>64</v>
      </c>
      <c r="W342" t="s">
        <v>39</v>
      </c>
      <c r="X342" s="4">
        <v>5.4</v>
      </c>
      <c r="Y342">
        <v>11</v>
      </c>
      <c r="Z342" s="5">
        <v>225.36</v>
      </c>
    </row>
    <row r="343" spans="1:26">
      <c r="A343">
        <v>342</v>
      </c>
      <c r="B343">
        <v>110</v>
      </c>
      <c r="C343" s="2">
        <v>46264</v>
      </c>
      <c r="D343" t="s">
        <v>58</v>
      </c>
      <c r="E343">
        <v>8</v>
      </c>
      <c r="F343" s="3">
        <v>11.05</v>
      </c>
      <c r="G343" t="s">
        <v>36</v>
      </c>
      <c r="H343">
        <v>40</v>
      </c>
      <c r="I343" t="s">
        <v>34</v>
      </c>
      <c r="J343" s="4">
        <v>64.099999999999994</v>
      </c>
      <c r="K343" s="4">
        <v>123.6</v>
      </c>
      <c r="L343" s="4">
        <v>21</v>
      </c>
      <c r="M343">
        <v>10</v>
      </c>
      <c r="N343" t="s">
        <v>37</v>
      </c>
      <c r="O343">
        <v>1</v>
      </c>
      <c r="P343" s="4">
        <v>1000.4</v>
      </c>
      <c r="Q343" t="s">
        <v>30</v>
      </c>
      <c r="R343">
        <v>1</v>
      </c>
      <c r="S343" t="s">
        <v>31</v>
      </c>
      <c r="T343">
        <v>0</v>
      </c>
      <c r="U343">
        <v>0</v>
      </c>
      <c r="V343" t="s">
        <v>32</v>
      </c>
      <c r="W343" t="s">
        <v>43</v>
      </c>
      <c r="X343" s="4">
        <v>8</v>
      </c>
      <c r="Y343">
        <v>10</v>
      </c>
      <c r="Z343" s="5">
        <v>267.60000000000002</v>
      </c>
    </row>
    <row r="344" spans="1:26">
      <c r="A344">
        <v>343</v>
      </c>
      <c r="B344">
        <v>111</v>
      </c>
      <c r="C344" s="2">
        <v>46254</v>
      </c>
      <c r="D344" t="s">
        <v>55</v>
      </c>
      <c r="E344">
        <v>8</v>
      </c>
      <c r="F344" s="3">
        <v>10.4</v>
      </c>
      <c r="G344" t="s">
        <v>27</v>
      </c>
      <c r="H344">
        <v>8</v>
      </c>
      <c r="I344" t="s">
        <v>28</v>
      </c>
      <c r="J344" s="4">
        <v>65.5</v>
      </c>
      <c r="K344" s="4">
        <v>112.2</v>
      </c>
      <c r="L344" s="4">
        <v>18.399999999999999</v>
      </c>
      <c r="M344">
        <v>10</v>
      </c>
      <c r="N344" t="s">
        <v>60</v>
      </c>
      <c r="O344">
        <v>5</v>
      </c>
      <c r="P344" s="4">
        <v>1217.9000000000001</v>
      </c>
      <c r="Q344" t="s">
        <v>42</v>
      </c>
      <c r="R344">
        <v>1</v>
      </c>
      <c r="S344" t="s">
        <v>44</v>
      </c>
      <c r="T344">
        <v>1</v>
      </c>
      <c r="U344">
        <v>0</v>
      </c>
      <c r="V344" t="s">
        <v>32</v>
      </c>
      <c r="W344" t="s">
        <v>49</v>
      </c>
      <c r="X344" s="4">
        <v>8.1</v>
      </c>
      <c r="Y344">
        <v>12</v>
      </c>
      <c r="Z344" s="5">
        <v>425.63</v>
      </c>
    </row>
    <row r="345" spans="1:26">
      <c r="A345">
        <v>344</v>
      </c>
      <c r="B345">
        <v>111</v>
      </c>
      <c r="C345" s="2">
        <v>46254</v>
      </c>
      <c r="D345" t="s">
        <v>55</v>
      </c>
      <c r="E345">
        <v>8</v>
      </c>
      <c r="F345" s="3">
        <v>10.39</v>
      </c>
      <c r="G345" t="s">
        <v>27</v>
      </c>
      <c r="H345">
        <v>20</v>
      </c>
      <c r="I345" t="s">
        <v>28</v>
      </c>
      <c r="J345" s="4">
        <v>71.099999999999994</v>
      </c>
      <c r="K345" s="4">
        <v>142.4</v>
      </c>
      <c r="L345" s="4">
        <v>19.7</v>
      </c>
      <c r="M345">
        <v>12</v>
      </c>
      <c r="N345" t="s">
        <v>60</v>
      </c>
      <c r="O345">
        <v>5</v>
      </c>
      <c r="P345" s="4">
        <v>1217.9000000000001</v>
      </c>
      <c r="Q345" t="s">
        <v>42</v>
      </c>
      <c r="R345">
        <v>1</v>
      </c>
      <c r="S345" t="s">
        <v>44</v>
      </c>
      <c r="T345">
        <v>1</v>
      </c>
      <c r="U345">
        <v>0</v>
      </c>
      <c r="V345" t="s">
        <v>32</v>
      </c>
      <c r="W345" t="s">
        <v>49</v>
      </c>
      <c r="X345" s="4">
        <v>7.5</v>
      </c>
      <c r="Y345">
        <v>7</v>
      </c>
      <c r="Z345" s="5">
        <v>147.08000000000001</v>
      </c>
    </row>
    <row r="346" spans="1:26">
      <c r="A346">
        <v>345</v>
      </c>
      <c r="B346">
        <v>111</v>
      </c>
      <c r="C346" s="2">
        <v>46254</v>
      </c>
      <c r="D346" t="s">
        <v>55</v>
      </c>
      <c r="E346">
        <v>8</v>
      </c>
      <c r="F346" s="3">
        <v>10.23</v>
      </c>
      <c r="G346" t="s">
        <v>27</v>
      </c>
      <c r="H346">
        <v>60</v>
      </c>
      <c r="I346" t="s">
        <v>34</v>
      </c>
      <c r="J346" s="4">
        <v>62.9</v>
      </c>
      <c r="K346" s="4">
        <v>128.30000000000001</v>
      </c>
      <c r="L346" s="4">
        <v>22.7</v>
      </c>
      <c r="M346">
        <v>17</v>
      </c>
      <c r="N346" t="s">
        <v>60</v>
      </c>
      <c r="O346">
        <v>5</v>
      </c>
      <c r="P346" s="4">
        <v>1217.9000000000001</v>
      </c>
      <c r="Q346" t="s">
        <v>42</v>
      </c>
      <c r="R346">
        <v>1</v>
      </c>
      <c r="S346" t="s">
        <v>44</v>
      </c>
      <c r="T346">
        <v>1</v>
      </c>
      <c r="U346">
        <v>0</v>
      </c>
      <c r="V346" t="s">
        <v>32</v>
      </c>
      <c r="W346" t="s">
        <v>49</v>
      </c>
      <c r="X346" s="4">
        <v>9.6</v>
      </c>
      <c r="Y346">
        <v>4</v>
      </c>
      <c r="Z346" s="5">
        <v>224.8</v>
      </c>
    </row>
    <row r="347" spans="1:26">
      <c r="A347">
        <v>346</v>
      </c>
      <c r="B347">
        <v>111</v>
      </c>
      <c r="C347" s="2">
        <v>46254</v>
      </c>
      <c r="D347" t="s">
        <v>55</v>
      </c>
      <c r="E347">
        <v>8</v>
      </c>
      <c r="F347" s="3">
        <v>10.32</v>
      </c>
      <c r="G347" t="s">
        <v>27</v>
      </c>
      <c r="H347">
        <v>66</v>
      </c>
      <c r="I347" t="s">
        <v>28</v>
      </c>
      <c r="J347" s="4">
        <v>65.900000000000006</v>
      </c>
      <c r="K347" s="4">
        <v>120.4</v>
      </c>
      <c r="L347" s="4">
        <v>19.2</v>
      </c>
      <c r="M347">
        <v>16</v>
      </c>
      <c r="N347" t="s">
        <v>60</v>
      </c>
      <c r="O347">
        <v>5</v>
      </c>
      <c r="P347" s="4">
        <v>1217.9000000000001</v>
      </c>
      <c r="Q347" t="s">
        <v>42</v>
      </c>
      <c r="R347">
        <v>1</v>
      </c>
      <c r="S347" t="s">
        <v>44</v>
      </c>
      <c r="T347">
        <v>1</v>
      </c>
      <c r="U347">
        <v>0</v>
      </c>
      <c r="V347" t="s">
        <v>32</v>
      </c>
      <c r="W347" t="s">
        <v>49</v>
      </c>
      <c r="X347" s="4">
        <v>9.1</v>
      </c>
      <c r="Y347">
        <v>6</v>
      </c>
      <c r="Z347" s="5">
        <v>181.92</v>
      </c>
    </row>
    <row r="348" spans="1:26">
      <c r="A348">
        <v>347</v>
      </c>
      <c r="B348">
        <v>111</v>
      </c>
      <c r="C348" s="2">
        <v>46254</v>
      </c>
      <c r="D348" t="s">
        <v>55</v>
      </c>
      <c r="E348">
        <v>8</v>
      </c>
      <c r="F348" s="3">
        <v>10.220000000000001</v>
      </c>
      <c r="G348" t="s">
        <v>27</v>
      </c>
      <c r="H348">
        <v>57</v>
      </c>
      <c r="I348" t="s">
        <v>34</v>
      </c>
      <c r="J348" s="4">
        <v>64.5</v>
      </c>
      <c r="K348" s="4">
        <v>145</v>
      </c>
      <c r="L348" s="4">
        <v>24.4</v>
      </c>
      <c r="M348">
        <v>14</v>
      </c>
      <c r="N348" t="s">
        <v>60</v>
      </c>
      <c r="O348">
        <v>5</v>
      </c>
      <c r="P348" s="4">
        <v>1217.9000000000001</v>
      </c>
      <c r="Q348" t="s">
        <v>42</v>
      </c>
      <c r="R348">
        <v>1</v>
      </c>
      <c r="S348" t="s">
        <v>44</v>
      </c>
      <c r="T348">
        <v>1</v>
      </c>
      <c r="U348">
        <v>0</v>
      </c>
      <c r="V348" t="s">
        <v>32</v>
      </c>
      <c r="W348" t="s">
        <v>49</v>
      </c>
      <c r="X348" s="4">
        <v>8</v>
      </c>
      <c r="Y348">
        <v>8</v>
      </c>
      <c r="Z348" s="5">
        <v>241.58</v>
      </c>
    </row>
    <row r="349" spans="1:26">
      <c r="A349">
        <v>348</v>
      </c>
      <c r="B349">
        <v>112</v>
      </c>
      <c r="C349" s="2">
        <v>46163</v>
      </c>
      <c r="D349" t="s">
        <v>55</v>
      </c>
      <c r="E349">
        <v>5</v>
      </c>
      <c r="F349" s="3">
        <v>12.03</v>
      </c>
      <c r="G349" t="s">
        <v>36</v>
      </c>
      <c r="H349">
        <v>9</v>
      </c>
      <c r="I349" t="s">
        <v>28</v>
      </c>
      <c r="J349" s="4">
        <v>61.9</v>
      </c>
      <c r="K349" s="4">
        <v>97.6</v>
      </c>
      <c r="L349" s="4">
        <v>17.8</v>
      </c>
      <c r="M349">
        <v>14</v>
      </c>
      <c r="N349" t="s">
        <v>47</v>
      </c>
      <c r="O349">
        <v>3</v>
      </c>
      <c r="P349" s="4">
        <v>67.5</v>
      </c>
      <c r="Q349" t="s">
        <v>42</v>
      </c>
      <c r="R349">
        <v>1</v>
      </c>
      <c r="S349" t="s">
        <v>31</v>
      </c>
      <c r="T349">
        <v>0</v>
      </c>
      <c r="U349">
        <v>0</v>
      </c>
      <c r="V349" t="s">
        <v>32</v>
      </c>
      <c r="W349" t="s">
        <v>43</v>
      </c>
      <c r="X349" s="4">
        <v>6.1</v>
      </c>
      <c r="Y349">
        <v>11</v>
      </c>
      <c r="Z349" s="5">
        <v>199.03</v>
      </c>
    </row>
    <row r="350" spans="1:26">
      <c r="A350">
        <v>349</v>
      </c>
      <c r="B350">
        <v>112</v>
      </c>
      <c r="C350" s="2">
        <v>46163</v>
      </c>
      <c r="D350" t="s">
        <v>55</v>
      </c>
      <c r="E350">
        <v>5</v>
      </c>
      <c r="F350" s="3">
        <v>12.18</v>
      </c>
      <c r="G350" t="s">
        <v>36</v>
      </c>
      <c r="H350">
        <v>5</v>
      </c>
      <c r="I350" t="s">
        <v>34</v>
      </c>
      <c r="J350" s="4">
        <v>43.9</v>
      </c>
      <c r="K350" s="4">
        <v>54</v>
      </c>
      <c r="L350" s="4">
        <v>19.600000000000001</v>
      </c>
      <c r="M350">
        <v>11</v>
      </c>
      <c r="N350" t="s">
        <v>47</v>
      </c>
      <c r="O350">
        <v>3</v>
      </c>
      <c r="P350" s="4">
        <v>67.5</v>
      </c>
      <c r="Q350" t="s">
        <v>42</v>
      </c>
      <c r="R350">
        <v>1</v>
      </c>
      <c r="S350" t="s">
        <v>31</v>
      </c>
      <c r="T350">
        <v>0</v>
      </c>
      <c r="U350">
        <v>0</v>
      </c>
      <c r="V350" t="s">
        <v>32</v>
      </c>
      <c r="W350" t="s">
        <v>43</v>
      </c>
      <c r="X350" s="4">
        <v>8.8000000000000007</v>
      </c>
      <c r="Y350">
        <v>6</v>
      </c>
      <c r="Z350" s="5">
        <v>234.82</v>
      </c>
    </row>
    <row r="351" spans="1:26">
      <c r="A351">
        <v>350</v>
      </c>
      <c r="B351">
        <v>112</v>
      </c>
      <c r="C351" s="2">
        <v>46163</v>
      </c>
      <c r="D351" t="s">
        <v>55</v>
      </c>
      <c r="E351">
        <v>5</v>
      </c>
      <c r="F351" s="3">
        <v>11.98</v>
      </c>
      <c r="G351" t="s">
        <v>36</v>
      </c>
      <c r="H351">
        <v>52</v>
      </c>
      <c r="I351" t="s">
        <v>34</v>
      </c>
      <c r="J351" s="4">
        <v>63.4</v>
      </c>
      <c r="K351" s="4">
        <v>159.5</v>
      </c>
      <c r="L351" s="4">
        <v>28</v>
      </c>
      <c r="M351">
        <v>13</v>
      </c>
      <c r="N351" t="s">
        <v>47</v>
      </c>
      <c r="O351">
        <v>3</v>
      </c>
      <c r="P351" s="4">
        <v>67.5</v>
      </c>
      <c r="Q351" t="s">
        <v>42</v>
      </c>
      <c r="R351">
        <v>1</v>
      </c>
      <c r="S351" t="s">
        <v>31</v>
      </c>
      <c r="T351">
        <v>0</v>
      </c>
      <c r="U351">
        <v>0</v>
      </c>
      <c r="V351" t="s">
        <v>32</v>
      </c>
      <c r="W351" t="s">
        <v>43</v>
      </c>
      <c r="X351" s="4">
        <v>10.5</v>
      </c>
      <c r="Y351">
        <v>12</v>
      </c>
      <c r="Z351" s="5">
        <v>359.96</v>
      </c>
    </row>
    <row r="352" spans="1:26">
      <c r="A352">
        <v>351</v>
      </c>
      <c r="B352">
        <v>113</v>
      </c>
      <c r="C352" s="2">
        <v>46121</v>
      </c>
      <c r="D352" t="s">
        <v>55</v>
      </c>
      <c r="E352">
        <v>4</v>
      </c>
      <c r="F352" s="3">
        <v>9.5399999999999991</v>
      </c>
      <c r="G352" t="s">
        <v>27</v>
      </c>
      <c r="H352">
        <v>71</v>
      </c>
      <c r="I352" t="s">
        <v>28</v>
      </c>
      <c r="J352" s="4">
        <v>67.099999999999994</v>
      </c>
      <c r="K352" s="4">
        <v>167.5</v>
      </c>
      <c r="L352" s="4">
        <v>26.3</v>
      </c>
      <c r="M352">
        <v>16</v>
      </c>
      <c r="N352" t="s">
        <v>37</v>
      </c>
      <c r="O352">
        <v>4</v>
      </c>
      <c r="P352" s="4">
        <v>1330.8</v>
      </c>
      <c r="Q352" t="s">
        <v>30</v>
      </c>
      <c r="R352">
        <v>1</v>
      </c>
      <c r="S352" t="s">
        <v>44</v>
      </c>
      <c r="T352">
        <v>0</v>
      </c>
      <c r="U352">
        <v>0</v>
      </c>
      <c r="V352" t="s">
        <v>32</v>
      </c>
      <c r="W352" t="s">
        <v>49</v>
      </c>
      <c r="X352" s="4">
        <v>8.6999999999999993</v>
      </c>
      <c r="Y352">
        <v>15</v>
      </c>
      <c r="Z352" s="5">
        <v>239.37</v>
      </c>
    </row>
    <row r="353" spans="1:26">
      <c r="A353">
        <v>352</v>
      </c>
      <c r="B353">
        <v>113</v>
      </c>
      <c r="C353" s="2">
        <v>46121</v>
      </c>
      <c r="D353" t="s">
        <v>55</v>
      </c>
      <c r="E353">
        <v>4</v>
      </c>
      <c r="F353" s="3">
        <v>9.6199999999999992</v>
      </c>
      <c r="G353" t="s">
        <v>27</v>
      </c>
      <c r="H353">
        <v>46</v>
      </c>
      <c r="I353" t="s">
        <v>28</v>
      </c>
      <c r="J353" s="4">
        <v>74.5</v>
      </c>
      <c r="K353" s="4">
        <v>304.2</v>
      </c>
      <c r="L353" s="4">
        <v>38.6</v>
      </c>
      <c r="M353">
        <v>14</v>
      </c>
      <c r="N353" t="s">
        <v>37</v>
      </c>
      <c r="O353">
        <v>4</v>
      </c>
      <c r="P353" s="4">
        <v>1330.8</v>
      </c>
      <c r="Q353" t="s">
        <v>30</v>
      </c>
      <c r="R353">
        <v>1</v>
      </c>
      <c r="S353" t="s">
        <v>44</v>
      </c>
      <c r="T353">
        <v>0</v>
      </c>
      <c r="U353">
        <v>0</v>
      </c>
      <c r="V353" t="s">
        <v>32</v>
      </c>
      <c r="W353" t="s">
        <v>49</v>
      </c>
      <c r="X353" s="4">
        <v>11.6</v>
      </c>
      <c r="Y353">
        <v>14</v>
      </c>
      <c r="Z353" s="5">
        <v>328.53</v>
      </c>
    </row>
    <row r="354" spans="1:26">
      <c r="A354">
        <v>353</v>
      </c>
      <c r="B354">
        <v>113</v>
      </c>
      <c r="C354" s="2">
        <v>46121</v>
      </c>
      <c r="D354" t="s">
        <v>55</v>
      </c>
      <c r="E354">
        <v>4</v>
      </c>
      <c r="F354" s="3">
        <v>9.52</v>
      </c>
      <c r="G354" t="s">
        <v>27</v>
      </c>
      <c r="H354">
        <v>68</v>
      </c>
      <c r="I354" t="s">
        <v>34</v>
      </c>
      <c r="J354" s="4">
        <v>61.8</v>
      </c>
      <c r="K354" s="4">
        <v>116.4</v>
      </c>
      <c r="L354" s="4">
        <v>21.5</v>
      </c>
      <c r="M354">
        <v>16</v>
      </c>
      <c r="N354" t="s">
        <v>37</v>
      </c>
      <c r="O354">
        <v>4</v>
      </c>
      <c r="P354" s="4">
        <v>1330.8</v>
      </c>
      <c r="Q354" t="s">
        <v>30</v>
      </c>
      <c r="R354">
        <v>1</v>
      </c>
      <c r="S354" t="s">
        <v>44</v>
      </c>
      <c r="T354">
        <v>0</v>
      </c>
      <c r="U354">
        <v>0</v>
      </c>
      <c r="V354" t="s">
        <v>32</v>
      </c>
      <c r="W354" t="s">
        <v>49</v>
      </c>
      <c r="X354" s="4">
        <v>8</v>
      </c>
      <c r="Y354">
        <v>10</v>
      </c>
      <c r="Z354" s="5">
        <v>224.45</v>
      </c>
    </row>
    <row r="355" spans="1:26">
      <c r="A355">
        <v>354</v>
      </c>
      <c r="B355">
        <v>113</v>
      </c>
      <c r="C355" s="2">
        <v>46121</v>
      </c>
      <c r="D355" t="s">
        <v>55</v>
      </c>
      <c r="E355">
        <v>4</v>
      </c>
      <c r="F355" s="3">
        <v>9.26</v>
      </c>
      <c r="G355" t="s">
        <v>27</v>
      </c>
      <c r="H355">
        <v>6</v>
      </c>
      <c r="I355" t="s">
        <v>34</v>
      </c>
      <c r="J355" s="4">
        <v>63</v>
      </c>
      <c r="K355" s="4">
        <v>136.4</v>
      </c>
      <c r="L355" s="4">
        <v>23.9</v>
      </c>
      <c r="M355">
        <v>10</v>
      </c>
      <c r="N355" t="s">
        <v>37</v>
      </c>
      <c r="O355">
        <v>4</v>
      </c>
      <c r="P355" s="4">
        <v>1330.8</v>
      </c>
      <c r="Q355" t="s">
        <v>30</v>
      </c>
      <c r="R355">
        <v>1</v>
      </c>
      <c r="S355" t="s">
        <v>44</v>
      </c>
      <c r="T355">
        <v>0</v>
      </c>
      <c r="U355">
        <v>0</v>
      </c>
      <c r="V355" t="s">
        <v>32</v>
      </c>
      <c r="W355" t="s">
        <v>49</v>
      </c>
      <c r="X355" s="4">
        <v>11.8</v>
      </c>
      <c r="Y355">
        <v>13</v>
      </c>
      <c r="Z355" s="5">
        <v>280.12</v>
      </c>
    </row>
    <row r="356" spans="1:26">
      <c r="A356">
        <v>355</v>
      </c>
      <c r="B356">
        <v>114</v>
      </c>
      <c r="C356" s="2">
        <v>46048</v>
      </c>
      <c r="D356" t="s">
        <v>46</v>
      </c>
      <c r="E356">
        <v>1</v>
      </c>
      <c r="F356" s="3">
        <v>12.92</v>
      </c>
      <c r="G356" t="s">
        <v>36</v>
      </c>
      <c r="H356">
        <v>54</v>
      </c>
      <c r="I356" t="s">
        <v>34</v>
      </c>
      <c r="J356" s="4">
        <v>63.8</v>
      </c>
      <c r="K356" s="4">
        <v>150.6</v>
      </c>
      <c r="L356" s="4">
        <v>25.9</v>
      </c>
      <c r="M356">
        <v>13</v>
      </c>
      <c r="N356" t="s">
        <v>60</v>
      </c>
      <c r="O356">
        <v>3</v>
      </c>
      <c r="P356" s="4">
        <v>2198.3000000000002</v>
      </c>
      <c r="Q356" t="s">
        <v>42</v>
      </c>
      <c r="R356">
        <v>1</v>
      </c>
      <c r="S356" t="s">
        <v>44</v>
      </c>
      <c r="T356">
        <v>0</v>
      </c>
      <c r="U356">
        <v>1</v>
      </c>
      <c r="V356" t="s">
        <v>45</v>
      </c>
      <c r="W356" t="s">
        <v>49</v>
      </c>
      <c r="X356" s="4">
        <v>7.3</v>
      </c>
      <c r="Y356">
        <v>6</v>
      </c>
      <c r="Z356" s="5">
        <v>263.43</v>
      </c>
    </row>
    <row r="357" spans="1:26">
      <c r="A357">
        <v>356</v>
      </c>
      <c r="B357">
        <v>114</v>
      </c>
      <c r="C357" s="2">
        <v>46048</v>
      </c>
      <c r="D357" t="s">
        <v>46</v>
      </c>
      <c r="E357">
        <v>1</v>
      </c>
      <c r="F357" s="3">
        <v>13.03</v>
      </c>
      <c r="G357" t="s">
        <v>36</v>
      </c>
      <c r="H357">
        <v>61</v>
      </c>
      <c r="I357" t="s">
        <v>28</v>
      </c>
      <c r="J357" s="4">
        <v>72.8</v>
      </c>
      <c r="K357" s="4">
        <v>201.1</v>
      </c>
      <c r="L357" s="4">
        <v>27</v>
      </c>
      <c r="M357">
        <v>18</v>
      </c>
      <c r="N357" t="s">
        <v>60</v>
      </c>
      <c r="O357">
        <v>3</v>
      </c>
      <c r="P357" s="4">
        <v>2198.3000000000002</v>
      </c>
      <c r="Q357" t="s">
        <v>42</v>
      </c>
      <c r="R357">
        <v>1</v>
      </c>
      <c r="S357" t="s">
        <v>44</v>
      </c>
      <c r="T357">
        <v>0</v>
      </c>
      <c r="U357">
        <v>1</v>
      </c>
      <c r="V357" t="s">
        <v>45</v>
      </c>
      <c r="W357" t="s">
        <v>49</v>
      </c>
      <c r="X357" s="4">
        <v>7.6</v>
      </c>
      <c r="Y357">
        <v>8</v>
      </c>
      <c r="Z357" s="5">
        <v>253.71</v>
      </c>
    </row>
    <row r="358" spans="1:26">
      <c r="A358">
        <v>357</v>
      </c>
      <c r="B358">
        <v>114</v>
      </c>
      <c r="C358" s="2">
        <v>46048</v>
      </c>
      <c r="D358" t="s">
        <v>46</v>
      </c>
      <c r="E358">
        <v>1</v>
      </c>
      <c r="F358" s="3">
        <v>13.05</v>
      </c>
      <c r="G358" t="s">
        <v>36</v>
      </c>
      <c r="H358">
        <v>61</v>
      </c>
      <c r="I358" t="s">
        <v>34</v>
      </c>
      <c r="J358" s="4">
        <v>60.1</v>
      </c>
      <c r="K358" s="4">
        <v>119</v>
      </c>
      <c r="L358" s="4">
        <v>23.2</v>
      </c>
      <c r="M358">
        <v>13</v>
      </c>
      <c r="N358" t="s">
        <v>60</v>
      </c>
      <c r="O358">
        <v>3</v>
      </c>
      <c r="P358" s="4">
        <v>2198.3000000000002</v>
      </c>
      <c r="Q358" t="s">
        <v>42</v>
      </c>
      <c r="R358">
        <v>1</v>
      </c>
      <c r="S358" t="s">
        <v>44</v>
      </c>
      <c r="T358">
        <v>0</v>
      </c>
      <c r="U358">
        <v>1</v>
      </c>
      <c r="V358" t="s">
        <v>45</v>
      </c>
      <c r="W358" t="s">
        <v>49</v>
      </c>
      <c r="X358" s="4">
        <v>8.3000000000000007</v>
      </c>
      <c r="Y358">
        <v>6</v>
      </c>
      <c r="Z358" s="5">
        <v>265.73</v>
      </c>
    </row>
    <row r="359" spans="1:26">
      <c r="A359">
        <v>358</v>
      </c>
      <c r="B359">
        <v>115</v>
      </c>
      <c r="C359" s="2">
        <v>46069</v>
      </c>
      <c r="D359" t="s">
        <v>46</v>
      </c>
      <c r="E359">
        <v>2</v>
      </c>
      <c r="F359" s="3">
        <v>11.76</v>
      </c>
      <c r="G359" t="s">
        <v>36</v>
      </c>
      <c r="H359">
        <v>12</v>
      </c>
      <c r="I359" t="s">
        <v>34</v>
      </c>
      <c r="J359" s="4">
        <v>63.8</v>
      </c>
      <c r="K359" s="4">
        <v>98.2</v>
      </c>
      <c r="L359" s="4">
        <v>17</v>
      </c>
      <c r="M359">
        <v>13</v>
      </c>
      <c r="N359" t="s">
        <v>47</v>
      </c>
      <c r="O359">
        <v>3</v>
      </c>
      <c r="P359" s="4">
        <v>78.2</v>
      </c>
      <c r="Q359" t="s">
        <v>48</v>
      </c>
      <c r="R359">
        <v>0</v>
      </c>
      <c r="S359" t="s">
        <v>44</v>
      </c>
      <c r="T359">
        <v>0</v>
      </c>
      <c r="U359">
        <v>1</v>
      </c>
      <c r="V359" t="s">
        <v>64</v>
      </c>
      <c r="W359" t="s">
        <v>33</v>
      </c>
      <c r="X359" s="4">
        <v>7.8</v>
      </c>
      <c r="Y359">
        <v>3</v>
      </c>
      <c r="Z359" s="5">
        <v>263.08</v>
      </c>
    </row>
    <row r="360" spans="1:26">
      <c r="A360">
        <v>359</v>
      </c>
      <c r="B360">
        <v>115</v>
      </c>
      <c r="C360" s="2">
        <v>46069</v>
      </c>
      <c r="D360" t="s">
        <v>46</v>
      </c>
      <c r="E360">
        <v>2</v>
      </c>
      <c r="F360" s="3">
        <v>11.65</v>
      </c>
      <c r="G360" t="s">
        <v>36</v>
      </c>
      <c r="H360">
        <v>51</v>
      </c>
      <c r="I360" t="s">
        <v>28</v>
      </c>
      <c r="J360" s="4">
        <v>74.900000000000006</v>
      </c>
      <c r="K360" s="4">
        <v>203.4</v>
      </c>
      <c r="L360" s="4">
        <v>25.3</v>
      </c>
      <c r="M360">
        <v>18</v>
      </c>
      <c r="N360" t="s">
        <v>47</v>
      </c>
      <c r="O360">
        <v>3</v>
      </c>
      <c r="P360" s="4">
        <v>78.2</v>
      </c>
      <c r="Q360" t="s">
        <v>48</v>
      </c>
      <c r="R360">
        <v>0</v>
      </c>
      <c r="S360" t="s">
        <v>44</v>
      </c>
      <c r="T360">
        <v>0</v>
      </c>
      <c r="U360">
        <v>1</v>
      </c>
      <c r="V360" t="s">
        <v>64</v>
      </c>
      <c r="W360" t="s">
        <v>33</v>
      </c>
      <c r="X360" s="4">
        <v>9</v>
      </c>
      <c r="Y360">
        <v>9</v>
      </c>
      <c r="Z360" s="5">
        <v>314.73</v>
      </c>
    </row>
    <row r="361" spans="1:26">
      <c r="A361">
        <v>360</v>
      </c>
      <c r="B361">
        <v>115</v>
      </c>
      <c r="C361" s="2">
        <v>46069</v>
      </c>
      <c r="D361" t="s">
        <v>46</v>
      </c>
      <c r="E361">
        <v>2</v>
      </c>
      <c r="F361" s="3">
        <v>11.68</v>
      </c>
      <c r="G361" t="s">
        <v>36</v>
      </c>
      <c r="H361">
        <v>10</v>
      </c>
      <c r="I361" t="s">
        <v>28</v>
      </c>
      <c r="J361" s="4">
        <v>70</v>
      </c>
      <c r="K361" s="4">
        <v>166.2</v>
      </c>
      <c r="L361" s="4">
        <v>23.9</v>
      </c>
      <c r="M361">
        <v>14</v>
      </c>
      <c r="N361" t="s">
        <v>47</v>
      </c>
      <c r="O361">
        <v>3</v>
      </c>
      <c r="P361" s="4">
        <v>78.2</v>
      </c>
      <c r="Q361" t="s">
        <v>48</v>
      </c>
      <c r="R361">
        <v>0</v>
      </c>
      <c r="S361" t="s">
        <v>44</v>
      </c>
      <c r="T361">
        <v>0</v>
      </c>
      <c r="U361">
        <v>1</v>
      </c>
      <c r="V361" t="s">
        <v>64</v>
      </c>
      <c r="W361" t="s">
        <v>33</v>
      </c>
      <c r="X361" s="4">
        <v>8.9</v>
      </c>
      <c r="Y361">
        <v>9</v>
      </c>
      <c r="Z361" s="5">
        <v>233.95</v>
      </c>
    </row>
    <row r="362" spans="1:26">
      <c r="A362">
        <v>361</v>
      </c>
      <c r="B362">
        <v>116</v>
      </c>
      <c r="C362" s="2">
        <v>46158</v>
      </c>
      <c r="D362" t="s">
        <v>40</v>
      </c>
      <c r="E362">
        <v>5</v>
      </c>
      <c r="F362" s="3">
        <v>11.94</v>
      </c>
      <c r="G362" t="s">
        <v>36</v>
      </c>
      <c r="H362">
        <v>18</v>
      </c>
      <c r="I362" t="s">
        <v>34</v>
      </c>
      <c r="J362" s="4">
        <v>67.400000000000006</v>
      </c>
      <c r="K362" s="4">
        <v>205.1</v>
      </c>
      <c r="L362" s="4">
        <v>31.7</v>
      </c>
      <c r="M362">
        <v>14</v>
      </c>
      <c r="N362" t="s">
        <v>47</v>
      </c>
      <c r="O362">
        <v>5</v>
      </c>
      <c r="P362" s="4">
        <v>161.69999999999999</v>
      </c>
      <c r="Q362" t="s">
        <v>30</v>
      </c>
      <c r="R362">
        <v>0</v>
      </c>
      <c r="S362" t="s">
        <v>44</v>
      </c>
      <c r="T362">
        <v>0</v>
      </c>
      <c r="U362">
        <v>0</v>
      </c>
      <c r="V362" t="s">
        <v>45</v>
      </c>
      <c r="W362" t="s">
        <v>43</v>
      </c>
      <c r="X362" s="4">
        <v>9.1999999999999993</v>
      </c>
      <c r="Y362">
        <v>11</v>
      </c>
      <c r="Z362" s="5">
        <v>278.91000000000003</v>
      </c>
    </row>
    <row r="363" spans="1:26">
      <c r="A363">
        <v>362</v>
      </c>
      <c r="B363">
        <v>116</v>
      </c>
      <c r="C363" s="2">
        <v>46158</v>
      </c>
      <c r="D363" t="s">
        <v>40</v>
      </c>
      <c r="E363">
        <v>5</v>
      </c>
      <c r="F363" s="3">
        <v>11.82</v>
      </c>
      <c r="G363" t="s">
        <v>36</v>
      </c>
      <c r="H363">
        <v>73</v>
      </c>
      <c r="I363" t="s">
        <v>28</v>
      </c>
      <c r="J363" s="4">
        <v>67.900000000000006</v>
      </c>
      <c r="K363" s="4">
        <v>104.2</v>
      </c>
      <c r="L363" s="4">
        <v>16</v>
      </c>
      <c r="M363">
        <v>15</v>
      </c>
      <c r="N363" t="s">
        <v>47</v>
      </c>
      <c r="O363">
        <v>5</v>
      </c>
      <c r="P363" s="4">
        <v>161.69999999999999</v>
      </c>
      <c r="Q363" t="s">
        <v>30</v>
      </c>
      <c r="R363">
        <v>0</v>
      </c>
      <c r="S363" t="s">
        <v>44</v>
      </c>
      <c r="T363">
        <v>0</v>
      </c>
      <c r="U363">
        <v>0</v>
      </c>
      <c r="V363" t="s">
        <v>45</v>
      </c>
      <c r="W363" t="s">
        <v>43</v>
      </c>
      <c r="X363" s="4">
        <v>6.3</v>
      </c>
      <c r="Y363">
        <v>5</v>
      </c>
      <c r="Z363" s="5">
        <v>124.32</v>
      </c>
    </row>
    <row r="364" spans="1:26">
      <c r="A364">
        <v>363</v>
      </c>
      <c r="B364">
        <v>116</v>
      </c>
      <c r="C364" s="2">
        <v>46158</v>
      </c>
      <c r="D364" t="s">
        <v>40</v>
      </c>
      <c r="E364">
        <v>5</v>
      </c>
      <c r="F364" s="3">
        <v>11.78</v>
      </c>
      <c r="G364" t="s">
        <v>36</v>
      </c>
      <c r="H364">
        <v>22</v>
      </c>
      <c r="I364" t="s">
        <v>34</v>
      </c>
      <c r="J364" s="4">
        <v>65.400000000000006</v>
      </c>
      <c r="K364" s="4">
        <v>131.9</v>
      </c>
      <c r="L364" s="4">
        <v>21.5</v>
      </c>
      <c r="M364">
        <v>12</v>
      </c>
      <c r="N364" t="s">
        <v>47</v>
      </c>
      <c r="O364">
        <v>5</v>
      </c>
      <c r="P364" s="4">
        <v>161.69999999999999</v>
      </c>
      <c r="Q364" t="s">
        <v>30</v>
      </c>
      <c r="R364">
        <v>0</v>
      </c>
      <c r="S364" t="s">
        <v>44</v>
      </c>
      <c r="T364">
        <v>0</v>
      </c>
      <c r="U364">
        <v>0</v>
      </c>
      <c r="V364" t="s">
        <v>45</v>
      </c>
      <c r="W364" t="s">
        <v>43</v>
      </c>
      <c r="X364" s="4">
        <v>8.3000000000000007</v>
      </c>
      <c r="Y364">
        <v>11</v>
      </c>
      <c r="Z364" s="5">
        <v>153.53</v>
      </c>
    </row>
    <row r="365" spans="1:26">
      <c r="A365">
        <v>364</v>
      </c>
      <c r="B365">
        <v>116</v>
      </c>
      <c r="C365" s="2">
        <v>46158</v>
      </c>
      <c r="D365" t="s">
        <v>40</v>
      </c>
      <c r="E365">
        <v>5</v>
      </c>
      <c r="F365" s="3">
        <v>11.39</v>
      </c>
      <c r="G365" t="s">
        <v>36</v>
      </c>
      <c r="H365">
        <v>11</v>
      </c>
      <c r="I365" t="s">
        <v>34</v>
      </c>
      <c r="J365" s="4">
        <v>64.900000000000006</v>
      </c>
      <c r="K365" s="4">
        <v>93.5</v>
      </c>
      <c r="L365" s="4">
        <v>15.5</v>
      </c>
      <c r="M365">
        <v>11</v>
      </c>
      <c r="N365" t="s">
        <v>47</v>
      </c>
      <c r="O365">
        <v>5</v>
      </c>
      <c r="P365" s="4">
        <v>161.69999999999999</v>
      </c>
      <c r="Q365" t="s">
        <v>30</v>
      </c>
      <c r="R365">
        <v>0</v>
      </c>
      <c r="S365" t="s">
        <v>44</v>
      </c>
      <c r="T365">
        <v>0</v>
      </c>
      <c r="U365">
        <v>0</v>
      </c>
      <c r="V365" t="s">
        <v>45</v>
      </c>
      <c r="W365" t="s">
        <v>43</v>
      </c>
      <c r="X365" s="4">
        <v>7.5</v>
      </c>
      <c r="Y365">
        <v>7</v>
      </c>
      <c r="Z365" s="5">
        <v>131.6</v>
      </c>
    </row>
    <row r="366" spans="1:26">
      <c r="A366">
        <v>365</v>
      </c>
      <c r="B366">
        <v>116</v>
      </c>
      <c r="C366" s="2">
        <v>46158</v>
      </c>
      <c r="D366" t="s">
        <v>40</v>
      </c>
      <c r="E366">
        <v>5</v>
      </c>
      <c r="F366" s="3">
        <v>11.7</v>
      </c>
      <c r="G366" t="s">
        <v>36</v>
      </c>
      <c r="H366">
        <v>58</v>
      </c>
      <c r="I366" t="s">
        <v>34</v>
      </c>
      <c r="J366" s="4">
        <v>62.4</v>
      </c>
      <c r="K366" s="4">
        <v>195.9</v>
      </c>
      <c r="L366" s="4">
        <v>35.5</v>
      </c>
      <c r="M366">
        <v>14</v>
      </c>
      <c r="N366" t="s">
        <v>47</v>
      </c>
      <c r="O366">
        <v>5</v>
      </c>
      <c r="P366" s="4">
        <v>161.69999999999999</v>
      </c>
      <c r="Q366" t="s">
        <v>30</v>
      </c>
      <c r="R366">
        <v>0</v>
      </c>
      <c r="S366" t="s">
        <v>44</v>
      </c>
      <c r="T366">
        <v>0</v>
      </c>
      <c r="U366">
        <v>0</v>
      </c>
      <c r="V366" t="s">
        <v>45</v>
      </c>
      <c r="W366" t="s">
        <v>43</v>
      </c>
      <c r="X366" s="4">
        <v>9.6999999999999993</v>
      </c>
      <c r="Y366">
        <v>5</v>
      </c>
      <c r="Z366" s="5">
        <v>128.72</v>
      </c>
    </row>
    <row r="367" spans="1:26">
      <c r="A367">
        <v>366</v>
      </c>
      <c r="B367">
        <v>117</v>
      </c>
      <c r="C367" s="2">
        <v>46356</v>
      </c>
      <c r="D367" t="s">
        <v>46</v>
      </c>
      <c r="E367">
        <v>11</v>
      </c>
      <c r="F367" s="3">
        <v>12.04</v>
      </c>
      <c r="G367" t="s">
        <v>36</v>
      </c>
      <c r="H367">
        <v>56</v>
      </c>
      <c r="I367" t="s">
        <v>28</v>
      </c>
      <c r="J367" s="4">
        <v>75.2</v>
      </c>
      <c r="K367" s="4">
        <v>180.4</v>
      </c>
      <c r="L367" s="4">
        <v>22.5</v>
      </c>
      <c r="M367">
        <v>17</v>
      </c>
      <c r="N367" t="s">
        <v>47</v>
      </c>
      <c r="O367">
        <v>2</v>
      </c>
      <c r="P367" s="4">
        <v>2</v>
      </c>
      <c r="Q367" t="s">
        <v>42</v>
      </c>
      <c r="R367">
        <v>0</v>
      </c>
      <c r="S367" t="s">
        <v>38</v>
      </c>
      <c r="T367">
        <v>1</v>
      </c>
      <c r="U367">
        <v>0</v>
      </c>
      <c r="V367" t="s">
        <v>32</v>
      </c>
      <c r="W367" t="s">
        <v>39</v>
      </c>
      <c r="X367" s="4">
        <v>10.4</v>
      </c>
      <c r="Y367">
        <v>10</v>
      </c>
      <c r="Z367" s="5">
        <v>242.72</v>
      </c>
    </row>
    <row r="368" spans="1:26">
      <c r="A368">
        <v>367</v>
      </c>
      <c r="B368">
        <v>117</v>
      </c>
      <c r="C368" s="2">
        <v>46356</v>
      </c>
      <c r="D368" t="s">
        <v>46</v>
      </c>
      <c r="E368">
        <v>11</v>
      </c>
      <c r="F368" s="3">
        <v>12.22</v>
      </c>
      <c r="G368" t="s">
        <v>36</v>
      </c>
      <c r="H368">
        <v>8</v>
      </c>
      <c r="I368" t="s">
        <v>28</v>
      </c>
      <c r="J368" s="4">
        <v>68.099999999999994</v>
      </c>
      <c r="K368" s="4">
        <v>115</v>
      </c>
      <c r="L368" s="4">
        <v>17.5</v>
      </c>
      <c r="M368">
        <v>10</v>
      </c>
      <c r="N368" t="s">
        <v>47</v>
      </c>
      <c r="O368">
        <v>2</v>
      </c>
      <c r="P368" s="4">
        <v>2</v>
      </c>
      <c r="Q368" t="s">
        <v>42</v>
      </c>
      <c r="R368">
        <v>0</v>
      </c>
      <c r="S368" t="s">
        <v>38</v>
      </c>
      <c r="T368">
        <v>1</v>
      </c>
      <c r="U368">
        <v>0</v>
      </c>
      <c r="V368" t="s">
        <v>32</v>
      </c>
      <c r="W368" t="s">
        <v>39</v>
      </c>
      <c r="X368" s="4">
        <v>9.6</v>
      </c>
      <c r="Y368">
        <v>9</v>
      </c>
      <c r="Z368" s="5">
        <v>264.72000000000003</v>
      </c>
    </row>
    <row r="369" spans="1:26">
      <c r="A369">
        <v>368</v>
      </c>
      <c r="B369">
        <v>118</v>
      </c>
      <c r="C369" s="2">
        <v>46053</v>
      </c>
      <c r="D369" t="s">
        <v>40</v>
      </c>
      <c r="E369">
        <v>1</v>
      </c>
      <c r="F369" s="3">
        <v>11.14</v>
      </c>
      <c r="G369" t="s">
        <v>36</v>
      </c>
      <c r="H369">
        <v>37</v>
      </c>
      <c r="I369" t="s">
        <v>34</v>
      </c>
      <c r="J369" s="4">
        <v>64.8</v>
      </c>
      <c r="K369" s="4">
        <v>114.6</v>
      </c>
      <c r="L369" s="4">
        <v>18.8</v>
      </c>
      <c r="M369">
        <v>14</v>
      </c>
      <c r="N369" t="s">
        <v>67</v>
      </c>
      <c r="O369">
        <v>4</v>
      </c>
      <c r="P369" s="4">
        <v>1199.5999999999999</v>
      </c>
      <c r="Q369" t="s">
        <v>42</v>
      </c>
      <c r="R369">
        <v>0</v>
      </c>
      <c r="S369" t="s">
        <v>44</v>
      </c>
      <c r="T369">
        <v>1</v>
      </c>
      <c r="U369">
        <v>1</v>
      </c>
      <c r="V369" t="s">
        <v>32</v>
      </c>
      <c r="W369" t="s">
        <v>33</v>
      </c>
      <c r="X369" s="4">
        <v>11.3</v>
      </c>
      <c r="Y369">
        <v>13</v>
      </c>
      <c r="Z369" s="5">
        <v>379.82</v>
      </c>
    </row>
    <row r="370" spans="1:26">
      <c r="A370">
        <v>369</v>
      </c>
      <c r="B370">
        <v>118</v>
      </c>
      <c r="C370" s="2">
        <v>46053</v>
      </c>
      <c r="D370" t="s">
        <v>40</v>
      </c>
      <c r="E370">
        <v>1</v>
      </c>
      <c r="F370" s="3">
        <v>11.17</v>
      </c>
      <c r="G370" t="s">
        <v>36</v>
      </c>
      <c r="H370">
        <v>55</v>
      </c>
      <c r="I370" t="s">
        <v>34</v>
      </c>
      <c r="J370" s="4">
        <v>63.4</v>
      </c>
      <c r="K370" s="4">
        <v>142.69999999999999</v>
      </c>
      <c r="L370" s="4">
        <v>24.9</v>
      </c>
      <c r="M370">
        <v>16</v>
      </c>
      <c r="N370" t="s">
        <v>67</v>
      </c>
      <c r="O370">
        <v>4</v>
      </c>
      <c r="P370" s="4">
        <v>1199.5999999999999</v>
      </c>
      <c r="Q370" t="s">
        <v>42</v>
      </c>
      <c r="R370">
        <v>0</v>
      </c>
      <c r="S370" t="s">
        <v>44</v>
      </c>
      <c r="T370">
        <v>1</v>
      </c>
      <c r="U370">
        <v>1</v>
      </c>
      <c r="V370" t="s">
        <v>32</v>
      </c>
      <c r="W370" t="s">
        <v>33</v>
      </c>
      <c r="X370" s="4">
        <v>9.1999999999999993</v>
      </c>
      <c r="Y370">
        <v>9</v>
      </c>
      <c r="Z370" s="5">
        <v>189.83</v>
      </c>
    </row>
    <row r="371" spans="1:26">
      <c r="A371">
        <v>370</v>
      </c>
      <c r="B371">
        <v>118</v>
      </c>
      <c r="C371" s="2">
        <v>46053</v>
      </c>
      <c r="D371" t="s">
        <v>40</v>
      </c>
      <c r="E371">
        <v>1</v>
      </c>
      <c r="F371" s="3">
        <v>11.3</v>
      </c>
      <c r="G371" t="s">
        <v>36</v>
      </c>
      <c r="H371">
        <v>52</v>
      </c>
      <c r="I371" t="s">
        <v>34</v>
      </c>
      <c r="J371" s="4">
        <v>63.1</v>
      </c>
      <c r="K371" s="4">
        <v>152.4</v>
      </c>
      <c r="L371" s="4">
        <v>26.8</v>
      </c>
      <c r="M371">
        <v>14</v>
      </c>
      <c r="N371" t="s">
        <v>67</v>
      </c>
      <c r="O371">
        <v>4</v>
      </c>
      <c r="P371" s="4">
        <v>1199.5999999999999</v>
      </c>
      <c r="Q371" t="s">
        <v>42</v>
      </c>
      <c r="R371">
        <v>0</v>
      </c>
      <c r="S371" t="s">
        <v>44</v>
      </c>
      <c r="T371">
        <v>1</v>
      </c>
      <c r="U371">
        <v>1</v>
      </c>
      <c r="V371" t="s">
        <v>32</v>
      </c>
      <c r="W371" t="s">
        <v>33</v>
      </c>
      <c r="X371" s="4">
        <v>7.6</v>
      </c>
      <c r="Y371">
        <v>11</v>
      </c>
      <c r="Z371" s="5">
        <v>295.13</v>
      </c>
    </row>
    <row r="372" spans="1:26">
      <c r="A372">
        <v>371</v>
      </c>
      <c r="B372">
        <v>118</v>
      </c>
      <c r="C372" s="2">
        <v>46053</v>
      </c>
      <c r="D372" t="s">
        <v>40</v>
      </c>
      <c r="E372">
        <v>1</v>
      </c>
      <c r="F372" s="3">
        <v>11.29</v>
      </c>
      <c r="G372" t="s">
        <v>36</v>
      </c>
      <c r="H372">
        <v>68</v>
      </c>
      <c r="I372" t="s">
        <v>34</v>
      </c>
      <c r="J372" s="4">
        <v>65.2</v>
      </c>
      <c r="K372" s="4">
        <v>151.19999999999999</v>
      </c>
      <c r="L372" s="4">
        <v>25</v>
      </c>
      <c r="M372">
        <v>18</v>
      </c>
      <c r="N372" t="s">
        <v>67</v>
      </c>
      <c r="O372">
        <v>4</v>
      </c>
      <c r="P372" s="4">
        <v>1199.5999999999999</v>
      </c>
      <c r="Q372" t="s">
        <v>42</v>
      </c>
      <c r="R372">
        <v>0</v>
      </c>
      <c r="S372" t="s">
        <v>44</v>
      </c>
      <c r="T372">
        <v>1</v>
      </c>
      <c r="U372">
        <v>1</v>
      </c>
      <c r="V372" t="s">
        <v>32</v>
      </c>
      <c r="W372" t="s">
        <v>33</v>
      </c>
      <c r="X372" s="4">
        <v>10.199999999999999</v>
      </c>
      <c r="Y372">
        <v>12</v>
      </c>
      <c r="Z372" s="5">
        <v>254.81</v>
      </c>
    </row>
    <row r="373" spans="1:26">
      <c r="A373">
        <v>372</v>
      </c>
      <c r="B373">
        <v>119</v>
      </c>
      <c r="C373" s="2">
        <v>46068</v>
      </c>
      <c r="D373" t="s">
        <v>58</v>
      </c>
      <c r="E373">
        <v>2</v>
      </c>
      <c r="F373" s="3">
        <v>8.25</v>
      </c>
      <c r="G373" t="s">
        <v>27</v>
      </c>
      <c r="H373">
        <v>3</v>
      </c>
      <c r="I373" t="s">
        <v>28</v>
      </c>
      <c r="J373" s="4">
        <v>50.3</v>
      </c>
      <c r="K373" s="4">
        <v>81.400000000000006</v>
      </c>
      <c r="L373" s="4">
        <v>23.1</v>
      </c>
      <c r="M373">
        <v>13</v>
      </c>
      <c r="N373" t="s">
        <v>66</v>
      </c>
      <c r="O373">
        <v>6</v>
      </c>
      <c r="P373" s="4">
        <v>634.29999999999995</v>
      </c>
      <c r="Q373" t="s">
        <v>48</v>
      </c>
      <c r="R373">
        <v>0</v>
      </c>
      <c r="S373" t="s">
        <v>44</v>
      </c>
      <c r="T373">
        <v>1</v>
      </c>
      <c r="U373">
        <v>0</v>
      </c>
      <c r="V373" t="s">
        <v>32</v>
      </c>
      <c r="W373" t="s">
        <v>49</v>
      </c>
      <c r="X373" s="4">
        <v>8.8000000000000007</v>
      </c>
      <c r="Y373">
        <v>10</v>
      </c>
      <c r="Z373" s="5">
        <v>189.54</v>
      </c>
    </row>
    <row r="374" spans="1:26">
      <c r="A374">
        <v>373</v>
      </c>
      <c r="B374">
        <v>119</v>
      </c>
      <c r="C374" s="2">
        <v>46068</v>
      </c>
      <c r="D374" t="s">
        <v>58</v>
      </c>
      <c r="E374">
        <v>2</v>
      </c>
      <c r="F374" s="3">
        <v>8.23</v>
      </c>
      <c r="G374" t="s">
        <v>27</v>
      </c>
      <c r="H374">
        <v>74</v>
      </c>
      <c r="I374" t="s">
        <v>34</v>
      </c>
      <c r="J374" s="4">
        <v>66.900000000000006</v>
      </c>
      <c r="K374" s="4">
        <v>191.7</v>
      </c>
      <c r="L374" s="4">
        <v>30.1</v>
      </c>
      <c r="M374">
        <v>21</v>
      </c>
      <c r="N374" t="s">
        <v>66</v>
      </c>
      <c r="O374">
        <v>6</v>
      </c>
      <c r="P374" s="4">
        <v>634.29999999999995</v>
      </c>
      <c r="Q374" t="s">
        <v>48</v>
      </c>
      <c r="R374">
        <v>0</v>
      </c>
      <c r="S374" t="s">
        <v>44</v>
      </c>
      <c r="T374">
        <v>1</v>
      </c>
      <c r="U374">
        <v>0</v>
      </c>
      <c r="V374" t="s">
        <v>32</v>
      </c>
      <c r="W374" t="s">
        <v>49</v>
      </c>
      <c r="X374" s="4">
        <v>7.7</v>
      </c>
      <c r="Y374">
        <v>10</v>
      </c>
      <c r="Z374" s="5">
        <v>283.69</v>
      </c>
    </row>
    <row r="375" spans="1:26">
      <c r="A375">
        <v>374</v>
      </c>
      <c r="B375">
        <v>119</v>
      </c>
      <c r="C375" s="2">
        <v>46068</v>
      </c>
      <c r="D375" t="s">
        <v>58</v>
      </c>
      <c r="E375">
        <v>2</v>
      </c>
      <c r="F375" s="3">
        <v>8.1300000000000008</v>
      </c>
      <c r="G375" t="s">
        <v>27</v>
      </c>
      <c r="H375">
        <v>54</v>
      </c>
      <c r="I375" t="s">
        <v>34</v>
      </c>
      <c r="J375" s="4">
        <v>61.9</v>
      </c>
      <c r="K375" s="4">
        <v>166.3</v>
      </c>
      <c r="L375" s="4">
        <v>30.3</v>
      </c>
      <c r="M375">
        <v>15</v>
      </c>
      <c r="N375" t="s">
        <v>66</v>
      </c>
      <c r="O375">
        <v>6</v>
      </c>
      <c r="P375" s="4">
        <v>634.29999999999995</v>
      </c>
      <c r="Q375" t="s">
        <v>48</v>
      </c>
      <c r="R375">
        <v>0</v>
      </c>
      <c r="S375" t="s">
        <v>44</v>
      </c>
      <c r="T375">
        <v>1</v>
      </c>
      <c r="U375">
        <v>0</v>
      </c>
      <c r="V375" t="s">
        <v>32</v>
      </c>
      <c r="W375" t="s">
        <v>49</v>
      </c>
      <c r="X375" s="4">
        <v>9.3000000000000007</v>
      </c>
      <c r="Y375">
        <v>9</v>
      </c>
      <c r="Z375" s="5">
        <v>251.22</v>
      </c>
    </row>
    <row r="376" spans="1:26">
      <c r="A376">
        <v>375</v>
      </c>
      <c r="B376">
        <v>119</v>
      </c>
      <c r="C376" s="2">
        <v>46068</v>
      </c>
      <c r="D376" t="s">
        <v>58</v>
      </c>
      <c r="E376">
        <v>2</v>
      </c>
      <c r="F376" s="3">
        <v>8.11</v>
      </c>
      <c r="G376" t="s">
        <v>27</v>
      </c>
      <c r="H376">
        <v>25</v>
      </c>
      <c r="I376" t="s">
        <v>34</v>
      </c>
      <c r="J376" s="4">
        <v>67.5</v>
      </c>
      <c r="K376" s="4">
        <v>151.5</v>
      </c>
      <c r="L376" s="4">
        <v>23.3</v>
      </c>
      <c r="M376">
        <v>17</v>
      </c>
      <c r="N376" t="s">
        <v>66</v>
      </c>
      <c r="O376">
        <v>6</v>
      </c>
      <c r="P376" s="4">
        <v>634.29999999999995</v>
      </c>
      <c r="Q376" t="s">
        <v>48</v>
      </c>
      <c r="R376">
        <v>0</v>
      </c>
      <c r="S376" t="s">
        <v>44</v>
      </c>
      <c r="T376">
        <v>1</v>
      </c>
      <c r="U376">
        <v>0</v>
      </c>
      <c r="V376" t="s">
        <v>32</v>
      </c>
      <c r="W376" t="s">
        <v>49</v>
      </c>
      <c r="X376" s="4">
        <v>6.4</v>
      </c>
      <c r="Y376">
        <v>13</v>
      </c>
      <c r="Z376" s="5">
        <v>199.86</v>
      </c>
    </row>
    <row r="377" spans="1:26">
      <c r="A377">
        <v>376</v>
      </c>
      <c r="B377">
        <v>119</v>
      </c>
      <c r="C377" s="2">
        <v>46068</v>
      </c>
      <c r="D377" t="s">
        <v>58</v>
      </c>
      <c r="E377">
        <v>2</v>
      </c>
      <c r="F377" s="3">
        <v>8.15</v>
      </c>
      <c r="G377" t="s">
        <v>27</v>
      </c>
      <c r="H377">
        <v>67</v>
      </c>
      <c r="I377" t="s">
        <v>34</v>
      </c>
      <c r="J377" s="4">
        <v>60.5</v>
      </c>
      <c r="K377" s="4">
        <v>151.19999999999999</v>
      </c>
      <c r="L377" s="4">
        <v>28.8</v>
      </c>
      <c r="M377">
        <v>16</v>
      </c>
      <c r="N377" t="s">
        <v>66</v>
      </c>
      <c r="O377">
        <v>6</v>
      </c>
      <c r="P377" s="4">
        <v>634.29999999999995</v>
      </c>
      <c r="Q377" t="s">
        <v>48</v>
      </c>
      <c r="R377">
        <v>0</v>
      </c>
      <c r="S377" t="s">
        <v>44</v>
      </c>
      <c r="T377">
        <v>1</v>
      </c>
      <c r="U377">
        <v>0</v>
      </c>
      <c r="V377" t="s">
        <v>32</v>
      </c>
      <c r="W377" t="s">
        <v>49</v>
      </c>
      <c r="X377" s="4">
        <v>10</v>
      </c>
      <c r="Y377">
        <v>17</v>
      </c>
      <c r="Z377" s="5">
        <v>345.61</v>
      </c>
    </row>
    <row r="378" spans="1:26">
      <c r="A378">
        <v>377</v>
      </c>
      <c r="B378">
        <v>119</v>
      </c>
      <c r="C378" s="2">
        <v>46068</v>
      </c>
      <c r="D378" t="s">
        <v>58</v>
      </c>
      <c r="E378">
        <v>2</v>
      </c>
      <c r="F378" s="3">
        <v>7.94</v>
      </c>
      <c r="G378" t="s">
        <v>27</v>
      </c>
      <c r="H378">
        <v>16</v>
      </c>
      <c r="I378" t="s">
        <v>28</v>
      </c>
      <c r="J378" s="4">
        <v>70</v>
      </c>
      <c r="K378" s="4">
        <v>111.2</v>
      </c>
      <c r="L378" s="4">
        <v>16</v>
      </c>
      <c r="M378">
        <v>14</v>
      </c>
      <c r="N378" t="s">
        <v>66</v>
      </c>
      <c r="O378">
        <v>6</v>
      </c>
      <c r="P378" s="4">
        <v>634.29999999999995</v>
      </c>
      <c r="Q378" t="s">
        <v>48</v>
      </c>
      <c r="R378">
        <v>0</v>
      </c>
      <c r="S378" t="s">
        <v>44</v>
      </c>
      <c r="T378">
        <v>1</v>
      </c>
      <c r="U378">
        <v>0</v>
      </c>
      <c r="V378" t="s">
        <v>32</v>
      </c>
      <c r="W378" t="s">
        <v>49</v>
      </c>
      <c r="X378" s="4">
        <v>10.1</v>
      </c>
      <c r="Y378">
        <v>8</v>
      </c>
      <c r="Z378" s="5">
        <v>332.26</v>
      </c>
    </row>
    <row r="379" spans="1:26">
      <c r="A379">
        <v>378</v>
      </c>
      <c r="B379">
        <v>120</v>
      </c>
      <c r="C379" s="2">
        <v>46267</v>
      </c>
      <c r="D379" t="s">
        <v>52</v>
      </c>
      <c r="E379">
        <v>9</v>
      </c>
      <c r="F379" s="3">
        <v>9.94</v>
      </c>
      <c r="G379" t="s">
        <v>27</v>
      </c>
      <c r="H379">
        <v>64</v>
      </c>
      <c r="I379" t="s">
        <v>34</v>
      </c>
      <c r="J379" s="4">
        <v>62.3</v>
      </c>
      <c r="K379" s="4">
        <v>133.80000000000001</v>
      </c>
      <c r="L379" s="4">
        <v>24.1</v>
      </c>
      <c r="M379">
        <v>14</v>
      </c>
      <c r="N379" t="s">
        <v>29</v>
      </c>
      <c r="O379">
        <v>2</v>
      </c>
      <c r="P379" s="4">
        <v>2371</v>
      </c>
      <c r="Q379" t="s">
        <v>42</v>
      </c>
      <c r="R379">
        <v>0</v>
      </c>
      <c r="S379" t="s">
        <v>38</v>
      </c>
      <c r="T379">
        <v>1</v>
      </c>
      <c r="U379">
        <v>0</v>
      </c>
      <c r="V379" t="s">
        <v>32</v>
      </c>
      <c r="W379" t="s">
        <v>43</v>
      </c>
      <c r="X379" s="4">
        <v>7.8</v>
      </c>
      <c r="Y379">
        <v>12</v>
      </c>
      <c r="Z379" s="5">
        <v>308.99</v>
      </c>
    </row>
    <row r="380" spans="1:26">
      <c r="A380">
        <v>379</v>
      </c>
      <c r="B380">
        <v>120</v>
      </c>
      <c r="C380" s="2">
        <v>46267</v>
      </c>
      <c r="D380" t="s">
        <v>52</v>
      </c>
      <c r="E380">
        <v>9</v>
      </c>
      <c r="F380" s="3">
        <v>10.029999999999999</v>
      </c>
      <c r="G380" t="s">
        <v>27</v>
      </c>
      <c r="H380">
        <v>53</v>
      </c>
      <c r="I380" t="s">
        <v>34</v>
      </c>
      <c r="J380" s="4">
        <v>63.9</v>
      </c>
      <c r="K380" s="4">
        <v>132.69999999999999</v>
      </c>
      <c r="L380" s="4">
        <v>22.8</v>
      </c>
      <c r="M380">
        <v>18</v>
      </c>
      <c r="N380" t="s">
        <v>29</v>
      </c>
      <c r="O380">
        <v>2</v>
      </c>
      <c r="P380" s="4">
        <v>2371</v>
      </c>
      <c r="Q380" t="s">
        <v>42</v>
      </c>
      <c r="R380">
        <v>0</v>
      </c>
      <c r="S380" t="s">
        <v>38</v>
      </c>
      <c r="T380">
        <v>1</v>
      </c>
      <c r="U380">
        <v>0</v>
      </c>
      <c r="V380" t="s">
        <v>32</v>
      </c>
      <c r="W380" t="s">
        <v>43</v>
      </c>
      <c r="X380" s="4">
        <v>7.8</v>
      </c>
      <c r="Y380">
        <v>3</v>
      </c>
      <c r="Z380" s="5">
        <v>166.64</v>
      </c>
    </row>
    <row r="381" spans="1:26">
      <c r="A381">
        <v>380</v>
      </c>
      <c r="B381">
        <v>121</v>
      </c>
      <c r="C381" s="2">
        <v>46044</v>
      </c>
      <c r="D381" t="s">
        <v>55</v>
      </c>
      <c r="E381">
        <v>1</v>
      </c>
      <c r="F381" s="3">
        <v>9.69</v>
      </c>
      <c r="G381" t="s">
        <v>27</v>
      </c>
      <c r="H381">
        <v>39</v>
      </c>
      <c r="I381" t="s">
        <v>28</v>
      </c>
      <c r="J381" s="4">
        <v>72.099999999999994</v>
      </c>
      <c r="K381" s="4">
        <v>207.5</v>
      </c>
      <c r="L381" s="4">
        <v>28.1</v>
      </c>
      <c r="M381">
        <v>15</v>
      </c>
      <c r="N381" t="s">
        <v>61</v>
      </c>
      <c r="O381">
        <v>3</v>
      </c>
      <c r="P381" s="4">
        <v>1119.9000000000001</v>
      </c>
      <c r="Q381" t="s">
        <v>42</v>
      </c>
      <c r="R381">
        <v>0</v>
      </c>
      <c r="S381" t="s">
        <v>31</v>
      </c>
      <c r="T381">
        <v>0</v>
      </c>
      <c r="U381">
        <v>1</v>
      </c>
      <c r="V381" t="s">
        <v>32</v>
      </c>
      <c r="W381" t="s">
        <v>33</v>
      </c>
      <c r="X381" s="4">
        <v>9.6</v>
      </c>
      <c r="Y381">
        <v>10</v>
      </c>
      <c r="Z381" s="5">
        <v>252.73</v>
      </c>
    </row>
    <row r="382" spans="1:26">
      <c r="A382">
        <v>381</v>
      </c>
      <c r="B382">
        <v>121</v>
      </c>
      <c r="C382" s="2">
        <v>46044</v>
      </c>
      <c r="D382" t="s">
        <v>55</v>
      </c>
      <c r="E382">
        <v>1</v>
      </c>
      <c r="F382" s="3">
        <v>9.6999999999999993</v>
      </c>
      <c r="G382" t="s">
        <v>27</v>
      </c>
      <c r="H382">
        <v>27</v>
      </c>
      <c r="I382" t="s">
        <v>34</v>
      </c>
      <c r="J382" s="4">
        <v>62.6</v>
      </c>
      <c r="K382" s="4">
        <v>217.4</v>
      </c>
      <c r="L382" s="4">
        <v>38.799999999999997</v>
      </c>
      <c r="M382">
        <v>12</v>
      </c>
      <c r="N382" t="s">
        <v>61</v>
      </c>
      <c r="O382">
        <v>3</v>
      </c>
      <c r="P382" s="4">
        <v>1119.9000000000001</v>
      </c>
      <c r="Q382" t="s">
        <v>42</v>
      </c>
      <c r="R382">
        <v>0</v>
      </c>
      <c r="S382" t="s">
        <v>31</v>
      </c>
      <c r="T382">
        <v>0</v>
      </c>
      <c r="U382">
        <v>1</v>
      </c>
      <c r="V382" t="s">
        <v>32</v>
      </c>
      <c r="W382" t="s">
        <v>33</v>
      </c>
      <c r="X382" s="4">
        <v>7.9</v>
      </c>
      <c r="Y382">
        <v>9</v>
      </c>
      <c r="Z382" s="5">
        <v>185.59</v>
      </c>
    </row>
    <row r="383" spans="1:26">
      <c r="A383">
        <v>382</v>
      </c>
      <c r="B383">
        <v>121</v>
      </c>
      <c r="C383" s="2">
        <v>46044</v>
      </c>
      <c r="D383" t="s">
        <v>55</v>
      </c>
      <c r="E383">
        <v>1</v>
      </c>
      <c r="F383" s="3">
        <v>9.59</v>
      </c>
      <c r="G383" t="s">
        <v>27</v>
      </c>
      <c r="H383">
        <v>49</v>
      </c>
      <c r="I383" t="s">
        <v>28</v>
      </c>
      <c r="J383" s="4">
        <v>65.2</v>
      </c>
      <c r="K383" s="4">
        <v>159.6</v>
      </c>
      <c r="L383" s="4">
        <v>26.5</v>
      </c>
      <c r="M383">
        <v>17</v>
      </c>
      <c r="N383" t="s">
        <v>61</v>
      </c>
      <c r="O383">
        <v>3</v>
      </c>
      <c r="P383" s="4">
        <v>1119.9000000000001</v>
      </c>
      <c r="Q383" t="s">
        <v>42</v>
      </c>
      <c r="R383">
        <v>0</v>
      </c>
      <c r="S383" t="s">
        <v>31</v>
      </c>
      <c r="T383">
        <v>0</v>
      </c>
      <c r="U383">
        <v>1</v>
      </c>
      <c r="V383" t="s">
        <v>32</v>
      </c>
      <c r="W383" t="s">
        <v>33</v>
      </c>
      <c r="X383" s="4">
        <v>9.3000000000000007</v>
      </c>
      <c r="Y383">
        <v>11</v>
      </c>
      <c r="Z383" s="5">
        <v>229.31</v>
      </c>
    </row>
    <row r="384" spans="1:26">
      <c r="A384">
        <v>383</v>
      </c>
      <c r="B384">
        <v>122</v>
      </c>
      <c r="C384" s="2">
        <v>46072</v>
      </c>
      <c r="D384" t="s">
        <v>55</v>
      </c>
      <c r="E384">
        <v>2</v>
      </c>
      <c r="F384" s="3">
        <v>8.0399999999999991</v>
      </c>
      <c r="G384" t="s">
        <v>27</v>
      </c>
      <c r="H384">
        <v>32</v>
      </c>
      <c r="I384" t="s">
        <v>34</v>
      </c>
      <c r="J384" s="4">
        <v>64.400000000000006</v>
      </c>
      <c r="K384" s="4">
        <v>191.1</v>
      </c>
      <c r="L384" s="4">
        <v>32.5</v>
      </c>
      <c r="M384">
        <v>16</v>
      </c>
      <c r="N384" t="s">
        <v>56</v>
      </c>
      <c r="O384">
        <v>3</v>
      </c>
      <c r="P384" s="4">
        <v>332.8</v>
      </c>
      <c r="Q384" t="s">
        <v>42</v>
      </c>
      <c r="R384">
        <v>1</v>
      </c>
      <c r="S384" t="s">
        <v>44</v>
      </c>
      <c r="T384">
        <v>1</v>
      </c>
      <c r="U384">
        <v>0</v>
      </c>
      <c r="V384" t="s">
        <v>32</v>
      </c>
      <c r="W384" t="s">
        <v>39</v>
      </c>
      <c r="X384" s="4">
        <v>10.5</v>
      </c>
      <c r="Y384">
        <v>14</v>
      </c>
      <c r="Z384" s="5">
        <v>364.77</v>
      </c>
    </row>
    <row r="385" spans="1:26">
      <c r="A385">
        <v>384</v>
      </c>
      <c r="B385">
        <v>122</v>
      </c>
      <c r="C385" s="2">
        <v>46072</v>
      </c>
      <c r="D385" t="s">
        <v>55</v>
      </c>
      <c r="E385">
        <v>2</v>
      </c>
      <c r="F385" s="3">
        <v>8.08</v>
      </c>
      <c r="G385" t="s">
        <v>27</v>
      </c>
      <c r="H385">
        <v>44</v>
      </c>
      <c r="I385" t="s">
        <v>34</v>
      </c>
      <c r="J385" s="4">
        <v>56.1</v>
      </c>
      <c r="K385" s="4">
        <v>104.7</v>
      </c>
      <c r="L385" s="4">
        <v>23.2</v>
      </c>
      <c r="M385">
        <v>13</v>
      </c>
      <c r="N385" t="s">
        <v>56</v>
      </c>
      <c r="O385">
        <v>3</v>
      </c>
      <c r="P385" s="4">
        <v>332.8</v>
      </c>
      <c r="Q385" t="s">
        <v>42</v>
      </c>
      <c r="R385">
        <v>1</v>
      </c>
      <c r="S385" t="s">
        <v>44</v>
      </c>
      <c r="T385">
        <v>1</v>
      </c>
      <c r="U385">
        <v>0</v>
      </c>
      <c r="V385" t="s">
        <v>32</v>
      </c>
      <c r="W385" t="s">
        <v>39</v>
      </c>
      <c r="X385" s="4">
        <v>10.5</v>
      </c>
      <c r="Y385">
        <v>6</v>
      </c>
      <c r="Z385" s="5">
        <v>161.13</v>
      </c>
    </row>
    <row r="386" spans="1:26">
      <c r="A386">
        <v>385</v>
      </c>
      <c r="B386">
        <v>122</v>
      </c>
      <c r="C386" s="2">
        <v>46072</v>
      </c>
      <c r="D386" t="s">
        <v>55</v>
      </c>
      <c r="E386">
        <v>2</v>
      </c>
      <c r="F386" s="3">
        <v>7.84</v>
      </c>
      <c r="G386" t="s">
        <v>27</v>
      </c>
      <c r="H386">
        <v>7</v>
      </c>
      <c r="I386" t="s">
        <v>34</v>
      </c>
      <c r="J386" s="4">
        <v>58.8</v>
      </c>
      <c r="K386" s="4">
        <v>92.7</v>
      </c>
      <c r="L386" s="4">
        <v>18.899999999999999</v>
      </c>
      <c r="M386">
        <v>11</v>
      </c>
      <c r="N386" t="s">
        <v>56</v>
      </c>
      <c r="O386">
        <v>3</v>
      </c>
      <c r="P386" s="4">
        <v>332.8</v>
      </c>
      <c r="Q386" t="s">
        <v>42</v>
      </c>
      <c r="R386">
        <v>1</v>
      </c>
      <c r="S386" t="s">
        <v>44</v>
      </c>
      <c r="T386">
        <v>1</v>
      </c>
      <c r="U386">
        <v>0</v>
      </c>
      <c r="V386" t="s">
        <v>32</v>
      </c>
      <c r="W386" t="s">
        <v>39</v>
      </c>
      <c r="X386" s="4">
        <v>6.4</v>
      </c>
      <c r="Y386">
        <v>11</v>
      </c>
      <c r="Z386" s="5">
        <v>140.91</v>
      </c>
    </row>
    <row r="387" spans="1:26">
      <c r="A387">
        <v>386</v>
      </c>
      <c r="B387">
        <v>123</v>
      </c>
      <c r="C387" s="2">
        <v>46265</v>
      </c>
      <c r="D387" t="s">
        <v>46</v>
      </c>
      <c r="E387">
        <v>8</v>
      </c>
      <c r="F387" s="3">
        <v>13.93</v>
      </c>
      <c r="G387" t="s">
        <v>36</v>
      </c>
      <c r="H387">
        <v>48</v>
      </c>
      <c r="I387" t="s">
        <v>28</v>
      </c>
      <c r="J387" s="4">
        <v>69.2</v>
      </c>
      <c r="K387" s="4">
        <v>199.3</v>
      </c>
      <c r="L387" s="4">
        <v>29.3</v>
      </c>
      <c r="M387">
        <v>15</v>
      </c>
      <c r="N387" t="s">
        <v>47</v>
      </c>
      <c r="O387">
        <v>6</v>
      </c>
      <c r="P387" s="4">
        <v>13.7</v>
      </c>
      <c r="Q387" t="s">
        <v>42</v>
      </c>
      <c r="R387">
        <v>1</v>
      </c>
      <c r="S387" t="s">
        <v>31</v>
      </c>
      <c r="T387">
        <v>0</v>
      </c>
      <c r="U387">
        <v>0</v>
      </c>
      <c r="V387" t="s">
        <v>32</v>
      </c>
      <c r="W387" t="s">
        <v>43</v>
      </c>
      <c r="X387" s="4">
        <v>6.8</v>
      </c>
      <c r="Y387">
        <v>3</v>
      </c>
      <c r="Z387" s="5">
        <v>248.77</v>
      </c>
    </row>
    <row r="388" spans="1:26">
      <c r="A388">
        <v>387</v>
      </c>
      <c r="B388">
        <v>123</v>
      </c>
      <c r="C388" s="2">
        <v>46265</v>
      </c>
      <c r="D388" t="s">
        <v>46</v>
      </c>
      <c r="E388">
        <v>8</v>
      </c>
      <c r="F388" s="3">
        <v>14.05</v>
      </c>
      <c r="G388" t="s">
        <v>36</v>
      </c>
      <c r="H388">
        <v>45</v>
      </c>
      <c r="I388" t="s">
        <v>28</v>
      </c>
      <c r="J388" s="4">
        <v>67.3</v>
      </c>
      <c r="K388" s="4">
        <v>133.69999999999999</v>
      </c>
      <c r="L388" s="4">
        <v>20.7</v>
      </c>
      <c r="M388">
        <v>18</v>
      </c>
      <c r="N388" t="s">
        <v>47</v>
      </c>
      <c r="O388">
        <v>6</v>
      </c>
      <c r="P388" s="4">
        <v>13.7</v>
      </c>
      <c r="Q388" t="s">
        <v>42</v>
      </c>
      <c r="R388">
        <v>1</v>
      </c>
      <c r="S388" t="s">
        <v>31</v>
      </c>
      <c r="T388">
        <v>0</v>
      </c>
      <c r="U388">
        <v>0</v>
      </c>
      <c r="V388" t="s">
        <v>32</v>
      </c>
      <c r="W388" t="s">
        <v>43</v>
      </c>
      <c r="X388" s="4">
        <v>8.6999999999999993</v>
      </c>
      <c r="Y388">
        <v>8</v>
      </c>
      <c r="Z388" s="5">
        <v>253.72</v>
      </c>
    </row>
    <row r="389" spans="1:26">
      <c r="A389">
        <v>388</v>
      </c>
      <c r="B389">
        <v>123</v>
      </c>
      <c r="C389" s="2">
        <v>46265</v>
      </c>
      <c r="D389" t="s">
        <v>46</v>
      </c>
      <c r="E389">
        <v>8</v>
      </c>
      <c r="F389" s="3">
        <v>13.9</v>
      </c>
      <c r="G389" t="s">
        <v>36</v>
      </c>
      <c r="H389">
        <v>19</v>
      </c>
      <c r="I389" t="s">
        <v>28</v>
      </c>
      <c r="J389" s="4">
        <v>64.099999999999994</v>
      </c>
      <c r="K389" s="4">
        <v>166.3</v>
      </c>
      <c r="L389" s="4">
        <v>28.7</v>
      </c>
      <c r="M389">
        <v>13</v>
      </c>
      <c r="N389" t="s">
        <v>47</v>
      </c>
      <c r="O389">
        <v>6</v>
      </c>
      <c r="P389" s="4">
        <v>13.7</v>
      </c>
      <c r="Q389" t="s">
        <v>42</v>
      </c>
      <c r="R389">
        <v>1</v>
      </c>
      <c r="S389" t="s">
        <v>31</v>
      </c>
      <c r="T389">
        <v>0</v>
      </c>
      <c r="U389">
        <v>0</v>
      </c>
      <c r="V389" t="s">
        <v>32</v>
      </c>
      <c r="W389" t="s">
        <v>43</v>
      </c>
      <c r="X389" s="4">
        <v>6.4</v>
      </c>
      <c r="Y389">
        <v>10</v>
      </c>
      <c r="Z389" s="5">
        <v>213.14</v>
      </c>
    </row>
    <row r="390" spans="1:26">
      <c r="A390">
        <v>389</v>
      </c>
      <c r="B390">
        <v>123</v>
      </c>
      <c r="C390" s="2">
        <v>46265</v>
      </c>
      <c r="D390" t="s">
        <v>46</v>
      </c>
      <c r="E390">
        <v>8</v>
      </c>
      <c r="F390" s="3">
        <v>13.87</v>
      </c>
      <c r="G390" t="s">
        <v>36</v>
      </c>
      <c r="H390">
        <v>67</v>
      </c>
      <c r="I390" t="s">
        <v>28</v>
      </c>
      <c r="J390" s="4">
        <v>68.099999999999994</v>
      </c>
      <c r="K390" s="4">
        <v>177</v>
      </c>
      <c r="L390" s="4">
        <v>26.8</v>
      </c>
      <c r="M390">
        <v>15</v>
      </c>
      <c r="N390" t="s">
        <v>47</v>
      </c>
      <c r="O390">
        <v>6</v>
      </c>
      <c r="P390" s="4">
        <v>13.7</v>
      </c>
      <c r="Q390" t="s">
        <v>42</v>
      </c>
      <c r="R390">
        <v>1</v>
      </c>
      <c r="S390" t="s">
        <v>31</v>
      </c>
      <c r="T390">
        <v>0</v>
      </c>
      <c r="U390">
        <v>0</v>
      </c>
      <c r="V390" t="s">
        <v>32</v>
      </c>
      <c r="W390" t="s">
        <v>43</v>
      </c>
      <c r="X390" s="4">
        <v>11.6</v>
      </c>
      <c r="Y390">
        <v>9</v>
      </c>
      <c r="Z390" s="5">
        <v>259.14</v>
      </c>
    </row>
    <row r="391" spans="1:26">
      <c r="A391">
        <v>390</v>
      </c>
      <c r="B391">
        <v>123</v>
      </c>
      <c r="C391" s="2">
        <v>46265</v>
      </c>
      <c r="D391" t="s">
        <v>46</v>
      </c>
      <c r="E391">
        <v>8</v>
      </c>
      <c r="F391" s="3">
        <v>13.86</v>
      </c>
      <c r="G391" t="s">
        <v>36</v>
      </c>
      <c r="H391">
        <v>49</v>
      </c>
      <c r="I391" t="s">
        <v>28</v>
      </c>
      <c r="J391" s="4">
        <v>64.5</v>
      </c>
      <c r="K391" s="4">
        <v>134.9</v>
      </c>
      <c r="L391" s="4">
        <v>22.9</v>
      </c>
      <c r="M391">
        <v>15</v>
      </c>
      <c r="N391" t="s">
        <v>47</v>
      </c>
      <c r="O391">
        <v>6</v>
      </c>
      <c r="P391" s="4">
        <v>13.7</v>
      </c>
      <c r="Q391" t="s">
        <v>42</v>
      </c>
      <c r="R391">
        <v>1</v>
      </c>
      <c r="S391" t="s">
        <v>31</v>
      </c>
      <c r="T391">
        <v>0</v>
      </c>
      <c r="U391">
        <v>0</v>
      </c>
      <c r="V391" t="s">
        <v>32</v>
      </c>
      <c r="W391" t="s">
        <v>43</v>
      </c>
      <c r="X391" s="4">
        <v>8.9</v>
      </c>
      <c r="Y391">
        <v>4</v>
      </c>
      <c r="Z391" s="5">
        <v>241.78</v>
      </c>
    </row>
    <row r="392" spans="1:26">
      <c r="A392">
        <v>391</v>
      </c>
      <c r="B392">
        <v>123</v>
      </c>
      <c r="C392" s="2">
        <v>46265</v>
      </c>
      <c r="D392" t="s">
        <v>46</v>
      </c>
      <c r="E392">
        <v>8</v>
      </c>
      <c r="F392" s="3">
        <v>13.85</v>
      </c>
      <c r="G392" t="s">
        <v>36</v>
      </c>
      <c r="H392">
        <v>62</v>
      </c>
      <c r="I392" t="s">
        <v>28</v>
      </c>
      <c r="J392" s="4">
        <v>68.3</v>
      </c>
      <c r="K392" s="4">
        <v>180.3</v>
      </c>
      <c r="L392" s="4">
        <v>27.4</v>
      </c>
      <c r="M392">
        <v>18</v>
      </c>
      <c r="N392" t="s">
        <v>47</v>
      </c>
      <c r="O392">
        <v>6</v>
      </c>
      <c r="P392" s="4">
        <v>13.7</v>
      </c>
      <c r="Q392" t="s">
        <v>42</v>
      </c>
      <c r="R392">
        <v>1</v>
      </c>
      <c r="S392" t="s">
        <v>31</v>
      </c>
      <c r="T392">
        <v>0</v>
      </c>
      <c r="U392">
        <v>0</v>
      </c>
      <c r="V392" t="s">
        <v>32</v>
      </c>
      <c r="W392" t="s">
        <v>43</v>
      </c>
      <c r="X392" s="4">
        <v>5.3</v>
      </c>
      <c r="Y392">
        <v>5</v>
      </c>
      <c r="Z392" s="5">
        <v>106.23</v>
      </c>
    </row>
    <row r="393" spans="1:26">
      <c r="A393">
        <v>392</v>
      </c>
      <c r="B393">
        <v>124</v>
      </c>
      <c r="C393" s="2">
        <v>46257</v>
      </c>
      <c r="D393" t="s">
        <v>58</v>
      </c>
      <c r="E393">
        <v>8</v>
      </c>
      <c r="F393" s="3">
        <v>10.78</v>
      </c>
      <c r="G393" t="s">
        <v>27</v>
      </c>
      <c r="H393">
        <v>37</v>
      </c>
      <c r="I393" t="s">
        <v>28</v>
      </c>
      <c r="J393" s="4">
        <v>70.5</v>
      </c>
      <c r="K393" s="4">
        <v>153.4</v>
      </c>
      <c r="L393" s="4">
        <v>21.6</v>
      </c>
      <c r="M393">
        <v>18</v>
      </c>
      <c r="N393" t="s">
        <v>53</v>
      </c>
      <c r="O393">
        <v>5</v>
      </c>
      <c r="P393" s="4">
        <v>872.4</v>
      </c>
      <c r="Q393" t="s">
        <v>42</v>
      </c>
      <c r="R393">
        <v>0</v>
      </c>
      <c r="S393" t="s">
        <v>38</v>
      </c>
      <c r="T393">
        <v>0</v>
      </c>
      <c r="U393">
        <v>1</v>
      </c>
      <c r="V393" t="s">
        <v>32</v>
      </c>
      <c r="W393" t="s">
        <v>39</v>
      </c>
      <c r="X393" s="4">
        <v>9.1999999999999993</v>
      </c>
      <c r="Y393">
        <v>12</v>
      </c>
      <c r="Z393" s="5">
        <v>219.73</v>
      </c>
    </row>
    <row r="394" spans="1:26">
      <c r="A394">
        <v>393</v>
      </c>
      <c r="B394">
        <v>124</v>
      </c>
      <c r="C394" s="2">
        <v>46257</v>
      </c>
      <c r="D394" t="s">
        <v>58</v>
      </c>
      <c r="E394">
        <v>8</v>
      </c>
      <c r="F394" s="3">
        <v>10.72</v>
      </c>
      <c r="G394" t="s">
        <v>27</v>
      </c>
      <c r="H394">
        <v>59</v>
      </c>
      <c r="I394" t="s">
        <v>34</v>
      </c>
      <c r="J394" s="4">
        <v>64.099999999999994</v>
      </c>
      <c r="K394" s="4">
        <v>107.9</v>
      </c>
      <c r="L394" s="4">
        <v>18.600000000000001</v>
      </c>
      <c r="M394">
        <v>13</v>
      </c>
      <c r="N394" t="s">
        <v>53</v>
      </c>
      <c r="O394">
        <v>5</v>
      </c>
      <c r="P394" s="4">
        <v>872.4</v>
      </c>
      <c r="Q394" t="s">
        <v>42</v>
      </c>
      <c r="R394">
        <v>0</v>
      </c>
      <c r="S394" t="s">
        <v>38</v>
      </c>
      <c r="T394">
        <v>0</v>
      </c>
      <c r="U394">
        <v>1</v>
      </c>
      <c r="V394" t="s">
        <v>32</v>
      </c>
      <c r="W394" t="s">
        <v>39</v>
      </c>
      <c r="X394" s="4">
        <v>9</v>
      </c>
      <c r="Y394">
        <v>8</v>
      </c>
      <c r="Z394" s="5">
        <v>255.38</v>
      </c>
    </row>
    <row r="395" spans="1:26">
      <c r="A395">
        <v>394</v>
      </c>
      <c r="B395">
        <v>124</v>
      </c>
      <c r="C395" s="2">
        <v>46257</v>
      </c>
      <c r="D395" t="s">
        <v>58</v>
      </c>
      <c r="E395">
        <v>8</v>
      </c>
      <c r="F395" s="3">
        <v>10.52</v>
      </c>
      <c r="G395" t="s">
        <v>27</v>
      </c>
      <c r="H395">
        <v>34</v>
      </c>
      <c r="I395" t="s">
        <v>34</v>
      </c>
      <c r="J395" s="4">
        <v>61.8</v>
      </c>
      <c r="K395" s="4">
        <v>114.4</v>
      </c>
      <c r="L395" s="4">
        <v>21.1</v>
      </c>
      <c r="M395">
        <v>16</v>
      </c>
      <c r="N395" t="s">
        <v>53</v>
      </c>
      <c r="O395">
        <v>5</v>
      </c>
      <c r="P395" s="4">
        <v>872.4</v>
      </c>
      <c r="Q395" t="s">
        <v>42</v>
      </c>
      <c r="R395">
        <v>0</v>
      </c>
      <c r="S395" t="s">
        <v>38</v>
      </c>
      <c r="T395">
        <v>0</v>
      </c>
      <c r="U395">
        <v>1</v>
      </c>
      <c r="V395" t="s">
        <v>32</v>
      </c>
      <c r="W395" t="s">
        <v>39</v>
      </c>
      <c r="X395" s="4">
        <v>11.2</v>
      </c>
      <c r="Y395">
        <v>8</v>
      </c>
      <c r="Z395" s="5">
        <v>181.53</v>
      </c>
    </row>
    <row r="396" spans="1:26">
      <c r="A396">
        <v>395</v>
      </c>
      <c r="B396">
        <v>124</v>
      </c>
      <c r="C396" s="2">
        <v>46257</v>
      </c>
      <c r="D396" t="s">
        <v>58</v>
      </c>
      <c r="E396">
        <v>8</v>
      </c>
      <c r="F396" s="3">
        <v>10.9</v>
      </c>
      <c r="G396" t="s">
        <v>27</v>
      </c>
      <c r="H396">
        <v>45</v>
      </c>
      <c r="I396" t="s">
        <v>34</v>
      </c>
      <c r="J396" s="4">
        <v>60.6</v>
      </c>
      <c r="K396" s="4">
        <v>133.80000000000001</v>
      </c>
      <c r="L396" s="4">
        <v>25.7</v>
      </c>
      <c r="M396">
        <v>15</v>
      </c>
      <c r="N396" t="s">
        <v>53</v>
      </c>
      <c r="O396">
        <v>5</v>
      </c>
      <c r="P396" s="4">
        <v>872.4</v>
      </c>
      <c r="Q396" t="s">
        <v>42</v>
      </c>
      <c r="R396">
        <v>0</v>
      </c>
      <c r="S396" t="s">
        <v>38</v>
      </c>
      <c r="T396">
        <v>0</v>
      </c>
      <c r="U396">
        <v>1</v>
      </c>
      <c r="V396" t="s">
        <v>32</v>
      </c>
      <c r="W396" t="s">
        <v>39</v>
      </c>
      <c r="X396" s="4">
        <v>8.8000000000000007</v>
      </c>
      <c r="Y396">
        <v>11</v>
      </c>
      <c r="Z396" s="5">
        <v>244.11</v>
      </c>
    </row>
    <row r="397" spans="1:26">
      <c r="A397">
        <v>396</v>
      </c>
      <c r="B397">
        <v>124</v>
      </c>
      <c r="C397" s="2">
        <v>46257</v>
      </c>
      <c r="D397" t="s">
        <v>58</v>
      </c>
      <c r="E397">
        <v>8</v>
      </c>
      <c r="F397" s="3">
        <v>10.67</v>
      </c>
      <c r="G397" t="s">
        <v>27</v>
      </c>
      <c r="H397">
        <v>59</v>
      </c>
      <c r="I397" t="s">
        <v>34</v>
      </c>
      <c r="J397" s="4">
        <v>64.8</v>
      </c>
      <c r="K397" s="4">
        <v>157.19999999999999</v>
      </c>
      <c r="L397" s="4">
        <v>26.1</v>
      </c>
      <c r="M397">
        <v>15</v>
      </c>
      <c r="N397" t="s">
        <v>53</v>
      </c>
      <c r="O397">
        <v>5</v>
      </c>
      <c r="P397" s="4">
        <v>872.4</v>
      </c>
      <c r="Q397" t="s">
        <v>42</v>
      </c>
      <c r="R397">
        <v>0</v>
      </c>
      <c r="S397" t="s">
        <v>38</v>
      </c>
      <c r="T397">
        <v>0</v>
      </c>
      <c r="U397">
        <v>1</v>
      </c>
      <c r="V397" t="s">
        <v>32</v>
      </c>
      <c r="W397" t="s">
        <v>39</v>
      </c>
      <c r="X397" s="4">
        <v>9.3000000000000007</v>
      </c>
      <c r="Y397">
        <v>3</v>
      </c>
      <c r="Z397" s="5">
        <v>174.47</v>
      </c>
    </row>
    <row r="398" spans="1:26">
      <c r="A398">
        <v>397</v>
      </c>
      <c r="B398">
        <v>125</v>
      </c>
      <c r="C398" s="2">
        <v>46103</v>
      </c>
      <c r="D398" t="s">
        <v>58</v>
      </c>
      <c r="E398">
        <v>3</v>
      </c>
      <c r="F398" s="3">
        <v>11.23</v>
      </c>
      <c r="G398" t="s">
        <v>36</v>
      </c>
      <c r="H398">
        <v>62</v>
      </c>
      <c r="I398" t="s">
        <v>28</v>
      </c>
      <c r="J398" s="4">
        <v>66.8</v>
      </c>
      <c r="K398" s="4">
        <v>207.5</v>
      </c>
      <c r="L398" s="4">
        <v>32.9</v>
      </c>
      <c r="M398">
        <v>19</v>
      </c>
      <c r="N398" t="s">
        <v>50</v>
      </c>
      <c r="O398">
        <v>2</v>
      </c>
      <c r="P398" s="4">
        <v>114.1</v>
      </c>
      <c r="Q398" t="s">
        <v>42</v>
      </c>
      <c r="R398">
        <v>0</v>
      </c>
      <c r="S398" t="s">
        <v>38</v>
      </c>
      <c r="T398">
        <v>0</v>
      </c>
      <c r="U398">
        <v>0</v>
      </c>
      <c r="V398" t="s">
        <v>32</v>
      </c>
      <c r="W398" t="s">
        <v>39</v>
      </c>
      <c r="X398" s="4">
        <v>8.1999999999999993</v>
      </c>
      <c r="Y398">
        <v>6</v>
      </c>
      <c r="Z398" s="5">
        <v>114.02</v>
      </c>
    </row>
    <row r="399" spans="1:26">
      <c r="A399">
        <v>398</v>
      </c>
      <c r="B399">
        <v>125</v>
      </c>
      <c r="C399" s="2">
        <v>46103</v>
      </c>
      <c r="D399" t="s">
        <v>58</v>
      </c>
      <c r="E399">
        <v>3</v>
      </c>
      <c r="F399" s="3">
        <v>11.49</v>
      </c>
      <c r="G399" t="s">
        <v>36</v>
      </c>
      <c r="H399">
        <v>32</v>
      </c>
      <c r="I399" t="s">
        <v>28</v>
      </c>
      <c r="J399" s="4">
        <v>68.599999999999994</v>
      </c>
      <c r="K399" s="4">
        <v>150.1</v>
      </c>
      <c r="L399" s="4">
        <v>22.7</v>
      </c>
      <c r="M399">
        <v>14</v>
      </c>
      <c r="N399" t="s">
        <v>50</v>
      </c>
      <c r="O399">
        <v>2</v>
      </c>
      <c r="P399" s="4">
        <v>114.1</v>
      </c>
      <c r="Q399" t="s">
        <v>42</v>
      </c>
      <c r="R399">
        <v>0</v>
      </c>
      <c r="S399" t="s">
        <v>38</v>
      </c>
      <c r="T399">
        <v>0</v>
      </c>
      <c r="U399">
        <v>0</v>
      </c>
      <c r="V399" t="s">
        <v>32</v>
      </c>
      <c r="W399" t="s">
        <v>39</v>
      </c>
      <c r="X399" s="4">
        <v>7.4</v>
      </c>
      <c r="Y399">
        <v>6</v>
      </c>
      <c r="Z399" s="5">
        <v>141.69999999999999</v>
      </c>
    </row>
    <row r="400" spans="1:26">
      <c r="A400">
        <v>399</v>
      </c>
      <c r="B400">
        <v>126</v>
      </c>
      <c r="C400" s="2">
        <v>46331</v>
      </c>
      <c r="D400" t="s">
        <v>55</v>
      </c>
      <c r="E400">
        <v>11</v>
      </c>
      <c r="F400" s="3">
        <v>8.99</v>
      </c>
      <c r="G400" t="s">
        <v>27</v>
      </c>
      <c r="H400">
        <v>25</v>
      </c>
      <c r="I400" t="s">
        <v>34</v>
      </c>
      <c r="J400" s="4">
        <v>61</v>
      </c>
      <c r="K400" s="4">
        <v>107.8</v>
      </c>
      <c r="L400" s="4">
        <v>20.399999999999999</v>
      </c>
      <c r="M400">
        <v>13</v>
      </c>
      <c r="N400" t="s">
        <v>29</v>
      </c>
      <c r="O400">
        <v>2</v>
      </c>
      <c r="P400" s="4">
        <v>1835.1</v>
      </c>
      <c r="Q400" t="s">
        <v>30</v>
      </c>
      <c r="R400">
        <v>0</v>
      </c>
      <c r="S400" t="s">
        <v>44</v>
      </c>
      <c r="T400">
        <v>0</v>
      </c>
      <c r="U400">
        <v>0</v>
      </c>
      <c r="V400" t="s">
        <v>45</v>
      </c>
      <c r="W400" t="s">
        <v>43</v>
      </c>
      <c r="X400" s="4">
        <v>10.5</v>
      </c>
      <c r="Y400">
        <v>12</v>
      </c>
      <c r="Z400" s="5">
        <v>261.39999999999998</v>
      </c>
    </row>
    <row r="401" spans="1:26">
      <c r="A401">
        <v>400</v>
      </c>
      <c r="B401">
        <v>126</v>
      </c>
      <c r="C401" s="2">
        <v>46331</v>
      </c>
      <c r="D401" t="s">
        <v>55</v>
      </c>
      <c r="E401">
        <v>11</v>
      </c>
      <c r="F401" s="3">
        <v>8.9700000000000006</v>
      </c>
      <c r="G401" t="s">
        <v>27</v>
      </c>
      <c r="H401">
        <v>35</v>
      </c>
      <c r="I401" t="s">
        <v>28</v>
      </c>
      <c r="J401" s="4">
        <v>70.7</v>
      </c>
      <c r="K401" s="4">
        <v>154.4</v>
      </c>
      <c r="L401" s="4">
        <v>21.5</v>
      </c>
      <c r="M401">
        <v>13</v>
      </c>
      <c r="N401" t="s">
        <v>29</v>
      </c>
      <c r="O401">
        <v>2</v>
      </c>
      <c r="P401" s="4">
        <v>1835.1</v>
      </c>
      <c r="Q401" t="s">
        <v>30</v>
      </c>
      <c r="R401">
        <v>0</v>
      </c>
      <c r="S401" t="s">
        <v>44</v>
      </c>
      <c r="T401">
        <v>0</v>
      </c>
      <c r="U401">
        <v>0</v>
      </c>
      <c r="V401" t="s">
        <v>45</v>
      </c>
      <c r="W401" t="s">
        <v>43</v>
      </c>
      <c r="X401" s="4">
        <v>10.7</v>
      </c>
      <c r="Y401">
        <v>11</v>
      </c>
      <c r="Z401" s="5">
        <v>211.3</v>
      </c>
    </row>
    <row r="402" spans="1:26">
      <c r="A402">
        <v>401</v>
      </c>
      <c r="B402">
        <v>127</v>
      </c>
      <c r="C402" s="2">
        <v>46072</v>
      </c>
      <c r="D402" t="s">
        <v>55</v>
      </c>
      <c r="E402">
        <v>2</v>
      </c>
      <c r="F402" s="3">
        <v>12.68</v>
      </c>
      <c r="G402" t="s">
        <v>36</v>
      </c>
      <c r="H402">
        <v>54</v>
      </c>
      <c r="I402" t="s">
        <v>28</v>
      </c>
      <c r="J402" s="4">
        <v>70.3</v>
      </c>
      <c r="K402" s="4">
        <v>166.9</v>
      </c>
      <c r="L402" s="4">
        <v>23.6</v>
      </c>
      <c r="M402">
        <v>15</v>
      </c>
      <c r="N402" t="s">
        <v>47</v>
      </c>
      <c r="O402">
        <v>3</v>
      </c>
      <c r="P402" s="4">
        <v>36.5</v>
      </c>
      <c r="Q402" t="s">
        <v>48</v>
      </c>
      <c r="R402">
        <v>0</v>
      </c>
      <c r="S402" t="s">
        <v>44</v>
      </c>
      <c r="T402">
        <v>1</v>
      </c>
      <c r="U402">
        <v>0</v>
      </c>
      <c r="V402" t="s">
        <v>32</v>
      </c>
      <c r="W402" t="s">
        <v>43</v>
      </c>
      <c r="X402" s="4">
        <v>5.9</v>
      </c>
      <c r="Y402">
        <v>6</v>
      </c>
      <c r="Z402" s="5">
        <v>339.37</v>
      </c>
    </row>
    <row r="403" spans="1:26">
      <c r="A403">
        <v>402</v>
      </c>
      <c r="B403">
        <v>127</v>
      </c>
      <c r="C403" s="2">
        <v>46072</v>
      </c>
      <c r="D403" t="s">
        <v>55</v>
      </c>
      <c r="E403">
        <v>2</v>
      </c>
      <c r="F403" s="3">
        <v>12.68</v>
      </c>
      <c r="G403" t="s">
        <v>36</v>
      </c>
      <c r="H403">
        <v>24</v>
      </c>
      <c r="I403" t="s">
        <v>34</v>
      </c>
      <c r="J403" s="4">
        <v>64.400000000000006</v>
      </c>
      <c r="K403" s="4">
        <v>112.6</v>
      </c>
      <c r="L403" s="4">
        <v>19.2</v>
      </c>
      <c r="M403">
        <v>17</v>
      </c>
      <c r="N403" t="s">
        <v>47</v>
      </c>
      <c r="O403">
        <v>3</v>
      </c>
      <c r="P403" s="4">
        <v>36.5</v>
      </c>
      <c r="Q403" t="s">
        <v>48</v>
      </c>
      <c r="R403">
        <v>0</v>
      </c>
      <c r="S403" t="s">
        <v>44</v>
      </c>
      <c r="T403">
        <v>1</v>
      </c>
      <c r="U403">
        <v>0</v>
      </c>
      <c r="V403" t="s">
        <v>32</v>
      </c>
      <c r="W403" t="s">
        <v>43</v>
      </c>
      <c r="X403" s="4">
        <v>8.6</v>
      </c>
      <c r="Y403">
        <v>12</v>
      </c>
      <c r="Z403" s="5">
        <v>400.95</v>
      </c>
    </row>
    <row r="404" spans="1:26">
      <c r="A404">
        <v>403</v>
      </c>
      <c r="B404">
        <v>127</v>
      </c>
      <c r="C404" s="2">
        <v>46072</v>
      </c>
      <c r="D404" t="s">
        <v>55</v>
      </c>
      <c r="E404">
        <v>2</v>
      </c>
      <c r="F404" s="3">
        <v>12.51</v>
      </c>
      <c r="G404" t="s">
        <v>36</v>
      </c>
      <c r="H404">
        <v>10</v>
      </c>
      <c r="I404" t="s">
        <v>28</v>
      </c>
      <c r="J404" s="4">
        <v>56.9</v>
      </c>
      <c r="K404" s="4">
        <v>82</v>
      </c>
      <c r="L404" s="4">
        <v>18.100000000000001</v>
      </c>
      <c r="M404">
        <v>14</v>
      </c>
      <c r="N404" t="s">
        <v>47</v>
      </c>
      <c r="O404">
        <v>3</v>
      </c>
      <c r="P404" s="4">
        <v>36.5</v>
      </c>
      <c r="Q404" t="s">
        <v>48</v>
      </c>
      <c r="R404">
        <v>0</v>
      </c>
      <c r="S404" t="s">
        <v>44</v>
      </c>
      <c r="T404">
        <v>1</v>
      </c>
      <c r="U404">
        <v>0</v>
      </c>
      <c r="V404" t="s">
        <v>32</v>
      </c>
      <c r="W404" t="s">
        <v>43</v>
      </c>
      <c r="X404" s="4">
        <v>6</v>
      </c>
      <c r="Y404">
        <v>5</v>
      </c>
      <c r="Z404" s="5">
        <v>318.58999999999997</v>
      </c>
    </row>
    <row r="405" spans="1:26">
      <c r="A405">
        <v>404</v>
      </c>
      <c r="B405">
        <v>128</v>
      </c>
      <c r="C405" s="2">
        <v>46186</v>
      </c>
      <c r="D405" t="s">
        <v>40</v>
      </c>
      <c r="E405">
        <v>6</v>
      </c>
      <c r="F405" s="3">
        <v>11.43</v>
      </c>
      <c r="G405" t="s">
        <v>36</v>
      </c>
      <c r="H405">
        <v>4</v>
      </c>
      <c r="I405" t="s">
        <v>34</v>
      </c>
      <c r="J405" s="4">
        <v>49.6</v>
      </c>
      <c r="K405" s="4">
        <v>80.7</v>
      </c>
      <c r="L405" s="4">
        <v>23.1</v>
      </c>
      <c r="M405">
        <v>13</v>
      </c>
      <c r="N405" t="s">
        <v>53</v>
      </c>
      <c r="O405">
        <v>3</v>
      </c>
      <c r="P405" s="4">
        <v>770.3</v>
      </c>
      <c r="Q405" t="s">
        <v>30</v>
      </c>
      <c r="R405">
        <v>0</v>
      </c>
      <c r="S405" t="s">
        <v>44</v>
      </c>
      <c r="T405">
        <v>1</v>
      </c>
      <c r="U405">
        <v>0</v>
      </c>
      <c r="V405" t="s">
        <v>32</v>
      </c>
      <c r="W405" t="s">
        <v>43</v>
      </c>
      <c r="X405" s="4">
        <v>9.1</v>
      </c>
      <c r="Y405">
        <v>13</v>
      </c>
      <c r="Z405" s="5">
        <v>251.28</v>
      </c>
    </row>
    <row r="406" spans="1:26">
      <c r="A406">
        <v>405</v>
      </c>
      <c r="B406">
        <v>128</v>
      </c>
      <c r="C406" s="2">
        <v>46186</v>
      </c>
      <c r="D406" t="s">
        <v>40</v>
      </c>
      <c r="E406">
        <v>6</v>
      </c>
      <c r="F406" s="3">
        <v>11.8</v>
      </c>
      <c r="G406" t="s">
        <v>36</v>
      </c>
      <c r="H406">
        <v>51</v>
      </c>
      <c r="I406" t="s">
        <v>28</v>
      </c>
      <c r="J406" s="4">
        <v>69.7</v>
      </c>
      <c r="K406" s="4">
        <v>180</v>
      </c>
      <c r="L406" s="4">
        <v>26.1</v>
      </c>
      <c r="M406">
        <v>12</v>
      </c>
      <c r="N406" t="s">
        <v>53</v>
      </c>
      <c r="O406">
        <v>3</v>
      </c>
      <c r="P406" s="4">
        <v>770.3</v>
      </c>
      <c r="Q406" t="s">
        <v>30</v>
      </c>
      <c r="R406">
        <v>0</v>
      </c>
      <c r="S406" t="s">
        <v>44</v>
      </c>
      <c r="T406">
        <v>1</v>
      </c>
      <c r="U406">
        <v>0</v>
      </c>
      <c r="V406" t="s">
        <v>32</v>
      </c>
      <c r="W406" t="s">
        <v>43</v>
      </c>
      <c r="X406" s="4">
        <v>9.6</v>
      </c>
      <c r="Y406">
        <v>10</v>
      </c>
      <c r="Z406" s="5">
        <v>237.38</v>
      </c>
    </row>
    <row r="407" spans="1:26">
      <c r="A407">
        <v>406</v>
      </c>
      <c r="B407">
        <v>128</v>
      </c>
      <c r="C407" s="2">
        <v>46186</v>
      </c>
      <c r="D407" t="s">
        <v>40</v>
      </c>
      <c r="E407">
        <v>6</v>
      </c>
      <c r="F407" s="3">
        <v>11.83</v>
      </c>
      <c r="G407" t="s">
        <v>36</v>
      </c>
      <c r="H407">
        <v>54</v>
      </c>
      <c r="I407" t="s">
        <v>34</v>
      </c>
      <c r="J407" s="4">
        <v>65.099999999999994</v>
      </c>
      <c r="K407" s="4">
        <v>148.5</v>
      </c>
      <c r="L407" s="4">
        <v>24.6</v>
      </c>
      <c r="M407">
        <v>13</v>
      </c>
      <c r="N407" t="s">
        <v>53</v>
      </c>
      <c r="O407">
        <v>3</v>
      </c>
      <c r="P407" s="4">
        <v>770.3</v>
      </c>
      <c r="Q407" t="s">
        <v>30</v>
      </c>
      <c r="R407">
        <v>0</v>
      </c>
      <c r="S407" t="s">
        <v>44</v>
      </c>
      <c r="T407">
        <v>1</v>
      </c>
      <c r="U407">
        <v>0</v>
      </c>
      <c r="V407" t="s">
        <v>32</v>
      </c>
      <c r="W407" t="s">
        <v>43</v>
      </c>
      <c r="X407" s="4">
        <v>10.199999999999999</v>
      </c>
      <c r="Y407">
        <v>7</v>
      </c>
      <c r="Z407" s="5">
        <v>126.3</v>
      </c>
    </row>
    <row r="408" spans="1:26">
      <c r="A408">
        <v>407</v>
      </c>
      <c r="B408">
        <v>129</v>
      </c>
      <c r="C408" s="2">
        <v>46259</v>
      </c>
      <c r="D408" t="s">
        <v>35</v>
      </c>
      <c r="E408">
        <v>8</v>
      </c>
      <c r="F408" s="3">
        <v>12.07</v>
      </c>
      <c r="G408" t="s">
        <v>36</v>
      </c>
      <c r="H408">
        <v>7</v>
      </c>
      <c r="I408" t="s">
        <v>34</v>
      </c>
      <c r="J408" s="4">
        <v>59.3</v>
      </c>
      <c r="K408" s="4">
        <v>88.6</v>
      </c>
      <c r="L408" s="4">
        <v>17.8</v>
      </c>
      <c r="M408">
        <v>12</v>
      </c>
      <c r="N408" t="s">
        <v>66</v>
      </c>
      <c r="O408">
        <v>6</v>
      </c>
      <c r="P408" s="4">
        <v>879.1</v>
      </c>
      <c r="Q408" t="s">
        <v>48</v>
      </c>
      <c r="R408">
        <v>1</v>
      </c>
      <c r="S408" t="s">
        <v>31</v>
      </c>
      <c r="T408">
        <v>1</v>
      </c>
      <c r="U408">
        <v>0</v>
      </c>
      <c r="V408" t="s">
        <v>32</v>
      </c>
      <c r="W408" t="s">
        <v>49</v>
      </c>
      <c r="X408" s="4">
        <v>9.5</v>
      </c>
      <c r="Y408">
        <v>11</v>
      </c>
      <c r="Z408" s="5">
        <v>162.41</v>
      </c>
    </row>
    <row r="409" spans="1:26">
      <c r="A409">
        <v>408</v>
      </c>
      <c r="B409">
        <v>129</v>
      </c>
      <c r="C409" s="2">
        <v>46259</v>
      </c>
      <c r="D409" t="s">
        <v>35</v>
      </c>
      <c r="E409">
        <v>8</v>
      </c>
      <c r="F409" s="3">
        <v>11.97</v>
      </c>
      <c r="G409" t="s">
        <v>36</v>
      </c>
      <c r="H409">
        <v>70</v>
      </c>
      <c r="I409" t="s">
        <v>28</v>
      </c>
      <c r="J409" s="4">
        <v>66.599999999999994</v>
      </c>
      <c r="K409" s="4">
        <v>181</v>
      </c>
      <c r="L409" s="4">
        <v>28.5</v>
      </c>
      <c r="M409">
        <v>14</v>
      </c>
      <c r="N409" t="s">
        <v>66</v>
      </c>
      <c r="O409">
        <v>6</v>
      </c>
      <c r="P409" s="4">
        <v>879.1</v>
      </c>
      <c r="Q409" t="s">
        <v>48</v>
      </c>
      <c r="R409">
        <v>1</v>
      </c>
      <c r="S409" t="s">
        <v>31</v>
      </c>
      <c r="T409">
        <v>1</v>
      </c>
      <c r="U409">
        <v>0</v>
      </c>
      <c r="V409" t="s">
        <v>32</v>
      </c>
      <c r="W409" t="s">
        <v>49</v>
      </c>
      <c r="X409" s="4">
        <v>9.8000000000000007</v>
      </c>
      <c r="Y409">
        <v>9</v>
      </c>
      <c r="Z409" s="5">
        <v>235.23</v>
      </c>
    </row>
    <row r="410" spans="1:26">
      <c r="A410">
        <v>409</v>
      </c>
      <c r="B410">
        <v>129</v>
      </c>
      <c r="C410" s="2">
        <v>46259</v>
      </c>
      <c r="D410" t="s">
        <v>35</v>
      </c>
      <c r="E410">
        <v>8</v>
      </c>
      <c r="F410" s="3">
        <v>12.07</v>
      </c>
      <c r="G410" t="s">
        <v>36</v>
      </c>
      <c r="H410">
        <v>19</v>
      </c>
      <c r="I410" t="s">
        <v>28</v>
      </c>
      <c r="J410" s="4">
        <v>69.3</v>
      </c>
      <c r="K410" s="4">
        <v>132.19999999999999</v>
      </c>
      <c r="L410" s="4">
        <v>19.399999999999999</v>
      </c>
      <c r="M410">
        <v>14</v>
      </c>
      <c r="N410" t="s">
        <v>66</v>
      </c>
      <c r="O410">
        <v>6</v>
      </c>
      <c r="P410" s="4">
        <v>879.1</v>
      </c>
      <c r="Q410" t="s">
        <v>48</v>
      </c>
      <c r="R410">
        <v>1</v>
      </c>
      <c r="S410" t="s">
        <v>31</v>
      </c>
      <c r="T410">
        <v>1</v>
      </c>
      <c r="U410">
        <v>0</v>
      </c>
      <c r="V410" t="s">
        <v>32</v>
      </c>
      <c r="W410" t="s">
        <v>49</v>
      </c>
      <c r="X410" s="4">
        <v>9.1999999999999993</v>
      </c>
      <c r="Y410">
        <v>11</v>
      </c>
      <c r="Z410" s="5">
        <v>392.53</v>
      </c>
    </row>
    <row r="411" spans="1:26">
      <c r="A411">
        <v>410</v>
      </c>
      <c r="B411">
        <v>129</v>
      </c>
      <c r="C411" s="2">
        <v>46259</v>
      </c>
      <c r="D411" t="s">
        <v>35</v>
      </c>
      <c r="E411">
        <v>8</v>
      </c>
      <c r="F411" s="3">
        <v>12.18</v>
      </c>
      <c r="G411" t="s">
        <v>36</v>
      </c>
      <c r="H411">
        <v>38</v>
      </c>
      <c r="I411" t="s">
        <v>28</v>
      </c>
      <c r="J411" s="4">
        <v>64</v>
      </c>
      <c r="K411" s="4">
        <v>111.7</v>
      </c>
      <c r="L411" s="4">
        <v>19</v>
      </c>
      <c r="M411">
        <v>18</v>
      </c>
      <c r="N411" t="s">
        <v>66</v>
      </c>
      <c r="O411">
        <v>6</v>
      </c>
      <c r="P411" s="4">
        <v>879.1</v>
      </c>
      <c r="Q411" t="s">
        <v>48</v>
      </c>
      <c r="R411">
        <v>1</v>
      </c>
      <c r="S411" t="s">
        <v>31</v>
      </c>
      <c r="T411">
        <v>1</v>
      </c>
      <c r="U411">
        <v>0</v>
      </c>
      <c r="V411" t="s">
        <v>32</v>
      </c>
      <c r="W411" t="s">
        <v>49</v>
      </c>
      <c r="X411" s="4">
        <v>10.6</v>
      </c>
      <c r="Y411">
        <v>9</v>
      </c>
      <c r="Z411" s="5">
        <v>240.9</v>
      </c>
    </row>
    <row r="412" spans="1:26">
      <c r="A412">
        <v>411</v>
      </c>
      <c r="B412">
        <v>129</v>
      </c>
      <c r="C412" s="2">
        <v>46259</v>
      </c>
      <c r="D412" t="s">
        <v>35</v>
      </c>
      <c r="E412">
        <v>8</v>
      </c>
      <c r="F412" s="3">
        <v>11.89</v>
      </c>
      <c r="G412" t="s">
        <v>36</v>
      </c>
      <c r="H412">
        <v>11</v>
      </c>
      <c r="I412" t="s">
        <v>28</v>
      </c>
      <c r="J412" s="4">
        <v>67.5</v>
      </c>
      <c r="K412" s="4">
        <v>162</v>
      </c>
      <c r="L412" s="4">
        <v>25.1</v>
      </c>
      <c r="M412">
        <v>12</v>
      </c>
      <c r="N412" t="s">
        <v>66</v>
      </c>
      <c r="O412">
        <v>6</v>
      </c>
      <c r="P412" s="4">
        <v>879.1</v>
      </c>
      <c r="Q412" t="s">
        <v>48</v>
      </c>
      <c r="R412">
        <v>1</v>
      </c>
      <c r="S412" t="s">
        <v>31</v>
      </c>
      <c r="T412">
        <v>1</v>
      </c>
      <c r="U412">
        <v>0</v>
      </c>
      <c r="V412" t="s">
        <v>32</v>
      </c>
      <c r="W412" t="s">
        <v>49</v>
      </c>
      <c r="X412" s="4">
        <v>7.3</v>
      </c>
      <c r="Y412">
        <v>5</v>
      </c>
      <c r="Z412" s="5">
        <v>132.22</v>
      </c>
    </row>
    <row r="413" spans="1:26">
      <c r="A413">
        <v>412</v>
      </c>
      <c r="B413">
        <v>129</v>
      </c>
      <c r="C413" s="2">
        <v>46259</v>
      </c>
      <c r="D413" t="s">
        <v>35</v>
      </c>
      <c r="E413">
        <v>8</v>
      </c>
      <c r="F413" s="3">
        <v>11.89</v>
      </c>
      <c r="G413" t="s">
        <v>36</v>
      </c>
      <c r="H413">
        <v>36</v>
      </c>
      <c r="I413" t="s">
        <v>34</v>
      </c>
      <c r="J413" s="4">
        <v>61.4</v>
      </c>
      <c r="K413" s="4">
        <v>120.5</v>
      </c>
      <c r="L413" s="4">
        <v>22.6</v>
      </c>
      <c r="M413">
        <v>17</v>
      </c>
      <c r="N413" t="s">
        <v>66</v>
      </c>
      <c r="O413">
        <v>6</v>
      </c>
      <c r="P413" s="4">
        <v>879.1</v>
      </c>
      <c r="Q413" t="s">
        <v>48</v>
      </c>
      <c r="R413">
        <v>1</v>
      </c>
      <c r="S413" t="s">
        <v>31</v>
      </c>
      <c r="T413">
        <v>1</v>
      </c>
      <c r="U413">
        <v>0</v>
      </c>
      <c r="V413" t="s">
        <v>32</v>
      </c>
      <c r="W413" t="s">
        <v>49</v>
      </c>
      <c r="X413" s="4">
        <v>8.3000000000000007</v>
      </c>
      <c r="Y413">
        <v>9</v>
      </c>
      <c r="Z413" s="5">
        <v>535.52</v>
      </c>
    </row>
    <row r="414" spans="1:26">
      <c r="A414">
        <v>413</v>
      </c>
      <c r="B414">
        <v>130</v>
      </c>
      <c r="C414" s="2">
        <v>46041</v>
      </c>
      <c r="D414" t="s">
        <v>46</v>
      </c>
      <c r="E414">
        <v>1</v>
      </c>
      <c r="F414" s="3">
        <v>8.16</v>
      </c>
      <c r="G414" t="s">
        <v>27</v>
      </c>
      <c r="H414">
        <v>57</v>
      </c>
      <c r="I414" t="s">
        <v>28</v>
      </c>
      <c r="J414" s="4">
        <v>70.7</v>
      </c>
      <c r="K414" s="4">
        <v>210.4</v>
      </c>
      <c r="L414" s="4">
        <v>29.8</v>
      </c>
      <c r="M414">
        <v>18</v>
      </c>
      <c r="N414" t="s">
        <v>54</v>
      </c>
      <c r="O414">
        <v>4</v>
      </c>
      <c r="P414" s="4">
        <v>2316.6999999999998</v>
      </c>
      <c r="Q414" t="s">
        <v>42</v>
      </c>
      <c r="R414">
        <v>1</v>
      </c>
      <c r="S414" t="s">
        <v>44</v>
      </c>
      <c r="T414">
        <v>0</v>
      </c>
      <c r="U414">
        <v>0</v>
      </c>
      <c r="V414" t="s">
        <v>32</v>
      </c>
      <c r="W414" t="s">
        <v>49</v>
      </c>
      <c r="X414" s="4">
        <v>7</v>
      </c>
      <c r="Y414">
        <v>9</v>
      </c>
      <c r="Z414" s="5">
        <v>235.66</v>
      </c>
    </row>
    <row r="415" spans="1:26">
      <c r="A415">
        <v>414</v>
      </c>
      <c r="B415">
        <v>130</v>
      </c>
      <c r="C415" s="2">
        <v>46041</v>
      </c>
      <c r="D415" t="s">
        <v>46</v>
      </c>
      <c r="E415">
        <v>1</v>
      </c>
      <c r="F415" s="3">
        <v>8.3000000000000007</v>
      </c>
      <c r="G415" t="s">
        <v>27</v>
      </c>
      <c r="H415">
        <v>13</v>
      </c>
      <c r="I415" t="s">
        <v>28</v>
      </c>
      <c r="J415" s="4">
        <v>70</v>
      </c>
      <c r="K415" s="4">
        <v>162</v>
      </c>
      <c r="L415" s="4">
        <v>23.5</v>
      </c>
      <c r="M415">
        <v>14</v>
      </c>
      <c r="N415" t="s">
        <v>54</v>
      </c>
      <c r="O415">
        <v>4</v>
      </c>
      <c r="P415" s="4">
        <v>2316.6999999999998</v>
      </c>
      <c r="Q415" t="s">
        <v>42</v>
      </c>
      <c r="R415">
        <v>1</v>
      </c>
      <c r="S415" t="s">
        <v>44</v>
      </c>
      <c r="T415">
        <v>0</v>
      </c>
      <c r="U415">
        <v>0</v>
      </c>
      <c r="V415" t="s">
        <v>32</v>
      </c>
      <c r="W415" t="s">
        <v>49</v>
      </c>
      <c r="X415" s="4">
        <v>9.6999999999999993</v>
      </c>
      <c r="Y415">
        <v>11</v>
      </c>
      <c r="Z415" s="5">
        <v>270.61</v>
      </c>
    </row>
    <row r="416" spans="1:26">
      <c r="A416">
        <v>415</v>
      </c>
      <c r="B416">
        <v>130</v>
      </c>
      <c r="C416" s="2">
        <v>46041</v>
      </c>
      <c r="D416" t="s">
        <v>46</v>
      </c>
      <c r="E416">
        <v>1</v>
      </c>
      <c r="F416" s="3">
        <v>8.44</v>
      </c>
      <c r="G416" t="s">
        <v>27</v>
      </c>
      <c r="H416">
        <v>54</v>
      </c>
      <c r="I416" t="s">
        <v>28</v>
      </c>
      <c r="J416" s="4">
        <v>67.8</v>
      </c>
      <c r="K416" s="4">
        <v>160.4</v>
      </c>
      <c r="L416" s="4">
        <v>24.8</v>
      </c>
      <c r="M416">
        <v>14</v>
      </c>
      <c r="N416" t="s">
        <v>54</v>
      </c>
      <c r="O416">
        <v>4</v>
      </c>
      <c r="P416" s="4">
        <v>2316.6999999999998</v>
      </c>
      <c r="Q416" t="s">
        <v>42</v>
      </c>
      <c r="R416">
        <v>1</v>
      </c>
      <c r="S416" t="s">
        <v>44</v>
      </c>
      <c r="T416">
        <v>0</v>
      </c>
      <c r="U416">
        <v>0</v>
      </c>
      <c r="V416" t="s">
        <v>32</v>
      </c>
      <c r="W416" t="s">
        <v>49</v>
      </c>
      <c r="X416" s="4">
        <v>7.8</v>
      </c>
      <c r="Y416">
        <v>9</v>
      </c>
      <c r="Z416" s="5">
        <v>193.94</v>
      </c>
    </row>
    <row r="417" spans="1:26">
      <c r="A417">
        <v>416</v>
      </c>
      <c r="B417">
        <v>130</v>
      </c>
      <c r="C417" s="2">
        <v>46041</v>
      </c>
      <c r="D417" t="s">
        <v>46</v>
      </c>
      <c r="E417">
        <v>1</v>
      </c>
      <c r="F417" s="3">
        <v>8.42</v>
      </c>
      <c r="G417" t="s">
        <v>27</v>
      </c>
      <c r="H417">
        <v>58</v>
      </c>
      <c r="I417" t="s">
        <v>28</v>
      </c>
      <c r="J417" s="4">
        <v>70.7</v>
      </c>
      <c r="K417" s="4">
        <v>148.30000000000001</v>
      </c>
      <c r="L417" s="4">
        <v>20.9</v>
      </c>
      <c r="M417">
        <v>17</v>
      </c>
      <c r="N417" t="s">
        <v>54</v>
      </c>
      <c r="O417">
        <v>4</v>
      </c>
      <c r="P417" s="4">
        <v>2316.6999999999998</v>
      </c>
      <c r="Q417" t="s">
        <v>42</v>
      </c>
      <c r="R417">
        <v>1</v>
      </c>
      <c r="S417" t="s">
        <v>44</v>
      </c>
      <c r="T417">
        <v>0</v>
      </c>
      <c r="U417">
        <v>0</v>
      </c>
      <c r="V417" t="s">
        <v>32</v>
      </c>
      <c r="W417" t="s">
        <v>49</v>
      </c>
      <c r="X417" s="4">
        <v>11.3</v>
      </c>
      <c r="Y417">
        <v>13</v>
      </c>
      <c r="Z417" s="5">
        <v>389.41</v>
      </c>
    </row>
    <row r="418" spans="1:26">
      <c r="A418">
        <v>417</v>
      </c>
      <c r="B418">
        <v>131</v>
      </c>
      <c r="C418" s="2">
        <v>46167</v>
      </c>
      <c r="D418" t="s">
        <v>46</v>
      </c>
      <c r="E418">
        <v>5</v>
      </c>
      <c r="F418" s="3">
        <v>10.82</v>
      </c>
      <c r="G418" t="s">
        <v>27</v>
      </c>
      <c r="H418">
        <v>18</v>
      </c>
      <c r="I418" t="s">
        <v>28</v>
      </c>
      <c r="J418" s="4">
        <v>70.7</v>
      </c>
      <c r="K418" s="4">
        <v>212.2</v>
      </c>
      <c r="L418" s="4">
        <v>30.1</v>
      </c>
      <c r="M418">
        <v>12</v>
      </c>
      <c r="N418" t="s">
        <v>47</v>
      </c>
      <c r="O418">
        <v>5</v>
      </c>
      <c r="P418" s="4">
        <v>16.100000000000001</v>
      </c>
      <c r="Q418" t="s">
        <v>42</v>
      </c>
      <c r="R418">
        <v>0</v>
      </c>
      <c r="S418" t="s">
        <v>44</v>
      </c>
      <c r="T418">
        <v>0</v>
      </c>
      <c r="U418">
        <v>0</v>
      </c>
      <c r="V418" t="s">
        <v>32</v>
      </c>
      <c r="W418" t="s">
        <v>49</v>
      </c>
      <c r="X418" s="4">
        <v>8.5</v>
      </c>
      <c r="Y418">
        <v>5</v>
      </c>
      <c r="Z418" s="5">
        <v>187.85</v>
      </c>
    </row>
    <row r="419" spans="1:26">
      <c r="A419">
        <v>418</v>
      </c>
      <c r="B419">
        <v>131</v>
      </c>
      <c r="C419" s="2">
        <v>46167</v>
      </c>
      <c r="D419" t="s">
        <v>46</v>
      </c>
      <c r="E419">
        <v>5</v>
      </c>
      <c r="F419" s="3">
        <v>10.9</v>
      </c>
      <c r="G419" t="s">
        <v>27</v>
      </c>
      <c r="H419">
        <v>18</v>
      </c>
      <c r="I419" t="s">
        <v>34</v>
      </c>
      <c r="J419" s="4">
        <v>65.900000000000006</v>
      </c>
      <c r="K419" s="4">
        <v>201</v>
      </c>
      <c r="L419" s="4">
        <v>32.6</v>
      </c>
      <c r="M419">
        <v>13</v>
      </c>
      <c r="N419" t="s">
        <v>47</v>
      </c>
      <c r="O419">
        <v>5</v>
      </c>
      <c r="P419" s="4">
        <v>16.100000000000001</v>
      </c>
      <c r="Q419" t="s">
        <v>42</v>
      </c>
      <c r="R419">
        <v>0</v>
      </c>
      <c r="S419" t="s">
        <v>44</v>
      </c>
      <c r="T419">
        <v>0</v>
      </c>
      <c r="U419">
        <v>0</v>
      </c>
      <c r="V419" t="s">
        <v>32</v>
      </c>
      <c r="W419" t="s">
        <v>49</v>
      </c>
      <c r="X419" s="4">
        <v>4.8</v>
      </c>
      <c r="Y419">
        <v>1</v>
      </c>
      <c r="Z419" s="5">
        <v>84.18</v>
      </c>
    </row>
    <row r="420" spans="1:26">
      <c r="A420">
        <v>419</v>
      </c>
      <c r="B420">
        <v>131</v>
      </c>
      <c r="C420" s="2">
        <v>46167</v>
      </c>
      <c r="D420" t="s">
        <v>46</v>
      </c>
      <c r="E420">
        <v>5</v>
      </c>
      <c r="F420" s="3">
        <v>11.05</v>
      </c>
      <c r="G420" t="s">
        <v>36</v>
      </c>
      <c r="H420">
        <v>40</v>
      </c>
      <c r="I420" t="s">
        <v>28</v>
      </c>
      <c r="J420" s="4">
        <v>67.8</v>
      </c>
      <c r="K420" s="4">
        <v>207.1</v>
      </c>
      <c r="L420" s="4">
        <v>31.5</v>
      </c>
      <c r="M420">
        <v>14</v>
      </c>
      <c r="N420" t="s">
        <v>47</v>
      </c>
      <c r="O420">
        <v>5</v>
      </c>
      <c r="P420" s="4">
        <v>16.100000000000001</v>
      </c>
      <c r="Q420" t="s">
        <v>42</v>
      </c>
      <c r="R420">
        <v>0</v>
      </c>
      <c r="S420" t="s">
        <v>44</v>
      </c>
      <c r="T420">
        <v>0</v>
      </c>
      <c r="U420">
        <v>0</v>
      </c>
      <c r="V420" t="s">
        <v>32</v>
      </c>
      <c r="W420" t="s">
        <v>49</v>
      </c>
      <c r="X420" s="4">
        <v>7.5</v>
      </c>
      <c r="Y420">
        <v>5</v>
      </c>
      <c r="Z420" s="5">
        <v>162.49</v>
      </c>
    </row>
    <row r="421" spans="1:26">
      <c r="A421">
        <v>420</v>
      </c>
      <c r="B421">
        <v>131</v>
      </c>
      <c r="C421" s="2">
        <v>46167</v>
      </c>
      <c r="D421" t="s">
        <v>46</v>
      </c>
      <c r="E421">
        <v>5</v>
      </c>
      <c r="F421" s="3">
        <v>10.89</v>
      </c>
      <c r="G421" t="s">
        <v>27</v>
      </c>
      <c r="H421">
        <v>64</v>
      </c>
      <c r="I421" t="s">
        <v>28</v>
      </c>
      <c r="J421" s="4">
        <v>67.7</v>
      </c>
      <c r="K421" s="4">
        <v>169</v>
      </c>
      <c r="L421" s="4">
        <v>26.1</v>
      </c>
      <c r="M421">
        <v>17</v>
      </c>
      <c r="N421" t="s">
        <v>47</v>
      </c>
      <c r="O421">
        <v>5</v>
      </c>
      <c r="P421" s="4">
        <v>16.100000000000001</v>
      </c>
      <c r="Q421" t="s">
        <v>42</v>
      </c>
      <c r="R421">
        <v>0</v>
      </c>
      <c r="S421" t="s">
        <v>44</v>
      </c>
      <c r="T421">
        <v>0</v>
      </c>
      <c r="U421">
        <v>0</v>
      </c>
      <c r="V421" t="s">
        <v>32</v>
      </c>
      <c r="W421" t="s">
        <v>49</v>
      </c>
      <c r="X421" s="4">
        <v>8.5</v>
      </c>
      <c r="Y421">
        <v>9</v>
      </c>
      <c r="Z421" s="5">
        <v>226.26</v>
      </c>
    </row>
    <row r="422" spans="1:26">
      <c r="A422">
        <v>421</v>
      </c>
      <c r="B422">
        <v>131</v>
      </c>
      <c r="C422" s="2">
        <v>46167</v>
      </c>
      <c r="D422" t="s">
        <v>46</v>
      </c>
      <c r="E422">
        <v>5</v>
      </c>
      <c r="F422" s="3">
        <v>10.86</v>
      </c>
      <c r="G422" t="s">
        <v>27</v>
      </c>
      <c r="H422">
        <v>12</v>
      </c>
      <c r="I422" t="s">
        <v>28</v>
      </c>
      <c r="J422" s="4">
        <v>69</v>
      </c>
      <c r="K422" s="4">
        <v>134.6</v>
      </c>
      <c r="L422" s="4">
        <v>19.7</v>
      </c>
      <c r="M422">
        <v>15</v>
      </c>
      <c r="N422" t="s">
        <v>47</v>
      </c>
      <c r="O422">
        <v>5</v>
      </c>
      <c r="P422" s="4">
        <v>16.100000000000001</v>
      </c>
      <c r="Q422" t="s">
        <v>42</v>
      </c>
      <c r="R422">
        <v>0</v>
      </c>
      <c r="S422" t="s">
        <v>44</v>
      </c>
      <c r="T422">
        <v>0</v>
      </c>
      <c r="U422">
        <v>0</v>
      </c>
      <c r="V422" t="s">
        <v>32</v>
      </c>
      <c r="W422" t="s">
        <v>49</v>
      </c>
      <c r="X422" s="4">
        <v>6.1</v>
      </c>
      <c r="Y422">
        <v>12</v>
      </c>
      <c r="Z422" s="5">
        <v>235.58</v>
      </c>
    </row>
    <row r="423" spans="1:26">
      <c r="A423">
        <v>422</v>
      </c>
      <c r="B423">
        <v>132</v>
      </c>
      <c r="C423" s="2">
        <v>46227</v>
      </c>
      <c r="D423" t="s">
        <v>26</v>
      </c>
      <c r="E423">
        <v>7</v>
      </c>
      <c r="F423" s="3">
        <v>12.63</v>
      </c>
      <c r="G423" t="s">
        <v>36</v>
      </c>
      <c r="H423">
        <v>33</v>
      </c>
      <c r="I423" t="s">
        <v>28</v>
      </c>
      <c r="J423" s="4">
        <v>68.400000000000006</v>
      </c>
      <c r="K423" s="4">
        <v>167.3</v>
      </c>
      <c r="L423" s="4">
        <v>25</v>
      </c>
      <c r="M423">
        <v>12</v>
      </c>
      <c r="N423" t="s">
        <v>66</v>
      </c>
      <c r="O423">
        <v>5</v>
      </c>
      <c r="P423" s="4">
        <v>502.1</v>
      </c>
      <c r="Q423" t="s">
        <v>30</v>
      </c>
      <c r="R423">
        <v>0</v>
      </c>
      <c r="S423" t="s">
        <v>38</v>
      </c>
      <c r="T423">
        <v>1</v>
      </c>
      <c r="U423">
        <v>0</v>
      </c>
      <c r="V423" t="s">
        <v>32</v>
      </c>
      <c r="W423" t="s">
        <v>49</v>
      </c>
      <c r="X423" s="4">
        <v>5.9</v>
      </c>
      <c r="Y423">
        <v>2</v>
      </c>
      <c r="Z423" s="5">
        <v>64.05</v>
      </c>
    </row>
    <row r="424" spans="1:26">
      <c r="A424">
        <v>423</v>
      </c>
      <c r="B424">
        <v>132</v>
      </c>
      <c r="C424" s="2">
        <v>46227</v>
      </c>
      <c r="D424" t="s">
        <v>26</v>
      </c>
      <c r="E424">
        <v>7</v>
      </c>
      <c r="F424" s="3">
        <v>12.46</v>
      </c>
      <c r="G424" t="s">
        <v>36</v>
      </c>
      <c r="H424">
        <v>53</v>
      </c>
      <c r="I424" t="s">
        <v>28</v>
      </c>
      <c r="J424" s="4">
        <v>71</v>
      </c>
      <c r="K424" s="4">
        <v>235.6</v>
      </c>
      <c r="L424" s="4">
        <v>32.6</v>
      </c>
      <c r="M424">
        <v>14</v>
      </c>
      <c r="N424" t="s">
        <v>66</v>
      </c>
      <c r="O424">
        <v>5</v>
      </c>
      <c r="P424" s="4">
        <v>502.1</v>
      </c>
      <c r="Q424" t="s">
        <v>30</v>
      </c>
      <c r="R424">
        <v>0</v>
      </c>
      <c r="S424" t="s">
        <v>38</v>
      </c>
      <c r="T424">
        <v>1</v>
      </c>
      <c r="U424">
        <v>0</v>
      </c>
      <c r="V424" t="s">
        <v>32</v>
      </c>
      <c r="W424" t="s">
        <v>49</v>
      </c>
      <c r="X424" s="4">
        <v>7.8</v>
      </c>
      <c r="Y424">
        <v>6</v>
      </c>
      <c r="Z424" s="5">
        <v>156.44</v>
      </c>
    </row>
    <row r="425" spans="1:26">
      <c r="A425">
        <v>424</v>
      </c>
      <c r="B425">
        <v>132</v>
      </c>
      <c r="C425" s="2">
        <v>46227</v>
      </c>
      <c r="D425" t="s">
        <v>26</v>
      </c>
      <c r="E425">
        <v>7</v>
      </c>
      <c r="F425" s="3">
        <v>12.71</v>
      </c>
      <c r="G425" t="s">
        <v>36</v>
      </c>
      <c r="H425">
        <v>3</v>
      </c>
      <c r="I425" t="s">
        <v>28</v>
      </c>
      <c r="J425" s="4">
        <v>54.5</v>
      </c>
      <c r="K425" s="4">
        <v>79</v>
      </c>
      <c r="L425" s="4">
        <v>18.600000000000001</v>
      </c>
      <c r="M425">
        <v>10</v>
      </c>
      <c r="N425" t="s">
        <v>66</v>
      </c>
      <c r="O425">
        <v>5</v>
      </c>
      <c r="P425" s="4">
        <v>502.1</v>
      </c>
      <c r="Q425" t="s">
        <v>30</v>
      </c>
      <c r="R425">
        <v>0</v>
      </c>
      <c r="S425" t="s">
        <v>38</v>
      </c>
      <c r="T425">
        <v>1</v>
      </c>
      <c r="U425">
        <v>0</v>
      </c>
      <c r="V425" t="s">
        <v>32</v>
      </c>
      <c r="W425" t="s">
        <v>49</v>
      </c>
      <c r="X425" s="4">
        <v>7.7</v>
      </c>
      <c r="Y425">
        <v>9</v>
      </c>
      <c r="Z425" s="5">
        <v>100.91</v>
      </c>
    </row>
    <row r="426" spans="1:26">
      <c r="A426">
        <v>425</v>
      </c>
      <c r="B426">
        <v>132</v>
      </c>
      <c r="C426" s="2">
        <v>46227</v>
      </c>
      <c r="D426" t="s">
        <v>26</v>
      </c>
      <c r="E426">
        <v>7</v>
      </c>
      <c r="F426" s="3">
        <v>12.47</v>
      </c>
      <c r="G426" t="s">
        <v>36</v>
      </c>
      <c r="H426">
        <v>66</v>
      </c>
      <c r="I426" t="s">
        <v>34</v>
      </c>
      <c r="J426" s="4">
        <v>61.9</v>
      </c>
      <c r="K426" s="4">
        <v>135.9</v>
      </c>
      <c r="L426" s="4">
        <v>25</v>
      </c>
      <c r="M426">
        <v>15</v>
      </c>
      <c r="N426" t="s">
        <v>66</v>
      </c>
      <c r="O426">
        <v>5</v>
      </c>
      <c r="P426" s="4">
        <v>502.1</v>
      </c>
      <c r="Q426" t="s">
        <v>30</v>
      </c>
      <c r="R426">
        <v>0</v>
      </c>
      <c r="S426" t="s">
        <v>38</v>
      </c>
      <c r="T426">
        <v>1</v>
      </c>
      <c r="U426">
        <v>0</v>
      </c>
      <c r="V426" t="s">
        <v>32</v>
      </c>
      <c r="W426" t="s">
        <v>49</v>
      </c>
      <c r="X426" s="4">
        <v>7.9</v>
      </c>
      <c r="Y426">
        <v>12</v>
      </c>
      <c r="Z426" s="5">
        <v>237.05</v>
      </c>
    </row>
    <row r="427" spans="1:26">
      <c r="A427">
        <v>426</v>
      </c>
      <c r="B427">
        <v>132</v>
      </c>
      <c r="C427" s="2">
        <v>46227</v>
      </c>
      <c r="D427" t="s">
        <v>26</v>
      </c>
      <c r="E427">
        <v>7</v>
      </c>
      <c r="F427" s="3">
        <v>12.51</v>
      </c>
      <c r="G427" t="s">
        <v>36</v>
      </c>
      <c r="H427">
        <v>38</v>
      </c>
      <c r="I427" t="s">
        <v>28</v>
      </c>
      <c r="J427" s="4">
        <v>65.400000000000006</v>
      </c>
      <c r="K427" s="4">
        <v>117.1</v>
      </c>
      <c r="L427" s="4">
        <v>19.3</v>
      </c>
      <c r="M427">
        <v>14</v>
      </c>
      <c r="N427" t="s">
        <v>66</v>
      </c>
      <c r="O427">
        <v>5</v>
      </c>
      <c r="P427" s="4">
        <v>502.1</v>
      </c>
      <c r="Q427" t="s">
        <v>30</v>
      </c>
      <c r="R427">
        <v>0</v>
      </c>
      <c r="S427" t="s">
        <v>38</v>
      </c>
      <c r="T427">
        <v>1</v>
      </c>
      <c r="U427">
        <v>0</v>
      </c>
      <c r="V427" t="s">
        <v>32</v>
      </c>
      <c r="W427" t="s">
        <v>49</v>
      </c>
      <c r="X427" s="4">
        <v>6.9</v>
      </c>
      <c r="Y427">
        <v>13</v>
      </c>
      <c r="Z427" s="5">
        <v>221.7</v>
      </c>
    </row>
    <row r="428" spans="1:26">
      <c r="A428">
        <v>427</v>
      </c>
      <c r="B428">
        <v>133</v>
      </c>
      <c r="C428" s="2">
        <v>46250</v>
      </c>
      <c r="D428" t="s">
        <v>58</v>
      </c>
      <c r="E428">
        <v>8</v>
      </c>
      <c r="F428" s="3">
        <v>9.6999999999999993</v>
      </c>
      <c r="G428" t="s">
        <v>27</v>
      </c>
      <c r="H428">
        <v>70</v>
      </c>
      <c r="I428" t="s">
        <v>28</v>
      </c>
      <c r="J428" s="4">
        <v>65.900000000000006</v>
      </c>
      <c r="K428" s="4">
        <v>192.2</v>
      </c>
      <c r="L428" s="4">
        <v>31</v>
      </c>
      <c r="M428">
        <v>16</v>
      </c>
      <c r="N428" t="s">
        <v>56</v>
      </c>
      <c r="O428">
        <v>1</v>
      </c>
      <c r="P428" s="4">
        <v>328.2</v>
      </c>
      <c r="Q428" t="s">
        <v>30</v>
      </c>
      <c r="R428">
        <v>1</v>
      </c>
      <c r="S428" t="s">
        <v>44</v>
      </c>
      <c r="T428">
        <v>0</v>
      </c>
      <c r="U428">
        <v>0</v>
      </c>
      <c r="V428" t="s">
        <v>32</v>
      </c>
      <c r="W428" t="s">
        <v>39</v>
      </c>
      <c r="X428" s="4">
        <v>11.2</v>
      </c>
      <c r="Y428">
        <v>10</v>
      </c>
      <c r="Z428" s="5">
        <v>225.8</v>
      </c>
    </row>
    <row r="429" spans="1:26">
      <c r="A429">
        <v>428</v>
      </c>
      <c r="B429">
        <v>134</v>
      </c>
      <c r="C429" s="2">
        <v>46075</v>
      </c>
      <c r="D429" t="s">
        <v>58</v>
      </c>
      <c r="E429">
        <v>2</v>
      </c>
      <c r="F429" s="3">
        <v>10.96</v>
      </c>
      <c r="G429" t="s">
        <v>27</v>
      </c>
      <c r="H429">
        <v>42</v>
      </c>
      <c r="I429" t="s">
        <v>28</v>
      </c>
      <c r="J429" s="4">
        <v>68.599999999999994</v>
      </c>
      <c r="K429" s="4">
        <v>166.6</v>
      </c>
      <c r="L429" s="4">
        <v>24.8</v>
      </c>
      <c r="M429">
        <v>15</v>
      </c>
      <c r="N429" t="s">
        <v>59</v>
      </c>
      <c r="O429">
        <v>3</v>
      </c>
      <c r="P429" s="4">
        <v>815.1</v>
      </c>
      <c r="Q429" t="s">
        <v>42</v>
      </c>
      <c r="R429">
        <v>1</v>
      </c>
      <c r="S429" t="s">
        <v>31</v>
      </c>
      <c r="T429">
        <v>0</v>
      </c>
      <c r="U429">
        <v>0</v>
      </c>
      <c r="V429" t="s">
        <v>32</v>
      </c>
      <c r="W429" t="s">
        <v>49</v>
      </c>
      <c r="X429" s="4">
        <v>6.6</v>
      </c>
      <c r="Y429">
        <v>6</v>
      </c>
      <c r="Z429" s="5">
        <v>180.32</v>
      </c>
    </row>
    <row r="430" spans="1:26">
      <c r="A430">
        <v>429</v>
      </c>
      <c r="B430">
        <v>134</v>
      </c>
      <c r="C430" s="2">
        <v>46075</v>
      </c>
      <c r="D430" t="s">
        <v>58</v>
      </c>
      <c r="E430">
        <v>2</v>
      </c>
      <c r="F430" s="3">
        <v>10.83</v>
      </c>
      <c r="G430" t="s">
        <v>27</v>
      </c>
      <c r="H430">
        <v>8</v>
      </c>
      <c r="I430" t="s">
        <v>34</v>
      </c>
      <c r="J430" s="4">
        <v>62.7</v>
      </c>
      <c r="K430" s="4">
        <v>84.5</v>
      </c>
      <c r="L430" s="4">
        <v>14.6</v>
      </c>
      <c r="M430">
        <v>13</v>
      </c>
      <c r="N430" t="s">
        <v>59</v>
      </c>
      <c r="O430">
        <v>3</v>
      </c>
      <c r="P430" s="4">
        <v>815.1</v>
      </c>
      <c r="Q430" t="s">
        <v>42</v>
      </c>
      <c r="R430">
        <v>1</v>
      </c>
      <c r="S430" t="s">
        <v>31</v>
      </c>
      <c r="T430">
        <v>0</v>
      </c>
      <c r="U430">
        <v>0</v>
      </c>
      <c r="V430" t="s">
        <v>32</v>
      </c>
      <c r="W430" t="s">
        <v>49</v>
      </c>
      <c r="X430" s="4">
        <v>9.3000000000000007</v>
      </c>
      <c r="Y430">
        <v>11</v>
      </c>
      <c r="Z430" s="5">
        <v>373.41</v>
      </c>
    </row>
    <row r="431" spans="1:26">
      <c r="A431">
        <v>430</v>
      </c>
      <c r="B431">
        <v>134</v>
      </c>
      <c r="C431" s="2">
        <v>46075</v>
      </c>
      <c r="D431" t="s">
        <v>58</v>
      </c>
      <c r="E431">
        <v>2</v>
      </c>
      <c r="F431" s="3">
        <v>11</v>
      </c>
      <c r="G431" t="s">
        <v>27</v>
      </c>
      <c r="H431">
        <v>18</v>
      </c>
      <c r="I431" t="s">
        <v>28</v>
      </c>
      <c r="J431" s="4">
        <v>71.400000000000006</v>
      </c>
      <c r="K431" s="4">
        <v>164.4</v>
      </c>
      <c r="L431" s="4">
        <v>23</v>
      </c>
      <c r="M431">
        <v>12</v>
      </c>
      <c r="N431" t="s">
        <v>59</v>
      </c>
      <c r="O431">
        <v>3</v>
      </c>
      <c r="P431" s="4">
        <v>815.1</v>
      </c>
      <c r="Q431" t="s">
        <v>42</v>
      </c>
      <c r="R431">
        <v>1</v>
      </c>
      <c r="S431" t="s">
        <v>31</v>
      </c>
      <c r="T431">
        <v>0</v>
      </c>
      <c r="U431">
        <v>0</v>
      </c>
      <c r="V431" t="s">
        <v>32</v>
      </c>
      <c r="W431" t="s">
        <v>49</v>
      </c>
      <c r="X431" s="4">
        <v>9.5</v>
      </c>
      <c r="Y431">
        <v>7</v>
      </c>
      <c r="Z431" s="5">
        <v>178.81</v>
      </c>
    </row>
    <row r="432" spans="1:26">
      <c r="A432">
        <v>431</v>
      </c>
      <c r="B432">
        <v>135</v>
      </c>
      <c r="C432" s="2">
        <v>46036</v>
      </c>
      <c r="D432" t="s">
        <v>52</v>
      </c>
      <c r="E432">
        <v>1</v>
      </c>
      <c r="F432" s="3">
        <v>11.58</v>
      </c>
      <c r="G432" t="s">
        <v>36</v>
      </c>
      <c r="H432">
        <v>54</v>
      </c>
      <c r="I432" t="s">
        <v>34</v>
      </c>
      <c r="J432" s="4">
        <v>63.5</v>
      </c>
      <c r="K432" s="4">
        <v>142.1</v>
      </c>
      <c r="L432" s="4">
        <v>24.9</v>
      </c>
      <c r="M432">
        <v>13</v>
      </c>
      <c r="N432" t="s">
        <v>53</v>
      </c>
      <c r="O432">
        <v>2</v>
      </c>
      <c r="P432" s="4">
        <v>1079.5</v>
      </c>
      <c r="Q432" t="s">
        <v>30</v>
      </c>
      <c r="R432">
        <v>0</v>
      </c>
      <c r="S432" t="s">
        <v>44</v>
      </c>
      <c r="T432">
        <v>0</v>
      </c>
      <c r="U432">
        <v>0</v>
      </c>
      <c r="V432" t="s">
        <v>32</v>
      </c>
      <c r="W432" t="s">
        <v>43</v>
      </c>
      <c r="X432" s="4">
        <v>6.7</v>
      </c>
      <c r="Y432">
        <v>9</v>
      </c>
      <c r="Z432" s="5">
        <v>81.760000000000005</v>
      </c>
    </row>
    <row r="433" spans="1:26">
      <c r="A433">
        <v>432</v>
      </c>
      <c r="B433">
        <v>135</v>
      </c>
      <c r="C433" s="2">
        <v>46036</v>
      </c>
      <c r="D433" t="s">
        <v>52</v>
      </c>
      <c r="E433">
        <v>1</v>
      </c>
      <c r="F433" s="3">
        <v>11.36</v>
      </c>
      <c r="G433" t="s">
        <v>36</v>
      </c>
      <c r="H433">
        <v>48</v>
      </c>
      <c r="I433" t="s">
        <v>34</v>
      </c>
      <c r="J433" s="4">
        <v>57.5</v>
      </c>
      <c r="K433" s="4">
        <v>119.4</v>
      </c>
      <c r="L433" s="4">
        <v>25.4</v>
      </c>
      <c r="M433">
        <v>18</v>
      </c>
      <c r="N433" t="s">
        <v>53</v>
      </c>
      <c r="O433">
        <v>2</v>
      </c>
      <c r="P433" s="4">
        <v>1079.5</v>
      </c>
      <c r="Q433" t="s">
        <v>30</v>
      </c>
      <c r="R433">
        <v>0</v>
      </c>
      <c r="S433" t="s">
        <v>44</v>
      </c>
      <c r="T433">
        <v>0</v>
      </c>
      <c r="U433">
        <v>0</v>
      </c>
      <c r="V433" t="s">
        <v>32</v>
      </c>
      <c r="W433" t="s">
        <v>43</v>
      </c>
      <c r="X433" s="4">
        <v>7.4</v>
      </c>
      <c r="Y433">
        <v>8</v>
      </c>
      <c r="Z433" s="5">
        <v>125.45</v>
      </c>
    </row>
    <row r="434" spans="1:26">
      <c r="A434">
        <v>433</v>
      </c>
      <c r="B434">
        <v>136</v>
      </c>
      <c r="C434" s="2">
        <v>46333</v>
      </c>
      <c r="D434" t="s">
        <v>40</v>
      </c>
      <c r="E434">
        <v>11</v>
      </c>
      <c r="F434" s="3">
        <v>11.41</v>
      </c>
      <c r="G434" t="s">
        <v>36</v>
      </c>
      <c r="H434">
        <v>12</v>
      </c>
      <c r="I434" t="s">
        <v>34</v>
      </c>
      <c r="J434" s="4">
        <v>61.2</v>
      </c>
      <c r="K434" s="4">
        <v>116.6</v>
      </c>
      <c r="L434" s="4">
        <v>21.8</v>
      </c>
      <c r="M434">
        <v>12</v>
      </c>
      <c r="N434" t="s">
        <v>47</v>
      </c>
      <c r="O434">
        <v>5</v>
      </c>
      <c r="P434" s="4">
        <v>104.7</v>
      </c>
      <c r="Q434" t="s">
        <v>30</v>
      </c>
      <c r="R434">
        <v>1</v>
      </c>
      <c r="S434" t="s">
        <v>44</v>
      </c>
      <c r="T434">
        <v>0</v>
      </c>
      <c r="U434">
        <v>0</v>
      </c>
      <c r="V434" t="s">
        <v>32</v>
      </c>
      <c r="W434" t="s">
        <v>43</v>
      </c>
      <c r="X434" s="4">
        <v>8.8000000000000007</v>
      </c>
      <c r="Y434">
        <v>14</v>
      </c>
      <c r="Z434" s="5">
        <v>258.92</v>
      </c>
    </row>
    <row r="435" spans="1:26">
      <c r="A435">
        <v>434</v>
      </c>
      <c r="B435">
        <v>136</v>
      </c>
      <c r="C435" s="2">
        <v>46333</v>
      </c>
      <c r="D435" t="s">
        <v>40</v>
      </c>
      <c r="E435">
        <v>11</v>
      </c>
      <c r="F435" s="3">
        <v>11.27</v>
      </c>
      <c r="G435" t="s">
        <v>36</v>
      </c>
      <c r="H435">
        <v>31</v>
      </c>
      <c r="I435" t="s">
        <v>34</v>
      </c>
      <c r="J435" s="4">
        <v>63.3</v>
      </c>
      <c r="K435" s="4">
        <v>129.6</v>
      </c>
      <c r="L435" s="4">
        <v>22.8</v>
      </c>
      <c r="M435">
        <v>12</v>
      </c>
      <c r="N435" t="s">
        <v>47</v>
      </c>
      <c r="O435">
        <v>5</v>
      </c>
      <c r="P435" s="4">
        <v>104.7</v>
      </c>
      <c r="Q435" t="s">
        <v>30</v>
      </c>
      <c r="R435">
        <v>1</v>
      </c>
      <c r="S435" t="s">
        <v>44</v>
      </c>
      <c r="T435">
        <v>0</v>
      </c>
      <c r="U435">
        <v>0</v>
      </c>
      <c r="V435" t="s">
        <v>32</v>
      </c>
      <c r="W435" t="s">
        <v>43</v>
      </c>
      <c r="X435" s="4">
        <v>4.5</v>
      </c>
      <c r="Y435">
        <v>5</v>
      </c>
      <c r="Z435" s="5">
        <v>202.08</v>
      </c>
    </row>
    <row r="436" spans="1:26">
      <c r="A436">
        <v>435</v>
      </c>
      <c r="B436">
        <v>136</v>
      </c>
      <c r="C436" s="2">
        <v>46333</v>
      </c>
      <c r="D436" t="s">
        <v>40</v>
      </c>
      <c r="E436">
        <v>11</v>
      </c>
      <c r="F436" s="3">
        <v>11.44</v>
      </c>
      <c r="G436" t="s">
        <v>36</v>
      </c>
      <c r="H436">
        <v>5</v>
      </c>
      <c r="I436" t="s">
        <v>34</v>
      </c>
      <c r="J436" s="4">
        <v>56.2</v>
      </c>
      <c r="K436" s="4">
        <v>107</v>
      </c>
      <c r="L436" s="4">
        <v>23.8</v>
      </c>
      <c r="M436">
        <v>13</v>
      </c>
      <c r="N436" t="s">
        <v>47</v>
      </c>
      <c r="O436">
        <v>5</v>
      </c>
      <c r="P436" s="4">
        <v>104.7</v>
      </c>
      <c r="Q436" t="s">
        <v>30</v>
      </c>
      <c r="R436">
        <v>1</v>
      </c>
      <c r="S436" t="s">
        <v>44</v>
      </c>
      <c r="T436">
        <v>0</v>
      </c>
      <c r="U436">
        <v>0</v>
      </c>
      <c r="V436" t="s">
        <v>32</v>
      </c>
      <c r="W436" t="s">
        <v>43</v>
      </c>
      <c r="X436" s="4">
        <v>11.3</v>
      </c>
      <c r="Y436">
        <v>14</v>
      </c>
      <c r="Z436" s="5">
        <v>409.65</v>
      </c>
    </row>
    <row r="437" spans="1:26">
      <c r="A437">
        <v>436</v>
      </c>
      <c r="B437">
        <v>136</v>
      </c>
      <c r="C437" s="2">
        <v>46333</v>
      </c>
      <c r="D437" t="s">
        <v>40</v>
      </c>
      <c r="E437">
        <v>11</v>
      </c>
      <c r="F437" s="3">
        <v>11.13</v>
      </c>
      <c r="G437" t="s">
        <v>36</v>
      </c>
      <c r="H437">
        <v>42</v>
      </c>
      <c r="I437" t="s">
        <v>28</v>
      </c>
      <c r="J437" s="4">
        <v>64.099999999999994</v>
      </c>
      <c r="K437" s="4">
        <v>157.30000000000001</v>
      </c>
      <c r="L437" s="4">
        <v>26.9</v>
      </c>
      <c r="M437">
        <v>13</v>
      </c>
      <c r="N437" t="s">
        <v>47</v>
      </c>
      <c r="O437">
        <v>5</v>
      </c>
      <c r="P437" s="4">
        <v>104.7</v>
      </c>
      <c r="Q437" t="s">
        <v>30</v>
      </c>
      <c r="R437">
        <v>1</v>
      </c>
      <c r="S437" t="s">
        <v>44</v>
      </c>
      <c r="T437">
        <v>0</v>
      </c>
      <c r="U437">
        <v>0</v>
      </c>
      <c r="V437" t="s">
        <v>32</v>
      </c>
      <c r="W437" t="s">
        <v>43</v>
      </c>
      <c r="X437" s="4">
        <v>8.3000000000000007</v>
      </c>
      <c r="Y437">
        <v>5</v>
      </c>
      <c r="Z437" s="5">
        <v>148.13</v>
      </c>
    </row>
    <row r="438" spans="1:26">
      <c r="A438">
        <v>437</v>
      </c>
      <c r="B438">
        <v>136</v>
      </c>
      <c r="C438" s="2">
        <v>46333</v>
      </c>
      <c r="D438" t="s">
        <v>40</v>
      </c>
      <c r="E438">
        <v>11</v>
      </c>
      <c r="F438" s="3">
        <v>10.98</v>
      </c>
      <c r="G438" t="s">
        <v>27</v>
      </c>
      <c r="H438">
        <v>75</v>
      </c>
      <c r="I438" t="s">
        <v>28</v>
      </c>
      <c r="J438" s="4">
        <v>70.099999999999994</v>
      </c>
      <c r="K438" s="4">
        <v>226.4</v>
      </c>
      <c r="L438" s="4">
        <v>32.4</v>
      </c>
      <c r="M438">
        <v>13</v>
      </c>
      <c r="N438" t="s">
        <v>47</v>
      </c>
      <c r="O438">
        <v>5</v>
      </c>
      <c r="P438" s="4">
        <v>104.7</v>
      </c>
      <c r="Q438" t="s">
        <v>30</v>
      </c>
      <c r="R438">
        <v>1</v>
      </c>
      <c r="S438" t="s">
        <v>44</v>
      </c>
      <c r="T438">
        <v>0</v>
      </c>
      <c r="U438">
        <v>0</v>
      </c>
      <c r="V438" t="s">
        <v>32</v>
      </c>
      <c r="W438" t="s">
        <v>43</v>
      </c>
      <c r="X438" s="4">
        <v>10</v>
      </c>
      <c r="Y438">
        <v>12</v>
      </c>
      <c r="Z438" s="5">
        <v>164.96</v>
      </c>
    </row>
    <row r="439" spans="1:26">
      <c r="A439">
        <v>438</v>
      </c>
      <c r="B439">
        <v>137</v>
      </c>
      <c r="C439" s="2">
        <v>46234</v>
      </c>
      <c r="D439" t="s">
        <v>26</v>
      </c>
      <c r="E439">
        <v>7</v>
      </c>
      <c r="F439" s="3">
        <v>9.7799999999999994</v>
      </c>
      <c r="G439" t="s">
        <v>27</v>
      </c>
      <c r="H439">
        <v>61</v>
      </c>
      <c r="I439" t="s">
        <v>28</v>
      </c>
      <c r="J439" s="4">
        <v>70.599999999999994</v>
      </c>
      <c r="K439" s="4">
        <v>201.8</v>
      </c>
      <c r="L439" s="4">
        <v>28.4</v>
      </c>
      <c r="M439">
        <v>15</v>
      </c>
      <c r="N439" t="s">
        <v>56</v>
      </c>
      <c r="O439">
        <v>2</v>
      </c>
      <c r="P439" s="4">
        <v>230.2</v>
      </c>
      <c r="Q439" t="s">
        <v>42</v>
      </c>
      <c r="R439">
        <v>1</v>
      </c>
      <c r="S439" t="s">
        <v>44</v>
      </c>
      <c r="T439">
        <v>1</v>
      </c>
      <c r="U439">
        <v>0</v>
      </c>
      <c r="V439" t="s">
        <v>45</v>
      </c>
      <c r="W439" t="s">
        <v>49</v>
      </c>
      <c r="X439" s="4">
        <v>7.9</v>
      </c>
      <c r="Y439">
        <v>6</v>
      </c>
      <c r="Z439" s="5">
        <v>194.6</v>
      </c>
    </row>
    <row r="440" spans="1:26">
      <c r="A440">
        <v>439</v>
      </c>
      <c r="B440">
        <v>137</v>
      </c>
      <c r="C440" s="2">
        <v>46234</v>
      </c>
      <c r="D440" t="s">
        <v>26</v>
      </c>
      <c r="E440">
        <v>7</v>
      </c>
      <c r="F440" s="3">
        <v>9.9499999999999993</v>
      </c>
      <c r="G440" t="s">
        <v>27</v>
      </c>
      <c r="H440">
        <v>8</v>
      </c>
      <c r="I440" t="s">
        <v>34</v>
      </c>
      <c r="J440" s="4">
        <v>63.2</v>
      </c>
      <c r="K440" s="4">
        <v>116.7</v>
      </c>
      <c r="L440" s="4">
        <v>20.399999999999999</v>
      </c>
      <c r="M440">
        <v>13</v>
      </c>
      <c r="N440" t="s">
        <v>56</v>
      </c>
      <c r="O440">
        <v>2</v>
      </c>
      <c r="P440" s="4">
        <v>230.2</v>
      </c>
      <c r="Q440" t="s">
        <v>42</v>
      </c>
      <c r="R440">
        <v>1</v>
      </c>
      <c r="S440" t="s">
        <v>44</v>
      </c>
      <c r="T440">
        <v>1</v>
      </c>
      <c r="U440">
        <v>0</v>
      </c>
      <c r="V440" t="s">
        <v>45</v>
      </c>
      <c r="W440" t="s">
        <v>49</v>
      </c>
      <c r="X440" s="4">
        <v>9.1</v>
      </c>
      <c r="Y440">
        <v>7</v>
      </c>
      <c r="Z440" s="5">
        <v>210.96</v>
      </c>
    </row>
    <row r="441" spans="1:26">
      <c r="A441">
        <v>440</v>
      </c>
      <c r="B441">
        <v>138</v>
      </c>
      <c r="C441" s="2">
        <v>46272</v>
      </c>
      <c r="D441" t="s">
        <v>46</v>
      </c>
      <c r="E441">
        <v>9</v>
      </c>
      <c r="F441" s="3">
        <v>11.23</v>
      </c>
      <c r="G441" t="s">
        <v>36</v>
      </c>
      <c r="H441">
        <v>70</v>
      </c>
      <c r="I441" t="s">
        <v>28</v>
      </c>
      <c r="J441" s="4">
        <v>64</v>
      </c>
      <c r="K441" s="4">
        <v>157.69999999999999</v>
      </c>
      <c r="L441" s="4">
        <v>27.2</v>
      </c>
      <c r="M441">
        <v>19</v>
      </c>
      <c r="N441" t="s">
        <v>47</v>
      </c>
      <c r="O441">
        <v>4</v>
      </c>
      <c r="P441" s="4">
        <v>15.3</v>
      </c>
      <c r="Q441" t="s">
        <v>48</v>
      </c>
      <c r="R441">
        <v>1</v>
      </c>
      <c r="S441" t="s">
        <v>31</v>
      </c>
      <c r="T441">
        <v>1</v>
      </c>
      <c r="U441">
        <v>1</v>
      </c>
      <c r="V441" t="s">
        <v>32</v>
      </c>
      <c r="W441" t="s">
        <v>33</v>
      </c>
      <c r="X441" s="4">
        <v>8.9</v>
      </c>
      <c r="Y441">
        <v>8</v>
      </c>
      <c r="Z441" s="5">
        <v>320.45</v>
      </c>
    </row>
    <row r="442" spans="1:26">
      <c r="A442">
        <v>441</v>
      </c>
      <c r="B442">
        <v>138</v>
      </c>
      <c r="C442" s="2">
        <v>46272</v>
      </c>
      <c r="D442" t="s">
        <v>46</v>
      </c>
      <c r="E442">
        <v>9</v>
      </c>
      <c r="F442" s="3">
        <v>11.26</v>
      </c>
      <c r="G442" t="s">
        <v>36</v>
      </c>
      <c r="H442">
        <v>68</v>
      </c>
      <c r="I442" t="s">
        <v>28</v>
      </c>
      <c r="J442" s="4">
        <v>72.8</v>
      </c>
      <c r="K442" s="4">
        <v>212.8</v>
      </c>
      <c r="L442" s="4">
        <v>28</v>
      </c>
      <c r="M442">
        <v>20</v>
      </c>
      <c r="N442" t="s">
        <v>47</v>
      </c>
      <c r="O442">
        <v>4</v>
      </c>
      <c r="P442" s="4">
        <v>15.3</v>
      </c>
      <c r="Q442" t="s">
        <v>48</v>
      </c>
      <c r="R442">
        <v>1</v>
      </c>
      <c r="S442" t="s">
        <v>31</v>
      </c>
      <c r="T442">
        <v>1</v>
      </c>
      <c r="U442">
        <v>1</v>
      </c>
      <c r="V442" t="s">
        <v>32</v>
      </c>
      <c r="W442" t="s">
        <v>33</v>
      </c>
      <c r="X442" s="4">
        <v>6.7</v>
      </c>
      <c r="Y442">
        <v>11</v>
      </c>
      <c r="Z442" s="5">
        <v>314.10000000000002</v>
      </c>
    </row>
    <row r="443" spans="1:26">
      <c r="A443">
        <v>442</v>
      </c>
      <c r="B443">
        <v>138</v>
      </c>
      <c r="C443" s="2">
        <v>46272</v>
      </c>
      <c r="D443" t="s">
        <v>46</v>
      </c>
      <c r="E443">
        <v>9</v>
      </c>
      <c r="F443" s="3">
        <v>11.1</v>
      </c>
      <c r="G443" t="s">
        <v>36</v>
      </c>
      <c r="H443">
        <v>31</v>
      </c>
      <c r="I443" t="s">
        <v>34</v>
      </c>
      <c r="J443" s="4">
        <v>70.400000000000006</v>
      </c>
      <c r="K443" s="4">
        <v>232.6</v>
      </c>
      <c r="L443" s="4">
        <v>33.1</v>
      </c>
      <c r="M443">
        <v>17</v>
      </c>
      <c r="N443" t="s">
        <v>47</v>
      </c>
      <c r="O443">
        <v>4</v>
      </c>
      <c r="P443" s="4">
        <v>15.3</v>
      </c>
      <c r="Q443" t="s">
        <v>48</v>
      </c>
      <c r="R443">
        <v>1</v>
      </c>
      <c r="S443" t="s">
        <v>31</v>
      </c>
      <c r="T443">
        <v>1</v>
      </c>
      <c r="U443">
        <v>1</v>
      </c>
      <c r="V443" t="s">
        <v>32</v>
      </c>
      <c r="W443" t="s">
        <v>33</v>
      </c>
      <c r="X443" s="4">
        <v>8.5</v>
      </c>
      <c r="Y443">
        <v>10</v>
      </c>
      <c r="Z443" s="5">
        <v>325.73</v>
      </c>
    </row>
    <row r="444" spans="1:26">
      <c r="A444">
        <v>443</v>
      </c>
      <c r="B444">
        <v>138</v>
      </c>
      <c r="C444" s="2">
        <v>46272</v>
      </c>
      <c r="D444" t="s">
        <v>46</v>
      </c>
      <c r="E444">
        <v>9</v>
      </c>
      <c r="F444" s="3">
        <v>11.12</v>
      </c>
      <c r="G444" t="s">
        <v>36</v>
      </c>
      <c r="H444">
        <v>8</v>
      </c>
      <c r="I444" t="s">
        <v>34</v>
      </c>
      <c r="J444" s="4">
        <v>66.5</v>
      </c>
      <c r="K444" s="4">
        <v>117.2</v>
      </c>
      <c r="L444" s="4">
        <v>18.399999999999999</v>
      </c>
      <c r="M444">
        <v>11</v>
      </c>
      <c r="N444" t="s">
        <v>47</v>
      </c>
      <c r="O444">
        <v>4</v>
      </c>
      <c r="P444" s="4">
        <v>15.3</v>
      </c>
      <c r="Q444" t="s">
        <v>48</v>
      </c>
      <c r="R444">
        <v>1</v>
      </c>
      <c r="S444" t="s">
        <v>31</v>
      </c>
      <c r="T444">
        <v>1</v>
      </c>
      <c r="U444">
        <v>1</v>
      </c>
      <c r="V444" t="s">
        <v>32</v>
      </c>
      <c r="W444" t="s">
        <v>33</v>
      </c>
      <c r="X444" s="4">
        <v>8.1999999999999993</v>
      </c>
      <c r="Y444">
        <v>8</v>
      </c>
      <c r="Z444" s="5">
        <v>199.6</v>
      </c>
    </row>
    <row r="445" spans="1:26">
      <c r="A445">
        <v>444</v>
      </c>
      <c r="B445">
        <v>139</v>
      </c>
      <c r="C445" s="2">
        <v>46040</v>
      </c>
      <c r="D445" t="s">
        <v>58</v>
      </c>
      <c r="E445">
        <v>1</v>
      </c>
      <c r="F445" s="3">
        <v>11.11</v>
      </c>
      <c r="G445" t="s">
        <v>36</v>
      </c>
      <c r="H445">
        <v>12</v>
      </c>
      <c r="I445" t="s">
        <v>34</v>
      </c>
      <c r="J445" s="4">
        <v>66.900000000000006</v>
      </c>
      <c r="K445" s="4">
        <v>156.30000000000001</v>
      </c>
      <c r="L445" s="4">
        <v>24.5</v>
      </c>
      <c r="M445">
        <v>8</v>
      </c>
      <c r="N445" t="s">
        <v>47</v>
      </c>
      <c r="O445">
        <v>6</v>
      </c>
      <c r="P445" s="4">
        <v>77.8</v>
      </c>
      <c r="Q445" t="s">
        <v>30</v>
      </c>
      <c r="R445">
        <v>0</v>
      </c>
      <c r="S445" t="s">
        <v>44</v>
      </c>
      <c r="T445">
        <v>1</v>
      </c>
      <c r="U445">
        <v>0</v>
      </c>
      <c r="V445" t="s">
        <v>32</v>
      </c>
      <c r="W445" t="s">
        <v>57</v>
      </c>
      <c r="X445" s="4">
        <v>5.3</v>
      </c>
      <c r="Y445">
        <v>7</v>
      </c>
      <c r="Z445" s="5">
        <v>129.49</v>
      </c>
    </row>
    <row r="446" spans="1:26">
      <c r="A446">
        <v>445</v>
      </c>
      <c r="B446">
        <v>139</v>
      </c>
      <c r="C446" s="2">
        <v>46040</v>
      </c>
      <c r="D446" t="s">
        <v>58</v>
      </c>
      <c r="E446">
        <v>1</v>
      </c>
      <c r="F446" s="3">
        <v>11.18</v>
      </c>
      <c r="G446" t="s">
        <v>36</v>
      </c>
      <c r="H446">
        <v>55</v>
      </c>
      <c r="I446" t="s">
        <v>34</v>
      </c>
      <c r="J446" s="4">
        <v>58.9</v>
      </c>
      <c r="K446" s="4">
        <v>122.5</v>
      </c>
      <c r="L446" s="4">
        <v>25</v>
      </c>
      <c r="M446">
        <v>15</v>
      </c>
      <c r="N446" t="s">
        <v>47</v>
      </c>
      <c r="O446">
        <v>6</v>
      </c>
      <c r="P446" s="4">
        <v>77.8</v>
      </c>
      <c r="Q446" t="s">
        <v>30</v>
      </c>
      <c r="R446">
        <v>0</v>
      </c>
      <c r="S446" t="s">
        <v>44</v>
      </c>
      <c r="T446">
        <v>1</v>
      </c>
      <c r="U446">
        <v>0</v>
      </c>
      <c r="V446" t="s">
        <v>32</v>
      </c>
      <c r="W446" t="s">
        <v>57</v>
      </c>
      <c r="X446" s="4">
        <v>8.4</v>
      </c>
      <c r="Y446">
        <v>8</v>
      </c>
      <c r="Z446" s="5">
        <v>174.56</v>
      </c>
    </row>
    <row r="447" spans="1:26">
      <c r="A447">
        <v>446</v>
      </c>
      <c r="B447">
        <v>139</v>
      </c>
      <c r="C447" s="2">
        <v>46040</v>
      </c>
      <c r="D447" t="s">
        <v>58</v>
      </c>
      <c r="E447">
        <v>1</v>
      </c>
      <c r="F447" s="3">
        <v>11.16</v>
      </c>
      <c r="G447" t="s">
        <v>36</v>
      </c>
      <c r="H447">
        <v>50</v>
      </c>
      <c r="I447" t="s">
        <v>28</v>
      </c>
      <c r="J447" s="4">
        <v>69.5</v>
      </c>
      <c r="K447" s="4">
        <v>145.19999999999999</v>
      </c>
      <c r="L447" s="4">
        <v>21.2</v>
      </c>
      <c r="M447">
        <v>14</v>
      </c>
      <c r="N447" t="s">
        <v>47</v>
      </c>
      <c r="O447">
        <v>6</v>
      </c>
      <c r="P447" s="4">
        <v>77.8</v>
      </c>
      <c r="Q447" t="s">
        <v>30</v>
      </c>
      <c r="R447">
        <v>0</v>
      </c>
      <c r="S447" t="s">
        <v>44</v>
      </c>
      <c r="T447">
        <v>1</v>
      </c>
      <c r="U447">
        <v>0</v>
      </c>
      <c r="V447" t="s">
        <v>32</v>
      </c>
      <c r="W447" t="s">
        <v>57</v>
      </c>
      <c r="X447" s="4">
        <v>6.5</v>
      </c>
      <c r="Y447">
        <v>7</v>
      </c>
      <c r="Z447" s="5">
        <v>146.1</v>
      </c>
    </row>
    <row r="448" spans="1:26">
      <c r="A448">
        <v>447</v>
      </c>
      <c r="B448">
        <v>139</v>
      </c>
      <c r="C448" s="2">
        <v>46040</v>
      </c>
      <c r="D448" t="s">
        <v>58</v>
      </c>
      <c r="E448">
        <v>1</v>
      </c>
      <c r="F448" s="3">
        <v>11.37</v>
      </c>
      <c r="G448" t="s">
        <v>36</v>
      </c>
      <c r="H448">
        <v>20</v>
      </c>
      <c r="I448" t="s">
        <v>28</v>
      </c>
      <c r="J448" s="4">
        <v>68.3</v>
      </c>
      <c r="K448" s="4">
        <v>132</v>
      </c>
      <c r="L448" s="4">
        <v>19.899999999999999</v>
      </c>
      <c r="M448">
        <v>11</v>
      </c>
      <c r="N448" t="s">
        <v>47</v>
      </c>
      <c r="O448">
        <v>6</v>
      </c>
      <c r="P448" s="4">
        <v>77.8</v>
      </c>
      <c r="Q448" t="s">
        <v>30</v>
      </c>
      <c r="R448">
        <v>0</v>
      </c>
      <c r="S448" t="s">
        <v>44</v>
      </c>
      <c r="T448">
        <v>1</v>
      </c>
      <c r="U448">
        <v>0</v>
      </c>
      <c r="V448" t="s">
        <v>32</v>
      </c>
      <c r="W448" t="s">
        <v>57</v>
      </c>
      <c r="X448" s="4">
        <v>6.6</v>
      </c>
      <c r="Y448">
        <v>5</v>
      </c>
      <c r="Z448" s="5">
        <v>83.82</v>
      </c>
    </row>
    <row r="449" spans="1:26">
      <c r="A449">
        <v>448</v>
      </c>
      <c r="B449">
        <v>139</v>
      </c>
      <c r="C449" s="2">
        <v>46040</v>
      </c>
      <c r="D449" t="s">
        <v>58</v>
      </c>
      <c r="E449">
        <v>1</v>
      </c>
      <c r="F449" s="3">
        <v>11.06</v>
      </c>
      <c r="G449" t="s">
        <v>36</v>
      </c>
      <c r="H449">
        <v>37</v>
      </c>
      <c r="I449" t="s">
        <v>34</v>
      </c>
      <c r="J449" s="4">
        <v>65.3</v>
      </c>
      <c r="K449" s="4">
        <v>190.5</v>
      </c>
      <c r="L449" s="4">
        <v>31.6</v>
      </c>
      <c r="M449">
        <v>12</v>
      </c>
      <c r="N449" t="s">
        <v>47</v>
      </c>
      <c r="O449">
        <v>6</v>
      </c>
      <c r="P449" s="4">
        <v>77.8</v>
      </c>
      <c r="Q449" t="s">
        <v>30</v>
      </c>
      <c r="R449">
        <v>0</v>
      </c>
      <c r="S449" t="s">
        <v>44</v>
      </c>
      <c r="T449">
        <v>1</v>
      </c>
      <c r="U449">
        <v>0</v>
      </c>
      <c r="V449" t="s">
        <v>32</v>
      </c>
      <c r="W449" t="s">
        <v>57</v>
      </c>
      <c r="X449" s="4">
        <v>5.5</v>
      </c>
      <c r="Y449">
        <v>7</v>
      </c>
      <c r="Z449" s="5">
        <v>116.39</v>
      </c>
    </row>
    <row r="450" spans="1:26">
      <c r="A450">
        <v>449</v>
      </c>
      <c r="B450">
        <v>139</v>
      </c>
      <c r="C450" s="2">
        <v>46040</v>
      </c>
      <c r="D450" t="s">
        <v>58</v>
      </c>
      <c r="E450">
        <v>1</v>
      </c>
      <c r="F450" s="3">
        <v>11.23</v>
      </c>
      <c r="G450" t="s">
        <v>36</v>
      </c>
      <c r="H450">
        <v>36</v>
      </c>
      <c r="I450" t="s">
        <v>34</v>
      </c>
      <c r="J450" s="4">
        <v>65.7</v>
      </c>
      <c r="K450" s="4">
        <v>200.6</v>
      </c>
      <c r="L450" s="4">
        <v>32.6</v>
      </c>
      <c r="M450">
        <v>12</v>
      </c>
      <c r="N450" t="s">
        <v>47</v>
      </c>
      <c r="O450">
        <v>6</v>
      </c>
      <c r="P450" s="4">
        <v>77.8</v>
      </c>
      <c r="Q450" t="s">
        <v>30</v>
      </c>
      <c r="R450">
        <v>0</v>
      </c>
      <c r="S450" t="s">
        <v>44</v>
      </c>
      <c r="T450">
        <v>1</v>
      </c>
      <c r="U450">
        <v>0</v>
      </c>
      <c r="V450" t="s">
        <v>32</v>
      </c>
      <c r="W450" t="s">
        <v>57</v>
      </c>
      <c r="X450" s="4">
        <v>4.2</v>
      </c>
      <c r="Y450">
        <v>6</v>
      </c>
      <c r="Z450" s="5">
        <v>214.36</v>
      </c>
    </row>
    <row r="451" spans="1:26">
      <c r="A451">
        <v>450</v>
      </c>
      <c r="B451">
        <v>140</v>
      </c>
      <c r="C451" s="2">
        <v>46385</v>
      </c>
      <c r="D451" t="s">
        <v>35</v>
      </c>
      <c r="E451">
        <v>12</v>
      </c>
      <c r="F451" s="3">
        <v>10.51</v>
      </c>
      <c r="G451" t="s">
        <v>27</v>
      </c>
      <c r="H451">
        <v>71</v>
      </c>
      <c r="I451" t="s">
        <v>28</v>
      </c>
      <c r="J451" s="4">
        <v>75.8</v>
      </c>
      <c r="K451" s="4">
        <v>241.2</v>
      </c>
      <c r="L451" s="4">
        <v>29.5</v>
      </c>
      <c r="M451">
        <v>16</v>
      </c>
      <c r="N451" t="s">
        <v>59</v>
      </c>
      <c r="O451">
        <v>3</v>
      </c>
      <c r="P451" s="4">
        <v>846.2</v>
      </c>
      <c r="Q451" t="s">
        <v>42</v>
      </c>
      <c r="R451">
        <v>0</v>
      </c>
      <c r="S451" t="s">
        <v>44</v>
      </c>
      <c r="T451">
        <v>0</v>
      </c>
      <c r="U451">
        <v>1</v>
      </c>
      <c r="V451" t="s">
        <v>45</v>
      </c>
      <c r="W451" t="s">
        <v>33</v>
      </c>
      <c r="X451" s="4">
        <v>6.9</v>
      </c>
      <c r="Y451">
        <v>10</v>
      </c>
      <c r="Z451" s="5">
        <v>301.48</v>
      </c>
    </row>
    <row r="452" spans="1:26">
      <c r="A452">
        <v>451</v>
      </c>
      <c r="B452">
        <v>140</v>
      </c>
      <c r="C452" s="2">
        <v>46385</v>
      </c>
      <c r="D452" t="s">
        <v>35</v>
      </c>
      <c r="E452">
        <v>12</v>
      </c>
      <c r="F452" s="3">
        <v>10.65</v>
      </c>
      <c r="G452" t="s">
        <v>27</v>
      </c>
      <c r="H452">
        <v>52</v>
      </c>
      <c r="I452" t="s">
        <v>28</v>
      </c>
      <c r="J452" s="4">
        <v>74.599999999999994</v>
      </c>
      <c r="K452" s="4">
        <v>186.7</v>
      </c>
      <c r="L452" s="4">
        <v>23.5</v>
      </c>
      <c r="M452">
        <v>14</v>
      </c>
      <c r="N452" t="s">
        <v>59</v>
      </c>
      <c r="O452">
        <v>3</v>
      </c>
      <c r="P452" s="4">
        <v>846.2</v>
      </c>
      <c r="Q452" t="s">
        <v>42</v>
      </c>
      <c r="R452">
        <v>0</v>
      </c>
      <c r="S452" t="s">
        <v>44</v>
      </c>
      <c r="T452">
        <v>0</v>
      </c>
      <c r="U452">
        <v>1</v>
      </c>
      <c r="V452" t="s">
        <v>45</v>
      </c>
      <c r="W452" t="s">
        <v>33</v>
      </c>
      <c r="X452" s="4">
        <v>7.8</v>
      </c>
      <c r="Y452">
        <v>4</v>
      </c>
      <c r="Z452" s="5">
        <v>129.57</v>
      </c>
    </row>
    <row r="453" spans="1:26">
      <c r="A453">
        <v>452</v>
      </c>
      <c r="B453">
        <v>140</v>
      </c>
      <c r="C453" s="2">
        <v>46385</v>
      </c>
      <c r="D453" t="s">
        <v>35</v>
      </c>
      <c r="E453">
        <v>12</v>
      </c>
      <c r="F453" s="3">
        <v>10.6</v>
      </c>
      <c r="G453" t="s">
        <v>27</v>
      </c>
      <c r="H453">
        <v>18</v>
      </c>
      <c r="I453" t="s">
        <v>28</v>
      </c>
      <c r="J453" s="4">
        <v>65.8</v>
      </c>
      <c r="K453" s="4">
        <v>148.5</v>
      </c>
      <c r="L453" s="4">
        <v>24.3</v>
      </c>
      <c r="M453">
        <v>17</v>
      </c>
      <c r="N453" t="s">
        <v>59</v>
      </c>
      <c r="O453">
        <v>3</v>
      </c>
      <c r="P453" s="4">
        <v>846.2</v>
      </c>
      <c r="Q453" t="s">
        <v>42</v>
      </c>
      <c r="R453">
        <v>0</v>
      </c>
      <c r="S453" t="s">
        <v>44</v>
      </c>
      <c r="T453">
        <v>0</v>
      </c>
      <c r="U453">
        <v>1</v>
      </c>
      <c r="V453" t="s">
        <v>45</v>
      </c>
      <c r="W453" t="s">
        <v>33</v>
      </c>
      <c r="X453" s="4">
        <v>9.6</v>
      </c>
      <c r="Y453">
        <v>8</v>
      </c>
      <c r="Z453" s="5">
        <v>309.42</v>
      </c>
    </row>
    <row r="454" spans="1:26">
      <c r="A454">
        <v>453</v>
      </c>
      <c r="B454">
        <v>141</v>
      </c>
      <c r="C454" s="2">
        <v>46029</v>
      </c>
      <c r="D454" t="s">
        <v>52</v>
      </c>
      <c r="E454">
        <v>1</v>
      </c>
      <c r="F454" s="3">
        <v>10.17</v>
      </c>
      <c r="G454" t="s">
        <v>27</v>
      </c>
      <c r="H454">
        <v>25</v>
      </c>
      <c r="I454" t="s">
        <v>28</v>
      </c>
      <c r="J454" s="4">
        <v>72.5</v>
      </c>
      <c r="K454" s="4">
        <v>157.6</v>
      </c>
      <c r="L454" s="4">
        <v>20.9</v>
      </c>
      <c r="M454">
        <v>14</v>
      </c>
      <c r="N454" t="s">
        <v>61</v>
      </c>
      <c r="O454">
        <v>2</v>
      </c>
      <c r="P454" s="4">
        <v>1347.1</v>
      </c>
      <c r="Q454" t="s">
        <v>30</v>
      </c>
      <c r="R454">
        <v>0</v>
      </c>
      <c r="S454" t="s">
        <v>44</v>
      </c>
      <c r="T454">
        <v>1</v>
      </c>
      <c r="U454">
        <v>1</v>
      </c>
      <c r="V454" t="s">
        <v>32</v>
      </c>
      <c r="W454" t="s">
        <v>43</v>
      </c>
      <c r="X454" s="4">
        <v>8.6</v>
      </c>
      <c r="Y454">
        <v>5</v>
      </c>
      <c r="Z454" s="5">
        <v>200.79</v>
      </c>
    </row>
    <row r="455" spans="1:26">
      <c r="A455">
        <v>454</v>
      </c>
      <c r="B455">
        <v>141</v>
      </c>
      <c r="C455" s="2">
        <v>46029</v>
      </c>
      <c r="D455" t="s">
        <v>52</v>
      </c>
      <c r="E455">
        <v>1</v>
      </c>
      <c r="F455" s="3">
        <v>10.26</v>
      </c>
      <c r="G455" t="s">
        <v>27</v>
      </c>
      <c r="H455">
        <v>18</v>
      </c>
      <c r="I455" t="s">
        <v>28</v>
      </c>
      <c r="J455" s="4">
        <v>69.7</v>
      </c>
      <c r="K455" s="4">
        <v>172.4</v>
      </c>
      <c r="L455" s="4">
        <v>24.6</v>
      </c>
      <c r="M455">
        <v>9</v>
      </c>
      <c r="N455" t="s">
        <v>61</v>
      </c>
      <c r="O455">
        <v>2</v>
      </c>
      <c r="P455" s="4">
        <v>1347.1</v>
      </c>
      <c r="Q455" t="s">
        <v>30</v>
      </c>
      <c r="R455">
        <v>0</v>
      </c>
      <c r="S455" t="s">
        <v>44</v>
      </c>
      <c r="T455">
        <v>1</v>
      </c>
      <c r="U455">
        <v>1</v>
      </c>
      <c r="V455" t="s">
        <v>32</v>
      </c>
      <c r="W455" t="s">
        <v>43</v>
      </c>
      <c r="X455" s="4">
        <v>8.4</v>
      </c>
      <c r="Y455">
        <v>12</v>
      </c>
      <c r="Z455" s="5">
        <v>246.29</v>
      </c>
    </row>
    <row r="456" spans="1:26">
      <c r="A456">
        <v>455</v>
      </c>
      <c r="B456">
        <v>142</v>
      </c>
      <c r="C456" s="2">
        <v>46189</v>
      </c>
      <c r="D456" t="s">
        <v>35</v>
      </c>
      <c r="E456">
        <v>6</v>
      </c>
      <c r="F456" s="3">
        <v>14</v>
      </c>
      <c r="G456" t="s">
        <v>36</v>
      </c>
      <c r="H456">
        <v>51</v>
      </c>
      <c r="I456" t="s">
        <v>28</v>
      </c>
      <c r="J456" s="4">
        <v>69.900000000000006</v>
      </c>
      <c r="K456" s="4">
        <v>132.1</v>
      </c>
      <c r="L456" s="4">
        <v>18.899999999999999</v>
      </c>
      <c r="M456">
        <v>16</v>
      </c>
      <c r="N456" t="s">
        <v>53</v>
      </c>
      <c r="O456">
        <v>4</v>
      </c>
      <c r="P456" s="4">
        <v>726.8</v>
      </c>
      <c r="Q456" t="s">
        <v>48</v>
      </c>
      <c r="R456">
        <v>1</v>
      </c>
      <c r="S456" t="s">
        <v>44</v>
      </c>
      <c r="T456">
        <v>1</v>
      </c>
      <c r="U456">
        <v>0</v>
      </c>
      <c r="V456" t="s">
        <v>32</v>
      </c>
      <c r="W456" t="s">
        <v>43</v>
      </c>
      <c r="X456" s="4">
        <v>9.1999999999999993</v>
      </c>
      <c r="Y456">
        <v>8</v>
      </c>
      <c r="Z456" s="5">
        <v>347.64</v>
      </c>
    </row>
    <row r="457" spans="1:26">
      <c r="A457">
        <v>456</v>
      </c>
      <c r="B457">
        <v>142</v>
      </c>
      <c r="C457" s="2">
        <v>46189</v>
      </c>
      <c r="D457" t="s">
        <v>35</v>
      </c>
      <c r="E457">
        <v>6</v>
      </c>
      <c r="F457" s="3">
        <v>14</v>
      </c>
      <c r="G457" t="s">
        <v>36</v>
      </c>
      <c r="H457">
        <v>32</v>
      </c>
      <c r="I457" t="s">
        <v>34</v>
      </c>
      <c r="J457" s="4">
        <v>63.9</v>
      </c>
      <c r="K457" s="4">
        <v>155.30000000000001</v>
      </c>
      <c r="L457" s="4">
        <v>26.8</v>
      </c>
      <c r="M457">
        <v>14</v>
      </c>
      <c r="N457" t="s">
        <v>53</v>
      </c>
      <c r="O457">
        <v>4</v>
      </c>
      <c r="P457" s="4">
        <v>726.8</v>
      </c>
      <c r="Q457" t="s">
        <v>48</v>
      </c>
      <c r="R457">
        <v>1</v>
      </c>
      <c r="S457" t="s">
        <v>44</v>
      </c>
      <c r="T457">
        <v>1</v>
      </c>
      <c r="U457">
        <v>0</v>
      </c>
      <c r="V457" t="s">
        <v>32</v>
      </c>
      <c r="W457" t="s">
        <v>43</v>
      </c>
      <c r="X457" s="4">
        <v>6.9</v>
      </c>
      <c r="Y457">
        <v>6</v>
      </c>
      <c r="Z457" s="5">
        <v>263.20999999999998</v>
      </c>
    </row>
    <row r="458" spans="1:26">
      <c r="A458">
        <v>457</v>
      </c>
      <c r="B458">
        <v>142</v>
      </c>
      <c r="C458" s="2">
        <v>46189</v>
      </c>
      <c r="D458" t="s">
        <v>35</v>
      </c>
      <c r="E458">
        <v>6</v>
      </c>
      <c r="F458" s="3">
        <v>14.23</v>
      </c>
      <c r="G458" t="s">
        <v>36</v>
      </c>
      <c r="H458">
        <v>57</v>
      </c>
      <c r="I458" t="s">
        <v>28</v>
      </c>
      <c r="J458" s="4">
        <v>67.5</v>
      </c>
      <c r="K458" s="4">
        <v>135.6</v>
      </c>
      <c r="L458" s="4">
        <v>20.9</v>
      </c>
      <c r="M458">
        <v>16</v>
      </c>
      <c r="N458" t="s">
        <v>53</v>
      </c>
      <c r="O458">
        <v>4</v>
      </c>
      <c r="P458" s="4">
        <v>726.8</v>
      </c>
      <c r="Q458" t="s">
        <v>48</v>
      </c>
      <c r="R458">
        <v>1</v>
      </c>
      <c r="S458" t="s">
        <v>44</v>
      </c>
      <c r="T458">
        <v>1</v>
      </c>
      <c r="U458">
        <v>0</v>
      </c>
      <c r="V458" t="s">
        <v>32</v>
      </c>
      <c r="W458" t="s">
        <v>43</v>
      </c>
      <c r="X458" s="4">
        <v>5.5</v>
      </c>
      <c r="Y458">
        <v>8</v>
      </c>
      <c r="Z458" s="5">
        <v>189.82</v>
      </c>
    </row>
    <row r="459" spans="1:26">
      <c r="A459">
        <v>458</v>
      </c>
      <c r="B459">
        <v>142</v>
      </c>
      <c r="C459" s="2">
        <v>46189</v>
      </c>
      <c r="D459" t="s">
        <v>35</v>
      </c>
      <c r="E459">
        <v>6</v>
      </c>
      <c r="F459" s="3">
        <v>14.15</v>
      </c>
      <c r="G459" t="s">
        <v>36</v>
      </c>
      <c r="H459">
        <v>38</v>
      </c>
      <c r="I459" t="s">
        <v>34</v>
      </c>
      <c r="J459" s="4">
        <v>65.900000000000006</v>
      </c>
      <c r="K459" s="4">
        <v>208.6</v>
      </c>
      <c r="L459" s="4">
        <v>33.799999999999997</v>
      </c>
      <c r="M459">
        <v>18</v>
      </c>
      <c r="N459" t="s">
        <v>53</v>
      </c>
      <c r="O459">
        <v>4</v>
      </c>
      <c r="P459" s="4">
        <v>726.8</v>
      </c>
      <c r="Q459" t="s">
        <v>48</v>
      </c>
      <c r="R459">
        <v>1</v>
      </c>
      <c r="S459" t="s">
        <v>44</v>
      </c>
      <c r="T459">
        <v>1</v>
      </c>
      <c r="U459">
        <v>0</v>
      </c>
      <c r="V459" t="s">
        <v>32</v>
      </c>
      <c r="W459" t="s">
        <v>43</v>
      </c>
      <c r="X459" s="4">
        <v>8.6</v>
      </c>
      <c r="Y459">
        <v>10</v>
      </c>
      <c r="Z459" s="5">
        <v>204.86</v>
      </c>
    </row>
    <row r="460" spans="1:26">
      <c r="A460">
        <v>459</v>
      </c>
      <c r="B460">
        <v>143</v>
      </c>
      <c r="C460" s="2">
        <v>46028</v>
      </c>
      <c r="D460" t="s">
        <v>35</v>
      </c>
      <c r="E460">
        <v>1</v>
      </c>
      <c r="F460" s="3">
        <v>14.13</v>
      </c>
      <c r="G460" t="s">
        <v>36</v>
      </c>
      <c r="H460">
        <v>56</v>
      </c>
      <c r="I460" t="s">
        <v>34</v>
      </c>
      <c r="J460" s="4">
        <v>68.3</v>
      </c>
      <c r="K460" s="4">
        <v>120</v>
      </c>
      <c r="L460" s="4">
        <v>18.100000000000001</v>
      </c>
      <c r="M460">
        <v>19</v>
      </c>
      <c r="N460" t="s">
        <v>47</v>
      </c>
      <c r="O460">
        <v>3</v>
      </c>
      <c r="P460" s="4">
        <v>151.9</v>
      </c>
      <c r="Q460" t="s">
        <v>42</v>
      </c>
      <c r="R460">
        <v>0</v>
      </c>
      <c r="S460" t="s">
        <v>31</v>
      </c>
      <c r="T460">
        <v>1</v>
      </c>
      <c r="U460">
        <v>0</v>
      </c>
      <c r="V460" t="s">
        <v>32</v>
      </c>
      <c r="W460" t="s">
        <v>43</v>
      </c>
      <c r="X460" s="4">
        <v>7.5</v>
      </c>
      <c r="Y460">
        <v>6</v>
      </c>
      <c r="Z460" s="5">
        <v>303.31</v>
      </c>
    </row>
    <row r="461" spans="1:26">
      <c r="A461">
        <v>460</v>
      </c>
      <c r="B461">
        <v>143</v>
      </c>
      <c r="C461" s="2">
        <v>46028</v>
      </c>
      <c r="D461" t="s">
        <v>35</v>
      </c>
      <c r="E461">
        <v>1</v>
      </c>
      <c r="F461" s="3">
        <v>14.21</v>
      </c>
      <c r="G461" t="s">
        <v>36</v>
      </c>
      <c r="H461">
        <v>47</v>
      </c>
      <c r="I461" t="s">
        <v>34</v>
      </c>
      <c r="J461" s="4">
        <v>64.900000000000006</v>
      </c>
      <c r="K461" s="4">
        <v>136.4</v>
      </c>
      <c r="L461" s="4">
        <v>22.9</v>
      </c>
      <c r="M461">
        <v>17</v>
      </c>
      <c r="N461" t="s">
        <v>47</v>
      </c>
      <c r="O461">
        <v>3</v>
      </c>
      <c r="P461" s="4">
        <v>151.9</v>
      </c>
      <c r="Q461" t="s">
        <v>42</v>
      </c>
      <c r="R461">
        <v>0</v>
      </c>
      <c r="S461" t="s">
        <v>31</v>
      </c>
      <c r="T461">
        <v>1</v>
      </c>
      <c r="U461">
        <v>0</v>
      </c>
      <c r="V461" t="s">
        <v>32</v>
      </c>
      <c r="W461" t="s">
        <v>43</v>
      </c>
      <c r="X461" s="4">
        <v>7.9</v>
      </c>
      <c r="Y461">
        <v>9</v>
      </c>
      <c r="Z461" s="5">
        <v>272.68</v>
      </c>
    </row>
    <row r="462" spans="1:26">
      <c r="A462">
        <v>461</v>
      </c>
      <c r="B462">
        <v>143</v>
      </c>
      <c r="C462" s="2">
        <v>46028</v>
      </c>
      <c r="D462" t="s">
        <v>35</v>
      </c>
      <c r="E462">
        <v>1</v>
      </c>
      <c r="F462" s="3">
        <v>14.2</v>
      </c>
      <c r="G462" t="s">
        <v>36</v>
      </c>
      <c r="H462">
        <v>68</v>
      </c>
      <c r="I462" t="s">
        <v>34</v>
      </c>
      <c r="J462" s="4">
        <v>64.2</v>
      </c>
      <c r="K462" s="4">
        <v>171.6</v>
      </c>
      <c r="L462" s="4">
        <v>29.2</v>
      </c>
      <c r="M462">
        <v>16</v>
      </c>
      <c r="N462" t="s">
        <v>47</v>
      </c>
      <c r="O462">
        <v>3</v>
      </c>
      <c r="P462" s="4">
        <v>151.9</v>
      </c>
      <c r="Q462" t="s">
        <v>42</v>
      </c>
      <c r="R462">
        <v>0</v>
      </c>
      <c r="S462" t="s">
        <v>31</v>
      </c>
      <c r="T462">
        <v>1</v>
      </c>
      <c r="U462">
        <v>0</v>
      </c>
      <c r="V462" t="s">
        <v>32</v>
      </c>
      <c r="W462" t="s">
        <v>43</v>
      </c>
      <c r="X462" s="4">
        <v>6.6</v>
      </c>
      <c r="Y462">
        <v>7</v>
      </c>
      <c r="Z462" s="5">
        <v>140.34</v>
      </c>
    </row>
    <row r="463" spans="1:26">
      <c r="A463">
        <v>462</v>
      </c>
      <c r="B463">
        <v>144</v>
      </c>
      <c r="C463" s="2">
        <v>46307</v>
      </c>
      <c r="D463" t="s">
        <v>46</v>
      </c>
      <c r="E463">
        <v>10</v>
      </c>
      <c r="F463" s="3">
        <v>8.99</v>
      </c>
      <c r="G463" t="s">
        <v>27</v>
      </c>
      <c r="H463">
        <v>52</v>
      </c>
      <c r="I463" t="s">
        <v>34</v>
      </c>
      <c r="J463" s="4">
        <v>57.5</v>
      </c>
      <c r="K463" s="4">
        <v>109.6</v>
      </c>
      <c r="L463" s="4">
        <v>23.3</v>
      </c>
      <c r="M463">
        <v>18</v>
      </c>
      <c r="N463" t="s">
        <v>47</v>
      </c>
      <c r="O463">
        <v>3</v>
      </c>
      <c r="P463" s="4">
        <v>2</v>
      </c>
      <c r="Q463" t="s">
        <v>42</v>
      </c>
      <c r="R463">
        <v>0</v>
      </c>
      <c r="S463" t="s">
        <v>38</v>
      </c>
      <c r="T463">
        <v>1</v>
      </c>
      <c r="U463">
        <v>0</v>
      </c>
      <c r="V463" t="s">
        <v>32</v>
      </c>
      <c r="W463" t="s">
        <v>39</v>
      </c>
      <c r="X463" s="4">
        <v>10</v>
      </c>
      <c r="Y463">
        <v>10</v>
      </c>
      <c r="Z463" s="5">
        <v>138.41999999999999</v>
      </c>
    </row>
    <row r="464" spans="1:26">
      <c r="A464">
        <v>463</v>
      </c>
      <c r="B464">
        <v>144</v>
      </c>
      <c r="C464" s="2">
        <v>46307</v>
      </c>
      <c r="D464" t="s">
        <v>46</v>
      </c>
      <c r="E464">
        <v>10</v>
      </c>
      <c r="F464" s="3">
        <v>9.19</v>
      </c>
      <c r="G464" t="s">
        <v>27</v>
      </c>
      <c r="H464">
        <v>6</v>
      </c>
      <c r="I464" t="s">
        <v>28</v>
      </c>
      <c r="J464" s="4">
        <v>49.1</v>
      </c>
      <c r="K464" s="4">
        <v>72.3</v>
      </c>
      <c r="L464" s="4">
        <v>21.1</v>
      </c>
      <c r="M464">
        <v>14</v>
      </c>
      <c r="N464" t="s">
        <v>47</v>
      </c>
      <c r="O464">
        <v>3</v>
      </c>
      <c r="P464" s="4">
        <v>2</v>
      </c>
      <c r="Q464" t="s">
        <v>42</v>
      </c>
      <c r="R464">
        <v>0</v>
      </c>
      <c r="S464" t="s">
        <v>38</v>
      </c>
      <c r="T464">
        <v>1</v>
      </c>
      <c r="U464">
        <v>0</v>
      </c>
      <c r="V464" t="s">
        <v>32</v>
      </c>
      <c r="W464" t="s">
        <v>39</v>
      </c>
      <c r="X464" s="4">
        <v>6.7</v>
      </c>
      <c r="Y464">
        <v>13</v>
      </c>
      <c r="Z464" s="5">
        <v>212.16</v>
      </c>
    </row>
    <row r="465" spans="1:26">
      <c r="A465">
        <v>464</v>
      </c>
      <c r="B465">
        <v>144</v>
      </c>
      <c r="C465" s="2">
        <v>46307</v>
      </c>
      <c r="D465" t="s">
        <v>46</v>
      </c>
      <c r="E465">
        <v>10</v>
      </c>
      <c r="F465" s="3">
        <v>9.19</v>
      </c>
      <c r="G465" t="s">
        <v>27</v>
      </c>
      <c r="H465">
        <v>53</v>
      </c>
      <c r="I465" t="s">
        <v>34</v>
      </c>
      <c r="J465" s="4">
        <v>62.5</v>
      </c>
      <c r="K465" s="4">
        <v>149.69999999999999</v>
      </c>
      <c r="L465" s="4">
        <v>27.1</v>
      </c>
      <c r="M465">
        <v>17</v>
      </c>
      <c r="N465" t="s">
        <v>47</v>
      </c>
      <c r="O465">
        <v>3</v>
      </c>
      <c r="P465" s="4">
        <v>2</v>
      </c>
      <c r="Q465" t="s">
        <v>42</v>
      </c>
      <c r="R465">
        <v>0</v>
      </c>
      <c r="S465" t="s">
        <v>38</v>
      </c>
      <c r="T465">
        <v>1</v>
      </c>
      <c r="U465">
        <v>0</v>
      </c>
      <c r="V465" t="s">
        <v>32</v>
      </c>
      <c r="W465" t="s">
        <v>39</v>
      </c>
      <c r="X465" s="4">
        <v>6.7</v>
      </c>
      <c r="Y465">
        <v>9</v>
      </c>
      <c r="Z465" s="5">
        <v>215.7</v>
      </c>
    </row>
    <row r="466" spans="1:26">
      <c r="A466">
        <v>465</v>
      </c>
      <c r="B466">
        <v>145</v>
      </c>
      <c r="C466" s="2">
        <v>46254</v>
      </c>
      <c r="D466" t="s">
        <v>55</v>
      </c>
      <c r="E466">
        <v>8</v>
      </c>
      <c r="F466" s="3">
        <v>7.07</v>
      </c>
      <c r="G466" t="s">
        <v>27</v>
      </c>
      <c r="H466">
        <v>58</v>
      </c>
      <c r="I466" t="s">
        <v>34</v>
      </c>
      <c r="J466" s="4">
        <v>63.7</v>
      </c>
      <c r="K466" s="4">
        <v>135.5</v>
      </c>
      <c r="L466" s="4">
        <v>23.2</v>
      </c>
      <c r="M466">
        <v>15</v>
      </c>
      <c r="N466" t="s">
        <v>50</v>
      </c>
      <c r="O466">
        <v>1</v>
      </c>
      <c r="P466" s="4">
        <v>307.10000000000002</v>
      </c>
      <c r="Q466" t="s">
        <v>42</v>
      </c>
      <c r="R466">
        <v>1</v>
      </c>
      <c r="S466" t="s">
        <v>31</v>
      </c>
      <c r="T466">
        <v>1</v>
      </c>
      <c r="U466">
        <v>0</v>
      </c>
      <c r="V466" t="s">
        <v>32</v>
      </c>
      <c r="W466" t="s">
        <v>49</v>
      </c>
      <c r="X466" s="4">
        <v>10.4</v>
      </c>
      <c r="Y466">
        <v>13</v>
      </c>
      <c r="Z466" s="5">
        <v>207.45</v>
      </c>
    </row>
    <row r="467" spans="1:26">
      <c r="A467">
        <v>466</v>
      </c>
      <c r="B467">
        <v>146</v>
      </c>
      <c r="C467" s="2">
        <v>46023</v>
      </c>
      <c r="D467" t="s">
        <v>55</v>
      </c>
      <c r="E467">
        <v>1</v>
      </c>
      <c r="F467" s="3">
        <v>9.61</v>
      </c>
      <c r="G467" t="s">
        <v>27</v>
      </c>
      <c r="H467">
        <v>46</v>
      </c>
      <c r="I467" t="s">
        <v>28</v>
      </c>
      <c r="J467" s="4">
        <v>73.7</v>
      </c>
      <c r="K467" s="4">
        <v>202.6</v>
      </c>
      <c r="L467" s="4">
        <v>26.3</v>
      </c>
      <c r="M467">
        <v>12</v>
      </c>
      <c r="N467" t="s">
        <v>47</v>
      </c>
      <c r="O467">
        <v>6</v>
      </c>
      <c r="P467" s="4">
        <v>67.7</v>
      </c>
      <c r="Q467" t="s">
        <v>30</v>
      </c>
      <c r="R467">
        <v>1</v>
      </c>
      <c r="S467" t="s">
        <v>44</v>
      </c>
      <c r="T467">
        <v>0</v>
      </c>
      <c r="U467">
        <v>0</v>
      </c>
      <c r="V467" t="s">
        <v>32</v>
      </c>
      <c r="W467" t="s">
        <v>43</v>
      </c>
      <c r="X467" s="4">
        <v>8.6999999999999993</v>
      </c>
      <c r="Y467">
        <v>7</v>
      </c>
      <c r="Z467" s="5">
        <v>203.35</v>
      </c>
    </row>
    <row r="468" spans="1:26">
      <c r="A468">
        <v>467</v>
      </c>
      <c r="B468">
        <v>146</v>
      </c>
      <c r="C468" s="2">
        <v>46023</v>
      </c>
      <c r="D468" t="s">
        <v>55</v>
      </c>
      <c r="E468">
        <v>1</v>
      </c>
      <c r="F468" s="3">
        <v>9.82</v>
      </c>
      <c r="G468" t="s">
        <v>27</v>
      </c>
      <c r="H468">
        <v>18</v>
      </c>
      <c r="I468" t="s">
        <v>34</v>
      </c>
      <c r="J468" s="4">
        <v>61.7</v>
      </c>
      <c r="K468" s="4">
        <v>89.2</v>
      </c>
      <c r="L468" s="4">
        <v>16.399999999999999</v>
      </c>
      <c r="M468">
        <v>9</v>
      </c>
      <c r="N468" t="s">
        <v>47</v>
      </c>
      <c r="O468">
        <v>6</v>
      </c>
      <c r="P468" s="4">
        <v>67.7</v>
      </c>
      <c r="Q468" t="s">
        <v>30</v>
      </c>
      <c r="R468">
        <v>1</v>
      </c>
      <c r="S468" t="s">
        <v>44</v>
      </c>
      <c r="T468">
        <v>0</v>
      </c>
      <c r="U468">
        <v>0</v>
      </c>
      <c r="V468" t="s">
        <v>32</v>
      </c>
      <c r="W468" t="s">
        <v>43</v>
      </c>
      <c r="X468" s="4">
        <v>9.1</v>
      </c>
      <c r="Y468">
        <v>11</v>
      </c>
      <c r="Z468" s="5">
        <v>196.84</v>
      </c>
    </row>
    <row r="469" spans="1:26">
      <c r="A469">
        <v>468</v>
      </c>
      <c r="B469">
        <v>146</v>
      </c>
      <c r="C469" s="2">
        <v>46023</v>
      </c>
      <c r="D469" t="s">
        <v>55</v>
      </c>
      <c r="E469">
        <v>1</v>
      </c>
      <c r="F469" s="3">
        <v>10.01</v>
      </c>
      <c r="G469" t="s">
        <v>27</v>
      </c>
      <c r="H469">
        <v>20</v>
      </c>
      <c r="I469" t="s">
        <v>34</v>
      </c>
      <c r="J469" s="4">
        <v>65.599999999999994</v>
      </c>
      <c r="K469" s="4">
        <v>153.6</v>
      </c>
      <c r="L469" s="4">
        <v>25.1</v>
      </c>
      <c r="M469">
        <v>11</v>
      </c>
      <c r="N469" t="s">
        <v>47</v>
      </c>
      <c r="O469">
        <v>6</v>
      </c>
      <c r="P469" s="4">
        <v>67.7</v>
      </c>
      <c r="Q469" t="s">
        <v>30</v>
      </c>
      <c r="R469">
        <v>1</v>
      </c>
      <c r="S469" t="s">
        <v>44</v>
      </c>
      <c r="T469">
        <v>0</v>
      </c>
      <c r="U469">
        <v>0</v>
      </c>
      <c r="V469" t="s">
        <v>32</v>
      </c>
      <c r="W469" t="s">
        <v>43</v>
      </c>
      <c r="X469" s="4">
        <v>7.9</v>
      </c>
      <c r="Y469">
        <v>10</v>
      </c>
      <c r="Z469" s="5">
        <v>105.01</v>
      </c>
    </row>
    <row r="470" spans="1:26">
      <c r="A470">
        <v>469</v>
      </c>
      <c r="B470">
        <v>146</v>
      </c>
      <c r="C470" s="2">
        <v>46023</v>
      </c>
      <c r="D470" t="s">
        <v>55</v>
      </c>
      <c r="E470">
        <v>1</v>
      </c>
      <c r="F470" s="3">
        <v>9.8000000000000007</v>
      </c>
      <c r="G470" t="s">
        <v>27</v>
      </c>
      <c r="H470">
        <v>50</v>
      </c>
      <c r="I470" t="s">
        <v>34</v>
      </c>
      <c r="J470" s="4">
        <v>60.1</v>
      </c>
      <c r="K470" s="4">
        <v>172</v>
      </c>
      <c r="L470" s="4">
        <v>33.200000000000003</v>
      </c>
      <c r="M470">
        <v>15</v>
      </c>
      <c r="N470" t="s">
        <v>47</v>
      </c>
      <c r="O470">
        <v>6</v>
      </c>
      <c r="P470" s="4">
        <v>67.7</v>
      </c>
      <c r="Q470" t="s">
        <v>30</v>
      </c>
      <c r="R470">
        <v>1</v>
      </c>
      <c r="S470" t="s">
        <v>44</v>
      </c>
      <c r="T470">
        <v>0</v>
      </c>
      <c r="U470">
        <v>0</v>
      </c>
      <c r="V470" t="s">
        <v>32</v>
      </c>
      <c r="W470" t="s">
        <v>43</v>
      </c>
      <c r="X470" s="4">
        <v>10.199999999999999</v>
      </c>
      <c r="Y470">
        <v>17</v>
      </c>
      <c r="Z470" s="5">
        <v>238.89</v>
      </c>
    </row>
    <row r="471" spans="1:26">
      <c r="A471">
        <v>470</v>
      </c>
      <c r="B471">
        <v>146</v>
      </c>
      <c r="C471" s="2">
        <v>46023</v>
      </c>
      <c r="D471" t="s">
        <v>55</v>
      </c>
      <c r="E471">
        <v>1</v>
      </c>
      <c r="F471" s="3">
        <v>9.82</v>
      </c>
      <c r="G471" t="s">
        <v>27</v>
      </c>
      <c r="H471">
        <v>39</v>
      </c>
      <c r="I471" t="s">
        <v>28</v>
      </c>
      <c r="J471" s="4">
        <v>70.8</v>
      </c>
      <c r="K471" s="4">
        <v>229.3</v>
      </c>
      <c r="L471" s="4">
        <v>32.5</v>
      </c>
      <c r="M471">
        <v>12</v>
      </c>
      <c r="N471" t="s">
        <v>47</v>
      </c>
      <c r="O471">
        <v>6</v>
      </c>
      <c r="P471" s="4">
        <v>67.7</v>
      </c>
      <c r="Q471" t="s">
        <v>30</v>
      </c>
      <c r="R471">
        <v>1</v>
      </c>
      <c r="S471" t="s">
        <v>44</v>
      </c>
      <c r="T471">
        <v>0</v>
      </c>
      <c r="U471">
        <v>0</v>
      </c>
      <c r="V471" t="s">
        <v>32</v>
      </c>
      <c r="W471" t="s">
        <v>43</v>
      </c>
      <c r="X471" s="4">
        <v>10.3</v>
      </c>
      <c r="Y471">
        <v>13</v>
      </c>
      <c r="Z471" s="5">
        <v>310.24</v>
      </c>
    </row>
    <row r="472" spans="1:26">
      <c r="A472">
        <v>471</v>
      </c>
      <c r="B472">
        <v>146</v>
      </c>
      <c r="C472" s="2">
        <v>46023</v>
      </c>
      <c r="D472" t="s">
        <v>55</v>
      </c>
      <c r="E472">
        <v>1</v>
      </c>
      <c r="F472" s="3">
        <v>9.5399999999999991</v>
      </c>
      <c r="G472" t="s">
        <v>27</v>
      </c>
      <c r="H472">
        <v>9</v>
      </c>
      <c r="I472" t="s">
        <v>28</v>
      </c>
      <c r="J472" s="4">
        <v>59.2</v>
      </c>
      <c r="K472" s="4">
        <v>132.19999999999999</v>
      </c>
      <c r="L472" s="4">
        <v>26.4</v>
      </c>
      <c r="M472">
        <v>10</v>
      </c>
      <c r="N472" t="s">
        <v>47</v>
      </c>
      <c r="O472">
        <v>6</v>
      </c>
      <c r="P472" s="4">
        <v>67.7</v>
      </c>
      <c r="Q472" t="s">
        <v>30</v>
      </c>
      <c r="R472">
        <v>1</v>
      </c>
      <c r="S472" t="s">
        <v>44</v>
      </c>
      <c r="T472">
        <v>0</v>
      </c>
      <c r="U472">
        <v>0</v>
      </c>
      <c r="V472" t="s">
        <v>32</v>
      </c>
      <c r="W472" t="s">
        <v>43</v>
      </c>
      <c r="X472" s="4">
        <v>8.6999999999999993</v>
      </c>
      <c r="Y472">
        <v>8</v>
      </c>
      <c r="Z472" s="5">
        <v>257.81</v>
      </c>
    </row>
    <row r="473" spans="1:26">
      <c r="A473">
        <v>472</v>
      </c>
      <c r="B473">
        <v>147</v>
      </c>
      <c r="C473" s="2">
        <v>46117</v>
      </c>
      <c r="D473" t="s">
        <v>58</v>
      </c>
      <c r="E473">
        <v>4</v>
      </c>
      <c r="F473" s="3">
        <v>12.24</v>
      </c>
      <c r="G473" t="s">
        <v>36</v>
      </c>
      <c r="H473">
        <v>13</v>
      </c>
      <c r="I473" t="s">
        <v>34</v>
      </c>
      <c r="J473" s="4">
        <v>63.2</v>
      </c>
      <c r="K473" s="4">
        <v>92.2</v>
      </c>
      <c r="L473" s="4">
        <v>16.3</v>
      </c>
      <c r="M473">
        <v>13</v>
      </c>
      <c r="N473" t="s">
        <v>47</v>
      </c>
      <c r="O473">
        <v>3</v>
      </c>
      <c r="P473" s="4">
        <v>91.4</v>
      </c>
      <c r="Q473" t="s">
        <v>48</v>
      </c>
      <c r="R473">
        <v>0</v>
      </c>
      <c r="S473" t="s">
        <v>44</v>
      </c>
      <c r="T473">
        <v>1</v>
      </c>
      <c r="U473">
        <v>0</v>
      </c>
      <c r="V473" t="s">
        <v>32</v>
      </c>
      <c r="W473" t="s">
        <v>49</v>
      </c>
      <c r="X473" s="4">
        <v>8.1</v>
      </c>
      <c r="Y473">
        <v>5</v>
      </c>
      <c r="Z473" s="5">
        <v>181.75</v>
      </c>
    </row>
    <row r="474" spans="1:26">
      <c r="A474">
        <v>473</v>
      </c>
      <c r="B474">
        <v>147</v>
      </c>
      <c r="C474" s="2">
        <v>46117</v>
      </c>
      <c r="D474" t="s">
        <v>58</v>
      </c>
      <c r="E474">
        <v>4</v>
      </c>
      <c r="F474" s="3">
        <v>12.37</v>
      </c>
      <c r="G474" t="s">
        <v>36</v>
      </c>
      <c r="H474">
        <v>66</v>
      </c>
      <c r="I474" t="s">
        <v>28</v>
      </c>
      <c r="J474" s="4">
        <v>71.900000000000006</v>
      </c>
      <c r="K474" s="4">
        <v>168.8</v>
      </c>
      <c r="L474" s="4">
        <v>23.1</v>
      </c>
      <c r="M474">
        <v>19</v>
      </c>
      <c r="N474" t="s">
        <v>47</v>
      </c>
      <c r="O474">
        <v>3</v>
      </c>
      <c r="P474" s="4">
        <v>91.4</v>
      </c>
      <c r="Q474" t="s">
        <v>48</v>
      </c>
      <c r="R474">
        <v>0</v>
      </c>
      <c r="S474" t="s">
        <v>44</v>
      </c>
      <c r="T474">
        <v>1</v>
      </c>
      <c r="U474">
        <v>0</v>
      </c>
      <c r="V474" t="s">
        <v>32</v>
      </c>
      <c r="W474" t="s">
        <v>49</v>
      </c>
      <c r="X474" s="4">
        <v>4</v>
      </c>
      <c r="Y474">
        <v>9</v>
      </c>
      <c r="Z474" s="5">
        <v>333.6</v>
      </c>
    </row>
    <row r="475" spans="1:26">
      <c r="A475">
        <v>474</v>
      </c>
      <c r="B475">
        <v>147</v>
      </c>
      <c r="C475" s="2">
        <v>46117</v>
      </c>
      <c r="D475" t="s">
        <v>58</v>
      </c>
      <c r="E475">
        <v>4</v>
      </c>
      <c r="F475" s="3">
        <v>12.25</v>
      </c>
      <c r="G475" t="s">
        <v>36</v>
      </c>
      <c r="H475">
        <v>64</v>
      </c>
      <c r="I475" t="s">
        <v>28</v>
      </c>
      <c r="J475" s="4">
        <v>70.599999999999994</v>
      </c>
      <c r="K475" s="4">
        <v>152</v>
      </c>
      <c r="L475" s="4">
        <v>21.7</v>
      </c>
      <c r="M475">
        <v>21</v>
      </c>
      <c r="N475" t="s">
        <v>47</v>
      </c>
      <c r="O475">
        <v>3</v>
      </c>
      <c r="P475" s="4">
        <v>91.4</v>
      </c>
      <c r="Q475" t="s">
        <v>48</v>
      </c>
      <c r="R475">
        <v>0</v>
      </c>
      <c r="S475" t="s">
        <v>44</v>
      </c>
      <c r="T475">
        <v>1</v>
      </c>
      <c r="U475">
        <v>0</v>
      </c>
      <c r="V475" t="s">
        <v>32</v>
      </c>
      <c r="W475" t="s">
        <v>49</v>
      </c>
      <c r="X475" s="4">
        <v>7.6</v>
      </c>
      <c r="Y475">
        <v>7</v>
      </c>
      <c r="Z475" s="5">
        <v>152.74</v>
      </c>
    </row>
    <row r="476" spans="1:26">
      <c r="A476">
        <v>475</v>
      </c>
      <c r="B476">
        <v>148</v>
      </c>
      <c r="C476" s="2">
        <v>46169</v>
      </c>
      <c r="D476" t="s">
        <v>52</v>
      </c>
      <c r="E476">
        <v>5</v>
      </c>
      <c r="F476" s="3">
        <v>8.73</v>
      </c>
      <c r="G476" t="s">
        <v>27</v>
      </c>
      <c r="H476">
        <v>8</v>
      </c>
      <c r="I476" t="s">
        <v>28</v>
      </c>
      <c r="J476" s="4">
        <v>59</v>
      </c>
      <c r="K476" s="4">
        <v>118.5</v>
      </c>
      <c r="L476" s="4">
        <v>24.1</v>
      </c>
      <c r="M476">
        <v>12</v>
      </c>
      <c r="N476" t="s">
        <v>61</v>
      </c>
      <c r="O476">
        <v>1</v>
      </c>
      <c r="P476" s="4">
        <v>745.5</v>
      </c>
      <c r="Q476" t="s">
        <v>48</v>
      </c>
      <c r="R476">
        <v>1</v>
      </c>
      <c r="S476" t="s">
        <v>44</v>
      </c>
      <c r="T476">
        <v>0</v>
      </c>
      <c r="U476">
        <v>1</v>
      </c>
      <c r="V476" t="s">
        <v>45</v>
      </c>
      <c r="W476" t="s">
        <v>43</v>
      </c>
      <c r="X476" s="4">
        <v>9</v>
      </c>
      <c r="Y476">
        <v>7</v>
      </c>
      <c r="Z476" s="5">
        <v>278.12</v>
      </c>
    </row>
    <row r="477" spans="1:26">
      <c r="A477">
        <v>476</v>
      </c>
      <c r="B477">
        <v>149</v>
      </c>
      <c r="C477" s="2">
        <v>46112</v>
      </c>
      <c r="D477" t="s">
        <v>35</v>
      </c>
      <c r="E477">
        <v>3</v>
      </c>
      <c r="F477" s="3">
        <v>8.09</v>
      </c>
      <c r="G477" t="s">
        <v>27</v>
      </c>
      <c r="H477">
        <v>45</v>
      </c>
      <c r="I477" t="s">
        <v>28</v>
      </c>
      <c r="J477" s="4">
        <v>74.400000000000006</v>
      </c>
      <c r="K477" s="4">
        <v>201.7</v>
      </c>
      <c r="L477" s="4">
        <v>25.6</v>
      </c>
      <c r="M477">
        <v>15</v>
      </c>
      <c r="N477" t="s">
        <v>65</v>
      </c>
      <c r="O477">
        <v>2</v>
      </c>
      <c r="P477" s="4">
        <v>1969.8</v>
      </c>
      <c r="Q477" t="s">
        <v>30</v>
      </c>
      <c r="R477">
        <v>1</v>
      </c>
      <c r="S477" t="s">
        <v>44</v>
      </c>
      <c r="T477">
        <v>1</v>
      </c>
      <c r="U477">
        <v>1</v>
      </c>
      <c r="V477" t="s">
        <v>32</v>
      </c>
      <c r="W477" t="s">
        <v>39</v>
      </c>
      <c r="X477" s="4">
        <v>12</v>
      </c>
      <c r="Y477">
        <v>10</v>
      </c>
      <c r="Z477" s="5">
        <v>291.77999999999997</v>
      </c>
    </row>
    <row r="478" spans="1:26">
      <c r="A478">
        <v>477</v>
      </c>
      <c r="B478">
        <v>149</v>
      </c>
      <c r="C478" s="2">
        <v>46112</v>
      </c>
      <c r="D478" t="s">
        <v>35</v>
      </c>
      <c r="E478">
        <v>3</v>
      </c>
      <c r="F478" s="3">
        <v>8.0399999999999991</v>
      </c>
      <c r="G478" t="s">
        <v>27</v>
      </c>
      <c r="H478">
        <v>39</v>
      </c>
      <c r="I478" t="s">
        <v>28</v>
      </c>
      <c r="J478" s="4">
        <v>69.8</v>
      </c>
      <c r="K478" s="4">
        <v>183.3</v>
      </c>
      <c r="L478" s="4">
        <v>26.5</v>
      </c>
      <c r="M478">
        <v>13</v>
      </c>
      <c r="N478" t="s">
        <v>65</v>
      </c>
      <c r="O478">
        <v>2</v>
      </c>
      <c r="P478" s="4">
        <v>1969.8</v>
      </c>
      <c r="Q478" t="s">
        <v>30</v>
      </c>
      <c r="R478">
        <v>1</v>
      </c>
      <c r="S478" t="s">
        <v>44</v>
      </c>
      <c r="T478">
        <v>1</v>
      </c>
      <c r="U478">
        <v>1</v>
      </c>
      <c r="V478" t="s">
        <v>32</v>
      </c>
      <c r="W478" t="s">
        <v>39</v>
      </c>
      <c r="X478" s="4">
        <v>8.3000000000000007</v>
      </c>
      <c r="Y478">
        <v>11</v>
      </c>
      <c r="Z478" s="5">
        <v>511.95</v>
      </c>
    </row>
    <row r="479" spans="1:26">
      <c r="A479">
        <v>478</v>
      </c>
      <c r="B479">
        <v>150</v>
      </c>
      <c r="C479" s="2">
        <v>46094</v>
      </c>
      <c r="D479" t="s">
        <v>26</v>
      </c>
      <c r="E479">
        <v>3</v>
      </c>
      <c r="F479" s="3">
        <v>9.33</v>
      </c>
      <c r="G479" t="s">
        <v>27</v>
      </c>
      <c r="H479">
        <v>31</v>
      </c>
      <c r="I479" t="s">
        <v>28</v>
      </c>
      <c r="J479" s="4">
        <v>70.400000000000006</v>
      </c>
      <c r="K479" s="4">
        <v>192.2</v>
      </c>
      <c r="L479" s="4">
        <v>27.5</v>
      </c>
      <c r="M479">
        <v>12</v>
      </c>
      <c r="N479" t="s">
        <v>29</v>
      </c>
      <c r="O479">
        <v>3</v>
      </c>
      <c r="P479" s="4">
        <v>1491.2</v>
      </c>
      <c r="Q479" t="s">
        <v>48</v>
      </c>
      <c r="R479">
        <v>1</v>
      </c>
      <c r="S479" t="s">
        <v>44</v>
      </c>
      <c r="T479">
        <v>1</v>
      </c>
      <c r="U479">
        <v>0</v>
      </c>
      <c r="V479" t="s">
        <v>45</v>
      </c>
      <c r="W479" t="s">
        <v>39</v>
      </c>
      <c r="X479" s="4">
        <v>9.3000000000000007</v>
      </c>
      <c r="Y479">
        <v>5</v>
      </c>
      <c r="Z479" s="5">
        <v>251.59</v>
      </c>
    </row>
    <row r="480" spans="1:26">
      <c r="A480">
        <v>479</v>
      </c>
      <c r="B480">
        <v>150</v>
      </c>
      <c r="C480" s="2">
        <v>46094</v>
      </c>
      <c r="D480" t="s">
        <v>26</v>
      </c>
      <c r="E480">
        <v>3</v>
      </c>
      <c r="F480" s="3">
        <v>9.25</v>
      </c>
      <c r="G480" t="s">
        <v>27</v>
      </c>
      <c r="H480">
        <v>22</v>
      </c>
      <c r="I480" t="s">
        <v>28</v>
      </c>
      <c r="J480" s="4">
        <v>69.400000000000006</v>
      </c>
      <c r="K480" s="4">
        <v>148.19999999999999</v>
      </c>
      <c r="L480" s="4">
        <v>21.5</v>
      </c>
      <c r="M480">
        <v>13</v>
      </c>
      <c r="N480" t="s">
        <v>29</v>
      </c>
      <c r="O480">
        <v>3</v>
      </c>
      <c r="P480" s="4">
        <v>1491.2</v>
      </c>
      <c r="Q480" t="s">
        <v>48</v>
      </c>
      <c r="R480">
        <v>1</v>
      </c>
      <c r="S480" t="s">
        <v>44</v>
      </c>
      <c r="T480">
        <v>1</v>
      </c>
      <c r="U480">
        <v>0</v>
      </c>
      <c r="V480" t="s">
        <v>45</v>
      </c>
      <c r="W480" t="s">
        <v>39</v>
      </c>
      <c r="X480" s="4">
        <v>8.1999999999999993</v>
      </c>
      <c r="Y480">
        <v>7</v>
      </c>
      <c r="Z480" s="5">
        <v>202.45</v>
      </c>
    </row>
    <row r="481" spans="1:26">
      <c r="A481">
        <v>480</v>
      </c>
      <c r="B481">
        <v>150</v>
      </c>
      <c r="C481" s="2">
        <v>46094</v>
      </c>
      <c r="D481" t="s">
        <v>26</v>
      </c>
      <c r="E481">
        <v>3</v>
      </c>
      <c r="F481" s="3">
        <v>9.2899999999999991</v>
      </c>
      <c r="G481" t="s">
        <v>27</v>
      </c>
      <c r="H481">
        <v>24</v>
      </c>
      <c r="I481" t="s">
        <v>34</v>
      </c>
      <c r="J481" s="4">
        <v>66.8</v>
      </c>
      <c r="K481" s="4">
        <v>178.4</v>
      </c>
      <c r="L481" s="4">
        <v>28.4</v>
      </c>
      <c r="M481">
        <v>18</v>
      </c>
      <c r="N481" t="s">
        <v>29</v>
      </c>
      <c r="O481">
        <v>3</v>
      </c>
      <c r="P481" s="4">
        <v>1491.2</v>
      </c>
      <c r="Q481" t="s">
        <v>48</v>
      </c>
      <c r="R481">
        <v>1</v>
      </c>
      <c r="S481" t="s">
        <v>44</v>
      </c>
      <c r="T481">
        <v>1</v>
      </c>
      <c r="U481">
        <v>0</v>
      </c>
      <c r="V481" t="s">
        <v>45</v>
      </c>
      <c r="W481" t="s">
        <v>39</v>
      </c>
      <c r="X481" s="4">
        <v>6.5</v>
      </c>
      <c r="Y481">
        <v>8</v>
      </c>
      <c r="Z481" s="5">
        <v>260.89999999999998</v>
      </c>
    </row>
    <row r="482" spans="1:26">
      <c r="A482">
        <v>481</v>
      </c>
      <c r="B482">
        <v>151</v>
      </c>
      <c r="C482" s="2">
        <v>46325</v>
      </c>
      <c r="D482" t="s">
        <v>26</v>
      </c>
      <c r="E482">
        <v>10</v>
      </c>
      <c r="F482" s="3">
        <v>11.15</v>
      </c>
      <c r="G482" t="s">
        <v>36</v>
      </c>
      <c r="H482">
        <v>3</v>
      </c>
      <c r="I482" t="s">
        <v>34</v>
      </c>
      <c r="J482" s="4">
        <v>55.7</v>
      </c>
      <c r="K482" s="4">
        <v>65.900000000000006</v>
      </c>
      <c r="L482" s="4">
        <v>14.9</v>
      </c>
      <c r="M482">
        <v>16</v>
      </c>
      <c r="N482" t="s">
        <v>59</v>
      </c>
      <c r="O482">
        <v>4</v>
      </c>
      <c r="P482" s="4">
        <v>841.2</v>
      </c>
      <c r="Q482" t="s">
        <v>48</v>
      </c>
      <c r="R482">
        <v>1</v>
      </c>
      <c r="S482" t="s">
        <v>44</v>
      </c>
      <c r="T482">
        <v>0</v>
      </c>
      <c r="U482">
        <v>1</v>
      </c>
      <c r="V482" t="s">
        <v>32</v>
      </c>
      <c r="W482" t="s">
        <v>33</v>
      </c>
      <c r="X482" s="4">
        <v>11.8</v>
      </c>
      <c r="Y482">
        <v>9</v>
      </c>
      <c r="Z482" s="5">
        <v>330.11</v>
      </c>
    </row>
    <row r="483" spans="1:26">
      <c r="A483">
        <v>482</v>
      </c>
      <c r="B483">
        <v>151</v>
      </c>
      <c r="C483" s="2">
        <v>46325</v>
      </c>
      <c r="D483" t="s">
        <v>26</v>
      </c>
      <c r="E483">
        <v>10</v>
      </c>
      <c r="F483" s="3">
        <v>10.91</v>
      </c>
      <c r="G483" t="s">
        <v>27</v>
      </c>
      <c r="H483">
        <v>29</v>
      </c>
      <c r="I483" t="s">
        <v>28</v>
      </c>
      <c r="J483" s="4">
        <v>76.5</v>
      </c>
      <c r="K483" s="4">
        <v>197.6</v>
      </c>
      <c r="L483" s="4">
        <v>23.6</v>
      </c>
      <c r="M483">
        <v>16</v>
      </c>
      <c r="N483" t="s">
        <v>59</v>
      </c>
      <c r="O483">
        <v>4</v>
      </c>
      <c r="P483" s="4">
        <v>841.2</v>
      </c>
      <c r="Q483" t="s">
        <v>48</v>
      </c>
      <c r="R483">
        <v>1</v>
      </c>
      <c r="S483" t="s">
        <v>44</v>
      </c>
      <c r="T483">
        <v>0</v>
      </c>
      <c r="U483">
        <v>1</v>
      </c>
      <c r="V483" t="s">
        <v>32</v>
      </c>
      <c r="W483" t="s">
        <v>33</v>
      </c>
      <c r="X483" s="4">
        <v>9.6999999999999993</v>
      </c>
      <c r="Y483">
        <v>14</v>
      </c>
      <c r="Z483" s="5">
        <v>465.29</v>
      </c>
    </row>
    <row r="484" spans="1:26">
      <c r="A484">
        <v>483</v>
      </c>
      <c r="B484">
        <v>151</v>
      </c>
      <c r="C484" s="2">
        <v>46325</v>
      </c>
      <c r="D484" t="s">
        <v>26</v>
      </c>
      <c r="E484">
        <v>10</v>
      </c>
      <c r="F484" s="3">
        <v>11.1</v>
      </c>
      <c r="G484" t="s">
        <v>36</v>
      </c>
      <c r="H484">
        <v>32</v>
      </c>
      <c r="I484" t="s">
        <v>28</v>
      </c>
      <c r="J484" s="4">
        <v>73.2</v>
      </c>
      <c r="K484" s="4">
        <v>240.4</v>
      </c>
      <c r="L484" s="4">
        <v>31.5</v>
      </c>
      <c r="M484">
        <v>15</v>
      </c>
      <c r="N484" t="s">
        <v>59</v>
      </c>
      <c r="O484">
        <v>4</v>
      </c>
      <c r="P484" s="4">
        <v>841.2</v>
      </c>
      <c r="Q484" t="s">
        <v>48</v>
      </c>
      <c r="R484">
        <v>1</v>
      </c>
      <c r="S484" t="s">
        <v>44</v>
      </c>
      <c r="T484">
        <v>0</v>
      </c>
      <c r="U484">
        <v>1</v>
      </c>
      <c r="V484" t="s">
        <v>32</v>
      </c>
      <c r="W484" t="s">
        <v>33</v>
      </c>
      <c r="X484" s="4">
        <v>8.8000000000000007</v>
      </c>
      <c r="Y484">
        <v>9</v>
      </c>
      <c r="Z484" s="5">
        <v>505.45</v>
      </c>
    </row>
    <row r="485" spans="1:26">
      <c r="A485">
        <v>484</v>
      </c>
      <c r="B485">
        <v>151</v>
      </c>
      <c r="C485" s="2">
        <v>46325</v>
      </c>
      <c r="D485" t="s">
        <v>26</v>
      </c>
      <c r="E485">
        <v>10</v>
      </c>
      <c r="F485" s="3">
        <v>10.77</v>
      </c>
      <c r="G485" t="s">
        <v>27</v>
      </c>
      <c r="H485">
        <v>18</v>
      </c>
      <c r="I485" t="s">
        <v>34</v>
      </c>
      <c r="J485" s="4">
        <v>66.099999999999994</v>
      </c>
      <c r="K485" s="4">
        <v>224.5</v>
      </c>
      <c r="L485" s="4">
        <v>36.1</v>
      </c>
      <c r="M485">
        <v>14</v>
      </c>
      <c r="N485" t="s">
        <v>59</v>
      </c>
      <c r="O485">
        <v>4</v>
      </c>
      <c r="P485" s="4">
        <v>841.2</v>
      </c>
      <c r="Q485" t="s">
        <v>48</v>
      </c>
      <c r="R485">
        <v>1</v>
      </c>
      <c r="S485" t="s">
        <v>44</v>
      </c>
      <c r="T485">
        <v>0</v>
      </c>
      <c r="U485">
        <v>1</v>
      </c>
      <c r="V485" t="s">
        <v>32</v>
      </c>
      <c r="W485" t="s">
        <v>33</v>
      </c>
      <c r="X485" s="4">
        <v>9.4</v>
      </c>
      <c r="Y485">
        <v>12</v>
      </c>
      <c r="Z485" s="5">
        <v>380.91</v>
      </c>
    </row>
    <row r="486" spans="1:26">
      <c r="A486">
        <v>485</v>
      </c>
      <c r="B486">
        <v>152</v>
      </c>
      <c r="C486" s="2">
        <v>46324</v>
      </c>
      <c r="D486" t="s">
        <v>55</v>
      </c>
      <c r="E486">
        <v>10</v>
      </c>
      <c r="F486" s="3">
        <v>10.9</v>
      </c>
      <c r="G486" t="s">
        <v>27</v>
      </c>
      <c r="H486">
        <v>61</v>
      </c>
      <c r="I486" t="s">
        <v>28</v>
      </c>
      <c r="J486" s="4">
        <v>72.2</v>
      </c>
      <c r="K486" s="4">
        <v>202.9</v>
      </c>
      <c r="L486" s="4">
        <v>27.2</v>
      </c>
      <c r="M486">
        <v>19</v>
      </c>
      <c r="N486" t="s">
        <v>37</v>
      </c>
      <c r="O486">
        <v>3</v>
      </c>
      <c r="P486" s="4">
        <v>952.5</v>
      </c>
      <c r="Q486" t="s">
        <v>48</v>
      </c>
      <c r="R486">
        <v>1</v>
      </c>
      <c r="S486" t="s">
        <v>44</v>
      </c>
      <c r="T486">
        <v>1</v>
      </c>
      <c r="U486">
        <v>1</v>
      </c>
      <c r="V486" t="s">
        <v>32</v>
      </c>
      <c r="W486" t="s">
        <v>33</v>
      </c>
      <c r="X486" s="4">
        <v>9.8000000000000007</v>
      </c>
      <c r="Y486">
        <v>9</v>
      </c>
      <c r="Z486" s="5">
        <v>406.39</v>
      </c>
    </row>
    <row r="487" spans="1:26">
      <c r="A487">
        <v>486</v>
      </c>
      <c r="B487">
        <v>152</v>
      </c>
      <c r="C487" s="2">
        <v>46324</v>
      </c>
      <c r="D487" t="s">
        <v>55</v>
      </c>
      <c r="E487">
        <v>10</v>
      </c>
      <c r="F487" s="3">
        <v>10.88</v>
      </c>
      <c r="G487" t="s">
        <v>27</v>
      </c>
      <c r="H487">
        <v>37</v>
      </c>
      <c r="I487" t="s">
        <v>34</v>
      </c>
      <c r="J487" s="4">
        <v>64</v>
      </c>
      <c r="K487" s="4">
        <v>125</v>
      </c>
      <c r="L487" s="4">
        <v>21.6</v>
      </c>
      <c r="M487">
        <v>13</v>
      </c>
      <c r="N487" t="s">
        <v>37</v>
      </c>
      <c r="O487">
        <v>3</v>
      </c>
      <c r="P487" s="4">
        <v>952.5</v>
      </c>
      <c r="Q487" t="s">
        <v>48</v>
      </c>
      <c r="R487">
        <v>1</v>
      </c>
      <c r="S487" t="s">
        <v>44</v>
      </c>
      <c r="T487">
        <v>1</v>
      </c>
      <c r="U487">
        <v>1</v>
      </c>
      <c r="V487" t="s">
        <v>32</v>
      </c>
      <c r="W487" t="s">
        <v>33</v>
      </c>
      <c r="X487" s="4">
        <v>7.9</v>
      </c>
      <c r="Y487">
        <v>14</v>
      </c>
      <c r="Z487" s="5">
        <v>319.3</v>
      </c>
    </row>
    <row r="488" spans="1:26">
      <c r="A488">
        <v>487</v>
      </c>
      <c r="B488">
        <v>152</v>
      </c>
      <c r="C488" s="2">
        <v>46324</v>
      </c>
      <c r="D488" t="s">
        <v>55</v>
      </c>
      <c r="E488">
        <v>10</v>
      </c>
      <c r="F488" s="3">
        <v>10.84</v>
      </c>
      <c r="G488" t="s">
        <v>27</v>
      </c>
      <c r="H488">
        <v>3</v>
      </c>
      <c r="I488" t="s">
        <v>34</v>
      </c>
      <c r="J488" s="4">
        <v>50.9</v>
      </c>
      <c r="K488" s="4">
        <v>64.3</v>
      </c>
      <c r="L488" s="4">
        <v>17.399999999999999</v>
      </c>
      <c r="M488">
        <v>14</v>
      </c>
      <c r="N488" t="s">
        <v>37</v>
      </c>
      <c r="O488">
        <v>3</v>
      </c>
      <c r="P488" s="4">
        <v>952.5</v>
      </c>
      <c r="Q488" t="s">
        <v>48</v>
      </c>
      <c r="R488">
        <v>1</v>
      </c>
      <c r="S488" t="s">
        <v>44</v>
      </c>
      <c r="T488">
        <v>1</v>
      </c>
      <c r="U488">
        <v>1</v>
      </c>
      <c r="V488" t="s">
        <v>32</v>
      </c>
      <c r="W488" t="s">
        <v>33</v>
      </c>
      <c r="X488" s="4">
        <v>10.8</v>
      </c>
      <c r="Y488">
        <v>13</v>
      </c>
      <c r="Z488" s="5">
        <v>302.83</v>
      </c>
    </row>
    <row r="489" spans="1:26">
      <c r="A489">
        <v>488</v>
      </c>
      <c r="B489">
        <v>153</v>
      </c>
      <c r="C489" s="2">
        <v>46184</v>
      </c>
      <c r="D489" t="s">
        <v>55</v>
      </c>
      <c r="E489">
        <v>6</v>
      </c>
      <c r="F489" s="3">
        <v>10.98</v>
      </c>
      <c r="G489" t="s">
        <v>27</v>
      </c>
      <c r="H489">
        <v>45</v>
      </c>
      <c r="I489" t="s">
        <v>28</v>
      </c>
      <c r="J489" s="4">
        <v>72</v>
      </c>
      <c r="K489" s="4">
        <v>133.69999999999999</v>
      </c>
      <c r="L489" s="4">
        <v>18.3</v>
      </c>
      <c r="M489">
        <v>18</v>
      </c>
      <c r="N489" t="s">
        <v>47</v>
      </c>
      <c r="O489">
        <v>6</v>
      </c>
      <c r="P489" s="4">
        <v>54.3</v>
      </c>
      <c r="Q489" t="s">
        <v>48</v>
      </c>
      <c r="R489">
        <v>1</v>
      </c>
      <c r="S489" t="s">
        <v>44</v>
      </c>
      <c r="T489">
        <v>0</v>
      </c>
      <c r="U489">
        <v>1</v>
      </c>
      <c r="V489" t="s">
        <v>32</v>
      </c>
      <c r="W489" t="s">
        <v>33</v>
      </c>
      <c r="X489" s="4">
        <v>7.2</v>
      </c>
      <c r="Y489">
        <v>5</v>
      </c>
      <c r="Z489" s="5">
        <v>228.32</v>
      </c>
    </row>
    <row r="490" spans="1:26">
      <c r="A490">
        <v>489</v>
      </c>
      <c r="B490">
        <v>153</v>
      </c>
      <c r="C490" s="2">
        <v>46184</v>
      </c>
      <c r="D490" t="s">
        <v>55</v>
      </c>
      <c r="E490">
        <v>6</v>
      </c>
      <c r="F490" s="3">
        <v>10.89</v>
      </c>
      <c r="G490" t="s">
        <v>27</v>
      </c>
      <c r="H490">
        <v>56</v>
      </c>
      <c r="I490" t="s">
        <v>34</v>
      </c>
      <c r="J490" s="4">
        <v>64.5</v>
      </c>
      <c r="K490" s="4">
        <v>191.4</v>
      </c>
      <c r="L490" s="4">
        <v>32.299999999999997</v>
      </c>
      <c r="M490">
        <v>16</v>
      </c>
      <c r="N490" t="s">
        <v>47</v>
      </c>
      <c r="O490">
        <v>6</v>
      </c>
      <c r="P490" s="4">
        <v>54.3</v>
      </c>
      <c r="Q490" t="s">
        <v>48</v>
      </c>
      <c r="R490">
        <v>1</v>
      </c>
      <c r="S490" t="s">
        <v>44</v>
      </c>
      <c r="T490">
        <v>0</v>
      </c>
      <c r="U490">
        <v>1</v>
      </c>
      <c r="V490" t="s">
        <v>32</v>
      </c>
      <c r="W490" t="s">
        <v>33</v>
      </c>
      <c r="X490" s="4">
        <v>11.2</v>
      </c>
      <c r="Y490">
        <v>9</v>
      </c>
      <c r="Z490" s="5">
        <v>325.24</v>
      </c>
    </row>
    <row r="491" spans="1:26">
      <c r="A491">
        <v>490</v>
      </c>
      <c r="B491">
        <v>153</v>
      </c>
      <c r="C491" s="2">
        <v>46184</v>
      </c>
      <c r="D491" t="s">
        <v>55</v>
      </c>
      <c r="E491">
        <v>6</v>
      </c>
      <c r="F491" s="3">
        <v>11.11</v>
      </c>
      <c r="G491" t="s">
        <v>36</v>
      </c>
      <c r="H491">
        <v>36</v>
      </c>
      <c r="I491" t="s">
        <v>28</v>
      </c>
      <c r="J491" s="4">
        <v>65.5</v>
      </c>
      <c r="K491" s="4">
        <v>149.1</v>
      </c>
      <c r="L491" s="4">
        <v>24.3</v>
      </c>
      <c r="M491">
        <v>18</v>
      </c>
      <c r="N491" t="s">
        <v>47</v>
      </c>
      <c r="O491">
        <v>6</v>
      </c>
      <c r="P491" s="4">
        <v>54.3</v>
      </c>
      <c r="Q491" t="s">
        <v>48</v>
      </c>
      <c r="R491">
        <v>1</v>
      </c>
      <c r="S491" t="s">
        <v>44</v>
      </c>
      <c r="T491">
        <v>0</v>
      </c>
      <c r="U491">
        <v>1</v>
      </c>
      <c r="V491" t="s">
        <v>32</v>
      </c>
      <c r="W491" t="s">
        <v>33</v>
      </c>
      <c r="X491" s="4">
        <v>9.8000000000000007</v>
      </c>
      <c r="Y491">
        <v>7</v>
      </c>
      <c r="Z491" s="5">
        <v>282.14</v>
      </c>
    </row>
    <row r="492" spans="1:26">
      <c r="A492">
        <v>491</v>
      </c>
      <c r="B492">
        <v>153</v>
      </c>
      <c r="C492" s="2">
        <v>46184</v>
      </c>
      <c r="D492" t="s">
        <v>55</v>
      </c>
      <c r="E492">
        <v>6</v>
      </c>
      <c r="F492" s="3">
        <v>11.09</v>
      </c>
      <c r="G492" t="s">
        <v>36</v>
      </c>
      <c r="H492">
        <v>65</v>
      </c>
      <c r="I492" t="s">
        <v>34</v>
      </c>
      <c r="J492" s="4">
        <v>62.6</v>
      </c>
      <c r="K492" s="4">
        <v>123.8</v>
      </c>
      <c r="L492" s="4">
        <v>22.1</v>
      </c>
      <c r="M492">
        <v>17</v>
      </c>
      <c r="N492" t="s">
        <v>47</v>
      </c>
      <c r="O492">
        <v>6</v>
      </c>
      <c r="P492" s="4">
        <v>54.3</v>
      </c>
      <c r="Q492" t="s">
        <v>48</v>
      </c>
      <c r="R492">
        <v>1</v>
      </c>
      <c r="S492" t="s">
        <v>44</v>
      </c>
      <c r="T492">
        <v>0</v>
      </c>
      <c r="U492">
        <v>1</v>
      </c>
      <c r="V492" t="s">
        <v>32</v>
      </c>
      <c r="W492" t="s">
        <v>33</v>
      </c>
      <c r="X492" s="4">
        <v>9</v>
      </c>
      <c r="Y492">
        <v>10</v>
      </c>
      <c r="Z492" s="5">
        <v>310.91000000000003</v>
      </c>
    </row>
    <row r="493" spans="1:26">
      <c r="A493">
        <v>492</v>
      </c>
      <c r="B493">
        <v>153</v>
      </c>
      <c r="C493" s="2">
        <v>46184</v>
      </c>
      <c r="D493" t="s">
        <v>55</v>
      </c>
      <c r="E493">
        <v>6</v>
      </c>
      <c r="F493" s="3">
        <v>10.95</v>
      </c>
      <c r="G493" t="s">
        <v>27</v>
      </c>
      <c r="H493">
        <v>41</v>
      </c>
      <c r="I493" t="s">
        <v>34</v>
      </c>
      <c r="J493" s="4">
        <v>64.7</v>
      </c>
      <c r="K493" s="4">
        <v>167</v>
      </c>
      <c r="L493" s="4">
        <v>27.9</v>
      </c>
      <c r="M493">
        <v>18</v>
      </c>
      <c r="N493" t="s">
        <v>47</v>
      </c>
      <c r="O493">
        <v>6</v>
      </c>
      <c r="P493" s="4">
        <v>54.3</v>
      </c>
      <c r="Q493" t="s">
        <v>48</v>
      </c>
      <c r="R493">
        <v>1</v>
      </c>
      <c r="S493" t="s">
        <v>44</v>
      </c>
      <c r="T493">
        <v>0</v>
      </c>
      <c r="U493">
        <v>1</v>
      </c>
      <c r="V493" t="s">
        <v>32</v>
      </c>
      <c r="W493" t="s">
        <v>33</v>
      </c>
      <c r="X493" s="4">
        <v>9.1</v>
      </c>
      <c r="Y493">
        <v>7</v>
      </c>
      <c r="Z493" s="5">
        <v>384.07</v>
      </c>
    </row>
    <row r="494" spans="1:26">
      <c r="A494">
        <v>493</v>
      </c>
      <c r="B494">
        <v>153</v>
      </c>
      <c r="C494" s="2">
        <v>46184</v>
      </c>
      <c r="D494" t="s">
        <v>55</v>
      </c>
      <c r="E494">
        <v>6</v>
      </c>
      <c r="F494" s="3">
        <v>10.82</v>
      </c>
      <c r="G494" t="s">
        <v>27</v>
      </c>
      <c r="H494">
        <v>3</v>
      </c>
      <c r="I494" t="s">
        <v>28</v>
      </c>
      <c r="J494" s="4">
        <v>50.8</v>
      </c>
      <c r="K494" s="4">
        <v>94.7</v>
      </c>
      <c r="L494" s="4">
        <v>25.9</v>
      </c>
      <c r="M494">
        <v>16</v>
      </c>
      <c r="N494" t="s">
        <v>47</v>
      </c>
      <c r="O494">
        <v>6</v>
      </c>
      <c r="P494" s="4">
        <v>54.3</v>
      </c>
      <c r="Q494" t="s">
        <v>48</v>
      </c>
      <c r="R494">
        <v>1</v>
      </c>
      <c r="S494" t="s">
        <v>44</v>
      </c>
      <c r="T494">
        <v>0</v>
      </c>
      <c r="U494">
        <v>1</v>
      </c>
      <c r="V494" t="s">
        <v>32</v>
      </c>
      <c r="W494" t="s">
        <v>33</v>
      </c>
      <c r="X494" s="4">
        <v>8.1</v>
      </c>
      <c r="Y494">
        <v>6</v>
      </c>
      <c r="Z494" s="5">
        <v>316.56</v>
      </c>
    </row>
    <row r="495" spans="1:26">
      <c r="A495">
        <v>494</v>
      </c>
      <c r="B495">
        <v>154</v>
      </c>
      <c r="C495" s="2">
        <v>46057</v>
      </c>
      <c r="D495" t="s">
        <v>52</v>
      </c>
      <c r="E495">
        <v>2</v>
      </c>
      <c r="F495" s="3">
        <v>11.21</v>
      </c>
      <c r="G495" t="s">
        <v>36</v>
      </c>
      <c r="H495">
        <v>18</v>
      </c>
      <c r="I495" t="s">
        <v>34</v>
      </c>
      <c r="J495" s="4">
        <v>62.8</v>
      </c>
      <c r="K495" s="4">
        <v>111.6</v>
      </c>
      <c r="L495" s="4">
        <v>19.899999999999999</v>
      </c>
      <c r="M495">
        <v>12</v>
      </c>
      <c r="N495" t="s">
        <v>61</v>
      </c>
      <c r="O495">
        <v>2</v>
      </c>
      <c r="P495" s="4">
        <v>1482.7</v>
      </c>
      <c r="Q495" t="s">
        <v>42</v>
      </c>
      <c r="R495">
        <v>1</v>
      </c>
      <c r="S495" t="s">
        <v>38</v>
      </c>
      <c r="T495">
        <v>0</v>
      </c>
      <c r="U495">
        <v>0</v>
      </c>
      <c r="V495" t="s">
        <v>32</v>
      </c>
      <c r="W495" t="s">
        <v>57</v>
      </c>
      <c r="X495" s="4">
        <v>9.5</v>
      </c>
      <c r="Y495">
        <v>6</v>
      </c>
      <c r="Z495" s="5">
        <v>156.47</v>
      </c>
    </row>
    <row r="496" spans="1:26">
      <c r="A496">
        <v>495</v>
      </c>
      <c r="B496">
        <v>154</v>
      </c>
      <c r="C496" s="2">
        <v>46057</v>
      </c>
      <c r="D496" t="s">
        <v>52</v>
      </c>
      <c r="E496">
        <v>2</v>
      </c>
      <c r="F496" s="3">
        <v>11.48</v>
      </c>
      <c r="G496" t="s">
        <v>36</v>
      </c>
      <c r="H496">
        <v>22</v>
      </c>
      <c r="I496" t="s">
        <v>28</v>
      </c>
      <c r="J496" s="4">
        <v>72.2</v>
      </c>
      <c r="K496" s="4">
        <v>211.8</v>
      </c>
      <c r="L496" s="4">
        <v>28.9</v>
      </c>
      <c r="M496">
        <v>14</v>
      </c>
      <c r="N496" t="s">
        <v>61</v>
      </c>
      <c r="O496">
        <v>2</v>
      </c>
      <c r="P496" s="4">
        <v>1482.7</v>
      </c>
      <c r="Q496" t="s">
        <v>42</v>
      </c>
      <c r="R496">
        <v>1</v>
      </c>
      <c r="S496" t="s">
        <v>38</v>
      </c>
      <c r="T496">
        <v>0</v>
      </c>
      <c r="U496">
        <v>0</v>
      </c>
      <c r="V496" t="s">
        <v>32</v>
      </c>
      <c r="W496" t="s">
        <v>57</v>
      </c>
      <c r="X496" s="4">
        <v>9.1</v>
      </c>
      <c r="Y496">
        <v>5</v>
      </c>
      <c r="Z496" s="5">
        <v>141.94999999999999</v>
      </c>
    </row>
    <row r="497" spans="1:26">
      <c r="A497">
        <v>496</v>
      </c>
      <c r="B497">
        <v>155</v>
      </c>
      <c r="C497" s="2">
        <v>46374</v>
      </c>
      <c r="D497" t="s">
        <v>26</v>
      </c>
      <c r="E497">
        <v>12</v>
      </c>
      <c r="F497" s="3">
        <v>10.11</v>
      </c>
      <c r="G497" t="s">
        <v>27</v>
      </c>
      <c r="H497">
        <v>62</v>
      </c>
      <c r="I497" t="s">
        <v>34</v>
      </c>
      <c r="J497" s="4">
        <v>66.7</v>
      </c>
      <c r="K497" s="4">
        <v>143.80000000000001</v>
      </c>
      <c r="L497" s="4">
        <v>22.5</v>
      </c>
      <c r="M497">
        <v>16</v>
      </c>
      <c r="N497" t="s">
        <v>37</v>
      </c>
      <c r="O497">
        <v>2</v>
      </c>
      <c r="P497" s="4">
        <v>1328.4</v>
      </c>
      <c r="Q497" t="s">
        <v>42</v>
      </c>
      <c r="R497">
        <v>1</v>
      </c>
      <c r="S497" t="s">
        <v>31</v>
      </c>
      <c r="T497">
        <v>0</v>
      </c>
      <c r="U497">
        <v>1</v>
      </c>
      <c r="V497" t="s">
        <v>32</v>
      </c>
      <c r="W497" t="s">
        <v>39</v>
      </c>
      <c r="X497" s="4">
        <v>10.6</v>
      </c>
      <c r="Y497">
        <v>12</v>
      </c>
      <c r="Z497" s="5">
        <v>227.57</v>
      </c>
    </row>
    <row r="498" spans="1:26">
      <c r="A498">
        <v>497</v>
      </c>
      <c r="B498">
        <v>155</v>
      </c>
      <c r="C498" s="2">
        <v>46374</v>
      </c>
      <c r="D498" t="s">
        <v>26</v>
      </c>
      <c r="E498">
        <v>12</v>
      </c>
      <c r="F498" s="3">
        <v>9.9499999999999993</v>
      </c>
      <c r="G498" t="s">
        <v>27</v>
      </c>
      <c r="H498">
        <v>6</v>
      </c>
      <c r="I498" t="s">
        <v>51</v>
      </c>
      <c r="J498" s="4">
        <v>52.6</v>
      </c>
      <c r="K498" s="4">
        <v>73.8</v>
      </c>
      <c r="L498" s="4">
        <v>18.600000000000001</v>
      </c>
      <c r="M498">
        <v>16</v>
      </c>
      <c r="N498" t="s">
        <v>37</v>
      </c>
      <c r="O498">
        <v>2</v>
      </c>
      <c r="P498" s="4">
        <v>1328.4</v>
      </c>
      <c r="Q498" t="s">
        <v>42</v>
      </c>
      <c r="R498">
        <v>1</v>
      </c>
      <c r="S498" t="s">
        <v>31</v>
      </c>
      <c r="T498">
        <v>0</v>
      </c>
      <c r="U498">
        <v>1</v>
      </c>
      <c r="V498" t="s">
        <v>32</v>
      </c>
      <c r="W498" t="s">
        <v>39</v>
      </c>
      <c r="X498" s="4">
        <v>12</v>
      </c>
      <c r="Y498">
        <v>10</v>
      </c>
      <c r="Z498" s="5">
        <v>248.31</v>
      </c>
    </row>
    <row r="499" spans="1:26">
      <c r="A499">
        <v>498</v>
      </c>
      <c r="B499">
        <v>156</v>
      </c>
      <c r="C499" s="2">
        <v>46360</v>
      </c>
      <c r="D499" t="s">
        <v>26</v>
      </c>
      <c r="E499">
        <v>12</v>
      </c>
      <c r="F499" s="3">
        <v>11.41</v>
      </c>
      <c r="G499" t="s">
        <v>36</v>
      </c>
      <c r="H499">
        <v>33</v>
      </c>
      <c r="I499" t="s">
        <v>28</v>
      </c>
      <c r="J499" s="4">
        <v>68</v>
      </c>
      <c r="K499" s="4">
        <v>197.1</v>
      </c>
      <c r="L499" s="4">
        <v>29.9</v>
      </c>
      <c r="M499">
        <v>11</v>
      </c>
      <c r="N499" t="s">
        <v>50</v>
      </c>
      <c r="O499">
        <v>4</v>
      </c>
      <c r="P499" s="4">
        <v>384.9</v>
      </c>
      <c r="Q499" t="s">
        <v>42</v>
      </c>
      <c r="R499">
        <v>0</v>
      </c>
      <c r="S499" t="s">
        <v>44</v>
      </c>
      <c r="T499">
        <v>0</v>
      </c>
      <c r="U499">
        <v>0</v>
      </c>
      <c r="V499" t="s">
        <v>45</v>
      </c>
      <c r="W499" t="s">
        <v>39</v>
      </c>
      <c r="X499" s="4">
        <v>9.5</v>
      </c>
      <c r="Y499">
        <v>11</v>
      </c>
      <c r="Z499" s="5">
        <v>102.37</v>
      </c>
    </row>
    <row r="500" spans="1:26">
      <c r="A500">
        <v>499</v>
      </c>
      <c r="B500">
        <v>156</v>
      </c>
      <c r="C500" s="2">
        <v>46360</v>
      </c>
      <c r="D500" t="s">
        <v>26</v>
      </c>
      <c r="E500">
        <v>12</v>
      </c>
      <c r="F500" s="3">
        <v>11.3</v>
      </c>
      <c r="G500" t="s">
        <v>36</v>
      </c>
      <c r="H500">
        <v>56</v>
      </c>
      <c r="I500" t="s">
        <v>34</v>
      </c>
      <c r="J500" s="4">
        <v>64</v>
      </c>
      <c r="K500" s="4">
        <v>143</v>
      </c>
      <c r="L500" s="4">
        <v>24.5</v>
      </c>
      <c r="M500">
        <v>21</v>
      </c>
      <c r="N500" t="s">
        <v>50</v>
      </c>
      <c r="O500">
        <v>4</v>
      </c>
      <c r="P500" s="4">
        <v>384.9</v>
      </c>
      <c r="Q500" t="s">
        <v>42</v>
      </c>
      <c r="R500">
        <v>0</v>
      </c>
      <c r="S500" t="s">
        <v>44</v>
      </c>
      <c r="T500">
        <v>0</v>
      </c>
      <c r="U500">
        <v>0</v>
      </c>
      <c r="V500" t="s">
        <v>45</v>
      </c>
      <c r="W500" t="s">
        <v>39</v>
      </c>
      <c r="X500" s="4">
        <v>7</v>
      </c>
      <c r="Y500">
        <v>12</v>
      </c>
      <c r="Z500" s="5">
        <v>314.66000000000003</v>
      </c>
    </row>
    <row r="501" spans="1:26">
      <c r="A501">
        <v>500</v>
      </c>
      <c r="B501">
        <v>156</v>
      </c>
      <c r="C501" s="2">
        <v>46360</v>
      </c>
      <c r="D501" t="s">
        <v>26</v>
      </c>
      <c r="E501">
        <v>12</v>
      </c>
      <c r="F501" s="3">
        <v>11.02</v>
      </c>
      <c r="G501" t="s">
        <v>36</v>
      </c>
      <c r="H501">
        <v>4</v>
      </c>
      <c r="I501" t="s">
        <v>28</v>
      </c>
      <c r="J501" s="4">
        <v>50.7</v>
      </c>
      <c r="K501" s="4">
        <v>93.8</v>
      </c>
      <c r="L501" s="4">
        <v>25.7</v>
      </c>
      <c r="M501">
        <v>15</v>
      </c>
      <c r="N501" t="s">
        <v>50</v>
      </c>
      <c r="O501">
        <v>4</v>
      </c>
      <c r="P501" s="4">
        <v>384.9</v>
      </c>
      <c r="Q501" t="s">
        <v>42</v>
      </c>
      <c r="R501">
        <v>0</v>
      </c>
      <c r="S501" t="s">
        <v>44</v>
      </c>
      <c r="T501">
        <v>0</v>
      </c>
      <c r="U501">
        <v>0</v>
      </c>
      <c r="V501" t="s">
        <v>45</v>
      </c>
      <c r="W501" t="s">
        <v>39</v>
      </c>
      <c r="X501" s="4">
        <v>10.6</v>
      </c>
      <c r="Y501">
        <v>14</v>
      </c>
      <c r="Z501" s="5">
        <v>320.27</v>
      </c>
    </row>
    <row r="502" spans="1:26">
      <c r="A502">
        <v>501</v>
      </c>
      <c r="B502">
        <v>156</v>
      </c>
      <c r="C502" s="2">
        <v>46360</v>
      </c>
      <c r="D502" t="s">
        <v>26</v>
      </c>
      <c r="E502">
        <v>12</v>
      </c>
      <c r="F502" s="3">
        <v>11.3</v>
      </c>
      <c r="G502" t="s">
        <v>36</v>
      </c>
      <c r="H502">
        <v>60</v>
      </c>
      <c r="I502" t="s">
        <v>28</v>
      </c>
      <c r="J502" s="4">
        <v>67.599999999999994</v>
      </c>
      <c r="K502" s="4">
        <v>142.6</v>
      </c>
      <c r="L502" s="4">
        <v>21.9</v>
      </c>
      <c r="M502">
        <v>15</v>
      </c>
      <c r="N502" t="s">
        <v>50</v>
      </c>
      <c r="O502">
        <v>4</v>
      </c>
      <c r="P502" s="4">
        <v>384.9</v>
      </c>
      <c r="Q502" t="s">
        <v>42</v>
      </c>
      <c r="R502">
        <v>0</v>
      </c>
      <c r="S502" t="s">
        <v>44</v>
      </c>
      <c r="T502">
        <v>0</v>
      </c>
      <c r="U502">
        <v>0</v>
      </c>
      <c r="V502" t="s">
        <v>45</v>
      </c>
      <c r="W502" t="s">
        <v>39</v>
      </c>
      <c r="X502" s="4">
        <v>8.5</v>
      </c>
      <c r="Y502">
        <v>2</v>
      </c>
      <c r="Z502" s="5">
        <v>104.9</v>
      </c>
    </row>
    <row r="503" spans="1:26">
      <c r="A503">
        <v>502</v>
      </c>
      <c r="B503">
        <v>157</v>
      </c>
      <c r="C503" s="2">
        <v>46306</v>
      </c>
      <c r="D503" t="s">
        <v>58</v>
      </c>
      <c r="E503">
        <v>10</v>
      </c>
      <c r="F503" s="3">
        <v>10.61</v>
      </c>
      <c r="G503" t="s">
        <v>27</v>
      </c>
      <c r="H503">
        <v>18</v>
      </c>
      <c r="I503" t="s">
        <v>28</v>
      </c>
      <c r="J503" s="4">
        <v>65.900000000000006</v>
      </c>
      <c r="K503" s="4">
        <v>181.3</v>
      </c>
      <c r="L503" s="4">
        <v>29.5</v>
      </c>
      <c r="M503">
        <v>9</v>
      </c>
      <c r="N503" t="s">
        <v>59</v>
      </c>
      <c r="O503">
        <v>3</v>
      </c>
      <c r="P503" s="4">
        <v>836.4</v>
      </c>
      <c r="Q503" t="s">
        <v>30</v>
      </c>
      <c r="R503">
        <v>0</v>
      </c>
      <c r="S503" t="s">
        <v>44</v>
      </c>
      <c r="T503">
        <v>0</v>
      </c>
      <c r="U503">
        <v>0</v>
      </c>
      <c r="V503" t="s">
        <v>32</v>
      </c>
      <c r="W503" t="s">
        <v>57</v>
      </c>
      <c r="X503" s="4">
        <v>9.3000000000000007</v>
      </c>
      <c r="Y503">
        <v>8</v>
      </c>
      <c r="Z503" s="5">
        <v>246.77</v>
      </c>
    </row>
    <row r="504" spans="1:26">
      <c r="A504">
        <v>503</v>
      </c>
      <c r="B504">
        <v>157</v>
      </c>
      <c r="C504" s="2">
        <v>46306</v>
      </c>
      <c r="D504" t="s">
        <v>58</v>
      </c>
      <c r="E504">
        <v>10</v>
      </c>
      <c r="F504" s="3">
        <v>10.83</v>
      </c>
      <c r="G504" t="s">
        <v>27</v>
      </c>
      <c r="H504">
        <v>63</v>
      </c>
      <c r="I504" t="s">
        <v>34</v>
      </c>
      <c r="J504" s="4">
        <v>59.7</v>
      </c>
      <c r="K504" s="4">
        <v>128.80000000000001</v>
      </c>
      <c r="L504" s="4">
        <v>25.5</v>
      </c>
      <c r="M504">
        <v>16</v>
      </c>
      <c r="N504" t="s">
        <v>59</v>
      </c>
      <c r="O504">
        <v>3</v>
      </c>
      <c r="P504" s="4">
        <v>836.4</v>
      </c>
      <c r="Q504" t="s">
        <v>30</v>
      </c>
      <c r="R504">
        <v>0</v>
      </c>
      <c r="S504" t="s">
        <v>44</v>
      </c>
      <c r="T504">
        <v>0</v>
      </c>
      <c r="U504">
        <v>0</v>
      </c>
      <c r="V504" t="s">
        <v>32</v>
      </c>
      <c r="W504" t="s">
        <v>57</v>
      </c>
      <c r="X504" s="4">
        <v>9.6</v>
      </c>
      <c r="Y504">
        <v>11</v>
      </c>
      <c r="Z504" s="5">
        <v>226.35</v>
      </c>
    </row>
    <row r="505" spans="1:26">
      <c r="A505">
        <v>504</v>
      </c>
      <c r="B505">
        <v>157</v>
      </c>
      <c r="C505" s="2">
        <v>46306</v>
      </c>
      <c r="D505" t="s">
        <v>58</v>
      </c>
      <c r="E505">
        <v>10</v>
      </c>
      <c r="F505" s="3">
        <v>10.68</v>
      </c>
      <c r="G505" t="s">
        <v>27</v>
      </c>
      <c r="H505">
        <v>34</v>
      </c>
      <c r="I505" t="s">
        <v>34</v>
      </c>
      <c r="J505" s="4">
        <v>63.4</v>
      </c>
      <c r="K505" s="4">
        <v>129.30000000000001</v>
      </c>
      <c r="L505" s="4">
        <v>22.6</v>
      </c>
      <c r="M505">
        <v>11</v>
      </c>
      <c r="N505" t="s">
        <v>59</v>
      </c>
      <c r="O505">
        <v>3</v>
      </c>
      <c r="P505" s="4">
        <v>836.4</v>
      </c>
      <c r="Q505" t="s">
        <v>30</v>
      </c>
      <c r="R505">
        <v>0</v>
      </c>
      <c r="S505" t="s">
        <v>44</v>
      </c>
      <c r="T505">
        <v>0</v>
      </c>
      <c r="U505">
        <v>0</v>
      </c>
      <c r="V505" t="s">
        <v>32</v>
      </c>
      <c r="W505" t="s">
        <v>57</v>
      </c>
      <c r="X505" s="4">
        <v>9.8000000000000007</v>
      </c>
      <c r="Y505">
        <v>8</v>
      </c>
      <c r="Z505" s="5">
        <v>212.8</v>
      </c>
    </row>
    <row r="506" spans="1:26">
      <c r="A506">
        <v>505</v>
      </c>
      <c r="B506">
        <v>158</v>
      </c>
      <c r="C506" s="2">
        <v>46203</v>
      </c>
      <c r="D506" t="s">
        <v>35</v>
      </c>
      <c r="E506">
        <v>6</v>
      </c>
      <c r="F506" s="3">
        <v>11.62</v>
      </c>
      <c r="G506" t="s">
        <v>36</v>
      </c>
      <c r="H506">
        <v>22</v>
      </c>
      <c r="I506" t="s">
        <v>34</v>
      </c>
      <c r="J506" s="4">
        <v>66.3</v>
      </c>
      <c r="K506" s="4">
        <v>164.3</v>
      </c>
      <c r="L506" s="4">
        <v>26.4</v>
      </c>
      <c r="M506">
        <v>12</v>
      </c>
      <c r="N506" t="s">
        <v>60</v>
      </c>
      <c r="O506">
        <v>1</v>
      </c>
      <c r="P506" s="4">
        <v>1231</v>
      </c>
      <c r="Q506" t="s">
        <v>30</v>
      </c>
      <c r="R506">
        <v>1</v>
      </c>
      <c r="S506" t="s">
        <v>38</v>
      </c>
      <c r="T506">
        <v>0</v>
      </c>
      <c r="U506">
        <v>1</v>
      </c>
      <c r="V506" t="s">
        <v>32</v>
      </c>
      <c r="W506" t="s">
        <v>43</v>
      </c>
      <c r="X506" s="4">
        <v>9.9</v>
      </c>
      <c r="Y506">
        <v>12</v>
      </c>
      <c r="Z506" s="5">
        <v>404.63</v>
      </c>
    </row>
    <row r="507" spans="1:26">
      <c r="A507">
        <v>506</v>
      </c>
      <c r="B507">
        <v>159</v>
      </c>
      <c r="C507" s="2">
        <v>46144</v>
      </c>
      <c r="D507" t="s">
        <v>40</v>
      </c>
      <c r="E507">
        <v>5</v>
      </c>
      <c r="F507" s="3">
        <v>11.73</v>
      </c>
      <c r="G507" t="s">
        <v>36</v>
      </c>
      <c r="H507">
        <v>10</v>
      </c>
      <c r="I507" t="s">
        <v>28</v>
      </c>
      <c r="J507" s="4">
        <v>70</v>
      </c>
      <c r="K507" s="4">
        <v>147.9</v>
      </c>
      <c r="L507" s="4">
        <v>21.1</v>
      </c>
      <c r="M507">
        <v>9</v>
      </c>
      <c r="N507" t="s">
        <v>60</v>
      </c>
      <c r="O507">
        <v>1</v>
      </c>
      <c r="P507" s="4">
        <v>1282.4000000000001</v>
      </c>
      <c r="Q507" t="s">
        <v>42</v>
      </c>
      <c r="R507">
        <v>1</v>
      </c>
      <c r="S507" t="s">
        <v>44</v>
      </c>
      <c r="T507">
        <v>0</v>
      </c>
      <c r="U507">
        <v>0</v>
      </c>
      <c r="V507" t="s">
        <v>45</v>
      </c>
      <c r="W507" t="s">
        <v>43</v>
      </c>
      <c r="X507" s="4">
        <v>8.3000000000000007</v>
      </c>
      <c r="Y507">
        <v>5</v>
      </c>
      <c r="Z507" s="5">
        <v>288.64999999999998</v>
      </c>
    </row>
    <row r="508" spans="1:26">
      <c r="A508">
        <v>507</v>
      </c>
      <c r="B508">
        <v>160</v>
      </c>
      <c r="C508" s="2">
        <v>46123</v>
      </c>
      <c r="D508" t="s">
        <v>40</v>
      </c>
      <c r="E508">
        <v>4</v>
      </c>
      <c r="F508" s="3">
        <v>8.91</v>
      </c>
      <c r="G508" t="s">
        <v>27</v>
      </c>
      <c r="H508">
        <v>18</v>
      </c>
      <c r="I508" t="s">
        <v>28</v>
      </c>
      <c r="J508" s="4">
        <v>67.5</v>
      </c>
      <c r="K508" s="4">
        <v>163.5</v>
      </c>
      <c r="L508" s="4">
        <v>25.5</v>
      </c>
      <c r="M508">
        <v>16</v>
      </c>
      <c r="N508" t="s">
        <v>47</v>
      </c>
      <c r="O508">
        <v>1</v>
      </c>
      <c r="P508" s="4">
        <v>118.5</v>
      </c>
      <c r="Q508" t="s">
        <v>48</v>
      </c>
      <c r="R508">
        <v>1</v>
      </c>
      <c r="S508" t="s">
        <v>44</v>
      </c>
      <c r="T508">
        <v>1</v>
      </c>
      <c r="U508">
        <v>1</v>
      </c>
      <c r="V508" t="s">
        <v>32</v>
      </c>
      <c r="W508" t="s">
        <v>49</v>
      </c>
      <c r="X508" s="4">
        <v>10.199999999999999</v>
      </c>
      <c r="Y508">
        <v>6</v>
      </c>
      <c r="Z508" s="5">
        <v>320.54000000000002</v>
      </c>
    </row>
    <row r="509" spans="1:26">
      <c r="A509">
        <v>508</v>
      </c>
      <c r="B509">
        <v>161</v>
      </c>
      <c r="C509" s="2">
        <v>46138</v>
      </c>
      <c r="D509" t="s">
        <v>58</v>
      </c>
      <c r="E509">
        <v>4</v>
      </c>
      <c r="F509" s="3">
        <v>10.85</v>
      </c>
      <c r="G509" t="s">
        <v>27</v>
      </c>
      <c r="H509">
        <v>7</v>
      </c>
      <c r="I509" t="s">
        <v>34</v>
      </c>
      <c r="J509" s="4">
        <v>59.2</v>
      </c>
      <c r="K509" s="4">
        <v>101.6</v>
      </c>
      <c r="L509" s="4">
        <v>20.3</v>
      </c>
      <c r="M509">
        <v>14</v>
      </c>
      <c r="N509" t="s">
        <v>60</v>
      </c>
      <c r="O509">
        <v>5</v>
      </c>
      <c r="P509" s="4">
        <v>1225.5</v>
      </c>
      <c r="Q509" t="s">
        <v>42</v>
      </c>
      <c r="R509">
        <v>1</v>
      </c>
      <c r="S509" t="s">
        <v>31</v>
      </c>
      <c r="T509">
        <v>0</v>
      </c>
      <c r="U509">
        <v>0</v>
      </c>
      <c r="V509" t="s">
        <v>45</v>
      </c>
      <c r="W509" t="s">
        <v>49</v>
      </c>
      <c r="X509" s="4">
        <v>9.8000000000000007</v>
      </c>
      <c r="Y509">
        <v>7</v>
      </c>
      <c r="Z509" s="5">
        <v>220.4</v>
      </c>
    </row>
    <row r="510" spans="1:26">
      <c r="A510">
        <v>509</v>
      </c>
      <c r="B510">
        <v>161</v>
      </c>
      <c r="C510" s="2">
        <v>46138</v>
      </c>
      <c r="D510" t="s">
        <v>58</v>
      </c>
      <c r="E510">
        <v>4</v>
      </c>
      <c r="F510" s="3">
        <v>11.09</v>
      </c>
      <c r="G510" t="s">
        <v>36</v>
      </c>
      <c r="H510">
        <v>14</v>
      </c>
      <c r="I510" t="s">
        <v>34</v>
      </c>
      <c r="J510" s="4">
        <v>70</v>
      </c>
      <c r="K510" s="4">
        <v>134.80000000000001</v>
      </c>
      <c r="L510" s="4">
        <v>19.600000000000001</v>
      </c>
      <c r="M510">
        <v>13</v>
      </c>
      <c r="N510" t="s">
        <v>60</v>
      </c>
      <c r="O510">
        <v>5</v>
      </c>
      <c r="P510" s="4">
        <v>1225.5</v>
      </c>
      <c r="Q510" t="s">
        <v>42</v>
      </c>
      <c r="R510">
        <v>1</v>
      </c>
      <c r="S510" t="s">
        <v>31</v>
      </c>
      <c r="T510">
        <v>0</v>
      </c>
      <c r="U510">
        <v>0</v>
      </c>
      <c r="V510" t="s">
        <v>45</v>
      </c>
      <c r="W510" t="s">
        <v>49</v>
      </c>
      <c r="X510" s="4">
        <v>8</v>
      </c>
      <c r="Y510">
        <v>3</v>
      </c>
      <c r="Z510" s="5">
        <v>109.96</v>
      </c>
    </row>
    <row r="511" spans="1:26">
      <c r="A511">
        <v>510</v>
      </c>
      <c r="B511">
        <v>161</v>
      </c>
      <c r="C511" s="2">
        <v>46138</v>
      </c>
      <c r="D511" t="s">
        <v>58</v>
      </c>
      <c r="E511">
        <v>4</v>
      </c>
      <c r="F511" s="3">
        <v>10.93</v>
      </c>
      <c r="G511" t="s">
        <v>27</v>
      </c>
      <c r="H511">
        <v>42</v>
      </c>
      <c r="I511" t="s">
        <v>28</v>
      </c>
      <c r="J511" s="4">
        <v>64.900000000000006</v>
      </c>
      <c r="K511" s="4">
        <v>146.30000000000001</v>
      </c>
      <c r="L511" s="4">
        <v>24.4</v>
      </c>
      <c r="M511">
        <v>17</v>
      </c>
      <c r="N511" t="s">
        <v>60</v>
      </c>
      <c r="O511">
        <v>5</v>
      </c>
      <c r="P511" s="4">
        <v>1225.5</v>
      </c>
      <c r="Q511" t="s">
        <v>42</v>
      </c>
      <c r="R511">
        <v>1</v>
      </c>
      <c r="S511" t="s">
        <v>31</v>
      </c>
      <c r="T511">
        <v>0</v>
      </c>
      <c r="U511">
        <v>0</v>
      </c>
      <c r="V511" t="s">
        <v>45</v>
      </c>
      <c r="W511" t="s">
        <v>49</v>
      </c>
      <c r="X511" s="4">
        <v>8.9</v>
      </c>
      <c r="Y511">
        <v>7</v>
      </c>
      <c r="Z511" s="5">
        <v>191.38</v>
      </c>
    </row>
    <row r="512" spans="1:26">
      <c r="A512">
        <v>511</v>
      </c>
      <c r="B512">
        <v>161</v>
      </c>
      <c r="C512" s="2">
        <v>46138</v>
      </c>
      <c r="D512" t="s">
        <v>58</v>
      </c>
      <c r="E512">
        <v>4</v>
      </c>
      <c r="F512" s="3">
        <v>10.94</v>
      </c>
      <c r="G512" t="s">
        <v>27</v>
      </c>
      <c r="H512">
        <v>33</v>
      </c>
      <c r="I512" t="s">
        <v>34</v>
      </c>
      <c r="J512" s="4">
        <v>69.099999999999994</v>
      </c>
      <c r="K512" s="4">
        <v>208.1</v>
      </c>
      <c r="L512" s="4">
        <v>30.7</v>
      </c>
      <c r="M512">
        <v>13</v>
      </c>
      <c r="N512" t="s">
        <v>60</v>
      </c>
      <c r="O512">
        <v>5</v>
      </c>
      <c r="P512" s="4">
        <v>1225.5</v>
      </c>
      <c r="Q512" t="s">
        <v>42</v>
      </c>
      <c r="R512">
        <v>1</v>
      </c>
      <c r="S512" t="s">
        <v>31</v>
      </c>
      <c r="T512">
        <v>0</v>
      </c>
      <c r="U512">
        <v>0</v>
      </c>
      <c r="V512" t="s">
        <v>45</v>
      </c>
      <c r="W512" t="s">
        <v>49</v>
      </c>
      <c r="X512" s="4">
        <v>7.2</v>
      </c>
      <c r="Y512">
        <v>8</v>
      </c>
      <c r="Z512" s="5">
        <v>180.77</v>
      </c>
    </row>
    <row r="513" spans="1:26">
      <c r="A513">
        <v>512</v>
      </c>
      <c r="B513">
        <v>161</v>
      </c>
      <c r="C513" s="2">
        <v>46138</v>
      </c>
      <c r="D513" t="s">
        <v>58</v>
      </c>
      <c r="E513">
        <v>4</v>
      </c>
      <c r="F513" s="3">
        <v>10.95</v>
      </c>
      <c r="G513" t="s">
        <v>27</v>
      </c>
      <c r="H513">
        <v>54</v>
      </c>
      <c r="I513" t="s">
        <v>28</v>
      </c>
      <c r="J513" s="4">
        <v>67.599999999999994</v>
      </c>
      <c r="K513" s="4">
        <v>183.5</v>
      </c>
      <c r="L513" s="4">
        <v>28.2</v>
      </c>
      <c r="M513">
        <v>19</v>
      </c>
      <c r="N513" t="s">
        <v>60</v>
      </c>
      <c r="O513">
        <v>5</v>
      </c>
      <c r="P513" s="4">
        <v>1225.5</v>
      </c>
      <c r="Q513" t="s">
        <v>42</v>
      </c>
      <c r="R513">
        <v>1</v>
      </c>
      <c r="S513" t="s">
        <v>31</v>
      </c>
      <c r="T513">
        <v>0</v>
      </c>
      <c r="U513">
        <v>0</v>
      </c>
      <c r="V513" t="s">
        <v>45</v>
      </c>
      <c r="W513" t="s">
        <v>49</v>
      </c>
      <c r="X513" s="4">
        <v>6.7</v>
      </c>
      <c r="Y513">
        <v>7</v>
      </c>
      <c r="Z513" s="5">
        <v>187.21</v>
      </c>
    </row>
    <row r="514" spans="1:26">
      <c r="A514">
        <v>513</v>
      </c>
      <c r="B514">
        <v>162</v>
      </c>
      <c r="C514" s="2">
        <v>46046</v>
      </c>
      <c r="D514" t="s">
        <v>40</v>
      </c>
      <c r="E514">
        <v>1</v>
      </c>
      <c r="F514" s="3">
        <v>11.48</v>
      </c>
      <c r="G514" t="s">
        <v>36</v>
      </c>
      <c r="H514">
        <v>20</v>
      </c>
      <c r="I514" t="s">
        <v>28</v>
      </c>
      <c r="J514" s="4">
        <v>70.8</v>
      </c>
      <c r="K514" s="4">
        <v>112.2</v>
      </c>
      <c r="L514" s="4">
        <v>15.9</v>
      </c>
      <c r="M514">
        <v>15</v>
      </c>
      <c r="N514" t="s">
        <v>47</v>
      </c>
      <c r="O514">
        <v>4</v>
      </c>
      <c r="P514" s="4">
        <v>52.8</v>
      </c>
      <c r="Q514" t="s">
        <v>48</v>
      </c>
      <c r="R514">
        <v>1</v>
      </c>
      <c r="S514" t="s">
        <v>38</v>
      </c>
      <c r="T514">
        <v>0</v>
      </c>
      <c r="U514">
        <v>0</v>
      </c>
      <c r="V514" t="s">
        <v>45</v>
      </c>
      <c r="W514" t="s">
        <v>39</v>
      </c>
      <c r="X514" s="4">
        <v>9.9</v>
      </c>
      <c r="Y514">
        <v>11</v>
      </c>
      <c r="Z514" s="5">
        <v>650</v>
      </c>
    </row>
    <row r="515" spans="1:26">
      <c r="A515">
        <v>514</v>
      </c>
      <c r="B515">
        <v>162</v>
      </c>
      <c r="C515" s="2">
        <v>46046</v>
      </c>
      <c r="D515" t="s">
        <v>40</v>
      </c>
      <c r="E515">
        <v>1</v>
      </c>
      <c r="F515" s="3">
        <v>11.54</v>
      </c>
      <c r="G515" t="s">
        <v>36</v>
      </c>
      <c r="H515">
        <v>42</v>
      </c>
      <c r="I515" t="s">
        <v>34</v>
      </c>
      <c r="J515" s="4">
        <v>67.7</v>
      </c>
      <c r="K515" s="4">
        <v>178.5</v>
      </c>
      <c r="L515" s="4">
        <v>27.2</v>
      </c>
      <c r="M515">
        <v>14</v>
      </c>
      <c r="N515" t="s">
        <v>47</v>
      </c>
      <c r="O515">
        <v>4</v>
      </c>
      <c r="P515" s="4">
        <v>52.8</v>
      </c>
      <c r="Q515" t="s">
        <v>48</v>
      </c>
      <c r="R515">
        <v>1</v>
      </c>
      <c r="S515" t="s">
        <v>38</v>
      </c>
      <c r="T515">
        <v>0</v>
      </c>
      <c r="U515">
        <v>0</v>
      </c>
      <c r="V515" t="s">
        <v>45</v>
      </c>
      <c r="W515" t="s">
        <v>39</v>
      </c>
      <c r="X515" s="4">
        <v>5.8</v>
      </c>
      <c r="Y515">
        <v>7</v>
      </c>
      <c r="Z515" s="5">
        <v>196.32</v>
      </c>
    </row>
    <row r="516" spans="1:26">
      <c r="A516">
        <v>515</v>
      </c>
      <c r="B516">
        <v>162</v>
      </c>
      <c r="C516" s="2">
        <v>46046</v>
      </c>
      <c r="D516" t="s">
        <v>40</v>
      </c>
      <c r="E516">
        <v>1</v>
      </c>
      <c r="F516" s="3">
        <v>11.72</v>
      </c>
      <c r="G516" t="s">
        <v>36</v>
      </c>
      <c r="H516">
        <v>55</v>
      </c>
      <c r="I516" t="s">
        <v>34</v>
      </c>
      <c r="J516" s="4">
        <v>62.1</v>
      </c>
      <c r="K516" s="4">
        <v>140.19999999999999</v>
      </c>
      <c r="L516" s="4">
        <v>25.6</v>
      </c>
      <c r="M516">
        <v>16</v>
      </c>
      <c r="N516" t="s">
        <v>47</v>
      </c>
      <c r="O516">
        <v>4</v>
      </c>
      <c r="P516" s="4">
        <v>52.8</v>
      </c>
      <c r="Q516" t="s">
        <v>48</v>
      </c>
      <c r="R516">
        <v>1</v>
      </c>
      <c r="S516" t="s">
        <v>38</v>
      </c>
      <c r="T516">
        <v>0</v>
      </c>
      <c r="U516">
        <v>0</v>
      </c>
      <c r="V516" t="s">
        <v>45</v>
      </c>
      <c r="W516" t="s">
        <v>39</v>
      </c>
      <c r="X516" s="4">
        <v>10.6</v>
      </c>
      <c r="Y516">
        <v>7</v>
      </c>
      <c r="Z516" s="5">
        <v>342.21</v>
      </c>
    </row>
    <row r="517" spans="1:26">
      <c r="A517">
        <v>516</v>
      </c>
      <c r="B517">
        <v>162</v>
      </c>
      <c r="C517" s="2">
        <v>46046</v>
      </c>
      <c r="D517" t="s">
        <v>40</v>
      </c>
      <c r="E517">
        <v>1</v>
      </c>
      <c r="F517" s="3">
        <v>11.85</v>
      </c>
      <c r="G517" t="s">
        <v>36</v>
      </c>
      <c r="H517">
        <v>44</v>
      </c>
      <c r="I517" t="s">
        <v>28</v>
      </c>
      <c r="J517" s="4">
        <v>70.7</v>
      </c>
      <c r="K517" s="4">
        <v>210.7</v>
      </c>
      <c r="L517" s="4">
        <v>29.8</v>
      </c>
      <c r="M517">
        <v>17</v>
      </c>
      <c r="N517" t="s">
        <v>47</v>
      </c>
      <c r="O517">
        <v>4</v>
      </c>
      <c r="P517" s="4">
        <v>52.8</v>
      </c>
      <c r="Q517" t="s">
        <v>48</v>
      </c>
      <c r="R517">
        <v>1</v>
      </c>
      <c r="S517" t="s">
        <v>38</v>
      </c>
      <c r="T517">
        <v>0</v>
      </c>
      <c r="U517">
        <v>0</v>
      </c>
      <c r="V517" t="s">
        <v>45</v>
      </c>
      <c r="W517" t="s">
        <v>39</v>
      </c>
      <c r="X517" s="4">
        <v>8.9</v>
      </c>
      <c r="Y517">
        <v>10</v>
      </c>
      <c r="Z517" s="5">
        <v>341.46</v>
      </c>
    </row>
    <row r="518" spans="1:26">
      <c r="A518">
        <v>517</v>
      </c>
      <c r="B518">
        <v>163</v>
      </c>
      <c r="C518" s="2">
        <v>46243</v>
      </c>
      <c r="D518" t="s">
        <v>58</v>
      </c>
      <c r="E518">
        <v>8</v>
      </c>
      <c r="F518" s="3">
        <v>10.24</v>
      </c>
      <c r="G518" t="s">
        <v>27</v>
      </c>
      <c r="H518">
        <v>18</v>
      </c>
      <c r="I518" t="s">
        <v>28</v>
      </c>
      <c r="J518" s="4">
        <v>67</v>
      </c>
      <c r="K518" s="4">
        <v>191.2</v>
      </c>
      <c r="L518" s="4">
        <v>29.8</v>
      </c>
      <c r="M518">
        <v>11</v>
      </c>
      <c r="N518" t="s">
        <v>29</v>
      </c>
      <c r="O518">
        <v>1</v>
      </c>
      <c r="P518" s="4">
        <v>1539.2</v>
      </c>
      <c r="Q518" t="s">
        <v>42</v>
      </c>
      <c r="R518">
        <v>1</v>
      </c>
      <c r="S518" t="s">
        <v>44</v>
      </c>
      <c r="T518">
        <v>1</v>
      </c>
      <c r="U518">
        <v>0</v>
      </c>
      <c r="V518" t="s">
        <v>32</v>
      </c>
      <c r="W518" t="s">
        <v>43</v>
      </c>
      <c r="X518" s="4">
        <v>9.5</v>
      </c>
      <c r="Y518">
        <v>9</v>
      </c>
      <c r="Z518" s="5">
        <v>246.41</v>
      </c>
    </row>
    <row r="519" spans="1:26">
      <c r="A519">
        <v>518</v>
      </c>
      <c r="B519">
        <v>164</v>
      </c>
      <c r="C519" s="2">
        <v>46060</v>
      </c>
      <c r="D519" t="s">
        <v>40</v>
      </c>
      <c r="E519">
        <v>2</v>
      </c>
      <c r="F519" s="3">
        <v>10.66</v>
      </c>
      <c r="G519" t="s">
        <v>27</v>
      </c>
      <c r="H519">
        <v>50</v>
      </c>
      <c r="I519" t="s">
        <v>34</v>
      </c>
      <c r="J519" s="4">
        <v>62.9</v>
      </c>
      <c r="K519" s="4">
        <v>125.4</v>
      </c>
      <c r="L519" s="4">
        <v>22.2</v>
      </c>
      <c r="M519">
        <v>17</v>
      </c>
      <c r="N519" t="s">
        <v>47</v>
      </c>
      <c r="O519">
        <v>1</v>
      </c>
      <c r="P519" s="4">
        <v>191.6</v>
      </c>
      <c r="Q519" t="s">
        <v>48</v>
      </c>
      <c r="R519">
        <v>0</v>
      </c>
      <c r="S519" t="s">
        <v>38</v>
      </c>
      <c r="T519">
        <v>1</v>
      </c>
      <c r="U519">
        <v>1</v>
      </c>
      <c r="V519" t="s">
        <v>45</v>
      </c>
      <c r="W519" t="s">
        <v>49</v>
      </c>
      <c r="X519" s="4">
        <v>7.3</v>
      </c>
      <c r="Y519">
        <v>9</v>
      </c>
      <c r="Z519" s="5">
        <v>179.14</v>
      </c>
    </row>
    <row r="520" spans="1:26">
      <c r="A520">
        <v>519</v>
      </c>
      <c r="B520">
        <v>165</v>
      </c>
      <c r="C520" s="2">
        <v>46120</v>
      </c>
      <c r="D520" t="s">
        <v>52</v>
      </c>
      <c r="E520">
        <v>4</v>
      </c>
      <c r="F520" s="3">
        <v>8.57</v>
      </c>
      <c r="G520" t="s">
        <v>27</v>
      </c>
      <c r="H520">
        <v>26</v>
      </c>
      <c r="I520" t="s">
        <v>28</v>
      </c>
      <c r="J520" s="4">
        <v>64.2</v>
      </c>
      <c r="K520" s="4">
        <v>180.2</v>
      </c>
      <c r="L520" s="4">
        <v>30.8</v>
      </c>
      <c r="M520">
        <v>14</v>
      </c>
      <c r="N520" t="s">
        <v>54</v>
      </c>
      <c r="O520">
        <v>6</v>
      </c>
      <c r="P520" s="4">
        <v>2198.9</v>
      </c>
      <c r="Q520" t="s">
        <v>42</v>
      </c>
      <c r="R520">
        <v>0</v>
      </c>
      <c r="S520" t="s">
        <v>44</v>
      </c>
      <c r="T520">
        <v>1</v>
      </c>
      <c r="U520">
        <v>0</v>
      </c>
      <c r="V520" t="s">
        <v>32</v>
      </c>
      <c r="W520" t="s">
        <v>57</v>
      </c>
      <c r="X520" s="4">
        <v>10.6</v>
      </c>
      <c r="Y520">
        <v>9</v>
      </c>
      <c r="Z520" s="5">
        <v>190.04</v>
      </c>
    </row>
    <row r="521" spans="1:26">
      <c r="A521">
        <v>520</v>
      </c>
      <c r="B521">
        <v>165</v>
      </c>
      <c r="C521" s="2">
        <v>46120</v>
      </c>
      <c r="D521" t="s">
        <v>52</v>
      </c>
      <c r="E521">
        <v>4</v>
      </c>
      <c r="F521" s="3">
        <v>8.5</v>
      </c>
      <c r="G521" t="s">
        <v>27</v>
      </c>
      <c r="H521">
        <v>66</v>
      </c>
      <c r="I521" t="s">
        <v>34</v>
      </c>
      <c r="J521" s="4">
        <v>66.400000000000006</v>
      </c>
      <c r="K521" s="4">
        <v>180.7</v>
      </c>
      <c r="L521" s="4">
        <v>28.7</v>
      </c>
      <c r="M521">
        <v>14</v>
      </c>
      <c r="N521" t="s">
        <v>54</v>
      </c>
      <c r="O521">
        <v>6</v>
      </c>
      <c r="P521" s="4">
        <v>2198.9</v>
      </c>
      <c r="Q521" t="s">
        <v>42</v>
      </c>
      <c r="R521">
        <v>0</v>
      </c>
      <c r="S521" t="s">
        <v>44</v>
      </c>
      <c r="T521">
        <v>1</v>
      </c>
      <c r="U521">
        <v>0</v>
      </c>
      <c r="V521" t="s">
        <v>32</v>
      </c>
      <c r="W521" t="s">
        <v>57</v>
      </c>
      <c r="X521" s="4">
        <v>10.6</v>
      </c>
      <c r="Y521">
        <v>10</v>
      </c>
      <c r="Z521" s="5">
        <v>211.04</v>
      </c>
    </row>
    <row r="522" spans="1:26">
      <c r="A522">
        <v>521</v>
      </c>
      <c r="B522">
        <v>165</v>
      </c>
      <c r="C522" s="2">
        <v>46120</v>
      </c>
      <c r="D522" t="s">
        <v>52</v>
      </c>
      <c r="E522">
        <v>4</v>
      </c>
      <c r="F522" s="3">
        <v>8.4700000000000006</v>
      </c>
      <c r="G522" t="s">
        <v>27</v>
      </c>
      <c r="H522">
        <v>10</v>
      </c>
      <c r="I522" t="s">
        <v>28</v>
      </c>
      <c r="J522" s="4">
        <v>55.6</v>
      </c>
      <c r="K522" s="4">
        <v>82.3</v>
      </c>
      <c r="L522" s="4">
        <v>19</v>
      </c>
      <c r="M522">
        <v>11</v>
      </c>
      <c r="N522" t="s">
        <v>54</v>
      </c>
      <c r="O522">
        <v>6</v>
      </c>
      <c r="P522" s="4">
        <v>2198.9</v>
      </c>
      <c r="Q522" t="s">
        <v>42</v>
      </c>
      <c r="R522">
        <v>0</v>
      </c>
      <c r="S522" t="s">
        <v>44</v>
      </c>
      <c r="T522">
        <v>1</v>
      </c>
      <c r="U522">
        <v>0</v>
      </c>
      <c r="V522" t="s">
        <v>32</v>
      </c>
      <c r="W522" t="s">
        <v>57</v>
      </c>
      <c r="X522" s="4">
        <v>7.9</v>
      </c>
      <c r="Y522">
        <v>4</v>
      </c>
      <c r="Z522" s="5">
        <v>258.39</v>
      </c>
    </row>
    <row r="523" spans="1:26">
      <c r="A523">
        <v>522</v>
      </c>
      <c r="B523">
        <v>165</v>
      </c>
      <c r="C523" s="2">
        <v>46120</v>
      </c>
      <c r="D523" t="s">
        <v>52</v>
      </c>
      <c r="E523">
        <v>4</v>
      </c>
      <c r="F523" s="3">
        <v>8.6999999999999993</v>
      </c>
      <c r="G523" t="s">
        <v>27</v>
      </c>
      <c r="H523">
        <v>59</v>
      </c>
      <c r="I523" t="s">
        <v>34</v>
      </c>
      <c r="J523" s="4">
        <v>59.2</v>
      </c>
      <c r="K523" s="4">
        <v>135.6</v>
      </c>
      <c r="L523" s="4">
        <v>27.3</v>
      </c>
      <c r="M523">
        <v>17</v>
      </c>
      <c r="N523" t="s">
        <v>54</v>
      </c>
      <c r="O523">
        <v>6</v>
      </c>
      <c r="P523" s="4">
        <v>2198.9</v>
      </c>
      <c r="Q523" t="s">
        <v>42</v>
      </c>
      <c r="R523">
        <v>0</v>
      </c>
      <c r="S523" t="s">
        <v>44</v>
      </c>
      <c r="T523">
        <v>1</v>
      </c>
      <c r="U523">
        <v>0</v>
      </c>
      <c r="V523" t="s">
        <v>32</v>
      </c>
      <c r="W523" t="s">
        <v>57</v>
      </c>
      <c r="X523" s="4">
        <v>6.2</v>
      </c>
      <c r="Y523">
        <v>9</v>
      </c>
      <c r="Z523" s="5">
        <v>169.97</v>
      </c>
    </row>
    <row r="524" spans="1:26">
      <c r="A524">
        <v>523</v>
      </c>
      <c r="B524">
        <v>165</v>
      </c>
      <c r="C524" s="2">
        <v>46120</v>
      </c>
      <c r="D524" t="s">
        <v>52</v>
      </c>
      <c r="E524">
        <v>4</v>
      </c>
      <c r="F524" s="3">
        <v>8.48</v>
      </c>
      <c r="G524" t="s">
        <v>27</v>
      </c>
      <c r="H524">
        <v>38</v>
      </c>
      <c r="I524" t="s">
        <v>34</v>
      </c>
      <c r="J524" s="4">
        <v>62.4</v>
      </c>
      <c r="K524" s="4">
        <v>159.19999999999999</v>
      </c>
      <c r="L524" s="4">
        <v>28.8</v>
      </c>
      <c r="M524">
        <v>16</v>
      </c>
      <c r="N524" t="s">
        <v>54</v>
      </c>
      <c r="O524">
        <v>6</v>
      </c>
      <c r="P524" s="4">
        <v>2198.9</v>
      </c>
      <c r="Q524" t="s">
        <v>42</v>
      </c>
      <c r="R524">
        <v>0</v>
      </c>
      <c r="S524" t="s">
        <v>44</v>
      </c>
      <c r="T524">
        <v>1</v>
      </c>
      <c r="U524">
        <v>0</v>
      </c>
      <c r="V524" t="s">
        <v>32</v>
      </c>
      <c r="W524" t="s">
        <v>57</v>
      </c>
      <c r="X524" s="4">
        <v>6.9</v>
      </c>
      <c r="Y524">
        <v>8</v>
      </c>
      <c r="Z524" s="5">
        <v>149.33000000000001</v>
      </c>
    </row>
    <row r="525" spans="1:26">
      <c r="A525">
        <v>524</v>
      </c>
      <c r="B525">
        <v>165</v>
      </c>
      <c r="C525" s="2">
        <v>46120</v>
      </c>
      <c r="D525" t="s">
        <v>52</v>
      </c>
      <c r="E525">
        <v>4</v>
      </c>
      <c r="F525" s="3">
        <v>8.64</v>
      </c>
      <c r="G525" t="s">
        <v>27</v>
      </c>
      <c r="H525">
        <v>54</v>
      </c>
      <c r="I525" t="s">
        <v>28</v>
      </c>
      <c r="J525" s="4">
        <v>73.3</v>
      </c>
      <c r="K525" s="4">
        <v>196.3</v>
      </c>
      <c r="L525" s="4">
        <v>25.8</v>
      </c>
      <c r="M525">
        <v>15</v>
      </c>
      <c r="N525" t="s">
        <v>54</v>
      </c>
      <c r="O525">
        <v>6</v>
      </c>
      <c r="P525" s="4">
        <v>2198.9</v>
      </c>
      <c r="Q525" t="s">
        <v>42</v>
      </c>
      <c r="R525">
        <v>0</v>
      </c>
      <c r="S525" t="s">
        <v>44</v>
      </c>
      <c r="T525">
        <v>1</v>
      </c>
      <c r="U525">
        <v>0</v>
      </c>
      <c r="V525" t="s">
        <v>32</v>
      </c>
      <c r="W525" t="s">
        <v>57</v>
      </c>
      <c r="X525" s="4">
        <v>11.1</v>
      </c>
      <c r="Y525">
        <v>7</v>
      </c>
      <c r="Z525" s="5">
        <v>217.28</v>
      </c>
    </row>
    <row r="526" spans="1:26">
      <c r="A526">
        <v>525</v>
      </c>
      <c r="B526">
        <v>166</v>
      </c>
      <c r="C526" s="2">
        <v>46115</v>
      </c>
      <c r="D526" t="s">
        <v>26</v>
      </c>
      <c r="E526">
        <v>4</v>
      </c>
      <c r="F526" s="3">
        <v>8.7100000000000009</v>
      </c>
      <c r="G526" t="s">
        <v>27</v>
      </c>
      <c r="H526">
        <v>27</v>
      </c>
      <c r="I526" t="s">
        <v>28</v>
      </c>
      <c r="J526" s="4">
        <v>67.5</v>
      </c>
      <c r="K526" s="4">
        <v>125.2</v>
      </c>
      <c r="L526" s="4">
        <v>19.5</v>
      </c>
      <c r="M526">
        <v>14</v>
      </c>
      <c r="N526" t="s">
        <v>56</v>
      </c>
      <c r="O526">
        <v>5</v>
      </c>
      <c r="P526" s="4">
        <v>330.9</v>
      </c>
      <c r="Q526" t="s">
        <v>48</v>
      </c>
      <c r="R526">
        <v>1</v>
      </c>
      <c r="S526" t="s">
        <v>31</v>
      </c>
      <c r="T526">
        <v>1</v>
      </c>
      <c r="U526">
        <v>1</v>
      </c>
      <c r="V526" t="s">
        <v>32</v>
      </c>
      <c r="W526" t="s">
        <v>33</v>
      </c>
      <c r="X526" s="4">
        <v>9.4</v>
      </c>
      <c r="Y526">
        <v>12</v>
      </c>
      <c r="Z526" s="5">
        <v>494.63</v>
      </c>
    </row>
    <row r="527" spans="1:26">
      <c r="A527">
        <v>526</v>
      </c>
      <c r="B527">
        <v>166</v>
      </c>
      <c r="C527" s="2">
        <v>46115</v>
      </c>
      <c r="D527" t="s">
        <v>26</v>
      </c>
      <c r="E527">
        <v>4</v>
      </c>
      <c r="F527" s="3">
        <v>8.92</v>
      </c>
      <c r="G527" t="s">
        <v>27</v>
      </c>
      <c r="H527">
        <v>10</v>
      </c>
      <c r="I527" t="s">
        <v>28</v>
      </c>
      <c r="J527" s="4">
        <v>61.2</v>
      </c>
      <c r="K527" s="4">
        <v>91</v>
      </c>
      <c r="L527" s="4">
        <v>17.3</v>
      </c>
      <c r="M527">
        <v>14</v>
      </c>
      <c r="N527" t="s">
        <v>56</v>
      </c>
      <c r="O527">
        <v>5</v>
      </c>
      <c r="P527" s="4">
        <v>330.9</v>
      </c>
      <c r="Q527" t="s">
        <v>48</v>
      </c>
      <c r="R527">
        <v>1</v>
      </c>
      <c r="S527" t="s">
        <v>31</v>
      </c>
      <c r="T527">
        <v>1</v>
      </c>
      <c r="U527">
        <v>1</v>
      </c>
      <c r="V527" t="s">
        <v>32</v>
      </c>
      <c r="W527" t="s">
        <v>33</v>
      </c>
      <c r="X527" s="4">
        <v>6.9</v>
      </c>
      <c r="Y527">
        <v>9</v>
      </c>
      <c r="Z527" s="5">
        <v>314.33999999999997</v>
      </c>
    </row>
    <row r="528" spans="1:26">
      <c r="A528">
        <v>527</v>
      </c>
      <c r="B528">
        <v>166</v>
      </c>
      <c r="C528" s="2">
        <v>46115</v>
      </c>
      <c r="D528" t="s">
        <v>26</v>
      </c>
      <c r="E528">
        <v>4</v>
      </c>
      <c r="F528" s="3">
        <v>8.75</v>
      </c>
      <c r="G528" t="s">
        <v>27</v>
      </c>
      <c r="H528">
        <v>46</v>
      </c>
      <c r="I528" t="s">
        <v>34</v>
      </c>
      <c r="J528" s="4">
        <v>68.7</v>
      </c>
      <c r="K528" s="4">
        <v>165.8</v>
      </c>
      <c r="L528" s="4">
        <v>24.6</v>
      </c>
      <c r="M528">
        <v>17</v>
      </c>
      <c r="N528" t="s">
        <v>56</v>
      </c>
      <c r="O528">
        <v>5</v>
      </c>
      <c r="P528" s="4">
        <v>330.9</v>
      </c>
      <c r="Q528" t="s">
        <v>48</v>
      </c>
      <c r="R528">
        <v>1</v>
      </c>
      <c r="S528" t="s">
        <v>31</v>
      </c>
      <c r="T528">
        <v>1</v>
      </c>
      <c r="U528">
        <v>1</v>
      </c>
      <c r="V528" t="s">
        <v>32</v>
      </c>
      <c r="W528" t="s">
        <v>33</v>
      </c>
      <c r="X528" s="4">
        <v>9.8000000000000007</v>
      </c>
      <c r="Y528">
        <v>2</v>
      </c>
      <c r="Z528" s="5">
        <v>338.36</v>
      </c>
    </row>
    <row r="529" spans="1:26">
      <c r="A529">
        <v>528</v>
      </c>
      <c r="B529">
        <v>166</v>
      </c>
      <c r="C529" s="2">
        <v>46115</v>
      </c>
      <c r="D529" t="s">
        <v>26</v>
      </c>
      <c r="E529">
        <v>4</v>
      </c>
      <c r="F529" s="3">
        <v>8.93</v>
      </c>
      <c r="G529" t="s">
        <v>27</v>
      </c>
      <c r="H529">
        <v>47</v>
      </c>
      <c r="I529" t="s">
        <v>28</v>
      </c>
      <c r="J529" s="4">
        <v>65</v>
      </c>
      <c r="K529" s="4">
        <v>110.2</v>
      </c>
      <c r="L529" s="4">
        <v>18.2</v>
      </c>
      <c r="M529">
        <v>15</v>
      </c>
      <c r="N529" t="s">
        <v>56</v>
      </c>
      <c r="O529">
        <v>5</v>
      </c>
      <c r="P529" s="4">
        <v>330.9</v>
      </c>
      <c r="Q529" t="s">
        <v>48</v>
      </c>
      <c r="R529">
        <v>1</v>
      </c>
      <c r="S529" t="s">
        <v>31</v>
      </c>
      <c r="T529">
        <v>1</v>
      </c>
      <c r="U529">
        <v>1</v>
      </c>
      <c r="V529" t="s">
        <v>32</v>
      </c>
      <c r="W529" t="s">
        <v>33</v>
      </c>
      <c r="X529" s="4">
        <v>11.9</v>
      </c>
      <c r="Y529">
        <v>12</v>
      </c>
      <c r="Z529" s="5">
        <v>272.27999999999997</v>
      </c>
    </row>
    <row r="530" spans="1:26">
      <c r="A530">
        <v>529</v>
      </c>
      <c r="B530">
        <v>166</v>
      </c>
      <c r="C530" s="2">
        <v>46115</v>
      </c>
      <c r="D530" t="s">
        <v>26</v>
      </c>
      <c r="E530">
        <v>4</v>
      </c>
      <c r="F530" s="3">
        <v>8.91</v>
      </c>
      <c r="G530" t="s">
        <v>27</v>
      </c>
      <c r="H530">
        <v>59</v>
      </c>
      <c r="I530" t="s">
        <v>34</v>
      </c>
      <c r="J530" s="4">
        <v>62.4</v>
      </c>
      <c r="K530" s="4">
        <v>159.5</v>
      </c>
      <c r="L530" s="4">
        <v>28.8</v>
      </c>
      <c r="M530">
        <v>19</v>
      </c>
      <c r="N530" t="s">
        <v>56</v>
      </c>
      <c r="O530">
        <v>5</v>
      </c>
      <c r="P530" s="4">
        <v>330.9</v>
      </c>
      <c r="Q530" t="s">
        <v>48</v>
      </c>
      <c r="R530">
        <v>1</v>
      </c>
      <c r="S530" t="s">
        <v>31</v>
      </c>
      <c r="T530">
        <v>1</v>
      </c>
      <c r="U530">
        <v>1</v>
      </c>
      <c r="V530" t="s">
        <v>32</v>
      </c>
      <c r="W530" t="s">
        <v>33</v>
      </c>
      <c r="X530" s="4">
        <v>11.1</v>
      </c>
      <c r="Y530">
        <v>16</v>
      </c>
      <c r="Z530" s="5">
        <v>387.85</v>
      </c>
    </row>
    <row r="531" spans="1:26">
      <c r="A531">
        <v>530</v>
      </c>
      <c r="B531">
        <v>167</v>
      </c>
      <c r="C531" s="2">
        <v>46307</v>
      </c>
      <c r="D531" t="s">
        <v>46</v>
      </c>
      <c r="E531">
        <v>10</v>
      </c>
      <c r="F531" s="3">
        <v>7.34</v>
      </c>
      <c r="G531" t="s">
        <v>27</v>
      </c>
      <c r="H531">
        <v>13</v>
      </c>
      <c r="I531" t="s">
        <v>28</v>
      </c>
      <c r="J531" s="4">
        <v>67.8</v>
      </c>
      <c r="K531" s="4">
        <v>137.80000000000001</v>
      </c>
      <c r="L531" s="4">
        <v>21.2</v>
      </c>
      <c r="M531">
        <v>15</v>
      </c>
      <c r="N531" t="s">
        <v>50</v>
      </c>
      <c r="O531">
        <v>1</v>
      </c>
      <c r="P531" s="4">
        <v>255.6</v>
      </c>
      <c r="Q531" t="s">
        <v>42</v>
      </c>
      <c r="R531">
        <v>1</v>
      </c>
      <c r="S531" t="s">
        <v>38</v>
      </c>
      <c r="T531">
        <v>1</v>
      </c>
      <c r="U531">
        <v>0</v>
      </c>
      <c r="V531" t="s">
        <v>32</v>
      </c>
      <c r="W531" t="s">
        <v>39</v>
      </c>
      <c r="X531" s="4">
        <v>9.6</v>
      </c>
      <c r="Y531">
        <v>12</v>
      </c>
      <c r="Z531" s="5">
        <v>221.2</v>
      </c>
    </row>
    <row r="532" spans="1:26">
      <c r="A532">
        <v>531</v>
      </c>
      <c r="B532">
        <v>168</v>
      </c>
      <c r="C532" s="2">
        <v>46312</v>
      </c>
      <c r="D532" t="s">
        <v>40</v>
      </c>
      <c r="E532">
        <v>10</v>
      </c>
      <c r="F532" s="3">
        <v>14.34</v>
      </c>
      <c r="G532" t="s">
        <v>36</v>
      </c>
      <c r="H532">
        <v>57</v>
      </c>
      <c r="I532" t="s">
        <v>34</v>
      </c>
      <c r="J532" s="4">
        <v>67.8</v>
      </c>
      <c r="K532" s="4">
        <v>159.19999999999999</v>
      </c>
      <c r="L532" s="4">
        <v>24.6</v>
      </c>
      <c r="M532">
        <v>18</v>
      </c>
      <c r="N532" t="s">
        <v>50</v>
      </c>
      <c r="O532">
        <v>5</v>
      </c>
      <c r="P532" s="4">
        <v>378.1</v>
      </c>
      <c r="Q532" t="s">
        <v>42</v>
      </c>
      <c r="R532">
        <v>1</v>
      </c>
      <c r="S532" t="s">
        <v>44</v>
      </c>
      <c r="T532">
        <v>0</v>
      </c>
      <c r="U532">
        <v>0</v>
      </c>
      <c r="V532" t="s">
        <v>32</v>
      </c>
      <c r="W532" t="s">
        <v>43</v>
      </c>
      <c r="X532" s="4">
        <v>7.6</v>
      </c>
      <c r="Y532">
        <v>6</v>
      </c>
      <c r="Z532" s="5">
        <v>141.12</v>
      </c>
    </row>
    <row r="533" spans="1:26">
      <c r="A533">
        <v>532</v>
      </c>
      <c r="B533">
        <v>168</v>
      </c>
      <c r="C533" s="2">
        <v>46312</v>
      </c>
      <c r="D533" t="s">
        <v>40</v>
      </c>
      <c r="E533">
        <v>10</v>
      </c>
      <c r="F533" s="3">
        <v>14.46</v>
      </c>
      <c r="G533" t="s">
        <v>36</v>
      </c>
      <c r="H533">
        <v>50</v>
      </c>
      <c r="I533" t="s">
        <v>28</v>
      </c>
      <c r="J533" s="4">
        <v>65.7</v>
      </c>
      <c r="K533" s="4">
        <v>154.6</v>
      </c>
      <c r="L533" s="4">
        <v>25.3</v>
      </c>
      <c r="M533">
        <v>15</v>
      </c>
      <c r="N533" t="s">
        <v>50</v>
      </c>
      <c r="O533">
        <v>5</v>
      </c>
      <c r="P533" s="4">
        <v>378.1</v>
      </c>
      <c r="Q533" t="s">
        <v>42</v>
      </c>
      <c r="R533">
        <v>1</v>
      </c>
      <c r="S533" t="s">
        <v>44</v>
      </c>
      <c r="T533">
        <v>0</v>
      </c>
      <c r="U533">
        <v>0</v>
      </c>
      <c r="V533" t="s">
        <v>32</v>
      </c>
      <c r="W533" t="s">
        <v>43</v>
      </c>
      <c r="X533" s="4">
        <v>10</v>
      </c>
      <c r="Y533">
        <v>8</v>
      </c>
      <c r="Z533" s="5">
        <v>222.34</v>
      </c>
    </row>
    <row r="534" spans="1:26">
      <c r="A534">
        <v>533</v>
      </c>
      <c r="B534">
        <v>168</v>
      </c>
      <c r="C534" s="2">
        <v>46312</v>
      </c>
      <c r="D534" t="s">
        <v>40</v>
      </c>
      <c r="E534">
        <v>10</v>
      </c>
      <c r="F534" s="3">
        <v>14.4</v>
      </c>
      <c r="G534" t="s">
        <v>36</v>
      </c>
      <c r="H534">
        <v>18</v>
      </c>
      <c r="I534" t="s">
        <v>28</v>
      </c>
      <c r="J534" s="4">
        <v>73.5</v>
      </c>
      <c r="K534" s="4">
        <v>186.6</v>
      </c>
      <c r="L534" s="4">
        <v>24.6</v>
      </c>
      <c r="M534">
        <v>14</v>
      </c>
      <c r="N534" t="s">
        <v>50</v>
      </c>
      <c r="O534">
        <v>5</v>
      </c>
      <c r="P534" s="4">
        <v>378.1</v>
      </c>
      <c r="Q534" t="s">
        <v>42</v>
      </c>
      <c r="R534">
        <v>1</v>
      </c>
      <c r="S534" t="s">
        <v>44</v>
      </c>
      <c r="T534">
        <v>0</v>
      </c>
      <c r="U534">
        <v>0</v>
      </c>
      <c r="V534" t="s">
        <v>32</v>
      </c>
      <c r="W534" t="s">
        <v>43</v>
      </c>
      <c r="X534" s="4">
        <v>6.1</v>
      </c>
      <c r="Y534">
        <v>8</v>
      </c>
      <c r="Z534" s="5">
        <v>256.52999999999997</v>
      </c>
    </row>
    <row r="535" spans="1:26">
      <c r="A535">
        <v>534</v>
      </c>
      <c r="B535">
        <v>168</v>
      </c>
      <c r="C535" s="2">
        <v>46312</v>
      </c>
      <c r="D535" t="s">
        <v>40</v>
      </c>
      <c r="E535">
        <v>10</v>
      </c>
      <c r="F535" s="3">
        <v>14.24</v>
      </c>
      <c r="G535" t="s">
        <v>36</v>
      </c>
      <c r="H535">
        <v>49</v>
      </c>
      <c r="I535" t="s">
        <v>28</v>
      </c>
      <c r="J535" s="4">
        <v>71.5</v>
      </c>
      <c r="K535" s="4">
        <v>248.9</v>
      </c>
      <c r="L535" s="4">
        <v>34.1</v>
      </c>
      <c r="M535">
        <v>16</v>
      </c>
      <c r="N535" t="s">
        <v>50</v>
      </c>
      <c r="O535">
        <v>5</v>
      </c>
      <c r="P535" s="4">
        <v>378.1</v>
      </c>
      <c r="Q535" t="s">
        <v>42</v>
      </c>
      <c r="R535">
        <v>1</v>
      </c>
      <c r="S535" t="s">
        <v>44</v>
      </c>
      <c r="T535">
        <v>0</v>
      </c>
      <c r="U535">
        <v>0</v>
      </c>
      <c r="V535" t="s">
        <v>32</v>
      </c>
      <c r="W535" t="s">
        <v>43</v>
      </c>
      <c r="X535" s="4">
        <v>7.9</v>
      </c>
      <c r="Y535">
        <v>6</v>
      </c>
      <c r="Z535" s="5">
        <v>119</v>
      </c>
    </row>
    <row r="536" spans="1:26">
      <c r="A536">
        <v>535</v>
      </c>
      <c r="B536">
        <v>168</v>
      </c>
      <c r="C536" s="2">
        <v>46312</v>
      </c>
      <c r="D536" t="s">
        <v>40</v>
      </c>
      <c r="E536">
        <v>10</v>
      </c>
      <c r="F536" s="3">
        <v>14.16</v>
      </c>
      <c r="G536" t="s">
        <v>36</v>
      </c>
      <c r="H536">
        <v>57</v>
      </c>
      <c r="I536" t="s">
        <v>28</v>
      </c>
      <c r="J536" s="4">
        <v>69.5</v>
      </c>
      <c r="K536" s="4">
        <v>157.69999999999999</v>
      </c>
      <c r="L536" s="4">
        <v>22.9</v>
      </c>
      <c r="M536">
        <v>15</v>
      </c>
      <c r="N536" t="s">
        <v>50</v>
      </c>
      <c r="O536">
        <v>5</v>
      </c>
      <c r="P536" s="4">
        <v>378.1</v>
      </c>
      <c r="Q536" t="s">
        <v>42</v>
      </c>
      <c r="R536">
        <v>1</v>
      </c>
      <c r="S536" t="s">
        <v>44</v>
      </c>
      <c r="T536">
        <v>0</v>
      </c>
      <c r="U536">
        <v>0</v>
      </c>
      <c r="V536" t="s">
        <v>32</v>
      </c>
      <c r="W536" t="s">
        <v>43</v>
      </c>
      <c r="X536" s="4">
        <v>8.1999999999999993</v>
      </c>
      <c r="Y536">
        <v>11</v>
      </c>
      <c r="Z536" s="5">
        <v>263.83</v>
      </c>
    </row>
    <row r="537" spans="1:26">
      <c r="A537">
        <v>536</v>
      </c>
      <c r="B537">
        <v>169</v>
      </c>
      <c r="C537" s="2">
        <v>46231</v>
      </c>
      <c r="D537" t="s">
        <v>35</v>
      </c>
      <c r="E537">
        <v>7</v>
      </c>
      <c r="F537" s="3">
        <v>12.91</v>
      </c>
      <c r="G537" t="s">
        <v>36</v>
      </c>
      <c r="H537">
        <v>18</v>
      </c>
      <c r="I537" t="s">
        <v>34</v>
      </c>
      <c r="J537" s="4">
        <v>67.400000000000006</v>
      </c>
      <c r="K537" s="4">
        <v>140.69999999999999</v>
      </c>
      <c r="L537" s="4">
        <v>21.6</v>
      </c>
      <c r="M537">
        <v>11</v>
      </c>
      <c r="N537" t="s">
        <v>47</v>
      </c>
      <c r="O537">
        <v>1</v>
      </c>
      <c r="P537" s="4">
        <v>65.5</v>
      </c>
      <c r="Q537" t="s">
        <v>42</v>
      </c>
      <c r="R537">
        <v>0</v>
      </c>
      <c r="S537" t="s">
        <v>38</v>
      </c>
      <c r="T537">
        <v>0</v>
      </c>
      <c r="U537">
        <v>0</v>
      </c>
      <c r="V537" t="s">
        <v>32</v>
      </c>
      <c r="W537" t="s">
        <v>49</v>
      </c>
      <c r="X537" s="4">
        <v>8.8000000000000007</v>
      </c>
      <c r="Y537">
        <v>9</v>
      </c>
      <c r="Z537" s="5">
        <v>285.91000000000003</v>
      </c>
    </row>
    <row r="538" spans="1:26">
      <c r="A538">
        <v>537</v>
      </c>
      <c r="B538">
        <v>170</v>
      </c>
      <c r="C538" s="2">
        <v>46121</v>
      </c>
      <c r="D538" t="s">
        <v>55</v>
      </c>
      <c r="E538">
        <v>4</v>
      </c>
      <c r="F538" s="3">
        <v>9.1300000000000008</v>
      </c>
      <c r="G538" t="s">
        <v>27</v>
      </c>
      <c r="H538">
        <v>47</v>
      </c>
      <c r="I538" t="s">
        <v>28</v>
      </c>
      <c r="J538" s="4">
        <v>69.2</v>
      </c>
      <c r="K538" s="4">
        <v>150</v>
      </c>
      <c r="L538" s="4">
        <v>22.1</v>
      </c>
      <c r="M538">
        <v>15</v>
      </c>
      <c r="N538" t="s">
        <v>47</v>
      </c>
      <c r="O538">
        <v>2</v>
      </c>
      <c r="P538" s="4">
        <v>2</v>
      </c>
      <c r="Q538" t="s">
        <v>30</v>
      </c>
      <c r="R538">
        <v>0</v>
      </c>
      <c r="S538" t="s">
        <v>44</v>
      </c>
      <c r="T538">
        <v>0</v>
      </c>
      <c r="U538">
        <v>1</v>
      </c>
      <c r="V538" t="s">
        <v>32</v>
      </c>
      <c r="W538" t="s">
        <v>33</v>
      </c>
      <c r="X538" s="4">
        <v>8.4</v>
      </c>
      <c r="Y538">
        <v>8</v>
      </c>
      <c r="Z538" s="5">
        <v>272.76</v>
      </c>
    </row>
    <row r="539" spans="1:26">
      <c r="A539">
        <v>538</v>
      </c>
      <c r="B539">
        <v>170</v>
      </c>
      <c r="C539" s="2">
        <v>46121</v>
      </c>
      <c r="D539" t="s">
        <v>55</v>
      </c>
      <c r="E539">
        <v>4</v>
      </c>
      <c r="F539" s="3">
        <v>9.26</v>
      </c>
      <c r="G539" t="s">
        <v>27</v>
      </c>
      <c r="H539">
        <v>29</v>
      </c>
      <c r="I539" t="s">
        <v>34</v>
      </c>
      <c r="J539" s="4">
        <v>62.7</v>
      </c>
      <c r="K539" s="4">
        <v>157.6</v>
      </c>
      <c r="L539" s="4">
        <v>28.2</v>
      </c>
      <c r="M539">
        <v>13</v>
      </c>
      <c r="N539" t="s">
        <v>47</v>
      </c>
      <c r="O539">
        <v>2</v>
      </c>
      <c r="P539" s="4">
        <v>2</v>
      </c>
      <c r="Q539" t="s">
        <v>30</v>
      </c>
      <c r="R539">
        <v>0</v>
      </c>
      <c r="S539" t="s">
        <v>44</v>
      </c>
      <c r="T539">
        <v>0</v>
      </c>
      <c r="U539">
        <v>1</v>
      </c>
      <c r="V539" t="s">
        <v>32</v>
      </c>
      <c r="W539" t="s">
        <v>33</v>
      </c>
      <c r="X539" s="4">
        <v>9.8000000000000007</v>
      </c>
      <c r="Y539">
        <v>8</v>
      </c>
      <c r="Z539" s="5">
        <v>231.94</v>
      </c>
    </row>
    <row r="540" spans="1:26">
      <c r="A540">
        <v>539</v>
      </c>
      <c r="B540">
        <v>171</v>
      </c>
      <c r="C540" s="2">
        <v>46298</v>
      </c>
      <c r="D540" t="s">
        <v>40</v>
      </c>
      <c r="E540">
        <v>10</v>
      </c>
      <c r="F540" s="3">
        <v>9.32</v>
      </c>
      <c r="G540" t="s">
        <v>27</v>
      </c>
      <c r="H540">
        <v>42</v>
      </c>
      <c r="I540" t="s">
        <v>28</v>
      </c>
      <c r="J540" s="4">
        <v>73.3</v>
      </c>
      <c r="K540" s="4">
        <v>217</v>
      </c>
      <c r="L540" s="4">
        <v>28.4</v>
      </c>
      <c r="M540">
        <v>18</v>
      </c>
      <c r="N540" t="s">
        <v>47</v>
      </c>
      <c r="O540">
        <v>6</v>
      </c>
      <c r="P540" s="4">
        <v>183.4</v>
      </c>
      <c r="Q540" t="s">
        <v>42</v>
      </c>
      <c r="R540">
        <v>0</v>
      </c>
      <c r="S540" t="s">
        <v>44</v>
      </c>
      <c r="T540">
        <v>1</v>
      </c>
      <c r="U540">
        <v>0</v>
      </c>
      <c r="V540" t="s">
        <v>32</v>
      </c>
      <c r="W540" t="s">
        <v>39</v>
      </c>
      <c r="X540" s="4">
        <v>6.5</v>
      </c>
      <c r="Y540">
        <v>4</v>
      </c>
      <c r="Z540" s="5">
        <v>97.83</v>
      </c>
    </row>
    <row r="541" spans="1:26">
      <c r="A541">
        <v>540</v>
      </c>
      <c r="B541">
        <v>171</v>
      </c>
      <c r="C541" s="2">
        <v>46298</v>
      </c>
      <c r="D541" t="s">
        <v>40</v>
      </c>
      <c r="E541">
        <v>10</v>
      </c>
      <c r="F541" s="3">
        <v>9.39</v>
      </c>
      <c r="G541" t="s">
        <v>27</v>
      </c>
      <c r="H541">
        <v>50</v>
      </c>
      <c r="I541" t="s">
        <v>34</v>
      </c>
      <c r="J541" s="4">
        <v>65.599999999999994</v>
      </c>
      <c r="K541" s="4">
        <v>153.1</v>
      </c>
      <c r="L541" s="4">
        <v>25.1</v>
      </c>
      <c r="M541">
        <v>17</v>
      </c>
      <c r="N541" t="s">
        <v>47</v>
      </c>
      <c r="O541">
        <v>6</v>
      </c>
      <c r="P541" s="4">
        <v>183.4</v>
      </c>
      <c r="Q541" t="s">
        <v>42</v>
      </c>
      <c r="R541">
        <v>0</v>
      </c>
      <c r="S541" t="s">
        <v>44</v>
      </c>
      <c r="T541">
        <v>1</v>
      </c>
      <c r="U541">
        <v>0</v>
      </c>
      <c r="V541" t="s">
        <v>32</v>
      </c>
      <c r="W541" t="s">
        <v>39</v>
      </c>
      <c r="X541" s="4">
        <v>8.8000000000000007</v>
      </c>
      <c r="Y541">
        <v>11</v>
      </c>
      <c r="Z541" s="5">
        <v>153.19999999999999</v>
      </c>
    </row>
    <row r="542" spans="1:26">
      <c r="A542">
        <v>541</v>
      </c>
      <c r="B542">
        <v>171</v>
      </c>
      <c r="C542" s="2">
        <v>46298</v>
      </c>
      <c r="D542" t="s">
        <v>40</v>
      </c>
      <c r="E542">
        <v>10</v>
      </c>
      <c r="F542" s="3">
        <v>9.44</v>
      </c>
      <c r="G542" t="s">
        <v>27</v>
      </c>
      <c r="H542">
        <v>54</v>
      </c>
      <c r="I542" t="s">
        <v>34</v>
      </c>
      <c r="J542" s="4">
        <v>65.099999999999994</v>
      </c>
      <c r="K542" s="4">
        <v>167.2</v>
      </c>
      <c r="L542" s="4">
        <v>27.7</v>
      </c>
      <c r="M542">
        <v>14</v>
      </c>
      <c r="N542" t="s">
        <v>47</v>
      </c>
      <c r="O542">
        <v>6</v>
      </c>
      <c r="P542" s="4">
        <v>183.4</v>
      </c>
      <c r="Q542" t="s">
        <v>42</v>
      </c>
      <c r="R542">
        <v>0</v>
      </c>
      <c r="S542" t="s">
        <v>44</v>
      </c>
      <c r="T542">
        <v>1</v>
      </c>
      <c r="U542">
        <v>0</v>
      </c>
      <c r="V542" t="s">
        <v>32</v>
      </c>
      <c r="W542" t="s">
        <v>39</v>
      </c>
      <c r="X542" s="4">
        <v>6.4</v>
      </c>
      <c r="Y542">
        <v>7</v>
      </c>
      <c r="Z542" s="5">
        <v>184.54</v>
      </c>
    </row>
    <row r="543" spans="1:26">
      <c r="A543">
        <v>542</v>
      </c>
      <c r="B543">
        <v>171</v>
      </c>
      <c r="C543" s="2">
        <v>46298</v>
      </c>
      <c r="D543" t="s">
        <v>40</v>
      </c>
      <c r="E543">
        <v>10</v>
      </c>
      <c r="F543" s="3">
        <v>9.24</v>
      </c>
      <c r="G543" t="s">
        <v>27</v>
      </c>
      <c r="H543">
        <v>70</v>
      </c>
      <c r="I543" t="s">
        <v>34</v>
      </c>
      <c r="J543" s="4">
        <v>63.8</v>
      </c>
      <c r="K543" s="4">
        <v>104.3</v>
      </c>
      <c r="L543" s="4">
        <v>18</v>
      </c>
      <c r="M543">
        <v>15</v>
      </c>
      <c r="N543" t="s">
        <v>47</v>
      </c>
      <c r="O543">
        <v>6</v>
      </c>
      <c r="P543" s="4">
        <v>183.4</v>
      </c>
      <c r="Q543" t="s">
        <v>42</v>
      </c>
      <c r="R543">
        <v>0</v>
      </c>
      <c r="S543" t="s">
        <v>44</v>
      </c>
      <c r="T543">
        <v>1</v>
      </c>
      <c r="U543">
        <v>0</v>
      </c>
      <c r="V543" t="s">
        <v>32</v>
      </c>
      <c r="W543" t="s">
        <v>39</v>
      </c>
      <c r="X543" s="4">
        <v>7.2</v>
      </c>
      <c r="Y543">
        <v>6</v>
      </c>
      <c r="Z543" s="5">
        <v>209.95</v>
      </c>
    </row>
    <row r="544" spans="1:26">
      <c r="A544">
        <v>543</v>
      </c>
      <c r="B544">
        <v>171</v>
      </c>
      <c r="C544" s="2">
        <v>46298</v>
      </c>
      <c r="D544" t="s">
        <v>40</v>
      </c>
      <c r="E544">
        <v>10</v>
      </c>
      <c r="F544" s="3">
        <v>9.51</v>
      </c>
      <c r="G544" t="s">
        <v>27</v>
      </c>
      <c r="H544">
        <v>81</v>
      </c>
      <c r="I544" t="s">
        <v>34</v>
      </c>
      <c r="J544" s="4">
        <v>63.1</v>
      </c>
      <c r="K544" s="4">
        <v>125.3</v>
      </c>
      <c r="L544" s="4">
        <v>22.4</v>
      </c>
      <c r="M544">
        <v>17</v>
      </c>
      <c r="N544" t="s">
        <v>47</v>
      </c>
      <c r="O544">
        <v>6</v>
      </c>
      <c r="P544" s="4">
        <v>183.4</v>
      </c>
      <c r="Q544" t="s">
        <v>42</v>
      </c>
      <c r="R544">
        <v>0</v>
      </c>
      <c r="S544" t="s">
        <v>44</v>
      </c>
      <c r="T544">
        <v>1</v>
      </c>
      <c r="U544">
        <v>0</v>
      </c>
      <c r="V544" t="s">
        <v>32</v>
      </c>
      <c r="W544" t="s">
        <v>39</v>
      </c>
      <c r="X544" s="4">
        <v>8</v>
      </c>
      <c r="Y544">
        <v>3</v>
      </c>
      <c r="Z544" s="5">
        <v>247.74</v>
      </c>
    </row>
    <row r="545" spans="1:26">
      <c r="A545">
        <v>544</v>
      </c>
      <c r="B545">
        <v>171</v>
      </c>
      <c r="C545" s="2">
        <v>46298</v>
      </c>
      <c r="D545" t="s">
        <v>40</v>
      </c>
      <c r="E545">
        <v>10</v>
      </c>
      <c r="F545" s="3">
        <v>9.32</v>
      </c>
      <c r="G545" t="s">
        <v>27</v>
      </c>
      <c r="H545">
        <v>44</v>
      </c>
      <c r="I545" t="s">
        <v>34</v>
      </c>
      <c r="J545" s="4">
        <v>63.7</v>
      </c>
      <c r="K545" s="4">
        <v>151.80000000000001</v>
      </c>
      <c r="L545" s="4">
        <v>26.4</v>
      </c>
      <c r="M545">
        <v>14</v>
      </c>
      <c r="N545" t="s">
        <v>47</v>
      </c>
      <c r="O545">
        <v>6</v>
      </c>
      <c r="P545" s="4">
        <v>183.4</v>
      </c>
      <c r="Q545" t="s">
        <v>42</v>
      </c>
      <c r="R545">
        <v>0</v>
      </c>
      <c r="S545" t="s">
        <v>44</v>
      </c>
      <c r="T545">
        <v>1</v>
      </c>
      <c r="U545">
        <v>0</v>
      </c>
      <c r="V545" t="s">
        <v>32</v>
      </c>
      <c r="W545" t="s">
        <v>39</v>
      </c>
      <c r="X545" s="4">
        <v>9.4</v>
      </c>
      <c r="Y545">
        <v>10</v>
      </c>
      <c r="Z545" s="5">
        <v>252.19</v>
      </c>
    </row>
    <row r="546" spans="1:26">
      <c r="A546">
        <v>545</v>
      </c>
      <c r="B546">
        <v>172</v>
      </c>
      <c r="C546" s="2">
        <v>46100</v>
      </c>
      <c r="D546" t="s">
        <v>55</v>
      </c>
      <c r="E546">
        <v>3</v>
      </c>
      <c r="F546" s="3">
        <v>12.58</v>
      </c>
      <c r="G546" t="s">
        <v>36</v>
      </c>
      <c r="H546">
        <v>18</v>
      </c>
      <c r="I546" t="s">
        <v>34</v>
      </c>
      <c r="J546" s="4">
        <v>71.3</v>
      </c>
      <c r="K546" s="4">
        <v>175.3</v>
      </c>
      <c r="L546" s="4">
        <v>24.3</v>
      </c>
      <c r="M546">
        <v>12</v>
      </c>
      <c r="N546" t="s">
        <v>47</v>
      </c>
      <c r="O546">
        <v>1</v>
      </c>
      <c r="P546" s="4">
        <v>2</v>
      </c>
      <c r="Q546" t="s">
        <v>42</v>
      </c>
      <c r="R546">
        <v>1</v>
      </c>
      <c r="S546" t="s">
        <v>31</v>
      </c>
      <c r="T546">
        <v>0</v>
      </c>
      <c r="U546">
        <v>0</v>
      </c>
      <c r="V546" t="s">
        <v>32</v>
      </c>
      <c r="W546" t="s">
        <v>43</v>
      </c>
      <c r="X546" s="4">
        <v>9.1</v>
      </c>
      <c r="Y546">
        <v>6</v>
      </c>
      <c r="Z546" s="5">
        <v>178.74</v>
      </c>
    </row>
    <row r="547" spans="1:26">
      <c r="A547">
        <v>546</v>
      </c>
      <c r="B547">
        <v>173</v>
      </c>
      <c r="C547" s="2">
        <v>46326</v>
      </c>
      <c r="D547" t="s">
        <v>40</v>
      </c>
      <c r="E547">
        <v>10</v>
      </c>
      <c r="F547" s="3">
        <v>9.64</v>
      </c>
      <c r="G547" t="s">
        <v>27</v>
      </c>
      <c r="H547">
        <v>65</v>
      </c>
      <c r="I547" t="s">
        <v>28</v>
      </c>
      <c r="J547" s="4">
        <v>67.400000000000006</v>
      </c>
      <c r="K547" s="4">
        <v>172</v>
      </c>
      <c r="L547" s="4">
        <v>26.7</v>
      </c>
      <c r="M547">
        <v>16</v>
      </c>
      <c r="N547" t="s">
        <v>47</v>
      </c>
      <c r="O547">
        <v>4</v>
      </c>
      <c r="P547" s="4">
        <v>160</v>
      </c>
      <c r="Q547" t="s">
        <v>48</v>
      </c>
      <c r="R547">
        <v>0</v>
      </c>
      <c r="S547" t="s">
        <v>38</v>
      </c>
      <c r="T547">
        <v>0</v>
      </c>
      <c r="U547">
        <v>0</v>
      </c>
      <c r="V547" t="s">
        <v>32</v>
      </c>
      <c r="W547" t="s">
        <v>39</v>
      </c>
      <c r="X547" s="4">
        <v>6.3</v>
      </c>
      <c r="Y547">
        <v>7</v>
      </c>
      <c r="Z547" s="5">
        <v>134.5</v>
      </c>
    </row>
    <row r="548" spans="1:26">
      <c r="A548">
        <v>547</v>
      </c>
      <c r="B548">
        <v>173</v>
      </c>
      <c r="C548" s="2">
        <v>46326</v>
      </c>
      <c r="D548" t="s">
        <v>40</v>
      </c>
      <c r="E548">
        <v>10</v>
      </c>
      <c r="F548" s="3">
        <v>9.64</v>
      </c>
      <c r="G548" t="s">
        <v>27</v>
      </c>
      <c r="H548">
        <v>56</v>
      </c>
      <c r="I548" t="s">
        <v>34</v>
      </c>
      <c r="J548" s="4">
        <v>56.9</v>
      </c>
      <c r="K548" s="4">
        <v>133</v>
      </c>
      <c r="L548" s="4">
        <v>28.9</v>
      </c>
      <c r="M548">
        <v>19</v>
      </c>
      <c r="N548" t="s">
        <v>47</v>
      </c>
      <c r="O548">
        <v>4</v>
      </c>
      <c r="P548" s="4">
        <v>160</v>
      </c>
      <c r="Q548" t="s">
        <v>48</v>
      </c>
      <c r="R548">
        <v>0</v>
      </c>
      <c r="S548" t="s">
        <v>38</v>
      </c>
      <c r="T548">
        <v>0</v>
      </c>
      <c r="U548">
        <v>0</v>
      </c>
      <c r="V548" t="s">
        <v>32</v>
      </c>
      <c r="W548" t="s">
        <v>39</v>
      </c>
      <c r="X548" s="4">
        <v>10.4</v>
      </c>
      <c r="Y548">
        <v>13</v>
      </c>
      <c r="Z548" s="5">
        <v>239.65</v>
      </c>
    </row>
    <row r="549" spans="1:26">
      <c r="A549">
        <v>548</v>
      </c>
      <c r="B549">
        <v>173</v>
      </c>
      <c r="C549" s="2">
        <v>46326</v>
      </c>
      <c r="D549" t="s">
        <v>40</v>
      </c>
      <c r="E549">
        <v>10</v>
      </c>
      <c r="F549" s="3">
        <v>9.44</v>
      </c>
      <c r="G549" t="s">
        <v>27</v>
      </c>
      <c r="H549">
        <v>64</v>
      </c>
      <c r="I549" t="s">
        <v>28</v>
      </c>
      <c r="J549" s="4">
        <v>66</v>
      </c>
      <c r="K549" s="4">
        <v>215.9</v>
      </c>
      <c r="L549" s="4">
        <v>35</v>
      </c>
      <c r="M549">
        <v>18</v>
      </c>
      <c r="N549" t="s">
        <v>47</v>
      </c>
      <c r="O549">
        <v>4</v>
      </c>
      <c r="P549" s="4">
        <v>160</v>
      </c>
      <c r="Q549" t="s">
        <v>48</v>
      </c>
      <c r="R549">
        <v>0</v>
      </c>
      <c r="S549" t="s">
        <v>38</v>
      </c>
      <c r="T549">
        <v>0</v>
      </c>
      <c r="U549">
        <v>0</v>
      </c>
      <c r="V549" t="s">
        <v>32</v>
      </c>
      <c r="W549" t="s">
        <v>39</v>
      </c>
      <c r="X549" s="4">
        <v>10</v>
      </c>
      <c r="Y549">
        <v>8</v>
      </c>
      <c r="Z549" s="5">
        <v>370.31</v>
      </c>
    </row>
    <row r="550" spans="1:26">
      <c r="A550">
        <v>549</v>
      </c>
      <c r="B550">
        <v>173</v>
      </c>
      <c r="C550" s="2">
        <v>46326</v>
      </c>
      <c r="D550" t="s">
        <v>40</v>
      </c>
      <c r="E550">
        <v>10</v>
      </c>
      <c r="F550" s="3">
        <v>9.7799999999999994</v>
      </c>
      <c r="G550" t="s">
        <v>27</v>
      </c>
      <c r="H550">
        <v>12</v>
      </c>
      <c r="I550" t="s">
        <v>34</v>
      </c>
      <c r="J550" s="4">
        <v>67.599999999999994</v>
      </c>
      <c r="K550" s="4">
        <v>126.4</v>
      </c>
      <c r="L550" s="4">
        <v>19.5</v>
      </c>
      <c r="M550">
        <v>13</v>
      </c>
      <c r="N550" t="s">
        <v>47</v>
      </c>
      <c r="O550">
        <v>4</v>
      </c>
      <c r="P550" s="4">
        <v>160</v>
      </c>
      <c r="Q550" t="s">
        <v>48</v>
      </c>
      <c r="R550">
        <v>0</v>
      </c>
      <c r="S550" t="s">
        <v>38</v>
      </c>
      <c r="T550">
        <v>0</v>
      </c>
      <c r="U550">
        <v>0</v>
      </c>
      <c r="V550" t="s">
        <v>32</v>
      </c>
      <c r="W550" t="s">
        <v>39</v>
      </c>
      <c r="X550" s="4">
        <v>9.6</v>
      </c>
      <c r="Y550">
        <v>6</v>
      </c>
      <c r="Z550" s="5">
        <v>206.77</v>
      </c>
    </row>
    <row r="551" spans="1:26">
      <c r="A551">
        <v>550</v>
      </c>
      <c r="B551">
        <v>174</v>
      </c>
      <c r="C551" s="2">
        <v>46193</v>
      </c>
      <c r="D551" t="s">
        <v>40</v>
      </c>
      <c r="E551">
        <v>6</v>
      </c>
      <c r="F551" s="3">
        <v>11.07</v>
      </c>
      <c r="G551" t="s">
        <v>36</v>
      </c>
      <c r="H551">
        <v>18</v>
      </c>
      <c r="I551" t="s">
        <v>28</v>
      </c>
      <c r="J551" s="4">
        <v>71.7</v>
      </c>
      <c r="K551" s="4">
        <v>160.4</v>
      </c>
      <c r="L551" s="4">
        <v>21.7</v>
      </c>
      <c r="M551">
        <v>12</v>
      </c>
      <c r="N551" t="s">
        <v>69</v>
      </c>
      <c r="O551">
        <v>4</v>
      </c>
      <c r="P551" s="4">
        <v>1630.4</v>
      </c>
      <c r="Q551" t="s">
        <v>30</v>
      </c>
      <c r="R551">
        <v>1</v>
      </c>
      <c r="S551" t="s">
        <v>44</v>
      </c>
      <c r="T551">
        <v>0</v>
      </c>
      <c r="U551">
        <v>0</v>
      </c>
      <c r="V551" t="s">
        <v>32</v>
      </c>
      <c r="W551" t="s">
        <v>43</v>
      </c>
      <c r="X551" s="4">
        <v>5.6</v>
      </c>
      <c r="Y551">
        <v>5</v>
      </c>
      <c r="Z551" s="5">
        <v>89.48</v>
      </c>
    </row>
    <row r="552" spans="1:26">
      <c r="A552">
        <v>551</v>
      </c>
      <c r="B552">
        <v>174</v>
      </c>
      <c r="C552" s="2">
        <v>46193</v>
      </c>
      <c r="D552" t="s">
        <v>40</v>
      </c>
      <c r="E552">
        <v>6</v>
      </c>
      <c r="F552" s="3">
        <v>10.91</v>
      </c>
      <c r="G552" t="s">
        <v>27</v>
      </c>
      <c r="H552">
        <v>11</v>
      </c>
      <c r="I552" t="s">
        <v>28</v>
      </c>
      <c r="J552" s="4">
        <v>68.099999999999994</v>
      </c>
      <c r="K552" s="4">
        <v>113.5</v>
      </c>
      <c r="L552" s="4">
        <v>17.3</v>
      </c>
      <c r="M552">
        <v>12</v>
      </c>
      <c r="N552" t="s">
        <v>69</v>
      </c>
      <c r="O552">
        <v>4</v>
      </c>
      <c r="P552" s="4">
        <v>1630.4</v>
      </c>
      <c r="Q552" t="s">
        <v>30</v>
      </c>
      <c r="R552">
        <v>1</v>
      </c>
      <c r="S552" t="s">
        <v>44</v>
      </c>
      <c r="T552">
        <v>0</v>
      </c>
      <c r="U552">
        <v>0</v>
      </c>
      <c r="V552" t="s">
        <v>32</v>
      </c>
      <c r="W552" t="s">
        <v>43</v>
      </c>
      <c r="X552" s="4">
        <v>6.2</v>
      </c>
      <c r="Y552">
        <v>6</v>
      </c>
      <c r="Z552" s="5">
        <v>107.19</v>
      </c>
    </row>
    <row r="553" spans="1:26">
      <c r="A553">
        <v>552</v>
      </c>
      <c r="B553">
        <v>174</v>
      </c>
      <c r="C553" s="2">
        <v>46193</v>
      </c>
      <c r="D553" t="s">
        <v>40</v>
      </c>
      <c r="E553">
        <v>6</v>
      </c>
      <c r="F553" s="3">
        <v>10.98</v>
      </c>
      <c r="G553" t="s">
        <v>27</v>
      </c>
      <c r="H553">
        <v>44</v>
      </c>
      <c r="I553" t="s">
        <v>28</v>
      </c>
      <c r="J553" s="4">
        <v>69</v>
      </c>
      <c r="K553" s="4">
        <v>235.5</v>
      </c>
      <c r="L553" s="4">
        <v>34.5</v>
      </c>
      <c r="M553">
        <v>16</v>
      </c>
      <c r="N553" t="s">
        <v>69</v>
      </c>
      <c r="O553">
        <v>4</v>
      </c>
      <c r="P553" s="4">
        <v>1630.4</v>
      </c>
      <c r="Q553" t="s">
        <v>30</v>
      </c>
      <c r="R553">
        <v>1</v>
      </c>
      <c r="S553" t="s">
        <v>44</v>
      </c>
      <c r="T553">
        <v>0</v>
      </c>
      <c r="U553">
        <v>0</v>
      </c>
      <c r="V553" t="s">
        <v>32</v>
      </c>
      <c r="W553" t="s">
        <v>43</v>
      </c>
      <c r="X553" s="4">
        <v>9.6</v>
      </c>
      <c r="Y553">
        <v>4</v>
      </c>
      <c r="Z553" s="5">
        <v>146.16</v>
      </c>
    </row>
    <row r="554" spans="1:26">
      <c r="A554">
        <v>553</v>
      </c>
      <c r="B554">
        <v>174</v>
      </c>
      <c r="C554" s="2">
        <v>46193</v>
      </c>
      <c r="D554" t="s">
        <v>40</v>
      </c>
      <c r="E554">
        <v>6</v>
      </c>
      <c r="F554" s="3">
        <v>11.01</v>
      </c>
      <c r="G554" t="s">
        <v>36</v>
      </c>
      <c r="H554">
        <v>46</v>
      </c>
      <c r="I554" t="s">
        <v>34</v>
      </c>
      <c r="J554" s="4">
        <v>62.7</v>
      </c>
      <c r="K554" s="4">
        <v>128.69999999999999</v>
      </c>
      <c r="L554" s="4">
        <v>22.9</v>
      </c>
      <c r="M554">
        <v>15</v>
      </c>
      <c r="N554" t="s">
        <v>69</v>
      </c>
      <c r="O554">
        <v>4</v>
      </c>
      <c r="P554" s="4">
        <v>1630.4</v>
      </c>
      <c r="Q554" t="s">
        <v>30</v>
      </c>
      <c r="R554">
        <v>1</v>
      </c>
      <c r="S554" t="s">
        <v>44</v>
      </c>
      <c r="T554">
        <v>0</v>
      </c>
      <c r="U554">
        <v>0</v>
      </c>
      <c r="V554" t="s">
        <v>32</v>
      </c>
      <c r="W554" t="s">
        <v>43</v>
      </c>
      <c r="X554" s="4">
        <v>6.9</v>
      </c>
      <c r="Y554">
        <v>6</v>
      </c>
      <c r="Z554" s="5">
        <v>179.87</v>
      </c>
    </row>
    <row r="555" spans="1:26">
      <c r="A555">
        <v>554</v>
      </c>
      <c r="B555">
        <v>175</v>
      </c>
      <c r="C555" s="2">
        <v>46076</v>
      </c>
      <c r="D555" t="s">
        <v>46</v>
      </c>
      <c r="E555">
        <v>2</v>
      </c>
      <c r="F555" s="3">
        <v>9.4499999999999993</v>
      </c>
      <c r="G555" t="s">
        <v>27</v>
      </c>
      <c r="H555">
        <v>42</v>
      </c>
      <c r="I555" t="s">
        <v>34</v>
      </c>
      <c r="J555" s="4">
        <v>65.8</v>
      </c>
      <c r="K555" s="4">
        <v>172.3</v>
      </c>
      <c r="L555" s="4">
        <v>28</v>
      </c>
      <c r="M555">
        <v>14</v>
      </c>
      <c r="N555" t="s">
        <v>47</v>
      </c>
      <c r="O555">
        <v>5</v>
      </c>
      <c r="P555" s="4">
        <v>115.2</v>
      </c>
      <c r="Q555" t="s">
        <v>30</v>
      </c>
      <c r="R555">
        <v>0</v>
      </c>
      <c r="S555" t="s">
        <v>44</v>
      </c>
      <c r="T555">
        <v>0</v>
      </c>
      <c r="U555">
        <v>0</v>
      </c>
      <c r="V555" t="s">
        <v>32</v>
      </c>
      <c r="W555" t="s">
        <v>39</v>
      </c>
      <c r="X555" s="4">
        <v>6.4</v>
      </c>
      <c r="Y555">
        <v>9</v>
      </c>
      <c r="Z555" s="5">
        <v>207.02</v>
      </c>
    </row>
    <row r="556" spans="1:26">
      <c r="A556">
        <v>555</v>
      </c>
      <c r="B556">
        <v>175</v>
      </c>
      <c r="C556" s="2">
        <v>46076</v>
      </c>
      <c r="D556" t="s">
        <v>46</v>
      </c>
      <c r="E556">
        <v>2</v>
      </c>
      <c r="F556" s="3">
        <v>9.61</v>
      </c>
      <c r="G556" t="s">
        <v>27</v>
      </c>
      <c r="H556">
        <v>67</v>
      </c>
      <c r="I556" t="s">
        <v>28</v>
      </c>
      <c r="J556" s="4">
        <v>72.3</v>
      </c>
      <c r="K556" s="4">
        <v>221.4</v>
      </c>
      <c r="L556" s="4">
        <v>29.8</v>
      </c>
      <c r="M556">
        <v>15</v>
      </c>
      <c r="N556" t="s">
        <v>47</v>
      </c>
      <c r="O556">
        <v>5</v>
      </c>
      <c r="P556" s="4">
        <v>115.2</v>
      </c>
      <c r="Q556" t="s">
        <v>30</v>
      </c>
      <c r="R556">
        <v>0</v>
      </c>
      <c r="S556" t="s">
        <v>44</v>
      </c>
      <c r="T556">
        <v>0</v>
      </c>
      <c r="U556">
        <v>0</v>
      </c>
      <c r="V556" t="s">
        <v>32</v>
      </c>
      <c r="W556" t="s">
        <v>39</v>
      </c>
      <c r="X556" s="4">
        <v>7.3</v>
      </c>
      <c r="Y556">
        <v>13</v>
      </c>
      <c r="Z556" s="5">
        <v>228.67</v>
      </c>
    </row>
    <row r="557" spans="1:26">
      <c r="A557">
        <v>556</v>
      </c>
      <c r="B557">
        <v>175</v>
      </c>
      <c r="C557" s="2">
        <v>46076</v>
      </c>
      <c r="D557" t="s">
        <v>46</v>
      </c>
      <c r="E557">
        <v>2</v>
      </c>
      <c r="F557" s="3">
        <v>9.73</v>
      </c>
      <c r="G557" t="s">
        <v>27</v>
      </c>
      <c r="H557">
        <v>60</v>
      </c>
      <c r="I557" t="s">
        <v>34</v>
      </c>
      <c r="J557" s="4">
        <v>64.400000000000006</v>
      </c>
      <c r="K557" s="4">
        <v>172.8</v>
      </c>
      <c r="L557" s="4">
        <v>29.2</v>
      </c>
      <c r="M557">
        <v>15</v>
      </c>
      <c r="N557" t="s">
        <v>47</v>
      </c>
      <c r="O557">
        <v>5</v>
      </c>
      <c r="P557" s="4">
        <v>115.2</v>
      </c>
      <c r="Q557" t="s">
        <v>30</v>
      </c>
      <c r="R557">
        <v>0</v>
      </c>
      <c r="S557" t="s">
        <v>44</v>
      </c>
      <c r="T557">
        <v>0</v>
      </c>
      <c r="U557">
        <v>0</v>
      </c>
      <c r="V557" t="s">
        <v>32</v>
      </c>
      <c r="W557" t="s">
        <v>39</v>
      </c>
      <c r="X557" s="4">
        <v>9.6</v>
      </c>
      <c r="Y557">
        <v>11</v>
      </c>
      <c r="Z557" s="5">
        <v>135.97999999999999</v>
      </c>
    </row>
    <row r="558" spans="1:26">
      <c r="A558">
        <v>557</v>
      </c>
      <c r="B558">
        <v>175</v>
      </c>
      <c r="C558" s="2">
        <v>46076</v>
      </c>
      <c r="D558" t="s">
        <v>46</v>
      </c>
      <c r="E558">
        <v>2</v>
      </c>
      <c r="F558" s="3">
        <v>9.6199999999999992</v>
      </c>
      <c r="G558" t="s">
        <v>27</v>
      </c>
      <c r="H558">
        <v>76</v>
      </c>
      <c r="I558" t="s">
        <v>34</v>
      </c>
      <c r="J558" s="4">
        <v>60.6</v>
      </c>
      <c r="K558" s="4">
        <v>138.1</v>
      </c>
      <c r="L558" s="4">
        <v>26.4</v>
      </c>
      <c r="M558">
        <v>12</v>
      </c>
      <c r="N558" t="s">
        <v>47</v>
      </c>
      <c r="O558">
        <v>5</v>
      </c>
      <c r="P558" s="4">
        <v>115.2</v>
      </c>
      <c r="Q558" t="s">
        <v>30</v>
      </c>
      <c r="R558">
        <v>0</v>
      </c>
      <c r="S558" t="s">
        <v>44</v>
      </c>
      <c r="T558">
        <v>0</v>
      </c>
      <c r="U558">
        <v>0</v>
      </c>
      <c r="V558" t="s">
        <v>32</v>
      </c>
      <c r="W558" t="s">
        <v>39</v>
      </c>
      <c r="X558" s="4">
        <v>6.1</v>
      </c>
      <c r="Y558">
        <v>12</v>
      </c>
      <c r="Z558" s="5">
        <v>137.97999999999999</v>
      </c>
    </row>
    <row r="559" spans="1:26">
      <c r="A559">
        <v>558</v>
      </c>
      <c r="B559">
        <v>175</v>
      </c>
      <c r="C559" s="2">
        <v>46076</v>
      </c>
      <c r="D559" t="s">
        <v>46</v>
      </c>
      <c r="E559">
        <v>2</v>
      </c>
      <c r="F559" s="3">
        <v>9.5</v>
      </c>
      <c r="G559" t="s">
        <v>27</v>
      </c>
      <c r="H559">
        <v>31</v>
      </c>
      <c r="I559" t="s">
        <v>34</v>
      </c>
      <c r="J559" s="4">
        <v>61.8</v>
      </c>
      <c r="K559" s="4">
        <v>119.1</v>
      </c>
      <c r="L559" s="4">
        <v>21.9</v>
      </c>
      <c r="M559">
        <v>10</v>
      </c>
      <c r="N559" t="s">
        <v>47</v>
      </c>
      <c r="O559">
        <v>5</v>
      </c>
      <c r="P559" s="4">
        <v>115.2</v>
      </c>
      <c r="Q559" t="s">
        <v>30</v>
      </c>
      <c r="R559">
        <v>0</v>
      </c>
      <c r="S559" t="s">
        <v>44</v>
      </c>
      <c r="T559">
        <v>0</v>
      </c>
      <c r="U559">
        <v>0</v>
      </c>
      <c r="V559" t="s">
        <v>32</v>
      </c>
      <c r="W559" t="s">
        <v>39</v>
      </c>
      <c r="X559" s="4">
        <v>8.4</v>
      </c>
      <c r="Y559">
        <v>0</v>
      </c>
      <c r="Z559" s="5">
        <v>112</v>
      </c>
    </row>
    <row r="560" spans="1:26">
      <c r="A560">
        <v>559</v>
      </c>
      <c r="B560">
        <v>176</v>
      </c>
      <c r="C560" s="2">
        <v>46248</v>
      </c>
      <c r="D560" t="s">
        <v>26</v>
      </c>
      <c r="E560">
        <v>8</v>
      </c>
      <c r="F560" s="3">
        <v>11.9</v>
      </c>
      <c r="G560" t="s">
        <v>36</v>
      </c>
      <c r="H560">
        <v>48</v>
      </c>
      <c r="I560" t="s">
        <v>34</v>
      </c>
      <c r="J560" s="4">
        <v>64.3</v>
      </c>
      <c r="K560" s="4">
        <v>149.5</v>
      </c>
      <c r="L560" s="4">
        <v>25.3</v>
      </c>
      <c r="M560">
        <v>15</v>
      </c>
      <c r="N560" t="s">
        <v>61</v>
      </c>
      <c r="O560">
        <v>5</v>
      </c>
      <c r="P560" s="4">
        <v>1211.9000000000001</v>
      </c>
      <c r="Q560" t="s">
        <v>42</v>
      </c>
      <c r="R560">
        <v>0</v>
      </c>
      <c r="S560" t="s">
        <v>38</v>
      </c>
      <c r="T560">
        <v>0</v>
      </c>
      <c r="U560">
        <v>0</v>
      </c>
      <c r="V560" t="s">
        <v>32</v>
      </c>
      <c r="W560" t="s">
        <v>39</v>
      </c>
      <c r="X560" s="4">
        <v>8.9</v>
      </c>
      <c r="Y560">
        <v>5</v>
      </c>
      <c r="Z560" s="5">
        <v>128.79</v>
      </c>
    </row>
    <row r="561" spans="1:26">
      <c r="A561">
        <v>560</v>
      </c>
      <c r="B561">
        <v>176</v>
      </c>
      <c r="C561" s="2">
        <v>46248</v>
      </c>
      <c r="D561" t="s">
        <v>26</v>
      </c>
      <c r="E561">
        <v>8</v>
      </c>
      <c r="F561" s="3">
        <v>11.71</v>
      </c>
      <c r="G561" t="s">
        <v>36</v>
      </c>
      <c r="H561">
        <v>6</v>
      </c>
      <c r="I561" t="s">
        <v>34</v>
      </c>
      <c r="J561" s="4">
        <v>59.6</v>
      </c>
      <c r="K561" s="4">
        <v>116</v>
      </c>
      <c r="L561" s="4">
        <v>22.7</v>
      </c>
      <c r="M561">
        <v>11</v>
      </c>
      <c r="N561" t="s">
        <v>61</v>
      </c>
      <c r="O561">
        <v>5</v>
      </c>
      <c r="P561" s="4">
        <v>1211.9000000000001</v>
      </c>
      <c r="Q561" t="s">
        <v>42</v>
      </c>
      <c r="R561">
        <v>0</v>
      </c>
      <c r="S561" t="s">
        <v>38</v>
      </c>
      <c r="T561">
        <v>0</v>
      </c>
      <c r="U561">
        <v>0</v>
      </c>
      <c r="V561" t="s">
        <v>32</v>
      </c>
      <c r="W561" t="s">
        <v>39</v>
      </c>
      <c r="X561" s="4">
        <v>5.4</v>
      </c>
      <c r="Y561">
        <v>8</v>
      </c>
      <c r="Z561" s="5">
        <v>176.31</v>
      </c>
    </row>
    <row r="562" spans="1:26">
      <c r="A562">
        <v>561</v>
      </c>
      <c r="B562">
        <v>176</v>
      </c>
      <c r="C562" s="2">
        <v>46248</v>
      </c>
      <c r="D562" t="s">
        <v>26</v>
      </c>
      <c r="E562">
        <v>8</v>
      </c>
      <c r="F562" s="3">
        <v>11.76</v>
      </c>
      <c r="G562" t="s">
        <v>36</v>
      </c>
      <c r="H562">
        <v>49</v>
      </c>
      <c r="I562" t="s">
        <v>34</v>
      </c>
      <c r="J562" s="4">
        <v>67.099999999999994</v>
      </c>
      <c r="K562" s="4">
        <v>172.5</v>
      </c>
      <c r="L562" s="4">
        <v>26.9</v>
      </c>
      <c r="M562">
        <v>12</v>
      </c>
      <c r="N562" t="s">
        <v>61</v>
      </c>
      <c r="O562">
        <v>5</v>
      </c>
      <c r="P562" s="4">
        <v>1211.9000000000001</v>
      </c>
      <c r="Q562" t="s">
        <v>42</v>
      </c>
      <c r="R562">
        <v>0</v>
      </c>
      <c r="S562" t="s">
        <v>38</v>
      </c>
      <c r="T562">
        <v>0</v>
      </c>
      <c r="U562">
        <v>0</v>
      </c>
      <c r="V562" t="s">
        <v>32</v>
      </c>
      <c r="W562" t="s">
        <v>39</v>
      </c>
      <c r="X562" s="4">
        <v>7.6</v>
      </c>
      <c r="Y562">
        <v>8</v>
      </c>
      <c r="Z562" s="5">
        <v>346.97</v>
      </c>
    </row>
    <row r="563" spans="1:26">
      <c r="A563">
        <v>562</v>
      </c>
      <c r="B563">
        <v>176</v>
      </c>
      <c r="C563" s="2">
        <v>46248</v>
      </c>
      <c r="D563" t="s">
        <v>26</v>
      </c>
      <c r="E563">
        <v>8</v>
      </c>
      <c r="F563" s="3">
        <v>11.68</v>
      </c>
      <c r="G563" t="s">
        <v>36</v>
      </c>
      <c r="H563">
        <v>18</v>
      </c>
      <c r="I563" t="s">
        <v>28</v>
      </c>
      <c r="J563" s="4">
        <v>68.099999999999994</v>
      </c>
      <c r="K563" s="4">
        <v>180.2</v>
      </c>
      <c r="L563" s="4">
        <v>27.2</v>
      </c>
      <c r="M563">
        <v>12</v>
      </c>
      <c r="N563" t="s">
        <v>61</v>
      </c>
      <c r="O563">
        <v>5</v>
      </c>
      <c r="P563" s="4">
        <v>1211.9000000000001</v>
      </c>
      <c r="Q563" t="s">
        <v>42</v>
      </c>
      <c r="R563">
        <v>0</v>
      </c>
      <c r="S563" t="s">
        <v>38</v>
      </c>
      <c r="T563">
        <v>0</v>
      </c>
      <c r="U563">
        <v>0</v>
      </c>
      <c r="V563" t="s">
        <v>32</v>
      </c>
      <c r="W563" t="s">
        <v>39</v>
      </c>
      <c r="X563" s="4">
        <v>10.9</v>
      </c>
      <c r="Y563">
        <v>9</v>
      </c>
      <c r="Z563" s="5">
        <v>251.06</v>
      </c>
    </row>
    <row r="564" spans="1:26">
      <c r="A564">
        <v>563</v>
      </c>
      <c r="B564">
        <v>176</v>
      </c>
      <c r="C564" s="2">
        <v>46248</v>
      </c>
      <c r="D564" t="s">
        <v>26</v>
      </c>
      <c r="E564">
        <v>8</v>
      </c>
      <c r="F564" s="3">
        <v>11.82</v>
      </c>
      <c r="G564" t="s">
        <v>36</v>
      </c>
      <c r="H564">
        <v>27</v>
      </c>
      <c r="I564" t="s">
        <v>34</v>
      </c>
      <c r="J564" s="4">
        <v>60.8</v>
      </c>
      <c r="K564" s="4">
        <v>138</v>
      </c>
      <c r="L564" s="4">
        <v>26.3</v>
      </c>
      <c r="M564">
        <v>13</v>
      </c>
      <c r="N564" t="s">
        <v>61</v>
      </c>
      <c r="O564">
        <v>5</v>
      </c>
      <c r="P564" s="4">
        <v>1211.9000000000001</v>
      </c>
      <c r="Q564" t="s">
        <v>42</v>
      </c>
      <c r="R564">
        <v>0</v>
      </c>
      <c r="S564" t="s">
        <v>38</v>
      </c>
      <c r="T564">
        <v>0</v>
      </c>
      <c r="U564">
        <v>0</v>
      </c>
      <c r="V564" t="s">
        <v>32</v>
      </c>
      <c r="W564" t="s">
        <v>39</v>
      </c>
      <c r="X564" s="4">
        <v>10.8</v>
      </c>
      <c r="Y564">
        <v>14</v>
      </c>
      <c r="Z564" s="5">
        <v>213.83</v>
      </c>
    </row>
    <row r="565" spans="1:26">
      <c r="A565">
        <v>564</v>
      </c>
      <c r="B565">
        <v>177</v>
      </c>
      <c r="C565" s="2">
        <v>46371</v>
      </c>
      <c r="D565" t="s">
        <v>35</v>
      </c>
      <c r="E565">
        <v>12</v>
      </c>
      <c r="F565" s="3">
        <v>10.27</v>
      </c>
      <c r="G565" t="s">
        <v>27</v>
      </c>
      <c r="H565">
        <v>52</v>
      </c>
      <c r="I565" t="s">
        <v>28</v>
      </c>
      <c r="J565" s="4">
        <v>76.8</v>
      </c>
      <c r="K565" s="4">
        <v>245.1</v>
      </c>
      <c r="L565" s="4">
        <v>29.2</v>
      </c>
      <c r="M565">
        <v>16</v>
      </c>
      <c r="N565" t="s">
        <v>53</v>
      </c>
      <c r="O565">
        <v>2</v>
      </c>
      <c r="P565" s="4">
        <v>1157.8</v>
      </c>
      <c r="Q565" t="s">
        <v>30</v>
      </c>
      <c r="R565">
        <v>1</v>
      </c>
      <c r="S565" t="s">
        <v>38</v>
      </c>
      <c r="T565">
        <v>0</v>
      </c>
      <c r="U565">
        <v>0</v>
      </c>
      <c r="V565" t="s">
        <v>32</v>
      </c>
      <c r="W565" t="s">
        <v>43</v>
      </c>
      <c r="X565" s="4">
        <v>8.9</v>
      </c>
      <c r="Y565">
        <v>11</v>
      </c>
      <c r="Z565" s="5">
        <v>243.07</v>
      </c>
    </row>
    <row r="566" spans="1:26">
      <c r="A566">
        <v>565</v>
      </c>
      <c r="B566">
        <v>177</v>
      </c>
      <c r="C566" s="2">
        <v>46371</v>
      </c>
      <c r="D566" t="s">
        <v>35</v>
      </c>
      <c r="E566">
        <v>12</v>
      </c>
      <c r="F566" s="3">
        <v>10.27</v>
      </c>
      <c r="G566" t="s">
        <v>27</v>
      </c>
      <c r="H566">
        <v>62</v>
      </c>
      <c r="I566" t="s">
        <v>28</v>
      </c>
      <c r="J566" s="4">
        <v>60</v>
      </c>
      <c r="K566" s="4">
        <v>142.5</v>
      </c>
      <c r="L566" s="4">
        <v>27.7</v>
      </c>
      <c r="M566">
        <v>11</v>
      </c>
      <c r="N566" t="s">
        <v>53</v>
      </c>
      <c r="O566">
        <v>2</v>
      </c>
      <c r="P566" s="4">
        <v>1157.8</v>
      </c>
      <c r="Q566" t="s">
        <v>30</v>
      </c>
      <c r="R566">
        <v>1</v>
      </c>
      <c r="S566" t="s">
        <v>38</v>
      </c>
      <c r="T566">
        <v>0</v>
      </c>
      <c r="U566">
        <v>0</v>
      </c>
      <c r="V566" t="s">
        <v>32</v>
      </c>
      <c r="W566" t="s">
        <v>43</v>
      </c>
      <c r="X566" s="4">
        <v>9</v>
      </c>
      <c r="Y566">
        <v>8</v>
      </c>
      <c r="Z566" s="5">
        <v>103.66</v>
      </c>
    </row>
    <row r="567" spans="1:26">
      <c r="A567">
        <v>566</v>
      </c>
      <c r="B567">
        <v>178</v>
      </c>
      <c r="C567" s="2">
        <v>46103</v>
      </c>
      <c r="D567" t="s">
        <v>58</v>
      </c>
      <c r="E567">
        <v>3</v>
      </c>
      <c r="F567" s="3">
        <v>12.25</v>
      </c>
      <c r="G567" t="s">
        <v>36</v>
      </c>
      <c r="H567">
        <v>34</v>
      </c>
      <c r="I567" t="s">
        <v>28</v>
      </c>
      <c r="J567" s="4">
        <v>68.900000000000006</v>
      </c>
      <c r="K567" s="4">
        <v>142.30000000000001</v>
      </c>
      <c r="L567" s="4">
        <v>20.9</v>
      </c>
      <c r="M567">
        <v>15</v>
      </c>
      <c r="N567" t="s">
        <v>47</v>
      </c>
      <c r="O567">
        <v>1</v>
      </c>
      <c r="P567" s="4">
        <v>10.5</v>
      </c>
      <c r="Q567" t="s">
        <v>30</v>
      </c>
      <c r="R567">
        <v>0</v>
      </c>
      <c r="S567" t="s">
        <v>31</v>
      </c>
      <c r="T567">
        <v>0</v>
      </c>
      <c r="U567">
        <v>0</v>
      </c>
      <c r="V567" t="s">
        <v>32</v>
      </c>
      <c r="W567" t="s">
        <v>43</v>
      </c>
      <c r="X567" s="4">
        <v>6.8</v>
      </c>
      <c r="Y567">
        <v>8</v>
      </c>
      <c r="Z567" s="5">
        <v>190.78</v>
      </c>
    </row>
    <row r="568" spans="1:26">
      <c r="A568">
        <v>567</v>
      </c>
      <c r="B568">
        <v>179</v>
      </c>
      <c r="C568" s="2">
        <v>46048</v>
      </c>
      <c r="D568" t="s">
        <v>46</v>
      </c>
      <c r="E568">
        <v>1</v>
      </c>
      <c r="F568" s="3">
        <v>9.3000000000000007</v>
      </c>
      <c r="G568" t="s">
        <v>27</v>
      </c>
      <c r="H568">
        <v>10</v>
      </c>
      <c r="I568" t="s">
        <v>34</v>
      </c>
      <c r="J568" s="4">
        <v>58.2</v>
      </c>
      <c r="K568" s="4">
        <v>99.2</v>
      </c>
      <c r="L568" s="4">
        <v>20.7</v>
      </c>
      <c r="M568">
        <v>15</v>
      </c>
      <c r="N568" t="s">
        <v>47</v>
      </c>
      <c r="O568">
        <v>5</v>
      </c>
      <c r="P568" s="4">
        <v>127.2</v>
      </c>
      <c r="Q568" t="s">
        <v>42</v>
      </c>
      <c r="R568">
        <v>0</v>
      </c>
      <c r="S568" t="s">
        <v>31</v>
      </c>
      <c r="T568">
        <v>0</v>
      </c>
      <c r="U568">
        <v>0</v>
      </c>
      <c r="V568" t="s">
        <v>45</v>
      </c>
      <c r="W568" t="s">
        <v>49</v>
      </c>
      <c r="X568" s="4">
        <v>8</v>
      </c>
      <c r="Y568">
        <v>5</v>
      </c>
      <c r="Z568" s="5">
        <v>233.3</v>
      </c>
    </row>
    <row r="569" spans="1:26">
      <c r="A569">
        <v>568</v>
      </c>
      <c r="B569">
        <v>179</v>
      </c>
      <c r="C569" s="2">
        <v>46048</v>
      </c>
      <c r="D569" t="s">
        <v>46</v>
      </c>
      <c r="E569">
        <v>1</v>
      </c>
      <c r="F569" s="3">
        <v>9.41</v>
      </c>
      <c r="G569" t="s">
        <v>27</v>
      </c>
      <c r="H569">
        <v>37</v>
      </c>
      <c r="I569" t="s">
        <v>28</v>
      </c>
      <c r="J569" s="4">
        <v>68.599999999999994</v>
      </c>
      <c r="K569" s="4">
        <v>124.5</v>
      </c>
      <c r="L569" s="4">
        <v>18.7</v>
      </c>
      <c r="M569">
        <v>16</v>
      </c>
      <c r="N569" t="s">
        <v>47</v>
      </c>
      <c r="O569">
        <v>5</v>
      </c>
      <c r="P569" s="4">
        <v>127.2</v>
      </c>
      <c r="Q569" t="s">
        <v>42</v>
      </c>
      <c r="R569">
        <v>0</v>
      </c>
      <c r="S569" t="s">
        <v>31</v>
      </c>
      <c r="T569">
        <v>0</v>
      </c>
      <c r="U569">
        <v>0</v>
      </c>
      <c r="V569" t="s">
        <v>45</v>
      </c>
      <c r="W569" t="s">
        <v>49</v>
      </c>
      <c r="X569" s="4">
        <v>7.1</v>
      </c>
      <c r="Y569">
        <v>8</v>
      </c>
      <c r="Z569" s="5">
        <v>177.15</v>
      </c>
    </row>
    <row r="570" spans="1:26">
      <c r="A570">
        <v>569</v>
      </c>
      <c r="B570">
        <v>179</v>
      </c>
      <c r="C570" s="2">
        <v>46048</v>
      </c>
      <c r="D570" t="s">
        <v>46</v>
      </c>
      <c r="E570">
        <v>1</v>
      </c>
      <c r="F570" s="3">
        <v>9.24</v>
      </c>
      <c r="G570" t="s">
        <v>27</v>
      </c>
      <c r="H570">
        <v>11</v>
      </c>
      <c r="I570" t="s">
        <v>28</v>
      </c>
      <c r="J570" s="4">
        <v>65.400000000000006</v>
      </c>
      <c r="K570" s="4">
        <v>127.8</v>
      </c>
      <c r="L570" s="4">
        <v>21</v>
      </c>
      <c r="M570">
        <v>12</v>
      </c>
      <c r="N570" t="s">
        <v>47</v>
      </c>
      <c r="O570">
        <v>5</v>
      </c>
      <c r="P570" s="4">
        <v>127.2</v>
      </c>
      <c r="Q570" t="s">
        <v>42</v>
      </c>
      <c r="R570">
        <v>0</v>
      </c>
      <c r="S570" t="s">
        <v>31</v>
      </c>
      <c r="T570">
        <v>0</v>
      </c>
      <c r="U570">
        <v>0</v>
      </c>
      <c r="V570" t="s">
        <v>45</v>
      </c>
      <c r="W570" t="s">
        <v>49</v>
      </c>
      <c r="X570" s="4">
        <v>7.6</v>
      </c>
      <c r="Y570">
        <v>9</v>
      </c>
      <c r="Z570" s="5">
        <v>262.94</v>
      </c>
    </row>
    <row r="571" spans="1:26">
      <c r="A571">
        <v>570</v>
      </c>
      <c r="B571">
        <v>179</v>
      </c>
      <c r="C571" s="2">
        <v>46048</v>
      </c>
      <c r="D571" t="s">
        <v>46</v>
      </c>
      <c r="E571">
        <v>1</v>
      </c>
      <c r="F571" s="3">
        <v>9.11</v>
      </c>
      <c r="G571" t="s">
        <v>27</v>
      </c>
      <c r="H571">
        <v>62</v>
      </c>
      <c r="I571" t="s">
        <v>34</v>
      </c>
      <c r="J571" s="4">
        <v>71</v>
      </c>
      <c r="K571" s="4">
        <v>156.1</v>
      </c>
      <c r="L571" s="4">
        <v>21.9</v>
      </c>
      <c r="M571">
        <v>13</v>
      </c>
      <c r="N571" t="s">
        <v>47</v>
      </c>
      <c r="O571">
        <v>5</v>
      </c>
      <c r="P571" s="4">
        <v>127.2</v>
      </c>
      <c r="Q571" t="s">
        <v>42</v>
      </c>
      <c r="R571">
        <v>0</v>
      </c>
      <c r="S571" t="s">
        <v>31</v>
      </c>
      <c r="T571">
        <v>0</v>
      </c>
      <c r="U571">
        <v>0</v>
      </c>
      <c r="V571" t="s">
        <v>45</v>
      </c>
      <c r="W571" t="s">
        <v>49</v>
      </c>
      <c r="X571" s="4">
        <v>7.3</v>
      </c>
      <c r="Y571">
        <v>8</v>
      </c>
      <c r="Z571" s="5">
        <v>379.08</v>
      </c>
    </row>
    <row r="572" spans="1:26">
      <c r="A572">
        <v>571</v>
      </c>
      <c r="B572">
        <v>179</v>
      </c>
      <c r="C572" s="2">
        <v>46048</v>
      </c>
      <c r="D572" t="s">
        <v>46</v>
      </c>
      <c r="E572">
        <v>1</v>
      </c>
      <c r="F572" s="3">
        <v>9.44</v>
      </c>
      <c r="G572" t="s">
        <v>27</v>
      </c>
      <c r="H572">
        <v>3</v>
      </c>
      <c r="I572" t="s">
        <v>34</v>
      </c>
      <c r="J572" s="4">
        <v>46.4</v>
      </c>
      <c r="K572" s="4">
        <v>49.8</v>
      </c>
      <c r="L572" s="4">
        <v>16.100000000000001</v>
      </c>
      <c r="M572">
        <v>13</v>
      </c>
      <c r="N572" t="s">
        <v>47</v>
      </c>
      <c r="O572">
        <v>5</v>
      </c>
      <c r="P572" s="4">
        <v>127.2</v>
      </c>
      <c r="Q572" t="s">
        <v>42</v>
      </c>
      <c r="R572">
        <v>0</v>
      </c>
      <c r="S572" t="s">
        <v>31</v>
      </c>
      <c r="T572">
        <v>0</v>
      </c>
      <c r="U572">
        <v>0</v>
      </c>
      <c r="V572" t="s">
        <v>45</v>
      </c>
      <c r="W572" t="s">
        <v>49</v>
      </c>
      <c r="X572" s="4">
        <v>9.5</v>
      </c>
      <c r="Y572">
        <v>12</v>
      </c>
      <c r="Z572" s="5">
        <v>192.94</v>
      </c>
    </row>
    <row r="573" spans="1:26">
      <c r="A573">
        <v>572</v>
      </c>
      <c r="B573">
        <v>180</v>
      </c>
      <c r="C573" s="2">
        <v>46162</v>
      </c>
      <c r="D573" t="s">
        <v>52</v>
      </c>
      <c r="E573">
        <v>5</v>
      </c>
      <c r="F573" s="3">
        <v>11.21</v>
      </c>
      <c r="G573" t="s">
        <v>36</v>
      </c>
      <c r="H573">
        <v>19</v>
      </c>
      <c r="I573" t="s">
        <v>34</v>
      </c>
      <c r="J573" s="4">
        <v>62.5</v>
      </c>
      <c r="K573" s="4">
        <v>155.80000000000001</v>
      </c>
      <c r="L573" s="4">
        <v>27.9</v>
      </c>
      <c r="M573">
        <v>11</v>
      </c>
      <c r="N573" t="s">
        <v>47</v>
      </c>
      <c r="O573">
        <v>3</v>
      </c>
      <c r="P573" s="4">
        <v>105.8</v>
      </c>
      <c r="Q573" t="s">
        <v>30</v>
      </c>
      <c r="R573">
        <v>0</v>
      </c>
      <c r="S573" t="s">
        <v>44</v>
      </c>
      <c r="T573">
        <v>0</v>
      </c>
      <c r="U573">
        <v>0</v>
      </c>
      <c r="V573" t="s">
        <v>32</v>
      </c>
      <c r="W573" t="s">
        <v>43</v>
      </c>
      <c r="X573" s="4">
        <v>9.4</v>
      </c>
      <c r="Y573">
        <v>7</v>
      </c>
      <c r="Z573" s="5">
        <v>217.56</v>
      </c>
    </row>
    <row r="574" spans="1:26">
      <c r="A574">
        <v>573</v>
      </c>
      <c r="B574">
        <v>180</v>
      </c>
      <c r="C574" s="2">
        <v>46162</v>
      </c>
      <c r="D574" t="s">
        <v>52</v>
      </c>
      <c r="E574">
        <v>5</v>
      </c>
      <c r="F574" s="3">
        <v>11.17</v>
      </c>
      <c r="G574" t="s">
        <v>36</v>
      </c>
      <c r="H574">
        <v>18</v>
      </c>
      <c r="I574" t="s">
        <v>34</v>
      </c>
      <c r="J574" s="4">
        <v>65.3</v>
      </c>
      <c r="K574" s="4">
        <v>174.3</v>
      </c>
      <c r="L574" s="4">
        <v>28.8</v>
      </c>
      <c r="M574">
        <v>11</v>
      </c>
      <c r="N574" t="s">
        <v>47</v>
      </c>
      <c r="O574">
        <v>3</v>
      </c>
      <c r="P574" s="4">
        <v>105.8</v>
      </c>
      <c r="Q574" t="s">
        <v>30</v>
      </c>
      <c r="R574">
        <v>0</v>
      </c>
      <c r="S574" t="s">
        <v>44</v>
      </c>
      <c r="T574">
        <v>0</v>
      </c>
      <c r="U574">
        <v>0</v>
      </c>
      <c r="V574" t="s">
        <v>32</v>
      </c>
      <c r="W574" t="s">
        <v>43</v>
      </c>
      <c r="X574" s="4">
        <v>6.2</v>
      </c>
      <c r="Y574">
        <v>9</v>
      </c>
      <c r="Z574" s="5">
        <v>94.17</v>
      </c>
    </row>
    <row r="575" spans="1:26">
      <c r="A575">
        <v>574</v>
      </c>
      <c r="B575">
        <v>180</v>
      </c>
      <c r="C575" s="2">
        <v>46162</v>
      </c>
      <c r="D575" t="s">
        <v>52</v>
      </c>
      <c r="E575">
        <v>5</v>
      </c>
      <c r="F575" s="3">
        <v>10.93</v>
      </c>
      <c r="G575" t="s">
        <v>27</v>
      </c>
      <c r="H575">
        <v>28</v>
      </c>
      <c r="I575" t="s">
        <v>28</v>
      </c>
      <c r="J575" s="4">
        <v>73.599999999999994</v>
      </c>
      <c r="K575" s="4">
        <v>149.5</v>
      </c>
      <c r="L575" s="4">
        <v>19.3</v>
      </c>
      <c r="M575">
        <v>14</v>
      </c>
      <c r="N575" t="s">
        <v>47</v>
      </c>
      <c r="O575">
        <v>3</v>
      </c>
      <c r="P575" s="4">
        <v>105.8</v>
      </c>
      <c r="Q575" t="s">
        <v>30</v>
      </c>
      <c r="R575">
        <v>0</v>
      </c>
      <c r="S575" t="s">
        <v>44</v>
      </c>
      <c r="T575">
        <v>0</v>
      </c>
      <c r="U575">
        <v>0</v>
      </c>
      <c r="V575" t="s">
        <v>32</v>
      </c>
      <c r="W575" t="s">
        <v>43</v>
      </c>
      <c r="X575" s="4">
        <v>8.1999999999999993</v>
      </c>
      <c r="Y575">
        <v>5</v>
      </c>
      <c r="Z575" s="5">
        <v>152.11000000000001</v>
      </c>
    </row>
    <row r="576" spans="1:26">
      <c r="A576">
        <v>575</v>
      </c>
      <c r="B576">
        <v>181</v>
      </c>
      <c r="C576" s="2">
        <v>46170</v>
      </c>
      <c r="D576" t="s">
        <v>55</v>
      </c>
      <c r="E576">
        <v>5</v>
      </c>
      <c r="F576" s="3">
        <v>11.5</v>
      </c>
      <c r="G576" t="s">
        <v>36</v>
      </c>
      <c r="H576">
        <v>13</v>
      </c>
      <c r="I576" t="s">
        <v>34</v>
      </c>
      <c r="J576" s="4">
        <v>63.8</v>
      </c>
      <c r="K576" s="4">
        <v>100.3</v>
      </c>
      <c r="L576" s="4">
        <v>17.2</v>
      </c>
      <c r="M576">
        <v>14</v>
      </c>
      <c r="N576" t="s">
        <v>53</v>
      </c>
      <c r="O576">
        <v>2</v>
      </c>
      <c r="P576" s="4">
        <v>977.7</v>
      </c>
      <c r="Q576" t="s">
        <v>48</v>
      </c>
      <c r="R576">
        <v>1</v>
      </c>
      <c r="S576" t="s">
        <v>44</v>
      </c>
      <c r="T576">
        <v>0</v>
      </c>
      <c r="U576">
        <v>1</v>
      </c>
      <c r="V576" t="s">
        <v>64</v>
      </c>
      <c r="W576" t="s">
        <v>33</v>
      </c>
      <c r="X576" s="4">
        <v>10.1</v>
      </c>
      <c r="Y576">
        <v>14</v>
      </c>
      <c r="Z576" s="5">
        <v>266.51</v>
      </c>
    </row>
    <row r="577" spans="1:26">
      <c r="A577">
        <v>576</v>
      </c>
      <c r="B577">
        <v>181</v>
      </c>
      <c r="C577" s="2">
        <v>46170</v>
      </c>
      <c r="D577" t="s">
        <v>55</v>
      </c>
      <c r="E577">
        <v>5</v>
      </c>
      <c r="F577" s="3">
        <v>11.5</v>
      </c>
      <c r="G577" t="s">
        <v>36</v>
      </c>
      <c r="H577">
        <v>4</v>
      </c>
      <c r="I577" t="s">
        <v>28</v>
      </c>
      <c r="J577" s="4">
        <v>48.9</v>
      </c>
      <c r="K577" s="4">
        <v>61.5</v>
      </c>
      <c r="L577" s="4">
        <v>18.2</v>
      </c>
      <c r="M577">
        <v>14</v>
      </c>
      <c r="N577" t="s">
        <v>53</v>
      </c>
      <c r="O577">
        <v>2</v>
      </c>
      <c r="P577" s="4">
        <v>977.7</v>
      </c>
      <c r="Q577" t="s">
        <v>48</v>
      </c>
      <c r="R577">
        <v>1</v>
      </c>
      <c r="S577" t="s">
        <v>44</v>
      </c>
      <c r="T577">
        <v>0</v>
      </c>
      <c r="U577">
        <v>1</v>
      </c>
      <c r="V577" t="s">
        <v>64</v>
      </c>
      <c r="W577" t="s">
        <v>33</v>
      </c>
      <c r="X577" s="4">
        <v>7.4</v>
      </c>
      <c r="Y577">
        <v>4</v>
      </c>
      <c r="Z577" s="5">
        <v>257.61</v>
      </c>
    </row>
    <row r="578" spans="1:26">
      <c r="A578">
        <v>577</v>
      </c>
      <c r="B578">
        <v>182</v>
      </c>
      <c r="C578" s="2">
        <v>46217</v>
      </c>
      <c r="D578" t="s">
        <v>35</v>
      </c>
      <c r="E578">
        <v>7</v>
      </c>
      <c r="F578" s="3">
        <v>7</v>
      </c>
      <c r="G578" t="s">
        <v>27</v>
      </c>
      <c r="H578">
        <v>60</v>
      </c>
      <c r="I578" t="s">
        <v>34</v>
      </c>
      <c r="J578" s="4">
        <v>60.1</v>
      </c>
      <c r="K578" s="4">
        <v>110.9</v>
      </c>
      <c r="L578" s="4">
        <v>21.7</v>
      </c>
      <c r="M578">
        <v>17</v>
      </c>
      <c r="N578" t="s">
        <v>47</v>
      </c>
      <c r="O578">
        <v>3</v>
      </c>
      <c r="P578" s="4">
        <v>2</v>
      </c>
      <c r="Q578" t="s">
        <v>48</v>
      </c>
      <c r="R578">
        <v>0</v>
      </c>
      <c r="S578" t="s">
        <v>38</v>
      </c>
      <c r="T578">
        <v>0</v>
      </c>
      <c r="U578">
        <v>1</v>
      </c>
      <c r="V578" t="s">
        <v>45</v>
      </c>
      <c r="W578" t="s">
        <v>33</v>
      </c>
      <c r="X578" s="4">
        <v>5.9</v>
      </c>
      <c r="Y578">
        <v>12</v>
      </c>
      <c r="Z578" s="5">
        <v>187.83</v>
      </c>
    </row>
    <row r="579" spans="1:26">
      <c r="A579">
        <v>578</v>
      </c>
      <c r="B579">
        <v>182</v>
      </c>
      <c r="C579" s="2">
        <v>46217</v>
      </c>
      <c r="D579" t="s">
        <v>35</v>
      </c>
      <c r="E579">
        <v>7</v>
      </c>
      <c r="F579" s="3">
        <v>7</v>
      </c>
      <c r="G579" t="s">
        <v>27</v>
      </c>
      <c r="H579">
        <v>6</v>
      </c>
      <c r="I579" t="s">
        <v>34</v>
      </c>
      <c r="J579" s="4">
        <v>57.6</v>
      </c>
      <c r="K579" s="4">
        <v>86.7</v>
      </c>
      <c r="L579" s="4">
        <v>18.399999999999999</v>
      </c>
      <c r="M579">
        <v>14</v>
      </c>
      <c r="N579" t="s">
        <v>47</v>
      </c>
      <c r="O579">
        <v>3</v>
      </c>
      <c r="P579" s="4">
        <v>2</v>
      </c>
      <c r="Q579" t="s">
        <v>48</v>
      </c>
      <c r="R579">
        <v>0</v>
      </c>
      <c r="S579" t="s">
        <v>38</v>
      </c>
      <c r="T579">
        <v>0</v>
      </c>
      <c r="U579">
        <v>1</v>
      </c>
      <c r="V579" t="s">
        <v>45</v>
      </c>
      <c r="W579" t="s">
        <v>33</v>
      </c>
      <c r="X579" s="4">
        <v>10.5</v>
      </c>
      <c r="Y579">
        <v>5</v>
      </c>
      <c r="Z579" s="5">
        <v>189.18</v>
      </c>
    </row>
    <row r="580" spans="1:26">
      <c r="A580">
        <v>579</v>
      </c>
      <c r="B580">
        <v>182</v>
      </c>
      <c r="C580" s="2">
        <v>46217</v>
      </c>
      <c r="D580" t="s">
        <v>35</v>
      </c>
      <c r="E580">
        <v>7</v>
      </c>
      <c r="F580" s="3">
        <v>7.04</v>
      </c>
      <c r="G580" t="s">
        <v>27</v>
      </c>
      <c r="H580">
        <v>73</v>
      </c>
      <c r="I580" t="s">
        <v>28</v>
      </c>
      <c r="J580" s="4">
        <v>67.8</v>
      </c>
      <c r="K580" s="4">
        <v>184</v>
      </c>
      <c r="L580" s="4">
        <v>28.2</v>
      </c>
      <c r="M580">
        <v>18</v>
      </c>
      <c r="N580" t="s">
        <v>47</v>
      </c>
      <c r="O580">
        <v>3</v>
      </c>
      <c r="P580" s="4">
        <v>2</v>
      </c>
      <c r="Q580" t="s">
        <v>48</v>
      </c>
      <c r="R580">
        <v>0</v>
      </c>
      <c r="S580" t="s">
        <v>38</v>
      </c>
      <c r="T580">
        <v>0</v>
      </c>
      <c r="U580">
        <v>1</v>
      </c>
      <c r="V580" t="s">
        <v>45</v>
      </c>
      <c r="W580" t="s">
        <v>33</v>
      </c>
      <c r="X580" s="4">
        <v>9.4</v>
      </c>
      <c r="Y580">
        <v>6</v>
      </c>
      <c r="Z580" s="5">
        <v>316.70999999999998</v>
      </c>
    </row>
    <row r="581" spans="1:26">
      <c r="A581">
        <v>580</v>
      </c>
      <c r="B581">
        <v>183</v>
      </c>
      <c r="C581" s="2">
        <v>46347</v>
      </c>
      <c r="D581" t="s">
        <v>40</v>
      </c>
      <c r="E581">
        <v>11</v>
      </c>
      <c r="F581" s="3">
        <v>10.54</v>
      </c>
      <c r="G581" t="s">
        <v>27</v>
      </c>
      <c r="H581">
        <v>18</v>
      </c>
      <c r="I581" t="s">
        <v>34</v>
      </c>
      <c r="J581" s="4">
        <v>64.7</v>
      </c>
      <c r="K581" s="4">
        <v>128.19999999999999</v>
      </c>
      <c r="L581" s="4">
        <v>21.7</v>
      </c>
      <c r="M581">
        <v>15</v>
      </c>
      <c r="N581" t="s">
        <v>60</v>
      </c>
      <c r="O581">
        <v>3</v>
      </c>
      <c r="P581" s="4">
        <v>1592.6</v>
      </c>
      <c r="Q581" t="s">
        <v>42</v>
      </c>
      <c r="R581">
        <v>1</v>
      </c>
      <c r="S581" t="s">
        <v>31</v>
      </c>
      <c r="T581">
        <v>0</v>
      </c>
      <c r="U581">
        <v>0</v>
      </c>
      <c r="V581" t="s">
        <v>32</v>
      </c>
      <c r="W581" t="s">
        <v>43</v>
      </c>
      <c r="X581" s="4">
        <v>11.6</v>
      </c>
      <c r="Y581">
        <v>11</v>
      </c>
      <c r="Z581" s="5">
        <v>199.88</v>
      </c>
    </row>
    <row r="582" spans="1:26">
      <c r="A582">
        <v>581</v>
      </c>
      <c r="B582">
        <v>183</v>
      </c>
      <c r="C582" s="2">
        <v>46347</v>
      </c>
      <c r="D582" t="s">
        <v>40</v>
      </c>
      <c r="E582">
        <v>11</v>
      </c>
      <c r="F582" s="3">
        <v>10.43</v>
      </c>
      <c r="G582" t="s">
        <v>27</v>
      </c>
      <c r="H582">
        <v>29</v>
      </c>
      <c r="I582" t="s">
        <v>28</v>
      </c>
      <c r="J582" s="4">
        <v>68.400000000000006</v>
      </c>
      <c r="K582" s="4">
        <v>211.9</v>
      </c>
      <c r="L582" s="4">
        <v>31.8</v>
      </c>
      <c r="M582">
        <v>17</v>
      </c>
      <c r="N582" t="s">
        <v>60</v>
      </c>
      <c r="O582">
        <v>3</v>
      </c>
      <c r="P582" s="4">
        <v>1592.6</v>
      </c>
      <c r="Q582" t="s">
        <v>42</v>
      </c>
      <c r="R582">
        <v>1</v>
      </c>
      <c r="S582" t="s">
        <v>31</v>
      </c>
      <c r="T582">
        <v>0</v>
      </c>
      <c r="U582">
        <v>0</v>
      </c>
      <c r="V582" t="s">
        <v>32</v>
      </c>
      <c r="W582" t="s">
        <v>43</v>
      </c>
      <c r="X582" s="4">
        <v>7.9</v>
      </c>
      <c r="Y582">
        <v>8</v>
      </c>
      <c r="Z582" s="5">
        <v>191.8</v>
      </c>
    </row>
    <row r="583" spans="1:26">
      <c r="A583">
        <v>582</v>
      </c>
      <c r="B583">
        <v>183</v>
      </c>
      <c r="C583" s="2">
        <v>46347</v>
      </c>
      <c r="D583" t="s">
        <v>40</v>
      </c>
      <c r="E583">
        <v>11</v>
      </c>
      <c r="F583" s="3">
        <v>10.68</v>
      </c>
      <c r="G583" t="s">
        <v>27</v>
      </c>
      <c r="H583">
        <v>56</v>
      </c>
      <c r="I583" t="s">
        <v>34</v>
      </c>
      <c r="J583" s="4">
        <v>66.900000000000006</v>
      </c>
      <c r="K583" s="4">
        <v>158</v>
      </c>
      <c r="L583" s="4">
        <v>24.7</v>
      </c>
      <c r="M583">
        <v>15</v>
      </c>
      <c r="N583" t="s">
        <v>60</v>
      </c>
      <c r="O583">
        <v>3</v>
      </c>
      <c r="P583" s="4">
        <v>1592.6</v>
      </c>
      <c r="Q583" t="s">
        <v>42</v>
      </c>
      <c r="R583">
        <v>1</v>
      </c>
      <c r="S583" t="s">
        <v>31</v>
      </c>
      <c r="T583">
        <v>0</v>
      </c>
      <c r="U583">
        <v>0</v>
      </c>
      <c r="V583" t="s">
        <v>32</v>
      </c>
      <c r="W583" t="s">
        <v>43</v>
      </c>
      <c r="X583" s="4">
        <v>9.4</v>
      </c>
      <c r="Y583">
        <v>13</v>
      </c>
      <c r="Z583" s="5">
        <v>181.53</v>
      </c>
    </row>
    <row r="584" spans="1:26">
      <c r="A584">
        <v>583</v>
      </c>
      <c r="B584">
        <v>184</v>
      </c>
      <c r="C584" s="2">
        <v>46379</v>
      </c>
      <c r="D584" t="s">
        <v>52</v>
      </c>
      <c r="E584">
        <v>12</v>
      </c>
      <c r="F584" s="3">
        <v>8.4600000000000009</v>
      </c>
      <c r="G584" t="s">
        <v>27</v>
      </c>
      <c r="H584">
        <v>44</v>
      </c>
      <c r="I584" t="s">
        <v>28</v>
      </c>
      <c r="J584" s="4">
        <v>66.7</v>
      </c>
      <c r="K584" s="4">
        <v>179.7</v>
      </c>
      <c r="L584" s="4">
        <v>28.6</v>
      </c>
      <c r="M584">
        <v>17</v>
      </c>
      <c r="N584" t="s">
        <v>41</v>
      </c>
      <c r="O584">
        <v>1</v>
      </c>
      <c r="P584" s="4">
        <v>2578.4</v>
      </c>
      <c r="Q584" t="s">
        <v>42</v>
      </c>
      <c r="R584">
        <v>0</v>
      </c>
      <c r="S584" t="s">
        <v>44</v>
      </c>
      <c r="T584">
        <v>0</v>
      </c>
      <c r="U584">
        <v>0</v>
      </c>
      <c r="V584" t="s">
        <v>45</v>
      </c>
      <c r="W584" t="s">
        <v>57</v>
      </c>
      <c r="X584" s="4">
        <v>9.6</v>
      </c>
      <c r="Y584">
        <v>6</v>
      </c>
      <c r="Z584" s="5">
        <v>354.96</v>
      </c>
    </row>
    <row r="585" spans="1:26">
      <c r="A585">
        <v>584</v>
      </c>
      <c r="B585">
        <v>185</v>
      </c>
      <c r="C585" s="2">
        <v>46318</v>
      </c>
      <c r="D585" t="s">
        <v>26</v>
      </c>
      <c r="E585">
        <v>10</v>
      </c>
      <c r="F585" s="3">
        <v>12.21</v>
      </c>
      <c r="G585" t="s">
        <v>36</v>
      </c>
      <c r="H585">
        <v>4</v>
      </c>
      <c r="I585" t="s">
        <v>34</v>
      </c>
      <c r="J585" s="4">
        <v>52</v>
      </c>
      <c r="K585" s="4">
        <v>57.8</v>
      </c>
      <c r="L585" s="4">
        <v>14.9</v>
      </c>
      <c r="M585">
        <v>14</v>
      </c>
      <c r="N585" t="s">
        <v>41</v>
      </c>
      <c r="O585">
        <v>3</v>
      </c>
      <c r="P585" s="4">
        <v>2365.4</v>
      </c>
      <c r="Q585" t="s">
        <v>48</v>
      </c>
      <c r="R585">
        <v>1</v>
      </c>
      <c r="S585" t="s">
        <v>44</v>
      </c>
      <c r="T585">
        <v>0</v>
      </c>
      <c r="U585">
        <v>0</v>
      </c>
      <c r="V585" t="s">
        <v>32</v>
      </c>
      <c r="W585" t="s">
        <v>43</v>
      </c>
      <c r="X585" s="4">
        <v>9.3000000000000007</v>
      </c>
      <c r="Y585">
        <v>8</v>
      </c>
      <c r="Z585" s="5">
        <v>592.17999999999995</v>
      </c>
    </row>
    <row r="586" spans="1:26">
      <c r="A586">
        <v>585</v>
      </c>
      <c r="B586">
        <v>185</v>
      </c>
      <c r="C586" s="2">
        <v>46318</v>
      </c>
      <c r="D586" t="s">
        <v>26</v>
      </c>
      <c r="E586">
        <v>10</v>
      </c>
      <c r="F586" s="3">
        <v>12.09</v>
      </c>
      <c r="G586" t="s">
        <v>36</v>
      </c>
      <c r="H586">
        <v>9</v>
      </c>
      <c r="I586" t="s">
        <v>34</v>
      </c>
      <c r="J586" s="4">
        <v>65.3</v>
      </c>
      <c r="K586" s="4">
        <v>125.3</v>
      </c>
      <c r="L586" s="4">
        <v>20.5</v>
      </c>
      <c r="M586">
        <v>13</v>
      </c>
      <c r="N586" t="s">
        <v>41</v>
      </c>
      <c r="O586">
        <v>3</v>
      </c>
      <c r="P586" s="4">
        <v>2365.4</v>
      </c>
      <c r="Q586" t="s">
        <v>48</v>
      </c>
      <c r="R586">
        <v>1</v>
      </c>
      <c r="S586" t="s">
        <v>44</v>
      </c>
      <c r="T586">
        <v>0</v>
      </c>
      <c r="U586">
        <v>0</v>
      </c>
      <c r="V586" t="s">
        <v>32</v>
      </c>
      <c r="W586" t="s">
        <v>43</v>
      </c>
      <c r="X586" s="4">
        <v>9.3000000000000007</v>
      </c>
      <c r="Y586">
        <v>6</v>
      </c>
      <c r="Z586" s="5">
        <v>235.65</v>
      </c>
    </row>
    <row r="587" spans="1:26">
      <c r="A587">
        <v>586</v>
      </c>
      <c r="B587">
        <v>185</v>
      </c>
      <c r="C587" s="2">
        <v>46318</v>
      </c>
      <c r="D587" t="s">
        <v>26</v>
      </c>
      <c r="E587">
        <v>10</v>
      </c>
      <c r="F587" s="3">
        <v>12.16</v>
      </c>
      <c r="G587" t="s">
        <v>36</v>
      </c>
      <c r="H587">
        <v>7</v>
      </c>
      <c r="I587" t="s">
        <v>34</v>
      </c>
      <c r="J587" s="4">
        <v>57.4</v>
      </c>
      <c r="K587" s="4">
        <v>64.900000000000006</v>
      </c>
      <c r="L587" s="4">
        <v>13.7</v>
      </c>
      <c r="M587">
        <v>14</v>
      </c>
      <c r="N587" t="s">
        <v>41</v>
      </c>
      <c r="O587">
        <v>3</v>
      </c>
      <c r="P587" s="4">
        <v>2365.4</v>
      </c>
      <c r="Q587" t="s">
        <v>48</v>
      </c>
      <c r="R587">
        <v>1</v>
      </c>
      <c r="S587" t="s">
        <v>44</v>
      </c>
      <c r="T587">
        <v>0</v>
      </c>
      <c r="U587">
        <v>0</v>
      </c>
      <c r="V587" t="s">
        <v>32</v>
      </c>
      <c r="W587" t="s">
        <v>43</v>
      </c>
      <c r="X587" s="4">
        <v>8.4</v>
      </c>
      <c r="Y587">
        <v>7</v>
      </c>
      <c r="Z587" s="5">
        <v>284.24</v>
      </c>
    </row>
    <row r="588" spans="1:26">
      <c r="A588">
        <v>587</v>
      </c>
      <c r="B588">
        <v>186</v>
      </c>
      <c r="C588" s="2">
        <v>46215</v>
      </c>
      <c r="D588" t="s">
        <v>58</v>
      </c>
      <c r="E588">
        <v>7</v>
      </c>
      <c r="F588" s="3">
        <v>9.77</v>
      </c>
      <c r="G588" t="s">
        <v>27</v>
      </c>
      <c r="H588">
        <v>8</v>
      </c>
      <c r="I588" t="s">
        <v>28</v>
      </c>
      <c r="J588" s="4">
        <v>61.8</v>
      </c>
      <c r="K588" s="4">
        <v>112.1</v>
      </c>
      <c r="L588" s="4">
        <v>20.8</v>
      </c>
      <c r="M588">
        <v>13</v>
      </c>
      <c r="N588" t="s">
        <v>60</v>
      </c>
      <c r="O588">
        <v>5</v>
      </c>
      <c r="P588" s="4">
        <v>1401.7</v>
      </c>
      <c r="Q588" t="s">
        <v>42</v>
      </c>
      <c r="R588">
        <v>1</v>
      </c>
      <c r="S588" t="s">
        <v>44</v>
      </c>
      <c r="T588">
        <v>1</v>
      </c>
      <c r="U588">
        <v>0</v>
      </c>
      <c r="V588" t="s">
        <v>45</v>
      </c>
      <c r="W588" t="s">
        <v>39</v>
      </c>
      <c r="X588" s="4">
        <v>6.7</v>
      </c>
      <c r="Y588">
        <v>6</v>
      </c>
      <c r="Z588" s="5">
        <v>112.97</v>
      </c>
    </row>
    <row r="589" spans="1:26">
      <c r="A589">
        <v>588</v>
      </c>
      <c r="B589">
        <v>186</v>
      </c>
      <c r="C589" s="2">
        <v>46215</v>
      </c>
      <c r="D589" t="s">
        <v>58</v>
      </c>
      <c r="E589">
        <v>7</v>
      </c>
      <c r="F589" s="3">
        <v>9.81</v>
      </c>
      <c r="G589" t="s">
        <v>27</v>
      </c>
      <c r="H589">
        <v>27</v>
      </c>
      <c r="I589" t="s">
        <v>28</v>
      </c>
      <c r="J589" s="4">
        <v>70.2</v>
      </c>
      <c r="K589" s="4">
        <v>166</v>
      </c>
      <c r="L589" s="4">
        <v>23.7</v>
      </c>
      <c r="M589">
        <v>16</v>
      </c>
      <c r="N589" t="s">
        <v>60</v>
      </c>
      <c r="O589">
        <v>5</v>
      </c>
      <c r="P589" s="4">
        <v>1401.7</v>
      </c>
      <c r="Q589" t="s">
        <v>42</v>
      </c>
      <c r="R589">
        <v>1</v>
      </c>
      <c r="S589" t="s">
        <v>44</v>
      </c>
      <c r="T589">
        <v>1</v>
      </c>
      <c r="U589">
        <v>0</v>
      </c>
      <c r="V589" t="s">
        <v>45</v>
      </c>
      <c r="W589" t="s">
        <v>39</v>
      </c>
      <c r="X589" s="4">
        <v>11.2</v>
      </c>
      <c r="Y589">
        <v>11</v>
      </c>
      <c r="Z589" s="5">
        <v>291.64999999999998</v>
      </c>
    </row>
    <row r="590" spans="1:26">
      <c r="A590">
        <v>589</v>
      </c>
      <c r="B590">
        <v>186</v>
      </c>
      <c r="C590" s="2">
        <v>46215</v>
      </c>
      <c r="D590" t="s">
        <v>58</v>
      </c>
      <c r="E590">
        <v>7</v>
      </c>
      <c r="F590" s="3">
        <v>9.93</v>
      </c>
      <c r="G590" t="s">
        <v>27</v>
      </c>
      <c r="H590">
        <v>23</v>
      </c>
      <c r="I590" t="s">
        <v>34</v>
      </c>
      <c r="J590" s="4">
        <v>67.099999999999994</v>
      </c>
      <c r="K590" s="4">
        <v>152.1</v>
      </c>
      <c r="L590" s="4">
        <v>23.9</v>
      </c>
      <c r="M590">
        <v>15</v>
      </c>
      <c r="N590" t="s">
        <v>60</v>
      </c>
      <c r="O590">
        <v>5</v>
      </c>
      <c r="P590" s="4">
        <v>1401.7</v>
      </c>
      <c r="Q590" t="s">
        <v>42</v>
      </c>
      <c r="R590">
        <v>1</v>
      </c>
      <c r="S590" t="s">
        <v>44</v>
      </c>
      <c r="T590">
        <v>1</v>
      </c>
      <c r="U590">
        <v>0</v>
      </c>
      <c r="V590" t="s">
        <v>45</v>
      </c>
      <c r="W590" t="s">
        <v>39</v>
      </c>
      <c r="X590" s="4">
        <v>9.8000000000000007</v>
      </c>
      <c r="Y590">
        <v>9</v>
      </c>
      <c r="Z590" s="5">
        <v>260.47000000000003</v>
      </c>
    </row>
    <row r="591" spans="1:26">
      <c r="A591">
        <v>590</v>
      </c>
      <c r="B591">
        <v>186</v>
      </c>
      <c r="C591" s="2">
        <v>46215</v>
      </c>
      <c r="D591" t="s">
        <v>58</v>
      </c>
      <c r="E591">
        <v>7</v>
      </c>
      <c r="F591" s="3">
        <v>9.84</v>
      </c>
      <c r="G591" t="s">
        <v>27</v>
      </c>
      <c r="H591">
        <v>27</v>
      </c>
      <c r="I591" t="s">
        <v>28</v>
      </c>
      <c r="J591" s="4">
        <v>69.2</v>
      </c>
      <c r="K591" s="4">
        <v>149.6</v>
      </c>
      <c r="L591" s="4">
        <v>21.8</v>
      </c>
      <c r="M591">
        <v>14</v>
      </c>
      <c r="N591" t="s">
        <v>60</v>
      </c>
      <c r="O591">
        <v>5</v>
      </c>
      <c r="P591" s="4">
        <v>1401.7</v>
      </c>
      <c r="Q591" t="s">
        <v>42</v>
      </c>
      <c r="R591">
        <v>1</v>
      </c>
      <c r="S591" t="s">
        <v>44</v>
      </c>
      <c r="T591">
        <v>1</v>
      </c>
      <c r="U591">
        <v>0</v>
      </c>
      <c r="V591" t="s">
        <v>45</v>
      </c>
      <c r="W591" t="s">
        <v>39</v>
      </c>
      <c r="X591" s="4">
        <v>8.6999999999999993</v>
      </c>
      <c r="Y591">
        <v>9</v>
      </c>
      <c r="Z591" s="5">
        <v>163.78</v>
      </c>
    </row>
    <row r="592" spans="1:26">
      <c r="A592">
        <v>591</v>
      </c>
      <c r="B592">
        <v>186</v>
      </c>
      <c r="C592" s="2">
        <v>46215</v>
      </c>
      <c r="D592" t="s">
        <v>58</v>
      </c>
      <c r="E592">
        <v>7</v>
      </c>
      <c r="F592" s="3">
        <v>9.89</v>
      </c>
      <c r="G592" t="s">
        <v>27</v>
      </c>
      <c r="H592">
        <v>35</v>
      </c>
      <c r="I592" t="s">
        <v>28</v>
      </c>
      <c r="J592" s="4">
        <v>69.8</v>
      </c>
      <c r="K592" s="4">
        <v>181.3</v>
      </c>
      <c r="L592" s="4">
        <v>26.2</v>
      </c>
      <c r="M592">
        <v>12</v>
      </c>
      <c r="N592" t="s">
        <v>60</v>
      </c>
      <c r="O592">
        <v>5</v>
      </c>
      <c r="P592" s="4">
        <v>1401.7</v>
      </c>
      <c r="Q592" t="s">
        <v>42</v>
      </c>
      <c r="R592">
        <v>1</v>
      </c>
      <c r="S592" t="s">
        <v>44</v>
      </c>
      <c r="T592">
        <v>1</v>
      </c>
      <c r="U592">
        <v>0</v>
      </c>
      <c r="V592" t="s">
        <v>45</v>
      </c>
      <c r="W592" t="s">
        <v>39</v>
      </c>
      <c r="X592" s="4">
        <v>6.2</v>
      </c>
      <c r="Y592">
        <v>8</v>
      </c>
      <c r="Z592" s="5">
        <v>203.74</v>
      </c>
    </row>
    <row r="593" spans="1:26">
      <c r="A593">
        <v>592</v>
      </c>
      <c r="B593">
        <v>187</v>
      </c>
      <c r="C593" s="2">
        <v>46369</v>
      </c>
      <c r="D593" t="s">
        <v>58</v>
      </c>
      <c r="E593">
        <v>12</v>
      </c>
      <c r="F593" s="3">
        <v>10.59</v>
      </c>
      <c r="G593" t="s">
        <v>27</v>
      </c>
      <c r="H593">
        <v>10</v>
      </c>
      <c r="I593" t="s">
        <v>34</v>
      </c>
      <c r="J593" s="4">
        <v>61.5</v>
      </c>
      <c r="K593" s="4">
        <v>93.4</v>
      </c>
      <c r="L593" s="4">
        <v>17.3</v>
      </c>
      <c r="M593">
        <v>10</v>
      </c>
      <c r="N593" t="s">
        <v>60</v>
      </c>
      <c r="O593">
        <v>1</v>
      </c>
      <c r="P593" s="4">
        <v>1388.7</v>
      </c>
      <c r="Q593" t="s">
        <v>30</v>
      </c>
      <c r="R593">
        <v>1</v>
      </c>
      <c r="S593" t="s">
        <v>38</v>
      </c>
      <c r="T593">
        <v>1</v>
      </c>
      <c r="U593">
        <v>0</v>
      </c>
      <c r="V593" t="s">
        <v>32</v>
      </c>
      <c r="W593" t="s">
        <v>49</v>
      </c>
      <c r="X593" s="4">
        <v>7.4</v>
      </c>
      <c r="Y593">
        <v>4</v>
      </c>
      <c r="Z593" s="5">
        <v>211.92</v>
      </c>
    </row>
    <row r="594" spans="1:26">
      <c r="A594">
        <v>593</v>
      </c>
      <c r="B594">
        <v>188</v>
      </c>
      <c r="C594" s="2">
        <v>46070</v>
      </c>
      <c r="D594" t="s">
        <v>35</v>
      </c>
      <c r="E594">
        <v>2</v>
      </c>
      <c r="F594" s="3">
        <v>13.01</v>
      </c>
      <c r="G594" t="s">
        <v>36</v>
      </c>
      <c r="H594">
        <v>42</v>
      </c>
      <c r="I594" t="s">
        <v>28</v>
      </c>
      <c r="J594" s="4">
        <v>69</v>
      </c>
      <c r="K594" s="4">
        <v>174.8</v>
      </c>
      <c r="L594" s="4">
        <v>25.9</v>
      </c>
      <c r="M594">
        <v>18</v>
      </c>
      <c r="N594" t="s">
        <v>47</v>
      </c>
      <c r="O594">
        <v>3</v>
      </c>
      <c r="P594" s="4">
        <v>89.6</v>
      </c>
      <c r="Q594" t="s">
        <v>42</v>
      </c>
      <c r="R594">
        <v>0</v>
      </c>
      <c r="S594" t="s">
        <v>44</v>
      </c>
      <c r="T594">
        <v>1</v>
      </c>
      <c r="U594">
        <v>0</v>
      </c>
      <c r="V594" t="s">
        <v>32</v>
      </c>
      <c r="W594" t="s">
        <v>39</v>
      </c>
      <c r="X594" s="4">
        <v>7.1</v>
      </c>
      <c r="Y594">
        <v>4</v>
      </c>
      <c r="Z594" s="5">
        <v>154.71</v>
      </c>
    </row>
    <row r="595" spans="1:26">
      <c r="A595">
        <v>594</v>
      </c>
      <c r="B595">
        <v>188</v>
      </c>
      <c r="C595" s="2">
        <v>46070</v>
      </c>
      <c r="D595" t="s">
        <v>35</v>
      </c>
      <c r="E595">
        <v>2</v>
      </c>
      <c r="F595" s="3">
        <v>12.99</v>
      </c>
      <c r="G595" t="s">
        <v>36</v>
      </c>
      <c r="H595">
        <v>43</v>
      </c>
      <c r="I595" t="s">
        <v>34</v>
      </c>
      <c r="J595" s="4">
        <v>67.7</v>
      </c>
      <c r="K595" s="4">
        <v>185.8</v>
      </c>
      <c r="L595" s="4">
        <v>28.4</v>
      </c>
      <c r="M595">
        <v>15</v>
      </c>
      <c r="N595" t="s">
        <v>47</v>
      </c>
      <c r="O595">
        <v>3</v>
      </c>
      <c r="P595" s="4">
        <v>89.6</v>
      </c>
      <c r="Q595" t="s">
        <v>42</v>
      </c>
      <c r="R595">
        <v>0</v>
      </c>
      <c r="S595" t="s">
        <v>44</v>
      </c>
      <c r="T595">
        <v>1</v>
      </c>
      <c r="U595">
        <v>0</v>
      </c>
      <c r="V595" t="s">
        <v>32</v>
      </c>
      <c r="W595" t="s">
        <v>39</v>
      </c>
      <c r="X595" s="4">
        <v>6.4</v>
      </c>
      <c r="Y595">
        <v>11</v>
      </c>
      <c r="Z595" s="5">
        <v>148.21</v>
      </c>
    </row>
    <row r="596" spans="1:26">
      <c r="A596">
        <v>595</v>
      </c>
      <c r="B596">
        <v>188</v>
      </c>
      <c r="C596" s="2">
        <v>46070</v>
      </c>
      <c r="D596" t="s">
        <v>35</v>
      </c>
      <c r="E596">
        <v>2</v>
      </c>
      <c r="F596" s="3">
        <v>12.93</v>
      </c>
      <c r="G596" t="s">
        <v>36</v>
      </c>
      <c r="H596">
        <v>45</v>
      </c>
      <c r="I596" t="s">
        <v>34</v>
      </c>
      <c r="J596" s="4">
        <v>60.9</v>
      </c>
      <c r="K596" s="4">
        <v>121.2</v>
      </c>
      <c r="L596" s="4">
        <v>22.9</v>
      </c>
      <c r="M596">
        <v>18</v>
      </c>
      <c r="N596" t="s">
        <v>47</v>
      </c>
      <c r="O596">
        <v>3</v>
      </c>
      <c r="P596" s="4">
        <v>89.6</v>
      </c>
      <c r="Q596" t="s">
        <v>42</v>
      </c>
      <c r="R596">
        <v>0</v>
      </c>
      <c r="S596" t="s">
        <v>44</v>
      </c>
      <c r="T596">
        <v>1</v>
      </c>
      <c r="U596">
        <v>0</v>
      </c>
      <c r="V596" t="s">
        <v>32</v>
      </c>
      <c r="W596" t="s">
        <v>39</v>
      </c>
      <c r="X596" s="4">
        <v>7.1</v>
      </c>
      <c r="Y596">
        <v>12</v>
      </c>
      <c r="Z596" s="5">
        <v>188.32</v>
      </c>
    </row>
    <row r="597" spans="1:26">
      <c r="A597">
        <v>596</v>
      </c>
      <c r="B597">
        <v>189</v>
      </c>
      <c r="C597" s="2">
        <v>46186</v>
      </c>
      <c r="D597" t="s">
        <v>40</v>
      </c>
      <c r="E597">
        <v>6</v>
      </c>
      <c r="F597" s="3">
        <v>11.44</v>
      </c>
      <c r="G597" t="s">
        <v>36</v>
      </c>
      <c r="H597">
        <v>62</v>
      </c>
      <c r="I597" t="s">
        <v>34</v>
      </c>
      <c r="J597" s="4">
        <v>60.2</v>
      </c>
      <c r="K597" s="4">
        <v>168.2</v>
      </c>
      <c r="L597" s="4">
        <v>32.5</v>
      </c>
      <c r="M597">
        <v>18</v>
      </c>
      <c r="N597" t="s">
        <v>50</v>
      </c>
      <c r="O597">
        <v>2</v>
      </c>
      <c r="P597" s="4">
        <v>381.7</v>
      </c>
      <c r="Q597" t="s">
        <v>48</v>
      </c>
      <c r="R597">
        <v>1</v>
      </c>
      <c r="S597" t="s">
        <v>44</v>
      </c>
      <c r="T597">
        <v>0</v>
      </c>
      <c r="U597">
        <v>1</v>
      </c>
      <c r="V597" t="s">
        <v>45</v>
      </c>
      <c r="W597" t="s">
        <v>33</v>
      </c>
      <c r="X597" s="4">
        <v>9.4</v>
      </c>
      <c r="Y597">
        <v>11</v>
      </c>
      <c r="Z597" s="5">
        <v>279.95999999999998</v>
      </c>
    </row>
    <row r="598" spans="1:26">
      <c r="A598">
        <v>597</v>
      </c>
      <c r="B598">
        <v>189</v>
      </c>
      <c r="C598" s="2">
        <v>46186</v>
      </c>
      <c r="D598" t="s">
        <v>40</v>
      </c>
      <c r="E598">
        <v>6</v>
      </c>
      <c r="F598" s="3">
        <v>11.83</v>
      </c>
      <c r="G598" t="s">
        <v>36</v>
      </c>
      <c r="H598">
        <v>28</v>
      </c>
      <c r="I598" t="s">
        <v>28</v>
      </c>
      <c r="J598" s="4">
        <v>67.2</v>
      </c>
      <c r="K598" s="4">
        <v>164.2</v>
      </c>
      <c r="L598" s="4">
        <v>25.5</v>
      </c>
      <c r="M598">
        <v>18</v>
      </c>
      <c r="N598" t="s">
        <v>50</v>
      </c>
      <c r="O598">
        <v>2</v>
      </c>
      <c r="P598" s="4">
        <v>381.7</v>
      </c>
      <c r="Q598" t="s">
        <v>48</v>
      </c>
      <c r="R598">
        <v>1</v>
      </c>
      <c r="S598" t="s">
        <v>44</v>
      </c>
      <c r="T598">
        <v>0</v>
      </c>
      <c r="U598">
        <v>1</v>
      </c>
      <c r="V598" t="s">
        <v>45</v>
      </c>
      <c r="W598" t="s">
        <v>33</v>
      </c>
      <c r="X598" s="4">
        <v>9.3000000000000007</v>
      </c>
      <c r="Y598">
        <v>5</v>
      </c>
      <c r="Z598" s="5">
        <v>218.25</v>
      </c>
    </row>
    <row r="599" spans="1:26">
      <c r="A599">
        <v>598</v>
      </c>
      <c r="B599">
        <v>190</v>
      </c>
      <c r="C599" s="2">
        <v>46023</v>
      </c>
      <c r="D599" t="s">
        <v>55</v>
      </c>
      <c r="E599">
        <v>1</v>
      </c>
      <c r="F599" s="3">
        <v>11.1</v>
      </c>
      <c r="G599" t="s">
        <v>36</v>
      </c>
      <c r="H599">
        <v>18</v>
      </c>
      <c r="I599" t="s">
        <v>28</v>
      </c>
      <c r="J599" s="4">
        <v>66.099999999999994</v>
      </c>
      <c r="K599" s="4">
        <v>155.30000000000001</v>
      </c>
      <c r="L599" s="4">
        <v>24.8</v>
      </c>
      <c r="M599">
        <v>14</v>
      </c>
      <c r="N599" t="s">
        <v>62</v>
      </c>
      <c r="O599">
        <v>2</v>
      </c>
      <c r="P599" s="4">
        <v>2233.1999999999998</v>
      </c>
      <c r="Q599" t="s">
        <v>48</v>
      </c>
      <c r="R599">
        <v>1</v>
      </c>
      <c r="S599" t="s">
        <v>38</v>
      </c>
      <c r="T599">
        <v>0</v>
      </c>
      <c r="U599">
        <v>0</v>
      </c>
      <c r="V599" t="s">
        <v>32</v>
      </c>
      <c r="W599" t="s">
        <v>57</v>
      </c>
      <c r="X599" s="4">
        <v>10.3</v>
      </c>
      <c r="Y599">
        <v>11</v>
      </c>
      <c r="Z599" s="5">
        <v>233.15</v>
      </c>
    </row>
    <row r="600" spans="1:26">
      <c r="A600">
        <v>599</v>
      </c>
      <c r="B600">
        <v>190</v>
      </c>
      <c r="C600" s="2">
        <v>46023</v>
      </c>
      <c r="D600" t="s">
        <v>55</v>
      </c>
      <c r="E600">
        <v>1</v>
      </c>
      <c r="F600" s="3">
        <v>11.26</v>
      </c>
      <c r="G600" t="s">
        <v>36</v>
      </c>
      <c r="H600">
        <v>66</v>
      </c>
      <c r="I600" t="s">
        <v>34</v>
      </c>
      <c r="J600" s="4">
        <v>60.4</v>
      </c>
      <c r="K600" s="4">
        <v>125.5</v>
      </c>
      <c r="L600" s="4">
        <v>24.1</v>
      </c>
      <c r="M600">
        <v>19</v>
      </c>
      <c r="N600" t="s">
        <v>62</v>
      </c>
      <c r="O600">
        <v>2</v>
      </c>
      <c r="P600" s="4">
        <v>2233.1999999999998</v>
      </c>
      <c r="Q600" t="s">
        <v>48</v>
      </c>
      <c r="R600">
        <v>1</v>
      </c>
      <c r="S600" t="s">
        <v>38</v>
      </c>
      <c r="T600">
        <v>0</v>
      </c>
      <c r="U600">
        <v>0</v>
      </c>
      <c r="V600" t="s">
        <v>32</v>
      </c>
      <c r="W600" t="s">
        <v>57</v>
      </c>
      <c r="X600" s="4">
        <v>7.9</v>
      </c>
      <c r="Y600">
        <v>6</v>
      </c>
      <c r="Z600" s="5">
        <v>260.77</v>
      </c>
    </row>
    <row r="601" spans="1:26">
      <c r="A601">
        <v>600</v>
      </c>
      <c r="B601">
        <v>191</v>
      </c>
      <c r="C601" s="2">
        <v>46064</v>
      </c>
      <c r="D601" t="s">
        <v>52</v>
      </c>
      <c r="E601">
        <v>2</v>
      </c>
      <c r="F601" s="3">
        <v>11.98</v>
      </c>
      <c r="G601" t="s">
        <v>36</v>
      </c>
      <c r="H601">
        <v>34</v>
      </c>
      <c r="I601" t="s">
        <v>34</v>
      </c>
      <c r="J601" s="4">
        <v>64.5</v>
      </c>
      <c r="K601" s="4">
        <v>121.8</v>
      </c>
      <c r="L601" s="4">
        <v>20.8</v>
      </c>
      <c r="M601">
        <v>18</v>
      </c>
      <c r="N601" t="s">
        <v>60</v>
      </c>
      <c r="O601">
        <v>1</v>
      </c>
      <c r="P601" s="4">
        <v>1692.4</v>
      </c>
      <c r="Q601" t="s">
        <v>48</v>
      </c>
      <c r="R601">
        <v>1</v>
      </c>
      <c r="S601" t="s">
        <v>44</v>
      </c>
      <c r="T601">
        <v>1</v>
      </c>
      <c r="U601">
        <v>1</v>
      </c>
      <c r="V601" t="s">
        <v>45</v>
      </c>
      <c r="W601" t="s">
        <v>43</v>
      </c>
      <c r="X601" s="4">
        <v>8.4</v>
      </c>
      <c r="Y601">
        <v>6</v>
      </c>
      <c r="Z601" s="5">
        <v>247.33</v>
      </c>
    </row>
    <row r="602" spans="1:26">
      <c r="A602">
        <v>601</v>
      </c>
      <c r="B602">
        <v>192</v>
      </c>
      <c r="C602" s="2">
        <v>46253</v>
      </c>
      <c r="D602" t="s">
        <v>52</v>
      </c>
      <c r="E602">
        <v>8</v>
      </c>
      <c r="F602" s="3">
        <v>11.62</v>
      </c>
      <c r="G602" t="s">
        <v>36</v>
      </c>
      <c r="H602">
        <v>9</v>
      </c>
      <c r="I602" t="s">
        <v>28</v>
      </c>
      <c r="J602" s="4">
        <v>66.5</v>
      </c>
      <c r="K602" s="4">
        <v>135.5</v>
      </c>
      <c r="L602" s="4">
        <v>21.4</v>
      </c>
      <c r="M602">
        <v>12</v>
      </c>
      <c r="N602" t="s">
        <v>50</v>
      </c>
      <c r="O602">
        <v>1</v>
      </c>
      <c r="P602" s="4">
        <v>598</v>
      </c>
      <c r="Q602" t="s">
        <v>48</v>
      </c>
      <c r="R602">
        <v>0</v>
      </c>
      <c r="S602" t="s">
        <v>31</v>
      </c>
      <c r="T602">
        <v>0</v>
      </c>
      <c r="U602">
        <v>1</v>
      </c>
      <c r="V602" t="s">
        <v>64</v>
      </c>
      <c r="W602" t="s">
        <v>33</v>
      </c>
      <c r="X602" s="4">
        <v>7.3</v>
      </c>
      <c r="Y602">
        <v>5</v>
      </c>
      <c r="Z602" s="5">
        <v>319.26</v>
      </c>
    </row>
    <row r="603" spans="1:26">
      <c r="A603">
        <v>602</v>
      </c>
      <c r="B603">
        <v>193</v>
      </c>
      <c r="C603" s="2">
        <v>46150</v>
      </c>
      <c r="D603" t="s">
        <v>26</v>
      </c>
      <c r="E603">
        <v>5</v>
      </c>
      <c r="F603" s="3">
        <v>9.15</v>
      </c>
      <c r="G603" t="s">
        <v>27</v>
      </c>
      <c r="H603">
        <v>36</v>
      </c>
      <c r="I603" t="s">
        <v>34</v>
      </c>
      <c r="J603" s="4">
        <v>67.3</v>
      </c>
      <c r="K603" s="4">
        <v>104.1</v>
      </c>
      <c r="L603" s="4">
        <v>16.2</v>
      </c>
      <c r="M603">
        <v>13</v>
      </c>
      <c r="N603" t="s">
        <v>56</v>
      </c>
      <c r="O603">
        <v>1</v>
      </c>
      <c r="P603" s="4">
        <v>93.6</v>
      </c>
      <c r="Q603" t="s">
        <v>42</v>
      </c>
      <c r="R603">
        <v>1</v>
      </c>
      <c r="S603" t="s">
        <v>44</v>
      </c>
      <c r="T603">
        <v>1</v>
      </c>
      <c r="U603">
        <v>0</v>
      </c>
      <c r="V603" t="s">
        <v>45</v>
      </c>
      <c r="W603" t="s">
        <v>43</v>
      </c>
      <c r="X603" s="4">
        <v>8.6999999999999993</v>
      </c>
      <c r="Y603">
        <v>7</v>
      </c>
      <c r="Z603" s="5">
        <v>335.67</v>
      </c>
    </row>
    <row r="604" spans="1:26">
      <c r="A604">
        <v>603</v>
      </c>
      <c r="B604">
        <v>194</v>
      </c>
      <c r="C604" s="2">
        <v>46202</v>
      </c>
      <c r="D604" t="s">
        <v>46</v>
      </c>
      <c r="E604">
        <v>6</v>
      </c>
      <c r="F604" s="3">
        <v>10.74</v>
      </c>
      <c r="G604" t="s">
        <v>27</v>
      </c>
      <c r="H604">
        <v>69</v>
      </c>
      <c r="I604" t="s">
        <v>34</v>
      </c>
      <c r="J604" s="4">
        <v>59.6</v>
      </c>
      <c r="K604" s="4">
        <v>144.19999999999999</v>
      </c>
      <c r="L604" s="4">
        <v>28.5</v>
      </c>
      <c r="M604">
        <v>16</v>
      </c>
      <c r="N604" t="s">
        <v>56</v>
      </c>
      <c r="O604">
        <v>3</v>
      </c>
      <c r="P604" s="4">
        <v>462.1</v>
      </c>
      <c r="Q604" t="s">
        <v>42</v>
      </c>
      <c r="R604">
        <v>0</v>
      </c>
      <c r="S604" t="s">
        <v>38</v>
      </c>
      <c r="T604">
        <v>0</v>
      </c>
      <c r="U604">
        <v>1</v>
      </c>
      <c r="V604" t="s">
        <v>45</v>
      </c>
      <c r="W604" t="s">
        <v>43</v>
      </c>
      <c r="X604" s="4">
        <v>9.1</v>
      </c>
      <c r="Y604">
        <v>6</v>
      </c>
      <c r="Z604" s="5">
        <v>196.47</v>
      </c>
    </row>
    <row r="605" spans="1:26">
      <c r="A605">
        <v>604</v>
      </c>
      <c r="B605">
        <v>194</v>
      </c>
      <c r="C605" s="2">
        <v>46202</v>
      </c>
      <c r="D605" t="s">
        <v>46</v>
      </c>
      <c r="E605">
        <v>6</v>
      </c>
      <c r="F605" s="3">
        <v>10.69</v>
      </c>
      <c r="G605" t="s">
        <v>27</v>
      </c>
      <c r="H605">
        <v>56</v>
      </c>
      <c r="I605" t="s">
        <v>28</v>
      </c>
      <c r="J605" s="4">
        <v>71.7</v>
      </c>
      <c r="K605" s="4">
        <v>156.6</v>
      </c>
      <c r="L605" s="4">
        <v>21.4</v>
      </c>
      <c r="M605">
        <v>16</v>
      </c>
      <c r="N605" t="s">
        <v>56</v>
      </c>
      <c r="O605">
        <v>3</v>
      </c>
      <c r="P605" s="4">
        <v>462.1</v>
      </c>
      <c r="Q605" t="s">
        <v>42</v>
      </c>
      <c r="R605">
        <v>0</v>
      </c>
      <c r="S605" t="s">
        <v>38</v>
      </c>
      <c r="T605">
        <v>0</v>
      </c>
      <c r="U605">
        <v>1</v>
      </c>
      <c r="V605" t="s">
        <v>45</v>
      </c>
      <c r="W605" t="s">
        <v>43</v>
      </c>
      <c r="X605" s="4">
        <v>8.5</v>
      </c>
      <c r="Y605">
        <v>10</v>
      </c>
      <c r="Z605" s="5">
        <v>154.33000000000001</v>
      </c>
    </row>
    <row r="606" spans="1:26">
      <c r="A606">
        <v>605</v>
      </c>
      <c r="B606">
        <v>194</v>
      </c>
      <c r="C606" s="2">
        <v>46202</v>
      </c>
      <c r="D606" t="s">
        <v>46</v>
      </c>
      <c r="E606">
        <v>6</v>
      </c>
      <c r="F606" s="3">
        <v>10.82</v>
      </c>
      <c r="G606" t="s">
        <v>27</v>
      </c>
      <c r="H606">
        <v>25</v>
      </c>
      <c r="I606" t="s">
        <v>34</v>
      </c>
      <c r="J606" s="4">
        <v>62.6</v>
      </c>
      <c r="K606" s="4">
        <v>115</v>
      </c>
      <c r="L606" s="4">
        <v>20.6</v>
      </c>
      <c r="M606">
        <v>14</v>
      </c>
      <c r="N606" t="s">
        <v>56</v>
      </c>
      <c r="O606">
        <v>3</v>
      </c>
      <c r="P606" s="4">
        <v>462.1</v>
      </c>
      <c r="Q606" t="s">
        <v>42</v>
      </c>
      <c r="R606">
        <v>0</v>
      </c>
      <c r="S606" t="s">
        <v>38</v>
      </c>
      <c r="T606">
        <v>0</v>
      </c>
      <c r="U606">
        <v>1</v>
      </c>
      <c r="V606" t="s">
        <v>45</v>
      </c>
      <c r="W606" t="s">
        <v>43</v>
      </c>
      <c r="X606" s="4">
        <v>6.4</v>
      </c>
      <c r="Y606">
        <v>3</v>
      </c>
      <c r="Z606" s="5">
        <v>199.89</v>
      </c>
    </row>
    <row r="607" spans="1:26">
      <c r="A607">
        <v>606</v>
      </c>
      <c r="B607">
        <v>195</v>
      </c>
      <c r="C607" s="2">
        <v>46029</v>
      </c>
      <c r="D607" t="s">
        <v>52</v>
      </c>
      <c r="E607">
        <v>1</v>
      </c>
      <c r="F607" s="3">
        <v>10.46</v>
      </c>
      <c r="G607" t="s">
        <v>27</v>
      </c>
      <c r="H607">
        <v>46</v>
      </c>
      <c r="I607" t="s">
        <v>34</v>
      </c>
      <c r="J607" s="4">
        <v>65.400000000000006</v>
      </c>
      <c r="K607" s="4">
        <v>185.8</v>
      </c>
      <c r="L607" s="4">
        <v>30.6</v>
      </c>
      <c r="M607">
        <v>17</v>
      </c>
      <c r="N607" t="s">
        <v>60</v>
      </c>
      <c r="O607">
        <v>2</v>
      </c>
      <c r="P607" s="4">
        <v>1748.1</v>
      </c>
      <c r="Q607" t="s">
        <v>48</v>
      </c>
      <c r="R607">
        <v>1</v>
      </c>
      <c r="S607" t="s">
        <v>44</v>
      </c>
      <c r="T607">
        <v>1</v>
      </c>
      <c r="U607">
        <v>0</v>
      </c>
      <c r="V607" t="s">
        <v>45</v>
      </c>
      <c r="W607" t="s">
        <v>39</v>
      </c>
      <c r="X607" s="4">
        <v>5.8</v>
      </c>
      <c r="Y607">
        <v>12</v>
      </c>
      <c r="Z607" s="5">
        <v>172.98</v>
      </c>
    </row>
    <row r="608" spans="1:26">
      <c r="A608">
        <v>607</v>
      </c>
      <c r="B608">
        <v>195</v>
      </c>
      <c r="C608" s="2">
        <v>46029</v>
      </c>
      <c r="D608" t="s">
        <v>52</v>
      </c>
      <c r="E608">
        <v>1</v>
      </c>
      <c r="F608" s="3">
        <v>10.34</v>
      </c>
      <c r="G608" t="s">
        <v>27</v>
      </c>
      <c r="H608">
        <v>44</v>
      </c>
      <c r="I608" t="s">
        <v>28</v>
      </c>
      <c r="J608" s="4">
        <v>66.5</v>
      </c>
      <c r="K608" s="4">
        <v>195.6</v>
      </c>
      <c r="L608" s="4">
        <v>31.1</v>
      </c>
      <c r="M608">
        <v>18</v>
      </c>
      <c r="N608" t="s">
        <v>60</v>
      </c>
      <c r="O608">
        <v>2</v>
      </c>
      <c r="P608" s="4">
        <v>1748.1</v>
      </c>
      <c r="Q608" t="s">
        <v>48</v>
      </c>
      <c r="R608">
        <v>1</v>
      </c>
      <c r="S608" t="s">
        <v>44</v>
      </c>
      <c r="T608">
        <v>1</v>
      </c>
      <c r="U608">
        <v>0</v>
      </c>
      <c r="V608" t="s">
        <v>45</v>
      </c>
      <c r="W608" t="s">
        <v>39</v>
      </c>
      <c r="X608" s="4">
        <v>10.199999999999999</v>
      </c>
      <c r="Y608">
        <v>4</v>
      </c>
      <c r="Z608" s="5">
        <v>342.36</v>
      </c>
    </row>
    <row r="609" spans="1:26">
      <c r="A609">
        <v>608</v>
      </c>
      <c r="B609">
        <v>196</v>
      </c>
      <c r="C609" s="2">
        <v>46123</v>
      </c>
      <c r="D609" t="s">
        <v>40</v>
      </c>
      <c r="E609">
        <v>4</v>
      </c>
      <c r="F609" s="3">
        <v>10.58</v>
      </c>
      <c r="G609" t="s">
        <v>27</v>
      </c>
      <c r="H609">
        <v>12</v>
      </c>
      <c r="I609" t="s">
        <v>28</v>
      </c>
      <c r="J609" s="4">
        <v>70</v>
      </c>
      <c r="K609" s="4">
        <v>129.6</v>
      </c>
      <c r="L609" s="4">
        <v>18.7</v>
      </c>
      <c r="M609">
        <v>14</v>
      </c>
      <c r="N609" t="s">
        <v>47</v>
      </c>
      <c r="O609">
        <v>4</v>
      </c>
      <c r="P609" s="4">
        <v>111.3</v>
      </c>
      <c r="Q609" t="s">
        <v>48</v>
      </c>
      <c r="R609">
        <v>0</v>
      </c>
      <c r="S609" t="s">
        <v>31</v>
      </c>
      <c r="T609">
        <v>1</v>
      </c>
      <c r="U609">
        <v>0</v>
      </c>
      <c r="V609" t="s">
        <v>32</v>
      </c>
      <c r="W609" t="s">
        <v>39</v>
      </c>
      <c r="X609" s="4">
        <v>9.6999999999999993</v>
      </c>
      <c r="Y609">
        <v>9</v>
      </c>
      <c r="Z609" s="5">
        <v>180.24</v>
      </c>
    </row>
    <row r="610" spans="1:26">
      <c r="A610">
        <v>609</v>
      </c>
      <c r="B610">
        <v>196</v>
      </c>
      <c r="C610" s="2">
        <v>46123</v>
      </c>
      <c r="D610" t="s">
        <v>40</v>
      </c>
      <c r="E610">
        <v>4</v>
      </c>
      <c r="F610" s="3">
        <v>10.87</v>
      </c>
      <c r="G610" t="s">
        <v>27</v>
      </c>
      <c r="H610">
        <v>26</v>
      </c>
      <c r="I610" t="s">
        <v>28</v>
      </c>
      <c r="J610" s="4">
        <v>70.099999999999994</v>
      </c>
      <c r="K610" s="4">
        <v>200.8</v>
      </c>
      <c r="L610" s="4">
        <v>28.8</v>
      </c>
      <c r="M610">
        <v>16</v>
      </c>
      <c r="N610" t="s">
        <v>47</v>
      </c>
      <c r="O610">
        <v>4</v>
      </c>
      <c r="P610" s="4">
        <v>111.3</v>
      </c>
      <c r="Q610" t="s">
        <v>48</v>
      </c>
      <c r="R610">
        <v>0</v>
      </c>
      <c r="S610" t="s">
        <v>31</v>
      </c>
      <c r="T610">
        <v>1</v>
      </c>
      <c r="U610">
        <v>0</v>
      </c>
      <c r="V610" t="s">
        <v>32</v>
      </c>
      <c r="W610" t="s">
        <v>39</v>
      </c>
      <c r="X610" s="4">
        <v>8.5</v>
      </c>
      <c r="Y610">
        <v>7</v>
      </c>
      <c r="Z610" s="5">
        <v>165.87</v>
      </c>
    </row>
    <row r="611" spans="1:26">
      <c r="A611">
        <v>610</v>
      </c>
      <c r="B611">
        <v>196</v>
      </c>
      <c r="C611" s="2">
        <v>46123</v>
      </c>
      <c r="D611" t="s">
        <v>40</v>
      </c>
      <c r="E611">
        <v>4</v>
      </c>
      <c r="F611" s="3">
        <v>10.92</v>
      </c>
      <c r="G611" t="s">
        <v>27</v>
      </c>
      <c r="H611">
        <v>28</v>
      </c>
      <c r="I611" t="s">
        <v>34</v>
      </c>
      <c r="J611" s="4">
        <v>68.599999999999994</v>
      </c>
      <c r="K611" s="4">
        <v>145.30000000000001</v>
      </c>
      <c r="L611" s="4">
        <v>21.6</v>
      </c>
      <c r="M611">
        <v>16</v>
      </c>
      <c r="N611" t="s">
        <v>47</v>
      </c>
      <c r="O611">
        <v>4</v>
      </c>
      <c r="P611" s="4">
        <v>111.3</v>
      </c>
      <c r="Q611" t="s">
        <v>48</v>
      </c>
      <c r="R611">
        <v>0</v>
      </c>
      <c r="S611" t="s">
        <v>31</v>
      </c>
      <c r="T611">
        <v>1</v>
      </c>
      <c r="U611">
        <v>0</v>
      </c>
      <c r="V611" t="s">
        <v>32</v>
      </c>
      <c r="W611" t="s">
        <v>39</v>
      </c>
      <c r="X611" s="4">
        <v>7.8</v>
      </c>
      <c r="Y611">
        <v>6</v>
      </c>
      <c r="Z611" s="5">
        <v>257.07</v>
      </c>
    </row>
    <row r="612" spans="1:26">
      <c r="A612">
        <v>611</v>
      </c>
      <c r="B612">
        <v>196</v>
      </c>
      <c r="C612" s="2">
        <v>46123</v>
      </c>
      <c r="D612" t="s">
        <v>40</v>
      </c>
      <c r="E612">
        <v>4</v>
      </c>
      <c r="F612" s="3">
        <v>10.87</v>
      </c>
      <c r="G612" t="s">
        <v>27</v>
      </c>
      <c r="H612">
        <v>54</v>
      </c>
      <c r="I612" t="s">
        <v>28</v>
      </c>
      <c r="J612" s="4">
        <v>74.5</v>
      </c>
      <c r="K612" s="4">
        <v>180.8</v>
      </c>
      <c r="L612" s="4">
        <v>22.8</v>
      </c>
      <c r="M612">
        <v>15</v>
      </c>
      <c r="N612" t="s">
        <v>47</v>
      </c>
      <c r="O612">
        <v>4</v>
      </c>
      <c r="P612" s="4">
        <v>111.3</v>
      </c>
      <c r="Q612" t="s">
        <v>48</v>
      </c>
      <c r="R612">
        <v>0</v>
      </c>
      <c r="S612" t="s">
        <v>31</v>
      </c>
      <c r="T612">
        <v>1</v>
      </c>
      <c r="U612">
        <v>0</v>
      </c>
      <c r="V612" t="s">
        <v>32</v>
      </c>
      <c r="W612" t="s">
        <v>39</v>
      </c>
      <c r="X612" s="4">
        <v>7.3</v>
      </c>
      <c r="Y612">
        <v>12</v>
      </c>
      <c r="Z612" s="5">
        <v>360.95</v>
      </c>
    </row>
    <row r="613" spans="1:26">
      <c r="A613">
        <v>612</v>
      </c>
      <c r="B613">
        <v>197</v>
      </c>
      <c r="C613" s="2">
        <v>46229</v>
      </c>
      <c r="D613" t="s">
        <v>58</v>
      </c>
      <c r="E613">
        <v>7</v>
      </c>
      <c r="F613" s="3">
        <v>9.86</v>
      </c>
      <c r="G613" t="s">
        <v>27</v>
      </c>
      <c r="H613">
        <v>9</v>
      </c>
      <c r="I613" t="s">
        <v>28</v>
      </c>
      <c r="J613" s="4">
        <v>70</v>
      </c>
      <c r="K613" s="4">
        <v>140.30000000000001</v>
      </c>
      <c r="L613" s="4">
        <v>20</v>
      </c>
      <c r="M613">
        <v>12</v>
      </c>
      <c r="N613" t="s">
        <v>47</v>
      </c>
      <c r="O613">
        <v>1</v>
      </c>
      <c r="P613" s="4">
        <v>55.1</v>
      </c>
      <c r="Q613" t="s">
        <v>42</v>
      </c>
      <c r="R613">
        <v>1</v>
      </c>
      <c r="S613" t="s">
        <v>31</v>
      </c>
      <c r="T613">
        <v>0</v>
      </c>
      <c r="U613">
        <v>0</v>
      </c>
      <c r="V613" t="s">
        <v>32</v>
      </c>
      <c r="W613" t="s">
        <v>43</v>
      </c>
      <c r="X613" s="4">
        <v>7.7</v>
      </c>
      <c r="Y613">
        <v>6</v>
      </c>
      <c r="Z613" s="5">
        <v>246.84</v>
      </c>
    </row>
    <row r="614" spans="1:26">
      <c r="A614">
        <v>613</v>
      </c>
      <c r="B614">
        <v>198</v>
      </c>
      <c r="C614" s="2">
        <v>46180</v>
      </c>
      <c r="D614" t="s">
        <v>58</v>
      </c>
      <c r="E614">
        <v>6</v>
      </c>
      <c r="F614" s="3">
        <v>10.19</v>
      </c>
      <c r="G614" t="s">
        <v>27</v>
      </c>
      <c r="H614">
        <v>60</v>
      </c>
      <c r="I614" t="s">
        <v>28</v>
      </c>
      <c r="J614" s="4">
        <v>66.8</v>
      </c>
      <c r="K614" s="4">
        <v>146.80000000000001</v>
      </c>
      <c r="L614" s="4">
        <v>23.1</v>
      </c>
      <c r="M614">
        <v>16</v>
      </c>
      <c r="N614" t="s">
        <v>60</v>
      </c>
      <c r="O614">
        <v>2</v>
      </c>
      <c r="P614" s="4">
        <v>1884.9</v>
      </c>
      <c r="Q614" t="s">
        <v>48</v>
      </c>
      <c r="R614">
        <v>1</v>
      </c>
      <c r="S614" t="s">
        <v>38</v>
      </c>
      <c r="T614">
        <v>1</v>
      </c>
      <c r="U614">
        <v>0</v>
      </c>
      <c r="V614" t="s">
        <v>32</v>
      </c>
      <c r="W614" t="s">
        <v>39</v>
      </c>
      <c r="X614" s="4">
        <v>8.3000000000000007</v>
      </c>
      <c r="Y614">
        <v>10</v>
      </c>
      <c r="Z614" s="5">
        <v>357.01</v>
      </c>
    </row>
    <row r="615" spans="1:26">
      <c r="A615">
        <v>614</v>
      </c>
      <c r="B615">
        <v>198</v>
      </c>
      <c r="C615" s="2">
        <v>46180</v>
      </c>
      <c r="D615" t="s">
        <v>58</v>
      </c>
      <c r="E615">
        <v>6</v>
      </c>
      <c r="F615" s="3">
        <v>10.35</v>
      </c>
      <c r="G615" t="s">
        <v>27</v>
      </c>
      <c r="H615">
        <v>21</v>
      </c>
      <c r="I615" t="s">
        <v>28</v>
      </c>
      <c r="J615" s="4">
        <v>71</v>
      </c>
      <c r="K615" s="4">
        <v>132.4</v>
      </c>
      <c r="L615" s="4">
        <v>18.2</v>
      </c>
      <c r="M615">
        <v>12</v>
      </c>
      <c r="N615" t="s">
        <v>60</v>
      </c>
      <c r="O615">
        <v>2</v>
      </c>
      <c r="P615" s="4">
        <v>1884.9</v>
      </c>
      <c r="Q615" t="s">
        <v>48</v>
      </c>
      <c r="R615">
        <v>1</v>
      </c>
      <c r="S615" t="s">
        <v>38</v>
      </c>
      <c r="T615">
        <v>1</v>
      </c>
      <c r="U615">
        <v>0</v>
      </c>
      <c r="V615" t="s">
        <v>32</v>
      </c>
      <c r="W615" t="s">
        <v>39</v>
      </c>
      <c r="X615" s="4">
        <v>9.1999999999999993</v>
      </c>
      <c r="Y615">
        <v>8</v>
      </c>
      <c r="Z615" s="5">
        <v>291.58</v>
      </c>
    </row>
    <row r="616" spans="1:26">
      <c r="A616">
        <v>615</v>
      </c>
      <c r="B616">
        <v>199</v>
      </c>
      <c r="C616" s="2">
        <v>46048</v>
      </c>
      <c r="D616" t="s">
        <v>46</v>
      </c>
      <c r="E616">
        <v>1</v>
      </c>
      <c r="F616" s="3">
        <v>10.3</v>
      </c>
      <c r="G616" t="s">
        <v>27</v>
      </c>
      <c r="H616">
        <v>7</v>
      </c>
      <c r="I616" t="s">
        <v>28</v>
      </c>
      <c r="J616" s="4">
        <v>61</v>
      </c>
      <c r="K616" s="4">
        <v>125.9</v>
      </c>
      <c r="L616" s="4">
        <v>23.8</v>
      </c>
      <c r="M616">
        <v>12</v>
      </c>
      <c r="N616" t="s">
        <v>41</v>
      </c>
      <c r="O616">
        <v>6</v>
      </c>
      <c r="P616" s="4">
        <v>2617.6999999999998</v>
      </c>
      <c r="Q616" t="s">
        <v>42</v>
      </c>
      <c r="R616">
        <v>0</v>
      </c>
      <c r="S616" t="s">
        <v>44</v>
      </c>
      <c r="T616">
        <v>1</v>
      </c>
      <c r="U616">
        <v>0</v>
      </c>
      <c r="V616" t="s">
        <v>32</v>
      </c>
      <c r="W616" t="s">
        <v>43</v>
      </c>
      <c r="X616" s="4">
        <v>8.6</v>
      </c>
      <c r="Y616">
        <v>7</v>
      </c>
      <c r="Z616" s="5">
        <v>146.96</v>
      </c>
    </row>
    <row r="617" spans="1:26">
      <c r="A617">
        <v>616</v>
      </c>
      <c r="B617">
        <v>199</v>
      </c>
      <c r="C617" s="2">
        <v>46048</v>
      </c>
      <c r="D617" t="s">
        <v>46</v>
      </c>
      <c r="E617">
        <v>1</v>
      </c>
      <c r="F617" s="3">
        <v>10.34</v>
      </c>
      <c r="G617" t="s">
        <v>27</v>
      </c>
      <c r="H617">
        <v>60</v>
      </c>
      <c r="I617" t="s">
        <v>28</v>
      </c>
      <c r="J617" s="4">
        <v>68.2</v>
      </c>
      <c r="K617" s="4">
        <v>189.3</v>
      </c>
      <c r="L617" s="4">
        <v>28.6</v>
      </c>
      <c r="M617">
        <v>15</v>
      </c>
      <c r="N617" t="s">
        <v>41</v>
      </c>
      <c r="O617">
        <v>6</v>
      </c>
      <c r="P617" s="4">
        <v>2617.6999999999998</v>
      </c>
      <c r="Q617" t="s">
        <v>42</v>
      </c>
      <c r="R617">
        <v>0</v>
      </c>
      <c r="S617" t="s">
        <v>44</v>
      </c>
      <c r="T617">
        <v>1</v>
      </c>
      <c r="U617">
        <v>0</v>
      </c>
      <c r="V617" t="s">
        <v>32</v>
      </c>
      <c r="W617" t="s">
        <v>43</v>
      </c>
      <c r="X617" s="4">
        <v>7.1</v>
      </c>
      <c r="Y617">
        <v>10</v>
      </c>
      <c r="Z617" s="5">
        <v>207.79</v>
      </c>
    </row>
    <row r="618" spans="1:26">
      <c r="A618">
        <v>617</v>
      </c>
      <c r="B618">
        <v>199</v>
      </c>
      <c r="C618" s="2">
        <v>46048</v>
      </c>
      <c r="D618" t="s">
        <v>46</v>
      </c>
      <c r="E618">
        <v>1</v>
      </c>
      <c r="F618" s="3">
        <v>10.38</v>
      </c>
      <c r="G618" t="s">
        <v>27</v>
      </c>
      <c r="H618">
        <v>4</v>
      </c>
      <c r="I618" t="s">
        <v>28</v>
      </c>
      <c r="J618" s="4">
        <v>53.8</v>
      </c>
      <c r="K618" s="4">
        <v>84</v>
      </c>
      <c r="L618" s="4">
        <v>20.399999999999999</v>
      </c>
      <c r="M618">
        <v>10</v>
      </c>
      <c r="N618" t="s">
        <v>41</v>
      </c>
      <c r="O618">
        <v>6</v>
      </c>
      <c r="P618" s="4">
        <v>2617.6999999999998</v>
      </c>
      <c r="Q618" t="s">
        <v>42</v>
      </c>
      <c r="R618">
        <v>0</v>
      </c>
      <c r="S618" t="s">
        <v>44</v>
      </c>
      <c r="T618">
        <v>1</v>
      </c>
      <c r="U618">
        <v>0</v>
      </c>
      <c r="V618" t="s">
        <v>32</v>
      </c>
      <c r="W618" t="s">
        <v>43</v>
      </c>
      <c r="X618" s="4">
        <v>8.4</v>
      </c>
      <c r="Y618">
        <v>11</v>
      </c>
      <c r="Z618" s="5">
        <v>173.61</v>
      </c>
    </row>
    <row r="619" spans="1:26">
      <c r="A619">
        <v>618</v>
      </c>
      <c r="B619">
        <v>199</v>
      </c>
      <c r="C619" s="2">
        <v>46048</v>
      </c>
      <c r="D619" t="s">
        <v>46</v>
      </c>
      <c r="E619">
        <v>1</v>
      </c>
      <c r="F619" s="3">
        <v>10.53</v>
      </c>
      <c r="G619" t="s">
        <v>27</v>
      </c>
      <c r="H619">
        <v>7</v>
      </c>
      <c r="I619" t="s">
        <v>28</v>
      </c>
      <c r="J619" s="4">
        <v>59.6</v>
      </c>
      <c r="K619" s="4">
        <v>74.8</v>
      </c>
      <c r="L619" s="4">
        <v>14.9</v>
      </c>
      <c r="M619">
        <v>10</v>
      </c>
      <c r="N619" t="s">
        <v>41</v>
      </c>
      <c r="O619">
        <v>6</v>
      </c>
      <c r="P619" s="4">
        <v>2617.6999999999998</v>
      </c>
      <c r="Q619" t="s">
        <v>42</v>
      </c>
      <c r="R619">
        <v>0</v>
      </c>
      <c r="S619" t="s">
        <v>44</v>
      </c>
      <c r="T619">
        <v>1</v>
      </c>
      <c r="U619">
        <v>0</v>
      </c>
      <c r="V619" t="s">
        <v>32</v>
      </c>
      <c r="W619" t="s">
        <v>43</v>
      </c>
      <c r="X619" s="4">
        <v>11.4</v>
      </c>
      <c r="Y619">
        <v>10</v>
      </c>
      <c r="Z619" s="5">
        <v>278.77</v>
      </c>
    </row>
    <row r="620" spans="1:26">
      <c r="A620">
        <v>619</v>
      </c>
      <c r="B620">
        <v>199</v>
      </c>
      <c r="C620" s="2">
        <v>46048</v>
      </c>
      <c r="D620" t="s">
        <v>46</v>
      </c>
      <c r="E620">
        <v>1</v>
      </c>
      <c r="F620" s="3">
        <v>10.119999999999999</v>
      </c>
      <c r="G620" t="s">
        <v>27</v>
      </c>
      <c r="H620">
        <v>26</v>
      </c>
      <c r="I620" t="s">
        <v>28</v>
      </c>
      <c r="J620" s="4">
        <v>66.7</v>
      </c>
      <c r="K620" s="4">
        <v>207.1</v>
      </c>
      <c r="L620" s="4">
        <v>32.799999999999997</v>
      </c>
      <c r="M620">
        <v>12</v>
      </c>
      <c r="N620" t="s">
        <v>41</v>
      </c>
      <c r="O620">
        <v>6</v>
      </c>
      <c r="P620" s="4">
        <v>2617.6999999999998</v>
      </c>
      <c r="Q620" t="s">
        <v>42</v>
      </c>
      <c r="R620">
        <v>0</v>
      </c>
      <c r="S620" t="s">
        <v>44</v>
      </c>
      <c r="T620">
        <v>1</v>
      </c>
      <c r="U620">
        <v>0</v>
      </c>
      <c r="V620" t="s">
        <v>32</v>
      </c>
      <c r="W620" t="s">
        <v>43</v>
      </c>
      <c r="X620" s="4">
        <v>9.5</v>
      </c>
      <c r="Y620">
        <v>11</v>
      </c>
      <c r="Z620" s="5">
        <v>236.21</v>
      </c>
    </row>
    <row r="621" spans="1:26">
      <c r="A621">
        <v>620</v>
      </c>
      <c r="B621">
        <v>199</v>
      </c>
      <c r="C621" s="2">
        <v>46048</v>
      </c>
      <c r="D621" t="s">
        <v>46</v>
      </c>
      <c r="E621">
        <v>1</v>
      </c>
      <c r="F621" s="3">
        <v>10.35</v>
      </c>
      <c r="G621" t="s">
        <v>27</v>
      </c>
      <c r="H621">
        <v>46</v>
      </c>
      <c r="I621" t="s">
        <v>28</v>
      </c>
      <c r="J621" s="4">
        <v>68.5</v>
      </c>
      <c r="K621" s="4">
        <v>139.6</v>
      </c>
      <c r="L621" s="4">
        <v>21.1</v>
      </c>
      <c r="M621">
        <v>14</v>
      </c>
      <c r="N621" t="s">
        <v>41</v>
      </c>
      <c r="O621">
        <v>6</v>
      </c>
      <c r="P621" s="4">
        <v>2617.6999999999998</v>
      </c>
      <c r="Q621" t="s">
        <v>42</v>
      </c>
      <c r="R621">
        <v>0</v>
      </c>
      <c r="S621" t="s">
        <v>44</v>
      </c>
      <c r="T621">
        <v>1</v>
      </c>
      <c r="U621">
        <v>0</v>
      </c>
      <c r="V621" t="s">
        <v>32</v>
      </c>
      <c r="W621" t="s">
        <v>43</v>
      </c>
      <c r="X621" s="4">
        <v>6.4</v>
      </c>
      <c r="Y621">
        <v>2</v>
      </c>
      <c r="Z621" s="5">
        <v>171.13</v>
      </c>
    </row>
    <row r="622" spans="1:26">
      <c r="A622">
        <v>621</v>
      </c>
      <c r="B622">
        <v>200</v>
      </c>
      <c r="C622" s="2">
        <v>46117</v>
      </c>
      <c r="D622" t="s">
        <v>58</v>
      </c>
      <c r="E622">
        <v>4</v>
      </c>
      <c r="F622" s="3">
        <v>7</v>
      </c>
      <c r="G622" t="s">
        <v>27</v>
      </c>
      <c r="H622">
        <v>46</v>
      </c>
      <c r="I622" t="s">
        <v>34</v>
      </c>
      <c r="J622" s="4">
        <v>65</v>
      </c>
      <c r="K622" s="4">
        <v>133</v>
      </c>
      <c r="L622" s="4">
        <v>22.3</v>
      </c>
      <c r="M622">
        <v>14</v>
      </c>
      <c r="N622" t="s">
        <v>54</v>
      </c>
      <c r="O622">
        <v>4</v>
      </c>
      <c r="P622" s="4">
        <v>3409.5</v>
      </c>
      <c r="Q622" t="s">
        <v>30</v>
      </c>
      <c r="R622">
        <v>1</v>
      </c>
      <c r="S622" t="s">
        <v>31</v>
      </c>
      <c r="T622">
        <v>1</v>
      </c>
      <c r="U622">
        <v>0</v>
      </c>
      <c r="V622" t="s">
        <v>32</v>
      </c>
      <c r="W622" t="s">
        <v>43</v>
      </c>
      <c r="X622" s="4">
        <v>7.5</v>
      </c>
      <c r="Y622">
        <v>6</v>
      </c>
      <c r="Z622" s="5">
        <v>118.49</v>
      </c>
    </row>
    <row r="623" spans="1:26">
      <c r="A623">
        <v>622</v>
      </c>
      <c r="B623">
        <v>200</v>
      </c>
      <c r="C623" s="2">
        <v>46117</v>
      </c>
      <c r="D623" t="s">
        <v>58</v>
      </c>
      <c r="E623">
        <v>4</v>
      </c>
      <c r="F623" s="3">
        <v>7.04</v>
      </c>
      <c r="G623" t="s">
        <v>27</v>
      </c>
      <c r="H623">
        <v>38</v>
      </c>
      <c r="I623" t="s">
        <v>28</v>
      </c>
      <c r="J623" s="4">
        <v>67</v>
      </c>
      <c r="K623" s="4">
        <v>127.2</v>
      </c>
      <c r="L623" s="4">
        <v>20</v>
      </c>
      <c r="M623">
        <v>13</v>
      </c>
      <c r="N623" t="s">
        <v>54</v>
      </c>
      <c r="O623">
        <v>4</v>
      </c>
      <c r="P623" s="4">
        <v>3409.5</v>
      </c>
      <c r="Q623" t="s">
        <v>30</v>
      </c>
      <c r="R623">
        <v>1</v>
      </c>
      <c r="S623" t="s">
        <v>31</v>
      </c>
      <c r="T623">
        <v>1</v>
      </c>
      <c r="U623">
        <v>0</v>
      </c>
      <c r="V623" t="s">
        <v>32</v>
      </c>
      <c r="W623" t="s">
        <v>43</v>
      </c>
      <c r="X623" s="4">
        <v>9.4</v>
      </c>
      <c r="Y623">
        <v>13</v>
      </c>
      <c r="Z623" s="5">
        <v>172.1</v>
      </c>
    </row>
    <row r="624" spans="1:26">
      <c r="A624">
        <v>623</v>
      </c>
      <c r="B624">
        <v>200</v>
      </c>
      <c r="C624" s="2">
        <v>46117</v>
      </c>
      <c r="D624" t="s">
        <v>58</v>
      </c>
      <c r="E624">
        <v>4</v>
      </c>
      <c r="F624" s="3">
        <v>7.12</v>
      </c>
      <c r="G624" t="s">
        <v>27</v>
      </c>
      <c r="H624">
        <v>56</v>
      </c>
      <c r="I624" t="s">
        <v>28</v>
      </c>
      <c r="J624" s="4">
        <v>66.2</v>
      </c>
      <c r="K624" s="4">
        <v>132.5</v>
      </c>
      <c r="L624" s="4">
        <v>21.2</v>
      </c>
      <c r="M624">
        <v>13</v>
      </c>
      <c r="N624" t="s">
        <v>54</v>
      </c>
      <c r="O624">
        <v>4</v>
      </c>
      <c r="P624" s="4">
        <v>3409.5</v>
      </c>
      <c r="Q624" t="s">
        <v>30</v>
      </c>
      <c r="R624">
        <v>1</v>
      </c>
      <c r="S624" t="s">
        <v>31</v>
      </c>
      <c r="T624">
        <v>1</v>
      </c>
      <c r="U624">
        <v>0</v>
      </c>
      <c r="V624" t="s">
        <v>32</v>
      </c>
      <c r="W624" t="s">
        <v>43</v>
      </c>
      <c r="X624" s="4">
        <v>5.8</v>
      </c>
      <c r="Y624">
        <v>6</v>
      </c>
      <c r="Z624" s="5">
        <v>143.53</v>
      </c>
    </row>
    <row r="625" spans="1:26">
      <c r="A625">
        <v>624</v>
      </c>
      <c r="B625">
        <v>200</v>
      </c>
      <c r="C625" s="2">
        <v>46117</v>
      </c>
      <c r="D625" t="s">
        <v>58</v>
      </c>
      <c r="E625">
        <v>4</v>
      </c>
      <c r="F625" s="3">
        <v>7</v>
      </c>
      <c r="G625" t="s">
        <v>27</v>
      </c>
      <c r="H625">
        <v>63</v>
      </c>
      <c r="I625" t="s">
        <v>34</v>
      </c>
      <c r="J625" s="4">
        <v>64.8</v>
      </c>
      <c r="K625" s="4">
        <v>193</v>
      </c>
      <c r="L625" s="4">
        <v>32.299999999999997</v>
      </c>
      <c r="M625">
        <v>15</v>
      </c>
      <c r="N625" t="s">
        <v>54</v>
      </c>
      <c r="O625">
        <v>4</v>
      </c>
      <c r="P625" s="4">
        <v>3409.5</v>
      </c>
      <c r="Q625" t="s">
        <v>30</v>
      </c>
      <c r="R625">
        <v>1</v>
      </c>
      <c r="S625" t="s">
        <v>31</v>
      </c>
      <c r="T625">
        <v>1</v>
      </c>
      <c r="U625">
        <v>0</v>
      </c>
      <c r="V625" t="s">
        <v>32</v>
      </c>
      <c r="W625" t="s">
        <v>43</v>
      </c>
      <c r="X625" s="4">
        <v>11.6</v>
      </c>
      <c r="Y625">
        <v>13</v>
      </c>
      <c r="Z625" s="5">
        <v>339.26</v>
      </c>
    </row>
    <row r="626" spans="1:26">
      <c r="A626">
        <v>625</v>
      </c>
      <c r="B626">
        <v>201</v>
      </c>
      <c r="C626" s="2">
        <v>46365</v>
      </c>
      <c r="D626" t="s">
        <v>52</v>
      </c>
      <c r="E626">
        <v>12</v>
      </c>
      <c r="F626" s="3">
        <v>11.91</v>
      </c>
      <c r="G626" t="s">
        <v>36</v>
      </c>
      <c r="H626">
        <v>66</v>
      </c>
      <c r="I626" t="s">
        <v>34</v>
      </c>
      <c r="J626" s="4">
        <v>67.900000000000006</v>
      </c>
      <c r="K626" s="4">
        <v>147.1</v>
      </c>
      <c r="L626" s="4">
        <v>22.3</v>
      </c>
      <c r="M626">
        <v>15</v>
      </c>
      <c r="N626" t="s">
        <v>47</v>
      </c>
      <c r="O626">
        <v>2</v>
      </c>
      <c r="P626" s="4">
        <v>178.6</v>
      </c>
      <c r="Q626" t="s">
        <v>42</v>
      </c>
      <c r="R626">
        <v>0</v>
      </c>
      <c r="S626" t="s">
        <v>31</v>
      </c>
      <c r="T626">
        <v>0</v>
      </c>
      <c r="U626">
        <v>0</v>
      </c>
      <c r="V626" t="s">
        <v>32</v>
      </c>
      <c r="W626" t="s">
        <v>39</v>
      </c>
      <c r="X626" s="4">
        <v>8.1999999999999993</v>
      </c>
      <c r="Y626">
        <v>7</v>
      </c>
      <c r="Z626" s="5">
        <v>134.33000000000001</v>
      </c>
    </row>
    <row r="627" spans="1:26">
      <c r="A627">
        <v>626</v>
      </c>
      <c r="B627">
        <v>201</v>
      </c>
      <c r="C627" s="2">
        <v>46365</v>
      </c>
      <c r="D627" t="s">
        <v>52</v>
      </c>
      <c r="E627">
        <v>12</v>
      </c>
      <c r="F627" s="3">
        <v>11.85</v>
      </c>
      <c r="G627" t="s">
        <v>36</v>
      </c>
      <c r="H627">
        <v>60</v>
      </c>
      <c r="I627" t="s">
        <v>34</v>
      </c>
      <c r="J627" s="4">
        <v>68.7</v>
      </c>
      <c r="K627" s="4">
        <v>126</v>
      </c>
      <c r="L627" s="4">
        <v>19</v>
      </c>
      <c r="M627">
        <v>15</v>
      </c>
      <c r="N627" t="s">
        <v>47</v>
      </c>
      <c r="O627">
        <v>2</v>
      </c>
      <c r="P627" s="4">
        <v>178.6</v>
      </c>
      <c r="Q627" t="s">
        <v>42</v>
      </c>
      <c r="R627">
        <v>0</v>
      </c>
      <c r="S627" t="s">
        <v>31</v>
      </c>
      <c r="T627">
        <v>0</v>
      </c>
      <c r="U627">
        <v>0</v>
      </c>
      <c r="V627" t="s">
        <v>32</v>
      </c>
      <c r="W627" t="s">
        <v>39</v>
      </c>
      <c r="X627" s="4">
        <v>7.7</v>
      </c>
      <c r="Y627">
        <v>8</v>
      </c>
      <c r="Z627" s="5">
        <v>199.95</v>
      </c>
    </row>
    <row r="628" spans="1:26">
      <c r="A628">
        <v>627</v>
      </c>
      <c r="B628">
        <v>202</v>
      </c>
      <c r="C628" s="2">
        <v>46192</v>
      </c>
      <c r="D628" t="s">
        <v>26</v>
      </c>
      <c r="E628">
        <v>6</v>
      </c>
      <c r="F628" s="3">
        <v>9.85</v>
      </c>
      <c r="G628" t="s">
        <v>27</v>
      </c>
      <c r="H628">
        <v>5</v>
      </c>
      <c r="I628" t="s">
        <v>28</v>
      </c>
      <c r="J628" s="4">
        <v>60.7</v>
      </c>
      <c r="K628" s="4">
        <v>102.7</v>
      </c>
      <c r="L628" s="4">
        <v>19.5</v>
      </c>
      <c r="M628">
        <v>12</v>
      </c>
      <c r="N628" t="s">
        <v>66</v>
      </c>
      <c r="O628">
        <v>3</v>
      </c>
      <c r="P628" s="4">
        <v>925.3</v>
      </c>
      <c r="Q628" t="s">
        <v>48</v>
      </c>
      <c r="R628">
        <v>1</v>
      </c>
      <c r="S628" t="s">
        <v>31</v>
      </c>
      <c r="T628">
        <v>0</v>
      </c>
      <c r="U628">
        <v>1</v>
      </c>
      <c r="V628" t="s">
        <v>32</v>
      </c>
      <c r="W628" t="s">
        <v>33</v>
      </c>
      <c r="X628" s="4">
        <v>10.9</v>
      </c>
      <c r="Y628">
        <v>15</v>
      </c>
      <c r="Z628" s="5">
        <v>628.76</v>
      </c>
    </row>
    <row r="629" spans="1:26">
      <c r="A629">
        <v>628</v>
      </c>
      <c r="B629">
        <v>202</v>
      </c>
      <c r="C629" s="2">
        <v>46192</v>
      </c>
      <c r="D629" t="s">
        <v>26</v>
      </c>
      <c r="E629">
        <v>6</v>
      </c>
      <c r="F629" s="3">
        <v>9.89</v>
      </c>
      <c r="G629" t="s">
        <v>27</v>
      </c>
      <c r="H629">
        <v>27</v>
      </c>
      <c r="I629" t="s">
        <v>28</v>
      </c>
      <c r="J629" s="4">
        <v>75.7</v>
      </c>
      <c r="K629" s="4">
        <v>233.7</v>
      </c>
      <c r="L629" s="4">
        <v>28.8</v>
      </c>
      <c r="M629">
        <v>16</v>
      </c>
      <c r="N629" t="s">
        <v>66</v>
      </c>
      <c r="O629">
        <v>3</v>
      </c>
      <c r="P629" s="4">
        <v>925.3</v>
      </c>
      <c r="Q629" t="s">
        <v>48</v>
      </c>
      <c r="R629">
        <v>1</v>
      </c>
      <c r="S629" t="s">
        <v>31</v>
      </c>
      <c r="T629">
        <v>0</v>
      </c>
      <c r="U629">
        <v>1</v>
      </c>
      <c r="V629" t="s">
        <v>32</v>
      </c>
      <c r="W629" t="s">
        <v>33</v>
      </c>
      <c r="X629" s="4">
        <v>9.1999999999999993</v>
      </c>
      <c r="Y629">
        <v>11</v>
      </c>
      <c r="Z629" s="5">
        <v>367.2</v>
      </c>
    </row>
    <row r="630" spans="1:26">
      <c r="A630">
        <v>629</v>
      </c>
      <c r="B630">
        <v>202</v>
      </c>
      <c r="C630" s="2">
        <v>46192</v>
      </c>
      <c r="D630" t="s">
        <v>26</v>
      </c>
      <c r="E630">
        <v>6</v>
      </c>
      <c r="F630" s="3">
        <v>10.23</v>
      </c>
      <c r="G630" t="s">
        <v>27</v>
      </c>
      <c r="H630">
        <v>39</v>
      </c>
      <c r="I630" t="s">
        <v>34</v>
      </c>
      <c r="J630" s="4">
        <v>60.9</v>
      </c>
      <c r="K630" s="4">
        <v>143.19999999999999</v>
      </c>
      <c r="L630" s="4">
        <v>27.1</v>
      </c>
      <c r="M630">
        <v>14</v>
      </c>
      <c r="N630" t="s">
        <v>66</v>
      </c>
      <c r="O630">
        <v>3</v>
      </c>
      <c r="P630" s="4">
        <v>925.3</v>
      </c>
      <c r="Q630" t="s">
        <v>48</v>
      </c>
      <c r="R630">
        <v>1</v>
      </c>
      <c r="S630" t="s">
        <v>31</v>
      </c>
      <c r="T630">
        <v>0</v>
      </c>
      <c r="U630">
        <v>1</v>
      </c>
      <c r="V630" t="s">
        <v>32</v>
      </c>
      <c r="W630" t="s">
        <v>33</v>
      </c>
      <c r="X630" s="4">
        <v>10.6</v>
      </c>
      <c r="Y630">
        <v>4</v>
      </c>
      <c r="Z630" s="5">
        <v>280.99</v>
      </c>
    </row>
    <row r="631" spans="1:26">
      <c r="A631">
        <v>630</v>
      </c>
      <c r="B631">
        <v>203</v>
      </c>
      <c r="C631" s="2">
        <v>46275</v>
      </c>
      <c r="D631" t="s">
        <v>55</v>
      </c>
      <c r="E631">
        <v>9</v>
      </c>
      <c r="F631" s="3">
        <v>12.47</v>
      </c>
      <c r="G631" t="s">
        <v>36</v>
      </c>
      <c r="H631">
        <v>54</v>
      </c>
      <c r="I631" t="s">
        <v>34</v>
      </c>
      <c r="J631" s="4">
        <v>68.2</v>
      </c>
      <c r="K631" s="4">
        <v>167</v>
      </c>
      <c r="L631" s="4">
        <v>25.4</v>
      </c>
      <c r="M631">
        <v>14</v>
      </c>
      <c r="N631" t="s">
        <v>62</v>
      </c>
      <c r="O631">
        <v>4</v>
      </c>
      <c r="P631" s="4">
        <v>1999.5</v>
      </c>
      <c r="Q631" t="s">
        <v>42</v>
      </c>
      <c r="R631">
        <v>1</v>
      </c>
      <c r="S631" t="s">
        <v>44</v>
      </c>
      <c r="T631">
        <v>0</v>
      </c>
      <c r="U631">
        <v>0</v>
      </c>
      <c r="V631" t="s">
        <v>32</v>
      </c>
      <c r="W631" t="s">
        <v>43</v>
      </c>
      <c r="X631" s="4">
        <v>7.6</v>
      </c>
      <c r="Y631">
        <v>4</v>
      </c>
      <c r="Z631" s="5">
        <v>249.97</v>
      </c>
    </row>
    <row r="632" spans="1:26">
      <c r="A632">
        <v>631</v>
      </c>
      <c r="B632">
        <v>203</v>
      </c>
      <c r="C632" s="2">
        <v>46275</v>
      </c>
      <c r="D632" t="s">
        <v>55</v>
      </c>
      <c r="E632">
        <v>9</v>
      </c>
      <c r="F632" s="3">
        <v>12.35</v>
      </c>
      <c r="G632" t="s">
        <v>36</v>
      </c>
      <c r="H632">
        <v>47</v>
      </c>
      <c r="I632" t="s">
        <v>28</v>
      </c>
      <c r="J632" s="4">
        <v>72.3</v>
      </c>
      <c r="K632" s="4">
        <v>144.9</v>
      </c>
      <c r="L632" s="4">
        <v>19.3</v>
      </c>
      <c r="M632">
        <v>16</v>
      </c>
      <c r="N632" t="s">
        <v>62</v>
      </c>
      <c r="O632">
        <v>4</v>
      </c>
      <c r="P632" s="4">
        <v>1999.5</v>
      </c>
      <c r="Q632" t="s">
        <v>42</v>
      </c>
      <c r="R632">
        <v>1</v>
      </c>
      <c r="S632" t="s">
        <v>44</v>
      </c>
      <c r="T632">
        <v>0</v>
      </c>
      <c r="U632">
        <v>0</v>
      </c>
      <c r="V632" t="s">
        <v>32</v>
      </c>
      <c r="W632" t="s">
        <v>43</v>
      </c>
      <c r="X632" s="4">
        <v>6.3</v>
      </c>
      <c r="Y632">
        <v>4</v>
      </c>
      <c r="Z632" s="5">
        <v>191.47</v>
      </c>
    </row>
    <row r="633" spans="1:26">
      <c r="A633">
        <v>632</v>
      </c>
      <c r="B633">
        <v>203</v>
      </c>
      <c r="C633" s="2">
        <v>46275</v>
      </c>
      <c r="D633" t="s">
        <v>55</v>
      </c>
      <c r="E633">
        <v>9</v>
      </c>
      <c r="F633" s="3">
        <v>12.62</v>
      </c>
      <c r="G633" t="s">
        <v>36</v>
      </c>
      <c r="H633">
        <v>11</v>
      </c>
      <c r="I633" t="s">
        <v>34</v>
      </c>
      <c r="J633" s="4">
        <v>67.2</v>
      </c>
      <c r="K633" s="4">
        <v>176.8</v>
      </c>
      <c r="L633" s="4">
        <v>27.5</v>
      </c>
      <c r="M633">
        <v>13</v>
      </c>
      <c r="N633" t="s">
        <v>62</v>
      </c>
      <c r="O633">
        <v>4</v>
      </c>
      <c r="P633" s="4">
        <v>1999.5</v>
      </c>
      <c r="Q633" t="s">
        <v>42</v>
      </c>
      <c r="R633">
        <v>1</v>
      </c>
      <c r="S633" t="s">
        <v>44</v>
      </c>
      <c r="T633">
        <v>0</v>
      </c>
      <c r="U633">
        <v>0</v>
      </c>
      <c r="V633" t="s">
        <v>32</v>
      </c>
      <c r="W633" t="s">
        <v>43</v>
      </c>
      <c r="X633" s="4">
        <v>9.3000000000000007</v>
      </c>
      <c r="Y633">
        <v>12</v>
      </c>
      <c r="Z633" s="5">
        <v>405.97</v>
      </c>
    </row>
    <row r="634" spans="1:26">
      <c r="A634">
        <v>633</v>
      </c>
      <c r="B634">
        <v>203</v>
      </c>
      <c r="C634" s="2">
        <v>46275</v>
      </c>
      <c r="D634" t="s">
        <v>55</v>
      </c>
      <c r="E634">
        <v>9</v>
      </c>
      <c r="F634" s="3">
        <v>12.54</v>
      </c>
      <c r="G634" t="s">
        <v>36</v>
      </c>
      <c r="H634">
        <v>22</v>
      </c>
      <c r="I634" t="s">
        <v>34</v>
      </c>
      <c r="J634" s="4">
        <v>62.2</v>
      </c>
      <c r="K634" s="4">
        <v>140.69999999999999</v>
      </c>
      <c r="L634" s="4">
        <v>25.5</v>
      </c>
      <c r="M634">
        <v>16</v>
      </c>
      <c r="N634" t="s">
        <v>62</v>
      </c>
      <c r="O634">
        <v>4</v>
      </c>
      <c r="P634" s="4">
        <v>1999.5</v>
      </c>
      <c r="Q634" t="s">
        <v>42</v>
      </c>
      <c r="R634">
        <v>1</v>
      </c>
      <c r="S634" t="s">
        <v>44</v>
      </c>
      <c r="T634">
        <v>0</v>
      </c>
      <c r="U634">
        <v>0</v>
      </c>
      <c r="V634" t="s">
        <v>32</v>
      </c>
      <c r="W634" t="s">
        <v>43</v>
      </c>
      <c r="X634" s="4">
        <v>7.5</v>
      </c>
      <c r="Y634">
        <v>7</v>
      </c>
      <c r="Z634" s="5">
        <v>168.71</v>
      </c>
    </row>
    <row r="635" spans="1:26">
      <c r="A635">
        <v>634</v>
      </c>
      <c r="B635">
        <v>204</v>
      </c>
      <c r="C635" s="2">
        <v>46243</v>
      </c>
      <c r="D635" t="s">
        <v>58</v>
      </c>
      <c r="E635">
        <v>8</v>
      </c>
      <c r="F635" s="3">
        <v>10.88</v>
      </c>
      <c r="G635" t="s">
        <v>27</v>
      </c>
      <c r="H635">
        <v>46</v>
      </c>
      <c r="I635" t="s">
        <v>28</v>
      </c>
      <c r="J635" s="4">
        <v>73.400000000000006</v>
      </c>
      <c r="K635" s="4">
        <v>200.3</v>
      </c>
      <c r="L635" s="4">
        <v>26.1</v>
      </c>
      <c r="M635">
        <v>17</v>
      </c>
      <c r="N635" t="s">
        <v>67</v>
      </c>
      <c r="O635">
        <v>3</v>
      </c>
      <c r="P635" s="4">
        <v>1428.9</v>
      </c>
      <c r="Q635" t="s">
        <v>42</v>
      </c>
      <c r="R635">
        <v>1</v>
      </c>
      <c r="S635" t="s">
        <v>44</v>
      </c>
      <c r="T635">
        <v>0</v>
      </c>
      <c r="U635">
        <v>0</v>
      </c>
      <c r="V635" t="s">
        <v>45</v>
      </c>
      <c r="W635" t="s">
        <v>39</v>
      </c>
      <c r="X635" s="4">
        <v>6.8</v>
      </c>
      <c r="Y635">
        <v>8</v>
      </c>
      <c r="Z635" s="5">
        <v>230.94</v>
      </c>
    </row>
    <row r="636" spans="1:26">
      <c r="A636">
        <v>635</v>
      </c>
      <c r="B636">
        <v>204</v>
      </c>
      <c r="C636" s="2">
        <v>46243</v>
      </c>
      <c r="D636" t="s">
        <v>58</v>
      </c>
      <c r="E636">
        <v>8</v>
      </c>
      <c r="F636" s="3">
        <v>10.94</v>
      </c>
      <c r="G636" t="s">
        <v>27</v>
      </c>
      <c r="H636">
        <v>62</v>
      </c>
      <c r="I636" t="s">
        <v>34</v>
      </c>
      <c r="J636" s="4">
        <v>63.4</v>
      </c>
      <c r="K636" s="4">
        <v>160.9</v>
      </c>
      <c r="L636" s="4">
        <v>28.3</v>
      </c>
      <c r="M636">
        <v>15</v>
      </c>
      <c r="N636" t="s">
        <v>67</v>
      </c>
      <c r="O636">
        <v>3</v>
      </c>
      <c r="P636" s="4">
        <v>1428.9</v>
      </c>
      <c r="Q636" t="s">
        <v>42</v>
      </c>
      <c r="R636">
        <v>1</v>
      </c>
      <c r="S636" t="s">
        <v>44</v>
      </c>
      <c r="T636">
        <v>0</v>
      </c>
      <c r="U636">
        <v>0</v>
      </c>
      <c r="V636" t="s">
        <v>45</v>
      </c>
      <c r="W636" t="s">
        <v>39</v>
      </c>
      <c r="X636" s="4">
        <v>8.6999999999999993</v>
      </c>
      <c r="Y636">
        <v>6</v>
      </c>
      <c r="Z636" s="5">
        <v>175.62</v>
      </c>
    </row>
    <row r="637" spans="1:26">
      <c r="A637">
        <v>636</v>
      </c>
      <c r="B637">
        <v>204</v>
      </c>
      <c r="C637" s="2">
        <v>46243</v>
      </c>
      <c r="D637" t="s">
        <v>58</v>
      </c>
      <c r="E637">
        <v>8</v>
      </c>
      <c r="F637" s="3">
        <v>10.88</v>
      </c>
      <c r="G637" t="s">
        <v>27</v>
      </c>
      <c r="H637">
        <v>9</v>
      </c>
      <c r="I637" t="s">
        <v>34</v>
      </c>
      <c r="J637" s="4">
        <v>62.4</v>
      </c>
      <c r="K637" s="4">
        <v>100.6</v>
      </c>
      <c r="L637" s="4">
        <v>18.399999999999999</v>
      </c>
      <c r="M637">
        <v>14</v>
      </c>
      <c r="N637" t="s">
        <v>67</v>
      </c>
      <c r="O637">
        <v>3</v>
      </c>
      <c r="P637" s="4">
        <v>1428.9</v>
      </c>
      <c r="Q637" t="s">
        <v>42</v>
      </c>
      <c r="R637">
        <v>1</v>
      </c>
      <c r="S637" t="s">
        <v>44</v>
      </c>
      <c r="T637">
        <v>0</v>
      </c>
      <c r="U637">
        <v>0</v>
      </c>
      <c r="V637" t="s">
        <v>45</v>
      </c>
      <c r="W637" t="s">
        <v>39</v>
      </c>
      <c r="X637" s="4">
        <v>7.4</v>
      </c>
      <c r="Y637">
        <v>6</v>
      </c>
      <c r="Z637" s="5">
        <v>153.16</v>
      </c>
    </row>
    <row r="638" spans="1:26">
      <c r="A638">
        <v>637</v>
      </c>
      <c r="B638">
        <v>205</v>
      </c>
      <c r="C638" s="2">
        <v>46160</v>
      </c>
      <c r="D638" t="s">
        <v>46</v>
      </c>
      <c r="E638">
        <v>5</v>
      </c>
      <c r="F638" s="3">
        <v>10.38</v>
      </c>
      <c r="G638" t="s">
        <v>27</v>
      </c>
      <c r="H638">
        <v>63</v>
      </c>
      <c r="I638" t="s">
        <v>34</v>
      </c>
      <c r="J638" s="4">
        <v>65.8</v>
      </c>
      <c r="K638" s="4">
        <v>162.5</v>
      </c>
      <c r="L638" s="4">
        <v>26.1</v>
      </c>
      <c r="M638">
        <v>14</v>
      </c>
      <c r="N638" t="s">
        <v>60</v>
      </c>
      <c r="O638">
        <v>2</v>
      </c>
      <c r="P638" s="4">
        <v>1484</v>
      </c>
      <c r="Q638" t="s">
        <v>48</v>
      </c>
      <c r="R638">
        <v>1</v>
      </c>
      <c r="S638" t="s">
        <v>44</v>
      </c>
      <c r="T638">
        <v>0</v>
      </c>
      <c r="U638">
        <v>0</v>
      </c>
      <c r="V638" t="s">
        <v>32</v>
      </c>
      <c r="W638" t="s">
        <v>39</v>
      </c>
      <c r="X638" s="4">
        <v>7.5</v>
      </c>
      <c r="Y638">
        <v>8</v>
      </c>
      <c r="Z638" s="5">
        <v>294.2</v>
      </c>
    </row>
    <row r="639" spans="1:26">
      <c r="A639">
        <v>638</v>
      </c>
      <c r="B639">
        <v>205</v>
      </c>
      <c r="C639" s="2">
        <v>46160</v>
      </c>
      <c r="D639" t="s">
        <v>46</v>
      </c>
      <c r="E639">
        <v>5</v>
      </c>
      <c r="F639" s="3">
        <v>10.14</v>
      </c>
      <c r="G639" t="s">
        <v>27</v>
      </c>
      <c r="H639">
        <v>25</v>
      </c>
      <c r="I639" t="s">
        <v>28</v>
      </c>
      <c r="J639" s="4">
        <v>66.599999999999994</v>
      </c>
      <c r="K639" s="4">
        <v>158.4</v>
      </c>
      <c r="L639" s="4">
        <v>25.2</v>
      </c>
      <c r="M639">
        <v>18</v>
      </c>
      <c r="N639" t="s">
        <v>60</v>
      </c>
      <c r="O639">
        <v>2</v>
      </c>
      <c r="P639" s="4">
        <v>1484</v>
      </c>
      <c r="Q639" t="s">
        <v>48</v>
      </c>
      <c r="R639">
        <v>1</v>
      </c>
      <c r="S639" t="s">
        <v>44</v>
      </c>
      <c r="T639">
        <v>0</v>
      </c>
      <c r="U639">
        <v>0</v>
      </c>
      <c r="V639" t="s">
        <v>32</v>
      </c>
      <c r="W639" t="s">
        <v>39</v>
      </c>
      <c r="X639" s="4">
        <v>10</v>
      </c>
      <c r="Y639">
        <v>5</v>
      </c>
      <c r="Z639" s="5">
        <v>199.66</v>
      </c>
    </row>
    <row r="640" spans="1:26">
      <c r="A640">
        <v>639</v>
      </c>
      <c r="B640">
        <v>206</v>
      </c>
      <c r="C640" s="2">
        <v>46252</v>
      </c>
      <c r="D640" t="s">
        <v>35</v>
      </c>
      <c r="E640">
        <v>8</v>
      </c>
      <c r="F640" s="3">
        <v>9.98</v>
      </c>
      <c r="G640" t="s">
        <v>27</v>
      </c>
      <c r="H640">
        <v>63</v>
      </c>
      <c r="I640" t="s">
        <v>34</v>
      </c>
      <c r="J640" s="4">
        <v>66.599999999999994</v>
      </c>
      <c r="K640" s="4">
        <v>139.4</v>
      </c>
      <c r="L640" s="4">
        <v>22.1</v>
      </c>
      <c r="M640">
        <v>15</v>
      </c>
      <c r="N640" t="s">
        <v>56</v>
      </c>
      <c r="O640">
        <v>6</v>
      </c>
      <c r="P640" s="4">
        <v>168.8</v>
      </c>
      <c r="Q640" t="s">
        <v>42</v>
      </c>
      <c r="R640">
        <v>1</v>
      </c>
      <c r="S640" t="s">
        <v>44</v>
      </c>
      <c r="T640">
        <v>0</v>
      </c>
      <c r="U640">
        <v>1</v>
      </c>
      <c r="V640" t="s">
        <v>32</v>
      </c>
      <c r="W640" t="s">
        <v>33</v>
      </c>
      <c r="X640" s="4">
        <v>8.1</v>
      </c>
      <c r="Y640">
        <v>10</v>
      </c>
      <c r="Z640" s="5">
        <v>231.15</v>
      </c>
    </row>
    <row r="641" spans="1:26">
      <c r="A641">
        <v>640</v>
      </c>
      <c r="B641">
        <v>206</v>
      </c>
      <c r="C641" s="2">
        <v>46252</v>
      </c>
      <c r="D641" t="s">
        <v>35</v>
      </c>
      <c r="E641">
        <v>8</v>
      </c>
      <c r="F641" s="3">
        <v>9.69</v>
      </c>
      <c r="G641" t="s">
        <v>27</v>
      </c>
      <c r="H641">
        <v>18</v>
      </c>
      <c r="I641" t="s">
        <v>34</v>
      </c>
      <c r="J641" s="4">
        <v>62</v>
      </c>
      <c r="K641" s="4">
        <v>177.8</v>
      </c>
      <c r="L641" s="4">
        <v>32.799999999999997</v>
      </c>
      <c r="M641">
        <v>16</v>
      </c>
      <c r="N641" t="s">
        <v>56</v>
      </c>
      <c r="O641">
        <v>6</v>
      </c>
      <c r="P641" s="4">
        <v>168.8</v>
      </c>
      <c r="Q641" t="s">
        <v>42</v>
      </c>
      <c r="R641">
        <v>1</v>
      </c>
      <c r="S641" t="s">
        <v>44</v>
      </c>
      <c r="T641">
        <v>0</v>
      </c>
      <c r="U641">
        <v>1</v>
      </c>
      <c r="V641" t="s">
        <v>32</v>
      </c>
      <c r="W641" t="s">
        <v>33</v>
      </c>
      <c r="X641" s="4">
        <v>7.7</v>
      </c>
      <c r="Y641">
        <v>6</v>
      </c>
      <c r="Z641" s="5">
        <v>136.94999999999999</v>
      </c>
    </row>
    <row r="642" spans="1:26">
      <c r="A642">
        <v>641</v>
      </c>
      <c r="B642">
        <v>206</v>
      </c>
      <c r="C642" s="2">
        <v>46252</v>
      </c>
      <c r="D642" t="s">
        <v>35</v>
      </c>
      <c r="E642">
        <v>8</v>
      </c>
      <c r="F642" s="3">
        <v>9.99</v>
      </c>
      <c r="G642" t="s">
        <v>27</v>
      </c>
      <c r="H642">
        <v>54</v>
      </c>
      <c r="I642" t="s">
        <v>34</v>
      </c>
      <c r="J642" s="4">
        <v>66</v>
      </c>
      <c r="K642" s="4">
        <v>162.69999999999999</v>
      </c>
      <c r="L642" s="4">
        <v>26.1</v>
      </c>
      <c r="M642">
        <v>14</v>
      </c>
      <c r="N642" t="s">
        <v>56</v>
      </c>
      <c r="O642">
        <v>6</v>
      </c>
      <c r="P642" s="4">
        <v>168.8</v>
      </c>
      <c r="Q642" t="s">
        <v>42</v>
      </c>
      <c r="R642">
        <v>1</v>
      </c>
      <c r="S642" t="s">
        <v>44</v>
      </c>
      <c r="T642">
        <v>0</v>
      </c>
      <c r="U642">
        <v>1</v>
      </c>
      <c r="V642" t="s">
        <v>32</v>
      </c>
      <c r="W642" t="s">
        <v>33</v>
      </c>
      <c r="X642" s="4">
        <v>8.4</v>
      </c>
      <c r="Y642">
        <v>7</v>
      </c>
      <c r="Z642" s="5">
        <v>298.37</v>
      </c>
    </row>
    <row r="643" spans="1:26">
      <c r="A643">
        <v>642</v>
      </c>
      <c r="B643">
        <v>206</v>
      </c>
      <c r="C643" s="2">
        <v>46252</v>
      </c>
      <c r="D643" t="s">
        <v>35</v>
      </c>
      <c r="E643">
        <v>8</v>
      </c>
      <c r="F643" s="3">
        <v>9.82</v>
      </c>
      <c r="G643" t="s">
        <v>27</v>
      </c>
      <c r="H643">
        <v>30</v>
      </c>
      <c r="I643" t="s">
        <v>28</v>
      </c>
      <c r="J643" s="4">
        <v>65.599999999999994</v>
      </c>
      <c r="K643" s="4">
        <v>144.69999999999999</v>
      </c>
      <c r="L643" s="4">
        <v>23.6</v>
      </c>
      <c r="M643">
        <v>18</v>
      </c>
      <c r="N643" t="s">
        <v>56</v>
      </c>
      <c r="O643">
        <v>6</v>
      </c>
      <c r="P643" s="4">
        <v>168.8</v>
      </c>
      <c r="Q643" t="s">
        <v>42</v>
      </c>
      <c r="R643">
        <v>1</v>
      </c>
      <c r="S643" t="s">
        <v>44</v>
      </c>
      <c r="T643">
        <v>0</v>
      </c>
      <c r="U643">
        <v>1</v>
      </c>
      <c r="V643" t="s">
        <v>32</v>
      </c>
      <c r="W643" t="s">
        <v>33</v>
      </c>
      <c r="X643" s="4">
        <v>10.9</v>
      </c>
      <c r="Y643">
        <v>10</v>
      </c>
      <c r="Z643" s="5">
        <v>315.73</v>
      </c>
    </row>
    <row r="644" spans="1:26">
      <c r="A644">
        <v>643</v>
      </c>
      <c r="B644">
        <v>206</v>
      </c>
      <c r="C644" s="2">
        <v>46252</v>
      </c>
      <c r="D644" t="s">
        <v>35</v>
      </c>
      <c r="E644">
        <v>8</v>
      </c>
      <c r="F644" s="3">
        <v>9.5500000000000007</v>
      </c>
      <c r="G644" t="s">
        <v>27</v>
      </c>
      <c r="H644">
        <v>7</v>
      </c>
      <c r="I644" t="s">
        <v>34</v>
      </c>
      <c r="J644" s="4">
        <v>62</v>
      </c>
      <c r="K644" s="4">
        <v>92.9</v>
      </c>
      <c r="L644" s="4">
        <v>16.899999999999999</v>
      </c>
      <c r="M644">
        <v>11</v>
      </c>
      <c r="N644" t="s">
        <v>56</v>
      </c>
      <c r="O644">
        <v>6</v>
      </c>
      <c r="P644" s="4">
        <v>168.8</v>
      </c>
      <c r="Q644" t="s">
        <v>42</v>
      </c>
      <c r="R644">
        <v>1</v>
      </c>
      <c r="S644" t="s">
        <v>44</v>
      </c>
      <c r="T644">
        <v>0</v>
      </c>
      <c r="U644">
        <v>1</v>
      </c>
      <c r="V644" t="s">
        <v>32</v>
      </c>
      <c r="W644" t="s">
        <v>33</v>
      </c>
      <c r="X644" s="4">
        <v>9.5</v>
      </c>
      <c r="Y644">
        <v>8</v>
      </c>
      <c r="Z644" s="5">
        <v>247.96</v>
      </c>
    </row>
    <row r="645" spans="1:26">
      <c r="A645">
        <v>644</v>
      </c>
      <c r="B645">
        <v>206</v>
      </c>
      <c r="C645" s="2">
        <v>46252</v>
      </c>
      <c r="D645" t="s">
        <v>35</v>
      </c>
      <c r="E645">
        <v>8</v>
      </c>
      <c r="F645" s="3">
        <v>9.83</v>
      </c>
      <c r="G645" t="s">
        <v>27</v>
      </c>
      <c r="H645">
        <v>41</v>
      </c>
      <c r="I645" t="s">
        <v>28</v>
      </c>
      <c r="J645" s="4">
        <v>72</v>
      </c>
      <c r="K645" s="4">
        <v>192.8</v>
      </c>
      <c r="L645" s="4">
        <v>26.3</v>
      </c>
      <c r="M645">
        <v>13</v>
      </c>
      <c r="N645" t="s">
        <v>56</v>
      </c>
      <c r="O645">
        <v>6</v>
      </c>
      <c r="P645" s="4">
        <v>168.8</v>
      </c>
      <c r="Q645" t="s">
        <v>42</v>
      </c>
      <c r="R645">
        <v>1</v>
      </c>
      <c r="S645" t="s">
        <v>44</v>
      </c>
      <c r="T645">
        <v>0</v>
      </c>
      <c r="U645">
        <v>1</v>
      </c>
      <c r="V645" t="s">
        <v>32</v>
      </c>
      <c r="W645" t="s">
        <v>33</v>
      </c>
      <c r="X645" s="4">
        <v>9.1</v>
      </c>
      <c r="Y645">
        <v>11</v>
      </c>
      <c r="Z645" s="5">
        <v>170.82</v>
      </c>
    </row>
    <row r="646" spans="1:26">
      <c r="A646">
        <v>645</v>
      </c>
      <c r="B646">
        <v>207</v>
      </c>
      <c r="C646" s="2">
        <v>46153</v>
      </c>
      <c r="D646" t="s">
        <v>46</v>
      </c>
      <c r="E646">
        <v>5</v>
      </c>
      <c r="F646" s="3">
        <v>12.25</v>
      </c>
      <c r="G646" t="s">
        <v>36</v>
      </c>
      <c r="H646">
        <v>25</v>
      </c>
      <c r="I646" t="s">
        <v>28</v>
      </c>
      <c r="J646" s="4">
        <v>68.599999999999994</v>
      </c>
      <c r="K646" s="4">
        <v>177.2</v>
      </c>
      <c r="L646" s="4">
        <v>26.7</v>
      </c>
      <c r="M646">
        <v>19</v>
      </c>
      <c r="N646" t="s">
        <v>50</v>
      </c>
      <c r="O646">
        <v>4</v>
      </c>
      <c r="P646" s="4">
        <v>480</v>
      </c>
      <c r="Q646" t="s">
        <v>42</v>
      </c>
      <c r="R646">
        <v>0</v>
      </c>
      <c r="S646" t="s">
        <v>44</v>
      </c>
      <c r="T646">
        <v>0</v>
      </c>
      <c r="U646">
        <v>0</v>
      </c>
      <c r="V646" t="s">
        <v>32</v>
      </c>
      <c r="W646" t="s">
        <v>43</v>
      </c>
      <c r="X646" s="4">
        <v>9.5</v>
      </c>
      <c r="Y646">
        <v>7</v>
      </c>
      <c r="Z646" s="5">
        <v>208.03</v>
      </c>
    </row>
    <row r="647" spans="1:26">
      <c r="A647">
        <v>646</v>
      </c>
      <c r="B647">
        <v>207</v>
      </c>
      <c r="C647" s="2">
        <v>46153</v>
      </c>
      <c r="D647" t="s">
        <v>46</v>
      </c>
      <c r="E647">
        <v>5</v>
      </c>
      <c r="F647" s="3">
        <v>12.26</v>
      </c>
      <c r="G647" t="s">
        <v>36</v>
      </c>
      <c r="H647">
        <v>25</v>
      </c>
      <c r="I647" t="s">
        <v>28</v>
      </c>
      <c r="J647" s="4">
        <v>67.099999999999994</v>
      </c>
      <c r="K647" s="4">
        <v>175.6</v>
      </c>
      <c r="L647" s="4">
        <v>27.5</v>
      </c>
      <c r="M647">
        <v>18</v>
      </c>
      <c r="N647" t="s">
        <v>50</v>
      </c>
      <c r="O647">
        <v>4</v>
      </c>
      <c r="P647" s="4">
        <v>480</v>
      </c>
      <c r="Q647" t="s">
        <v>42</v>
      </c>
      <c r="R647">
        <v>0</v>
      </c>
      <c r="S647" t="s">
        <v>44</v>
      </c>
      <c r="T647">
        <v>0</v>
      </c>
      <c r="U647">
        <v>0</v>
      </c>
      <c r="V647" t="s">
        <v>32</v>
      </c>
      <c r="W647" t="s">
        <v>43</v>
      </c>
      <c r="X647" s="4">
        <v>7.8</v>
      </c>
      <c r="Y647">
        <v>15</v>
      </c>
      <c r="Z647" s="5">
        <v>319.29000000000002</v>
      </c>
    </row>
    <row r="648" spans="1:26">
      <c r="A648">
        <v>647</v>
      </c>
      <c r="B648">
        <v>207</v>
      </c>
      <c r="C648" s="2">
        <v>46153</v>
      </c>
      <c r="D648" t="s">
        <v>46</v>
      </c>
      <c r="E648">
        <v>5</v>
      </c>
      <c r="F648" s="3">
        <v>12.38</v>
      </c>
      <c r="G648" t="s">
        <v>36</v>
      </c>
      <c r="H648">
        <v>70</v>
      </c>
      <c r="I648" t="s">
        <v>34</v>
      </c>
      <c r="J648" s="4">
        <v>64</v>
      </c>
      <c r="K648" s="4">
        <v>90.6</v>
      </c>
      <c r="L648" s="4">
        <v>15.3</v>
      </c>
      <c r="M648">
        <v>15</v>
      </c>
      <c r="N648" t="s">
        <v>50</v>
      </c>
      <c r="O648">
        <v>4</v>
      </c>
      <c r="P648" s="4">
        <v>480</v>
      </c>
      <c r="Q648" t="s">
        <v>42</v>
      </c>
      <c r="R648">
        <v>0</v>
      </c>
      <c r="S648" t="s">
        <v>44</v>
      </c>
      <c r="T648">
        <v>0</v>
      </c>
      <c r="U648">
        <v>0</v>
      </c>
      <c r="V648" t="s">
        <v>32</v>
      </c>
      <c r="W648" t="s">
        <v>43</v>
      </c>
      <c r="X648" s="4">
        <v>6.3</v>
      </c>
      <c r="Y648">
        <v>5</v>
      </c>
      <c r="Z648" s="5">
        <v>107.29</v>
      </c>
    </row>
    <row r="649" spans="1:26">
      <c r="A649">
        <v>648</v>
      </c>
      <c r="B649">
        <v>207</v>
      </c>
      <c r="C649" s="2">
        <v>46153</v>
      </c>
      <c r="D649" t="s">
        <v>46</v>
      </c>
      <c r="E649">
        <v>5</v>
      </c>
      <c r="F649" s="3">
        <v>12.03</v>
      </c>
      <c r="G649" t="s">
        <v>36</v>
      </c>
      <c r="H649">
        <v>70</v>
      </c>
      <c r="I649" t="s">
        <v>34</v>
      </c>
      <c r="J649" s="4">
        <v>64.8</v>
      </c>
      <c r="K649" s="4">
        <v>171.3</v>
      </c>
      <c r="L649" s="4">
        <v>28.7</v>
      </c>
      <c r="M649">
        <v>18</v>
      </c>
      <c r="N649" t="s">
        <v>50</v>
      </c>
      <c r="O649">
        <v>4</v>
      </c>
      <c r="P649" s="4">
        <v>480</v>
      </c>
      <c r="Q649" t="s">
        <v>42</v>
      </c>
      <c r="R649">
        <v>0</v>
      </c>
      <c r="S649" t="s">
        <v>44</v>
      </c>
      <c r="T649">
        <v>0</v>
      </c>
      <c r="U649">
        <v>0</v>
      </c>
      <c r="V649" t="s">
        <v>32</v>
      </c>
      <c r="W649" t="s">
        <v>43</v>
      </c>
      <c r="X649" s="4">
        <v>7.9</v>
      </c>
      <c r="Y649">
        <v>8</v>
      </c>
      <c r="Z649" s="5">
        <v>214.15</v>
      </c>
    </row>
    <row r="650" spans="1:26">
      <c r="A650">
        <v>649</v>
      </c>
      <c r="B650">
        <v>208</v>
      </c>
      <c r="C650" s="2">
        <v>46030</v>
      </c>
      <c r="D650" t="s">
        <v>55</v>
      </c>
      <c r="E650">
        <v>1</v>
      </c>
      <c r="F650" s="3">
        <v>8.34</v>
      </c>
      <c r="G650" t="s">
        <v>27</v>
      </c>
      <c r="H650">
        <v>18</v>
      </c>
      <c r="I650" t="s">
        <v>34</v>
      </c>
      <c r="J650" s="4">
        <v>58.8</v>
      </c>
      <c r="K650" s="4">
        <v>166</v>
      </c>
      <c r="L650" s="4">
        <v>33.9</v>
      </c>
      <c r="M650">
        <v>13</v>
      </c>
      <c r="N650" t="s">
        <v>47</v>
      </c>
      <c r="O650">
        <v>5</v>
      </c>
      <c r="P650" s="4">
        <v>25.9</v>
      </c>
      <c r="Q650" t="s">
        <v>42</v>
      </c>
      <c r="R650">
        <v>1</v>
      </c>
      <c r="S650" t="s">
        <v>38</v>
      </c>
      <c r="T650">
        <v>1</v>
      </c>
      <c r="U650">
        <v>0</v>
      </c>
      <c r="V650" t="s">
        <v>32</v>
      </c>
      <c r="W650" t="s">
        <v>43</v>
      </c>
      <c r="X650" s="4">
        <v>9.1999999999999993</v>
      </c>
      <c r="Y650">
        <v>13</v>
      </c>
      <c r="Z650" s="5">
        <v>252.45</v>
      </c>
    </row>
    <row r="651" spans="1:26">
      <c r="A651">
        <v>650</v>
      </c>
      <c r="B651">
        <v>208</v>
      </c>
      <c r="C651" s="2">
        <v>46030</v>
      </c>
      <c r="D651" t="s">
        <v>55</v>
      </c>
      <c r="E651">
        <v>1</v>
      </c>
      <c r="F651" s="3">
        <v>8.2899999999999991</v>
      </c>
      <c r="G651" t="s">
        <v>27</v>
      </c>
      <c r="H651">
        <v>23</v>
      </c>
      <c r="I651" t="s">
        <v>28</v>
      </c>
      <c r="J651" s="4">
        <v>73</v>
      </c>
      <c r="K651" s="4">
        <v>146.30000000000001</v>
      </c>
      <c r="L651" s="4">
        <v>19.3</v>
      </c>
      <c r="M651">
        <v>17</v>
      </c>
      <c r="N651" t="s">
        <v>47</v>
      </c>
      <c r="O651">
        <v>5</v>
      </c>
      <c r="P651" s="4">
        <v>25.9</v>
      </c>
      <c r="Q651" t="s">
        <v>42</v>
      </c>
      <c r="R651">
        <v>1</v>
      </c>
      <c r="S651" t="s">
        <v>38</v>
      </c>
      <c r="T651">
        <v>1</v>
      </c>
      <c r="U651">
        <v>0</v>
      </c>
      <c r="V651" t="s">
        <v>32</v>
      </c>
      <c r="W651" t="s">
        <v>43</v>
      </c>
      <c r="X651" s="4">
        <v>5.8</v>
      </c>
      <c r="Y651">
        <v>11</v>
      </c>
      <c r="Z651" s="5">
        <v>184.08</v>
      </c>
    </row>
    <row r="652" spans="1:26">
      <c r="A652">
        <v>651</v>
      </c>
      <c r="B652">
        <v>208</v>
      </c>
      <c r="C652" s="2">
        <v>46030</v>
      </c>
      <c r="D652" t="s">
        <v>55</v>
      </c>
      <c r="E652">
        <v>1</v>
      </c>
      <c r="F652" s="3">
        <v>8.35</v>
      </c>
      <c r="G652" t="s">
        <v>27</v>
      </c>
      <c r="H652">
        <v>37</v>
      </c>
      <c r="I652" t="s">
        <v>34</v>
      </c>
      <c r="J652" s="4">
        <v>65.5</v>
      </c>
      <c r="K652" s="4">
        <v>164.4</v>
      </c>
      <c r="L652" s="4">
        <v>27.3</v>
      </c>
      <c r="M652">
        <v>14</v>
      </c>
      <c r="N652" t="s">
        <v>47</v>
      </c>
      <c r="O652">
        <v>5</v>
      </c>
      <c r="P652" s="4">
        <v>25.9</v>
      </c>
      <c r="Q652" t="s">
        <v>42</v>
      </c>
      <c r="R652">
        <v>1</v>
      </c>
      <c r="S652" t="s">
        <v>38</v>
      </c>
      <c r="T652">
        <v>1</v>
      </c>
      <c r="U652">
        <v>0</v>
      </c>
      <c r="V652" t="s">
        <v>32</v>
      </c>
      <c r="W652" t="s">
        <v>43</v>
      </c>
      <c r="X652" s="4">
        <v>10.5</v>
      </c>
      <c r="Y652">
        <v>13</v>
      </c>
      <c r="Z652" s="5">
        <v>341.31</v>
      </c>
    </row>
    <row r="653" spans="1:26">
      <c r="A653">
        <v>652</v>
      </c>
      <c r="B653">
        <v>208</v>
      </c>
      <c r="C653" s="2">
        <v>46030</v>
      </c>
      <c r="D653" t="s">
        <v>55</v>
      </c>
      <c r="E653">
        <v>1</v>
      </c>
      <c r="F653" s="3">
        <v>8.35</v>
      </c>
      <c r="G653" t="s">
        <v>27</v>
      </c>
      <c r="H653">
        <v>58</v>
      </c>
      <c r="I653" t="s">
        <v>34</v>
      </c>
      <c r="J653" s="4">
        <v>63.4</v>
      </c>
      <c r="K653" s="4">
        <v>143.6</v>
      </c>
      <c r="L653" s="4">
        <v>25.3</v>
      </c>
      <c r="M653">
        <v>14</v>
      </c>
      <c r="N653" t="s">
        <v>47</v>
      </c>
      <c r="O653">
        <v>5</v>
      </c>
      <c r="P653" s="4">
        <v>25.9</v>
      </c>
      <c r="Q653" t="s">
        <v>42</v>
      </c>
      <c r="R653">
        <v>1</v>
      </c>
      <c r="S653" t="s">
        <v>38</v>
      </c>
      <c r="T653">
        <v>1</v>
      </c>
      <c r="U653">
        <v>0</v>
      </c>
      <c r="V653" t="s">
        <v>32</v>
      </c>
      <c r="W653" t="s">
        <v>43</v>
      </c>
      <c r="X653" s="4">
        <v>10</v>
      </c>
      <c r="Y653">
        <v>5</v>
      </c>
      <c r="Z653" s="5">
        <v>223.71</v>
      </c>
    </row>
    <row r="654" spans="1:26">
      <c r="A654">
        <v>653</v>
      </c>
      <c r="B654">
        <v>208</v>
      </c>
      <c r="C654" s="2">
        <v>46030</v>
      </c>
      <c r="D654" t="s">
        <v>55</v>
      </c>
      <c r="E654">
        <v>1</v>
      </c>
      <c r="F654" s="3">
        <v>8.3000000000000007</v>
      </c>
      <c r="G654" t="s">
        <v>27</v>
      </c>
      <c r="H654">
        <v>61</v>
      </c>
      <c r="I654" t="s">
        <v>34</v>
      </c>
      <c r="J654" s="4">
        <v>66.8</v>
      </c>
      <c r="K654" s="4">
        <v>203.1</v>
      </c>
      <c r="L654" s="4">
        <v>32.1</v>
      </c>
      <c r="M654">
        <v>14</v>
      </c>
      <c r="N654" t="s">
        <v>47</v>
      </c>
      <c r="O654">
        <v>5</v>
      </c>
      <c r="P654" s="4">
        <v>25.9</v>
      </c>
      <c r="Q654" t="s">
        <v>42</v>
      </c>
      <c r="R654">
        <v>1</v>
      </c>
      <c r="S654" t="s">
        <v>38</v>
      </c>
      <c r="T654">
        <v>1</v>
      </c>
      <c r="U654">
        <v>0</v>
      </c>
      <c r="V654" t="s">
        <v>32</v>
      </c>
      <c r="W654" t="s">
        <v>43</v>
      </c>
      <c r="X654" s="4">
        <v>9.8000000000000007</v>
      </c>
      <c r="Y654">
        <v>11</v>
      </c>
      <c r="Z654" s="5">
        <v>201.82</v>
      </c>
    </row>
    <row r="655" spans="1:26">
      <c r="A655">
        <v>654</v>
      </c>
      <c r="B655">
        <v>209</v>
      </c>
      <c r="C655" s="2">
        <v>46073</v>
      </c>
      <c r="D655" t="s">
        <v>26</v>
      </c>
      <c r="E655">
        <v>2</v>
      </c>
      <c r="F655" s="3">
        <v>12.22</v>
      </c>
      <c r="G655" t="s">
        <v>36</v>
      </c>
      <c r="H655">
        <v>6</v>
      </c>
      <c r="I655" t="s">
        <v>28</v>
      </c>
      <c r="J655" s="4">
        <v>63.5</v>
      </c>
      <c r="K655" s="4">
        <v>109.3</v>
      </c>
      <c r="L655" s="4">
        <v>19.2</v>
      </c>
      <c r="M655">
        <v>15</v>
      </c>
      <c r="N655" t="s">
        <v>60</v>
      </c>
      <c r="O655">
        <v>1</v>
      </c>
      <c r="P655" s="4">
        <v>1976.7</v>
      </c>
      <c r="Q655" t="s">
        <v>42</v>
      </c>
      <c r="R655">
        <v>0</v>
      </c>
      <c r="S655" t="s">
        <v>31</v>
      </c>
      <c r="T655">
        <v>0</v>
      </c>
      <c r="U655">
        <v>0</v>
      </c>
      <c r="V655" t="s">
        <v>32</v>
      </c>
      <c r="W655" t="s">
        <v>39</v>
      </c>
      <c r="X655" s="4">
        <v>8.1</v>
      </c>
      <c r="Y655">
        <v>12</v>
      </c>
      <c r="Z655" s="5">
        <v>186.07</v>
      </c>
    </row>
    <row r="656" spans="1:26">
      <c r="A656">
        <v>655</v>
      </c>
      <c r="B656">
        <v>210</v>
      </c>
      <c r="C656" s="2">
        <v>46274</v>
      </c>
      <c r="D656" t="s">
        <v>52</v>
      </c>
      <c r="E656">
        <v>9</v>
      </c>
      <c r="F656" s="3">
        <v>11.48</v>
      </c>
      <c r="G656" t="s">
        <v>36</v>
      </c>
      <c r="H656">
        <v>59</v>
      </c>
      <c r="I656" t="s">
        <v>34</v>
      </c>
      <c r="J656" s="4">
        <v>66.599999999999994</v>
      </c>
      <c r="K656" s="4">
        <v>183.6</v>
      </c>
      <c r="L656" s="4">
        <v>29</v>
      </c>
      <c r="M656">
        <v>14</v>
      </c>
      <c r="N656" t="s">
        <v>54</v>
      </c>
      <c r="O656">
        <v>3</v>
      </c>
      <c r="P656" s="4">
        <v>2291.6999999999998</v>
      </c>
      <c r="Q656" t="s">
        <v>30</v>
      </c>
      <c r="R656">
        <v>0</v>
      </c>
      <c r="S656" t="s">
        <v>31</v>
      </c>
      <c r="T656">
        <v>1</v>
      </c>
      <c r="U656">
        <v>0</v>
      </c>
      <c r="V656" t="s">
        <v>32</v>
      </c>
      <c r="W656" t="s">
        <v>43</v>
      </c>
      <c r="X656" s="4">
        <v>10</v>
      </c>
      <c r="Y656">
        <v>12</v>
      </c>
      <c r="Z656" s="5">
        <v>187.77</v>
      </c>
    </row>
    <row r="657" spans="1:26">
      <c r="A657">
        <v>656</v>
      </c>
      <c r="B657">
        <v>210</v>
      </c>
      <c r="C657" s="2">
        <v>46274</v>
      </c>
      <c r="D657" t="s">
        <v>52</v>
      </c>
      <c r="E657">
        <v>9</v>
      </c>
      <c r="F657" s="3">
        <v>11.17</v>
      </c>
      <c r="G657" t="s">
        <v>36</v>
      </c>
      <c r="H657">
        <v>18</v>
      </c>
      <c r="I657" t="s">
        <v>28</v>
      </c>
      <c r="J657" s="4">
        <v>69.099999999999994</v>
      </c>
      <c r="K657" s="4">
        <v>220.5</v>
      </c>
      <c r="L657" s="4">
        <v>32.4</v>
      </c>
      <c r="M657">
        <v>14</v>
      </c>
      <c r="N657" t="s">
        <v>54</v>
      </c>
      <c r="O657">
        <v>3</v>
      </c>
      <c r="P657" s="4">
        <v>2291.6999999999998</v>
      </c>
      <c r="Q657" t="s">
        <v>30</v>
      </c>
      <c r="R657">
        <v>0</v>
      </c>
      <c r="S657" t="s">
        <v>31</v>
      </c>
      <c r="T657">
        <v>1</v>
      </c>
      <c r="U657">
        <v>0</v>
      </c>
      <c r="V657" t="s">
        <v>32</v>
      </c>
      <c r="W657" t="s">
        <v>43</v>
      </c>
      <c r="X657" s="4">
        <v>6</v>
      </c>
      <c r="Y657">
        <v>11</v>
      </c>
      <c r="Z657" s="5">
        <v>178.36</v>
      </c>
    </row>
    <row r="658" spans="1:26">
      <c r="A658">
        <v>657</v>
      </c>
      <c r="B658">
        <v>210</v>
      </c>
      <c r="C658" s="2">
        <v>46274</v>
      </c>
      <c r="D658" t="s">
        <v>52</v>
      </c>
      <c r="E658">
        <v>9</v>
      </c>
      <c r="F658" s="3">
        <v>11.33</v>
      </c>
      <c r="G658" t="s">
        <v>36</v>
      </c>
      <c r="H658">
        <v>61</v>
      </c>
      <c r="I658" t="s">
        <v>28</v>
      </c>
      <c r="J658" s="4">
        <v>64.599999999999994</v>
      </c>
      <c r="K658" s="4">
        <v>164</v>
      </c>
      <c r="L658" s="4">
        <v>27.8</v>
      </c>
      <c r="M658">
        <v>14</v>
      </c>
      <c r="N658" t="s">
        <v>54</v>
      </c>
      <c r="O658">
        <v>3</v>
      </c>
      <c r="P658" s="4">
        <v>2291.6999999999998</v>
      </c>
      <c r="Q658" t="s">
        <v>30</v>
      </c>
      <c r="R658">
        <v>0</v>
      </c>
      <c r="S658" t="s">
        <v>31</v>
      </c>
      <c r="T658">
        <v>1</v>
      </c>
      <c r="U658">
        <v>0</v>
      </c>
      <c r="V658" t="s">
        <v>32</v>
      </c>
      <c r="W658" t="s">
        <v>43</v>
      </c>
      <c r="X658" s="4">
        <v>10.199999999999999</v>
      </c>
      <c r="Y658">
        <v>15</v>
      </c>
      <c r="Z658" s="5">
        <v>309.95999999999998</v>
      </c>
    </row>
    <row r="659" spans="1:26">
      <c r="A659">
        <v>658</v>
      </c>
      <c r="B659">
        <v>211</v>
      </c>
      <c r="C659" s="2">
        <v>46159</v>
      </c>
      <c r="D659" t="s">
        <v>58</v>
      </c>
      <c r="E659">
        <v>5</v>
      </c>
      <c r="F659" s="3">
        <v>10.82</v>
      </c>
      <c r="G659" t="s">
        <v>27</v>
      </c>
      <c r="H659">
        <v>17</v>
      </c>
      <c r="I659" t="s">
        <v>34</v>
      </c>
      <c r="J659" s="4">
        <v>70</v>
      </c>
      <c r="K659" s="4">
        <v>151.19999999999999</v>
      </c>
      <c r="L659" s="4">
        <v>21.5</v>
      </c>
      <c r="M659">
        <v>9</v>
      </c>
      <c r="N659" t="s">
        <v>47</v>
      </c>
      <c r="O659">
        <v>3</v>
      </c>
      <c r="P659" s="4">
        <v>62.2</v>
      </c>
      <c r="Q659" t="s">
        <v>48</v>
      </c>
      <c r="R659">
        <v>0</v>
      </c>
      <c r="S659" t="s">
        <v>38</v>
      </c>
      <c r="T659">
        <v>0</v>
      </c>
      <c r="U659">
        <v>0</v>
      </c>
      <c r="V659" t="s">
        <v>32</v>
      </c>
      <c r="W659" t="s">
        <v>39</v>
      </c>
      <c r="X659" s="4">
        <v>6.7</v>
      </c>
      <c r="Y659">
        <v>7</v>
      </c>
      <c r="Z659" s="5">
        <v>241.37</v>
      </c>
    </row>
    <row r="660" spans="1:26">
      <c r="A660">
        <v>659</v>
      </c>
      <c r="B660">
        <v>211</v>
      </c>
      <c r="C660" s="2">
        <v>46159</v>
      </c>
      <c r="D660" t="s">
        <v>58</v>
      </c>
      <c r="E660">
        <v>5</v>
      </c>
      <c r="F660" s="3">
        <v>10.6</v>
      </c>
      <c r="G660" t="s">
        <v>27</v>
      </c>
      <c r="H660">
        <v>52</v>
      </c>
      <c r="I660" t="s">
        <v>28</v>
      </c>
      <c r="J660" s="4">
        <v>75.2</v>
      </c>
      <c r="K660" s="4">
        <v>219.4</v>
      </c>
      <c r="L660" s="4">
        <v>27.2</v>
      </c>
      <c r="M660">
        <v>18</v>
      </c>
      <c r="N660" t="s">
        <v>47</v>
      </c>
      <c r="O660">
        <v>3</v>
      </c>
      <c r="P660" s="4">
        <v>62.2</v>
      </c>
      <c r="Q660" t="s">
        <v>48</v>
      </c>
      <c r="R660">
        <v>0</v>
      </c>
      <c r="S660" t="s">
        <v>38</v>
      </c>
      <c r="T660">
        <v>0</v>
      </c>
      <c r="U660">
        <v>0</v>
      </c>
      <c r="V660" t="s">
        <v>32</v>
      </c>
      <c r="W660" t="s">
        <v>39</v>
      </c>
      <c r="X660" s="4">
        <v>9</v>
      </c>
      <c r="Y660">
        <v>9</v>
      </c>
      <c r="Z660" s="5">
        <v>394.82</v>
      </c>
    </row>
    <row r="661" spans="1:26">
      <c r="A661">
        <v>660</v>
      </c>
      <c r="B661">
        <v>211</v>
      </c>
      <c r="C661" s="2">
        <v>46159</v>
      </c>
      <c r="D661" t="s">
        <v>58</v>
      </c>
      <c r="E661">
        <v>5</v>
      </c>
      <c r="F661" s="3">
        <v>10.66</v>
      </c>
      <c r="G661" t="s">
        <v>27</v>
      </c>
      <c r="H661">
        <v>49</v>
      </c>
      <c r="I661" t="s">
        <v>28</v>
      </c>
      <c r="J661" s="4">
        <v>70</v>
      </c>
      <c r="K661" s="4">
        <v>135.4</v>
      </c>
      <c r="L661" s="4">
        <v>19.399999999999999</v>
      </c>
      <c r="M661">
        <v>17</v>
      </c>
      <c r="N661" t="s">
        <v>47</v>
      </c>
      <c r="O661">
        <v>3</v>
      </c>
      <c r="P661" s="4">
        <v>62.2</v>
      </c>
      <c r="Q661" t="s">
        <v>48</v>
      </c>
      <c r="R661">
        <v>0</v>
      </c>
      <c r="S661" t="s">
        <v>38</v>
      </c>
      <c r="T661">
        <v>0</v>
      </c>
      <c r="U661">
        <v>0</v>
      </c>
      <c r="V661" t="s">
        <v>32</v>
      </c>
      <c r="W661" t="s">
        <v>39</v>
      </c>
      <c r="X661" s="4">
        <v>8.4</v>
      </c>
      <c r="Y661">
        <v>11</v>
      </c>
      <c r="Z661" s="5">
        <v>209.86</v>
      </c>
    </row>
    <row r="662" spans="1:26">
      <c r="A662">
        <v>661</v>
      </c>
      <c r="B662">
        <v>212</v>
      </c>
      <c r="C662" s="2">
        <v>46249</v>
      </c>
      <c r="D662" t="s">
        <v>40</v>
      </c>
      <c r="E662">
        <v>8</v>
      </c>
      <c r="F662" s="3">
        <v>11.63</v>
      </c>
      <c r="G662" t="s">
        <v>36</v>
      </c>
      <c r="H662">
        <v>7</v>
      </c>
      <c r="I662" t="s">
        <v>28</v>
      </c>
      <c r="J662" s="4">
        <v>55.9</v>
      </c>
      <c r="K662" s="4">
        <v>103.5</v>
      </c>
      <c r="L662" s="4">
        <v>23.5</v>
      </c>
      <c r="M662">
        <v>15</v>
      </c>
      <c r="N662" t="s">
        <v>47</v>
      </c>
      <c r="O662">
        <v>5</v>
      </c>
      <c r="P662" s="4">
        <v>2</v>
      </c>
      <c r="Q662" t="s">
        <v>42</v>
      </c>
      <c r="R662">
        <v>0</v>
      </c>
      <c r="S662" t="s">
        <v>31</v>
      </c>
      <c r="T662">
        <v>0</v>
      </c>
      <c r="U662">
        <v>0</v>
      </c>
      <c r="V662" t="s">
        <v>32</v>
      </c>
      <c r="W662" t="s">
        <v>43</v>
      </c>
      <c r="X662" s="4">
        <v>7.4</v>
      </c>
      <c r="Y662">
        <v>7</v>
      </c>
      <c r="Z662" s="5">
        <v>135.66999999999999</v>
      </c>
    </row>
    <row r="663" spans="1:26">
      <c r="A663">
        <v>662</v>
      </c>
      <c r="B663">
        <v>212</v>
      </c>
      <c r="C663" s="2">
        <v>46249</v>
      </c>
      <c r="D663" t="s">
        <v>40</v>
      </c>
      <c r="E663">
        <v>8</v>
      </c>
      <c r="F663" s="3">
        <v>11.77</v>
      </c>
      <c r="G663" t="s">
        <v>36</v>
      </c>
      <c r="H663">
        <v>67</v>
      </c>
      <c r="I663" t="s">
        <v>28</v>
      </c>
      <c r="J663" s="4">
        <v>76.2</v>
      </c>
      <c r="K663" s="4">
        <v>260.60000000000002</v>
      </c>
      <c r="L663" s="4">
        <v>31.6</v>
      </c>
      <c r="M663">
        <v>19</v>
      </c>
      <c r="N663" t="s">
        <v>47</v>
      </c>
      <c r="O663">
        <v>5</v>
      </c>
      <c r="P663" s="4">
        <v>2</v>
      </c>
      <c r="Q663" t="s">
        <v>42</v>
      </c>
      <c r="R663">
        <v>0</v>
      </c>
      <c r="S663" t="s">
        <v>31</v>
      </c>
      <c r="T663">
        <v>0</v>
      </c>
      <c r="U663">
        <v>0</v>
      </c>
      <c r="V663" t="s">
        <v>32</v>
      </c>
      <c r="W663" t="s">
        <v>43</v>
      </c>
      <c r="X663" s="4">
        <v>7.1</v>
      </c>
      <c r="Y663">
        <v>10</v>
      </c>
      <c r="Z663" s="5">
        <v>244.27</v>
      </c>
    </row>
    <row r="664" spans="1:26">
      <c r="A664">
        <v>663</v>
      </c>
      <c r="B664">
        <v>212</v>
      </c>
      <c r="C664" s="2">
        <v>46249</v>
      </c>
      <c r="D664" t="s">
        <v>40</v>
      </c>
      <c r="E664">
        <v>8</v>
      </c>
      <c r="F664" s="3">
        <v>11.76</v>
      </c>
      <c r="G664" t="s">
        <v>36</v>
      </c>
      <c r="H664">
        <v>9</v>
      </c>
      <c r="I664" t="s">
        <v>28</v>
      </c>
      <c r="J664" s="4">
        <v>64.099999999999994</v>
      </c>
      <c r="K664" s="4">
        <v>105.7</v>
      </c>
      <c r="L664" s="4">
        <v>18.100000000000001</v>
      </c>
      <c r="M664">
        <v>15</v>
      </c>
      <c r="N664" t="s">
        <v>47</v>
      </c>
      <c r="O664">
        <v>5</v>
      </c>
      <c r="P664" s="4">
        <v>2</v>
      </c>
      <c r="Q664" t="s">
        <v>42</v>
      </c>
      <c r="R664">
        <v>0</v>
      </c>
      <c r="S664" t="s">
        <v>31</v>
      </c>
      <c r="T664">
        <v>0</v>
      </c>
      <c r="U664">
        <v>0</v>
      </c>
      <c r="V664" t="s">
        <v>32</v>
      </c>
      <c r="W664" t="s">
        <v>43</v>
      </c>
      <c r="X664" s="4">
        <v>7.6</v>
      </c>
      <c r="Y664">
        <v>13</v>
      </c>
      <c r="Z664" s="5">
        <v>259.61</v>
      </c>
    </row>
    <row r="665" spans="1:26">
      <c r="A665">
        <v>664</v>
      </c>
      <c r="B665">
        <v>212</v>
      </c>
      <c r="C665" s="2">
        <v>46249</v>
      </c>
      <c r="D665" t="s">
        <v>40</v>
      </c>
      <c r="E665">
        <v>8</v>
      </c>
      <c r="F665" s="3">
        <v>11.45</v>
      </c>
      <c r="G665" t="s">
        <v>36</v>
      </c>
      <c r="H665">
        <v>60</v>
      </c>
      <c r="I665" t="s">
        <v>34</v>
      </c>
      <c r="J665" s="4">
        <v>62.4</v>
      </c>
      <c r="K665" s="4">
        <v>163.6</v>
      </c>
      <c r="L665" s="4">
        <v>29.5</v>
      </c>
      <c r="M665">
        <v>18</v>
      </c>
      <c r="N665" t="s">
        <v>47</v>
      </c>
      <c r="O665">
        <v>5</v>
      </c>
      <c r="P665" s="4">
        <v>2</v>
      </c>
      <c r="Q665" t="s">
        <v>42</v>
      </c>
      <c r="R665">
        <v>0</v>
      </c>
      <c r="S665" t="s">
        <v>31</v>
      </c>
      <c r="T665">
        <v>0</v>
      </c>
      <c r="U665">
        <v>0</v>
      </c>
      <c r="V665" t="s">
        <v>32</v>
      </c>
      <c r="W665" t="s">
        <v>43</v>
      </c>
      <c r="X665" s="4">
        <v>10.1</v>
      </c>
      <c r="Y665">
        <v>12</v>
      </c>
      <c r="Z665" s="5">
        <v>178.77</v>
      </c>
    </row>
    <row r="666" spans="1:26">
      <c r="A666">
        <v>665</v>
      </c>
      <c r="B666">
        <v>212</v>
      </c>
      <c r="C666" s="2">
        <v>46249</v>
      </c>
      <c r="D666" t="s">
        <v>40</v>
      </c>
      <c r="E666">
        <v>8</v>
      </c>
      <c r="F666" s="3">
        <v>11.61</v>
      </c>
      <c r="G666" t="s">
        <v>36</v>
      </c>
      <c r="H666">
        <v>38</v>
      </c>
      <c r="I666" t="s">
        <v>34</v>
      </c>
      <c r="J666" s="4">
        <v>65.900000000000006</v>
      </c>
      <c r="K666" s="4">
        <v>126.3</v>
      </c>
      <c r="L666" s="4">
        <v>20.6</v>
      </c>
      <c r="M666">
        <v>16</v>
      </c>
      <c r="N666" t="s">
        <v>47</v>
      </c>
      <c r="O666">
        <v>5</v>
      </c>
      <c r="P666" s="4">
        <v>2</v>
      </c>
      <c r="Q666" t="s">
        <v>42</v>
      </c>
      <c r="R666">
        <v>0</v>
      </c>
      <c r="S666" t="s">
        <v>31</v>
      </c>
      <c r="T666">
        <v>0</v>
      </c>
      <c r="U666">
        <v>0</v>
      </c>
      <c r="V666" t="s">
        <v>32</v>
      </c>
      <c r="W666" t="s">
        <v>43</v>
      </c>
      <c r="X666" s="4">
        <v>7.6</v>
      </c>
      <c r="Y666">
        <v>7</v>
      </c>
      <c r="Z666" s="5">
        <v>223.66</v>
      </c>
    </row>
    <row r="667" spans="1:26">
      <c r="A667">
        <v>666</v>
      </c>
      <c r="B667">
        <v>213</v>
      </c>
      <c r="C667" s="2">
        <v>46228</v>
      </c>
      <c r="D667" t="s">
        <v>40</v>
      </c>
      <c r="E667">
        <v>7</v>
      </c>
      <c r="F667" s="3">
        <v>8.15</v>
      </c>
      <c r="G667" t="s">
        <v>27</v>
      </c>
      <c r="H667">
        <v>37</v>
      </c>
      <c r="I667" t="s">
        <v>28</v>
      </c>
      <c r="J667" s="4">
        <v>69.5</v>
      </c>
      <c r="K667" s="4">
        <v>196.3</v>
      </c>
      <c r="L667" s="4">
        <v>28.5</v>
      </c>
      <c r="M667">
        <v>16</v>
      </c>
      <c r="N667" t="s">
        <v>47</v>
      </c>
      <c r="O667">
        <v>1</v>
      </c>
      <c r="P667" s="4">
        <v>77.099999999999994</v>
      </c>
      <c r="Q667" t="s">
        <v>42</v>
      </c>
      <c r="R667">
        <v>1</v>
      </c>
      <c r="S667" t="s">
        <v>44</v>
      </c>
      <c r="T667">
        <v>1</v>
      </c>
      <c r="U667">
        <v>0</v>
      </c>
      <c r="V667" t="s">
        <v>32</v>
      </c>
      <c r="W667" t="s">
        <v>49</v>
      </c>
      <c r="X667" s="4">
        <v>6.3</v>
      </c>
      <c r="Y667">
        <v>5</v>
      </c>
      <c r="Z667" s="5">
        <v>278.55</v>
      </c>
    </row>
    <row r="668" spans="1:26">
      <c r="A668">
        <v>667</v>
      </c>
      <c r="B668">
        <v>214</v>
      </c>
      <c r="C668" s="2">
        <v>46123</v>
      </c>
      <c r="D668" t="s">
        <v>40</v>
      </c>
      <c r="E668">
        <v>4</v>
      </c>
      <c r="F668" s="3">
        <v>8.56</v>
      </c>
      <c r="G668" t="s">
        <v>27</v>
      </c>
      <c r="H668">
        <v>55</v>
      </c>
      <c r="I668" t="s">
        <v>34</v>
      </c>
      <c r="J668" s="4">
        <v>60.5</v>
      </c>
      <c r="K668" s="4">
        <v>153</v>
      </c>
      <c r="L668" s="4">
        <v>29.4</v>
      </c>
      <c r="M668">
        <v>20</v>
      </c>
      <c r="N668" t="s">
        <v>47</v>
      </c>
      <c r="O668">
        <v>2</v>
      </c>
      <c r="P668" s="4">
        <v>64.099999999999994</v>
      </c>
      <c r="Q668" t="s">
        <v>48</v>
      </c>
      <c r="R668">
        <v>0</v>
      </c>
      <c r="S668" t="s">
        <v>31</v>
      </c>
      <c r="T668">
        <v>0</v>
      </c>
      <c r="U668">
        <v>0</v>
      </c>
      <c r="V668" t="s">
        <v>32</v>
      </c>
      <c r="W668" t="s">
        <v>39</v>
      </c>
      <c r="X668" s="4">
        <v>11.8</v>
      </c>
      <c r="Y668">
        <v>6</v>
      </c>
      <c r="Z668" s="5">
        <v>303.31</v>
      </c>
    </row>
    <row r="669" spans="1:26">
      <c r="A669">
        <v>668</v>
      </c>
      <c r="B669">
        <v>214</v>
      </c>
      <c r="C669" s="2">
        <v>46123</v>
      </c>
      <c r="D669" t="s">
        <v>40</v>
      </c>
      <c r="E669">
        <v>4</v>
      </c>
      <c r="F669" s="3">
        <v>8.56</v>
      </c>
      <c r="G669" t="s">
        <v>27</v>
      </c>
      <c r="H669">
        <v>31</v>
      </c>
      <c r="I669" t="s">
        <v>28</v>
      </c>
      <c r="J669" s="4">
        <v>71.400000000000006</v>
      </c>
      <c r="K669" s="4">
        <v>147.1</v>
      </c>
      <c r="L669" s="4">
        <v>20.3</v>
      </c>
      <c r="M669">
        <v>15</v>
      </c>
      <c r="N669" t="s">
        <v>47</v>
      </c>
      <c r="O669">
        <v>2</v>
      </c>
      <c r="P669" s="4">
        <v>64.099999999999994</v>
      </c>
      <c r="Q669" t="s">
        <v>48</v>
      </c>
      <c r="R669">
        <v>0</v>
      </c>
      <c r="S669" t="s">
        <v>31</v>
      </c>
      <c r="T669">
        <v>0</v>
      </c>
      <c r="U669">
        <v>0</v>
      </c>
      <c r="V669" t="s">
        <v>32</v>
      </c>
      <c r="W669" t="s">
        <v>39</v>
      </c>
      <c r="X669" s="4">
        <v>8</v>
      </c>
      <c r="Y669">
        <v>8</v>
      </c>
      <c r="Z669" s="5">
        <v>203.46</v>
      </c>
    </row>
    <row r="670" spans="1:26">
      <c r="A670">
        <v>669</v>
      </c>
      <c r="B670">
        <v>215</v>
      </c>
      <c r="C670" s="2">
        <v>46221</v>
      </c>
      <c r="D670" t="s">
        <v>40</v>
      </c>
      <c r="E670">
        <v>7</v>
      </c>
      <c r="F670" s="3">
        <v>9.18</v>
      </c>
      <c r="G670" t="s">
        <v>27</v>
      </c>
      <c r="H670">
        <v>74</v>
      </c>
      <c r="I670" t="s">
        <v>34</v>
      </c>
      <c r="J670" s="4">
        <v>68.099999999999994</v>
      </c>
      <c r="K670" s="4">
        <v>207.4</v>
      </c>
      <c r="L670" s="4">
        <v>31.2</v>
      </c>
      <c r="M670">
        <v>16</v>
      </c>
      <c r="N670" t="s">
        <v>66</v>
      </c>
      <c r="O670">
        <v>2</v>
      </c>
      <c r="P670" s="4">
        <v>604.9</v>
      </c>
      <c r="Q670" t="s">
        <v>42</v>
      </c>
      <c r="R670">
        <v>0</v>
      </c>
      <c r="S670" t="s">
        <v>31</v>
      </c>
      <c r="T670">
        <v>0</v>
      </c>
      <c r="U670">
        <v>0</v>
      </c>
      <c r="V670" t="s">
        <v>32</v>
      </c>
      <c r="W670" t="s">
        <v>39</v>
      </c>
      <c r="X670" s="4">
        <v>6.4</v>
      </c>
      <c r="Y670">
        <v>5</v>
      </c>
      <c r="Z670" s="5">
        <v>282.5</v>
      </c>
    </row>
    <row r="671" spans="1:26">
      <c r="A671">
        <v>670</v>
      </c>
      <c r="B671">
        <v>215</v>
      </c>
      <c r="C671" s="2">
        <v>46221</v>
      </c>
      <c r="D671" t="s">
        <v>40</v>
      </c>
      <c r="E671">
        <v>7</v>
      </c>
      <c r="F671" s="3">
        <v>9.31</v>
      </c>
      <c r="G671" t="s">
        <v>27</v>
      </c>
      <c r="H671">
        <v>61</v>
      </c>
      <c r="I671" t="s">
        <v>34</v>
      </c>
      <c r="J671" s="4">
        <v>65</v>
      </c>
      <c r="K671" s="4">
        <v>170.3</v>
      </c>
      <c r="L671" s="4">
        <v>28.4</v>
      </c>
      <c r="M671">
        <v>16</v>
      </c>
      <c r="N671" t="s">
        <v>66</v>
      </c>
      <c r="O671">
        <v>2</v>
      </c>
      <c r="P671" s="4">
        <v>604.9</v>
      </c>
      <c r="Q671" t="s">
        <v>42</v>
      </c>
      <c r="R671">
        <v>0</v>
      </c>
      <c r="S671" t="s">
        <v>31</v>
      </c>
      <c r="T671">
        <v>0</v>
      </c>
      <c r="U671">
        <v>0</v>
      </c>
      <c r="V671" t="s">
        <v>32</v>
      </c>
      <c r="W671" t="s">
        <v>39</v>
      </c>
      <c r="X671" s="4">
        <v>8.6</v>
      </c>
      <c r="Y671">
        <v>6</v>
      </c>
      <c r="Z671" s="5">
        <v>204.57</v>
      </c>
    </row>
    <row r="672" spans="1:26">
      <c r="A672">
        <v>671</v>
      </c>
      <c r="B672">
        <v>216</v>
      </c>
      <c r="C672" s="2">
        <v>46125</v>
      </c>
      <c r="D672" t="s">
        <v>46</v>
      </c>
      <c r="E672">
        <v>4</v>
      </c>
      <c r="F672" s="3">
        <v>11.22</v>
      </c>
      <c r="G672" t="s">
        <v>36</v>
      </c>
      <c r="H672">
        <v>58</v>
      </c>
      <c r="I672" t="s">
        <v>28</v>
      </c>
      <c r="J672" s="4">
        <v>70.599999999999994</v>
      </c>
      <c r="K672" s="4">
        <v>163.5</v>
      </c>
      <c r="L672" s="4">
        <v>23.2</v>
      </c>
      <c r="M672">
        <v>18</v>
      </c>
      <c r="N672" t="s">
        <v>53</v>
      </c>
      <c r="O672">
        <v>4</v>
      </c>
      <c r="P672" s="4">
        <v>1141.0999999999999</v>
      </c>
      <c r="Q672" t="s">
        <v>42</v>
      </c>
      <c r="R672">
        <v>0</v>
      </c>
      <c r="S672" t="s">
        <v>38</v>
      </c>
      <c r="T672">
        <v>1</v>
      </c>
      <c r="U672">
        <v>1</v>
      </c>
      <c r="V672" t="s">
        <v>32</v>
      </c>
      <c r="W672" t="s">
        <v>49</v>
      </c>
      <c r="X672" s="4">
        <v>9.5</v>
      </c>
      <c r="Y672">
        <v>10</v>
      </c>
      <c r="Z672" s="5">
        <v>352.33</v>
      </c>
    </row>
    <row r="673" spans="1:26">
      <c r="A673">
        <v>672</v>
      </c>
      <c r="B673">
        <v>216</v>
      </c>
      <c r="C673" s="2">
        <v>46125</v>
      </c>
      <c r="D673" t="s">
        <v>46</v>
      </c>
      <c r="E673">
        <v>4</v>
      </c>
      <c r="F673" s="3">
        <v>10.97</v>
      </c>
      <c r="G673" t="s">
        <v>27</v>
      </c>
      <c r="H673">
        <v>8</v>
      </c>
      <c r="I673" t="s">
        <v>34</v>
      </c>
      <c r="J673" s="4">
        <v>59.6</v>
      </c>
      <c r="K673" s="4">
        <v>127.8</v>
      </c>
      <c r="L673" s="4">
        <v>25.3</v>
      </c>
      <c r="M673">
        <v>14</v>
      </c>
      <c r="N673" t="s">
        <v>53</v>
      </c>
      <c r="O673">
        <v>4</v>
      </c>
      <c r="P673" s="4">
        <v>1141.0999999999999</v>
      </c>
      <c r="Q673" t="s">
        <v>42</v>
      </c>
      <c r="R673">
        <v>0</v>
      </c>
      <c r="S673" t="s">
        <v>38</v>
      </c>
      <c r="T673">
        <v>1</v>
      </c>
      <c r="U673">
        <v>1</v>
      </c>
      <c r="V673" t="s">
        <v>32</v>
      </c>
      <c r="W673" t="s">
        <v>49</v>
      </c>
      <c r="X673" s="4">
        <v>10.5</v>
      </c>
      <c r="Y673">
        <v>8</v>
      </c>
      <c r="Z673" s="5">
        <v>196.41</v>
      </c>
    </row>
    <row r="674" spans="1:26">
      <c r="A674">
        <v>673</v>
      </c>
      <c r="B674">
        <v>216</v>
      </c>
      <c r="C674" s="2">
        <v>46125</v>
      </c>
      <c r="D674" t="s">
        <v>46</v>
      </c>
      <c r="E674">
        <v>4</v>
      </c>
      <c r="F674" s="3">
        <v>11.26</v>
      </c>
      <c r="G674" t="s">
        <v>36</v>
      </c>
      <c r="H674">
        <v>69</v>
      </c>
      <c r="I674" t="s">
        <v>34</v>
      </c>
      <c r="J674" s="4">
        <v>62.8</v>
      </c>
      <c r="K674" s="4">
        <v>113.7</v>
      </c>
      <c r="L674" s="4">
        <v>20.5</v>
      </c>
      <c r="M674">
        <v>16</v>
      </c>
      <c r="N674" t="s">
        <v>53</v>
      </c>
      <c r="O674">
        <v>4</v>
      </c>
      <c r="P674" s="4">
        <v>1141.0999999999999</v>
      </c>
      <c r="Q674" t="s">
        <v>42</v>
      </c>
      <c r="R674">
        <v>0</v>
      </c>
      <c r="S674" t="s">
        <v>38</v>
      </c>
      <c r="T674">
        <v>1</v>
      </c>
      <c r="U674">
        <v>1</v>
      </c>
      <c r="V674" t="s">
        <v>32</v>
      </c>
      <c r="W674" t="s">
        <v>49</v>
      </c>
      <c r="X674" s="4">
        <v>6.8</v>
      </c>
      <c r="Y674">
        <v>15</v>
      </c>
      <c r="Z674" s="5">
        <v>165.29</v>
      </c>
    </row>
    <row r="675" spans="1:26">
      <c r="A675">
        <v>674</v>
      </c>
      <c r="B675">
        <v>216</v>
      </c>
      <c r="C675" s="2">
        <v>46125</v>
      </c>
      <c r="D675" t="s">
        <v>46</v>
      </c>
      <c r="E675">
        <v>4</v>
      </c>
      <c r="F675" s="3">
        <v>10.96</v>
      </c>
      <c r="G675" t="s">
        <v>27</v>
      </c>
      <c r="H675">
        <v>25</v>
      </c>
      <c r="I675" t="s">
        <v>34</v>
      </c>
      <c r="J675" s="4">
        <v>61</v>
      </c>
      <c r="K675" s="4">
        <v>134.19999999999999</v>
      </c>
      <c r="L675" s="4">
        <v>25.3</v>
      </c>
      <c r="M675">
        <v>13</v>
      </c>
      <c r="N675" t="s">
        <v>53</v>
      </c>
      <c r="O675">
        <v>4</v>
      </c>
      <c r="P675" s="4">
        <v>1141.0999999999999</v>
      </c>
      <c r="Q675" t="s">
        <v>42</v>
      </c>
      <c r="R675">
        <v>0</v>
      </c>
      <c r="S675" t="s">
        <v>38</v>
      </c>
      <c r="T675">
        <v>1</v>
      </c>
      <c r="U675">
        <v>1</v>
      </c>
      <c r="V675" t="s">
        <v>32</v>
      </c>
      <c r="W675" t="s">
        <v>49</v>
      </c>
      <c r="X675" s="4">
        <v>9.1999999999999993</v>
      </c>
      <c r="Y675">
        <v>8</v>
      </c>
      <c r="Z675" s="5">
        <v>175.15</v>
      </c>
    </row>
    <row r="676" spans="1:26">
      <c r="A676">
        <v>675</v>
      </c>
      <c r="B676">
        <v>217</v>
      </c>
      <c r="C676" s="2">
        <v>46074</v>
      </c>
      <c r="D676" t="s">
        <v>40</v>
      </c>
      <c r="E676">
        <v>2</v>
      </c>
      <c r="F676" s="3">
        <v>10.08</v>
      </c>
      <c r="G676" t="s">
        <v>27</v>
      </c>
      <c r="H676">
        <v>34</v>
      </c>
      <c r="I676" t="s">
        <v>34</v>
      </c>
      <c r="J676" s="4">
        <v>65.7</v>
      </c>
      <c r="K676" s="4">
        <v>174.8</v>
      </c>
      <c r="L676" s="4">
        <v>28.5</v>
      </c>
      <c r="M676">
        <v>19</v>
      </c>
      <c r="N676" t="s">
        <v>47</v>
      </c>
      <c r="O676">
        <v>2</v>
      </c>
      <c r="P676" s="4">
        <v>50.8</v>
      </c>
      <c r="Q676" t="s">
        <v>42</v>
      </c>
      <c r="R676">
        <v>0</v>
      </c>
      <c r="S676" t="s">
        <v>31</v>
      </c>
      <c r="T676">
        <v>1</v>
      </c>
      <c r="U676">
        <v>0</v>
      </c>
      <c r="V676" t="s">
        <v>32</v>
      </c>
      <c r="W676" t="s">
        <v>49</v>
      </c>
      <c r="X676" s="4">
        <v>8.9</v>
      </c>
      <c r="Y676">
        <v>6</v>
      </c>
      <c r="Z676" s="5">
        <v>288.36</v>
      </c>
    </row>
    <row r="677" spans="1:26">
      <c r="A677">
        <v>676</v>
      </c>
      <c r="B677">
        <v>217</v>
      </c>
      <c r="C677" s="2">
        <v>46074</v>
      </c>
      <c r="D677" t="s">
        <v>40</v>
      </c>
      <c r="E677">
        <v>2</v>
      </c>
      <c r="F677" s="3">
        <v>10.130000000000001</v>
      </c>
      <c r="G677" t="s">
        <v>27</v>
      </c>
      <c r="H677">
        <v>49</v>
      </c>
      <c r="I677" t="s">
        <v>34</v>
      </c>
      <c r="J677" s="4">
        <v>62</v>
      </c>
      <c r="K677" s="4">
        <v>149.80000000000001</v>
      </c>
      <c r="L677" s="4">
        <v>27.4</v>
      </c>
      <c r="M677">
        <v>18</v>
      </c>
      <c r="N677" t="s">
        <v>47</v>
      </c>
      <c r="O677">
        <v>2</v>
      </c>
      <c r="P677" s="4">
        <v>50.8</v>
      </c>
      <c r="Q677" t="s">
        <v>42</v>
      </c>
      <c r="R677">
        <v>0</v>
      </c>
      <c r="S677" t="s">
        <v>31</v>
      </c>
      <c r="T677">
        <v>1</v>
      </c>
      <c r="U677">
        <v>0</v>
      </c>
      <c r="V677" t="s">
        <v>32</v>
      </c>
      <c r="W677" t="s">
        <v>49</v>
      </c>
      <c r="X677" s="4">
        <v>6.3</v>
      </c>
      <c r="Y677">
        <v>7</v>
      </c>
      <c r="Z677" s="5">
        <v>132.41999999999999</v>
      </c>
    </row>
    <row r="678" spans="1:26">
      <c r="A678">
        <v>677</v>
      </c>
      <c r="B678">
        <v>218</v>
      </c>
      <c r="C678" s="2">
        <v>46346</v>
      </c>
      <c r="D678" t="s">
        <v>26</v>
      </c>
      <c r="E678">
        <v>11</v>
      </c>
      <c r="F678" s="3">
        <v>10.33</v>
      </c>
      <c r="G678" t="s">
        <v>27</v>
      </c>
      <c r="H678">
        <v>42</v>
      </c>
      <c r="I678" t="s">
        <v>34</v>
      </c>
      <c r="J678" s="4">
        <v>62.7</v>
      </c>
      <c r="K678" s="4">
        <v>166.5</v>
      </c>
      <c r="L678" s="4">
        <v>29.4</v>
      </c>
      <c r="M678">
        <v>15</v>
      </c>
      <c r="N678" t="s">
        <v>53</v>
      </c>
      <c r="O678">
        <v>4</v>
      </c>
      <c r="P678" s="4">
        <v>1139.2</v>
      </c>
      <c r="Q678" t="s">
        <v>42</v>
      </c>
      <c r="R678">
        <v>0</v>
      </c>
      <c r="S678" t="s">
        <v>44</v>
      </c>
      <c r="T678">
        <v>0</v>
      </c>
      <c r="U678">
        <v>0</v>
      </c>
      <c r="V678" t="s">
        <v>32</v>
      </c>
      <c r="W678" t="s">
        <v>49</v>
      </c>
      <c r="X678" s="4">
        <v>6.8</v>
      </c>
      <c r="Y678">
        <v>8</v>
      </c>
      <c r="Z678" s="5">
        <v>148.05000000000001</v>
      </c>
    </row>
    <row r="679" spans="1:26">
      <c r="A679">
        <v>678</v>
      </c>
      <c r="B679">
        <v>218</v>
      </c>
      <c r="C679" s="2">
        <v>46346</v>
      </c>
      <c r="D679" t="s">
        <v>26</v>
      </c>
      <c r="E679">
        <v>11</v>
      </c>
      <c r="F679" s="3">
        <v>10.24</v>
      </c>
      <c r="G679" t="s">
        <v>27</v>
      </c>
      <c r="H679">
        <v>19</v>
      </c>
      <c r="I679" t="s">
        <v>34</v>
      </c>
      <c r="J679" s="4">
        <v>60.8</v>
      </c>
      <c r="K679" s="4">
        <v>128.1</v>
      </c>
      <c r="L679" s="4">
        <v>24.4</v>
      </c>
      <c r="M679">
        <v>11</v>
      </c>
      <c r="N679" t="s">
        <v>53</v>
      </c>
      <c r="O679">
        <v>4</v>
      </c>
      <c r="P679" s="4">
        <v>1139.2</v>
      </c>
      <c r="Q679" t="s">
        <v>42</v>
      </c>
      <c r="R679">
        <v>0</v>
      </c>
      <c r="S679" t="s">
        <v>44</v>
      </c>
      <c r="T679">
        <v>0</v>
      </c>
      <c r="U679">
        <v>0</v>
      </c>
      <c r="V679" t="s">
        <v>32</v>
      </c>
      <c r="W679" t="s">
        <v>49</v>
      </c>
      <c r="X679" s="4">
        <v>8.1</v>
      </c>
      <c r="Y679">
        <v>6</v>
      </c>
      <c r="Z679" s="5">
        <v>221.49</v>
      </c>
    </row>
    <row r="680" spans="1:26">
      <c r="A680">
        <v>679</v>
      </c>
      <c r="B680">
        <v>218</v>
      </c>
      <c r="C680" s="2">
        <v>46346</v>
      </c>
      <c r="D680" t="s">
        <v>26</v>
      </c>
      <c r="E680">
        <v>11</v>
      </c>
      <c r="F680" s="3">
        <v>10.32</v>
      </c>
      <c r="G680" t="s">
        <v>27</v>
      </c>
      <c r="H680">
        <v>34</v>
      </c>
      <c r="I680" t="s">
        <v>28</v>
      </c>
      <c r="J680" s="4">
        <v>68.400000000000006</v>
      </c>
      <c r="K680" s="4">
        <v>178.5</v>
      </c>
      <c r="L680" s="4">
        <v>27</v>
      </c>
      <c r="M680">
        <v>14</v>
      </c>
      <c r="N680" t="s">
        <v>53</v>
      </c>
      <c r="O680">
        <v>4</v>
      </c>
      <c r="P680" s="4">
        <v>1139.2</v>
      </c>
      <c r="Q680" t="s">
        <v>42</v>
      </c>
      <c r="R680">
        <v>0</v>
      </c>
      <c r="S680" t="s">
        <v>44</v>
      </c>
      <c r="T680">
        <v>0</v>
      </c>
      <c r="U680">
        <v>0</v>
      </c>
      <c r="V680" t="s">
        <v>32</v>
      </c>
      <c r="W680" t="s">
        <v>49</v>
      </c>
      <c r="X680" s="4">
        <v>7.2</v>
      </c>
      <c r="Y680">
        <v>9</v>
      </c>
      <c r="Z680" s="5">
        <v>146.11000000000001</v>
      </c>
    </row>
    <row r="681" spans="1:26">
      <c r="A681">
        <v>680</v>
      </c>
      <c r="B681">
        <v>218</v>
      </c>
      <c r="C681" s="2">
        <v>46346</v>
      </c>
      <c r="D681" t="s">
        <v>26</v>
      </c>
      <c r="E681">
        <v>11</v>
      </c>
      <c r="F681" s="3">
        <v>10.17</v>
      </c>
      <c r="G681" t="s">
        <v>27</v>
      </c>
      <c r="H681">
        <v>68</v>
      </c>
      <c r="I681" t="s">
        <v>51</v>
      </c>
      <c r="J681" s="4">
        <v>65.400000000000006</v>
      </c>
      <c r="K681" s="4">
        <v>176.3</v>
      </c>
      <c r="L681" s="4">
        <v>29.2</v>
      </c>
      <c r="M681">
        <v>15</v>
      </c>
      <c r="N681" t="s">
        <v>53</v>
      </c>
      <c r="O681">
        <v>4</v>
      </c>
      <c r="P681" s="4">
        <v>1139.2</v>
      </c>
      <c r="Q681" t="s">
        <v>42</v>
      </c>
      <c r="R681">
        <v>0</v>
      </c>
      <c r="S681" t="s">
        <v>44</v>
      </c>
      <c r="T681">
        <v>0</v>
      </c>
      <c r="U681">
        <v>0</v>
      </c>
      <c r="V681" t="s">
        <v>32</v>
      </c>
      <c r="W681" t="s">
        <v>49</v>
      </c>
      <c r="X681" s="4">
        <v>9.8000000000000007</v>
      </c>
      <c r="Y681">
        <v>9</v>
      </c>
      <c r="Z681" s="5">
        <v>200.15</v>
      </c>
    </row>
    <row r="682" spans="1:26">
      <c r="A682">
        <v>681</v>
      </c>
      <c r="B682">
        <v>219</v>
      </c>
      <c r="C682" s="2">
        <v>46121</v>
      </c>
      <c r="D682" t="s">
        <v>55</v>
      </c>
      <c r="E682">
        <v>4</v>
      </c>
      <c r="F682" s="3">
        <v>9.86</v>
      </c>
      <c r="G682" t="s">
        <v>27</v>
      </c>
      <c r="H682">
        <v>65</v>
      </c>
      <c r="I682" t="s">
        <v>28</v>
      </c>
      <c r="J682" s="4">
        <v>67.099999999999994</v>
      </c>
      <c r="K682" s="4">
        <v>164.4</v>
      </c>
      <c r="L682" s="4">
        <v>25.7</v>
      </c>
      <c r="M682">
        <v>17</v>
      </c>
      <c r="N682" t="s">
        <v>41</v>
      </c>
      <c r="O682">
        <v>1</v>
      </c>
      <c r="P682" s="4">
        <v>3367.7</v>
      </c>
      <c r="Q682" t="s">
        <v>48</v>
      </c>
      <c r="R682">
        <v>1</v>
      </c>
      <c r="S682" t="s">
        <v>31</v>
      </c>
      <c r="T682">
        <v>1</v>
      </c>
      <c r="U682">
        <v>1</v>
      </c>
      <c r="V682" t="s">
        <v>32</v>
      </c>
      <c r="W682" t="s">
        <v>33</v>
      </c>
      <c r="X682" s="4">
        <v>10.3</v>
      </c>
      <c r="Y682">
        <v>7</v>
      </c>
      <c r="Z682" s="5">
        <v>369.14</v>
      </c>
    </row>
    <row r="683" spans="1:26">
      <c r="A683">
        <v>682</v>
      </c>
      <c r="B683">
        <v>220</v>
      </c>
      <c r="C683" s="2">
        <v>46100</v>
      </c>
      <c r="D683" t="s">
        <v>55</v>
      </c>
      <c r="E683">
        <v>3</v>
      </c>
      <c r="F683" s="3">
        <v>10.45</v>
      </c>
      <c r="G683" t="s">
        <v>27</v>
      </c>
      <c r="H683">
        <v>23</v>
      </c>
      <c r="I683" t="s">
        <v>34</v>
      </c>
      <c r="J683" s="4">
        <v>67.7</v>
      </c>
      <c r="K683" s="4">
        <v>142.5</v>
      </c>
      <c r="L683" s="4">
        <v>21.7</v>
      </c>
      <c r="M683">
        <v>10</v>
      </c>
      <c r="N683" t="s">
        <v>47</v>
      </c>
      <c r="O683">
        <v>6</v>
      </c>
      <c r="P683" s="4">
        <v>111.2</v>
      </c>
      <c r="Q683" t="s">
        <v>30</v>
      </c>
      <c r="R683">
        <v>1</v>
      </c>
      <c r="S683" t="s">
        <v>38</v>
      </c>
      <c r="T683">
        <v>0</v>
      </c>
      <c r="U683">
        <v>0</v>
      </c>
      <c r="V683" t="s">
        <v>64</v>
      </c>
      <c r="W683" t="s">
        <v>39</v>
      </c>
      <c r="X683" s="4">
        <v>8.1999999999999993</v>
      </c>
      <c r="Y683">
        <v>5</v>
      </c>
      <c r="Z683" s="5">
        <v>197.14</v>
      </c>
    </row>
    <row r="684" spans="1:26">
      <c r="A684">
        <v>683</v>
      </c>
      <c r="B684">
        <v>220</v>
      </c>
      <c r="C684" s="2">
        <v>46100</v>
      </c>
      <c r="D684" t="s">
        <v>55</v>
      </c>
      <c r="E684">
        <v>3</v>
      </c>
      <c r="F684" s="3">
        <v>10.58</v>
      </c>
      <c r="G684" t="s">
        <v>27</v>
      </c>
      <c r="H684">
        <v>18</v>
      </c>
      <c r="I684" t="s">
        <v>34</v>
      </c>
      <c r="J684" s="4">
        <v>67</v>
      </c>
      <c r="K684" s="4">
        <v>185.1</v>
      </c>
      <c r="L684" s="4">
        <v>29.3</v>
      </c>
      <c r="M684">
        <v>9</v>
      </c>
      <c r="N684" t="s">
        <v>47</v>
      </c>
      <c r="O684">
        <v>6</v>
      </c>
      <c r="P684" s="4">
        <v>111.2</v>
      </c>
      <c r="Q684" t="s">
        <v>30</v>
      </c>
      <c r="R684">
        <v>1</v>
      </c>
      <c r="S684" t="s">
        <v>38</v>
      </c>
      <c r="T684">
        <v>0</v>
      </c>
      <c r="U684">
        <v>0</v>
      </c>
      <c r="V684" t="s">
        <v>64</v>
      </c>
      <c r="W684" t="s">
        <v>39</v>
      </c>
      <c r="X684" s="4">
        <v>4.5999999999999996</v>
      </c>
      <c r="Y684">
        <v>3</v>
      </c>
      <c r="Z684" s="5">
        <v>104.39</v>
      </c>
    </row>
    <row r="685" spans="1:26">
      <c r="A685">
        <v>684</v>
      </c>
      <c r="B685">
        <v>220</v>
      </c>
      <c r="C685" s="2">
        <v>46100</v>
      </c>
      <c r="D685" t="s">
        <v>55</v>
      </c>
      <c r="E685">
        <v>3</v>
      </c>
      <c r="F685" s="3">
        <v>10.37</v>
      </c>
      <c r="G685" t="s">
        <v>27</v>
      </c>
      <c r="H685">
        <v>40</v>
      </c>
      <c r="I685" t="s">
        <v>28</v>
      </c>
      <c r="J685" s="4">
        <v>69.599999999999994</v>
      </c>
      <c r="K685" s="4">
        <v>184.5</v>
      </c>
      <c r="L685" s="4">
        <v>26.7</v>
      </c>
      <c r="M685">
        <v>16</v>
      </c>
      <c r="N685" t="s">
        <v>47</v>
      </c>
      <c r="O685">
        <v>6</v>
      </c>
      <c r="P685" s="4">
        <v>111.2</v>
      </c>
      <c r="Q685" t="s">
        <v>30</v>
      </c>
      <c r="R685">
        <v>1</v>
      </c>
      <c r="S685" t="s">
        <v>38</v>
      </c>
      <c r="T685">
        <v>0</v>
      </c>
      <c r="U685">
        <v>0</v>
      </c>
      <c r="V685" t="s">
        <v>64</v>
      </c>
      <c r="W685" t="s">
        <v>39</v>
      </c>
      <c r="X685" s="4">
        <v>5.2</v>
      </c>
      <c r="Y685">
        <v>4</v>
      </c>
      <c r="Z685" s="5">
        <v>170.78</v>
      </c>
    </row>
    <row r="686" spans="1:26">
      <c r="A686">
        <v>685</v>
      </c>
      <c r="B686">
        <v>220</v>
      </c>
      <c r="C686" s="2">
        <v>46100</v>
      </c>
      <c r="D686" t="s">
        <v>55</v>
      </c>
      <c r="E686">
        <v>3</v>
      </c>
      <c r="F686" s="3">
        <v>10.33</v>
      </c>
      <c r="G686" t="s">
        <v>27</v>
      </c>
      <c r="H686">
        <v>67</v>
      </c>
      <c r="I686" t="s">
        <v>28</v>
      </c>
      <c r="J686" s="4">
        <v>69.599999999999994</v>
      </c>
      <c r="K686" s="4">
        <v>194.3</v>
      </c>
      <c r="L686" s="4">
        <v>28.3</v>
      </c>
      <c r="M686">
        <v>16</v>
      </c>
      <c r="N686" t="s">
        <v>47</v>
      </c>
      <c r="O686">
        <v>6</v>
      </c>
      <c r="P686" s="4">
        <v>111.2</v>
      </c>
      <c r="Q686" t="s">
        <v>30</v>
      </c>
      <c r="R686">
        <v>1</v>
      </c>
      <c r="S686" t="s">
        <v>38</v>
      </c>
      <c r="T686">
        <v>0</v>
      </c>
      <c r="U686">
        <v>0</v>
      </c>
      <c r="V686" t="s">
        <v>64</v>
      </c>
      <c r="W686" t="s">
        <v>39</v>
      </c>
      <c r="X686" s="4">
        <v>8.6</v>
      </c>
      <c r="Y686">
        <v>8</v>
      </c>
      <c r="Z686" s="5">
        <v>292.69</v>
      </c>
    </row>
    <row r="687" spans="1:26">
      <c r="A687">
        <v>686</v>
      </c>
      <c r="B687">
        <v>220</v>
      </c>
      <c r="C687" s="2">
        <v>46100</v>
      </c>
      <c r="D687" t="s">
        <v>55</v>
      </c>
      <c r="E687">
        <v>3</v>
      </c>
      <c r="F687" s="3">
        <v>10.48</v>
      </c>
      <c r="G687" t="s">
        <v>27</v>
      </c>
      <c r="H687">
        <v>35</v>
      </c>
      <c r="I687" t="s">
        <v>28</v>
      </c>
      <c r="J687" s="4">
        <v>70.8</v>
      </c>
      <c r="K687" s="4">
        <v>140.6</v>
      </c>
      <c r="L687" s="4">
        <v>19.7</v>
      </c>
      <c r="M687">
        <v>16</v>
      </c>
      <c r="N687" t="s">
        <v>47</v>
      </c>
      <c r="O687">
        <v>6</v>
      </c>
      <c r="P687" s="4">
        <v>111.2</v>
      </c>
      <c r="Q687" t="s">
        <v>30</v>
      </c>
      <c r="R687">
        <v>1</v>
      </c>
      <c r="S687" t="s">
        <v>38</v>
      </c>
      <c r="T687">
        <v>0</v>
      </c>
      <c r="U687">
        <v>0</v>
      </c>
      <c r="V687" t="s">
        <v>64</v>
      </c>
      <c r="W687" t="s">
        <v>39</v>
      </c>
      <c r="X687" s="4">
        <v>8.5</v>
      </c>
      <c r="Y687">
        <v>6</v>
      </c>
      <c r="Z687" s="5">
        <v>163.46</v>
      </c>
    </row>
    <row r="688" spans="1:26">
      <c r="A688">
        <v>687</v>
      </c>
      <c r="B688">
        <v>220</v>
      </c>
      <c r="C688" s="2">
        <v>46100</v>
      </c>
      <c r="D688" t="s">
        <v>55</v>
      </c>
      <c r="E688">
        <v>3</v>
      </c>
      <c r="F688" s="3">
        <v>10.55</v>
      </c>
      <c r="G688" t="s">
        <v>27</v>
      </c>
      <c r="H688">
        <v>37</v>
      </c>
      <c r="I688" t="s">
        <v>34</v>
      </c>
      <c r="J688" s="4">
        <v>57.7</v>
      </c>
      <c r="K688" s="4">
        <v>110.2</v>
      </c>
      <c r="L688" s="4">
        <v>23.3</v>
      </c>
      <c r="M688">
        <v>14</v>
      </c>
      <c r="N688" t="s">
        <v>47</v>
      </c>
      <c r="O688">
        <v>6</v>
      </c>
      <c r="P688" s="4">
        <v>111.2</v>
      </c>
      <c r="Q688" t="s">
        <v>30</v>
      </c>
      <c r="R688">
        <v>1</v>
      </c>
      <c r="S688" t="s">
        <v>38</v>
      </c>
      <c r="T688">
        <v>0</v>
      </c>
      <c r="U688">
        <v>0</v>
      </c>
      <c r="V688" t="s">
        <v>64</v>
      </c>
      <c r="W688" t="s">
        <v>39</v>
      </c>
      <c r="X688" s="4">
        <v>8.8000000000000007</v>
      </c>
      <c r="Y688">
        <v>7</v>
      </c>
      <c r="Z688" s="5">
        <v>161.94999999999999</v>
      </c>
    </row>
    <row r="689" spans="1:26">
      <c r="A689">
        <v>688</v>
      </c>
      <c r="B689">
        <v>221</v>
      </c>
      <c r="C689" s="2">
        <v>46143</v>
      </c>
      <c r="D689" t="s">
        <v>26</v>
      </c>
      <c r="E689">
        <v>5</v>
      </c>
      <c r="F689" s="3">
        <v>7.88</v>
      </c>
      <c r="G689" t="s">
        <v>27</v>
      </c>
      <c r="H689">
        <v>29</v>
      </c>
      <c r="I689" t="s">
        <v>34</v>
      </c>
      <c r="J689" s="4">
        <v>62</v>
      </c>
      <c r="K689" s="4">
        <v>150.1</v>
      </c>
      <c r="L689" s="4">
        <v>27.6</v>
      </c>
      <c r="M689">
        <v>14</v>
      </c>
      <c r="N689" t="s">
        <v>41</v>
      </c>
      <c r="O689">
        <v>5</v>
      </c>
      <c r="P689" s="4">
        <v>2715.4</v>
      </c>
      <c r="Q689" t="s">
        <v>30</v>
      </c>
      <c r="R689">
        <v>1</v>
      </c>
      <c r="S689" t="s">
        <v>38</v>
      </c>
      <c r="T689">
        <v>0</v>
      </c>
      <c r="U689">
        <v>0</v>
      </c>
      <c r="V689" t="s">
        <v>45</v>
      </c>
      <c r="W689" t="s">
        <v>39</v>
      </c>
      <c r="X689" s="4">
        <v>7.1</v>
      </c>
      <c r="Y689">
        <v>8</v>
      </c>
      <c r="Z689" s="5">
        <v>164.17</v>
      </c>
    </row>
    <row r="690" spans="1:26">
      <c r="A690">
        <v>689</v>
      </c>
      <c r="B690">
        <v>221</v>
      </c>
      <c r="C690" s="2">
        <v>46143</v>
      </c>
      <c r="D690" t="s">
        <v>26</v>
      </c>
      <c r="E690">
        <v>5</v>
      </c>
      <c r="F690" s="3">
        <v>8.0500000000000007</v>
      </c>
      <c r="G690" t="s">
        <v>27</v>
      </c>
      <c r="H690">
        <v>41</v>
      </c>
      <c r="I690" t="s">
        <v>34</v>
      </c>
      <c r="J690" s="4">
        <v>66.3</v>
      </c>
      <c r="K690" s="4">
        <v>152.19999999999999</v>
      </c>
      <c r="L690" s="4">
        <v>24.3</v>
      </c>
      <c r="M690">
        <v>12</v>
      </c>
      <c r="N690" t="s">
        <v>41</v>
      </c>
      <c r="O690">
        <v>5</v>
      </c>
      <c r="P690" s="4">
        <v>2715.4</v>
      </c>
      <c r="Q690" t="s">
        <v>30</v>
      </c>
      <c r="R690">
        <v>1</v>
      </c>
      <c r="S690" t="s">
        <v>38</v>
      </c>
      <c r="T690">
        <v>0</v>
      </c>
      <c r="U690">
        <v>0</v>
      </c>
      <c r="V690" t="s">
        <v>45</v>
      </c>
      <c r="W690" t="s">
        <v>39</v>
      </c>
      <c r="X690" s="4">
        <v>7.8</v>
      </c>
      <c r="Y690">
        <v>8</v>
      </c>
      <c r="Z690" s="5">
        <v>180.4</v>
      </c>
    </row>
    <row r="691" spans="1:26">
      <c r="A691">
        <v>690</v>
      </c>
      <c r="B691">
        <v>221</v>
      </c>
      <c r="C691" s="2">
        <v>46143</v>
      </c>
      <c r="D691" t="s">
        <v>26</v>
      </c>
      <c r="E691">
        <v>5</v>
      </c>
      <c r="F691" s="3">
        <v>8.16</v>
      </c>
      <c r="G691" t="s">
        <v>27</v>
      </c>
      <c r="H691">
        <v>78</v>
      </c>
      <c r="I691" t="s">
        <v>28</v>
      </c>
      <c r="J691" s="4">
        <v>72.7</v>
      </c>
      <c r="K691" s="4">
        <v>169.4</v>
      </c>
      <c r="L691" s="4">
        <v>22.7</v>
      </c>
      <c r="M691">
        <v>17</v>
      </c>
      <c r="N691" t="s">
        <v>41</v>
      </c>
      <c r="O691">
        <v>5</v>
      </c>
      <c r="P691" s="4">
        <v>2715.4</v>
      </c>
      <c r="Q691" t="s">
        <v>30</v>
      </c>
      <c r="R691">
        <v>1</v>
      </c>
      <c r="S691" t="s">
        <v>38</v>
      </c>
      <c r="T691">
        <v>0</v>
      </c>
      <c r="U691">
        <v>0</v>
      </c>
      <c r="V691" t="s">
        <v>45</v>
      </c>
      <c r="W691" t="s">
        <v>39</v>
      </c>
      <c r="X691" s="4">
        <v>8.9</v>
      </c>
      <c r="Y691">
        <v>11</v>
      </c>
      <c r="Z691" s="5">
        <v>224.21</v>
      </c>
    </row>
    <row r="692" spans="1:26">
      <c r="A692">
        <v>691</v>
      </c>
      <c r="B692">
        <v>221</v>
      </c>
      <c r="C692" s="2">
        <v>46143</v>
      </c>
      <c r="D692" t="s">
        <v>26</v>
      </c>
      <c r="E692">
        <v>5</v>
      </c>
      <c r="F692" s="3">
        <v>7.74</v>
      </c>
      <c r="G692" t="s">
        <v>27</v>
      </c>
      <c r="H692">
        <v>22</v>
      </c>
      <c r="I692" t="s">
        <v>34</v>
      </c>
      <c r="J692" s="4">
        <v>65</v>
      </c>
      <c r="K692" s="4">
        <v>104.2</v>
      </c>
      <c r="L692" s="4">
        <v>17</v>
      </c>
      <c r="M692">
        <v>11</v>
      </c>
      <c r="N692" t="s">
        <v>41</v>
      </c>
      <c r="O692">
        <v>5</v>
      </c>
      <c r="P692" s="4">
        <v>2715.4</v>
      </c>
      <c r="Q692" t="s">
        <v>30</v>
      </c>
      <c r="R692">
        <v>1</v>
      </c>
      <c r="S692" t="s">
        <v>38</v>
      </c>
      <c r="T692">
        <v>0</v>
      </c>
      <c r="U692">
        <v>0</v>
      </c>
      <c r="V692" t="s">
        <v>45</v>
      </c>
      <c r="W692" t="s">
        <v>39</v>
      </c>
      <c r="X692" s="4">
        <v>11.4</v>
      </c>
      <c r="Y692">
        <v>7</v>
      </c>
      <c r="Z692" s="5">
        <v>321.43</v>
      </c>
    </row>
    <row r="693" spans="1:26">
      <c r="A693">
        <v>692</v>
      </c>
      <c r="B693">
        <v>221</v>
      </c>
      <c r="C693" s="2">
        <v>46143</v>
      </c>
      <c r="D693" t="s">
        <v>26</v>
      </c>
      <c r="E693">
        <v>5</v>
      </c>
      <c r="F693" s="3">
        <v>8.11</v>
      </c>
      <c r="G693" t="s">
        <v>27</v>
      </c>
      <c r="H693">
        <v>45</v>
      </c>
      <c r="I693" t="s">
        <v>34</v>
      </c>
      <c r="J693" s="4">
        <v>61.4</v>
      </c>
      <c r="K693" s="4">
        <v>130.80000000000001</v>
      </c>
      <c r="L693" s="4">
        <v>24.2</v>
      </c>
      <c r="M693">
        <v>10</v>
      </c>
      <c r="N693" t="s">
        <v>41</v>
      </c>
      <c r="O693">
        <v>5</v>
      </c>
      <c r="P693" s="4">
        <v>2715.4</v>
      </c>
      <c r="Q693" t="s">
        <v>30</v>
      </c>
      <c r="R693">
        <v>1</v>
      </c>
      <c r="S693" t="s">
        <v>38</v>
      </c>
      <c r="T693">
        <v>0</v>
      </c>
      <c r="U693">
        <v>0</v>
      </c>
      <c r="V693" t="s">
        <v>45</v>
      </c>
      <c r="W693" t="s">
        <v>39</v>
      </c>
      <c r="X693" s="4">
        <v>9.5</v>
      </c>
      <c r="Y693">
        <v>13</v>
      </c>
      <c r="Z693" s="5">
        <v>252.6</v>
      </c>
    </row>
    <row r="694" spans="1:26">
      <c r="A694">
        <v>693</v>
      </c>
      <c r="B694">
        <v>222</v>
      </c>
      <c r="C694" s="2">
        <v>46288</v>
      </c>
      <c r="D694" t="s">
        <v>52</v>
      </c>
      <c r="E694">
        <v>9</v>
      </c>
      <c r="F694" s="3">
        <v>11.28</v>
      </c>
      <c r="G694" t="s">
        <v>36</v>
      </c>
      <c r="H694">
        <v>43</v>
      </c>
      <c r="I694" t="s">
        <v>34</v>
      </c>
      <c r="J694" s="4">
        <v>62.9</v>
      </c>
      <c r="K694" s="4">
        <v>163.1</v>
      </c>
      <c r="L694" s="4">
        <v>28.8</v>
      </c>
      <c r="M694">
        <v>14</v>
      </c>
      <c r="N694" t="s">
        <v>60</v>
      </c>
      <c r="O694">
        <v>2</v>
      </c>
      <c r="P694" s="4">
        <v>1641.6</v>
      </c>
      <c r="Q694" t="s">
        <v>42</v>
      </c>
      <c r="R694">
        <v>1</v>
      </c>
      <c r="S694" t="s">
        <v>38</v>
      </c>
      <c r="T694">
        <v>1</v>
      </c>
      <c r="U694">
        <v>0</v>
      </c>
      <c r="V694" t="s">
        <v>32</v>
      </c>
      <c r="W694" t="s">
        <v>49</v>
      </c>
      <c r="X694" s="4">
        <v>7.1</v>
      </c>
      <c r="Y694">
        <v>12</v>
      </c>
      <c r="Z694" s="5">
        <v>289.13</v>
      </c>
    </row>
    <row r="695" spans="1:26">
      <c r="A695">
        <v>694</v>
      </c>
      <c r="B695">
        <v>222</v>
      </c>
      <c r="C695" s="2">
        <v>46288</v>
      </c>
      <c r="D695" t="s">
        <v>52</v>
      </c>
      <c r="E695">
        <v>9</v>
      </c>
      <c r="F695" s="3">
        <v>11.37</v>
      </c>
      <c r="G695" t="s">
        <v>36</v>
      </c>
      <c r="H695">
        <v>42</v>
      </c>
      <c r="I695" t="s">
        <v>34</v>
      </c>
      <c r="J695" s="4">
        <v>62.7</v>
      </c>
      <c r="K695" s="4">
        <v>148.30000000000001</v>
      </c>
      <c r="L695" s="4">
        <v>26.3</v>
      </c>
      <c r="M695">
        <v>14</v>
      </c>
      <c r="N695" t="s">
        <v>60</v>
      </c>
      <c r="O695">
        <v>2</v>
      </c>
      <c r="P695" s="4">
        <v>1641.6</v>
      </c>
      <c r="Q695" t="s">
        <v>42</v>
      </c>
      <c r="R695">
        <v>1</v>
      </c>
      <c r="S695" t="s">
        <v>38</v>
      </c>
      <c r="T695">
        <v>1</v>
      </c>
      <c r="U695">
        <v>0</v>
      </c>
      <c r="V695" t="s">
        <v>32</v>
      </c>
      <c r="W695" t="s">
        <v>49</v>
      </c>
      <c r="X695" s="4">
        <v>6.5</v>
      </c>
      <c r="Y695">
        <v>11</v>
      </c>
      <c r="Z695" s="5">
        <v>144.27000000000001</v>
      </c>
    </row>
    <row r="696" spans="1:26">
      <c r="A696">
        <v>695</v>
      </c>
      <c r="B696">
        <v>223</v>
      </c>
      <c r="C696" s="2">
        <v>46362</v>
      </c>
      <c r="D696" t="s">
        <v>58</v>
      </c>
      <c r="E696">
        <v>12</v>
      </c>
      <c r="F696" s="3">
        <v>10.59</v>
      </c>
      <c r="G696" t="s">
        <v>27</v>
      </c>
      <c r="H696">
        <v>40</v>
      </c>
      <c r="I696" t="s">
        <v>28</v>
      </c>
      <c r="J696" s="4">
        <v>68.400000000000006</v>
      </c>
      <c r="K696" s="4">
        <v>192.7</v>
      </c>
      <c r="L696" s="4">
        <v>29</v>
      </c>
      <c r="M696">
        <v>17</v>
      </c>
      <c r="N696" t="s">
        <v>54</v>
      </c>
      <c r="O696">
        <v>4</v>
      </c>
      <c r="P696" s="4">
        <v>2529.1999999999998</v>
      </c>
      <c r="Q696" t="s">
        <v>42</v>
      </c>
      <c r="R696">
        <v>1</v>
      </c>
      <c r="S696" t="s">
        <v>31</v>
      </c>
      <c r="T696">
        <v>1</v>
      </c>
      <c r="U696">
        <v>0</v>
      </c>
      <c r="V696" t="s">
        <v>32</v>
      </c>
      <c r="W696" t="s">
        <v>43</v>
      </c>
      <c r="X696" s="4">
        <v>10.3</v>
      </c>
      <c r="Y696">
        <v>12</v>
      </c>
      <c r="Z696" s="5">
        <v>312.38</v>
      </c>
    </row>
    <row r="697" spans="1:26">
      <c r="A697">
        <v>696</v>
      </c>
      <c r="B697">
        <v>223</v>
      </c>
      <c r="C697" s="2">
        <v>46362</v>
      </c>
      <c r="D697" t="s">
        <v>58</v>
      </c>
      <c r="E697">
        <v>12</v>
      </c>
      <c r="F697" s="3">
        <v>10.89</v>
      </c>
      <c r="G697" t="s">
        <v>27</v>
      </c>
      <c r="H697">
        <v>57</v>
      </c>
      <c r="I697" t="s">
        <v>34</v>
      </c>
      <c r="J697" s="4">
        <v>63.9</v>
      </c>
      <c r="K697" s="4">
        <v>129</v>
      </c>
      <c r="L697" s="4">
        <v>22.3</v>
      </c>
      <c r="M697">
        <v>20</v>
      </c>
      <c r="N697" t="s">
        <v>54</v>
      </c>
      <c r="O697">
        <v>4</v>
      </c>
      <c r="P697" s="4">
        <v>2529.1999999999998</v>
      </c>
      <c r="Q697" t="s">
        <v>42</v>
      </c>
      <c r="R697">
        <v>1</v>
      </c>
      <c r="S697" t="s">
        <v>31</v>
      </c>
      <c r="T697">
        <v>1</v>
      </c>
      <c r="U697">
        <v>0</v>
      </c>
      <c r="V697" t="s">
        <v>32</v>
      </c>
      <c r="W697" t="s">
        <v>43</v>
      </c>
      <c r="X697" s="4">
        <v>10.7</v>
      </c>
      <c r="Y697">
        <v>10</v>
      </c>
      <c r="Z697" s="5">
        <v>240.96</v>
      </c>
    </row>
    <row r="698" spans="1:26">
      <c r="A698">
        <v>697</v>
      </c>
      <c r="B698">
        <v>223</v>
      </c>
      <c r="C698" s="2">
        <v>46362</v>
      </c>
      <c r="D698" t="s">
        <v>58</v>
      </c>
      <c r="E698">
        <v>12</v>
      </c>
      <c r="F698" s="3">
        <v>10.65</v>
      </c>
      <c r="G698" t="s">
        <v>27</v>
      </c>
      <c r="H698">
        <v>50</v>
      </c>
      <c r="I698" t="s">
        <v>34</v>
      </c>
      <c r="J698" s="4">
        <v>64.3</v>
      </c>
      <c r="K698" s="4">
        <v>189.7</v>
      </c>
      <c r="L698" s="4">
        <v>32.1</v>
      </c>
      <c r="M698">
        <v>16</v>
      </c>
      <c r="N698" t="s">
        <v>54</v>
      </c>
      <c r="O698">
        <v>4</v>
      </c>
      <c r="P698" s="4">
        <v>2529.1999999999998</v>
      </c>
      <c r="Q698" t="s">
        <v>42</v>
      </c>
      <c r="R698">
        <v>1</v>
      </c>
      <c r="S698" t="s">
        <v>31</v>
      </c>
      <c r="T698">
        <v>1</v>
      </c>
      <c r="U698">
        <v>0</v>
      </c>
      <c r="V698" t="s">
        <v>32</v>
      </c>
      <c r="W698" t="s">
        <v>43</v>
      </c>
      <c r="X698" s="4">
        <v>10.3</v>
      </c>
      <c r="Y698">
        <v>9</v>
      </c>
      <c r="Z698" s="5">
        <v>292.98</v>
      </c>
    </row>
    <row r="699" spans="1:26">
      <c r="A699">
        <v>698</v>
      </c>
      <c r="B699">
        <v>223</v>
      </c>
      <c r="C699" s="2">
        <v>46362</v>
      </c>
      <c r="D699" t="s">
        <v>58</v>
      </c>
      <c r="E699">
        <v>12</v>
      </c>
      <c r="F699" s="3">
        <v>10.53</v>
      </c>
      <c r="G699" t="s">
        <v>27</v>
      </c>
      <c r="H699">
        <v>38</v>
      </c>
      <c r="I699" t="s">
        <v>34</v>
      </c>
      <c r="J699" s="4">
        <v>65.7</v>
      </c>
      <c r="K699" s="4">
        <v>160.1</v>
      </c>
      <c r="L699" s="4">
        <v>25.9</v>
      </c>
      <c r="M699">
        <v>14</v>
      </c>
      <c r="N699" t="s">
        <v>54</v>
      </c>
      <c r="O699">
        <v>4</v>
      </c>
      <c r="P699" s="4">
        <v>2529.1999999999998</v>
      </c>
      <c r="Q699" t="s">
        <v>42</v>
      </c>
      <c r="R699">
        <v>1</v>
      </c>
      <c r="S699" t="s">
        <v>31</v>
      </c>
      <c r="T699">
        <v>1</v>
      </c>
      <c r="U699">
        <v>0</v>
      </c>
      <c r="V699" t="s">
        <v>32</v>
      </c>
      <c r="W699" t="s">
        <v>43</v>
      </c>
      <c r="X699" s="4">
        <v>9.5</v>
      </c>
      <c r="Y699">
        <v>14</v>
      </c>
      <c r="Z699" s="5">
        <v>271.5</v>
      </c>
    </row>
    <row r="700" spans="1:26">
      <c r="A700">
        <v>699</v>
      </c>
      <c r="B700">
        <v>224</v>
      </c>
      <c r="C700" s="2">
        <v>46238</v>
      </c>
      <c r="D700" t="s">
        <v>35</v>
      </c>
      <c r="E700">
        <v>8</v>
      </c>
      <c r="F700" s="3">
        <v>10.85</v>
      </c>
      <c r="G700" t="s">
        <v>27</v>
      </c>
      <c r="H700">
        <v>53</v>
      </c>
      <c r="I700" t="s">
        <v>28</v>
      </c>
      <c r="J700" s="4">
        <v>66.8</v>
      </c>
      <c r="K700" s="4">
        <v>183.9</v>
      </c>
      <c r="L700" s="4">
        <v>28.9</v>
      </c>
      <c r="M700">
        <v>14</v>
      </c>
      <c r="N700" t="s">
        <v>50</v>
      </c>
      <c r="O700">
        <v>2</v>
      </c>
      <c r="P700" s="4">
        <v>317.7</v>
      </c>
      <c r="Q700" t="s">
        <v>42</v>
      </c>
      <c r="R700">
        <v>1</v>
      </c>
      <c r="S700" t="s">
        <v>38</v>
      </c>
      <c r="T700">
        <v>0</v>
      </c>
      <c r="U700">
        <v>0</v>
      </c>
      <c r="V700" t="s">
        <v>32</v>
      </c>
      <c r="W700" t="s">
        <v>39</v>
      </c>
      <c r="X700" s="4">
        <v>8.6</v>
      </c>
      <c r="Y700">
        <v>9</v>
      </c>
      <c r="Z700" s="5">
        <v>127.51</v>
      </c>
    </row>
    <row r="701" spans="1:26">
      <c r="A701">
        <v>700</v>
      </c>
      <c r="B701">
        <v>224</v>
      </c>
      <c r="C701" s="2">
        <v>46238</v>
      </c>
      <c r="D701" t="s">
        <v>35</v>
      </c>
      <c r="E701">
        <v>8</v>
      </c>
      <c r="F701" s="3">
        <v>10.71</v>
      </c>
      <c r="G701" t="s">
        <v>27</v>
      </c>
      <c r="H701">
        <v>59</v>
      </c>
      <c r="I701" t="s">
        <v>28</v>
      </c>
      <c r="J701" s="4">
        <v>73</v>
      </c>
      <c r="K701" s="4">
        <v>202.3</v>
      </c>
      <c r="L701" s="4">
        <v>26.8</v>
      </c>
      <c r="M701">
        <v>15</v>
      </c>
      <c r="N701" t="s">
        <v>50</v>
      </c>
      <c r="O701">
        <v>2</v>
      </c>
      <c r="P701" s="4">
        <v>317.7</v>
      </c>
      <c r="Q701" t="s">
        <v>42</v>
      </c>
      <c r="R701">
        <v>1</v>
      </c>
      <c r="S701" t="s">
        <v>38</v>
      </c>
      <c r="T701">
        <v>0</v>
      </c>
      <c r="U701">
        <v>0</v>
      </c>
      <c r="V701" t="s">
        <v>32</v>
      </c>
      <c r="W701" t="s">
        <v>39</v>
      </c>
      <c r="X701" s="4">
        <v>7.1</v>
      </c>
      <c r="Y701">
        <v>8</v>
      </c>
      <c r="Z701" s="5">
        <v>270.08</v>
      </c>
    </row>
    <row r="702" spans="1:26">
      <c r="A702">
        <v>701</v>
      </c>
      <c r="B702">
        <v>225</v>
      </c>
      <c r="C702" s="2">
        <v>46172</v>
      </c>
      <c r="D702" t="s">
        <v>40</v>
      </c>
      <c r="E702">
        <v>5</v>
      </c>
      <c r="F702" s="3">
        <v>13.31</v>
      </c>
      <c r="G702" t="s">
        <v>36</v>
      </c>
      <c r="H702">
        <v>27</v>
      </c>
      <c r="I702" t="s">
        <v>34</v>
      </c>
      <c r="J702" s="4">
        <v>64.599999999999994</v>
      </c>
      <c r="K702" s="4">
        <v>126.5</v>
      </c>
      <c r="L702" s="4">
        <v>21.2</v>
      </c>
      <c r="M702">
        <v>18</v>
      </c>
      <c r="N702" t="s">
        <v>59</v>
      </c>
      <c r="O702">
        <v>4</v>
      </c>
      <c r="P702" s="4">
        <v>1172.4000000000001</v>
      </c>
      <c r="Q702" t="s">
        <v>48</v>
      </c>
      <c r="R702">
        <v>0</v>
      </c>
      <c r="S702" t="s">
        <v>38</v>
      </c>
      <c r="T702">
        <v>0</v>
      </c>
      <c r="U702">
        <v>0</v>
      </c>
      <c r="V702" t="s">
        <v>45</v>
      </c>
      <c r="W702" t="s">
        <v>49</v>
      </c>
      <c r="X702" s="4">
        <v>8.1999999999999993</v>
      </c>
      <c r="Y702">
        <v>11</v>
      </c>
      <c r="Z702" s="5">
        <v>308.24</v>
      </c>
    </row>
    <row r="703" spans="1:26">
      <c r="A703">
        <v>702</v>
      </c>
      <c r="B703">
        <v>225</v>
      </c>
      <c r="C703" s="2">
        <v>46172</v>
      </c>
      <c r="D703" t="s">
        <v>40</v>
      </c>
      <c r="E703">
        <v>5</v>
      </c>
      <c r="F703" s="3">
        <v>13.27</v>
      </c>
      <c r="G703" t="s">
        <v>36</v>
      </c>
      <c r="H703">
        <v>37</v>
      </c>
      <c r="I703" t="s">
        <v>28</v>
      </c>
      <c r="J703" s="4">
        <v>70.2</v>
      </c>
      <c r="K703" s="4">
        <v>203.2</v>
      </c>
      <c r="L703" s="4">
        <v>28.7</v>
      </c>
      <c r="M703">
        <v>19</v>
      </c>
      <c r="N703" t="s">
        <v>59</v>
      </c>
      <c r="O703">
        <v>4</v>
      </c>
      <c r="P703" s="4">
        <v>1172.4000000000001</v>
      </c>
      <c r="Q703" t="s">
        <v>48</v>
      </c>
      <c r="R703">
        <v>0</v>
      </c>
      <c r="S703" t="s">
        <v>38</v>
      </c>
      <c r="T703">
        <v>0</v>
      </c>
      <c r="U703">
        <v>0</v>
      </c>
      <c r="V703" t="s">
        <v>45</v>
      </c>
      <c r="W703" t="s">
        <v>49</v>
      </c>
      <c r="X703" s="4">
        <v>6.2</v>
      </c>
      <c r="Y703">
        <v>6</v>
      </c>
      <c r="Z703" s="5">
        <v>278.23</v>
      </c>
    </row>
    <row r="704" spans="1:26">
      <c r="A704">
        <v>703</v>
      </c>
      <c r="B704">
        <v>225</v>
      </c>
      <c r="C704" s="2">
        <v>46172</v>
      </c>
      <c r="D704" t="s">
        <v>40</v>
      </c>
      <c r="E704">
        <v>5</v>
      </c>
      <c r="F704" s="3">
        <v>13.05</v>
      </c>
      <c r="G704" t="s">
        <v>36</v>
      </c>
      <c r="H704">
        <v>51</v>
      </c>
      <c r="I704" t="s">
        <v>34</v>
      </c>
      <c r="J704" s="4">
        <v>56.9</v>
      </c>
      <c r="K704" s="4">
        <v>118.9</v>
      </c>
      <c r="L704" s="4">
        <v>25.7</v>
      </c>
      <c r="M704">
        <v>18</v>
      </c>
      <c r="N704" t="s">
        <v>59</v>
      </c>
      <c r="O704">
        <v>4</v>
      </c>
      <c r="P704" s="4">
        <v>1172.4000000000001</v>
      </c>
      <c r="Q704" t="s">
        <v>48</v>
      </c>
      <c r="R704">
        <v>0</v>
      </c>
      <c r="S704" t="s">
        <v>38</v>
      </c>
      <c r="T704">
        <v>0</v>
      </c>
      <c r="U704">
        <v>0</v>
      </c>
      <c r="V704" t="s">
        <v>45</v>
      </c>
      <c r="W704" t="s">
        <v>49</v>
      </c>
      <c r="X704" s="4">
        <v>7</v>
      </c>
      <c r="Y704">
        <v>9</v>
      </c>
      <c r="Z704" s="5">
        <v>170.92</v>
      </c>
    </row>
    <row r="705" spans="1:26">
      <c r="A705">
        <v>704</v>
      </c>
      <c r="B705">
        <v>225</v>
      </c>
      <c r="C705" s="2">
        <v>46172</v>
      </c>
      <c r="D705" t="s">
        <v>40</v>
      </c>
      <c r="E705">
        <v>5</v>
      </c>
      <c r="F705" s="3">
        <v>13.17</v>
      </c>
      <c r="G705" t="s">
        <v>36</v>
      </c>
      <c r="H705">
        <v>64</v>
      </c>
      <c r="I705" t="s">
        <v>28</v>
      </c>
      <c r="J705" s="4">
        <v>69.400000000000006</v>
      </c>
      <c r="K705" s="4">
        <v>183.5</v>
      </c>
      <c r="L705" s="4">
        <v>26.8</v>
      </c>
      <c r="M705">
        <v>16</v>
      </c>
      <c r="N705" t="s">
        <v>59</v>
      </c>
      <c r="O705">
        <v>4</v>
      </c>
      <c r="P705" s="4">
        <v>1172.4000000000001</v>
      </c>
      <c r="Q705" t="s">
        <v>48</v>
      </c>
      <c r="R705">
        <v>0</v>
      </c>
      <c r="S705" t="s">
        <v>38</v>
      </c>
      <c r="T705">
        <v>0</v>
      </c>
      <c r="U705">
        <v>0</v>
      </c>
      <c r="V705" t="s">
        <v>45</v>
      </c>
      <c r="W705" t="s">
        <v>49</v>
      </c>
      <c r="X705" s="4">
        <v>9.9</v>
      </c>
      <c r="Y705">
        <v>12</v>
      </c>
      <c r="Z705" s="5">
        <v>433.98</v>
      </c>
    </row>
    <row r="706" spans="1:26">
      <c r="A706">
        <v>705</v>
      </c>
      <c r="B706">
        <v>226</v>
      </c>
      <c r="C706" s="2">
        <v>46318</v>
      </c>
      <c r="D706" t="s">
        <v>26</v>
      </c>
      <c r="E706">
        <v>10</v>
      </c>
      <c r="F706" s="3">
        <v>12.28</v>
      </c>
      <c r="G706" t="s">
        <v>36</v>
      </c>
      <c r="H706">
        <v>45</v>
      </c>
      <c r="I706" t="s">
        <v>28</v>
      </c>
      <c r="J706" s="4">
        <v>62.9</v>
      </c>
      <c r="K706" s="4">
        <v>125.4</v>
      </c>
      <c r="L706" s="4">
        <v>22.2</v>
      </c>
      <c r="M706">
        <v>12</v>
      </c>
      <c r="N706" t="s">
        <v>47</v>
      </c>
      <c r="O706">
        <v>5</v>
      </c>
      <c r="P706" s="4">
        <v>64</v>
      </c>
      <c r="Q706" t="s">
        <v>30</v>
      </c>
      <c r="R706">
        <v>0</v>
      </c>
      <c r="S706" t="s">
        <v>44</v>
      </c>
      <c r="T706">
        <v>0</v>
      </c>
      <c r="U706">
        <v>0</v>
      </c>
      <c r="V706" t="s">
        <v>32</v>
      </c>
      <c r="W706" t="s">
        <v>43</v>
      </c>
      <c r="X706" s="4">
        <v>5.9</v>
      </c>
      <c r="Y706">
        <v>7</v>
      </c>
      <c r="Z706" s="5">
        <v>266.18</v>
      </c>
    </row>
    <row r="707" spans="1:26">
      <c r="A707">
        <v>706</v>
      </c>
      <c r="B707">
        <v>226</v>
      </c>
      <c r="C707" s="2">
        <v>46318</v>
      </c>
      <c r="D707" t="s">
        <v>26</v>
      </c>
      <c r="E707">
        <v>10</v>
      </c>
      <c r="F707" s="3">
        <v>12.4</v>
      </c>
      <c r="G707" t="s">
        <v>36</v>
      </c>
      <c r="H707">
        <v>29</v>
      </c>
      <c r="I707" t="s">
        <v>28</v>
      </c>
      <c r="J707" s="4">
        <v>68.400000000000006</v>
      </c>
      <c r="K707" s="4">
        <v>165.9</v>
      </c>
      <c r="L707" s="4">
        <v>25.1</v>
      </c>
      <c r="M707">
        <v>11</v>
      </c>
      <c r="N707" t="s">
        <v>47</v>
      </c>
      <c r="O707">
        <v>5</v>
      </c>
      <c r="P707" s="4">
        <v>64</v>
      </c>
      <c r="Q707" t="s">
        <v>30</v>
      </c>
      <c r="R707">
        <v>0</v>
      </c>
      <c r="S707" t="s">
        <v>44</v>
      </c>
      <c r="T707">
        <v>0</v>
      </c>
      <c r="U707">
        <v>0</v>
      </c>
      <c r="V707" t="s">
        <v>32</v>
      </c>
      <c r="W707" t="s">
        <v>43</v>
      </c>
      <c r="X707" s="4">
        <v>8</v>
      </c>
      <c r="Y707">
        <v>6</v>
      </c>
      <c r="Z707" s="5">
        <v>129.11000000000001</v>
      </c>
    </row>
    <row r="708" spans="1:26">
      <c r="A708">
        <v>707</v>
      </c>
      <c r="B708">
        <v>226</v>
      </c>
      <c r="C708" s="2">
        <v>46318</v>
      </c>
      <c r="D708" t="s">
        <v>26</v>
      </c>
      <c r="E708">
        <v>10</v>
      </c>
      <c r="F708" s="3">
        <v>12.28</v>
      </c>
      <c r="G708" t="s">
        <v>36</v>
      </c>
      <c r="H708">
        <v>71</v>
      </c>
      <c r="I708" t="s">
        <v>34</v>
      </c>
      <c r="J708" s="4">
        <v>62.3</v>
      </c>
      <c r="K708" s="4">
        <v>159.6</v>
      </c>
      <c r="L708" s="4">
        <v>28.9</v>
      </c>
      <c r="M708">
        <v>15</v>
      </c>
      <c r="N708" t="s">
        <v>47</v>
      </c>
      <c r="O708">
        <v>5</v>
      </c>
      <c r="P708" s="4">
        <v>64</v>
      </c>
      <c r="Q708" t="s">
        <v>30</v>
      </c>
      <c r="R708">
        <v>0</v>
      </c>
      <c r="S708" t="s">
        <v>44</v>
      </c>
      <c r="T708">
        <v>0</v>
      </c>
      <c r="U708">
        <v>0</v>
      </c>
      <c r="V708" t="s">
        <v>32</v>
      </c>
      <c r="W708" t="s">
        <v>43</v>
      </c>
      <c r="X708" s="4">
        <v>8.9</v>
      </c>
      <c r="Y708">
        <v>2</v>
      </c>
      <c r="Z708" s="5">
        <v>138.97999999999999</v>
      </c>
    </row>
    <row r="709" spans="1:26">
      <c r="A709">
        <v>708</v>
      </c>
      <c r="B709">
        <v>226</v>
      </c>
      <c r="C709" s="2">
        <v>46318</v>
      </c>
      <c r="D709" t="s">
        <v>26</v>
      </c>
      <c r="E709">
        <v>10</v>
      </c>
      <c r="F709" s="3">
        <v>12.08</v>
      </c>
      <c r="G709" t="s">
        <v>36</v>
      </c>
      <c r="H709">
        <v>68</v>
      </c>
      <c r="I709" t="s">
        <v>34</v>
      </c>
      <c r="J709" s="4">
        <v>61.5</v>
      </c>
      <c r="K709" s="4">
        <v>118</v>
      </c>
      <c r="L709" s="4">
        <v>21.9</v>
      </c>
      <c r="M709">
        <v>11</v>
      </c>
      <c r="N709" t="s">
        <v>47</v>
      </c>
      <c r="O709">
        <v>5</v>
      </c>
      <c r="P709" s="4">
        <v>64</v>
      </c>
      <c r="Q709" t="s">
        <v>30</v>
      </c>
      <c r="R709">
        <v>0</v>
      </c>
      <c r="S709" t="s">
        <v>44</v>
      </c>
      <c r="T709">
        <v>0</v>
      </c>
      <c r="U709">
        <v>0</v>
      </c>
      <c r="V709" t="s">
        <v>32</v>
      </c>
      <c r="W709" t="s">
        <v>43</v>
      </c>
      <c r="X709" s="4">
        <v>3.5</v>
      </c>
      <c r="Y709">
        <v>6</v>
      </c>
      <c r="Z709" s="5">
        <v>164.12</v>
      </c>
    </row>
    <row r="710" spans="1:26">
      <c r="A710">
        <v>709</v>
      </c>
      <c r="B710">
        <v>226</v>
      </c>
      <c r="C710" s="2">
        <v>46318</v>
      </c>
      <c r="D710" t="s">
        <v>26</v>
      </c>
      <c r="E710">
        <v>10</v>
      </c>
      <c r="F710" s="3">
        <v>12.18</v>
      </c>
      <c r="G710" t="s">
        <v>36</v>
      </c>
      <c r="H710">
        <v>18</v>
      </c>
      <c r="I710" t="s">
        <v>34</v>
      </c>
      <c r="J710" s="4">
        <v>64.400000000000006</v>
      </c>
      <c r="K710" s="4">
        <v>170.9</v>
      </c>
      <c r="L710" s="4">
        <v>28.8</v>
      </c>
      <c r="M710">
        <v>10</v>
      </c>
      <c r="N710" t="s">
        <v>47</v>
      </c>
      <c r="O710">
        <v>5</v>
      </c>
      <c r="P710" s="4">
        <v>64</v>
      </c>
      <c r="Q710" t="s">
        <v>30</v>
      </c>
      <c r="R710">
        <v>0</v>
      </c>
      <c r="S710" t="s">
        <v>44</v>
      </c>
      <c r="T710">
        <v>0</v>
      </c>
      <c r="U710">
        <v>0</v>
      </c>
      <c r="V710" t="s">
        <v>32</v>
      </c>
      <c r="W710" t="s">
        <v>43</v>
      </c>
      <c r="X710" s="4">
        <v>8.4</v>
      </c>
      <c r="Y710">
        <v>9</v>
      </c>
      <c r="Z710" s="5">
        <v>152.87</v>
      </c>
    </row>
    <row r="711" spans="1:26">
      <c r="A711">
        <v>710</v>
      </c>
      <c r="B711">
        <v>227</v>
      </c>
      <c r="C711" s="2">
        <v>46356</v>
      </c>
      <c r="D711" t="s">
        <v>46</v>
      </c>
      <c r="E711">
        <v>11</v>
      </c>
      <c r="F711" s="3">
        <v>10.16</v>
      </c>
      <c r="G711" t="s">
        <v>27</v>
      </c>
      <c r="H711">
        <v>33</v>
      </c>
      <c r="I711" t="s">
        <v>34</v>
      </c>
      <c r="J711" s="4">
        <v>65</v>
      </c>
      <c r="K711" s="4">
        <v>149.5</v>
      </c>
      <c r="L711" s="4">
        <v>24.8</v>
      </c>
      <c r="M711">
        <v>12</v>
      </c>
      <c r="N711" t="s">
        <v>61</v>
      </c>
      <c r="O711">
        <v>1</v>
      </c>
      <c r="P711" s="4">
        <v>1540.8</v>
      </c>
      <c r="Q711" t="s">
        <v>30</v>
      </c>
      <c r="R711">
        <v>1</v>
      </c>
      <c r="S711" t="s">
        <v>44</v>
      </c>
      <c r="T711">
        <v>1</v>
      </c>
      <c r="U711">
        <v>0</v>
      </c>
      <c r="V711" t="s">
        <v>32</v>
      </c>
      <c r="W711" t="s">
        <v>39</v>
      </c>
      <c r="X711" s="4">
        <v>10.9</v>
      </c>
      <c r="Y711">
        <v>10</v>
      </c>
      <c r="Z711" s="5">
        <v>248.35</v>
      </c>
    </row>
    <row r="712" spans="1:26">
      <c r="A712">
        <v>711</v>
      </c>
      <c r="B712">
        <v>228</v>
      </c>
      <c r="C712" s="2">
        <v>46071</v>
      </c>
      <c r="D712" t="s">
        <v>52</v>
      </c>
      <c r="E712">
        <v>2</v>
      </c>
      <c r="F712" s="3">
        <v>10.83</v>
      </c>
      <c r="G712" t="s">
        <v>27</v>
      </c>
      <c r="H712">
        <v>49</v>
      </c>
      <c r="I712" t="s">
        <v>34</v>
      </c>
      <c r="J712" s="4">
        <v>62.5</v>
      </c>
      <c r="K712" s="4">
        <v>182</v>
      </c>
      <c r="L712" s="4">
        <v>32.5</v>
      </c>
      <c r="M712">
        <v>16</v>
      </c>
      <c r="N712" t="s">
        <v>47</v>
      </c>
      <c r="O712">
        <v>1</v>
      </c>
      <c r="P712" s="4">
        <v>38.9</v>
      </c>
      <c r="Q712" t="s">
        <v>42</v>
      </c>
      <c r="R712">
        <v>0</v>
      </c>
      <c r="S712" t="s">
        <v>31</v>
      </c>
      <c r="T712">
        <v>0</v>
      </c>
      <c r="U712">
        <v>0</v>
      </c>
      <c r="V712" t="s">
        <v>32</v>
      </c>
      <c r="W712" t="s">
        <v>43</v>
      </c>
      <c r="X712" s="4">
        <v>6.3</v>
      </c>
      <c r="Y712">
        <v>12</v>
      </c>
      <c r="Z712" s="5">
        <v>100.78</v>
      </c>
    </row>
    <row r="713" spans="1:26">
      <c r="A713">
        <v>712</v>
      </c>
      <c r="B713">
        <v>229</v>
      </c>
      <c r="C713" s="2">
        <v>46361</v>
      </c>
      <c r="D713" t="s">
        <v>40</v>
      </c>
      <c r="E713">
        <v>12</v>
      </c>
      <c r="F713" s="3">
        <v>10.02</v>
      </c>
      <c r="G713" t="s">
        <v>27</v>
      </c>
      <c r="H713">
        <v>5</v>
      </c>
      <c r="I713" t="s">
        <v>28</v>
      </c>
      <c r="J713" s="4">
        <v>53.7</v>
      </c>
      <c r="K713" s="4">
        <v>82.4</v>
      </c>
      <c r="L713" s="4">
        <v>20.3</v>
      </c>
      <c r="M713">
        <v>16</v>
      </c>
      <c r="N713" t="s">
        <v>56</v>
      </c>
      <c r="O713">
        <v>4</v>
      </c>
      <c r="P713" s="4">
        <v>432.9</v>
      </c>
      <c r="Q713" t="s">
        <v>42</v>
      </c>
      <c r="R713">
        <v>0</v>
      </c>
      <c r="S713" t="s">
        <v>44</v>
      </c>
      <c r="T713">
        <v>0</v>
      </c>
      <c r="U713">
        <v>0</v>
      </c>
      <c r="V713" t="s">
        <v>32</v>
      </c>
      <c r="W713" t="s">
        <v>57</v>
      </c>
      <c r="X713" s="4">
        <v>9</v>
      </c>
      <c r="Y713">
        <v>9</v>
      </c>
      <c r="Z713" s="5">
        <v>245.3</v>
      </c>
    </row>
    <row r="714" spans="1:26">
      <c r="A714">
        <v>713</v>
      </c>
      <c r="B714">
        <v>229</v>
      </c>
      <c r="C714" s="2">
        <v>46361</v>
      </c>
      <c r="D714" t="s">
        <v>40</v>
      </c>
      <c r="E714">
        <v>12</v>
      </c>
      <c r="F714" s="3">
        <v>10.14</v>
      </c>
      <c r="G714" t="s">
        <v>27</v>
      </c>
      <c r="H714">
        <v>38</v>
      </c>
      <c r="I714" t="s">
        <v>34</v>
      </c>
      <c r="J714" s="4">
        <v>61.1</v>
      </c>
      <c r="K714" s="4">
        <v>132.1</v>
      </c>
      <c r="L714" s="4">
        <v>24.7</v>
      </c>
      <c r="M714">
        <v>14</v>
      </c>
      <c r="N714" t="s">
        <v>56</v>
      </c>
      <c r="O714">
        <v>4</v>
      </c>
      <c r="P714" s="4">
        <v>432.9</v>
      </c>
      <c r="Q714" t="s">
        <v>42</v>
      </c>
      <c r="R714">
        <v>0</v>
      </c>
      <c r="S714" t="s">
        <v>44</v>
      </c>
      <c r="T714">
        <v>0</v>
      </c>
      <c r="U714">
        <v>0</v>
      </c>
      <c r="V714" t="s">
        <v>32</v>
      </c>
      <c r="W714" t="s">
        <v>57</v>
      </c>
      <c r="X714" s="4">
        <v>7.1</v>
      </c>
      <c r="Y714">
        <v>6</v>
      </c>
      <c r="Z714" s="5">
        <v>157.86000000000001</v>
      </c>
    </row>
    <row r="715" spans="1:26">
      <c r="A715">
        <v>714</v>
      </c>
      <c r="B715">
        <v>229</v>
      </c>
      <c r="C715" s="2">
        <v>46361</v>
      </c>
      <c r="D715" t="s">
        <v>40</v>
      </c>
      <c r="E715">
        <v>12</v>
      </c>
      <c r="F715" s="3">
        <v>10.18</v>
      </c>
      <c r="G715" t="s">
        <v>27</v>
      </c>
      <c r="H715">
        <v>6</v>
      </c>
      <c r="I715" t="s">
        <v>28</v>
      </c>
      <c r="J715" s="4">
        <v>59.2</v>
      </c>
      <c r="K715" s="4">
        <v>81.7</v>
      </c>
      <c r="L715" s="4">
        <v>16.5</v>
      </c>
      <c r="M715">
        <v>12</v>
      </c>
      <c r="N715" t="s">
        <v>56</v>
      </c>
      <c r="O715">
        <v>4</v>
      </c>
      <c r="P715" s="4">
        <v>432.9</v>
      </c>
      <c r="Q715" t="s">
        <v>42</v>
      </c>
      <c r="R715">
        <v>0</v>
      </c>
      <c r="S715" t="s">
        <v>44</v>
      </c>
      <c r="T715">
        <v>0</v>
      </c>
      <c r="U715">
        <v>0</v>
      </c>
      <c r="V715" t="s">
        <v>32</v>
      </c>
      <c r="W715" t="s">
        <v>57</v>
      </c>
      <c r="X715" s="4">
        <v>8</v>
      </c>
      <c r="Y715">
        <v>7</v>
      </c>
      <c r="Z715" s="5">
        <v>230.15</v>
      </c>
    </row>
    <row r="716" spans="1:26">
      <c r="A716">
        <v>715</v>
      </c>
      <c r="B716">
        <v>229</v>
      </c>
      <c r="C716" s="2">
        <v>46361</v>
      </c>
      <c r="D716" t="s">
        <v>40</v>
      </c>
      <c r="E716">
        <v>12</v>
      </c>
      <c r="F716" s="3">
        <v>10.07</v>
      </c>
      <c r="G716" t="s">
        <v>27</v>
      </c>
      <c r="H716">
        <v>7</v>
      </c>
      <c r="I716" t="s">
        <v>34</v>
      </c>
      <c r="J716" s="4">
        <v>61.6</v>
      </c>
      <c r="K716" s="4">
        <v>89.1</v>
      </c>
      <c r="L716" s="4">
        <v>16.600000000000001</v>
      </c>
      <c r="M716">
        <v>13</v>
      </c>
      <c r="N716" t="s">
        <v>56</v>
      </c>
      <c r="O716">
        <v>4</v>
      </c>
      <c r="P716" s="4">
        <v>432.9</v>
      </c>
      <c r="Q716" t="s">
        <v>42</v>
      </c>
      <c r="R716">
        <v>0</v>
      </c>
      <c r="S716" t="s">
        <v>44</v>
      </c>
      <c r="T716">
        <v>0</v>
      </c>
      <c r="U716">
        <v>0</v>
      </c>
      <c r="V716" t="s">
        <v>32</v>
      </c>
      <c r="W716" t="s">
        <v>57</v>
      </c>
      <c r="X716" s="4">
        <v>6.3</v>
      </c>
      <c r="Y716">
        <v>2</v>
      </c>
      <c r="Z716" s="5">
        <v>87.96</v>
      </c>
    </row>
    <row r="717" spans="1:26">
      <c r="A717">
        <v>716</v>
      </c>
      <c r="B717">
        <v>230</v>
      </c>
      <c r="C717" s="2">
        <v>46155</v>
      </c>
      <c r="D717" t="s">
        <v>52</v>
      </c>
      <c r="E717">
        <v>5</v>
      </c>
      <c r="F717" s="3">
        <v>9.16</v>
      </c>
      <c r="G717" t="s">
        <v>27</v>
      </c>
      <c r="H717">
        <v>40</v>
      </c>
      <c r="I717" t="s">
        <v>28</v>
      </c>
      <c r="J717" s="4">
        <v>72.599999999999994</v>
      </c>
      <c r="K717" s="4">
        <v>190.6</v>
      </c>
      <c r="L717" s="4">
        <v>25.4</v>
      </c>
      <c r="M717">
        <v>14</v>
      </c>
      <c r="N717" t="s">
        <v>47</v>
      </c>
      <c r="O717">
        <v>3</v>
      </c>
      <c r="P717" s="4">
        <v>86.7</v>
      </c>
      <c r="Q717" t="s">
        <v>42</v>
      </c>
      <c r="R717">
        <v>1</v>
      </c>
      <c r="S717" t="s">
        <v>44</v>
      </c>
      <c r="T717">
        <v>1</v>
      </c>
      <c r="U717">
        <v>0</v>
      </c>
      <c r="V717" t="s">
        <v>32</v>
      </c>
      <c r="W717" t="s">
        <v>39</v>
      </c>
      <c r="X717" s="4">
        <v>6.8</v>
      </c>
      <c r="Y717">
        <v>9</v>
      </c>
      <c r="Z717" s="5">
        <v>112.99</v>
      </c>
    </row>
    <row r="718" spans="1:26">
      <c r="A718">
        <v>717</v>
      </c>
      <c r="B718">
        <v>230</v>
      </c>
      <c r="C718" s="2">
        <v>46155</v>
      </c>
      <c r="D718" t="s">
        <v>52</v>
      </c>
      <c r="E718">
        <v>5</v>
      </c>
      <c r="F718" s="3">
        <v>9.26</v>
      </c>
      <c r="G718" t="s">
        <v>27</v>
      </c>
      <c r="H718">
        <v>42</v>
      </c>
      <c r="I718" t="s">
        <v>34</v>
      </c>
      <c r="J718" s="4">
        <v>62.1</v>
      </c>
      <c r="K718" s="4">
        <v>155.69999999999999</v>
      </c>
      <c r="L718" s="4">
        <v>28.2</v>
      </c>
      <c r="M718">
        <v>14</v>
      </c>
      <c r="N718" t="s">
        <v>47</v>
      </c>
      <c r="O718">
        <v>3</v>
      </c>
      <c r="P718" s="4">
        <v>86.7</v>
      </c>
      <c r="Q718" t="s">
        <v>42</v>
      </c>
      <c r="R718">
        <v>1</v>
      </c>
      <c r="S718" t="s">
        <v>44</v>
      </c>
      <c r="T718">
        <v>1</v>
      </c>
      <c r="U718">
        <v>0</v>
      </c>
      <c r="V718" t="s">
        <v>32</v>
      </c>
      <c r="W718" t="s">
        <v>39</v>
      </c>
      <c r="X718" s="4">
        <v>6.4</v>
      </c>
      <c r="Y718">
        <v>10</v>
      </c>
      <c r="Z718" s="5">
        <v>160.27000000000001</v>
      </c>
    </row>
    <row r="719" spans="1:26">
      <c r="A719">
        <v>718</v>
      </c>
      <c r="B719">
        <v>230</v>
      </c>
      <c r="C719" s="2">
        <v>46155</v>
      </c>
      <c r="D719" t="s">
        <v>52</v>
      </c>
      <c r="E719">
        <v>5</v>
      </c>
      <c r="F719" s="3">
        <v>9.0299999999999994</v>
      </c>
      <c r="G719" t="s">
        <v>27</v>
      </c>
      <c r="H719">
        <v>25</v>
      </c>
      <c r="I719" t="s">
        <v>34</v>
      </c>
      <c r="J719" s="4">
        <v>67.8</v>
      </c>
      <c r="K719" s="4">
        <v>152.80000000000001</v>
      </c>
      <c r="L719" s="4">
        <v>23.3</v>
      </c>
      <c r="M719">
        <v>11</v>
      </c>
      <c r="N719" t="s">
        <v>47</v>
      </c>
      <c r="O719">
        <v>3</v>
      </c>
      <c r="P719" s="4">
        <v>86.7</v>
      </c>
      <c r="Q719" t="s">
        <v>42</v>
      </c>
      <c r="R719">
        <v>1</v>
      </c>
      <c r="S719" t="s">
        <v>44</v>
      </c>
      <c r="T719">
        <v>1</v>
      </c>
      <c r="U719">
        <v>0</v>
      </c>
      <c r="V719" t="s">
        <v>32</v>
      </c>
      <c r="W719" t="s">
        <v>39</v>
      </c>
      <c r="X719" s="4">
        <v>10.6</v>
      </c>
      <c r="Y719">
        <v>17</v>
      </c>
      <c r="Z719" s="5">
        <v>325.73</v>
      </c>
    </row>
    <row r="720" spans="1:26">
      <c r="A720">
        <v>719</v>
      </c>
      <c r="B720">
        <v>231</v>
      </c>
      <c r="C720" s="2">
        <v>46287</v>
      </c>
      <c r="D720" t="s">
        <v>35</v>
      </c>
      <c r="E720">
        <v>9</v>
      </c>
      <c r="F720" s="3">
        <v>11.28</v>
      </c>
      <c r="G720" t="s">
        <v>36</v>
      </c>
      <c r="H720">
        <v>34</v>
      </c>
      <c r="I720" t="s">
        <v>34</v>
      </c>
      <c r="J720" s="4">
        <v>63.4</v>
      </c>
      <c r="K720" s="4">
        <v>145.5</v>
      </c>
      <c r="L720" s="4">
        <v>25.6</v>
      </c>
      <c r="M720">
        <v>12</v>
      </c>
      <c r="N720" t="s">
        <v>37</v>
      </c>
      <c r="O720">
        <v>2</v>
      </c>
      <c r="P720" s="4">
        <v>1305.2</v>
      </c>
      <c r="Q720" t="s">
        <v>30</v>
      </c>
      <c r="R720">
        <v>0</v>
      </c>
      <c r="S720" t="s">
        <v>44</v>
      </c>
      <c r="T720">
        <v>0</v>
      </c>
      <c r="U720">
        <v>0</v>
      </c>
      <c r="V720" t="s">
        <v>32</v>
      </c>
      <c r="W720" t="s">
        <v>39</v>
      </c>
      <c r="X720" s="4">
        <v>10</v>
      </c>
      <c r="Y720">
        <v>8</v>
      </c>
      <c r="Z720" s="5">
        <v>211.23</v>
      </c>
    </row>
    <row r="721" spans="1:26">
      <c r="A721">
        <v>720</v>
      </c>
      <c r="B721">
        <v>231</v>
      </c>
      <c r="C721" s="2">
        <v>46287</v>
      </c>
      <c r="D721" t="s">
        <v>35</v>
      </c>
      <c r="E721">
        <v>9</v>
      </c>
      <c r="F721" s="3">
        <v>11</v>
      </c>
      <c r="G721" t="s">
        <v>36</v>
      </c>
      <c r="H721">
        <v>5</v>
      </c>
      <c r="I721" t="s">
        <v>34</v>
      </c>
      <c r="J721" s="4">
        <v>56.2</v>
      </c>
      <c r="K721" s="4">
        <v>101.6</v>
      </c>
      <c r="L721" s="4">
        <v>22.9</v>
      </c>
      <c r="M721">
        <v>10</v>
      </c>
      <c r="N721" t="s">
        <v>37</v>
      </c>
      <c r="O721">
        <v>2</v>
      </c>
      <c r="P721" s="4">
        <v>1305.2</v>
      </c>
      <c r="Q721" t="s">
        <v>30</v>
      </c>
      <c r="R721">
        <v>0</v>
      </c>
      <c r="S721" t="s">
        <v>44</v>
      </c>
      <c r="T721">
        <v>0</v>
      </c>
      <c r="U721">
        <v>0</v>
      </c>
      <c r="V721" t="s">
        <v>32</v>
      </c>
      <c r="W721" t="s">
        <v>39</v>
      </c>
      <c r="X721" s="4">
        <v>9.1</v>
      </c>
      <c r="Y721">
        <v>11</v>
      </c>
      <c r="Z721" s="5">
        <v>208.01</v>
      </c>
    </row>
    <row r="722" spans="1:26">
      <c r="A722">
        <v>721</v>
      </c>
      <c r="B722">
        <v>232</v>
      </c>
      <c r="C722" s="2">
        <v>46204</v>
      </c>
      <c r="D722" t="s">
        <v>52</v>
      </c>
      <c r="E722">
        <v>7</v>
      </c>
      <c r="F722" s="3">
        <v>11.07</v>
      </c>
      <c r="G722" t="s">
        <v>36</v>
      </c>
      <c r="H722">
        <v>63</v>
      </c>
      <c r="I722" t="s">
        <v>28</v>
      </c>
      <c r="J722" s="4">
        <v>63.8</v>
      </c>
      <c r="K722" s="4">
        <v>170.1</v>
      </c>
      <c r="L722" s="4">
        <v>29.2</v>
      </c>
      <c r="M722">
        <v>14</v>
      </c>
      <c r="N722" t="s">
        <v>47</v>
      </c>
      <c r="O722">
        <v>6</v>
      </c>
      <c r="P722" s="4">
        <v>83.9</v>
      </c>
      <c r="Q722" t="s">
        <v>42</v>
      </c>
      <c r="R722">
        <v>0</v>
      </c>
      <c r="S722" t="s">
        <v>44</v>
      </c>
      <c r="T722">
        <v>0</v>
      </c>
      <c r="U722">
        <v>0</v>
      </c>
      <c r="V722" t="s">
        <v>45</v>
      </c>
      <c r="W722" t="s">
        <v>39</v>
      </c>
      <c r="X722" s="4">
        <v>8.1999999999999993</v>
      </c>
      <c r="Y722">
        <v>9</v>
      </c>
      <c r="Z722" s="5">
        <v>181.79</v>
      </c>
    </row>
    <row r="723" spans="1:26">
      <c r="A723">
        <v>722</v>
      </c>
      <c r="B723">
        <v>232</v>
      </c>
      <c r="C723" s="2">
        <v>46204</v>
      </c>
      <c r="D723" t="s">
        <v>52</v>
      </c>
      <c r="E723">
        <v>7</v>
      </c>
      <c r="F723" s="3">
        <v>10.95</v>
      </c>
      <c r="G723" t="s">
        <v>27</v>
      </c>
      <c r="H723">
        <v>39</v>
      </c>
      <c r="I723" t="s">
        <v>34</v>
      </c>
      <c r="J723" s="4">
        <v>67.099999999999994</v>
      </c>
      <c r="K723" s="4">
        <v>145.30000000000001</v>
      </c>
      <c r="L723" s="4">
        <v>22.6</v>
      </c>
      <c r="M723">
        <v>15</v>
      </c>
      <c r="N723" t="s">
        <v>47</v>
      </c>
      <c r="O723">
        <v>6</v>
      </c>
      <c r="P723" s="4">
        <v>83.9</v>
      </c>
      <c r="Q723" t="s">
        <v>42</v>
      </c>
      <c r="R723">
        <v>0</v>
      </c>
      <c r="S723" t="s">
        <v>44</v>
      </c>
      <c r="T723">
        <v>0</v>
      </c>
      <c r="U723">
        <v>0</v>
      </c>
      <c r="V723" t="s">
        <v>45</v>
      </c>
      <c r="W723" t="s">
        <v>39</v>
      </c>
      <c r="X723" s="4">
        <v>9.8000000000000007</v>
      </c>
      <c r="Y723">
        <v>12</v>
      </c>
      <c r="Z723" s="5">
        <v>328.28</v>
      </c>
    </row>
    <row r="724" spans="1:26">
      <c r="A724">
        <v>723</v>
      </c>
      <c r="B724">
        <v>232</v>
      </c>
      <c r="C724" s="2">
        <v>46204</v>
      </c>
      <c r="D724" t="s">
        <v>52</v>
      </c>
      <c r="E724">
        <v>7</v>
      </c>
      <c r="F724" s="3">
        <v>11.05</v>
      </c>
      <c r="G724" t="s">
        <v>36</v>
      </c>
      <c r="H724">
        <v>66</v>
      </c>
      <c r="I724" t="s">
        <v>34</v>
      </c>
      <c r="J724" s="4">
        <v>62.4</v>
      </c>
      <c r="K724" s="4">
        <v>126.7</v>
      </c>
      <c r="L724" s="4">
        <v>22.9</v>
      </c>
      <c r="M724">
        <v>13</v>
      </c>
      <c r="N724" t="s">
        <v>47</v>
      </c>
      <c r="O724">
        <v>6</v>
      </c>
      <c r="P724" s="4">
        <v>83.9</v>
      </c>
      <c r="Q724" t="s">
        <v>42</v>
      </c>
      <c r="R724">
        <v>0</v>
      </c>
      <c r="S724" t="s">
        <v>44</v>
      </c>
      <c r="T724">
        <v>0</v>
      </c>
      <c r="U724">
        <v>0</v>
      </c>
      <c r="V724" t="s">
        <v>45</v>
      </c>
      <c r="W724" t="s">
        <v>39</v>
      </c>
      <c r="X724" s="4">
        <v>8.1</v>
      </c>
      <c r="Y724">
        <v>10</v>
      </c>
      <c r="Z724" s="5">
        <v>178.48</v>
      </c>
    </row>
    <row r="725" spans="1:26">
      <c r="A725">
        <v>724</v>
      </c>
      <c r="B725">
        <v>232</v>
      </c>
      <c r="C725" s="2">
        <v>46204</v>
      </c>
      <c r="D725" t="s">
        <v>52</v>
      </c>
      <c r="E725">
        <v>7</v>
      </c>
      <c r="F725" s="3">
        <v>11.16</v>
      </c>
      <c r="G725" t="s">
        <v>36</v>
      </c>
      <c r="H725">
        <v>33</v>
      </c>
      <c r="I725" t="s">
        <v>34</v>
      </c>
      <c r="J725" s="4">
        <v>56.7</v>
      </c>
      <c r="K725" s="4">
        <v>149.69999999999999</v>
      </c>
      <c r="L725" s="4">
        <v>32.799999999999997</v>
      </c>
      <c r="M725">
        <v>14</v>
      </c>
      <c r="N725" t="s">
        <v>47</v>
      </c>
      <c r="O725">
        <v>6</v>
      </c>
      <c r="P725" s="4">
        <v>83.9</v>
      </c>
      <c r="Q725" t="s">
        <v>42</v>
      </c>
      <c r="R725">
        <v>0</v>
      </c>
      <c r="S725" t="s">
        <v>44</v>
      </c>
      <c r="T725">
        <v>0</v>
      </c>
      <c r="U725">
        <v>0</v>
      </c>
      <c r="V725" t="s">
        <v>45</v>
      </c>
      <c r="W725" t="s">
        <v>39</v>
      </c>
      <c r="X725" s="4">
        <v>8.4</v>
      </c>
      <c r="Y725">
        <v>9</v>
      </c>
      <c r="Z725" s="5">
        <v>259.86</v>
      </c>
    </row>
    <row r="726" spans="1:26">
      <c r="A726">
        <v>725</v>
      </c>
      <c r="B726">
        <v>232</v>
      </c>
      <c r="C726" s="2">
        <v>46204</v>
      </c>
      <c r="D726" t="s">
        <v>52</v>
      </c>
      <c r="E726">
        <v>7</v>
      </c>
      <c r="F726" s="3">
        <v>11.18</v>
      </c>
      <c r="G726" t="s">
        <v>36</v>
      </c>
      <c r="H726">
        <v>47</v>
      </c>
      <c r="I726" t="s">
        <v>28</v>
      </c>
      <c r="J726" s="4">
        <v>62.9</v>
      </c>
      <c r="K726" s="4">
        <v>140.9</v>
      </c>
      <c r="L726" s="4">
        <v>25.5</v>
      </c>
      <c r="M726">
        <v>16</v>
      </c>
      <c r="N726" t="s">
        <v>47</v>
      </c>
      <c r="O726">
        <v>6</v>
      </c>
      <c r="P726" s="4">
        <v>83.9</v>
      </c>
      <c r="Q726" t="s">
        <v>42</v>
      </c>
      <c r="R726">
        <v>0</v>
      </c>
      <c r="S726" t="s">
        <v>44</v>
      </c>
      <c r="T726">
        <v>0</v>
      </c>
      <c r="U726">
        <v>0</v>
      </c>
      <c r="V726" t="s">
        <v>45</v>
      </c>
      <c r="W726" t="s">
        <v>39</v>
      </c>
      <c r="X726" s="4">
        <v>9</v>
      </c>
      <c r="Y726">
        <v>8</v>
      </c>
      <c r="Z726" s="5">
        <v>308.94</v>
      </c>
    </row>
    <row r="727" spans="1:26">
      <c r="A727">
        <v>726</v>
      </c>
      <c r="B727">
        <v>232</v>
      </c>
      <c r="C727" s="2">
        <v>46204</v>
      </c>
      <c r="D727" t="s">
        <v>52</v>
      </c>
      <c r="E727">
        <v>7</v>
      </c>
      <c r="F727" s="3">
        <v>11.05</v>
      </c>
      <c r="G727" t="s">
        <v>36</v>
      </c>
      <c r="H727">
        <v>20</v>
      </c>
      <c r="I727" t="s">
        <v>34</v>
      </c>
      <c r="J727" s="4">
        <v>64</v>
      </c>
      <c r="K727" s="4">
        <v>167.3</v>
      </c>
      <c r="L727" s="4">
        <v>28.9</v>
      </c>
      <c r="M727">
        <v>11</v>
      </c>
      <c r="N727" t="s">
        <v>47</v>
      </c>
      <c r="O727">
        <v>6</v>
      </c>
      <c r="P727" s="4">
        <v>83.9</v>
      </c>
      <c r="Q727" t="s">
        <v>42</v>
      </c>
      <c r="R727">
        <v>0</v>
      </c>
      <c r="S727" t="s">
        <v>44</v>
      </c>
      <c r="T727">
        <v>0</v>
      </c>
      <c r="U727">
        <v>0</v>
      </c>
      <c r="V727" t="s">
        <v>45</v>
      </c>
      <c r="W727" t="s">
        <v>39</v>
      </c>
      <c r="X727" s="4">
        <v>7.9</v>
      </c>
      <c r="Y727">
        <v>1</v>
      </c>
      <c r="Z727" s="5">
        <v>76.819999999999993</v>
      </c>
    </row>
    <row r="728" spans="1:26">
      <c r="A728">
        <v>727</v>
      </c>
      <c r="B728">
        <v>233</v>
      </c>
      <c r="C728" s="2">
        <v>46129</v>
      </c>
      <c r="D728" t="s">
        <v>26</v>
      </c>
      <c r="E728">
        <v>4</v>
      </c>
      <c r="F728" s="3">
        <v>14.5</v>
      </c>
      <c r="G728" t="s">
        <v>36</v>
      </c>
      <c r="H728">
        <v>27</v>
      </c>
      <c r="I728" t="s">
        <v>34</v>
      </c>
      <c r="J728" s="4">
        <v>57</v>
      </c>
      <c r="K728" s="4">
        <v>103.1</v>
      </c>
      <c r="L728" s="4">
        <v>22.5</v>
      </c>
      <c r="M728">
        <v>14</v>
      </c>
      <c r="N728" t="s">
        <v>60</v>
      </c>
      <c r="O728">
        <v>6</v>
      </c>
      <c r="P728" s="4">
        <v>1638.5</v>
      </c>
      <c r="Q728" t="s">
        <v>48</v>
      </c>
      <c r="R728">
        <v>1</v>
      </c>
      <c r="S728" t="s">
        <v>44</v>
      </c>
      <c r="T728">
        <v>0</v>
      </c>
      <c r="U728">
        <v>0</v>
      </c>
      <c r="V728" t="s">
        <v>45</v>
      </c>
      <c r="W728" t="s">
        <v>43</v>
      </c>
      <c r="X728" s="4">
        <v>6.5</v>
      </c>
      <c r="Y728">
        <v>6</v>
      </c>
      <c r="Z728" s="5">
        <v>223.38</v>
      </c>
    </row>
    <row r="729" spans="1:26">
      <c r="A729">
        <v>728</v>
      </c>
      <c r="B729">
        <v>233</v>
      </c>
      <c r="C729" s="2">
        <v>46129</v>
      </c>
      <c r="D729" t="s">
        <v>26</v>
      </c>
      <c r="E729">
        <v>4</v>
      </c>
      <c r="F729" s="3">
        <v>14.48</v>
      </c>
      <c r="G729" t="s">
        <v>36</v>
      </c>
      <c r="H729">
        <v>12</v>
      </c>
      <c r="I729" t="s">
        <v>28</v>
      </c>
      <c r="J729" s="4">
        <v>70</v>
      </c>
      <c r="K729" s="4">
        <v>97.8</v>
      </c>
      <c r="L729" s="4">
        <v>14</v>
      </c>
      <c r="M729">
        <v>11</v>
      </c>
      <c r="N729" t="s">
        <v>60</v>
      </c>
      <c r="O729">
        <v>6</v>
      </c>
      <c r="P729" s="4">
        <v>1638.5</v>
      </c>
      <c r="Q729" t="s">
        <v>48</v>
      </c>
      <c r="R729">
        <v>1</v>
      </c>
      <c r="S729" t="s">
        <v>44</v>
      </c>
      <c r="T729">
        <v>0</v>
      </c>
      <c r="U729">
        <v>0</v>
      </c>
      <c r="V729" t="s">
        <v>45</v>
      </c>
      <c r="W729" t="s">
        <v>43</v>
      </c>
      <c r="X729" s="4">
        <v>7</v>
      </c>
      <c r="Y729">
        <v>9</v>
      </c>
      <c r="Z729" s="5">
        <v>255.23</v>
      </c>
    </row>
    <row r="730" spans="1:26">
      <c r="A730">
        <v>729</v>
      </c>
      <c r="B730">
        <v>233</v>
      </c>
      <c r="C730" s="2">
        <v>46129</v>
      </c>
      <c r="D730" t="s">
        <v>26</v>
      </c>
      <c r="E730">
        <v>4</v>
      </c>
      <c r="F730" s="3">
        <v>14.43</v>
      </c>
      <c r="G730" t="s">
        <v>36</v>
      </c>
      <c r="H730">
        <v>62</v>
      </c>
      <c r="I730" t="s">
        <v>34</v>
      </c>
      <c r="J730" s="4">
        <v>66</v>
      </c>
      <c r="K730" s="4">
        <v>159.5</v>
      </c>
      <c r="L730" s="4">
        <v>26</v>
      </c>
      <c r="M730">
        <v>21</v>
      </c>
      <c r="N730" t="s">
        <v>60</v>
      </c>
      <c r="O730">
        <v>6</v>
      </c>
      <c r="P730" s="4">
        <v>1638.5</v>
      </c>
      <c r="Q730" t="s">
        <v>48</v>
      </c>
      <c r="R730">
        <v>1</v>
      </c>
      <c r="S730" t="s">
        <v>44</v>
      </c>
      <c r="T730">
        <v>0</v>
      </c>
      <c r="U730">
        <v>0</v>
      </c>
      <c r="V730" t="s">
        <v>45</v>
      </c>
      <c r="W730" t="s">
        <v>43</v>
      </c>
      <c r="X730" s="4">
        <v>9.6999999999999993</v>
      </c>
      <c r="Y730">
        <v>10</v>
      </c>
      <c r="Z730" s="5">
        <v>303.81</v>
      </c>
    </row>
    <row r="731" spans="1:26">
      <c r="A731">
        <v>730</v>
      </c>
      <c r="B731">
        <v>233</v>
      </c>
      <c r="C731" s="2">
        <v>46129</v>
      </c>
      <c r="D731" t="s">
        <v>26</v>
      </c>
      <c r="E731">
        <v>4</v>
      </c>
      <c r="F731" s="3">
        <v>14.47</v>
      </c>
      <c r="G731" t="s">
        <v>36</v>
      </c>
      <c r="H731">
        <v>49</v>
      </c>
      <c r="I731" t="s">
        <v>34</v>
      </c>
      <c r="J731" s="4">
        <v>66.8</v>
      </c>
      <c r="K731" s="4">
        <v>139.30000000000001</v>
      </c>
      <c r="L731" s="4">
        <v>21.8</v>
      </c>
      <c r="M731">
        <v>14</v>
      </c>
      <c r="N731" t="s">
        <v>60</v>
      </c>
      <c r="O731">
        <v>6</v>
      </c>
      <c r="P731" s="4">
        <v>1638.5</v>
      </c>
      <c r="Q731" t="s">
        <v>48</v>
      </c>
      <c r="R731">
        <v>1</v>
      </c>
      <c r="S731" t="s">
        <v>44</v>
      </c>
      <c r="T731">
        <v>0</v>
      </c>
      <c r="U731">
        <v>0</v>
      </c>
      <c r="V731" t="s">
        <v>45</v>
      </c>
      <c r="W731" t="s">
        <v>43</v>
      </c>
      <c r="X731" s="4">
        <v>6.4</v>
      </c>
      <c r="Y731">
        <v>7</v>
      </c>
      <c r="Z731" s="5">
        <v>183.4</v>
      </c>
    </row>
    <row r="732" spans="1:26">
      <c r="A732">
        <v>731</v>
      </c>
      <c r="B732">
        <v>233</v>
      </c>
      <c r="C732" s="2">
        <v>46129</v>
      </c>
      <c r="D732" t="s">
        <v>26</v>
      </c>
      <c r="E732">
        <v>4</v>
      </c>
      <c r="F732" s="3">
        <v>14.5</v>
      </c>
      <c r="G732" t="s">
        <v>36</v>
      </c>
      <c r="H732">
        <v>72</v>
      </c>
      <c r="I732" t="s">
        <v>28</v>
      </c>
      <c r="J732" s="4">
        <v>68.7</v>
      </c>
      <c r="K732" s="4">
        <v>237.3</v>
      </c>
      <c r="L732" s="4">
        <v>35.299999999999997</v>
      </c>
      <c r="M732">
        <v>22</v>
      </c>
      <c r="N732" t="s">
        <v>60</v>
      </c>
      <c r="O732">
        <v>6</v>
      </c>
      <c r="P732" s="4">
        <v>1638.5</v>
      </c>
      <c r="Q732" t="s">
        <v>48</v>
      </c>
      <c r="R732">
        <v>1</v>
      </c>
      <c r="S732" t="s">
        <v>44</v>
      </c>
      <c r="T732">
        <v>0</v>
      </c>
      <c r="U732">
        <v>0</v>
      </c>
      <c r="V732" t="s">
        <v>45</v>
      </c>
      <c r="W732" t="s">
        <v>43</v>
      </c>
      <c r="X732" s="4">
        <v>8.9</v>
      </c>
      <c r="Y732">
        <v>9</v>
      </c>
      <c r="Z732" s="5">
        <v>242.87</v>
      </c>
    </row>
    <row r="733" spans="1:26">
      <c r="A733">
        <v>732</v>
      </c>
      <c r="B733">
        <v>233</v>
      </c>
      <c r="C733" s="2">
        <v>46129</v>
      </c>
      <c r="D733" t="s">
        <v>26</v>
      </c>
      <c r="E733">
        <v>4</v>
      </c>
      <c r="F733" s="3">
        <v>14.48</v>
      </c>
      <c r="G733" t="s">
        <v>36</v>
      </c>
      <c r="H733">
        <v>67</v>
      </c>
      <c r="I733" t="s">
        <v>28</v>
      </c>
      <c r="J733" s="4">
        <v>70.599999999999994</v>
      </c>
      <c r="K733" s="4">
        <v>140.1</v>
      </c>
      <c r="L733" s="4">
        <v>19.600000000000001</v>
      </c>
      <c r="M733">
        <v>20</v>
      </c>
      <c r="N733" t="s">
        <v>60</v>
      </c>
      <c r="O733">
        <v>6</v>
      </c>
      <c r="P733" s="4">
        <v>1638.5</v>
      </c>
      <c r="Q733" t="s">
        <v>48</v>
      </c>
      <c r="R733">
        <v>1</v>
      </c>
      <c r="S733" t="s">
        <v>44</v>
      </c>
      <c r="T733">
        <v>0</v>
      </c>
      <c r="U733">
        <v>0</v>
      </c>
      <c r="V733" t="s">
        <v>45</v>
      </c>
      <c r="W733" t="s">
        <v>43</v>
      </c>
      <c r="X733" s="4">
        <v>8.4</v>
      </c>
      <c r="Y733">
        <v>10</v>
      </c>
      <c r="Z733" s="5">
        <v>301.91000000000003</v>
      </c>
    </row>
    <row r="734" spans="1:26">
      <c r="A734">
        <v>733</v>
      </c>
      <c r="B734">
        <v>234</v>
      </c>
      <c r="C734" s="2">
        <v>46260</v>
      </c>
      <c r="D734" t="s">
        <v>52</v>
      </c>
      <c r="E734">
        <v>8</v>
      </c>
      <c r="F734" s="3">
        <v>9.92</v>
      </c>
      <c r="G734" t="s">
        <v>27</v>
      </c>
      <c r="H734">
        <v>7</v>
      </c>
      <c r="I734" t="s">
        <v>28</v>
      </c>
      <c r="J734" s="4">
        <v>54.4</v>
      </c>
      <c r="K734" s="4">
        <v>74.8</v>
      </c>
      <c r="L734" s="4">
        <v>17.899999999999999</v>
      </c>
      <c r="M734">
        <v>13</v>
      </c>
      <c r="N734" t="s">
        <v>47</v>
      </c>
      <c r="O734">
        <v>4</v>
      </c>
      <c r="P734" s="4">
        <v>93.9</v>
      </c>
      <c r="Q734" t="s">
        <v>48</v>
      </c>
      <c r="R734">
        <v>0</v>
      </c>
      <c r="S734" t="s">
        <v>31</v>
      </c>
      <c r="T734">
        <v>0</v>
      </c>
      <c r="U734">
        <v>0</v>
      </c>
      <c r="V734" t="s">
        <v>45</v>
      </c>
      <c r="W734" t="s">
        <v>49</v>
      </c>
      <c r="X734" s="4">
        <v>7.6</v>
      </c>
      <c r="Y734">
        <v>5</v>
      </c>
      <c r="Z734" s="5">
        <v>210.13</v>
      </c>
    </row>
    <row r="735" spans="1:26">
      <c r="A735">
        <v>734</v>
      </c>
      <c r="B735">
        <v>234</v>
      </c>
      <c r="C735" s="2">
        <v>46260</v>
      </c>
      <c r="D735" t="s">
        <v>52</v>
      </c>
      <c r="E735">
        <v>8</v>
      </c>
      <c r="F735" s="3">
        <v>9.68</v>
      </c>
      <c r="G735" t="s">
        <v>27</v>
      </c>
      <c r="H735">
        <v>63</v>
      </c>
      <c r="I735" t="s">
        <v>34</v>
      </c>
      <c r="J735" s="4">
        <v>65.3</v>
      </c>
      <c r="K735" s="4">
        <v>134.1</v>
      </c>
      <c r="L735" s="4">
        <v>22</v>
      </c>
      <c r="M735">
        <v>21</v>
      </c>
      <c r="N735" t="s">
        <v>47</v>
      </c>
      <c r="O735">
        <v>4</v>
      </c>
      <c r="P735" s="4">
        <v>93.9</v>
      </c>
      <c r="Q735" t="s">
        <v>48</v>
      </c>
      <c r="R735">
        <v>0</v>
      </c>
      <c r="S735" t="s">
        <v>31</v>
      </c>
      <c r="T735">
        <v>0</v>
      </c>
      <c r="U735">
        <v>0</v>
      </c>
      <c r="V735" t="s">
        <v>45</v>
      </c>
      <c r="W735" t="s">
        <v>49</v>
      </c>
      <c r="X735" s="4">
        <v>9.8000000000000007</v>
      </c>
      <c r="Y735">
        <v>8</v>
      </c>
      <c r="Z735" s="5">
        <v>221.3</v>
      </c>
    </row>
    <row r="736" spans="1:26">
      <c r="A736">
        <v>735</v>
      </c>
      <c r="B736">
        <v>234</v>
      </c>
      <c r="C736" s="2">
        <v>46260</v>
      </c>
      <c r="D736" t="s">
        <v>52</v>
      </c>
      <c r="E736">
        <v>8</v>
      </c>
      <c r="F736" s="3">
        <v>9.69</v>
      </c>
      <c r="G736" t="s">
        <v>27</v>
      </c>
      <c r="H736">
        <v>66</v>
      </c>
      <c r="I736" t="s">
        <v>28</v>
      </c>
      <c r="J736" s="4">
        <v>67.900000000000006</v>
      </c>
      <c r="K736" s="4">
        <v>141.69999999999999</v>
      </c>
      <c r="L736" s="4">
        <v>21.8</v>
      </c>
      <c r="M736">
        <v>16</v>
      </c>
      <c r="N736" t="s">
        <v>47</v>
      </c>
      <c r="O736">
        <v>4</v>
      </c>
      <c r="P736" s="4">
        <v>93.9</v>
      </c>
      <c r="Q736" t="s">
        <v>48</v>
      </c>
      <c r="R736">
        <v>0</v>
      </c>
      <c r="S736" t="s">
        <v>31</v>
      </c>
      <c r="T736">
        <v>0</v>
      </c>
      <c r="U736">
        <v>0</v>
      </c>
      <c r="V736" t="s">
        <v>45</v>
      </c>
      <c r="W736" t="s">
        <v>49</v>
      </c>
      <c r="X736" s="4">
        <v>8.8000000000000007</v>
      </c>
      <c r="Y736">
        <v>8</v>
      </c>
      <c r="Z736" s="5">
        <v>186.63</v>
      </c>
    </row>
    <row r="737" spans="1:26">
      <c r="A737">
        <v>736</v>
      </c>
      <c r="B737">
        <v>234</v>
      </c>
      <c r="C737" s="2">
        <v>46260</v>
      </c>
      <c r="D737" t="s">
        <v>52</v>
      </c>
      <c r="E737">
        <v>8</v>
      </c>
      <c r="F737" s="3">
        <v>9.84</v>
      </c>
      <c r="G737" t="s">
        <v>27</v>
      </c>
      <c r="H737">
        <v>18</v>
      </c>
      <c r="I737" t="s">
        <v>34</v>
      </c>
      <c r="J737" s="4">
        <v>65.599999999999994</v>
      </c>
      <c r="K737" s="4">
        <v>128.19999999999999</v>
      </c>
      <c r="L737" s="4">
        <v>20.9</v>
      </c>
      <c r="M737">
        <v>12</v>
      </c>
      <c r="N737" t="s">
        <v>47</v>
      </c>
      <c r="O737">
        <v>4</v>
      </c>
      <c r="P737" s="4">
        <v>93.9</v>
      </c>
      <c r="Q737" t="s">
        <v>48</v>
      </c>
      <c r="R737">
        <v>0</v>
      </c>
      <c r="S737" t="s">
        <v>31</v>
      </c>
      <c r="T737">
        <v>0</v>
      </c>
      <c r="U737">
        <v>0</v>
      </c>
      <c r="V737" t="s">
        <v>45</v>
      </c>
      <c r="W737" t="s">
        <v>49</v>
      </c>
      <c r="X737" s="4">
        <v>7.8</v>
      </c>
      <c r="Y737">
        <v>12</v>
      </c>
      <c r="Z737" s="5">
        <v>266.94</v>
      </c>
    </row>
    <row r="738" spans="1:26">
      <c r="A738">
        <v>737</v>
      </c>
      <c r="B738">
        <v>235</v>
      </c>
      <c r="C738" s="2">
        <v>46295</v>
      </c>
      <c r="D738" t="s">
        <v>52</v>
      </c>
      <c r="E738">
        <v>9</v>
      </c>
      <c r="F738" s="3">
        <v>12.89</v>
      </c>
      <c r="G738" t="s">
        <v>36</v>
      </c>
      <c r="H738">
        <v>62</v>
      </c>
      <c r="I738" t="s">
        <v>28</v>
      </c>
      <c r="J738" s="4">
        <v>63.1</v>
      </c>
      <c r="K738" s="4">
        <v>162</v>
      </c>
      <c r="L738" s="4">
        <v>28.5</v>
      </c>
      <c r="M738">
        <v>16</v>
      </c>
      <c r="N738" t="s">
        <v>50</v>
      </c>
      <c r="O738">
        <v>4</v>
      </c>
      <c r="P738" s="4">
        <v>351.5</v>
      </c>
      <c r="Q738" t="s">
        <v>42</v>
      </c>
      <c r="R738">
        <v>1</v>
      </c>
      <c r="S738" t="s">
        <v>38</v>
      </c>
      <c r="T738">
        <v>0</v>
      </c>
      <c r="U738">
        <v>0</v>
      </c>
      <c r="V738" t="s">
        <v>45</v>
      </c>
      <c r="W738" t="s">
        <v>49</v>
      </c>
      <c r="X738" s="4">
        <v>7.1</v>
      </c>
      <c r="Y738">
        <v>9</v>
      </c>
      <c r="Z738" s="5">
        <v>236.41</v>
      </c>
    </row>
    <row r="739" spans="1:26">
      <c r="A739">
        <v>738</v>
      </c>
      <c r="B739">
        <v>235</v>
      </c>
      <c r="C739" s="2">
        <v>46295</v>
      </c>
      <c r="D739" t="s">
        <v>52</v>
      </c>
      <c r="E739">
        <v>9</v>
      </c>
      <c r="F739" s="3">
        <v>12.97</v>
      </c>
      <c r="G739" t="s">
        <v>36</v>
      </c>
      <c r="H739">
        <v>48</v>
      </c>
      <c r="I739" t="s">
        <v>28</v>
      </c>
      <c r="J739" s="4">
        <v>69.3</v>
      </c>
      <c r="K739" s="4">
        <v>199.5</v>
      </c>
      <c r="L739" s="4">
        <v>29.1</v>
      </c>
      <c r="M739">
        <v>17</v>
      </c>
      <c r="N739" t="s">
        <v>50</v>
      </c>
      <c r="O739">
        <v>4</v>
      </c>
      <c r="P739" s="4">
        <v>351.5</v>
      </c>
      <c r="Q739" t="s">
        <v>42</v>
      </c>
      <c r="R739">
        <v>1</v>
      </c>
      <c r="S739" t="s">
        <v>38</v>
      </c>
      <c r="T739">
        <v>0</v>
      </c>
      <c r="U739">
        <v>0</v>
      </c>
      <c r="V739" t="s">
        <v>45</v>
      </c>
      <c r="W739" t="s">
        <v>49</v>
      </c>
      <c r="X739" s="4">
        <v>8.1999999999999993</v>
      </c>
      <c r="Y739">
        <v>10</v>
      </c>
      <c r="Z739" s="5">
        <v>391.18</v>
      </c>
    </row>
    <row r="740" spans="1:26">
      <c r="A740">
        <v>739</v>
      </c>
      <c r="B740">
        <v>235</v>
      </c>
      <c r="C740" s="2">
        <v>46295</v>
      </c>
      <c r="D740" t="s">
        <v>52</v>
      </c>
      <c r="E740">
        <v>9</v>
      </c>
      <c r="F740" s="3">
        <v>12.87</v>
      </c>
      <c r="G740" t="s">
        <v>36</v>
      </c>
      <c r="H740">
        <v>47</v>
      </c>
      <c r="I740" t="s">
        <v>34</v>
      </c>
      <c r="J740" s="4">
        <v>66</v>
      </c>
      <c r="K740" s="4">
        <v>195.2</v>
      </c>
      <c r="L740" s="4">
        <v>31.5</v>
      </c>
      <c r="M740">
        <v>16</v>
      </c>
      <c r="N740" t="s">
        <v>50</v>
      </c>
      <c r="O740">
        <v>4</v>
      </c>
      <c r="P740" s="4">
        <v>351.5</v>
      </c>
      <c r="Q740" t="s">
        <v>42</v>
      </c>
      <c r="R740">
        <v>1</v>
      </c>
      <c r="S740" t="s">
        <v>38</v>
      </c>
      <c r="T740">
        <v>0</v>
      </c>
      <c r="U740">
        <v>0</v>
      </c>
      <c r="V740" t="s">
        <v>45</v>
      </c>
      <c r="W740" t="s">
        <v>49</v>
      </c>
      <c r="X740" s="4">
        <v>8.1</v>
      </c>
      <c r="Y740">
        <v>11</v>
      </c>
      <c r="Z740" s="5">
        <v>151.38999999999999</v>
      </c>
    </row>
    <row r="741" spans="1:26">
      <c r="A741">
        <v>740</v>
      </c>
      <c r="B741">
        <v>235</v>
      </c>
      <c r="C741" s="2">
        <v>46295</v>
      </c>
      <c r="D741" t="s">
        <v>52</v>
      </c>
      <c r="E741">
        <v>9</v>
      </c>
      <c r="F741" s="3">
        <v>12.66</v>
      </c>
      <c r="G741" t="s">
        <v>36</v>
      </c>
      <c r="H741">
        <v>28</v>
      </c>
      <c r="I741" t="s">
        <v>28</v>
      </c>
      <c r="J741" s="4">
        <v>73</v>
      </c>
      <c r="K741" s="4">
        <v>190.3</v>
      </c>
      <c r="L741" s="4">
        <v>25.1</v>
      </c>
      <c r="M741">
        <v>13</v>
      </c>
      <c r="N741" t="s">
        <v>50</v>
      </c>
      <c r="O741">
        <v>4</v>
      </c>
      <c r="P741" s="4">
        <v>351.5</v>
      </c>
      <c r="Q741" t="s">
        <v>42</v>
      </c>
      <c r="R741">
        <v>1</v>
      </c>
      <c r="S741" t="s">
        <v>38</v>
      </c>
      <c r="T741">
        <v>0</v>
      </c>
      <c r="U741">
        <v>0</v>
      </c>
      <c r="V741" t="s">
        <v>45</v>
      </c>
      <c r="W741" t="s">
        <v>49</v>
      </c>
      <c r="X741" s="4">
        <v>4.4000000000000004</v>
      </c>
      <c r="Y741">
        <v>4</v>
      </c>
      <c r="Z741" s="5">
        <v>189.8</v>
      </c>
    </row>
    <row r="742" spans="1:26">
      <c r="A742">
        <v>741</v>
      </c>
      <c r="B742">
        <v>236</v>
      </c>
      <c r="C742" s="2">
        <v>46386</v>
      </c>
      <c r="D742" t="s">
        <v>52</v>
      </c>
      <c r="E742">
        <v>12</v>
      </c>
      <c r="F742" s="3">
        <v>12.15</v>
      </c>
      <c r="G742" t="s">
        <v>36</v>
      </c>
      <c r="H742">
        <v>13</v>
      </c>
      <c r="I742" t="s">
        <v>34</v>
      </c>
      <c r="J742" s="4">
        <v>70</v>
      </c>
      <c r="K742" s="4">
        <v>158.30000000000001</v>
      </c>
      <c r="L742" s="4">
        <v>22.4</v>
      </c>
      <c r="M742">
        <v>13</v>
      </c>
      <c r="N742" t="s">
        <v>47</v>
      </c>
      <c r="O742">
        <v>4</v>
      </c>
      <c r="P742" s="4">
        <v>73</v>
      </c>
      <c r="Q742" t="s">
        <v>42</v>
      </c>
      <c r="R742">
        <v>1</v>
      </c>
      <c r="S742" t="s">
        <v>31</v>
      </c>
      <c r="T742">
        <v>0</v>
      </c>
      <c r="U742">
        <v>0</v>
      </c>
      <c r="V742" t="s">
        <v>32</v>
      </c>
      <c r="W742" t="s">
        <v>39</v>
      </c>
      <c r="X742" s="4">
        <v>6.8</v>
      </c>
      <c r="Y742">
        <v>11</v>
      </c>
      <c r="Z742" s="5">
        <v>378.39</v>
      </c>
    </row>
    <row r="743" spans="1:26">
      <c r="A743">
        <v>742</v>
      </c>
      <c r="B743">
        <v>236</v>
      </c>
      <c r="C743" s="2">
        <v>46386</v>
      </c>
      <c r="D743" t="s">
        <v>52</v>
      </c>
      <c r="E743">
        <v>12</v>
      </c>
      <c r="F743" s="3">
        <v>11.99</v>
      </c>
      <c r="G743" t="s">
        <v>36</v>
      </c>
      <c r="H743">
        <v>61</v>
      </c>
      <c r="I743" t="s">
        <v>34</v>
      </c>
      <c r="J743" s="4">
        <v>63.9</v>
      </c>
      <c r="K743" s="4">
        <v>170.9</v>
      </c>
      <c r="L743" s="4">
        <v>29.2</v>
      </c>
      <c r="M743">
        <v>16</v>
      </c>
      <c r="N743" t="s">
        <v>47</v>
      </c>
      <c r="O743">
        <v>4</v>
      </c>
      <c r="P743" s="4">
        <v>73</v>
      </c>
      <c r="Q743" t="s">
        <v>42</v>
      </c>
      <c r="R743">
        <v>1</v>
      </c>
      <c r="S743" t="s">
        <v>31</v>
      </c>
      <c r="T743">
        <v>0</v>
      </c>
      <c r="U743">
        <v>0</v>
      </c>
      <c r="V743" t="s">
        <v>32</v>
      </c>
      <c r="W743" t="s">
        <v>39</v>
      </c>
      <c r="X743" s="4">
        <v>9.1</v>
      </c>
      <c r="Y743">
        <v>11</v>
      </c>
      <c r="Z743" s="5">
        <v>357.36</v>
      </c>
    </row>
    <row r="744" spans="1:26">
      <c r="A744">
        <v>743</v>
      </c>
      <c r="B744">
        <v>236</v>
      </c>
      <c r="C744" s="2">
        <v>46386</v>
      </c>
      <c r="D744" t="s">
        <v>52</v>
      </c>
      <c r="E744">
        <v>12</v>
      </c>
      <c r="F744" s="3">
        <v>12.05</v>
      </c>
      <c r="G744" t="s">
        <v>36</v>
      </c>
      <c r="H744">
        <v>66</v>
      </c>
      <c r="I744" t="s">
        <v>28</v>
      </c>
      <c r="J744" s="4">
        <v>75.7</v>
      </c>
      <c r="K744" s="4">
        <v>198.9</v>
      </c>
      <c r="L744" s="4">
        <v>24.3</v>
      </c>
      <c r="M744">
        <v>16</v>
      </c>
      <c r="N744" t="s">
        <v>47</v>
      </c>
      <c r="O744">
        <v>4</v>
      </c>
      <c r="P744" s="4">
        <v>73</v>
      </c>
      <c r="Q744" t="s">
        <v>42</v>
      </c>
      <c r="R744">
        <v>1</v>
      </c>
      <c r="S744" t="s">
        <v>31</v>
      </c>
      <c r="T744">
        <v>0</v>
      </c>
      <c r="U744">
        <v>0</v>
      </c>
      <c r="V744" t="s">
        <v>32</v>
      </c>
      <c r="W744" t="s">
        <v>39</v>
      </c>
      <c r="X744" s="4">
        <v>8.3000000000000007</v>
      </c>
      <c r="Y744">
        <v>11</v>
      </c>
      <c r="Z744" s="5">
        <v>177.17</v>
      </c>
    </row>
    <row r="745" spans="1:26">
      <c r="A745">
        <v>744</v>
      </c>
      <c r="B745">
        <v>236</v>
      </c>
      <c r="C745" s="2">
        <v>46386</v>
      </c>
      <c r="D745" t="s">
        <v>52</v>
      </c>
      <c r="E745">
        <v>12</v>
      </c>
      <c r="F745" s="3">
        <v>12.26</v>
      </c>
      <c r="G745" t="s">
        <v>36</v>
      </c>
      <c r="H745">
        <v>65</v>
      </c>
      <c r="I745" t="s">
        <v>34</v>
      </c>
      <c r="J745" s="4">
        <v>66.400000000000006</v>
      </c>
      <c r="K745" s="4">
        <v>190.3</v>
      </c>
      <c r="L745" s="4">
        <v>30.6</v>
      </c>
      <c r="M745">
        <v>16</v>
      </c>
      <c r="N745" t="s">
        <v>47</v>
      </c>
      <c r="O745">
        <v>4</v>
      </c>
      <c r="P745" s="4">
        <v>73</v>
      </c>
      <c r="Q745" t="s">
        <v>42</v>
      </c>
      <c r="R745">
        <v>1</v>
      </c>
      <c r="S745" t="s">
        <v>31</v>
      </c>
      <c r="T745">
        <v>0</v>
      </c>
      <c r="U745">
        <v>0</v>
      </c>
      <c r="V745" t="s">
        <v>32</v>
      </c>
      <c r="W745" t="s">
        <v>39</v>
      </c>
      <c r="X745" s="4">
        <v>5.8</v>
      </c>
      <c r="Y745">
        <v>6</v>
      </c>
      <c r="Z745" s="5">
        <v>176.1</v>
      </c>
    </row>
    <row r="746" spans="1:26">
      <c r="A746">
        <v>745</v>
      </c>
      <c r="B746">
        <v>237</v>
      </c>
      <c r="C746" s="2">
        <v>46106</v>
      </c>
      <c r="D746" t="s">
        <v>52</v>
      </c>
      <c r="E746">
        <v>3</v>
      </c>
      <c r="F746" s="3">
        <v>9.5399999999999991</v>
      </c>
      <c r="G746" t="s">
        <v>27</v>
      </c>
      <c r="H746">
        <v>36</v>
      </c>
      <c r="I746" t="s">
        <v>28</v>
      </c>
      <c r="J746" s="4">
        <v>68.599999999999994</v>
      </c>
      <c r="K746" s="4">
        <v>199.3</v>
      </c>
      <c r="L746" s="4">
        <v>29.8</v>
      </c>
      <c r="M746">
        <v>13</v>
      </c>
      <c r="N746" t="s">
        <v>53</v>
      </c>
      <c r="O746">
        <v>2</v>
      </c>
      <c r="P746" s="4">
        <v>962.9</v>
      </c>
      <c r="Q746" t="s">
        <v>42</v>
      </c>
      <c r="R746">
        <v>0</v>
      </c>
      <c r="S746" t="s">
        <v>44</v>
      </c>
      <c r="T746">
        <v>0</v>
      </c>
      <c r="U746">
        <v>0</v>
      </c>
      <c r="V746" t="s">
        <v>32</v>
      </c>
      <c r="W746" t="s">
        <v>43</v>
      </c>
      <c r="X746" s="4">
        <v>12.3</v>
      </c>
      <c r="Y746">
        <v>16</v>
      </c>
      <c r="Z746" s="5">
        <v>366.76</v>
      </c>
    </row>
    <row r="747" spans="1:26">
      <c r="A747">
        <v>746</v>
      </c>
      <c r="B747">
        <v>237</v>
      </c>
      <c r="C747" s="2">
        <v>46106</v>
      </c>
      <c r="D747" t="s">
        <v>52</v>
      </c>
      <c r="E747">
        <v>3</v>
      </c>
      <c r="F747" s="3">
        <v>9.65</v>
      </c>
      <c r="G747" t="s">
        <v>27</v>
      </c>
      <c r="H747">
        <v>37</v>
      </c>
      <c r="I747" t="s">
        <v>28</v>
      </c>
      <c r="J747" s="4">
        <v>71.5</v>
      </c>
      <c r="K747" s="4">
        <v>164.6</v>
      </c>
      <c r="L747" s="4">
        <v>22.7</v>
      </c>
      <c r="M747">
        <v>13</v>
      </c>
      <c r="N747" t="s">
        <v>53</v>
      </c>
      <c r="O747">
        <v>2</v>
      </c>
      <c r="P747" s="4">
        <v>962.9</v>
      </c>
      <c r="Q747" t="s">
        <v>42</v>
      </c>
      <c r="R747">
        <v>0</v>
      </c>
      <c r="S747" t="s">
        <v>44</v>
      </c>
      <c r="T747">
        <v>0</v>
      </c>
      <c r="U747">
        <v>0</v>
      </c>
      <c r="V747" t="s">
        <v>32</v>
      </c>
      <c r="W747" t="s">
        <v>43</v>
      </c>
      <c r="X747" s="4">
        <v>8.5</v>
      </c>
      <c r="Y747">
        <v>7</v>
      </c>
      <c r="Z747" s="5">
        <v>165</v>
      </c>
    </row>
    <row r="748" spans="1:26">
      <c r="A748">
        <v>747</v>
      </c>
      <c r="B748">
        <v>238</v>
      </c>
      <c r="C748" s="2">
        <v>46212</v>
      </c>
      <c r="D748" t="s">
        <v>55</v>
      </c>
      <c r="E748">
        <v>7</v>
      </c>
      <c r="F748" s="3">
        <v>10.82</v>
      </c>
      <c r="G748" t="s">
        <v>27</v>
      </c>
      <c r="H748">
        <v>41</v>
      </c>
      <c r="I748" t="s">
        <v>34</v>
      </c>
      <c r="J748" s="4">
        <v>64.7</v>
      </c>
      <c r="K748" s="4">
        <v>158.19999999999999</v>
      </c>
      <c r="L748" s="4">
        <v>26.7</v>
      </c>
      <c r="M748">
        <v>15</v>
      </c>
      <c r="N748" t="s">
        <v>50</v>
      </c>
      <c r="O748">
        <v>3</v>
      </c>
      <c r="P748" s="4">
        <v>474.2</v>
      </c>
      <c r="Q748" t="s">
        <v>42</v>
      </c>
      <c r="R748">
        <v>1</v>
      </c>
      <c r="S748" t="s">
        <v>31</v>
      </c>
      <c r="T748">
        <v>1</v>
      </c>
      <c r="U748">
        <v>0</v>
      </c>
      <c r="V748" t="s">
        <v>32</v>
      </c>
      <c r="W748" t="s">
        <v>39</v>
      </c>
      <c r="X748" s="4">
        <v>6.1</v>
      </c>
      <c r="Y748">
        <v>8</v>
      </c>
      <c r="Z748" s="5">
        <v>185</v>
      </c>
    </row>
    <row r="749" spans="1:26">
      <c r="A749">
        <v>748</v>
      </c>
      <c r="B749">
        <v>238</v>
      </c>
      <c r="C749" s="2">
        <v>46212</v>
      </c>
      <c r="D749" t="s">
        <v>55</v>
      </c>
      <c r="E749">
        <v>7</v>
      </c>
      <c r="F749" s="3">
        <v>10.74</v>
      </c>
      <c r="G749" t="s">
        <v>27</v>
      </c>
      <c r="H749">
        <v>49</v>
      </c>
      <c r="I749" t="s">
        <v>28</v>
      </c>
      <c r="J749" s="4">
        <v>71.8</v>
      </c>
      <c r="K749" s="4">
        <v>215.1</v>
      </c>
      <c r="L749" s="4">
        <v>29.3</v>
      </c>
      <c r="M749">
        <v>19</v>
      </c>
      <c r="N749" t="s">
        <v>50</v>
      </c>
      <c r="O749">
        <v>3</v>
      </c>
      <c r="P749" s="4">
        <v>474.2</v>
      </c>
      <c r="Q749" t="s">
        <v>42</v>
      </c>
      <c r="R749">
        <v>1</v>
      </c>
      <c r="S749" t="s">
        <v>31</v>
      </c>
      <c r="T749">
        <v>1</v>
      </c>
      <c r="U749">
        <v>0</v>
      </c>
      <c r="V749" t="s">
        <v>32</v>
      </c>
      <c r="W749" t="s">
        <v>39</v>
      </c>
      <c r="X749" s="4">
        <v>8.9</v>
      </c>
      <c r="Y749">
        <v>7</v>
      </c>
      <c r="Z749" s="5">
        <v>185.82</v>
      </c>
    </row>
    <row r="750" spans="1:26">
      <c r="A750">
        <v>749</v>
      </c>
      <c r="B750">
        <v>238</v>
      </c>
      <c r="C750" s="2">
        <v>46212</v>
      </c>
      <c r="D750" t="s">
        <v>55</v>
      </c>
      <c r="E750">
        <v>7</v>
      </c>
      <c r="F750" s="3">
        <v>10.72</v>
      </c>
      <c r="G750" t="s">
        <v>27</v>
      </c>
      <c r="H750">
        <v>55</v>
      </c>
      <c r="I750" t="s">
        <v>28</v>
      </c>
      <c r="J750" s="4">
        <v>73.5</v>
      </c>
      <c r="K750" s="4">
        <v>202.7</v>
      </c>
      <c r="L750" s="4">
        <v>26.3</v>
      </c>
      <c r="M750">
        <v>17</v>
      </c>
      <c r="N750" t="s">
        <v>50</v>
      </c>
      <c r="O750">
        <v>3</v>
      </c>
      <c r="P750" s="4">
        <v>474.2</v>
      </c>
      <c r="Q750" t="s">
        <v>42</v>
      </c>
      <c r="R750">
        <v>1</v>
      </c>
      <c r="S750" t="s">
        <v>31</v>
      </c>
      <c r="T750">
        <v>1</v>
      </c>
      <c r="U750">
        <v>0</v>
      </c>
      <c r="V750" t="s">
        <v>32</v>
      </c>
      <c r="W750" t="s">
        <v>39</v>
      </c>
      <c r="X750" s="4">
        <v>10.3</v>
      </c>
      <c r="Y750">
        <v>11</v>
      </c>
      <c r="Z750" s="5">
        <v>292.48</v>
      </c>
    </row>
    <row r="751" spans="1:26">
      <c r="A751">
        <v>750</v>
      </c>
      <c r="B751">
        <v>239</v>
      </c>
      <c r="C751" s="2">
        <v>46204</v>
      </c>
      <c r="D751" t="s">
        <v>52</v>
      </c>
      <c r="E751">
        <v>7</v>
      </c>
      <c r="F751" s="3">
        <v>8.24</v>
      </c>
      <c r="G751" t="s">
        <v>27</v>
      </c>
      <c r="H751">
        <v>71</v>
      </c>
      <c r="I751" t="s">
        <v>34</v>
      </c>
      <c r="J751" s="4">
        <v>65.5</v>
      </c>
      <c r="K751" s="4">
        <v>185.2</v>
      </c>
      <c r="L751" s="4">
        <v>30.2</v>
      </c>
      <c r="M751">
        <v>14</v>
      </c>
      <c r="N751" t="s">
        <v>59</v>
      </c>
      <c r="O751">
        <v>3</v>
      </c>
      <c r="P751" s="4">
        <v>643.1</v>
      </c>
      <c r="Q751" t="s">
        <v>30</v>
      </c>
      <c r="R751">
        <v>1</v>
      </c>
      <c r="S751" t="s">
        <v>38</v>
      </c>
      <c r="T751">
        <v>0</v>
      </c>
      <c r="U751">
        <v>0</v>
      </c>
      <c r="V751" t="s">
        <v>45</v>
      </c>
      <c r="W751" t="s">
        <v>43</v>
      </c>
      <c r="X751" s="4">
        <v>9.4</v>
      </c>
      <c r="Y751">
        <v>12</v>
      </c>
      <c r="Z751" s="5">
        <v>279.13</v>
      </c>
    </row>
    <row r="752" spans="1:26">
      <c r="A752">
        <v>751</v>
      </c>
      <c r="B752">
        <v>239</v>
      </c>
      <c r="C752" s="2">
        <v>46204</v>
      </c>
      <c r="D752" t="s">
        <v>52</v>
      </c>
      <c r="E752">
        <v>7</v>
      </c>
      <c r="F752" s="3">
        <v>8.42</v>
      </c>
      <c r="G752" t="s">
        <v>27</v>
      </c>
      <c r="H752">
        <v>31</v>
      </c>
      <c r="I752" t="s">
        <v>34</v>
      </c>
      <c r="J752" s="4">
        <v>64.900000000000006</v>
      </c>
      <c r="K752" s="4">
        <v>186.3</v>
      </c>
      <c r="L752" s="4">
        <v>30.9</v>
      </c>
      <c r="M752">
        <v>10</v>
      </c>
      <c r="N752" t="s">
        <v>59</v>
      </c>
      <c r="O752">
        <v>3</v>
      </c>
      <c r="P752" s="4">
        <v>643.1</v>
      </c>
      <c r="Q752" t="s">
        <v>30</v>
      </c>
      <c r="R752">
        <v>1</v>
      </c>
      <c r="S752" t="s">
        <v>38</v>
      </c>
      <c r="T752">
        <v>0</v>
      </c>
      <c r="U752">
        <v>0</v>
      </c>
      <c r="V752" t="s">
        <v>45</v>
      </c>
      <c r="W752" t="s">
        <v>43</v>
      </c>
      <c r="X752" s="4">
        <v>9.4</v>
      </c>
      <c r="Y752">
        <v>11</v>
      </c>
      <c r="Z752" s="5">
        <v>197.8</v>
      </c>
    </row>
    <row r="753" spans="1:26">
      <c r="A753">
        <v>752</v>
      </c>
      <c r="B753">
        <v>239</v>
      </c>
      <c r="C753" s="2">
        <v>46204</v>
      </c>
      <c r="D753" t="s">
        <v>52</v>
      </c>
      <c r="E753">
        <v>7</v>
      </c>
      <c r="F753" s="3">
        <v>8.08</v>
      </c>
      <c r="G753" t="s">
        <v>27</v>
      </c>
      <c r="H753">
        <v>47</v>
      </c>
      <c r="I753" t="s">
        <v>28</v>
      </c>
      <c r="J753" s="4">
        <v>66.599999999999994</v>
      </c>
      <c r="K753" s="4">
        <v>108.4</v>
      </c>
      <c r="L753" s="4">
        <v>17.100000000000001</v>
      </c>
      <c r="M753">
        <v>10</v>
      </c>
      <c r="N753" t="s">
        <v>59</v>
      </c>
      <c r="O753">
        <v>3</v>
      </c>
      <c r="P753" s="4">
        <v>643.1</v>
      </c>
      <c r="Q753" t="s">
        <v>30</v>
      </c>
      <c r="R753">
        <v>1</v>
      </c>
      <c r="S753" t="s">
        <v>38</v>
      </c>
      <c r="T753">
        <v>0</v>
      </c>
      <c r="U753">
        <v>0</v>
      </c>
      <c r="V753" t="s">
        <v>45</v>
      </c>
      <c r="W753" t="s">
        <v>43</v>
      </c>
      <c r="X753" s="4">
        <v>7.8</v>
      </c>
      <c r="Y753">
        <v>4</v>
      </c>
      <c r="Z753" s="5">
        <v>198.98</v>
      </c>
    </row>
    <row r="754" spans="1:26">
      <c r="A754">
        <v>753</v>
      </c>
      <c r="B754">
        <v>240</v>
      </c>
      <c r="C754" s="2">
        <v>46329</v>
      </c>
      <c r="D754" t="s">
        <v>35</v>
      </c>
      <c r="E754">
        <v>11</v>
      </c>
      <c r="F754" s="3">
        <v>9.94</v>
      </c>
      <c r="G754" t="s">
        <v>27</v>
      </c>
      <c r="H754">
        <v>35</v>
      </c>
      <c r="I754" t="s">
        <v>34</v>
      </c>
      <c r="J754" s="4">
        <v>64.8</v>
      </c>
      <c r="K754" s="4">
        <v>128.9</v>
      </c>
      <c r="L754" s="4">
        <v>21.6</v>
      </c>
      <c r="M754">
        <v>11</v>
      </c>
      <c r="N754" t="s">
        <v>61</v>
      </c>
      <c r="O754">
        <v>2</v>
      </c>
      <c r="P754" s="4">
        <v>1839.1</v>
      </c>
      <c r="Q754" t="s">
        <v>30</v>
      </c>
      <c r="R754">
        <v>0</v>
      </c>
      <c r="S754" t="s">
        <v>44</v>
      </c>
      <c r="T754">
        <v>0</v>
      </c>
      <c r="U754">
        <v>0</v>
      </c>
      <c r="V754" t="s">
        <v>32</v>
      </c>
      <c r="W754" t="s">
        <v>39</v>
      </c>
      <c r="X754" s="4">
        <v>7.2</v>
      </c>
      <c r="Y754">
        <v>6</v>
      </c>
      <c r="Z754" s="5">
        <v>135.1</v>
      </c>
    </row>
    <row r="755" spans="1:26">
      <c r="A755">
        <v>754</v>
      </c>
      <c r="B755">
        <v>240</v>
      </c>
      <c r="C755" s="2">
        <v>46329</v>
      </c>
      <c r="D755" t="s">
        <v>35</v>
      </c>
      <c r="E755">
        <v>11</v>
      </c>
      <c r="F755" s="3">
        <v>10.11</v>
      </c>
      <c r="G755" t="s">
        <v>27</v>
      </c>
      <c r="H755">
        <v>19</v>
      </c>
      <c r="I755" t="s">
        <v>34</v>
      </c>
      <c r="J755" s="4">
        <v>68.900000000000006</v>
      </c>
      <c r="K755" s="4">
        <v>153.4</v>
      </c>
      <c r="L755" s="4">
        <v>22.6</v>
      </c>
      <c r="M755">
        <v>12</v>
      </c>
      <c r="N755" t="s">
        <v>61</v>
      </c>
      <c r="O755">
        <v>2</v>
      </c>
      <c r="P755" s="4">
        <v>1839.1</v>
      </c>
      <c r="Q755" t="s">
        <v>30</v>
      </c>
      <c r="R755">
        <v>0</v>
      </c>
      <c r="S755" t="s">
        <v>44</v>
      </c>
      <c r="T755">
        <v>0</v>
      </c>
      <c r="U755">
        <v>0</v>
      </c>
      <c r="V755" t="s">
        <v>32</v>
      </c>
      <c r="W755" t="s">
        <v>39</v>
      </c>
      <c r="X755" s="4">
        <v>9</v>
      </c>
      <c r="Y755">
        <v>8</v>
      </c>
      <c r="Z755" s="5">
        <v>159.37</v>
      </c>
    </row>
    <row r="756" spans="1:26">
      <c r="A756">
        <v>755</v>
      </c>
      <c r="B756">
        <v>241</v>
      </c>
      <c r="C756" s="2">
        <v>46258</v>
      </c>
      <c r="D756" t="s">
        <v>46</v>
      </c>
      <c r="E756">
        <v>8</v>
      </c>
      <c r="F756" s="3">
        <v>14.62</v>
      </c>
      <c r="G756" t="s">
        <v>36</v>
      </c>
      <c r="H756">
        <v>60</v>
      </c>
      <c r="I756" t="s">
        <v>28</v>
      </c>
      <c r="J756" s="4">
        <v>77.900000000000006</v>
      </c>
      <c r="K756" s="4">
        <v>234</v>
      </c>
      <c r="L756" s="4">
        <v>27.3</v>
      </c>
      <c r="M756">
        <v>17</v>
      </c>
      <c r="N756" t="s">
        <v>37</v>
      </c>
      <c r="O756">
        <v>6</v>
      </c>
      <c r="P756" s="4">
        <v>814.3</v>
      </c>
      <c r="Q756" t="s">
        <v>48</v>
      </c>
      <c r="R756">
        <v>0</v>
      </c>
      <c r="S756" t="s">
        <v>31</v>
      </c>
      <c r="T756">
        <v>0</v>
      </c>
      <c r="U756">
        <v>0</v>
      </c>
      <c r="V756" t="s">
        <v>32</v>
      </c>
      <c r="W756" t="s">
        <v>43</v>
      </c>
      <c r="X756" s="4">
        <v>10.199999999999999</v>
      </c>
      <c r="Y756">
        <v>6</v>
      </c>
      <c r="Z756" s="5">
        <v>225.54</v>
      </c>
    </row>
    <row r="757" spans="1:26">
      <c r="A757">
        <v>756</v>
      </c>
      <c r="B757">
        <v>241</v>
      </c>
      <c r="C757" s="2">
        <v>46258</v>
      </c>
      <c r="D757" t="s">
        <v>46</v>
      </c>
      <c r="E757">
        <v>8</v>
      </c>
      <c r="F757" s="3">
        <v>14.55</v>
      </c>
      <c r="G757" t="s">
        <v>36</v>
      </c>
      <c r="H757">
        <v>36</v>
      </c>
      <c r="I757" t="s">
        <v>28</v>
      </c>
      <c r="J757" s="4">
        <v>68.8</v>
      </c>
      <c r="K757" s="4">
        <v>191.9</v>
      </c>
      <c r="L757" s="4">
        <v>28.5</v>
      </c>
      <c r="M757">
        <v>17</v>
      </c>
      <c r="N757" t="s">
        <v>37</v>
      </c>
      <c r="O757">
        <v>6</v>
      </c>
      <c r="P757" s="4">
        <v>814.3</v>
      </c>
      <c r="Q757" t="s">
        <v>48</v>
      </c>
      <c r="R757">
        <v>0</v>
      </c>
      <c r="S757" t="s">
        <v>31</v>
      </c>
      <c r="T757">
        <v>0</v>
      </c>
      <c r="U757">
        <v>0</v>
      </c>
      <c r="V757" t="s">
        <v>32</v>
      </c>
      <c r="W757" t="s">
        <v>43</v>
      </c>
      <c r="X757" s="4">
        <v>10</v>
      </c>
      <c r="Y757">
        <v>15</v>
      </c>
      <c r="Z757" s="5">
        <v>423.06</v>
      </c>
    </row>
    <row r="758" spans="1:26">
      <c r="A758">
        <v>757</v>
      </c>
      <c r="B758">
        <v>241</v>
      </c>
      <c r="C758" s="2">
        <v>46258</v>
      </c>
      <c r="D758" t="s">
        <v>46</v>
      </c>
      <c r="E758">
        <v>8</v>
      </c>
      <c r="F758" s="3">
        <v>14.48</v>
      </c>
      <c r="G758" t="s">
        <v>36</v>
      </c>
      <c r="H758">
        <v>50</v>
      </c>
      <c r="I758" t="s">
        <v>28</v>
      </c>
      <c r="J758" s="4">
        <v>69.099999999999994</v>
      </c>
      <c r="K758" s="4">
        <v>186.5</v>
      </c>
      <c r="L758" s="4">
        <v>27.3</v>
      </c>
      <c r="M758">
        <v>17</v>
      </c>
      <c r="N758" t="s">
        <v>37</v>
      </c>
      <c r="O758">
        <v>6</v>
      </c>
      <c r="P758" s="4">
        <v>814.3</v>
      </c>
      <c r="Q758" t="s">
        <v>48</v>
      </c>
      <c r="R758">
        <v>0</v>
      </c>
      <c r="S758" t="s">
        <v>31</v>
      </c>
      <c r="T758">
        <v>0</v>
      </c>
      <c r="U758">
        <v>0</v>
      </c>
      <c r="V758" t="s">
        <v>32</v>
      </c>
      <c r="W758" t="s">
        <v>43</v>
      </c>
      <c r="X758" s="4">
        <v>6.9</v>
      </c>
      <c r="Y758">
        <v>7</v>
      </c>
      <c r="Z758" s="5">
        <v>266.85000000000002</v>
      </c>
    </row>
    <row r="759" spans="1:26">
      <c r="A759">
        <v>758</v>
      </c>
      <c r="B759">
        <v>241</v>
      </c>
      <c r="C759" s="2">
        <v>46258</v>
      </c>
      <c r="D759" t="s">
        <v>46</v>
      </c>
      <c r="E759">
        <v>8</v>
      </c>
      <c r="F759" s="3">
        <v>14.71</v>
      </c>
      <c r="G759" t="s">
        <v>36</v>
      </c>
      <c r="H759">
        <v>36</v>
      </c>
      <c r="I759" t="s">
        <v>34</v>
      </c>
      <c r="J759" s="4">
        <v>62.9</v>
      </c>
      <c r="K759" s="4">
        <v>161.9</v>
      </c>
      <c r="L759" s="4">
        <v>29.1</v>
      </c>
      <c r="M759">
        <v>18</v>
      </c>
      <c r="N759" t="s">
        <v>37</v>
      </c>
      <c r="O759">
        <v>6</v>
      </c>
      <c r="P759" s="4">
        <v>814.3</v>
      </c>
      <c r="Q759" t="s">
        <v>48</v>
      </c>
      <c r="R759">
        <v>0</v>
      </c>
      <c r="S759" t="s">
        <v>31</v>
      </c>
      <c r="T759">
        <v>0</v>
      </c>
      <c r="U759">
        <v>0</v>
      </c>
      <c r="V759" t="s">
        <v>32</v>
      </c>
      <c r="W759" t="s">
        <v>43</v>
      </c>
      <c r="X759" s="4">
        <v>6.1</v>
      </c>
      <c r="Y759">
        <v>6</v>
      </c>
      <c r="Z759" s="5">
        <v>227.31</v>
      </c>
    </row>
    <row r="760" spans="1:26">
      <c r="A760">
        <v>759</v>
      </c>
      <c r="B760">
        <v>241</v>
      </c>
      <c r="C760" s="2">
        <v>46258</v>
      </c>
      <c r="D760" t="s">
        <v>46</v>
      </c>
      <c r="E760">
        <v>8</v>
      </c>
      <c r="F760" s="3">
        <v>14.64</v>
      </c>
      <c r="G760" t="s">
        <v>36</v>
      </c>
      <c r="H760">
        <v>38</v>
      </c>
      <c r="I760" t="s">
        <v>28</v>
      </c>
      <c r="J760" s="4">
        <v>64.3</v>
      </c>
      <c r="K760" s="4">
        <v>185.5</v>
      </c>
      <c r="L760" s="4">
        <v>31.5</v>
      </c>
      <c r="M760">
        <v>16</v>
      </c>
      <c r="N760" t="s">
        <v>37</v>
      </c>
      <c r="O760">
        <v>6</v>
      </c>
      <c r="P760" s="4">
        <v>814.3</v>
      </c>
      <c r="Q760" t="s">
        <v>48</v>
      </c>
      <c r="R760">
        <v>0</v>
      </c>
      <c r="S760" t="s">
        <v>31</v>
      </c>
      <c r="T760">
        <v>0</v>
      </c>
      <c r="U760">
        <v>0</v>
      </c>
      <c r="V760" t="s">
        <v>32</v>
      </c>
      <c r="W760" t="s">
        <v>43</v>
      </c>
      <c r="X760" s="4">
        <v>6.3</v>
      </c>
      <c r="Y760">
        <v>4</v>
      </c>
      <c r="Z760" s="5">
        <v>158.51</v>
      </c>
    </row>
    <row r="761" spans="1:26">
      <c r="A761">
        <v>760</v>
      </c>
      <c r="B761">
        <v>241</v>
      </c>
      <c r="C761" s="2">
        <v>46258</v>
      </c>
      <c r="D761" t="s">
        <v>46</v>
      </c>
      <c r="E761">
        <v>8</v>
      </c>
      <c r="F761" s="3">
        <v>14.51</v>
      </c>
      <c r="G761" t="s">
        <v>36</v>
      </c>
      <c r="H761">
        <v>60</v>
      </c>
      <c r="I761" t="s">
        <v>34</v>
      </c>
      <c r="J761" s="4">
        <v>61.9</v>
      </c>
      <c r="K761" s="4">
        <v>194.4</v>
      </c>
      <c r="L761" s="4">
        <v>35.799999999999997</v>
      </c>
      <c r="M761">
        <v>21</v>
      </c>
      <c r="N761" t="s">
        <v>37</v>
      </c>
      <c r="O761">
        <v>6</v>
      </c>
      <c r="P761" s="4">
        <v>814.3</v>
      </c>
      <c r="Q761" t="s">
        <v>48</v>
      </c>
      <c r="R761">
        <v>0</v>
      </c>
      <c r="S761" t="s">
        <v>31</v>
      </c>
      <c r="T761">
        <v>0</v>
      </c>
      <c r="U761">
        <v>0</v>
      </c>
      <c r="V761" t="s">
        <v>32</v>
      </c>
      <c r="W761" t="s">
        <v>43</v>
      </c>
      <c r="X761" s="4">
        <v>7.7</v>
      </c>
      <c r="Y761">
        <v>7</v>
      </c>
      <c r="Z761" s="5">
        <v>127.24</v>
      </c>
    </row>
    <row r="762" spans="1:26">
      <c r="A762">
        <v>761</v>
      </c>
      <c r="B762">
        <v>242</v>
      </c>
      <c r="C762" s="2">
        <v>46149</v>
      </c>
      <c r="D762" t="s">
        <v>55</v>
      </c>
      <c r="E762">
        <v>5</v>
      </c>
      <c r="F762" s="3">
        <v>9.44</v>
      </c>
      <c r="G762" t="s">
        <v>27</v>
      </c>
      <c r="H762">
        <v>52</v>
      </c>
      <c r="I762" t="s">
        <v>34</v>
      </c>
      <c r="J762" s="4">
        <v>67</v>
      </c>
      <c r="K762" s="4">
        <v>173.2</v>
      </c>
      <c r="L762" s="4">
        <v>27.3</v>
      </c>
      <c r="M762">
        <v>15</v>
      </c>
      <c r="N762" t="s">
        <v>47</v>
      </c>
      <c r="O762">
        <v>5</v>
      </c>
      <c r="P762" s="4">
        <v>107</v>
      </c>
      <c r="Q762" t="s">
        <v>42</v>
      </c>
      <c r="R762">
        <v>0</v>
      </c>
      <c r="S762" t="s">
        <v>31</v>
      </c>
      <c r="T762">
        <v>0</v>
      </c>
      <c r="U762">
        <v>0</v>
      </c>
      <c r="V762" t="s">
        <v>32</v>
      </c>
      <c r="W762" t="s">
        <v>39</v>
      </c>
      <c r="X762" s="4">
        <v>9.6</v>
      </c>
      <c r="Y762">
        <v>10</v>
      </c>
      <c r="Z762" s="5">
        <v>262.58999999999997</v>
      </c>
    </row>
    <row r="763" spans="1:26">
      <c r="A763">
        <v>762</v>
      </c>
      <c r="B763">
        <v>242</v>
      </c>
      <c r="C763" s="2">
        <v>46149</v>
      </c>
      <c r="D763" t="s">
        <v>55</v>
      </c>
      <c r="E763">
        <v>5</v>
      </c>
      <c r="F763" s="3">
        <v>9.5399999999999991</v>
      </c>
      <c r="G763" t="s">
        <v>27</v>
      </c>
      <c r="H763">
        <v>38</v>
      </c>
      <c r="I763" t="s">
        <v>34</v>
      </c>
      <c r="J763" s="4">
        <v>63.1</v>
      </c>
      <c r="K763" s="4">
        <v>161.4</v>
      </c>
      <c r="L763" s="4">
        <v>28.2</v>
      </c>
      <c r="M763">
        <v>17</v>
      </c>
      <c r="N763" t="s">
        <v>47</v>
      </c>
      <c r="O763">
        <v>5</v>
      </c>
      <c r="P763" s="4">
        <v>107</v>
      </c>
      <c r="Q763" t="s">
        <v>42</v>
      </c>
      <c r="R763">
        <v>0</v>
      </c>
      <c r="S763" t="s">
        <v>31</v>
      </c>
      <c r="T763">
        <v>0</v>
      </c>
      <c r="U763">
        <v>0</v>
      </c>
      <c r="V763" t="s">
        <v>32</v>
      </c>
      <c r="W763" t="s">
        <v>39</v>
      </c>
      <c r="X763" s="4">
        <v>9.1</v>
      </c>
      <c r="Y763">
        <v>12</v>
      </c>
      <c r="Z763" s="5">
        <v>207.32</v>
      </c>
    </row>
    <row r="764" spans="1:26">
      <c r="A764">
        <v>763</v>
      </c>
      <c r="B764">
        <v>242</v>
      </c>
      <c r="C764" s="2">
        <v>46149</v>
      </c>
      <c r="D764" t="s">
        <v>55</v>
      </c>
      <c r="E764">
        <v>5</v>
      </c>
      <c r="F764" s="3">
        <v>9.43</v>
      </c>
      <c r="G764" t="s">
        <v>27</v>
      </c>
      <c r="H764">
        <v>5</v>
      </c>
      <c r="I764" t="s">
        <v>28</v>
      </c>
      <c r="J764" s="4">
        <v>53.9</v>
      </c>
      <c r="K764" s="4">
        <v>69.400000000000006</v>
      </c>
      <c r="L764" s="4">
        <v>16.899999999999999</v>
      </c>
      <c r="M764">
        <v>16</v>
      </c>
      <c r="N764" t="s">
        <v>47</v>
      </c>
      <c r="O764">
        <v>5</v>
      </c>
      <c r="P764" s="4">
        <v>107</v>
      </c>
      <c r="Q764" t="s">
        <v>42</v>
      </c>
      <c r="R764">
        <v>0</v>
      </c>
      <c r="S764" t="s">
        <v>31</v>
      </c>
      <c r="T764">
        <v>0</v>
      </c>
      <c r="U764">
        <v>0</v>
      </c>
      <c r="V764" t="s">
        <v>32</v>
      </c>
      <c r="W764" t="s">
        <v>39</v>
      </c>
      <c r="X764" s="4">
        <v>10.1</v>
      </c>
      <c r="Y764">
        <v>11</v>
      </c>
      <c r="Z764" s="5">
        <v>318.06</v>
      </c>
    </row>
    <row r="765" spans="1:26">
      <c r="A765">
        <v>764</v>
      </c>
      <c r="B765">
        <v>242</v>
      </c>
      <c r="C765" s="2">
        <v>46149</v>
      </c>
      <c r="D765" t="s">
        <v>55</v>
      </c>
      <c r="E765">
        <v>5</v>
      </c>
      <c r="F765" s="3">
        <v>9.26</v>
      </c>
      <c r="G765" t="s">
        <v>27</v>
      </c>
      <c r="H765">
        <v>38</v>
      </c>
      <c r="I765" t="s">
        <v>28</v>
      </c>
      <c r="J765" s="4">
        <v>73.099999999999994</v>
      </c>
      <c r="K765" s="4">
        <v>203.6</v>
      </c>
      <c r="L765" s="4">
        <v>26.9</v>
      </c>
      <c r="M765">
        <v>13</v>
      </c>
      <c r="N765" t="s">
        <v>47</v>
      </c>
      <c r="O765">
        <v>5</v>
      </c>
      <c r="P765" s="4">
        <v>107</v>
      </c>
      <c r="Q765" t="s">
        <v>42</v>
      </c>
      <c r="R765">
        <v>0</v>
      </c>
      <c r="S765" t="s">
        <v>31</v>
      </c>
      <c r="T765">
        <v>0</v>
      </c>
      <c r="U765">
        <v>0</v>
      </c>
      <c r="V765" t="s">
        <v>32</v>
      </c>
      <c r="W765" t="s">
        <v>39</v>
      </c>
      <c r="X765" s="4">
        <v>7.3</v>
      </c>
      <c r="Y765">
        <v>7</v>
      </c>
      <c r="Z765" s="5">
        <v>272.51</v>
      </c>
    </row>
    <row r="766" spans="1:26">
      <c r="A766">
        <v>765</v>
      </c>
      <c r="B766">
        <v>242</v>
      </c>
      <c r="C766" s="2">
        <v>46149</v>
      </c>
      <c r="D766" t="s">
        <v>55</v>
      </c>
      <c r="E766">
        <v>5</v>
      </c>
      <c r="F766" s="3">
        <v>9.5500000000000007</v>
      </c>
      <c r="G766" t="s">
        <v>27</v>
      </c>
      <c r="H766">
        <v>11</v>
      </c>
      <c r="I766" t="s">
        <v>28</v>
      </c>
      <c r="J766" s="4">
        <v>56.7</v>
      </c>
      <c r="K766" s="4">
        <v>96.4</v>
      </c>
      <c r="L766" s="4">
        <v>21.3</v>
      </c>
      <c r="M766">
        <v>11</v>
      </c>
      <c r="N766" t="s">
        <v>47</v>
      </c>
      <c r="O766">
        <v>5</v>
      </c>
      <c r="P766" s="4">
        <v>107</v>
      </c>
      <c r="Q766" t="s">
        <v>42</v>
      </c>
      <c r="R766">
        <v>0</v>
      </c>
      <c r="S766" t="s">
        <v>31</v>
      </c>
      <c r="T766">
        <v>0</v>
      </c>
      <c r="U766">
        <v>0</v>
      </c>
      <c r="V766" t="s">
        <v>32</v>
      </c>
      <c r="W766" t="s">
        <v>39</v>
      </c>
      <c r="X766" s="4">
        <v>10.1</v>
      </c>
      <c r="Y766">
        <v>14</v>
      </c>
      <c r="Z766" s="5">
        <v>197.63</v>
      </c>
    </row>
    <row r="767" spans="1:26">
      <c r="A767">
        <v>766</v>
      </c>
      <c r="B767">
        <v>243</v>
      </c>
      <c r="C767" s="2">
        <v>46357</v>
      </c>
      <c r="D767" t="s">
        <v>35</v>
      </c>
      <c r="E767">
        <v>12</v>
      </c>
      <c r="F767" s="3">
        <v>9.18</v>
      </c>
      <c r="G767" t="s">
        <v>27</v>
      </c>
      <c r="H767">
        <v>26</v>
      </c>
      <c r="I767" t="s">
        <v>28</v>
      </c>
      <c r="J767" s="4">
        <v>68.400000000000006</v>
      </c>
      <c r="K767" s="4">
        <v>129.9</v>
      </c>
      <c r="L767" s="4">
        <v>19.899999999999999</v>
      </c>
      <c r="M767">
        <v>18</v>
      </c>
      <c r="N767" t="s">
        <v>50</v>
      </c>
      <c r="O767">
        <v>5</v>
      </c>
      <c r="P767" s="4">
        <v>423.7</v>
      </c>
      <c r="Q767" t="s">
        <v>48</v>
      </c>
      <c r="R767">
        <v>1</v>
      </c>
      <c r="S767" t="s">
        <v>38</v>
      </c>
      <c r="T767">
        <v>0</v>
      </c>
      <c r="U767">
        <v>0</v>
      </c>
      <c r="V767" t="s">
        <v>32</v>
      </c>
      <c r="W767" t="s">
        <v>39</v>
      </c>
      <c r="X767" s="4">
        <v>9.1999999999999993</v>
      </c>
      <c r="Y767">
        <v>9</v>
      </c>
      <c r="Z767" s="5">
        <v>246.7</v>
      </c>
    </row>
    <row r="768" spans="1:26">
      <c r="A768">
        <v>767</v>
      </c>
      <c r="B768">
        <v>243</v>
      </c>
      <c r="C768" s="2">
        <v>46357</v>
      </c>
      <c r="D768" t="s">
        <v>35</v>
      </c>
      <c r="E768">
        <v>12</v>
      </c>
      <c r="F768" s="3">
        <v>9.4499999999999993</v>
      </c>
      <c r="G768" t="s">
        <v>27</v>
      </c>
      <c r="H768">
        <v>42</v>
      </c>
      <c r="I768" t="s">
        <v>34</v>
      </c>
      <c r="J768" s="4">
        <v>62.4</v>
      </c>
      <c r="K768" s="4">
        <v>152.80000000000001</v>
      </c>
      <c r="L768" s="4">
        <v>27.6</v>
      </c>
      <c r="M768">
        <v>15</v>
      </c>
      <c r="N768" t="s">
        <v>50</v>
      </c>
      <c r="O768">
        <v>5</v>
      </c>
      <c r="P768" s="4">
        <v>423.7</v>
      </c>
      <c r="Q768" t="s">
        <v>48</v>
      </c>
      <c r="R768">
        <v>1</v>
      </c>
      <c r="S768" t="s">
        <v>38</v>
      </c>
      <c r="T768">
        <v>0</v>
      </c>
      <c r="U768">
        <v>0</v>
      </c>
      <c r="V768" t="s">
        <v>32</v>
      </c>
      <c r="W768" t="s">
        <v>39</v>
      </c>
      <c r="X768" s="4">
        <v>11.5</v>
      </c>
      <c r="Y768">
        <v>8</v>
      </c>
      <c r="Z768" s="5">
        <v>474.52</v>
      </c>
    </row>
    <row r="769" spans="1:26">
      <c r="A769">
        <v>768</v>
      </c>
      <c r="B769">
        <v>243</v>
      </c>
      <c r="C769" s="2">
        <v>46357</v>
      </c>
      <c r="D769" t="s">
        <v>35</v>
      </c>
      <c r="E769">
        <v>12</v>
      </c>
      <c r="F769" s="3">
        <v>9.15</v>
      </c>
      <c r="G769" t="s">
        <v>27</v>
      </c>
      <c r="H769">
        <v>59</v>
      </c>
      <c r="I769" t="s">
        <v>34</v>
      </c>
      <c r="J769" s="4">
        <v>66.5</v>
      </c>
      <c r="K769" s="4">
        <v>187.4</v>
      </c>
      <c r="L769" s="4">
        <v>29.8</v>
      </c>
      <c r="M769">
        <v>17</v>
      </c>
      <c r="N769" t="s">
        <v>50</v>
      </c>
      <c r="O769">
        <v>5</v>
      </c>
      <c r="P769" s="4">
        <v>423.7</v>
      </c>
      <c r="Q769" t="s">
        <v>48</v>
      </c>
      <c r="R769">
        <v>1</v>
      </c>
      <c r="S769" t="s">
        <v>38</v>
      </c>
      <c r="T769">
        <v>0</v>
      </c>
      <c r="U769">
        <v>0</v>
      </c>
      <c r="V769" t="s">
        <v>32</v>
      </c>
      <c r="W769" t="s">
        <v>39</v>
      </c>
      <c r="X769" s="4">
        <v>8.6999999999999993</v>
      </c>
      <c r="Y769">
        <v>10</v>
      </c>
      <c r="Z769" s="5">
        <v>329.09</v>
      </c>
    </row>
    <row r="770" spans="1:26">
      <c r="A770">
        <v>769</v>
      </c>
      <c r="B770">
        <v>243</v>
      </c>
      <c r="C770" s="2">
        <v>46357</v>
      </c>
      <c r="D770" t="s">
        <v>35</v>
      </c>
      <c r="E770">
        <v>12</v>
      </c>
      <c r="F770" s="3">
        <v>9.2200000000000006</v>
      </c>
      <c r="G770" t="s">
        <v>27</v>
      </c>
      <c r="H770">
        <v>57</v>
      </c>
      <c r="I770" t="s">
        <v>28</v>
      </c>
      <c r="J770" s="4">
        <v>68</v>
      </c>
      <c r="K770" s="4">
        <v>163.19999999999999</v>
      </c>
      <c r="L770" s="4">
        <v>24.7</v>
      </c>
      <c r="M770">
        <v>14</v>
      </c>
      <c r="N770" t="s">
        <v>50</v>
      </c>
      <c r="O770">
        <v>5</v>
      </c>
      <c r="P770" s="4">
        <v>423.7</v>
      </c>
      <c r="Q770" t="s">
        <v>48</v>
      </c>
      <c r="R770">
        <v>1</v>
      </c>
      <c r="S770" t="s">
        <v>38</v>
      </c>
      <c r="T770">
        <v>0</v>
      </c>
      <c r="U770">
        <v>0</v>
      </c>
      <c r="V770" t="s">
        <v>32</v>
      </c>
      <c r="W770" t="s">
        <v>39</v>
      </c>
      <c r="X770" s="4">
        <v>9.8000000000000007</v>
      </c>
      <c r="Y770">
        <v>6</v>
      </c>
      <c r="Z770" s="5">
        <v>244.64</v>
      </c>
    </row>
    <row r="771" spans="1:26">
      <c r="A771">
        <v>770</v>
      </c>
      <c r="B771">
        <v>243</v>
      </c>
      <c r="C771" s="2">
        <v>46357</v>
      </c>
      <c r="D771" t="s">
        <v>35</v>
      </c>
      <c r="E771">
        <v>12</v>
      </c>
      <c r="F771" s="3">
        <v>9.23</v>
      </c>
      <c r="G771" t="s">
        <v>27</v>
      </c>
      <c r="H771">
        <v>30</v>
      </c>
      <c r="I771" t="s">
        <v>34</v>
      </c>
      <c r="J771" s="4">
        <v>66.5</v>
      </c>
      <c r="K771" s="4">
        <v>169.7</v>
      </c>
      <c r="L771" s="4">
        <v>27.1</v>
      </c>
      <c r="M771">
        <v>18</v>
      </c>
      <c r="N771" t="s">
        <v>50</v>
      </c>
      <c r="O771">
        <v>5</v>
      </c>
      <c r="P771" s="4">
        <v>423.7</v>
      </c>
      <c r="Q771" t="s">
        <v>48</v>
      </c>
      <c r="R771">
        <v>1</v>
      </c>
      <c r="S771" t="s">
        <v>38</v>
      </c>
      <c r="T771">
        <v>0</v>
      </c>
      <c r="U771">
        <v>0</v>
      </c>
      <c r="V771" t="s">
        <v>32</v>
      </c>
      <c r="W771" t="s">
        <v>39</v>
      </c>
      <c r="X771" s="4">
        <v>7.3</v>
      </c>
      <c r="Y771">
        <v>4</v>
      </c>
      <c r="Z771" s="5">
        <v>361.18</v>
      </c>
    </row>
    <row r="772" spans="1:26">
      <c r="A772">
        <v>771</v>
      </c>
      <c r="B772">
        <v>244</v>
      </c>
      <c r="C772" s="2">
        <v>46134</v>
      </c>
      <c r="D772" t="s">
        <v>52</v>
      </c>
      <c r="E772">
        <v>4</v>
      </c>
      <c r="F772" s="3">
        <v>8.43</v>
      </c>
      <c r="G772" t="s">
        <v>27</v>
      </c>
      <c r="H772">
        <v>57</v>
      </c>
      <c r="I772" t="s">
        <v>34</v>
      </c>
      <c r="J772" s="4">
        <v>61.5</v>
      </c>
      <c r="K772" s="4">
        <v>136.80000000000001</v>
      </c>
      <c r="L772" s="4">
        <v>25.5</v>
      </c>
      <c r="M772">
        <v>14</v>
      </c>
      <c r="N772" t="s">
        <v>47</v>
      </c>
      <c r="O772">
        <v>3</v>
      </c>
      <c r="P772" s="4">
        <v>19.7</v>
      </c>
      <c r="Q772" t="s">
        <v>42</v>
      </c>
      <c r="R772">
        <v>0</v>
      </c>
      <c r="S772" t="s">
        <v>44</v>
      </c>
      <c r="T772">
        <v>0</v>
      </c>
      <c r="U772">
        <v>0</v>
      </c>
      <c r="V772" t="s">
        <v>32</v>
      </c>
      <c r="W772" t="s">
        <v>39</v>
      </c>
      <c r="X772" s="4">
        <v>7.9</v>
      </c>
      <c r="Y772">
        <v>6</v>
      </c>
      <c r="Z772" s="5">
        <v>363.8</v>
      </c>
    </row>
    <row r="773" spans="1:26">
      <c r="A773">
        <v>772</v>
      </c>
      <c r="B773">
        <v>244</v>
      </c>
      <c r="C773" s="2">
        <v>46134</v>
      </c>
      <c r="D773" t="s">
        <v>52</v>
      </c>
      <c r="E773">
        <v>4</v>
      </c>
      <c r="F773" s="3">
        <v>8.5299999999999994</v>
      </c>
      <c r="G773" t="s">
        <v>27</v>
      </c>
      <c r="H773">
        <v>48</v>
      </c>
      <c r="I773" t="s">
        <v>28</v>
      </c>
      <c r="J773" s="4">
        <v>72.7</v>
      </c>
      <c r="K773" s="4">
        <v>182.6</v>
      </c>
      <c r="L773" s="4">
        <v>24.2</v>
      </c>
      <c r="M773">
        <v>14</v>
      </c>
      <c r="N773" t="s">
        <v>47</v>
      </c>
      <c r="O773">
        <v>3</v>
      </c>
      <c r="P773" s="4">
        <v>19.7</v>
      </c>
      <c r="Q773" t="s">
        <v>42</v>
      </c>
      <c r="R773">
        <v>0</v>
      </c>
      <c r="S773" t="s">
        <v>44</v>
      </c>
      <c r="T773">
        <v>0</v>
      </c>
      <c r="U773">
        <v>0</v>
      </c>
      <c r="V773" t="s">
        <v>32</v>
      </c>
      <c r="W773" t="s">
        <v>39</v>
      </c>
      <c r="X773" s="4">
        <v>9</v>
      </c>
      <c r="Y773">
        <v>5</v>
      </c>
      <c r="Z773" s="5">
        <v>173.68</v>
      </c>
    </row>
    <row r="774" spans="1:26">
      <c r="A774">
        <v>773</v>
      </c>
      <c r="B774">
        <v>244</v>
      </c>
      <c r="C774" s="2">
        <v>46134</v>
      </c>
      <c r="D774" t="s">
        <v>52</v>
      </c>
      <c r="E774">
        <v>4</v>
      </c>
      <c r="F774" s="3">
        <v>8.42</v>
      </c>
      <c r="G774" t="s">
        <v>27</v>
      </c>
      <c r="H774">
        <v>64</v>
      </c>
      <c r="I774" t="s">
        <v>28</v>
      </c>
      <c r="J774" s="4">
        <v>67.900000000000006</v>
      </c>
      <c r="K774" s="4">
        <v>201.2</v>
      </c>
      <c r="L774" s="4">
        <v>30.6</v>
      </c>
      <c r="M774">
        <v>13</v>
      </c>
      <c r="N774" t="s">
        <v>47</v>
      </c>
      <c r="O774">
        <v>3</v>
      </c>
      <c r="P774" s="4">
        <v>19.7</v>
      </c>
      <c r="Q774" t="s">
        <v>42</v>
      </c>
      <c r="R774">
        <v>0</v>
      </c>
      <c r="S774" t="s">
        <v>44</v>
      </c>
      <c r="T774">
        <v>0</v>
      </c>
      <c r="U774">
        <v>0</v>
      </c>
      <c r="V774" t="s">
        <v>32</v>
      </c>
      <c r="W774" t="s">
        <v>39</v>
      </c>
      <c r="X774" s="4">
        <v>8.5</v>
      </c>
      <c r="Y774">
        <v>14</v>
      </c>
      <c r="Z774" s="5">
        <v>145.02000000000001</v>
      </c>
    </row>
    <row r="775" spans="1:26">
      <c r="A775">
        <v>774</v>
      </c>
      <c r="B775">
        <v>245</v>
      </c>
      <c r="C775" s="2">
        <v>46126</v>
      </c>
      <c r="D775" t="s">
        <v>35</v>
      </c>
      <c r="E775">
        <v>4</v>
      </c>
      <c r="F775" s="3">
        <v>8.15</v>
      </c>
      <c r="G775" t="s">
        <v>27</v>
      </c>
      <c r="H775">
        <v>56</v>
      </c>
      <c r="I775" t="s">
        <v>28</v>
      </c>
      <c r="J775" s="4">
        <v>69.400000000000006</v>
      </c>
      <c r="K775" s="4">
        <v>158.5</v>
      </c>
      <c r="L775" s="4">
        <v>22.8</v>
      </c>
      <c r="M775">
        <v>18</v>
      </c>
      <c r="N775" t="s">
        <v>47</v>
      </c>
      <c r="O775">
        <v>3</v>
      </c>
      <c r="P775" s="4">
        <v>40.4</v>
      </c>
      <c r="Q775" t="s">
        <v>42</v>
      </c>
      <c r="R775">
        <v>0</v>
      </c>
      <c r="S775" t="s">
        <v>31</v>
      </c>
      <c r="T775">
        <v>0</v>
      </c>
      <c r="U775">
        <v>0</v>
      </c>
      <c r="V775" t="s">
        <v>32</v>
      </c>
      <c r="W775" t="s">
        <v>39</v>
      </c>
      <c r="X775" s="4">
        <v>7.5</v>
      </c>
      <c r="Y775">
        <v>10</v>
      </c>
      <c r="Z775" s="5">
        <v>176.52</v>
      </c>
    </row>
    <row r="776" spans="1:26">
      <c r="A776">
        <v>775</v>
      </c>
      <c r="B776">
        <v>245</v>
      </c>
      <c r="C776" s="2">
        <v>46126</v>
      </c>
      <c r="D776" t="s">
        <v>35</v>
      </c>
      <c r="E776">
        <v>4</v>
      </c>
      <c r="F776" s="3">
        <v>8.23</v>
      </c>
      <c r="G776" t="s">
        <v>27</v>
      </c>
      <c r="H776">
        <v>6</v>
      </c>
      <c r="I776" t="s">
        <v>34</v>
      </c>
      <c r="J776" s="4">
        <v>56.5</v>
      </c>
      <c r="K776" s="4">
        <v>92</v>
      </c>
      <c r="L776" s="4">
        <v>20.5</v>
      </c>
      <c r="M776">
        <v>10</v>
      </c>
      <c r="N776" t="s">
        <v>47</v>
      </c>
      <c r="O776">
        <v>3</v>
      </c>
      <c r="P776" s="4">
        <v>40.4</v>
      </c>
      <c r="Q776" t="s">
        <v>42</v>
      </c>
      <c r="R776">
        <v>0</v>
      </c>
      <c r="S776" t="s">
        <v>31</v>
      </c>
      <c r="T776">
        <v>0</v>
      </c>
      <c r="U776">
        <v>0</v>
      </c>
      <c r="V776" t="s">
        <v>32</v>
      </c>
      <c r="W776" t="s">
        <v>39</v>
      </c>
      <c r="X776" s="4">
        <v>7.5</v>
      </c>
      <c r="Y776">
        <v>5</v>
      </c>
      <c r="Z776" s="5">
        <v>118.19</v>
      </c>
    </row>
    <row r="777" spans="1:26">
      <c r="A777">
        <v>776</v>
      </c>
      <c r="B777">
        <v>245</v>
      </c>
      <c r="C777" s="2">
        <v>46126</v>
      </c>
      <c r="D777" t="s">
        <v>35</v>
      </c>
      <c r="E777">
        <v>4</v>
      </c>
      <c r="F777" s="3">
        <v>8.42</v>
      </c>
      <c r="G777" t="s">
        <v>27</v>
      </c>
      <c r="H777">
        <v>51</v>
      </c>
      <c r="I777" t="s">
        <v>28</v>
      </c>
      <c r="J777" s="4">
        <v>68.599999999999994</v>
      </c>
      <c r="K777" s="4">
        <v>158.9</v>
      </c>
      <c r="L777" s="4">
        <v>23.9</v>
      </c>
      <c r="M777">
        <v>15</v>
      </c>
      <c r="N777" t="s">
        <v>47</v>
      </c>
      <c r="O777">
        <v>3</v>
      </c>
      <c r="P777" s="4">
        <v>40.4</v>
      </c>
      <c r="Q777" t="s">
        <v>42</v>
      </c>
      <c r="R777">
        <v>0</v>
      </c>
      <c r="S777" t="s">
        <v>31</v>
      </c>
      <c r="T777">
        <v>0</v>
      </c>
      <c r="U777">
        <v>0</v>
      </c>
      <c r="V777" t="s">
        <v>32</v>
      </c>
      <c r="W777" t="s">
        <v>39</v>
      </c>
      <c r="X777" s="4">
        <v>10.6</v>
      </c>
      <c r="Y777">
        <v>11</v>
      </c>
      <c r="Z777" s="5">
        <v>272.85000000000002</v>
      </c>
    </row>
    <row r="778" spans="1:26">
      <c r="A778">
        <v>777</v>
      </c>
      <c r="B778">
        <v>246</v>
      </c>
      <c r="C778" s="2">
        <v>46047</v>
      </c>
      <c r="D778" t="s">
        <v>58</v>
      </c>
      <c r="E778">
        <v>1</v>
      </c>
      <c r="F778" s="3">
        <v>10.59</v>
      </c>
      <c r="G778" t="s">
        <v>27</v>
      </c>
      <c r="H778">
        <v>16</v>
      </c>
      <c r="I778" t="s">
        <v>28</v>
      </c>
      <c r="J778" s="4">
        <v>70</v>
      </c>
      <c r="K778" s="4">
        <v>161.9</v>
      </c>
      <c r="L778" s="4">
        <v>23.4</v>
      </c>
      <c r="M778">
        <v>10</v>
      </c>
      <c r="N778" t="s">
        <v>65</v>
      </c>
      <c r="O778">
        <v>1</v>
      </c>
      <c r="P778" s="4">
        <v>1886.1</v>
      </c>
      <c r="Q778" t="s">
        <v>42</v>
      </c>
      <c r="R778">
        <v>1</v>
      </c>
      <c r="S778" t="s">
        <v>44</v>
      </c>
      <c r="T778">
        <v>0</v>
      </c>
      <c r="U778">
        <v>1</v>
      </c>
      <c r="V778" t="s">
        <v>32</v>
      </c>
      <c r="W778" t="s">
        <v>43</v>
      </c>
      <c r="X778" s="4">
        <v>9.5</v>
      </c>
      <c r="Y778">
        <v>9</v>
      </c>
      <c r="Z778" s="5">
        <v>362.26</v>
      </c>
    </row>
    <row r="779" spans="1:26">
      <c r="A779">
        <v>778</v>
      </c>
      <c r="B779">
        <v>247</v>
      </c>
      <c r="C779" s="2">
        <v>46069</v>
      </c>
      <c r="D779" t="s">
        <v>46</v>
      </c>
      <c r="E779">
        <v>2</v>
      </c>
      <c r="F779" s="3">
        <v>11.86</v>
      </c>
      <c r="G779" t="s">
        <v>36</v>
      </c>
      <c r="H779">
        <v>65</v>
      </c>
      <c r="I779" t="s">
        <v>34</v>
      </c>
      <c r="J779" s="4">
        <v>64.8</v>
      </c>
      <c r="K779" s="4">
        <v>119.1</v>
      </c>
      <c r="L779" s="4">
        <v>19.899999999999999</v>
      </c>
      <c r="M779">
        <v>19</v>
      </c>
      <c r="N779" t="s">
        <v>56</v>
      </c>
      <c r="O779">
        <v>5</v>
      </c>
      <c r="P779" s="4">
        <v>322.2</v>
      </c>
      <c r="Q779" t="s">
        <v>48</v>
      </c>
      <c r="R779">
        <v>0</v>
      </c>
      <c r="S779" t="s">
        <v>44</v>
      </c>
      <c r="T779">
        <v>1</v>
      </c>
      <c r="U779">
        <v>1</v>
      </c>
      <c r="V779" t="s">
        <v>32</v>
      </c>
      <c r="W779" t="s">
        <v>33</v>
      </c>
      <c r="X779" s="4">
        <v>8.1999999999999993</v>
      </c>
      <c r="Y779">
        <v>12</v>
      </c>
      <c r="Z779" s="5">
        <v>362.65</v>
      </c>
    </row>
    <row r="780" spans="1:26">
      <c r="A780">
        <v>779</v>
      </c>
      <c r="B780">
        <v>247</v>
      </c>
      <c r="C780" s="2">
        <v>46069</v>
      </c>
      <c r="D780" t="s">
        <v>46</v>
      </c>
      <c r="E780">
        <v>2</v>
      </c>
      <c r="F780" s="3">
        <v>12.16</v>
      </c>
      <c r="G780" t="s">
        <v>36</v>
      </c>
      <c r="H780">
        <v>5</v>
      </c>
      <c r="I780" t="s">
        <v>28</v>
      </c>
      <c r="J780" s="4">
        <v>60.6</v>
      </c>
      <c r="K780" s="4">
        <v>115.3</v>
      </c>
      <c r="L780" s="4">
        <v>21.9</v>
      </c>
      <c r="M780">
        <v>13</v>
      </c>
      <c r="N780" t="s">
        <v>56</v>
      </c>
      <c r="O780">
        <v>5</v>
      </c>
      <c r="P780" s="4">
        <v>322.2</v>
      </c>
      <c r="Q780" t="s">
        <v>48</v>
      </c>
      <c r="R780">
        <v>0</v>
      </c>
      <c r="S780" t="s">
        <v>44</v>
      </c>
      <c r="T780">
        <v>1</v>
      </c>
      <c r="U780">
        <v>1</v>
      </c>
      <c r="V780" t="s">
        <v>32</v>
      </c>
      <c r="W780" t="s">
        <v>33</v>
      </c>
      <c r="X780" s="4">
        <v>9.6</v>
      </c>
      <c r="Y780">
        <v>11</v>
      </c>
      <c r="Z780" s="5">
        <v>227.87</v>
      </c>
    </row>
    <row r="781" spans="1:26">
      <c r="A781">
        <v>780</v>
      </c>
      <c r="B781">
        <v>247</v>
      </c>
      <c r="C781" s="2">
        <v>46069</v>
      </c>
      <c r="D781" t="s">
        <v>46</v>
      </c>
      <c r="E781">
        <v>2</v>
      </c>
      <c r="F781" s="3">
        <v>12.13</v>
      </c>
      <c r="G781" t="s">
        <v>36</v>
      </c>
      <c r="H781">
        <v>47</v>
      </c>
      <c r="I781" t="s">
        <v>28</v>
      </c>
      <c r="J781" s="4">
        <v>67</v>
      </c>
      <c r="K781" s="4">
        <v>103.6</v>
      </c>
      <c r="L781" s="4">
        <v>16</v>
      </c>
      <c r="M781">
        <v>18</v>
      </c>
      <c r="N781" t="s">
        <v>56</v>
      </c>
      <c r="O781">
        <v>5</v>
      </c>
      <c r="P781" s="4">
        <v>322.2</v>
      </c>
      <c r="Q781" t="s">
        <v>48</v>
      </c>
      <c r="R781">
        <v>0</v>
      </c>
      <c r="S781" t="s">
        <v>44</v>
      </c>
      <c r="T781">
        <v>1</v>
      </c>
      <c r="U781">
        <v>1</v>
      </c>
      <c r="V781" t="s">
        <v>32</v>
      </c>
      <c r="W781" t="s">
        <v>33</v>
      </c>
      <c r="X781" s="4">
        <v>5.9</v>
      </c>
      <c r="Y781">
        <v>8</v>
      </c>
      <c r="Z781" s="5">
        <v>179.16</v>
      </c>
    </row>
    <row r="782" spans="1:26">
      <c r="A782">
        <v>781</v>
      </c>
      <c r="B782">
        <v>247</v>
      </c>
      <c r="C782" s="2">
        <v>46069</v>
      </c>
      <c r="D782" t="s">
        <v>46</v>
      </c>
      <c r="E782">
        <v>2</v>
      </c>
      <c r="F782" s="3">
        <v>12.25</v>
      </c>
      <c r="G782" t="s">
        <v>36</v>
      </c>
      <c r="H782">
        <v>57</v>
      </c>
      <c r="I782" t="s">
        <v>28</v>
      </c>
      <c r="J782" s="4">
        <v>76.5</v>
      </c>
      <c r="K782" s="4">
        <v>265.10000000000002</v>
      </c>
      <c r="L782" s="4">
        <v>32</v>
      </c>
      <c r="M782">
        <v>17</v>
      </c>
      <c r="N782" t="s">
        <v>56</v>
      </c>
      <c r="O782">
        <v>5</v>
      </c>
      <c r="P782" s="4">
        <v>322.2</v>
      </c>
      <c r="Q782" t="s">
        <v>48</v>
      </c>
      <c r="R782">
        <v>0</v>
      </c>
      <c r="S782" t="s">
        <v>44</v>
      </c>
      <c r="T782">
        <v>1</v>
      </c>
      <c r="U782">
        <v>1</v>
      </c>
      <c r="V782" t="s">
        <v>32</v>
      </c>
      <c r="W782" t="s">
        <v>33</v>
      </c>
      <c r="X782" s="4">
        <v>6.9</v>
      </c>
      <c r="Y782">
        <v>10</v>
      </c>
      <c r="Z782" s="5">
        <v>281.60000000000002</v>
      </c>
    </row>
    <row r="783" spans="1:26">
      <c r="A783">
        <v>782</v>
      </c>
      <c r="B783">
        <v>247</v>
      </c>
      <c r="C783" s="2">
        <v>46069</v>
      </c>
      <c r="D783" t="s">
        <v>46</v>
      </c>
      <c r="E783">
        <v>2</v>
      </c>
      <c r="F783" s="3">
        <v>12.06</v>
      </c>
      <c r="G783" t="s">
        <v>36</v>
      </c>
      <c r="H783">
        <v>20</v>
      </c>
      <c r="I783" t="s">
        <v>51</v>
      </c>
      <c r="J783" s="4">
        <v>73.2</v>
      </c>
      <c r="K783" s="4">
        <v>172.8</v>
      </c>
      <c r="L783" s="4">
        <v>22.6</v>
      </c>
      <c r="M783">
        <v>16</v>
      </c>
      <c r="N783" t="s">
        <v>56</v>
      </c>
      <c r="O783">
        <v>5</v>
      </c>
      <c r="P783" s="4">
        <v>322.2</v>
      </c>
      <c r="Q783" t="s">
        <v>48</v>
      </c>
      <c r="R783">
        <v>0</v>
      </c>
      <c r="S783" t="s">
        <v>44</v>
      </c>
      <c r="T783">
        <v>1</v>
      </c>
      <c r="U783">
        <v>1</v>
      </c>
      <c r="V783" t="s">
        <v>32</v>
      </c>
      <c r="W783" t="s">
        <v>33</v>
      </c>
      <c r="X783" s="4">
        <v>5.3</v>
      </c>
      <c r="Y783">
        <v>6</v>
      </c>
      <c r="Z783" s="5">
        <v>226.21</v>
      </c>
    </row>
    <row r="784" spans="1:26">
      <c r="A784">
        <v>783</v>
      </c>
      <c r="B784">
        <v>248</v>
      </c>
      <c r="C784" s="2">
        <v>46185</v>
      </c>
      <c r="D784" t="s">
        <v>26</v>
      </c>
      <c r="E784">
        <v>6</v>
      </c>
      <c r="F784" s="3">
        <v>9.5500000000000007</v>
      </c>
      <c r="G784" t="s">
        <v>27</v>
      </c>
      <c r="H784">
        <v>68</v>
      </c>
      <c r="I784" t="s">
        <v>28</v>
      </c>
      <c r="J784" s="4">
        <v>68.8</v>
      </c>
      <c r="K784" s="4">
        <v>176.2</v>
      </c>
      <c r="L784" s="4">
        <v>26.2</v>
      </c>
      <c r="M784">
        <v>13</v>
      </c>
      <c r="N784" t="s">
        <v>41</v>
      </c>
      <c r="O784">
        <v>2</v>
      </c>
      <c r="P784" s="4">
        <v>2773.4</v>
      </c>
      <c r="Q784" t="s">
        <v>42</v>
      </c>
      <c r="R784">
        <v>1</v>
      </c>
      <c r="S784" t="s">
        <v>31</v>
      </c>
      <c r="T784">
        <v>0</v>
      </c>
      <c r="U784">
        <v>0</v>
      </c>
      <c r="V784" t="s">
        <v>32</v>
      </c>
      <c r="W784" t="s">
        <v>43</v>
      </c>
      <c r="X784" s="4">
        <v>7.7</v>
      </c>
      <c r="Y784">
        <v>10</v>
      </c>
      <c r="Z784" s="5">
        <v>275.27</v>
      </c>
    </row>
    <row r="785" spans="1:26">
      <c r="A785">
        <v>784</v>
      </c>
      <c r="B785">
        <v>248</v>
      </c>
      <c r="C785" s="2">
        <v>46185</v>
      </c>
      <c r="D785" t="s">
        <v>26</v>
      </c>
      <c r="E785">
        <v>6</v>
      </c>
      <c r="F785" s="3">
        <v>9.6</v>
      </c>
      <c r="G785" t="s">
        <v>27</v>
      </c>
      <c r="H785">
        <v>37</v>
      </c>
      <c r="I785" t="s">
        <v>34</v>
      </c>
      <c r="J785" s="4">
        <v>62</v>
      </c>
      <c r="K785" s="4">
        <v>164.3</v>
      </c>
      <c r="L785" s="4">
        <v>30</v>
      </c>
      <c r="M785">
        <v>15</v>
      </c>
      <c r="N785" t="s">
        <v>41</v>
      </c>
      <c r="O785">
        <v>2</v>
      </c>
      <c r="P785" s="4">
        <v>2773.4</v>
      </c>
      <c r="Q785" t="s">
        <v>42</v>
      </c>
      <c r="R785">
        <v>1</v>
      </c>
      <c r="S785" t="s">
        <v>31</v>
      </c>
      <c r="T785">
        <v>0</v>
      </c>
      <c r="U785">
        <v>0</v>
      </c>
      <c r="V785" t="s">
        <v>32</v>
      </c>
      <c r="W785" t="s">
        <v>43</v>
      </c>
      <c r="X785" s="4">
        <v>9.3000000000000007</v>
      </c>
      <c r="Y785">
        <v>11</v>
      </c>
      <c r="Z785" s="5">
        <v>341.87</v>
      </c>
    </row>
    <row r="786" spans="1:26">
      <c r="A786">
        <v>785</v>
      </c>
      <c r="B786">
        <v>249</v>
      </c>
      <c r="C786" s="2">
        <v>46089</v>
      </c>
      <c r="D786" t="s">
        <v>58</v>
      </c>
      <c r="E786">
        <v>3</v>
      </c>
      <c r="F786" s="3">
        <v>11.53</v>
      </c>
      <c r="G786" t="s">
        <v>36</v>
      </c>
      <c r="H786">
        <v>22</v>
      </c>
      <c r="I786" t="s">
        <v>34</v>
      </c>
      <c r="J786" s="4">
        <v>64</v>
      </c>
      <c r="K786" s="4">
        <v>142.5</v>
      </c>
      <c r="L786" s="4">
        <v>24.5</v>
      </c>
      <c r="M786">
        <v>15</v>
      </c>
      <c r="N786" t="s">
        <v>37</v>
      </c>
      <c r="O786">
        <v>3</v>
      </c>
      <c r="P786" s="4">
        <v>1226.5</v>
      </c>
      <c r="Q786" t="s">
        <v>42</v>
      </c>
      <c r="R786">
        <v>1</v>
      </c>
      <c r="S786" t="s">
        <v>44</v>
      </c>
      <c r="T786">
        <v>0</v>
      </c>
      <c r="U786">
        <v>0</v>
      </c>
      <c r="V786" t="s">
        <v>32</v>
      </c>
      <c r="W786" t="s">
        <v>39</v>
      </c>
      <c r="X786" s="4">
        <v>9.5</v>
      </c>
      <c r="Y786">
        <v>14</v>
      </c>
      <c r="Z786" s="5">
        <v>180.85</v>
      </c>
    </row>
    <row r="787" spans="1:26">
      <c r="A787">
        <v>786</v>
      </c>
      <c r="B787">
        <v>249</v>
      </c>
      <c r="C787" s="2">
        <v>46089</v>
      </c>
      <c r="D787" t="s">
        <v>58</v>
      </c>
      <c r="E787">
        <v>3</v>
      </c>
      <c r="F787" s="3">
        <v>11.42</v>
      </c>
      <c r="G787" t="s">
        <v>36</v>
      </c>
      <c r="H787">
        <v>41</v>
      </c>
      <c r="I787" t="s">
        <v>28</v>
      </c>
      <c r="J787" s="4">
        <v>74.400000000000006</v>
      </c>
      <c r="K787" s="4">
        <v>233.8</v>
      </c>
      <c r="L787" s="4">
        <v>29.9</v>
      </c>
      <c r="M787">
        <v>17</v>
      </c>
      <c r="N787" t="s">
        <v>37</v>
      </c>
      <c r="O787">
        <v>3</v>
      </c>
      <c r="P787" s="4">
        <v>1226.5</v>
      </c>
      <c r="Q787" t="s">
        <v>42</v>
      </c>
      <c r="R787">
        <v>1</v>
      </c>
      <c r="S787" t="s">
        <v>44</v>
      </c>
      <c r="T787">
        <v>0</v>
      </c>
      <c r="U787">
        <v>0</v>
      </c>
      <c r="V787" t="s">
        <v>32</v>
      </c>
      <c r="W787" t="s">
        <v>39</v>
      </c>
      <c r="X787" s="4">
        <v>8.5</v>
      </c>
      <c r="Y787">
        <v>6</v>
      </c>
      <c r="Z787" s="5">
        <v>152.19</v>
      </c>
    </row>
    <row r="788" spans="1:26">
      <c r="A788">
        <v>787</v>
      </c>
      <c r="B788">
        <v>249</v>
      </c>
      <c r="C788" s="2">
        <v>46089</v>
      </c>
      <c r="D788" t="s">
        <v>58</v>
      </c>
      <c r="E788">
        <v>3</v>
      </c>
      <c r="F788" s="3">
        <v>11.46</v>
      </c>
      <c r="G788" t="s">
        <v>36</v>
      </c>
      <c r="H788">
        <v>32</v>
      </c>
      <c r="I788" t="s">
        <v>34</v>
      </c>
      <c r="J788" s="4">
        <v>62.5</v>
      </c>
      <c r="K788" s="4">
        <v>121</v>
      </c>
      <c r="L788" s="4">
        <v>21.7</v>
      </c>
      <c r="M788">
        <v>19</v>
      </c>
      <c r="N788" t="s">
        <v>37</v>
      </c>
      <c r="O788">
        <v>3</v>
      </c>
      <c r="P788" s="4">
        <v>1226.5</v>
      </c>
      <c r="Q788" t="s">
        <v>42</v>
      </c>
      <c r="R788">
        <v>1</v>
      </c>
      <c r="S788" t="s">
        <v>44</v>
      </c>
      <c r="T788">
        <v>0</v>
      </c>
      <c r="U788">
        <v>0</v>
      </c>
      <c r="V788" t="s">
        <v>32</v>
      </c>
      <c r="W788" t="s">
        <v>39</v>
      </c>
      <c r="X788" s="4">
        <v>8.8000000000000007</v>
      </c>
      <c r="Y788">
        <v>6</v>
      </c>
      <c r="Z788" s="5">
        <v>155.75</v>
      </c>
    </row>
    <row r="789" spans="1:26">
      <c r="A789">
        <v>788</v>
      </c>
      <c r="B789">
        <v>250</v>
      </c>
      <c r="C789" s="2">
        <v>46195</v>
      </c>
      <c r="D789" t="s">
        <v>46</v>
      </c>
      <c r="E789">
        <v>6</v>
      </c>
      <c r="F789" s="3">
        <v>9.25</v>
      </c>
      <c r="G789" t="s">
        <v>27</v>
      </c>
      <c r="H789">
        <v>57</v>
      </c>
      <c r="I789" t="s">
        <v>34</v>
      </c>
      <c r="J789" s="4">
        <v>69.599999999999994</v>
      </c>
      <c r="K789" s="4">
        <v>181.4</v>
      </c>
      <c r="L789" s="4">
        <v>26.6</v>
      </c>
      <c r="M789">
        <v>15</v>
      </c>
      <c r="N789" t="s">
        <v>47</v>
      </c>
      <c r="O789">
        <v>3</v>
      </c>
      <c r="P789" s="4">
        <v>63.9</v>
      </c>
      <c r="Q789" t="s">
        <v>42</v>
      </c>
      <c r="R789">
        <v>0</v>
      </c>
      <c r="S789" t="s">
        <v>31</v>
      </c>
      <c r="T789">
        <v>0</v>
      </c>
      <c r="U789">
        <v>1</v>
      </c>
      <c r="V789" t="s">
        <v>32</v>
      </c>
      <c r="W789" t="s">
        <v>33</v>
      </c>
      <c r="X789" s="4">
        <v>8.6</v>
      </c>
      <c r="Y789">
        <v>7</v>
      </c>
      <c r="Z789" s="5">
        <v>299.31</v>
      </c>
    </row>
    <row r="790" spans="1:26">
      <c r="A790">
        <v>789</v>
      </c>
      <c r="B790">
        <v>250</v>
      </c>
      <c r="C790" s="2">
        <v>46195</v>
      </c>
      <c r="D790" t="s">
        <v>46</v>
      </c>
      <c r="E790">
        <v>6</v>
      </c>
      <c r="F790" s="3">
        <v>9.3000000000000007</v>
      </c>
      <c r="G790" t="s">
        <v>27</v>
      </c>
      <c r="H790">
        <v>56</v>
      </c>
      <c r="I790" t="s">
        <v>34</v>
      </c>
      <c r="J790" s="4">
        <v>62.4</v>
      </c>
      <c r="K790" s="4">
        <v>119.2</v>
      </c>
      <c r="L790" s="4">
        <v>21.3</v>
      </c>
      <c r="M790">
        <v>14</v>
      </c>
      <c r="N790" t="s">
        <v>47</v>
      </c>
      <c r="O790">
        <v>3</v>
      </c>
      <c r="P790" s="4">
        <v>63.9</v>
      </c>
      <c r="Q790" t="s">
        <v>42</v>
      </c>
      <c r="R790">
        <v>0</v>
      </c>
      <c r="S790" t="s">
        <v>31</v>
      </c>
      <c r="T790">
        <v>0</v>
      </c>
      <c r="U790">
        <v>1</v>
      </c>
      <c r="V790" t="s">
        <v>32</v>
      </c>
      <c r="W790" t="s">
        <v>33</v>
      </c>
      <c r="X790" s="4">
        <v>7.7</v>
      </c>
      <c r="Y790">
        <v>9</v>
      </c>
      <c r="Z790" s="5">
        <v>182.19</v>
      </c>
    </row>
    <row r="791" spans="1:26">
      <c r="A791">
        <v>790</v>
      </c>
      <c r="B791">
        <v>250</v>
      </c>
      <c r="C791" s="2">
        <v>46195</v>
      </c>
      <c r="D791" t="s">
        <v>46</v>
      </c>
      <c r="E791">
        <v>6</v>
      </c>
      <c r="F791" s="3">
        <v>9.2799999999999994</v>
      </c>
      <c r="G791" t="s">
        <v>27</v>
      </c>
      <c r="H791">
        <v>7</v>
      </c>
      <c r="I791" t="s">
        <v>28</v>
      </c>
      <c r="J791" s="4">
        <v>61</v>
      </c>
      <c r="K791" s="4">
        <v>118.6</v>
      </c>
      <c r="L791" s="4">
        <v>22.4</v>
      </c>
      <c r="M791">
        <v>14</v>
      </c>
      <c r="N791" t="s">
        <v>47</v>
      </c>
      <c r="O791">
        <v>3</v>
      </c>
      <c r="P791" s="4">
        <v>63.9</v>
      </c>
      <c r="Q791" t="s">
        <v>42</v>
      </c>
      <c r="R791">
        <v>0</v>
      </c>
      <c r="S791" t="s">
        <v>31</v>
      </c>
      <c r="T791">
        <v>0</v>
      </c>
      <c r="U791">
        <v>1</v>
      </c>
      <c r="V791" t="s">
        <v>32</v>
      </c>
      <c r="W791" t="s">
        <v>33</v>
      </c>
      <c r="X791" s="4">
        <v>10.6</v>
      </c>
      <c r="Y791">
        <v>8</v>
      </c>
      <c r="Z791" s="5">
        <v>310.95999999999998</v>
      </c>
    </row>
    <row r="792" spans="1:26">
      <c r="A792">
        <v>791</v>
      </c>
      <c r="B792">
        <v>251</v>
      </c>
      <c r="C792" s="2">
        <v>46235</v>
      </c>
      <c r="D792" t="s">
        <v>40</v>
      </c>
      <c r="E792">
        <v>8</v>
      </c>
      <c r="F792" s="3">
        <v>12.77</v>
      </c>
      <c r="G792" t="s">
        <v>36</v>
      </c>
      <c r="H792">
        <v>27</v>
      </c>
      <c r="I792" t="s">
        <v>28</v>
      </c>
      <c r="J792" s="4">
        <v>75.400000000000006</v>
      </c>
      <c r="K792" s="4">
        <v>224.7</v>
      </c>
      <c r="L792" s="4">
        <v>27.9</v>
      </c>
      <c r="M792">
        <v>14</v>
      </c>
      <c r="N792" t="s">
        <v>47</v>
      </c>
      <c r="O792">
        <v>3</v>
      </c>
      <c r="P792" s="4">
        <v>25.5</v>
      </c>
      <c r="Q792" t="s">
        <v>42</v>
      </c>
      <c r="R792">
        <v>0</v>
      </c>
      <c r="S792" t="s">
        <v>44</v>
      </c>
      <c r="T792">
        <v>1</v>
      </c>
      <c r="U792">
        <v>0</v>
      </c>
      <c r="V792" t="s">
        <v>32</v>
      </c>
      <c r="W792" t="s">
        <v>43</v>
      </c>
      <c r="X792" s="4">
        <v>7.2</v>
      </c>
      <c r="Y792">
        <v>10</v>
      </c>
      <c r="Z792" s="5">
        <v>188.08</v>
      </c>
    </row>
    <row r="793" spans="1:26">
      <c r="A793">
        <v>792</v>
      </c>
      <c r="B793">
        <v>251</v>
      </c>
      <c r="C793" s="2">
        <v>46235</v>
      </c>
      <c r="D793" t="s">
        <v>40</v>
      </c>
      <c r="E793">
        <v>8</v>
      </c>
      <c r="F793" s="3">
        <v>12.47</v>
      </c>
      <c r="G793" t="s">
        <v>36</v>
      </c>
      <c r="H793">
        <v>55</v>
      </c>
      <c r="I793" t="s">
        <v>28</v>
      </c>
      <c r="J793" s="4">
        <v>66.2</v>
      </c>
      <c r="K793" s="4">
        <v>171.4</v>
      </c>
      <c r="L793" s="4">
        <v>27.9</v>
      </c>
      <c r="M793">
        <v>14</v>
      </c>
      <c r="N793" t="s">
        <v>47</v>
      </c>
      <c r="O793">
        <v>3</v>
      </c>
      <c r="P793" s="4">
        <v>25.5</v>
      </c>
      <c r="Q793" t="s">
        <v>42</v>
      </c>
      <c r="R793">
        <v>0</v>
      </c>
      <c r="S793" t="s">
        <v>44</v>
      </c>
      <c r="T793">
        <v>1</v>
      </c>
      <c r="U793">
        <v>0</v>
      </c>
      <c r="V793" t="s">
        <v>32</v>
      </c>
      <c r="W793" t="s">
        <v>43</v>
      </c>
      <c r="X793" s="4">
        <v>9.6</v>
      </c>
      <c r="Y793">
        <v>9</v>
      </c>
      <c r="Z793" s="5">
        <v>151.47</v>
      </c>
    </row>
    <row r="794" spans="1:26">
      <c r="A794">
        <v>793</v>
      </c>
      <c r="B794">
        <v>251</v>
      </c>
      <c r="C794" s="2">
        <v>46235</v>
      </c>
      <c r="D794" t="s">
        <v>40</v>
      </c>
      <c r="E794">
        <v>8</v>
      </c>
      <c r="F794" s="3">
        <v>12.65</v>
      </c>
      <c r="G794" t="s">
        <v>36</v>
      </c>
      <c r="H794">
        <v>55</v>
      </c>
      <c r="I794" t="s">
        <v>28</v>
      </c>
      <c r="J794" s="4">
        <v>68.599999999999994</v>
      </c>
      <c r="K794" s="4">
        <v>156.1</v>
      </c>
      <c r="L794" s="4">
        <v>23.1</v>
      </c>
      <c r="M794">
        <v>17</v>
      </c>
      <c r="N794" t="s">
        <v>47</v>
      </c>
      <c r="O794">
        <v>3</v>
      </c>
      <c r="P794" s="4">
        <v>25.5</v>
      </c>
      <c r="Q794" t="s">
        <v>42</v>
      </c>
      <c r="R794">
        <v>0</v>
      </c>
      <c r="S794" t="s">
        <v>44</v>
      </c>
      <c r="T794">
        <v>1</v>
      </c>
      <c r="U794">
        <v>0</v>
      </c>
      <c r="V794" t="s">
        <v>32</v>
      </c>
      <c r="W794" t="s">
        <v>43</v>
      </c>
      <c r="X794" s="4">
        <v>8</v>
      </c>
      <c r="Y794">
        <v>10</v>
      </c>
      <c r="Z794" s="5">
        <v>208.63</v>
      </c>
    </row>
    <row r="795" spans="1:26">
      <c r="A795">
        <v>794</v>
      </c>
      <c r="B795">
        <v>252</v>
      </c>
      <c r="C795" s="2">
        <v>46110</v>
      </c>
      <c r="D795" t="s">
        <v>58</v>
      </c>
      <c r="E795">
        <v>3</v>
      </c>
      <c r="F795" s="3">
        <v>8.1300000000000008</v>
      </c>
      <c r="G795" t="s">
        <v>27</v>
      </c>
      <c r="H795">
        <v>32</v>
      </c>
      <c r="I795" t="s">
        <v>34</v>
      </c>
      <c r="J795" s="4">
        <v>62.4</v>
      </c>
      <c r="K795" s="4">
        <v>165.1</v>
      </c>
      <c r="L795" s="4">
        <v>29.9</v>
      </c>
      <c r="M795">
        <v>14</v>
      </c>
      <c r="N795" t="s">
        <v>47</v>
      </c>
      <c r="O795">
        <v>3</v>
      </c>
      <c r="P795" s="4">
        <v>55.8</v>
      </c>
      <c r="Q795" t="s">
        <v>42</v>
      </c>
      <c r="R795">
        <v>0</v>
      </c>
      <c r="S795" t="s">
        <v>38</v>
      </c>
      <c r="T795">
        <v>0</v>
      </c>
      <c r="U795">
        <v>0</v>
      </c>
      <c r="V795" t="s">
        <v>32</v>
      </c>
      <c r="W795" t="s">
        <v>49</v>
      </c>
      <c r="X795" s="4">
        <v>8.1</v>
      </c>
      <c r="Y795">
        <v>10</v>
      </c>
      <c r="Z795" s="5">
        <v>184.33</v>
      </c>
    </row>
    <row r="796" spans="1:26">
      <c r="A796">
        <v>795</v>
      </c>
      <c r="B796">
        <v>252</v>
      </c>
      <c r="C796" s="2">
        <v>46110</v>
      </c>
      <c r="D796" t="s">
        <v>58</v>
      </c>
      <c r="E796">
        <v>3</v>
      </c>
      <c r="F796" s="3">
        <v>8.06</v>
      </c>
      <c r="G796" t="s">
        <v>27</v>
      </c>
      <c r="H796">
        <v>67</v>
      </c>
      <c r="I796" t="s">
        <v>28</v>
      </c>
      <c r="J796" s="4">
        <v>73.7</v>
      </c>
      <c r="K796" s="4">
        <v>208.6</v>
      </c>
      <c r="L796" s="4">
        <v>27.2</v>
      </c>
      <c r="M796">
        <v>16</v>
      </c>
      <c r="N796" t="s">
        <v>47</v>
      </c>
      <c r="O796">
        <v>3</v>
      </c>
      <c r="P796" s="4">
        <v>55.8</v>
      </c>
      <c r="Q796" t="s">
        <v>42</v>
      </c>
      <c r="R796">
        <v>0</v>
      </c>
      <c r="S796" t="s">
        <v>38</v>
      </c>
      <c r="T796">
        <v>0</v>
      </c>
      <c r="U796">
        <v>0</v>
      </c>
      <c r="V796" t="s">
        <v>32</v>
      </c>
      <c r="W796" t="s">
        <v>49</v>
      </c>
      <c r="X796" s="4">
        <v>8.6</v>
      </c>
      <c r="Y796">
        <v>3</v>
      </c>
      <c r="Z796" s="5">
        <v>260.64999999999998</v>
      </c>
    </row>
    <row r="797" spans="1:26">
      <c r="A797">
        <v>796</v>
      </c>
      <c r="B797">
        <v>252</v>
      </c>
      <c r="C797" s="2">
        <v>46110</v>
      </c>
      <c r="D797" t="s">
        <v>58</v>
      </c>
      <c r="E797">
        <v>3</v>
      </c>
      <c r="F797" s="3">
        <v>7.88</v>
      </c>
      <c r="G797" t="s">
        <v>27</v>
      </c>
      <c r="H797">
        <v>52</v>
      </c>
      <c r="I797" t="s">
        <v>28</v>
      </c>
      <c r="J797" s="4">
        <v>66</v>
      </c>
      <c r="K797" s="4">
        <v>126.9</v>
      </c>
      <c r="L797" s="4">
        <v>20.2</v>
      </c>
      <c r="M797">
        <v>15</v>
      </c>
      <c r="N797" t="s">
        <v>47</v>
      </c>
      <c r="O797">
        <v>3</v>
      </c>
      <c r="P797" s="4">
        <v>55.8</v>
      </c>
      <c r="Q797" t="s">
        <v>42</v>
      </c>
      <c r="R797">
        <v>0</v>
      </c>
      <c r="S797" t="s">
        <v>38</v>
      </c>
      <c r="T797">
        <v>0</v>
      </c>
      <c r="U797">
        <v>0</v>
      </c>
      <c r="V797" t="s">
        <v>32</v>
      </c>
      <c r="W797" t="s">
        <v>49</v>
      </c>
      <c r="X797" s="4">
        <v>8.5</v>
      </c>
      <c r="Y797">
        <v>6</v>
      </c>
      <c r="Z797" s="5">
        <v>158.9</v>
      </c>
    </row>
    <row r="798" spans="1:26">
      <c r="A798">
        <v>797</v>
      </c>
      <c r="B798">
        <v>253</v>
      </c>
      <c r="C798" s="2">
        <v>46231</v>
      </c>
      <c r="D798" t="s">
        <v>35</v>
      </c>
      <c r="E798">
        <v>7</v>
      </c>
      <c r="F798" s="3">
        <v>9.6199999999999992</v>
      </c>
      <c r="G798" t="s">
        <v>27</v>
      </c>
      <c r="H798">
        <v>64</v>
      </c>
      <c r="I798" t="s">
        <v>28</v>
      </c>
      <c r="J798" s="4">
        <v>67.599999999999994</v>
      </c>
      <c r="K798" s="4">
        <v>147.19999999999999</v>
      </c>
      <c r="L798" s="4">
        <v>22.5</v>
      </c>
      <c r="M798">
        <v>14</v>
      </c>
      <c r="N798" t="s">
        <v>66</v>
      </c>
      <c r="O798">
        <v>3</v>
      </c>
      <c r="P798" s="4">
        <v>735.4</v>
      </c>
      <c r="Q798" t="s">
        <v>42</v>
      </c>
      <c r="R798">
        <v>0</v>
      </c>
      <c r="S798" t="s">
        <v>38</v>
      </c>
      <c r="T798">
        <v>1</v>
      </c>
      <c r="U798">
        <v>0</v>
      </c>
      <c r="V798" t="s">
        <v>32</v>
      </c>
      <c r="W798" t="s">
        <v>39</v>
      </c>
      <c r="X798" s="4">
        <v>8.6</v>
      </c>
      <c r="Y798">
        <v>9</v>
      </c>
      <c r="Z798" s="5">
        <v>191.75</v>
      </c>
    </row>
    <row r="799" spans="1:26">
      <c r="A799">
        <v>798</v>
      </c>
      <c r="B799">
        <v>253</v>
      </c>
      <c r="C799" s="2">
        <v>46231</v>
      </c>
      <c r="D799" t="s">
        <v>35</v>
      </c>
      <c r="E799">
        <v>7</v>
      </c>
      <c r="F799" s="3">
        <v>9.66</v>
      </c>
      <c r="G799" t="s">
        <v>27</v>
      </c>
      <c r="H799">
        <v>64</v>
      </c>
      <c r="I799" t="s">
        <v>34</v>
      </c>
      <c r="J799" s="4">
        <v>66.599999999999994</v>
      </c>
      <c r="K799" s="4">
        <v>148.1</v>
      </c>
      <c r="L799" s="4">
        <v>23.5</v>
      </c>
      <c r="M799">
        <v>19</v>
      </c>
      <c r="N799" t="s">
        <v>66</v>
      </c>
      <c r="O799">
        <v>3</v>
      </c>
      <c r="P799" s="4">
        <v>735.4</v>
      </c>
      <c r="Q799" t="s">
        <v>42</v>
      </c>
      <c r="R799">
        <v>0</v>
      </c>
      <c r="S799" t="s">
        <v>38</v>
      </c>
      <c r="T799">
        <v>1</v>
      </c>
      <c r="U799">
        <v>0</v>
      </c>
      <c r="V799" t="s">
        <v>32</v>
      </c>
      <c r="W799" t="s">
        <v>39</v>
      </c>
      <c r="X799" s="4">
        <v>8.4</v>
      </c>
      <c r="Y799">
        <v>10</v>
      </c>
      <c r="Z799" s="5">
        <v>245.73</v>
      </c>
    </row>
    <row r="800" spans="1:26">
      <c r="A800">
        <v>799</v>
      </c>
      <c r="B800">
        <v>253</v>
      </c>
      <c r="C800" s="2">
        <v>46231</v>
      </c>
      <c r="D800" t="s">
        <v>35</v>
      </c>
      <c r="E800">
        <v>7</v>
      </c>
      <c r="F800" s="3">
        <v>9.8800000000000008</v>
      </c>
      <c r="G800" t="s">
        <v>27</v>
      </c>
      <c r="H800">
        <v>40</v>
      </c>
      <c r="I800" t="s">
        <v>34</v>
      </c>
      <c r="J800" s="4">
        <v>63.5</v>
      </c>
      <c r="K800" s="4">
        <v>148.19999999999999</v>
      </c>
      <c r="L800" s="4">
        <v>26</v>
      </c>
      <c r="M800">
        <v>13</v>
      </c>
      <c r="N800" t="s">
        <v>66</v>
      </c>
      <c r="O800">
        <v>3</v>
      </c>
      <c r="P800" s="4">
        <v>735.4</v>
      </c>
      <c r="Q800" t="s">
        <v>42</v>
      </c>
      <c r="R800">
        <v>0</v>
      </c>
      <c r="S800" t="s">
        <v>38</v>
      </c>
      <c r="T800">
        <v>1</v>
      </c>
      <c r="U800">
        <v>0</v>
      </c>
      <c r="V800" t="s">
        <v>32</v>
      </c>
      <c r="W800" t="s">
        <v>39</v>
      </c>
      <c r="X800" s="4">
        <v>10.7</v>
      </c>
      <c r="Y800">
        <v>14</v>
      </c>
      <c r="Z800" s="5">
        <v>320.67</v>
      </c>
    </row>
    <row r="801" spans="1:26">
      <c r="A801">
        <v>800</v>
      </c>
      <c r="B801">
        <v>254</v>
      </c>
      <c r="C801" s="2">
        <v>46208</v>
      </c>
      <c r="D801" t="s">
        <v>58</v>
      </c>
      <c r="E801">
        <v>7</v>
      </c>
      <c r="F801" s="3">
        <v>12.17</v>
      </c>
      <c r="G801" t="s">
        <v>36</v>
      </c>
      <c r="H801">
        <v>9</v>
      </c>
      <c r="I801" t="s">
        <v>34</v>
      </c>
      <c r="J801" s="4">
        <v>59.4</v>
      </c>
      <c r="K801" s="4">
        <v>72</v>
      </c>
      <c r="L801" s="4">
        <v>14.6</v>
      </c>
      <c r="M801">
        <v>16</v>
      </c>
      <c r="N801" t="s">
        <v>56</v>
      </c>
      <c r="O801">
        <v>5</v>
      </c>
      <c r="P801" s="4">
        <v>208</v>
      </c>
      <c r="Q801" t="s">
        <v>48</v>
      </c>
      <c r="R801">
        <v>1</v>
      </c>
      <c r="S801" t="s">
        <v>38</v>
      </c>
      <c r="T801">
        <v>0</v>
      </c>
      <c r="U801">
        <v>0</v>
      </c>
      <c r="V801" t="s">
        <v>45</v>
      </c>
      <c r="W801" t="s">
        <v>49</v>
      </c>
      <c r="X801" s="4">
        <v>11</v>
      </c>
      <c r="Y801">
        <v>13</v>
      </c>
      <c r="Z801" s="5">
        <v>559.89</v>
      </c>
    </row>
    <row r="802" spans="1:26">
      <c r="A802">
        <v>801</v>
      </c>
      <c r="B802">
        <v>254</v>
      </c>
      <c r="C802" s="2">
        <v>46208</v>
      </c>
      <c r="D802" t="s">
        <v>58</v>
      </c>
      <c r="E802">
        <v>7</v>
      </c>
      <c r="F802" s="3">
        <v>11.9</v>
      </c>
      <c r="G802" t="s">
        <v>36</v>
      </c>
      <c r="H802">
        <v>26</v>
      </c>
      <c r="I802" t="s">
        <v>28</v>
      </c>
      <c r="J802" s="4">
        <v>71.099999999999994</v>
      </c>
      <c r="K802" s="4">
        <v>182.2</v>
      </c>
      <c r="L802" s="4">
        <v>25.6</v>
      </c>
      <c r="M802">
        <v>16</v>
      </c>
      <c r="N802" t="s">
        <v>56</v>
      </c>
      <c r="O802">
        <v>5</v>
      </c>
      <c r="P802" s="4">
        <v>208</v>
      </c>
      <c r="Q802" t="s">
        <v>48</v>
      </c>
      <c r="R802">
        <v>1</v>
      </c>
      <c r="S802" t="s">
        <v>38</v>
      </c>
      <c r="T802">
        <v>0</v>
      </c>
      <c r="U802">
        <v>0</v>
      </c>
      <c r="V802" t="s">
        <v>45</v>
      </c>
      <c r="W802" t="s">
        <v>49</v>
      </c>
      <c r="X802" s="4">
        <v>9.6</v>
      </c>
      <c r="Y802">
        <v>10</v>
      </c>
      <c r="Z802" s="5">
        <v>291.57</v>
      </c>
    </row>
    <row r="803" spans="1:26">
      <c r="A803">
        <v>802</v>
      </c>
      <c r="B803">
        <v>254</v>
      </c>
      <c r="C803" s="2">
        <v>46208</v>
      </c>
      <c r="D803" t="s">
        <v>58</v>
      </c>
      <c r="E803">
        <v>7</v>
      </c>
      <c r="F803" s="3">
        <v>11.97</v>
      </c>
      <c r="G803" t="s">
        <v>36</v>
      </c>
      <c r="H803">
        <v>6</v>
      </c>
      <c r="I803" t="s">
        <v>34</v>
      </c>
      <c r="J803" s="4">
        <v>55.1</v>
      </c>
      <c r="K803" s="4">
        <v>80.3</v>
      </c>
      <c r="L803" s="4">
        <v>18.600000000000001</v>
      </c>
      <c r="M803">
        <v>13</v>
      </c>
      <c r="N803" t="s">
        <v>56</v>
      </c>
      <c r="O803">
        <v>5</v>
      </c>
      <c r="P803" s="4">
        <v>208</v>
      </c>
      <c r="Q803" t="s">
        <v>48</v>
      </c>
      <c r="R803">
        <v>1</v>
      </c>
      <c r="S803" t="s">
        <v>38</v>
      </c>
      <c r="T803">
        <v>0</v>
      </c>
      <c r="U803">
        <v>0</v>
      </c>
      <c r="V803" t="s">
        <v>45</v>
      </c>
      <c r="W803" t="s">
        <v>49</v>
      </c>
      <c r="X803" s="4">
        <v>9.1999999999999993</v>
      </c>
      <c r="Y803">
        <v>7</v>
      </c>
      <c r="Z803" s="5">
        <v>345.19</v>
      </c>
    </row>
    <row r="804" spans="1:26">
      <c r="A804">
        <v>803</v>
      </c>
      <c r="B804">
        <v>254</v>
      </c>
      <c r="C804" s="2">
        <v>46208</v>
      </c>
      <c r="D804" t="s">
        <v>58</v>
      </c>
      <c r="E804">
        <v>7</v>
      </c>
      <c r="F804" s="3">
        <v>12.08</v>
      </c>
      <c r="G804" t="s">
        <v>36</v>
      </c>
      <c r="H804">
        <v>39</v>
      </c>
      <c r="I804" t="s">
        <v>28</v>
      </c>
      <c r="J804" s="4">
        <v>65.400000000000006</v>
      </c>
      <c r="K804" s="4">
        <v>137.69999999999999</v>
      </c>
      <c r="L804" s="4">
        <v>22.6</v>
      </c>
      <c r="M804">
        <v>17</v>
      </c>
      <c r="N804" t="s">
        <v>56</v>
      </c>
      <c r="O804">
        <v>5</v>
      </c>
      <c r="P804" s="4">
        <v>208</v>
      </c>
      <c r="Q804" t="s">
        <v>48</v>
      </c>
      <c r="R804">
        <v>1</v>
      </c>
      <c r="S804" t="s">
        <v>38</v>
      </c>
      <c r="T804">
        <v>0</v>
      </c>
      <c r="U804">
        <v>0</v>
      </c>
      <c r="V804" t="s">
        <v>45</v>
      </c>
      <c r="W804" t="s">
        <v>49</v>
      </c>
      <c r="X804" s="4">
        <v>7.7</v>
      </c>
      <c r="Y804">
        <v>8</v>
      </c>
      <c r="Z804" s="5">
        <v>118.8</v>
      </c>
    </row>
    <row r="805" spans="1:26">
      <c r="A805">
        <v>804</v>
      </c>
      <c r="B805">
        <v>254</v>
      </c>
      <c r="C805" s="2">
        <v>46208</v>
      </c>
      <c r="D805" t="s">
        <v>58</v>
      </c>
      <c r="E805">
        <v>7</v>
      </c>
      <c r="F805" s="3">
        <v>12.28</v>
      </c>
      <c r="G805" t="s">
        <v>36</v>
      </c>
      <c r="H805">
        <v>36</v>
      </c>
      <c r="I805" t="s">
        <v>28</v>
      </c>
      <c r="J805" s="4">
        <v>76</v>
      </c>
      <c r="K805" s="4">
        <v>195.3</v>
      </c>
      <c r="L805" s="4">
        <v>23.8</v>
      </c>
      <c r="M805">
        <v>13</v>
      </c>
      <c r="N805" t="s">
        <v>56</v>
      </c>
      <c r="O805">
        <v>5</v>
      </c>
      <c r="P805" s="4">
        <v>208</v>
      </c>
      <c r="Q805" t="s">
        <v>48</v>
      </c>
      <c r="R805">
        <v>1</v>
      </c>
      <c r="S805" t="s">
        <v>38</v>
      </c>
      <c r="T805">
        <v>0</v>
      </c>
      <c r="U805">
        <v>0</v>
      </c>
      <c r="V805" t="s">
        <v>45</v>
      </c>
      <c r="W805" t="s">
        <v>49</v>
      </c>
      <c r="X805" s="4">
        <v>7.7</v>
      </c>
      <c r="Y805">
        <v>3</v>
      </c>
      <c r="Z805" s="5">
        <v>242.94</v>
      </c>
    </row>
    <row r="806" spans="1:26">
      <c r="A806">
        <v>805</v>
      </c>
      <c r="B806">
        <v>255</v>
      </c>
      <c r="C806" s="2">
        <v>46093</v>
      </c>
      <c r="D806" t="s">
        <v>55</v>
      </c>
      <c r="E806">
        <v>3</v>
      </c>
      <c r="F806" s="3">
        <v>11.48</v>
      </c>
      <c r="G806" t="s">
        <v>36</v>
      </c>
      <c r="H806">
        <v>11</v>
      </c>
      <c r="I806" t="s">
        <v>28</v>
      </c>
      <c r="J806" s="4">
        <v>63.7</v>
      </c>
      <c r="K806" s="4">
        <v>145.6</v>
      </c>
      <c r="L806" s="4">
        <v>25.3</v>
      </c>
      <c r="M806">
        <v>9</v>
      </c>
      <c r="N806" t="s">
        <v>47</v>
      </c>
      <c r="O806">
        <v>1</v>
      </c>
      <c r="P806" s="4">
        <v>35</v>
      </c>
      <c r="Q806" t="s">
        <v>30</v>
      </c>
      <c r="R806">
        <v>0</v>
      </c>
      <c r="S806" t="s">
        <v>38</v>
      </c>
      <c r="T806">
        <v>0</v>
      </c>
      <c r="U806">
        <v>0</v>
      </c>
      <c r="V806" t="s">
        <v>32</v>
      </c>
      <c r="W806" t="s">
        <v>57</v>
      </c>
      <c r="X806" s="4">
        <v>8.1</v>
      </c>
      <c r="Y806">
        <v>12</v>
      </c>
      <c r="Z806" s="5">
        <v>133.19999999999999</v>
      </c>
    </row>
    <row r="807" spans="1:26">
      <c r="A807">
        <v>806</v>
      </c>
      <c r="B807">
        <v>256</v>
      </c>
      <c r="C807" s="2">
        <v>46240</v>
      </c>
      <c r="D807" t="s">
        <v>55</v>
      </c>
      <c r="E807">
        <v>8</v>
      </c>
      <c r="F807" s="3">
        <v>12.27</v>
      </c>
      <c r="G807" t="s">
        <v>36</v>
      </c>
      <c r="H807">
        <v>3</v>
      </c>
      <c r="I807" t="s">
        <v>28</v>
      </c>
      <c r="J807" s="4">
        <v>40.6</v>
      </c>
      <c r="K807" s="4">
        <v>49.2</v>
      </c>
      <c r="L807" s="4">
        <v>21</v>
      </c>
      <c r="M807">
        <v>16</v>
      </c>
      <c r="N807" t="s">
        <v>60</v>
      </c>
      <c r="O807">
        <v>1</v>
      </c>
      <c r="P807" s="4">
        <v>1338.1</v>
      </c>
      <c r="Q807" t="s">
        <v>48</v>
      </c>
      <c r="R807">
        <v>0</v>
      </c>
      <c r="S807" t="s">
        <v>31</v>
      </c>
      <c r="T807">
        <v>1</v>
      </c>
      <c r="U807">
        <v>1</v>
      </c>
      <c r="V807" t="s">
        <v>32</v>
      </c>
      <c r="W807" t="s">
        <v>33</v>
      </c>
      <c r="X807" s="4">
        <v>10</v>
      </c>
      <c r="Y807">
        <v>14</v>
      </c>
      <c r="Z807" s="5">
        <v>314.31</v>
      </c>
    </row>
    <row r="808" spans="1:26">
      <c r="A808">
        <v>807</v>
      </c>
      <c r="B808">
        <v>257</v>
      </c>
      <c r="C808" s="2">
        <v>46088</v>
      </c>
      <c r="D808" t="s">
        <v>40</v>
      </c>
      <c r="E808">
        <v>3</v>
      </c>
      <c r="F808" s="3">
        <v>9.35</v>
      </c>
      <c r="G808" t="s">
        <v>27</v>
      </c>
      <c r="H808">
        <v>37</v>
      </c>
      <c r="I808" t="s">
        <v>34</v>
      </c>
      <c r="J808" s="4">
        <v>60.7</v>
      </c>
      <c r="K808" s="4">
        <v>131.30000000000001</v>
      </c>
      <c r="L808" s="4">
        <v>25</v>
      </c>
      <c r="M808">
        <v>18</v>
      </c>
      <c r="N808" t="s">
        <v>29</v>
      </c>
      <c r="O808">
        <v>1</v>
      </c>
      <c r="P808" s="4">
        <v>1957.2</v>
      </c>
      <c r="Q808" t="s">
        <v>48</v>
      </c>
      <c r="R808">
        <v>0</v>
      </c>
      <c r="S808" t="s">
        <v>31</v>
      </c>
      <c r="T808">
        <v>1</v>
      </c>
      <c r="U808">
        <v>0</v>
      </c>
      <c r="V808" t="s">
        <v>32</v>
      </c>
      <c r="W808" t="s">
        <v>39</v>
      </c>
      <c r="X808" s="4">
        <v>9.8000000000000007</v>
      </c>
      <c r="Y808">
        <v>8</v>
      </c>
      <c r="Z808" s="5">
        <v>306.02999999999997</v>
      </c>
    </row>
    <row r="809" spans="1:26">
      <c r="A809">
        <v>808</v>
      </c>
      <c r="B809">
        <v>258</v>
      </c>
      <c r="C809" s="2">
        <v>46314</v>
      </c>
      <c r="D809" t="s">
        <v>46</v>
      </c>
      <c r="E809">
        <v>10</v>
      </c>
      <c r="F809" s="3">
        <v>13.49</v>
      </c>
      <c r="G809" t="s">
        <v>36</v>
      </c>
      <c r="H809">
        <v>34</v>
      </c>
      <c r="I809" t="s">
        <v>34</v>
      </c>
      <c r="J809" s="4">
        <v>67.599999999999994</v>
      </c>
      <c r="K809" s="4">
        <v>95.4</v>
      </c>
      <c r="L809" s="4">
        <v>14.6</v>
      </c>
      <c r="M809">
        <v>11</v>
      </c>
      <c r="N809" t="s">
        <v>62</v>
      </c>
      <c r="O809">
        <v>2</v>
      </c>
      <c r="P809" s="4">
        <v>1812.4</v>
      </c>
      <c r="Q809" t="s">
        <v>30</v>
      </c>
      <c r="R809">
        <v>1</v>
      </c>
      <c r="S809" t="s">
        <v>31</v>
      </c>
      <c r="T809">
        <v>0</v>
      </c>
      <c r="U809">
        <v>0</v>
      </c>
      <c r="V809" t="s">
        <v>32</v>
      </c>
      <c r="W809" t="s">
        <v>39</v>
      </c>
      <c r="X809" s="4">
        <v>9</v>
      </c>
      <c r="Y809">
        <v>5</v>
      </c>
      <c r="Z809" s="5">
        <v>190.17</v>
      </c>
    </row>
    <row r="810" spans="1:26">
      <c r="A810">
        <v>809</v>
      </c>
      <c r="B810">
        <v>258</v>
      </c>
      <c r="C810" s="2">
        <v>46314</v>
      </c>
      <c r="D810" t="s">
        <v>46</v>
      </c>
      <c r="E810">
        <v>10</v>
      </c>
      <c r="F810" s="3">
        <v>13.44</v>
      </c>
      <c r="G810" t="s">
        <v>36</v>
      </c>
      <c r="H810">
        <v>71</v>
      </c>
      <c r="I810" t="s">
        <v>34</v>
      </c>
      <c r="J810" s="4">
        <v>65.3</v>
      </c>
      <c r="K810" s="4">
        <v>107.5</v>
      </c>
      <c r="L810" s="4">
        <v>17.7</v>
      </c>
      <c r="M810">
        <v>15</v>
      </c>
      <c r="N810" t="s">
        <v>62</v>
      </c>
      <c r="O810">
        <v>2</v>
      </c>
      <c r="P810" s="4">
        <v>1812.4</v>
      </c>
      <c r="Q810" t="s">
        <v>30</v>
      </c>
      <c r="R810">
        <v>1</v>
      </c>
      <c r="S810" t="s">
        <v>31</v>
      </c>
      <c r="T810">
        <v>0</v>
      </c>
      <c r="U810">
        <v>0</v>
      </c>
      <c r="V810" t="s">
        <v>32</v>
      </c>
      <c r="W810" t="s">
        <v>39</v>
      </c>
      <c r="X810" s="4">
        <v>11.5</v>
      </c>
      <c r="Y810">
        <v>16</v>
      </c>
      <c r="Z810" s="5">
        <v>384.08</v>
      </c>
    </row>
    <row r="811" spans="1:26">
      <c r="A811">
        <v>810</v>
      </c>
      <c r="B811">
        <v>259</v>
      </c>
      <c r="C811" s="2">
        <v>46092</v>
      </c>
      <c r="D811" t="s">
        <v>52</v>
      </c>
      <c r="E811">
        <v>3</v>
      </c>
      <c r="F811" s="3">
        <v>9.2799999999999994</v>
      </c>
      <c r="G811" t="s">
        <v>27</v>
      </c>
      <c r="H811">
        <v>11</v>
      </c>
      <c r="I811" t="s">
        <v>28</v>
      </c>
      <c r="J811" s="4">
        <v>67.3</v>
      </c>
      <c r="K811" s="4">
        <v>125.6</v>
      </c>
      <c r="L811" s="4">
        <v>19.600000000000001</v>
      </c>
      <c r="M811">
        <v>12</v>
      </c>
      <c r="N811" t="s">
        <v>47</v>
      </c>
      <c r="O811">
        <v>4</v>
      </c>
      <c r="P811" s="4">
        <v>129.4</v>
      </c>
      <c r="Q811" t="s">
        <v>42</v>
      </c>
      <c r="R811">
        <v>1</v>
      </c>
      <c r="S811" t="s">
        <v>44</v>
      </c>
      <c r="T811">
        <v>0</v>
      </c>
      <c r="U811">
        <v>0</v>
      </c>
      <c r="V811" t="s">
        <v>32</v>
      </c>
      <c r="W811" t="s">
        <v>49</v>
      </c>
      <c r="X811" s="4">
        <v>7.7</v>
      </c>
      <c r="Y811">
        <v>7</v>
      </c>
      <c r="Z811" s="5">
        <v>235.7</v>
      </c>
    </row>
    <row r="812" spans="1:26">
      <c r="A812">
        <v>811</v>
      </c>
      <c r="B812">
        <v>259</v>
      </c>
      <c r="C812" s="2">
        <v>46092</v>
      </c>
      <c r="D812" t="s">
        <v>52</v>
      </c>
      <c r="E812">
        <v>3</v>
      </c>
      <c r="F812" s="3">
        <v>9.44</v>
      </c>
      <c r="G812" t="s">
        <v>27</v>
      </c>
      <c r="H812">
        <v>25</v>
      </c>
      <c r="I812" t="s">
        <v>34</v>
      </c>
      <c r="J812" s="4">
        <v>63.3</v>
      </c>
      <c r="K812" s="4">
        <v>154.1</v>
      </c>
      <c r="L812" s="4">
        <v>26.8</v>
      </c>
      <c r="M812">
        <v>14</v>
      </c>
      <c r="N812" t="s">
        <v>47</v>
      </c>
      <c r="O812">
        <v>4</v>
      </c>
      <c r="P812" s="4">
        <v>129.4</v>
      </c>
      <c r="Q812" t="s">
        <v>42</v>
      </c>
      <c r="R812">
        <v>1</v>
      </c>
      <c r="S812" t="s">
        <v>44</v>
      </c>
      <c r="T812">
        <v>0</v>
      </c>
      <c r="U812">
        <v>0</v>
      </c>
      <c r="V812" t="s">
        <v>32</v>
      </c>
      <c r="W812" t="s">
        <v>49</v>
      </c>
      <c r="X812" s="4">
        <v>8.3000000000000007</v>
      </c>
      <c r="Y812">
        <v>7</v>
      </c>
      <c r="Z812" s="5">
        <v>134.32</v>
      </c>
    </row>
    <row r="813" spans="1:26">
      <c r="A813">
        <v>812</v>
      </c>
      <c r="B813">
        <v>259</v>
      </c>
      <c r="C813" s="2">
        <v>46092</v>
      </c>
      <c r="D813" t="s">
        <v>52</v>
      </c>
      <c r="E813">
        <v>3</v>
      </c>
      <c r="F813" s="3">
        <v>9.49</v>
      </c>
      <c r="G813" t="s">
        <v>27</v>
      </c>
      <c r="H813">
        <v>58</v>
      </c>
      <c r="I813" t="s">
        <v>28</v>
      </c>
      <c r="J813" s="4">
        <v>62.5</v>
      </c>
      <c r="K813" s="4">
        <v>157.5</v>
      </c>
      <c r="L813" s="4">
        <v>28.5</v>
      </c>
      <c r="M813">
        <v>16</v>
      </c>
      <c r="N813" t="s">
        <v>47</v>
      </c>
      <c r="O813">
        <v>4</v>
      </c>
      <c r="P813" s="4">
        <v>129.4</v>
      </c>
      <c r="Q813" t="s">
        <v>42</v>
      </c>
      <c r="R813">
        <v>1</v>
      </c>
      <c r="S813" t="s">
        <v>44</v>
      </c>
      <c r="T813">
        <v>0</v>
      </c>
      <c r="U813">
        <v>0</v>
      </c>
      <c r="V813" t="s">
        <v>32</v>
      </c>
      <c r="W813" t="s">
        <v>49</v>
      </c>
      <c r="X813" s="4">
        <v>7.1</v>
      </c>
      <c r="Y813">
        <v>10</v>
      </c>
      <c r="Z813" s="5">
        <v>256.02999999999997</v>
      </c>
    </row>
    <row r="814" spans="1:26">
      <c r="A814">
        <v>813</v>
      </c>
      <c r="B814">
        <v>259</v>
      </c>
      <c r="C814" s="2">
        <v>46092</v>
      </c>
      <c r="D814" t="s">
        <v>52</v>
      </c>
      <c r="E814">
        <v>3</v>
      </c>
      <c r="F814" s="3">
        <v>9.42</v>
      </c>
      <c r="G814" t="s">
        <v>27</v>
      </c>
      <c r="H814">
        <v>33</v>
      </c>
      <c r="I814" t="s">
        <v>28</v>
      </c>
      <c r="J814" s="4">
        <v>71.099999999999994</v>
      </c>
      <c r="K814" s="4">
        <v>192.8</v>
      </c>
      <c r="L814" s="4">
        <v>27.1</v>
      </c>
      <c r="M814">
        <v>14</v>
      </c>
      <c r="N814" t="s">
        <v>47</v>
      </c>
      <c r="O814">
        <v>4</v>
      </c>
      <c r="P814" s="4">
        <v>129.4</v>
      </c>
      <c r="Q814" t="s">
        <v>42</v>
      </c>
      <c r="R814">
        <v>1</v>
      </c>
      <c r="S814" t="s">
        <v>44</v>
      </c>
      <c r="T814">
        <v>0</v>
      </c>
      <c r="U814">
        <v>0</v>
      </c>
      <c r="V814" t="s">
        <v>32</v>
      </c>
      <c r="W814" t="s">
        <v>49</v>
      </c>
      <c r="X814" s="4">
        <v>10.199999999999999</v>
      </c>
      <c r="Y814">
        <v>8</v>
      </c>
      <c r="Z814" s="5">
        <v>251.53</v>
      </c>
    </row>
    <row r="815" spans="1:26">
      <c r="A815">
        <v>814</v>
      </c>
      <c r="B815">
        <v>260</v>
      </c>
      <c r="C815" s="2">
        <v>46167</v>
      </c>
      <c r="D815" t="s">
        <v>46</v>
      </c>
      <c r="E815">
        <v>5</v>
      </c>
      <c r="F815" s="3">
        <v>8.4600000000000009</v>
      </c>
      <c r="G815" t="s">
        <v>27</v>
      </c>
      <c r="H815">
        <v>26</v>
      </c>
      <c r="I815" t="s">
        <v>28</v>
      </c>
      <c r="J815" s="4">
        <v>75.2</v>
      </c>
      <c r="K815" s="4">
        <v>222.2</v>
      </c>
      <c r="L815" s="4">
        <v>27.8</v>
      </c>
      <c r="M815">
        <v>15</v>
      </c>
      <c r="N815" t="s">
        <v>59</v>
      </c>
      <c r="O815">
        <v>2</v>
      </c>
      <c r="P815" s="4">
        <v>1016.3</v>
      </c>
      <c r="Q815" t="s">
        <v>48</v>
      </c>
      <c r="R815">
        <v>0</v>
      </c>
      <c r="S815" t="s">
        <v>44</v>
      </c>
      <c r="T815">
        <v>1</v>
      </c>
      <c r="U815">
        <v>0</v>
      </c>
      <c r="V815" t="s">
        <v>32</v>
      </c>
      <c r="W815" t="s">
        <v>39</v>
      </c>
      <c r="X815" s="4">
        <v>8.4</v>
      </c>
      <c r="Y815">
        <v>12</v>
      </c>
      <c r="Z815" s="5">
        <v>345.55</v>
      </c>
    </row>
    <row r="816" spans="1:26">
      <c r="A816">
        <v>815</v>
      </c>
      <c r="B816">
        <v>260</v>
      </c>
      <c r="C816" s="2">
        <v>46167</v>
      </c>
      <c r="D816" t="s">
        <v>46</v>
      </c>
      <c r="E816">
        <v>5</v>
      </c>
      <c r="F816" s="3">
        <v>8.42</v>
      </c>
      <c r="G816" t="s">
        <v>27</v>
      </c>
      <c r="H816">
        <v>58</v>
      </c>
      <c r="I816" t="s">
        <v>34</v>
      </c>
      <c r="J816" s="4">
        <v>62.2</v>
      </c>
      <c r="K816" s="4">
        <v>158.1</v>
      </c>
      <c r="L816" s="4">
        <v>28.9</v>
      </c>
      <c r="M816">
        <v>20</v>
      </c>
      <c r="N816" t="s">
        <v>59</v>
      </c>
      <c r="O816">
        <v>2</v>
      </c>
      <c r="P816" s="4">
        <v>1016.3</v>
      </c>
      <c r="Q816" t="s">
        <v>48</v>
      </c>
      <c r="R816">
        <v>0</v>
      </c>
      <c r="S816" t="s">
        <v>44</v>
      </c>
      <c r="T816">
        <v>1</v>
      </c>
      <c r="U816">
        <v>0</v>
      </c>
      <c r="V816" t="s">
        <v>32</v>
      </c>
      <c r="W816" t="s">
        <v>39</v>
      </c>
      <c r="X816" s="4">
        <v>6.9</v>
      </c>
      <c r="Y816">
        <v>8</v>
      </c>
      <c r="Z816" s="5">
        <v>179.24</v>
      </c>
    </row>
    <row r="817" spans="1:26">
      <c r="A817">
        <v>816</v>
      </c>
      <c r="B817">
        <v>261</v>
      </c>
      <c r="C817" s="2">
        <v>46178</v>
      </c>
      <c r="D817" t="s">
        <v>26</v>
      </c>
      <c r="E817">
        <v>6</v>
      </c>
      <c r="F817" s="3">
        <v>9.99</v>
      </c>
      <c r="G817" t="s">
        <v>27</v>
      </c>
      <c r="H817">
        <v>65</v>
      </c>
      <c r="I817" t="s">
        <v>28</v>
      </c>
      <c r="J817" s="4">
        <v>70.8</v>
      </c>
      <c r="K817" s="4">
        <v>119.4</v>
      </c>
      <c r="L817" s="4">
        <v>16.899999999999999</v>
      </c>
      <c r="M817">
        <v>15</v>
      </c>
      <c r="N817" t="s">
        <v>60</v>
      </c>
      <c r="O817">
        <v>3</v>
      </c>
      <c r="P817" s="4">
        <v>1628.5</v>
      </c>
      <c r="Q817" t="s">
        <v>30</v>
      </c>
      <c r="R817">
        <v>1</v>
      </c>
      <c r="S817" t="s">
        <v>31</v>
      </c>
      <c r="T817">
        <v>1</v>
      </c>
      <c r="U817">
        <v>0</v>
      </c>
      <c r="V817" t="s">
        <v>32</v>
      </c>
      <c r="W817" t="s">
        <v>57</v>
      </c>
      <c r="X817" s="4">
        <v>9.6</v>
      </c>
      <c r="Y817">
        <v>14</v>
      </c>
      <c r="Z817" s="5">
        <v>292.72000000000003</v>
      </c>
    </row>
    <row r="818" spans="1:26">
      <c r="A818">
        <v>817</v>
      </c>
      <c r="B818">
        <v>261</v>
      </c>
      <c r="C818" s="2">
        <v>46178</v>
      </c>
      <c r="D818" t="s">
        <v>26</v>
      </c>
      <c r="E818">
        <v>6</v>
      </c>
      <c r="F818" s="3">
        <v>10.050000000000001</v>
      </c>
      <c r="G818" t="s">
        <v>27</v>
      </c>
      <c r="H818">
        <v>53</v>
      </c>
      <c r="I818" t="s">
        <v>34</v>
      </c>
      <c r="J818" s="4">
        <v>70.5</v>
      </c>
      <c r="K818" s="4">
        <v>156.1</v>
      </c>
      <c r="L818" s="4">
        <v>22</v>
      </c>
      <c r="M818">
        <v>9</v>
      </c>
      <c r="N818" t="s">
        <v>60</v>
      </c>
      <c r="O818">
        <v>3</v>
      </c>
      <c r="P818" s="4">
        <v>1628.5</v>
      </c>
      <c r="Q818" t="s">
        <v>30</v>
      </c>
      <c r="R818">
        <v>1</v>
      </c>
      <c r="S818" t="s">
        <v>31</v>
      </c>
      <c r="T818">
        <v>1</v>
      </c>
      <c r="U818">
        <v>0</v>
      </c>
      <c r="V818" t="s">
        <v>32</v>
      </c>
      <c r="W818" t="s">
        <v>57</v>
      </c>
      <c r="X818" s="4">
        <v>9.9</v>
      </c>
      <c r="Y818">
        <v>8</v>
      </c>
      <c r="Z818" s="5">
        <v>244.08</v>
      </c>
    </row>
    <row r="819" spans="1:26">
      <c r="A819">
        <v>818</v>
      </c>
      <c r="B819">
        <v>261</v>
      </c>
      <c r="C819" s="2">
        <v>46178</v>
      </c>
      <c r="D819" t="s">
        <v>26</v>
      </c>
      <c r="E819">
        <v>6</v>
      </c>
      <c r="F819" s="3">
        <v>9.8800000000000008</v>
      </c>
      <c r="G819" t="s">
        <v>27</v>
      </c>
      <c r="H819">
        <v>59</v>
      </c>
      <c r="I819" t="s">
        <v>34</v>
      </c>
      <c r="J819" s="4">
        <v>61.5</v>
      </c>
      <c r="K819" s="4">
        <v>147.30000000000001</v>
      </c>
      <c r="L819" s="4">
        <v>27.4</v>
      </c>
      <c r="M819">
        <v>11</v>
      </c>
      <c r="N819" t="s">
        <v>60</v>
      </c>
      <c r="O819">
        <v>3</v>
      </c>
      <c r="P819" s="4">
        <v>1628.5</v>
      </c>
      <c r="Q819" t="s">
        <v>30</v>
      </c>
      <c r="R819">
        <v>1</v>
      </c>
      <c r="S819" t="s">
        <v>31</v>
      </c>
      <c r="T819">
        <v>1</v>
      </c>
      <c r="U819">
        <v>0</v>
      </c>
      <c r="V819" t="s">
        <v>32</v>
      </c>
      <c r="W819" t="s">
        <v>57</v>
      </c>
      <c r="X819" s="4">
        <v>9.3000000000000007</v>
      </c>
      <c r="Y819">
        <v>11</v>
      </c>
      <c r="Z819" s="5">
        <v>217.67</v>
      </c>
    </row>
    <row r="820" spans="1:26">
      <c r="A820">
        <v>819</v>
      </c>
      <c r="B820">
        <v>262</v>
      </c>
      <c r="C820" s="2">
        <v>46378</v>
      </c>
      <c r="D820" t="s">
        <v>35</v>
      </c>
      <c r="E820">
        <v>12</v>
      </c>
      <c r="F820" s="3">
        <v>8.5500000000000007</v>
      </c>
      <c r="G820" t="s">
        <v>27</v>
      </c>
      <c r="H820">
        <v>58</v>
      </c>
      <c r="I820" t="s">
        <v>34</v>
      </c>
      <c r="J820" s="4">
        <v>63.9</v>
      </c>
      <c r="K820" s="4">
        <v>145.69999999999999</v>
      </c>
      <c r="L820" s="4">
        <v>25.1</v>
      </c>
      <c r="M820">
        <v>15</v>
      </c>
      <c r="N820" t="s">
        <v>37</v>
      </c>
      <c r="O820">
        <v>3</v>
      </c>
      <c r="P820" s="4">
        <v>1552.4</v>
      </c>
      <c r="Q820" t="s">
        <v>42</v>
      </c>
      <c r="R820">
        <v>0</v>
      </c>
      <c r="S820" t="s">
        <v>44</v>
      </c>
      <c r="T820">
        <v>0</v>
      </c>
      <c r="U820">
        <v>1</v>
      </c>
      <c r="V820" t="s">
        <v>32</v>
      </c>
      <c r="W820" t="s">
        <v>33</v>
      </c>
      <c r="X820" s="4">
        <v>10</v>
      </c>
      <c r="Y820">
        <v>9</v>
      </c>
      <c r="Z820" s="5">
        <v>229.5</v>
      </c>
    </row>
    <row r="821" spans="1:26">
      <c r="A821">
        <v>820</v>
      </c>
      <c r="B821">
        <v>262</v>
      </c>
      <c r="C821" s="2">
        <v>46378</v>
      </c>
      <c r="D821" t="s">
        <v>35</v>
      </c>
      <c r="E821">
        <v>12</v>
      </c>
      <c r="F821" s="3">
        <v>8.6199999999999992</v>
      </c>
      <c r="G821" t="s">
        <v>27</v>
      </c>
      <c r="H821">
        <v>53</v>
      </c>
      <c r="I821" t="s">
        <v>34</v>
      </c>
      <c r="J821" s="4">
        <v>63.4</v>
      </c>
      <c r="K821" s="4">
        <v>187.5</v>
      </c>
      <c r="L821" s="4">
        <v>32.799999999999997</v>
      </c>
      <c r="M821">
        <v>16</v>
      </c>
      <c r="N821" t="s">
        <v>37</v>
      </c>
      <c r="O821">
        <v>3</v>
      </c>
      <c r="P821" s="4">
        <v>1552.4</v>
      </c>
      <c r="Q821" t="s">
        <v>42</v>
      </c>
      <c r="R821">
        <v>0</v>
      </c>
      <c r="S821" t="s">
        <v>44</v>
      </c>
      <c r="T821">
        <v>0</v>
      </c>
      <c r="U821">
        <v>1</v>
      </c>
      <c r="V821" t="s">
        <v>32</v>
      </c>
      <c r="W821" t="s">
        <v>33</v>
      </c>
      <c r="X821" s="4">
        <v>8.6</v>
      </c>
      <c r="Y821">
        <v>6</v>
      </c>
      <c r="Z821" s="5">
        <v>117.2</v>
      </c>
    </row>
    <row r="822" spans="1:26">
      <c r="A822">
        <v>821</v>
      </c>
      <c r="B822">
        <v>262</v>
      </c>
      <c r="C822" s="2">
        <v>46378</v>
      </c>
      <c r="D822" t="s">
        <v>35</v>
      </c>
      <c r="E822">
        <v>12</v>
      </c>
      <c r="F822" s="3">
        <v>8.39</v>
      </c>
      <c r="G822" t="s">
        <v>27</v>
      </c>
      <c r="H822">
        <v>60</v>
      </c>
      <c r="I822" t="s">
        <v>28</v>
      </c>
      <c r="J822" s="4">
        <v>65.7</v>
      </c>
      <c r="K822" s="4">
        <v>196.4</v>
      </c>
      <c r="L822" s="4">
        <v>31.9</v>
      </c>
      <c r="M822">
        <v>17</v>
      </c>
      <c r="N822" t="s">
        <v>37</v>
      </c>
      <c r="O822">
        <v>3</v>
      </c>
      <c r="P822" s="4">
        <v>1552.4</v>
      </c>
      <c r="Q822" t="s">
        <v>42</v>
      </c>
      <c r="R822">
        <v>0</v>
      </c>
      <c r="S822" t="s">
        <v>44</v>
      </c>
      <c r="T822">
        <v>0</v>
      </c>
      <c r="U822">
        <v>1</v>
      </c>
      <c r="V822" t="s">
        <v>32</v>
      </c>
      <c r="W822" t="s">
        <v>33</v>
      </c>
      <c r="X822" s="4">
        <v>12.2</v>
      </c>
      <c r="Y822">
        <v>9</v>
      </c>
      <c r="Z822" s="5">
        <v>184.6</v>
      </c>
    </row>
    <row r="823" spans="1:26">
      <c r="A823">
        <v>822</v>
      </c>
      <c r="B823">
        <v>263</v>
      </c>
      <c r="C823" s="2">
        <v>46116</v>
      </c>
      <c r="D823" t="s">
        <v>40</v>
      </c>
      <c r="E823">
        <v>4</v>
      </c>
      <c r="F823" s="3">
        <v>8.51</v>
      </c>
      <c r="G823" t="s">
        <v>27</v>
      </c>
      <c r="H823">
        <v>25</v>
      </c>
      <c r="I823" t="s">
        <v>28</v>
      </c>
      <c r="J823" s="4">
        <v>64.3</v>
      </c>
      <c r="K823" s="4">
        <v>118.8</v>
      </c>
      <c r="L823" s="4">
        <v>20.2</v>
      </c>
      <c r="M823">
        <v>14</v>
      </c>
      <c r="N823" t="s">
        <v>66</v>
      </c>
      <c r="O823">
        <v>1</v>
      </c>
      <c r="P823" s="4">
        <v>579</v>
      </c>
      <c r="Q823" t="s">
        <v>42</v>
      </c>
      <c r="R823">
        <v>0</v>
      </c>
      <c r="S823" t="s">
        <v>44</v>
      </c>
      <c r="T823">
        <v>1</v>
      </c>
      <c r="U823">
        <v>0</v>
      </c>
      <c r="V823" t="s">
        <v>32</v>
      </c>
      <c r="W823" t="s">
        <v>39</v>
      </c>
      <c r="X823" s="4">
        <v>9.6999999999999993</v>
      </c>
      <c r="Y823">
        <v>12</v>
      </c>
      <c r="Z823" s="5">
        <v>251.9</v>
      </c>
    </row>
    <row r="824" spans="1:26">
      <c r="A824">
        <v>823</v>
      </c>
      <c r="B824">
        <v>264</v>
      </c>
      <c r="C824" s="2">
        <v>46231</v>
      </c>
      <c r="D824" t="s">
        <v>35</v>
      </c>
      <c r="E824">
        <v>7</v>
      </c>
      <c r="F824" s="3">
        <v>11.47</v>
      </c>
      <c r="G824" t="s">
        <v>36</v>
      </c>
      <c r="H824">
        <v>62</v>
      </c>
      <c r="I824" t="s">
        <v>28</v>
      </c>
      <c r="J824" s="4">
        <v>66.900000000000006</v>
      </c>
      <c r="K824" s="4">
        <v>199.1</v>
      </c>
      <c r="L824" s="4">
        <v>31</v>
      </c>
      <c r="M824">
        <v>17</v>
      </c>
      <c r="N824" t="s">
        <v>60</v>
      </c>
      <c r="O824">
        <v>3</v>
      </c>
      <c r="P824" s="4">
        <v>1469.7</v>
      </c>
      <c r="Q824" t="s">
        <v>42</v>
      </c>
      <c r="R824">
        <v>1</v>
      </c>
      <c r="S824" t="s">
        <v>44</v>
      </c>
      <c r="T824">
        <v>1</v>
      </c>
      <c r="U824">
        <v>0</v>
      </c>
      <c r="V824" t="s">
        <v>32</v>
      </c>
      <c r="W824" t="s">
        <v>43</v>
      </c>
      <c r="X824" s="4">
        <v>7.9</v>
      </c>
      <c r="Y824">
        <v>7</v>
      </c>
      <c r="Z824" s="5">
        <v>200.98</v>
      </c>
    </row>
    <row r="825" spans="1:26">
      <c r="A825">
        <v>824</v>
      </c>
      <c r="B825">
        <v>264</v>
      </c>
      <c r="C825" s="2">
        <v>46231</v>
      </c>
      <c r="D825" t="s">
        <v>35</v>
      </c>
      <c r="E825">
        <v>7</v>
      </c>
      <c r="F825" s="3">
        <v>11.42</v>
      </c>
      <c r="G825" t="s">
        <v>36</v>
      </c>
      <c r="H825">
        <v>68</v>
      </c>
      <c r="I825" t="s">
        <v>34</v>
      </c>
      <c r="J825" s="4">
        <v>66.400000000000006</v>
      </c>
      <c r="K825" s="4">
        <v>193.9</v>
      </c>
      <c r="L825" s="4">
        <v>30.7</v>
      </c>
      <c r="M825">
        <v>17</v>
      </c>
      <c r="N825" t="s">
        <v>60</v>
      </c>
      <c r="O825">
        <v>3</v>
      </c>
      <c r="P825" s="4">
        <v>1469.7</v>
      </c>
      <c r="Q825" t="s">
        <v>42</v>
      </c>
      <c r="R825">
        <v>1</v>
      </c>
      <c r="S825" t="s">
        <v>44</v>
      </c>
      <c r="T825">
        <v>1</v>
      </c>
      <c r="U825">
        <v>0</v>
      </c>
      <c r="V825" t="s">
        <v>32</v>
      </c>
      <c r="W825" t="s">
        <v>43</v>
      </c>
      <c r="X825" s="4">
        <v>8.4</v>
      </c>
      <c r="Y825">
        <v>11</v>
      </c>
      <c r="Z825" s="5">
        <v>168.69</v>
      </c>
    </row>
    <row r="826" spans="1:26">
      <c r="A826">
        <v>825</v>
      </c>
      <c r="B826">
        <v>264</v>
      </c>
      <c r="C826" s="2">
        <v>46231</v>
      </c>
      <c r="D826" t="s">
        <v>35</v>
      </c>
      <c r="E826">
        <v>7</v>
      </c>
      <c r="F826" s="3">
        <v>11.37</v>
      </c>
      <c r="G826" t="s">
        <v>36</v>
      </c>
      <c r="H826">
        <v>52</v>
      </c>
      <c r="I826" t="s">
        <v>28</v>
      </c>
      <c r="J826" s="4">
        <v>68.3</v>
      </c>
      <c r="K826" s="4">
        <v>197.6</v>
      </c>
      <c r="L826" s="4">
        <v>29.8</v>
      </c>
      <c r="M826">
        <v>16</v>
      </c>
      <c r="N826" t="s">
        <v>60</v>
      </c>
      <c r="O826">
        <v>3</v>
      </c>
      <c r="P826" s="4">
        <v>1469.7</v>
      </c>
      <c r="Q826" t="s">
        <v>42</v>
      </c>
      <c r="R826">
        <v>1</v>
      </c>
      <c r="S826" t="s">
        <v>44</v>
      </c>
      <c r="T826">
        <v>1</v>
      </c>
      <c r="U826">
        <v>0</v>
      </c>
      <c r="V826" t="s">
        <v>32</v>
      </c>
      <c r="W826" t="s">
        <v>43</v>
      </c>
      <c r="X826" s="4">
        <v>7.2</v>
      </c>
      <c r="Y826">
        <v>7</v>
      </c>
      <c r="Z826" s="5">
        <v>183.2</v>
      </c>
    </row>
    <row r="827" spans="1:26">
      <c r="A827">
        <v>826</v>
      </c>
      <c r="B827">
        <v>265</v>
      </c>
      <c r="C827" s="2">
        <v>46049</v>
      </c>
      <c r="D827" t="s">
        <v>35</v>
      </c>
      <c r="E827">
        <v>1</v>
      </c>
      <c r="F827" s="3">
        <v>11.1</v>
      </c>
      <c r="G827" t="s">
        <v>36</v>
      </c>
      <c r="H827">
        <v>51</v>
      </c>
      <c r="I827" t="s">
        <v>34</v>
      </c>
      <c r="J827" s="4">
        <v>68.400000000000006</v>
      </c>
      <c r="K827" s="4">
        <v>164</v>
      </c>
      <c r="L827" s="4">
        <v>24.4</v>
      </c>
      <c r="M827">
        <v>19</v>
      </c>
      <c r="N827" t="s">
        <v>47</v>
      </c>
      <c r="O827">
        <v>1</v>
      </c>
      <c r="P827" s="4">
        <v>72.900000000000006</v>
      </c>
      <c r="Q827" t="s">
        <v>48</v>
      </c>
      <c r="R827">
        <v>0</v>
      </c>
      <c r="S827" t="s">
        <v>44</v>
      </c>
      <c r="T827">
        <v>1</v>
      </c>
      <c r="U827">
        <v>1</v>
      </c>
      <c r="V827" t="s">
        <v>64</v>
      </c>
      <c r="W827" t="s">
        <v>33</v>
      </c>
      <c r="X827" s="4">
        <v>7.7</v>
      </c>
      <c r="Y827">
        <v>9</v>
      </c>
      <c r="Z827" s="5">
        <v>338.36</v>
      </c>
    </row>
    <row r="828" spans="1:26">
      <c r="A828">
        <v>827</v>
      </c>
      <c r="B828">
        <v>266</v>
      </c>
      <c r="C828" s="2">
        <v>46132</v>
      </c>
      <c r="D828" t="s">
        <v>46</v>
      </c>
      <c r="E828">
        <v>4</v>
      </c>
      <c r="F828" s="3">
        <v>7.04</v>
      </c>
      <c r="G828" t="s">
        <v>27</v>
      </c>
      <c r="H828">
        <v>37</v>
      </c>
      <c r="I828" t="s">
        <v>34</v>
      </c>
      <c r="J828" s="4">
        <v>65</v>
      </c>
      <c r="K828" s="4">
        <v>164.5</v>
      </c>
      <c r="L828" s="4">
        <v>27.5</v>
      </c>
      <c r="M828">
        <v>14</v>
      </c>
      <c r="N828" t="s">
        <v>47</v>
      </c>
      <c r="O828">
        <v>3</v>
      </c>
      <c r="P828" s="4">
        <v>5.2</v>
      </c>
      <c r="Q828" t="s">
        <v>30</v>
      </c>
      <c r="R828">
        <v>0</v>
      </c>
      <c r="S828" t="s">
        <v>31</v>
      </c>
      <c r="T828">
        <v>0</v>
      </c>
      <c r="U828">
        <v>0</v>
      </c>
      <c r="V828" t="s">
        <v>32</v>
      </c>
      <c r="W828" t="s">
        <v>39</v>
      </c>
      <c r="X828" s="4">
        <v>7.5</v>
      </c>
      <c r="Y828">
        <v>6</v>
      </c>
      <c r="Z828" s="5">
        <v>207.13</v>
      </c>
    </row>
    <row r="829" spans="1:26">
      <c r="A829">
        <v>828</v>
      </c>
      <c r="B829">
        <v>266</v>
      </c>
      <c r="C829" s="2">
        <v>46132</v>
      </c>
      <c r="D829" t="s">
        <v>46</v>
      </c>
      <c r="E829">
        <v>4</v>
      </c>
      <c r="F829" s="3">
        <v>7.16</v>
      </c>
      <c r="G829" t="s">
        <v>27</v>
      </c>
      <c r="H829">
        <v>10</v>
      </c>
      <c r="I829" t="s">
        <v>34</v>
      </c>
      <c r="J829" s="4">
        <v>61</v>
      </c>
      <c r="K829" s="4">
        <v>72.599999999999994</v>
      </c>
      <c r="L829" s="4">
        <v>13.9</v>
      </c>
      <c r="M829">
        <v>12</v>
      </c>
      <c r="N829" t="s">
        <v>47</v>
      </c>
      <c r="O829">
        <v>3</v>
      </c>
      <c r="P829" s="4">
        <v>5.2</v>
      </c>
      <c r="Q829" t="s">
        <v>30</v>
      </c>
      <c r="R829">
        <v>0</v>
      </c>
      <c r="S829" t="s">
        <v>31</v>
      </c>
      <c r="T829">
        <v>0</v>
      </c>
      <c r="U829">
        <v>0</v>
      </c>
      <c r="V829" t="s">
        <v>32</v>
      </c>
      <c r="W829" t="s">
        <v>39</v>
      </c>
      <c r="X829" s="4">
        <v>12</v>
      </c>
      <c r="Y829">
        <v>13</v>
      </c>
      <c r="Z829" s="5">
        <v>249.86</v>
      </c>
    </row>
    <row r="830" spans="1:26">
      <c r="A830">
        <v>829</v>
      </c>
      <c r="B830">
        <v>266</v>
      </c>
      <c r="C830" s="2">
        <v>46132</v>
      </c>
      <c r="D830" t="s">
        <v>46</v>
      </c>
      <c r="E830">
        <v>4</v>
      </c>
      <c r="F830" s="3">
        <v>7.42</v>
      </c>
      <c r="G830" t="s">
        <v>27</v>
      </c>
      <c r="H830">
        <v>41</v>
      </c>
      <c r="I830" t="s">
        <v>34</v>
      </c>
      <c r="J830" s="4">
        <v>65.5</v>
      </c>
      <c r="K830" s="4">
        <v>160</v>
      </c>
      <c r="L830" s="4">
        <v>26.3</v>
      </c>
      <c r="M830">
        <v>15</v>
      </c>
      <c r="N830" t="s">
        <v>47</v>
      </c>
      <c r="O830">
        <v>3</v>
      </c>
      <c r="P830" s="4">
        <v>5.2</v>
      </c>
      <c r="Q830" t="s">
        <v>30</v>
      </c>
      <c r="R830">
        <v>0</v>
      </c>
      <c r="S830" t="s">
        <v>31</v>
      </c>
      <c r="T830">
        <v>0</v>
      </c>
      <c r="U830">
        <v>0</v>
      </c>
      <c r="V830" t="s">
        <v>32</v>
      </c>
      <c r="W830" t="s">
        <v>39</v>
      </c>
      <c r="X830" s="4">
        <v>7.9</v>
      </c>
      <c r="Y830">
        <v>5</v>
      </c>
      <c r="Z830" s="5">
        <v>125.7</v>
      </c>
    </row>
    <row r="831" spans="1:26">
      <c r="A831">
        <v>830</v>
      </c>
      <c r="B831">
        <v>267</v>
      </c>
      <c r="C831" s="2">
        <v>46176</v>
      </c>
      <c r="D831" t="s">
        <v>52</v>
      </c>
      <c r="E831">
        <v>6</v>
      </c>
      <c r="F831" s="3">
        <v>8.74</v>
      </c>
      <c r="G831" t="s">
        <v>27</v>
      </c>
      <c r="H831">
        <v>44</v>
      </c>
      <c r="I831" t="s">
        <v>34</v>
      </c>
      <c r="J831" s="4">
        <v>58</v>
      </c>
      <c r="K831" s="4">
        <v>149.4</v>
      </c>
      <c r="L831" s="4">
        <v>31.2</v>
      </c>
      <c r="M831">
        <v>16</v>
      </c>
      <c r="N831" t="s">
        <v>60</v>
      </c>
      <c r="O831">
        <v>5</v>
      </c>
      <c r="P831" s="4">
        <v>1384.7</v>
      </c>
      <c r="Q831" t="s">
        <v>42</v>
      </c>
      <c r="R831">
        <v>0</v>
      </c>
      <c r="S831" t="s">
        <v>44</v>
      </c>
      <c r="T831">
        <v>1</v>
      </c>
      <c r="U831">
        <v>0</v>
      </c>
      <c r="V831" t="s">
        <v>64</v>
      </c>
      <c r="W831" t="s">
        <v>43</v>
      </c>
      <c r="X831" s="4">
        <v>7.2</v>
      </c>
      <c r="Y831">
        <v>11</v>
      </c>
      <c r="Z831" s="5">
        <v>130.54</v>
      </c>
    </row>
    <row r="832" spans="1:26">
      <c r="A832">
        <v>831</v>
      </c>
      <c r="B832">
        <v>267</v>
      </c>
      <c r="C832" s="2">
        <v>46176</v>
      </c>
      <c r="D832" t="s">
        <v>52</v>
      </c>
      <c r="E832">
        <v>6</v>
      </c>
      <c r="F832" s="3">
        <v>8.68</v>
      </c>
      <c r="G832" t="s">
        <v>27</v>
      </c>
      <c r="H832">
        <v>42</v>
      </c>
      <c r="I832" t="s">
        <v>28</v>
      </c>
      <c r="J832" s="4">
        <v>68.400000000000006</v>
      </c>
      <c r="K832" s="4">
        <v>152.19999999999999</v>
      </c>
      <c r="L832" s="4">
        <v>22.9</v>
      </c>
      <c r="M832">
        <v>16</v>
      </c>
      <c r="N832" t="s">
        <v>60</v>
      </c>
      <c r="O832">
        <v>5</v>
      </c>
      <c r="P832" s="4">
        <v>1384.7</v>
      </c>
      <c r="Q832" t="s">
        <v>42</v>
      </c>
      <c r="R832">
        <v>0</v>
      </c>
      <c r="S832" t="s">
        <v>44</v>
      </c>
      <c r="T832">
        <v>1</v>
      </c>
      <c r="U832">
        <v>0</v>
      </c>
      <c r="V832" t="s">
        <v>64</v>
      </c>
      <c r="W832" t="s">
        <v>43</v>
      </c>
      <c r="X832" s="4">
        <v>9.8000000000000007</v>
      </c>
      <c r="Y832">
        <v>11</v>
      </c>
      <c r="Z832" s="5">
        <v>238.64</v>
      </c>
    </row>
    <row r="833" spans="1:26">
      <c r="A833">
        <v>832</v>
      </c>
      <c r="B833">
        <v>267</v>
      </c>
      <c r="C833" s="2">
        <v>46176</v>
      </c>
      <c r="D833" t="s">
        <v>52</v>
      </c>
      <c r="E833">
        <v>6</v>
      </c>
      <c r="F833" s="3">
        <v>8.9</v>
      </c>
      <c r="G833" t="s">
        <v>27</v>
      </c>
      <c r="H833">
        <v>49</v>
      </c>
      <c r="I833" t="s">
        <v>34</v>
      </c>
      <c r="J833" s="4">
        <v>63.3</v>
      </c>
      <c r="K833" s="4">
        <v>153.19999999999999</v>
      </c>
      <c r="L833" s="4">
        <v>26.9</v>
      </c>
      <c r="M833">
        <v>16</v>
      </c>
      <c r="N833" t="s">
        <v>60</v>
      </c>
      <c r="O833">
        <v>5</v>
      </c>
      <c r="P833" s="4">
        <v>1384.7</v>
      </c>
      <c r="Q833" t="s">
        <v>42</v>
      </c>
      <c r="R833">
        <v>0</v>
      </c>
      <c r="S833" t="s">
        <v>44</v>
      </c>
      <c r="T833">
        <v>1</v>
      </c>
      <c r="U833">
        <v>0</v>
      </c>
      <c r="V833" t="s">
        <v>64</v>
      </c>
      <c r="W833" t="s">
        <v>43</v>
      </c>
      <c r="X833" s="4">
        <v>9.8000000000000007</v>
      </c>
      <c r="Y833">
        <v>10</v>
      </c>
      <c r="Z833" s="5">
        <v>204.02</v>
      </c>
    </row>
    <row r="834" spans="1:26">
      <c r="A834">
        <v>833</v>
      </c>
      <c r="B834">
        <v>267</v>
      </c>
      <c r="C834" s="2">
        <v>46176</v>
      </c>
      <c r="D834" t="s">
        <v>52</v>
      </c>
      <c r="E834">
        <v>6</v>
      </c>
      <c r="F834" s="3">
        <v>8.67</v>
      </c>
      <c r="G834" t="s">
        <v>27</v>
      </c>
      <c r="H834">
        <v>63</v>
      </c>
      <c r="I834" t="s">
        <v>28</v>
      </c>
      <c r="J834" s="4">
        <v>72.3</v>
      </c>
      <c r="K834" s="4">
        <v>175</v>
      </c>
      <c r="L834" s="4">
        <v>23.7</v>
      </c>
      <c r="M834">
        <v>19</v>
      </c>
      <c r="N834" t="s">
        <v>60</v>
      </c>
      <c r="O834">
        <v>5</v>
      </c>
      <c r="P834" s="4">
        <v>1384.7</v>
      </c>
      <c r="Q834" t="s">
        <v>42</v>
      </c>
      <c r="R834">
        <v>0</v>
      </c>
      <c r="S834" t="s">
        <v>44</v>
      </c>
      <c r="T834">
        <v>1</v>
      </c>
      <c r="U834">
        <v>0</v>
      </c>
      <c r="V834" t="s">
        <v>64</v>
      </c>
      <c r="W834" t="s">
        <v>43</v>
      </c>
      <c r="X834" s="4">
        <v>8.3000000000000007</v>
      </c>
      <c r="Y834">
        <v>8</v>
      </c>
      <c r="Z834" s="5">
        <v>197.01</v>
      </c>
    </row>
    <row r="835" spans="1:26">
      <c r="A835">
        <v>834</v>
      </c>
      <c r="B835">
        <v>267</v>
      </c>
      <c r="C835" s="2">
        <v>46176</v>
      </c>
      <c r="D835" t="s">
        <v>52</v>
      </c>
      <c r="E835">
        <v>6</v>
      </c>
      <c r="F835" s="3">
        <v>8.61</v>
      </c>
      <c r="G835" t="s">
        <v>27</v>
      </c>
      <c r="H835">
        <v>34</v>
      </c>
      <c r="I835" t="s">
        <v>28</v>
      </c>
      <c r="J835" s="4">
        <v>67.7</v>
      </c>
      <c r="K835" s="4">
        <v>169.4</v>
      </c>
      <c r="L835" s="4">
        <v>26</v>
      </c>
      <c r="M835">
        <v>13</v>
      </c>
      <c r="N835" t="s">
        <v>60</v>
      </c>
      <c r="O835">
        <v>5</v>
      </c>
      <c r="P835" s="4">
        <v>1384.7</v>
      </c>
      <c r="Q835" t="s">
        <v>42</v>
      </c>
      <c r="R835">
        <v>0</v>
      </c>
      <c r="S835" t="s">
        <v>44</v>
      </c>
      <c r="T835">
        <v>1</v>
      </c>
      <c r="U835">
        <v>0</v>
      </c>
      <c r="V835" t="s">
        <v>64</v>
      </c>
      <c r="W835" t="s">
        <v>43</v>
      </c>
      <c r="X835" s="4">
        <v>10.1</v>
      </c>
      <c r="Y835">
        <v>10</v>
      </c>
      <c r="Z835" s="5">
        <v>177.58</v>
      </c>
    </row>
    <row r="836" spans="1:26">
      <c r="A836">
        <v>835</v>
      </c>
      <c r="B836">
        <v>268</v>
      </c>
      <c r="C836" s="2">
        <v>46331</v>
      </c>
      <c r="D836" t="s">
        <v>55</v>
      </c>
      <c r="E836">
        <v>11</v>
      </c>
      <c r="F836" s="3">
        <v>13.43</v>
      </c>
      <c r="G836" t="s">
        <v>36</v>
      </c>
      <c r="H836">
        <v>35</v>
      </c>
      <c r="I836" t="s">
        <v>34</v>
      </c>
      <c r="J836" s="4">
        <v>67.2</v>
      </c>
      <c r="K836" s="4">
        <v>169.4</v>
      </c>
      <c r="L836" s="4">
        <v>26.6</v>
      </c>
      <c r="M836">
        <v>13</v>
      </c>
      <c r="N836" t="s">
        <v>50</v>
      </c>
      <c r="O836">
        <v>2</v>
      </c>
      <c r="P836" s="4">
        <v>415.9</v>
      </c>
      <c r="Q836" t="s">
        <v>42</v>
      </c>
      <c r="R836">
        <v>0</v>
      </c>
      <c r="S836" t="s">
        <v>31</v>
      </c>
      <c r="T836">
        <v>0</v>
      </c>
      <c r="U836">
        <v>0</v>
      </c>
      <c r="V836" t="s">
        <v>32</v>
      </c>
      <c r="W836" t="s">
        <v>39</v>
      </c>
      <c r="X836" s="4">
        <v>9.8000000000000007</v>
      </c>
      <c r="Y836">
        <v>8</v>
      </c>
      <c r="Z836" s="5">
        <v>184.42</v>
      </c>
    </row>
    <row r="837" spans="1:26">
      <c r="A837">
        <v>836</v>
      </c>
      <c r="B837">
        <v>268</v>
      </c>
      <c r="C837" s="2">
        <v>46331</v>
      </c>
      <c r="D837" t="s">
        <v>55</v>
      </c>
      <c r="E837">
        <v>11</v>
      </c>
      <c r="F837" s="3">
        <v>13.72</v>
      </c>
      <c r="G837" t="s">
        <v>36</v>
      </c>
      <c r="H837">
        <v>64</v>
      </c>
      <c r="I837" t="s">
        <v>28</v>
      </c>
      <c r="J837" s="4">
        <v>72.900000000000006</v>
      </c>
      <c r="K837" s="4">
        <v>158</v>
      </c>
      <c r="L837" s="4">
        <v>21.2</v>
      </c>
      <c r="M837">
        <v>18</v>
      </c>
      <c r="N837" t="s">
        <v>50</v>
      </c>
      <c r="O837">
        <v>2</v>
      </c>
      <c r="P837" s="4">
        <v>415.9</v>
      </c>
      <c r="Q837" t="s">
        <v>42</v>
      </c>
      <c r="R837">
        <v>0</v>
      </c>
      <c r="S837" t="s">
        <v>31</v>
      </c>
      <c r="T837">
        <v>0</v>
      </c>
      <c r="U837">
        <v>0</v>
      </c>
      <c r="V837" t="s">
        <v>32</v>
      </c>
      <c r="W837" t="s">
        <v>39</v>
      </c>
      <c r="X837" s="4">
        <v>8.9</v>
      </c>
      <c r="Y837">
        <v>9</v>
      </c>
      <c r="Z837" s="5">
        <v>199.21</v>
      </c>
    </row>
    <row r="838" spans="1:26">
      <c r="A838">
        <v>837</v>
      </c>
      <c r="B838">
        <v>269</v>
      </c>
      <c r="C838" s="2">
        <v>46301</v>
      </c>
      <c r="D838" t="s">
        <v>35</v>
      </c>
      <c r="E838">
        <v>10</v>
      </c>
      <c r="F838" s="3">
        <v>13.76</v>
      </c>
      <c r="G838" t="s">
        <v>36</v>
      </c>
      <c r="H838">
        <v>49</v>
      </c>
      <c r="I838" t="s">
        <v>28</v>
      </c>
      <c r="J838" s="4">
        <v>68.400000000000006</v>
      </c>
      <c r="K838" s="4">
        <v>156.80000000000001</v>
      </c>
      <c r="L838" s="4">
        <v>23.6</v>
      </c>
      <c r="M838">
        <v>15</v>
      </c>
      <c r="N838" t="s">
        <v>53</v>
      </c>
      <c r="O838">
        <v>4</v>
      </c>
      <c r="P838" s="4">
        <v>640.29999999999995</v>
      </c>
      <c r="Q838" t="s">
        <v>48</v>
      </c>
      <c r="R838">
        <v>0</v>
      </c>
      <c r="S838" t="s">
        <v>31</v>
      </c>
      <c r="T838">
        <v>0</v>
      </c>
      <c r="U838">
        <v>0</v>
      </c>
      <c r="V838" t="s">
        <v>32</v>
      </c>
      <c r="W838" t="s">
        <v>57</v>
      </c>
      <c r="X838" s="4">
        <v>7.2</v>
      </c>
      <c r="Y838">
        <v>9</v>
      </c>
      <c r="Z838" s="5">
        <v>228.83</v>
      </c>
    </row>
    <row r="839" spans="1:26">
      <c r="A839">
        <v>838</v>
      </c>
      <c r="B839">
        <v>269</v>
      </c>
      <c r="C839" s="2">
        <v>46301</v>
      </c>
      <c r="D839" t="s">
        <v>35</v>
      </c>
      <c r="E839">
        <v>10</v>
      </c>
      <c r="F839" s="3">
        <v>13.74</v>
      </c>
      <c r="G839" t="s">
        <v>36</v>
      </c>
      <c r="H839">
        <v>82</v>
      </c>
      <c r="I839" t="s">
        <v>28</v>
      </c>
      <c r="J839" s="4">
        <v>71.400000000000006</v>
      </c>
      <c r="K839" s="4">
        <v>208.4</v>
      </c>
      <c r="L839" s="4">
        <v>29</v>
      </c>
      <c r="M839">
        <v>20</v>
      </c>
      <c r="N839" t="s">
        <v>53</v>
      </c>
      <c r="O839">
        <v>4</v>
      </c>
      <c r="P839" s="4">
        <v>640.29999999999995</v>
      </c>
      <c r="Q839" t="s">
        <v>48</v>
      </c>
      <c r="R839">
        <v>0</v>
      </c>
      <c r="S839" t="s">
        <v>31</v>
      </c>
      <c r="T839">
        <v>0</v>
      </c>
      <c r="U839">
        <v>0</v>
      </c>
      <c r="V839" t="s">
        <v>32</v>
      </c>
      <c r="W839" t="s">
        <v>57</v>
      </c>
      <c r="X839" s="4">
        <v>9.5</v>
      </c>
      <c r="Y839">
        <v>14</v>
      </c>
      <c r="Z839" s="5">
        <v>403.34</v>
      </c>
    </row>
    <row r="840" spans="1:26">
      <c r="A840">
        <v>839</v>
      </c>
      <c r="B840">
        <v>269</v>
      </c>
      <c r="C840" s="2">
        <v>46301</v>
      </c>
      <c r="D840" t="s">
        <v>35</v>
      </c>
      <c r="E840">
        <v>10</v>
      </c>
      <c r="F840" s="3">
        <v>13.86</v>
      </c>
      <c r="G840" t="s">
        <v>36</v>
      </c>
      <c r="H840">
        <v>66</v>
      </c>
      <c r="I840" t="s">
        <v>28</v>
      </c>
      <c r="J840" s="4">
        <v>73.2</v>
      </c>
      <c r="K840" s="4">
        <v>243.5</v>
      </c>
      <c r="L840" s="4">
        <v>31.9</v>
      </c>
      <c r="M840">
        <v>20</v>
      </c>
      <c r="N840" t="s">
        <v>53</v>
      </c>
      <c r="O840">
        <v>4</v>
      </c>
      <c r="P840" s="4">
        <v>640.29999999999995</v>
      </c>
      <c r="Q840" t="s">
        <v>48</v>
      </c>
      <c r="R840">
        <v>0</v>
      </c>
      <c r="S840" t="s">
        <v>31</v>
      </c>
      <c r="T840">
        <v>0</v>
      </c>
      <c r="U840">
        <v>0</v>
      </c>
      <c r="V840" t="s">
        <v>32</v>
      </c>
      <c r="W840" t="s">
        <v>57</v>
      </c>
      <c r="X840" s="4">
        <v>8</v>
      </c>
      <c r="Y840">
        <v>10</v>
      </c>
      <c r="Z840" s="5">
        <v>234.86</v>
      </c>
    </row>
    <row r="841" spans="1:26">
      <c r="A841">
        <v>840</v>
      </c>
      <c r="B841">
        <v>269</v>
      </c>
      <c r="C841" s="2">
        <v>46301</v>
      </c>
      <c r="D841" t="s">
        <v>35</v>
      </c>
      <c r="E841">
        <v>10</v>
      </c>
      <c r="F841" s="3">
        <v>14.14</v>
      </c>
      <c r="G841" t="s">
        <v>36</v>
      </c>
      <c r="H841">
        <v>15</v>
      </c>
      <c r="I841" t="s">
        <v>34</v>
      </c>
      <c r="J841" s="4">
        <v>70</v>
      </c>
      <c r="K841" s="4">
        <v>98.9</v>
      </c>
      <c r="L841" s="4">
        <v>14.1</v>
      </c>
      <c r="M841">
        <v>15</v>
      </c>
      <c r="N841" t="s">
        <v>53</v>
      </c>
      <c r="O841">
        <v>4</v>
      </c>
      <c r="P841" s="4">
        <v>640.29999999999995</v>
      </c>
      <c r="Q841" t="s">
        <v>48</v>
      </c>
      <c r="R841">
        <v>0</v>
      </c>
      <c r="S841" t="s">
        <v>31</v>
      </c>
      <c r="T841">
        <v>0</v>
      </c>
      <c r="U841">
        <v>0</v>
      </c>
      <c r="V841" t="s">
        <v>32</v>
      </c>
      <c r="W841" t="s">
        <v>57</v>
      </c>
      <c r="X841" s="4">
        <v>6.5</v>
      </c>
      <c r="Y841">
        <v>8</v>
      </c>
      <c r="Z841" s="5">
        <v>331.61</v>
      </c>
    </row>
    <row r="842" spans="1:26">
      <c r="A842">
        <v>841</v>
      </c>
      <c r="B842">
        <v>270</v>
      </c>
      <c r="C842" s="2">
        <v>46139</v>
      </c>
      <c r="D842" t="s">
        <v>46</v>
      </c>
      <c r="E842">
        <v>4</v>
      </c>
      <c r="F842" s="3">
        <v>8.2899999999999991</v>
      </c>
      <c r="G842" t="s">
        <v>27</v>
      </c>
      <c r="H842">
        <v>20</v>
      </c>
      <c r="I842" t="s">
        <v>28</v>
      </c>
      <c r="J842" s="4">
        <v>64.5</v>
      </c>
      <c r="K842" s="4">
        <v>197</v>
      </c>
      <c r="L842" s="4">
        <v>33.200000000000003</v>
      </c>
      <c r="M842">
        <v>11</v>
      </c>
      <c r="N842" t="s">
        <v>47</v>
      </c>
      <c r="O842">
        <v>4</v>
      </c>
      <c r="P842" s="4">
        <v>2</v>
      </c>
      <c r="Q842" t="s">
        <v>42</v>
      </c>
      <c r="R842">
        <v>0</v>
      </c>
      <c r="S842" t="s">
        <v>38</v>
      </c>
      <c r="T842">
        <v>0</v>
      </c>
      <c r="U842">
        <v>0</v>
      </c>
      <c r="V842" t="s">
        <v>32</v>
      </c>
      <c r="W842" t="s">
        <v>43</v>
      </c>
      <c r="X842" s="4">
        <v>12.8</v>
      </c>
      <c r="Y842">
        <v>12</v>
      </c>
      <c r="Z842" s="5">
        <v>261.27999999999997</v>
      </c>
    </row>
    <row r="843" spans="1:26">
      <c r="A843">
        <v>842</v>
      </c>
      <c r="B843">
        <v>270</v>
      </c>
      <c r="C843" s="2">
        <v>46139</v>
      </c>
      <c r="D843" t="s">
        <v>46</v>
      </c>
      <c r="E843">
        <v>4</v>
      </c>
      <c r="F843" s="3">
        <v>8.32</v>
      </c>
      <c r="G843" t="s">
        <v>27</v>
      </c>
      <c r="H843">
        <v>34</v>
      </c>
      <c r="I843" t="s">
        <v>34</v>
      </c>
      <c r="J843" s="4">
        <v>65.400000000000006</v>
      </c>
      <c r="K843" s="4">
        <v>150.1</v>
      </c>
      <c r="L843" s="4">
        <v>24.8</v>
      </c>
      <c r="M843">
        <v>16</v>
      </c>
      <c r="N843" t="s">
        <v>47</v>
      </c>
      <c r="O843">
        <v>4</v>
      </c>
      <c r="P843" s="4">
        <v>2</v>
      </c>
      <c r="Q843" t="s">
        <v>42</v>
      </c>
      <c r="R843">
        <v>0</v>
      </c>
      <c r="S843" t="s">
        <v>38</v>
      </c>
      <c r="T843">
        <v>0</v>
      </c>
      <c r="U843">
        <v>0</v>
      </c>
      <c r="V843" t="s">
        <v>32</v>
      </c>
      <c r="W843" t="s">
        <v>43</v>
      </c>
      <c r="X843" s="4">
        <v>6.9</v>
      </c>
      <c r="Y843">
        <v>8</v>
      </c>
      <c r="Z843" s="5">
        <v>188.77</v>
      </c>
    </row>
    <row r="844" spans="1:26">
      <c r="A844">
        <v>843</v>
      </c>
      <c r="B844">
        <v>270</v>
      </c>
      <c r="C844" s="2">
        <v>46139</v>
      </c>
      <c r="D844" t="s">
        <v>46</v>
      </c>
      <c r="E844">
        <v>4</v>
      </c>
      <c r="F844" s="3">
        <v>8.36</v>
      </c>
      <c r="G844" t="s">
        <v>27</v>
      </c>
      <c r="H844">
        <v>73</v>
      </c>
      <c r="I844" t="s">
        <v>34</v>
      </c>
      <c r="J844" s="4">
        <v>61.4</v>
      </c>
      <c r="K844" s="4">
        <v>143.80000000000001</v>
      </c>
      <c r="L844" s="4">
        <v>26.6</v>
      </c>
      <c r="M844">
        <v>18</v>
      </c>
      <c r="N844" t="s">
        <v>47</v>
      </c>
      <c r="O844">
        <v>4</v>
      </c>
      <c r="P844" s="4">
        <v>2</v>
      </c>
      <c r="Q844" t="s">
        <v>42</v>
      </c>
      <c r="R844">
        <v>0</v>
      </c>
      <c r="S844" t="s">
        <v>38</v>
      </c>
      <c r="T844">
        <v>0</v>
      </c>
      <c r="U844">
        <v>0</v>
      </c>
      <c r="V844" t="s">
        <v>32</v>
      </c>
      <c r="W844" t="s">
        <v>43</v>
      </c>
      <c r="X844" s="4">
        <v>8.6</v>
      </c>
      <c r="Y844">
        <v>9</v>
      </c>
      <c r="Z844" s="5">
        <v>224.89</v>
      </c>
    </row>
    <row r="845" spans="1:26">
      <c r="A845">
        <v>844</v>
      </c>
      <c r="B845">
        <v>270</v>
      </c>
      <c r="C845" s="2">
        <v>46139</v>
      </c>
      <c r="D845" t="s">
        <v>46</v>
      </c>
      <c r="E845">
        <v>4</v>
      </c>
      <c r="F845" s="3">
        <v>8.18</v>
      </c>
      <c r="G845" t="s">
        <v>27</v>
      </c>
      <c r="H845">
        <v>19</v>
      </c>
      <c r="I845" t="s">
        <v>34</v>
      </c>
      <c r="J845" s="4">
        <v>68</v>
      </c>
      <c r="K845" s="4">
        <v>157.19999999999999</v>
      </c>
      <c r="L845" s="4">
        <v>23.7</v>
      </c>
      <c r="M845">
        <v>9</v>
      </c>
      <c r="N845" t="s">
        <v>47</v>
      </c>
      <c r="O845">
        <v>4</v>
      </c>
      <c r="P845" s="4">
        <v>2</v>
      </c>
      <c r="Q845" t="s">
        <v>42</v>
      </c>
      <c r="R845">
        <v>0</v>
      </c>
      <c r="S845" t="s">
        <v>38</v>
      </c>
      <c r="T845">
        <v>0</v>
      </c>
      <c r="U845">
        <v>0</v>
      </c>
      <c r="V845" t="s">
        <v>32</v>
      </c>
      <c r="W845" t="s">
        <v>43</v>
      </c>
      <c r="X845" s="4">
        <v>7.7</v>
      </c>
      <c r="Y845">
        <v>5</v>
      </c>
      <c r="Z845" s="5">
        <v>174.53</v>
      </c>
    </row>
    <row r="846" spans="1:26">
      <c r="A846">
        <v>845</v>
      </c>
      <c r="B846">
        <v>271</v>
      </c>
      <c r="C846" s="2">
        <v>46264</v>
      </c>
      <c r="D846" t="s">
        <v>58</v>
      </c>
      <c r="E846">
        <v>8</v>
      </c>
      <c r="F846" s="3">
        <v>10.49</v>
      </c>
      <c r="G846" t="s">
        <v>27</v>
      </c>
      <c r="H846">
        <v>13</v>
      </c>
      <c r="I846" t="s">
        <v>34</v>
      </c>
      <c r="J846" s="4">
        <v>67</v>
      </c>
      <c r="K846" s="4">
        <v>128</v>
      </c>
      <c r="L846" s="4">
        <v>20.100000000000001</v>
      </c>
      <c r="M846">
        <v>13</v>
      </c>
      <c r="N846" t="s">
        <v>50</v>
      </c>
      <c r="O846">
        <v>2</v>
      </c>
      <c r="P846" s="4">
        <v>468.4</v>
      </c>
      <c r="Q846" t="s">
        <v>30</v>
      </c>
      <c r="R846">
        <v>0</v>
      </c>
      <c r="S846" t="s">
        <v>44</v>
      </c>
      <c r="T846">
        <v>0</v>
      </c>
      <c r="U846">
        <v>0</v>
      </c>
      <c r="V846" t="s">
        <v>32</v>
      </c>
      <c r="W846" t="s">
        <v>49</v>
      </c>
      <c r="X846" s="4">
        <v>8</v>
      </c>
      <c r="Y846">
        <v>4</v>
      </c>
      <c r="Z846" s="5">
        <v>113.91</v>
      </c>
    </row>
    <row r="847" spans="1:26">
      <c r="A847">
        <v>846</v>
      </c>
      <c r="B847">
        <v>271</v>
      </c>
      <c r="C847" s="2">
        <v>46264</v>
      </c>
      <c r="D847" t="s">
        <v>58</v>
      </c>
      <c r="E847">
        <v>8</v>
      </c>
      <c r="F847" s="3">
        <v>10.61</v>
      </c>
      <c r="G847" t="s">
        <v>27</v>
      </c>
      <c r="H847">
        <v>42</v>
      </c>
      <c r="I847" t="s">
        <v>34</v>
      </c>
      <c r="J847" s="4">
        <v>65</v>
      </c>
      <c r="K847" s="4">
        <v>204.5</v>
      </c>
      <c r="L847" s="4">
        <v>34.200000000000003</v>
      </c>
      <c r="M847">
        <v>13</v>
      </c>
      <c r="N847" t="s">
        <v>50</v>
      </c>
      <c r="O847">
        <v>2</v>
      </c>
      <c r="P847" s="4">
        <v>468.4</v>
      </c>
      <c r="Q847" t="s">
        <v>30</v>
      </c>
      <c r="R847">
        <v>0</v>
      </c>
      <c r="S847" t="s">
        <v>44</v>
      </c>
      <c r="T847">
        <v>0</v>
      </c>
      <c r="U847">
        <v>0</v>
      </c>
      <c r="V847" t="s">
        <v>32</v>
      </c>
      <c r="W847" t="s">
        <v>49</v>
      </c>
      <c r="X847" s="4">
        <v>9.3000000000000007</v>
      </c>
      <c r="Y847">
        <v>7</v>
      </c>
      <c r="Z847" s="5">
        <v>161.91999999999999</v>
      </c>
    </row>
    <row r="848" spans="1:26">
      <c r="A848">
        <v>847</v>
      </c>
      <c r="B848">
        <v>272</v>
      </c>
      <c r="C848" s="2">
        <v>46119</v>
      </c>
      <c r="D848" t="s">
        <v>35</v>
      </c>
      <c r="E848">
        <v>4</v>
      </c>
      <c r="F848" s="3">
        <v>9.48</v>
      </c>
      <c r="G848" t="s">
        <v>27</v>
      </c>
      <c r="H848">
        <v>51</v>
      </c>
      <c r="I848" t="s">
        <v>34</v>
      </c>
      <c r="J848" s="4">
        <v>63</v>
      </c>
      <c r="K848" s="4">
        <v>140.6</v>
      </c>
      <c r="L848" s="4">
        <v>24.8</v>
      </c>
      <c r="M848">
        <v>16</v>
      </c>
      <c r="N848" t="s">
        <v>53</v>
      </c>
      <c r="O848">
        <v>1</v>
      </c>
      <c r="P848" s="4">
        <v>702.9</v>
      </c>
      <c r="Q848" t="s">
        <v>48</v>
      </c>
      <c r="R848">
        <v>1</v>
      </c>
      <c r="S848" t="s">
        <v>31</v>
      </c>
      <c r="T848">
        <v>1</v>
      </c>
      <c r="U848">
        <v>0</v>
      </c>
      <c r="V848" t="s">
        <v>32</v>
      </c>
      <c r="W848" t="s">
        <v>39</v>
      </c>
      <c r="X848" s="4">
        <v>10</v>
      </c>
      <c r="Y848">
        <v>11</v>
      </c>
      <c r="Z848" s="5">
        <v>330.16</v>
      </c>
    </row>
    <row r="849" spans="1:26">
      <c r="A849">
        <v>848</v>
      </c>
      <c r="B849">
        <v>273</v>
      </c>
      <c r="C849" s="2">
        <v>46028</v>
      </c>
      <c r="D849" t="s">
        <v>35</v>
      </c>
      <c r="E849">
        <v>1</v>
      </c>
      <c r="F849" s="3">
        <v>7</v>
      </c>
      <c r="G849" t="s">
        <v>27</v>
      </c>
      <c r="H849">
        <v>30</v>
      </c>
      <c r="I849" t="s">
        <v>34</v>
      </c>
      <c r="J849" s="4">
        <v>65.5</v>
      </c>
      <c r="K849" s="4">
        <v>109.2</v>
      </c>
      <c r="L849" s="4">
        <v>17.8</v>
      </c>
      <c r="M849">
        <v>13</v>
      </c>
      <c r="N849" t="s">
        <v>60</v>
      </c>
      <c r="O849">
        <v>1</v>
      </c>
      <c r="P849" s="4">
        <v>1610.4</v>
      </c>
      <c r="Q849" t="s">
        <v>30</v>
      </c>
      <c r="R849">
        <v>1</v>
      </c>
      <c r="S849" t="s">
        <v>44</v>
      </c>
      <c r="T849">
        <v>0</v>
      </c>
      <c r="U849">
        <v>0</v>
      </c>
      <c r="V849" t="s">
        <v>32</v>
      </c>
      <c r="W849" t="s">
        <v>57</v>
      </c>
      <c r="X849" s="4">
        <v>10.7</v>
      </c>
      <c r="Y849">
        <v>11</v>
      </c>
      <c r="Z849" s="5">
        <v>171.11</v>
      </c>
    </row>
    <row r="850" spans="1:26">
      <c r="A850">
        <v>849</v>
      </c>
      <c r="B850">
        <v>274</v>
      </c>
      <c r="C850" s="2">
        <v>46382</v>
      </c>
      <c r="D850" t="s">
        <v>40</v>
      </c>
      <c r="E850">
        <v>12</v>
      </c>
      <c r="F850" s="3">
        <v>10.66</v>
      </c>
      <c r="G850" t="s">
        <v>27</v>
      </c>
      <c r="H850">
        <v>37</v>
      </c>
      <c r="I850" t="s">
        <v>34</v>
      </c>
      <c r="J850" s="4">
        <v>62.7</v>
      </c>
      <c r="K850" s="4">
        <v>122</v>
      </c>
      <c r="L850" s="4">
        <v>21.7</v>
      </c>
      <c r="M850">
        <v>14</v>
      </c>
      <c r="N850" t="s">
        <v>50</v>
      </c>
      <c r="O850">
        <v>2</v>
      </c>
      <c r="P850" s="4">
        <v>430.4</v>
      </c>
      <c r="Q850" t="s">
        <v>30</v>
      </c>
      <c r="R850">
        <v>0</v>
      </c>
      <c r="S850" t="s">
        <v>38</v>
      </c>
      <c r="T850">
        <v>0</v>
      </c>
      <c r="U850">
        <v>0</v>
      </c>
      <c r="V850" t="s">
        <v>32</v>
      </c>
      <c r="W850" t="s">
        <v>49</v>
      </c>
      <c r="X850" s="4">
        <v>9.3000000000000007</v>
      </c>
      <c r="Y850">
        <v>11</v>
      </c>
      <c r="Z850" s="5">
        <v>262.82</v>
      </c>
    </row>
    <row r="851" spans="1:26">
      <c r="A851">
        <v>850</v>
      </c>
      <c r="B851">
        <v>274</v>
      </c>
      <c r="C851" s="2">
        <v>46382</v>
      </c>
      <c r="D851" t="s">
        <v>40</v>
      </c>
      <c r="E851">
        <v>12</v>
      </c>
      <c r="F851" s="3">
        <v>10.7</v>
      </c>
      <c r="G851" t="s">
        <v>27</v>
      </c>
      <c r="H851">
        <v>43</v>
      </c>
      <c r="I851" t="s">
        <v>28</v>
      </c>
      <c r="J851" s="4">
        <v>66.5</v>
      </c>
      <c r="K851" s="4">
        <v>103.3</v>
      </c>
      <c r="L851" s="4">
        <v>16.600000000000001</v>
      </c>
      <c r="M851">
        <v>13</v>
      </c>
      <c r="N851" t="s">
        <v>50</v>
      </c>
      <c r="O851">
        <v>2</v>
      </c>
      <c r="P851" s="4">
        <v>430.4</v>
      </c>
      <c r="Q851" t="s">
        <v>30</v>
      </c>
      <c r="R851">
        <v>0</v>
      </c>
      <c r="S851" t="s">
        <v>38</v>
      </c>
      <c r="T851">
        <v>0</v>
      </c>
      <c r="U851">
        <v>0</v>
      </c>
      <c r="V851" t="s">
        <v>32</v>
      </c>
      <c r="W851" t="s">
        <v>49</v>
      </c>
      <c r="X851" s="4">
        <v>8.3000000000000007</v>
      </c>
      <c r="Y851">
        <v>8</v>
      </c>
      <c r="Z851" s="5">
        <v>175.73</v>
      </c>
    </row>
    <row r="852" spans="1:26">
      <c r="A852">
        <v>851</v>
      </c>
      <c r="B852">
        <v>275</v>
      </c>
      <c r="C852" s="2">
        <v>46142</v>
      </c>
      <c r="D852" t="s">
        <v>55</v>
      </c>
      <c r="E852">
        <v>4</v>
      </c>
      <c r="F852" s="3">
        <v>12.89</v>
      </c>
      <c r="G852" t="s">
        <v>36</v>
      </c>
      <c r="H852">
        <v>13</v>
      </c>
      <c r="I852" t="s">
        <v>34</v>
      </c>
      <c r="J852" s="4">
        <v>69.5</v>
      </c>
      <c r="K852" s="4">
        <v>115.1</v>
      </c>
      <c r="L852" s="4">
        <v>16.7</v>
      </c>
      <c r="M852">
        <v>11</v>
      </c>
      <c r="N852" t="s">
        <v>50</v>
      </c>
      <c r="O852">
        <v>2</v>
      </c>
      <c r="P852" s="4">
        <v>454.3</v>
      </c>
      <c r="Q852" t="s">
        <v>30</v>
      </c>
      <c r="R852">
        <v>0</v>
      </c>
      <c r="S852" t="s">
        <v>44</v>
      </c>
      <c r="T852">
        <v>0</v>
      </c>
      <c r="U852">
        <v>0</v>
      </c>
      <c r="V852" t="s">
        <v>45</v>
      </c>
      <c r="W852" t="s">
        <v>39</v>
      </c>
      <c r="X852" s="4">
        <v>7</v>
      </c>
      <c r="Y852">
        <v>9</v>
      </c>
      <c r="Z852" s="5">
        <v>289.68</v>
      </c>
    </row>
    <row r="853" spans="1:26">
      <c r="A853">
        <v>852</v>
      </c>
      <c r="B853">
        <v>275</v>
      </c>
      <c r="C853" s="2">
        <v>46142</v>
      </c>
      <c r="D853" t="s">
        <v>55</v>
      </c>
      <c r="E853">
        <v>4</v>
      </c>
      <c r="F853" s="3">
        <v>12.76</v>
      </c>
      <c r="G853" t="s">
        <v>36</v>
      </c>
      <c r="H853">
        <v>31</v>
      </c>
      <c r="I853" t="s">
        <v>28</v>
      </c>
      <c r="J853" s="4">
        <v>65.5</v>
      </c>
      <c r="K853" s="4">
        <v>176.7</v>
      </c>
      <c r="L853" s="4">
        <v>29</v>
      </c>
      <c r="M853">
        <v>12</v>
      </c>
      <c r="N853" t="s">
        <v>50</v>
      </c>
      <c r="O853">
        <v>2</v>
      </c>
      <c r="P853" s="4">
        <v>454.3</v>
      </c>
      <c r="Q853" t="s">
        <v>30</v>
      </c>
      <c r="R853">
        <v>0</v>
      </c>
      <c r="S853" t="s">
        <v>44</v>
      </c>
      <c r="T853">
        <v>0</v>
      </c>
      <c r="U853">
        <v>0</v>
      </c>
      <c r="V853" t="s">
        <v>45</v>
      </c>
      <c r="W853" t="s">
        <v>39</v>
      </c>
      <c r="X853" s="4">
        <v>6.7</v>
      </c>
      <c r="Y853">
        <v>11</v>
      </c>
      <c r="Z853" s="5">
        <v>138.61000000000001</v>
      </c>
    </row>
    <row r="854" spans="1:26">
      <c r="A854">
        <v>853</v>
      </c>
      <c r="B854">
        <v>276</v>
      </c>
      <c r="C854" s="2">
        <v>46219</v>
      </c>
      <c r="D854" t="s">
        <v>55</v>
      </c>
      <c r="E854">
        <v>7</v>
      </c>
      <c r="F854" s="3">
        <v>7.06</v>
      </c>
      <c r="G854" t="s">
        <v>27</v>
      </c>
      <c r="H854">
        <v>41</v>
      </c>
      <c r="I854" t="s">
        <v>28</v>
      </c>
      <c r="J854" s="4">
        <v>70</v>
      </c>
      <c r="K854" s="4">
        <v>122.2</v>
      </c>
      <c r="L854" s="4">
        <v>17.5</v>
      </c>
      <c r="M854">
        <v>14</v>
      </c>
      <c r="N854" t="s">
        <v>53</v>
      </c>
      <c r="O854">
        <v>4</v>
      </c>
      <c r="P854" s="4">
        <v>1174.4000000000001</v>
      </c>
      <c r="Q854" t="s">
        <v>42</v>
      </c>
      <c r="R854">
        <v>1</v>
      </c>
      <c r="S854" t="s">
        <v>31</v>
      </c>
      <c r="T854">
        <v>1</v>
      </c>
      <c r="U854">
        <v>1</v>
      </c>
      <c r="V854" t="s">
        <v>32</v>
      </c>
      <c r="W854" t="s">
        <v>33</v>
      </c>
      <c r="X854" s="4">
        <v>11.6</v>
      </c>
      <c r="Y854">
        <v>8</v>
      </c>
      <c r="Z854" s="5">
        <v>249.4</v>
      </c>
    </row>
    <row r="855" spans="1:26">
      <c r="A855">
        <v>854</v>
      </c>
      <c r="B855">
        <v>276</v>
      </c>
      <c r="C855" s="2">
        <v>46219</v>
      </c>
      <c r="D855" t="s">
        <v>55</v>
      </c>
      <c r="E855">
        <v>7</v>
      </c>
      <c r="F855" s="3">
        <v>7</v>
      </c>
      <c r="G855" t="s">
        <v>27</v>
      </c>
      <c r="H855">
        <v>14</v>
      </c>
      <c r="I855" t="s">
        <v>28</v>
      </c>
      <c r="J855" s="4">
        <v>68.5</v>
      </c>
      <c r="K855" s="4">
        <v>146.6</v>
      </c>
      <c r="L855" s="4">
        <v>21.8</v>
      </c>
      <c r="M855">
        <v>12</v>
      </c>
      <c r="N855" t="s">
        <v>53</v>
      </c>
      <c r="O855">
        <v>4</v>
      </c>
      <c r="P855" s="4">
        <v>1174.4000000000001</v>
      </c>
      <c r="Q855" t="s">
        <v>42</v>
      </c>
      <c r="R855">
        <v>1</v>
      </c>
      <c r="S855" t="s">
        <v>31</v>
      </c>
      <c r="T855">
        <v>1</v>
      </c>
      <c r="U855">
        <v>1</v>
      </c>
      <c r="V855" t="s">
        <v>32</v>
      </c>
      <c r="W855" t="s">
        <v>33</v>
      </c>
      <c r="X855" s="4">
        <v>9.3000000000000007</v>
      </c>
      <c r="Y855">
        <v>11</v>
      </c>
      <c r="Z855" s="5">
        <v>138.27000000000001</v>
      </c>
    </row>
    <row r="856" spans="1:26">
      <c r="A856">
        <v>855</v>
      </c>
      <c r="B856">
        <v>276</v>
      </c>
      <c r="C856" s="2">
        <v>46219</v>
      </c>
      <c r="D856" t="s">
        <v>55</v>
      </c>
      <c r="E856">
        <v>7</v>
      </c>
      <c r="F856" s="3">
        <v>7.19</v>
      </c>
      <c r="G856" t="s">
        <v>27</v>
      </c>
      <c r="H856">
        <v>41</v>
      </c>
      <c r="I856" t="s">
        <v>28</v>
      </c>
      <c r="J856" s="4">
        <v>75.3</v>
      </c>
      <c r="K856" s="4">
        <v>216.8</v>
      </c>
      <c r="L856" s="4">
        <v>26.8</v>
      </c>
      <c r="M856">
        <v>14</v>
      </c>
      <c r="N856" t="s">
        <v>53</v>
      </c>
      <c r="O856">
        <v>4</v>
      </c>
      <c r="P856" s="4">
        <v>1174.4000000000001</v>
      </c>
      <c r="Q856" t="s">
        <v>42</v>
      </c>
      <c r="R856">
        <v>1</v>
      </c>
      <c r="S856" t="s">
        <v>31</v>
      </c>
      <c r="T856">
        <v>1</v>
      </c>
      <c r="U856">
        <v>1</v>
      </c>
      <c r="V856" t="s">
        <v>32</v>
      </c>
      <c r="W856" t="s">
        <v>33</v>
      </c>
      <c r="X856" s="4">
        <v>9.6999999999999993</v>
      </c>
      <c r="Y856">
        <v>5</v>
      </c>
      <c r="Z856" s="5">
        <v>185.34</v>
      </c>
    </row>
    <row r="857" spans="1:26">
      <c r="A857">
        <v>856</v>
      </c>
      <c r="B857">
        <v>276</v>
      </c>
      <c r="C857" s="2">
        <v>46219</v>
      </c>
      <c r="D857" t="s">
        <v>55</v>
      </c>
      <c r="E857">
        <v>7</v>
      </c>
      <c r="F857" s="3">
        <v>7</v>
      </c>
      <c r="G857" t="s">
        <v>27</v>
      </c>
      <c r="H857">
        <v>62</v>
      </c>
      <c r="I857" t="s">
        <v>28</v>
      </c>
      <c r="J857" s="4">
        <v>67.900000000000006</v>
      </c>
      <c r="K857" s="4">
        <v>230.8</v>
      </c>
      <c r="L857" s="4">
        <v>35.200000000000003</v>
      </c>
      <c r="M857">
        <v>16</v>
      </c>
      <c r="N857" t="s">
        <v>53</v>
      </c>
      <c r="O857">
        <v>4</v>
      </c>
      <c r="P857" s="4">
        <v>1174.4000000000001</v>
      </c>
      <c r="Q857" t="s">
        <v>42</v>
      </c>
      <c r="R857">
        <v>1</v>
      </c>
      <c r="S857" t="s">
        <v>31</v>
      </c>
      <c r="T857">
        <v>1</v>
      </c>
      <c r="U857">
        <v>1</v>
      </c>
      <c r="V857" t="s">
        <v>32</v>
      </c>
      <c r="W857" t="s">
        <v>33</v>
      </c>
      <c r="X857" s="4">
        <v>9.8000000000000007</v>
      </c>
      <c r="Y857">
        <v>5</v>
      </c>
      <c r="Z857" s="5">
        <v>147.15</v>
      </c>
    </row>
    <row r="858" spans="1:26">
      <c r="A858">
        <v>857</v>
      </c>
      <c r="B858">
        <v>277</v>
      </c>
      <c r="C858" s="2">
        <v>46030</v>
      </c>
      <c r="D858" t="s">
        <v>55</v>
      </c>
      <c r="E858">
        <v>1</v>
      </c>
      <c r="F858" s="3">
        <v>9.2899999999999991</v>
      </c>
      <c r="G858" t="s">
        <v>27</v>
      </c>
      <c r="H858">
        <v>43</v>
      </c>
      <c r="I858" t="s">
        <v>28</v>
      </c>
      <c r="J858" s="4">
        <v>69.599999999999994</v>
      </c>
      <c r="K858" s="4">
        <v>241.2</v>
      </c>
      <c r="L858" s="4">
        <v>35</v>
      </c>
      <c r="M858">
        <v>20</v>
      </c>
      <c r="N858" t="s">
        <v>50</v>
      </c>
      <c r="O858">
        <v>3</v>
      </c>
      <c r="P858" s="4">
        <v>331.7</v>
      </c>
      <c r="Q858" t="s">
        <v>48</v>
      </c>
      <c r="R858">
        <v>1</v>
      </c>
      <c r="S858" t="s">
        <v>31</v>
      </c>
      <c r="T858">
        <v>0</v>
      </c>
      <c r="U858">
        <v>1</v>
      </c>
      <c r="V858" t="s">
        <v>45</v>
      </c>
      <c r="W858" t="s">
        <v>43</v>
      </c>
      <c r="X858" s="4">
        <v>9.6</v>
      </c>
      <c r="Y858">
        <v>11</v>
      </c>
      <c r="Z858" s="5">
        <v>312.99</v>
      </c>
    </row>
    <row r="859" spans="1:26">
      <c r="A859">
        <v>858</v>
      </c>
      <c r="B859">
        <v>277</v>
      </c>
      <c r="C859" s="2">
        <v>46030</v>
      </c>
      <c r="D859" t="s">
        <v>55</v>
      </c>
      <c r="E859">
        <v>1</v>
      </c>
      <c r="F859" s="3">
        <v>9.2799999999999994</v>
      </c>
      <c r="G859" t="s">
        <v>27</v>
      </c>
      <c r="H859">
        <v>62</v>
      </c>
      <c r="I859" t="s">
        <v>34</v>
      </c>
      <c r="J859" s="4">
        <v>67.5</v>
      </c>
      <c r="K859" s="4">
        <v>141.6</v>
      </c>
      <c r="L859" s="4">
        <v>21.5</v>
      </c>
      <c r="M859">
        <v>18</v>
      </c>
      <c r="N859" t="s">
        <v>50</v>
      </c>
      <c r="O859">
        <v>3</v>
      </c>
      <c r="P859" s="4">
        <v>331.7</v>
      </c>
      <c r="Q859" t="s">
        <v>48</v>
      </c>
      <c r="R859">
        <v>1</v>
      </c>
      <c r="S859" t="s">
        <v>31</v>
      </c>
      <c r="T859">
        <v>0</v>
      </c>
      <c r="U859">
        <v>1</v>
      </c>
      <c r="V859" t="s">
        <v>45</v>
      </c>
      <c r="W859" t="s">
        <v>43</v>
      </c>
      <c r="X859" s="4">
        <v>10.9</v>
      </c>
      <c r="Y859">
        <v>13</v>
      </c>
      <c r="Z859" s="5">
        <v>337.03</v>
      </c>
    </row>
    <row r="860" spans="1:26">
      <c r="A860">
        <v>859</v>
      </c>
      <c r="B860">
        <v>277</v>
      </c>
      <c r="C860" s="2">
        <v>46030</v>
      </c>
      <c r="D860" t="s">
        <v>55</v>
      </c>
      <c r="E860">
        <v>1</v>
      </c>
      <c r="F860" s="3">
        <v>9.41</v>
      </c>
      <c r="G860" t="s">
        <v>27</v>
      </c>
      <c r="H860">
        <v>28</v>
      </c>
      <c r="I860" t="s">
        <v>28</v>
      </c>
      <c r="J860" s="4">
        <v>67.7</v>
      </c>
      <c r="K860" s="4">
        <v>196.2</v>
      </c>
      <c r="L860" s="4">
        <v>30.2</v>
      </c>
      <c r="M860">
        <v>17</v>
      </c>
      <c r="N860" t="s">
        <v>50</v>
      </c>
      <c r="O860">
        <v>3</v>
      </c>
      <c r="P860" s="4">
        <v>331.7</v>
      </c>
      <c r="Q860" t="s">
        <v>48</v>
      </c>
      <c r="R860">
        <v>1</v>
      </c>
      <c r="S860" t="s">
        <v>31</v>
      </c>
      <c r="T860">
        <v>0</v>
      </c>
      <c r="U860">
        <v>1</v>
      </c>
      <c r="V860" t="s">
        <v>45</v>
      </c>
      <c r="W860" t="s">
        <v>43</v>
      </c>
      <c r="X860" s="4">
        <v>10.3</v>
      </c>
      <c r="Y860">
        <v>9</v>
      </c>
      <c r="Z860" s="5">
        <v>302.75</v>
      </c>
    </row>
    <row r="861" spans="1:26">
      <c r="A861">
        <v>860</v>
      </c>
      <c r="B861">
        <v>278</v>
      </c>
      <c r="C861" s="2">
        <v>46340</v>
      </c>
      <c r="D861" t="s">
        <v>40</v>
      </c>
      <c r="E861">
        <v>11</v>
      </c>
      <c r="F861" s="3">
        <v>9.77</v>
      </c>
      <c r="G861" t="s">
        <v>27</v>
      </c>
      <c r="H861">
        <v>60</v>
      </c>
      <c r="I861" t="s">
        <v>28</v>
      </c>
      <c r="J861" s="4">
        <v>71.2</v>
      </c>
      <c r="K861" s="4">
        <v>172.7</v>
      </c>
      <c r="L861" s="4">
        <v>23.9</v>
      </c>
      <c r="M861">
        <v>12</v>
      </c>
      <c r="N861" t="s">
        <v>47</v>
      </c>
      <c r="O861">
        <v>3</v>
      </c>
      <c r="P861" s="4">
        <v>76.900000000000006</v>
      </c>
      <c r="Q861" t="s">
        <v>30</v>
      </c>
      <c r="R861">
        <v>1</v>
      </c>
      <c r="S861" t="s">
        <v>44</v>
      </c>
      <c r="T861">
        <v>0</v>
      </c>
      <c r="U861">
        <v>0</v>
      </c>
      <c r="V861" t="s">
        <v>32</v>
      </c>
      <c r="W861" t="s">
        <v>39</v>
      </c>
      <c r="X861" s="4">
        <v>9</v>
      </c>
      <c r="Y861">
        <v>10</v>
      </c>
      <c r="Z861" s="5">
        <v>209.22</v>
      </c>
    </row>
    <row r="862" spans="1:26">
      <c r="A862">
        <v>861</v>
      </c>
      <c r="B862">
        <v>278</v>
      </c>
      <c r="C862" s="2">
        <v>46340</v>
      </c>
      <c r="D862" t="s">
        <v>40</v>
      </c>
      <c r="E862">
        <v>11</v>
      </c>
      <c r="F862" s="3">
        <v>9.91</v>
      </c>
      <c r="G862" t="s">
        <v>27</v>
      </c>
      <c r="H862">
        <v>26</v>
      </c>
      <c r="I862" t="s">
        <v>34</v>
      </c>
      <c r="J862" s="4">
        <v>60.5</v>
      </c>
      <c r="K862" s="4">
        <v>120.8</v>
      </c>
      <c r="L862" s="4">
        <v>23.3</v>
      </c>
      <c r="M862">
        <v>14</v>
      </c>
      <c r="N862" t="s">
        <v>47</v>
      </c>
      <c r="O862">
        <v>3</v>
      </c>
      <c r="P862" s="4">
        <v>76.900000000000006</v>
      </c>
      <c r="Q862" t="s">
        <v>30</v>
      </c>
      <c r="R862">
        <v>1</v>
      </c>
      <c r="S862" t="s">
        <v>44</v>
      </c>
      <c r="T862">
        <v>0</v>
      </c>
      <c r="U862">
        <v>0</v>
      </c>
      <c r="V862" t="s">
        <v>32</v>
      </c>
      <c r="W862" t="s">
        <v>39</v>
      </c>
      <c r="X862" s="4">
        <v>8.1999999999999993</v>
      </c>
      <c r="Y862">
        <v>9</v>
      </c>
      <c r="Z862" s="5">
        <v>350.11</v>
      </c>
    </row>
    <row r="863" spans="1:26">
      <c r="A863">
        <v>862</v>
      </c>
      <c r="B863">
        <v>278</v>
      </c>
      <c r="C863" s="2">
        <v>46340</v>
      </c>
      <c r="D863" t="s">
        <v>40</v>
      </c>
      <c r="E863">
        <v>11</v>
      </c>
      <c r="F863" s="3">
        <v>10.18</v>
      </c>
      <c r="G863" t="s">
        <v>27</v>
      </c>
      <c r="H863">
        <v>39</v>
      </c>
      <c r="I863" t="s">
        <v>34</v>
      </c>
      <c r="J863" s="4">
        <v>62.8</v>
      </c>
      <c r="K863" s="4">
        <v>154.6</v>
      </c>
      <c r="L863" s="4">
        <v>27.2</v>
      </c>
      <c r="M863">
        <v>13</v>
      </c>
      <c r="N863" t="s">
        <v>47</v>
      </c>
      <c r="O863">
        <v>3</v>
      </c>
      <c r="P863" s="4">
        <v>76.900000000000006</v>
      </c>
      <c r="Q863" t="s">
        <v>30</v>
      </c>
      <c r="R863">
        <v>1</v>
      </c>
      <c r="S863" t="s">
        <v>44</v>
      </c>
      <c r="T863">
        <v>0</v>
      </c>
      <c r="U863">
        <v>0</v>
      </c>
      <c r="V863" t="s">
        <v>32</v>
      </c>
      <c r="W863" t="s">
        <v>39</v>
      </c>
      <c r="X863" s="4">
        <v>11.1</v>
      </c>
      <c r="Y863">
        <v>6</v>
      </c>
      <c r="Z863" s="5">
        <v>177.92</v>
      </c>
    </row>
    <row r="864" spans="1:26">
      <c r="A864">
        <v>863</v>
      </c>
      <c r="B864">
        <v>279</v>
      </c>
      <c r="C864" s="2">
        <v>46283</v>
      </c>
      <c r="D864" t="s">
        <v>26</v>
      </c>
      <c r="E864">
        <v>9</v>
      </c>
      <c r="F864" s="3">
        <v>9.94</v>
      </c>
      <c r="G864" t="s">
        <v>27</v>
      </c>
      <c r="H864">
        <v>57</v>
      </c>
      <c r="I864" t="s">
        <v>28</v>
      </c>
      <c r="J864" s="4">
        <v>66.7</v>
      </c>
      <c r="K864" s="4">
        <v>116.3</v>
      </c>
      <c r="L864" s="4">
        <v>18.2</v>
      </c>
      <c r="M864">
        <v>17</v>
      </c>
      <c r="N864" t="s">
        <v>47</v>
      </c>
      <c r="O864">
        <v>3</v>
      </c>
      <c r="P864" s="4">
        <v>123.3</v>
      </c>
      <c r="Q864" t="s">
        <v>42</v>
      </c>
      <c r="R864">
        <v>0</v>
      </c>
      <c r="S864" t="s">
        <v>44</v>
      </c>
      <c r="T864">
        <v>1</v>
      </c>
      <c r="U864">
        <v>0</v>
      </c>
      <c r="V864" t="s">
        <v>32</v>
      </c>
      <c r="W864" t="s">
        <v>39</v>
      </c>
      <c r="X864" s="4">
        <v>9.6</v>
      </c>
      <c r="Y864">
        <v>8</v>
      </c>
      <c r="Z864" s="5">
        <v>213.22</v>
      </c>
    </row>
    <row r="865" spans="1:26">
      <c r="A865">
        <v>864</v>
      </c>
      <c r="B865">
        <v>279</v>
      </c>
      <c r="C865" s="2">
        <v>46283</v>
      </c>
      <c r="D865" t="s">
        <v>26</v>
      </c>
      <c r="E865">
        <v>9</v>
      </c>
      <c r="F865" s="3">
        <v>9.86</v>
      </c>
      <c r="G865" t="s">
        <v>27</v>
      </c>
      <c r="H865">
        <v>8</v>
      </c>
      <c r="I865" t="s">
        <v>28</v>
      </c>
      <c r="J865" s="4">
        <v>61.2</v>
      </c>
      <c r="K865" s="4">
        <v>128.1</v>
      </c>
      <c r="L865" s="4">
        <v>23.8</v>
      </c>
      <c r="M865">
        <v>12</v>
      </c>
      <c r="N865" t="s">
        <v>47</v>
      </c>
      <c r="O865">
        <v>3</v>
      </c>
      <c r="P865" s="4">
        <v>123.3</v>
      </c>
      <c r="Q865" t="s">
        <v>42</v>
      </c>
      <c r="R865">
        <v>0</v>
      </c>
      <c r="S865" t="s">
        <v>44</v>
      </c>
      <c r="T865">
        <v>1</v>
      </c>
      <c r="U865">
        <v>0</v>
      </c>
      <c r="V865" t="s">
        <v>32</v>
      </c>
      <c r="W865" t="s">
        <v>39</v>
      </c>
      <c r="X865" s="4">
        <v>8.6</v>
      </c>
      <c r="Y865">
        <v>7</v>
      </c>
      <c r="Z865" s="5">
        <v>207.8</v>
      </c>
    </row>
    <row r="866" spans="1:26">
      <c r="A866">
        <v>865</v>
      </c>
      <c r="B866">
        <v>279</v>
      </c>
      <c r="C866" s="2">
        <v>46283</v>
      </c>
      <c r="D866" t="s">
        <v>26</v>
      </c>
      <c r="E866">
        <v>9</v>
      </c>
      <c r="F866" s="3">
        <v>10.039999999999999</v>
      </c>
      <c r="G866" t="s">
        <v>27</v>
      </c>
      <c r="H866">
        <v>69</v>
      </c>
      <c r="I866" t="s">
        <v>28</v>
      </c>
      <c r="J866" s="4">
        <v>69.5</v>
      </c>
      <c r="K866" s="4">
        <v>194.7</v>
      </c>
      <c r="L866" s="4">
        <v>28.4</v>
      </c>
      <c r="M866">
        <v>19</v>
      </c>
      <c r="N866" t="s">
        <v>47</v>
      </c>
      <c r="O866">
        <v>3</v>
      </c>
      <c r="P866" s="4">
        <v>123.3</v>
      </c>
      <c r="Q866" t="s">
        <v>42</v>
      </c>
      <c r="R866">
        <v>0</v>
      </c>
      <c r="S866" t="s">
        <v>44</v>
      </c>
      <c r="T866">
        <v>1</v>
      </c>
      <c r="U866">
        <v>0</v>
      </c>
      <c r="V866" t="s">
        <v>32</v>
      </c>
      <c r="W866" t="s">
        <v>39</v>
      </c>
      <c r="X866" s="4">
        <v>9.5</v>
      </c>
      <c r="Y866">
        <v>11</v>
      </c>
      <c r="Z866" s="5">
        <v>117.81</v>
      </c>
    </row>
    <row r="867" spans="1:26">
      <c r="A867">
        <v>866</v>
      </c>
      <c r="B867">
        <v>280</v>
      </c>
      <c r="C867" s="2">
        <v>46245</v>
      </c>
      <c r="D867" t="s">
        <v>35</v>
      </c>
      <c r="E867">
        <v>8</v>
      </c>
      <c r="F867" s="3">
        <v>10.47</v>
      </c>
      <c r="G867" t="s">
        <v>27</v>
      </c>
      <c r="H867">
        <v>56</v>
      </c>
      <c r="I867" t="s">
        <v>34</v>
      </c>
      <c r="J867" s="4">
        <v>65</v>
      </c>
      <c r="K867" s="4">
        <v>149.19999999999999</v>
      </c>
      <c r="L867" s="4">
        <v>24.8</v>
      </c>
      <c r="M867">
        <v>17</v>
      </c>
      <c r="N867" t="s">
        <v>50</v>
      </c>
      <c r="O867">
        <v>5</v>
      </c>
      <c r="P867" s="4">
        <v>439.9</v>
      </c>
      <c r="Q867" t="s">
        <v>42</v>
      </c>
      <c r="R867">
        <v>0</v>
      </c>
      <c r="S867" t="s">
        <v>44</v>
      </c>
      <c r="T867">
        <v>1</v>
      </c>
      <c r="U867">
        <v>0</v>
      </c>
      <c r="V867" t="s">
        <v>32</v>
      </c>
      <c r="W867" t="s">
        <v>43</v>
      </c>
      <c r="X867" s="4">
        <v>6.4</v>
      </c>
      <c r="Y867">
        <v>3</v>
      </c>
      <c r="Z867" s="5">
        <v>134.04</v>
      </c>
    </row>
    <row r="868" spans="1:26">
      <c r="A868">
        <v>867</v>
      </c>
      <c r="B868">
        <v>280</v>
      </c>
      <c r="C868" s="2">
        <v>46245</v>
      </c>
      <c r="D868" t="s">
        <v>35</v>
      </c>
      <c r="E868">
        <v>8</v>
      </c>
      <c r="F868" s="3">
        <v>10.35</v>
      </c>
      <c r="G868" t="s">
        <v>27</v>
      </c>
      <c r="H868">
        <v>30</v>
      </c>
      <c r="I868" t="s">
        <v>28</v>
      </c>
      <c r="J868" s="4">
        <v>69.2</v>
      </c>
      <c r="K868" s="4">
        <v>165.4</v>
      </c>
      <c r="L868" s="4">
        <v>24.5</v>
      </c>
      <c r="M868">
        <v>16</v>
      </c>
      <c r="N868" t="s">
        <v>50</v>
      </c>
      <c r="O868">
        <v>5</v>
      </c>
      <c r="P868" s="4">
        <v>439.9</v>
      </c>
      <c r="Q868" t="s">
        <v>42</v>
      </c>
      <c r="R868">
        <v>0</v>
      </c>
      <c r="S868" t="s">
        <v>44</v>
      </c>
      <c r="T868">
        <v>1</v>
      </c>
      <c r="U868">
        <v>0</v>
      </c>
      <c r="V868" t="s">
        <v>32</v>
      </c>
      <c r="W868" t="s">
        <v>43</v>
      </c>
      <c r="X868" s="4">
        <v>7.7</v>
      </c>
      <c r="Y868">
        <v>12</v>
      </c>
      <c r="Z868" s="5">
        <v>197.22</v>
      </c>
    </row>
    <row r="869" spans="1:26">
      <c r="A869">
        <v>868</v>
      </c>
      <c r="B869">
        <v>280</v>
      </c>
      <c r="C869" s="2">
        <v>46245</v>
      </c>
      <c r="D869" t="s">
        <v>35</v>
      </c>
      <c r="E869">
        <v>8</v>
      </c>
      <c r="F869" s="3">
        <v>10.24</v>
      </c>
      <c r="G869" t="s">
        <v>27</v>
      </c>
      <c r="H869">
        <v>28</v>
      </c>
      <c r="I869" t="s">
        <v>34</v>
      </c>
      <c r="J869" s="4">
        <v>66.599999999999994</v>
      </c>
      <c r="K869" s="4">
        <v>167.6</v>
      </c>
      <c r="L869" s="4">
        <v>26.4</v>
      </c>
      <c r="M869">
        <v>15</v>
      </c>
      <c r="N869" t="s">
        <v>50</v>
      </c>
      <c r="O869">
        <v>5</v>
      </c>
      <c r="P869" s="4">
        <v>439.9</v>
      </c>
      <c r="Q869" t="s">
        <v>42</v>
      </c>
      <c r="R869">
        <v>0</v>
      </c>
      <c r="S869" t="s">
        <v>44</v>
      </c>
      <c r="T869">
        <v>1</v>
      </c>
      <c r="U869">
        <v>0</v>
      </c>
      <c r="V869" t="s">
        <v>32</v>
      </c>
      <c r="W869" t="s">
        <v>43</v>
      </c>
      <c r="X869" s="4">
        <v>8.3000000000000007</v>
      </c>
      <c r="Y869">
        <v>8</v>
      </c>
      <c r="Z869" s="5">
        <v>219.57</v>
      </c>
    </row>
    <row r="870" spans="1:26">
      <c r="A870">
        <v>869</v>
      </c>
      <c r="B870">
        <v>280</v>
      </c>
      <c r="C870" s="2">
        <v>46245</v>
      </c>
      <c r="D870" t="s">
        <v>35</v>
      </c>
      <c r="E870">
        <v>8</v>
      </c>
      <c r="F870" s="3">
        <v>10.29</v>
      </c>
      <c r="G870" t="s">
        <v>27</v>
      </c>
      <c r="H870">
        <v>7</v>
      </c>
      <c r="I870" t="s">
        <v>28</v>
      </c>
      <c r="J870" s="4">
        <v>57.7</v>
      </c>
      <c r="K870" s="4">
        <v>79.5</v>
      </c>
      <c r="L870" s="4">
        <v>16.5</v>
      </c>
      <c r="M870">
        <v>13</v>
      </c>
      <c r="N870" t="s">
        <v>50</v>
      </c>
      <c r="O870">
        <v>5</v>
      </c>
      <c r="P870" s="4">
        <v>439.9</v>
      </c>
      <c r="Q870" t="s">
        <v>42</v>
      </c>
      <c r="R870">
        <v>0</v>
      </c>
      <c r="S870" t="s">
        <v>44</v>
      </c>
      <c r="T870">
        <v>1</v>
      </c>
      <c r="U870">
        <v>0</v>
      </c>
      <c r="V870" t="s">
        <v>32</v>
      </c>
      <c r="W870" t="s">
        <v>43</v>
      </c>
      <c r="X870" s="4">
        <v>8</v>
      </c>
      <c r="Y870">
        <v>8</v>
      </c>
      <c r="Z870" s="5">
        <v>183.01</v>
      </c>
    </row>
    <row r="871" spans="1:26">
      <c r="A871">
        <v>870</v>
      </c>
      <c r="B871">
        <v>280</v>
      </c>
      <c r="C871" s="2">
        <v>46245</v>
      </c>
      <c r="D871" t="s">
        <v>35</v>
      </c>
      <c r="E871">
        <v>8</v>
      </c>
      <c r="F871" s="3">
        <v>10.33</v>
      </c>
      <c r="G871" t="s">
        <v>27</v>
      </c>
      <c r="H871">
        <v>50</v>
      </c>
      <c r="I871" t="s">
        <v>34</v>
      </c>
      <c r="J871" s="4">
        <v>63.8</v>
      </c>
      <c r="K871" s="4">
        <v>168.2</v>
      </c>
      <c r="L871" s="4">
        <v>29.1</v>
      </c>
      <c r="M871">
        <v>14</v>
      </c>
      <c r="N871" t="s">
        <v>50</v>
      </c>
      <c r="O871">
        <v>5</v>
      </c>
      <c r="P871" s="4">
        <v>439.9</v>
      </c>
      <c r="Q871" t="s">
        <v>42</v>
      </c>
      <c r="R871">
        <v>0</v>
      </c>
      <c r="S871" t="s">
        <v>44</v>
      </c>
      <c r="T871">
        <v>1</v>
      </c>
      <c r="U871">
        <v>0</v>
      </c>
      <c r="V871" t="s">
        <v>32</v>
      </c>
      <c r="W871" t="s">
        <v>43</v>
      </c>
      <c r="X871" s="4">
        <v>10.6</v>
      </c>
      <c r="Y871">
        <v>9</v>
      </c>
      <c r="Z871" s="5">
        <v>166.32</v>
      </c>
    </row>
    <row r="872" spans="1:26">
      <c r="A872">
        <v>871</v>
      </c>
      <c r="B872">
        <v>281</v>
      </c>
      <c r="C872" s="2">
        <v>46274</v>
      </c>
      <c r="D872" t="s">
        <v>52</v>
      </c>
      <c r="E872">
        <v>9</v>
      </c>
      <c r="F872" s="3">
        <v>10.43</v>
      </c>
      <c r="G872" t="s">
        <v>27</v>
      </c>
      <c r="H872">
        <v>63</v>
      </c>
      <c r="I872" t="s">
        <v>34</v>
      </c>
      <c r="J872" s="4">
        <v>65.2</v>
      </c>
      <c r="K872" s="4">
        <v>155.6</v>
      </c>
      <c r="L872" s="4">
        <v>25.8</v>
      </c>
      <c r="M872">
        <v>18</v>
      </c>
      <c r="N872" t="s">
        <v>61</v>
      </c>
      <c r="O872">
        <v>3</v>
      </c>
      <c r="P872" s="4">
        <v>1522.5</v>
      </c>
      <c r="Q872" t="s">
        <v>48</v>
      </c>
      <c r="R872">
        <v>1</v>
      </c>
      <c r="S872" t="s">
        <v>44</v>
      </c>
      <c r="T872">
        <v>0</v>
      </c>
      <c r="U872">
        <v>0</v>
      </c>
      <c r="V872" t="s">
        <v>32</v>
      </c>
      <c r="W872" t="s">
        <v>39</v>
      </c>
      <c r="X872" s="4">
        <v>7.5</v>
      </c>
      <c r="Y872">
        <v>12</v>
      </c>
      <c r="Z872" s="5">
        <v>284.97000000000003</v>
      </c>
    </row>
    <row r="873" spans="1:26">
      <c r="A873">
        <v>872</v>
      </c>
      <c r="B873">
        <v>281</v>
      </c>
      <c r="C873" s="2">
        <v>46274</v>
      </c>
      <c r="D873" t="s">
        <v>52</v>
      </c>
      <c r="E873">
        <v>9</v>
      </c>
      <c r="F873" s="3">
        <v>10.6</v>
      </c>
      <c r="G873" t="s">
        <v>27</v>
      </c>
      <c r="H873">
        <v>73</v>
      </c>
      <c r="I873" t="s">
        <v>34</v>
      </c>
      <c r="J873" s="4">
        <v>67.5</v>
      </c>
      <c r="K873" s="4">
        <v>200</v>
      </c>
      <c r="L873" s="4">
        <v>31.1</v>
      </c>
      <c r="M873">
        <v>21</v>
      </c>
      <c r="N873" t="s">
        <v>61</v>
      </c>
      <c r="O873">
        <v>3</v>
      </c>
      <c r="P873" s="4">
        <v>1522.5</v>
      </c>
      <c r="Q873" t="s">
        <v>48</v>
      </c>
      <c r="R873">
        <v>1</v>
      </c>
      <c r="S873" t="s">
        <v>44</v>
      </c>
      <c r="T873">
        <v>0</v>
      </c>
      <c r="U873">
        <v>0</v>
      </c>
      <c r="V873" t="s">
        <v>32</v>
      </c>
      <c r="W873" t="s">
        <v>39</v>
      </c>
      <c r="X873" s="4">
        <v>8.9</v>
      </c>
      <c r="Y873">
        <v>6</v>
      </c>
      <c r="Z873" s="5">
        <v>361.2</v>
      </c>
    </row>
    <row r="874" spans="1:26">
      <c r="A874">
        <v>873</v>
      </c>
      <c r="B874">
        <v>281</v>
      </c>
      <c r="C874" s="2">
        <v>46274</v>
      </c>
      <c r="D874" t="s">
        <v>52</v>
      </c>
      <c r="E874">
        <v>9</v>
      </c>
      <c r="F874" s="3">
        <v>10.7</v>
      </c>
      <c r="G874" t="s">
        <v>27</v>
      </c>
      <c r="H874">
        <v>30</v>
      </c>
      <c r="I874" t="s">
        <v>34</v>
      </c>
      <c r="J874" s="4">
        <v>63.4</v>
      </c>
      <c r="K874" s="4">
        <v>99.5</v>
      </c>
      <c r="L874" s="4">
        <v>17.600000000000001</v>
      </c>
      <c r="M874">
        <v>13</v>
      </c>
      <c r="N874" t="s">
        <v>61</v>
      </c>
      <c r="O874">
        <v>3</v>
      </c>
      <c r="P874" s="4">
        <v>1522.5</v>
      </c>
      <c r="Q874" t="s">
        <v>48</v>
      </c>
      <c r="R874">
        <v>1</v>
      </c>
      <c r="S874" t="s">
        <v>44</v>
      </c>
      <c r="T874">
        <v>0</v>
      </c>
      <c r="U874">
        <v>0</v>
      </c>
      <c r="V874" t="s">
        <v>32</v>
      </c>
      <c r="W874" t="s">
        <v>39</v>
      </c>
      <c r="X874" s="4">
        <v>7.2</v>
      </c>
      <c r="Y874">
        <v>8</v>
      </c>
      <c r="Z874" s="5">
        <v>269.77</v>
      </c>
    </row>
    <row r="875" spans="1:26">
      <c r="A875">
        <v>874</v>
      </c>
      <c r="B875">
        <v>282</v>
      </c>
      <c r="C875" s="2">
        <v>46124</v>
      </c>
      <c r="D875" t="s">
        <v>58</v>
      </c>
      <c r="E875">
        <v>4</v>
      </c>
      <c r="F875" s="3">
        <v>7.9</v>
      </c>
      <c r="G875" t="s">
        <v>27</v>
      </c>
      <c r="H875">
        <v>67</v>
      </c>
      <c r="I875" t="s">
        <v>34</v>
      </c>
      <c r="J875" s="4">
        <v>67.7</v>
      </c>
      <c r="K875" s="4">
        <v>155.4</v>
      </c>
      <c r="L875" s="4">
        <v>24</v>
      </c>
      <c r="M875">
        <v>19</v>
      </c>
      <c r="N875" t="s">
        <v>63</v>
      </c>
      <c r="O875">
        <v>4</v>
      </c>
      <c r="P875" s="4">
        <v>1169.5999999999999</v>
      </c>
      <c r="Q875" t="s">
        <v>48</v>
      </c>
      <c r="R875">
        <v>1</v>
      </c>
      <c r="S875" t="s">
        <v>44</v>
      </c>
      <c r="T875">
        <v>0</v>
      </c>
      <c r="U875">
        <v>0</v>
      </c>
      <c r="V875" t="s">
        <v>45</v>
      </c>
      <c r="W875" t="s">
        <v>43</v>
      </c>
      <c r="X875" s="4">
        <v>7.8</v>
      </c>
      <c r="Y875">
        <v>5</v>
      </c>
      <c r="Z875" s="5">
        <v>268.83</v>
      </c>
    </row>
    <row r="876" spans="1:26">
      <c r="A876">
        <v>875</v>
      </c>
      <c r="B876">
        <v>282</v>
      </c>
      <c r="C876" s="2">
        <v>46124</v>
      </c>
      <c r="D876" t="s">
        <v>58</v>
      </c>
      <c r="E876">
        <v>4</v>
      </c>
      <c r="F876" s="3">
        <v>7.85</v>
      </c>
      <c r="G876" t="s">
        <v>27</v>
      </c>
      <c r="H876">
        <v>45</v>
      </c>
      <c r="I876" t="s">
        <v>28</v>
      </c>
      <c r="J876" s="4">
        <v>78</v>
      </c>
      <c r="K876" s="4">
        <v>228.9</v>
      </c>
      <c r="L876" s="4">
        <v>26.4</v>
      </c>
      <c r="M876">
        <v>17</v>
      </c>
      <c r="N876" t="s">
        <v>63</v>
      </c>
      <c r="O876">
        <v>4</v>
      </c>
      <c r="P876" s="4">
        <v>1169.5999999999999</v>
      </c>
      <c r="Q876" t="s">
        <v>48</v>
      </c>
      <c r="R876">
        <v>1</v>
      </c>
      <c r="S876" t="s">
        <v>44</v>
      </c>
      <c r="T876">
        <v>0</v>
      </c>
      <c r="U876">
        <v>0</v>
      </c>
      <c r="V876" t="s">
        <v>45</v>
      </c>
      <c r="W876" t="s">
        <v>43</v>
      </c>
      <c r="X876" s="4">
        <v>10</v>
      </c>
      <c r="Y876">
        <v>6</v>
      </c>
      <c r="Z876" s="5">
        <v>396.38</v>
      </c>
    </row>
    <row r="877" spans="1:26">
      <c r="A877">
        <v>876</v>
      </c>
      <c r="B877">
        <v>282</v>
      </c>
      <c r="C877" s="2">
        <v>46124</v>
      </c>
      <c r="D877" t="s">
        <v>58</v>
      </c>
      <c r="E877">
        <v>4</v>
      </c>
      <c r="F877" s="3">
        <v>8.0299999999999994</v>
      </c>
      <c r="G877" t="s">
        <v>27</v>
      </c>
      <c r="H877">
        <v>3</v>
      </c>
      <c r="I877" t="s">
        <v>34</v>
      </c>
      <c r="J877" s="4">
        <v>48.7</v>
      </c>
      <c r="K877" s="4">
        <v>79.7</v>
      </c>
      <c r="L877" s="4">
        <v>23.7</v>
      </c>
      <c r="M877">
        <v>15</v>
      </c>
      <c r="N877" t="s">
        <v>63</v>
      </c>
      <c r="O877">
        <v>4</v>
      </c>
      <c r="P877" s="4">
        <v>1169.5999999999999</v>
      </c>
      <c r="Q877" t="s">
        <v>48</v>
      </c>
      <c r="R877">
        <v>1</v>
      </c>
      <c r="S877" t="s">
        <v>44</v>
      </c>
      <c r="T877">
        <v>0</v>
      </c>
      <c r="U877">
        <v>0</v>
      </c>
      <c r="V877" t="s">
        <v>45</v>
      </c>
      <c r="W877" t="s">
        <v>43</v>
      </c>
      <c r="X877" s="4">
        <v>8.8000000000000007</v>
      </c>
      <c r="Y877">
        <v>9</v>
      </c>
      <c r="Z877" s="5">
        <v>329.24</v>
      </c>
    </row>
    <row r="878" spans="1:26">
      <c r="A878">
        <v>877</v>
      </c>
      <c r="B878">
        <v>282</v>
      </c>
      <c r="C878" s="2">
        <v>46124</v>
      </c>
      <c r="D878" t="s">
        <v>58</v>
      </c>
      <c r="E878">
        <v>4</v>
      </c>
      <c r="F878" s="3">
        <v>8.2200000000000006</v>
      </c>
      <c r="G878" t="s">
        <v>27</v>
      </c>
      <c r="H878">
        <v>34</v>
      </c>
      <c r="I878" t="s">
        <v>28</v>
      </c>
      <c r="J878" s="4">
        <v>68.3</v>
      </c>
      <c r="K878" s="4">
        <v>185.5</v>
      </c>
      <c r="L878" s="4">
        <v>28</v>
      </c>
      <c r="M878">
        <v>17</v>
      </c>
      <c r="N878" t="s">
        <v>63</v>
      </c>
      <c r="O878">
        <v>4</v>
      </c>
      <c r="P878" s="4">
        <v>1169.5999999999999</v>
      </c>
      <c r="Q878" t="s">
        <v>48</v>
      </c>
      <c r="R878">
        <v>1</v>
      </c>
      <c r="S878" t="s">
        <v>44</v>
      </c>
      <c r="T878">
        <v>0</v>
      </c>
      <c r="U878">
        <v>0</v>
      </c>
      <c r="V878" t="s">
        <v>45</v>
      </c>
      <c r="W878" t="s">
        <v>43</v>
      </c>
      <c r="X878" s="4">
        <v>10.8</v>
      </c>
      <c r="Y878">
        <v>15</v>
      </c>
      <c r="Z878" s="5">
        <v>291.07</v>
      </c>
    </row>
    <row r="879" spans="1:26">
      <c r="A879">
        <v>878</v>
      </c>
      <c r="B879">
        <v>283</v>
      </c>
      <c r="C879" s="2">
        <v>46215</v>
      </c>
      <c r="D879" t="s">
        <v>58</v>
      </c>
      <c r="E879">
        <v>7</v>
      </c>
      <c r="F879" s="3">
        <v>14.32</v>
      </c>
      <c r="G879" t="s">
        <v>36</v>
      </c>
      <c r="H879">
        <v>65</v>
      </c>
      <c r="I879" t="s">
        <v>28</v>
      </c>
      <c r="J879" s="4">
        <v>66.7</v>
      </c>
      <c r="K879" s="4">
        <v>170.3</v>
      </c>
      <c r="L879" s="4">
        <v>27.1</v>
      </c>
      <c r="M879">
        <v>15</v>
      </c>
      <c r="N879" t="s">
        <v>29</v>
      </c>
      <c r="O879">
        <v>4</v>
      </c>
      <c r="P879" s="4">
        <v>1831.2</v>
      </c>
      <c r="Q879" t="s">
        <v>42</v>
      </c>
      <c r="R879">
        <v>0</v>
      </c>
      <c r="S879" t="s">
        <v>38</v>
      </c>
      <c r="T879">
        <v>0</v>
      </c>
      <c r="U879">
        <v>0</v>
      </c>
      <c r="V879" t="s">
        <v>32</v>
      </c>
      <c r="W879" t="s">
        <v>43</v>
      </c>
      <c r="X879" s="4">
        <v>7.5</v>
      </c>
      <c r="Y879">
        <v>7</v>
      </c>
      <c r="Z879" s="5">
        <v>173.87</v>
      </c>
    </row>
    <row r="880" spans="1:26">
      <c r="A880">
        <v>879</v>
      </c>
      <c r="B880">
        <v>283</v>
      </c>
      <c r="C880" s="2">
        <v>46215</v>
      </c>
      <c r="D880" t="s">
        <v>58</v>
      </c>
      <c r="E880">
        <v>7</v>
      </c>
      <c r="F880" s="3">
        <v>14.18</v>
      </c>
      <c r="G880" t="s">
        <v>36</v>
      </c>
      <c r="H880">
        <v>28</v>
      </c>
      <c r="I880" t="s">
        <v>28</v>
      </c>
      <c r="J880" s="4">
        <v>68.8</v>
      </c>
      <c r="K880" s="4">
        <v>186.9</v>
      </c>
      <c r="L880" s="4">
        <v>27.6</v>
      </c>
      <c r="M880">
        <v>15</v>
      </c>
      <c r="N880" t="s">
        <v>29</v>
      </c>
      <c r="O880">
        <v>4</v>
      </c>
      <c r="P880" s="4">
        <v>1831.2</v>
      </c>
      <c r="Q880" t="s">
        <v>42</v>
      </c>
      <c r="R880">
        <v>0</v>
      </c>
      <c r="S880" t="s">
        <v>38</v>
      </c>
      <c r="T880">
        <v>0</v>
      </c>
      <c r="U880">
        <v>0</v>
      </c>
      <c r="V880" t="s">
        <v>32</v>
      </c>
      <c r="W880" t="s">
        <v>43</v>
      </c>
      <c r="X880" s="4">
        <v>7.6</v>
      </c>
      <c r="Y880">
        <v>6</v>
      </c>
      <c r="Z880" s="5">
        <v>159.72</v>
      </c>
    </row>
    <row r="881" spans="1:26">
      <c r="A881">
        <v>880</v>
      </c>
      <c r="B881">
        <v>283</v>
      </c>
      <c r="C881" s="2">
        <v>46215</v>
      </c>
      <c r="D881" t="s">
        <v>58</v>
      </c>
      <c r="E881">
        <v>7</v>
      </c>
      <c r="F881" s="3">
        <v>14.31</v>
      </c>
      <c r="G881" t="s">
        <v>36</v>
      </c>
      <c r="H881">
        <v>63</v>
      </c>
      <c r="I881" t="s">
        <v>28</v>
      </c>
      <c r="J881" s="4">
        <v>62</v>
      </c>
      <c r="K881" s="4">
        <v>119.8</v>
      </c>
      <c r="L881" s="4">
        <v>21.7</v>
      </c>
      <c r="M881">
        <v>17</v>
      </c>
      <c r="N881" t="s">
        <v>29</v>
      </c>
      <c r="O881">
        <v>4</v>
      </c>
      <c r="P881" s="4">
        <v>1831.2</v>
      </c>
      <c r="Q881" t="s">
        <v>42</v>
      </c>
      <c r="R881">
        <v>0</v>
      </c>
      <c r="S881" t="s">
        <v>38</v>
      </c>
      <c r="T881">
        <v>0</v>
      </c>
      <c r="U881">
        <v>0</v>
      </c>
      <c r="V881" t="s">
        <v>32</v>
      </c>
      <c r="W881" t="s">
        <v>43</v>
      </c>
      <c r="X881" s="4">
        <v>6.2</v>
      </c>
      <c r="Y881">
        <v>8</v>
      </c>
      <c r="Z881" s="5">
        <v>228.83</v>
      </c>
    </row>
    <row r="882" spans="1:26">
      <c r="A882">
        <v>881</v>
      </c>
      <c r="B882">
        <v>283</v>
      </c>
      <c r="C882" s="2">
        <v>46215</v>
      </c>
      <c r="D882" t="s">
        <v>58</v>
      </c>
      <c r="E882">
        <v>7</v>
      </c>
      <c r="F882" s="3">
        <v>14.23</v>
      </c>
      <c r="G882" t="s">
        <v>36</v>
      </c>
      <c r="H882">
        <v>68</v>
      </c>
      <c r="I882" t="s">
        <v>28</v>
      </c>
      <c r="J882" s="4">
        <v>69.400000000000006</v>
      </c>
      <c r="K882" s="4">
        <v>143.69999999999999</v>
      </c>
      <c r="L882" s="4">
        <v>21</v>
      </c>
      <c r="M882">
        <v>13</v>
      </c>
      <c r="N882" t="s">
        <v>29</v>
      </c>
      <c r="O882">
        <v>4</v>
      </c>
      <c r="P882" s="4">
        <v>1831.2</v>
      </c>
      <c r="Q882" t="s">
        <v>42</v>
      </c>
      <c r="R882">
        <v>0</v>
      </c>
      <c r="S882" t="s">
        <v>38</v>
      </c>
      <c r="T882">
        <v>0</v>
      </c>
      <c r="U882">
        <v>0</v>
      </c>
      <c r="V882" t="s">
        <v>32</v>
      </c>
      <c r="W882" t="s">
        <v>43</v>
      </c>
      <c r="X882" s="4">
        <v>7.3</v>
      </c>
      <c r="Y882">
        <v>3</v>
      </c>
      <c r="Z882" s="5">
        <v>191.5</v>
      </c>
    </row>
    <row r="883" spans="1:26">
      <c r="A883">
        <v>882</v>
      </c>
      <c r="B883">
        <v>284</v>
      </c>
      <c r="C883" s="2">
        <v>46104</v>
      </c>
      <c r="D883" t="s">
        <v>46</v>
      </c>
      <c r="E883">
        <v>3</v>
      </c>
      <c r="F883" s="3">
        <v>8.0500000000000007</v>
      </c>
      <c r="G883" t="s">
        <v>27</v>
      </c>
      <c r="H883">
        <v>27</v>
      </c>
      <c r="I883" t="s">
        <v>34</v>
      </c>
      <c r="J883" s="4">
        <v>65.2</v>
      </c>
      <c r="K883" s="4">
        <v>135.80000000000001</v>
      </c>
      <c r="L883" s="4">
        <v>22.5</v>
      </c>
      <c r="M883">
        <v>14</v>
      </c>
      <c r="N883" t="s">
        <v>47</v>
      </c>
      <c r="O883">
        <v>6</v>
      </c>
      <c r="P883" s="4">
        <v>163.9</v>
      </c>
      <c r="Q883" t="s">
        <v>42</v>
      </c>
      <c r="R883">
        <v>0</v>
      </c>
      <c r="S883" t="s">
        <v>44</v>
      </c>
      <c r="T883">
        <v>1</v>
      </c>
      <c r="U883">
        <v>0</v>
      </c>
      <c r="V883" t="s">
        <v>32</v>
      </c>
      <c r="W883" t="s">
        <v>39</v>
      </c>
      <c r="X883" s="4">
        <v>7</v>
      </c>
      <c r="Y883">
        <v>8</v>
      </c>
      <c r="Z883" s="5">
        <v>179.31</v>
      </c>
    </row>
    <row r="884" spans="1:26">
      <c r="A884">
        <v>883</v>
      </c>
      <c r="B884">
        <v>284</v>
      </c>
      <c r="C884" s="2">
        <v>46104</v>
      </c>
      <c r="D884" t="s">
        <v>46</v>
      </c>
      <c r="E884">
        <v>3</v>
      </c>
      <c r="F884" s="3">
        <v>8.32</v>
      </c>
      <c r="G884" t="s">
        <v>27</v>
      </c>
      <c r="H884">
        <v>12</v>
      </c>
      <c r="I884" t="s">
        <v>34</v>
      </c>
      <c r="J884" s="4">
        <v>66.8</v>
      </c>
      <c r="K884" s="4">
        <v>135.6</v>
      </c>
      <c r="L884" s="4">
        <v>21.1</v>
      </c>
      <c r="M884">
        <v>8</v>
      </c>
      <c r="N884" t="s">
        <v>47</v>
      </c>
      <c r="O884">
        <v>6</v>
      </c>
      <c r="P884" s="4">
        <v>163.9</v>
      </c>
      <c r="Q884" t="s">
        <v>42</v>
      </c>
      <c r="R884">
        <v>0</v>
      </c>
      <c r="S884" t="s">
        <v>44</v>
      </c>
      <c r="T884">
        <v>1</v>
      </c>
      <c r="U884">
        <v>0</v>
      </c>
      <c r="V884" t="s">
        <v>32</v>
      </c>
      <c r="W884" t="s">
        <v>39</v>
      </c>
      <c r="X884" s="4">
        <v>9.3000000000000007</v>
      </c>
      <c r="Y884">
        <v>16</v>
      </c>
      <c r="Z884" s="5">
        <v>257.04000000000002</v>
      </c>
    </row>
    <row r="885" spans="1:26">
      <c r="A885">
        <v>884</v>
      </c>
      <c r="B885">
        <v>284</v>
      </c>
      <c r="C885" s="2">
        <v>46104</v>
      </c>
      <c r="D885" t="s">
        <v>46</v>
      </c>
      <c r="E885">
        <v>3</v>
      </c>
      <c r="F885" s="3">
        <v>8.26</v>
      </c>
      <c r="G885" t="s">
        <v>27</v>
      </c>
      <c r="H885">
        <v>79</v>
      </c>
      <c r="I885" t="s">
        <v>28</v>
      </c>
      <c r="J885" s="4">
        <v>67.3</v>
      </c>
      <c r="K885" s="4">
        <v>201.4</v>
      </c>
      <c r="L885" s="4">
        <v>31.3</v>
      </c>
      <c r="M885">
        <v>16</v>
      </c>
      <c r="N885" t="s">
        <v>47</v>
      </c>
      <c r="O885">
        <v>6</v>
      </c>
      <c r="P885" s="4">
        <v>163.9</v>
      </c>
      <c r="Q885" t="s">
        <v>42</v>
      </c>
      <c r="R885">
        <v>0</v>
      </c>
      <c r="S885" t="s">
        <v>44</v>
      </c>
      <c r="T885">
        <v>1</v>
      </c>
      <c r="U885">
        <v>0</v>
      </c>
      <c r="V885" t="s">
        <v>32</v>
      </c>
      <c r="W885" t="s">
        <v>39</v>
      </c>
      <c r="X885" s="4">
        <v>8.4</v>
      </c>
      <c r="Y885">
        <v>7</v>
      </c>
      <c r="Z885" s="5">
        <v>158.43</v>
      </c>
    </row>
    <row r="886" spans="1:26">
      <c r="A886">
        <v>885</v>
      </c>
      <c r="B886">
        <v>284</v>
      </c>
      <c r="C886" s="2">
        <v>46104</v>
      </c>
      <c r="D886" t="s">
        <v>46</v>
      </c>
      <c r="E886">
        <v>3</v>
      </c>
      <c r="F886" s="3">
        <v>8.2200000000000006</v>
      </c>
      <c r="G886" t="s">
        <v>27</v>
      </c>
      <c r="H886">
        <v>18</v>
      </c>
      <c r="I886" t="s">
        <v>34</v>
      </c>
      <c r="J886" s="4">
        <v>61.4</v>
      </c>
      <c r="K886" s="4">
        <v>128.6</v>
      </c>
      <c r="L886" s="4">
        <v>24.4</v>
      </c>
      <c r="M886">
        <v>10</v>
      </c>
      <c r="N886" t="s">
        <v>47</v>
      </c>
      <c r="O886">
        <v>6</v>
      </c>
      <c r="P886" s="4">
        <v>163.9</v>
      </c>
      <c r="Q886" t="s">
        <v>42</v>
      </c>
      <c r="R886">
        <v>0</v>
      </c>
      <c r="S886" t="s">
        <v>44</v>
      </c>
      <c r="T886">
        <v>1</v>
      </c>
      <c r="U886">
        <v>0</v>
      </c>
      <c r="V886" t="s">
        <v>32</v>
      </c>
      <c r="W886" t="s">
        <v>39</v>
      </c>
      <c r="X886" s="4">
        <v>9.5</v>
      </c>
      <c r="Y886">
        <v>12</v>
      </c>
      <c r="Z886" s="5">
        <v>167.1</v>
      </c>
    </row>
    <row r="887" spans="1:26">
      <c r="A887">
        <v>886</v>
      </c>
      <c r="B887">
        <v>284</v>
      </c>
      <c r="C887" s="2">
        <v>46104</v>
      </c>
      <c r="D887" t="s">
        <v>46</v>
      </c>
      <c r="E887">
        <v>3</v>
      </c>
      <c r="F887" s="3">
        <v>8.27</v>
      </c>
      <c r="G887" t="s">
        <v>27</v>
      </c>
      <c r="H887">
        <v>53</v>
      </c>
      <c r="I887" t="s">
        <v>34</v>
      </c>
      <c r="J887" s="4">
        <v>60.1</v>
      </c>
      <c r="K887" s="4">
        <v>154.80000000000001</v>
      </c>
      <c r="L887" s="4">
        <v>29.9</v>
      </c>
      <c r="M887">
        <v>13</v>
      </c>
      <c r="N887" t="s">
        <v>47</v>
      </c>
      <c r="O887">
        <v>6</v>
      </c>
      <c r="P887" s="4">
        <v>163.9</v>
      </c>
      <c r="Q887" t="s">
        <v>42</v>
      </c>
      <c r="R887">
        <v>0</v>
      </c>
      <c r="S887" t="s">
        <v>44</v>
      </c>
      <c r="T887">
        <v>1</v>
      </c>
      <c r="U887">
        <v>0</v>
      </c>
      <c r="V887" t="s">
        <v>32</v>
      </c>
      <c r="W887" t="s">
        <v>39</v>
      </c>
      <c r="X887" s="4">
        <v>10.7</v>
      </c>
      <c r="Y887">
        <v>8</v>
      </c>
      <c r="Z887" s="5">
        <v>237.52</v>
      </c>
    </row>
    <row r="888" spans="1:26">
      <c r="A888">
        <v>887</v>
      </c>
      <c r="B888">
        <v>284</v>
      </c>
      <c r="C888" s="2">
        <v>46104</v>
      </c>
      <c r="D888" t="s">
        <v>46</v>
      </c>
      <c r="E888">
        <v>3</v>
      </c>
      <c r="F888" s="3">
        <v>8.26</v>
      </c>
      <c r="G888" t="s">
        <v>27</v>
      </c>
      <c r="H888">
        <v>58</v>
      </c>
      <c r="I888" t="s">
        <v>28</v>
      </c>
      <c r="J888" s="4">
        <v>67.400000000000006</v>
      </c>
      <c r="K888" s="4">
        <v>176.9</v>
      </c>
      <c r="L888" s="4">
        <v>27.4</v>
      </c>
      <c r="M888">
        <v>19</v>
      </c>
      <c r="N888" t="s">
        <v>47</v>
      </c>
      <c r="O888">
        <v>6</v>
      </c>
      <c r="P888" s="4">
        <v>163.9</v>
      </c>
      <c r="Q888" t="s">
        <v>42</v>
      </c>
      <c r="R888">
        <v>0</v>
      </c>
      <c r="S888" t="s">
        <v>44</v>
      </c>
      <c r="T888">
        <v>1</v>
      </c>
      <c r="U888">
        <v>0</v>
      </c>
      <c r="V888" t="s">
        <v>32</v>
      </c>
      <c r="W888" t="s">
        <v>39</v>
      </c>
      <c r="X888" s="4">
        <v>10.199999999999999</v>
      </c>
      <c r="Y888">
        <v>10</v>
      </c>
      <c r="Z888" s="5">
        <v>238.5</v>
      </c>
    </row>
    <row r="889" spans="1:26">
      <c r="A889">
        <v>888</v>
      </c>
      <c r="B889">
        <v>285</v>
      </c>
      <c r="C889" s="2">
        <v>46078</v>
      </c>
      <c r="D889" t="s">
        <v>52</v>
      </c>
      <c r="E889">
        <v>2</v>
      </c>
      <c r="F889" s="3">
        <v>8.18</v>
      </c>
      <c r="G889" t="s">
        <v>27</v>
      </c>
      <c r="H889">
        <v>3</v>
      </c>
      <c r="I889" t="s">
        <v>34</v>
      </c>
      <c r="J889" s="4">
        <v>46.3</v>
      </c>
      <c r="K889" s="4">
        <v>49</v>
      </c>
      <c r="L889" s="4">
        <v>16.2</v>
      </c>
      <c r="M889">
        <v>12</v>
      </c>
      <c r="N889" t="s">
        <v>65</v>
      </c>
      <c r="O889">
        <v>6</v>
      </c>
      <c r="P889" s="4">
        <v>2383.3000000000002</v>
      </c>
      <c r="Q889" t="s">
        <v>48</v>
      </c>
      <c r="R889">
        <v>1</v>
      </c>
      <c r="S889" t="s">
        <v>44</v>
      </c>
      <c r="T889">
        <v>1</v>
      </c>
      <c r="U889">
        <v>0</v>
      </c>
      <c r="V889" t="s">
        <v>45</v>
      </c>
      <c r="W889" t="s">
        <v>43</v>
      </c>
      <c r="X889" s="4">
        <v>7.4</v>
      </c>
      <c r="Y889">
        <v>8</v>
      </c>
      <c r="Z889" s="5">
        <v>280.61</v>
      </c>
    </row>
    <row r="890" spans="1:26">
      <c r="A890">
        <v>889</v>
      </c>
      <c r="B890">
        <v>285</v>
      </c>
      <c r="C890" s="2">
        <v>46078</v>
      </c>
      <c r="D890" t="s">
        <v>52</v>
      </c>
      <c r="E890">
        <v>2</v>
      </c>
      <c r="F890" s="3">
        <v>8.33</v>
      </c>
      <c r="G890" t="s">
        <v>27</v>
      </c>
      <c r="H890">
        <v>72</v>
      </c>
      <c r="I890" t="s">
        <v>34</v>
      </c>
      <c r="J890" s="4">
        <v>63.1</v>
      </c>
      <c r="K890" s="4">
        <v>151.4</v>
      </c>
      <c r="L890" s="4">
        <v>26.8</v>
      </c>
      <c r="M890">
        <v>18</v>
      </c>
      <c r="N890" t="s">
        <v>65</v>
      </c>
      <c r="O890">
        <v>6</v>
      </c>
      <c r="P890" s="4">
        <v>2383.3000000000002</v>
      </c>
      <c r="Q890" t="s">
        <v>48</v>
      </c>
      <c r="R890">
        <v>1</v>
      </c>
      <c r="S890" t="s">
        <v>44</v>
      </c>
      <c r="T890">
        <v>1</v>
      </c>
      <c r="U890">
        <v>0</v>
      </c>
      <c r="V890" t="s">
        <v>45</v>
      </c>
      <c r="W890" t="s">
        <v>43</v>
      </c>
      <c r="X890" s="4">
        <v>10.1</v>
      </c>
      <c r="Y890">
        <v>11</v>
      </c>
      <c r="Z890" s="5">
        <v>280.05</v>
      </c>
    </row>
    <row r="891" spans="1:26">
      <c r="A891">
        <v>890</v>
      </c>
      <c r="B891">
        <v>285</v>
      </c>
      <c r="C891" s="2">
        <v>46078</v>
      </c>
      <c r="D891" t="s">
        <v>52</v>
      </c>
      <c r="E891">
        <v>2</v>
      </c>
      <c r="F891" s="3">
        <v>8.14</v>
      </c>
      <c r="G891" t="s">
        <v>27</v>
      </c>
      <c r="H891">
        <v>37</v>
      </c>
      <c r="I891" t="s">
        <v>28</v>
      </c>
      <c r="J891" s="4">
        <v>70.400000000000006</v>
      </c>
      <c r="K891" s="4">
        <v>202.9</v>
      </c>
      <c r="L891" s="4">
        <v>28.5</v>
      </c>
      <c r="M891">
        <v>20</v>
      </c>
      <c r="N891" t="s">
        <v>65</v>
      </c>
      <c r="O891">
        <v>6</v>
      </c>
      <c r="P891" s="4">
        <v>2383.3000000000002</v>
      </c>
      <c r="Q891" t="s">
        <v>48</v>
      </c>
      <c r="R891">
        <v>1</v>
      </c>
      <c r="S891" t="s">
        <v>44</v>
      </c>
      <c r="T891">
        <v>1</v>
      </c>
      <c r="U891">
        <v>0</v>
      </c>
      <c r="V891" t="s">
        <v>45</v>
      </c>
      <c r="W891" t="s">
        <v>43</v>
      </c>
      <c r="X891" s="4">
        <v>11.8</v>
      </c>
      <c r="Y891">
        <v>12</v>
      </c>
      <c r="Z891" s="5">
        <v>195.7</v>
      </c>
    </row>
    <row r="892" spans="1:26">
      <c r="A892">
        <v>891</v>
      </c>
      <c r="B892">
        <v>285</v>
      </c>
      <c r="C892" s="2">
        <v>46078</v>
      </c>
      <c r="D892" t="s">
        <v>52</v>
      </c>
      <c r="E892">
        <v>2</v>
      </c>
      <c r="F892" s="3">
        <v>8.2799999999999994</v>
      </c>
      <c r="G892" t="s">
        <v>27</v>
      </c>
      <c r="H892">
        <v>22</v>
      </c>
      <c r="I892" t="s">
        <v>34</v>
      </c>
      <c r="J892" s="4">
        <v>60.7</v>
      </c>
      <c r="K892" s="4">
        <v>98.9</v>
      </c>
      <c r="L892" s="4">
        <v>18.899999999999999</v>
      </c>
      <c r="M892">
        <v>16</v>
      </c>
      <c r="N892" t="s">
        <v>65</v>
      </c>
      <c r="O892">
        <v>6</v>
      </c>
      <c r="P892" s="4">
        <v>2383.3000000000002</v>
      </c>
      <c r="Q892" t="s">
        <v>48</v>
      </c>
      <c r="R892">
        <v>1</v>
      </c>
      <c r="S892" t="s">
        <v>44</v>
      </c>
      <c r="T892">
        <v>1</v>
      </c>
      <c r="U892">
        <v>0</v>
      </c>
      <c r="V892" t="s">
        <v>45</v>
      </c>
      <c r="W892" t="s">
        <v>43</v>
      </c>
      <c r="X892" s="4">
        <v>10.3</v>
      </c>
      <c r="Y892">
        <v>5</v>
      </c>
      <c r="Z892" s="5">
        <v>251.03</v>
      </c>
    </row>
    <row r="893" spans="1:26">
      <c r="A893">
        <v>892</v>
      </c>
      <c r="B893">
        <v>285</v>
      </c>
      <c r="C893" s="2">
        <v>46078</v>
      </c>
      <c r="D893" t="s">
        <v>52</v>
      </c>
      <c r="E893">
        <v>2</v>
      </c>
      <c r="F893" s="3">
        <v>8.15</v>
      </c>
      <c r="G893" t="s">
        <v>27</v>
      </c>
      <c r="H893">
        <v>43</v>
      </c>
      <c r="I893" t="s">
        <v>34</v>
      </c>
      <c r="J893" s="4">
        <v>58.8</v>
      </c>
      <c r="K893" s="4">
        <v>113.6</v>
      </c>
      <c r="L893" s="4">
        <v>22.9</v>
      </c>
      <c r="M893">
        <v>16</v>
      </c>
      <c r="N893" t="s">
        <v>65</v>
      </c>
      <c r="O893">
        <v>6</v>
      </c>
      <c r="P893" s="4">
        <v>2383.3000000000002</v>
      </c>
      <c r="Q893" t="s">
        <v>48</v>
      </c>
      <c r="R893">
        <v>1</v>
      </c>
      <c r="S893" t="s">
        <v>44</v>
      </c>
      <c r="T893">
        <v>1</v>
      </c>
      <c r="U893">
        <v>0</v>
      </c>
      <c r="V893" t="s">
        <v>45</v>
      </c>
      <c r="W893" t="s">
        <v>43</v>
      </c>
      <c r="X893" s="4">
        <v>11.4</v>
      </c>
      <c r="Y893">
        <v>12</v>
      </c>
      <c r="Z893" s="5">
        <v>307.91000000000003</v>
      </c>
    </row>
    <row r="894" spans="1:26">
      <c r="A894">
        <v>893</v>
      </c>
      <c r="B894">
        <v>285</v>
      </c>
      <c r="C894" s="2">
        <v>46078</v>
      </c>
      <c r="D894" t="s">
        <v>52</v>
      </c>
      <c r="E894">
        <v>2</v>
      </c>
      <c r="F894" s="3">
        <v>8.31</v>
      </c>
      <c r="G894" t="s">
        <v>27</v>
      </c>
      <c r="H894">
        <v>42</v>
      </c>
      <c r="I894" t="s">
        <v>34</v>
      </c>
      <c r="J894" s="4">
        <v>64.3</v>
      </c>
      <c r="K894" s="4">
        <v>181.4</v>
      </c>
      <c r="L894" s="4">
        <v>30.9</v>
      </c>
      <c r="M894">
        <v>15</v>
      </c>
      <c r="N894" t="s">
        <v>65</v>
      </c>
      <c r="O894">
        <v>6</v>
      </c>
      <c r="P894" s="4">
        <v>2383.3000000000002</v>
      </c>
      <c r="Q894" t="s">
        <v>48</v>
      </c>
      <c r="R894">
        <v>1</v>
      </c>
      <c r="S894" t="s">
        <v>44</v>
      </c>
      <c r="T894">
        <v>1</v>
      </c>
      <c r="U894">
        <v>0</v>
      </c>
      <c r="V894" t="s">
        <v>45</v>
      </c>
      <c r="W894" t="s">
        <v>43</v>
      </c>
      <c r="X894" s="4">
        <v>10.3</v>
      </c>
      <c r="Y894">
        <v>12</v>
      </c>
      <c r="Z894" s="5">
        <v>650</v>
      </c>
    </row>
    <row r="895" spans="1:26">
      <c r="A895">
        <v>894</v>
      </c>
      <c r="B895">
        <v>286</v>
      </c>
      <c r="C895" s="2">
        <v>46114</v>
      </c>
      <c r="D895" t="s">
        <v>55</v>
      </c>
      <c r="E895">
        <v>4</v>
      </c>
      <c r="F895" s="3">
        <v>9.31</v>
      </c>
      <c r="G895" t="s">
        <v>27</v>
      </c>
      <c r="H895">
        <v>23</v>
      </c>
      <c r="I895" t="s">
        <v>28</v>
      </c>
      <c r="J895" s="4">
        <v>69.5</v>
      </c>
      <c r="K895" s="4">
        <v>176.3</v>
      </c>
      <c r="L895" s="4">
        <v>25.8</v>
      </c>
      <c r="M895">
        <v>13</v>
      </c>
      <c r="N895" t="s">
        <v>47</v>
      </c>
      <c r="O895">
        <v>4</v>
      </c>
      <c r="P895" s="4">
        <v>87.1</v>
      </c>
      <c r="Q895" t="s">
        <v>30</v>
      </c>
      <c r="R895">
        <v>1</v>
      </c>
      <c r="S895" t="s">
        <v>44</v>
      </c>
      <c r="T895">
        <v>0</v>
      </c>
      <c r="U895">
        <v>0</v>
      </c>
      <c r="V895" t="s">
        <v>32</v>
      </c>
      <c r="W895" t="s">
        <v>39</v>
      </c>
      <c r="X895" s="4">
        <v>8.1999999999999993</v>
      </c>
      <c r="Y895">
        <v>7</v>
      </c>
      <c r="Z895" s="5">
        <v>170.56</v>
      </c>
    </row>
    <row r="896" spans="1:26">
      <c r="A896">
        <v>895</v>
      </c>
      <c r="B896">
        <v>286</v>
      </c>
      <c r="C896" s="2">
        <v>46114</v>
      </c>
      <c r="D896" t="s">
        <v>55</v>
      </c>
      <c r="E896">
        <v>4</v>
      </c>
      <c r="F896" s="3">
        <v>9.41</v>
      </c>
      <c r="G896" t="s">
        <v>27</v>
      </c>
      <c r="H896">
        <v>57</v>
      </c>
      <c r="I896" t="s">
        <v>34</v>
      </c>
      <c r="J896" s="4">
        <v>64.2</v>
      </c>
      <c r="K896" s="4">
        <v>145.69999999999999</v>
      </c>
      <c r="L896" s="4">
        <v>24.9</v>
      </c>
      <c r="M896">
        <v>15</v>
      </c>
      <c r="N896" t="s">
        <v>47</v>
      </c>
      <c r="O896">
        <v>4</v>
      </c>
      <c r="P896" s="4">
        <v>87.1</v>
      </c>
      <c r="Q896" t="s">
        <v>30</v>
      </c>
      <c r="R896">
        <v>1</v>
      </c>
      <c r="S896" t="s">
        <v>44</v>
      </c>
      <c r="T896">
        <v>0</v>
      </c>
      <c r="U896">
        <v>0</v>
      </c>
      <c r="V896" t="s">
        <v>32</v>
      </c>
      <c r="W896" t="s">
        <v>39</v>
      </c>
      <c r="X896" s="4">
        <v>9.3000000000000007</v>
      </c>
      <c r="Y896">
        <v>15</v>
      </c>
      <c r="Z896" s="5">
        <v>323.25</v>
      </c>
    </row>
    <row r="897" spans="1:26">
      <c r="A897">
        <v>896</v>
      </c>
      <c r="B897">
        <v>286</v>
      </c>
      <c r="C897" s="2">
        <v>46114</v>
      </c>
      <c r="D897" t="s">
        <v>55</v>
      </c>
      <c r="E897">
        <v>4</v>
      </c>
      <c r="F897" s="3">
        <v>9.4</v>
      </c>
      <c r="G897" t="s">
        <v>27</v>
      </c>
      <c r="H897">
        <v>30</v>
      </c>
      <c r="I897" t="s">
        <v>34</v>
      </c>
      <c r="J897" s="4">
        <v>65.5</v>
      </c>
      <c r="K897" s="4">
        <v>194.2</v>
      </c>
      <c r="L897" s="4">
        <v>31.8</v>
      </c>
      <c r="M897">
        <v>16</v>
      </c>
      <c r="N897" t="s">
        <v>47</v>
      </c>
      <c r="O897">
        <v>4</v>
      </c>
      <c r="P897" s="4">
        <v>87.1</v>
      </c>
      <c r="Q897" t="s">
        <v>30</v>
      </c>
      <c r="R897">
        <v>1</v>
      </c>
      <c r="S897" t="s">
        <v>44</v>
      </c>
      <c r="T897">
        <v>0</v>
      </c>
      <c r="U897">
        <v>0</v>
      </c>
      <c r="V897" t="s">
        <v>32</v>
      </c>
      <c r="W897" t="s">
        <v>39</v>
      </c>
      <c r="X897" s="4">
        <v>8.6999999999999993</v>
      </c>
      <c r="Y897">
        <v>8</v>
      </c>
      <c r="Z897" s="5">
        <v>341.82</v>
      </c>
    </row>
    <row r="898" spans="1:26">
      <c r="A898">
        <v>897</v>
      </c>
      <c r="B898">
        <v>286</v>
      </c>
      <c r="C898" s="2">
        <v>46114</v>
      </c>
      <c r="D898" t="s">
        <v>55</v>
      </c>
      <c r="E898">
        <v>4</v>
      </c>
      <c r="F898" s="3">
        <v>9.32</v>
      </c>
      <c r="G898" t="s">
        <v>27</v>
      </c>
      <c r="H898">
        <v>51</v>
      </c>
      <c r="I898" t="s">
        <v>34</v>
      </c>
      <c r="J898" s="4">
        <v>65.599999999999994</v>
      </c>
      <c r="K898" s="4">
        <v>187.7</v>
      </c>
      <c r="L898" s="4">
        <v>30.5</v>
      </c>
      <c r="M898">
        <v>15</v>
      </c>
      <c r="N898" t="s">
        <v>47</v>
      </c>
      <c r="O898">
        <v>4</v>
      </c>
      <c r="P898" s="4">
        <v>87.1</v>
      </c>
      <c r="Q898" t="s">
        <v>30</v>
      </c>
      <c r="R898">
        <v>1</v>
      </c>
      <c r="S898" t="s">
        <v>44</v>
      </c>
      <c r="T898">
        <v>0</v>
      </c>
      <c r="U898">
        <v>0</v>
      </c>
      <c r="V898" t="s">
        <v>32</v>
      </c>
      <c r="W898" t="s">
        <v>39</v>
      </c>
      <c r="X898" s="4">
        <v>6.6</v>
      </c>
      <c r="Y898">
        <v>9</v>
      </c>
      <c r="Z898" s="5">
        <v>165.75</v>
      </c>
    </row>
    <row r="899" spans="1:26">
      <c r="A899">
        <v>898</v>
      </c>
      <c r="B899">
        <v>287</v>
      </c>
      <c r="C899" s="2">
        <v>46310</v>
      </c>
      <c r="D899" t="s">
        <v>55</v>
      </c>
      <c r="E899">
        <v>10</v>
      </c>
      <c r="F899" s="3">
        <v>7.73</v>
      </c>
      <c r="G899" t="s">
        <v>27</v>
      </c>
      <c r="H899">
        <v>34</v>
      </c>
      <c r="I899" t="s">
        <v>34</v>
      </c>
      <c r="J899" s="4">
        <v>65.8</v>
      </c>
      <c r="K899" s="4">
        <v>197.5</v>
      </c>
      <c r="L899" s="4">
        <v>32</v>
      </c>
      <c r="M899">
        <v>17</v>
      </c>
      <c r="N899" t="s">
        <v>56</v>
      </c>
      <c r="O899">
        <v>3</v>
      </c>
      <c r="P899" s="4">
        <v>279.3</v>
      </c>
      <c r="Q899" t="s">
        <v>42</v>
      </c>
      <c r="R899">
        <v>0</v>
      </c>
      <c r="S899" t="s">
        <v>31</v>
      </c>
      <c r="T899">
        <v>0</v>
      </c>
      <c r="U899">
        <v>0</v>
      </c>
      <c r="V899" t="s">
        <v>32</v>
      </c>
      <c r="W899" t="s">
        <v>43</v>
      </c>
      <c r="X899" s="4">
        <v>8.1999999999999993</v>
      </c>
      <c r="Y899">
        <v>10</v>
      </c>
      <c r="Z899" s="5">
        <v>232.65</v>
      </c>
    </row>
    <row r="900" spans="1:26">
      <c r="A900">
        <v>899</v>
      </c>
      <c r="B900">
        <v>287</v>
      </c>
      <c r="C900" s="2">
        <v>46310</v>
      </c>
      <c r="D900" t="s">
        <v>55</v>
      </c>
      <c r="E900">
        <v>10</v>
      </c>
      <c r="F900" s="3">
        <v>7.46</v>
      </c>
      <c r="G900" t="s">
        <v>27</v>
      </c>
      <c r="H900">
        <v>50</v>
      </c>
      <c r="I900" t="s">
        <v>28</v>
      </c>
      <c r="J900" s="4">
        <v>73</v>
      </c>
      <c r="K900" s="4">
        <v>180.5</v>
      </c>
      <c r="L900" s="4">
        <v>23.6</v>
      </c>
      <c r="M900">
        <v>19</v>
      </c>
      <c r="N900" t="s">
        <v>56</v>
      </c>
      <c r="O900">
        <v>3</v>
      </c>
      <c r="P900" s="4">
        <v>279.3</v>
      </c>
      <c r="Q900" t="s">
        <v>42</v>
      </c>
      <c r="R900">
        <v>0</v>
      </c>
      <c r="S900" t="s">
        <v>31</v>
      </c>
      <c r="T900">
        <v>0</v>
      </c>
      <c r="U900">
        <v>0</v>
      </c>
      <c r="V900" t="s">
        <v>32</v>
      </c>
      <c r="W900" t="s">
        <v>43</v>
      </c>
      <c r="X900" s="4">
        <v>9.6</v>
      </c>
      <c r="Y900">
        <v>7</v>
      </c>
      <c r="Z900" s="5">
        <v>184.53</v>
      </c>
    </row>
    <row r="901" spans="1:26">
      <c r="A901">
        <v>900</v>
      </c>
      <c r="B901">
        <v>287</v>
      </c>
      <c r="C901" s="2">
        <v>46310</v>
      </c>
      <c r="D901" t="s">
        <v>55</v>
      </c>
      <c r="E901">
        <v>10</v>
      </c>
      <c r="F901" s="3">
        <v>7.46</v>
      </c>
      <c r="G901" t="s">
        <v>27</v>
      </c>
      <c r="H901">
        <v>51</v>
      </c>
      <c r="I901" t="s">
        <v>28</v>
      </c>
      <c r="J901" s="4">
        <v>65.900000000000006</v>
      </c>
      <c r="K901" s="4">
        <v>188.4</v>
      </c>
      <c r="L901" s="4">
        <v>30.4</v>
      </c>
      <c r="M901">
        <v>15</v>
      </c>
      <c r="N901" t="s">
        <v>56</v>
      </c>
      <c r="O901">
        <v>3</v>
      </c>
      <c r="P901" s="4">
        <v>279.3</v>
      </c>
      <c r="Q901" t="s">
        <v>42</v>
      </c>
      <c r="R901">
        <v>0</v>
      </c>
      <c r="S901" t="s">
        <v>31</v>
      </c>
      <c r="T901">
        <v>0</v>
      </c>
      <c r="U901">
        <v>0</v>
      </c>
      <c r="V901" t="s">
        <v>32</v>
      </c>
      <c r="W901" t="s">
        <v>43</v>
      </c>
      <c r="X901" s="4">
        <v>10.4</v>
      </c>
      <c r="Y901">
        <v>8</v>
      </c>
      <c r="Z901" s="5">
        <v>231.2</v>
      </c>
    </row>
    <row r="902" spans="1:26">
      <c r="A902">
        <v>901</v>
      </c>
      <c r="B902">
        <v>288</v>
      </c>
      <c r="C902" s="2">
        <v>46069</v>
      </c>
      <c r="D902" t="s">
        <v>46</v>
      </c>
      <c r="E902">
        <v>2</v>
      </c>
      <c r="F902" s="3">
        <v>8.85</v>
      </c>
      <c r="G902" t="s">
        <v>27</v>
      </c>
      <c r="H902">
        <v>7</v>
      </c>
      <c r="I902" t="s">
        <v>34</v>
      </c>
      <c r="J902" s="4">
        <v>58.4</v>
      </c>
      <c r="K902" s="4">
        <v>94.5</v>
      </c>
      <c r="L902" s="4">
        <v>19.5</v>
      </c>
      <c r="M902">
        <v>15</v>
      </c>
      <c r="N902" t="s">
        <v>60</v>
      </c>
      <c r="O902">
        <v>2</v>
      </c>
      <c r="P902" s="4">
        <v>2490.5</v>
      </c>
      <c r="Q902" t="s">
        <v>42</v>
      </c>
      <c r="R902">
        <v>1</v>
      </c>
      <c r="S902" t="s">
        <v>44</v>
      </c>
      <c r="T902">
        <v>1</v>
      </c>
      <c r="U902">
        <v>0</v>
      </c>
      <c r="V902" t="s">
        <v>32</v>
      </c>
      <c r="W902" t="s">
        <v>49</v>
      </c>
      <c r="X902" s="4">
        <v>9.1999999999999993</v>
      </c>
      <c r="Y902">
        <v>2</v>
      </c>
      <c r="Z902" s="5">
        <v>222.32</v>
      </c>
    </row>
    <row r="903" spans="1:26">
      <c r="A903">
        <v>902</v>
      </c>
      <c r="B903">
        <v>288</v>
      </c>
      <c r="C903" s="2">
        <v>46069</v>
      </c>
      <c r="D903" t="s">
        <v>46</v>
      </c>
      <c r="E903">
        <v>2</v>
      </c>
      <c r="F903" s="3">
        <v>8.75</v>
      </c>
      <c r="G903" t="s">
        <v>27</v>
      </c>
      <c r="H903">
        <v>5</v>
      </c>
      <c r="I903" t="s">
        <v>28</v>
      </c>
      <c r="J903" s="4">
        <v>58.2</v>
      </c>
      <c r="K903" s="4">
        <v>121.9</v>
      </c>
      <c r="L903" s="4">
        <v>25.4</v>
      </c>
      <c r="M903">
        <v>14</v>
      </c>
      <c r="N903" t="s">
        <v>60</v>
      </c>
      <c r="O903">
        <v>2</v>
      </c>
      <c r="P903" s="4">
        <v>2490.5</v>
      </c>
      <c r="Q903" t="s">
        <v>42</v>
      </c>
      <c r="R903">
        <v>1</v>
      </c>
      <c r="S903" t="s">
        <v>44</v>
      </c>
      <c r="T903">
        <v>1</v>
      </c>
      <c r="U903">
        <v>0</v>
      </c>
      <c r="V903" t="s">
        <v>32</v>
      </c>
      <c r="W903" t="s">
        <v>49</v>
      </c>
      <c r="X903" s="4">
        <v>10.6</v>
      </c>
      <c r="Y903">
        <v>13</v>
      </c>
      <c r="Z903" s="5">
        <v>174.35</v>
      </c>
    </row>
    <row r="904" spans="1:26">
      <c r="A904">
        <v>903</v>
      </c>
      <c r="B904">
        <v>289</v>
      </c>
      <c r="C904" s="2">
        <v>46329</v>
      </c>
      <c r="D904" t="s">
        <v>35</v>
      </c>
      <c r="E904">
        <v>11</v>
      </c>
      <c r="F904" s="3">
        <v>12.07</v>
      </c>
      <c r="G904" t="s">
        <v>36</v>
      </c>
      <c r="H904">
        <v>24</v>
      </c>
      <c r="I904" t="s">
        <v>34</v>
      </c>
      <c r="J904" s="4">
        <v>64.7</v>
      </c>
      <c r="K904" s="4">
        <v>123</v>
      </c>
      <c r="L904" s="4">
        <v>20.2</v>
      </c>
      <c r="M904">
        <v>16</v>
      </c>
      <c r="N904" t="s">
        <v>56</v>
      </c>
      <c r="O904">
        <v>3</v>
      </c>
      <c r="P904" s="4">
        <v>264.7</v>
      </c>
      <c r="Q904" t="s">
        <v>42</v>
      </c>
      <c r="R904">
        <v>1</v>
      </c>
      <c r="S904" t="s">
        <v>44</v>
      </c>
      <c r="T904">
        <v>1</v>
      </c>
      <c r="U904">
        <v>0</v>
      </c>
      <c r="V904" t="s">
        <v>32</v>
      </c>
      <c r="W904" t="s">
        <v>43</v>
      </c>
      <c r="X904" s="4">
        <v>9.5</v>
      </c>
      <c r="Y904">
        <v>7</v>
      </c>
      <c r="Z904" s="5">
        <v>142.55000000000001</v>
      </c>
    </row>
    <row r="905" spans="1:26">
      <c r="A905">
        <v>904</v>
      </c>
      <c r="B905">
        <v>289</v>
      </c>
      <c r="C905" s="2">
        <v>46329</v>
      </c>
      <c r="D905" t="s">
        <v>35</v>
      </c>
      <c r="E905">
        <v>11</v>
      </c>
      <c r="F905" s="3">
        <v>12.2</v>
      </c>
      <c r="G905" t="s">
        <v>36</v>
      </c>
      <c r="H905">
        <v>63</v>
      </c>
      <c r="I905" t="s">
        <v>28</v>
      </c>
      <c r="J905" s="4">
        <v>67.5</v>
      </c>
      <c r="K905" s="4">
        <v>175.3</v>
      </c>
      <c r="L905" s="4">
        <v>26.9</v>
      </c>
      <c r="M905">
        <v>16</v>
      </c>
      <c r="N905" t="s">
        <v>56</v>
      </c>
      <c r="O905">
        <v>3</v>
      </c>
      <c r="P905" s="4">
        <v>264.7</v>
      </c>
      <c r="Q905" t="s">
        <v>42</v>
      </c>
      <c r="R905">
        <v>1</v>
      </c>
      <c r="S905" t="s">
        <v>44</v>
      </c>
      <c r="T905">
        <v>1</v>
      </c>
      <c r="U905">
        <v>0</v>
      </c>
      <c r="V905" t="s">
        <v>32</v>
      </c>
      <c r="W905" t="s">
        <v>43</v>
      </c>
      <c r="X905" s="4">
        <v>4.0999999999999996</v>
      </c>
      <c r="Y905">
        <v>4</v>
      </c>
      <c r="Z905" s="5">
        <v>77.42</v>
      </c>
    </row>
    <row r="906" spans="1:26">
      <c r="A906">
        <v>905</v>
      </c>
      <c r="B906">
        <v>289</v>
      </c>
      <c r="C906" s="2">
        <v>46329</v>
      </c>
      <c r="D906" t="s">
        <v>35</v>
      </c>
      <c r="E906">
        <v>11</v>
      </c>
      <c r="F906" s="3">
        <v>12.03</v>
      </c>
      <c r="G906" t="s">
        <v>36</v>
      </c>
      <c r="H906">
        <v>44</v>
      </c>
      <c r="I906" t="s">
        <v>34</v>
      </c>
      <c r="J906" s="4">
        <v>66.8</v>
      </c>
      <c r="K906" s="4">
        <v>138.5</v>
      </c>
      <c r="L906" s="4">
        <v>21.8</v>
      </c>
      <c r="M906">
        <v>16</v>
      </c>
      <c r="N906" t="s">
        <v>56</v>
      </c>
      <c r="O906">
        <v>3</v>
      </c>
      <c r="P906" s="4">
        <v>264.7</v>
      </c>
      <c r="Q906" t="s">
        <v>42</v>
      </c>
      <c r="R906">
        <v>1</v>
      </c>
      <c r="S906" t="s">
        <v>44</v>
      </c>
      <c r="T906">
        <v>1</v>
      </c>
      <c r="U906">
        <v>0</v>
      </c>
      <c r="V906" t="s">
        <v>32</v>
      </c>
      <c r="W906" t="s">
        <v>43</v>
      </c>
      <c r="X906" s="4">
        <v>6.1</v>
      </c>
      <c r="Y906">
        <v>6</v>
      </c>
      <c r="Z906" s="5">
        <v>152.13999999999999</v>
      </c>
    </row>
    <row r="907" spans="1:26">
      <c r="A907">
        <v>906</v>
      </c>
      <c r="B907">
        <v>290</v>
      </c>
      <c r="C907" s="2">
        <v>46248</v>
      </c>
      <c r="D907" t="s">
        <v>26</v>
      </c>
      <c r="E907">
        <v>8</v>
      </c>
      <c r="F907" s="3">
        <v>11.39</v>
      </c>
      <c r="G907" t="s">
        <v>36</v>
      </c>
      <c r="H907">
        <v>63</v>
      </c>
      <c r="I907" t="s">
        <v>34</v>
      </c>
      <c r="J907" s="4">
        <v>64.599999999999994</v>
      </c>
      <c r="K907" s="4">
        <v>167</v>
      </c>
      <c r="L907" s="4">
        <v>28.3</v>
      </c>
      <c r="M907">
        <v>16</v>
      </c>
      <c r="N907" t="s">
        <v>61</v>
      </c>
      <c r="O907">
        <v>5</v>
      </c>
      <c r="P907" s="4">
        <v>1474.4</v>
      </c>
      <c r="Q907" t="s">
        <v>42</v>
      </c>
      <c r="R907">
        <v>1</v>
      </c>
      <c r="S907" t="s">
        <v>38</v>
      </c>
      <c r="T907">
        <v>1</v>
      </c>
      <c r="U907">
        <v>0</v>
      </c>
      <c r="V907" t="s">
        <v>45</v>
      </c>
      <c r="W907" t="s">
        <v>49</v>
      </c>
      <c r="X907" s="4">
        <v>7.1</v>
      </c>
      <c r="Y907">
        <v>9</v>
      </c>
      <c r="Z907" s="5">
        <v>149.44999999999999</v>
      </c>
    </row>
    <row r="908" spans="1:26">
      <c r="A908">
        <v>907</v>
      </c>
      <c r="B908">
        <v>290</v>
      </c>
      <c r="C908" s="2">
        <v>46248</v>
      </c>
      <c r="D908" t="s">
        <v>26</v>
      </c>
      <c r="E908">
        <v>8</v>
      </c>
      <c r="F908" s="3">
        <v>11.36</v>
      </c>
      <c r="G908" t="s">
        <v>36</v>
      </c>
      <c r="H908">
        <v>3</v>
      </c>
      <c r="I908" t="s">
        <v>28</v>
      </c>
      <c r="J908" s="4">
        <v>53.6</v>
      </c>
      <c r="K908" s="4">
        <v>113.7</v>
      </c>
      <c r="L908" s="4">
        <v>27.9</v>
      </c>
      <c r="M908">
        <v>10</v>
      </c>
      <c r="N908" t="s">
        <v>61</v>
      </c>
      <c r="O908">
        <v>5</v>
      </c>
      <c r="P908" s="4">
        <v>1474.4</v>
      </c>
      <c r="Q908" t="s">
        <v>42</v>
      </c>
      <c r="R908">
        <v>1</v>
      </c>
      <c r="S908" t="s">
        <v>38</v>
      </c>
      <c r="T908">
        <v>1</v>
      </c>
      <c r="U908">
        <v>0</v>
      </c>
      <c r="V908" t="s">
        <v>45</v>
      </c>
      <c r="W908" t="s">
        <v>49</v>
      </c>
      <c r="X908" s="4">
        <v>7.1</v>
      </c>
      <c r="Y908">
        <v>11</v>
      </c>
      <c r="Z908" s="5">
        <v>289.39</v>
      </c>
    </row>
    <row r="909" spans="1:26">
      <c r="A909">
        <v>908</v>
      </c>
      <c r="B909">
        <v>290</v>
      </c>
      <c r="C909" s="2">
        <v>46248</v>
      </c>
      <c r="D909" t="s">
        <v>26</v>
      </c>
      <c r="E909">
        <v>8</v>
      </c>
      <c r="F909" s="3">
        <v>11.4</v>
      </c>
      <c r="G909" t="s">
        <v>36</v>
      </c>
      <c r="H909">
        <v>51</v>
      </c>
      <c r="I909" t="s">
        <v>28</v>
      </c>
      <c r="J909" s="4">
        <v>68</v>
      </c>
      <c r="K909" s="4">
        <v>200.9</v>
      </c>
      <c r="L909" s="4">
        <v>30</v>
      </c>
      <c r="M909">
        <v>13</v>
      </c>
      <c r="N909" t="s">
        <v>61</v>
      </c>
      <c r="O909">
        <v>5</v>
      </c>
      <c r="P909" s="4">
        <v>1474.4</v>
      </c>
      <c r="Q909" t="s">
        <v>42</v>
      </c>
      <c r="R909">
        <v>1</v>
      </c>
      <c r="S909" t="s">
        <v>38</v>
      </c>
      <c r="T909">
        <v>1</v>
      </c>
      <c r="U909">
        <v>0</v>
      </c>
      <c r="V909" t="s">
        <v>45</v>
      </c>
      <c r="W909" t="s">
        <v>49</v>
      </c>
      <c r="X909" s="4">
        <v>7.7</v>
      </c>
      <c r="Y909">
        <v>5</v>
      </c>
      <c r="Z909" s="5">
        <v>131.83000000000001</v>
      </c>
    </row>
    <row r="910" spans="1:26">
      <c r="A910">
        <v>909</v>
      </c>
      <c r="B910">
        <v>290</v>
      </c>
      <c r="C910" s="2">
        <v>46248</v>
      </c>
      <c r="D910" t="s">
        <v>26</v>
      </c>
      <c r="E910">
        <v>8</v>
      </c>
      <c r="F910" s="3">
        <v>11.32</v>
      </c>
      <c r="G910" t="s">
        <v>36</v>
      </c>
      <c r="H910">
        <v>58</v>
      </c>
      <c r="I910" t="s">
        <v>28</v>
      </c>
      <c r="J910" s="4">
        <v>69.900000000000006</v>
      </c>
      <c r="K910" s="4">
        <v>145</v>
      </c>
      <c r="L910" s="4">
        <v>20.9</v>
      </c>
      <c r="M910">
        <v>13</v>
      </c>
      <c r="N910" t="s">
        <v>61</v>
      </c>
      <c r="O910">
        <v>5</v>
      </c>
      <c r="P910" s="4">
        <v>1474.4</v>
      </c>
      <c r="Q910" t="s">
        <v>42</v>
      </c>
      <c r="R910">
        <v>1</v>
      </c>
      <c r="S910" t="s">
        <v>38</v>
      </c>
      <c r="T910">
        <v>1</v>
      </c>
      <c r="U910">
        <v>0</v>
      </c>
      <c r="V910" t="s">
        <v>45</v>
      </c>
      <c r="W910" t="s">
        <v>49</v>
      </c>
      <c r="X910" s="4">
        <v>7.6</v>
      </c>
      <c r="Y910">
        <v>8</v>
      </c>
      <c r="Z910" s="5">
        <v>191.46</v>
      </c>
    </row>
    <row r="911" spans="1:26">
      <c r="A911">
        <v>910</v>
      </c>
      <c r="B911">
        <v>290</v>
      </c>
      <c r="C911" s="2">
        <v>46248</v>
      </c>
      <c r="D911" t="s">
        <v>26</v>
      </c>
      <c r="E911">
        <v>8</v>
      </c>
      <c r="F911" s="3">
        <v>11.47</v>
      </c>
      <c r="G911" t="s">
        <v>36</v>
      </c>
      <c r="H911">
        <v>34</v>
      </c>
      <c r="I911" t="s">
        <v>28</v>
      </c>
      <c r="J911" s="4">
        <v>69.3</v>
      </c>
      <c r="K911" s="4">
        <v>139.6</v>
      </c>
      <c r="L911" s="4">
        <v>20.7</v>
      </c>
      <c r="M911">
        <v>13</v>
      </c>
      <c r="N911" t="s">
        <v>61</v>
      </c>
      <c r="O911">
        <v>5</v>
      </c>
      <c r="P911" s="4">
        <v>1474.4</v>
      </c>
      <c r="Q911" t="s">
        <v>42</v>
      </c>
      <c r="R911">
        <v>1</v>
      </c>
      <c r="S911" t="s">
        <v>38</v>
      </c>
      <c r="T911">
        <v>1</v>
      </c>
      <c r="U911">
        <v>0</v>
      </c>
      <c r="V911" t="s">
        <v>45</v>
      </c>
      <c r="W911" t="s">
        <v>49</v>
      </c>
      <c r="X911" s="4">
        <v>11.2</v>
      </c>
      <c r="Y911">
        <v>18</v>
      </c>
      <c r="Z911" s="5">
        <v>390.92</v>
      </c>
    </row>
    <row r="912" spans="1:26">
      <c r="A912">
        <v>911</v>
      </c>
      <c r="B912">
        <v>291</v>
      </c>
      <c r="C912" s="2">
        <v>46358</v>
      </c>
      <c r="D912" t="s">
        <v>52</v>
      </c>
      <c r="E912">
        <v>12</v>
      </c>
      <c r="F912" s="3">
        <v>11.14</v>
      </c>
      <c r="G912" t="s">
        <v>36</v>
      </c>
      <c r="H912">
        <v>32</v>
      </c>
      <c r="I912" t="s">
        <v>28</v>
      </c>
      <c r="J912" s="4">
        <v>65.7</v>
      </c>
      <c r="K912" s="4">
        <v>90.4</v>
      </c>
      <c r="L912" s="4">
        <v>14.8</v>
      </c>
      <c r="M912">
        <v>15</v>
      </c>
      <c r="N912" t="s">
        <v>53</v>
      </c>
      <c r="O912">
        <v>1</v>
      </c>
      <c r="P912" s="4">
        <v>889.4</v>
      </c>
      <c r="Q912" t="s">
        <v>42</v>
      </c>
      <c r="R912">
        <v>0</v>
      </c>
      <c r="S912" t="s">
        <v>44</v>
      </c>
      <c r="T912">
        <v>1</v>
      </c>
      <c r="U912">
        <v>0</v>
      </c>
      <c r="V912" t="s">
        <v>32</v>
      </c>
      <c r="W912" t="s">
        <v>49</v>
      </c>
      <c r="X912" s="4">
        <v>8</v>
      </c>
      <c r="Y912">
        <v>12</v>
      </c>
      <c r="Z912" s="5">
        <v>143.6</v>
      </c>
    </row>
    <row r="913" spans="1:26">
      <c r="A913">
        <v>912</v>
      </c>
      <c r="B913">
        <v>292</v>
      </c>
      <c r="C913" s="2">
        <v>46035</v>
      </c>
      <c r="D913" t="s">
        <v>35</v>
      </c>
      <c r="E913">
        <v>1</v>
      </c>
      <c r="F913" s="3">
        <v>11.7</v>
      </c>
      <c r="G913" t="s">
        <v>36</v>
      </c>
      <c r="H913">
        <v>51</v>
      </c>
      <c r="I913" t="s">
        <v>28</v>
      </c>
      <c r="J913" s="4">
        <v>66.599999999999994</v>
      </c>
      <c r="K913" s="4">
        <v>133.9</v>
      </c>
      <c r="L913" s="4">
        <v>21.3</v>
      </c>
      <c r="M913">
        <v>15</v>
      </c>
      <c r="N913" t="s">
        <v>47</v>
      </c>
      <c r="O913">
        <v>1</v>
      </c>
      <c r="P913" s="4">
        <v>78.5</v>
      </c>
      <c r="Q913" t="s">
        <v>42</v>
      </c>
      <c r="R913">
        <v>0</v>
      </c>
      <c r="S913" t="s">
        <v>44</v>
      </c>
      <c r="T913">
        <v>1</v>
      </c>
      <c r="U913">
        <v>0</v>
      </c>
      <c r="V913" t="s">
        <v>32</v>
      </c>
      <c r="W913" t="s">
        <v>49</v>
      </c>
      <c r="X913" s="4">
        <v>5.3</v>
      </c>
      <c r="Y913">
        <v>4</v>
      </c>
      <c r="Z913" s="5">
        <v>120.49</v>
      </c>
    </row>
    <row r="914" spans="1:26">
      <c r="A914">
        <v>913</v>
      </c>
      <c r="B914">
        <v>293</v>
      </c>
      <c r="C914" s="2">
        <v>46359</v>
      </c>
      <c r="D914" t="s">
        <v>55</v>
      </c>
      <c r="E914">
        <v>12</v>
      </c>
      <c r="F914" s="3">
        <v>11.14</v>
      </c>
      <c r="G914" t="s">
        <v>36</v>
      </c>
      <c r="H914">
        <v>44</v>
      </c>
      <c r="I914" t="s">
        <v>28</v>
      </c>
      <c r="J914" s="4">
        <v>70.900000000000006</v>
      </c>
      <c r="K914" s="4">
        <v>194</v>
      </c>
      <c r="L914" s="4">
        <v>27.1</v>
      </c>
      <c r="M914">
        <v>12</v>
      </c>
      <c r="N914" t="s">
        <v>37</v>
      </c>
      <c r="O914">
        <v>2</v>
      </c>
      <c r="P914" s="4">
        <v>953.6</v>
      </c>
      <c r="Q914" t="s">
        <v>30</v>
      </c>
      <c r="R914">
        <v>0</v>
      </c>
      <c r="S914" t="s">
        <v>44</v>
      </c>
      <c r="T914">
        <v>0</v>
      </c>
      <c r="U914">
        <v>0</v>
      </c>
      <c r="V914" t="s">
        <v>32</v>
      </c>
      <c r="W914" t="s">
        <v>43</v>
      </c>
      <c r="X914" s="4">
        <v>9.6999999999999993</v>
      </c>
      <c r="Y914">
        <v>16</v>
      </c>
      <c r="Z914" s="5">
        <v>266.2</v>
      </c>
    </row>
    <row r="915" spans="1:26">
      <c r="A915">
        <v>914</v>
      </c>
      <c r="B915">
        <v>293</v>
      </c>
      <c r="C915" s="2">
        <v>46359</v>
      </c>
      <c r="D915" t="s">
        <v>55</v>
      </c>
      <c r="E915">
        <v>12</v>
      </c>
      <c r="F915" s="3">
        <v>11.3</v>
      </c>
      <c r="G915" t="s">
        <v>36</v>
      </c>
      <c r="H915">
        <v>18</v>
      </c>
      <c r="I915" t="s">
        <v>28</v>
      </c>
      <c r="J915" s="4">
        <v>73.900000000000006</v>
      </c>
      <c r="K915" s="4">
        <v>263.10000000000002</v>
      </c>
      <c r="L915" s="4">
        <v>33.799999999999997</v>
      </c>
      <c r="M915">
        <v>12</v>
      </c>
      <c r="N915" t="s">
        <v>37</v>
      </c>
      <c r="O915">
        <v>2</v>
      </c>
      <c r="P915" s="4">
        <v>953.6</v>
      </c>
      <c r="Q915" t="s">
        <v>30</v>
      </c>
      <c r="R915">
        <v>0</v>
      </c>
      <c r="S915" t="s">
        <v>44</v>
      </c>
      <c r="T915">
        <v>0</v>
      </c>
      <c r="U915">
        <v>0</v>
      </c>
      <c r="V915" t="s">
        <v>32</v>
      </c>
      <c r="W915" t="s">
        <v>43</v>
      </c>
      <c r="X915" s="4">
        <v>9.1</v>
      </c>
      <c r="Y915">
        <v>11</v>
      </c>
      <c r="Z915" s="5">
        <v>213.99</v>
      </c>
    </row>
    <row r="916" spans="1:26">
      <c r="A916">
        <v>915</v>
      </c>
      <c r="B916">
        <v>294</v>
      </c>
      <c r="C916" s="2">
        <v>46157</v>
      </c>
      <c r="D916" t="s">
        <v>26</v>
      </c>
      <c r="E916">
        <v>5</v>
      </c>
      <c r="F916" s="3">
        <v>12.18</v>
      </c>
      <c r="G916" t="s">
        <v>36</v>
      </c>
      <c r="H916">
        <v>9</v>
      </c>
      <c r="I916" t="s">
        <v>28</v>
      </c>
      <c r="J916" s="4">
        <v>58.5</v>
      </c>
      <c r="K916" s="4">
        <v>117.7</v>
      </c>
      <c r="L916" s="4">
        <v>24.1</v>
      </c>
      <c r="M916">
        <v>14</v>
      </c>
      <c r="N916" t="s">
        <v>47</v>
      </c>
      <c r="O916">
        <v>4</v>
      </c>
      <c r="P916" s="4">
        <v>53.1</v>
      </c>
      <c r="Q916" t="s">
        <v>48</v>
      </c>
      <c r="R916">
        <v>0</v>
      </c>
      <c r="S916" t="s">
        <v>44</v>
      </c>
      <c r="T916">
        <v>0</v>
      </c>
      <c r="U916">
        <v>1</v>
      </c>
      <c r="V916" t="s">
        <v>32</v>
      </c>
      <c r="W916" t="s">
        <v>39</v>
      </c>
      <c r="X916" s="4">
        <v>9.1999999999999993</v>
      </c>
      <c r="Y916">
        <v>6</v>
      </c>
      <c r="Z916" s="5">
        <v>330.55</v>
      </c>
    </row>
    <row r="917" spans="1:26">
      <c r="A917">
        <v>916</v>
      </c>
      <c r="B917">
        <v>294</v>
      </c>
      <c r="C917" s="2">
        <v>46157</v>
      </c>
      <c r="D917" t="s">
        <v>26</v>
      </c>
      <c r="E917">
        <v>5</v>
      </c>
      <c r="F917" s="3">
        <v>12.21</v>
      </c>
      <c r="G917" t="s">
        <v>36</v>
      </c>
      <c r="H917">
        <v>9</v>
      </c>
      <c r="I917" t="s">
        <v>28</v>
      </c>
      <c r="J917" s="4">
        <v>69.900000000000006</v>
      </c>
      <c r="K917" s="4">
        <v>160.5</v>
      </c>
      <c r="L917" s="4">
        <v>23.2</v>
      </c>
      <c r="M917">
        <v>15</v>
      </c>
      <c r="N917" t="s">
        <v>47</v>
      </c>
      <c r="O917">
        <v>4</v>
      </c>
      <c r="P917" s="4">
        <v>53.1</v>
      </c>
      <c r="Q917" t="s">
        <v>48</v>
      </c>
      <c r="R917">
        <v>0</v>
      </c>
      <c r="S917" t="s">
        <v>44</v>
      </c>
      <c r="T917">
        <v>0</v>
      </c>
      <c r="U917">
        <v>1</v>
      </c>
      <c r="V917" t="s">
        <v>32</v>
      </c>
      <c r="W917" t="s">
        <v>39</v>
      </c>
      <c r="X917" s="4">
        <v>6.9</v>
      </c>
      <c r="Y917">
        <v>8</v>
      </c>
      <c r="Z917" s="5">
        <v>355.48</v>
      </c>
    </row>
    <row r="918" spans="1:26">
      <c r="A918">
        <v>917</v>
      </c>
      <c r="B918">
        <v>294</v>
      </c>
      <c r="C918" s="2">
        <v>46157</v>
      </c>
      <c r="D918" t="s">
        <v>26</v>
      </c>
      <c r="E918">
        <v>5</v>
      </c>
      <c r="F918" s="3">
        <v>12.07</v>
      </c>
      <c r="G918" t="s">
        <v>36</v>
      </c>
      <c r="H918">
        <v>7</v>
      </c>
      <c r="I918" t="s">
        <v>34</v>
      </c>
      <c r="J918" s="4">
        <v>58.5</v>
      </c>
      <c r="K918" s="4">
        <v>121.7</v>
      </c>
      <c r="L918" s="4">
        <v>24.8</v>
      </c>
      <c r="M918">
        <v>15</v>
      </c>
      <c r="N918" t="s">
        <v>47</v>
      </c>
      <c r="O918">
        <v>4</v>
      </c>
      <c r="P918" s="4">
        <v>53.1</v>
      </c>
      <c r="Q918" t="s">
        <v>48</v>
      </c>
      <c r="R918">
        <v>0</v>
      </c>
      <c r="S918" t="s">
        <v>44</v>
      </c>
      <c r="T918">
        <v>0</v>
      </c>
      <c r="U918">
        <v>1</v>
      </c>
      <c r="V918" t="s">
        <v>32</v>
      </c>
      <c r="W918" t="s">
        <v>39</v>
      </c>
      <c r="X918" s="4">
        <v>6.1</v>
      </c>
      <c r="Y918">
        <v>9</v>
      </c>
      <c r="Z918" s="5">
        <v>218.6</v>
      </c>
    </row>
    <row r="919" spans="1:26">
      <c r="A919">
        <v>918</v>
      </c>
      <c r="B919">
        <v>294</v>
      </c>
      <c r="C919" s="2">
        <v>46157</v>
      </c>
      <c r="D919" t="s">
        <v>26</v>
      </c>
      <c r="E919">
        <v>5</v>
      </c>
      <c r="F919" s="3">
        <v>12.02</v>
      </c>
      <c r="G919" t="s">
        <v>36</v>
      </c>
      <c r="H919">
        <v>36</v>
      </c>
      <c r="I919" t="s">
        <v>34</v>
      </c>
      <c r="J919" s="4">
        <v>66.2</v>
      </c>
      <c r="K919" s="4">
        <v>132.19999999999999</v>
      </c>
      <c r="L919" s="4">
        <v>20.9</v>
      </c>
      <c r="M919">
        <v>18</v>
      </c>
      <c r="N919" t="s">
        <v>47</v>
      </c>
      <c r="O919">
        <v>4</v>
      </c>
      <c r="P919" s="4">
        <v>53.1</v>
      </c>
      <c r="Q919" t="s">
        <v>48</v>
      </c>
      <c r="R919">
        <v>0</v>
      </c>
      <c r="S919" t="s">
        <v>44</v>
      </c>
      <c r="T919">
        <v>0</v>
      </c>
      <c r="U919">
        <v>1</v>
      </c>
      <c r="V919" t="s">
        <v>32</v>
      </c>
      <c r="W919" t="s">
        <v>39</v>
      </c>
      <c r="X919" s="4">
        <v>8.3000000000000007</v>
      </c>
      <c r="Y919">
        <v>11</v>
      </c>
      <c r="Z919" s="5">
        <v>271.48</v>
      </c>
    </row>
    <row r="920" spans="1:26">
      <c r="A920">
        <v>919</v>
      </c>
      <c r="B920">
        <v>295</v>
      </c>
      <c r="C920" s="2">
        <v>46197</v>
      </c>
      <c r="D920" t="s">
        <v>52</v>
      </c>
      <c r="E920">
        <v>6</v>
      </c>
      <c r="F920" s="3">
        <v>9.84</v>
      </c>
      <c r="G920" t="s">
        <v>27</v>
      </c>
      <c r="H920">
        <v>7</v>
      </c>
      <c r="I920" t="s">
        <v>28</v>
      </c>
      <c r="J920" s="4">
        <v>61.4</v>
      </c>
      <c r="K920" s="4">
        <v>103.3</v>
      </c>
      <c r="L920" s="4">
        <v>19.5</v>
      </c>
      <c r="M920">
        <v>14</v>
      </c>
      <c r="N920" t="s">
        <v>60</v>
      </c>
      <c r="O920">
        <v>3</v>
      </c>
      <c r="P920" s="4">
        <v>1767</v>
      </c>
      <c r="Q920" t="s">
        <v>30</v>
      </c>
      <c r="R920">
        <v>1</v>
      </c>
      <c r="S920" t="s">
        <v>44</v>
      </c>
      <c r="T920">
        <v>0</v>
      </c>
      <c r="U920">
        <v>0</v>
      </c>
      <c r="V920" t="s">
        <v>32</v>
      </c>
      <c r="W920" t="s">
        <v>49</v>
      </c>
      <c r="X920" s="4">
        <v>6.3</v>
      </c>
      <c r="Y920">
        <v>9</v>
      </c>
      <c r="Z920" s="5">
        <v>181.89</v>
      </c>
    </row>
    <row r="921" spans="1:26">
      <c r="A921">
        <v>920</v>
      </c>
      <c r="B921">
        <v>295</v>
      </c>
      <c r="C921" s="2">
        <v>46197</v>
      </c>
      <c r="D921" t="s">
        <v>52</v>
      </c>
      <c r="E921">
        <v>6</v>
      </c>
      <c r="F921" s="3">
        <v>10.029999999999999</v>
      </c>
      <c r="G921" t="s">
        <v>27</v>
      </c>
      <c r="H921">
        <v>65</v>
      </c>
      <c r="I921" t="s">
        <v>28</v>
      </c>
      <c r="J921" s="4">
        <v>69.7</v>
      </c>
      <c r="K921" s="4">
        <v>154.6</v>
      </c>
      <c r="L921" s="4">
        <v>22.1</v>
      </c>
      <c r="M921">
        <v>14</v>
      </c>
      <c r="N921" t="s">
        <v>60</v>
      </c>
      <c r="O921">
        <v>3</v>
      </c>
      <c r="P921" s="4">
        <v>1767</v>
      </c>
      <c r="Q921" t="s">
        <v>30</v>
      </c>
      <c r="R921">
        <v>1</v>
      </c>
      <c r="S921" t="s">
        <v>44</v>
      </c>
      <c r="T921">
        <v>0</v>
      </c>
      <c r="U921">
        <v>0</v>
      </c>
      <c r="V921" t="s">
        <v>32</v>
      </c>
      <c r="W921" t="s">
        <v>49</v>
      </c>
      <c r="X921" s="4">
        <v>9.1999999999999993</v>
      </c>
      <c r="Y921">
        <v>11</v>
      </c>
      <c r="Z921" s="5">
        <v>239.2</v>
      </c>
    </row>
    <row r="922" spans="1:26">
      <c r="A922">
        <v>921</v>
      </c>
      <c r="B922">
        <v>295</v>
      </c>
      <c r="C922" s="2">
        <v>46197</v>
      </c>
      <c r="D922" t="s">
        <v>52</v>
      </c>
      <c r="E922">
        <v>6</v>
      </c>
      <c r="F922" s="3">
        <v>9.77</v>
      </c>
      <c r="G922" t="s">
        <v>27</v>
      </c>
      <c r="H922">
        <v>37</v>
      </c>
      <c r="I922" t="s">
        <v>34</v>
      </c>
      <c r="J922" s="4">
        <v>58.9</v>
      </c>
      <c r="K922" s="4">
        <v>137.1</v>
      </c>
      <c r="L922" s="4">
        <v>27.8</v>
      </c>
      <c r="M922">
        <v>14</v>
      </c>
      <c r="N922" t="s">
        <v>60</v>
      </c>
      <c r="O922">
        <v>3</v>
      </c>
      <c r="P922" s="4">
        <v>1767</v>
      </c>
      <c r="Q922" t="s">
        <v>30</v>
      </c>
      <c r="R922">
        <v>1</v>
      </c>
      <c r="S922" t="s">
        <v>44</v>
      </c>
      <c r="T922">
        <v>0</v>
      </c>
      <c r="U922">
        <v>0</v>
      </c>
      <c r="V922" t="s">
        <v>32</v>
      </c>
      <c r="W922" t="s">
        <v>49</v>
      </c>
      <c r="X922" s="4">
        <v>10.5</v>
      </c>
      <c r="Y922">
        <v>7</v>
      </c>
      <c r="Z922" s="5">
        <v>204.28</v>
      </c>
    </row>
    <row r="923" spans="1:26">
      <c r="A923">
        <v>922</v>
      </c>
      <c r="B923">
        <v>296</v>
      </c>
      <c r="C923" s="2">
        <v>46064</v>
      </c>
      <c r="D923" t="s">
        <v>52</v>
      </c>
      <c r="E923">
        <v>2</v>
      </c>
      <c r="F923" s="3">
        <v>10.92</v>
      </c>
      <c r="G923" t="s">
        <v>27</v>
      </c>
      <c r="H923">
        <v>52</v>
      </c>
      <c r="I923" t="s">
        <v>34</v>
      </c>
      <c r="J923" s="4">
        <v>68.099999999999994</v>
      </c>
      <c r="K923" s="4">
        <v>219.2</v>
      </c>
      <c r="L923" s="4">
        <v>33.1</v>
      </c>
      <c r="M923">
        <v>16</v>
      </c>
      <c r="N923" t="s">
        <v>61</v>
      </c>
      <c r="O923">
        <v>4</v>
      </c>
      <c r="P923" s="4">
        <v>1691.9</v>
      </c>
      <c r="Q923" t="s">
        <v>42</v>
      </c>
      <c r="R923">
        <v>1</v>
      </c>
      <c r="S923" t="s">
        <v>31</v>
      </c>
      <c r="T923">
        <v>0</v>
      </c>
      <c r="U923">
        <v>1</v>
      </c>
      <c r="V923" t="s">
        <v>64</v>
      </c>
      <c r="W923" t="s">
        <v>39</v>
      </c>
      <c r="X923" s="4">
        <v>8.4</v>
      </c>
      <c r="Y923">
        <v>4</v>
      </c>
      <c r="Z923" s="5">
        <v>277.26</v>
      </c>
    </row>
    <row r="924" spans="1:26">
      <c r="A924">
        <v>923</v>
      </c>
      <c r="B924">
        <v>296</v>
      </c>
      <c r="C924" s="2">
        <v>46064</v>
      </c>
      <c r="D924" t="s">
        <v>52</v>
      </c>
      <c r="E924">
        <v>2</v>
      </c>
      <c r="F924" s="3">
        <v>11.08</v>
      </c>
      <c r="G924" t="s">
        <v>36</v>
      </c>
      <c r="H924">
        <v>5</v>
      </c>
      <c r="I924" t="s">
        <v>34</v>
      </c>
      <c r="J924" s="4">
        <v>51.2</v>
      </c>
      <c r="K924" s="4">
        <v>49.3</v>
      </c>
      <c r="L924" s="4">
        <v>13.4</v>
      </c>
      <c r="M924">
        <v>12</v>
      </c>
      <c r="N924" t="s">
        <v>61</v>
      </c>
      <c r="O924">
        <v>4</v>
      </c>
      <c r="P924" s="4">
        <v>1691.9</v>
      </c>
      <c r="Q924" t="s">
        <v>42</v>
      </c>
      <c r="R924">
        <v>1</v>
      </c>
      <c r="S924" t="s">
        <v>31</v>
      </c>
      <c r="T924">
        <v>0</v>
      </c>
      <c r="U924">
        <v>1</v>
      </c>
      <c r="V924" t="s">
        <v>64</v>
      </c>
      <c r="W924" t="s">
        <v>39</v>
      </c>
      <c r="X924" s="4">
        <v>7.8</v>
      </c>
      <c r="Y924">
        <v>13</v>
      </c>
      <c r="Z924" s="5">
        <v>259.7</v>
      </c>
    </row>
    <row r="925" spans="1:26">
      <c r="A925">
        <v>924</v>
      </c>
      <c r="B925">
        <v>296</v>
      </c>
      <c r="C925" s="2">
        <v>46064</v>
      </c>
      <c r="D925" t="s">
        <v>52</v>
      </c>
      <c r="E925">
        <v>2</v>
      </c>
      <c r="F925" s="3">
        <v>11.15</v>
      </c>
      <c r="G925" t="s">
        <v>36</v>
      </c>
      <c r="H925">
        <v>51</v>
      </c>
      <c r="I925" t="s">
        <v>34</v>
      </c>
      <c r="J925" s="4">
        <v>69.2</v>
      </c>
      <c r="K925" s="4">
        <v>192.1</v>
      </c>
      <c r="L925" s="4">
        <v>28.4</v>
      </c>
      <c r="M925">
        <v>14</v>
      </c>
      <c r="N925" t="s">
        <v>61</v>
      </c>
      <c r="O925">
        <v>4</v>
      </c>
      <c r="P925" s="4">
        <v>1691.9</v>
      </c>
      <c r="Q925" t="s">
        <v>42</v>
      </c>
      <c r="R925">
        <v>1</v>
      </c>
      <c r="S925" t="s">
        <v>31</v>
      </c>
      <c r="T925">
        <v>0</v>
      </c>
      <c r="U925">
        <v>1</v>
      </c>
      <c r="V925" t="s">
        <v>64</v>
      </c>
      <c r="W925" t="s">
        <v>39</v>
      </c>
      <c r="X925" s="4">
        <v>9.6999999999999993</v>
      </c>
      <c r="Y925">
        <v>9</v>
      </c>
      <c r="Z925" s="5">
        <v>362.97</v>
      </c>
    </row>
    <row r="926" spans="1:26">
      <c r="A926">
        <v>925</v>
      </c>
      <c r="B926">
        <v>296</v>
      </c>
      <c r="C926" s="2">
        <v>46064</v>
      </c>
      <c r="D926" t="s">
        <v>52</v>
      </c>
      <c r="E926">
        <v>2</v>
      </c>
      <c r="F926" s="3">
        <v>11.1</v>
      </c>
      <c r="G926" t="s">
        <v>36</v>
      </c>
      <c r="H926">
        <v>7</v>
      </c>
      <c r="I926" t="s">
        <v>34</v>
      </c>
      <c r="J926" s="4">
        <v>49.8</v>
      </c>
      <c r="K926" s="4">
        <v>62.7</v>
      </c>
      <c r="L926" s="4">
        <v>17.8</v>
      </c>
      <c r="M926">
        <v>16</v>
      </c>
      <c r="N926" t="s">
        <v>61</v>
      </c>
      <c r="O926">
        <v>4</v>
      </c>
      <c r="P926" s="4">
        <v>1691.9</v>
      </c>
      <c r="Q926" t="s">
        <v>42</v>
      </c>
      <c r="R926">
        <v>1</v>
      </c>
      <c r="S926" t="s">
        <v>31</v>
      </c>
      <c r="T926">
        <v>0</v>
      </c>
      <c r="U926">
        <v>1</v>
      </c>
      <c r="V926" t="s">
        <v>64</v>
      </c>
      <c r="W926" t="s">
        <v>39</v>
      </c>
      <c r="X926" s="4">
        <v>12.8</v>
      </c>
      <c r="Y926">
        <v>17</v>
      </c>
      <c r="Z926" s="5">
        <v>288.77999999999997</v>
      </c>
    </row>
    <row r="927" spans="1:26">
      <c r="A927">
        <v>926</v>
      </c>
      <c r="B927">
        <v>297</v>
      </c>
      <c r="C927" s="2">
        <v>46094</v>
      </c>
      <c r="D927" t="s">
        <v>26</v>
      </c>
      <c r="E927">
        <v>3</v>
      </c>
      <c r="F927" s="3">
        <v>8.61</v>
      </c>
      <c r="G927" t="s">
        <v>27</v>
      </c>
      <c r="H927">
        <v>10</v>
      </c>
      <c r="I927" t="s">
        <v>28</v>
      </c>
      <c r="J927" s="4">
        <v>63.2</v>
      </c>
      <c r="K927" s="4">
        <v>109</v>
      </c>
      <c r="L927" s="4">
        <v>19.3</v>
      </c>
      <c r="M927">
        <v>12</v>
      </c>
      <c r="N927" t="s">
        <v>60</v>
      </c>
      <c r="O927">
        <v>4</v>
      </c>
      <c r="P927" s="4">
        <v>1783.7</v>
      </c>
      <c r="Q927" t="s">
        <v>30</v>
      </c>
      <c r="R927">
        <v>1</v>
      </c>
      <c r="S927" t="s">
        <v>44</v>
      </c>
      <c r="T927">
        <v>0</v>
      </c>
      <c r="U927">
        <v>0</v>
      </c>
      <c r="V927" t="s">
        <v>32</v>
      </c>
      <c r="W927" t="s">
        <v>49</v>
      </c>
      <c r="X927" s="4">
        <v>10</v>
      </c>
      <c r="Y927">
        <v>14</v>
      </c>
      <c r="Z927" s="5">
        <v>212.33</v>
      </c>
    </row>
    <row r="928" spans="1:26">
      <c r="A928">
        <v>927</v>
      </c>
      <c r="B928">
        <v>297</v>
      </c>
      <c r="C928" s="2">
        <v>46094</v>
      </c>
      <c r="D928" t="s">
        <v>26</v>
      </c>
      <c r="E928">
        <v>3</v>
      </c>
      <c r="F928" s="3">
        <v>8.4600000000000009</v>
      </c>
      <c r="G928" t="s">
        <v>27</v>
      </c>
      <c r="H928">
        <v>27</v>
      </c>
      <c r="I928" t="s">
        <v>34</v>
      </c>
      <c r="J928" s="4">
        <v>59.5</v>
      </c>
      <c r="K928" s="4">
        <v>142.30000000000001</v>
      </c>
      <c r="L928" s="4">
        <v>28.4</v>
      </c>
      <c r="M928">
        <v>9</v>
      </c>
      <c r="N928" t="s">
        <v>60</v>
      </c>
      <c r="O928">
        <v>4</v>
      </c>
      <c r="P928" s="4">
        <v>1783.7</v>
      </c>
      <c r="Q928" t="s">
        <v>30</v>
      </c>
      <c r="R928">
        <v>1</v>
      </c>
      <c r="S928" t="s">
        <v>44</v>
      </c>
      <c r="T928">
        <v>0</v>
      </c>
      <c r="U928">
        <v>0</v>
      </c>
      <c r="V928" t="s">
        <v>32</v>
      </c>
      <c r="W928" t="s">
        <v>49</v>
      </c>
      <c r="X928" s="4">
        <v>10.8</v>
      </c>
      <c r="Y928">
        <v>12</v>
      </c>
      <c r="Z928" s="5">
        <v>361.7</v>
      </c>
    </row>
    <row r="929" spans="1:26">
      <c r="A929">
        <v>928</v>
      </c>
      <c r="B929">
        <v>297</v>
      </c>
      <c r="C929" s="2">
        <v>46094</v>
      </c>
      <c r="D929" t="s">
        <v>26</v>
      </c>
      <c r="E929">
        <v>3</v>
      </c>
      <c r="F929" s="3">
        <v>8.4700000000000006</v>
      </c>
      <c r="G929" t="s">
        <v>27</v>
      </c>
      <c r="H929">
        <v>59</v>
      </c>
      <c r="I929" t="s">
        <v>28</v>
      </c>
      <c r="J929" s="4">
        <v>70.7</v>
      </c>
      <c r="K929" s="4">
        <v>152.80000000000001</v>
      </c>
      <c r="L929" s="4">
        <v>21.6</v>
      </c>
      <c r="M929">
        <v>15</v>
      </c>
      <c r="N929" t="s">
        <v>60</v>
      </c>
      <c r="O929">
        <v>4</v>
      </c>
      <c r="P929" s="4">
        <v>1783.7</v>
      </c>
      <c r="Q929" t="s">
        <v>30</v>
      </c>
      <c r="R929">
        <v>1</v>
      </c>
      <c r="S929" t="s">
        <v>44</v>
      </c>
      <c r="T929">
        <v>0</v>
      </c>
      <c r="U929">
        <v>0</v>
      </c>
      <c r="V929" t="s">
        <v>32</v>
      </c>
      <c r="W929" t="s">
        <v>49</v>
      </c>
      <c r="X929" s="4">
        <v>11</v>
      </c>
      <c r="Y929">
        <v>6</v>
      </c>
      <c r="Z929" s="5">
        <v>255.32</v>
      </c>
    </row>
    <row r="930" spans="1:26">
      <c r="A930">
        <v>929</v>
      </c>
      <c r="B930">
        <v>297</v>
      </c>
      <c r="C930" s="2">
        <v>46094</v>
      </c>
      <c r="D930" t="s">
        <v>26</v>
      </c>
      <c r="E930">
        <v>3</v>
      </c>
      <c r="F930" s="3">
        <v>8.42</v>
      </c>
      <c r="G930" t="s">
        <v>27</v>
      </c>
      <c r="H930">
        <v>55</v>
      </c>
      <c r="I930" t="s">
        <v>34</v>
      </c>
      <c r="J930" s="4">
        <v>61.9</v>
      </c>
      <c r="K930" s="4">
        <v>158.30000000000001</v>
      </c>
      <c r="L930" s="4">
        <v>28.9</v>
      </c>
      <c r="M930">
        <v>13</v>
      </c>
      <c r="N930" t="s">
        <v>60</v>
      </c>
      <c r="O930">
        <v>4</v>
      </c>
      <c r="P930" s="4">
        <v>1783.7</v>
      </c>
      <c r="Q930" t="s">
        <v>30</v>
      </c>
      <c r="R930">
        <v>1</v>
      </c>
      <c r="S930" t="s">
        <v>44</v>
      </c>
      <c r="T930">
        <v>0</v>
      </c>
      <c r="U930">
        <v>0</v>
      </c>
      <c r="V930" t="s">
        <v>32</v>
      </c>
      <c r="W930" t="s">
        <v>49</v>
      </c>
      <c r="X930" s="4">
        <v>6.9</v>
      </c>
      <c r="Y930">
        <v>3</v>
      </c>
      <c r="Z930" s="5">
        <v>113.02</v>
      </c>
    </row>
    <row r="931" spans="1:26">
      <c r="A931">
        <v>930</v>
      </c>
      <c r="B931">
        <v>298</v>
      </c>
      <c r="C931" s="2">
        <v>46345</v>
      </c>
      <c r="D931" t="s">
        <v>55</v>
      </c>
      <c r="E931">
        <v>11</v>
      </c>
      <c r="F931" s="3">
        <v>13.32</v>
      </c>
      <c r="G931" t="s">
        <v>36</v>
      </c>
      <c r="H931">
        <v>18</v>
      </c>
      <c r="I931" t="s">
        <v>34</v>
      </c>
      <c r="J931" s="4">
        <v>63.4</v>
      </c>
      <c r="K931" s="4">
        <v>134.80000000000001</v>
      </c>
      <c r="L931" s="4">
        <v>23.7</v>
      </c>
      <c r="M931">
        <v>16</v>
      </c>
      <c r="N931" t="s">
        <v>60</v>
      </c>
      <c r="O931">
        <v>4</v>
      </c>
      <c r="P931" s="4">
        <v>1648.1</v>
      </c>
      <c r="Q931" t="s">
        <v>48</v>
      </c>
      <c r="R931">
        <v>0</v>
      </c>
      <c r="S931" t="s">
        <v>44</v>
      </c>
      <c r="T931">
        <v>0</v>
      </c>
      <c r="U931">
        <v>0</v>
      </c>
      <c r="V931" t="s">
        <v>32</v>
      </c>
      <c r="W931" t="s">
        <v>49</v>
      </c>
      <c r="X931" s="4">
        <v>7.4</v>
      </c>
      <c r="Y931">
        <v>10</v>
      </c>
      <c r="Z931" s="5">
        <v>182.18</v>
      </c>
    </row>
    <row r="932" spans="1:26">
      <c r="A932">
        <v>931</v>
      </c>
      <c r="B932">
        <v>298</v>
      </c>
      <c r="C932" s="2">
        <v>46345</v>
      </c>
      <c r="D932" t="s">
        <v>55</v>
      </c>
      <c r="E932">
        <v>11</v>
      </c>
      <c r="F932" s="3">
        <v>13.19</v>
      </c>
      <c r="G932" t="s">
        <v>36</v>
      </c>
      <c r="H932">
        <v>7</v>
      </c>
      <c r="I932" t="s">
        <v>34</v>
      </c>
      <c r="J932" s="4">
        <v>69.2</v>
      </c>
      <c r="K932" s="4">
        <v>138.69999999999999</v>
      </c>
      <c r="L932" s="4">
        <v>20.399999999999999</v>
      </c>
      <c r="M932">
        <v>11</v>
      </c>
      <c r="N932" t="s">
        <v>60</v>
      </c>
      <c r="O932">
        <v>4</v>
      </c>
      <c r="P932" s="4">
        <v>1648.1</v>
      </c>
      <c r="Q932" t="s">
        <v>48</v>
      </c>
      <c r="R932">
        <v>0</v>
      </c>
      <c r="S932" t="s">
        <v>44</v>
      </c>
      <c r="T932">
        <v>0</v>
      </c>
      <c r="U932">
        <v>0</v>
      </c>
      <c r="V932" t="s">
        <v>32</v>
      </c>
      <c r="W932" t="s">
        <v>49</v>
      </c>
      <c r="X932" s="4">
        <v>8.9</v>
      </c>
      <c r="Y932">
        <v>3</v>
      </c>
      <c r="Z932" s="5">
        <v>191</v>
      </c>
    </row>
    <row r="933" spans="1:26">
      <c r="A933">
        <v>932</v>
      </c>
      <c r="B933">
        <v>298</v>
      </c>
      <c r="C933" s="2">
        <v>46345</v>
      </c>
      <c r="D933" t="s">
        <v>55</v>
      </c>
      <c r="E933">
        <v>11</v>
      </c>
      <c r="F933" s="3">
        <v>13.47</v>
      </c>
      <c r="G933" t="s">
        <v>36</v>
      </c>
      <c r="H933">
        <v>24</v>
      </c>
      <c r="I933" t="s">
        <v>28</v>
      </c>
      <c r="J933" s="4">
        <v>70</v>
      </c>
      <c r="K933" s="4">
        <v>250.2</v>
      </c>
      <c r="L933" s="4">
        <v>35.799999999999997</v>
      </c>
      <c r="M933">
        <v>17</v>
      </c>
      <c r="N933" t="s">
        <v>60</v>
      </c>
      <c r="O933">
        <v>4</v>
      </c>
      <c r="P933" s="4">
        <v>1648.1</v>
      </c>
      <c r="Q933" t="s">
        <v>48</v>
      </c>
      <c r="R933">
        <v>0</v>
      </c>
      <c r="S933" t="s">
        <v>44</v>
      </c>
      <c r="T933">
        <v>0</v>
      </c>
      <c r="U933">
        <v>0</v>
      </c>
      <c r="V933" t="s">
        <v>32</v>
      </c>
      <c r="W933" t="s">
        <v>49</v>
      </c>
      <c r="X933" s="4">
        <v>7.4</v>
      </c>
      <c r="Y933">
        <v>12</v>
      </c>
      <c r="Z933" s="5">
        <v>184.15</v>
      </c>
    </row>
    <row r="934" spans="1:26">
      <c r="A934">
        <v>933</v>
      </c>
      <c r="B934">
        <v>298</v>
      </c>
      <c r="C934" s="2">
        <v>46345</v>
      </c>
      <c r="D934" t="s">
        <v>55</v>
      </c>
      <c r="E934">
        <v>11</v>
      </c>
      <c r="F934" s="3">
        <v>13.36</v>
      </c>
      <c r="G934" t="s">
        <v>36</v>
      </c>
      <c r="H934">
        <v>55</v>
      </c>
      <c r="I934" t="s">
        <v>34</v>
      </c>
      <c r="J934" s="4">
        <v>60.8</v>
      </c>
      <c r="K934" s="4">
        <v>166.7</v>
      </c>
      <c r="L934" s="4">
        <v>31.6</v>
      </c>
      <c r="M934">
        <v>16</v>
      </c>
      <c r="N934" t="s">
        <v>60</v>
      </c>
      <c r="O934">
        <v>4</v>
      </c>
      <c r="P934" s="4">
        <v>1648.1</v>
      </c>
      <c r="Q934" t="s">
        <v>48</v>
      </c>
      <c r="R934">
        <v>0</v>
      </c>
      <c r="S934" t="s">
        <v>44</v>
      </c>
      <c r="T934">
        <v>0</v>
      </c>
      <c r="U934">
        <v>0</v>
      </c>
      <c r="V934" t="s">
        <v>32</v>
      </c>
      <c r="W934" t="s">
        <v>49</v>
      </c>
      <c r="X934" s="4">
        <v>5</v>
      </c>
      <c r="Y934">
        <v>5</v>
      </c>
      <c r="Z934" s="5">
        <v>171.13</v>
      </c>
    </row>
    <row r="935" spans="1:26">
      <c r="A935">
        <v>934</v>
      </c>
      <c r="B935">
        <v>299</v>
      </c>
      <c r="C935" s="2">
        <v>46200</v>
      </c>
      <c r="D935" t="s">
        <v>40</v>
      </c>
      <c r="E935">
        <v>6</v>
      </c>
      <c r="F935" s="3">
        <v>12.24</v>
      </c>
      <c r="G935" t="s">
        <v>36</v>
      </c>
      <c r="H935">
        <v>65</v>
      </c>
      <c r="I935" t="s">
        <v>28</v>
      </c>
      <c r="J935" s="4">
        <v>66.3</v>
      </c>
      <c r="K935" s="4">
        <v>130.80000000000001</v>
      </c>
      <c r="L935" s="4">
        <v>21</v>
      </c>
      <c r="M935">
        <v>14</v>
      </c>
      <c r="N935" t="s">
        <v>54</v>
      </c>
      <c r="O935">
        <v>2</v>
      </c>
      <c r="P935" s="4">
        <v>2117.5</v>
      </c>
      <c r="Q935" t="s">
        <v>48</v>
      </c>
      <c r="R935">
        <v>1</v>
      </c>
      <c r="S935" t="s">
        <v>44</v>
      </c>
      <c r="T935">
        <v>0</v>
      </c>
      <c r="U935">
        <v>1</v>
      </c>
      <c r="V935" t="s">
        <v>32</v>
      </c>
      <c r="W935" t="s">
        <v>33</v>
      </c>
      <c r="X935" s="4">
        <v>11.1</v>
      </c>
      <c r="Y935">
        <v>11</v>
      </c>
      <c r="Z935" s="5">
        <v>586.25</v>
      </c>
    </row>
    <row r="936" spans="1:26">
      <c r="A936">
        <v>935</v>
      </c>
      <c r="B936">
        <v>299</v>
      </c>
      <c r="C936" s="2">
        <v>46200</v>
      </c>
      <c r="D936" t="s">
        <v>40</v>
      </c>
      <c r="E936">
        <v>6</v>
      </c>
      <c r="F936" s="3">
        <v>12.26</v>
      </c>
      <c r="G936" t="s">
        <v>36</v>
      </c>
      <c r="H936">
        <v>57</v>
      </c>
      <c r="I936" t="s">
        <v>28</v>
      </c>
      <c r="J936" s="4">
        <v>72.5</v>
      </c>
      <c r="K936" s="4">
        <v>204.6</v>
      </c>
      <c r="L936" s="4">
        <v>27.6</v>
      </c>
      <c r="M936">
        <v>20</v>
      </c>
      <c r="N936" t="s">
        <v>54</v>
      </c>
      <c r="O936">
        <v>2</v>
      </c>
      <c r="P936" s="4">
        <v>2117.5</v>
      </c>
      <c r="Q936" t="s">
        <v>48</v>
      </c>
      <c r="R936">
        <v>1</v>
      </c>
      <c r="S936" t="s">
        <v>44</v>
      </c>
      <c r="T936">
        <v>0</v>
      </c>
      <c r="U936">
        <v>1</v>
      </c>
      <c r="V936" t="s">
        <v>32</v>
      </c>
      <c r="W936" t="s">
        <v>33</v>
      </c>
      <c r="X936" s="4">
        <v>8.6999999999999993</v>
      </c>
      <c r="Y936">
        <v>6</v>
      </c>
      <c r="Z936" s="5">
        <v>258.7</v>
      </c>
    </row>
    <row r="937" spans="1:26">
      <c r="A937">
        <v>936</v>
      </c>
      <c r="B937">
        <v>300</v>
      </c>
      <c r="C937" s="2">
        <v>46352</v>
      </c>
      <c r="D937" t="s">
        <v>55</v>
      </c>
      <c r="E937">
        <v>11</v>
      </c>
      <c r="F937" s="3">
        <v>13.18</v>
      </c>
      <c r="G937" t="s">
        <v>36</v>
      </c>
      <c r="H937">
        <v>8</v>
      </c>
      <c r="I937" t="s">
        <v>34</v>
      </c>
      <c r="J937" s="4">
        <v>63</v>
      </c>
      <c r="K937" s="4">
        <v>145.1</v>
      </c>
      <c r="L937" s="4">
        <v>25.7</v>
      </c>
      <c r="M937">
        <v>14</v>
      </c>
      <c r="N937" t="s">
        <v>59</v>
      </c>
      <c r="O937">
        <v>4</v>
      </c>
      <c r="P937" s="4">
        <v>634.5</v>
      </c>
      <c r="Q937" t="s">
        <v>42</v>
      </c>
      <c r="R937">
        <v>1</v>
      </c>
      <c r="S937" t="s">
        <v>38</v>
      </c>
      <c r="T937">
        <v>0</v>
      </c>
      <c r="U937">
        <v>0</v>
      </c>
      <c r="V937" t="s">
        <v>45</v>
      </c>
      <c r="W937" t="s">
        <v>43</v>
      </c>
      <c r="X937" s="4">
        <v>7.8</v>
      </c>
      <c r="Y937">
        <v>8</v>
      </c>
      <c r="Z937" s="5">
        <v>215.47</v>
      </c>
    </row>
    <row r="938" spans="1:26">
      <c r="A938">
        <v>937</v>
      </c>
      <c r="B938">
        <v>300</v>
      </c>
      <c r="C938" s="2">
        <v>46352</v>
      </c>
      <c r="D938" t="s">
        <v>55</v>
      </c>
      <c r="E938">
        <v>11</v>
      </c>
      <c r="F938" s="3">
        <v>13.14</v>
      </c>
      <c r="G938" t="s">
        <v>36</v>
      </c>
      <c r="H938">
        <v>25</v>
      </c>
      <c r="I938" t="s">
        <v>34</v>
      </c>
      <c r="J938" s="4">
        <v>66.8</v>
      </c>
      <c r="K938" s="4">
        <v>191.3</v>
      </c>
      <c r="L938" s="4">
        <v>30.1</v>
      </c>
      <c r="M938">
        <v>16</v>
      </c>
      <c r="N938" t="s">
        <v>59</v>
      </c>
      <c r="O938">
        <v>4</v>
      </c>
      <c r="P938" s="4">
        <v>634.5</v>
      </c>
      <c r="Q938" t="s">
        <v>42</v>
      </c>
      <c r="R938">
        <v>1</v>
      </c>
      <c r="S938" t="s">
        <v>38</v>
      </c>
      <c r="T938">
        <v>0</v>
      </c>
      <c r="U938">
        <v>0</v>
      </c>
      <c r="V938" t="s">
        <v>45</v>
      </c>
      <c r="W938" t="s">
        <v>43</v>
      </c>
      <c r="X938" s="4">
        <v>8.3000000000000007</v>
      </c>
      <c r="Y938">
        <v>7</v>
      </c>
      <c r="Z938" s="5">
        <v>224.55</v>
      </c>
    </row>
    <row r="939" spans="1:26">
      <c r="A939">
        <v>938</v>
      </c>
      <c r="B939">
        <v>300</v>
      </c>
      <c r="C939" s="2">
        <v>46352</v>
      </c>
      <c r="D939" t="s">
        <v>55</v>
      </c>
      <c r="E939">
        <v>11</v>
      </c>
      <c r="F939" s="3">
        <v>12.84</v>
      </c>
      <c r="G939" t="s">
        <v>36</v>
      </c>
      <c r="H939">
        <v>18</v>
      </c>
      <c r="I939" t="s">
        <v>28</v>
      </c>
      <c r="J939" s="4">
        <v>68</v>
      </c>
      <c r="K939" s="4">
        <v>190.8</v>
      </c>
      <c r="L939" s="4">
        <v>29</v>
      </c>
      <c r="M939">
        <v>11</v>
      </c>
      <c r="N939" t="s">
        <v>59</v>
      </c>
      <c r="O939">
        <v>4</v>
      </c>
      <c r="P939" s="4">
        <v>634.5</v>
      </c>
      <c r="Q939" t="s">
        <v>42</v>
      </c>
      <c r="R939">
        <v>1</v>
      </c>
      <c r="S939" t="s">
        <v>38</v>
      </c>
      <c r="T939">
        <v>0</v>
      </c>
      <c r="U939">
        <v>0</v>
      </c>
      <c r="V939" t="s">
        <v>45</v>
      </c>
      <c r="W939" t="s">
        <v>43</v>
      </c>
      <c r="X939" s="4">
        <v>10.7</v>
      </c>
      <c r="Y939">
        <v>8</v>
      </c>
      <c r="Z939" s="5">
        <v>315.25</v>
      </c>
    </row>
    <row r="940" spans="1:26">
      <c r="A940">
        <v>939</v>
      </c>
      <c r="B940">
        <v>300</v>
      </c>
      <c r="C940" s="2">
        <v>46352</v>
      </c>
      <c r="D940" t="s">
        <v>55</v>
      </c>
      <c r="E940">
        <v>11</v>
      </c>
      <c r="F940" s="3">
        <v>13.13</v>
      </c>
      <c r="G940" t="s">
        <v>36</v>
      </c>
      <c r="H940">
        <v>18</v>
      </c>
      <c r="I940" t="s">
        <v>28</v>
      </c>
      <c r="J940" s="4">
        <v>66.099999999999994</v>
      </c>
      <c r="K940" s="4">
        <v>123</v>
      </c>
      <c r="L940" s="4">
        <v>19.600000000000001</v>
      </c>
      <c r="M940">
        <v>16</v>
      </c>
      <c r="N940" t="s">
        <v>59</v>
      </c>
      <c r="O940">
        <v>4</v>
      </c>
      <c r="P940" s="4">
        <v>634.5</v>
      </c>
      <c r="Q940" t="s">
        <v>42</v>
      </c>
      <c r="R940">
        <v>1</v>
      </c>
      <c r="S940" t="s">
        <v>38</v>
      </c>
      <c r="T940">
        <v>0</v>
      </c>
      <c r="U940">
        <v>0</v>
      </c>
      <c r="V940" t="s">
        <v>45</v>
      </c>
      <c r="W940" t="s">
        <v>43</v>
      </c>
      <c r="X940" s="4">
        <v>9.3000000000000007</v>
      </c>
      <c r="Y940">
        <v>10</v>
      </c>
      <c r="Z940" s="5">
        <v>248.97</v>
      </c>
    </row>
    <row r="941" spans="1:26">
      <c r="A941">
        <v>940</v>
      </c>
      <c r="B941">
        <v>301</v>
      </c>
      <c r="C941" s="2">
        <v>46220</v>
      </c>
      <c r="D941" t="s">
        <v>26</v>
      </c>
      <c r="E941">
        <v>7</v>
      </c>
      <c r="F941" s="3">
        <v>9.6</v>
      </c>
      <c r="G941" t="s">
        <v>27</v>
      </c>
      <c r="H941">
        <v>49</v>
      </c>
      <c r="I941" t="s">
        <v>34</v>
      </c>
      <c r="J941" s="4">
        <v>63.7</v>
      </c>
      <c r="K941" s="4">
        <v>175.4</v>
      </c>
      <c r="L941" s="4">
        <v>30.6</v>
      </c>
      <c r="M941">
        <v>17</v>
      </c>
      <c r="N941" t="s">
        <v>59</v>
      </c>
      <c r="O941">
        <v>6</v>
      </c>
      <c r="P941" s="4">
        <v>711</v>
      </c>
      <c r="Q941" t="s">
        <v>42</v>
      </c>
      <c r="R941">
        <v>1</v>
      </c>
      <c r="S941" t="s">
        <v>44</v>
      </c>
      <c r="T941">
        <v>0</v>
      </c>
      <c r="U941">
        <v>0</v>
      </c>
      <c r="V941" t="s">
        <v>32</v>
      </c>
      <c r="W941" t="s">
        <v>43</v>
      </c>
      <c r="X941" s="4">
        <v>10.4</v>
      </c>
      <c r="Y941">
        <v>6</v>
      </c>
      <c r="Z941" s="5">
        <v>235.44</v>
      </c>
    </row>
    <row r="942" spans="1:26">
      <c r="A942">
        <v>941</v>
      </c>
      <c r="B942">
        <v>301</v>
      </c>
      <c r="C942" s="2">
        <v>46220</v>
      </c>
      <c r="D942" t="s">
        <v>26</v>
      </c>
      <c r="E942">
        <v>7</v>
      </c>
      <c r="F942" s="3">
        <v>9.73</v>
      </c>
      <c r="G942" t="s">
        <v>27</v>
      </c>
      <c r="H942">
        <v>40</v>
      </c>
      <c r="I942" t="s">
        <v>34</v>
      </c>
      <c r="J942" s="4">
        <v>58.8</v>
      </c>
      <c r="K942" s="4">
        <v>109.8</v>
      </c>
      <c r="L942" s="4">
        <v>22.5</v>
      </c>
      <c r="M942">
        <v>14</v>
      </c>
      <c r="N942" t="s">
        <v>59</v>
      </c>
      <c r="O942">
        <v>6</v>
      </c>
      <c r="P942" s="4">
        <v>711</v>
      </c>
      <c r="Q942" t="s">
        <v>42</v>
      </c>
      <c r="R942">
        <v>1</v>
      </c>
      <c r="S942" t="s">
        <v>44</v>
      </c>
      <c r="T942">
        <v>0</v>
      </c>
      <c r="U942">
        <v>0</v>
      </c>
      <c r="V942" t="s">
        <v>32</v>
      </c>
      <c r="W942" t="s">
        <v>43</v>
      </c>
      <c r="X942" s="4">
        <v>6.9</v>
      </c>
      <c r="Y942">
        <v>9</v>
      </c>
      <c r="Z942" s="5">
        <v>224.87</v>
      </c>
    </row>
    <row r="943" spans="1:26">
      <c r="A943">
        <v>942</v>
      </c>
      <c r="B943">
        <v>301</v>
      </c>
      <c r="C943" s="2">
        <v>46220</v>
      </c>
      <c r="D943" t="s">
        <v>26</v>
      </c>
      <c r="E943">
        <v>7</v>
      </c>
      <c r="F943" s="3">
        <v>9.6999999999999993</v>
      </c>
      <c r="G943" t="s">
        <v>27</v>
      </c>
      <c r="H943">
        <v>3</v>
      </c>
      <c r="I943" t="s">
        <v>34</v>
      </c>
      <c r="J943" s="4">
        <v>57.9</v>
      </c>
      <c r="K943" s="4">
        <v>94.1</v>
      </c>
      <c r="L943" s="4">
        <v>19.600000000000001</v>
      </c>
      <c r="M943">
        <v>15</v>
      </c>
      <c r="N943" t="s">
        <v>59</v>
      </c>
      <c r="O943">
        <v>6</v>
      </c>
      <c r="P943" s="4">
        <v>711</v>
      </c>
      <c r="Q943" t="s">
        <v>42</v>
      </c>
      <c r="R943">
        <v>1</v>
      </c>
      <c r="S943" t="s">
        <v>44</v>
      </c>
      <c r="T943">
        <v>0</v>
      </c>
      <c r="U943">
        <v>0</v>
      </c>
      <c r="V943" t="s">
        <v>32</v>
      </c>
      <c r="W943" t="s">
        <v>43</v>
      </c>
      <c r="X943" s="4">
        <v>7.7</v>
      </c>
      <c r="Y943">
        <v>9</v>
      </c>
      <c r="Z943" s="5">
        <v>214.23</v>
      </c>
    </row>
    <row r="944" spans="1:26">
      <c r="A944">
        <v>943</v>
      </c>
      <c r="B944">
        <v>301</v>
      </c>
      <c r="C944" s="2">
        <v>46220</v>
      </c>
      <c r="D944" t="s">
        <v>26</v>
      </c>
      <c r="E944">
        <v>7</v>
      </c>
      <c r="F944" s="3">
        <v>9.73</v>
      </c>
      <c r="G944" t="s">
        <v>27</v>
      </c>
      <c r="H944">
        <v>18</v>
      </c>
      <c r="I944" t="s">
        <v>51</v>
      </c>
      <c r="J944" s="4">
        <v>67.5</v>
      </c>
      <c r="K944" s="4">
        <v>113.6</v>
      </c>
      <c r="L944" s="4">
        <v>17.8</v>
      </c>
      <c r="M944">
        <v>15</v>
      </c>
      <c r="N944" t="s">
        <v>59</v>
      </c>
      <c r="O944">
        <v>6</v>
      </c>
      <c r="P944" s="4">
        <v>711</v>
      </c>
      <c r="Q944" t="s">
        <v>42</v>
      </c>
      <c r="R944">
        <v>1</v>
      </c>
      <c r="S944" t="s">
        <v>44</v>
      </c>
      <c r="T944">
        <v>0</v>
      </c>
      <c r="U944">
        <v>0</v>
      </c>
      <c r="V944" t="s">
        <v>32</v>
      </c>
      <c r="W944" t="s">
        <v>43</v>
      </c>
      <c r="X944" s="4">
        <v>7.5</v>
      </c>
      <c r="Y944">
        <v>8</v>
      </c>
      <c r="Z944" s="5">
        <v>132.37</v>
      </c>
    </row>
    <row r="945" spans="1:26">
      <c r="A945">
        <v>944</v>
      </c>
      <c r="B945">
        <v>301</v>
      </c>
      <c r="C945" s="2">
        <v>46220</v>
      </c>
      <c r="D945" t="s">
        <v>26</v>
      </c>
      <c r="E945">
        <v>7</v>
      </c>
      <c r="F945" s="3">
        <v>9.6199999999999992</v>
      </c>
      <c r="G945" t="s">
        <v>27</v>
      </c>
      <c r="H945">
        <v>21</v>
      </c>
      <c r="I945" t="s">
        <v>28</v>
      </c>
      <c r="J945" s="4">
        <v>73</v>
      </c>
      <c r="K945" s="4">
        <v>202.9</v>
      </c>
      <c r="L945" s="4">
        <v>26.7</v>
      </c>
      <c r="M945">
        <v>14</v>
      </c>
      <c r="N945" t="s">
        <v>59</v>
      </c>
      <c r="O945">
        <v>6</v>
      </c>
      <c r="P945" s="4">
        <v>711</v>
      </c>
      <c r="Q945" t="s">
        <v>42</v>
      </c>
      <c r="R945">
        <v>1</v>
      </c>
      <c r="S945" t="s">
        <v>44</v>
      </c>
      <c r="T945">
        <v>0</v>
      </c>
      <c r="U945">
        <v>0</v>
      </c>
      <c r="V945" t="s">
        <v>32</v>
      </c>
      <c r="W945" t="s">
        <v>43</v>
      </c>
      <c r="X945" s="4">
        <v>8.9</v>
      </c>
      <c r="Y945">
        <v>8</v>
      </c>
      <c r="Z945" s="5">
        <v>271.64</v>
      </c>
    </row>
    <row r="946" spans="1:26">
      <c r="A946">
        <v>945</v>
      </c>
      <c r="B946">
        <v>301</v>
      </c>
      <c r="C946" s="2">
        <v>46220</v>
      </c>
      <c r="D946" t="s">
        <v>26</v>
      </c>
      <c r="E946">
        <v>7</v>
      </c>
      <c r="F946" s="3">
        <v>9.83</v>
      </c>
      <c r="G946" t="s">
        <v>27</v>
      </c>
      <c r="H946">
        <v>48</v>
      </c>
      <c r="I946" t="s">
        <v>34</v>
      </c>
      <c r="J946" s="4">
        <v>66.099999999999994</v>
      </c>
      <c r="K946" s="4">
        <v>157.5</v>
      </c>
      <c r="L946" s="4">
        <v>25.4</v>
      </c>
      <c r="M946">
        <v>18</v>
      </c>
      <c r="N946" t="s">
        <v>59</v>
      </c>
      <c r="O946">
        <v>6</v>
      </c>
      <c r="P946" s="4">
        <v>711</v>
      </c>
      <c r="Q946" t="s">
        <v>42</v>
      </c>
      <c r="R946">
        <v>1</v>
      </c>
      <c r="S946" t="s">
        <v>44</v>
      </c>
      <c r="T946">
        <v>0</v>
      </c>
      <c r="U946">
        <v>0</v>
      </c>
      <c r="V946" t="s">
        <v>32</v>
      </c>
      <c r="W946" t="s">
        <v>43</v>
      </c>
      <c r="X946" s="4">
        <v>7.3</v>
      </c>
      <c r="Y946">
        <v>13</v>
      </c>
      <c r="Z946" s="5">
        <v>317.02</v>
      </c>
    </row>
    <row r="947" spans="1:26">
      <c r="A947">
        <v>946</v>
      </c>
      <c r="B947">
        <v>302</v>
      </c>
      <c r="C947" s="2">
        <v>46257</v>
      </c>
      <c r="D947" t="s">
        <v>58</v>
      </c>
      <c r="E947">
        <v>8</v>
      </c>
      <c r="F947" s="3">
        <v>11.43</v>
      </c>
      <c r="G947" t="s">
        <v>36</v>
      </c>
      <c r="H947">
        <v>61</v>
      </c>
      <c r="I947" t="s">
        <v>34</v>
      </c>
      <c r="J947" s="4">
        <v>61.5</v>
      </c>
      <c r="K947" s="4">
        <v>193.5</v>
      </c>
      <c r="L947" s="4">
        <v>36</v>
      </c>
      <c r="M947">
        <v>18</v>
      </c>
      <c r="N947" t="s">
        <v>47</v>
      </c>
      <c r="O947">
        <v>3</v>
      </c>
      <c r="P947" s="4">
        <v>104.4</v>
      </c>
      <c r="Q947" t="s">
        <v>48</v>
      </c>
      <c r="R947">
        <v>0</v>
      </c>
      <c r="S947" t="s">
        <v>44</v>
      </c>
      <c r="T947">
        <v>0</v>
      </c>
      <c r="U947">
        <v>0</v>
      </c>
      <c r="V947" t="s">
        <v>32</v>
      </c>
      <c r="W947" t="s">
        <v>39</v>
      </c>
      <c r="X947" s="4">
        <v>7.6</v>
      </c>
      <c r="Y947">
        <v>6</v>
      </c>
      <c r="Z947" s="5">
        <v>232.83</v>
      </c>
    </row>
    <row r="948" spans="1:26">
      <c r="A948">
        <v>947</v>
      </c>
      <c r="B948">
        <v>302</v>
      </c>
      <c r="C948" s="2">
        <v>46257</v>
      </c>
      <c r="D948" t="s">
        <v>58</v>
      </c>
      <c r="E948">
        <v>8</v>
      </c>
      <c r="F948" s="3">
        <v>11.64</v>
      </c>
      <c r="G948" t="s">
        <v>36</v>
      </c>
      <c r="H948">
        <v>17</v>
      </c>
      <c r="I948" t="s">
        <v>34</v>
      </c>
      <c r="J948" s="4">
        <v>70</v>
      </c>
      <c r="K948" s="4">
        <v>152.6</v>
      </c>
      <c r="L948" s="4">
        <v>21.8</v>
      </c>
      <c r="M948">
        <v>15</v>
      </c>
      <c r="N948" t="s">
        <v>47</v>
      </c>
      <c r="O948">
        <v>3</v>
      </c>
      <c r="P948" s="4">
        <v>104.4</v>
      </c>
      <c r="Q948" t="s">
        <v>48</v>
      </c>
      <c r="R948">
        <v>0</v>
      </c>
      <c r="S948" t="s">
        <v>44</v>
      </c>
      <c r="T948">
        <v>0</v>
      </c>
      <c r="U948">
        <v>0</v>
      </c>
      <c r="V948" t="s">
        <v>32</v>
      </c>
      <c r="W948" t="s">
        <v>39</v>
      </c>
      <c r="X948" s="4">
        <v>8.5</v>
      </c>
      <c r="Y948">
        <v>3</v>
      </c>
      <c r="Z948" s="5">
        <v>265.85000000000002</v>
      </c>
    </row>
    <row r="949" spans="1:26">
      <c r="A949">
        <v>948</v>
      </c>
      <c r="B949">
        <v>302</v>
      </c>
      <c r="C949" s="2">
        <v>46257</v>
      </c>
      <c r="D949" t="s">
        <v>58</v>
      </c>
      <c r="E949">
        <v>8</v>
      </c>
      <c r="F949" s="3">
        <v>11.62</v>
      </c>
      <c r="G949" t="s">
        <v>36</v>
      </c>
      <c r="H949">
        <v>51</v>
      </c>
      <c r="I949" t="s">
        <v>34</v>
      </c>
      <c r="J949" s="4">
        <v>59.8</v>
      </c>
      <c r="K949" s="4">
        <v>110.7</v>
      </c>
      <c r="L949" s="4">
        <v>21.9</v>
      </c>
      <c r="M949">
        <v>18</v>
      </c>
      <c r="N949" t="s">
        <v>47</v>
      </c>
      <c r="O949">
        <v>3</v>
      </c>
      <c r="P949" s="4">
        <v>104.4</v>
      </c>
      <c r="Q949" t="s">
        <v>48</v>
      </c>
      <c r="R949">
        <v>0</v>
      </c>
      <c r="S949" t="s">
        <v>44</v>
      </c>
      <c r="T949">
        <v>0</v>
      </c>
      <c r="U949">
        <v>0</v>
      </c>
      <c r="V949" t="s">
        <v>32</v>
      </c>
      <c r="W949" t="s">
        <v>39</v>
      </c>
      <c r="X949" s="4">
        <v>9.3000000000000007</v>
      </c>
      <c r="Y949">
        <v>7</v>
      </c>
      <c r="Z949" s="5">
        <v>187.59</v>
      </c>
    </row>
    <row r="950" spans="1:26">
      <c r="A950">
        <v>949</v>
      </c>
      <c r="B950">
        <v>303</v>
      </c>
      <c r="C950" s="2">
        <v>46369</v>
      </c>
      <c r="D950" t="s">
        <v>58</v>
      </c>
      <c r="E950">
        <v>12</v>
      </c>
      <c r="F950" s="3">
        <v>11.21</v>
      </c>
      <c r="G950" t="s">
        <v>36</v>
      </c>
      <c r="H950">
        <v>57</v>
      </c>
      <c r="I950" t="s">
        <v>28</v>
      </c>
      <c r="J950" s="4">
        <v>68.400000000000006</v>
      </c>
      <c r="K950" s="4">
        <v>154</v>
      </c>
      <c r="L950" s="4">
        <v>23.2</v>
      </c>
      <c r="M950">
        <v>16</v>
      </c>
      <c r="N950" t="s">
        <v>61</v>
      </c>
      <c r="O950">
        <v>4</v>
      </c>
      <c r="P950" s="4">
        <v>1103</v>
      </c>
      <c r="Q950" t="s">
        <v>48</v>
      </c>
      <c r="R950">
        <v>1</v>
      </c>
      <c r="S950" t="s">
        <v>38</v>
      </c>
      <c r="T950">
        <v>1</v>
      </c>
      <c r="U950">
        <v>0</v>
      </c>
      <c r="V950" t="s">
        <v>32</v>
      </c>
      <c r="W950" t="s">
        <v>49</v>
      </c>
      <c r="X950" s="4">
        <v>6.1</v>
      </c>
      <c r="Y950">
        <v>5</v>
      </c>
      <c r="Z950" s="5">
        <v>150.05000000000001</v>
      </c>
    </row>
    <row r="951" spans="1:26">
      <c r="A951">
        <v>950</v>
      </c>
      <c r="B951">
        <v>303</v>
      </c>
      <c r="C951" s="2">
        <v>46369</v>
      </c>
      <c r="D951" t="s">
        <v>58</v>
      </c>
      <c r="E951">
        <v>12</v>
      </c>
      <c r="F951" s="3">
        <v>11.3</v>
      </c>
      <c r="G951" t="s">
        <v>36</v>
      </c>
      <c r="H951">
        <v>45</v>
      </c>
      <c r="I951" t="s">
        <v>28</v>
      </c>
      <c r="J951" s="4">
        <v>71.099999999999994</v>
      </c>
      <c r="K951" s="4">
        <v>150.5</v>
      </c>
      <c r="L951" s="4">
        <v>21</v>
      </c>
      <c r="M951">
        <v>16</v>
      </c>
      <c r="N951" t="s">
        <v>61</v>
      </c>
      <c r="O951">
        <v>4</v>
      </c>
      <c r="P951" s="4">
        <v>1103</v>
      </c>
      <c r="Q951" t="s">
        <v>48</v>
      </c>
      <c r="R951">
        <v>1</v>
      </c>
      <c r="S951" t="s">
        <v>38</v>
      </c>
      <c r="T951">
        <v>1</v>
      </c>
      <c r="U951">
        <v>0</v>
      </c>
      <c r="V951" t="s">
        <v>32</v>
      </c>
      <c r="W951" t="s">
        <v>49</v>
      </c>
      <c r="X951" s="4">
        <v>8.1</v>
      </c>
      <c r="Y951">
        <v>4</v>
      </c>
      <c r="Z951" s="5">
        <v>232.01</v>
      </c>
    </row>
    <row r="952" spans="1:26">
      <c r="A952">
        <v>951</v>
      </c>
      <c r="B952">
        <v>303</v>
      </c>
      <c r="C952" s="2">
        <v>46369</v>
      </c>
      <c r="D952" t="s">
        <v>58</v>
      </c>
      <c r="E952">
        <v>12</v>
      </c>
      <c r="F952" s="3">
        <v>11.09</v>
      </c>
      <c r="G952" t="s">
        <v>36</v>
      </c>
      <c r="H952">
        <v>58</v>
      </c>
      <c r="I952" t="s">
        <v>28</v>
      </c>
      <c r="J952" s="4">
        <v>70.3</v>
      </c>
      <c r="K952" s="4">
        <v>208.1</v>
      </c>
      <c r="L952" s="4">
        <v>29.8</v>
      </c>
      <c r="M952">
        <v>15</v>
      </c>
      <c r="N952" t="s">
        <v>61</v>
      </c>
      <c r="O952">
        <v>4</v>
      </c>
      <c r="P952" s="4">
        <v>1103</v>
      </c>
      <c r="Q952" t="s">
        <v>48</v>
      </c>
      <c r="R952">
        <v>1</v>
      </c>
      <c r="S952" t="s">
        <v>38</v>
      </c>
      <c r="T952">
        <v>1</v>
      </c>
      <c r="U952">
        <v>0</v>
      </c>
      <c r="V952" t="s">
        <v>32</v>
      </c>
      <c r="W952" t="s">
        <v>49</v>
      </c>
      <c r="X952" s="4">
        <v>7.4</v>
      </c>
      <c r="Y952">
        <v>14</v>
      </c>
      <c r="Z952" s="5">
        <v>276.87</v>
      </c>
    </row>
    <row r="953" spans="1:26">
      <c r="A953">
        <v>952</v>
      </c>
      <c r="B953">
        <v>303</v>
      </c>
      <c r="C953" s="2">
        <v>46369</v>
      </c>
      <c r="D953" t="s">
        <v>58</v>
      </c>
      <c r="E953">
        <v>12</v>
      </c>
      <c r="F953" s="3">
        <v>11.35</v>
      </c>
      <c r="G953" t="s">
        <v>36</v>
      </c>
      <c r="H953">
        <v>9</v>
      </c>
      <c r="I953" t="s">
        <v>34</v>
      </c>
      <c r="J953" s="4">
        <v>67.099999999999994</v>
      </c>
      <c r="K953" s="4">
        <v>153.19999999999999</v>
      </c>
      <c r="L953" s="4">
        <v>24</v>
      </c>
      <c r="M953">
        <v>16</v>
      </c>
      <c r="N953" t="s">
        <v>61</v>
      </c>
      <c r="O953">
        <v>4</v>
      </c>
      <c r="P953" s="4">
        <v>1103</v>
      </c>
      <c r="Q953" t="s">
        <v>48</v>
      </c>
      <c r="R953">
        <v>1</v>
      </c>
      <c r="S953" t="s">
        <v>38</v>
      </c>
      <c r="T953">
        <v>1</v>
      </c>
      <c r="U953">
        <v>0</v>
      </c>
      <c r="V953" t="s">
        <v>32</v>
      </c>
      <c r="W953" t="s">
        <v>49</v>
      </c>
      <c r="X953" s="4">
        <v>7.3</v>
      </c>
      <c r="Y953">
        <v>6</v>
      </c>
      <c r="Z953" s="5">
        <v>197.66</v>
      </c>
    </row>
    <row r="954" spans="1:26">
      <c r="A954">
        <v>953</v>
      </c>
      <c r="B954">
        <v>304</v>
      </c>
      <c r="C954" s="2">
        <v>46277</v>
      </c>
      <c r="D954" t="s">
        <v>40</v>
      </c>
      <c r="E954">
        <v>9</v>
      </c>
      <c r="F954" s="3">
        <v>10.7</v>
      </c>
      <c r="G954" t="s">
        <v>27</v>
      </c>
      <c r="H954">
        <v>66</v>
      </c>
      <c r="I954" t="s">
        <v>28</v>
      </c>
      <c r="J954" s="4">
        <v>68.5</v>
      </c>
      <c r="K954" s="4">
        <v>176.9</v>
      </c>
      <c r="L954" s="4">
        <v>26.3</v>
      </c>
      <c r="M954">
        <v>16</v>
      </c>
      <c r="N954" t="s">
        <v>66</v>
      </c>
      <c r="O954">
        <v>2</v>
      </c>
      <c r="P954" s="4">
        <v>690.8</v>
      </c>
      <c r="Q954" t="s">
        <v>42</v>
      </c>
      <c r="R954">
        <v>1</v>
      </c>
      <c r="S954" t="s">
        <v>44</v>
      </c>
      <c r="T954">
        <v>0</v>
      </c>
      <c r="U954">
        <v>1</v>
      </c>
      <c r="V954" t="s">
        <v>32</v>
      </c>
      <c r="W954" t="s">
        <v>33</v>
      </c>
      <c r="X954" s="4">
        <v>9.6999999999999993</v>
      </c>
      <c r="Y954">
        <v>9</v>
      </c>
      <c r="Z954" s="5">
        <v>241.54</v>
      </c>
    </row>
    <row r="955" spans="1:26">
      <c r="A955">
        <v>954</v>
      </c>
      <c r="B955">
        <v>304</v>
      </c>
      <c r="C955" s="2">
        <v>46277</v>
      </c>
      <c r="D955" t="s">
        <v>40</v>
      </c>
      <c r="E955">
        <v>9</v>
      </c>
      <c r="F955" s="3">
        <v>10.73</v>
      </c>
      <c r="G955" t="s">
        <v>27</v>
      </c>
      <c r="H955">
        <v>54</v>
      </c>
      <c r="I955" t="s">
        <v>34</v>
      </c>
      <c r="J955" s="4">
        <v>64.400000000000006</v>
      </c>
      <c r="K955" s="4">
        <v>168.5</v>
      </c>
      <c r="L955" s="4">
        <v>28.6</v>
      </c>
      <c r="M955">
        <v>15</v>
      </c>
      <c r="N955" t="s">
        <v>66</v>
      </c>
      <c r="O955">
        <v>2</v>
      </c>
      <c r="P955" s="4">
        <v>690.8</v>
      </c>
      <c r="Q955" t="s">
        <v>42</v>
      </c>
      <c r="R955">
        <v>1</v>
      </c>
      <c r="S955" t="s">
        <v>44</v>
      </c>
      <c r="T955">
        <v>0</v>
      </c>
      <c r="U955">
        <v>1</v>
      </c>
      <c r="V955" t="s">
        <v>32</v>
      </c>
      <c r="W955" t="s">
        <v>33</v>
      </c>
      <c r="X955" s="4">
        <v>6.8</v>
      </c>
      <c r="Y955">
        <v>11</v>
      </c>
      <c r="Z955" s="5">
        <v>219.76</v>
      </c>
    </row>
    <row r="956" spans="1:26">
      <c r="A956">
        <v>955</v>
      </c>
      <c r="B956">
        <v>305</v>
      </c>
      <c r="C956" s="2">
        <v>46374</v>
      </c>
      <c r="D956" t="s">
        <v>26</v>
      </c>
      <c r="E956">
        <v>12</v>
      </c>
      <c r="F956" s="3">
        <v>10.26</v>
      </c>
      <c r="G956" t="s">
        <v>27</v>
      </c>
      <c r="H956">
        <v>39</v>
      </c>
      <c r="I956" t="s">
        <v>34</v>
      </c>
      <c r="J956" s="4">
        <v>61.4</v>
      </c>
      <c r="K956" s="4">
        <v>132</v>
      </c>
      <c r="L956" s="4">
        <v>24.3</v>
      </c>
      <c r="M956">
        <v>16</v>
      </c>
      <c r="N956" t="s">
        <v>50</v>
      </c>
      <c r="O956">
        <v>6</v>
      </c>
      <c r="P956" s="4">
        <v>226</v>
      </c>
      <c r="Q956" t="s">
        <v>42</v>
      </c>
      <c r="R956">
        <v>1</v>
      </c>
      <c r="S956" t="s">
        <v>38</v>
      </c>
      <c r="T956">
        <v>1</v>
      </c>
      <c r="U956">
        <v>0</v>
      </c>
      <c r="V956" t="s">
        <v>32</v>
      </c>
      <c r="W956" t="s">
        <v>39</v>
      </c>
      <c r="X956" s="4">
        <v>9.9</v>
      </c>
      <c r="Y956">
        <v>11</v>
      </c>
      <c r="Z956" s="5">
        <v>162.66999999999999</v>
      </c>
    </row>
    <row r="957" spans="1:26">
      <c r="A957">
        <v>956</v>
      </c>
      <c r="B957">
        <v>305</v>
      </c>
      <c r="C957" s="2">
        <v>46374</v>
      </c>
      <c r="D957" t="s">
        <v>26</v>
      </c>
      <c r="E957">
        <v>12</v>
      </c>
      <c r="F957" s="3">
        <v>10.1</v>
      </c>
      <c r="G957" t="s">
        <v>27</v>
      </c>
      <c r="H957">
        <v>62</v>
      </c>
      <c r="I957" t="s">
        <v>34</v>
      </c>
      <c r="J957" s="4">
        <v>65.900000000000006</v>
      </c>
      <c r="K957" s="4">
        <v>149.4</v>
      </c>
      <c r="L957" s="4">
        <v>24.2</v>
      </c>
      <c r="M957">
        <v>14</v>
      </c>
      <c r="N957" t="s">
        <v>50</v>
      </c>
      <c r="O957">
        <v>6</v>
      </c>
      <c r="P957" s="4">
        <v>226</v>
      </c>
      <c r="Q957" t="s">
        <v>42</v>
      </c>
      <c r="R957">
        <v>1</v>
      </c>
      <c r="S957" t="s">
        <v>38</v>
      </c>
      <c r="T957">
        <v>1</v>
      </c>
      <c r="U957">
        <v>0</v>
      </c>
      <c r="V957" t="s">
        <v>32</v>
      </c>
      <c r="W957" t="s">
        <v>39</v>
      </c>
      <c r="X957" s="4">
        <v>8.1</v>
      </c>
      <c r="Y957">
        <v>8</v>
      </c>
      <c r="Z957" s="5">
        <v>287.16000000000003</v>
      </c>
    </row>
    <row r="958" spans="1:26">
      <c r="A958">
        <v>957</v>
      </c>
      <c r="B958">
        <v>305</v>
      </c>
      <c r="C958" s="2">
        <v>46374</v>
      </c>
      <c r="D958" t="s">
        <v>26</v>
      </c>
      <c r="E958">
        <v>12</v>
      </c>
      <c r="F958" s="3">
        <v>10.130000000000001</v>
      </c>
      <c r="G958" t="s">
        <v>27</v>
      </c>
      <c r="H958">
        <v>50</v>
      </c>
      <c r="I958" t="s">
        <v>34</v>
      </c>
      <c r="J958" s="4">
        <v>63.7</v>
      </c>
      <c r="K958" s="4">
        <v>159.5</v>
      </c>
      <c r="L958" s="4">
        <v>27.7</v>
      </c>
      <c r="M958">
        <v>14</v>
      </c>
      <c r="N958" t="s">
        <v>50</v>
      </c>
      <c r="O958">
        <v>6</v>
      </c>
      <c r="P958" s="4">
        <v>226</v>
      </c>
      <c r="Q958" t="s">
        <v>42</v>
      </c>
      <c r="R958">
        <v>1</v>
      </c>
      <c r="S958" t="s">
        <v>38</v>
      </c>
      <c r="T958">
        <v>1</v>
      </c>
      <c r="U958">
        <v>0</v>
      </c>
      <c r="V958" t="s">
        <v>32</v>
      </c>
      <c r="W958" t="s">
        <v>39</v>
      </c>
      <c r="X958" s="4">
        <v>4.9000000000000004</v>
      </c>
      <c r="Y958">
        <v>5</v>
      </c>
      <c r="Z958" s="5">
        <v>133.41</v>
      </c>
    </row>
    <row r="959" spans="1:26">
      <c r="A959">
        <v>958</v>
      </c>
      <c r="B959">
        <v>305</v>
      </c>
      <c r="C959" s="2">
        <v>46374</v>
      </c>
      <c r="D959" t="s">
        <v>26</v>
      </c>
      <c r="E959">
        <v>12</v>
      </c>
      <c r="F959" s="3">
        <v>10.050000000000001</v>
      </c>
      <c r="G959" t="s">
        <v>27</v>
      </c>
      <c r="H959">
        <v>18</v>
      </c>
      <c r="I959" t="s">
        <v>34</v>
      </c>
      <c r="J959" s="4">
        <v>68</v>
      </c>
      <c r="K959" s="4">
        <v>197.9</v>
      </c>
      <c r="L959" s="4">
        <v>30.3</v>
      </c>
      <c r="M959">
        <v>10</v>
      </c>
      <c r="N959" t="s">
        <v>50</v>
      </c>
      <c r="O959">
        <v>6</v>
      </c>
      <c r="P959" s="4">
        <v>226</v>
      </c>
      <c r="Q959" t="s">
        <v>42</v>
      </c>
      <c r="R959">
        <v>1</v>
      </c>
      <c r="S959" t="s">
        <v>38</v>
      </c>
      <c r="T959">
        <v>1</v>
      </c>
      <c r="U959">
        <v>0</v>
      </c>
      <c r="V959" t="s">
        <v>32</v>
      </c>
      <c r="W959" t="s">
        <v>39</v>
      </c>
      <c r="X959" s="4">
        <v>9.9</v>
      </c>
      <c r="Y959">
        <v>8</v>
      </c>
      <c r="Z959" s="5">
        <v>332.17</v>
      </c>
    </row>
    <row r="960" spans="1:26">
      <c r="A960">
        <v>959</v>
      </c>
      <c r="B960">
        <v>305</v>
      </c>
      <c r="C960" s="2">
        <v>46374</v>
      </c>
      <c r="D960" t="s">
        <v>26</v>
      </c>
      <c r="E960">
        <v>12</v>
      </c>
      <c r="F960" s="3">
        <v>9.99</v>
      </c>
      <c r="G960" t="s">
        <v>27</v>
      </c>
      <c r="H960">
        <v>32</v>
      </c>
      <c r="I960" t="s">
        <v>34</v>
      </c>
      <c r="J960" s="4">
        <v>64.5</v>
      </c>
      <c r="K960" s="4">
        <v>138</v>
      </c>
      <c r="L960" s="4">
        <v>23.3</v>
      </c>
      <c r="M960">
        <v>17</v>
      </c>
      <c r="N960" t="s">
        <v>50</v>
      </c>
      <c r="O960">
        <v>6</v>
      </c>
      <c r="P960" s="4">
        <v>226</v>
      </c>
      <c r="Q960" t="s">
        <v>42</v>
      </c>
      <c r="R960">
        <v>1</v>
      </c>
      <c r="S960" t="s">
        <v>38</v>
      </c>
      <c r="T960">
        <v>1</v>
      </c>
      <c r="U960">
        <v>0</v>
      </c>
      <c r="V960" t="s">
        <v>32</v>
      </c>
      <c r="W960" t="s">
        <v>39</v>
      </c>
      <c r="X960" s="4">
        <v>7</v>
      </c>
      <c r="Y960">
        <v>10</v>
      </c>
      <c r="Z960" s="5">
        <v>261.51</v>
      </c>
    </row>
    <row r="961" spans="1:26">
      <c r="A961">
        <v>960</v>
      </c>
      <c r="B961">
        <v>305</v>
      </c>
      <c r="C961" s="2">
        <v>46374</v>
      </c>
      <c r="D961" t="s">
        <v>26</v>
      </c>
      <c r="E961">
        <v>12</v>
      </c>
      <c r="F961" s="3">
        <v>10.06</v>
      </c>
      <c r="G961" t="s">
        <v>27</v>
      </c>
      <c r="H961">
        <v>63</v>
      </c>
      <c r="I961" t="s">
        <v>28</v>
      </c>
      <c r="J961" s="4">
        <v>67.599999999999994</v>
      </c>
      <c r="K961" s="4">
        <v>163.9</v>
      </c>
      <c r="L961" s="4">
        <v>25.2</v>
      </c>
      <c r="M961">
        <v>17</v>
      </c>
      <c r="N961" t="s">
        <v>50</v>
      </c>
      <c r="O961">
        <v>6</v>
      </c>
      <c r="P961" s="4">
        <v>226</v>
      </c>
      <c r="Q961" t="s">
        <v>42</v>
      </c>
      <c r="R961">
        <v>1</v>
      </c>
      <c r="S961" t="s">
        <v>38</v>
      </c>
      <c r="T961">
        <v>1</v>
      </c>
      <c r="U961">
        <v>0</v>
      </c>
      <c r="V961" t="s">
        <v>32</v>
      </c>
      <c r="W961" t="s">
        <v>39</v>
      </c>
      <c r="X961" s="4">
        <v>11.6</v>
      </c>
      <c r="Y961">
        <v>13</v>
      </c>
      <c r="Z961" s="5">
        <v>271.36</v>
      </c>
    </row>
    <row r="962" spans="1:26">
      <c r="A962">
        <v>961</v>
      </c>
      <c r="B962">
        <v>306</v>
      </c>
      <c r="C962" s="2">
        <v>46212</v>
      </c>
      <c r="D962" t="s">
        <v>55</v>
      </c>
      <c r="E962">
        <v>7</v>
      </c>
      <c r="F962" s="3">
        <v>11.12</v>
      </c>
      <c r="G962" t="s">
        <v>36</v>
      </c>
      <c r="H962">
        <v>71</v>
      </c>
      <c r="I962" t="s">
        <v>28</v>
      </c>
      <c r="J962" s="4">
        <v>68.400000000000006</v>
      </c>
      <c r="K962" s="4">
        <v>203.6</v>
      </c>
      <c r="L962" s="4">
        <v>30.5</v>
      </c>
      <c r="M962">
        <v>18</v>
      </c>
      <c r="N962" t="s">
        <v>47</v>
      </c>
      <c r="O962">
        <v>2</v>
      </c>
      <c r="P962" s="4">
        <v>113.5</v>
      </c>
      <c r="Q962" t="s">
        <v>48</v>
      </c>
      <c r="R962">
        <v>0</v>
      </c>
      <c r="S962" t="s">
        <v>31</v>
      </c>
      <c r="T962">
        <v>0</v>
      </c>
      <c r="U962">
        <v>0</v>
      </c>
      <c r="V962" t="s">
        <v>45</v>
      </c>
      <c r="W962" t="s">
        <v>39</v>
      </c>
      <c r="X962" s="4">
        <v>7.2</v>
      </c>
      <c r="Y962">
        <v>10</v>
      </c>
      <c r="Z962" s="5">
        <v>334.95</v>
      </c>
    </row>
    <row r="963" spans="1:26">
      <c r="A963">
        <v>962</v>
      </c>
      <c r="B963">
        <v>306</v>
      </c>
      <c r="C963" s="2">
        <v>46212</v>
      </c>
      <c r="D963" t="s">
        <v>55</v>
      </c>
      <c r="E963">
        <v>7</v>
      </c>
      <c r="F963" s="3">
        <v>11.14</v>
      </c>
      <c r="G963" t="s">
        <v>36</v>
      </c>
      <c r="H963">
        <v>11</v>
      </c>
      <c r="I963" t="s">
        <v>28</v>
      </c>
      <c r="J963" s="4">
        <v>70</v>
      </c>
      <c r="K963" s="4">
        <v>117.5</v>
      </c>
      <c r="L963" s="4">
        <v>16.600000000000001</v>
      </c>
      <c r="M963">
        <v>13</v>
      </c>
      <c r="N963" t="s">
        <v>47</v>
      </c>
      <c r="O963">
        <v>2</v>
      </c>
      <c r="P963" s="4">
        <v>113.5</v>
      </c>
      <c r="Q963" t="s">
        <v>48</v>
      </c>
      <c r="R963">
        <v>0</v>
      </c>
      <c r="S963" t="s">
        <v>31</v>
      </c>
      <c r="T963">
        <v>0</v>
      </c>
      <c r="U963">
        <v>0</v>
      </c>
      <c r="V963" t="s">
        <v>45</v>
      </c>
      <c r="W963" t="s">
        <v>39</v>
      </c>
      <c r="X963" s="4">
        <v>8.6</v>
      </c>
      <c r="Y963">
        <v>9</v>
      </c>
      <c r="Z963" s="5">
        <v>165.12</v>
      </c>
    </row>
    <row r="964" spans="1:26">
      <c r="A964">
        <v>963</v>
      </c>
      <c r="B964">
        <v>307</v>
      </c>
      <c r="C964" s="2">
        <v>46276</v>
      </c>
      <c r="D964" t="s">
        <v>26</v>
      </c>
      <c r="E964">
        <v>9</v>
      </c>
      <c r="F964" s="3">
        <v>7.94</v>
      </c>
      <c r="G964" t="s">
        <v>27</v>
      </c>
      <c r="H964">
        <v>10</v>
      </c>
      <c r="I964" t="s">
        <v>34</v>
      </c>
      <c r="J964" s="4">
        <v>69.5</v>
      </c>
      <c r="K964" s="4">
        <v>118.1</v>
      </c>
      <c r="L964" s="4">
        <v>17.100000000000001</v>
      </c>
      <c r="M964">
        <v>6</v>
      </c>
      <c r="N964" t="s">
        <v>47</v>
      </c>
      <c r="O964">
        <v>3</v>
      </c>
      <c r="P964" s="4">
        <v>70.8</v>
      </c>
      <c r="Q964" t="s">
        <v>42</v>
      </c>
      <c r="R964">
        <v>1</v>
      </c>
      <c r="S964" t="s">
        <v>31</v>
      </c>
      <c r="T964">
        <v>0</v>
      </c>
      <c r="U964">
        <v>1</v>
      </c>
      <c r="V964" t="s">
        <v>32</v>
      </c>
      <c r="W964" t="s">
        <v>33</v>
      </c>
      <c r="X964" s="4">
        <v>10.3</v>
      </c>
      <c r="Y964">
        <v>11</v>
      </c>
      <c r="Z964" s="5">
        <v>262.05</v>
      </c>
    </row>
    <row r="965" spans="1:26">
      <c r="A965">
        <v>964</v>
      </c>
      <c r="B965">
        <v>307</v>
      </c>
      <c r="C965" s="2">
        <v>46276</v>
      </c>
      <c r="D965" t="s">
        <v>26</v>
      </c>
      <c r="E965">
        <v>9</v>
      </c>
      <c r="F965" s="3">
        <v>8.09</v>
      </c>
      <c r="G965" t="s">
        <v>27</v>
      </c>
      <c r="H965">
        <v>7</v>
      </c>
      <c r="I965" t="s">
        <v>28</v>
      </c>
      <c r="J965" s="4">
        <v>61</v>
      </c>
      <c r="K965" s="4">
        <v>97.6</v>
      </c>
      <c r="L965" s="4">
        <v>18.5</v>
      </c>
      <c r="M965">
        <v>14</v>
      </c>
      <c r="N965" t="s">
        <v>47</v>
      </c>
      <c r="O965">
        <v>3</v>
      </c>
      <c r="P965" s="4">
        <v>70.8</v>
      </c>
      <c r="Q965" t="s">
        <v>42</v>
      </c>
      <c r="R965">
        <v>1</v>
      </c>
      <c r="S965" t="s">
        <v>31</v>
      </c>
      <c r="T965">
        <v>0</v>
      </c>
      <c r="U965">
        <v>1</v>
      </c>
      <c r="V965" t="s">
        <v>32</v>
      </c>
      <c r="W965" t="s">
        <v>33</v>
      </c>
      <c r="X965" s="4">
        <v>9</v>
      </c>
      <c r="Y965">
        <v>10</v>
      </c>
      <c r="Z965" s="5">
        <v>196.17</v>
      </c>
    </row>
    <row r="966" spans="1:26">
      <c r="A966">
        <v>965</v>
      </c>
      <c r="B966">
        <v>307</v>
      </c>
      <c r="C966" s="2">
        <v>46276</v>
      </c>
      <c r="D966" t="s">
        <v>26</v>
      </c>
      <c r="E966">
        <v>9</v>
      </c>
      <c r="F966" s="3">
        <v>8.1199999999999992</v>
      </c>
      <c r="G966" t="s">
        <v>27</v>
      </c>
      <c r="H966">
        <v>75</v>
      </c>
      <c r="I966" t="s">
        <v>28</v>
      </c>
      <c r="J966" s="4">
        <v>67.900000000000006</v>
      </c>
      <c r="K966" s="4">
        <v>190.5</v>
      </c>
      <c r="L966" s="4">
        <v>29</v>
      </c>
      <c r="M966">
        <v>15</v>
      </c>
      <c r="N966" t="s">
        <v>47</v>
      </c>
      <c r="O966">
        <v>3</v>
      </c>
      <c r="P966" s="4">
        <v>70.8</v>
      </c>
      <c r="Q966" t="s">
        <v>42</v>
      </c>
      <c r="R966">
        <v>1</v>
      </c>
      <c r="S966" t="s">
        <v>31</v>
      </c>
      <c r="T966">
        <v>0</v>
      </c>
      <c r="U966">
        <v>1</v>
      </c>
      <c r="V966" t="s">
        <v>32</v>
      </c>
      <c r="W966" t="s">
        <v>33</v>
      </c>
      <c r="X966" s="4">
        <v>7.4</v>
      </c>
      <c r="Y966">
        <v>6</v>
      </c>
      <c r="Z966" s="5">
        <v>202.39</v>
      </c>
    </row>
    <row r="967" spans="1:26">
      <c r="A967">
        <v>966</v>
      </c>
      <c r="B967">
        <v>308</v>
      </c>
      <c r="C967" s="2">
        <v>46314</v>
      </c>
      <c r="D967" t="s">
        <v>46</v>
      </c>
      <c r="E967">
        <v>10</v>
      </c>
      <c r="F967" s="3">
        <v>12.37</v>
      </c>
      <c r="G967" t="s">
        <v>36</v>
      </c>
      <c r="H967">
        <v>43</v>
      </c>
      <c r="I967" t="s">
        <v>34</v>
      </c>
      <c r="J967" s="4">
        <v>63.9</v>
      </c>
      <c r="K967" s="4">
        <v>127.5</v>
      </c>
      <c r="L967" s="4">
        <v>21.8</v>
      </c>
      <c r="M967">
        <v>18</v>
      </c>
      <c r="N967" t="s">
        <v>47</v>
      </c>
      <c r="O967">
        <v>2</v>
      </c>
      <c r="P967" s="4">
        <v>86.9</v>
      </c>
      <c r="Q967" t="s">
        <v>48</v>
      </c>
      <c r="R967">
        <v>1</v>
      </c>
      <c r="S967" t="s">
        <v>44</v>
      </c>
      <c r="T967">
        <v>1</v>
      </c>
      <c r="U967">
        <v>0</v>
      </c>
      <c r="V967" t="s">
        <v>32</v>
      </c>
      <c r="W967" t="s">
        <v>43</v>
      </c>
      <c r="X967" s="4">
        <v>7.5</v>
      </c>
      <c r="Y967">
        <v>10</v>
      </c>
      <c r="Z967" s="5">
        <v>229.84</v>
      </c>
    </row>
    <row r="968" spans="1:26">
      <c r="A968">
        <v>967</v>
      </c>
      <c r="B968">
        <v>308</v>
      </c>
      <c r="C968" s="2">
        <v>46314</v>
      </c>
      <c r="D968" t="s">
        <v>46</v>
      </c>
      <c r="E968">
        <v>10</v>
      </c>
      <c r="F968" s="3">
        <v>11.98</v>
      </c>
      <c r="G968" t="s">
        <v>36</v>
      </c>
      <c r="H968">
        <v>10</v>
      </c>
      <c r="I968" t="s">
        <v>28</v>
      </c>
      <c r="J968" s="4">
        <v>70</v>
      </c>
      <c r="K968" s="4">
        <v>117.8</v>
      </c>
      <c r="L968" s="4">
        <v>16.899999999999999</v>
      </c>
      <c r="M968">
        <v>16</v>
      </c>
      <c r="N968" t="s">
        <v>47</v>
      </c>
      <c r="O968">
        <v>2</v>
      </c>
      <c r="P968" s="4">
        <v>86.9</v>
      </c>
      <c r="Q968" t="s">
        <v>48</v>
      </c>
      <c r="R968">
        <v>1</v>
      </c>
      <c r="S968" t="s">
        <v>44</v>
      </c>
      <c r="T968">
        <v>1</v>
      </c>
      <c r="U968">
        <v>0</v>
      </c>
      <c r="V968" t="s">
        <v>32</v>
      </c>
      <c r="W968" t="s">
        <v>43</v>
      </c>
      <c r="X968" s="4">
        <v>7.8</v>
      </c>
      <c r="Y968">
        <v>9</v>
      </c>
      <c r="Z968" s="5">
        <v>423.03</v>
      </c>
    </row>
    <row r="969" spans="1:26">
      <c r="A969">
        <v>968</v>
      </c>
      <c r="B969">
        <v>309</v>
      </c>
      <c r="C969" s="2">
        <v>46208</v>
      </c>
      <c r="D969" t="s">
        <v>58</v>
      </c>
      <c r="E969">
        <v>7</v>
      </c>
      <c r="F969" s="3">
        <v>14.58</v>
      </c>
      <c r="G969" t="s">
        <v>36</v>
      </c>
      <c r="H969">
        <v>11</v>
      </c>
      <c r="I969" t="s">
        <v>28</v>
      </c>
      <c r="J969" s="4">
        <v>68.2</v>
      </c>
      <c r="K969" s="4">
        <v>122.7</v>
      </c>
      <c r="L969" s="4">
        <v>18.399999999999999</v>
      </c>
      <c r="M969">
        <v>10</v>
      </c>
      <c r="N969" t="s">
        <v>47</v>
      </c>
      <c r="O969">
        <v>2</v>
      </c>
      <c r="P969" s="4">
        <v>62.2</v>
      </c>
      <c r="Q969" t="s">
        <v>30</v>
      </c>
      <c r="R969">
        <v>0</v>
      </c>
      <c r="S969" t="s">
        <v>38</v>
      </c>
      <c r="T969">
        <v>0</v>
      </c>
      <c r="U969">
        <v>0</v>
      </c>
      <c r="V969" t="s">
        <v>45</v>
      </c>
      <c r="W969" t="s">
        <v>43</v>
      </c>
      <c r="X969" s="4">
        <v>7.4</v>
      </c>
      <c r="Y969">
        <v>8</v>
      </c>
      <c r="Z969" s="5">
        <v>109.66</v>
      </c>
    </row>
    <row r="970" spans="1:26">
      <c r="A970">
        <v>969</v>
      </c>
      <c r="B970">
        <v>309</v>
      </c>
      <c r="C970" s="2">
        <v>46208</v>
      </c>
      <c r="D970" t="s">
        <v>58</v>
      </c>
      <c r="E970">
        <v>7</v>
      </c>
      <c r="F970" s="3">
        <v>14.51</v>
      </c>
      <c r="G970" t="s">
        <v>36</v>
      </c>
      <c r="H970">
        <v>28</v>
      </c>
      <c r="I970" t="s">
        <v>28</v>
      </c>
      <c r="J970" s="4">
        <v>61.2</v>
      </c>
      <c r="K970" s="4">
        <v>181.9</v>
      </c>
      <c r="L970" s="4">
        <v>34.299999999999997</v>
      </c>
      <c r="M970">
        <v>15</v>
      </c>
      <c r="N970" t="s">
        <v>47</v>
      </c>
      <c r="O970">
        <v>2</v>
      </c>
      <c r="P970" s="4">
        <v>62.2</v>
      </c>
      <c r="Q970" t="s">
        <v>30</v>
      </c>
      <c r="R970">
        <v>0</v>
      </c>
      <c r="S970" t="s">
        <v>38</v>
      </c>
      <c r="T970">
        <v>0</v>
      </c>
      <c r="U970">
        <v>0</v>
      </c>
      <c r="V970" t="s">
        <v>45</v>
      </c>
      <c r="W970" t="s">
        <v>43</v>
      </c>
      <c r="X970" s="4">
        <v>7.6</v>
      </c>
      <c r="Y970">
        <v>2</v>
      </c>
      <c r="Z970" s="5">
        <v>156.78</v>
      </c>
    </row>
    <row r="971" spans="1:26">
      <c r="A971">
        <v>970</v>
      </c>
      <c r="B971">
        <v>310</v>
      </c>
      <c r="C971" s="2">
        <v>46336</v>
      </c>
      <c r="D971" t="s">
        <v>35</v>
      </c>
      <c r="E971">
        <v>11</v>
      </c>
      <c r="F971" s="3">
        <v>12.15</v>
      </c>
      <c r="G971" t="s">
        <v>36</v>
      </c>
      <c r="H971">
        <v>47</v>
      </c>
      <c r="I971" t="s">
        <v>28</v>
      </c>
      <c r="J971" s="4">
        <v>76.8</v>
      </c>
      <c r="K971" s="4">
        <v>190.1</v>
      </c>
      <c r="L971" s="4">
        <v>22.6</v>
      </c>
      <c r="M971">
        <v>18</v>
      </c>
      <c r="N971" t="s">
        <v>37</v>
      </c>
      <c r="O971">
        <v>3</v>
      </c>
      <c r="P971" s="4">
        <v>1235.4000000000001</v>
      </c>
      <c r="Q971" t="s">
        <v>48</v>
      </c>
      <c r="R971">
        <v>1</v>
      </c>
      <c r="S971" t="s">
        <v>38</v>
      </c>
      <c r="T971">
        <v>1</v>
      </c>
      <c r="U971">
        <v>0</v>
      </c>
      <c r="V971" t="s">
        <v>32</v>
      </c>
      <c r="W971" t="s">
        <v>49</v>
      </c>
      <c r="X971" s="4">
        <v>7</v>
      </c>
      <c r="Y971">
        <v>9</v>
      </c>
      <c r="Z971" s="5">
        <v>315.51</v>
      </c>
    </row>
    <row r="972" spans="1:26">
      <c r="A972">
        <v>971</v>
      </c>
      <c r="B972">
        <v>310</v>
      </c>
      <c r="C972" s="2">
        <v>46336</v>
      </c>
      <c r="D972" t="s">
        <v>35</v>
      </c>
      <c r="E972">
        <v>11</v>
      </c>
      <c r="F972" s="3">
        <v>12.48</v>
      </c>
      <c r="G972" t="s">
        <v>36</v>
      </c>
      <c r="H972">
        <v>71</v>
      </c>
      <c r="I972" t="s">
        <v>28</v>
      </c>
      <c r="J972" s="4">
        <v>76.099999999999994</v>
      </c>
      <c r="K972" s="4">
        <v>232.7</v>
      </c>
      <c r="L972" s="4">
        <v>28.3</v>
      </c>
      <c r="M972">
        <v>21</v>
      </c>
      <c r="N972" t="s">
        <v>37</v>
      </c>
      <c r="O972">
        <v>3</v>
      </c>
      <c r="P972" s="4">
        <v>1235.4000000000001</v>
      </c>
      <c r="Q972" t="s">
        <v>48</v>
      </c>
      <c r="R972">
        <v>1</v>
      </c>
      <c r="S972" t="s">
        <v>38</v>
      </c>
      <c r="T972">
        <v>1</v>
      </c>
      <c r="U972">
        <v>0</v>
      </c>
      <c r="V972" t="s">
        <v>32</v>
      </c>
      <c r="W972" t="s">
        <v>49</v>
      </c>
      <c r="X972" s="4">
        <v>7.4</v>
      </c>
      <c r="Y972">
        <v>13</v>
      </c>
      <c r="Z972" s="5">
        <v>247.66</v>
      </c>
    </row>
    <row r="973" spans="1:26">
      <c r="A973">
        <v>972</v>
      </c>
      <c r="B973">
        <v>310</v>
      </c>
      <c r="C973" s="2">
        <v>46336</v>
      </c>
      <c r="D973" t="s">
        <v>35</v>
      </c>
      <c r="E973">
        <v>11</v>
      </c>
      <c r="F973" s="3">
        <v>12.3</v>
      </c>
      <c r="G973" t="s">
        <v>36</v>
      </c>
      <c r="H973">
        <v>36</v>
      </c>
      <c r="I973" t="s">
        <v>28</v>
      </c>
      <c r="J973" s="4">
        <v>67.400000000000006</v>
      </c>
      <c r="K973" s="4">
        <v>148</v>
      </c>
      <c r="L973" s="4">
        <v>22.9</v>
      </c>
      <c r="M973">
        <v>17</v>
      </c>
      <c r="N973" t="s">
        <v>37</v>
      </c>
      <c r="O973">
        <v>3</v>
      </c>
      <c r="P973" s="4">
        <v>1235.4000000000001</v>
      </c>
      <c r="Q973" t="s">
        <v>48</v>
      </c>
      <c r="R973">
        <v>1</v>
      </c>
      <c r="S973" t="s">
        <v>38</v>
      </c>
      <c r="T973">
        <v>1</v>
      </c>
      <c r="U973">
        <v>0</v>
      </c>
      <c r="V973" t="s">
        <v>32</v>
      </c>
      <c r="W973" t="s">
        <v>49</v>
      </c>
      <c r="X973" s="4">
        <v>10.3</v>
      </c>
      <c r="Y973">
        <v>15</v>
      </c>
      <c r="Z973" s="5">
        <v>213.88</v>
      </c>
    </row>
    <row r="974" spans="1:26">
      <c r="A974">
        <v>973</v>
      </c>
      <c r="B974">
        <v>311</v>
      </c>
      <c r="C974" s="2">
        <v>46091</v>
      </c>
      <c r="D974" t="s">
        <v>35</v>
      </c>
      <c r="E974">
        <v>3</v>
      </c>
      <c r="F974" s="3">
        <v>12.4</v>
      </c>
      <c r="G974" t="s">
        <v>36</v>
      </c>
      <c r="H974">
        <v>42</v>
      </c>
      <c r="I974" t="s">
        <v>28</v>
      </c>
      <c r="J974" s="4">
        <v>63.7</v>
      </c>
      <c r="K974" s="4">
        <v>128.30000000000001</v>
      </c>
      <c r="L974" s="4">
        <v>22.4</v>
      </c>
      <c r="M974">
        <v>13</v>
      </c>
      <c r="N974" t="s">
        <v>50</v>
      </c>
      <c r="O974">
        <v>3</v>
      </c>
      <c r="P974" s="4">
        <v>365.6</v>
      </c>
      <c r="Q974" t="s">
        <v>30</v>
      </c>
      <c r="R974">
        <v>0</v>
      </c>
      <c r="S974" t="s">
        <v>44</v>
      </c>
      <c r="T974">
        <v>0</v>
      </c>
      <c r="U974">
        <v>0</v>
      </c>
      <c r="V974" t="s">
        <v>32</v>
      </c>
      <c r="W974" t="s">
        <v>43</v>
      </c>
      <c r="X974" s="4">
        <v>9.1999999999999993</v>
      </c>
      <c r="Y974">
        <v>12</v>
      </c>
      <c r="Z974" s="5">
        <v>287.24</v>
      </c>
    </row>
    <row r="975" spans="1:26">
      <c r="A975">
        <v>974</v>
      </c>
      <c r="B975">
        <v>311</v>
      </c>
      <c r="C975" s="2">
        <v>46091</v>
      </c>
      <c r="D975" t="s">
        <v>35</v>
      </c>
      <c r="E975">
        <v>3</v>
      </c>
      <c r="F975" s="3">
        <v>12.42</v>
      </c>
      <c r="G975" t="s">
        <v>36</v>
      </c>
      <c r="H975">
        <v>4</v>
      </c>
      <c r="I975" t="s">
        <v>28</v>
      </c>
      <c r="J975" s="4">
        <v>61.4</v>
      </c>
      <c r="K975" s="4">
        <v>106.3</v>
      </c>
      <c r="L975" s="4">
        <v>20</v>
      </c>
      <c r="M975">
        <v>7</v>
      </c>
      <c r="N975" t="s">
        <v>50</v>
      </c>
      <c r="O975">
        <v>3</v>
      </c>
      <c r="P975" s="4">
        <v>365.6</v>
      </c>
      <c r="Q975" t="s">
        <v>30</v>
      </c>
      <c r="R975">
        <v>0</v>
      </c>
      <c r="S975" t="s">
        <v>44</v>
      </c>
      <c r="T975">
        <v>0</v>
      </c>
      <c r="U975">
        <v>0</v>
      </c>
      <c r="V975" t="s">
        <v>32</v>
      </c>
      <c r="W975" t="s">
        <v>43</v>
      </c>
      <c r="X975" s="4">
        <v>9</v>
      </c>
      <c r="Y975">
        <v>13</v>
      </c>
      <c r="Z975" s="5">
        <v>262.01</v>
      </c>
    </row>
    <row r="976" spans="1:26">
      <c r="A976">
        <v>975</v>
      </c>
      <c r="B976">
        <v>311</v>
      </c>
      <c r="C976" s="2">
        <v>46091</v>
      </c>
      <c r="D976" t="s">
        <v>35</v>
      </c>
      <c r="E976">
        <v>3</v>
      </c>
      <c r="F976" s="3">
        <v>12.24</v>
      </c>
      <c r="G976" t="s">
        <v>36</v>
      </c>
      <c r="H976">
        <v>31</v>
      </c>
      <c r="I976" t="s">
        <v>34</v>
      </c>
      <c r="J976" s="4">
        <v>62.1</v>
      </c>
      <c r="K976" s="4">
        <v>132.9</v>
      </c>
      <c r="L976" s="4">
        <v>24.2</v>
      </c>
      <c r="M976">
        <v>9</v>
      </c>
      <c r="N976" t="s">
        <v>50</v>
      </c>
      <c r="O976">
        <v>3</v>
      </c>
      <c r="P976" s="4">
        <v>365.6</v>
      </c>
      <c r="Q976" t="s">
        <v>30</v>
      </c>
      <c r="R976">
        <v>0</v>
      </c>
      <c r="S976" t="s">
        <v>44</v>
      </c>
      <c r="T976">
        <v>0</v>
      </c>
      <c r="U976">
        <v>0</v>
      </c>
      <c r="V976" t="s">
        <v>32</v>
      </c>
      <c r="W976" t="s">
        <v>43</v>
      </c>
      <c r="X976" s="4">
        <v>8.1</v>
      </c>
      <c r="Y976">
        <v>10</v>
      </c>
      <c r="Z976" s="5">
        <v>222.18</v>
      </c>
    </row>
    <row r="977" spans="1:26">
      <c r="A977">
        <v>976</v>
      </c>
      <c r="B977">
        <v>312</v>
      </c>
      <c r="C977" s="2">
        <v>46225</v>
      </c>
      <c r="D977" t="s">
        <v>52</v>
      </c>
      <c r="E977">
        <v>7</v>
      </c>
      <c r="F977" s="3">
        <v>11.64</v>
      </c>
      <c r="G977" t="s">
        <v>36</v>
      </c>
      <c r="H977">
        <v>65</v>
      </c>
      <c r="I977" t="s">
        <v>34</v>
      </c>
      <c r="J977" s="4">
        <v>65</v>
      </c>
      <c r="K977" s="4">
        <v>177.5</v>
      </c>
      <c r="L977" s="4">
        <v>29.6</v>
      </c>
      <c r="M977">
        <v>17</v>
      </c>
      <c r="N977" t="s">
        <v>53</v>
      </c>
      <c r="O977">
        <v>5</v>
      </c>
      <c r="P977" s="4">
        <v>1206</v>
      </c>
      <c r="Q977" t="s">
        <v>42</v>
      </c>
      <c r="R977">
        <v>1</v>
      </c>
      <c r="S977" t="s">
        <v>44</v>
      </c>
      <c r="T977">
        <v>0</v>
      </c>
      <c r="U977">
        <v>0</v>
      </c>
      <c r="V977" t="s">
        <v>32</v>
      </c>
      <c r="W977" t="s">
        <v>57</v>
      </c>
      <c r="X977" s="4">
        <v>9.1999999999999993</v>
      </c>
      <c r="Y977">
        <v>7</v>
      </c>
      <c r="Z977" s="5">
        <v>327.89</v>
      </c>
    </row>
    <row r="978" spans="1:26">
      <c r="A978">
        <v>977</v>
      </c>
      <c r="B978">
        <v>312</v>
      </c>
      <c r="C978" s="2">
        <v>46225</v>
      </c>
      <c r="D978" t="s">
        <v>52</v>
      </c>
      <c r="E978">
        <v>7</v>
      </c>
      <c r="F978" s="3">
        <v>11.75</v>
      </c>
      <c r="G978" t="s">
        <v>36</v>
      </c>
      <c r="H978">
        <v>71</v>
      </c>
      <c r="I978" t="s">
        <v>34</v>
      </c>
      <c r="J978" s="4">
        <v>62.8</v>
      </c>
      <c r="K978" s="4">
        <v>160.4</v>
      </c>
      <c r="L978" s="4">
        <v>28.4</v>
      </c>
      <c r="M978">
        <v>16</v>
      </c>
      <c r="N978" t="s">
        <v>53</v>
      </c>
      <c r="O978">
        <v>5</v>
      </c>
      <c r="P978" s="4">
        <v>1206</v>
      </c>
      <c r="Q978" t="s">
        <v>42</v>
      </c>
      <c r="R978">
        <v>1</v>
      </c>
      <c r="S978" t="s">
        <v>44</v>
      </c>
      <c r="T978">
        <v>0</v>
      </c>
      <c r="U978">
        <v>0</v>
      </c>
      <c r="V978" t="s">
        <v>32</v>
      </c>
      <c r="W978" t="s">
        <v>57</v>
      </c>
      <c r="X978" s="4">
        <v>8.3000000000000007</v>
      </c>
      <c r="Y978">
        <v>7</v>
      </c>
      <c r="Z978" s="5">
        <v>229.14</v>
      </c>
    </row>
    <row r="979" spans="1:26">
      <c r="A979">
        <v>978</v>
      </c>
      <c r="B979">
        <v>312</v>
      </c>
      <c r="C979" s="2">
        <v>46225</v>
      </c>
      <c r="D979" t="s">
        <v>52</v>
      </c>
      <c r="E979">
        <v>7</v>
      </c>
      <c r="F979" s="3">
        <v>11.89</v>
      </c>
      <c r="G979" t="s">
        <v>36</v>
      </c>
      <c r="H979">
        <v>18</v>
      </c>
      <c r="I979" t="s">
        <v>34</v>
      </c>
      <c r="J979" s="4">
        <v>65.400000000000006</v>
      </c>
      <c r="K979" s="4">
        <v>165</v>
      </c>
      <c r="L979" s="4">
        <v>26.8</v>
      </c>
      <c r="M979">
        <v>11</v>
      </c>
      <c r="N979" t="s">
        <v>53</v>
      </c>
      <c r="O979">
        <v>5</v>
      </c>
      <c r="P979" s="4">
        <v>1206</v>
      </c>
      <c r="Q979" t="s">
        <v>42</v>
      </c>
      <c r="R979">
        <v>1</v>
      </c>
      <c r="S979" t="s">
        <v>44</v>
      </c>
      <c r="T979">
        <v>0</v>
      </c>
      <c r="U979">
        <v>0</v>
      </c>
      <c r="V979" t="s">
        <v>32</v>
      </c>
      <c r="W979" t="s">
        <v>57</v>
      </c>
      <c r="X979" s="4">
        <v>10.199999999999999</v>
      </c>
      <c r="Y979">
        <v>11</v>
      </c>
      <c r="Z979" s="5">
        <v>401.47</v>
      </c>
    </row>
    <row r="980" spans="1:26">
      <c r="A980">
        <v>979</v>
      </c>
      <c r="B980">
        <v>312</v>
      </c>
      <c r="C980" s="2">
        <v>46225</v>
      </c>
      <c r="D980" t="s">
        <v>52</v>
      </c>
      <c r="E980">
        <v>7</v>
      </c>
      <c r="F980" s="3">
        <v>11.84</v>
      </c>
      <c r="G980" t="s">
        <v>36</v>
      </c>
      <c r="H980">
        <v>30</v>
      </c>
      <c r="I980" t="s">
        <v>28</v>
      </c>
      <c r="J980" s="4">
        <v>67.3</v>
      </c>
      <c r="K980" s="4">
        <v>181.9</v>
      </c>
      <c r="L980" s="4">
        <v>28.1</v>
      </c>
      <c r="M980">
        <v>14</v>
      </c>
      <c r="N980" t="s">
        <v>53</v>
      </c>
      <c r="O980">
        <v>5</v>
      </c>
      <c r="P980" s="4">
        <v>1206</v>
      </c>
      <c r="Q980" t="s">
        <v>42</v>
      </c>
      <c r="R980">
        <v>1</v>
      </c>
      <c r="S980" t="s">
        <v>44</v>
      </c>
      <c r="T980">
        <v>0</v>
      </c>
      <c r="U980">
        <v>0</v>
      </c>
      <c r="V980" t="s">
        <v>32</v>
      </c>
      <c r="W980" t="s">
        <v>57</v>
      </c>
      <c r="X980" s="4">
        <v>9</v>
      </c>
      <c r="Y980">
        <v>5</v>
      </c>
      <c r="Z980" s="5">
        <v>144.16999999999999</v>
      </c>
    </row>
    <row r="981" spans="1:26">
      <c r="A981">
        <v>980</v>
      </c>
      <c r="B981">
        <v>312</v>
      </c>
      <c r="C981" s="2">
        <v>46225</v>
      </c>
      <c r="D981" t="s">
        <v>52</v>
      </c>
      <c r="E981">
        <v>7</v>
      </c>
      <c r="F981" s="3">
        <v>11.63</v>
      </c>
      <c r="G981" t="s">
        <v>36</v>
      </c>
      <c r="H981">
        <v>51</v>
      </c>
      <c r="I981" t="s">
        <v>28</v>
      </c>
      <c r="J981" s="4">
        <v>65.900000000000006</v>
      </c>
      <c r="K981" s="4">
        <v>171.5</v>
      </c>
      <c r="L981" s="4">
        <v>27.7</v>
      </c>
      <c r="M981">
        <v>14</v>
      </c>
      <c r="N981" t="s">
        <v>53</v>
      </c>
      <c r="O981">
        <v>5</v>
      </c>
      <c r="P981" s="4">
        <v>1206</v>
      </c>
      <c r="Q981" t="s">
        <v>42</v>
      </c>
      <c r="R981">
        <v>1</v>
      </c>
      <c r="S981" t="s">
        <v>44</v>
      </c>
      <c r="T981">
        <v>0</v>
      </c>
      <c r="U981">
        <v>0</v>
      </c>
      <c r="V981" t="s">
        <v>32</v>
      </c>
      <c r="W981" t="s">
        <v>57</v>
      </c>
      <c r="X981" s="4">
        <v>9</v>
      </c>
      <c r="Y981">
        <v>12</v>
      </c>
      <c r="Z981" s="5">
        <v>420.92</v>
      </c>
    </row>
    <row r="982" spans="1:26">
      <c r="A982">
        <v>981</v>
      </c>
      <c r="B982">
        <v>313</v>
      </c>
      <c r="C982" s="2">
        <v>46269</v>
      </c>
      <c r="D982" t="s">
        <v>26</v>
      </c>
      <c r="E982">
        <v>9</v>
      </c>
      <c r="F982" s="3">
        <v>12.72</v>
      </c>
      <c r="G982" t="s">
        <v>36</v>
      </c>
      <c r="H982">
        <v>51</v>
      </c>
      <c r="I982" t="s">
        <v>34</v>
      </c>
      <c r="J982" s="4">
        <v>58.2</v>
      </c>
      <c r="K982" s="4">
        <v>88.9</v>
      </c>
      <c r="L982" s="4">
        <v>18.399999999999999</v>
      </c>
      <c r="M982">
        <v>16</v>
      </c>
      <c r="N982" t="s">
        <v>61</v>
      </c>
      <c r="O982">
        <v>2</v>
      </c>
      <c r="P982" s="4">
        <v>1906.5</v>
      </c>
      <c r="Q982" t="s">
        <v>48</v>
      </c>
      <c r="R982">
        <v>0</v>
      </c>
      <c r="S982" t="s">
        <v>31</v>
      </c>
      <c r="T982">
        <v>0</v>
      </c>
      <c r="U982">
        <v>1</v>
      </c>
      <c r="V982" t="s">
        <v>32</v>
      </c>
      <c r="W982" t="s">
        <v>39</v>
      </c>
      <c r="X982" s="4">
        <v>8.5</v>
      </c>
      <c r="Y982">
        <v>18</v>
      </c>
      <c r="Z982" s="5">
        <v>341.94</v>
      </c>
    </row>
    <row r="983" spans="1:26">
      <c r="A983">
        <v>982</v>
      </c>
      <c r="B983">
        <v>313</v>
      </c>
      <c r="C983" s="2">
        <v>46269</v>
      </c>
      <c r="D983" t="s">
        <v>26</v>
      </c>
      <c r="E983">
        <v>9</v>
      </c>
      <c r="F983" s="3">
        <v>12.75</v>
      </c>
      <c r="G983" t="s">
        <v>36</v>
      </c>
      <c r="H983">
        <v>23</v>
      </c>
      <c r="I983" t="s">
        <v>34</v>
      </c>
      <c r="J983" s="4">
        <v>66.099999999999994</v>
      </c>
      <c r="K983" s="4">
        <v>176.7</v>
      </c>
      <c r="L983" s="4">
        <v>28.7</v>
      </c>
      <c r="M983">
        <v>16</v>
      </c>
      <c r="N983" t="s">
        <v>61</v>
      </c>
      <c r="O983">
        <v>2</v>
      </c>
      <c r="P983" s="4">
        <v>1906.5</v>
      </c>
      <c r="Q983" t="s">
        <v>48</v>
      </c>
      <c r="R983">
        <v>0</v>
      </c>
      <c r="S983" t="s">
        <v>31</v>
      </c>
      <c r="T983">
        <v>0</v>
      </c>
      <c r="U983">
        <v>1</v>
      </c>
      <c r="V983" t="s">
        <v>32</v>
      </c>
      <c r="W983" t="s">
        <v>39</v>
      </c>
      <c r="X983" s="4">
        <v>7.4</v>
      </c>
      <c r="Y983">
        <v>9</v>
      </c>
      <c r="Z983" s="5">
        <v>311.16000000000003</v>
      </c>
    </row>
    <row r="984" spans="1:26">
      <c r="A984">
        <v>983</v>
      </c>
      <c r="B984">
        <v>314</v>
      </c>
      <c r="C984" s="2">
        <v>46102</v>
      </c>
      <c r="D984" t="s">
        <v>40</v>
      </c>
      <c r="E984">
        <v>3</v>
      </c>
      <c r="F984" s="3">
        <v>11.03</v>
      </c>
      <c r="G984" t="s">
        <v>36</v>
      </c>
      <c r="H984">
        <v>56</v>
      </c>
      <c r="I984" t="s">
        <v>34</v>
      </c>
      <c r="J984" s="4">
        <v>65.3</v>
      </c>
      <c r="K984" s="4">
        <v>140.6</v>
      </c>
      <c r="L984" s="4">
        <v>23.2</v>
      </c>
      <c r="M984">
        <v>14</v>
      </c>
      <c r="N984" t="s">
        <v>60</v>
      </c>
      <c r="O984">
        <v>6</v>
      </c>
      <c r="P984" s="4">
        <v>1874.3</v>
      </c>
      <c r="Q984" t="s">
        <v>42</v>
      </c>
      <c r="R984">
        <v>1</v>
      </c>
      <c r="S984" t="s">
        <v>44</v>
      </c>
      <c r="T984">
        <v>0</v>
      </c>
      <c r="U984">
        <v>0</v>
      </c>
      <c r="V984" t="s">
        <v>32</v>
      </c>
      <c r="W984" t="s">
        <v>39</v>
      </c>
      <c r="X984" s="4">
        <v>8.3000000000000007</v>
      </c>
      <c r="Y984">
        <v>12</v>
      </c>
      <c r="Z984" s="5">
        <v>172.29</v>
      </c>
    </row>
    <row r="985" spans="1:26">
      <c r="A985">
        <v>984</v>
      </c>
      <c r="B985">
        <v>314</v>
      </c>
      <c r="C985" s="2">
        <v>46102</v>
      </c>
      <c r="D985" t="s">
        <v>40</v>
      </c>
      <c r="E985">
        <v>3</v>
      </c>
      <c r="F985" s="3">
        <v>10.94</v>
      </c>
      <c r="G985" t="s">
        <v>27</v>
      </c>
      <c r="H985">
        <v>11</v>
      </c>
      <c r="I985" t="s">
        <v>28</v>
      </c>
      <c r="J985" s="4">
        <v>63.2</v>
      </c>
      <c r="K985" s="4">
        <v>97.9</v>
      </c>
      <c r="L985" s="4">
        <v>17.399999999999999</v>
      </c>
      <c r="M985">
        <v>9</v>
      </c>
      <c r="N985" t="s">
        <v>60</v>
      </c>
      <c r="O985">
        <v>6</v>
      </c>
      <c r="P985" s="4">
        <v>1874.3</v>
      </c>
      <c r="Q985" t="s">
        <v>42</v>
      </c>
      <c r="R985">
        <v>1</v>
      </c>
      <c r="S985" t="s">
        <v>44</v>
      </c>
      <c r="T985">
        <v>0</v>
      </c>
      <c r="U985">
        <v>0</v>
      </c>
      <c r="V985" t="s">
        <v>32</v>
      </c>
      <c r="W985" t="s">
        <v>39</v>
      </c>
      <c r="X985" s="4">
        <v>9.1999999999999993</v>
      </c>
      <c r="Y985">
        <v>6</v>
      </c>
      <c r="Z985" s="5">
        <v>238.95</v>
      </c>
    </row>
    <row r="986" spans="1:26">
      <c r="A986">
        <v>985</v>
      </c>
      <c r="B986">
        <v>314</v>
      </c>
      <c r="C986" s="2">
        <v>46102</v>
      </c>
      <c r="D986" t="s">
        <v>40</v>
      </c>
      <c r="E986">
        <v>3</v>
      </c>
      <c r="F986" s="3">
        <v>11.09</v>
      </c>
      <c r="G986" t="s">
        <v>36</v>
      </c>
      <c r="H986">
        <v>64</v>
      </c>
      <c r="I986" t="s">
        <v>34</v>
      </c>
      <c r="J986" s="4">
        <v>66.3</v>
      </c>
      <c r="K986" s="4">
        <v>199.9</v>
      </c>
      <c r="L986" s="4">
        <v>31.9</v>
      </c>
      <c r="M986">
        <v>19</v>
      </c>
      <c r="N986" t="s">
        <v>60</v>
      </c>
      <c r="O986">
        <v>6</v>
      </c>
      <c r="P986" s="4">
        <v>1874.3</v>
      </c>
      <c r="Q986" t="s">
        <v>42</v>
      </c>
      <c r="R986">
        <v>1</v>
      </c>
      <c r="S986" t="s">
        <v>44</v>
      </c>
      <c r="T986">
        <v>0</v>
      </c>
      <c r="U986">
        <v>0</v>
      </c>
      <c r="V986" t="s">
        <v>32</v>
      </c>
      <c r="W986" t="s">
        <v>39</v>
      </c>
      <c r="X986" s="4">
        <v>9.1999999999999993</v>
      </c>
      <c r="Y986">
        <v>10</v>
      </c>
      <c r="Z986" s="5">
        <v>254.84</v>
      </c>
    </row>
    <row r="987" spans="1:26">
      <c r="A987">
        <v>986</v>
      </c>
      <c r="B987">
        <v>314</v>
      </c>
      <c r="C987" s="2">
        <v>46102</v>
      </c>
      <c r="D987" t="s">
        <v>40</v>
      </c>
      <c r="E987">
        <v>3</v>
      </c>
      <c r="F987" s="3">
        <v>10.89</v>
      </c>
      <c r="G987" t="s">
        <v>27</v>
      </c>
      <c r="H987">
        <v>66</v>
      </c>
      <c r="I987" t="s">
        <v>28</v>
      </c>
      <c r="J987" s="4">
        <v>67.2</v>
      </c>
      <c r="K987" s="4">
        <v>157.1</v>
      </c>
      <c r="L987" s="4">
        <v>24.4</v>
      </c>
      <c r="M987">
        <v>18</v>
      </c>
      <c r="N987" t="s">
        <v>60</v>
      </c>
      <c r="O987">
        <v>6</v>
      </c>
      <c r="P987" s="4">
        <v>1874.3</v>
      </c>
      <c r="Q987" t="s">
        <v>42</v>
      </c>
      <c r="R987">
        <v>1</v>
      </c>
      <c r="S987" t="s">
        <v>44</v>
      </c>
      <c r="T987">
        <v>0</v>
      </c>
      <c r="U987">
        <v>0</v>
      </c>
      <c r="V987" t="s">
        <v>32</v>
      </c>
      <c r="W987" t="s">
        <v>39</v>
      </c>
      <c r="X987" s="4">
        <v>8.1</v>
      </c>
      <c r="Y987">
        <v>3</v>
      </c>
      <c r="Z987" s="5">
        <v>217.46</v>
      </c>
    </row>
    <row r="988" spans="1:26">
      <c r="A988">
        <v>987</v>
      </c>
      <c r="B988">
        <v>314</v>
      </c>
      <c r="C988" s="2">
        <v>46102</v>
      </c>
      <c r="D988" t="s">
        <v>40</v>
      </c>
      <c r="E988">
        <v>3</v>
      </c>
      <c r="F988" s="3">
        <v>11.1</v>
      </c>
      <c r="G988" t="s">
        <v>36</v>
      </c>
      <c r="H988">
        <v>43</v>
      </c>
      <c r="I988" t="s">
        <v>34</v>
      </c>
      <c r="J988" s="4">
        <v>65</v>
      </c>
      <c r="K988" s="4">
        <v>157</v>
      </c>
      <c r="L988" s="4">
        <v>26.3</v>
      </c>
      <c r="M988">
        <v>14</v>
      </c>
      <c r="N988" t="s">
        <v>60</v>
      </c>
      <c r="O988">
        <v>6</v>
      </c>
      <c r="P988" s="4">
        <v>1874.3</v>
      </c>
      <c r="Q988" t="s">
        <v>42</v>
      </c>
      <c r="R988">
        <v>1</v>
      </c>
      <c r="S988" t="s">
        <v>44</v>
      </c>
      <c r="T988">
        <v>0</v>
      </c>
      <c r="U988">
        <v>0</v>
      </c>
      <c r="V988" t="s">
        <v>32</v>
      </c>
      <c r="W988" t="s">
        <v>39</v>
      </c>
      <c r="X988" s="4">
        <v>8.9</v>
      </c>
      <c r="Y988">
        <v>6</v>
      </c>
      <c r="Z988" s="5">
        <v>180.46</v>
      </c>
    </row>
    <row r="989" spans="1:26">
      <c r="A989">
        <v>988</v>
      </c>
      <c r="B989">
        <v>314</v>
      </c>
      <c r="C989" s="2">
        <v>46102</v>
      </c>
      <c r="D989" t="s">
        <v>40</v>
      </c>
      <c r="E989">
        <v>3</v>
      </c>
      <c r="F989" s="3">
        <v>10.88</v>
      </c>
      <c r="G989" t="s">
        <v>27</v>
      </c>
      <c r="H989">
        <v>5</v>
      </c>
      <c r="I989" t="s">
        <v>28</v>
      </c>
      <c r="J989" s="4">
        <v>50.4</v>
      </c>
      <c r="K989" s="4">
        <v>72.099999999999994</v>
      </c>
      <c r="L989" s="4">
        <v>20</v>
      </c>
      <c r="M989">
        <v>16</v>
      </c>
      <c r="N989" t="s">
        <v>60</v>
      </c>
      <c r="O989">
        <v>6</v>
      </c>
      <c r="P989" s="4">
        <v>1874.3</v>
      </c>
      <c r="Q989" t="s">
        <v>42</v>
      </c>
      <c r="R989">
        <v>1</v>
      </c>
      <c r="S989" t="s">
        <v>44</v>
      </c>
      <c r="T989">
        <v>0</v>
      </c>
      <c r="U989">
        <v>0</v>
      </c>
      <c r="V989" t="s">
        <v>32</v>
      </c>
      <c r="W989" t="s">
        <v>39</v>
      </c>
      <c r="X989" s="4">
        <v>10.3</v>
      </c>
      <c r="Y989">
        <v>12</v>
      </c>
      <c r="Z989" s="5">
        <v>223.21</v>
      </c>
    </row>
    <row r="990" spans="1:26">
      <c r="A990">
        <v>989</v>
      </c>
      <c r="B990">
        <v>315</v>
      </c>
      <c r="C990" s="2">
        <v>46067</v>
      </c>
      <c r="D990" t="s">
        <v>40</v>
      </c>
      <c r="E990">
        <v>2</v>
      </c>
      <c r="F990" s="3">
        <v>10.64</v>
      </c>
      <c r="G990" t="s">
        <v>27</v>
      </c>
      <c r="H990">
        <v>13</v>
      </c>
      <c r="I990" t="s">
        <v>34</v>
      </c>
      <c r="J990" s="4">
        <v>70</v>
      </c>
      <c r="K990" s="4">
        <v>112</v>
      </c>
      <c r="L990" s="4">
        <v>16.100000000000001</v>
      </c>
      <c r="M990">
        <v>9</v>
      </c>
      <c r="N990" t="s">
        <v>47</v>
      </c>
      <c r="O990">
        <v>2</v>
      </c>
      <c r="P990" s="4">
        <v>110.1</v>
      </c>
      <c r="Q990" t="s">
        <v>30</v>
      </c>
      <c r="R990">
        <v>0</v>
      </c>
      <c r="S990" t="s">
        <v>38</v>
      </c>
      <c r="T990">
        <v>0</v>
      </c>
      <c r="U990">
        <v>0</v>
      </c>
      <c r="V990" t="s">
        <v>32</v>
      </c>
      <c r="W990" t="s">
        <v>39</v>
      </c>
      <c r="X990" s="4">
        <v>10.4</v>
      </c>
      <c r="Y990">
        <v>6</v>
      </c>
      <c r="Z990" s="5">
        <v>140.61000000000001</v>
      </c>
    </row>
    <row r="991" spans="1:26">
      <c r="A991">
        <v>990</v>
      </c>
      <c r="B991">
        <v>315</v>
      </c>
      <c r="C991" s="2">
        <v>46067</v>
      </c>
      <c r="D991" t="s">
        <v>40</v>
      </c>
      <c r="E991">
        <v>2</v>
      </c>
      <c r="F991" s="3">
        <v>10.58</v>
      </c>
      <c r="G991" t="s">
        <v>27</v>
      </c>
      <c r="H991">
        <v>31</v>
      </c>
      <c r="I991" t="s">
        <v>28</v>
      </c>
      <c r="J991" s="4">
        <v>74.900000000000006</v>
      </c>
      <c r="K991" s="4">
        <v>235.4</v>
      </c>
      <c r="L991" s="4">
        <v>29.6</v>
      </c>
      <c r="M991">
        <v>12</v>
      </c>
      <c r="N991" t="s">
        <v>47</v>
      </c>
      <c r="O991">
        <v>2</v>
      </c>
      <c r="P991" s="4">
        <v>110.1</v>
      </c>
      <c r="Q991" t="s">
        <v>30</v>
      </c>
      <c r="R991">
        <v>0</v>
      </c>
      <c r="S991" t="s">
        <v>38</v>
      </c>
      <c r="T991">
        <v>0</v>
      </c>
      <c r="U991">
        <v>0</v>
      </c>
      <c r="V991" t="s">
        <v>32</v>
      </c>
      <c r="W991" t="s">
        <v>39</v>
      </c>
      <c r="X991" s="4">
        <v>10.9</v>
      </c>
      <c r="Y991">
        <v>9</v>
      </c>
      <c r="Z991" s="5">
        <v>165.5</v>
      </c>
    </row>
    <row r="992" spans="1:26">
      <c r="A992">
        <v>991</v>
      </c>
      <c r="B992">
        <v>316</v>
      </c>
      <c r="C992" s="2">
        <v>46237</v>
      </c>
      <c r="D992" t="s">
        <v>46</v>
      </c>
      <c r="E992">
        <v>8</v>
      </c>
      <c r="F992" s="3">
        <v>9.44</v>
      </c>
      <c r="G992" t="s">
        <v>27</v>
      </c>
      <c r="H992">
        <v>35</v>
      </c>
      <c r="I992" t="s">
        <v>34</v>
      </c>
      <c r="J992" s="4">
        <v>62.5</v>
      </c>
      <c r="K992" s="4">
        <v>130.9</v>
      </c>
      <c r="L992" s="4">
        <v>23.5</v>
      </c>
      <c r="M992">
        <v>13</v>
      </c>
      <c r="N992" t="s">
        <v>37</v>
      </c>
      <c r="O992">
        <v>2</v>
      </c>
      <c r="P992" s="4">
        <v>1215.4000000000001</v>
      </c>
      <c r="Q992" t="s">
        <v>30</v>
      </c>
      <c r="R992">
        <v>1</v>
      </c>
      <c r="S992" t="s">
        <v>31</v>
      </c>
      <c r="T992">
        <v>0</v>
      </c>
      <c r="U992">
        <v>0</v>
      </c>
      <c r="V992" t="s">
        <v>32</v>
      </c>
      <c r="W992" t="s">
        <v>49</v>
      </c>
      <c r="X992" s="4">
        <v>7.7</v>
      </c>
      <c r="Y992">
        <v>8</v>
      </c>
      <c r="Z992" s="5">
        <v>129.82</v>
      </c>
    </row>
    <row r="993" spans="1:26">
      <c r="A993">
        <v>992</v>
      </c>
      <c r="B993">
        <v>316</v>
      </c>
      <c r="C993" s="2">
        <v>46237</v>
      </c>
      <c r="D993" t="s">
        <v>46</v>
      </c>
      <c r="E993">
        <v>8</v>
      </c>
      <c r="F993" s="3">
        <v>9.5299999999999994</v>
      </c>
      <c r="G993" t="s">
        <v>27</v>
      </c>
      <c r="H993">
        <v>60</v>
      </c>
      <c r="I993" t="s">
        <v>28</v>
      </c>
      <c r="J993" s="4">
        <v>65.3</v>
      </c>
      <c r="K993" s="4">
        <v>125.7</v>
      </c>
      <c r="L993" s="4">
        <v>20.8</v>
      </c>
      <c r="M993">
        <v>16</v>
      </c>
      <c r="N993" t="s">
        <v>37</v>
      </c>
      <c r="O993">
        <v>2</v>
      </c>
      <c r="P993" s="4">
        <v>1215.4000000000001</v>
      </c>
      <c r="Q993" t="s">
        <v>30</v>
      </c>
      <c r="R993">
        <v>1</v>
      </c>
      <c r="S993" t="s">
        <v>31</v>
      </c>
      <c r="T993">
        <v>0</v>
      </c>
      <c r="U993">
        <v>0</v>
      </c>
      <c r="V993" t="s">
        <v>32</v>
      </c>
      <c r="W993" t="s">
        <v>49</v>
      </c>
      <c r="X993" s="4">
        <v>10.1</v>
      </c>
      <c r="Y993">
        <v>10</v>
      </c>
      <c r="Z993" s="5">
        <v>250.54</v>
      </c>
    </row>
    <row r="994" spans="1:26">
      <c r="A994">
        <v>993</v>
      </c>
      <c r="B994">
        <v>317</v>
      </c>
      <c r="C994" s="2">
        <v>46342</v>
      </c>
      <c r="D994" t="s">
        <v>46</v>
      </c>
      <c r="E994">
        <v>11</v>
      </c>
      <c r="F994" s="3">
        <v>12.48</v>
      </c>
      <c r="G994" t="s">
        <v>36</v>
      </c>
      <c r="H994">
        <v>38</v>
      </c>
      <c r="I994" t="s">
        <v>34</v>
      </c>
      <c r="J994" s="4">
        <v>63.8</v>
      </c>
      <c r="K994" s="4">
        <v>124.1</v>
      </c>
      <c r="L994" s="4">
        <v>21.2</v>
      </c>
      <c r="M994">
        <v>11</v>
      </c>
      <c r="N994" t="s">
        <v>60</v>
      </c>
      <c r="O994">
        <v>6</v>
      </c>
      <c r="P994" s="4">
        <v>1404.1</v>
      </c>
      <c r="Q994" t="s">
        <v>30</v>
      </c>
      <c r="R994">
        <v>0</v>
      </c>
      <c r="S994" t="s">
        <v>44</v>
      </c>
      <c r="T994">
        <v>0</v>
      </c>
      <c r="U994">
        <v>0</v>
      </c>
      <c r="V994" t="s">
        <v>32</v>
      </c>
      <c r="W994" t="s">
        <v>39</v>
      </c>
      <c r="X994" s="4">
        <v>8</v>
      </c>
      <c r="Y994">
        <v>8</v>
      </c>
      <c r="Z994" s="5">
        <v>142.13</v>
      </c>
    </row>
    <row r="995" spans="1:26">
      <c r="A995">
        <v>994</v>
      </c>
      <c r="B995">
        <v>317</v>
      </c>
      <c r="C995" s="2">
        <v>46342</v>
      </c>
      <c r="D995" t="s">
        <v>46</v>
      </c>
      <c r="E995">
        <v>11</v>
      </c>
      <c r="F995" s="3">
        <v>12.41</v>
      </c>
      <c r="G995" t="s">
        <v>36</v>
      </c>
      <c r="H995">
        <v>16</v>
      </c>
      <c r="I995" t="s">
        <v>34</v>
      </c>
      <c r="J995" s="4">
        <v>70</v>
      </c>
      <c r="K995" s="4">
        <v>169.4</v>
      </c>
      <c r="L995" s="4">
        <v>24.3</v>
      </c>
      <c r="M995">
        <v>9</v>
      </c>
      <c r="N995" t="s">
        <v>60</v>
      </c>
      <c r="O995">
        <v>6</v>
      </c>
      <c r="P995" s="4">
        <v>1404.1</v>
      </c>
      <c r="Q995" t="s">
        <v>30</v>
      </c>
      <c r="R995">
        <v>0</v>
      </c>
      <c r="S995" t="s">
        <v>44</v>
      </c>
      <c r="T995">
        <v>0</v>
      </c>
      <c r="U995">
        <v>0</v>
      </c>
      <c r="V995" t="s">
        <v>32</v>
      </c>
      <c r="W995" t="s">
        <v>39</v>
      </c>
      <c r="X995" s="4">
        <v>8.1999999999999993</v>
      </c>
      <c r="Y995">
        <v>6</v>
      </c>
      <c r="Z995" s="5">
        <v>188.3</v>
      </c>
    </row>
    <row r="996" spans="1:26">
      <c r="A996">
        <v>995</v>
      </c>
      <c r="B996">
        <v>317</v>
      </c>
      <c r="C996" s="2">
        <v>46342</v>
      </c>
      <c r="D996" t="s">
        <v>46</v>
      </c>
      <c r="E996">
        <v>11</v>
      </c>
      <c r="F996" s="3">
        <v>12.38</v>
      </c>
      <c r="G996" t="s">
        <v>36</v>
      </c>
      <c r="H996">
        <v>31</v>
      </c>
      <c r="I996" t="s">
        <v>34</v>
      </c>
      <c r="J996" s="4">
        <v>63.5</v>
      </c>
      <c r="K996" s="4">
        <v>127.7</v>
      </c>
      <c r="L996" s="4">
        <v>22.3</v>
      </c>
      <c r="M996">
        <v>18</v>
      </c>
      <c r="N996" t="s">
        <v>60</v>
      </c>
      <c r="O996">
        <v>6</v>
      </c>
      <c r="P996" s="4">
        <v>1404.1</v>
      </c>
      <c r="Q996" t="s">
        <v>30</v>
      </c>
      <c r="R996">
        <v>0</v>
      </c>
      <c r="S996" t="s">
        <v>44</v>
      </c>
      <c r="T996">
        <v>0</v>
      </c>
      <c r="U996">
        <v>0</v>
      </c>
      <c r="V996" t="s">
        <v>32</v>
      </c>
      <c r="W996" t="s">
        <v>39</v>
      </c>
      <c r="X996" s="4">
        <v>6.2</v>
      </c>
      <c r="Y996">
        <v>6</v>
      </c>
      <c r="Z996" s="5">
        <v>188.94</v>
      </c>
    </row>
    <row r="997" spans="1:26">
      <c r="A997">
        <v>996</v>
      </c>
      <c r="B997">
        <v>317</v>
      </c>
      <c r="C997" s="2">
        <v>46342</v>
      </c>
      <c r="D997" t="s">
        <v>46</v>
      </c>
      <c r="E997">
        <v>11</v>
      </c>
      <c r="F997" s="3">
        <v>12.49</v>
      </c>
      <c r="G997" t="s">
        <v>36</v>
      </c>
      <c r="H997">
        <v>45</v>
      </c>
      <c r="I997" t="s">
        <v>28</v>
      </c>
      <c r="J997" s="4">
        <v>68.5</v>
      </c>
      <c r="K997" s="4">
        <v>187</v>
      </c>
      <c r="L997" s="4">
        <v>28.3</v>
      </c>
      <c r="M997">
        <v>17</v>
      </c>
      <c r="N997" t="s">
        <v>60</v>
      </c>
      <c r="O997">
        <v>6</v>
      </c>
      <c r="P997" s="4">
        <v>1404.1</v>
      </c>
      <c r="Q997" t="s">
        <v>30</v>
      </c>
      <c r="R997">
        <v>0</v>
      </c>
      <c r="S997" t="s">
        <v>44</v>
      </c>
      <c r="T997">
        <v>0</v>
      </c>
      <c r="U997">
        <v>0</v>
      </c>
      <c r="V997" t="s">
        <v>32</v>
      </c>
      <c r="W997" t="s">
        <v>39</v>
      </c>
      <c r="X997" s="4">
        <v>8.6999999999999993</v>
      </c>
      <c r="Y997">
        <v>9</v>
      </c>
      <c r="Z997" s="5">
        <v>294.14</v>
      </c>
    </row>
    <row r="998" spans="1:26">
      <c r="A998">
        <v>997</v>
      </c>
      <c r="B998">
        <v>317</v>
      </c>
      <c r="C998" s="2">
        <v>46342</v>
      </c>
      <c r="D998" t="s">
        <v>46</v>
      </c>
      <c r="E998">
        <v>11</v>
      </c>
      <c r="F998" s="3">
        <v>12.61</v>
      </c>
      <c r="G998" t="s">
        <v>36</v>
      </c>
      <c r="H998">
        <v>60</v>
      </c>
      <c r="I998" t="s">
        <v>28</v>
      </c>
      <c r="J998" s="4">
        <v>70</v>
      </c>
      <c r="K998" s="4">
        <v>208.1</v>
      </c>
      <c r="L998" s="4">
        <v>29.7</v>
      </c>
      <c r="M998">
        <v>16</v>
      </c>
      <c r="N998" t="s">
        <v>60</v>
      </c>
      <c r="O998">
        <v>6</v>
      </c>
      <c r="P998" s="4">
        <v>1404.1</v>
      </c>
      <c r="Q998" t="s">
        <v>30</v>
      </c>
      <c r="R998">
        <v>0</v>
      </c>
      <c r="S998" t="s">
        <v>44</v>
      </c>
      <c r="T998">
        <v>0</v>
      </c>
      <c r="U998">
        <v>0</v>
      </c>
      <c r="V998" t="s">
        <v>32</v>
      </c>
      <c r="W998" t="s">
        <v>39</v>
      </c>
      <c r="X998" s="4">
        <v>4.8</v>
      </c>
      <c r="Y998">
        <v>8</v>
      </c>
      <c r="Z998" s="5">
        <v>126.91</v>
      </c>
    </row>
    <row r="999" spans="1:26">
      <c r="A999">
        <v>998</v>
      </c>
      <c r="B999">
        <v>317</v>
      </c>
      <c r="C999" s="2">
        <v>46342</v>
      </c>
      <c r="D999" t="s">
        <v>46</v>
      </c>
      <c r="E999">
        <v>11</v>
      </c>
      <c r="F999" s="3">
        <v>12.81</v>
      </c>
      <c r="G999" t="s">
        <v>36</v>
      </c>
      <c r="H999">
        <v>60</v>
      </c>
      <c r="I999" t="s">
        <v>34</v>
      </c>
      <c r="J999" s="4">
        <v>63.2</v>
      </c>
      <c r="K999" s="4">
        <v>138.4</v>
      </c>
      <c r="L999" s="4">
        <v>24.4</v>
      </c>
      <c r="M999">
        <v>15</v>
      </c>
      <c r="N999" t="s">
        <v>60</v>
      </c>
      <c r="O999">
        <v>6</v>
      </c>
      <c r="P999" s="4">
        <v>1404.1</v>
      </c>
      <c r="Q999" t="s">
        <v>30</v>
      </c>
      <c r="R999">
        <v>0</v>
      </c>
      <c r="S999" t="s">
        <v>44</v>
      </c>
      <c r="T999">
        <v>0</v>
      </c>
      <c r="U999">
        <v>0</v>
      </c>
      <c r="V999" t="s">
        <v>32</v>
      </c>
      <c r="W999" t="s">
        <v>39</v>
      </c>
      <c r="X999" s="4">
        <v>8.1</v>
      </c>
      <c r="Y999">
        <v>6</v>
      </c>
      <c r="Z999" s="5">
        <v>184.89</v>
      </c>
    </row>
    <row r="1000" spans="1:26">
      <c r="A1000">
        <v>999</v>
      </c>
      <c r="B1000">
        <v>318</v>
      </c>
      <c r="C1000" s="2">
        <v>46204</v>
      </c>
      <c r="D1000" t="s">
        <v>52</v>
      </c>
      <c r="E1000">
        <v>7</v>
      </c>
      <c r="F1000" s="3">
        <v>7.7</v>
      </c>
      <c r="G1000" t="s">
        <v>27</v>
      </c>
      <c r="H1000">
        <v>36</v>
      </c>
      <c r="I1000" t="s">
        <v>28</v>
      </c>
      <c r="J1000" s="4">
        <v>70.099999999999994</v>
      </c>
      <c r="K1000" s="4">
        <v>193</v>
      </c>
      <c r="L1000" s="4">
        <v>27.4</v>
      </c>
      <c r="M1000">
        <v>18</v>
      </c>
      <c r="N1000" t="s">
        <v>50</v>
      </c>
      <c r="O1000">
        <v>3</v>
      </c>
      <c r="P1000" s="4">
        <v>568.70000000000005</v>
      </c>
      <c r="Q1000" t="s">
        <v>30</v>
      </c>
      <c r="R1000">
        <v>0</v>
      </c>
      <c r="S1000" t="s">
        <v>38</v>
      </c>
      <c r="T1000">
        <v>0</v>
      </c>
      <c r="U1000">
        <v>1</v>
      </c>
      <c r="V1000" t="s">
        <v>32</v>
      </c>
      <c r="W1000" t="s">
        <v>33</v>
      </c>
      <c r="X1000" s="4">
        <v>7.1</v>
      </c>
      <c r="Y1000">
        <v>6</v>
      </c>
      <c r="Z1000" s="5">
        <v>184.95</v>
      </c>
    </row>
    <row r="1001" spans="1:26">
      <c r="A1001">
        <v>1000</v>
      </c>
      <c r="B1001">
        <v>318</v>
      </c>
      <c r="C1001" s="2">
        <v>46204</v>
      </c>
      <c r="D1001" t="s">
        <v>52</v>
      </c>
      <c r="E1001">
        <v>7</v>
      </c>
      <c r="F1001" s="3">
        <v>7.73</v>
      </c>
      <c r="G1001" t="s">
        <v>27</v>
      </c>
      <c r="H1001">
        <v>60</v>
      </c>
      <c r="I1001" t="s">
        <v>34</v>
      </c>
      <c r="J1001" s="4">
        <v>62.7</v>
      </c>
      <c r="K1001" s="4">
        <v>158.1</v>
      </c>
      <c r="L1001" s="4">
        <v>28.6</v>
      </c>
      <c r="M1001">
        <v>13</v>
      </c>
      <c r="N1001" t="s">
        <v>50</v>
      </c>
      <c r="O1001">
        <v>3</v>
      </c>
      <c r="P1001" s="4">
        <v>568.70000000000005</v>
      </c>
      <c r="Q1001" t="s">
        <v>30</v>
      </c>
      <c r="R1001">
        <v>0</v>
      </c>
      <c r="S1001" t="s">
        <v>38</v>
      </c>
      <c r="T1001">
        <v>0</v>
      </c>
      <c r="U1001">
        <v>1</v>
      </c>
      <c r="V1001" t="s">
        <v>32</v>
      </c>
      <c r="W1001" t="s">
        <v>33</v>
      </c>
      <c r="X1001" s="4">
        <v>10.8</v>
      </c>
      <c r="Y1001">
        <v>7</v>
      </c>
      <c r="Z1001" s="5">
        <v>239.24</v>
      </c>
    </row>
    <row r="1002" spans="1:26">
      <c r="A1002">
        <v>1001</v>
      </c>
      <c r="B1002">
        <v>318</v>
      </c>
      <c r="C1002" s="2">
        <v>46204</v>
      </c>
      <c r="D1002" t="s">
        <v>52</v>
      </c>
      <c r="E1002">
        <v>7</v>
      </c>
      <c r="F1002" s="3">
        <v>7.65</v>
      </c>
      <c r="G1002" t="s">
        <v>27</v>
      </c>
      <c r="H1002">
        <v>49</v>
      </c>
      <c r="I1002" t="s">
        <v>34</v>
      </c>
      <c r="J1002" s="4">
        <v>60.2</v>
      </c>
      <c r="K1002" s="4">
        <v>139.5</v>
      </c>
      <c r="L1002" s="4">
        <v>27.2</v>
      </c>
      <c r="M1002">
        <v>17</v>
      </c>
      <c r="N1002" t="s">
        <v>50</v>
      </c>
      <c r="O1002">
        <v>3</v>
      </c>
      <c r="P1002" s="4">
        <v>568.70000000000005</v>
      </c>
      <c r="Q1002" t="s">
        <v>30</v>
      </c>
      <c r="R1002">
        <v>0</v>
      </c>
      <c r="S1002" t="s">
        <v>38</v>
      </c>
      <c r="T1002">
        <v>0</v>
      </c>
      <c r="U1002">
        <v>1</v>
      </c>
      <c r="V1002" t="s">
        <v>32</v>
      </c>
      <c r="W1002" t="s">
        <v>33</v>
      </c>
      <c r="X1002" s="4">
        <v>7.1</v>
      </c>
      <c r="Y1002">
        <v>7</v>
      </c>
      <c r="Z1002" s="5">
        <v>160.13999999999999</v>
      </c>
    </row>
    <row r="1003" spans="1:26">
      <c r="A1003">
        <v>1002</v>
      </c>
      <c r="B1003">
        <v>319</v>
      </c>
      <c r="C1003" s="2">
        <v>46061</v>
      </c>
      <c r="D1003" t="s">
        <v>58</v>
      </c>
      <c r="E1003">
        <v>2</v>
      </c>
      <c r="F1003" s="3">
        <v>10.15</v>
      </c>
      <c r="G1003" t="s">
        <v>27</v>
      </c>
      <c r="H1003">
        <v>43</v>
      </c>
      <c r="I1003" t="s">
        <v>34</v>
      </c>
      <c r="J1003" s="4">
        <v>65.400000000000006</v>
      </c>
      <c r="K1003" s="4">
        <v>176.4</v>
      </c>
      <c r="L1003" s="4">
        <v>29.1</v>
      </c>
      <c r="M1003">
        <v>15</v>
      </c>
      <c r="N1003" t="s">
        <v>65</v>
      </c>
      <c r="O1003">
        <v>2</v>
      </c>
      <c r="P1003" s="4">
        <v>2232.1</v>
      </c>
      <c r="Q1003" t="s">
        <v>42</v>
      </c>
      <c r="R1003">
        <v>0</v>
      </c>
      <c r="S1003" t="s">
        <v>38</v>
      </c>
      <c r="T1003">
        <v>1</v>
      </c>
      <c r="U1003">
        <v>1</v>
      </c>
      <c r="V1003" t="s">
        <v>45</v>
      </c>
      <c r="W1003" t="s">
        <v>33</v>
      </c>
      <c r="X1003" s="4">
        <v>9.1</v>
      </c>
      <c r="Y1003">
        <v>10</v>
      </c>
      <c r="Z1003" s="5">
        <v>221.99</v>
      </c>
    </row>
    <row r="1004" spans="1:26">
      <c r="A1004">
        <v>1003</v>
      </c>
      <c r="B1004">
        <v>319</v>
      </c>
      <c r="C1004" s="2">
        <v>46061</v>
      </c>
      <c r="D1004" t="s">
        <v>58</v>
      </c>
      <c r="E1004">
        <v>2</v>
      </c>
      <c r="F1004" s="3">
        <v>10.17</v>
      </c>
      <c r="G1004" t="s">
        <v>27</v>
      </c>
      <c r="H1004">
        <v>76</v>
      </c>
      <c r="I1004" t="s">
        <v>34</v>
      </c>
      <c r="J1004" s="4">
        <v>66.8</v>
      </c>
      <c r="K1004" s="4">
        <v>132</v>
      </c>
      <c r="L1004" s="4">
        <v>20.8</v>
      </c>
      <c r="M1004">
        <v>15</v>
      </c>
      <c r="N1004" t="s">
        <v>65</v>
      </c>
      <c r="O1004">
        <v>2</v>
      </c>
      <c r="P1004" s="4">
        <v>2232.1</v>
      </c>
      <c r="Q1004" t="s">
        <v>42</v>
      </c>
      <c r="R1004">
        <v>0</v>
      </c>
      <c r="S1004" t="s">
        <v>38</v>
      </c>
      <c r="T1004">
        <v>1</v>
      </c>
      <c r="U1004">
        <v>1</v>
      </c>
      <c r="V1004" t="s">
        <v>45</v>
      </c>
      <c r="W1004" t="s">
        <v>33</v>
      </c>
      <c r="X1004" s="4">
        <v>9.8000000000000007</v>
      </c>
      <c r="Y1004">
        <v>17</v>
      </c>
      <c r="Z1004" s="5">
        <v>318.32</v>
      </c>
    </row>
    <row r="1005" spans="1:26">
      <c r="A1005">
        <v>1004</v>
      </c>
      <c r="B1005">
        <v>320</v>
      </c>
      <c r="C1005" s="2">
        <v>46227</v>
      </c>
      <c r="D1005" t="s">
        <v>26</v>
      </c>
      <c r="E1005">
        <v>7</v>
      </c>
      <c r="F1005" s="3">
        <v>9.33</v>
      </c>
      <c r="G1005" t="s">
        <v>27</v>
      </c>
      <c r="H1005">
        <v>61</v>
      </c>
      <c r="I1005" t="s">
        <v>28</v>
      </c>
      <c r="J1005" s="4">
        <v>64.3</v>
      </c>
      <c r="K1005" s="4">
        <v>129.19999999999999</v>
      </c>
      <c r="L1005" s="4">
        <v>21.9</v>
      </c>
      <c r="M1005">
        <v>16</v>
      </c>
      <c r="N1005" t="s">
        <v>60</v>
      </c>
      <c r="O1005">
        <v>6</v>
      </c>
      <c r="P1005" s="4">
        <v>1013.2</v>
      </c>
      <c r="Q1005" t="s">
        <v>30</v>
      </c>
      <c r="R1005">
        <v>1</v>
      </c>
      <c r="S1005" t="s">
        <v>31</v>
      </c>
      <c r="T1005">
        <v>0</v>
      </c>
      <c r="U1005">
        <v>1</v>
      </c>
      <c r="V1005" t="s">
        <v>32</v>
      </c>
      <c r="W1005" t="s">
        <v>39</v>
      </c>
      <c r="X1005" s="4">
        <v>11.9</v>
      </c>
      <c r="Y1005">
        <v>16</v>
      </c>
      <c r="Z1005" s="5">
        <v>316.70999999999998</v>
      </c>
    </row>
    <row r="1006" spans="1:26">
      <c r="A1006">
        <v>1005</v>
      </c>
      <c r="B1006">
        <v>320</v>
      </c>
      <c r="C1006" s="2">
        <v>46227</v>
      </c>
      <c r="D1006" t="s">
        <v>26</v>
      </c>
      <c r="E1006">
        <v>7</v>
      </c>
      <c r="F1006" s="3">
        <v>9.56</v>
      </c>
      <c r="G1006" t="s">
        <v>27</v>
      </c>
      <c r="H1006">
        <v>35</v>
      </c>
      <c r="I1006" t="s">
        <v>28</v>
      </c>
      <c r="J1006" s="4">
        <v>77.3</v>
      </c>
      <c r="K1006" s="4">
        <v>221.5</v>
      </c>
      <c r="L1006" s="4">
        <v>25.8</v>
      </c>
      <c r="M1006">
        <v>11</v>
      </c>
      <c r="N1006" t="s">
        <v>60</v>
      </c>
      <c r="O1006">
        <v>6</v>
      </c>
      <c r="P1006" s="4">
        <v>1013.2</v>
      </c>
      <c r="Q1006" t="s">
        <v>30</v>
      </c>
      <c r="R1006">
        <v>1</v>
      </c>
      <c r="S1006" t="s">
        <v>31</v>
      </c>
      <c r="T1006">
        <v>0</v>
      </c>
      <c r="U1006">
        <v>1</v>
      </c>
      <c r="V1006" t="s">
        <v>32</v>
      </c>
      <c r="W1006" t="s">
        <v>39</v>
      </c>
      <c r="X1006" s="4">
        <v>8.6999999999999993</v>
      </c>
      <c r="Y1006">
        <v>11</v>
      </c>
      <c r="Z1006" s="5">
        <v>209.27</v>
      </c>
    </row>
    <row r="1007" spans="1:26">
      <c r="A1007">
        <v>1006</v>
      </c>
      <c r="B1007">
        <v>320</v>
      </c>
      <c r="C1007" s="2">
        <v>46227</v>
      </c>
      <c r="D1007" t="s">
        <v>26</v>
      </c>
      <c r="E1007">
        <v>7</v>
      </c>
      <c r="F1007" s="3">
        <v>9.3699999999999992</v>
      </c>
      <c r="G1007" t="s">
        <v>27</v>
      </c>
      <c r="H1007">
        <v>38</v>
      </c>
      <c r="I1007" t="s">
        <v>28</v>
      </c>
      <c r="J1007" s="4">
        <v>69.2</v>
      </c>
      <c r="K1007" s="4">
        <v>151.5</v>
      </c>
      <c r="L1007" s="4">
        <v>22.2</v>
      </c>
      <c r="M1007">
        <v>13</v>
      </c>
      <c r="N1007" t="s">
        <v>60</v>
      </c>
      <c r="O1007">
        <v>6</v>
      </c>
      <c r="P1007" s="4">
        <v>1013.2</v>
      </c>
      <c r="Q1007" t="s">
        <v>30</v>
      </c>
      <c r="R1007">
        <v>1</v>
      </c>
      <c r="S1007" t="s">
        <v>31</v>
      </c>
      <c r="T1007">
        <v>0</v>
      </c>
      <c r="U1007">
        <v>1</v>
      </c>
      <c r="V1007" t="s">
        <v>32</v>
      </c>
      <c r="W1007" t="s">
        <v>39</v>
      </c>
      <c r="X1007" s="4">
        <v>8.4</v>
      </c>
      <c r="Y1007">
        <v>5</v>
      </c>
      <c r="Z1007" s="5">
        <v>284.33999999999997</v>
      </c>
    </row>
    <row r="1008" spans="1:26">
      <c r="A1008">
        <v>1007</v>
      </c>
      <c r="B1008">
        <v>320</v>
      </c>
      <c r="C1008" s="2">
        <v>46227</v>
      </c>
      <c r="D1008" t="s">
        <v>26</v>
      </c>
      <c r="E1008">
        <v>7</v>
      </c>
      <c r="F1008" s="3">
        <v>9.6</v>
      </c>
      <c r="G1008" t="s">
        <v>27</v>
      </c>
      <c r="H1008">
        <v>75</v>
      </c>
      <c r="I1008" t="s">
        <v>34</v>
      </c>
      <c r="J1008" s="4">
        <v>64.7</v>
      </c>
      <c r="K1008" s="4">
        <v>119.1</v>
      </c>
      <c r="L1008" s="4">
        <v>20</v>
      </c>
      <c r="M1008">
        <v>18</v>
      </c>
      <c r="N1008" t="s">
        <v>60</v>
      </c>
      <c r="O1008">
        <v>6</v>
      </c>
      <c r="P1008" s="4">
        <v>1013.2</v>
      </c>
      <c r="Q1008" t="s">
        <v>30</v>
      </c>
      <c r="R1008">
        <v>1</v>
      </c>
      <c r="S1008" t="s">
        <v>31</v>
      </c>
      <c r="T1008">
        <v>0</v>
      </c>
      <c r="U1008">
        <v>1</v>
      </c>
      <c r="V1008" t="s">
        <v>32</v>
      </c>
      <c r="W1008" t="s">
        <v>39</v>
      </c>
      <c r="X1008" s="4">
        <v>10.8</v>
      </c>
      <c r="Y1008">
        <v>7</v>
      </c>
      <c r="Z1008" s="5">
        <v>334.08</v>
      </c>
    </row>
    <row r="1009" spans="1:26">
      <c r="A1009">
        <v>1008</v>
      </c>
      <c r="B1009">
        <v>320</v>
      </c>
      <c r="C1009" s="2">
        <v>46227</v>
      </c>
      <c r="D1009" t="s">
        <v>26</v>
      </c>
      <c r="E1009">
        <v>7</v>
      </c>
      <c r="F1009" s="3">
        <v>9.49</v>
      </c>
      <c r="G1009" t="s">
        <v>27</v>
      </c>
      <c r="H1009">
        <v>44</v>
      </c>
      <c r="I1009" t="s">
        <v>34</v>
      </c>
      <c r="J1009" s="4">
        <v>62.1</v>
      </c>
      <c r="K1009" s="4">
        <v>150.30000000000001</v>
      </c>
      <c r="L1009" s="4">
        <v>27.3</v>
      </c>
      <c r="M1009">
        <v>15</v>
      </c>
      <c r="N1009" t="s">
        <v>60</v>
      </c>
      <c r="O1009">
        <v>6</v>
      </c>
      <c r="P1009" s="4">
        <v>1013.2</v>
      </c>
      <c r="Q1009" t="s">
        <v>30</v>
      </c>
      <c r="R1009">
        <v>1</v>
      </c>
      <c r="S1009" t="s">
        <v>31</v>
      </c>
      <c r="T1009">
        <v>0</v>
      </c>
      <c r="U1009">
        <v>1</v>
      </c>
      <c r="V1009" t="s">
        <v>32</v>
      </c>
      <c r="W1009" t="s">
        <v>39</v>
      </c>
      <c r="X1009" s="4">
        <v>10</v>
      </c>
      <c r="Y1009">
        <v>7</v>
      </c>
      <c r="Z1009" s="5">
        <v>271.45</v>
      </c>
    </row>
    <row r="1010" spans="1:26">
      <c r="A1010">
        <v>1009</v>
      </c>
      <c r="B1010">
        <v>320</v>
      </c>
      <c r="C1010" s="2">
        <v>46227</v>
      </c>
      <c r="D1010" t="s">
        <v>26</v>
      </c>
      <c r="E1010">
        <v>7</v>
      </c>
      <c r="F1010" s="3">
        <v>9.64</v>
      </c>
      <c r="G1010" t="s">
        <v>27</v>
      </c>
      <c r="H1010">
        <v>55</v>
      </c>
      <c r="I1010" t="s">
        <v>28</v>
      </c>
      <c r="J1010" s="4">
        <v>65.599999999999994</v>
      </c>
      <c r="K1010" s="4">
        <v>147.1</v>
      </c>
      <c r="L1010" s="4">
        <v>24.2</v>
      </c>
      <c r="M1010">
        <v>13</v>
      </c>
      <c r="N1010" t="s">
        <v>60</v>
      </c>
      <c r="O1010">
        <v>6</v>
      </c>
      <c r="P1010" s="4">
        <v>1013.2</v>
      </c>
      <c r="Q1010" t="s">
        <v>30</v>
      </c>
      <c r="R1010">
        <v>1</v>
      </c>
      <c r="S1010" t="s">
        <v>31</v>
      </c>
      <c r="T1010">
        <v>0</v>
      </c>
      <c r="U1010">
        <v>1</v>
      </c>
      <c r="V1010" t="s">
        <v>32</v>
      </c>
      <c r="W1010" t="s">
        <v>39</v>
      </c>
      <c r="X1010" s="4">
        <v>7.7</v>
      </c>
      <c r="Y1010">
        <v>9</v>
      </c>
      <c r="Z1010" s="5">
        <v>293.42</v>
      </c>
    </row>
    <row r="1011" spans="1:26">
      <c r="A1011">
        <v>1010</v>
      </c>
      <c r="B1011">
        <v>321</v>
      </c>
      <c r="C1011" s="2">
        <v>46179</v>
      </c>
      <c r="D1011" t="s">
        <v>40</v>
      </c>
      <c r="E1011">
        <v>6</v>
      </c>
      <c r="F1011" s="3">
        <v>9.85</v>
      </c>
      <c r="G1011" t="s">
        <v>27</v>
      </c>
      <c r="H1011">
        <v>46</v>
      </c>
      <c r="I1011" t="s">
        <v>34</v>
      </c>
      <c r="J1011" s="4">
        <v>72</v>
      </c>
      <c r="K1011" s="4">
        <v>185.4</v>
      </c>
      <c r="L1011" s="4">
        <v>25.1</v>
      </c>
      <c r="M1011">
        <v>15</v>
      </c>
      <c r="N1011" t="s">
        <v>65</v>
      </c>
      <c r="O1011">
        <v>3</v>
      </c>
      <c r="P1011" s="4">
        <v>1065.4000000000001</v>
      </c>
      <c r="Q1011" t="s">
        <v>42</v>
      </c>
      <c r="R1011">
        <v>1</v>
      </c>
      <c r="S1011" t="s">
        <v>44</v>
      </c>
      <c r="T1011">
        <v>0</v>
      </c>
      <c r="U1011">
        <v>1</v>
      </c>
      <c r="V1011" t="s">
        <v>32</v>
      </c>
      <c r="W1011" t="s">
        <v>39</v>
      </c>
      <c r="X1011" s="4">
        <v>5.8</v>
      </c>
      <c r="Y1011">
        <v>3</v>
      </c>
      <c r="Z1011" s="5">
        <v>144.81</v>
      </c>
    </row>
    <row r="1012" spans="1:26">
      <c r="A1012">
        <v>1011</v>
      </c>
      <c r="B1012">
        <v>321</v>
      </c>
      <c r="C1012" s="2">
        <v>46179</v>
      </c>
      <c r="D1012" t="s">
        <v>40</v>
      </c>
      <c r="E1012">
        <v>6</v>
      </c>
      <c r="F1012" s="3">
        <v>9.8800000000000008</v>
      </c>
      <c r="G1012" t="s">
        <v>27</v>
      </c>
      <c r="H1012">
        <v>7</v>
      </c>
      <c r="I1012" t="s">
        <v>34</v>
      </c>
      <c r="J1012" s="4">
        <v>55.6</v>
      </c>
      <c r="K1012" s="4">
        <v>75.2</v>
      </c>
      <c r="L1012" s="4">
        <v>17.100000000000001</v>
      </c>
      <c r="M1012">
        <v>14</v>
      </c>
      <c r="N1012" t="s">
        <v>65</v>
      </c>
      <c r="O1012">
        <v>3</v>
      </c>
      <c r="P1012" s="4">
        <v>1065.4000000000001</v>
      </c>
      <c r="Q1012" t="s">
        <v>42</v>
      </c>
      <c r="R1012">
        <v>1</v>
      </c>
      <c r="S1012" t="s">
        <v>44</v>
      </c>
      <c r="T1012">
        <v>0</v>
      </c>
      <c r="U1012">
        <v>1</v>
      </c>
      <c r="V1012" t="s">
        <v>32</v>
      </c>
      <c r="W1012" t="s">
        <v>39</v>
      </c>
      <c r="X1012" s="4">
        <v>12.1</v>
      </c>
      <c r="Y1012">
        <v>3</v>
      </c>
      <c r="Z1012" s="5">
        <v>246.23</v>
      </c>
    </row>
    <row r="1013" spans="1:26">
      <c r="A1013">
        <v>1012</v>
      </c>
      <c r="B1013">
        <v>321</v>
      </c>
      <c r="C1013" s="2">
        <v>46179</v>
      </c>
      <c r="D1013" t="s">
        <v>40</v>
      </c>
      <c r="E1013">
        <v>6</v>
      </c>
      <c r="F1013" s="3">
        <v>10.06</v>
      </c>
      <c r="G1013" t="s">
        <v>27</v>
      </c>
      <c r="H1013">
        <v>45</v>
      </c>
      <c r="I1013" t="s">
        <v>28</v>
      </c>
      <c r="J1013" s="4">
        <v>66.7</v>
      </c>
      <c r="K1013" s="4">
        <v>192.1</v>
      </c>
      <c r="L1013" s="4">
        <v>30.6</v>
      </c>
      <c r="M1013">
        <v>15</v>
      </c>
      <c r="N1013" t="s">
        <v>65</v>
      </c>
      <c r="O1013">
        <v>3</v>
      </c>
      <c r="P1013" s="4">
        <v>1065.4000000000001</v>
      </c>
      <c r="Q1013" t="s">
        <v>42</v>
      </c>
      <c r="R1013">
        <v>1</v>
      </c>
      <c r="S1013" t="s">
        <v>44</v>
      </c>
      <c r="T1013">
        <v>0</v>
      </c>
      <c r="U1013">
        <v>1</v>
      </c>
      <c r="V1013" t="s">
        <v>32</v>
      </c>
      <c r="W1013" t="s">
        <v>39</v>
      </c>
      <c r="X1013" s="4">
        <v>7</v>
      </c>
      <c r="Y1013">
        <v>4</v>
      </c>
      <c r="Z1013" s="5">
        <v>227.61</v>
      </c>
    </row>
    <row r="1014" spans="1:26">
      <c r="A1014">
        <v>1013</v>
      </c>
      <c r="B1014">
        <v>322</v>
      </c>
      <c r="C1014" s="2">
        <v>46161</v>
      </c>
      <c r="D1014" t="s">
        <v>35</v>
      </c>
      <c r="E1014">
        <v>5</v>
      </c>
      <c r="F1014" s="3">
        <v>11.3</v>
      </c>
      <c r="G1014" t="s">
        <v>36</v>
      </c>
      <c r="H1014">
        <v>45</v>
      </c>
      <c r="I1014" t="s">
        <v>28</v>
      </c>
      <c r="J1014" s="4">
        <v>73.099999999999994</v>
      </c>
      <c r="K1014" s="4">
        <v>215.8</v>
      </c>
      <c r="L1014" s="4">
        <v>28.3</v>
      </c>
      <c r="M1014">
        <v>13</v>
      </c>
      <c r="N1014" t="s">
        <v>47</v>
      </c>
      <c r="O1014">
        <v>2</v>
      </c>
      <c r="P1014" s="4">
        <v>54</v>
      </c>
      <c r="Q1014" t="s">
        <v>30</v>
      </c>
      <c r="R1014">
        <v>0</v>
      </c>
      <c r="S1014" t="s">
        <v>44</v>
      </c>
      <c r="T1014">
        <v>1</v>
      </c>
      <c r="U1014">
        <v>0</v>
      </c>
      <c r="V1014" t="s">
        <v>32</v>
      </c>
      <c r="W1014" t="s">
        <v>39</v>
      </c>
      <c r="X1014" s="4">
        <v>8.8000000000000007</v>
      </c>
      <c r="Y1014">
        <v>8</v>
      </c>
      <c r="Z1014" s="5">
        <v>206.43</v>
      </c>
    </row>
    <row r="1015" spans="1:26">
      <c r="A1015">
        <v>1014</v>
      </c>
      <c r="B1015">
        <v>322</v>
      </c>
      <c r="C1015" s="2">
        <v>46161</v>
      </c>
      <c r="D1015" t="s">
        <v>35</v>
      </c>
      <c r="E1015">
        <v>5</v>
      </c>
      <c r="F1015" s="3">
        <v>11.41</v>
      </c>
      <c r="G1015" t="s">
        <v>36</v>
      </c>
      <c r="H1015">
        <v>27</v>
      </c>
      <c r="I1015" t="s">
        <v>34</v>
      </c>
      <c r="J1015" s="4">
        <v>67.099999999999994</v>
      </c>
      <c r="K1015" s="4">
        <v>154.9</v>
      </c>
      <c r="L1015" s="4">
        <v>24.2</v>
      </c>
      <c r="M1015">
        <v>14</v>
      </c>
      <c r="N1015" t="s">
        <v>47</v>
      </c>
      <c r="O1015">
        <v>2</v>
      </c>
      <c r="P1015" s="4">
        <v>54</v>
      </c>
      <c r="Q1015" t="s">
        <v>30</v>
      </c>
      <c r="R1015">
        <v>0</v>
      </c>
      <c r="S1015" t="s">
        <v>44</v>
      </c>
      <c r="T1015">
        <v>1</v>
      </c>
      <c r="U1015">
        <v>0</v>
      </c>
      <c r="V1015" t="s">
        <v>32</v>
      </c>
      <c r="W1015" t="s">
        <v>39</v>
      </c>
      <c r="X1015" s="4">
        <v>6.2</v>
      </c>
      <c r="Y1015">
        <v>5</v>
      </c>
      <c r="Z1015" s="5">
        <v>145.04</v>
      </c>
    </row>
    <row r="1016" spans="1:26">
      <c r="A1016">
        <v>1015</v>
      </c>
      <c r="B1016">
        <v>323</v>
      </c>
      <c r="C1016" s="2">
        <v>46355</v>
      </c>
      <c r="D1016" t="s">
        <v>58</v>
      </c>
      <c r="E1016">
        <v>11</v>
      </c>
      <c r="F1016" s="3">
        <v>12.31</v>
      </c>
      <c r="G1016" t="s">
        <v>36</v>
      </c>
      <c r="H1016">
        <v>58</v>
      </c>
      <c r="I1016" t="s">
        <v>34</v>
      </c>
      <c r="J1016" s="4">
        <v>63.2</v>
      </c>
      <c r="K1016" s="4">
        <v>138.5</v>
      </c>
      <c r="L1016" s="4">
        <v>24.3</v>
      </c>
      <c r="M1016">
        <v>13</v>
      </c>
      <c r="N1016" t="s">
        <v>69</v>
      </c>
      <c r="O1016">
        <v>4</v>
      </c>
      <c r="P1016" s="4">
        <v>1328.5</v>
      </c>
      <c r="Q1016" t="s">
        <v>30</v>
      </c>
      <c r="R1016">
        <v>1</v>
      </c>
      <c r="S1016" t="s">
        <v>38</v>
      </c>
      <c r="T1016">
        <v>0</v>
      </c>
      <c r="U1016">
        <v>0</v>
      </c>
      <c r="V1016" t="s">
        <v>32</v>
      </c>
      <c r="W1016" t="s">
        <v>39</v>
      </c>
      <c r="X1016" s="4">
        <v>8.5</v>
      </c>
      <c r="Y1016">
        <v>9</v>
      </c>
      <c r="Z1016" s="5">
        <v>181.3</v>
      </c>
    </row>
    <row r="1017" spans="1:26">
      <c r="A1017">
        <v>1016</v>
      </c>
      <c r="B1017">
        <v>323</v>
      </c>
      <c r="C1017" s="2">
        <v>46355</v>
      </c>
      <c r="D1017" t="s">
        <v>58</v>
      </c>
      <c r="E1017">
        <v>11</v>
      </c>
      <c r="F1017" s="3">
        <v>12.37</v>
      </c>
      <c r="G1017" t="s">
        <v>36</v>
      </c>
      <c r="H1017">
        <v>54</v>
      </c>
      <c r="I1017" t="s">
        <v>28</v>
      </c>
      <c r="J1017" s="4">
        <v>73.400000000000006</v>
      </c>
      <c r="K1017" s="4">
        <v>172.8</v>
      </c>
      <c r="L1017" s="4">
        <v>22.3</v>
      </c>
      <c r="M1017">
        <v>14</v>
      </c>
      <c r="N1017" t="s">
        <v>69</v>
      </c>
      <c r="O1017">
        <v>4</v>
      </c>
      <c r="P1017" s="4">
        <v>1328.5</v>
      </c>
      <c r="Q1017" t="s">
        <v>30</v>
      </c>
      <c r="R1017">
        <v>1</v>
      </c>
      <c r="S1017" t="s">
        <v>38</v>
      </c>
      <c r="T1017">
        <v>0</v>
      </c>
      <c r="U1017">
        <v>0</v>
      </c>
      <c r="V1017" t="s">
        <v>32</v>
      </c>
      <c r="W1017" t="s">
        <v>39</v>
      </c>
      <c r="X1017" s="4">
        <v>6.3</v>
      </c>
      <c r="Y1017">
        <v>9</v>
      </c>
      <c r="Z1017" s="5">
        <v>178.67</v>
      </c>
    </row>
    <row r="1018" spans="1:26">
      <c r="A1018">
        <v>1017</v>
      </c>
      <c r="B1018">
        <v>323</v>
      </c>
      <c r="C1018" s="2">
        <v>46355</v>
      </c>
      <c r="D1018" t="s">
        <v>58</v>
      </c>
      <c r="E1018">
        <v>11</v>
      </c>
      <c r="F1018" s="3">
        <v>12.05</v>
      </c>
      <c r="G1018" t="s">
        <v>36</v>
      </c>
      <c r="H1018">
        <v>51</v>
      </c>
      <c r="I1018" t="s">
        <v>28</v>
      </c>
      <c r="J1018" s="4">
        <v>68.5</v>
      </c>
      <c r="K1018" s="4">
        <v>139.5</v>
      </c>
      <c r="L1018" s="4">
        <v>21.1</v>
      </c>
      <c r="M1018">
        <v>14</v>
      </c>
      <c r="N1018" t="s">
        <v>69</v>
      </c>
      <c r="O1018">
        <v>4</v>
      </c>
      <c r="P1018" s="4">
        <v>1328.5</v>
      </c>
      <c r="Q1018" t="s">
        <v>30</v>
      </c>
      <c r="R1018">
        <v>1</v>
      </c>
      <c r="S1018" t="s">
        <v>38</v>
      </c>
      <c r="T1018">
        <v>0</v>
      </c>
      <c r="U1018">
        <v>0</v>
      </c>
      <c r="V1018" t="s">
        <v>32</v>
      </c>
      <c r="W1018" t="s">
        <v>39</v>
      </c>
      <c r="X1018" s="4">
        <v>7.2</v>
      </c>
      <c r="Y1018">
        <v>8</v>
      </c>
      <c r="Z1018" s="5">
        <v>127.04</v>
      </c>
    </row>
    <row r="1019" spans="1:26">
      <c r="A1019">
        <v>1018</v>
      </c>
      <c r="B1019">
        <v>323</v>
      </c>
      <c r="C1019" s="2">
        <v>46355</v>
      </c>
      <c r="D1019" t="s">
        <v>58</v>
      </c>
      <c r="E1019">
        <v>11</v>
      </c>
      <c r="F1019" s="3">
        <v>12.14</v>
      </c>
      <c r="G1019" t="s">
        <v>36</v>
      </c>
      <c r="H1019">
        <v>60</v>
      </c>
      <c r="I1019" t="s">
        <v>28</v>
      </c>
      <c r="J1019" s="4">
        <v>68.3</v>
      </c>
      <c r="K1019" s="4">
        <v>172.5</v>
      </c>
      <c r="L1019" s="4">
        <v>25.9</v>
      </c>
      <c r="M1019">
        <v>9</v>
      </c>
      <c r="N1019" t="s">
        <v>69</v>
      </c>
      <c r="O1019">
        <v>4</v>
      </c>
      <c r="P1019" s="4">
        <v>1328.5</v>
      </c>
      <c r="Q1019" t="s">
        <v>30</v>
      </c>
      <c r="R1019">
        <v>1</v>
      </c>
      <c r="S1019" t="s">
        <v>38</v>
      </c>
      <c r="T1019">
        <v>0</v>
      </c>
      <c r="U1019">
        <v>0</v>
      </c>
      <c r="V1019" t="s">
        <v>32</v>
      </c>
      <c r="W1019" t="s">
        <v>39</v>
      </c>
      <c r="X1019" s="4">
        <v>8.3000000000000007</v>
      </c>
      <c r="Y1019">
        <v>11</v>
      </c>
      <c r="Z1019" s="5">
        <v>304.52</v>
      </c>
    </row>
    <row r="1020" spans="1:26">
      <c r="A1020">
        <v>1019</v>
      </c>
      <c r="B1020">
        <v>324</v>
      </c>
      <c r="C1020" s="2">
        <v>46344</v>
      </c>
      <c r="D1020" t="s">
        <v>52</v>
      </c>
      <c r="E1020">
        <v>11</v>
      </c>
      <c r="F1020" s="3">
        <v>11.29</v>
      </c>
      <c r="G1020" t="s">
        <v>36</v>
      </c>
      <c r="H1020">
        <v>54</v>
      </c>
      <c r="I1020" t="s">
        <v>34</v>
      </c>
      <c r="J1020" s="4">
        <v>62.4</v>
      </c>
      <c r="K1020" s="4">
        <v>130.30000000000001</v>
      </c>
      <c r="L1020" s="4">
        <v>23.5</v>
      </c>
      <c r="M1020">
        <v>14</v>
      </c>
      <c r="N1020" t="s">
        <v>60</v>
      </c>
      <c r="O1020">
        <v>3</v>
      </c>
      <c r="P1020" s="4">
        <v>1767</v>
      </c>
      <c r="Q1020" t="s">
        <v>42</v>
      </c>
      <c r="R1020">
        <v>1</v>
      </c>
      <c r="S1020" t="s">
        <v>31</v>
      </c>
      <c r="T1020">
        <v>0</v>
      </c>
      <c r="U1020">
        <v>0</v>
      </c>
      <c r="V1020" t="s">
        <v>32</v>
      </c>
      <c r="W1020" t="s">
        <v>49</v>
      </c>
      <c r="X1020" s="4">
        <v>7.8</v>
      </c>
      <c r="Y1020">
        <v>4</v>
      </c>
      <c r="Z1020" s="5">
        <v>207.77</v>
      </c>
    </row>
    <row r="1021" spans="1:26">
      <c r="A1021">
        <v>1020</v>
      </c>
      <c r="B1021">
        <v>324</v>
      </c>
      <c r="C1021" s="2">
        <v>46344</v>
      </c>
      <c r="D1021" t="s">
        <v>52</v>
      </c>
      <c r="E1021">
        <v>11</v>
      </c>
      <c r="F1021" s="3">
        <v>10.99</v>
      </c>
      <c r="G1021" t="s">
        <v>27</v>
      </c>
      <c r="H1021">
        <v>62</v>
      </c>
      <c r="I1021" t="s">
        <v>28</v>
      </c>
      <c r="J1021" s="4">
        <v>72</v>
      </c>
      <c r="K1021" s="4">
        <v>198.7</v>
      </c>
      <c r="L1021" s="4">
        <v>27.1</v>
      </c>
      <c r="M1021">
        <v>18</v>
      </c>
      <c r="N1021" t="s">
        <v>60</v>
      </c>
      <c r="O1021">
        <v>3</v>
      </c>
      <c r="P1021" s="4">
        <v>1767</v>
      </c>
      <c r="Q1021" t="s">
        <v>42</v>
      </c>
      <c r="R1021">
        <v>1</v>
      </c>
      <c r="S1021" t="s">
        <v>31</v>
      </c>
      <c r="T1021">
        <v>0</v>
      </c>
      <c r="U1021">
        <v>0</v>
      </c>
      <c r="V1021" t="s">
        <v>32</v>
      </c>
      <c r="W1021" t="s">
        <v>49</v>
      </c>
      <c r="X1021" s="4">
        <v>10.1</v>
      </c>
      <c r="Y1021">
        <v>16</v>
      </c>
      <c r="Z1021" s="5">
        <v>302.82</v>
      </c>
    </row>
    <row r="1022" spans="1:26">
      <c r="A1022">
        <v>1021</v>
      </c>
      <c r="B1022">
        <v>324</v>
      </c>
      <c r="C1022" s="2">
        <v>46344</v>
      </c>
      <c r="D1022" t="s">
        <v>52</v>
      </c>
      <c r="E1022">
        <v>11</v>
      </c>
      <c r="F1022" s="3">
        <v>11.13</v>
      </c>
      <c r="G1022" t="s">
        <v>36</v>
      </c>
      <c r="H1022">
        <v>36</v>
      </c>
      <c r="I1022" t="s">
        <v>34</v>
      </c>
      <c r="J1022" s="4">
        <v>64.599999999999994</v>
      </c>
      <c r="K1022" s="4">
        <v>113.1</v>
      </c>
      <c r="L1022" s="4">
        <v>18.899999999999999</v>
      </c>
      <c r="M1022">
        <v>13</v>
      </c>
      <c r="N1022" t="s">
        <v>60</v>
      </c>
      <c r="O1022">
        <v>3</v>
      </c>
      <c r="P1022" s="4">
        <v>1767</v>
      </c>
      <c r="Q1022" t="s">
        <v>42</v>
      </c>
      <c r="R1022">
        <v>1</v>
      </c>
      <c r="S1022" t="s">
        <v>31</v>
      </c>
      <c r="T1022">
        <v>0</v>
      </c>
      <c r="U1022">
        <v>0</v>
      </c>
      <c r="V1022" t="s">
        <v>32</v>
      </c>
      <c r="W1022" t="s">
        <v>49</v>
      </c>
      <c r="X1022" s="4">
        <v>8.6</v>
      </c>
      <c r="Y1022">
        <v>10</v>
      </c>
      <c r="Z1022" s="5">
        <v>248.31</v>
      </c>
    </row>
    <row r="1023" spans="1:26">
      <c r="A1023">
        <v>1022</v>
      </c>
      <c r="B1023">
        <v>325</v>
      </c>
      <c r="C1023" s="2">
        <v>46207</v>
      </c>
      <c r="D1023" t="s">
        <v>40</v>
      </c>
      <c r="E1023">
        <v>7</v>
      </c>
      <c r="F1023" s="3">
        <v>9.48</v>
      </c>
      <c r="G1023" t="s">
        <v>27</v>
      </c>
      <c r="H1023">
        <v>47</v>
      </c>
      <c r="I1023" t="s">
        <v>34</v>
      </c>
      <c r="J1023" s="4">
        <v>62</v>
      </c>
      <c r="K1023" s="4">
        <v>150.5</v>
      </c>
      <c r="L1023" s="4">
        <v>27.5</v>
      </c>
      <c r="M1023">
        <v>14</v>
      </c>
      <c r="N1023" t="s">
        <v>50</v>
      </c>
      <c r="O1023">
        <v>3</v>
      </c>
      <c r="P1023" s="4">
        <v>224.4</v>
      </c>
      <c r="Q1023" t="s">
        <v>30</v>
      </c>
      <c r="R1023">
        <v>1</v>
      </c>
      <c r="S1023" t="s">
        <v>44</v>
      </c>
      <c r="T1023">
        <v>0</v>
      </c>
      <c r="U1023">
        <v>0</v>
      </c>
      <c r="V1023" t="s">
        <v>32</v>
      </c>
      <c r="W1023" t="s">
        <v>43</v>
      </c>
      <c r="X1023" s="4">
        <v>8.1999999999999993</v>
      </c>
      <c r="Y1023">
        <v>5</v>
      </c>
      <c r="Z1023" s="5">
        <v>114.74</v>
      </c>
    </row>
    <row r="1024" spans="1:26">
      <c r="A1024">
        <v>1023</v>
      </c>
      <c r="B1024">
        <v>325</v>
      </c>
      <c r="C1024" s="2">
        <v>46207</v>
      </c>
      <c r="D1024" t="s">
        <v>40</v>
      </c>
      <c r="E1024">
        <v>7</v>
      </c>
      <c r="F1024" s="3">
        <v>9.7200000000000006</v>
      </c>
      <c r="G1024" t="s">
        <v>27</v>
      </c>
      <c r="H1024">
        <v>48</v>
      </c>
      <c r="I1024" t="s">
        <v>34</v>
      </c>
      <c r="J1024" s="4">
        <v>62</v>
      </c>
      <c r="K1024" s="4">
        <v>126.3</v>
      </c>
      <c r="L1024" s="4">
        <v>23.2</v>
      </c>
      <c r="M1024">
        <v>16</v>
      </c>
      <c r="N1024" t="s">
        <v>50</v>
      </c>
      <c r="O1024">
        <v>3</v>
      </c>
      <c r="P1024" s="4">
        <v>224.4</v>
      </c>
      <c r="Q1024" t="s">
        <v>30</v>
      </c>
      <c r="R1024">
        <v>1</v>
      </c>
      <c r="S1024" t="s">
        <v>44</v>
      </c>
      <c r="T1024">
        <v>0</v>
      </c>
      <c r="U1024">
        <v>0</v>
      </c>
      <c r="V1024" t="s">
        <v>32</v>
      </c>
      <c r="W1024" t="s">
        <v>43</v>
      </c>
      <c r="X1024" s="4">
        <v>10.5</v>
      </c>
      <c r="Y1024">
        <v>8</v>
      </c>
      <c r="Z1024" s="5">
        <v>240.99</v>
      </c>
    </row>
    <row r="1025" spans="1:26">
      <c r="A1025">
        <v>1024</v>
      </c>
      <c r="B1025">
        <v>325</v>
      </c>
      <c r="C1025" s="2">
        <v>46207</v>
      </c>
      <c r="D1025" t="s">
        <v>40</v>
      </c>
      <c r="E1025">
        <v>7</v>
      </c>
      <c r="F1025" s="3">
        <v>9.61</v>
      </c>
      <c r="G1025" t="s">
        <v>27</v>
      </c>
      <c r="H1025">
        <v>55</v>
      </c>
      <c r="I1025" t="s">
        <v>28</v>
      </c>
      <c r="J1025" s="4">
        <v>65.400000000000006</v>
      </c>
      <c r="K1025" s="4">
        <v>109.6</v>
      </c>
      <c r="L1025" s="4">
        <v>17.8</v>
      </c>
      <c r="M1025">
        <v>15</v>
      </c>
      <c r="N1025" t="s">
        <v>50</v>
      </c>
      <c r="O1025">
        <v>3</v>
      </c>
      <c r="P1025" s="4">
        <v>224.4</v>
      </c>
      <c r="Q1025" t="s">
        <v>30</v>
      </c>
      <c r="R1025">
        <v>1</v>
      </c>
      <c r="S1025" t="s">
        <v>44</v>
      </c>
      <c r="T1025">
        <v>0</v>
      </c>
      <c r="U1025">
        <v>0</v>
      </c>
      <c r="V1025" t="s">
        <v>32</v>
      </c>
      <c r="W1025" t="s">
        <v>43</v>
      </c>
      <c r="X1025" s="4">
        <v>8.4</v>
      </c>
      <c r="Y1025">
        <v>6</v>
      </c>
      <c r="Z1025" s="5">
        <v>120.41</v>
      </c>
    </row>
    <row r="1026" spans="1:26">
      <c r="A1026">
        <v>1025</v>
      </c>
      <c r="B1026">
        <v>326</v>
      </c>
      <c r="C1026" s="2">
        <v>46321</v>
      </c>
      <c r="D1026" t="s">
        <v>46</v>
      </c>
      <c r="E1026">
        <v>10</v>
      </c>
      <c r="F1026" s="3">
        <v>11.46</v>
      </c>
      <c r="G1026" t="s">
        <v>36</v>
      </c>
      <c r="H1026">
        <v>38</v>
      </c>
      <c r="I1026" t="s">
        <v>34</v>
      </c>
      <c r="J1026" s="4">
        <v>62.1</v>
      </c>
      <c r="K1026" s="4">
        <v>108.3</v>
      </c>
      <c r="L1026" s="4">
        <v>19.8</v>
      </c>
      <c r="M1026">
        <v>19</v>
      </c>
      <c r="N1026" t="s">
        <v>47</v>
      </c>
      <c r="O1026">
        <v>1</v>
      </c>
      <c r="P1026" s="4">
        <v>150.80000000000001</v>
      </c>
      <c r="Q1026" t="s">
        <v>48</v>
      </c>
      <c r="R1026">
        <v>0</v>
      </c>
      <c r="S1026" t="s">
        <v>44</v>
      </c>
      <c r="T1026">
        <v>0</v>
      </c>
      <c r="U1026">
        <v>0</v>
      </c>
      <c r="V1026" t="s">
        <v>32</v>
      </c>
      <c r="W1026" t="s">
        <v>49</v>
      </c>
      <c r="X1026" s="4">
        <v>7.9</v>
      </c>
      <c r="Y1026">
        <v>13</v>
      </c>
      <c r="Z1026" s="5">
        <v>257.22000000000003</v>
      </c>
    </row>
    <row r="1027" spans="1:26">
      <c r="A1027">
        <v>1026</v>
      </c>
      <c r="B1027">
        <v>327</v>
      </c>
      <c r="C1027" s="2">
        <v>46056</v>
      </c>
      <c r="D1027" t="s">
        <v>35</v>
      </c>
      <c r="E1027">
        <v>2</v>
      </c>
      <c r="F1027" s="3">
        <v>8.44</v>
      </c>
      <c r="G1027" t="s">
        <v>27</v>
      </c>
      <c r="H1027">
        <v>37</v>
      </c>
      <c r="I1027" t="s">
        <v>28</v>
      </c>
      <c r="J1027" s="4">
        <v>69.5</v>
      </c>
      <c r="K1027" s="4">
        <v>155.30000000000001</v>
      </c>
      <c r="L1027" s="4">
        <v>22.8</v>
      </c>
      <c r="M1027">
        <v>15</v>
      </c>
      <c r="N1027" t="s">
        <v>60</v>
      </c>
      <c r="O1027">
        <v>2</v>
      </c>
      <c r="P1027" s="4">
        <v>1869.3</v>
      </c>
      <c r="Q1027" t="s">
        <v>42</v>
      </c>
      <c r="R1027">
        <v>1</v>
      </c>
      <c r="S1027" t="s">
        <v>44</v>
      </c>
      <c r="T1027">
        <v>0</v>
      </c>
      <c r="U1027">
        <v>0</v>
      </c>
      <c r="V1027" t="s">
        <v>32</v>
      </c>
      <c r="W1027" t="s">
        <v>39</v>
      </c>
      <c r="X1027" s="4">
        <v>7.9</v>
      </c>
      <c r="Y1027">
        <v>13</v>
      </c>
      <c r="Z1027" s="5">
        <v>340.31</v>
      </c>
    </row>
    <row r="1028" spans="1:26">
      <c r="A1028">
        <v>1027</v>
      </c>
      <c r="B1028">
        <v>327</v>
      </c>
      <c r="C1028" s="2">
        <v>46056</v>
      </c>
      <c r="D1028" t="s">
        <v>35</v>
      </c>
      <c r="E1028">
        <v>2</v>
      </c>
      <c r="F1028" s="3">
        <v>8.56</v>
      </c>
      <c r="G1028" t="s">
        <v>27</v>
      </c>
      <c r="H1028">
        <v>48</v>
      </c>
      <c r="I1028" t="s">
        <v>28</v>
      </c>
      <c r="J1028" s="4">
        <v>64.400000000000006</v>
      </c>
      <c r="K1028" s="4">
        <v>139.9</v>
      </c>
      <c r="L1028" s="4">
        <v>23.5</v>
      </c>
      <c r="M1028">
        <v>16</v>
      </c>
      <c r="N1028" t="s">
        <v>60</v>
      </c>
      <c r="O1028">
        <v>2</v>
      </c>
      <c r="P1028" s="4">
        <v>1869.3</v>
      </c>
      <c r="Q1028" t="s">
        <v>42</v>
      </c>
      <c r="R1028">
        <v>1</v>
      </c>
      <c r="S1028" t="s">
        <v>44</v>
      </c>
      <c r="T1028">
        <v>0</v>
      </c>
      <c r="U1028">
        <v>0</v>
      </c>
      <c r="V1028" t="s">
        <v>32</v>
      </c>
      <c r="W1028" t="s">
        <v>39</v>
      </c>
      <c r="X1028" s="4">
        <v>8.9</v>
      </c>
      <c r="Y1028">
        <v>8</v>
      </c>
      <c r="Z1028" s="5">
        <v>284.87</v>
      </c>
    </row>
    <row r="1029" spans="1:26">
      <c r="A1029">
        <v>1028</v>
      </c>
      <c r="B1029">
        <v>328</v>
      </c>
      <c r="C1029" s="2">
        <v>46063</v>
      </c>
      <c r="D1029" t="s">
        <v>35</v>
      </c>
      <c r="E1029">
        <v>2</v>
      </c>
      <c r="F1029" s="3">
        <v>9.15</v>
      </c>
      <c r="G1029" t="s">
        <v>27</v>
      </c>
      <c r="H1029">
        <v>64</v>
      </c>
      <c r="I1029" t="s">
        <v>28</v>
      </c>
      <c r="J1029" s="4">
        <v>68.5</v>
      </c>
      <c r="K1029" s="4">
        <v>170.9</v>
      </c>
      <c r="L1029" s="4">
        <v>25.1</v>
      </c>
      <c r="M1029">
        <v>21</v>
      </c>
      <c r="N1029" t="s">
        <v>66</v>
      </c>
      <c r="O1029">
        <v>5</v>
      </c>
      <c r="P1029" s="4">
        <v>615</v>
      </c>
      <c r="Q1029" t="s">
        <v>48</v>
      </c>
      <c r="R1029">
        <v>0</v>
      </c>
      <c r="S1029" t="s">
        <v>38</v>
      </c>
      <c r="T1029">
        <v>1</v>
      </c>
      <c r="U1029">
        <v>1</v>
      </c>
      <c r="V1029" t="s">
        <v>45</v>
      </c>
      <c r="W1029" t="s">
        <v>43</v>
      </c>
      <c r="X1029" s="4">
        <v>11.1</v>
      </c>
      <c r="Y1029">
        <v>14</v>
      </c>
      <c r="Z1029" s="5">
        <v>215.8</v>
      </c>
    </row>
    <row r="1030" spans="1:26">
      <c r="A1030">
        <v>1029</v>
      </c>
      <c r="B1030">
        <v>328</v>
      </c>
      <c r="C1030" s="2">
        <v>46063</v>
      </c>
      <c r="D1030" t="s">
        <v>35</v>
      </c>
      <c r="E1030">
        <v>2</v>
      </c>
      <c r="F1030" s="3">
        <v>9.09</v>
      </c>
      <c r="G1030" t="s">
        <v>27</v>
      </c>
      <c r="H1030">
        <v>54</v>
      </c>
      <c r="I1030" t="s">
        <v>34</v>
      </c>
      <c r="J1030" s="4">
        <v>63.3</v>
      </c>
      <c r="K1030" s="4">
        <v>112.1</v>
      </c>
      <c r="L1030" s="4">
        <v>19.7</v>
      </c>
      <c r="M1030">
        <v>17</v>
      </c>
      <c r="N1030" t="s">
        <v>66</v>
      </c>
      <c r="O1030">
        <v>5</v>
      </c>
      <c r="P1030" s="4">
        <v>615</v>
      </c>
      <c r="Q1030" t="s">
        <v>48</v>
      </c>
      <c r="R1030">
        <v>0</v>
      </c>
      <c r="S1030" t="s">
        <v>38</v>
      </c>
      <c r="T1030">
        <v>1</v>
      </c>
      <c r="U1030">
        <v>1</v>
      </c>
      <c r="V1030" t="s">
        <v>45</v>
      </c>
      <c r="W1030" t="s">
        <v>43</v>
      </c>
      <c r="X1030" s="4">
        <v>10</v>
      </c>
      <c r="Y1030">
        <v>10</v>
      </c>
      <c r="Z1030" s="5">
        <v>346.23</v>
      </c>
    </row>
    <row r="1031" spans="1:26">
      <c r="A1031">
        <v>1030</v>
      </c>
      <c r="B1031">
        <v>328</v>
      </c>
      <c r="C1031" s="2">
        <v>46063</v>
      </c>
      <c r="D1031" t="s">
        <v>35</v>
      </c>
      <c r="E1031">
        <v>2</v>
      </c>
      <c r="F1031" s="3">
        <v>8.74</v>
      </c>
      <c r="G1031" t="s">
        <v>27</v>
      </c>
      <c r="H1031">
        <v>57</v>
      </c>
      <c r="I1031" t="s">
        <v>34</v>
      </c>
      <c r="J1031" s="4">
        <v>65.7</v>
      </c>
      <c r="K1031" s="4">
        <v>197.3</v>
      </c>
      <c r="L1031" s="4">
        <v>32.1</v>
      </c>
      <c r="M1031">
        <v>16</v>
      </c>
      <c r="N1031" t="s">
        <v>66</v>
      </c>
      <c r="O1031">
        <v>5</v>
      </c>
      <c r="P1031" s="4">
        <v>615</v>
      </c>
      <c r="Q1031" t="s">
        <v>48</v>
      </c>
      <c r="R1031">
        <v>0</v>
      </c>
      <c r="S1031" t="s">
        <v>38</v>
      </c>
      <c r="T1031">
        <v>1</v>
      </c>
      <c r="U1031">
        <v>1</v>
      </c>
      <c r="V1031" t="s">
        <v>45</v>
      </c>
      <c r="W1031" t="s">
        <v>43</v>
      </c>
      <c r="X1031" s="4">
        <v>8.5</v>
      </c>
      <c r="Y1031">
        <v>9</v>
      </c>
      <c r="Z1031" s="5">
        <v>182.03</v>
      </c>
    </row>
    <row r="1032" spans="1:26">
      <c r="A1032">
        <v>1031</v>
      </c>
      <c r="B1032">
        <v>328</v>
      </c>
      <c r="C1032" s="2">
        <v>46063</v>
      </c>
      <c r="D1032" t="s">
        <v>35</v>
      </c>
      <c r="E1032">
        <v>2</v>
      </c>
      <c r="F1032" s="3">
        <v>8.91</v>
      </c>
      <c r="G1032" t="s">
        <v>27</v>
      </c>
      <c r="H1032">
        <v>48</v>
      </c>
      <c r="I1032" t="s">
        <v>28</v>
      </c>
      <c r="J1032" s="4">
        <v>65.900000000000006</v>
      </c>
      <c r="K1032" s="4">
        <v>152.80000000000001</v>
      </c>
      <c r="L1032" s="4">
        <v>24.7</v>
      </c>
      <c r="M1032">
        <v>16</v>
      </c>
      <c r="N1032" t="s">
        <v>66</v>
      </c>
      <c r="O1032">
        <v>5</v>
      </c>
      <c r="P1032" s="4">
        <v>615</v>
      </c>
      <c r="Q1032" t="s">
        <v>48</v>
      </c>
      <c r="R1032">
        <v>0</v>
      </c>
      <c r="S1032" t="s">
        <v>38</v>
      </c>
      <c r="T1032">
        <v>1</v>
      </c>
      <c r="U1032">
        <v>1</v>
      </c>
      <c r="V1032" t="s">
        <v>45</v>
      </c>
      <c r="W1032" t="s">
        <v>43</v>
      </c>
      <c r="X1032" s="4">
        <v>11.3</v>
      </c>
      <c r="Y1032">
        <v>16</v>
      </c>
      <c r="Z1032" s="5">
        <v>499.99</v>
      </c>
    </row>
    <row r="1033" spans="1:26">
      <c r="A1033">
        <v>1032</v>
      </c>
      <c r="B1033">
        <v>328</v>
      </c>
      <c r="C1033" s="2">
        <v>46063</v>
      </c>
      <c r="D1033" t="s">
        <v>35</v>
      </c>
      <c r="E1033">
        <v>2</v>
      </c>
      <c r="F1033" s="3">
        <v>8.9</v>
      </c>
      <c r="G1033" t="s">
        <v>27</v>
      </c>
      <c r="H1033">
        <v>62</v>
      </c>
      <c r="I1033" t="s">
        <v>28</v>
      </c>
      <c r="J1033" s="4">
        <v>71.900000000000006</v>
      </c>
      <c r="K1033" s="4">
        <v>201.9</v>
      </c>
      <c r="L1033" s="4">
        <v>27.5</v>
      </c>
      <c r="M1033">
        <v>16</v>
      </c>
      <c r="N1033" t="s">
        <v>66</v>
      </c>
      <c r="O1033">
        <v>5</v>
      </c>
      <c r="P1033" s="4">
        <v>615</v>
      </c>
      <c r="Q1033" t="s">
        <v>48</v>
      </c>
      <c r="R1033">
        <v>0</v>
      </c>
      <c r="S1033" t="s">
        <v>38</v>
      </c>
      <c r="T1033">
        <v>1</v>
      </c>
      <c r="U1033">
        <v>1</v>
      </c>
      <c r="V1033" t="s">
        <v>45</v>
      </c>
      <c r="W1033" t="s">
        <v>43</v>
      </c>
      <c r="X1033" s="4">
        <v>10.1</v>
      </c>
      <c r="Y1033">
        <v>9</v>
      </c>
      <c r="Z1033" s="5">
        <v>241.84</v>
      </c>
    </row>
    <row r="1034" spans="1:26">
      <c r="A1034">
        <v>1033</v>
      </c>
      <c r="B1034">
        <v>329</v>
      </c>
      <c r="C1034" s="2">
        <v>46190</v>
      </c>
      <c r="D1034" t="s">
        <v>52</v>
      </c>
      <c r="E1034">
        <v>6</v>
      </c>
      <c r="F1034" s="3">
        <v>11.78</v>
      </c>
      <c r="G1034" t="s">
        <v>36</v>
      </c>
      <c r="H1034">
        <v>55</v>
      </c>
      <c r="I1034" t="s">
        <v>34</v>
      </c>
      <c r="J1034" s="4">
        <v>64.3</v>
      </c>
      <c r="K1034" s="4">
        <v>144.9</v>
      </c>
      <c r="L1034" s="4">
        <v>24.5</v>
      </c>
      <c r="M1034">
        <v>17</v>
      </c>
      <c r="N1034" t="s">
        <v>50</v>
      </c>
      <c r="O1034">
        <v>1</v>
      </c>
      <c r="P1034" s="4">
        <v>382</v>
      </c>
      <c r="Q1034" t="s">
        <v>42</v>
      </c>
      <c r="R1034">
        <v>0</v>
      </c>
      <c r="S1034" t="s">
        <v>38</v>
      </c>
      <c r="T1034">
        <v>0</v>
      </c>
      <c r="U1034">
        <v>0</v>
      </c>
      <c r="V1034" t="s">
        <v>32</v>
      </c>
      <c r="W1034" t="s">
        <v>49</v>
      </c>
      <c r="X1034" s="4">
        <v>10.4</v>
      </c>
      <c r="Y1034">
        <v>10</v>
      </c>
      <c r="Z1034" s="5">
        <v>196.62</v>
      </c>
    </row>
    <row r="1035" spans="1:26">
      <c r="A1035">
        <v>1034</v>
      </c>
      <c r="B1035">
        <v>330</v>
      </c>
      <c r="C1035" s="2">
        <v>46141</v>
      </c>
      <c r="D1035" t="s">
        <v>52</v>
      </c>
      <c r="E1035">
        <v>4</v>
      </c>
      <c r="F1035" s="3">
        <v>9.18</v>
      </c>
      <c r="G1035" t="s">
        <v>27</v>
      </c>
      <c r="H1035">
        <v>11</v>
      </c>
      <c r="I1035" t="s">
        <v>28</v>
      </c>
      <c r="J1035" s="4">
        <v>61.4</v>
      </c>
      <c r="K1035" s="4">
        <v>107.7</v>
      </c>
      <c r="L1035" s="4">
        <v>20.100000000000001</v>
      </c>
      <c r="M1035">
        <v>15</v>
      </c>
      <c r="N1035" t="s">
        <v>59</v>
      </c>
      <c r="O1035">
        <v>5</v>
      </c>
      <c r="P1035" s="4">
        <v>1033.5</v>
      </c>
      <c r="Q1035" t="s">
        <v>48</v>
      </c>
      <c r="R1035">
        <v>0</v>
      </c>
      <c r="S1035" t="s">
        <v>31</v>
      </c>
      <c r="T1035">
        <v>1</v>
      </c>
      <c r="U1035">
        <v>0</v>
      </c>
      <c r="V1035" t="s">
        <v>32</v>
      </c>
      <c r="W1035" t="s">
        <v>57</v>
      </c>
      <c r="X1035" s="4">
        <v>7.1</v>
      </c>
      <c r="Y1035">
        <v>17</v>
      </c>
      <c r="Z1035" s="5">
        <v>225.36</v>
      </c>
    </row>
    <row r="1036" spans="1:26">
      <c r="A1036">
        <v>1035</v>
      </c>
      <c r="B1036">
        <v>330</v>
      </c>
      <c r="C1036" s="2">
        <v>46141</v>
      </c>
      <c r="D1036" t="s">
        <v>52</v>
      </c>
      <c r="E1036">
        <v>4</v>
      </c>
      <c r="F1036" s="3">
        <v>8.82</v>
      </c>
      <c r="G1036" t="s">
        <v>27</v>
      </c>
      <c r="H1036">
        <v>9</v>
      </c>
      <c r="I1036" t="s">
        <v>28</v>
      </c>
      <c r="J1036" s="4">
        <v>61.5</v>
      </c>
      <c r="K1036" s="4">
        <v>93</v>
      </c>
      <c r="L1036" s="4">
        <v>17.3</v>
      </c>
      <c r="M1036">
        <v>16</v>
      </c>
      <c r="N1036" t="s">
        <v>59</v>
      </c>
      <c r="O1036">
        <v>5</v>
      </c>
      <c r="P1036" s="4">
        <v>1033.5</v>
      </c>
      <c r="Q1036" t="s">
        <v>48</v>
      </c>
      <c r="R1036">
        <v>0</v>
      </c>
      <c r="S1036" t="s">
        <v>31</v>
      </c>
      <c r="T1036">
        <v>1</v>
      </c>
      <c r="U1036">
        <v>0</v>
      </c>
      <c r="V1036" t="s">
        <v>32</v>
      </c>
      <c r="W1036" t="s">
        <v>57</v>
      </c>
      <c r="X1036" s="4">
        <v>11</v>
      </c>
      <c r="Y1036">
        <v>8</v>
      </c>
      <c r="Z1036" s="5">
        <v>461.68</v>
      </c>
    </row>
    <row r="1037" spans="1:26">
      <c r="A1037">
        <v>1036</v>
      </c>
      <c r="B1037">
        <v>330</v>
      </c>
      <c r="C1037" s="2">
        <v>46141</v>
      </c>
      <c r="D1037" t="s">
        <v>52</v>
      </c>
      <c r="E1037">
        <v>4</v>
      </c>
      <c r="F1037" s="3">
        <v>9.08</v>
      </c>
      <c r="G1037" t="s">
        <v>27</v>
      </c>
      <c r="H1037">
        <v>54</v>
      </c>
      <c r="I1037" t="s">
        <v>34</v>
      </c>
      <c r="J1037" s="4">
        <v>61</v>
      </c>
      <c r="K1037" s="4">
        <v>144</v>
      </c>
      <c r="L1037" s="4">
        <v>26.9</v>
      </c>
      <c r="M1037">
        <v>21</v>
      </c>
      <c r="N1037" t="s">
        <v>59</v>
      </c>
      <c r="O1037">
        <v>5</v>
      </c>
      <c r="P1037" s="4">
        <v>1033.5</v>
      </c>
      <c r="Q1037" t="s">
        <v>48</v>
      </c>
      <c r="R1037">
        <v>0</v>
      </c>
      <c r="S1037" t="s">
        <v>31</v>
      </c>
      <c r="T1037">
        <v>1</v>
      </c>
      <c r="U1037">
        <v>0</v>
      </c>
      <c r="V1037" t="s">
        <v>32</v>
      </c>
      <c r="W1037" t="s">
        <v>57</v>
      </c>
      <c r="X1037" s="4">
        <v>10.1</v>
      </c>
      <c r="Y1037">
        <v>12</v>
      </c>
      <c r="Z1037" s="5">
        <v>358.77</v>
      </c>
    </row>
    <row r="1038" spans="1:26">
      <c r="A1038">
        <v>1037</v>
      </c>
      <c r="B1038">
        <v>330</v>
      </c>
      <c r="C1038" s="2">
        <v>46141</v>
      </c>
      <c r="D1038" t="s">
        <v>52</v>
      </c>
      <c r="E1038">
        <v>4</v>
      </c>
      <c r="F1038" s="3">
        <v>9.11</v>
      </c>
      <c r="G1038" t="s">
        <v>27</v>
      </c>
      <c r="H1038">
        <v>70</v>
      </c>
      <c r="I1038" t="s">
        <v>34</v>
      </c>
      <c r="J1038" s="4">
        <v>65.099999999999994</v>
      </c>
      <c r="K1038" s="4">
        <v>154.30000000000001</v>
      </c>
      <c r="L1038" s="4">
        <v>25.4</v>
      </c>
      <c r="M1038">
        <v>22</v>
      </c>
      <c r="N1038" t="s">
        <v>59</v>
      </c>
      <c r="O1038">
        <v>5</v>
      </c>
      <c r="P1038" s="4">
        <v>1033.5</v>
      </c>
      <c r="Q1038" t="s">
        <v>48</v>
      </c>
      <c r="R1038">
        <v>0</v>
      </c>
      <c r="S1038" t="s">
        <v>31</v>
      </c>
      <c r="T1038">
        <v>1</v>
      </c>
      <c r="U1038">
        <v>0</v>
      </c>
      <c r="V1038" t="s">
        <v>32</v>
      </c>
      <c r="W1038" t="s">
        <v>57</v>
      </c>
      <c r="X1038" s="4">
        <v>6.4</v>
      </c>
      <c r="Y1038">
        <v>8</v>
      </c>
      <c r="Z1038" s="5">
        <v>187.36</v>
      </c>
    </row>
    <row r="1039" spans="1:26">
      <c r="A1039">
        <v>1038</v>
      </c>
      <c r="B1039">
        <v>330</v>
      </c>
      <c r="C1039" s="2">
        <v>46141</v>
      </c>
      <c r="D1039" t="s">
        <v>52</v>
      </c>
      <c r="E1039">
        <v>4</v>
      </c>
      <c r="F1039" s="3">
        <v>9.14</v>
      </c>
      <c r="G1039" t="s">
        <v>27</v>
      </c>
      <c r="H1039">
        <v>40</v>
      </c>
      <c r="I1039" t="s">
        <v>28</v>
      </c>
      <c r="J1039" s="4">
        <v>65.7</v>
      </c>
      <c r="K1039" s="4">
        <v>137.4</v>
      </c>
      <c r="L1039" s="4">
        <v>22.3</v>
      </c>
      <c r="M1039">
        <v>15</v>
      </c>
      <c r="N1039" t="s">
        <v>59</v>
      </c>
      <c r="O1039">
        <v>5</v>
      </c>
      <c r="P1039" s="4">
        <v>1033.5</v>
      </c>
      <c r="Q1039" t="s">
        <v>48</v>
      </c>
      <c r="R1039">
        <v>0</v>
      </c>
      <c r="S1039" t="s">
        <v>31</v>
      </c>
      <c r="T1039">
        <v>1</v>
      </c>
      <c r="U1039">
        <v>0</v>
      </c>
      <c r="V1039" t="s">
        <v>32</v>
      </c>
      <c r="W1039" t="s">
        <v>57</v>
      </c>
      <c r="X1039" s="4">
        <v>10.199999999999999</v>
      </c>
      <c r="Y1039">
        <v>5</v>
      </c>
      <c r="Z1039" s="5">
        <v>242.02</v>
      </c>
    </row>
    <row r="1040" spans="1:26">
      <c r="A1040">
        <v>1039</v>
      </c>
      <c r="B1040">
        <v>331</v>
      </c>
      <c r="C1040" s="2">
        <v>46306</v>
      </c>
      <c r="D1040" t="s">
        <v>58</v>
      </c>
      <c r="E1040">
        <v>10</v>
      </c>
      <c r="F1040" s="3">
        <v>11.7</v>
      </c>
      <c r="G1040" t="s">
        <v>36</v>
      </c>
      <c r="H1040">
        <v>18</v>
      </c>
      <c r="I1040" t="s">
        <v>28</v>
      </c>
      <c r="J1040" s="4">
        <v>69.8</v>
      </c>
      <c r="K1040" s="4">
        <v>190.7</v>
      </c>
      <c r="L1040" s="4">
        <v>27.7</v>
      </c>
      <c r="M1040">
        <v>14</v>
      </c>
      <c r="N1040" t="s">
        <v>47</v>
      </c>
      <c r="O1040">
        <v>3</v>
      </c>
      <c r="P1040" s="4">
        <v>54.3</v>
      </c>
      <c r="Q1040" t="s">
        <v>42</v>
      </c>
      <c r="R1040">
        <v>0</v>
      </c>
      <c r="S1040" t="s">
        <v>31</v>
      </c>
      <c r="T1040">
        <v>1</v>
      </c>
      <c r="U1040">
        <v>0</v>
      </c>
      <c r="V1040" t="s">
        <v>32</v>
      </c>
      <c r="W1040" t="s">
        <v>39</v>
      </c>
      <c r="X1040" s="4">
        <v>8.6</v>
      </c>
      <c r="Y1040">
        <v>6</v>
      </c>
      <c r="Z1040" s="5">
        <v>220.07</v>
      </c>
    </row>
    <row r="1041" spans="1:26">
      <c r="A1041">
        <v>1040</v>
      </c>
      <c r="B1041">
        <v>331</v>
      </c>
      <c r="C1041" s="2">
        <v>46306</v>
      </c>
      <c r="D1041" t="s">
        <v>58</v>
      </c>
      <c r="E1041">
        <v>10</v>
      </c>
      <c r="F1041" s="3">
        <v>11.72</v>
      </c>
      <c r="G1041" t="s">
        <v>36</v>
      </c>
      <c r="H1041">
        <v>35</v>
      </c>
      <c r="I1041" t="s">
        <v>34</v>
      </c>
      <c r="J1041" s="4">
        <v>63.1</v>
      </c>
      <c r="K1041" s="4">
        <v>157.4</v>
      </c>
      <c r="L1041" s="4">
        <v>28.1</v>
      </c>
      <c r="M1041">
        <v>13</v>
      </c>
      <c r="N1041" t="s">
        <v>47</v>
      </c>
      <c r="O1041">
        <v>3</v>
      </c>
      <c r="P1041" s="4">
        <v>54.3</v>
      </c>
      <c r="Q1041" t="s">
        <v>42</v>
      </c>
      <c r="R1041">
        <v>0</v>
      </c>
      <c r="S1041" t="s">
        <v>31</v>
      </c>
      <c r="T1041">
        <v>1</v>
      </c>
      <c r="U1041">
        <v>0</v>
      </c>
      <c r="V1041" t="s">
        <v>32</v>
      </c>
      <c r="W1041" t="s">
        <v>39</v>
      </c>
      <c r="X1041" s="4">
        <v>6.4</v>
      </c>
      <c r="Y1041">
        <v>8</v>
      </c>
      <c r="Z1041" s="5">
        <v>129.47</v>
      </c>
    </row>
    <row r="1042" spans="1:26">
      <c r="A1042">
        <v>1041</v>
      </c>
      <c r="B1042">
        <v>331</v>
      </c>
      <c r="C1042" s="2">
        <v>46306</v>
      </c>
      <c r="D1042" t="s">
        <v>58</v>
      </c>
      <c r="E1042">
        <v>10</v>
      </c>
      <c r="F1042" s="3">
        <v>11.75</v>
      </c>
      <c r="G1042" t="s">
        <v>36</v>
      </c>
      <c r="H1042">
        <v>44</v>
      </c>
      <c r="I1042" t="s">
        <v>28</v>
      </c>
      <c r="J1042" s="4">
        <v>69.099999999999994</v>
      </c>
      <c r="K1042" s="4">
        <v>215.3</v>
      </c>
      <c r="L1042" s="4">
        <v>31.7</v>
      </c>
      <c r="M1042">
        <v>12</v>
      </c>
      <c r="N1042" t="s">
        <v>47</v>
      </c>
      <c r="O1042">
        <v>3</v>
      </c>
      <c r="P1042" s="4">
        <v>54.3</v>
      </c>
      <c r="Q1042" t="s">
        <v>42</v>
      </c>
      <c r="R1042">
        <v>0</v>
      </c>
      <c r="S1042" t="s">
        <v>31</v>
      </c>
      <c r="T1042">
        <v>1</v>
      </c>
      <c r="U1042">
        <v>0</v>
      </c>
      <c r="V1042" t="s">
        <v>32</v>
      </c>
      <c r="W1042" t="s">
        <v>39</v>
      </c>
      <c r="X1042" s="4">
        <v>6.9</v>
      </c>
      <c r="Y1042">
        <v>11</v>
      </c>
      <c r="Z1042" s="5">
        <v>219.39</v>
      </c>
    </row>
    <row r="1043" spans="1:26">
      <c r="A1043">
        <v>1042</v>
      </c>
      <c r="B1043">
        <v>332</v>
      </c>
      <c r="C1043" s="2">
        <v>46195</v>
      </c>
      <c r="D1043" t="s">
        <v>46</v>
      </c>
      <c r="E1043">
        <v>6</v>
      </c>
      <c r="F1043" s="3">
        <v>9.91</v>
      </c>
      <c r="G1043" t="s">
        <v>27</v>
      </c>
      <c r="H1043">
        <v>34</v>
      </c>
      <c r="I1043" t="s">
        <v>28</v>
      </c>
      <c r="J1043" s="4">
        <v>69.400000000000006</v>
      </c>
      <c r="K1043" s="4">
        <v>197.3</v>
      </c>
      <c r="L1043" s="4">
        <v>28.7</v>
      </c>
      <c r="M1043">
        <v>19</v>
      </c>
      <c r="N1043" t="s">
        <v>47</v>
      </c>
      <c r="O1043">
        <v>5</v>
      </c>
      <c r="P1043" s="4">
        <v>68.8</v>
      </c>
      <c r="Q1043" t="s">
        <v>48</v>
      </c>
      <c r="R1043">
        <v>1</v>
      </c>
      <c r="S1043" t="s">
        <v>31</v>
      </c>
      <c r="T1043">
        <v>0</v>
      </c>
      <c r="U1043">
        <v>0</v>
      </c>
      <c r="V1043" t="s">
        <v>32</v>
      </c>
      <c r="W1043" t="s">
        <v>39</v>
      </c>
      <c r="X1043" s="4">
        <v>10.5</v>
      </c>
      <c r="Y1043">
        <v>5</v>
      </c>
      <c r="Z1043" s="5">
        <v>327.66000000000003</v>
      </c>
    </row>
    <row r="1044" spans="1:26">
      <c r="A1044">
        <v>1043</v>
      </c>
      <c r="B1044">
        <v>332</v>
      </c>
      <c r="C1044" s="2">
        <v>46195</v>
      </c>
      <c r="D1044" t="s">
        <v>46</v>
      </c>
      <c r="E1044">
        <v>6</v>
      </c>
      <c r="F1044" s="3">
        <v>9.43</v>
      </c>
      <c r="G1044" t="s">
        <v>27</v>
      </c>
      <c r="H1044">
        <v>40</v>
      </c>
      <c r="I1044" t="s">
        <v>28</v>
      </c>
      <c r="J1044" s="4">
        <v>70.8</v>
      </c>
      <c r="K1044" s="4">
        <v>151.30000000000001</v>
      </c>
      <c r="L1044" s="4">
        <v>21</v>
      </c>
      <c r="M1044">
        <v>16</v>
      </c>
      <c r="N1044" t="s">
        <v>47</v>
      </c>
      <c r="O1044">
        <v>5</v>
      </c>
      <c r="P1044" s="4">
        <v>68.8</v>
      </c>
      <c r="Q1044" t="s">
        <v>48</v>
      </c>
      <c r="R1044">
        <v>1</v>
      </c>
      <c r="S1044" t="s">
        <v>31</v>
      </c>
      <c r="T1044">
        <v>0</v>
      </c>
      <c r="U1044">
        <v>0</v>
      </c>
      <c r="V1044" t="s">
        <v>32</v>
      </c>
      <c r="W1044" t="s">
        <v>39</v>
      </c>
      <c r="X1044" s="4">
        <v>7.6</v>
      </c>
      <c r="Y1044">
        <v>1</v>
      </c>
      <c r="Z1044" s="5">
        <v>163.35</v>
      </c>
    </row>
    <row r="1045" spans="1:26">
      <c r="A1045">
        <v>1044</v>
      </c>
      <c r="B1045">
        <v>332</v>
      </c>
      <c r="C1045" s="2">
        <v>46195</v>
      </c>
      <c r="D1045" t="s">
        <v>46</v>
      </c>
      <c r="E1045">
        <v>6</v>
      </c>
      <c r="F1045" s="3">
        <v>9.5500000000000007</v>
      </c>
      <c r="G1045" t="s">
        <v>27</v>
      </c>
      <c r="H1045">
        <v>6</v>
      </c>
      <c r="I1045" t="s">
        <v>34</v>
      </c>
      <c r="J1045" s="4">
        <v>55.3</v>
      </c>
      <c r="K1045" s="4">
        <v>76.2</v>
      </c>
      <c r="L1045" s="4">
        <v>17.600000000000001</v>
      </c>
      <c r="M1045">
        <v>15</v>
      </c>
      <c r="N1045" t="s">
        <v>47</v>
      </c>
      <c r="O1045">
        <v>5</v>
      </c>
      <c r="P1045" s="4">
        <v>68.8</v>
      </c>
      <c r="Q1045" t="s">
        <v>48</v>
      </c>
      <c r="R1045">
        <v>1</v>
      </c>
      <c r="S1045" t="s">
        <v>31</v>
      </c>
      <c r="T1045">
        <v>0</v>
      </c>
      <c r="U1045">
        <v>0</v>
      </c>
      <c r="V1045" t="s">
        <v>32</v>
      </c>
      <c r="W1045" t="s">
        <v>39</v>
      </c>
      <c r="X1045" s="4">
        <v>10.8</v>
      </c>
      <c r="Y1045">
        <v>9</v>
      </c>
      <c r="Z1045" s="5">
        <v>191.95</v>
      </c>
    </row>
    <row r="1046" spans="1:26">
      <c r="A1046">
        <v>1045</v>
      </c>
      <c r="B1046">
        <v>332</v>
      </c>
      <c r="C1046" s="2">
        <v>46195</v>
      </c>
      <c r="D1046" t="s">
        <v>46</v>
      </c>
      <c r="E1046">
        <v>6</v>
      </c>
      <c r="F1046" s="3">
        <v>9.59</v>
      </c>
      <c r="G1046" t="s">
        <v>27</v>
      </c>
      <c r="H1046">
        <v>4</v>
      </c>
      <c r="I1046" t="s">
        <v>34</v>
      </c>
      <c r="J1046" s="4">
        <v>51.5</v>
      </c>
      <c r="K1046" s="4">
        <v>81</v>
      </c>
      <c r="L1046" s="4">
        <v>21.4</v>
      </c>
      <c r="M1046">
        <v>15</v>
      </c>
      <c r="N1046" t="s">
        <v>47</v>
      </c>
      <c r="O1046">
        <v>5</v>
      </c>
      <c r="P1046" s="4">
        <v>68.8</v>
      </c>
      <c r="Q1046" t="s">
        <v>48</v>
      </c>
      <c r="R1046">
        <v>1</v>
      </c>
      <c r="S1046" t="s">
        <v>31</v>
      </c>
      <c r="T1046">
        <v>0</v>
      </c>
      <c r="U1046">
        <v>0</v>
      </c>
      <c r="V1046" t="s">
        <v>32</v>
      </c>
      <c r="W1046" t="s">
        <v>39</v>
      </c>
      <c r="X1046" s="4">
        <v>9</v>
      </c>
      <c r="Y1046">
        <v>8</v>
      </c>
      <c r="Z1046" s="5">
        <v>305.02999999999997</v>
      </c>
    </row>
    <row r="1047" spans="1:26">
      <c r="A1047">
        <v>1046</v>
      </c>
      <c r="B1047">
        <v>332</v>
      </c>
      <c r="C1047" s="2">
        <v>46195</v>
      </c>
      <c r="D1047" t="s">
        <v>46</v>
      </c>
      <c r="E1047">
        <v>6</v>
      </c>
      <c r="F1047" s="3">
        <v>9.7100000000000009</v>
      </c>
      <c r="G1047" t="s">
        <v>27</v>
      </c>
      <c r="H1047">
        <v>11</v>
      </c>
      <c r="I1047" t="s">
        <v>34</v>
      </c>
      <c r="J1047" s="4">
        <v>70</v>
      </c>
      <c r="K1047" s="4">
        <v>136.19999999999999</v>
      </c>
      <c r="L1047" s="4">
        <v>19.7</v>
      </c>
      <c r="M1047">
        <v>13</v>
      </c>
      <c r="N1047" t="s">
        <v>47</v>
      </c>
      <c r="O1047">
        <v>5</v>
      </c>
      <c r="P1047" s="4">
        <v>68.8</v>
      </c>
      <c r="Q1047" t="s">
        <v>48</v>
      </c>
      <c r="R1047">
        <v>1</v>
      </c>
      <c r="S1047" t="s">
        <v>31</v>
      </c>
      <c r="T1047">
        <v>0</v>
      </c>
      <c r="U1047">
        <v>0</v>
      </c>
      <c r="V1047" t="s">
        <v>32</v>
      </c>
      <c r="W1047" t="s">
        <v>39</v>
      </c>
      <c r="X1047" s="4">
        <v>7.7</v>
      </c>
      <c r="Y1047">
        <v>6</v>
      </c>
      <c r="Z1047" s="5">
        <v>276.37</v>
      </c>
    </row>
    <row r="1048" spans="1:26">
      <c r="A1048">
        <v>1047</v>
      </c>
      <c r="B1048">
        <v>333</v>
      </c>
      <c r="C1048" s="2">
        <v>46082</v>
      </c>
      <c r="D1048" t="s">
        <v>58</v>
      </c>
      <c r="E1048">
        <v>3</v>
      </c>
      <c r="F1048" s="3">
        <v>10.89</v>
      </c>
      <c r="G1048" t="s">
        <v>27</v>
      </c>
      <c r="H1048">
        <v>26</v>
      </c>
      <c r="I1048" t="s">
        <v>34</v>
      </c>
      <c r="J1048" s="4">
        <v>64.8</v>
      </c>
      <c r="K1048" s="4">
        <v>178.5</v>
      </c>
      <c r="L1048" s="4">
        <v>29.9</v>
      </c>
      <c r="M1048">
        <v>15</v>
      </c>
      <c r="N1048" t="s">
        <v>41</v>
      </c>
      <c r="O1048">
        <v>4</v>
      </c>
      <c r="P1048" s="4">
        <v>2611.1</v>
      </c>
      <c r="Q1048" t="s">
        <v>48</v>
      </c>
      <c r="R1048">
        <v>1</v>
      </c>
      <c r="S1048" t="s">
        <v>38</v>
      </c>
      <c r="T1048">
        <v>1</v>
      </c>
      <c r="U1048">
        <v>0</v>
      </c>
      <c r="V1048" t="s">
        <v>32</v>
      </c>
      <c r="W1048" t="s">
        <v>39</v>
      </c>
      <c r="X1048" s="4">
        <v>8.1999999999999993</v>
      </c>
      <c r="Y1048">
        <v>5</v>
      </c>
      <c r="Z1048" s="5">
        <v>207.94</v>
      </c>
    </row>
    <row r="1049" spans="1:26">
      <c r="A1049">
        <v>1048</v>
      </c>
      <c r="B1049">
        <v>333</v>
      </c>
      <c r="C1049" s="2">
        <v>46082</v>
      </c>
      <c r="D1049" t="s">
        <v>58</v>
      </c>
      <c r="E1049">
        <v>3</v>
      </c>
      <c r="F1049" s="3">
        <v>11.03</v>
      </c>
      <c r="G1049" t="s">
        <v>36</v>
      </c>
      <c r="H1049">
        <v>58</v>
      </c>
      <c r="I1049" t="s">
        <v>28</v>
      </c>
      <c r="J1049" s="4">
        <v>70.099999999999994</v>
      </c>
      <c r="K1049" s="4">
        <v>142.19999999999999</v>
      </c>
      <c r="L1049" s="4">
        <v>20.399999999999999</v>
      </c>
      <c r="M1049">
        <v>16</v>
      </c>
      <c r="N1049" t="s">
        <v>41</v>
      </c>
      <c r="O1049">
        <v>4</v>
      </c>
      <c r="P1049" s="4">
        <v>2611.1</v>
      </c>
      <c r="Q1049" t="s">
        <v>48</v>
      </c>
      <c r="R1049">
        <v>1</v>
      </c>
      <c r="S1049" t="s">
        <v>38</v>
      </c>
      <c r="T1049">
        <v>1</v>
      </c>
      <c r="U1049">
        <v>0</v>
      </c>
      <c r="V1049" t="s">
        <v>32</v>
      </c>
      <c r="W1049" t="s">
        <v>39</v>
      </c>
      <c r="X1049" s="4">
        <v>9.6</v>
      </c>
      <c r="Y1049">
        <v>7</v>
      </c>
      <c r="Z1049" s="5">
        <v>296.38</v>
      </c>
    </row>
    <row r="1050" spans="1:26">
      <c r="A1050">
        <v>1049</v>
      </c>
      <c r="B1050">
        <v>333</v>
      </c>
      <c r="C1050" s="2">
        <v>46082</v>
      </c>
      <c r="D1050" t="s">
        <v>58</v>
      </c>
      <c r="E1050">
        <v>3</v>
      </c>
      <c r="F1050" s="3">
        <v>11.04</v>
      </c>
      <c r="G1050" t="s">
        <v>36</v>
      </c>
      <c r="H1050">
        <v>6</v>
      </c>
      <c r="I1050" t="s">
        <v>34</v>
      </c>
      <c r="J1050" s="4">
        <v>50.4</v>
      </c>
      <c r="K1050" s="4">
        <v>70.2</v>
      </c>
      <c r="L1050" s="4">
        <v>19.399999999999999</v>
      </c>
      <c r="M1050">
        <v>16</v>
      </c>
      <c r="N1050" t="s">
        <v>41</v>
      </c>
      <c r="O1050">
        <v>4</v>
      </c>
      <c r="P1050" s="4">
        <v>2611.1</v>
      </c>
      <c r="Q1050" t="s">
        <v>48</v>
      </c>
      <c r="R1050">
        <v>1</v>
      </c>
      <c r="S1050" t="s">
        <v>38</v>
      </c>
      <c r="T1050">
        <v>1</v>
      </c>
      <c r="U1050">
        <v>0</v>
      </c>
      <c r="V1050" t="s">
        <v>32</v>
      </c>
      <c r="W1050" t="s">
        <v>39</v>
      </c>
      <c r="X1050" s="4">
        <v>7.6</v>
      </c>
      <c r="Y1050">
        <v>8</v>
      </c>
      <c r="Z1050" s="5">
        <v>251.88</v>
      </c>
    </row>
    <row r="1051" spans="1:26">
      <c r="A1051">
        <v>1050</v>
      </c>
      <c r="B1051">
        <v>333</v>
      </c>
      <c r="C1051" s="2">
        <v>46082</v>
      </c>
      <c r="D1051" t="s">
        <v>58</v>
      </c>
      <c r="E1051">
        <v>3</v>
      </c>
      <c r="F1051" s="3">
        <v>10.94</v>
      </c>
      <c r="G1051" t="s">
        <v>27</v>
      </c>
      <c r="H1051">
        <v>59</v>
      </c>
      <c r="I1051" t="s">
        <v>28</v>
      </c>
      <c r="J1051" s="4">
        <v>76.3</v>
      </c>
      <c r="K1051" s="4">
        <v>113.7</v>
      </c>
      <c r="L1051" s="4">
        <v>13.9</v>
      </c>
      <c r="M1051">
        <v>18</v>
      </c>
      <c r="N1051" t="s">
        <v>41</v>
      </c>
      <c r="O1051">
        <v>4</v>
      </c>
      <c r="P1051" s="4">
        <v>2611.1</v>
      </c>
      <c r="Q1051" t="s">
        <v>48</v>
      </c>
      <c r="R1051">
        <v>1</v>
      </c>
      <c r="S1051" t="s">
        <v>38</v>
      </c>
      <c r="T1051">
        <v>1</v>
      </c>
      <c r="U1051">
        <v>0</v>
      </c>
      <c r="V1051" t="s">
        <v>32</v>
      </c>
      <c r="W1051" t="s">
        <v>39</v>
      </c>
      <c r="X1051" s="4">
        <v>9</v>
      </c>
      <c r="Y1051">
        <v>7</v>
      </c>
      <c r="Z1051" s="5">
        <v>274.75</v>
      </c>
    </row>
    <row r="1052" spans="1:26">
      <c r="A1052">
        <v>1051</v>
      </c>
      <c r="B1052">
        <v>334</v>
      </c>
      <c r="C1052" s="2">
        <v>46104</v>
      </c>
      <c r="D1052" t="s">
        <v>46</v>
      </c>
      <c r="E1052">
        <v>3</v>
      </c>
      <c r="F1052" s="3">
        <v>9.39</v>
      </c>
      <c r="G1052" t="s">
        <v>27</v>
      </c>
      <c r="H1052">
        <v>39</v>
      </c>
      <c r="I1052" t="s">
        <v>34</v>
      </c>
      <c r="J1052" s="4">
        <v>60</v>
      </c>
      <c r="K1052" s="4">
        <v>125.6</v>
      </c>
      <c r="L1052" s="4">
        <v>24.2</v>
      </c>
      <c r="M1052">
        <v>11</v>
      </c>
      <c r="N1052" t="s">
        <v>47</v>
      </c>
      <c r="O1052">
        <v>2</v>
      </c>
      <c r="P1052" s="4">
        <v>122.9</v>
      </c>
      <c r="Q1052" t="s">
        <v>42</v>
      </c>
      <c r="R1052">
        <v>0</v>
      </c>
      <c r="S1052" t="s">
        <v>44</v>
      </c>
      <c r="T1052">
        <v>0</v>
      </c>
      <c r="U1052">
        <v>0</v>
      </c>
      <c r="V1052" t="s">
        <v>45</v>
      </c>
      <c r="W1052" t="s">
        <v>39</v>
      </c>
      <c r="X1052" s="4">
        <v>6.1</v>
      </c>
      <c r="Y1052">
        <v>2</v>
      </c>
      <c r="Z1052" s="5">
        <v>199.78</v>
      </c>
    </row>
    <row r="1053" spans="1:26">
      <c r="A1053">
        <v>1052</v>
      </c>
      <c r="B1053">
        <v>334</v>
      </c>
      <c r="C1053" s="2">
        <v>46104</v>
      </c>
      <c r="D1053" t="s">
        <v>46</v>
      </c>
      <c r="E1053">
        <v>3</v>
      </c>
      <c r="F1053" s="3">
        <v>9.77</v>
      </c>
      <c r="G1053" t="s">
        <v>27</v>
      </c>
      <c r="H1053">
        <v>59</v>
      </c>
      <c r="I1053" t="s">
        <v>34</v>
      </c>
      <c r="J1053" s="4">
        <v>61.2</v>
      </c>
      <c r="K1053" s="4">
        <v>147.6</v>
      </c>
      <c r="L1053" s="4">
        <v>27.9</v>
      </c>
      <c r="M1053">
        <v>17</v>
      </c>
      <c r="N1053" t="s">
        <v>47</v>
      </c>
      <c r="O1053">
        <v>2</v>
      </c>
      <c r="P1053" s="4">
        <v>122.9</v>
      </c>
      <c r="Q1053" t="s">
        <v>42</v>
      </c>
      <c r="R1053">
        <v>0</v>
      </c>
      <c r="S1053" t="s">
        <v>44</v>
      </c>
      <c r="T1053">
        <v>0</v>
      </c>
      <c r="U1053">
        <v>0</v>
      </c>
      <c r="V1053" t="s">
        <v>45</v>
      </c>
      <c r="W1053" t="s">
        <v>39</v>
      </c>
      <c r="X1053" s="4">
        <v>7.2</v>
      </c>
      <c r="Y1053">
        <v>7</v>
      </c>
      <c r="Z1053" s="5">
        <v>147.80000000000001</v>
      </c>
    </row>
    <row r="1054" spans="1:26">
      <c r="A1054">
        <v>1053</v>
      </c>
      <c r="B1054">
        <v>335</v>
      </c>
      <c r="C1054" s="2">
        <v>46250</v>
      </c>
      <c r="D1054" t="s">
        <v>58</v>
      </c>
      <c r="E1054">
        <v>8</v>
      </c>
      <c r="F1054" s="3">
        <v>12.03</v>
      </c>
      <c r="G1054" t="s">
        <v>36</v>
      </c>
      <c r="H1054">
        <v>55</v>
      </c>
      <c r="I1054" t="s">
        <v>34</v>
      </c>
      <c r="J1054" s="4">
        <v>67.099999999999994</v>
      </c>
      <c r="K1054" s="4">
        <v>172.9</v>
      </c>
      <c r="L1054" s="4">
        <v>27</v>
      </c>
      <c r="M1054">
        <v>12</v>
      </c>
      <c r="N1054" t="s">
        <v>50</v>
      </c>
      <c r="O1054">
        <v>2</v>
      </c>
      <c r="P1054" s="4">
        <v>398.6</v>
      </c>
      <c r="Q1054" t="s">
        <v>30</v>
      </c>
      <c r="R1054">
        <v>1</v>
      </c>
      <c r="S1054" t="s">
        <v>31</v>
      </c>
      <c r="T1054">
        <v>0</v>
      </c>
      <c r="U1054">
        <v>0</v>
      </c>
      <c r="V1054" t="s">
        <v>45</v>
      </c>
      <c r="W1054" t="s">
        <v>39</v>
      </c>
      <c r="X1054" s="4">
        <v>9.6</v>
      </c>
      <c r="Y1054">
        <v>5</v>
      </c>
      <c r="Z1054" s="5">
        <v>183.5</v>
      </c>
    </row>
    <row r="1055" spans="1:26">
      <c r="A1055">
        <v>1054</v>
      </c>
      <c r="B1055">
        <v>335</v>
      </c>
      <c r="C1055" s="2">
        <v>46250</v>
      </c>
      <c r="D1055" t="s">
        <v>58</v>
      </c>
      <c r="E1055">
        <v>8</v>
      </c>
      <c r="F1055" s="3">
        <v>11.92</v>
      </c>
      <c r="G1055" t="s">
        <v>36</v>
      </c>
      <c r="H1055">
        <v>41</v>
      </c>
      <c r="I1055" t="s">
        <v>28</v>
      </c>
      <c r="J1055" s="4">
        <v>69.900000000000006</v>
      </c>
      <c r="K1055" s="4">
        <v>184.7</v>
      </c>
      <c r="L1055" s="4">
        <v>26.5</v>
      </c>
      <c r="M1055">
        <v>16</v>
      </c>
      <c r="N1055" t="s">
        <v>50</v>
      </c>
      <c r="O1055">
        <v>2</v>
      </c>
      <c r="P1055" s="4">
        <v>398.6</v>
      </c>
      <c r="Q1055" t="s">
        <v>30</v>
      </c>
      <c r="R1055">
        <v>1</v>
      </c>
      <c r="S1055" t="s">
        <v>31</v>
      </c>
      <c r="T1055">
        <v>0</v>
      </c>
      <c r="U1055">
        <v>0</v>
      </c>
      <c r="V1055" t="s">
        <v>45</v>
      </c>
      <c r="W1055" t="s">
        <v>39</v>
      </c>
      <c r="X1055" s="4">
        <v>8.5</v>
      </c>
      <c r="Y1055">
        <v>11</v>
      </c>
      <c r="Z1055" s="5">
        <v>251.72</v>
      </c>
    </row>
    <row r="1056" spans="1:26">
      <c r="A1056">
        <v>1055</v>
      </c>
      <c r="B1056">
        <v>336</v>
      </c>
      <c r="C1056" s="2">
        <v>46086</v>
      </c>
      <c r="D1056" t="s">
        <v>55</v>
      </c>
      <c r="E1056">
        <v>3</v>
      </c>
      <c r="F1056" s="3">
        <v>9.91</v>
      </c>
      <c r="G1056" t="s">
        <v>27</v>
      </c>
      <c r="H1056">
        <v>28</v>
      </c>
      <c r="I1056" t="s">
        <v>28</v>
      </c>
      <c r="J1056" s="4">
        <v>67.400000000000006</v>
      </c>
      <c r="K1056" s="4">
        <v>158.1</v>
      </c>
      <c r="L1056" s="4">
        <v>24.6</v>
      </c>
      <c r="M1056">
        <v>13</v>
      </c>
      <c r="N1056" t="s">
        <v>56</v>
      </c>
      <c r="O1056">
        <v>1</v>
      </c>
      <c r="P1056" s="4">
        <v>276.2</v>
      </c>
      <c r="Q1056" t="s">
        <v>42</v>
      </c>
      <c r="R1056">
        <v>0</v>
      </c>
      <c r="S1056" t="s">
        <v>38</v>
      </c>
      <c r="T1056">
        <v>1</v>
      </c>
      <c r="U1056">
        <v>0</v>
      </c>
      <c r="V1056" t="s">
        <v>32</v>
      </c>
      <c r="W1056" t="s">
        <v>43</v>
      </c>
      <c r="X1056" s="4">
        <v>10.199999999999999</v>
      </c>
      <c r="Y1056">
        <v>14</v>
      </c>
      <c r="Z1056" s="5">
        <v>216.9</v>
      </c>
    </row>
    <row r="1057" spans="1:26">
      <c r="A1057">
        <v>1056</v>
      </c>
      <c r="B1057">
        <v>337</v>
      </c>
      <c r="C1057" s="2">
        <v>46157</v>
      </c>
      <c r="D1057" t="s">
        <v>26</v>
      </c>
      <c r="E1057">
        <v>5</v>
      </c>
      <c r="F1057" s="3">
        <v>11.04</v>
      </c>
      <c r="G1057" t="s">
        <v>36</v>
      </c>
      <c r="H1057">
        <v>24</v>
      </c>
      <c r="I1057" t="s">
        <v>28</v>
      </c>
      <c r="J1057" s="4">
        <v>70.7</v>
      </c>
      <c r="K1057" s="4">
        <v>177</v>
      </c>
      <c r="L1057" s="4">
        <v>24.9</v>
      </c>
      <c r="M1057">
        <v>17</v>
      </c>
      <c r="N1057" t="s">
        <v>60</v>
      </c>
      <c r="O1057">
        <v>5</v>
      </c>
      <c r="P1057" s="4">
        <v>1497.3</v>
      </c>
      <c r="Q1057" t="s">
        <v>48</v>
      </c>
      <c r="R1057">
        <v>1</v>
      </c>
      <c r="S1057" t="s">
        <v>31</v>
      </c>
      <c r="T1057">
        <v>0</v>
      </c>
      <c r="U1057">
        <v>0</v>
      </c>
      <c r="V1057" t="s">
        <v>45</v>
      </c>
      <c r="W1057" t="s">
        <v>39</v>
      </c>
      <c r="X1057" s="4">
        <v>8.4</v>
      </c>
      <c r="Y1057">
        <v>9</v>
      </c>
      <c r="Z1057" s="5">
        <v>496.37</v>
      </c>
    </row>
    <row r="1058" spans="1:26">
      <c r="A1058">
        <v>1057</v>
      </c>
      <c r="B1058">
        <v>337</v>
      </c>
      <c r="C1058" s="2">
        <v>46157</v>
      </c>
      <c r="D1058" t="s">
        <v>26</v>
      </c>
      <c r="E1058">
        <v>5</v>
      </c>
      <c r="F1058" s="3">
        <v>10.6</v>
      </c>
      <c r="G1058" t="s">
        <v>27</v>
      </c>
      <c r="H1058">
        <v>37</v>
      </c>
      <c r="I1058" t="s">
        <v>34</v>
      </c>
      <c r="J1058" s="4">
        <v>64.099999999999994</v>
      </c>
      <c r="K1058" s="4">
        <v>145.19999999999999</v>
      </c>
      <c r="L1058" s="4">
        <v>24.9</v>
      </c>
      <c r="M1058">
        <v>18</v>
      </c>
      <c r="N1058" t="s">
        <v>60</v>
      </c>
      <c r="O1058">
        <v>5</v>
      </c>
      <c r="P1058" s="4">
        <v>1497.3</v>
      </c>
      <c r="Q1058" t="s">
        <v>48</v>
      </c>
      <c r="R1058">
        <v>1</v>
      </c>
      <c r="S1058" t="s">
        <v>31</v>
      </c>
      <c r="T1058">
        <v>0</v>
      </c>
      <c r="U1058">
        <v>0</v>
      </c>
      <c r="V1058" t="s">
        <v>45</v>
      </c>
      <c r="W1058" t="s">
        <v>39</v>
      </c>
      <c r="X1058" s="4">
        <v>9.4</v>
      </c>
      <c r="Y1058">
        <v>8</v>
      </c>
      <c r="Z1058" s="5">
        <v>282.82</v>
      </c>
    </row>
    <row r="1059" spans="1:26">
      <c r="A1059">
        <v>1058</v>
      </c>
      <c r="B1059">
        <v>337</v>
      </c>
      <c r="C1059" s="2">
        <v>46157</v>
      </c>
      <c r="D1059" t="s">
        <v>26</v>
      </c>
      <c r="E1059">
        <v>5</v>
      </c>
      <c r="F1059" s="3">
        <v>10.69</v>
      </c>
      <c r="G1059" t="s">
        <v>27</v>
      </c>
      <c r="H1059">
        <v>22</v>
      </c>
      <c r="I1059" t="s">
        <v>34</v>
      </c>
      <c r="J1059" s="4">
        <v>64.599999999999994</v>
      </c>
      <c r="K1059" s="4">
        <v>146.30000000000001</v>
      </c>
      <c r="L1059" s="4">
        <v>24.8</v>
      </c>
      <c r="M1059">
        <v>18</v>
      </c>
      <c r="N1059" t="s">
        <v>60</v>
      </c>
      <c r="O1059">
        <v>5</v>
      </c>
      <c r="P1059" s="4">
        <v>1497.3</v>
      </c>
      <c r="Q1059" t="s">
        <v>48</v>
      </c>
      <c r="R1059">
        <v>1</v>
      </c>
      <c r="S1059" t="s">
        <v>31</v>
      </c>
      <c r="T1059">
        <v>0</v>
      </c>
      <c r="U1059">
        <v>0</v>
      </c>
      <c r="V1059" t="s">
        <v>45</v>
      </c>
      <c r="W1059" t="s">
        <v>39</v>
      </c>
      <c r="X1059" s="4">
        <v>6</v>
      </c>
      <c r="Y1059">
        <v>6</v>
      </c>
      <c r="Z1059" s="5">
        <v>156.68</v>
      </c>
    </row>
    <row r="1060" spans="1:26">
      <c r="A1060">
        <v>1059</v>
      </c>
      <c r="B1060">
        <v>337</v>
      </c>
      <c r="C1060" s="2">
        <v>46157</v>
      </c>
      <c r="D1060" t="s">
        <v>26</v>
      </c>
      <c r="E1060">
        <v>5</v>
      </c>
      <c r="F1060" s="3">
        <v>10.65</v>
      </c>
      <c r="G1060" t="s">
        <v>27</v>
      </c>
      <c r="H1060">
        <v>76</v>
      </c>
      <c r="I1060" t="s">
        <v>28</v>
      </c>
      <c r="J1060" s="4">
        <v>69.8</v>
      </c>
      <c r="K1060" s="4">
        <v>190.4</v>
      </c>
      <c r="L1060" s="4">
        <v>27.6</v>
      </c>
      <c r="M1060">
        <v>15</v>
      </c>
      <c r="N1060" t="s">
        <v>60</v>
      </c>
      <c r="O1060">
        <v>5</v>
      </c>
      <c r="P1060" s="4">
        <v>1497.3</v>
      </c>
      <c r="Q1060" t="s">
        <v>48</v>
      </c>
      <c r="R1060">
        <v>1</v>
      </c>
      <c r="S1060" t="s">
        <v>31</v>
      </c>
      <c r="T1060">
        <v>0</v>
      </c>
      <c r="U1060">
        <v>0</v>
      </c>
      <c r="V1060" t="s">
        <v>45</v>
      </c>
      <c r="W1060" t="s">
        <v>39</v>
      </c>
      <c r="X1060" s="4">
        <v>9.1</v>
      </c>
      <c r="Y1060">
        <v>9</v>
      </c>
      <c r="Z1060" s="5">
        <v>322.66000000000003</v>
      </c>
    </row>
    <row r="1061" spans="1:26">
      <c r="A1061">
        <v>1060</v>
      </c>
      <c r="B1061">
        <v>337</v>
      </c>
      <c r="C1061" s="2">
        <v>46157</v>
      </c>
      <c r="D1061" t="s">
        <v>26</v>
      </c>
      <c r="E1061">
        <v>5</v>
      </c>
      <c r="F1061" s="3">
        <v>10.5</v>
      </c>
      <c r="G1061" t="s">
        <v>27</v>
      </c>
      <c r="H1061">
        <v>3</v>
      </c>
      <c r="I1061" t="s">
        <v>34</v>
      </c>
      <c r="J1061" s="4">
        <v>52.1</v>
      </c>
      <c r="K1061" s="4">
        <v>88.6</v>
      </c>
      <c r="L1061" s="4">
        <v>23.1</v>
      </c>
      <c r="M1061">
        <v>13</v>
      </c>
      <c r="N1061" t="s">
        <v>60</v>
      </c>
      <c r="O1061">
        <v>5</v>
      </c>
      <c r="P1061" s="4">
        <v>1497.3</v>
      </c>
      <c r="Q1061" t="s">
        <v>48</v>
      </c>
      <c r="R1061">
        <v>1</v>
      </c>
      <c r="S1061" t="s">
        <v>31</v>
      </c>
      <c r="T1061">
        <v>0</v>
      </c>
      <c r="U1061">
        <v>0</v>
      </c>
      <c r="V1061" t="s">
        <v>45</v>
      </c>
      <c r="W1061" t="s">
        <v>39</v>
      </c>
      <c r="X1061" s="4">
        <v>7.3</v>
      </c>
      <c r="Y1061">
        <v>9</v>
      </c>
      <c r="Z1061" s="5">
        <v>242.81</v>
      </c>
    </row>
    <row r="1062" spans="1:26">
      <c r="A1062">
        <v>1061</v>
      </c>
      <c r="B1062">
        <v>338</v>
      </c>
      <c r="C1062" s="2">
        <v>46279</v>
      </c>
      <c r="D1062" t="s">
        <v>46</v>
      </c>
      <c r="E1062">
        <v>9</v>
      </c>
      <c r="F1062" s="3">
        <v>15.08</v>
      </c>
      <c r="G1062" t="s">
        <v>68</v>
      </c>
      <c r="H1062">
        <v>33</v>
      </c>
      <c r="I1062" t="s">
        <v>28</v>
      </c>
      <c r="J1062" s="4">
        <v>63.4</v>
      </c>
      <c r="K1062" s="4">
        <v>172.2</v>
      </c>
      <c r="L1062" s="4">
        <v>30.2</v>
      </c>
      <c r="M1062">
        <v>15</v>
      </c>
      <c r="N1062" t="s">
        <v>47</v>
      </c>
      <c r="O1062">
        <v>3</v>
      </c>
      <c r="P1062" s="4">
        <v>108.4</v>
      </c>
      <c r="Q1062" t="s">
        <v>42</v>
      </c>
      <c r="R1062">
        <v>1</v>
      </c>
      <c r="S1062" t="s">
        <v>44</v>
      </c>
      <c r="T1062">
        <v>0</v>
      </c>
      <c r="U1062">
        <v>0</v>
      </c>
      <c r="V1062" t="s">
        <v>32</v>
      </c>
      <c r="W1062" t="s">
        <v>43</v>
      </c>
      <c r="X1062" s="4">
        <v>9.4</v>
      </c>
      <c r="Y1062">
        <v>13</v>
      </c>
      <c r="Z1062" s="5">
        <v>184.95</v>
      </c>
    </row>
    <row r="1063" spans="1:26">
      <c r="A1063">
        <v>1062</v>
      </c>
      <c r="B1063">
        <v>338</v>
      </c>
      <c r="C1063" s="2">
        <v>46279</v>
      </c>
      <c r="D1063" t="s">
        <v>46</v>
      </c>
      <c r="E1063">
        <v>9</v>
      </c>
      <c r="F1063" s="3">
        <v>15</v>
      </c>
      <c r="G1063" t="s">
        <v>68</v>
      </c>
      <c r="H1063">
        <v>31</v>
      </c>
      <c r="I1063" t="s">
        <v>34</v>
      </c>
      <c r="J1063" s="4">
        <v>60.2</v>
      </c>
      <c r="K1063" s="4">
        <v>118.7</v>
      </c>
      <c r="L1063" s="4">
        <v>23.1</v>
      </c>
      <c r="M1063">
        <v>15</v>
      </c>
      <c r="N1063" t="s">
        <v>47</v>
      </c>
      <c r="O1063">
        <v>3</v>
      </c>
      <c r="P1063" s="4">
        <v>108.4</v>
      </c>
      <c r="Q1063" t="s">
        <v>42</v>
      </c>
      <c r="R1063">
        <v>1</v>
      </c>
      <c r="S1063" t="s">
        <v>44</v>
      </c>
      <c r="T1063">
        <v>0</v>
      </c>
      <c r="U1063">
        <v>0</v>
      </c>
      <c r="V1063" t="s">
        <v>32</v>
      </c>
      <c r="W1063" t="s">
        <v>43</v>
      </c>
      <c r="X1063" s="4">
        <v>7.3</v>
      </c>
      <c r="Y1063">
        <v>11</v>
      </c>
      <c r="Z1063" s="5">
        <v>334.73</v>
      </c>
    </row>
    <row r="1064" spans="1:26">
      <c r="A1064">
        <v>1063</v>
      </c>
      <c r="B1064">
        <v>338</v>
      </c>
      <c r="C1064" s="2">
        <v>46279</v>
      </c>
      <c r="D1064" t="s">
        <v>46</v>
      </c>
      <c r="E1064">
        <v>9</v>
      </c>
      <c r="F1064" s="3">
        <v>15</v>
      </c>
      <c r="G1064" t="s">
        <v>68</v>
      </c>
      <c r="H1064">
        <v>52</v>
      </c>
      <c r="I1064" t="s">
        <v>28</v>
      </c>
      <c r="J1064" s="4">
        <v>67.7</v>
      </c>
      <c r="K1064" s="4">
        <v>170.3</v>
      </c>
      <c r="L1064" s="4">
        <v>26.1</v>
      </c>
      <c r="M1064">
        <v>16</v>
      </c>
      <c r="N1064" t="s">
        <v>47</v>
      </c>
      <c r="O1064">
        <v>3</v>
      </c>
      <c r="P1064" s="4">
        <v>108.4</v>
      </c>
      <c r="Q1064" t="s">
        <v>42</v>
      </c>
      <c r="R1064">
        <v>1</v>
      </c>
      <c r="S1064" t="s">
        <v>44</v>
      </c>
      <c r="T1064">
        <v>0</v>
      </c>
      <c r="U1064">
        <v>0</v>
      </c>
      <c r="V1064" t="s">
        <v>32</v>
      </c>
      <c r="W1064" t="s">
        <v>43</v>
      </c>
      <c r="X1064" s="4">
        <v>9.1</v>
      </c>
      <c r="Y1064">
        <v>6</v>
      </c>
      <c r="Z1064" s="5">
        <v>215.06</v>
      </c>
    </row>
    <row r="1065" spans="1:26">
      <c r="A1065">
        <v>1064</v>
      </c>
      <c r="B1065">
        <v>339</v>
      </c>
      <c r="C1065" s="2">
        <v>46212</v>
      </c>
      <c r="D1065" t="s">
        <v>55</v>
      </c>
      <c r="E1065">
        <v>7</v>
      </c>
      <c r="F1065" s="3">
        <v>12.05</v>
      </c>
      <c r="G1065" t="s">
        <v>36</v>
      </c>
      <c r="H1065">
        <v>29</v>
      </c>
      <c r="I1065" t="s">
        <v>28</v>
      </c>
      <c r="J1065" s="4">
        <v>72.099999999999994</v>
      </c>
      <c r="K1065" s="4">
        <v>170.9</v>
      </c>
      <c r="L1065" s="4">
        <v>23.2</v>
      </c>
      <c r="M1065">
        <v>16</v>
      </c>
      <c r="N1065" t="s">
        <v>47</v>
      </c>
      <c r="O1065">
        <v>1</v>
      </c>
      <c r="P1065" s="4">
        <v>138.80000000000001</v>
      </c>
      <c r="Q1065" t="s">
        <v>48</v>
      </c>
      <c r="R1065">
        <v>0</v>
      </c>
      <c r="S1065" t="s">
        <v>44</v>
      </c>
      <c r="T1065">
        <v>0</v>
      </c>
      <c r="U1065">
        <v>0</v>
      </c>
      <c r="V1065" t="s">
        <v>32</v>
      </c>
      <c r="W1065" t="s">
        <v>43</v>
      </c>
      <c r="X1065" s="4">
        <v>5.3</v>
      </c>
      <c r="Y1065">
        <v>6</v>
      </c>
      <c r="Z1065" s="5">
        <v>294.76</v>
      </c>
    </row>
    <row r="1066" spans="1:26">
      <c r="A1066">
        <v>1065</v>
      </c>
      <c r="B1066">
        <v>340</v>
      </c>
      <c r="C1066" s="2">
        <v>46375</v>
      </c>
      <c r="D1066" t="s">
        <v>40</v>
      </c>
      <c r="E1066">
        <v>12</v>
      </c>
      <c r="F1066" s="3">
        <v>9.42</v>
      </c>
      <c r="G1066" t="s">
        <v>27</v>
      </c>
      <c r="H1066">
        <v>5</v>
      </c>
      <c r="I1066" t="s">
        <v>34</v>
      </c>
      <c r="J1066" s="4">
        <v>56.8</v>
      </c>
      <c r="K1066" s="4">
        <v>79.400000000000006</v>
      </c>
      <c r="L1066" s="4">
        <v>17.5</v>
      </c>
      <c r="M1066">
        <v>10</v>
      </c>
      <c r="N1066" t="s">
        <v>59</v>
      </c>
      <c r="O1066">
        <v>2</v>
      </c>
      <c r="P1066" s="4">
        <v>876.1</v>
      </c>
      <c r="Q1066" t="s">
        <v>30</v>
      </c>
      <c r="R1066">
        <v>1</v>
      </c>
      <c r="S1066" t="s">
        <v>38</v>
      </c>
      <c r="T1066">
        <v>0</v>
      </c>
      <c r="U1066">
        <v>0</v>
      </c>
      <c r="V1066" t="s">
        <v>32</v>
      </c>
      <c r="W1066" t="s">
        <v>49</v>
      </c>
      <c r="X1066" s="4">
        <v>11.3</v>
      </c>
      <c r="Y1066">
        <v>14</v>
      </c>
      <c r="Z1066" s="5">
        <v>342.45</v>
      </c>
    </row>
    <row r="1067" spans="1:26">
      <c r="A1067">
        <v>1066</v>
      </c>
      <c r="B1067">
        <v>340</v>
      </c>
      <c r="C1067" s="2">
        <v>46375</v>
      </c>
      <c r="D1067" t="s">
        <v>40</v>
      </c>
      <c r="E1067">
        <v>12</v>
      </c>
      <c r="F1067" s="3">
        <v>9.26</v>
      </c>
      <c r="G1067" t="s">
        <v>27</v>
      </c>
      <c r="H1067">
        <v>60</v>
      </c>
      <c r="I1067" t="s">
        <v>34</v>
      </c>
      <c r="J1067" s="4">
        <v>64.099999999999994</v>
      </c>
      <c r="K1067" s="4">
        <v>147.5</v>
      </c>
      <c r="L1067" s="4">
        <v>25.2</v>
      </c>
      <c r="M1067">
        <v>13</v>
      </c>
      <c r="N1067" t="s">
        <v>59</v>
      </c>
      <c r="O1067">
        <v>2</v>
      </c>
      <c r="P1067" s="4">
        <v>876.1</v>
      </c>
      <c r="Q1067" t="s">
        <v>30</v>
      </c>
      <c r="R1067">
        <v>1</v>
      </c>
      <c r="S1067" t="s">
        <v>38</v>
      </c>
      <c r="T1067">
        <v>0</v>
      </c>
      <c r="U1067">
        <v>0</v>
      </c>
      <c r="V1067" t="s">
        <v>32</v>
      </c>
      <c r="W1067" t="s">
        <v>49</v>
      </c>
      <c r="X1067" s="4">
        <v>8.6999999999999993</v>
      </c>
      <c r="Y1067">
        <v>9</v>
      </c>
      <c r="Z1067" s="5">
        <v>227.92</v>
      </c>
    </row>
    <row r="1068" spans="1:26">
      <c r="A1068">
        <v>1067</v>
      </c>
      <c r="B1068">
        <v>341</v>
      </c>
      <c r="C1068" s="2">
        <v>46323</v>
      </c>
      <c r="D1068" t="s">
        <v>52</v>
      </c>
      <c r="E1068">
        <v>10</v>
      </c>
      <c r="F1068" s="3">
        <v>11.21</v>
      </c>
      <c r="G1068" t="s">
        <v>36</v>
      </c>
      <c r="H1068">
        <v>44</v>
      </c>
      <c r="I1068" t="s">
        <v>28</v>
      </c>
      <c r="J1068" s="4">
        <v>69.599999999999994</v>
      </c>
      <c r="K1068" s="4">
        <v>132.5</v>
      </c>
      <c r="L1068" s="4">
        <v>19.399999999999999</v>
      </c>
      <c r="M1068">
        <v>12</v>
      </c>
      <c r="N1068" t="s">
        <v>47</v>
      </c>
      <c r="O1068">
        <v>1</v>
      </c>
      <c r="P1068" s="4">
        <v>22.6</v>
      </c>
      <c r="Q1068" t="s">
        <v>42</v>
      </c>
      <c r="R1068">
        <v>0</v>
      </c>
      <c r="S1068" t="s">
        <v>44</v>
      </c>
      <c r="T1068">
        <v>1</v>
      </c>
      <c r="U1068">
        <v>0</v>
      </c>
      <c r="V1068" t="s">
        <v>32</v>
      </c>
      <c r="W1068" t="s">
        <v>57</v>
      </c>
      <c r="X1068" s="4">
        <v>7.7</v>
      </c>
      <c r="Y1068">
        <v>12</v>
      </c>
      <c r="Z1068" s="5">
        <v>321.3</v>
      </c>
    </row>
    <row r="1069" spans="1:26">
      <c r="A1069">
        <v>1068</v>
      </c>
      <c r="B1069">
        <v>342</v>
      </c>
      <c r="C1069" s="2">
        <v>46344</v>
      </c>
      <c r="D1069" t="s">
        <v>52</v>
      </c>
      <c r="E1069">
        <v>11</v>
      </c>
      <c r="F1069" s="3">
        <v>10.37</v>
      </c>
      <c r="G1069" t="s">
        <v>27</v>
      </c>
      <c r="H1069">
        <v>10</v>
      </c>
      <c r="I1069" t="s">
        <v>34</v>
      </c>
      <c r="J1069" s="4">
        <v>61.8</v>
      </c>
      <c r="K1069" s="4">
        <v>92.6</v>
      </c>
      <c r="L1069" s="4">
        <v>16.8</v>
      </c>
      <c r="M1069">
        <v>10</v>
      </c>
      <c r="N1069" t="s">
        <v>60</v>
      </c>
      <c r="O1069">
        <v>4</v>
      </c>
      <c r="P1069" s="4">
        <v>1299.9000000000001</v>
      </c>
      <c r="Q1069" t="s">
        <v>30</v>
      </c>
      <c r="R1069">
        <v>1</v>
      </c>
      <c r="S1069" t="s">
        <v>38</v>
      </c>
      <c r="T1069">
        <v>1</v>
      </c>
      <c r="U1069">
        <v>0</v>
      </c>
      <c r="V1069" t="s">
        <v>32</v>
      </c>
      <c r="W1069" t="s">
        <v>43</v>
      </c>
      <c r="X1069" s="4">
        <v>6.8</v>
      </c>
      <c r="Y1069">
        <v>11</v>
      </c>
      <c r="Z1069" s="5">
        <v>293.42</v>
      </c>
    </row>
    <row r="1070" spans="1:26">
      <c r="A1070">
        <v>1069</v>
      </c>
      <c r="B1070">
        <v>342</v>
      </c>
      <c r="C1070" s="2">
        <v>46344</v>
      </c>
      <c r="D1070" t="s">
        <v>52</v>
      </c>
      <c r="E1070">
        <v>11</v>
      </c>
      <c r="F1070" s="3">
        <v>10.49</v>
      </c>
      <c r="G1070" t="s">
        <v>27</v>
      </c>
      <c r="H1070">
        <v>17</v>
      </c>
      <c r="I1070" t="s">
        <v>28</v>
      </c>
      <c r="J1070" s="4">
        <v>63.8</v>
      </c>
      <c r="K1070" s="4">
        <v>99.7</v>
      </c>
      <c r="L1070" s="4">
        <v>17.3</v>
      </c>
      <c r="M1070">
        <v>9</v>
      </c>
      <c r="N1070" t="s">
        <v>60</v>
      </c>
      <c r="O1070">
        <v>4</v>
      </c>
      <c r="P1070" s="4">
        <v>1299.9000000000001</v>
      </c>
      <c r="Q1070" t="s">
        <v>30</v>
      </c>
      <c r="R1070">
        <v>1</v>
      </c>
      <c r="S1070" t="s">
        <v>38</v>
      </c>
      <c r="T1070">
        <v>1</v>
      </c>
      <c r="U1070">
        <v>0</v>
      </c>
      <c r="V1070" t="s">
        <v>32</v>
      </c>
      <c r="W1070" t="s">
        <v>43</v>
      </c>
      <c r="X1070" s="4">
        <v>6.7</v>
      </c>
      <c r="Y1070">
        <v>9</v>
      </c>
      <c r="Z1070" s="5">
        <v>133.91999999999999</v>
      </c>
    </row>
    <row r="1071" spans="1:26">
      <c r="A1071">
        <v>1070</v>
      </c>
      <c r="B1071">
        <v>342</v>
      </c>
      <c r="C1071" s="2">
        <v>46344</v>
      </c>
      <c r="D1071" t="s">
        <v>52</v>
      </c>
      <c r="E1071">
        <v>11</v>
      </c>
      <c r="F1071" s="3">
        <v>10.42</v>
      </c>
      <c r="G1071" t="s">
        <v>27</v>
      </c>
      <c r="H1071">
        <v>65</v>
      </c>
      <c r="I1071" t="s">
        <v>34</v>
      </c>
      <c r="J1071" s="4">
        <v>63</v>
      </c>
      <c r="K1071" s="4">
        <v>169.4</v>
      </c>
      <c r="L1071" s="4">
        <v>29.6</v>
      </c>
      <c r="M1071">
        <v>15</v>
      </c>
      <c r="N1071" t="s">
        <v>60</v>
      </c>
      <c r="O1071">
        <v>4</v>
      </c>
      <c r="P1071" s="4">
        <v>1299.9000000000001</v>
      </c>
      <c r="Q1071" t="s">
        <v>30</v>
      </c>
      <c r="R1071">
        <v>1</v>
      </c>
      <c r="S1071" t="s">
        <v>38</v>
      </c>
      <c r="T1071">
        <v>1</v>
      </c>
      <c r="U1071">
        <v>0</v>
      </c>
      <c r="V1071" t="s">
        <v>32</v>
      </c>
      <c r="W1071" t="s">
        <v>43</v>
      </c>
      <c r="X1071" s="4">
        <v>8.6</v>
      </c>
      <c r="Y1071">
        <v>15</v>
      </c>
      <c r="Z1071" s="5">
        <v>257</v>
      </c>
    </row>
    <row r="1072" spans="1:26">
      <c r="A1072">
        <v>1071</v>
      </c>
      <c r="B1072">
        <v>342</v>
      </c>
      <c r="C1072" s="2">
        <v>46344</v>
      </c>
      <c r="D1072" t="s">
        <v>52</v>
      </c>
      <c r="E1072">
        <v>11</v>
      </c>
      <c r="F1072" s="3">
        <v>10.210000000000001</v>
      </c>
      <c r="G1072" t="s">
        <v>27</v>
      </c>
      <c r="H1072">
        <v>70</v>
      </c>
      <c r="I1072" t="s">
        <v>28</v>
      </c>
      <c r="J1072" s="4">
        <v>70.3</v>
      </c>
      <c r="K1072" s="4">
        <v>148.19999999999999</v>
      </c>
      <c r="L1072" s="4">
        <v>21.2</v>
      </c>
      <c r="M1072">
        <v>15</v>
      </c>
      <c r="N1072" t="s">
        <v>60</v>
      </c>
      <c r="O1072">
        <v>4</v>
      </c>
      <c r="P1072" s="4">
        <v>1299.9000000000001</v>
      </c>
      <c r="Q1072" t="s">
        <v>30</v>
      </c>
      <c r="R1072">
        <v>1</v>
      </c>
      <c r="S1072" t="s">
        <v>38</v>
      </c>
      <c r="T1072">
        <v>1</v>
      </c>
      <c r="U1072">
        <v>0</v>
      </c>
      <c r="V1072" t="s">
        <v>32</v>
      </c>
      <c r="W1072" t="s">
        <v>43</v>
      </c>
      <c r="X1072" s="4">
        <v>10.7</v>
      </c>
      <c r="Y1072">
        <v>17</v>
      </c>
      <c r="Z1072" s="5">
        <v>407.07</v>
      </c>
    </row>
    <row r="1073" spans="1:26">
      <c r="A1073">
        <v>1072</v>
      </c>
      <c r="B1073">
        <v>343</v>
      </c>
      <c r="C1073" s="2">
        <v>46078</v>
      </c>
      <c r="D1073" t="s">
        <v>52</v>
      </c>
      <c r="E1073">
        <v>2</v>
      </c>
      <c r="F1073" s="3">
        <v>12.69</v>
      </c>
      <c r="G1073" t="s">
        <v>36</v>
      </c>
      <c r="H1073">
        <v>43</v>
      </c>
      <c r="I1073" t="s">
        <v>28</v>
      </c>
      <c r="J1073" s="4">
        <v>65.5</v>
      </c>
      <c r="K1073" s="4">
        <v>173.8</v>
      </c>
      <c r="L1073" s="4">
        <v>28.2</v>
      </c>
      <c r="M1073">
        <v>14</v>
      </c>
      <c r="N1073" t="s">
        <v>47</v>
      </c>
      <c r="O1073">
        <v>3</v>
      </c>
      <c r="P1073" s="4">
        <v>134.1</v>
      </c>
      <c r="Q1073" t="s">
        <v>42</v>
      </c>
      <c r="R1073">
        <v>0</v>
      </c>
      <c r="S1073" t="s">
        <v>31</v>
      </c>
      <c r="T1073">
        <v>1</v>
      </c>
      <c r="U1073">
        <v>1</v>
      </c>
      <c r="V1073" t="s">
        <v>45</v>
      </c>
      <c r="W1073" t="s">
        <v>33</v>
      </c>
      <c r="X1073" s="4">
        <v>6.2</v>
      </c>
      <c r="Y1073">
        <v>7</v>
      </c>
      <c r="Z1073" s="5">
        <v>308.33999999999997</v>
      </c>
    </row>
    <row r="1074" spans="1:26">
      <c r="A1074">
        <v>1073</v>
      </c>
      <c r="B1074">
        <v>343</v>
      </c>
      <c r="C1074" s="2">
        <v>46078</v>
      </c>
      <c r="D1074" t="s">
        <v>52</v>
      </c>
      <c r="E1074">
        <v>2</v>
      </c>
      <c r="F1074" s="3">
        <v>13.08</v>
      </c>
      <c r="G1074" t="s">
        <v>36</v>
      </c>
      <c r="H1074">
        <v>7</v>
      </c>
      <c r="I1074" t="s">
        <v>34</v>
      </c>
      <c r="J1074" s="4">
        <v>59.9</v>
      </c>
      <c r="K1074" s="4">
        <v>108.8</v>
      </c>
      <c r="L1074" s="4">
        <v>21.1</v>
      </c>
      <c r="M1074">
        <v>14</v>
      </c>
      <c r="N1074" t="s">
        <v>47</v>
      </c>
      <c r="O1074">
        <v>3</v>
      </c>
      <c r="P1074" s="4">
        <v>134.1</v>
      </c>
      <c r="Q1074" t="s">
        <v>42</v>
      </c>
      <c r="R1074">
        <v>0</v>
      </c>
      <c r="S1074" t="s">
        <v>31</v>
      </c>
      <c r="T1074">
        <v>1</v>
      </c>
      <c r="U1074">
        <v>1</v>
      </c>
      <c r="V1074" t="s">
        <v>45</v>
      </c>
      <c r="W1074" t="s">
        <v>33</v>
      </c>
      <c r="X1074" s="4">
        <v>9.5</v>
      </c>
      <c r="Y1074">
        <v>5</v>
      </c>
      <c r="Z1074" s="5">
        <v>177.58</v>
      </c>
    </row>
    <row r="1075" spans="1:26">
      <c r="A1075">
        <v>1074</v>
      </c>
      <c r="B1075">
        <v>343</v>
      </c>
      <c r="C1075" s="2">
        <v>46078</v>
      </c>
      <c r="D1075" t="s">
        <v>52</v>
      </c>
      <c r="E1075">
        <v>2</v>
      </c>
      <c r="F1075" s="3">
        <v>13.07</v>
      </c>
      <c r="G1075" t="s">
        <v>36</v>
      </c>
      <c r="H1075">
        <v>74</v>
      </c>
      <c r="I1075" t="s">
        <v>34</v>
      </c>
      <c r="J1075" s="4">
        <v>65.8</v>
      </c>
      <c r="K1075" s="4">
        <v>104.7</v>
      </c>
      <c r="L1075" s="4">
        <v>17</v>
      </c>
      <c r="M1075">
        <v>17</v>
      </c>
      <c r="N1075" t="s">
        <v>47</v>
      </c>
      <c r="O1075">
        <v>3</v>
      </c>
      <c r="P1075" s="4">
        <v>134.1</v>
      </c>
      <c r="Q1075" t="s">
        <v>42</v>
      </c>
      <c r="R1075">
        <v>0</v>
      </c>
      <c r="S1075" t="s">
        <v>31</v>
      </c>
      <c r="T1075">
        <v>1</v>
      </c>
      <c r="U1075">
        <v>1</v>
      </c>
      <c r="V1075" t="s">
        <v>45</v>
      </c>
      <c r="W1075" t="s">
        <v>33</v>
      </c>
      <c r="X1075" s="4">
        <v>11.2</v>
      </c>
      <c r="Y1075">
        <v>14</v>
      </c>
      <c r="Z1075" s="5">
        <v>282.72000000000003</v>
      </c>
    </row>
    <row r="1076" spans="1:26">
      <c r="A1076">
        <v>1075</v>
      </c>
      <c r="B1076">
        <v>344</v>
      </c>
      <c r="C1076" s="2">
        <v>46342</v>
      </c>
      <c r="D1076" t="s">
        <v>46</v>
      </c>
      <c r="E1076">
        <v>11</v>
      </c>
      <c r="F1076" s="3">
        <v>8.84</v>
      </c>
      <c r="G1076" t="s">
        <v>27</v>
      </c>
      <c r="H1076">
        <v>58</v>
      </c>
      <c r="I1076" t="s">
        <v>28</v>
      </c>
      <c r="J1076" s="4">
        <v>73.599999999999994</v>
      </c>
      <c r="K1076" s="4">
        <v>182.4</v>
      </c>
      <c r="L1076" s="4">
        <v>23.6</v>
      </c>
      <c r="M1076">
        <v>17</v>
      </c>
      <c r="N1076" t="s">
        <v>50</v>
      </c>
      <c r="O1076">
        <v>4</v>
      </c>
      <c r="P1076" s="4">
        <v>440.8</v>
      </c>
      <c r="Q1076" t="s">
        <v>48</v>
      </c>
      <c r="R1076">
        <v>0</v>
      </c>
      <c r="S1076" t="s">
        <v>31</v>
      </c>
      <c r="T1076">
        <v>1</v>
      </c>
      <c r="U1076">
        <v>1</v>
      </c>
      <c r="V1076" t="s">
        <v>32</v>
      </c>
      <c r="W1076" t="s">
        <v>39</v>
      </c>
      <c r="X1076" s="4">
        <v>8</v>
      </c>
      <c r="Y1076">
        <v>5</v>
      </c>
      <c r="Z1076" s="5">
        <v>247.23</v>
      </c>
    </row>
    <row r="1077" spans="1:26">
      <c r="A1077">
        <v>1076</v>
      </c>
      <c r="B1077">
        <v>344</v>
      </c>
      <c r="C1077" s="2">
        <v>46342</v>
      </c>
      <c r="D1077" t="s">
        <v>46</v>
      </c>
      <c r="E1077">
        <v>11</v>
      </c>
      <c r="F1077" s="3">
        <v>9.06</v>
      </c>
      <c r="G1077" t="s">
        <v>27</v>
      </c>
      <c r="H1077">
        <v>45</v>
      </c>
      <c r="I1077" t="s">
        <v>28</v>
      </c>
      <c r="J1077" s="4">
        <v>68.099999999999994</v>
      </c>
      <c r="K1077" s="4">
        <v>158.6</v>
      </c>
      <c r="L1077" s="4">
        <v>24.1</v>
      </c>
      <c r="M1077">
        <v>17</v>
      </c>
      <c r="N1077" t="s">
        <v>50</v>
      </c>
      <c r="O1077">
        <v>4</v>
      </c>
      <c r="P1077" s="4">
        <v>440.8</v>
      </c>
      <c r="Q1077" t="s">
        <v>48</v>
      </c>
      <c r="R1077">
        <v>0</v>
      </c>
      <c r="S1077" t="s">
        <v>31</v>
      </c>
      <c r="T1077">
        <v>1</v>
      </c>
      <c r="U1077">
        <v>1</v>
      </c>
      <c r="V1077" t="s">
        <v>32</v>
      </c>
      <c r="W1077" t="s">
        <v>39</v>
      </c>
      <c r="X1077" s="4">
        <v>10.9</v>
      </c>
      <c r="Y1077">
        <v>13</v>
      </c>
      <c r="Z1077" s="5">
        <v>331.74</v>
      </c>
    </row>
    <row r="1078" spans="1:26">
      <c r="A1078">
        <v>1077</v>
      </c>
      <c r="B1078">
        <v>344</v>
      </c>
      <c r="C1078" s="2">
        <v>46342</v>
      </c>
      <c r="D1078" t="s">
        <v>46</v>
      </c>
      <c r="E1078">
        <v>11</v>
      </c>
      <c r="F1078" s="3">
        <v>9.0399999999999991</v>
      </c>
      <c r="G1078" t="s">
        <v>27</v>
      </c>
      <c r="H1078">
        <v>6</v>
      </c>
      <c r="I1078" t="s">
        <v>34</v>
      </c>
      <c r="J1078" s="4">
        <v>55</v>
      </c>
      <c r="K1078" s="4">
        <v>88</v>
      </c>
      <c r="L1078" s="4">
        <v>20.5</v>
      </c>
      <c r="M1078">
        <v>16</v>
      </c>
      <c r="N1078" t="s">
        <v>50</v>
      </c>
      <c r="O1078">
        <v>4</v>
      </c>
      <c r="P1078" s="4">
        <v>440.8</v>
      </c>
      <c r="Q1078" t="s">
        <v>48</v>
      </c>
      <c r="R1078">
        <v>0</v>
      </c>
      <c r="S1078" t="s">
        <v>31</v>
      </c>
      <c r="T1078">
        <v>1</v>
      </c>
      <c r="U1078">
        <v>1</v>
      </c>
      <c r="V1078" t="s">
        <v>32</v>
      </c>
      <c r="W1078" t="s">
        <v>39</v>
      </c>
      <c r="X1078" s="4">
        <v>10</v>
      </c>
      <c r="Y1078">
        <v>14</v>
      </c>
      <c r="Z1078" s="5">
        <v>299.89</v>
      </c>
    </row>
    <row r="1079" spans="1:26">
      <c r="A1079">
        <v>1078</v>
      </c>
      <c r="B1079">
        <v>344</v>
      </c>
      <c r="C1079" s="2">
        <v>46342</v>
      </c>
      <c r="D1079" t="s">
        <v>46</v>
      </c>
      <c r="E1079">
        <v>11</v>
      </c>
      <c r="F1079" s="3">
        <v>8.9</v>
      </c>
      <c r="G1079" t="s">
        <v>27</v>
      </c>
      <c r="H1079">
        <v>8</v>
      </c>
      <c r="I1079" t="s">
        <v>34</v>
      </c>
      <c r="J1079" s="4">
        <v>67.2</v>
      </c>
      <c r="K1079" s="4">
        <v>114.3</v>
      </c>
      <c r="L1079" s="4">
        <v>17.7</v>
      </c>
      <c r="M1079">
        <v>15</v>
      </c>
      <c r="N1079" t="s">
        <v>50</v>
      </c>
      <c r="O1079">
        <v>4</v>
      </c>
      <c r="P1079" s="4">
        <v>440.8</v>
      </c>
      <c r="Q1079" t="s">
        <v>48</v>
      </c>
      <c r="R1079">
        <v>0</v>
      </c>
      <c r="S1079" t="s">
        <v>31</v>
      </c>
      <c r="T1079">
        <v>1</v>
      </c>
      <c r="U1079">
        <v>1</v>
      </c>
      <c r="V1079" t="s">
        <v>32</v>
      </c>
      <c r="W1079" t="s">
        <v>39</v>
      </c>
      <c r="X1079" s="4">
        <v>10</v>
      </c>
      <c r="Y1079">
        <v>9</v>
      </c>
      <c r="Z1079" s="5">
        <v>553.47</v>
      </c>
    </row>
    <row r="1080" spans="1:26">
      <c r="A1080">
        <v>1079</v>
      </c>
      <c r="B1080">
        <v>345</v>
      </c>
      <c r="C1080" s="2">
        <v>46299</v>
      </c>
      <c r="D1080" t="s">
        <v>58</v>
      </c>
      <c r="E1080">
        <v>10</v>
      </c>
      <c r="F1080" s="3">
        <v>9.43</v>
      </c>
      <c r="G1080" t="s">
        <v>27</v>
      </c>
      <c r="H1080">
        <v>14</v>
      </c>
      <c r="I1080" t="s">
        <v>34</v>
      </c>
      <c r="J1080" s="4">
        <v>70</v>
      </c>
      <c r="K1080" s="4">
        <v>120.8</v>
      </c>
      <c r="L1080" s="4">
        <v>17.399999999999999</v>
      </c>
      <c r="M1080">
        <v>10</v>
      </c>
      <c r="N1080" t="s">
        <v>47</v>
      </c>
      <c r="O1080">
        <v>5</v>
      </c>
      <c r="P1080" s="4">
        <v>175.9</v>
      </c>
      <c r="Q1080" t="s">
        <v>48</v>
      </c>
      <c r="R1080">
        <v>0</v>
      </c>
      <c r="S1080" t="s">
        <v>44</v>
      </c>
      <c r="T1080">
        <v>0</v>
      </c>
      <c r="U1080">
        <v>0</v>
      </c>
      <c r="V1080" t="s">
        <v>32</v>
      </c>
      <c r="W1080" t="s">
        <v>39</v>
      </c>
      <c r="X1080" s="4">
        <v>7.1</v>
      </c>
      <c r="Y1080">
        <v>9</v>
      </c>
      <c r="Z1080" s="5">
        <v>201.69</v>
      </c>
    </row>
    <row r="1081" spans="1:26">
      <c r="A1081">
        <v>1080</v>
      </c>
      <c r="B1081">
        <v>345</v>
      </c>
      <c r="C1081" s="2">
        <v>46299</v>
      </c>
      <c r="D1081" t="s">
        <v>58</v>
      </c>
      <c r="E1081">
        <v>10</v>
      </c>
      <c r="F1081" s="3">
        <v>9.25</v>
      </c>
      <c r="G1081" t="s">
        <v>27</v>
      </c>
      <c r="H1081">
        <v>65</v>
      </c>
      <c r="I1081" t="s">
        <v>28</v>
      </c>
      <c r="J1081" s="4">
        <v>69.7</v>
      </c>
      <c r="K1081" s="4">
        <v>199.6</v>
      </c>
      <c r="L1081" s="4">
        <v>29</v>
      </c>
      <c r="M1081">
        <v>18</v>
      </c>
      <c r="N1081" t="s">
        <v>47</v>
      </c>
      <c r="O1081">
        <v>5</v>
      </c>
      <c r="P1081" s="4">
        <v>175.9</v>
      </c>
      <c r="Q1081" t="s">
        <v>48</v>
      </c>
      <c r="R1081">
        <v>0</v>
      </c>
      <c r="S1081" t="s">
        <v>44</v>
      </c>
      <c r="T1081">
        <v>0</v>
      </c>
      <c r="U1081">
        <v>0</v>
      </c>
      <c r="V1081" t="s">
        <v>32</v>
      </c>
      <c r="W1081" t="s">
        <v>39</v>
      </c>
      <c r="X1081" s="4">
        <v>9.1</v>
      </c>
      <c r="Y1081">
        <v>10</v>
      </c>
      <c r="Z1081" s="5">
        <v>199.85</v>
      </c>
    </row>
    <row r="1082" spans="1:26">
      <c r="A1082">
        <v>1081</v>
      </c>
      <c r="B1082">
        <v>345</v>
      </c>
      <c r="C1082" s="2">
        <v>46299</v>
      </c>
      <c r="D1082" t="s">
        <v>58</v>
      </c>
      <c r="E1082">
        <v>10</v>
      </c>
      <c r="F1082" s="3">
        <v>9.08</v>
      </c>
      <c r="G1082" t="s">
        <v>27</v>
      </c>
      <c r="H1082">
        <v>21</v>
      </c>
      <c r="I1082" t="s">
        <v>28</v>
      </c>
      <c r="J1082" s="4">
        <v>76.2</v>
      </c>
      <c r="K1082" s="4">
        <v>226.1</v>
      </c>
      <c r="L1082" s="4">
        <v>27.4</v>
      </c>
      <c r="M1082">
        <v>17</v>
      </c>
      <c r="N1082" t="s">
        <v>47</v>
      </c>
      <c r="O1082">
        <v>5</v>
      </c>
      <c r="P1082" s="4">
        <v>175.9</v>
      </c>
      <c r="Q1082" t="s">
        <v>48</v>
      </c>
      <c r="R1082">
        <v>0</v>
      </c>
      <c r="S1082" t="s">
        <v>44</v>
      </c>
      <c r="T1082">
        <v>0</v>
      </c>
      <c r="U1082">
        <v>0</v>
      </c>
      <c r="V1082" t="s">
        <v>32</v>
      </c>
      <c r="W1082" t="s">
        <v>39</v>
      </c>
      <c r="X1082" s="4">
        <v>9.6999999999999993</v>
      </c>
      <c r="Y1082">
        <v>10</v>
      </c>
      <c r="Z1082" s="5">
        <v>296.26</v>
      </c>
    </row>
    <row r="1083" spans="1:26">
      <c r="A1083">
        <v>1082</v>
      </c>
      <c r="B1083">
        <v>345</v>
      </c>
      <c r="C1083" s="2">
        <v>46299</v>
      </c>
      <c r="D1083" t="s">
        <v>58</v>
      </c>
      <c r="E1083">
        <v>10</v>
      </c>
      <c r="F1083" s="3">
        <v>9.14</v>
      </c>
      <c r="G1083" t="s">
        <v>27</v>
      </c>
      <c r="H1083">
        <v>59</v>
      </c>
      <c r="I1083" t="s">
        <v>28</v>
      </c>
      <c r="J1083" s="4">
        <v>66.5</v>
      </c>
      <c r="K1083" s="4">
        <v>155.1</v>
      </c>
      <c r="L1083" s="4">
        <v>24.8</v>
      </c>
      <c r="M1083">
        <v>16</v>
      </c>
      <c r="N1083" t="s">
        <v>47</v>
      </c>
      <c r="O1083">
        <v>5</v>
      </c>
      <c r="P1083" s="4">
        <v>175.9</v>
      </c>
      <c r="Q1083" t="s">
        <v>48</v>
      </c>
      <c r="R1083">
        <v>0</v>
      </c>
      <c r="S1083" t="s">
        <v>44</v>
      </c>
      <c r="T1083">
        <v>0</v>
      </c>
      <c r="U1083">
        <v>0</v>
      </c>
      <c r="V1083" t="s">
        <v>32</v>
      </c>
      <c r="W1083" t="s">
        <v>39</v>
      </c>
      <c r="X1083" s="4">
        <v>10.3</v>
      </c>
      <c r="Y1083">
        <v>8</v>
      </c>
      <c r="Z1083" s="5">
        <v>198.65</v>
      </c>
    </row>
    <row r="1084" spans="1:26">
      <c r="A1084">
        <v>1083</v>
      </c>
      <c r="B1084">
        <v>345</v>
      </c>
      <c r="C1084" s="2">
        <v>46299</v>
      </c>
      <c r="D1084" t="s">
        <v>58</v>
      </c>
      <c r="E1084">
        <v>10</v>
      </c>
      <c r="F1084" s="3">
        <v>9.1300000000000008</v>
      </c>
      <c r="G1084" t="s">
        <v>27</v>
      </c>
      <c r="H1084">
        <v>19</v>
      </c>
      <c r="I1084" t="s">
        <v>34</v>
      </c>
      <c r="J1084" s="4">
        <v>66.900000000000006</v>
      </c>
      <c r="K1084" s="4">
        <v>169.7</v>
      </c>
      <c r="L1084" s="4">
        <v>26.9</v>
      </c>
      <c r="M1084">
        <v>17</v>
      </c>
      <c r="N1084" t="s">
        <v>47</v>
      </c>
      <c r="O1084">
        <v>5</v>
      </c>
      <c r="P1084" s="4">
        <v>175.9</v>
      </c>
      <c r="Q1084" t="s">
        <v>48</v>
      </c>
      <c r="R1084">
        <v>0</v>
      </c>
      <c r="S1084" t="s">
        <v>44</v>
      </c>
      <c r="T1084">
        <v>0</v>
      </c>
      <c r="U1084">
        <v>0</v>
      </c>
      <c r="V1084" t="s">
        <v>32</v>
      </c>
      <c r="W1084" t="s">
        <v>39</v>
      </c>
      <c r="X1084" s="4">
        <v>9.1</v>
      </c>
      <c r="Y1084">
        <v>8</v>
      </c>
      <c r="Z1084" s="5">
        <v>255.85</v>
      </c>
    </row>
    <row r="1085" spans="1:26">
      <c r="A1085">
        <v>1084</v>
      </c>
      <c r="B1085">
        <v>346</v>
      </c>
      <c r="C1085" s="2">
        <v>46105</v>
      </c>
      <c r="D1085" t="s">
        <v>35</v>
      </c>
      <c r="E1085">
        <v>3</v>
      </c>
      <c r="F1085" s="3">
        <v>12.65</v>
      </c>
      <c r="G1085" t="s">
        <v>36</v>
      </c>
      <c r="H1085">
        <v>54</v>
      </c>
      <c r="I1085" t="s">
        <v>28</v>
      </c>
      <c r="J1085" s="4">
        <v>69</v>
      </c>
      <c r="K1085" s="4">
        <v>191.6</v>
      </c>
      <c r="L1085" s="4">
        <v>28.4</v>
      </c>
      <c r="M1085">
        <v>18</v>
      </c>
      <c r="N1085" t="s">
        <v>54</v>
      </c>
      <c r="O1085">
        <v>6</v>
      </c>
      <c r="P1085" s="4">
        <v>2010</v>
      </c>
      <c r="Q1085" t="s">
        <v>42</v>
      </c>
      <c r="R1085">
        <v>1</v>
      </c>
      <c r="S1085" t="s">
        <v>44</v>
      </c>
      <c r="T1085">
        <v>0</v>
      </c>
      <c r="U1085">
        <v>0</v>
      </c>
      <c r="V1085" t="s">
        <v>32</v>
      </c>
      <c r="W1085" t="s">
        <v>43</v>
      </c>
      <c r="X1085" s="4">
        <v>8.4</v>
      </c>
      <c r="Y1085">
        <v>4</v>
      </c>
      <c r="Z1085" s="5">
        <v>232.58</v>
      </c>
    </row>
    <row r="1086" spans="1:26">
      <c r="A1086">
        <v>1085</v>
      </c>
      <c r="B1086">
        <v>346</v>
      </c>
      <c r="C1086" s="2">
        <v>46105</v>
      </c>
      <c r="D1086" t="s">
        <v>35</v>
      </c>
      <c r="E1086">
        <v>3</v>
      </c>
      <c r="F1086" s="3">
        <v>12.39</v>
      </c>
      <c r="G1086" t="s">
        <v>36</v>
      </c>
      <c r="H1086">
        <v>50</v>
      </c>
      <c r="I1086" t="s">
        <v>34</v>
      </c>
      <c r="J1086" s="4">
        <v>68</v>
      </c>
      <c r="K1086" s="4">
        <v>119.1</v>
      </c>
      <c r="L1086" s="4">
        <v>18</v>
      </c>
      <c r="M1086">
        <v>18</v>
      </c>
      <c r="N1086" t="s">
        <v>54</v>
      </c>
      <c r="O1086">
        <v>6</v>
      </c>
      <c r="P1086" s="4">
        <v>2010</v>
      </c>
      <c r="Q1086" t="s">
        <v>42</v>
      </c>
      <c r="R1086">
        <v>1</v>
      </c>
      <c r="S1086" t="s">
        <v>44</v>
      </c>
      <c r="T1086">
        <v>0</v>
      </c>
      <c r="U1086">
        <v>0</v>
      </c>
      <c r="V1086" t="s">
        <v>32</v>
      </c>
      <c r="W1086" t="s">
        <v>43</v>
      </c>
      <c r="X1086" s="4">
        <v>8.3000000000000007</v>
      </c>
      <c r="Y1086">
        <v>10</v>
      </c>
      <c r="Z1086" s="5">
        <v>309.91000000000003</v>
      </c>
    </row>
    <row r="1087" spans="1:26">
      <c r="A1087">
        <v>1086</v>
      </c>
      <c r="B1087">
        <v>346</v>
      </c>
      <c r="C1087" s="2">
        <v>46105</v>
      </c>
      <c r="D1087" t="s">
        <v>35</v>
      </c>
      <c r="E1087">
        <v>3</v>
      </c>
      <c r="F1087" s="3">
        <v>12.53</v>
      </c>
      <c r="G1087" t="s">
        <v>36</v>
      </c>
      <c r="H1087">
        <v>71</v>
      </c>
      <c r="I1087" t="s">
        <v>34</v>
      </c>
      <c r="J1087" s="4">
        <v>63.6</v>
      </c>
      <c r="K1087" s="4">
        <v>147.9</v>
      </c>
      <c r="L1087" s="4">
        <v>25.9</v>
      </c>
      <c r="M1087">
        <v>17</v>
      </c>
      <c r="N1087" t="s">
        <v>54</v>
      </c>
      <c r="O1087">
        <v>6</v>
      </c>
      <c r="P1087" s="4">
        <v>2010</v>
      </c>
      <c r="Q1087" t="s">
        <v>42</v>
      </c>
      <c r="R1087">
        <v>1</v>
      </c>
      <c r="S1087" t="s">
        <v>44</v>
      </c>
      <c r="T1087">
        <v>0</v>
      </c>
      <c r="U1087">
        <v>0</v>
      </c>
      <c r="V1087" t="s">
        <v>32</v>
      </c>
      <c r="W1087" t="s">
        <v>43</v>
      </c>
      <c r="X1087" s="4">
        <v>9.8000000000000007</v>
      </c>
      <c r="Y1087">
        <v>9</v>
      </c>
      <c r="Z1087" s="5">
        <v>389.97</v>
      </c>
    </row>
    <row r="1088" spans="1:26">
      <c r="A1088">
        <v>1087</v>
      </c>
      <c r="B1088">
        <v>346</v>
      </c>
      <c r="C1088" s="2">
        <v>46105</v>
      </c>
      <c r="D1088" t="s">
        <v>35</v>
      </c>
      <c r="E1088">
        <v>3</v>
      </c>
      <c r="F1088" s="3">
        <v>12.41</v>
      </c>
      <c r="G1088" t="s">
        <v>36</v>
      </c>
      <c r="H1088">
        <v>39</v>
      </c>
      <c r="I1088" t="s">
        <v>34</v>
      </c>
      <c r="J1088" s="4">
        <v>67.5</v>
      </c>
      <c r="K1088" s="4">
        <v>168.9</v>
      </c>
      <c r="L1088" s="4">
        <v>26</v>
      </c>
      <c r="M1088">
        <v>13</v>
      </c>
      <c r="N1088" t="s">
        <v>54</v>
      </c>
      <c r="O1088">
        <v>6</v>
      </c>
      <c r="P1088" s="4">
        <v>2010</v>
      </c>
      <c r="Q1088" t="s">
        <v>42</v>
      </c>
      <c r="R1088">
        <v>1</v>
      </c>
      <c r="S1088" t="s">
        <v>44</v>
      </c>
      <c r="T1088">
        <v>0</v>
      </c>
      <c r="U1088">
        <v>0</v>
      </c>
      <c r="V1088" t="s">
        <v>32</v>
      </c>
      <c r="W1088" t="s">
        <v>43</v>
      </c>
      <c r="X1088" s="4">
        <v>9.3000000000000007</v>
      </c>
      <c r="Y1088">
        <v>4</v>
      </c>
      <c r="Z1088" s="5">
        <v>185.04</v>
      </c>
    </row>
    <row r="1089" spans="1:26">
      <c r="A1089">
        <v>1088</v>
      </c>
      <c r="B1089">
        <v>346</v>
      </c>
      <c r="C1089" s="2">
        <v>46105</v>
      </c>
      <c r="D1089" t="s">
        <v>35</v>
      </c>
      <c r="E1089">
        <v>3</v>
      </c>
      <c r="F1089" s="3">
        <v>12.63</v>
      </c>
      <c r="G1089" t="s">
        <v>36</v>
      </c>
      <c r="H1089">
        <v>56</v>
      </c>
      <c r="I1089" t="s">
        <v>28</v>
      </c>
      <c r="J1089" s="4">
        <v>64.3</v>
      </c>
      <c r="K1089" s="4">
        <v>151.9</v>
      </c>
      <c r="L1089" s="4">
        <v>25.8</v>
      </c>
      <c r="M1089">
        <v>14</v>
      </c>
      <c r="N1089" t="s">
        <v>54</v>
      </c>
      <c r="O1089">
        <v>6</v>
      </c>
      <c r="P1089" s="4">
        <v>2010</v>
      </c>
      <c r="Q1089" t="s">
        <v>42</v>
      </c>
      <c r="R1089">
        <v>1</v>
      </c>
      <c r="S1089" t="s">
        <v>44</v>
      </c>
      <c r="T1089">
        <v>0</v>
      </c>
      <c r="U1089">
        <v>0</v>
      </c>
      <c r="V1089" t="s">
        <v>32</v>
      </c>
      <c r="W1089" t="s">
        <v>43</v>
      </c>
      <c r="X1089" s="4">
        <v>8.6</v>
      </c>
      <c r="Y1089">
        <v>7</v>
      </c>
      <c r="Z1089" s="5">
        <v>161.44999999999999</v>
      </c>
    </row>
    <row r="1090" spans="1:26">
      <c r="A1090">
        <v>1089</v>
      </c>
      <c r="B1090">
        <v>346</v>
      </c>
      <c r="C1090" s="2">
        <v>46105</v>
      </c>
      <c r="D1090" t="s">
        <v>35</v>
      </c>
      <c r="E1090">
        <v>3</v>
      </c>
      <c r="F1090" s="3">
        <v>12.4</v>
      </c>
      <c r="G1090" t="s">
        <v>36</v>
      </c>
      <c r="H1090">
        <v>40</v>
      </c>
      <c r="I1090" t="s">
        <v>28</v>
      </c>
      <c r="J1090" s="4">
        <v>67.400000000000006</v>
      </c>
      <c r="K1090" s="4">
        <v>131.1</v>
      </c>
      <c r="L1090" s="4">
        <v>20.100000000000001</v>
      </c>
      <c r="M1090">
        <v>15</v>
      </c>
      <c r="N1090" t="s">
        <v>54</v>
      </c>
      <c r="O1090">
        <v>6</v>
      </c>
      <c r="P1090" s="4">
        <v>2010</v>
      </c>
      <c r="Q1090" t="s">
        <v>42</v>
      </c>
      <c r="R1090">
        <v>1</v>
      </c>
      <c r="S1090" t="s">
        <v>44</v>
      </c>
      <c r="T1090">
        <v>0</v>
      </c>
      <c r="U1090">
        <v>0</v>
      </c>
      <c r="V1090" t="s">
        <v>32</v>
      </c>
      <c r="W1090" t="s">
        <v>43</v>
      </c>
      <c r="X1090" s="4">
        <v>7.4</v>
      </c>
      <c r="Y1090">
        <v>3</v>
      </c>
      <c r="Z1090" s="5">
        <v>166.86</v>
      </c>
    </row>
    <row r="1091" spans="1:26">
      <c r="A1091">
        <v>1090</v>
      </c>
      <c r="B1091">
        <v>347</v>
      </c>
      <c r="C1091" s="2">
        <v>46047</v>
      </c>
      <c r="D1091" t="s">
        <v>58</v>
      </c>
      <c r="E1091">
        <v>1</v>
      </c>
      <c r="F1091" s="3">
        <v>11.24</v>
      </c>
      <c r="G1091" t="s">
        <v>36</v>
      </c>
      <c r="H1091">
        <v>58</v>
      </c>
      <c r="I1091" t="s">
        <v>34</v>
      </c>
      <c r="J1091" s="4">
        <v>64.400000000000006</v>
      </c>
      <c r="K1091" s="4">
        <v>135.5</v>
      </c>
      <c r="L1091" s="4">
        <v>22.8</v>
      </c>
      <c r="M1091">
        <v>15</v>
      </c>
      <c r="N1091" t="s">
        <v>47</v>
      </c>
      <c r="O1091">
        <v>1</v>
      </c>
      <c r="P1091" s="4">
        <v>165</v>
      </c>
      <c r="Q1091" t="s">
        <v>48</v>
      </c>
      <c r="R1091">
        <v>0</v>
      </c>
      <c r="S1091" t="s">
        <v>44</v>
      </c>
      <c r="T1091">
        <v>1</v>
      </c>
      <c r="U1091">
        <v>1</v>
      </c>
      <c r="V1091" t="s">
        <v>32</v>
      </c>
      <c r="W1091" t="s">
        <v>33</v>
      </c>
      <c r="X1091" s="4">
        <v>11.7</v>
      </c>
      <c r="Y1091">
        <v>13</v>
      </c>
      <c r="Z1091" s="5">
        <v>512.4</v>
      </c>
    </row>
    <row r="1092" spans="1:26">
      <c r="A1092">
        <v>1091</v>
      </c>
      <c r="B1092">
        <v>348</v>
      </c>
      <c r="C1092" s="2">
        <v>46342</v>
      </c>
      <c r="D1092" t="s">
        <v>46</v>
      </c>
      <c r="E1092">
        <v>11</v>
      </c>
      <c r="F1092" s="3">
        <v>10.45</v>
      </c>
      <c r="G1092" t="s">
        <v>27</v>
      </c>
      <c r="H1092">
        <v>46</v>
      </c>
      <c r="I1092" t="s">
        <v>34</v>
      </c>
      <c r="J1092" s="4">
        <v>64.900000000000006</v>
      </c>
      <c r="K1092" s="4">
        <v>124.5</v>
      </c>
      <c r="L1092" s="4">
        <v>20.8</v>
      </c>
      <c r="M1092">
        <v>14</v>
      </c>
      <c r="N1092" t="s">
        <v>47</v>
      </c>
      <c r="O1092">
        <v>5</v>
      </c>
      <c r="P1092" s="4">
        <v>2</v>
      </c>
      <c r="Q1092" t="s">
        <v>30</v>
      </c>
      <c r="R1092">
        <v>0</v>
      </c>
      <c r="S1092" t="s">
        <v>44</v>
      </c>
      <c r="T1092">
        <v>0</v>
      </c>
      <c r="U1092">
        <v>0</v>
      </c>
      <c r="V1092" t="s">
        <v>32</v>
      </c>
      <c r="W1092" t="s">
        <v>43</v>
      </c>
      <c r="X1092" s="4">
        <v>6.6</v>
      </c>
      <c r="Y1092">
        <v>12</v>
      </c>
      <c r="Z1092" s="5">
        <v>141.72</v>
      </c>
    </row>
    <row r="1093" spans="1:26">
      <c r="A1093">
        <v>1092</v>
      </c>
      <c r="B1093">
        <v>348</v>
      </c>
      <c r="C1093" s="2">
        <v>46342</v>
      </c>
      <c r="D1093" t="s">
        <v>46</v>
      </c>
      <c r="E1093">
        <v>11</v>
      </c>
      <c r="F1093" s="3">
        <v>10.74</v>
      </c>
      <c r="G1093" t="s">
        <v>27</v>
      </c>
      <c r="H1093">
        <v>13</v>
      </c>
      <c r="I1093" t="s">
        <v>34</v>
      </c>
      <c r="J1093" s="4">
        <v>67.8</v>
      </c>
      <c r="K1093" s="4">
        <v>137</v>
      </c>
      <c r="L1093" s="4">
        <v>20.7</v>
      </c>
      <c r="M1093">
        <v>9</v>
      </c>
      <c r="N1093" t="s">
        <v>47</v>
      </c>
      <c r="O1093">
        <v>5</v>
      </c>
      <c r="P1093" s="4">
        <v>2</v>
      </c>
      <c r="Q1093" t="s">
        <v>30</v>
      </c>
      <c r="R1093">
        <v>0</v>
      </c>
      <c r="S1093" t="s">
        <v>44</v>
      </c>
      <c r="T1093">
        <v>0</v>
      </c>
      <c r="U1093">
        <v>0</v>
      </c>
      <c r="V1093" t="s">
        <v>32</v>
      </c>
      <c r="W1093" t="s">
        <v>43</v>
      </c>
      <c r="X1093" s="4">
        <v>6.8</v>
      </c>
      <c r="Y1093">
        <v>9</v>
      </c>
      <c r="Z1093" s="5">
        <v>135.26</v>
      </c>
    </row>
    <row r="1094" spans="1:26">
      <c r="A1094">
        <v>1093</v>
      </c>
      <c r="B1094">
        <v>348</v>
      </c>
      <c r="C1094" s="2">
        <v>46342</v>
      </c>
      <c r="D1094" t="s">
        <v>46</v>
      </c>
      <c r="E1094">
        <v>11</v>
      </c>
      <c r="F1094" s="3">
        <v>10.59</v>
      </c>
      <c r="G1094" t="s">
        <v>27</v>
      </c>
      <c r="H1094">
        <v>57</v>
      </c>
      <c r="I1094" t="s">
        <v>28</v>
      </c>
      <c r="J1094" s="4">
        <v>70.8</v>
      </c>
      <c r="K1094" s="4">
        <v>206.4</v>
      </c>
      <c r="L1094" s="4">
        <v>29</v>
      </c>
      <c r="M1094">
        <v>14</v>
      </c>
      <c r="N1094" t="s">
        <v>47</v>
      </c>
      <c r="O1094">
        <v>5</v>
      </c>
      <c r="P1094" s="4">
        <v>2</v>
      </c>
      <c r="Q1094" t="s">
        <v>30</v>
      </c>
      <c r="R1094">
        <v>0</v>
      </c>
      <c r="S1094" t="s">
        <v>44</v>
      </c>
      <c r="T1094">
        <v>0</v>
      </c>
      <c r="U1094">
        <v>0</v>
      </c>
      <c r="V1094" t="s">
        <v>32</v>
      </c>
      <c r="W1094" t="s">
        <v>43</v>
      </c>
      <c r="X1094" s="4">
        <v>9.1999999999999993</v>
      </c>
      <c r="Y1094">
        <v>8</v>
      </c>
      <c r="Z1094" s="5">
        <v>170.68</v>
      </c>
    </row>
    <row r="1095" spans="1:26">
      <c r="A1095">
        <v>1094</v>
      </c>
      <c r="B1095">
        <v>348</v>
      </c>
      <c r="C1095" s="2">
        <v>46342</v>
      </c>
      <c r="D1095" t="s">
        <v>46</v>
      </c>
      <c r="E1095">
        <v>11</v>
      </c>
      <c r="F1095" s="3">
        <v>10.63</v>
      </c>
      <c r="G1095" t="s">
        <v>27</v>
      </c>
      <c r="H1095">
        <v>21</v>
      </c>
      <c r="I1095" t="s">
        <v>34</v>
      </c>
      <c r="J1095" s="4">
        <v>64.7</v>
      </c>
      <c r="K1095" s="4">
        <v>131.80000000000001</v>
      </c>
      <c r="L1095" s="4">
        <v>22.3</v>
      </c>
      <c r="M1095">
        <v>13</v>
      </c>
      <c r="N1095" t="s">
        <v>47</v>
      </c>
      <c r="O1095">
        <v>5</v>
      </c>
      <c r="P1095" s="4">
        <v>2</v>
      </c>
      <c r="Q1095" t="s">
        <v>30</v>
      </c>
      <c r="R1095">
        <v>0</v>
      </c>
      <c r="S1095" t="s">
        <v>44</v>
      </c>
      <c r="T1095">
        <v>0</v>
      </c>
      <c r="U1095">
        <v>0</v>
      </c>
      <c r="V1095" t="s">
        <v>32</v>
      </c>
      <c r="W1095" t="s">
        <v>43</v>
      </c>
      <c r="X1095" s="4">
        <v>8.9</v>
      </c>
      <c r="Y1095">
        <v>8</v>
      </c>
      <c r="Z1095" s="5">
        <v>133.97999999999999</v>
      </c>
    </row>
    <row r="1096" spans="1:26">
      <c r="A1096">
        <v>1095</v>
      </c>
      <c r="B1096">
        <v>348</v>
      </c>
      <c r="C1096" s="2">
        <v>46342</v>
      </c>
      <c r="D1096" t="s">
        <v>46</v>
      </c>
      <c r="E1096">
        <v>11</v>
      </c>
      <c r="F1096" s="3">
        <v>10.49</v>
      </c>
      <c r="G1096" t="s">
        <v>27</v>
      </c>
      <c r="H1096">
        <v>18</v>
      </c>
      <c r="I1096" t="s">
        <v>28</v>
      </c>
      <c r="J1096" s="4">
        <v>71.2</v>
      </c>
      <c r="K1096" s="4">
        <v>172.7</v>
      </c>
      <c r="L1096" s="4">
        <v>24.1</v>
      </c>
      <c r="M1096">
        <v>6</v>
      </c>
      <c r="N1096" t="s">
        <v>47</v>
      </c>
      <c r="O1096">
        <v>5</v>
      </c>
      <c r="P1096" s="4">
        <v>2</v>
      </c>
      <c r="Q1096" t="s">
        <v>30</v>
      </c>
      <c r="R1096">
        <v>0</v>
      </c>
      <c r="S1096" t="s">
        <v>44</v>
      </c>
      <c r="T1096">
        <v>0</v>
      </c>
      <c r="U1096">
        <v>0</v>
      </c>
      <c r="V1096" t="s">
        <v>32</v>
      </c>
      <c r="W1096" t="s">
        <v>43</v>
      </c>
      <c r="X1096" s="4">
        <v>8.4</v>
      </c>
      <c r="Y1096">
        <v>5</v>
      </c>
      <c r="Z1096" s="5">
        <v>122.08</v>
      </c>
    </row>
    <row r="1097" spans="1:26">
      <c r="A1097">
        <v>1096</v>
      </c>
      <c r="B1097">
        <v>349</v>
      </c>
      <c r="C1097" s="2">
        <v>46086</v>
      </c>
      <c r="D1097" t="s">
        <v>55</v>
      </c>
      <c r="E1097">
        <v>3</v>
      </c>
      <c r="F1097" s="3">
        <v>12.68</v>
      </c>
      <c r="G1097" t="s">
        <v>36</v>
      </c>
      <c r="H1097">
        <v>45</v>
      </c>
      <c r="I1097" t="s">
        <v>34</v>
      </c>
      <c r="J1097" s="4">
        <v>67.2</v>
      </c>
      <c r="K1097" s="4">
        <v>131.80000000000001</v>
      </c>
      <c r="L1097" s="4">
        <v>20.6</v>
      </c>
      <c r="M1097">
        <v>11</v>
      </c>
      <c r="N1097" t="s">
        <v>41</v>
      </c>
      <c r="O1097">
        <v>4</v>
      </c>
      <c r="P1097" s="4">
        <v>2622.3</v>
      </c>
      <c r="Q1097" t="s">
        <v>48</v>
      </c>
      <c r="R1097">
        <v>1</v>
      </c>
      <c r="S1097" t="s">
        <v>31</v>
      </c>
      <c r="T1097">
        <v>0</v>
      </c>
      <c r="U1097">
        <v>0</v>
      </c>
      <c r="V1097" t="s">
        <v>32</v>
      </c>
      <c r="W1097" t="s">
        <v>49</v>
      </c>
      <c r="X1097" s="4">
        <v>7</v>
      </c>
      <c r="Y1097">
        <v>8</v>
      </c>
      <c r="Z1097" s="5">
        <v>178.96</v>
      </c>
    </row>
    <row r="1098" spans="1:26">
      <c r="A1098">
        <v>1097</v>
      </c>
      <c r="B1098">
        <v>349</v>
      </c>
      <c r="C1098" s="2">
        <v>46086</v>
      </c>
      <c r="D1098" t="s">
        <v>55</v>
      </c>
      <c r="E1098">
        <v>3</v>
      </c>
      <c r="F1098" s="3">
        <v>12.67</v>
      </c>
      <c r="G1098" t="s">
        <v>36</v>
      </c>
      <c r="H1098">
        <v>52</v>
      </c>
      <c r="I1098" t="s">
        <v>34</v>
      </c>
      <c r="J1098" s="4">
        <v>62.2</v>
      </c>
      <c r="K1098" s="4">
        <v>157.1</v>
      </c>
      <c r="L1098" s="4">
        <v>28.4</v>
      </c>
      <c r="M1098">
        <v>21</v>
      </c>
      <c r="N1098" t="s">
        <v>41</v>
      </c>
      <c r="O1098">
        <v>4</v>
      </c>
      <c r="P1098" s="4">
        <v>2622.3</v>
      </c>
      <c r="Q1098" t="s">
        <v>48</v>
      </c>
      <c r="R1098">
        <v>1</v>
      </c>
      <c r="S1098" t="s">
        <v>31</v>
      </c>
      <c r="T1098">
        <v>0</v>
      </c>
      <c r="U1098">
        <v>0</v>
      </c>
      <c r="V1098" t="s">
        <v>32</v>
      </c>
      <c r="W1098" t="s">
        <v>49</v>
      </c>
      <c r="X1098" s="4">
        <v>8.5</v>
      </c>
      <c r="Y1098">
        <v>12</v>
      </c>
      <c r="Z1098" s="5">
        <v>277.52</v>
      </c>
    </row>
    <row r="1099" spans="1:26">
      <c r="A1099">
        <v>1098</v>
      </c>
      <c r="B1099">
        <v>349</v>
      </c>
      <c r="C1099" s="2">
        <v>46086</v>
      </c>
      <c r="D1099" t="s">
        <v>55</v>
      </c>
      <c r="E1099">
        <v>3</v>
      </c>
      <c r="F1099" s="3">
        <v>12.86</v>
      </c>
      <c r="G1099" t="s">
        <v>36</v>
      </c>
      <c r="H1099">
        <v>52</v>
      </c>
      <c r="I1099" t="s">
        <v>28</v>
      </c>
      <c r="J1099" s="4">
        <v>76.400000000000006</v>
      </c>
      <c r="K1099" s="4">
        <v>166.8</v>
      </c>
      <c r="L1099" s="4">
        <v>20.2</v>
      </c>
      <c r="M1099">
        <v>18</v>
      </c>
      <c r="N1099" t="s">
        <v>41</v>
      </c>
      <c r="O1099">
        <v>4</v>
      </c>
      <c r="P1099" s="4">
        <v>2622.3</v>
      </c>
      <c r="Q1099" t="s">
        <v>48</v>
      </c>
      <c r="R1099">
        <v>1</v>
      </c>
      <c r="S1099" t="s">
        <v>31</v>
      </c>
      <c r="T1099">
        <v>0</v>
      </c>
      <c r="U1099">
        <v>0</v>
      </c>
      <c r="V1099" t="s">
        <v>32</v>
      </c>
      <c r="W1099" t="s">
        <v>49</v>
      </c>
      <c r="X1099" s="4">
        <v>6.6</v>
      </c>
      <c r="Y1099">
        <v>0</v>
      </c>
      <c r="Z1099" s="5">
        <v>196.8</v>
      </c>
    </row>
    <row r="1100" spans="1:26">
      <c r="A1100">
        <v>1099</v>
      </c>
      <c r="B1100">
        <v>349</v>
      </c>
      <c r="C1100" s="2">
        <v>46086</v>
      </c>
      <c r="D1100" t="s">
        <v>55</v>
      </c>
      <c r="E1100">
        <v>3</v>
      </c>
      <c r="F1100" s="3">
        <v>12.58</v>
      </c>
      <c r="G1100" t="s">
        <v>36</v>
      </c>
      <c r="H1100">
        <v>22</v>
      </c>
      <c r="I1100" t="s">
        <v>34</v>
      </c>
      <c r="J1100" s="4">
        <v>62.7</v>
      </c>
      <c r="K1100" s="4">
        <v>147.80000000000001</v>
      </c>
      <c r="L1100" s="4">
        <v>26.3</v>
      </c>
      <c r="M1100">
        <v>19</v>
      </c>
      <c r="N1100" t="s">
        <v>41</v>
      </c>
      <c r="O1100">
        <v>4</v>
      </c>
      <c r="P1100" s="4">
        <v>2622.3</v>
      </c>
      <c r="Q1100" t="s">
        <v>48</v>
      </c>
      <c r="R1100">
        <v>1</v>
      </c>
      <c r="S1100" t="s">
        <v>31</v>
      </c>
      <c r="T1100">
        <v>0</v>
      </c>
      <c r="U1100">
        <v>0</v>
      </c>
      <c r="V1100" t="s">
        <v>32</v>
      </c>
      <c r="W1100" t="s">
        <v>49</v>
      </c>
      <c r="X1100" s="4">
        <v>9.8000000000000007</v>
      </c>
      <c r="Y1100">
        <v>6</v>
      </c>
      <c r="Z1100" s="5">
        <v>281.58</v>
      </c>
    </row>
    <row r="1101" spans="1:26">
      <c r="A1101">
        <v>1100</v>
      </c>
      <c r="B1101">
        <v>350</v>
      </c>
      <c r="C1101" s="2">
        <v>46327</v>
      </c>
      <c r="D1101" t="s">
        <v>58</v>
      </c>
      <c r="E1101">
        <v>11</v>
      </c>
      <c r="F1101" s="3">
        <v>11.39</v>
      </c>
      <c r="G1101" t="s">
        <v>36</v>
      </c>
      <c r="H1101">
        <v>40</v>
      </c>
      <c r="I1101" t="s">
        <v>28</v>
      </c>
      <c r="J1101" s="4">
        <v>68.5</v>
      </c>
      <c r="K1101" s="4">
        <v>175.5</v>
      </c>
      <c r="L1101" s="4">
        <v>26.4</v>
      </c>
      <c r="M1101">
        <v>19</v>
      </c>
      <c r="N1101" t="s">
        <v>60</v>
      </c>
      <c r="O1101">
        <v>3</v>
      </c>
      <c r="P1101" s="4">
        <v>1784.2</v>
      </c>
      <c r="Q1101" t="s">
        <v>48</v>
      </c>
      <c r="R1101">
        <v>0</v>
      </c>
      <c r="S1101" t="s">
        <v>31</v>
      </c>
      <c r="T1101">
        <v>0</v>
      </c>
      <c r="U1101">
        <v>0</v>
      </c>
      <c r="V1101" t="s">
        <v>32</v>
      </c>
      <c r="W1101" t="s">
        <v>43</v>
      </c>
      <c r="X1101" s="4">
        <v>9.8000000000000007</v>
      </c>
      <c r="Y1101">
        <v>7</v>
      </c>
      <c r="Z1101" s="5">
        <v>257.11</v>
      </c>
    </row>
    <row r="1102" spans="1:26">
      <c r="A1102">
        <v>1101</v>
      </c>
      <c r="B1102">
        <v>350</v>
      </c>
      <c r="C1102" s="2">
        <v>46327</v>
      </c>
      <c r="D1102" t="s">
        <v>58</v>
      </c>
      <c r="E1102">
        <v>11</v>
      </c>
      <c r="F1102" s="3">
        <v>11.35</v>
      </c>
      <c r="G1102" t="s">
        <v>36</v>
      </c>
      <c r="H1102">
        <v>25</v>
      </c>
      <c r="I1102" t="s">
        <v>28</v>
      </c>
      <c r="J1102" s="4">
        <v>64.7</v>
      </c>
      <c r="K1102" s="4">
        <v>217</v>
      </c>
      <c r="L1102" s="4">
        <v>36.4</v>
      </c>
      <c r="M1102">
        <v>17</v>
      </c>
      <c r="N1102" t="s">
        <v>60</v>
      </c>
      <c r="O1102">
        <v>3</v>
      </c>
      <c r="P1102" s="4">
        <v>1784.2</v>
      </c>
      <c r="Q1102" t="s">
        <v>48</v>
      </c>
      <c r="R1102">
        <v>0</v>
      </c>
      <c r="S1102" t="s">
        <v>31</v>
      </c>
      <c r="T1102">
        <v>0</v>
      </c>
      <c r="U1102">
        <v>0</v>
      </c>
      <c r="V1102" t="s">
        <v>32</v>
      </c>
      <c r="W1102" t="s">
        <v>43</v>
      </c>
      <c r="X1102" s="4">
        <v>5.6</v>
      </c>
      <c r="Y1102">
        <v>7</v>
      </c>
      <c r="Z1102" s="5">
        <v>195.12</v>
      </c>
    </row>
    <row r="1103" spans="1:26">
      <c r="A1103">
        <v>1102</v>
      </c>
      <c r="B1103">
        <v>350</v>
      </c>
      <c r="C1103" s="2">
        <v>46327</v>
      </c>
      <c r="D1103" t="s">
        <v>58</v>
      </c>
      <c r="E1103">
        <v>11</v>
      </c>
      <c r="F1103" s="3">
        <v>11.41</v>
      </c>
      <c r="G1103" t="s">
        <v>36</v>
      </c>
      <c r="H1103">
        <v>49</v>
      </c>
      <c r="I1103" t="s">
        <v>34</v>
      </c>
      <c r="J1103" s="4">
        <v>64.599999999999994</v>
      </c>
      <c r="K1103" s="4">
        <v>148.5</v>
      </c>
      <c r="L1103" s="4">
        <v>25.2</v>
      </c>
      <c r="M1103">
        <v>16</v>
      </c>
      <c r="N1103" t="s">
        <v>60</v>
      </c>
      <c r="O1103">
        <v>3</v>
      </c>
      <c r="P1103" s="4">
        <v>1784.2</v>
      </c>
      <c r="Q1103" t="s">
        <v>48</v>
      </c>
      <c r="R1103">
        <v>0</v>
      </c>
      <c r="S1103" t="s">
        <v>31</v>
      </c>
      <c r="T1103">
        <v>0</v>
      </c>
      <c r="U1103">
        <v>0</v>
      </c>
      <c r="V1103" t="s">
        <v>32</v>
      </c>
      <c r="W1103" t="s">
        <v>43</v>
      </c>
      <c r="X1103" s="4">
        <v>8.3000000000000007</v>
      </c>
      <c r="Y1103">
        <v>1</v>
      </c>
      <c r="Z1103" s="5">
        <v>290.64999999999998</v>
      </c>
    </row>
    <row r="1104" spans="1:26">
      <c r="A1104">
        <v>1103</v>
      </c>
      <c r="B1104">
        <v>351</v>
      </c>
      <c r="C1104" s="2">
        <v>46214</v>
      </c>
      <c r="D1104" t="s">
        <v>40</v>
      </c>
      <c r="E1104">
        <v>7</v>
      </c>
      <c r="F1104" s="3">
        <v>10.3</v>
      </c>
      <c r="G1104" t="s">
        <v>27</v>
      </c>
      <c r="H1104">
        <v>78</v>
      </c>
      <c r="I1104" t="s">
        <v>34</v>
      </c>
      <c r="J1104" s="4">
        <v>68.2</v>
      </c>
      <c r="K1104" s="4">
        <v>170.8</v>
      </c>
      <c r="L1104" s="4">
        <v>25.7</v>
      </c>
      <c r="M1104">
        <v>18</v>
      </c>
      <c r="N1104" t="s">
        <v>47</v>
      </c>
      <c r="O1104">
        <v>3</v>
      </c>
      <c r="P1104" s="4">
        <v>35.4</v>
      </c>
      <c r="Q1104" t="s">
        <v>42</v>
      </c>
      <c r="R1104">
        <v>0</v>
      </c>
      <c r="S1104" t="s">
        <v>31</v>
      </c>
      <c r="T1104">
        <v>0</v>
      </c>
      <c r="U1104">
        <v>0</v>
      </c>
      <c r="V1104" t="s">
        <v>32</v>
      </c>
      <c r="W1104" t="s">
        <v>39</v>
      </c>
      <c r="X1104" s="4">
        <v>8.3000000000000007</v>
      </c>
      <c r="Y1104">
        <v>5</v>
      </c>
      <c r="Z1104" s="5">
        <v>167</v>
      </c>
    </row>
    <row r="1105" spans="1:26">
      <c r="A1105">
        <v>1104</v>
      </c>
      <c r="B1105">
        <v>351</v>
      </c>
      <c r="C1105" s="2">
        <v>46214</v>
      </c>
      <c r="D1105" t="s">
        <v>40</v>
      </c>
      <c r="E1105">
        <v>7</v>
      </c>
      <c r="F1105" s="3">
        <v>10.1</v>
      </c>
      <c r="G1105" t="s">
        <v>27</v>
      </c>
      <c r="H1105">
        <v>77</v>
      </c>
      <c r="I1105" t="s">
        <v>28</v>
      </c>
      <c r="J1105" s="4">
        <v>69</v>
      </c>
      <c r="K1105" s="4">
        <v>196.3</v>
      </c>
      <c r="L1105" s="4">
        <v>28.9</v>
      </c>
      <c r="M1105">
        <v>13</v>
      </c>
      <c r="N1105" t="s">
        <v>47</v>
      </c>
      <c r="O1105">
        <v>3</v>
      </c>
      <c r="P1105" s="4">
        <v>35.4</v>
      </c>
      <c r="Q1105" t="s">
        <v>42</v>
      </c>
      <c r="R1105">
        <v>0</v>
      </c>
      <c r="S1105" t="s">
        <v>31</v>
      </c>
      <c r="T1105">
        <v>0</v>
      </c>
      <c r="U1105">
        <v>0</v>
      </c>
      <c r="V1105" t="s">
        <v>32</v>
      </c>
      <c r="W1105" t="s">
        <v>39</v>
      </c>
      <c r="X1105" s="4">
        <v>7.2</v>
      </c>
      <c r="Y1105">
        <v>3</v>
      </c>
      <c r="Z1105" s="5">
        <v>129.97999999999999</v>
      </c>
    </row>
    <row r="1106" spans="1:26">
      <c r="A1106">
        <v>1105</v>
      </c>
      <c r="B1106">
        <v>351</v>
      </c>
      <c r="C1106" s="2">
        <v>46214</v>
      </c>
      <c r="D1106" t="s">
        <v>40</v>
      </c>
      <c r="E1106">
        <v>7</v>
      </c>
      <c r="F1106" s="3">
        <v>10.45</v>
      </c>
      <c r="G1106" t="s">
        <v>27</v>
      </c>
      <c r="H1106">
        <v>58</v>
      </c>
      <c r="I1106" t="s">
        <v>34</v>
      </c>
      <c r="J1106" s="4">
        <v>62.6</v>
      </c>
      <c r="K1106" s="4">
        <v>122.3</v>
      </c>
      <c r="L1106" s="4">
        <v>21.9</v>
      </c>
      <c r="M1106">
        <v>12</v>
      </c>
      <c r="N1106" t="s">
        <v>47</v>
      </c>
      <c r="O1106">
        <v>3</v>
      </c>
      <c r="P1106" s="4">
        <v>35.4</v>
      </c>
      <c r="Q1106" t="s">
        <v>42</v>
      </c>
      <c r="R1106">
        <v>0</v>
      </c>
      <c r="S1106" t="s">
        <v>31</v>
      </c>
      <c r="T1106">
        <v>0</v>
      </c>
      <c r="U1106">
        <v>0</v>
      </c>
      <c r="V1106" t="s">
        <v>32</v>
      </c>
      <c r="W1106" t="s">
        <v>39</v>
      </c>
      <c r="X1106" s="4">
        <v>8.1999999999999993</v>
      </c>
      <c r="Y1106">
        <v>14</v>
      </c>
      <c r="Z1106" s="5">
        <v>238.15</v>
      </c>
    </row>
    <row r="1107" spans="1:26">
      <c r="A1107">
        <v>1106</v>
      </c>
      <c r="B1107">
        <v>352</v>
      </c>
      <c r="C1107" s="2">
        <v>46146</v>
      </c>
      <c r="D1107" t="s">
        <v>46</v>
      </c>
      <c r="E1107">
        <v>5</v>
      </c>
      <c r="F1107" s="3">
        <v>8.75</v>
      </c>
      <c r="G1107" t="s">
        <v>27</v>
      </c>
      <c r="H1107">
        <v>44</v>
      </c>
      <c r="I1107" t="s">
        <v>34</v>
      </c>
      <c r="J1107" s="4">
        <v>65.900000000000006</v>
      </c>
      <c r="K1107" s="4">
        <v>120.6</v>
      </c>
      <c r="L1107" s="4">
        <v>19.7</v>
      </c>
      <c r="M1107">
        <v>19</v>
      </c>
      <c r="N1107" t="s">
        <v>47</v>
      </c>
      <c r="O1107">
        <v>1</v>
      </c>
      <c r="P1107" s="4">
        <v>78.8</v>
      </c>
      <c r="Q1107" t="s">
        <v>42</v>
      </c>
      <c r="R1107">
        <v>1</v>
      </c>
      <c r="S1107" t="s">
        <v>38</v>
      </c>
      <c r="T1107">
        <v>1</v>
      </c>
      <c r="U1107">
        <v>0</v>
      </c>
      <c r="V1107" t="s">
        <v>32</v>
      </c>
      <c r="W1107" t="s">
        <v>43</v>
      </c>
      <c r="X1107" s="4">
        <v>8.9</v>
      </c>
      <c r="Y1107">
        <v>11</v>
      </c>
      <c r="Z1107" s="5">
        <v>308.13</v>
      </c>
    </row>
    <row r="1108" spans="1:26">
      <c r="A1108">
        <v>1107</v>
      </c>
      <c r="B1108">
        <v>353</v>
      </c>
      <c r="C1108" s="2">
        <v>46105</v>
      </c>
      <c r="D1108" t="s">
        <v>35</v>
      </c>
      <c r="E1108">
        <v>3</v>
      </c>
      <c r="F1108" s="3">
        <v>10.61</v>
      </c>
      <c r="G1108" t="s">
        <v>27</v>
      </c>
      <c r="H1108">
        <v>68</v>
      </c>
      <c r="I1108" t="s">
        <v>28</v>
      </c>
      <c r="J1108" s="4">
        <v>66.7</v>
      </c>
      <c r="K1108" s="4">
        <v>136.19999999999999</v>
      </c>
      <c r="L1108" s="4">
        <v>21.6</v>
      </c>
      <c r="M1108">
        <v>17</v>
      </c>
      <c r="N1108" t="s">
        <v>56</v>
      </c>
      <c r="O1108">
        <v>3</v>
      </c>
      <c r="P1108" s="4">
        <v>159.30000000000001</v>
      </c>
      <c r="Q1108" t="s">
        <v>30</v>
      </c>
      <c r="R1108">
        <v>0</v>
      </c>
      <c r="S1108" t="s">
        <v>31</v>
      </c>
      <c r="T1108">
        <v>1</v>
      </c>
      <c r="U1108">
        <v>0</v>
      </c>
      <c r="V1108" t="s">
        <v>32</v>
      </c>
      <c r="W1108" t="s">
        <v>49</v>
      </c>
      <c r="X1108" s="4">
        <v>7.9</v>
      </c>
      <c r="Y1108">
        <v>7</v>
      </c>
      <c r="Z1108" s="5">
        <v>157.24</v>
      </c>
    </row>
    <row r="1109" spans="1:26">
      <c r="A1109">
        <v>1108</v>
      </c>
      <c r="B1109">
        <v>353</v>
      </c>
      <c r="C1109" s="2">
        <v>46105</v>
      </c>
      <c r="D1109" t="s">
        <v>35</v>
      </c>
      <c r="E1109">
        <v>3</v>
      </c>
      <c r="F1109" s="3">
        <v>10.51</v>
      </c>
      <c r="G1109" t="s">
        <v>27</v>
      </c>
      <c r="H1109">
        <v>3</v>
      </c>
      <c r="I1109" t="s">
        <v>34</v>
      </c>
      <c r="J1109" s="4">
        <v>48.2</v>
      </c>
      <c r="K1109" s="4">
        <v>78.900000000000006</v>
      </c>
      <c r="L1109" s="4">
        <v>23.9</v>
      </c>
      <c r="M1109">
        <v>10</v>
      </c>
      <c r="N1109" t="s">
        <v>56</v>
      </c>
      <c r="O1109">
        <v>3</v>
      </c>
      <c r="P1109" s="4">
        <v>159.30000000000001</v>
      </c>
      <c r="Q1109" t="s">
        <v>30</v>
      </c>
      <c r="R1109">
        <v>0</v>
      </c>
      <c r="S1109" t="s">
        <v>31</v>
      </c>
      <c r="T1109">
        <v>1</v>
      </c>
      <c r="U1109">
        <v>0</v>
      </c>
      <c r="V1109" t="s">
        <v>32</v>
      </c>
      <c r="W1109" t="s">
        <v>49</v>
      </c>
      <c r="X1109" s="4">
        <v>7.5</v>
      </c>
      <c r="Y1109">
        <v>9</v>
      </c>
      <c r="Z1109" s="5">
        <v>113.87</v>
      </c>
    </row>
    <row r="1110" spans="1:26">
      <c r="A1110">
        <v>1109</v>
      </c>
      <c r="B1110">
        <v>353</v>
      </c>
      <c r="C1110" s="2">
        <v>46105</v>
      </c>
      <c r="D1110" t="s">
        <v>35</v>
      </c>
      <c r="E1110">
        <v>3</v>
      </c>
      <c r="F1110" s="3">
        <v>10.72</v>
      </c>
      <c r="G1110" t="s">
        <v>27</v>
      </c>
      <c r="H1110">
        <v>71</v>
      </c>
      <c r="I1110" t="s">
        <v>28</v>
      </c>
      <c r="J1110" s="4">
        <v>68.099999999999994</v>
      </c>
      <c r="K1110" s="4">
        <v>121.4</v>
      </c>
      <c r="L1110" s="4">
        <v>18.3</v>
      </c>
      <c r="M1110">
        <v>15</v>
      </c>
      <c r="N1110" t="s">
        <v>56</v>
      </c>
      <c r="O1110">
        <v>3</v>
      </c>
      <c r="P1110" s="4">
        <v>159.30000000000001</v>
      </c>
      <c r="Q1110" t="s">
        <v>30</v>
      </c>
      <c r="R1110">
        <v>0</v>
      </c>
      <c r="S1110" t="s">
        <v>31</v>
      </c>
      <c r="T1110">
        <v>1</v>
      </c>
      <c r="U1110">
        <v>0</v>
      </c>
      <c r="V1110" t="s">
        <v>32</v>
      </c>
      <c r="W1110" t="s">
        <v>49</v>
      </c>
      <c r="X1110" s="4">
        <v>6.3</v>
      </c>
      <c r="Y1110">
        <v>9</v>
      </c>
      <c r="Z1110" s="5">
        <v>188.13</v>
      </c>
    </row>
    <row r="1111" spans="1:26">
      <c r="A1111">
        <v>1110</v>
      </c>
      <c r="B1111">
        <v>354</v>
      </c>
      <c r="C1111" s="2">
        <v>46347</v>
      </c>
      <c r="D1111" t="s">
        <v>40</v>
      </c>
      <c r="E1111">
        <v>11</v>
      </c>
      <c r="F1111" s="3">
        <v>11.01</v>
      </c>
      <c r="G1111" t="s">
        <v>36</v>
      </c>
      <c r="H1111">
        <v>9</v>
      </c>
      <c r="I1111" t="s">
        <v>34</v>
      </c>
      <c r="J1111" s="4">
        <v>61.5</v>
      </c>
      <c r="K1111" s="4">
        <v>118.6</v>
      </c>
      <c r="L1111" s="4">
        <v>22.3</v>
      </c>
      <c r="M1111">
        <v>17</v>
      </c>
      <c r="N1111" t="s">
        <v>29</v>
      </c>
      <c r="O1111">
        <v>5</v>
      </c>
      <c r="P1111" s="4">
        <v>1757.7</v>
      </c>
      <c r="Q1111" t="s">
        <v>48</v>
      </c>
      <c r="R1111">
        <v>0</v>
      </c>
      <c r="S1111" t="s">
        <v>38</v>
      </c>
      <c r="T1111">
        <v>1</v>
      </c>
      <c r="U1111">
        <v>1</v>
      </c>
      <c r="V1111" t="s">
        <v>32</v>
      </c>
      <c r="W1111" t="s">
        <v>39</v>
      </c>
      <c r="X1111" s="4">
        <v>10.3</v>
      </c>
      <c r="Y1111">
        <v>11</v>
      </c>
      <c r="Z1111" s="5">
        <v>294.47000000000003</v>
      </c>
    </row>
    <row r="1112" spans="1:26">
      <c r="A1112">
        <v>1111</v>
      </c>
      <c r="B1112">
        <v>354</v>
      </c>
      <c r="C1112" s="2">
        <v>46347</v>
      </c>
      <c r="D1112" t="s">
        <v>40</v>
      </c>
      <c r="E1112">
        <v>11</v>
      </c>
      <c r="F1112" s="3">
        <v>11.2</v>
      </c>
      <c r="G1112" t="s">
        <v>36</v>
      </c>
      <c r="H1112">
        <v>9</v>
      </c>
      <c r="I1112" t="s">
        <v>28</v>
      </c>
      <c r="J1112" s="4">
        <v>66.400000000000006</v>
      </c>
      <c r="K1112" s="4">
        <v>143</v>
      </c>
      <c r="L1112" s="4">
        <v>22.9</v>
      </c>
      <c r="M1112">
        <v>15</v>
      </c>
      <c r="N1112" t="s">
        <v>29</v>
      </c>
      <c r="O1112">
        <v>5</v>
      </c>
      <c r="P1112" s="4">
        <v>1757.7</v>
      </c>
      <c r="Q1112" t="s">
        <v>48</v>
      </c>
      <c r="R1112">
        <v>0</v>
      </c>
      <c r="S1112" t="s">
        <v>38</v>
      </c>
      <c r="T1112">
        <v>1</v>
      </c>
      <c r="U1112">
        <v>1</v>
      </c>
      <c r="V1112" t="s">
        <v>32</v>
      </c>
      <c r="W1112" t="s">
        <v>39</v>
      </c>
      <c r="X1112" s="4">
        <v>6.3</v>
      </c>
      <c r="Y1112">
        <v>3</v>
      </c>
      <c r="Z1112" s="5">
        <v>215.06</v>
      </c>
    </row>
    <row r="1113" spans="1:26">
      <c r="A1113">
        <v>1112</v>
      </c>
      <c r="B1113">
        <v>354</v>
      </c>
      <c r="C1113" s="2">
        <v>46347</v>
      </c>
      <c r="D1113" t="s">
        <v>40</v>
      </c>
      <c r="E1113">
        <v>11</v>
      </c>
      <c r="F1113" s="3">
        <v>11.09</v>
      </c>
      <c r="G1113" t="s">
        <v>36</v>
      </c>
      <c r="H1113">
        <v>18</v>
      </c>
      <c r="I1113" t="s">
        <v>34</v>
      </c>
      <c r="J1113" s="4">
        <v>71.400000000000006</v>
      </c>
      <c r="K1113" s="4">
        <v>160.69999999999999</v>
      </c>
      <c r="L1113" s="4">
        <v>22</v>
      </c>
      <c r="M1113">
        <v>15</v>
      </c>
      <c r="N1113" t="s">
        <v>29</v>
      </c>
      <c r="O1113">
        <v>5</v>
      </c>
      <c r="P1113" s="4">
        <v>1757.7</v>
      </c>
      <c r="Q1113" t="s">
        <v>48</v>
      </c>
      <c r="R1113">
        <v>0</v>
      </c>
      <c r="S1113" t="s">
        <v>38</v>
      </c>
      <c r="T1113">
        <v>1</v>
      </c>
      <c r="U1113">
        <v>1</v>
      </c>
      <c r="V1113" t="s">
        <v>32</v>
      </c>
      <c r="W1113" t="s">
        <v>39</v>
      </c>
      <c r="X1113" s="4">
        <v>8.6999999999999993</v>
      </c>
      <c r="Y1113">
        <v>10</v>
      </c>
      <c r="Z1113" s="5">
        <v>262.54000000000002</v>
      </c>
    </row>
    <row r="1114" spans="1:26">
      <c r="A1114">
        <v>1113</v>
      </c>
      <c r="B1114">
        <v>354</v>
      </c>
      <c r="C1114" s="2">
        <v>46347</v>
      </c>
      <c r="D1114" t="s">
        <v>40</v>
      </c>
      <c r="E1114">
        <v>11</v>
      </c>
      <c r="F1114" s="3">
        <v>10.95</v>
      </c>
      <c r="G1114" t="s">
        <v>27</v>
      </c>
      <c r="H1114">
        <v>68</v>
      </c>
      <c r="I1114" t="s">
        <v>34</v>
      </c>
      <c r="J1114" s="4">
        <v>59.7</v>
      </c>
      <c r="K1114" s="4">
        <v>114.7</v>
      </c>
      <c r="L1114" s="4">
        <v>22.6</v>
      </c>
      <c r="M1114">
        <v>19</v>
      </c>
      <c r="N1114" t="s">
        <v>29</v>
      </c>
      <c r="O1114">
        <v>5</v>
      </c>
      <c r="P1114" s="4">
        <v>1757.7</v>
      </c>
      <c r="Q1114" t="s">
        <v>48</v>
      </c>
      <c r="R1114">
        <v>0</v>
      </c>
      <c r="S1114" t="s">
        <v>38</v>
      </c>
      <c r="T1114">
        <v>1</v>
      </c>
      <c r="U1114">
        <v>1</v>
      </c>
      <c r="V1114" t="s">
        <v>32</v>
      </c>
      <c r="W1114" t="s">
        <v>39</v>
      </c>
      <c r="X1114" s="4">
        <v>8.1</v>
      </c>
      <c r="Y1114">
        <v>4</v>
      </c>
      <c r="Z1114" s="5">
        <v>170.27</v>
      </c>
    </row>
    <row r="1115" spans="1:26">
      <c r="A1115">
        <v>1114</v>
      </c>
      <c r="B1115">
        <v>354</v>
      </c>
      <c r="C1115" s="2">
        <v>46347</v>
      </c>
      <c r="D1115" t="s">
        <v>40</v>
      </c>
      <c r="E1115">
        <v>11</v>
      </c>
      <c r="F1115" s="3">
        <v>11.05</v>
      </c>
      <c r="G1115" t="s">
        <v>36</v>
      </c>
      <c r="H1115">
        <v>39</v>
      </c>
      <c r="I1115" t="s">
        <v>34</v>
      </c>
      <c r="J1115" s="4">
        <v>61.1</v>
      </c>
      <c r="K1115" s="4">
        <v>170.2</v>
      </c>
      <c r="L1115" s="4">
        <v>32.200000000000003</v>
      </c>
      <c r="M1115">
        <v>18</v>
      </c>
      <c r="N1115" t="s">
        <v>29</v>
      </c>
      <c r="O1115">
        <v>5</v>
      </c>
      <c r="P1115" s="4">
        <v>1757.7</v>
      </c>
      <c r="Q1115" t="s">
        <v>48</v>
      </c>
      <c r="R1115">
        <v>0</v>
      </c>
      <c r="S1115" t="s">
        <v>38</v>
      </c>
      <c r="T1115">
        <v>1</v>
      </c>
      <c r="U1115">
        <v>1</v>
      </c>
      <c r="V1115" t="s">
        <v>32</v>
      </c>
      <c r="W1115" t="s">
        <v>39</v>
      </c>
      <c r="X1115" s="4">
        <v>7</v>
      </c>
      <c r="Y1115">
        <v>11</v>
      </c>
      <c r="Z1115" s="5">
        <v>348.54</v>
      </c>
    </row>
    <row r="1116" spans="1:26">
      <c r="A1116">
        <v>1115</v>
      </c>
      <c r="B1116">
        <v>355</v>
      </c>
      <c r="C1116" s="2">
        <v>46100</v>
      </c>
      <c r="D1116" t="s">
        <v>55</v>
      </c>
      <c r="E1116">
        <v>3</v>
      </c>
      <c r="F1116" s="3">
        <v>9.6199999999999992</v>
      </c>
      <c r="G1116" t="s">
        <v>27</v>
      </c>
      <c r="H1116">
        <v>42</v>
      </c>
      <c r="I1116" t="s">
        <v>28</v>
      </c>
      <c r="J1116" s="4">
        <v>69.400000000000006</v>
      </c>
      <c r="K1116" s="4">
        <v>211.4</v>
      </c>
      <c r="L1116" s="4">
        <v>31</v>
      </c>
      <c r="M1116">
        <v>15</v>
      </c>
      <c r="N1116" t="s">
        <v>66</v>
      </c>
      <c r="O1116">
        <v>3</v>
      </c>
      <c r="P1116" s="4">
        <v>686.4</v>
      </c>
      <c r="Q1116" t="s">
        <v>42</v>
      </c>
      <c r="R1116">
        <v>0</v>
      </c>
      <c r="S1116" t="s">
        <v>38</v>
      </c>
      <c r="T1116">
        <v>0</v>
      </c>
      <c r="U1116">
        <v>0</v>
      </c>
      <c r="V1116" t="s">
        <v>45</v>
      </c>
      <c r="W1116" t="s">
        <v>43</v>
      </c>
      <c r="X1116" s="4">
        <v>10.5</v>
      </c>
      <c r="Y1116">
        <v>4</v>
      </c>
      <c r="Z1116" s="5">
        <v>186.6</v>
      </c>
    </row>
    <row r="1117" spans="1:26">
      <c r="A1117">
        <v>1116</v>
      </c>
      <c r="B1117">
        <v>355</v>
      </c>
      <c r="C1117" s="2">
        <v>46100</v>
      </c>
      <c r="D1117" t="s">
        <v>55</v>
      </c>
      <c r="E1117">
        <v>3</v>
      </c>
      <c r="F1117" s="3">
        <v>9.61</v>
      </c>
      <c r="G1117" t="s">
        <v>27</v>
      </c>
      <c r="H1117">
        <v>18</v>
      </c>
      <c r="I1117" t="s">
        <v>28</v>
      </c>
      <c r="J1117" s="4">
        <v>73</v>
      </c>
      <c r="K1117" s="4">
        <v>214.5</v>
      </c>
      <c r="L1117" s="4">
        <v>28.4</v>
      </c>
      <c r="M1117">
        <v>16</v>
      </c>
      <c r="N1117" t="s">
        <v>66</v>
      </c>
      <c r="O1117">
        <v>3</v>
      </c>
      <c r="P1117" s="4">
        <v>686.4</v>
      </c>
      <c r="Q1117" t="s">
        <v>42</v>
      </c>
      <c r="R1117">
        <v>0</v>
      </c>
      <c r="S1117" t="s">
        <v>38</v>
      </c>
      <c r="T1117">
        <v>0</v>
      </c>
      <c r="U1117">
        <v>0</v>
      </c>
      <c r="V1117" t="s">
        <v>45</v>
      </c>
      <c r="W1117" t="s">
        <v>43</v>
      </c>
      <c r="X1117" s="4">
        <v>11.2</v>
      </c>
      <c r="Y1117">
        <v>4</v>
      </c>
      <c r="Z1117" s="5">
        <v>210.52</v>
      </c>
    </row>
    <row r="1118" spans="1:26">
      <c r="A1118">
        <v>1117</v>
      </c>
      <c r="B1118">
        <v>355</v>
      </c>
      <c r="C1118" s="2">
        <v>46100</v>
      </c>
      <c r="D1118" t="s">
        <v>55</v>
      </c>
      <c r="E1118">
        <v>3</v>
      </c>
      <c r="F1118" s="3">
        <v>9.7200000000000006</v>
      </c>
      <c r="G1118" t="s">
        <v>27</v>
      </c>
      <c r="H1118">
        <v>46</v>
      </c>
      <c r="I1118" t="s">
        <v>28</v>
      </c>
      <c r="J1118" s="4">
        <v>71.099999999999994</v>
      </c>
      <c r="K1118" s="4">
        <v>198.2</v>
      </c>
      <c r="L1118" s="4">
        <v>27.7</v>
      </c>
      <c r="M1118">
        <v>18</v>
      </c>
      <c r="N1118" t="s">
        <v>66</v>
      </c>
      <c r="O1118">
        <v>3</v>
      </c>
      <c r="P1118" s="4">
        <v>686.4</v>
      </c>
      <c r="Q1118" t="s">
        <v>42</v>
      </c>
      <c r="R1118">
        <v>0</v>
      </c>
      <c r="S1118" t="s">
        <v>38</v>
      </c>
      <c r="T1118">
        <v>0</v>
      </c>
      <c r="U1118">
        <v>0</v>
      </c>
      <c r="V1118" t="s">
        <v>45</v>
      </c>
      <c r="W1118" t="s">
        <v>43</v>
      </c>
      <c r="X1118" s="4">
        <v>7.1</v>
      </c>
      <c r="Y1118">
        <v>1</v>
      </c>
      <c r="Z1118" s="5">
        <v>77.41</v>
      </c>
    </row>
    <row r="1119" spans="1:26">
      <c r="A1119">
        <v>1118</v>
      </c>
      <c r="B1119">
        <v>356</v>
      </c>
      <c r="C1119" s="2">
        <v>46376</v>
      </c>
      <c r="D1119" t="s">
        <v>58</v>
      </c>
      <c r="E1119">
        <v>12</v>
      </c>
      <c r="F1119" s="3">
        <v>10.7</v>
      </c>
      <c r="G1119" t="s">
        <v>27</v>
      </c>
      <c r="H1119">
        <v>48</v>
      </c>
      <c r="I1119" t="s">
        <v>34</v>
      </c>
      <c r="J1119" s="4">
        <v>66.900000000000006</v>
      </c>
      <c r="K1119" s="4">
        <v>186.5</v>
      </c>
      <c r="L1119" s="4">
        <v>29.2</v>
      </c>
      <c r="M1119">
        <v>12</v>
      </c>
      <c r="N1119" t="s">
        <v>59</v>
      </c>
      <c r="O1119">
        <v>4</v>
      </c>
      <c r="P1119" s="4">
        <v>831</v>
      </c>
      <c r="Q1119" t="s">
        <v>30</v>
      </c>
      <c r="R1119">
        <v>1</v>
      </c>
      <c r="S1119" t="s">
        <v>38</v>
      </c>
      <c r="T1119">
        <v>1</v>
      </c>
      <c r="U1119">
        <v>0</v>
      </c>
      <c r="V1119" t="s">
        <v>32</v>
      </c>
      <c r="W1119" t="s">
        <v>49</v>
      </c>
      <c r="X1119" s="4">
        <v>9.3000000000000007</v>
      </c>
      <c r="Y1119">
        <v>7</v>
      </c>
      <c r="Z1119" s="5">
        <v>227.44</v>
      </c>
    </row>
    <row r="1120" spans="1:26">
      <c r="A1120">
        <v>1119</v>
      </c>
      <c r="B1120">
        <v>356</v>
      </c>
      <c r="C1120" s="2">
        <v>46376</v>
      </c>
      <c r="D1120" t="s">
        <v>58</v>
      </c>
      <c r="E1120">
        <v>12</v>
      </c>
      <c r="F1120" s="3">
        <v>10.75</v>
      </c>
      <c r="G1120" t="s">
        <v>27</v>
      </c>
      <c r="H1120">
        <v>58</v>
      </c>
      <c r="I1120" t="s">
        <v>34</v>
      </c>
      <c r="J1120" s="4">
        <v>63.7</v>
      </c>
      <c r="K1120" s="4">
        <v>145.4</v>
      </c>
      <c r="L1120" s="4">
        <v>25.2</v>
      </c>
      <c r="M1120">
        <v>15</v>
      </c>
      <c r="N1120" t="s">
        <v>59</v>
      </c>
      <c r="O1120">
        <v>4</v>
      </c>
      <c r="P1120" s="4">
        <v>831</v>
      </c>
      <c r="Q1120" t="s">
        <v>30</v>
      </c>
      <c r="R1120">
        <v>1</v>
      </c>
      <c r="S1120" t="s">
        <v>38</v>
      </c>
      <c r="T1120">
        <v>1</v>
      </c>
      <c r="U1120">
        <v>0</v>
      </c>
      <c r="V1120" t="s">
        <v>32</v>
      </c>
      <c r="W1120" t="s">
        <v>49</v>
      </c>
      <c r="X1120" s="4">
        <v>7.9</v>
      </c>
      <c r="Y1120">
        <v>5</v>
      </c>
      <c r="Z1120" s="5">
        <v>239.3</v>
      </c>
    </row>
    <row r="1121" spans="1:26">
      <c r="A1121">
        <v>1120</v>
      </c>
      <c r="B1121">
        <v>356</v>
      </c>
      <c r="C1121" s="2">
        <v>46376</v>
      </c>
      <c r="D1121" t="s">
        <v>58</v>
      </c>
      <c r="E1121">
        <v>12</v>
      </c>
      <c r="F1121" s="3">
        <v>10.41</v>
      </c>
      <c r="G1121" t="s">
        <v>27</v>
      </c>
      <c r="H1121">
        <v>18</v>
      </c>
      <c r="I1121" t="s">
        <v>34</v>
      </c>
      <c r="J1121" s="4">
        <v>61.7</v>
      </c>
      <c r="K1121" s="4">
        <v>140.30000000000001</v>
      </c>
      <c r="L1121" s="4">
        <v>25.8</v>
      </c>
      <c r="M1121">
        <v>10</v>
      </c>
      <c r="N1121" t="s">
        <v>59</v>
      </c>
      <c r="O1121">
        <v>4</v>
      </c>
      <c r="P1121" s="4">
        <v>831</v>
      </c>
      <c r="Q1121" t="s">
        <v>30</v>
      </c>
      <c r="R1121">
        <v>1</v>
      </c>
      <c r="S1121" t="s">
        <v>38</v>
      </c>
      <c r="T1121">
        <v>1</v>
      </c>
      <c r="U1121">
        <v>0</v>
      </c>
      <c r="V1121" t="s">
        <v>32</v>
      </c>
      <c r="W1121" t="s">
        <v>49</v>
      </c>
      <c r="X1121" s="4">
        <v>8.5</v>
      </c>
      <c r="Y1121">
        <v>7</v>
      </c>
      <c r="Z1121" s="5">
        <v>210.1</v>
      </c>
    </row>
    <row r="1122" spans="1:26">
      <c r="A1122">
        <v>1121</v>
      </c>
      <c r="B1122">
        <v>356</v>
      </c>
      <c r="C1122" s="2">
        <v>46376</v>
      </c>
      <c r="D1122" t="s">
        <v>58</v>
      </c>
      <c r="E1122">
        <v>12</v>
      </c>
      <c r="F1122" s="3">
        <v>10.61</v>
      </c>
      <c r="G1122" t="s">
        <v>27</v>
      </c>
      <c r="H1122">
        <v>18</v>
      </c>
      <c r="I1122" t="s">
        <v>28</v>
      </c>
      <c r="J1122" s="4">
        <v>71.2</v>
      </c>
      <c r="K1122" s="4">
        <v>186.2</v>
      </c>
      <c r="L1122" s="4">
        <v>25.9</v>
      </c>
      <c r="M1122">
        <v>9</v>
      </c>
      <c r="N1122" t="s">
        <v>59</v>
      </c>
      <c r="O1122">
        <v>4</v>
      </c>
      <c r="P1122" s="4">
        <v>831</v>
      </c>
      <c r="Q1122" t="s">
        <v>30</v>
      </c>
      <c r="R1122">
        <v>1</v>
      </c>
      <c r="S1122" t="s">
        <v>38</v>
      </c>
      <c r="T1122">
        <v>1</v>
      </c>
      <c r="U1122">
        <v>0</v>
      </c>
      <c r="V1122" t="s">
        <v>32</v>
      </c>
      <c r="W1122" t="s">
        <v>49</v>
      </c>
      <c r="X1122" s="4">
        <v>9.6999999999999993</v>
      </c>
      <c r="Y1122">
        <v>5</v>
      </c>
      <c r="Z1122" s="5">
        <v>202.81</v>
      </c>
    </row>
    <row r="1123" spans="1:26">
      <c r="A1123">
        <v>1122</v>
      </c>
      <c r="B1123">
        <v>357</v>
      </c>
      <c r="C1123" s="2">
        <v>46349</v>
      </c>
      <c r="D1123" t="s">
        <v>46</v>
      </c>
      <c r="E1123">
        <v>11</v>
      </c>
      <c r="F1123" s="3">
        <v>10.08</v>
      </c>
      <c r="G1123" t="s">
        <v>27</v>
      </c>
      <c r="H1123">
        <v>34</v>
      </c>
      <c r="I1123" t="s">
        <v>34</v>
      </c>
      <c r="J1123" s="4">
        <v>67.400000000000006</v>
      </c>
      <c r="K1123" s="4">
        <v>139.19999999999999</v>
      </c>
      <c r="L1123" s="4">
        <v>21.5</v>
      </c>
      <c r="M1123">
        <v>15</v>
      </c>
      <c r="N1123" t="s">
        <v>61</v>
      </c>
      <c r="O1123">
        <v>3</v>
      </c>
      <c r="P1123" s="4">
        <v>1937.4</v>
      </c>
      <c r="Q1123" t="s">
        <v>42</v>
      </c>
      <c r="R1123">
        <v>1</v>
      </c>
      <c r="S1123" t="s">
        <v>44</v>
      </c>
      <c r="T1123">
        <v>0</v>
      </c>
      <c r="U1123">
        <v>0</v>
      </c>
      <c r="V1123" t="s">
        <v>32</v>
      </c>
      <c r="W1123" t="s">
        <v>39</v>
      </c>
      <c r="X1123" s="4">
        <v>8.8000000000000007</v>
      </c>
      <c r="Y1123">
        <v>8</v>
      </c>
      <c r="Z1123" s="5">
        <v>115.3</v>
      </c>
    </row>
    <row r="1124" spans="1:26">
      <c r="A1124">
        <v>1123</v>
      </c>
      <c r="B1124">
        <v>357</v>
      </c>
      <c r="C1124" s="2">
        <v>46349</v>
      </c>
      <c r="D1124" t="s">
        <v>46</v>
      </c>
      <c r="E1124">
        <v>11</v>
      </c>
      <c r="F1124" s="3">
        <v>10.49</v>
      </c>
      <c r="G1124" t="s">
        <v>27</v>
      </c>
      <c r="H1124">
        <v>63</v>
      </c>
      <c r="I1124" t="s">
        <v>28</v>
      </c>
      <c r="J1124" s="4">
        <v>68</v>
      </c>
      <c r="K1124" s="4">
        <v>169.4</v>
      </c>
      <c r="L1124" s="4">
        <v>25.7</v>
      </c>
      <c r="M1124">
        <v>16</v>
      </c>
      <c r="N1124" t="s">
        <v>61</v>
      </c>
      <c r="O1124">
        <v>3</v>
      </c>
      <c r="P1124" s="4">
        <v>1937.4</v>
      </c>
      <c r="Q1124" t="s">
        <v>42</v>
      </c>
      <c r="R1124">
        <v>1</v>
      </c>
      <c r="S1124" t="s">
        <v>44</v>
      </c>
      <c r="T1124">
        <v>0</v>
      </c>
      <c r="U1124">
        <v>0</v>
      </c>
      <c r="V1124" t="s">
        <v>32</v>
      </c>
      <c r="W1124" t="s">
        <v>39</v>
      </c>
      <c r="X1124" s="4">
        <v>8.6999999999999993</v>
      </c>
      <c r="Y1124">
        <v>12</v>
      </c>
      <c r="Z1124" s="5">
        <v>216.47</v>
      </c>
    </row>
    <row r="1125" spans="1:26">
      <c r="A1125">
        <v>1124</v>
      </c>
      <c r="B1125">
        <v>357</v>
      </c>
      <c r="C1125" s="2">
        <v>46349</v>
      </c>
      <c r="D1125" t="s">
        <v>46</v>
      </c>
      <c r="E1125">
        <v>11</v>
      </c>
      <c r="F1125" s="3">
        <v>10.29</v>
      </c>
      <c r="G1125" t="s">
        <v>27</v>
      </c>
      <c r="H1125">
        <v>18</v>
      </c>
      <c r="I1125" t="s">
        <v>28</v>
      </c>
      <c r="J1125" s="4">
        <v>67.400000000000006</v>
      </c>
      <c r="K1125" s="4">
        <v>106.5</v>
      </c>
      <c r="L1125" s="4">
        <v>16.8</v>
      </c>
      <c r="M1125">
        <v>14</v>
      </c>
      <c r="N1125" t="s">
        <v>61</v>
      </c>
      <c r="O1125">
        <v>3</v>
      </c>
      <c r="P1125" s="4">
        <v>1937.4</v>
      </c>
      <c r="Q1125" t="s">
        <v>42</v>
      </c>
      <c r="R1125">
        <v>1</v>
      </c>
      <c r="S1125" t="s">
        <v>44</v>
      </c>
      <c r="T1125">
        <v>0</v>
      </c>
      <c r="U1125">
        <v>0</v>
      </c>
      <c r="V1125" t="s">
        <v>32</v>
      </c>
      <c r="W1125" t="s">
        <v>39</v>
      </c>
      <c r="X1125" s="4">
        <v>9.8000000000000007</v>
      </c>
      <c r="Y1125">
        <v>6</v>
      </c>
      <c r="Z1125" s="5">
        <v>182.5</v>
      </c>
    </row>
    <row r="1126" spans="1:26">
      <c r="A1126">
        <v>1125</v>
      </c>
      <c r="B1126">
        <v>358</v>
      </c>
      <c r="C1126" s="2">
        <v>46331</v>
      </c>
      <c r="D1126" t="s">
        <v>55</v>
      </c>
      <c r="E1126">
        <v>11</v>
      </c>
      <c r="F1126" s="3">
        <v>12.7</v>
      </c>
      <c r="G1126" t="s">
        <v>36</v>
      </c>
      <c r="H1126">
        <v>11</v>
      </c>
      <c r="I1126" t="s">
        <v>34</v>
      </c>
      <c r="J1126" s="4">
        <v>67.900000000000006</v>
      </c>
      <c r="K1126" s="4">
        <v>140.6</v>
      </c>
      <c r="L1126" s="4">
        <v>21.3</v>
      </c>
      <c r="M1126">
        <v>19</v>
      </c>
      <c r="N1126" t="s">
        <v>47</v>
      </c>
      <c r="O1126">
        <v>6</v>
      </c>
      <c r="P1126" s="4">
        <v>19.3</v>
      </c>
      <c r="Q1126" t="s">
        <v>48</v>
      </c>
      <c r="R1126">
        <v>1</v>
      </c>
      <c r="S1126" t="s">
        <v>31</v>
      </c>
      <c r="T1126">
        <v>0</v>
      </c>
      <c r="U1126">
        <v>0</v>
      </c>
      <c r="V1126" t="s">
        <v>32</v>
      </c>
      <c r="W1126" t="s">
        <v>43</v>
      </c>
      <c r="X1126" s="4">
        <v>8</v>
      </c>
      <c r="Y1126">
        <v>12</v>
      </c>
      <c r="Z1126" s="5">
        <v>308.98</v>
      </c>
    </row>
    <row r="1127" spans="1:26">
      <c r="A1127">
        <v>1126</v>
      </c>
      <c r="B1127">
        <v>358</v>
      </c>
      <c r="C1127" s="2">
        <v>46331</v>
      </c>
      <c r="D1127" t="s">
        <v>55</v>
      </c>
      <c r="E1127">
        <v>11</v>
      </c>
      <c r="F1127" s="3">
        <v>12.25</v>
      </c>
      <c r="G1127" t="s">
        <v>36</v>
      </c>
      <c r="H1127">
        <v>52</v>
      </c>
      <c r="I1127" t="s">
        <v>28</v>
      </c>
      <c r="J1127" s="4">
        <v>68.900000000000006</v>
      </c>
      <c r="K1127" s="4">
        <v>188.1</v>
      </c>
      <c r="L1127" s="4">
        <v>27.9</v>
      </c>
      <c r="M1127">
        <v>19</v>
      </c>
      <c r="N1127" t="s">
        <v>47</v>
      </c>
      <c r="O1127">
        <v>6</v>
      </c>
      <c r="P1127" s="4">
        <v>19.3</v>
      </c>
      <c r="Q1127" t="s">
        <v>48</v>
      </c>
      <c r="R1127">
        <v>1</v>
      </c>
      <c r="S1127" t="s">
        <v>31</v>
      </c>
      <c r="T1127">
        <v>0</v>
      </c>
      <c r="U1127">
        <v>0</v>
      </c>
      <c r="V1127" t="s">
        <v>32</v>
      </c>
      <c r="W1127" t="s">
        <v>43</v>
      </c>
      <c r="X1127" s="4">
        <v>9.1</v>
      </c>
      <c r="Y1127">
        <v>6</v>
      </c>
      <c r="Z1127" s="5">
        <v>222.97</v>
      </c>
    </row>
    <row r="1128" spans="1:26">
      <c r="A1128">
        <v>1127</v>
      </c>
      <c r="B1128">
        <v>358</v>
      </c>
      <c r="C1128" s="2">
        <v>46331</v>
      </c>
      <c r="D1128" t="s">
        <v>55</v>
      </c>
      <c r="E1128">
        <v>11</v>
      </c>
      <c r="F1128" s="3">
        <v>12.5</v>
      </c>
      <c r="G1128" t="s">
        <v>36</v>
      </c>
      <c r="H1128">
        <v>18</v>
      </c>
      <c r="I1128" t="s">
        <v>34</v>
      </c>
      <c r="J1128" s="4">
        <v>65.7</v>
      </c>
      <c r="K1128" s="4">
        <v>145.69999999999999</v>
      </c>
      <c r="L1128" s="4">
        <v>23.5</v>
      </c>
      <c r="M1128">
        <v>15</v>
      </c>
      <c r="N1128" t="s">
        <v>47</v>
      </c>
      <c r="O1128">
        <v>6</v>
      </c>
      <c r="P1128" s="4">
        <v>19.3</v>
      </c>
      <c r="Q1128" t="s">
        <v>48</v>
      </c>
      <c r="R1128">
        <v>1</v>
      </c>
      <c r="S1128" t="s">
        <v>31</v>
      </c>
      <c r="T1128">
        <v>0</v>
      </c>
      <c r="U1128">
        <v>0</v>
      </c>
      <c r="V1128" t="s">
        <v>32</v>
      </c>
      <c r="W1128" t="s">
        <v>43</v>
      </c>
      <c r="X1128" s="4">
        <v>8</v>
      </c>
      <c r="Y1128">
        <v>8</v>
      </c>
      <c r="Z1128" s="5">
        <v>275.83999999999997</v>
      </c>
    </row>
    <row r="1129" spans="1:26">
      <c r="A1129">
        <v>1128</v>
      </c>
      <c r="B1129">
        <v>358</v>
      </c>
      <c r="C1129" s="2">
        <v>46331</v>
      </c>
      <c r="D1129" t="s">
        <v>55</v>
      </c>
      <c r="E1129">
        <v>11</v>
      </c>
      <c r="F1129" s="3">
        <v>12.63</v>
      </c>
      <c r="G1129" t="s">
        <v>36</v>
      </c>
      <c r="H1129">
        <v>21</v>
      </c>
      <c r="I1129" t="s">
        <v>34</v>
      </c>
      <c r="J1129" s="4">
        <v>57.9</v>
      </c>
      <c r="K1129" s="4">
        <v>129.69999999999999</v>
      </c>
      <c r="L1129" s="4">
        <v>27.2</v>
      </c>
      <c r="M1129">
        <v>14</v>
      </c>
      <c r="N1129" t="s">
        <v>47</v>
      </c>
      <c r="O1129">
        <v>6</v>
      </c>
      <c r="P1129" s="4">
        <v>19.3</v>
      </c>
      <c r="Q1129" t="s">
        <v>48</v>
      </c>
      <c r="R1129">
        <v>1</v>
      </c>
      <c r="S1129" t="s">
        <v>31</v>
      </c>
      <c r="T1129">
        <v>0</v>
      </c>
      <c r="U1129">
        <v>0</v>
      </c>
      <c r="V1129" t="s">
        <v>32</v>
      </c>
      <c r="W1129" t="s">
        <v>43</v>
      </c>
      <c r="X1129" s="4">
        <v>6.1</v>
      </c>
      <c r="Y1129">
        <v>6</v>
      </c>
      <c r="Z1129" s="5">
        <v>196.01</v>
      </c>
    </row>
    <row r="1130" spans="1:26">
      <c r="A1130">
        <v>1129</v>
      </c>
      <c r="B1130">
        <v>358</v>
      </c>
      <c r="C1130" s="2">
        <v>46331</v>
      </c>
      <c r="D1130" t="s">
        <v>55</v>
      </c>
      <c r="E1130">
        <v>11</v>
      </c>
      <c r="F1130" s="3">
        <v>12.59</v>
      </c>
      <c r="G1130" t="s">
        <v>36</v>
      </c>
      <c r="H1130">
        <v>43</v>
      </c>
      <c r="I1130" t="s">
        <v>34</v>
      </c>
      <c r="J1130" s="4">
        <v>64.7</v>
      </c>
      <c r="K1130" s="4">
        <v>165.5</v>
      </c>
      <c r="L1130" s="4">
        <v>28</v>
      </c>
      <c r="M1130">
        <v>18</v>
      </c>
      <c r="N1130" t="s">
        <v>47</v>
      </c>
      <c r="O1130">
        <v>6</v>
      </c>
      <c r="P1130" s="4">
        <v>19.3</v>
      </c>
      <c r="Q1130" t="s">
        <v>48</v>
      </c>
      <c r="R1130">
        <v>1</v>
      </c>
      <c r="S1130" t="s">
        <v>31</v>
      </c>
      <c r="T1130">
        <v>0</v>
      </c>
      <c r="U1130">
        <v>0</v>
      </c>
      <c r="V1130" t="s">
        <v>32</v>
      </c>
      <c r="W1130" t="s">
        <v>43</v>
      </c>
      <c r="X1130" s="4">
        <v>5.6</v>
      </c>
      <c r="Y1130">
        <v>5</v>
      </c>
      <c r="Z1130" s="5">
        <v>160.6</v>
      </c>
    </row>
    <row r="1131" spans="1:26">
      <c r="A1131">
        <v>1130</v>
      </c>
      <c r="B1131">
        <v>358</v>
      </c>
      <c r="C1131" s="2">
        <v>46331</v>
      </c>
      <c r="D1131" t="s">
        <v>55</v>
      </c>
      <c r="E1131">
        <v>11</v>
      </c>
      <c r="F1131" s="3">
        <v>12.71</v>
      </c>
      <c r="G1131" t="s">
        <v>36</v>
      </c>
      <c r="H1131">
        <v>18</v>
      </c>
      <c r="I1131" t="s">
        <v>34</v>
      </c>
      <c r="J1131" s="4">
        <v>58.6</v>
      </c>
      <c r="K1131" s="4">
        <v>121.8</v>
      </c>
      <c r="L1131" s="4">
        <v>25.1</v>
      </c>
      <c r="M1131">
        <v>13</v>
      </c>
      <c r="N1131" t="s">
        <v>47</v>
      </c>
      <c r="O1131">
        <v>6</v>
      </c>
      <c r="P1131" s="4">
        <v>19.3</v>
      </c>
      <c r="Q1131" t="s">
        <v>48</v>
      </c>
      <c r="R1131">
        <v>1</v>
      </c>
      <c r="S1131" t="s">
        <v>31</v>
      </c>
      <c r="T1131">
        <v>0</v>
      </c>
      <c r="U1131">
        <v>0</v>
      </c>
      <c r="V1131" t="s">
        <v>32</v>
      </c>
      <c r="W1131" t="s">
        <v>43</v>
      </c>
      <c r="X1131" s="4">
        <v>7.1</v>
      </c>
      <c r="Y1131">
        <v>9</v>
      </c>
      <c r="Z1131" s="5">
        <v>186.32</v>
      </c>
    </row>
    <row r="1132" spans="1:26">
      <c r="A1132">
        <v>1131</v>
      </c>
      <c r="B1132">
        <v>359</v>
      </c>
      <c r="C1132" s="2">
        <v>46190</v>
      </c>
      <c r="D1132" t="s">
        <v>52</v>
      </c>
      <c r="E1132">
        <v>6</v>
      </c>
      <c r="F1132" s="3">
        <v>10.68</v>
      </c>
      <c r="G1132" t="s">
        <v>27</v>
      </c>
      <c r="H1132">
        <v>59</v>
      </c>
      <c r="I1132" t="s">
        <v>28</v>
      </c>
      <c r="J1132" s="4">
        <v>77.8</v>
      </c>
      <c r="K1132" s="4">
        <v>259.10000000000002</v>
      </c>
      <c r="L1132" s="4">
        <v>30</v>
      </c>
      <c r="M1132">
        <v>18</v>
      </c>
      <c r="N1132" t="s">
        <v>56</v>
      </c>
      <c r="O1132">
        <v>2</v>
      </c>
      <c r="P1132" s="4">
        <v>382.2</v>
      </c>
      <c r="Q1132" t="s">
        <v>48</v>
      </c>
      <c r="R1132">
        <v>0</v>
      </c>
      <c r="S1132" t="s">
        <v>44</v>
      </c>
      <c r="T1132">
        <v>1</v>
      </c>
      <c r="U1132">
        <v>0</v>
      </c>
      <c r="V1132" t="s">
        <v>45</v>
      </c>
      <c r="W1132" t="s">
        <v>39</v>
      </c>
      <c r="X1132" s="4">
        <v>8.8000000000000007</v>
      </c>
      <c r="Y1132">
        <v>12</v>
      </c>
      <c r="Z1132" s="5">
        <v>364.93</v>
      </c>
    </row>
    <row r="1133" spans="1:26">
      <c r="A1133">
        <v>1132</v>
      </c>
      <c r="B1133">
        <v>359</v>
      </c>
      <c r="C1133" s="2">
        <v>46190</v>
      </c>
      <c r="D1133" t="s">
        <v>52</v>
      </c>
      <c r="E1133">
        <v>6</v>
      </c>
      <c r="F1133" s="3">
        <v>10.77</v>
      </c>
      <c r="G1133" t="s">
        <v>27</v>
      </c>
      <c r="H1133">
        <v>53</v>
      </c>
      <c r="I1133" t="s">
        <v>34</v>
      </c>
      <c r="J1133" s="4">
        <v>56.9</v>
      </c>
      <c r="K1133" s="4">
        <v>109.1</v>
      </c>
      <c r="L1133" s="4">
        <v>23.8</v>
      </c>
      <c r="M1133">
        <v>18</v>
      </c>
      <c r="N1133" t="s">
        <v>56</v>
      </c>
      <c r="O1133">
        <v>2</v>
      </c>
      <c r="P1133" s="4">
        <v>382.2</v>
      </c>
      <c r="Q1133" t="s">
        <v>48</v>
      </c>
      <c r="R1133">
        <v>0</v>
      </c>
      <c r="S1133" t="s">
        <v>44</v>
      </c>
      <c r="T1133">
        <v>1</v>
      </c>
      <c r="U1133">
        <v>0</v>
      </c>
      <c r="V1133" t="s">
        <v>45</v>
      </c>
      <c r="W1133" t="s">
        <v>39</v>
      </c>
      <c r="X1133" s="4">
        <v>6.2</v>
      </c>
      <c r="Y1133">
        <v>4</v>
      </c>
      <c r="Z1133" s="5">
        <v>193.96</v>
      </c>
    </row>
    <row r="1134" spans="1:26">
      <c r="A1134">
        <v>1133</v>
      </c>
      <c r="B1134">
        <v>360</v>
      </c>
      <c r="C1134" s="2">
        <v>46082</v>
      </c>
      <c r="D1134" t="s">
        <v>58</v>
      </c>
      <c r="E1134">
        <v>3</v>
      </c>
      <c r="F1134" s="3">
        <v>11.86</v>
      </c>
      <c r="G1134" t="s">
        <v>36</v>
      </c>
      <c r="H1134">
        <v>46</v>
      </c>
      <c r="I1134" t="s">
        <v>34</v>
      </c>
      <c r="J1134" s="4">
        <v>63.5</v>
      </c>
      <c r="K1134" s="4">
        <v>122.5</v>
      </c>
      <c r="L1134" s="4">
        <v>21.3</v>
      </c>
      <c r="M1134">
        <v>16</v>
      </c>
      <c r="N1134" t="s">
        <v>37</v>
      </c>
      <c r="O1134">
        <v>2</v>
      </c>
      <c r="P1134" s="4">
        <v>1437.5</v>
      </c>
      <c r="Q1134" t="s">
        <v>42</v>
      </c>
      <c r="R1134">
        <v>1</v>
      </c>
      <c r="S1134" t="s">
        <v>44</v>
      </c>
      <c r="T1134">
        <v>1</v>
      </c>
      <c r="U1134">
        <v>0</v>
      </c>
      <c r="V1134" t="s">
        <v>32</v>
      </c>
      <c r="W1134" t="s">
        <v>57</v>
      </c>
      <c r="X1134" s="4">
        <v>7.9</v>
      </c>
      <c r="Y1134">
        <v>16</v>
      </c>
      <c r="Z1134" s="5">
        <v>195.66</v>
      </c>
    </row>
    <row r="1135" spans="1:26">
      <c r="A1135">
        <v>1134</v>
      </c>
      <c r="B1135">
        <v>360</v>
      </c>
      <c r="C1135" s="2">
        <v>46082</v>
      </c>
      <c r="D1135" t="s">
        <v>58</v>
      </c>
      <c r="E1135">
        <v>3</v>
      </c>
      <c r="F1135" s="3">
        <v>12.12</v>
      </c>
      <c r="G1135" t="s">
        <v>36</v>
      </c>
      <c r="H1135">
        <v>52</v>
      </c>
      <c r="I1135" t="s">
        <v>28</v>
      </c>
      <c r="J1135" s="4">
        <v>69.900000000000006</v>
      </c>
      <c r="K1135" s="4">
        <v>205.6</v>
      </c>
      <c r="L1135" s="4">
        <v>29.5</v>
      </c>
      <c r="M1135">
        <v>18</v>
      </c>
      <c r="N1135" t="s">
        <v>37</v>
      </c>
      <c r="O1135">
        <v>2</v>
      </c>
      <c r="P1135" s="4">
        <v>1437.5</v>
      </c>
      <c r="Q1135" t="s">
        <v>42</v>
      </c>
      <c r="R1135">
        <v>1</v>
      </c>
      <c r="S1135" t="s">
        <v>44</v>
      </c>
      <c r="T1135">
        <v>1</v>
      </c>
      <c r="U1135">
        <v>0</v>
      </c>
      <c r="V1135" t="s">
        <v>32</v>
      </c>
      <c r="W1135" t="s">
        <v>57</v>
      </c>
      <c r="X1135" s="4">
        <v>7.5</v>
      </c>
      <c r="Y1135">
        <v>8</v>
      </c>
      <c r="Z1135" s="5">
        <v>236.39</v>
      </c>
    </row>
    <row r="1136" spans="1:26">
      <c r="A1136">
        <v>1135</v>
      </c>
      <c r="B1136">
        <v>361</v>
      </c>
      <c r="C1136" s="2">
        <v>46173</v>
      </c>
      <c r="D1136" t="s">
        <v>58</v>
      </c>
      <c r="E1136">
        <v>5</v>
      </c>
      <c r="F1136" s="3">
        <v>10.14</v>
      </c>
      <c r="G1136" t="s">
        <v>27</v>
      </c>
      <c r="H1136">
        <v>72</v>
      </c>
      <c r="I1136" t="s">
        <v>28</v>
      </c>
      <c r="J1136" s="4">
        <v>70.8</v>
      </c>
      <c r="K1136" s="4">
        <v>166</v>
      </c>
      <c r="L1136" s="4">
        <v>23.2</v>
      </c>
      <c r="M1136">
        <v>18</v>
      </c>
      <c r="N1136" t="s">
        <v>56</v>
      </c>
      <c r="O1136">
        <v>1</v>
      </c>
      <c r="P1136" s="4">
        <v>140.80000000000001</v>
      </c>
      <c r="Q1136" t="s">
        <v>42</v>
      </c>
      <c r="R1136">
        <v>0</v>
      </c>
      <c r="S1136" t="s">
        <v>44</v>
      </c>
      <c r="T1136">
        <v>0</v>
      </c>
      <c r="U1136">
        <v>0</v>
      </c>
      <c r="V1136" t="s">
        <v>32</v>
      </c>
      <c r="W1136" t="s">
        <v>57</v>
      </c>
      <c r="X1136" s="4">
        <v>5.3</v>
      </c>
      <c r="Y1136">
        <v>7</v>
      </c>
      <c r="Z1136" s="5">
        <v>192.71</v>
      </c>
    </row>
    <row r="1137" spans="1:26">
      <c r="A1137">
        <v>1136</v>
      </c>
      <c r="B1137">
        <v>362</v>
      </c>
      <c r="C1137" s="2">
        <v>46314</v>
      </c>
      <c r="D1137" t="s">
        <v>46</v>
      </c>
      <c r="E1137">
        <v>10</v>
      </c>
      <c r="F1137" s="3">
        <v>12.06</v>
      </c>
      <c r="G1137" t="s">
        <v>36</v>
      </c>
      <c r="H1137">
        <v>49</v>
      </c>
      <c r="I1137" t="s">
        <v>28</v>
      </c>
      <c r="J1137" s="4">
        <v>71</v>
      </c>
      <c r="K1137" s="4">
        <v>234.4</v>
      </c>
      <c r="L1137" s="4">
        <v>32.6</v>
      </c>
      <c r="M1137">
        <v>13</v>
      </c>
      <c r="N1137" t="s">
        <v>60</v>
      </c>
      <c r="O1137">
        <v>2</v>
      </c>
      <c r="P1137" s="4">
        <v>1707.3</v>
      </c>
      <c r="Q1137" t="s">
        <v>30</v>
      </c>
      <c r="R1137">
        <v>0</v>
      </c>
      <c r="S1137" t="s">
        <v>38</v>
      </c>
      <c r="T1137">
        <v>1</v>
      </c>
      <c r="U1137">
        <v>0</v>
      </c>
      <c r="V1137" t="s">
        <v>45</v>
      </c>
      <c r="W1137" t="s">
        <v>39</v>
      </c>
      <c r="X1137" s="4">
        <v>7.7</v>
      </c>
      <c r="Y1137">
        <v>9</v>
      </c>
      <c r="Z1137" s="5">
        <v>257.58</v>
      </c>
    </row>
    <row r="1138" spans="1:26">
      <c r="A1138">
        <v>1137</v>
      </c>
      <c r="B1138">
        <v>362</v>
      </c>
      <c r="C1138" s="2">
        <v>46314</v>
      </c>
      <c r="D1138" t="s">
        <v>46</v>
      </c>
      <c r="E1138">
        <v>10</v>
      </c>
      <c r="F1138" s="3">
        <v>12.07</v>
      </c>
      <c r="G1138" t="s">
        <v>36</v>
      </c>
      <c r="H1138">
        <v>27</v>
      </c>
      <c r="I1138" t="s">
        <v>34</v>
      </c>
      <c r="J1138" s="4">
        <v>65</v>
      </c>
      <c r="K1138" s="4">
        <v>88.8</v>
      </c>
      <c r="L1138" s="4">
        <v>14.8</v>
      </c>
      <c r="M1138">
        <v>9</v>
      </c>
      <c r="N1138" t="s">
        <v>60</v>
      </c>
      <c r="O1138">
        <v>2</v>
      </c>
      <c r="P1138" s="4">
        <v>1707.3</v>
      </c>
      <c r="Q1138" t="s">
        <v>30</v>
      </c>
      <c r="R1138">
        <v>0</v>
      </c>
      <c r="S1138" t="s">
        <v>38</v>
      </c>
      <c r="T1138">
        <v>1</v>
      </c>
      <c r="U1138">
        <v>0</v>
      </c>
      <c r="V1138" t="s">
        <v>45</v>
      </c>
      <c r="W1138" t="s">
        <v>39</v>
      </c>
      <c r="X1138" s="4">
        <v>8</v>
      </c>
      <c r="Y1138">
        <v>7</v>
      </c>
      <c r="Z1138" s="5">
        <v>203.87</v>
      </c>
    </row>
    <row r="1139" spans="1:26">
      <c r="A1139">
        <v>1138</v>
      </c>
      <c r="B1139">
        <v>363</v>
      </c>
      <c r="C1139" s="2">
        <v>46182</v>
      </c>
      <c r="D1139" t="s">
        <v>35</v>
      </c>
      <c r="E1139">
        <v>6</v>
      </c>
      <c r="F1139" s="3">
        <v>10.220000000000001</v>
      </c>
      <c r="G1139" t="s">
        <v>27</v>
      </c>
      <c r="H1139">
        <v>18</v>
      </c>
      <c r="I1139" t="s">
        <v>34</v>
      </c>
      <c r="J1139" s="4">
        <v>64.2</v>
      </c>
      <c r="K1139" s="4">
        <v>128.5</v>
      </c>
      <c r="L1139" s="4">
        <v>21.9</v>
      </c>
      <c r="M1139">
        <v>14</v>
      </c>
      <c r="N1139" t="s">
        <v>54</v>
      </c>
      <c r="O1139">
        <v>5</v>
      </c>
      <c r="P1139" s="4">
        <v>2355.4</v>
      </c>
      <c r="Q1139" t="s">
        <v>42</v>
      </c>
      <c r="R1139">
        <v>1</v>
      </c>
      <c r="S1139" t="s">
        <v>44</v>
      </c>
      <c r="T1139">
        <v>0</v>
      </c>
      <c r="U1139">
        <v>0</v>
      </c>
      <c r="V1139" t="s">
        <v>32</v>
      </c>
      <c r="W1139" t="s">
        <v>43</v>
      </c>
      <c r="X1139" s="4">
        <v>7.2</v>
      </c>
      <c r="Y1139">
        <v>7</v>
      </c>
      <c r="Z1139" s="5">
        <v>169.02</v>
      </c>
    </row>
    <row r="1140" spans="1:26">
      <c r="A1140">
        <v>1139</v>
      </c>
      <c r="B1140">
        <v>363</v>
      </c>
      <c r="C1140" s="2">
        <v>46182</v>
      </c>
      <c r="D1140" t="s">
        <v>35</v>
      </c>
      <c r="E1140">
        <v>6</v>
      </c>
      <c r="F1140" s="3">
        <v>10.36</v>
      </c>
      <c r="G1140" t="s">
        <v>27</v>
      </c>
      <c r="H1140">
        <v>74</v>
      </c>
      <c r="I1140" t="s">
        <v>28</v>
      </c>
      <c r="J1140" s="4">
        <v>64.7</v>
      </c>
      <c r="K1140" s="4">
        <v>140.80000000000001</v>
      </c>
      <c r="L1140" s="4">
        <v>23.8</v>
      </c>
      <c r="M1140">
        <v>17</v>
      </c>
      <c r="N1140" t="s">
        <v>54</v>
      </c>
      <c r="O1140">
        <v>5</v>
      </c>
      <c r="P1140" s="4">
        <v>2355.4</v>
      </c>
      <c r="Q1140" t="s">
        <v>42</v>
      </c>
      <c r="R1140">
        <v>1</v>
      </c>
      <c r="S1140" t="s">
        <v>44</v>
      </c>
      <c r="T1140">
        <v>0</v>
      </c>
      <c r="U1140">
        <v>0</v>
      </c>
      <c r="V1140" t="s">
        <v>32</v>
      </c>
      <c r="W1140" t="s">
        <v>43</v>
      </c>
      <c r="X1140" s="4">
        <v>8.4</v>
      </c>
      <c r="Y1140">
        <v>8</v>
      </c>
      <c r="Z1140" s="5">
        <v>236.01</v>
      </c>
    </row>
    <row r="1141" spans="1:26">
      <c r="A1141">
        <v>1140</v>
      </c>
      <c r="B1141">
        <v>363</v>
      </c>
      <c r="C1141" s="2">
        <v>46182</v>
      </c>
      <c r="D1141" t="s">
        <v>35</v>
      </c>
      <c r="E1141">
        <v>6</v>
      </c>
      <c r="F1141" s="3">
        <v>10.08</v>
      </c>
      <c r="G1141" t="s">
        <v>27</v>
      </c>
      <c r="H1141">
        <v>69</v>
      </c>
      <c r="I1141" t="s">
        <v>34</v>
      </c>
      <c r="J1141" s="4">
        <v>69.400000000000006</v>
      </c>
      <c r="K1141" s="4">
        <v>196.5</v>
      </c>
      <c r="L1141" s="4">
        <v>28.7</v>
      </c>
      <c r="M1141">
        <v>15</v>
      </c>
      <c r="N1141" t="s">
        <v>54</v>
      </c>
      <c r="O1141">
        <v>5</v>
      </c>
      <c r="P1141" s="4">
        <v>2355.4</v>
      </c>
      <c r="Q1141" t="s">
        <v>42</v>
      </c>
      <c r="R1141">
        <v>1</v>
      </c>
      <c r="S1141" t="s">
        <v>44</v>
      </c>
      <c r="T1141">
        <v>0</v>
      </c>
      <c r="U1141">
        <v>0</v>
      </c>
      <c r="V1141" t="s">
        <v>32</v>
      </c>
      <c r="W1141" t="s">
        <v>43</v>
      </c>
      <c r="X1141" s="4">
        <v>6.7</v>
      </c>
      <c r="Y1141">
        <v>9</v>
      </c>
      <c r="Z1141" s="5">
        <v>235.76</v>
      </c>
    </row>
    <row r="1142" spans="1:26">
      <c r="A1142">
        <v>1141</v>
      </c>
      <c r="B1142">
        <v>363</v>
      </c>
      <c r="C1142" s="2">
        <v>46182</v>
      </c>
      <c r="D1142" t="s">
        <v>35</v>
      </c>
      <c r="E1142">
        <v>6</v>
      </c>
      <c r="F1142" s="3">
        <v>10.210000000000001</v>
      </c>
      <c r="G1142" t="s">
        <v>27</v>
      </c>
      <c r="H1142">
        <v>38</v>
      </c>
      <c r="I1142" t="s">
        <v>28</v>
      </c>
      <c r="J1142" s="4">
        <v>67.2</v>
      </c>
      <c r="K1142" s="4">
        <v>169.1</v>
      </c>
      <c r="L1142" s="4">
        <v>26.4</v>
      </c>
      <c r="M1142">
        <v>12</v>
      </c>
      <c r="N1142" t="s">
        <v>54</v>
      </c>
      <c r="O1142">
        <v>5</v>
      </c>
      <c r="P1142" s="4">
        <v>2355.4</v>
      </c>
      <c r="Q1142" t="s">
        <v>42</v>
      </c>
      <c r="R1142">
        <v>1</v>
      </c>
      <c r="S1142" t="s">
        <v>44</v>
      </c>
      <c r="T1142">
        <v>0</v>
      </c>
      <c r="U1142">
        <v>0</v>
      </c>
      <c r="V1142" t="s">
        <v>32</v>
      </c>
      <c r="W1142" t="s">
        <v>43</v>
      </c>
      <c r="X1142" s="4">
        <v>9.1999999999999993</v>
      </c>
      <c r="Y1142">
        <v>5</v>
      </c>
      <c r="Z1142" s="5">
        <v>200.55</v>
      </c>
    </row>
    <row r="1143" spans="1:26">
      <c r="A1143">
        <v>1142</v>
      </c>
      <c r="B1143">
        <v>363</v>
      </c>
      <c r="C1143" s="2">
        <v>46182</v>
      </c>
      <c r="D1143" t="s">
        <v>35</v>
      </c>
      <c r="E1143">
        <v>6</v>
      </c>
      <c r="F1143" s="3">
        <v>10.55</v>
      </c>
      <c r="G1143" t="s">
        <v>27</v>
      </c>
      <c r="H1143">
        <v>55</v>
      </c>
      <c r="I1143" t="s">
        <v>28</v>
      </c>
      <c r="J1143" s="4">
        <v>71.2</v>
      </c>
      <c r="K1143" s="4">
        <v>130</v>
      </c>
      <c r="L1143" s="4">
        <v>17.899999999999999</v>
      </c>
      <c r="M1143">
        <v>14</v>
      </c>
      <c r="N1143" t="s">
        <v>54</v>
      </c>
      <c r="O1143">
        <v>5</v>
      </c>
      <c r="P1143" s="4">
        <v>2355.4</v>
      </c>
      <c r="Q1143" t="s">
        <v>42</v>
      </c>
      <c r="R1143">
        <v>1</v>
      </c>
      <c r="S1143" t="s">
        <v>44</v>
      </c>
      <c r="T1143">
        <v>0</v>
      </c>
      <c r="U1143">
        <v>0</v>
      </c>
      <c r="V1143" t="s">
        <v>32</v>
      </c>
      <c r="W1143" t="s">
        <v>43</v>
      </c>
      <c r="X1143" s="4">
        <v>7.2</v>
      </c>
      <c r="Y1143">
        <v>6</v>
      </c>
      <c r="Z1143" s="5">
        <v>144.63999999999999</v>
      </c>
    </row>
    <row r="1144" spans="1:26">
      <c r="A1144">
        <v>1143</v>
      </c>
      <c r="B1144">
        <v>364</v>
      </c>
      <c r="C1144" s="2">
        <v>46105</v>
      </c>
      <c r="D1144" t="s">
        <v>35</v>
      </c>
      <c r="E1144">
        <v>3</v>
      </c>
      <c r="F1144" s="3">
        <v>11.91</v>
      </c>
      <c r="G1144" t="s">
        <v>36</v>
      </c>
      <c r="H1144">
        <v>61</v>
      </c>
      <c r="I1144" t="s">
        <v>28</v>
      </c>
      <c r="J1144" s="4">
        <v>66.400000000000006</v>
      </c>
      <c r="K1144" s="4">
        <v>118.2</v>
      </c>
      <c r="L1144" s="4">
        <v>18.8</v>
      </c>
      <c r="M1144">
        <v>15</v>
      </c>
      <c r="N1144" t="s">
        <v>56</v>
      </c>
      <c r="O1144">
        <v>5</v>
      </c>
      <c r="P1144" s="4">
        <v>332</v>
      </c>
      <c r="Q1144" t="s">
        <v>42</v>
      </c>
      <c r="R1144">
        <v>1</v>
      </c>
      <c r="S1144" t="s">
        <v>44</v>
      </c>
      <c r="T1144">
        <v>0</v>
      </c>
      <c r="U1144">
        <v>0</v>
      </c>
      <c r="V1144" t="s">
        <v>32</v>
      </c>
      <c r="W1144" t="s">
        <v>39</v>
      </c>
      <c r="X1144" s="4">
        <v>10.3</v>
      </c>
      <c r="Y1144">
        <v>10</v>
      </c>
      <c r="Z1144" s="5">
        <v>227.4</v>
      </c>
    </row>
    <row r="1145" spans="1:26">
      <c r="A1145">
        <v>1144</v>
      </c>
      <c r="B1145">
        <v>364</v>
      </c>
      <c r="C1145" s="2">
        <v>46105</v>
      </c>
      <c r="D1145" t="s">
        <v>35</v>
      </c>
      <c r="E1145">
        <v>3</v>
      </c>
      <c r="F1145" s="3">
        <v>11.88</v>
      </c>
      <c r="G1145" t="s">
        <v>36</v>
      </c>
      <c r="H1145">
        <v>63</v>
      </c>
      <c r="I1145" t="s">
        <v>28</v>
      </c>
      <c r="J1145" s="4">
        <v>68</v>
      </c>
      <c r="K1145" s="4">
        <v>189.8</v>
      </c>
      <c r="L1145" s="4">
        <v>29</v>
      </c>
      <c r="M1145">
        <v>17</v>
      </c>
      <c r="N1145" t="s">
        <v>56</v>
      </c>
      <c r="O1145">
        <v>5</v>
      </c>
      <c r="P1145" s="4">
        <v>332</v>
      </c>
      <c r="Q1145" t="s">
        <v>42</v>
      </c>
      <c r="R1145">
        <v>1</v>
      </c>
      <c r="S1145" t="s">
        <v>44</v>
      </c>
      <c r="T1145">
        <v>0</v>
      </c>
      <c r="U1145">
        <v>0</v>
      </c>
      <c r="V1145" t="s">
        <v>32</v>
      </c>
      <c r="W1145" t="s">
        <v>39</v>
      </c>
      <c r="X1145" s="4">
        <v>8.1</v>
      </c>
      <c r="Y1145">
        <v>8</v>
      </c>
      <c r="Z1145" s="5">
        <v>170.33</v>
      </c>
    </row>
    <row r="1146" spans="1:26">
      <c r="A1146">
        <v>1145</v>
      </c>
      <c r="B1146">
        <v>364</v>
      </c>
      <c r="C1146" s="2">
        <v>46105</v>
      </c>
      <c r="D1146" t="s">
        <v>35</v>
      </c>
      <c r="E1146">
        <v>3</v>
      </c>
      <c r="F1146" s="3">
        <v>11.78</v>
      </c>
      <c r="G1146" t="s">
        <v>36</v>
      </c>
      <c r="H1146">
        <v>33</v>
      </c>
      <c r="I1146" t="s">
        <v>34</v>
      </c>
      <c r="J1146" s="4">
        <v>62.5</v>
      </c>
      <c r="K1146" s="4">
        <v>117.9</v>
      </c>
      <c r="L1146" s="4">
        <v>21.1</v>
      </c>
      <c r="M1146">
        <v>16</v>
      </c>
      <c r="N1146" t="s">
        <v>56</v>
      </c>
      <c r="O1146">
        <v>5</v>
      </c>
      <c r="P1146" s="4">
        <v>332</v>
      </c>
      <c r="Q1146" t="s">
        <v>42</v>
      </c>
      <c r="R1146">
        <v>1</v>
      </c>
      <c r="S1146" t="s">
        <v>44</v>
      </c>
      <c r="T1146">
        <v>0</v>
      </c>
      <c r="U1146">
        <v>0</v>
      </c>
      <c r="V1146" t="s">
        <v>32</v>
      </c>
      <c r="W1146" t="s">
        <v>39</v>
      </c>
      <c r="X1146" s="4">
        <v>7.7</v>
      </c>
      <c r="Y1146">
        <v>10</v>
      </c>
      <c r="Z1146" s="5">
        <v>361.44</v>
      </c>
    </row>
    <row r="1147" spans="1:26">
      <c r="A1147">
        <v>1146</v>
      </c>
      <c r="B1147">
        <v>364</v>
      </c>
      <c r="C1147" s="2">
        <v>46105</v>
      </c>
      <c r="D1147" t="s">
        <v>35</v>
      </c>
      <c r="E1147">
        <v>3</v>
      </c>
      <c r="F1147" s="3">
        <v>11.79</v>
      </c>
      <c r="G1147" t="s">
        <v>36</v>
      </c>
      <c r="H1147">
        <v>42</v>
      </c>
      <c r="I1147" t="s">
        <v>34</v>
      </c>
      <c r="J1147" s="4">
        <v>63.3</v>
      </c>
      <c r="K1147" s="4">
        <v>167</v>
      </c>
      <c r="L1147" s="4">
        <v>29.3</v>
      </c>
      <c r="M1147">
        <v>16</v>
      </c>
      <c r="N1147" t="s">
        <v>56</v>
      </c>
      <c r="O1147">
        <v>5</v>
      </c>
      <c r="P1147" s="4">
        <v>332</v>
      </c>
      <c r="Q1147" t="s">
        <v>42</v>
      </c>
      <c r="R1147">
        <v>1</v>
      </c>
      <c r="S1147" t="s">
        <v>44</v>
      </c>
      <c r="T1147">
        <v>0</v>
      </c>
      <c r="U1147">
        <v>0</v>
      </c>
      <c r="V1147" t="s">
        <v>32</v>
      </c>
      <c r="W1147" t="s">
        <v>39</v>
      </c>
      <c r="X1147" s="4">
        <v>7.1</v>
      </c>
      <c r="Y1147">
        <v>10</v>
      </c>
      <c r="Z1147" s="5">
        <v>196.91</v>
      </c>
    </row>
    <row r="1148" spans="1:26">
      <c r="A1148">
        <v>1147</v>
      </c>
      <c r="B1148">
        <v>364</v>
      </c>
      <c r="C1148" s="2">
        <v>46105</v>
      </c>
      <c r="D1148" t="s">
        <v>35</v>
      </c>
      <c r="E1148">
        <v>3</v>
      </c>
      <c r="F1148" s="3">
        <v>12.01</v>
      </c>
      <c r="G1148" t="s">
        <v>36</v>
      </c>
      <c r="H1148">
        <v>18</v>
      </c>
      <c r="I1148" t="s">
        <v>28</v>
      </c>
      <c r="J1148" s="4">
        <v>68.900000000000006</v>
      </c>
      <c r="K1148" s="4">
        <v>233.6</v>
      </c>
      <c r="L1148" s="4">
        <v>34.5</v>
      </c>
      <c r="M1148">
        <v>9</v>
      </c>
      <c r="N1148" t="s">
        <v>56</v>
      </c>
      <c r="O1148">
        <v>5</v>
      </c>
      <c r="P1148" s="4">
        <v>332</v>
      </c>
      <c r="Q1148" t="s">
        <v>42</v>
      </c>
      <c r="R1148">
        <v>1</v>
      </c>
      <c r="S1148" t="s">
        <v>44</v>
      </c>
      <c r="T1148">
        <v>0</v>
      </c>
      <c r="U1148">
        <v>0</v>
      </c>
      <c r="V1148" t="s">
        <v>32</v>
      </c>
      <c r="W1148" t="s">
        <v>39</v>
      </c>
      <c r="X1148" s="4">
        <v>7</v>
      </c>
      <c r="Y1148">
        <v>9</v>
      </c>
      <c r="Z1148" s="5">
        <v>285.56</v>
      </c>
    </row>
    <row r="1149" spans="1:26">
      <c r="A1149">
        <v>1148</v>
      </c>
      <c r="B1149">
        <v>365</v>
      </c>
      <c r="C1149" s="2">
        <v>46100</v>
      </c>
      <c r="D1149" t="s">
        <v>55</v>
      </c>
      <c r="E1149">
        <v>3</v>
      </c>
      <c r="F1149" s="3">
        <v>10.77</v>
      </c>
      <c r="G1149" t="s">
        <v>27</v>
      </c>
      <c r="H1149">
        <v>75</v>
      </c>
      <c r="I1149" t="s">
        <v>28</v>
      </c>
      <c r="J1149" s="4">
        <v>60.6</v>
      </c>
      <c r="K1149" s="4">
        <v>161.5</v>
      </c>
      <c r="L1149" s="4">
        <v>30.8</v>
      </c>
      <c r="M1149">
        <v>18</v>
      </c>
      <c r="N1149" t="s">
        <v>50</v>
      </c>
      <c r="O1149">
        <v>2</v>
      </c>
      <c r="P1149" s="4">
        <v>398.6</v>
      </c>
      <c r="Q1149" t="s">
        <v>42</v>
      </c>
      <c r="R1149">
        <v>0</v>
      </c>
      <c r="S1149" t="s">
        <v>44</v>
      </c>
      <c r="T1149">
        <v>0</v>
      </c>
      <c r="U1149">
        <v>0</v>
      </c>
      <c r="V1149" t="s">
        <v>32</v>
      </c>
      <c r="W1149" t="s">
        <v>43</v>
      </c>
      <c r="X1149" s="4">
        <v>6.2</v>
      </c>
      <c r="Y1149">
        <v>5</v>
      </c>
      <c r="Z1149" s="5">
        <v>131.82</v>
      </c>
    </row>
    <row r="1150" spans="1:26">
      <c r="A1150">
        <v>1149</v>
      </c>
      <c r="B1150">
        <v>365</v>
      </c>
      <c r="C1150" s="2">
        <v>46100</v>
      </c>
      <c r="D1150" t="s">
        <v>55</v>
      </c>
      <c r="E1150">
        <v>3</v>
      </c>
      <c r="F1150" s="3">
        <v>10.78</v>
      </c>
      <c r="G1150" t="s">
        <v>27</v>
      </c>
      <c r="H1150">
        <v>67</v>
      </c>
      <c r="I1150" t="s">
        <v>28</v>
      </c>
      <c r="J1150" s="4">
        <v>72</v>
      </c>
      <c r="K1150" s="4">
        <v>214.1</v>
      </c>
      <c r="L1150" s="4">
        <v>29</v>
      </c>
      <c r="M1150">
        <v>14</v>
      </c>
      <c r="N1150" t="s">
        <v>50</v>
      </c>
      <c r="O1150">
        <v>2</v>
      </c>
      <c r="P1150" s="4">
        <v>398.6</v>
      </c>
      <c r="Q1150" t="s">
        <v>42</v>
      </c>
      <c r="R1150">
        <v>0</v>
      </c>
      <c r="S1150" t="s">
        <v>44</v>
      </c>
      <c r="T1150">
        <v>0</v>
      </c>
      <c r="U1150">
        <v>0</v>
      </c>
      <c r="V1150" t="s">
        <v>32</v>
      </c>
      <c r="W1150" t="s">
        <v>43</v>
      </c>
      <c r="X1150" s="4">
        <v>5.3</v>
      </c>
      <c r="Y1150">
        <v>4</v>
      </c>
      <c r="Z1150" s="5">
        <v>174.92</v>
      </c>
    </row>
    <row r="1151" spans="1:26">
      <c r="A1151">
        <v>1150</v>
      </c>
      <c r="B1151">
        <v>366</v>
      </c>
      <c r="C1151" s="2">
        <v>46294</v>
      </c>
      <c r="D1151" t="s">
        <v>35</v>
      </c>
      <c r="E1151">
        <v>9</v>
      </c>
      <c r="F1151" s="3">
        <v>11.48</v>
      </c>
      <c r="G1151" t="s">
        <v>36</v>
      </c>
      <c r="H1151">
        <v>28</v>
      </c>
      <c r="I1151" t="s">
        <v>34</v>
      </c>
      <c r="J1151" s="4">
        <v>65.3</v>
      </c>
      <c r="K1151" s="4">
        <v>166.9</v>
      </c>
      <c r="L1151" s="4">
        <v>27.5</v>
      </c>
      <c r="M1151">
        <v>18</v>
      </c>
      <c r="N1151" t="s">
        <v>29</v>
      </c>
      <c r="O1151">
        <v>1</v>
      </c>
      <c r="P1151" s="4">
        <v>1982.9</v>
      </c>
      <c r="Q1151" t="s">
        <v>48</v>
      </c>
      <c r="R1151">
        <v>0</v>
      </c>
      <c r="S1151" t="s">
        <v>44</v>
      </c>
      <c r="T1151">
        <v>0</v>
      </c>
      <c r="U1151">
        <v>1</v>
      </c>
      <c r="V1151" t="s">
        <v>32</v>
      </c>
      <c r="W1151" t="s">
        <v>33</v>
      </c>
      <c r="X1151" s="4">
        <v>9.8000000000000007</v>
      </c>
      <c r="Y1151">
        <v>14</v>
      </c>
      <c r="Z1151" s="5">
        <v>501.74</v>
      </c>
    </row>
    <row r="1152" spans="1:26">
      <c r="A1152">
        <v>1151</v>
      </c>
      <c r="B1152">
        <v>367</v>
      </c>
      <c r="C1152" s="2">
        <v>46111</v>
      </c>
      <c r="D1152" t="s">
        <v>46</v>
      </c>
      <c r="E1152">
        <v>3</v>
      </c>
      <c r="F1152" s="3">
        <v>9.69</v>
      </c>
      <c r="G1152" t="s">
        <v>27</v>
      </c>
      <c r="H1152">
        <v>44</v>
      </c>
      <c r="I1152" t="s">
        <v>28</v>
      </c>
      <c r="J1152" s="4">
        <v>69.3</v>
      </c>
      <c r="K1152" s="4">
        <v>184.4</v>
      </c>
      <c r="L1152" s="4">
        <v>26.9</v>
      </c>
      <c r="M1152">
        <v>19</v>
      </c>
      <c r="N1152" t="s">
        <v>56</v>
      </c>
      <c r="O1152">
        <v>2</v>
      </c>
      <c r="P1152" s="4">
        <v>303.10000000000002</v>
      </c>
      <c r="Q1152" t="s">
        <v>48</v>
      </c>
      <c r="R1152">
        <v>0</v>
      </c>
      <c r="S1152" t="s">
        <v>38</v>
      </c>
      <c r="T1152">
        <v>1</v>
      </c>
      <c r="U1152">
        <v>0</v>
      </c>
      <c r="V1152" t="s">
        <v>32</v>
      </c>
      <c r="W1152" t="s">
        <v>49</v>
      </c>
      <c r="X1152" s="4">
        <v>9.3000000000000007</v>
      </c>
      <c r="Y1152">
        <v>10</v>
      </c>
      <c r="Z1152" s="5">
        <v>227.85</v>
      </c>
    </row>
    <row r="1153" spans="1:26">
      <c r="A1153">
        <v>1152</v>
      </c>
      <c r="B1153">
        <v>367</v>
      </c>
      <c r="C1153" s="2">
        <v>46111</v>
      </c>
      <c r="D1153" t="s">
        <v>46</v>
      </c>
      <c r="E1153">
        <v>3</v>
      </c>
      <c r="F1153" s="3">
        <v>9.6300000000000008</v>
      </c>
      <c r="G1153" t="s">
        <v>27</v>
      </c>
      <c r="H1153">
        <v>72</v>
      </c>
      <c r="I1153" t="s">
        <v>28</v>
      </c>
      <c r="J1153" s="4">
        <v>67.2</v>
      </c>
      <c r="K1153" s="4">
        <v>217.2</v>
      </c>
      <c r="L1153" s="4">
        <v>33.799999999999997</v>
      </c>
      <c r="M1153">
        <v>15</v>
      </c>
      <c r="N1153" t="s">
        <v>56</v>
      </c>
      <c r="O1153">
        <v>2</v>
      </c>
      <c r="P1153" s="4">
        <v>303.10000000000002</v>
      </c>
      <c r="Q1153" t="s">
        <v>48</v>
      </c>
      <c r="R1153">
        <v>0</v>
      </c>
      <c r="S1153" t="s">
        <v>38</v>
      </c>
      <c r="T1153">
        <v>1</v>
      </c>
      <c r="U1153">
        <v>0</v>
      </c>
      <c r="V1153" t="s">
        <v>32</v>
      </c>
      <c r="W1153" t="s">
        <v>49</v>
      </c>
      <c r="X1153" s="4">
        <v>7.3</v>
      </c>
      <c r="Y1153">
        <v>12</v>
      </c>
      <c r="Z1153" s="5">
        <v>234.76</v>
      </c>
    </row>
    <row r="1154" spans="1:26">
      <c r="A1154">
        <v>1153</v>
      </c>
      <c r="B1154">
        <v>368</v>
      </c>
      <c r="C1154" s="2">
        <v>46066</v>
      </c>
      <c r="D1154" t="s">
        <v>26</v>
      </c>
      <c r="E1154">
        <v>2</v>
      </c>
      <c r="F1154" s="3">
        <v>8.74</v>
      </c>
      <c r="G1154" t="s">
        <v>27</v>
      </c>
      <c r="H1154">
        <v>18</v>
      </c>
      <c r="I1154" t="s">
        <v>34</v>
      </c>
      <c r="J1154" s="4">
        <v>62.6</v>
      </c>
      <c r="K1154" s="4">
        <v>128.30000000000001</v>
      </c>
      <c r="L1154" s="4">
        <v>23.4</v>
      </c>
      <c r="M1154">
        <v>11</v>
      </c>
      <c r="N1154" t="s">
        <v>47</v>
      </c>
      <c r="O1154">
        <v>1</v>
      </c>
      <c r="P1154" s="4">
        <v>83.3</v>
      </c>
      <c r="Q1154" t="s">
        <v>48</v>
      </c>
      <c r="R1154">
        <v>1</v>
      </c>
      <c r="S1154" t="s">
        <v>38</v>
      </c>
      <c r="T1154">
        <v>1</v>
      </c>
      <c r="U1154">
        <v>1</v>
      </c>
      <c r="V1154" t="s">
        <v>32</v>
      </c>
      <c r="W1154" t="s">
        <v>49</v>
      </c>
      <c r="X1154" s="4">
        <v>9.8000000000000007</v>
      </c>
      <c r="Y1154">
        <v>12</v>
      </c>
      <c r="Z1154" s="5">
        <v>588.44000000000005</v>
      </c>
    </row>
    <row r="1155" spans="1:26">
      <c r="A1155">
        <v>1154</v>
      </c>
      <c r="B1155">
        <v>369</v>
      </c>
      <c r="C1155" s="2">
        <v>46030</v>
      </c>
      <c r="D1155" t="s">
        <v>55</v>
      </c>
      <c r="E1155">
        <v>1</v>
      </c>
      <c r="F1155" s="3">
        <v>7</v>
      </c>
      <c r="G1155" t="s">
        <v>27</v>
      </c>
      <c r="H1155">
        <v>49</v>
      </c>
      <c r="I1155" t="s">
        <v>28</v>
      </c>
      <c r="J1155" s="4">
        <v>66.5</v>
      </c>
      <c r="K1155" s="4">
        <v>123.9</v>
      </c>
      <c r="L1155" s="4">
        <v>19.600000000000001</v>
      </c>
      <c r="M1155">
        <v>16</v>
      </c>
      <c r="N1155" t="s">
        <v>29</v>
      </c>
      <c r="O1155">
        <v>3</v>
      </c>
      <c r="P1155" s="4">
        <v>2500.5</v>
      </c>
      <c r="Q1155" t="s">
        <v>42</v>
      </c>
      <c r="R1155">
        <v>1</v>
      </c>
      <c r="S1155" t="s">
        <v>31</v>
      </c>
      <c r="T1155">
        <v>0</v>
      </c>
      <c r="U1155">
        <v>0</v>
      </c>
      <c r="V1155" t="s">
        <v>32</v>
      </c>
      <c r="W1155" t="s">
        <v>49</v>
      </c>
      <c r="X1155" s="4">
        <v>9.9</v>
      </c>
      <c r="Y1155">
        <v>11</v>
      </c>
      <c r="Z1155" s="5">
        <v>232.21</v>
      </c>
    </row>
    <row r="1156" spans="1:26">
      <c r="A1156">
        <v>1155</v>
      </c>
      <c r="B1156">
        <v>369</v>
      </c>
      <c r="C1156" s="2">
        <v>46030</v>
      </c>
      <c r="D1156" t="s">
        <v>55</v>
      </c>
      <c r="E1156">
        <v>1</v>
      </c>
      <c r="F1156" s="3">
        <v>7</v>
      </c>
      <c r="G1156" t="s">
        <v>27</v>
      </c>
      <c r="H1156">
        <v>74</v>
      </c>
      <c r="I1156" t="s">
        <v>34</v>
      </c>
      <c r="J1156" s="4">
        <v>65</v>
      </c>
      <c r="K1156" s="4">
        <v>175.6</v>
      </c>
      <c r="L1156" s="4">
        <v>29.4</v>
      </c>
      <c r="M1156">
        <v>13</v>
      </c>
      <c r="N1156" t="s">
        <v>29</v>
      </c>
      <c r="O1156">
        <v>3</v>
      </c>
      <c r="P1156" s="4">
        <v>2500.5</v>
      </c>
      <c r="Q1156" t="s">
        <v>42</v>
      </c>
      <c r="R1156">
        <v>1</v>
      </c>
      <c r="S1156" t="s">
        <v>31</v>
      </c>
      <c r="T1156">
        <v>0</v>
      </c>
      <c r="U1156">
        <v>0</v>
      </c>
      <c r="V1156" t="s">
        <v>32</v>
      </c>
      <c r="W1156" t="s">
        <v>49</v>
      </c>
      <c r="X1156" s="4">
        <v>6.9</v>
      </c>
      <c r="Y1156">
        <v>6</v>
      </c>
      <c r="Z1156" s="5">
        <v>104.7</v>
      </c>
    </row>
    <row r="1157" spans="1:26">
      <c r="A1157">
        <v>1156</v>
      </c>
      <c r="B1157">
        <v>369</v>
      </c>
      <c r="C1157" s="2">
        <v>46030</v>
      </c>
      <c r="D1157" t="s">
        <v>55</v>
      </c>
      <c r="E1157">
        <v>1</v>
      </c>
      <c r="F1157" s="3">
        <v>7.06</v>
      </c>
      <c r="G1157" t="s">
        <v>27</v>
      </c>
      <c r="H1157">
        <v>66</v>
      </c>
      <c r="I1157" t="s">
        <v>28</v>
      </c>
      <c r="J1157" s="4">
        <v>69.3</v>
      </c>
      <c r="K1157" s="4">
        <v>160.30000000000001</v>
      </c>
      <c r="L1157" s="4">
        <v>23.1</v>
      </c>
      <c r="M1157">
        <v>19</v>
      </c>
      <c r="N1157" t="s">
        <v>29</v>
      </c>
      <c r="O1157">
        <v>3</v>
      </c>
      <c r="P1157" s="4">
        <v>2500.5</v>
      </c>
      <c r="Q1157" t="s">
        <v>42</v>
      </c>
      <c r="R1157">
        <v>1</v>
      </c>
      <c r="S1157" t="s">
        <v>31</v>
      </c>
      <c r="T1157">
        <v>0</v>
      </c>
      <c r="U1157">
        <v>0</v>
      </c>
      <c r="V1157" t="s">
        <v>32</v>
      </c>
      <c r="W1157" t="s">
        <v>49</v>
      </c>
      <c r="X1157" s="4">
        <v>10.9</v>
      </c>
      <c r="Y1157">
        <v>16</v>
      </c>
      <c r="Z1157" s="5">
        <v>334.86</v>
      </c>
    </row>
    <row r="1158" spans="1:26">
      <c r="A1158">
        <v>1157</v>
      </c>
      <c r="B1158">
        <v>370</v>
      </c>
      <c r="C1158" s="2">
        <v>46279</v>
      </c>
      <c r="D1158" t="s">
        <v>46</v>
      </c>
      <c r="E1158">
        <v>9</v>
      </c>
      <c r="F1158" s="3">
        <v>10.02</v>
      </c>
      <c r="G1158" t="s">
        <v>27</v>
      </c>
      <c r="H1158">
        <v>27</v>
      </c>
      <c r="I1158" t="s">
        <v>28</v>
      </c>
      <c r="J1158" s="4">
        <v>68.900000000000006</v>
      </c>
      <c r="K1158" s="4">
        <v>114.3</v>
      </c>
      <c r="L1158" s="4">
        <v>17</v>
      </c>
      <c r="M1158">
        <v>13</v>
      </c>
      <c r="N1158" t="s">
        <v>66</v>
      </c>
      <c r="O1158">
        <v>4</v>
      </c>
      <c r="P1158" s="4">
        <v>576.79999999999995</v>
      </c>
      <c r="Q1158" t="s">
        <v>30</v>
      </c>
      <c r="R1158">
        <v>1</v>
      </c>
      <c r="S1158" t="s">
        <v>44</v>
      </c>
      <c r="T1158">
        <v>1</v>
      </c>
      <c r="U1158">
        <v>0</v>
      </c>
      <c r="V1158" t="s">
        <v>32</v>
      </c>
      <c r="W1158" t="s">
        <v>43</v>
      </c>
      <c r="X1158" s="4">
        <v>8.1</v>
      </c>
      <c r="Y1158">
        <v>6</v>
      </c>
      <c r="Z1158" s="5">
        <v>185.58</v>
      </c>
    </row>
    <row r="1159" spans="1:26">
      <c r="A1159">
        <v>1158</v>
      </c>
      <c r="B1159">
        <v>370</v>
      </c>
      <c r="C1159" s="2">
        <v>46279</v>
      </c>
      <c r="D1159" t="s">
        <v>46</v>
      </c>
      <c r="E1159">
        <v>9</v>
      </c>
      <c r="F1159" s="3">
        <v>10.06</v>
      </c>
      <c r="G1159" t="s">
        <v>27</v>
      </c>
      <c r="H1159">
        <v>75</v>
      </c>
      <c r="I1159" t="s">
        <v>28</v>
      </c>
      <c r="J1159" s="4">
        <v>69.900000000000006</v>
      </c>
      <c r="K1159" s="4">
        <v>182</v>
      </c>
      <c r="L1159" s="4">
        <v>26.2</v>
      </c>
      <c r="M1159">
        <v>14</v>
      </c>
      <c r="N1159" t="s">
        <v>66</v>
      </c>
      <c r="O1159">
        <v>4</v>
      </c>
      <c r="P1159" s="4">
        <v>576.79999999999995</v>
      </c>
      <c r="Q1159" t="s">
        <v>30</v>
      </c>
      <c r="R1159">
        <v>1</v>
      </c>
      <c r="S1159" t="s">
        <v>44</v>
      </c>
      <c r="T1159">
        <v>1</v>
      </c>
      <c r="U1159">
        <v>0</v>
      </c>
      <c r="V1159" t="s">
        <v>32</v>
      </c>
      <c r="W1159" t="s">
        <v>43</v>
      </c>
      <c r="X1159" s="4">
        <v>9</v>
      </c>
      <c r="Y1159">
        <v>8</v>
      </c>
      <c r="Z1159" s="5">
        <v>239.16</v>
      </c>
    </row>
    <row r="1160" spans="1:26">
      <c r="A1160">
        <v>1159</v>
      </c>
      <c r="B1160">
        <v>370</v>
      </c>
      <c r="C1160" s="2">
        <v>46279</v>
      </c>
      <c r="D1160" t="s">
        <v>46</v>
      </c>
      <c r="E1160">
        <v>9</v>
      </c>
      <c r="F1160" s="3">
        <v>9.7899999999999991</v>
      </c>
      <c r="G1160" t="s">
        <v>27</v>
      </c>
      <c r="H1160">
        <v>48</v>
      </c>
      <c r="I1160" t="s">
        <v>28</v>
      </c>
      <c r="J1160" s="4">
        <v>70.3</v>
      </c>
      <c r="K1160" s="4">
        <v>256.3</v>
      </c>
      <c r="L1160" s="4">
        <v>36.4</v>
      </c>
      <c r="M1160">
        <v>14</v>
      </c>
      <c r="N1160" t="s">
        <v>66</v>
      </c>
      <c r="O1160">
        <v>4</v>
      </c>
      <c r="P1160" s="4">
        <v>576.79999999999995</v>
      </c>
      <c r="Q1160" t="s">
        <v>30</v>
      </c>
      <c r="R1160">
        <v>1</v>
      </c>
      <c r="S1160" t="s">
        <v>44</v>
      </c>
      <c r="T1160">
        <v>1</v>
      </c>
      <c r="U1160">
        <v>0</v>
      </c>
      <c r="V1160" t="s">
        <v>32</v>
      </c>
      <c r="W1160" t="s">
        <v>43</v>
      </c>
      <c r="X1160" s="4">
        <v>9.9</v>
      </c>
      <c r="Y1160">
        <v>10</v>
      </c>
      <c r="Z1160" s="5">
        <v>287.35000000000002</v>
      </c>
    </row>
    <row r="1161" spans="1:26">
      <c r="A1161">
        <v>1160</v>
      </c>
      <c r="B1161">
        <v>370</v>
      </c>
      <c r="C1161" s="2">
        <v>46279</v>
      </c>
      <c r="D1161" t="s">
        <v>46</v>
      </c>
      <c r="E1161">
        <v>9</v>
      </c>
      <c r="F1161" s="3">
        <v>9.86</v>
      </c>
      <c r="G1161" t="s">
        <v>27</v>
      </c>
      <c r="H1161">
        <v>31</v>
      </c>
      <c r="I1161" t="s">
        <v>28</v>
      </c>
      <c r="J1161" s="4">
        <v>68.3</v>
      </c>
      <c r="K1161" s="4">
        <v>180.6</v>
      </c>
      <c r="L1161" s="4">
        <v>27.1</v>
      </c>
      <c r="M1161">
        <v>9</v>
      </c>
      <c r="N1161" t="s">
        <v>66</v>
      </c>
      <c r="O1161">
        <v>4</v>
      </c>
      <c r="P1161" s="4">
        <v>576.79999999999995</v>
      </c>
      <c r="Q1161" t="s">
        <v>30</v>
      </c>
      <c r="R1161">
        <v>1</v>
      </c>
      <c r="S1161" t="s">
        <v>44</v>
      </c>
      <c r="T1161">
        <v>1</v>
      </c>
      <c r="U1161">
        <v>0</v>
      </c>
      <c r="V1161" t="s">
        <v>32</v>
      </c>
      <c r="W1161" t="s">
        <v>43</v>
      </c>
      <c r="X1161" s="4">
        <v>7.5</v>
      </c>
      <c r="Y1161">
        <v>10</v>
      </c>
      <c r="Z1161" s="5">
        <v>267.32</v>
      </c>
    </row>
    <row r="1162" spans="1:26">
      <c r="A1162">
        <v>1161</v>
      </c>
      <c r="B1162">
        <v>371</v>
      </c>
      <c r="C1162" s="2">
        <v>46032</v>
      </c>
      <c r="D1162" t="s">
        <v>40</v>
      </c>
      <c r="E1162">
        <v>1</v>
      </c>
      <c r="F1162" s="3">
        <v>8.48</v>
      </c>
      <c r="G1162" t="s">
        <v>27</v>
      </c>
      <c r="H1162">
        <v>11</v>
      </c>
      <c r="I1162" t="s">
        <v>28</v>
      </c>
      <c r="J1162" s="4">
        <v>68.900000000000006</v>
      </c>
      <c r="K1162" s="4">
        <v>122.5</v>
      </c>
      <c r="L1162" s="4">
        <v>18</v>
      </c>
      <c r="M1162">
        <v>11</v>
      </c>
      <c r="N1162" t="s">
        <v>66</v>
      </c>
      <c r="O1162">
        <v>1</v>
      </c>
      <c r="P1162" s="4">
        <v>659.4</v>
      </c>
      <c r="Q1162" t="s">
        <v>42</v>
      </c>
      <c r="R1162">
        <v>0</v>
      </c>
      <c r="S1162" t="s">
        <v>31</v>
      </c>
      <c r="T1162">
        <v>1</v>
      </c>
      <c r="U1162">
        <v>0</v>
      </c>
      <c r="V1162" t="s">
        <v>32</v>
      </c>
      <c r="W1162" t="s">
        <v>43</v>
      </c>
      <c r="X1162" s="4">
        <v>10.3</v>
      </c>
      <c r="Y1162">
        <v>11</v>
      </c>
      <c r="Z1162" s="5">
        <v>267.08999999999997</v>
      </c>
    </row>
    <row r="1163" spans="1:26">
      <c r="A1163">
        <v>1162</v>
      </c>
      <c r="B1163">
        <v>372</v>
      </c>
      <c r="C1163" s="2">
        <v>46042</v>
      </c>
      <c r="D1163" t="s">
        <v>35</v>
      </c>
      <c r="E1163">
        <v>1</v>
      </c>
      <c r="F1163" s="3">
        <v>9.44</v>
      </c>
      <c r="G1163" t="s">
        <v>27</v>
      </c>
      <c r="H1163">
        <v>67</v>
      </c>
      <c r="I1163" t="s">
        <v>34</v>
      </c>
      <c r="J1163" s="4">
        <v>65.599999999999994</v>
      </c>
      <c r="K1163" s="4">
        <v>175.6</v>
      </c>
      <c r="L1163" s="4">
        <v>28.9</v>
      </c>
      <c r="M1163">
        <v>17</v>
      </c>
      <c r="N1163" t="s">
        <v>47</v>
      </c>
      <c r="O1163">
        <v>3</v>
      </c>
      <c r="P1163" s="4">
        <v>45.5</v>
      </c>
      <c r="Q1163" t="s">
        <v>42</v>
      </c>
      <c r="R1163">
        <v>1</v>
      </c>
      <c r="S1163" t="s">
        <v>44</v>
      </c>
      <c r="T1163">
        <v>0</v>
      </c>
      <c r="U1163">
        <v>1</v>
      </c>
      <c r="V1163" t="s">
        <v>45</v>
      </c>
      <c r="W1163" t="s">
        <v>33</v>
      </c>
      <c r="X1163" s="4">
        <v>7.6</v>
      </c>
      <c r="Y1163">
        <v>11</v>
      </c>
      <c r="Z1163" s="5">
        <v>325.69</v>
      </c>
    </row>
    <row r="1164" spans="1:26">
      <c r="A1164">
        <v>1163</v>
      </c>
      <c r="B1164">
        <v>372</v>
      </c>
      <c r="C1164" s="2">
        <v>46042</v>
      </c>
      <c r="D1164" t="s">
        <v>35</v>
      </c>
      <c r="E1164">
        <v>1</v>
      </c>
      <c r="F1164" s="3">
        <v>10.08</v>
      </c>
      <c r="G1164" t="s">
        <v>27</v>
      </c>
      <c r="H1164">
        <v>25</v>
      </c>
      <c r="I1164" t="s">
        <v>28</v>
      </c>
      <c r="J1164" s="4">
        <v>72</v>
      </c>
      <c r="K1164" s="4">
        <v>214.9</v>
      </c>
      <c r="L1164" s="4">
        <v>29.3</v>
      </c>
      <c r="M1164">
        <v>11</v>
      </c>
      <c r="N1164" t="s">
        <v>47</v>
      </c>
      <c r="O1164">
        <v>3</v>
      </c>
      <c r="P1164" s="4">
        <v>45.5</v>
      </c>
      <c r="Q1164" t="s">
        <v>42</v>
      </c>
      <c r="R1164">
        <v>1</v>
      </c>
      <c r="S1164" t="s">
        <v>44</v>
      </c>
      <c r="T1164">
        <v>0</v>
      </c>
      <c r="U1164">
        <v>1</v>
      </c>
      <c r="V1164" t="s">
        <v>45</v>
      </c>
      <c r="W1164" t="s">
        <v>33</v>
      </c>
      <c r="X1164" s="4">
        <v>9.1</v>
      </c>
      <c r="Y1164">
        <v>7</v>
      </c>
      <c r="Z1164" s="5">
        <v>215.84</v>
      </c>
    </row>
    <row r="1165" spans="1:26">
      <c r="A1165">
        <v>1164</v>
      </c>
      <c r="B1165">
        <v>372</v>
      </c>
      <c r="C1165" s="2">
        <v>46042</v>
      </c>
      <c r="D1165" t="s">
        <v>35</v>
      </c>
      <c r="E1165">
        <v>1</v>
      </c>
      <c r="F1165" s="3">
        <v>9.81</v>
      </c>
      <c r="G1165" t="s">
        <v>27</v>
      </c>
      <c r="H1165">
        <v>54</v>
      </c>
      <c r="I1165" t="s">
        <v>34</v>
      </c>
      <c r="J1165" s="4">
        <v>61.8</v>
      </c>
      <c r="K1165" s="4">
        <v>187.1</v>
      </c>
      <c r="L1165" s="4">
        <v>34.5</v>
      </c>
      <c r="M1165">
        <v>14</v>
      </c>
      <c r="N1165" t="s">
        <v>47</v>
      </c>
      <c r="O1165">
        <v>3</v>
      </c>
      <c r="P1165" s="4">
        <v>45.5</v>
      </c>
      <c r="Q1165" t="s">
        <v>42</v>
      </c>
      <c r="R1165">
        <v>1</v>
      </c>
      <c r="S1165" t="s">
        <v>44</v>
      </c>
      <c r="T1165">
        <v>0</v>
      </c>
      <c r="U1165">
        <v>1</v>
      </c>
      <c r="V1165" t="s">
        <v>45</v>
      </c>
      <c r="W1165" t="s">
        <v>33</v>
      </c>
      <c r="X1165" s="4">
        <v>9.8000000000000007</v>
      </c>
      <c r="Y1165">
        <v>5</v>
      </c>
      <c r="Z1165" s="5">
        <v>353.22</v>
      </c>
    </row>
    <row r="1166" spans="1:26">
      <c r="A1166">
        <v>1165</v>
      </c>
      <c r="B1166">
        <v>373</v>
      </c>
      <c r="C1166" s="2">
        <v>46225</v>
      </c>
      <c r="D1166" t="s">
        <v>52</v>
      </c>
      <c r="E1166">
        <v>7</v>
      </c>
      <c r="F1166" s="3">
        <v>9.57</v>
      </c>
      <c r="G1166" t="s">
        <v>27</v>
      </c>
      <c r="H1166">
        <v>45</v>
      </c>
      <c r="I1166" t="s">
        <v>28</v>
      </c>
      <c r="J1166" s="4">
        <v>66.7</v>
      </c>
      <c r="K1166" s="4">
        <v>150.9</v>
      </c>
      <c r="L1166" s="4">
        <v>23.5</v>
      </c>
      <c r="M1166">
        <v>19</v>
      </c>
      <c r="N1166" t="s">
        <v>53</v>
      </c>
      <c r="O1166">
        <v>3</v>
      </c>
      <c r="P1166" s="4">
        <v>1521.8</v>
      </c>
      <c r="Q1166" t="s">
        <v>42</v>
      </c>
      <c r="R1166">
        <v>1</v>
      </c>
      <c r="S1166" t="s">
        <v>31</v>
      </c>
      <c r="T1166">
        <v>0</v>
      </c>
      <c r="U1166">
        <v>1</v>
      </c>
      <c r="V1166" t="s">
        <v>32</v>
      </c>
      <c r="W1166" t="s">
        <v>33</v>
      </c>
      <c r="X1166" s="4">
        <v>9.1</v>
      </c>
      <c r="Y1166">
        <v>8</v>
      </c>
      <c r="Z1166" s="5">
        <v>198.49</v>
      </c>
    </row>
    <row r="1167" spans="1:26">
      <c r="A1167">
        <v>1166</v>
      </c>
      <c r="B1167">
        <v>373</v>
      </c>
      <c r="C1167" s="2">
        <v>46225</v>
      </c>
      <c r="D1167" t="s">
        <v>52</v>
      </c>
      <c r="E1167">
        <v>7</v>
      </c>
      <c r="F1167" s="3">
        <v>9.25</v>
      </c>
      <c r="G1167" t="s">
        <v>27</v>
      </c>
      <c r="H1167">
        <v>72</v>
      </c>
      <c r="I1167" t="s">
        <v>28</v>
      </c>
      <c r="J1167" s="4">
        <v>72.099999999999994</v>
      </c>
      <c r="K1167" s="4">
        <v>172.5</v>
      </c>
      <c r="L1167" s="4">
        <v>23.1</v>
      </c>
      <c r="M1167">
        <v>15</v>
      </c>
      <c r="N1167" t="s">
        <v>53</v>
      </c>
      <c r="O1167">
        <v>3</v>
      </c>
      <c r="P1167" s="4">
        <v>1521.8</v>
      </c>
      <c r="Q1167" t="s">
        <v>42</v>
      </c>
      <c r="R1167">
        <v>1</v>
      </c>
      <c r="S1167" t="s">
        <v>31</v>
      </c>
      <c r="T1167">
        <v>0</v>
      </c>
      <c r="U1167">
        <v>1</v>
      </c>
      <c r="V1167" t="s">
        <v>32</v>
      </c>
      <c r="W1167" t="s">
        <v>33</v>
      </c>
      <c r="X1167" s="4">
        <v>9.9</v>
      </c>
      <c r="Y1167">
        <v>8</v>
      </c>
      <c r="Z1167" s="5">
        <v>300.10000000000002</v>
      </c>
    </row>
    <row r="1168" spans="1:26">
      <c r="A1168">
        <v>1167</v>
      </c>
      <c r="B1168">
        <v>373</v>
      </c>
      <c r="C1168" s="2">
        <v>46225</v>
      </c>
      <c r="D1168" t="s">
        <v>52</v>
      </c>
      <c r="E1168">
        <v>7</v>
      </c>
      <c r="F1168" s="3">
        <v>9.2899999999999991</v>
      </c>
      <c r="G1168" t="s">
        <v>27</v>
      </c>
      <c r="H1168">
        <v>57</v>
      </c>
      <c r="I1168" t="s">
        <v>34</v>
      </c>
      <c r="J1168" s="4">
        <v>65.5</v>
      </c>
      <c r="K1168" s="4">
        <v>160</v>
      </c>
      <c r="L1168" s="4">
        <v>26.3</v>
      </c>
      <c r="M1168">
        <v>13</v>
      </c>
      <c r="N1168" t="s">
        <v>53</v>
      </c>
      <c r="O1168">
        <v>3</v>
      </c>
      <c r="P1168" s="4">
        <v>1521.8</v>
      </c>
      <c r="Q1168" t="s">
        <v>42</v>
      </c>
      <c r="R1168">
        <v>1</v>
      </c>
      <c r="S1168" t="s">
        <v>31</v>
      </c>
      <c r="T1168">
        <v>0</v>
      </c>
      <c r="U1168">
        <v>1</v>
      </c>
      <c r="V1168" t="s">
        <v>32</v>
      </c>
      <c r="W1168" t="s">
        <v>33</v>
      </c>
      <c r="X1168" s="4">
        <v>11.4</v>
      </c>
      <c r="Y1168">
        <v>12</v>
      </c>
      <c r="Z1168" s="5">
        <v>259.76</v>
      </c>
    </row>
    <row r="1169" spans="1:26">
      <c r="A1169">
        <v>1168</v>
      </c>
      <c r="B1169">
        <v>374</v>
      </c>
      <c r="C1169" s="2">
        <v>46295</v>
      </c>
      <c r="D1169" t="s">
        <v>52</v>
      </c>
      <c r="E1169">
        <v>9</v>
      </c>
      <c r="F1169" s="3">
        <v>9.64</v>
      </c>
      <c r="G1169" t="s">
        <v>27</v>
      </c>
      <c r="H1169">
        <v>26</v>
      </c>
      <c r="I1169" t="s">
        <v>34</v>
      </c>
      <c r="J1169" s="4">
        <v>61</v>
      </c>
      <c r="K1169" s="4">
        <v>109.3</v>
      </c>
      <c r="L1169" s="4">
        <v>20.5</v>
      </c>
      <c r="M1169">
        <v>16</v>
      </c>
      <c r="N1169" t="s">
        <v>69</v>
      </c>
      <c r="O1169">
        <v>3</v>
      </c>
      <c r="P1169" s="4">
        <v>1879.3</v>
      </c>
      <c r="Q1169" t="s">
        <v>48</v>
      </c>
      <c r="R1169">
        <v>1</v>
      </c>
      <c r="S1169" t="s">
        <v>44</v>
      </c>
      <c r="T1169">
        <v>0</v>
      </c>
      <c r="U1169">
        <v>0</v>
      </c>
      <c r="V1169" t="s">
        <v>32</v>
      </c>
      <c r="W1169" t="s">
        <v>39</v>
      </c>
      <c r="X1169" s="4">
        <v>7.7</v>
      </c>
      <c r="Y1169">
        <v>7</v>
      </c>
      <c r="Z1169" s="5">
        <v>257.63</v>
      </c>
    </row>
    <row r="1170" spans="1:26">
      <c r="A1170">
        <v>1169</v>
      </c>
      <c r="B1170">
        <v>374</v>
      </c>
      <c r="C1170" s="2">
        <v>46295</v>
      </c>
      <c r="D1170" t="s">
        <v>52</v>
      </c>
      <c r="E1170">
        <v>9</v>
      </c>
      <c r="F1170" s="3">
        <v>9.56</v>
      </c>
      <c r="G1170" t="s">
        <v>27</v>
      </c>
      <c r="H1170">
        <v>44</v>
      </c>
      <c r="I1170" t="s">
        <v>34</v>
      </c>
      <c r="J1170" s="4">
        <v>64</v>
      </c>
      <c r="K1170" s="4">
        <v>148.19999999999999</v>
      </c>
      <c r="L1170" s="4">
        <v>25.6</v>
      </c>
      <c r="M1170">
        <v>15</v>
      </c>
      <c r="N1170" t="s">
        <v>69</v>
      </c>
      <c r="O1170">
        <v>3</v>
      </c>
      <c r="P1170" s="4">
        <v>1879.3</v>
      </c>
      <c r="Q1170" t="s">
        <v>48</v>
      </c>
      <c r="R1170">
        <v>1</v>
      </c>
      <c r="S1170" t="s">
        <v>44</v>
      </c>
      <c r="T1170">
        <v>0</v>
      </c>
      <c r="U1170">
        <v>0</v>
      </c>
      <c r="V1170" t="s">
        <v>32</v>
      </c>
      <c r="W1170" t="s">
        <v>39</v>
      </c>
      <c r="X1170" s="4">
        <v>9.4</v>
      </c>
      <c r="Y1170">
        <v>6</v>
      </c>
      <c r="Z1170" s="5">
        <v>164.34</v>
      </c>
    </row>
    <row r="1171" spans="1:26">
      <c r="A1171">
        <v>1170</v>
      </c>
      <c r="B1171">
        <v>374</v>
      </c>
      <c r="C1171" s="2">
        <v>46295</v>
      </c>
      <c r="D1171" t="s">
        <v>52</v>
      </c>
      <c r="E1171">
        <v>9</v>
      </c>
      <c r="F1171" s="3">
        <v>9.59</v>
      </c>
      <c r="G1171" t="s">
        <v>27</v>
      </c>
      <c r="H1171">
        <v>69</v>
      </c>
      <c r="I1171" t="s">
        <v>34</v>
      </c>
      <c r="J1171" s="4">
        <v>69.2</v>
      </c>
      <c r="K1171" s="4">
        <v>223.7</v>
      </c>
      <c r="L1171" s="4">
        <v>32.700000000000003</v>
      </c>
      <c r="M1171">
        <v>21</v>
      </c>
      <c r="N1171" t="s">
        <v>69</v>
      </c>
      <c r="O1171">
        <v>3</v>
      </c>
      <c r="P1171" s="4">
        <v>1879.3</v>
      </c>
      <c r="Q1171" t="s">
        <v>48</v>
      </c>
      <c r="R1171">
        <v>1</v>
      </c>
      <c r="S1171" t="s">
        <v>44</v>
      </c>
      <c r="T1171">
        <v>0</v>
      </c>
      <c r="U1171">
        <v>0</v>
      </c>
      <c r="V1171" t="s">
        <v>32</v>
      </c>
      <c r="W1171" t="s">
        <v>39</v>
      </c>
      <c r="X1171" s="4">
        <v>9.1</v>
      </c>
      <c r="Y1171">
        <v>6</v>
      </c>
      <c r="Z1171" s="5">
        <v>263.29000000000002</v>
      </c>
    </row>
    <row r="1172" spans="1:26">
      <c r="A1172">
        <v>1171</v>
      </c>
      <c r="B1172">
        <v>375</v>
      </c>
      <c r="C1172" s="2">
        <v>46047</v>
      </c>
      <c r="D1172" t="s">
        <v>58</v>
      </c>
      <c r="E1172">
        <v>1</v>
      </c>
      <c r="F1172" s="3">
        <v>8.25</v>
      </c>
      <c r="G1172" t="s">
        <v>27</v>
      </c>
      <c r="H1172">
        <v>7</v>
      </c>
      <c r="I1172" t="s">
        <v>28</v>
      </c>
      <c r="J1172" s="4">
        <v>62.8</v>
      </c>
      <c r="K1172" s="4">
        <v>113.5</v>
      </c>
      <c r="L1172" s="4">
        <v>20.3</v>
      </c>
      <c r="M1172">
        <v>9</v>
      </c>
      <c r="N1172" t="s">
        <v>56</v>
      </c>
      <c r="O1172">
        <v>3</v>
      </c>
      <c r="P1172" s="4">
        <v>484.2</v>
      </c>
      <c r="Q1172" t="s">
        <v>30</v>
      </c>
      <c r="R1172">
        <v>1</v>
      </c>
      <c r="S1172" t="s">
        <v>44</v>
      </c>
      <c r="T1172">
        <v>0</v>
      </c>
      <c r="U1172">
        <v>0</v>
      </c>
      <c r="V1172" t="s">
        <v>32</v>
      </c>
      <c r="W1172" t="s">
        <v>49</v>
      </c>
      <c r="X1172" s="4">
        <v>4.5999999999999996</v>
      </c>
      <c r="Y1172">
        <v>4</v>
      </c>
      <c r="Z1172" s="5">
        <v>108.66</v>
      </c>
    </row>
    <row r="1173" spans="1:26">
      <c r="A1173">
        <v>1172</v>
      </c>
      <c r="B1173">
        <v>375</v>
      </c>
      <c r="C1173" s="2">
        <v>46047</v>
      </c>
      <c r="D1173" t="s">
        <v>58</v>
      </c>
      <c r="E1173">
        <v>1</v>
      </c>
      <c r="F1173" s="3">
        <v>8.31</v>
      </c>
      <c r="G1173" t="s">
        <v>27</v>
      </c>
      <c r="H1173">
        <v>22</v>
      </c>
      <c r="I1173" t="s">
        <v>28</v>
      </c>
      <c r="J1173" s="4">
        <v>68.900000000000006</v>
      </c>
      <c r="K1173" s="4">
        <v>161.69999999999999</v>
      </c>
      <c r="L1173" s="4">
        <v>23.8</v>
      </c>
      <c r="M1173">
        <v>16</v>
      </c>
      <c r="N1173" t="s">
        <v>56</v>
      </c>
      <c r="O1173">
        <v>3</v>
      </c>
      <c r="P1173" s="4">
        <v>484.2</v>
      </c>
      <c r="Q1173" t="s">
        <v>30</v>
      </c>
      <c r="R1173">
        <v>1</v>
      </c>
      <c r="S1173" t="s">
        <v>44</v>
      </c>
      <c r="T1173">
        <v>0</v>
      </c>
      <c r="U1173">
        <v>0</v>
      </c>
      <c r="V1173" t="s">
        <v>32</v>
      </c>
      <c r="W1173" t="s">
        <v>49</v>
      </c>
      <c r="X1173" s="4">
        <v>8.6999999999999993</v>
      </c>
      <c r="Y1173">
        <v>8</v>
      </c>
      <c r="Z1173" s="5">
        <v>285.45999999999998</v>
      </c>
    </row>
    <row r="1174" spans="1:26">
      <c r="A1174">
        <v>1173</v>
      </c>
      <c r="B1174">
        <v>375</v>
      </c>
      <c r="C1174" s="2">
        <v>46047</v>
      </c>
      <c r="D1174" t="s">
        <v>58</v>
      </c>
      <c r="E1174">
        <v>1</v>
      </c>
      <c r="F1174" s="3">
        <v>8.1199999999999992</v>
      </c>
      <c r="G1174" t="s">
        <v>27</v>
      </c>
      <c r="H1174">
        <v>31</v>
      </c>
      <c r="I1174" t="s">
        <v>34</v>
      </c>
      <c r="J1174" s="4">
        <v>58</v>
      </c>
      <c r="K1174" s="4">
        <v>138.30000000000001</v>
      </c>
      <c r="L1174" s="4">
        <v>28.6</v>
      </c>
      <c r="M1174">
        <v>16</v>
      </c>
      <c r="N1174" t="s">
        <v>56</v>
      </c>
      <c r="O1174">
        <v>3</v>
      </c>
      <c r="P1174" s="4">
        <v>484.2</v>
      </c>
      <c r="Q1174" t="s">
        <v>30</v>
      </c>
      <c r="R1174">
        <v>1</v>
      </c>
      <c r="S1174" t="s">
        <v>44</v>
      </c>
      <c r="T1174">
        <v>0</v>
      </c>
      <c r="U1174">
        <v>0</v>
      </c>
      <c r="V1174" t="s">
        <v>32</v>
      </c>
      <c r="W1174" t="s">
        <v>49</v>
      </c>
      <c r="X1174" s="4">
        <v>8.4</v>
      </c>
      <c r="Y1174">
        <v>8</v>
      </c>
      <c r="Z1174" s="5">
        <v>242</v>
      </c>
    </row>
    <row r="1175" spans="1:26">
      <c r="A1175">
        <v>1174</v>
      </c>
      <c r="B1175">
        <v>376</v>
      </c>
      <c r="C1175" s="2">
        <v>46066</v>
      </c>
      <c r="D1175" t="s">
        <v>26</v>
      </c>
      <c r="E1175">
        <v>2</v>
      </c>
      <c r="F1175" s="3">
        <v>10.75</v>
      </c>
      <c r="G1175" t="s">
        <v>27</v>
      </c>
      <c r="H1175">
        <v>71</v>
      </c>
      <c r="I1175" t="s">
        <v>28</v>
      </c>
      <c r="J1175" s="4">
        <v>69.5</v>
      </c>
      <c r="K1175" s="4">
        <v>202</v>
      </c>
      <c r="L1175" s="4">
        <v>29.2</v>
      </c>
      <c r="M1175">
        <v>14</v>
      </c>
      <c r="N1175" t="s">
        <v>60</v>
      </c>
      <c r="O1175">
        <v>2</v>
      </c>
      <c r="P1175" s="4">
        <v>1461.8</v>
      </c>
      <c r="Q1175" t="s">
        <v>42</v>
      </c>
      <c r="R1175">
        <v>0</v>
      </c>
      <c r="S1175" t="s">
        <v>38</v>
      </c>
      <c r="T1175">
        <v>0</v>
      </c>
      <c r="U1175">
        <v>0</v>
      </c>
      <c r="V1175" t="s">
        <v>32</v>
      </c>
      <c r="W1175" t="s">
        <v>39</v>
      </c>
      <c r="X1175" s="4">
        <v>6.8</v>
      </c>
      <c r="Y1175">
        <v>10</v>
      </c>
      <c r="Z1175" s="5">
        <v>211.8</v>
      </c>
    </row>
    <row r="1176" spans="1:26">
      <c r="A1176">
        <v>1175</v>
      </c>
      <c r="B1176">
        <v>376</v>
      </c>
      <c r="C1176" s="2">
        <v>46066</v>
      </c>
      <c r="D1176" t="s">
        <v>26</v>
      </c>
      <c r="E1176">
        <v>2</v>
      </c>
      <c r="F1176" s="3">
        <v>10.88</v>
      </c>
      <c r="G1176" t="s">
        <v>27</v>
      </c>
      <c r="H1176">
        <v>9</v>
      </c>
      <c r="I1176" t="s">
        <v>34</v>
      </c>
      <c r="J1176" s="4">
        <v>58.8</v>
      </c>
      <c r="K1176" s="4">
        <v>80.7</v>
      </c>
      <c r="L1176" s="4">
        <v>16.399999999999999</v>
      </c>
      <c r="M1176">
        <v>15</v>
      </c>
      <c r="N1176" t="s">
        <v>60</v>
      </c>
      <c r="O1176">
        <v>2</v>
      </c>
      <c r="P1176" s="4">
        <v>1461.8</v>
      </c>
      <c r="Q1176" t="s">
        <v>42</v>
      </c>
      <c r="R1176">
        <v>0</v>
      </c>
      <c r="S1176" t="s">
        <v>38</v>
      </c>
      <c r="T1176">
        <v>0</v>
      </c>
      <c r="U1176">
        <v>0</v>
      </c>
      <c r="V1176" t="s">
        <v>32</v>
      </c>
      <c r="W1176" t="s">
        <v>39</v>
      </c>
      <c r="X1176" s="4">
        <v>3.6</v>
      </c>
      <c r="Y1176">
        <v>6</v>
      </c>
      <c r="Z1176" s="5">
        <v>114.87</v>
      </c>
    </row>
    <row r="1177" spans="1:26">
      <c r="A1177">
        <v>1176</v>
      </c>
      <c r="B1177">
        <v>377</v>
      </c>
      <c r="C1177" s="2">
        <v>46246</v>
      </c>
      <c r="D1177" t="s">
        <v>52</v>
      </c>
      <c r="E1177">
        <v>8</v>
      </c>
      <c r="F1177" s="3">
        <v>7.93</v>
      </c>
      <c r="G1177" t="s">
        <v>27</v>
      </c>
      <c r="H1177">
        <v>45</v>
      </c>
      <c r="I1177" t="s">
        <v>34</v>
      </c>
      <c r="J1177" s="4">
        <v>61.9</v>
      </c>
      <c r="K1177" s="4">
        <v>143.80000000000001</v>
      </c>
      <c r="L1177" s="4">
        <v>26.2</v>
      </c>
      <c r="M1177">
        <v>14</v>
      </c>
      <c r="N1177" t="s">
        <v>60</v>
      </c>
      <c r="O1177">
        <v>2</v>
      </c>
      <c r="P1177" s="4">
        <v>1599.8</v>
      </c>
      <c r="Q1177" t="s">
        <v>30</v>
      </c>
      <c r="R1177">
        <v>0</v>
      </c>
      <c r="S1177" t="s">
        <v>38</v>
      </c>
      <c r="T1177">
        <v>1</v>
      </c>
      <c r="U1177">
        <v>0</v>
      </c>
      <c r="V1177" t="s">
        <v>32</v>
      </c>
      <c r="W1177" t="s">
        <v>39</v>
      </c>
      <c r="X1177" s="4">
        <v>8.5</v>
      </c>
      <c r="Y1177">
        <v>4</v>
      </c>
      <c r="Z1177" s="5">
        <v>155.41</v>
      </c>
    </row>
    <row r="1178" spans="1:26">
      <c r="A1178">
        <v>1177</v>
      </c>
      <c r="B1178">
        <v>377</v>
      </c>
      <c r="C1178" s="2">
        <v>46246</v>
      </c>
      <c r="D1178" t="s">
        <v>52</v>
      </c>
      <c r="E1178">
        <v>8</v>
      </c>
      <c r="F1178" s="3">
        <v>7.89</v>
      </c>
      <c r="G1178" t="s">
        <v>27</v>
      </c>
      <c r="H1178">
        <v>18</v>
      </c>
      <c r="I1178" t="s">
        <v>28</v>
      </c>
      <c r="J1178" s="4">
        <v>61.7</v>
      </c>
      <c r="K1178" s="4">
        <v>162.9</v>
      </c>
      <c r="L1178" s="4">
        <v>30</v>
      </c>
      <c r="M1178">
        <v>10</v>
      </c>
      <c r="N1178" t="s">
        <v>60</v>
      </c>
      <c r="O1178">
        <v>2</v>
      </c>
      <c r="P1178" s="4">
        <v>1599.8</v>
      </c>
      <c r="Q1178" t="s">
        <v>30</v>
      </c>
      <c r="R1178">
        <v>0</v>
      </c>
      <c r="S1178" t="s">
        <v>38</v>
      </c>
      <c r="T1178">
        <v>1</v>
      </c>
      <c r="U1178">
        <v>0</v>
      </c>
      <c r="V1178" t="s">
        <v>32</v>
      </c>
      <c r="W1178" t="s">
        <v>39</v>
      </c>
      <c r="X1178" s="4">
        <v>9.8000000000000007</v>
      </c>
      <c r="Y1178">
        <v>14</v>
      </c>
      <c r="Z1178" s="5">
        <v>282.95999999999998</v>
      </c>
    </row>
    <row r="1179" spans="1:26">
      <c r="A1179">
        <v>1178</v>
      </c>
      <c r="B1179">
        <v>378</v>
      </c>
      <c r="C1179" s="2">
        <v>46051</v>
      </c>
      <c r="D1179" t="s">
        <v>55</v>
      </c>
      <c r="E1179">
        <v>1</v>
      </c>
      <c r="F1179" s="3">
        <v>12.91</v>
      </c>
      <c r="G1179" t="s">
        <v>36</v>
      </c>
      <c r="H1179">
        <v>27</v>
      </c>
      <c r="I1179" t="s">
        <v>34</v>
      </c>
      <c r="J1179" s="4">
        <v>68.2</v>
      </c>
      <c r="K1179" s="4">
        <v>210.8</v>
      </c>
      <c r="L1179" s="4">
        <v>31.7</v>
      </c>
      <c r="M1179">
        <v>16</v>
      </c>
      <c r="N1179" t="s">
        <v>67</v>
      </c>
      <c r="O1179">
        <v>5</v>
      </c>
      <c r="P1179" s="4">
        <v>1696.3</v>
      </c>
      <c r="Q1179" t="s">
        <v>42</v>
      </c>
      <c r="R1179">
        <v>1</v>
      </c>
      <c r="S1179" t="s">
        <v>44</v>
      </c>
      <c r="T1179">
        <v>1</v>
      </c>
      <c r="U1179">
        <v>0</v>
      </c>
      <c r="V1179" t="s">
        <v>45</v>
      </c>
      <c r="W1179" t="s">
        <v>43</v>
      </c>
      <c r="X1179" s="4">
        <v>9.1</v>
      </c>
      <c r="Y1179">
        <v>0</v>
      </c>
      <c r="Z1179" s="5">
        <v>147.62</v>
      </c>
    </row>
    <row r="1180" spans="1:26">
      <c r="A1180">
        <v>1179</v>
      </c>
      <c r="B1180">
        <v>378</v>
      </c>
      <c r="C1180" s="2">
        <v>46051</v>
      </c>
      <c r="D1180" t="s">
        <v>55</v>
      </c>
      <c r="E1180">
        <v>1</v>
      </c>
      <c r="F1180" s="3">
        <v>12.99</v>
      </c>
      <c r="G1180" t="s">
        <v>36</v>
      </c>
      <c r="H1180">
        <v>39</v>
      </c>
      <c r="I1180" t="s">
        <v>34</v>
      </c>
      <c r="J1180" s="4">
        <v>64.3</v>
      </c>
      <c r="K1180" s="4">
        <v>147.6</v>
      </c>
      <c r="L1180" s="4">
        <v>24.7</v>
      </c>
      <c r="M1180">
        <v>18</v>
      </c>
      <c r="N1180" t="s">
        <v>67</v>
      </c>
      <c r="O1180">
        <v>5</v>
      </c>
      <c r="P1180" s="4">
        <v>1696.3</v>
      </c>
      <c r="Q1180" t="s">
        <v>42</v>
      </c>
      <c r="R1180">
        <v>1</v>
      </c>
      <c r="S1180" t="s">
        <v>44</v>
      </c>
      <c r="T1180">
        <v>1</v>
      </c>
      <c r="U1180">
        <v>0</v>
      </c>
      <c r="V1180" t="s">
        <v>45</v>
      </c>
      <c r="W1180" t="s">
        <v>43</v>
      </c>
      <c r="X1180" s="4">
        <v>10.1</v>
      </c>
      <c r="Y1180">
        <v>14</v>
      </c>
      <c r="Z1180" s="5">
        <v>187.21</v>
      </c>
    </row>
    <row r="1181" spans="1:26">
      <c r="A1181">
        <v>1180</v>
      </c>
      <c r="B1181">
        <v>378</v>
      </c>
      <c r="C1181" s="2">
        <v>46051</v>
      </c>
      <c r="D1181" t="s">
        <v>55</v>
      </c>
      <c r="E1181">
        <v>1</v>
      </c>
      <c r="F1181" s="3">
        <v>12.8</v>
      </c>
      <c r="G1181" t="s">
        <v>36</v>
      </c>
      <c r="H1181">
        <v>45</v>
      </c>
      <c r="I1181" t="s">
        <v>28</v>
      </c>
      <c r="J1181" s="4">
        <v>68.8</v>
      </c>
      <c r="K1181" s="4">
        <v>169.7</v>
      </c>
      <c r="L1181" s="4">
        <v>25.2</v>
      </c>
      <c r="M1181">
        <v>14</v>
      </c>
      <c r="N1181" t="s">
        <v>67</v>
      </c>
      <c r="O1181">
        <v>5</v>
      </c>
      <c r="P1181" s="4">
        <v>1696.3</v>
      </c>
      <c r="Q1181" t="s">
        <v>42</v>
      </c>
      <c r="R1181">
        <v>1</v>
      </c>
      <c r="S1181" t="s">
        <v>44</v>
      </c>
      <c r="T1181">
        <v>1</v>
      </c>
      <c r="U1181">
        <v>0</v>
      </c>
      <c r="V1181" t="s">
        <v>45</v>
      </c>
      <c r="W1181" t="s">
        <v>43</v>
      </c>
      <c r="X1181" s="4">
        <v>9.3000000000000007</v>
      </c>
      <c r="Y1181">
        <v>8</v>
      </c>
      <c r="Z1181" s="5">
        <v>303.33999999999997</v>
      </c>
    </row>
    <row r="1182" spans="1:26">
      <c r="A1182">
        <v>1181</v>
      </c>
      <c r="B1182">
        <v>378</v>
      </c>
      <c r="C1182" s="2">
        <v>46051</v>
      </c>
      <c r="D1182" t="s">
        <v>55</v>
      </c>
      <c r="E1182">
        <v>1</v>
      </c>
      <c r="F1182" s="3">
        <v>13.03</v>
      </c>
      <c r="G1182" t="s">
        <v>36</v>
      </c>
      <c r="H1182">
        <v>72</v>
      </c>
      <c r="I1182" t="s">
        <v>28</v>
      </c>
      <c r="J1182" s="4">
        <v>70.5</v>
      </c>
      <c r="K1182" s="4">
        <v>189.6</v>
      </c>
      <c r="L1182" s="4">
        <v>26.9</v>
      </c>
      <c r="M1182">
        <v>15</v>
      </c>
      <c r="N1182" t="s">
        <v>67</v>
      </c>
      <c r="O1182">
        <v>5</v>
      </c>
      <c r="P1182" s="4">
        <v>1696.3</v>
      </c>
      <c r="Q1182" t="s">
        <v>42</v>
      </c>
      <c r="R1182">
        <v>1</v>
      </c>
      <c r="S1182" t="s">
        <v>44</v>
      </c>
      <c r="T1182">
        <v>1</v>
      </c>
      <c r="U1182">
        <v>0</v>
      </c>
      <c r="V1182" t="s">
        <v>45</v>
      </c>
      <c r="W1182" t="s">
        <v>43</v>
      </c>
      <c r="X1182" s="4">
        <v>7.8</v>
      </c>
      <c r="Y1182">
        <v>12</v>
      </c>
      <c r="Z1182" s="5">
        <v>263.22000000000003</v>
      </c>
    </row>
    <row r="1183" spans="1:26">
      <c r="A1183">
        <v>1182</v>
      </c>
      <c r="B1183">
        <v>378</v>
      </c>
      <c r="C1183" s="2">
        <v>46051</v>
      </c>
      <c r="D1183" t="s">
        <v>55</v>
      </c>
      <c r="E1183">
        <v>1</v>
      </c>
      <c r="F1183" s="3">
        <v>13.06</v>
      </c>
      <c r="G1183" t="s">
        <v>36</v>
      </c>
      <c r="H1183">
        <v>28</v>
      </c>
      <c r="I1183" t="s">
        <v>28</v>
      </c>
      <c r="J1183" s="4">
        <v>71.8</v>
      </c>
      <c r="K1183" s="4">
        <v>230.3</v>
      </c>
      <c r="L1183" s="4">
        <v>31.4</v>
      </c>
      <c r="M1183">
        <v>15</v>
      </c>
      <c r="N1183" t="s">
        <v>67</v>
      </c>
      <c r="O1183">
        <v>5</v>
      </c>
      <c r="P1183" s="4">
        <v>1696.3</v>
      </c>
      <c r="Q1183" t="s">
        <v>42</v>
      </c>
      <c r="R1183">
        <v>1</v>
      </c>
      <c r="S1183" t="s">
        <v>44</v>
      </c>
      <c r="T1183">
        <v>1</v>
      </c>
      <c r="U1183">
        <v>0</v>
      </c>
      <c r="V1183" t="s">
        <v>45</v>
      </c>
      <c r="W1183" t="s">
        <v>43</v>
      </c>
      <c r="X1183" s="4">
        <v>8.4</v>
      </c>
      <c r="Y1183">
        <v>11</v>
      </c>
      <c r="Z1183" s="5">
        <v>206.09</v>
      </c>
    </row>
    <row r="1184" spans="1:26">
      <c r="A1184">
        <v>1183</v>
      </c>
      <c r="B1184">
        <v>379</v>
      </c>
      <c r="C1184" s="2">
        <v>46285</v>
      </c>
      <c r="D1184" t="s">
        <v>58</v>
      </c>
      <c r="E1184">
        <v>9</v>
      </c>
      <c r="F1184" s="3">
        <v>10.34</v>
      </c>
      <c r="G1184" t="s">
        <v>27</v>
      </c>
      <c r="H1184">
        <v>64</v>
      </c>
      <c r="I1184" t="s">
        <v>28</v>
      </c>
      <c r="J1184" s="4">
        <v>65.400000000000006</v>
      </c>
      <c r="K1184" s="4">
        <v>153.69999999999999</v>
      </c>
      <c r="L1184" s="4">
        <v>25.3</v>
      </c>
      <c r="M1184">
        <v>13</v>
      </c>
      <c r="N1184" t="s">
        <v>47</v>
      </c>
      <c r="O1184">
        <v>4</v>
      </c>
      <c r="P1184" s="4">
        <v>109.8</v>
      </c>
      <c r="Q1184" t="s">
        <v>42</v>
      </c>
      <c r="R1184">
        <v>0</v>
      </c>
      <c r="S1184" t="s">
        <v>44</v>
      </c>
      <c r="T1184">
        <v>0</v>
      </c>
      <c r="U1184">
        <v>0</v>
      </c>
      <c r="V1184" t="s">
        <v>32</v>
      </c>
      <c r="W1184" t="s">
        <v>57</v>
      </c>
      <c r="X1184" s="4">
        <v>8</v>
      </c>
      <c r="Y1184">
        <v>10</v>
      </c>
      <c r="Z1184" s="5">
        <v>178.75</v>
      </c>
    </row>
    <row r="1185" spans="1:26">
      <c r="A1185">
        <v>1184</v>
      </c>
      <c r="B1185">
        <v>379</v>
      </c>
      <c r="C1185" s="2">
        <v>46285</v>
      </c>
      <c r="D1185" t="s">
        <v>58</v>
      </c>
      <c r="E1185">
        <v>9</v>
      </c>
      <c r="F1185" s="3">
        <v>10.210000000000001</v>
      </c>
      <c r="G1185" t="s">
        <v>27</v>
      </c>
      <c r="H1185">
        <v>39</v>
      </c>
      <c r="I1185" t="s">
        <v>34</v>
      </c>
      <c r="J1185" s="4">
        <v>63.4</v>
      </c>
      <c r="K1185" s="4">
        <v>162.4</v>
      </c>
      <c r="L1185" s="4">
        <v>28.5</v>
      </c>
      <c r="M1185">
        <v>11</v>
      </c>
      <c r="N1185" t="s">
        <v>47</v>
      </c>
      <c r="O1185">
        <v>4</v>
      </c>
      <c r="P1185" s="4">
        <v>109.8</v>
      </c>
      <c r="Q1185" t="s">
        <v>42</v>
      </c>
      <c r="R1185">
        <v>0</v>
      </c>
      <c r="S1185" t="s">
        <v>44</v>
      </c>
      <c r="T1185">
        <v>0</v>
      </c>
      <c r="U1185">
        <v>0</v>
      </c>
      <c r="V1185" t="s">
        <v>32</v>
      </c>
      <c r="W1185" t="s">
        <v>57</v>
      </c>
      <c r="X1185" s="4">
        <v>8.8000000000000007</v>
      </c>
      <c r="Y1185">
        <v>14</v>
      </c>
      <c r="Z1185" s="5">
        <v>175.25</v>
      </c>
    </row>
    <row r="1186" spans="1:26">
      <c r="A1186">
        <v>1185</v>
      </c>
      <c r="B1186">
        <v>379</v>
      </c>
      <c r="C1186" s="2">
        <v>46285</v>
      </c>
      <c r="D1186" t="s">
        <v>58</v>
      </c>
      <c r="E1186">
        <v>9</v>
      </c>
      <c r="F1186" s="3">
        <v>10.4</v>
      </c>
      <c r="G1186" t="s">
        <v>27</v>
      </c>
      <c r="H1186">
        <v>42</v>
      </c>
      <c r="I1186" t="s">
        <v>28</v>
      </c>
      <c r="J1186" s="4">
        <v>72.099999999999994</v>
      </c>
      <c r="K1186" s="4">
        <v>233</v>
      </c>
      <c r="L1186" s="4">
        <v>31.5</v>
      </c>
      <c r="M1186">
        <v>12</v>
      </c>
      <c r="N1186" t="s">
        <v>47</v>
      </c>
      <c r="O1186">
        <v>4</v>
      </c>
      <c r="P1186" s="4">
        <v>109.8</v>
      </c>
      <c r="Q1186" t="s">
        <v>42</v>
      </c>
      <c r="R1186">
        <v>0</v>
      </c>
      <c r="S1186" t="s">
        <v>44</v>
      </c>
      <c r="T1186">
        <v>0</v>
      </c>
      <c r="U1186">
        <v>0</v>
      </c>
      <c r="V1186" t="s">
        <v>32</v>
      </c>
      <c r="W1186" t="s">
        <v>57</v>
      </c>
      <c r="X1186" s="4">
        <v>5.0999999999999996</v>
      </c>
      <c r="Y1186">
        <v>6</v>
      </c>
      <c r="Z1186" s="5">
        <v>145.11000000000001</v>
      </c>
    </row>
    <row r="1187" spans="1:26">
      <c r="A1187">
        <v>1186</v>
      </c>
      <c r="B1187">
        <v>379</v>
      </c>
      <c r="C1187" s="2">
        <v>46285</v>
      </c>
      <c r="D1187" t="s">
        <v>58</v>
      </c>
      <c r="E1187">
        <v>9</v>
      </c>
      <c r="F1187" s="3">
        <v>10.36</v>
      </c>
      <c r="G1187" t="s">
        <v>27</v>
      </c>
      <c r="H1187">
        <v>32</v>
      </c>
      <c r="I1187" t="s">
        <v>34</v>
      </c>
      <c r="J1187" s="4">
        <v>64.3</v>
      </c>
      <c r="K1187" s="4">
        <v>157</v>
      </c>
      <c r="L1187" s="4">
        <v>26.8</v>
      </c>
      <c r="M1187">
        <v>12</v>
      </c>
      <c r="N1187" t="s">
        <v>47</v>
      </c>
      <c r="O1187">
        <v>4</v>
      </c>
      <c r="P1187" s="4">
        <v>109.8</v>
      </c>
      <c r="Q1187" t="s">
        <v>42</v>
      </c>
      <c r="R1187">
        <v>0</v>
      </c>
      <c r="S1187" t="s">
        <v>44</v>
      </c>
      <c r="T1187">
        <v>0</v>
      </c>
      <c r="U1187">
        <v>0</v>
      </c>
      <c r="V1187" t="s">
        <v>32</v>
      </c>
      <c r="W1187" t="s">
        <v>57</v>
      </c>
      <c r="X1187" s="4">
        <v>6.2</v>
      </c>
      <c r="Y1187">
        <v>6</v>
      </c>
      <c r="Z1187" s="5">
        <v>91.63</v>
      </c>
    </row>
    <row r="1188" spans="1:26">
      <c r="A1188">
        <v>1187</v>
      </c>
      <c r="B1188">
        <v>380</v>
      </c>
      <c r="C1188" s="2">
        <v>46361</v>
      </c>
      <c r="D1188" t="s">
        <v>40</v>
      </c>
      <c r="E1188">
        <v>12</v>
      </c>
      <c r="F1188" s="3">
        <v>8.5299999999999994</v>
      </c>
      <c r="G1188" t="s">
        <v>27</v>
      </c>
      <c r="H1188">
        <v>10</v>
      </c>
      <c r="I1188" t="s">
        <v>28</v>
      </c>
      <c r="J1188" s="4">
        <v>70</v>
      </c>
      <c r="K1188" s="4">
        <v>141.69999999999999</v>
      </c>
      <c r="L1188" s="4">
        <v>20.2</v>
      </c>
      <c r="M1188">
        <v>12</v>
      </c>
      <c r="N1188" t="s">
        <v>56</v>
      </c>
      <c r="O1188">
        <v>5</v>
      </c>
      <c r="P1188" s="4">
        <v>210</v>
      </c>
      <c r="Q1188" t="s">
        <v>42</v>
      </c>
      <c r="R1188">
        <v>1</v>
      </c>
      <c r="S1188" t="s">
        <v>44</v>
      </c>
      <c r="T1188">
        <v>1</v>
      </c>
      <c r="U1188">
        <v>0</v>
      </c>
      <c r="V1188" t="s">
        <v>32</v>
      </c>
      <c r="W1188" t="s">
        <v>39</v>
      </c>
      <c r="X1188" s="4">
        <v>11.3</v>
      </c>
      <c r="Y1188">
        <v>4</v>
      </c>
      <c r="Z1188" s="5">
        <v>162.85</v>
      </c>
    </row>
    <row r="1189" spans="1:26">
      <c r="A1189">
        <v>1188</v>
      </c>
      <c r="B1189">
        <v>380</v>
      </c>
      <c r="C1189" s="2">
        <v>46361</v>
      </c>
      <c r="D1189" t="s">
        <v>40</v>
      </c>
      <c r="E1189">
        <v>12</v>
      </c>
      <c r="F1189" s="3">
        <v>8.5399999999999991</v>
      </c>
      <c r="G1189" t="s">
        <v>27</v>
      </c>
      <c r="H1189">
        <v>60</v>
      </c>
      <c r="I1189" t="s">
        <v>34</v>
      </c>
      <c r="J1189" s="4">
        <v>61.5</v>
      </c>
      <c r="K1189" s="4">
        <v>163.80000000000001</v>
      </c>
      <c r="L1189" s="4">
        <v>30.6</v>
      </c>
      <c r="M1189">
        <v>12</v>
      </c>
      <c r="N1189" t="s">
        <v>56</v>
      </c>
      <c r="O1189">
        <v>5</v>
      </c>
      <c r="P1189" s="4">
        <v>210</v>
      </c>
      <c r="Q1189" t="s">
        <v>42</v>
      </c>
      <c r="R1189">
        <v>1</v>
      </c>
      <c r="S1189" t="s">
        <v>44</v>
      </c>
      <c r="T1189">
        <v>1</v>
      </c>
      <c r="U1189">
        <v>0</v>
      </c>
      <c r="V1189" t="s">
        <v>32</v>
      </c>
      <c r="W1189" t="s">
        <v>39</v>
      </c>
      <c r="X1189" s="4">
        <v>10.199999999999999</v>
      </c>
      <c r="Y1189">
        <v>7</v>
      </c>
      <c r="Z1189" s="5">
        <v>259.25</v>
      </c>
    </row>
    <row r="1190" spans="1:26">
      <c r="A1190">
        <v>1189</v>
      </c>
      <c r="B1190">
        <v>380</v>
      </c>
      <c r="C1190" s="2">
        <v>46361</v>
      </c>
      <c r="D1190" t="s">
        <v>40</v>
      </c>
      <c r="E1190">
        <v>12</v>
      </c>
      <c r="F1190" s="3">
        <v>8.69</v>
      </c>
      <c r="G1190" t="s">
        <v>27</v>
      </c>
      <c r="H1190">
        <v>63</v>
      </c>
      <c r="I1190" t="s">
        <v>34</v>
      </c>
      <c r="J1190" s="4">
        <v>63.4</v>
      </c>
      <c r="K1190" s="4">
        <v>126.5</v>
      </c>
      <c r="L1190" s="4">
        <v>22.2</v>
      </c>
      <c r="M1190">
        <v>16</v>
      </c>
      <c r="N1190" t="s">
        <v>56</v>
      </c>
      <c r="O1190">
        <v>5</v>
      </c>
      <c r="P1190" s="4">
        <v>210</v>
      </c>
      <c r="Q1190" t="s">
        <v>42</v>
      </c>
      <c r="R1190">
        <v>1</v>
      </c>
      <c r="S1190" t="s">
        <v>44</v>
      </c>
      <c r="T1190">
        <v>1</v>
      </c>
      <c r="U1190">
        <v>0</v>
      </c>
      <c r="V1190" t="s">
        <v>32</v>
      </c>
      <c r="W1190" t="s">
        <v>39</v>
      </c>
      <c r="X1190" s="4">
        <v>7.4</v>
      </c>
      <c r="Y1190">
        <v>6</v>
      </c>
      <c r="Z1190" s="5">
        <v>184.57</v>
      </c>
    </row>
    <row r="1191" spans="1:26">
      <c r="A1191">
        <v>1190</v>
      </c>
      <c r="B1191">
        <v>380</v>
      </c>
      <c r="C1191" s="2">
        <v>46361</v>
      </c>
      <c r="D1191" t="s">
        <v>40</v>
      </c>
      <c r="E1191">
        <v>12</v>
      </c>
      <c r="F1191" s="3">
        <v>8.7100000000000009</v>
      </c>
      <c r="G1191" t="s">
        <v>27</v>
      </c>
      <c r="H1191">
        <v>28</v>
      </c>
      <c r="I1191" t="s">
        <v>34</v>
      </c>
      <c r="J1191" s="4">
        <v>65.7</v>
      </c>
      <c r="K1191" s="4">
        <v>151</v>
      </c>
      <c r="L1191" s="4">
        <v>24.8</v>
      </c>
      <c r="M1191">
        <v>16</v>
      </c>
      <c r="N1191" t="s">
        <v>56</v>
      </c>
      <c r="O1191">
        <v>5</v>
      </c>
      <c r="P1191" s="4">
        <v>210</v>
      </c>
      <c r="Q1191" t="s">
        <v>42</v>
      </c>
      <c r="R1191">
        <v>1</v>
      </c>
      <c r="S1191" t="s">
        <v>44</v>
      </c>
      <c r="T1191">
        <v>1</v>
      </c>
      <c r="U1191">
        <v>0</v>
      </c>
      <c r="V1191" t="s">
        <v>32</v>
      </c>
      <c r="W1191" t="s">
        <v>39</v>
      </c>
      <c r="X1191" s="4">
        <v>6.4</v>
      </c>
      <c r="Y1191">
        <v>6</v>
      </c>
      <c r="Z1191" s="5">
        <v>146.24</v>
      </c>
    </row>
    <row r="1192" spans="1:26">
      <c r="A1192">
        <v>1191</v>
      </c>
      <c r="B1192">
        <v>380</v>
      </c>
      <c r="C1192" s="2">
        <v>46361</v>
      </c>
      <c r="D1192" t="s">
        <v>40</v>
      </c>
      <c r="E1192">
        <v>12</v>
      </c>
      <c r="F1192" s="3">
        <v>8.5</v>
      </c>
      <c r="G1192" t="s">
        <v>27</v>
      </c>
      <c r="H1192">
        <v>23</v>
      </c>
      <c r="I1192" t="s">
        <v>28</v>
      </c>
      <c r="J1192" s="4">
        <v>65.900000000000006</v>
      </c>
      <c r="K1192" s="4">
        <v>192.7</v>
      </c>
      <c r="L1192" s="4">
        <v>31.4</v>
      </c>
      <c r="M1192">
        <v>12</v>
      </c>
      <c r="N1192" t="s">
        <v>56</v>
      </c>
      <c r="O1192">
        <v>5</v>
      </c>
      <c r="P1192" s="4">
        <v>210</v>
      </c>
      <c r="Q1192" t="s">
        <v>42</v>
      </c>
      <c r="R1192">
        <v>1</v>
      </c>
      <c r="S1192" t="s">
        <v>44</v>
      </c>
      <c r="T1192">
        <v>1</v>
      </c>
      <c r="U1192">
        <v>0</v>
      </c>
      <c r="V1192" t="s">
        <v>32</v>
      </c>
      <c r="W1192" t="s">
        <v>39</v>
      </c>
      <c r="X1192" s="4">
        <v>8.6999999999999993</v>
      </c>
      <c r="Y1192">
        <v>14</v>
      </c>
      <c r="Z1192" s="5">
        <v>243.91</v>
      </c>
    </row>
    <row r="1193" spans="1:26">
      <c r="A1193">
        <v>1192</v>
      </c>
      <c r="B1193">
        <v>381</v>
      </c>
      <c r="C1193" s="2">
        <v>46352</v>
      </c>
      <c r="D1193" t="s">
        <v>55</v>
      </c>
      <c r="E1193">
        <v>11</v>
      </c>
      <c r="F1193" s="3">
        <v>11.54</v>
      </c>
      <c r="G1193" t="s">
        <v>36</v>
      </c>
      <c r="H1193">
        <v>57</v>
      </c>
      <c r="I1193" t="s">
        <v>28</v>
      </c>
      <c r="J1193" s="4">
        <v>71.8</v>
      </c>
      <c r="K1193" s="4">
        <v>203.9</v>
      </c>
      <c r="L1193" s="4">
        <v>27.7</v>
      </c>
      <c r="M1193">
        <v>17</v>
      </c>
      <c r="N1193" t="s">
        <v>54</v>
      </c>
      <c r="O1193">
        <v>3</v>
      </c>
      <c r="P1193" s="4">
        <v>2828.3</v>
      </c>
      <c r="Q1193" t="s">
        <v>48</v>
      </c>
      <c r="R1193">
        <v>1</v>
      </c>
      <c r="S1193" t="s">
        <v>31</v>
      </c>
      <c r="T1193">
        <v>1</v>
      </c>
      <c r="U1193">
        <v>0</v>
      </c>
      <c r="V1193" t="s">
        <v>32</v>
      </c>
      <c r="W1193" t="s">
        <v>39</v>
      </c>
      <c r="X1193" s="4">
        <v>8.1999999999999993</v>
      </c>
      <c r="Y1193">
        <v>4</v>
      </c>
      <c r="Z1193" s="5">
        <v>212.58</v>
      </c>
    </row>
    <row r="1194" spans="1:26">
      <c r="A1194">
        <v>1193</v>
      </c>
      <c r="B1194">
        <v>381</v>
      </c>
      <c r="C1194" s="2">
        <v>46352</v>
      </c>
      <c r="D1194" t="s">
        <v>55</v>
      </c>
      <c r="E1194">
        <v>11</v>
      </c>
      <c r="F1194" s="3">
        <v>11.48</v>
      </c>
      <c r="G1194" t="s">
        <v>36</v>
      </c>
      <c r="H1194">
        <v>70</v>
      </c>
      <c r="I1194" t="s">
        <v>34</v>
      </c>
      <c r="J1194" s="4">
        <v>60.9</v>
      </c>
      <c r="K1194" s="4">
        <v>147.6</v>
      </c>
      <c r="L1194" s="4">
        <v>27.8</v>
      </c>
      <c r="M1194">
        <v>16</v>
      </c>
      <c r="N1194" t="s">
        <v>54</v>
      </c>
      <c r="O1194">
        <v>3</v>
      </c>
      <c r="P1194" s="4">
        <v>2828.3</v>
      </c>
      <c r="Q1194" t="s">
        <v>48</v>
      </c>
      <c r="R1194">
        <v>1</v>
      </c>
      <c r="S1194" t="s">
        <v>31</v>
      </c>
      <c r="T1194">
        <v>1</v>
      </c>
      <c r="U1194">
        <v>0</v>
      </c>
      <c r="V1194" t="s">
        <v>32</v>
      </c>
      <c r="W1194" t="s">
        <v>39</v>
      </c>
      <c r="X1194" s="4">
        <v>6.2</v>
      </c>
      <c r="Y1194">
        <v>8</v>
      </c>
      <c r="Z1194" s="5">
        <v>358.38</v>
      </c>
    </row>
    <row r="1195" spans="1:26">
      <c r="A1195">
        <v>1194</v>
      </c>
      <c r="B1195">
        <v>381</v>
      </c>
      <c r="C1195" s="2">
        <v>46352</v>
      </c>
      <c r="D1195" t="s">
        <v>55</v>
      </c>
      <c r="E1195">
        <v>11</v>
      </c>
      <c r="F1195" s="3">
        <v>11.44</v>
      </c>
      <c r="G1195" t="s">
        <v>36</v>
      </c>
      <c r="H1195">
        <v>48</v>
      </c>
      <c r="I1195" t="s">
        <v>28</v>
      </c>
      <c r="J1195" s="4">
        <v>65.2</v>
      </c>
      <c r="K1195" s="4">
        <v>190.5</v>
      </c>
      <c r="L1195" s="4">
        <v>31.4</v>
      </c>
      <c r="M1195">
        <v>18</v>
      </c>
      <c r="N1195" t="s">
        <v>54</v>
      </c>
      <c r="O1195">
        <v>3</v>
      </c>
      <c r="P1195" s="4">
        <v>2828.3</v>
      </c>
      <c r="Q1195" t="s">
        <v>48</v>
      </c>
      <c r="R1195">
        <v>1</v>
      </c>
      <c r="S1195" t="s">
        <v>31</v>
      </c>
      <c r="T1195">
        <v>1</v>
      </c>
      <c r="U1195">
        <v>0</v>
      </c>
      <c r="V1195" t="s">
        <v>32</v>
      </c>
      <c r="W1195" t="s">
        <v>39</v>
      </c>
      <c r="X1195" s="4">
        <v>8.6999999999999993</v>
      </c>
      <c r="Y1195">
        <v>10</v>
      </c>
      <c r="Z1195" s="5">
        <v>448.22</v>
      </c>
    </row>
    <row r="1196" spans="1:26">
      <c r="A1196">
        <v>1195</v>
      </c>
      <c r="B1196">
        <v>382</v>
      </c>
      <c r="C1196" s="2">
        <v>46362</v>
      </c>
      <c r="D1196" t="s">
        <v>58</v>
      </c>
      <c r="E1196">
        <v>12</v>
      </c>
      <c r="F1196" s="3">
        <v>8.89</v>
      </c>
      <c r="G1196" t="s">
        <v>27</v>
      </c>
      <c r="H1196">
        <v>51</v>
      </c>
      <c r="I1196" t="s">
        <v>34</v>
      </c>
      <c r="J1196" s="4">
        <v>64.5</v>
      </c>
      <c r="K1196" s="4">
        <v>188.6</v>
      </c>
      <c r="L1196" s="4">
        <v>32.1</v>
      </c>
      <c r="M1196">
        <v>17</v>
      </c>
      <c r="N1196" t="s">
        <v>56</v>
      </c>
      <c r="O1196">
        <v>2</v>
      </c>
      <c r="P1196" s="4">
        <v>300.89999999999998</v>
      </c>
      <c r="Q1196" t="s">
        <v>48</v>
      </c>
      <c r="R1196">
        <v>1</v>
      </c>
      <c r="S1196" t="s">
        <v>31</v>
      </c>
      <c r="T1196">
        <v>1</v>
      </c>
      <c r="U1196">
        <v>1</v>
      </c>
      <c r="V1196" t="s">
        <v>32</v>
      </c>
      <c r="W1196" t="s">
        <v>49</v>
      </c>
      <c r="X1196" s="4">
        <v>8.9</v>
      </c>
      <c r="Y1196">
        <v>2</v>
      </c>
      <c r="Z1196" s="5">
        <v>281.95</v>
      </c>
    </row>
    <row r="1197" spans="1:26">
      <c r="A1197">
        <v>1196</v>
      </c>
      <c r="B1197">
        <v>382</v>
      </c>
      <c r="C1197" s="2">
        <v>46362</v>
      </c>
      <c r="D1197" t="s">
        <v>58</v>
      </c>
      <c r="E1197">
        <v>12</v>
      </c>
      <c r="F1197" s="3">
        <v>8.92</v>
      </c>
      <c r="G1197" t="s">
        <v>27</v>
      </c>
      <c r="H1197">
        <v>11</v>
      </c>
      <c r="I1197" t="s">
        <v>28</v>
      </c>
      <c r="J1197" s="4">
        <v>63.7</v>
      </c>
      <c r="K1197" s="4">
        <v>80.900000000000006</v>
      </c>
      <c r="L1197" s="4">
        <v>13.9</v>
      </c>
      <c r="M1197">
        <v>16</v>
      </c>
      <c r="N1197" t="s">
        <v>56</v>
      </c>
      <c r="O1197">
        <v>2</v>
      </c>
      <c r="P1197" s="4">
        <v>300.89999999999998</v>
      </c>
      <c r="Q1197" t="s">
        <v>48</v>
      </c>
      <c r="R1197">
        <v>1</v>
      </c>
      <c r="S1197" t="s">
        <v>31</v>
      </c>
      <c r="T1197">
        <v>1</v>
      </c>
      <c r="U1197">
        <v>1</v>
      </c>
      <c r="V1197" t="s">
        <v>32</v>
      </c>
      <c r="W1197" t="s">
        <v>49</v>
      </c>
      <c r="X1197" s="4">
        <v>9.3000000000000007</v>
      </c>
      <c r="Y1197">
        <v>9</v>
      </c>
      <c r="Z1197" s="5">
        <v>495.63</v>
      </c>
    </row>
    <row r="1198" spans="1:26">
      <c r="A1198">
        <v>1197</v>
      </c>
      <c r="B1198">
        <v>383</v>
      </c>
      <c r="C1198" s="2">
        <v>46320</v>
      </c>
      <c r="D1198" t="s">
        <v>58</v>
      </c>
      <c r="E1198">
        <v>10</v>
      </c>
      <c r="F1198" s="3">
        <v>10.73</v>
      </c>
      <c r="G1198" t="s">
        <v>27</v>
      </c>
      <c r="H1198">
        <v>69</v>
      </c>
      <c r="I1198" t="s">
        <v>34</v>
      </c>
      <c r="J1198" s="4">
        <v>67.599999999999994</v>
      </c>
      <c r="K1198" s="4">
        <v>182.2</v>
      </c>
      <c r="L1198" s="4">
        <v>28.1</v>
      </c>
      <c r="M1198">
        <v>15</v>
      </c>
      <c r="N1198" t="s">
        <v>56</v>
      </c>
      <c r="O1198">
        <v>3</v>
      </c>
      <c r="P1198" s="4">
        <v>153.19999999999999</v>
      </c>
      <c r="Q1198" t="s">
        <v>42</v>
      </c>
      <c r="R1198">
        <v>1</v>
      </c>
      <c r="S1198" t="s">
        <v>44</v>
      </c>
      <c r="T1198">
        <v>0</v>
      </c>
      <c r="U1198">
        <v>0</v>
      </c>
      <c r="V1198" t="s">
        <v>45</v>
      </c>
      <c r="W1198" t="s">
        <v>49</v>
      </c>
      <c r="X1198" s="4">
        <v>7.7</v>
      </c>
      <c r="Y1198">
        <v>10</v>
      </c>
      <c r="Z1198" s="5">
        <v>256.45</v>
      </c>
    </row>
    <row r="1199" spans="1:26">
      <c r="A1199">
        <v>1198</v>
      </c>
      <c r="B1199">
        <v>383</v>
      </c>
      <c r="C1199" s="2">
        <v>46320</v>
      </c>
      <c r="D1199" t="s">
        <v>58</v>
      </c>
      <c r="E1199">
        <v>10</v>
      </c>
      <c r="F1199" s="3">
        <v>10.48</v>
      </c>
      <c r="G1199" t="s">
        <v>27</v>
      </c>
      <c r="H1199">
        <v>56</v>
      </c>
      <c r="I1199" t="s">
        <v>34</v>
      </c>
      <c r="J1199" s="4">
        <v>61.2</v>
      </c>
      <c r="K1199" s="4">
        <v>170.9</v>
      </c>
      <c r="L1199" s="4">
        <v>32.4</v>
      </c>
      <c r="M1199">
        <v>17</v>
      </c>
      <c r="N1199" t="s">
        <v>56</v>
      </c>
      <c r="O1199">
        <v>3</v>
      </c>
      <c r="P1199" s="4">
        <v>153.19999999999999</v>
      </c>
      <c r="Q1199" t="s">
        <v>42</v>
      </c>
      <c r="R1199">
        <v>1</v>
      </c>
      <c r="S1199" t="s">
        <v>44</v>
      </c>
      <c r="T1199">
        <v>0</v>
      </c>
      <c r="U1199">
        <v>0</v>
      </c>
      <c r="V1199" t="s">
        <v>45</v>
      </c>
      <c r="W1199" t="s">
        <v>49</v>
      </c>
      <c r="X1199" s="4">
        <v>11.4</v>
      </c>
      <c r="Y1199">
        <v>11</v>
      </c>
      <c r="Z1199" s="5">
        <v>304.54000000000002</v>
      </c>
    </row>
    <row r="1200" spans="1:26">
      <c r="A1200">
        <v>1199</v>
      </c>
      <c r="B1200">
        <v>383</v>
      </c>
      <c r="C1200" s="2">
        <v>46320</v>
      </c>
      <c r="D1200" t="s">
        <v>58</v>
      </c>
      <c r="E1200">
        <v>10</v>
      </c>
      <c r="F1200" s="3">
        <v>10.71</v>
      </c>
      <c r="G1200" t="s">
        <v>27</v>
      </c>
      <c r="H1200">
        <v>41</v>
      </c>
      <c r="I1200" t="s">
        <v>28</v>
      </c>
      <c r="J1200" s="4">
        <v>73.900000000000006</v>
      </c>
      <c r="K1200" s="4">
        <v>238.6</v>
      </c>
      <c r="L1200" s="4">
        <v>30.6</v>
      </c>
      <c r="M1200">
        <v>14</v>
      </c>
      <c r="N1200" t="s">
        <v>56</v>
      </c>
      <c r="O1200">
        <v>3</v>
      </c>
      <c r="P1200" s="4">
        <v>153.19999999999999</v>
      </c>
      <c r="Q1200" t="s">
        <v>42</v>
      </c>
      <c r="R1200">
        <v>1</v>
      </c>
      <c r="S1200" t="s">
        <v>44</v>
      </c>
      <c r="T1200">
        <v>0</v>
      </c>
      <c r="U1200">
        <v>0</v>
      </c>
      <c r="V1200" t="s">
        <v>45</v>
      </c>
      <c r="W1200" t="s">
        <v>49</v>
      </c>
      <c r="X1200" s="4">
        <v>9.1</v>
      </c>
      <c r="Y1200">
        <v>9</v>
      </c>
      <c r="Z1200" s="5">
        <v>252.37</v>
      </c>
    </row>
    <row r="1201" spans="1:26">
      <c r="A1201">
        <v>1200</v>
      </c>
      <c r="B1201">
        <v>384</v>
      </c>
      <c r="C1201" s="2">
        <v>46277</v>
      </c>
      <c r="D1201" t="s">
        <v>40</v>
      </c>
      <c r="E1201">
        <v>9</v>
      </c>
      <c r="F1201" s="3">
        <v>10.26</v>
      </c>
      <c r="G1201" t="s">
        <v>27</v>
      </c>
      <c r="H1201">
        <v>41</v>
      </c>
      <c r="I1201" t="s">
        <v>28</v>
      </c>
      <c r="J1201" s="4">
        <v>70.5</v>
      </c>
      <c r="K1201" s="4">
        <v>156.9</v>
      </c>
      <c r="L1201" s="4">
        <v>22.5</v>
      </c>
      <c r="M1201">
        <v>14</v>
      </c>
      <c r="N1201" t="s">
        <v>41</v>
      </c>
      <c r="O1201">
        <v>2</v>
      </c>
      <c r="P1201" s="4">
        <v>3035.8</v>
      </c>
      <c r="Q1201" t="s">
        <v>48</v>
      </c>
      <c r="R1201">
        <v>0</v>
      </c>
      <c r="S1201" t="s">
        <v>44</v>
      </c>
      <c r="T1201">
        <v>1</v>
      </c>
      <c r="U1201">
        <v>0</v>
      </c>
      <c r="V1201" t="s">
        <v>32</v>
      </c>
      <c r="W1201" t="s">
        <v>39</v>
      </c>
      <c r="X1201" s="4">
        <v>11.3</v>
      </c>
      <c r="Y1201">
        <v>11</v>
      </c>
      <c r="Z1201" s="5">
        <v>281.66000000000003</v>
      </c>
    </row>
    <row r="1202" spans="1:26">
      <c r="A1202">
        <v>1201</v>
      </c>
      <c r="B1202">
        <v>384</v>
      </c>
      <c r="C1202" s="2">
        <v>46277</v>
      </c>
      <c r="D1202" t="s">
        <v>40</v>
      </c>
      <c r="E1202">
        <v>9</v>
      </c>
      <c r="F1202" s="3">
        <v>10.32</v>
      </c>
      <c r="G1202" t="s">
        <v>27</v>
      </c>
      <c r="H1202">
        <v>58</v>
      </c>
      <c r="I1202" t="s">
        <v>28</v>
      </c>
      <c r="J1202" s="4">
        <v>67.7</v>
      </c>
      <c r="K1202" s="4">
        <v>161.30000000000001</v>
      </c>
      <c r="L1202" s="4">
        <v>24.8</v>
      </c>
      <c r="M1202">
        <v>20</v>
      </c>
      <c r="N1202" t="s">
        <v>41</v>
      </c>
      <c r="O1202">
        <v>2</v>
      </c>
      <c r="P1202" s="4">
        <v>3035.8</v>
      </c>
      <c r="Q1202" t="s">
        <v>48</v>
      </c>
      <c r="R1202">
        <v>0</v>
      </c>
      <c r="S1202" t="s">
        <v>44</v>
      </c>
      <c r="T1202">
        <v>1</v>
      </c>
      <c r="U1202">
        <v>0</v>
      </c>
      <c r="V1202" t="s">
        <v>32</v>
      </c>
      <c r="W1202" t="s">
        <v>39</v>
      </c>
      <c r="X1202" s="4">
        <v>8.8000000000000007</v>
      </c>
      <c r="Y1202">
        <v>6</v>
      </c>
      <c r="Z1202" s="5">
        <v>340.72</v>
      </c>
    </row>
    <row r="1203" spans="1:26">
      <c r="A1203">
        <v>1202</v>
      </c>
      <c r="B1203">
        <v>385</v>
      </c>
      <c r="C1203" s="2">
        <v>46268</v>
      </c>
      <c r="D1203" t="s">
        <v>55</v>
      </c>
      <c r="E1203">
        <v>9</v>
      </c>
      <c r="F1203" s="3">
        <v>12.7</v>
      </c>
      <c r="G1203" t="s">
        <v>36</v>
      </c>
      <c r="H1203">
        <v>18</v>
      </c>
      <c r="I1203" t="s">
        <v>34</v>
      </c>
      <c r="J1203" s="4">
        <v>67.900000000000006</v>
      </c>
      <c r="K1203" s="4">
        <v>128.6</v>
      </c>
      <c r="L1203" s="4">
        <v>19.5</v>
      </c>
      <c r="M1203">
        <v>12</v>
      </c>
      <c r="N1203" t="s">
        <v>53</v>
      </c>
      <c r="O1203">
        <v>4</v>
      </c>
      <c r="P1203" s="4">
        <v>1174.5999999999999</v>
      </c>
      <c r="Q1203" t="s">
        <v>30</v>
      </c>
      <c r="R1203">
        <v>1</v>
      </c>
      <c r="S1203" t="s">
        <v>44</v>
      </c>
      <c r="T1203">
        <v>0</v>
      </c>
      <c r="U1203">
        <v>0</v>
      </c>
      <c r="V1203" t="s">
        <v>32</v>
      </c>
      <c r="W1203" t="s">
        <v>39</v>
      </c>
      <c r="X1203" s="4">
        <v>10.1</v>
      </c>
      <c r="Y1203">
        <v>14</v>
      </c>
      <c r="Z1203" s="5">
        <v>250.3</v>
      </c>
    </row>
    <row r="1204" spans="1:26">
      <c r="A1204">
        <v>1203</v>
      </c>
      <c r="B1204">
        <v>385</v>
      </c>
      <c r="C1204" s="2">
        <v>46268</v>
      </c>
      <c r="D1204" t="s">
        <v>55</v>
      </c>
      <c r="E1204">
        <v>9</v>
      </c>
      <c r="F1204" s="3">
        <v>12.57</v>
      </c>
      <c r="G1204" t="s">
        <v>36</v>
      </c>
      <c r="H1204">
        <v>51</v>
      </c>
      <c r="I1204" t="s">
        <v>28</v>
      </c>
      <c r="J1204" s="4">
        <v>68.2</v>
      </c>
      <c r="K1204" s="4">
        <v>107.6</v>
      </c>
      <c r="L1204" s="4">
        <v>16.2</v>
      </c>
      <c r="M1204">
        <v>11</v>
      </c>
      <c r="N1204" t="s">
        <v>53</v>
      </c>
      <c r="O1204">
        <v>4</v>
      </c>
      <c r="P1204" s="4">
        <v>1174.5999999999999</v>
      </c>
      <c r="Q1204" t="s">
        <v>30</v>
      </c>
      <c r="R1204">
        <v>1</v>
      </c>
      <c r="S1204" t="s">
        <v>44</v>
      </c>
      <c r="T1204">
        <v>0</v>
      </c>
      <c r="U1204">
        <v>0</v>
      </c>
      <c r="V1204" t="s">
        <v>32</v>
      </c>
      <c r="W1204" t="s">
        <v>39</v>
      </c>
      <c r="X1204" s="4">
        <v>8.8000000000000007</v>
      </c>
      <c r="Y1204">
        <v>11</v>
      </c>
      <c r="Z1204" s="5">
        <v>250.86</v>
      </c>
    </row>
    <row r="1205" spans="1:26">
      <c r="A1205">
        <v>1204</v>
      </c>
      <c r="B1205">
        <v>385</v>
      </c>
      <c r="C1205" s="2">
        <v>46268</v>
      </c>
      <c r="D1205" t="s">
        <v>55</v>
      </c>
      <c r="E1205">
        <v>9</v>
      </c>
      <c r="F1205" s="3">
        <v>12.66</v>
      </c>
      <c r="G1205" t="s">
        <v>36</v>
      </c>
      <c r="H1205">
        <v>25</v>
      </c>
      <c r="I1205" t="s">
        <v>28</v>
      </c>
      <c r="J1205" s="4">
        <v>68.599999999999994</v>
      </c>
      <c r="K1205" s="4">
        <v>182.5</v>
      </c>
      <c r="L1205" s="4">
        <v>27.1</v>
      </c>
      <c r="M1205">
        <v>12</v>
      </c>
      <c r="N1205" t="s">
        <v>53</v>
      </c>
      <c r="O1205">
        <v>4</v>
      </c>
      <c r="P1205" s="4">
        <v>1174.5999999999999</v>
      </c>
      <c r="Q1205" t="s">
        <v>30</v>
      </c>
      <c r="R1205">
        <v>1</v>
      </c>
      <c r="S1205" t="s">
        <v>44</v>
      </c>
      <c r="T1205">
        <v>0</v>
      </c>
      <c r="U1205">
        <v>0</v>
      </c>
      <c r="V1205" t="s">
        <v>32</v>
      </c>
      <c r="W1205" t="s">
        <v>39</v>
      </c>
      <c r="X1205" s="4">
        <v>9.6999999999999993</v>
      </c>
      <c r="Y1205">
        <v>10</v>
      </c>
      <c r="Z1205" s="5">
        <v>286.58999999999997</v>
      </c>
    </row>
    <row r="1206" spans="1:26">
      <c r="A1206">
        <v>1205</v>
      </c>
      <c r="B1206">
        <v>385</v>
      </c>
      <c r="C1206" s="2">
        <v>46268</v>
      </c>
      <c r="D1206" t="s">
        <v>55</v>
      </c>
      <c r="E1206">
        <v>9</v>
      </c>
      <c r="F1206" s="3">
        <v>12.5</v>
      </c>
      <c r="G1206" t="s">
        <v>36</v>
      </c>
      <c r="H1206">
        <v>14</v>
      </c>
      <c r="I1206" t="s">
        <v>34</v>
      </c>
      <c r="J1206" s="4">
        <v>70</v>
      </c>
      <c r="K1206" s="4">
        <v>135.1</v>
      </c>
      <c r="L1206" s="4">
        <v>19.7</v>
      </c>
      <c r="M1206">
        <v>11</v>
      </c>
      <c r="N1206" t="s">
        <v>53</v>
      </c>
      <c r="O1206">
        <v>4</v>
      </c>
      <c r="P1206" s="4">
        <v>1174.5999999999999</v>
      </c>
      <c r="Q1206" t="s">
        <v>30</v>
      </c>
      <c r="R1206">
        <v>1</v>
      </c>
      <c r="S1206" t="s">
        <v>44</v>
      </c>
      <c r="T1206">
        <v>0</v>
      </c>
      <c r="U1206">
        <v>0</v>
      </c>
      <c r="V1206" t="s">
        <v>32</v>
      </c>
      <c r="W1206" t="s">
        <v>39</v>
      </c>
      <c r="X1206" s="4">
        <v>6.2</v>
      </c>
      <c r="Y1206">
        <v>4</v>
      </c>
      <c r="Z1206" s="5">
        <v>131.63999999999999</v>
      </c>
    </row>
    <row r="1207" spans="1:26">
      <c r="A1207">
        <v>1206</v>
      </c>
      <c r="B1207">
        <v>386</v>
      </c>
      <c r="C1207" s="2">
        <v>46248</v>
      </c>
      <c r="D1207" t="s">
        <v>26</v>
      </c>
      <c r="E1207">
        <v>8</v>
      </c>
      <c r="F1207" s="3">
        <v>12.44</v>
      </c>
      <c r="G1207" t="s">
        <v>36</v>
      </c>
      <c r="H1207">
        <v>30</v>
      </c>
      <c r="I1207" t="s">
        <v>28</v>
      </c>
      <c r="J1207" s="4">
        <v>61.8</v>
      </c>
      <c r="K1207" s="4">
        <v>142.9</v>
      </c>
      <c r="L1207" s="4">
        <v>26.4</v>
      </c>
      <c r="M1207">
        <v>17</v>
      </c>
      <c r="N1207" t="s">
        <v>60</v>
      </c>
      <c r="O1207">
        <v>2</v>
      </c>
      <c r="P1207" s="4">
        <v>1685.2</v>
      </c>
      <c r="Q1207" t="s">
        <v>48</v>
      </c>
      <c r="R1207">
        <v>1</v>
      </c>
      <c r="S1207" t="s">
        <v>44</v>
      </c>
      <c r="T1207">
        <v>0</v>
      </c>
      <c r="U1207">
        <v>1</v>
      </c>
      <c r="V1207" t="s">
        <v>32</v>
      </c>
      <c r="W1207" t="s">
        <v>33</v>
      </c>
      <c r="X1207" s="4">
        <v>7.1</v>
      </c>
      <c r="Y1207">
        <v>8</v>
      </c>
      <c r="Z1207" s="5">
        <v>273.22000000000003</v>
      </c>
    </row>
    <row r="1208" spans="1:26">
      <c r="A1208">
        <v>1207</v>
      </c>
      <c r="B1208">
        <v>386</v>
      </c>
      <c r="C1208" s="2">
        <v>46248</v>
      </c>
      <c r="D1208" t="s">
        <v>26</v>
      </c>
      <c r="E1208">
        <v>8</v>
      </c>
      <c r="F1208" s="3">
        <v>12.5</v>
      </c>
      <c r="G1208" t="s">
        <v>36</v>
      </c>
      <c r="H1208">
        <v>18</v>
      </c>
      <c r="I1208" t="s">
        <v>34</v>
      </c>
      <c r="J1208" s="4">
        <v>62.4</v>
      </c>
      <c r="K1208" s="4">
        <v>144.4</v>
      </c>
      <c r="L1208" s="4">
        <v>26.1</v>
      </c>
      <c r="M1208">
        <v>13</v>
      </c>
      <c r="N1208" t="s">
        <v>60</v>
      </c>
      <c r="O1208">
        <v>2</v>
      </c>
      <c r="P1208" s="4">
        <v>1685.2</v>
      </c>
      <c r="Q1208" t="s">
        <v>48</v>
      </c>
      <c r="R1208">
        <v>1</v>
      </c>
      <c r="S1208" t="s">
        <v>44</v>
      </c>
      <c r="T1208">
        <v>0</v>
      </c>
      <c r="U1208">
        <v>1</v>
      </c>
      <c r="V1208" t="s">
        <v>32</v>
      </c>
      <c r="W1208" t="s">
        <v>33</v>
      </c>
      <c r="X1208" s="4">
        <v>7.8</v>
      </c>
      <c r="Y1208">
        <v>9</v>
      </c>
      <c r="Z1208" s="5">
        <v>327.66000000000003</v>
      </c>
    </row>
    <row r="1209" spans="1:26">
      <c r="A1209">
        <v>1208</v>
      </c>
      <c r="B1209">
        <v>387</v>
      </c>
      <c r="C1209" s="2">
        <v>46054</v>
      </c>
      <c r="D1209" t="s">
        <v>58</v>
      </c>
      <c r="E1209">
        <v>2</v>
      </c>
      <c r="F1209" s="3">
        <v>11.06</v>
      </c>
      <c r="G1209" t="s">
        <v>36</v>
      </c>
      <c r="H1209">
        <v>65</v>
      </c>
      <c r="I1209" t="s">
        <v>28</v>
      </c>
      <c r="J1209" s="4">
        <v>71.2</v>
      </c>
      <c r="K1209" s="4">
        <v>187.9</v>
      </c>
      <c r="L1209" s="4">
        <v>25.7</v>
      </c>
      <c r="M1209">
        <v>18</v>
      </c>
      <c r="N1209" t="s">
        <v>47</v>
      </c>
      <c r="O1209">
        <v>3</v>
      </c>
      <c r="P1209" s="4">
        <v>95.8</v>
      </c>
      <c r="Q1209" t="s">
        <v>48</v>
      </c>
      <c r="R1209">
        <v>0</v>
      </c>
      <c r="S1209" t="s">
        <v>44</v>
      </c>
      <c r="T1209">
        <v>1</v>
      </c>
      <c r="U1209">
        <v>0</v>
      </c>
      <c r="V1209" t="s">
        <v>32</v>
      </c>
      <c r="W1209" t="s">
        <v>39</v>
      </c>
      <c r="X1209" s="4">
        <v>9.1999999999999993</v>
      </c>
      <c r="Y1209">
        <v>7</v>
      </c>
      <c r="Z1209" s="5">
        <v>503.84</v>
      </c>
    </row>
    <row r="1210" spans="1:26">
      <c r="A1210">
        <v>1209</v>
      </c>
      <c r="B1210">
        <v>387</v>
      </c>
      <c r="C1210" s="2">
        <v>46054</v>
      </c>
      <c r="D1210" t="s">
        <v>58</v>
      </c>
      <c r="E1210">
        <v>2</v>
      </c>
      <c r="F1210" s="3">
        <v>11.29</v>
      </c>
      <c r="G1210" t="s">
        <v>36</v>
      </c>
      <c r="H1210">
        <v>45</v>
      </c>
      <c r="I1210" t="s">
        <v>34</v>
      </c>
      <c r="J1210" s="4">
        <v>66.3</v>
      </c>
      <c r="K1210" s="4">
        <v>212.7</v>
      </c>
      <c r="L1210" s="4">
        <v>34</v>
      </c>
      <c r="M1210">
        <v>15</v>
      </c>
      <c r="N1210" t="s">
        <v>47</v>
      </c>
      <c r="O1210">
        <v>3</v>
      </c>
      <c r="P1210" s="4">
        <v>95.8</v>
      </c>
      <c r="Q1210" t="s">
        <v>48</v>
      </c>
      <c r="R1210">
        <v>0</v>
      </c>
      <c r="S1210" t="s">
        <v>44</v>
      </c>
      <c r="T1210">
        <v>1</v>
      </c>
      <c r="U1210">
        <v>0</v>
      </c>
      <c r="V1210" t="s">
        <v>32</v>
      </c>
      <c r="W1210" t="s">
        <v>39</v>
      </c>
      <c r="X1210" s="4">
        <v>8.4</v>
      </c>
      <c r="Y1210">
        <v>14</v>
      </c>
      <c r="Z1210" s="5">
        <v>268.68</v>
      </c>
    </row>
    <row r="1211" spans="1:26">
      <c r="A1211">
        <v>1210</v>
      </c>
      <c r="B1211">
        <v>387</v>
      </c>
      <c r="C1211" s="2">
        <v>46054</v>
      </c>
      <c r="D1211" t="s">
        <v>58</v>
      </c>
      <c r="E1211">
        <v>2</v>
      </c>
      <c r="F1211" s="3">
        <v>11.26</v>
      </c>
      <c r="G1211" t="s">
        <v>36</v>
      </c>
      <c r="H1211">
        <v>40</v>
      </c>
      <c r="I1211" t="s">
        <v>28</v>
      </c>
      <c r="J1211" s="4">
        <v>69.099999999999994</v>
      </c>
      <c r="K1211" s="4">
        <v>174.9</v>
      </c>
      <c r="L1211" s="4">
        <v>25.8</v>
      </c>
      <c r="M1211">
        <v>15</v>
      </c>
      <c r="N1211" t="s">
        <v>47</v>
      </c>
      <c r="O1211">
        <v>3</v>
      </c>
      <c r="P1211" s="4">
        <v>95.8</v>
      </c>
      <c r="Q1211" t="s">
        <v>48</v>
      </c>
      <c r="R1211">
        <v>0</v>
      </c>
      <c r="S1211" t="s">
        <v>44</v>
      </c>
      <c r="T1211">
        <v>1</v>
      </c>
      <c r="U1211">
        <v>0</v>
      </c>
      <c r="V1211" t="s">
        <v>32</v>
      </c>
      <c r="W1211" t="s">
        <v>39</v>
      </c>
      <c r="X1211" s="4">
        <v>8.5</v>
      </c>
      <c r="Y1211">
        <v>13</v>
      </c>
      <c r="Z1211" s="5">
        <v>415.91</v>
      </c>
    </row>
    <row r="1212" spans="1:26">
      <c r="A1212">
        <v>1211</v>
      </c>
      <c r="B1212">
        <v>388</v>
      </c>
      <c r="C1212" s="2">
        <v>46321</v>
      </c>
      <c r="D1212" t="s">
        <v>46</v>
      </c>
      <c r="E1212">
        <v>10</v>
      </c>
      <c r="F1212" s="3">
        <v>10.050000000000001</v>
      </c>
      <c r="G1212" t="s">
        <v>27</v>
      </c>
      <c r="H1212">
        <v>57</v>
      </c>
      <c r="I1212" t="s">
        <v>34</v>
      </c>
      <c r="J1212" s="4">
        <v>68.099999999999994</v>
      </c>
      <c r="K1212" s="4">
        <v>195</v>
      </c>
      <c r="L1212" s="4">
        <v>29.4</v>
      </c>
      <c r="M1212">
        <v>20</v>
      </c>
      <c r="N1212" t="s">
        <v>47</v>
      </c>
      <c r="O1212">
        <v>1</v>
      </c>
      <c r="P1212" s="4">
        <v>112.3</v>
      </c>
      <c r="Q1212" t="s">
        <v>48</v>
      </c>
      <c r="R1212">
        <v>1</v>
      </c>
      <c r="S1212" t="s">
        <v>44</v>
      </c>
      <c r="T1212">
        <v>0</v>
      </c>
      <c r="U1212">
        <v>0</v>
      </c>
      <c r="V1212" t="s">
        <v>32</v>
      </c>
      <c r="W1212" t="s">
        <v>43</v>
      </c>
      <c r="X1212" s="4">
        <v>8.6</v>
      </c>
      <c r="Y1212">
        <v>6</v>
      </c>
      <c r="Z1212" s="5">
        <v>153.33000000000001</v>
      </c>
    </row>
    <row r="1213" spans="1:26">
      <c r="A1213">
        <v>1212</v>
      </c>
      <c r="B1213">
        <v>389</v>
      </c>
      <c r="C1213" s="2">
        <v>46224</v>
      </c>
      <c r="D1213" t="s">
        <v>35</v>
      </c>
      <c r="E1213">
        <v>7</v>
      </c>
      <c r="F1213" s="3">
        <v>11.81</v>
      </c>
      <c r="G1213" t="s">
        <v>36</v>
      </c>
      <c r="H1213">
        <v>18</v>
      </c>
      <c r="I1213" t="s">
        <v>28</v>
      </c>
      <c r="J1213" s="4">
        <v>72.5</v>
      </c>
      <c r="K1213" s="4">
        <v>221.6</v>
      </c>
      <c r="L1213" s="4">
        <v>29.6</v>
      </c>
      <c r="M1213">
        <v>13</v>
      </c>
      <c r="N1213" t="s">
        <v>66</v>
      </c>
      <c r="O1213">
        <v>5</v>
      </c>
      <c r="P1213" s="4">
        <v>468.4</v>
      </c>
      <c r="Q1213" t="s">
        <v>30</v>
      </c>
      <c r="R1213">
        <v>0</v>
      </c>
      <c r="S1213" t="s">
        <v>31</v>
      </c>
      <c r="T1213">
        <v>0</v>
      </c>
      <c r="U1213">
        <v>0</v>
      </c>
      <c r="V1213" t="s">
        <v>45</v>
      </c>
      <c r="W1213" t="s">
        <v>43</v>
      </c>
      <c r="X1213" s="4">
        <v>10.3</v>
      </c>
      <c r="Y1213">
        <v>11</v>
      </c>
      <c r="Z1213" s="5">
        <v>139.91999999999999</v>
      </c>
    </row>
    <row r="1214" spans="1:26">
      <c r="A1214">
        <v>1213</v>
      </c>
      <c r="B1214">
        <v>389</v>
      </c>
      <c r="C1214" s="2">
        <v>46224</v>
      </c>
      <c r="D1214" t="s">
        <v>35</v>
      </c>
      <c r="E1214">
        <v>7</v>
      </c>
      <c r="F1214" s="3">
        <v>11.64</v>
      </c>
      <c r="G1214" t="s">
        <v>36</v>
      </c>
      <c r="H1214">
        <v>26</v>
      </c>
      <c r="I1214" t="s">
        <v>28</v>
      </c>
      <c r="J1214" s="4">
        <v>64.7</v>
      </c>
      <c r="K1214" s="4">
        <v>208.1</v>
      </c>
      <c r="L1214" s="4">
        <v>34.799999999999997</v>
      </c>
      <c r="M1214">
        <v>12</v>
      </c>
      <c r="N1214" t="s">
        <v>66</v>
      </c>
      <c r="O1214">
        <v>5</v>
      </c>
      <c r="P1214" s="4">
        <v>468.4</v>
      </c>
      <c r="Q1214" t="s">
        <v>30</v>
      </c>
      <c r="R1214">
        <v>0</v>
      </c>
      <c r="S1214" t="s">
        <v>31</v>
      </c>
      <c r="T1214">
        <v>0</v>
      </c>
      <c r="U1214">
        <v>0</v>
      </c>
      <c r="V1214" t="s">
        <v>45</v>
      </c>
      <c r="W1214" t="s">
        <v>43</v>
      </c>
      <c r="X1214" s="4">
        <v>7.8</v>
      </c>
      <c r="Y1214">
        <v>6</v>
      </c>
      <c r="Z1214" s="5">
        <v>175.78</v>
      </c>
    </row>
    <row r="1215" spans="1:26">
      <c r="A1215">
        <v>1214</v>
      </c>
      <c r="B1215">
        <v>389</v>
      </c>
      <c r="C1215" s="2">
        <v>46224</v>
      </c>
      <c r="D1215" t="s">
        <v>35</v>
      </c>
      <c r="E1215">
        <v>7</v>
      </c>
      <c r="F1215" s="3">
        <v>11.57</v>
      </c>
      <c r="G1215" t="s">
        <v>36</v>
      </c>
      <c r="H1215">
        <v>50</v>
      </c>
      <c r="I1215" t="s">
        <v>28</v>
      </c>
      <c r="J1215" s="4">
        <v>65.099999999999994</v>
      </c>
      <c r="K1215" s="4">
        <v>198.1</v>
      </c>
      <c r="L1215" s="4">
        <v>33</v>
      </c>
      <c r="M1215">
        <v>12</v>
      </c>
      <c r="N1215" t="s">
        <v>66</v>
      </c>
      <c r="O1215">
        <v>5</v>
      </c>
      <c r="P1215" s="4">
        <v>468.4</v>
      </c>
      <c r="Q1215" t="s">
        <v>30</v>
      </c>
      <c r="R1215">
        <v>0</v>
      </c>
      <c r="S1215" t="s">
        <v>31</v>
      </c>
      <c r="T1215">
        <v>0</v>
      </c>
      <c r="U1215">
        <v>0</v>
      </c>
      <c r="V1215" t="s">
        <v>45</v>
      </c>
      <c r="W1215" t="s">
        <v>43</v>
      </c>
      <c r="X1215" s="4">
        <v>7.4</v>
      </c>
      <c r="Y1215">
        <v>6</v>
      </c>
      <c r="Z1215" s="5">
        <v>165.58</v>
      </c>
    </row>
    <row r="1216" spans="1:26">
      <c r="A1216">
        <v>1215</v>
      </c>
      <c r="B1216">
        <v>389</v>
      </c>
      <c r="C1216" s="2">
        <v>46224</v>
      </c>
      <c r="D1216" t="s">
        <v>35</v>
      </c>
      <c r="E1216">
        <v>7</v>
      </c>
      <c r="F1216" s="3">
        <v>11.68</v>
      </c>
      <c r="G1216" t="s">
        <v>36</v>
      </c>
      <c r="H1216">
        <v>61</v>
      </c>
      <c r="I1216" t="s">
        <v>34</v>
      </c>
      <c r="J1216" s="4">
        <v>63.4</v>
      </c>
      <c r="K1216" s="4">
        <v>170</v>
      </c>
      <c r="L1216" s="4">
        <v>29.7</v>
      </c>
      <c r="M1216">
        <v>12</v>
      </c>
      <c r="N1216" t="s">
        <v>66</v>
      </c>
      <c r="O1216">
        <v>5</v>
      </c>
      <c r="P1216" s="4">
        <v>468.4</v>
      </c>
      <c r="Q1216" t="s">
        <v>30</v>
      </c>
      <c r="R1216">
        <v>0</v>
      </c>
      <c r="S1216" t="s">
        <v>31</v>
      </c>
      <c r="T1216">
        <v>0</v>
      </c>
      <c r="U1216">
        <v>0</v>
      </c>
      <c r="V1216" t="s">
        <v>45</v>
      </c>
      <c r="W1216" t="s">
        <v>43</v>
      </c>
      <c r="X1216" s="4">
        <v>8</v>
      </c>
      <c r="Y1216">
        <v>11</v>
      </c>
      <c r="Z1216" s="5">
        <v>147.69999999999999</v>
      </c>
    </row>
    <row r="1217" spans="1:26">
      <c r="A1217">
        <v>1216</v>
      </c>
      <c r="B1217">
        <v>389</v>
      </c>
      <c r="C1217" s="2">
        <v>46224</v>
      </c>
      <c r="D1217" t="s">
        <v>35</v>
      </c>
      <c r="E1217">
        <v>7</v>
      </c>
      <c r="F1217" s="3">
        <v>11.65</v>
      </c>
      <c r="G1217" t="s">
        <v>36</v>
      </c>
      <c r="H1217">
        <v>18</v>
      </c>
      <c r="I1217" t="s">
        <v>28</v>
      </c>
      <c r="J1217" s="4">
        <v>69.7</v>
      </c>
      <c r="K1217" s="4">
        <v>202.2</v>
      </c>
      <c r="L1217" s="4">
        <v>28.9</v>
      </c>
      <c r="M1217">
        <v>12</v>
      </c>
      <c r="N1217" t="s">
        <v>66</v>
      </c>
      <c r="O1217">
        <v>5</v>
      </c>
      <c r="P1217" s="4">
        <v>468.4</v>
      </c>
      <c r="Q1217" t="s">
        <v>30</v>
      </c>
      <c r="R1217">
        <v>0</v>
      </c>
      <c r="S1217" t="s">
        <v>31</v>
      </c>
      <c r="T1217">
        <v>0</v>
      </c>
      <c r="U1217">
        <v>0</v>
      </c>
      <c r="V1217" t="s">
        <v>45</v>
      </c>
      <c r="W1217" t="s">
        <v>43</v>
      </c>
      <c r="X1217" s="4">
        <v>8.6999999999999993</v>
      </c>
      <c r="Y1217">
        <v>9</v>
      </c>
      <c r="Z1217" s="5">
        <v>191.01</v>
      </c>
    </row>
    <row r="1218" spans="1:26">
      <c r="A1218">
        <v>1217</v>
      </c>
      <c r="B1218">
        <v>390</v>
      </c>
      <c r="C1218" s="2">
        <v>46167</v>
      </c>
      <c r="D1218" t="s">
        <v>46</v>
      </c>
      <c r="E1218">
        <v>5</v>
      </c>
      <c r="F1218" s="3">
        <v>10.51</v>
      </c>
      <c r="G1218" t="s">
        <v>27</v>
      </c>
      <c r="H1218">
        <v>18</v>
      </c>
      <c r="I1218" t="s">
        <v>28</v>
      </c>
      <c r="J1218" s="4">
        <v>68.900000000000006</v>
      </c>
      <c r="K1218" s="4">
        <v>159.6</v>
      </c>
      <c r="L1218" s="4">
        <v>23.6</v>
      </c>
      <c r="M1218">
        <v>12</v>
      </c>
      <c r="N1218" t="s">
        <v>47</v>
      </c>
      <c r="O1218">
        <v>3</v>
      </c>
      <c r="P1218" s="4">
        <v>56.4</v>
      </c>
      <c r="Q1218" t="s">
        <v>42</v>
      </c>
      <c r="R1218">
        <v>0</v>
      </c>
      <c r="S1218" t="s">
        <v>31</v>
      </c>
      <c r="T1218">
        <v>1</v>
      </c>
      <c r="U1218">
        <v>0</v>
      </c>
      <c r="V1218" t="s">
        <v>32</v>
      </c>
      <c r="W1218" t="s">
        <v>49</v>
      </c>
      <c r="X1218" s="4">
        <v>8.5</v>
      </c>
      <c r="Y1218">
        <v>10</v>
      </c>
      <c r="Z1218" s="5">
        <v>156.24</v>
      </c>
    </row>
    <row r="1219" spans="1:26">
      <c r="A1219">
        <v>1218</v>
      </c>
      <c r="B1219">
        <v>390</v>
      </c>
      <c r="C1219" s="2">
        <v>46167</v>
      </c>
      <c r="D1219" t="s">
        <v>46</v>
      </c>
      <c r="E1219">
        <v>5</v>
      </c>
      <c r="F1219" s="3">
        <v>10.73</v>
      </c>
      <c r="G1219" t="s">
        <v>27</v>
      </c>
      <c r="H1219">
        <v>39</v>
      </c>
      <c r="I1219" t="s">
        <v>28</v>
      </c>
      <c r="J1219" s="4">
        <v>70.400000000000006</v>
      </c>
      <c r="K1219" s="4">
        <v>180.6</v>
      </c>
      <c r="L1219" s="4">
        <v>25.8</v>
      </c>
      <c r="M1219">
        <v>14</v>
      </c>
      <c r="N1219" t="s">
        <v>47</v>
      </c>
      <c r="O1219">
        <v>3</v>
      </c>
      <c r="P1219" s="4">
        <v>56.4</v>
      </c>
      <c r="Q1219" t="s">
        <v>42</v>
      </c>
      <c r="R1219">
        <v>0</v>
      </c>
      <c r="S1219" t="s">
        <v>31</v>
      </c>
      <c r="T1219">
        <v>1</v>
      </c>
      <c r="U1219">
        <v>0</v>
      </c>
      <c r="V1219" t="s">
        <v>32</v>
      </c>
      <c r="W1219" t="s">
        <v>49</v>
      </c>
      <c r="X1219" s="4">
        <v>8.9</v>
      </c>
      <c r="Y1219">
        <v>14</v>
      </c>
      <c r="Z1219" s="5">
        <v>209.49</v>
      </c>
    </row>
    <row r="1220" spans="1:26">
      <c r="A1220">
        <v>1219</v>
      </c>
      <c r="B1220">
        <v>390</v>
      </c>
      <c r="C1220" s="2">
        <v>46167</v>
      </c>
      <c r="D1220" t="s">
        <v>46</v>
      </c>
      <c r="E1220">
        <v>5</v>
      </c>
      <c r="F1220" s="3">
        <v>10.59</v>
      </c>
      <c r="G1220" t="s">
        <v>27</v>
      </c>
      <c r="H1220">
        <v>37</v>
      </c>
      <c r="I1220" t="s">
        <v>34</v>
      </c>
      <c r="J1220" s="4">
        <v>67.900000000000006</v>
      </c>
      <c r="K1220" s="4">
        <v>149.9</v>
      </c>
      <c r="L1220" s="4">
        <v>22.9</v>
      </c>
      <c r="M1220">
        <v>16</v>
      </c>
      <c r="N1220" t="s">
        <v>47</v>
      </c>
      <c r="O1220">
        <v>3</v>
      </c>
      <c r="P1220" s="4">
        <v>56.4</v>
      </c>
      <c r="Q1220" t="s">
        <v>42</v>
      </c>
      <c r="R1220">
        <v>0</v>
      </c>
      <c r="S1220" t="s">
        <v>31</v>
      </c>
      <c r="T1220">
        <v>1</v>
      </c>
      <c r="U1220">
        <v>0</v>
      </c>
      <c r="V1220" t="s">
        <v>32</v>
      </c>
      <c r="W1220" t="s">
        <v>49</v>
      </c>
      <c r="X1220" s="4">
        <v>8.9</v>
      </c>
      <c r="Y1220">
        <v>6</v>
      </c>
      <c r="Z1220" s="5">
        <v>222.25</v>
      </c>
    </row>
    <row r="1221" spans="1:26">
      <c r="A1221">
        <v>1220</v>
      </c>
      <c r="B1221">
        <v>391</v>
      </c>
      <c r="C1221" s="2">
        <v>46190</v>
      </c>
      <c r="D1221" t="s">
        <v>52</v>
      </c>
      <c r="E1221">
        <v>6</v>
      </c>
      <c r="F1221" s="3">
        <v>9.91</v>
      </c>
      <c r="G1221" t="s">
        <v>27</v>
      </c>
      <c r="H1221">
        <v>55</v>
      </c>
      <c r="I1221" t="s">
        <v>28</v>
      </c>
      <c r="J1221" s="4">
        <v>68.2</v>
      </c>
      <c r="K1221" s="4">
        <v>179.5</v>
      </c>
      <c r="L1221" s="4">
        <v>27</v>
      </c>
      <c r="M1221">
        <v>16</v>
      </c>
      <c r="N1221" t="s">
        <v>41</v>
      </c>
      <c r="O1221">
        <v>3</v>
      </c>
      <c r="P1221" s="4">
        <v>2953.8</v>
      </c>
      <c r="Q1221" t="s">
        <v>42</v>
      </c>
      <c r="R1221">
        <v>1</v>
      </c>
      <c r="S1221" t="s">
        <v>44</v>
      </c>
      <c r="T1221">
        <v>0</v>
      </c>
      <c r="U1221">
        <v>1</v>
      </c>
      <c r="V1221" t="s">
        <v>32</v>
      </c>
      <c r="W1221" t="s">
        <v>33</v>
      </c>
      <c r="X1221" s="4">
        <v>10.199999999999999</v>
      </c>
      <c r="Y1221">
        <v>9</v>
      </c>
      <c r="Z1221" s="5">
        <v>379.17</v>
      </c>
    </row>
    <row r="1222" spans="1:26">
      <c r="A1222">
        <v>1221</v>
      </c>
      <c r="B1222">
        <v>391</v>
      </c>
      <c r="C1222" s="2">
        <v>46190</v>
      </c>
      <c r="D1222" t="s">
        <v>52</v>
      </c>
      <c r="E1222">
        <v>6</v>
      </c>
      <c r="F1222" s="3">
        <v>9.93</v>
      </c>
      <c r="G1222" t="s">
        <v>27</v>
      </c>
      <c r="H1222">
        <v>61</v>
      </c>
      <c r="I1222" t="s">
        <v>28</v>
      </c>
      <c r="J1222" s="4">
        <v>67.900000000000006</v>
      </c>
      <c r="K1222" s="4">
        <v>181.9</v>
      </c>
      <c r="L1222" s="4">
        <v>27.7</v>
      </c>
      <c r="M1222">
        <v>13</v>
      </c>
      <c r="N1222" t="s">
        <v>41</v>
      </c>
      <c r="O1222">
        <v>3</v>
      </c>
      <c r="P1222" s="4">
        <v>2953.8</v>
      </c>
      <c r="Q1222" t="s">
        <v>42</v>
      </c>
      <c r="R1222">
        <v>1</v>
      </c>
      <c r="S1222" t="s">
        <v>44</v>
      </c>
      <c r="T1222">
        <v>0</v>
      </c>
      <c r="U1222">
        <v>1</v>
      </c>
      <c r="V1222" t="s">
        <v>32</v>
      </c>
      <c r="W1222" t="s">
        <v>33</v>
      </c>
      <c r="X1222" s="4">
        <v>7.9</v>
      </c>
      <c r="Y1222">
        <v>6</v>
      </c>
      <c r="Z1222" s="5">
        <v>164.83</v>
      </c>
    </row>
    <row r="1223" spans="1:26">
      <c r="A1223">
        <v>1222</v>
      </c>
      <c r="B1223">
        <v>391</v>
      </c>
      <c r="C1223" s="2">
        <v>46190</v>
      </c>
      <c r="D1223" t="s">
        <v>52</v>
      </c>
      <c r="E1223">
        <v>6</v>
      </c>
      <c r="F1223" s="3">
        <v>10.02</v>
      </c>
      <c r="G1223" t="s">
        <v>27</v>
      </c>
      <c r="H1223">
        <v>18</v>
      </c>
      <c r="I1223" t="s">
        <v>28</v>
      </c>
      <c r="J1223" s="4">
        <v>68</v>
      </c>
      <c r="K1223" s="4">
        <v>163.80000000000001</v>
      </c>
      <c r="L1223" s="4">
        <v>24.7</v>
      </c>
      <c r="M1223">
        <v>13</v>
      </c>
      <c r="N1223" t="s">
        <v>41</v>
      </c>
      <c r="O1223">
        <v>3</v>
      </c>
      <c r="P1223" s="4">
        <v>2953.8</v>
      </c>
      <c r="Q1223" t="s">
        <v>42</v>
      </c>
      <c r="R1223">
        <v>1</v>
      </c>
      <c r="S1223" t="s">
        <v>44</v>
      </c>
      <c r="T1223">
        <v>0</v>
      </c>
      <c r="U1223">
        <v>1</v>
      </c>
      <c r="V1223" t="s">
        <v>32</v>
      </c>
      <c r="W1223" t="s">
        <v>33</v>
      </c>
      <c r="X1223" s="4">
        <v>9.4</v>
      </c>
      <c r="Y1223">
        <v>10</v>
      </c>
      <c r="Z1223" s="5">
        <v>213.19</v>
      </c>
    </row>
    <row r="1224" spans="1:26">
      <c r="A1224">
        <v>1223</v>
      </c>
      <c r="B1224">
        <v>392</v>
      </c>
      <c r="C1224" s="2">
        <v>46131</v>
      </c>
      <c r="D1224" t="s">
        <v>58</v>
      </c>
      <c r="E1224">
        <v>4</v>
      </c>
      <c r="F1224" s="3">
        <v>9.33</v>
      </c>
      <c r="G1224" t="s">
        <v>27</v>
      </c>
      <c r="H1224">
        <v>33</v>
      </c>
      <c r="I1224" t="s">
        <v>34</v>
      </c>
      <c r="J1224" s="4">
        <v>64.400000000000006</v>
      </c>
      <c r="K1224" s="4">
        <v>199.7</v>
      </c>
      <c r="L1224" s="4">
        <v>33.700000000000003</v>
      </c>
      <c r="M1224">
        <v>17</v>
      </c>
      <c r="N1224" t="s">
        <v>47</v>
      </c>
      <c r="O1224">
        <v>1</v>
      </c>
      <c r="P1224" s="4">
        <v>2</v>
      </c>
      <c r="Q1224" t="s">
        <v>42</v>
      </c>
      <c r="R1224">
        <v>0</v>
      </c>
      <c r="S1224" t="s">
        <v>31</v>
      </c>
      <c r="T1224">
        <v>0</v>
      </c>
      <c r="U1224">
        <v>0</v>
      </c>
      <c r="V1224" t="s">
        <v>32</v>
      </c>
      <c r="W1224" t="s">
        <v>39</v>
      </c>
      <c r="X1224" s="4">
        <v>9.3000000000000007</v>
      </c>
      <c r="Y1224">
        <v>10</v>
      </c>
      <c r="Z1224" s="5">
        <v>305.92</v>
      </c>
    </row>
    <row r="1225" spans="1:26">
      <c r="A1225">
        <v>1224</v>
      </c>
      <c r="B1225">
        <v>393</v>
      </c>
      <c r="C1225" s="2">
        <v>46337</v>
      </c>
      <c r="D1225" t="s">
        <v>52</v>
      </c>
      <c r="E1225">
        <v>11</v>
      </c>
      <c r="F1225" s="3">
        <v>10.27</v>
      </c>
      <c r="G1225" t="s">
        <v>27</v>
      </c>
      <c r="H1225">
        <v>37</v>
      </c>
      <c r="I1225" t="s">
        <v>34</v>
      </c>
      <c r="J1225" s="4">
        <v>62.2</v>
      </c>
      <c r="K1225" s="4">
        <v>127.9</v>
      </c>
      <c r="L1225" s="4">
        <v>23.3</v>
      </c>
      <c r="M1225">
        <v>14</v>
      </c>
      <c r="N1225" t="s">
        <v>47</v>
      </c>
      <c r="O1225">
        <v>3</v>
      </c>
      <c r="P1225" s="4">
        <v>133.1</v>
      </c>
      <c r="Q1225" t="s">
        <v>30</v>
      </c>
      <c r="R1225">
        <v>0</v>
      </c>
      <c r="S1225" t="s">
        <v>44</v>
      </c>
      <c r="T1225">
        <v>0</v>
      </c>
      <c r="U1225">
        <v>0</v>
      </c>
      <c r="V1225" t="s">
        <v>32</v>
      </c>
      <c r="W1225" t="s">
        <v>49</v>
      </c>
      <c r="X1225" s="4">
        <v>8.8000000000000007</v>
      </c>
      <c r="Y1225">
        <v>15</v>
      </c>
      <c r="Z1225" s="5">
        <v>268.52999999999997</v>
      </c>
    </row>
    <row r="1226" spans="1:26">
      <c r="A1226">
        <v>1225</v>
      </c>
      <c r="B1226">
        <v>393</v>
      </c>
      <c r="C1226" s="2">
        <v>46337</v>
      </c>
      <c r="D1226" t="s">
        <v>52</v>
      </c>
      <c r="E1226">
        <v>11</v>
      </c>
      <c r="F1226" s="3">
        <v>9.91</v>
      </c>
      <c r="G1226" t="s">
        <v>27</v>
      </c>
      <c r="H1226">
        <v>41</v>
      </c>
      <c r="I1226" t="s">
        <v>28</v>
      </c>
      <c r="J1226" s="4">
        <v>71</v>
      </c>
      <c r="K1226" s="4">
        <v>154.9</v>
      </c>
      <c r="L1226" s="4">
        <v>21.5</v>
      </c>
      <c r="M1226">
        <v>15</v>
      </c>
      <c r="N1226" t="s">
        <v>47</v>
      </c>
      <c r="O1226">
        <v>3</v>
      </c>
      <c r="P1226" s="4">
        <v>133.1</v>
      </c>
      <c r="Q1226" t="s">
        <v>30</v>
      </c>
      <c r="R1226">
        <v>0</v>
      </c>
      <c r="S1226" t="s">
        <v>44</v>
      </c>
      <c r="T1226">
        <v>0</v>
      </c>
      <c r="U1226">
        <v>0</v>
      </c>
      <c r="V1226" t="s">
        <v>32</v>
      </c>
      <c r="W1226" t="s">
        <v>49</v>
      </c>
      <c r="X1226" s="4">
        <v>7.2</v>
      </c>
      <c r="Y1226">
        <v>6</v>
      </c>
      <c r="Z1226" s="5">
        <v>179.58</v>
      </c>
    </row>
    <row r="1227" spans="1:26">
      <c r="A1227">
        <v>1226</v>
      </c>
      <c r="B1227">
        <v>393</v>
      </c>
      <c r="C1227" s="2">
        <v>46337</v>
      </c>
      <c r="D1227" t="s">
        <v>52</v>
      </c>
      <c r="E1227">
        <v>11</v>
      </c>
      <c r="F1227" s="3">
        <v>10.01</v>
      </c>
      <c r="G1227" t="s">
        <v>27</v>
      </c>
      <c r="H1227">
        <v>7</v>
      </c>
      <c r="I1227" t="s">
        <v>28</v>
      </c>
      <c r="J1227" s="4">
        <v>57.8</v>
      </c>
      <c r="K1227" s="4">
        <v>99.9</v>
      </c>
      <c r="L1227" s="4">
        <v>20.9</v>
      </c>
      <c r="M1227">
        <v>7</v>
      </c>
      <c r="N1227" t="s">
        <v>47</v>
      </c>
      <c r="O1227">
        <v>3</v>
      </c>
      <c r="P1227" s="4">
        <v>133.1</v>
      </c>
      <c r="Q1227" t="s">
        <v>30</v>
      </c>
      <c r="R1227">
        <v>0</v>
      </c>
      <c r="S1227" t="s">
        <v>44</v>
      </c>
      <c r="T1227">
        <v>0</v>
      </c>
      <c r="U1227">
        <v>0</v>
      </c>
      <c r="V1227" t="s">
        <v>32</v>
      </c>
      <c r="W1227" t="s">
        <v>49</v>
      </c>
      <c r="X1227" s="4">
        <v>7.7</v>
      </c>
      <c r="Y1227">
        <v>7</v>
      </c>
      <c r="Z1227" s="5">
        <v>127.76</v>
      </c>
    </row>
    <row r="1228" spans="1:26">
      <c r="A1228">
        <v>1227</v>
      </c>
      <c r="B1228">
        <v>394</v>
      </c>
      <c r="C1228" s="2">
        <v>46202</v>
      </c>
      <c r="D1228" t="s">
        <v>46</v>
      </c>
      <c r="E1228">
        <v>6</v>
      </c>
      <c r="F1228" s="3">
        <v>11.79</v>
      </c>
      <c r="G1228" t="s">
        <v>36</v>
      </c>
      <c r="H1228">
        <v>46</v>
      </c>
      <c r="I1228" t="s">
        <v>28</v>
      </c>
      <c r="J1228" s="4">
        <v>65.7</v>
      </c>
      <c r="K1228" s="4">
        <v>156.19999999999999</v>
      </c>
      <c r="L1228" s="4">
        <v>25.2</v>
      </c>
      <c r="M1228">
        <v>15</v>
      </c>
      <c r="N1228" t="s">
        <v>47</v>
      </c>
      <c r="O1228">
        <v>4</v>
      </c>
      <c r="P1228" s="4">
        <v>25.2</v>
      </c>
      <c r="Q1228" t="s">
        <v>42</v>
      </c>
      <c r="R1228">
        <v>0</v>
      </c>
      <c r="S1228" t="s">
        <v>31</v>
      </c>
      <c r="T1228">
        <v>1</v>
      </c>
      <c r="U1228">
        <v>0</v>
      </c>
      <c r="V1228" t="s">
        <v>32</v>
      </c>
      <c r="W1228" t="s">
        <v>57</v>
      </c>
      <c r="X1228" s="4">
        <v>8</v>
      </c>
      <c r="Y1228">
        <v>8</v>
      </c>
      <c r="Z1228" s="5">
        <v>152.55000000000001</v>
      </c>
    </row>
    <row r="1229" spans="1:26">
      <c r="A1229">
        <v>1228</v>
      </c>
      <c r="B1229">
        <v>394</v>
      </c>
      <c r="C1229" s="2">
        <v>46202</v>
      </c>
      <c r="D1229" t="s">
        <v>46</v>
      </c>
      <c r="E1229">
        <v>6</v>
      </c>
      <c r="F1229" s="3">
        <v>11.79</v>
      </c>
      <c r="G1229" t="s">
        <v>36</v>
      </c>
      <c r="H1229">
        <v>65</v>
      </c>
      <c r="I1229" t="s">
        <v>28</v>
      </c>
      <c r="J1229" s="4">
        <v>71.7</v>
      </c>
      <c r="K1229" s="4">
        <v>193.8</v>
      </c>
      <c r="L1229" s="4">
        <v>26.7</v>
      </c>
      <c r="M1229">
        <v>18</v>
      </c>
      <c r="N1229" t="s">
        <v>47</v>
      </c>
      <c r="O1229">
        <v>4</v>
      </c>
      <c r="P1229" s="4">
        <v>25.2</v>
      </c>
      <c r="Q1229" t="s">
        <v>42</v>
      </c>
      <c r="R1229">
        <v>0</v>
      </c>
      <c r="S1229" t="s">
        <v>31</v>
      </c>
      <c r="T1229">
        <v>1</v>
      </c>
      <c r="U1229">
        <v>0</v>
      </c>
      <c r="V1229" t="s">
        <v>32</v>
      </c>
      <c r="W1229" t="s">
        <v>57</v>
      </c>
      <c r="X1229" s="4">
        <v>8.6</v>
      </c>
      <c r="Y1229">
        <v>7</v>
      </c>
      <c r="Z1229" s="5">
        <v>269.45</v>
      </c>
    </row>
    <row r="1230" spans="1:26">
      <c r="A1230">
        <v>1229</v>
      </c>
      <c r="B1230">
        <v>394</v>
      </c>
      <c r="C1230" s="2">
        <v>46202</v>
      </c>
      <c r="D1230" t="s">
        <v>46</v>
      </c>
      <c r="E1230">
        <v>6</v>
      </c>
      <c r="F1230" s="3">
        <v>11.97</v>
      </c>
      <c r="G1230" t="s">
        <v>36</v>
      </c>
      <c r="H1230">
        <v>72</v>
      </c>
      <c r="I1230" t="s">
        <v>34</v>
      </c>
      <c r="J1230" s="4">
        <v>61.8</v>
      </c>
      <c r="K1230" s="4">
        <v>105.7</v>
      </c>
      <c r="L1230" s="4">
        <v>19.5</v>
      </c>
      <c r="M1230">
        <v>14</v>
      </c>
      <c r="N1230" t="s">
        <v>47</v>
      </c>
      <c r="O1230">
        <v>4</v>
      </c>
      <c r="P1230" s="4">
        <v>25.2</v>
      </c>
      <c r="Q1230" t="s">
        <v>42</v>
      </c>
      <c r="R1230">
        <v>0</v>
      </c>
      <c r="S1230" t="s">
        <v>31</v>
      </c>
      <c r="T1230">
        <v>1</v>
      </c>
      <c r="U1230">
        <v>0</v>
      </c>
      <c r="V1230" t="s">
        <v>32</v>
      </c>
      <c r="W1230" t="s">
        <v>57</v>
      </c>
      <c r="X1230" s="4">
        <v>6.7</v>
      </c>
      <c r="Y1230">
        <v>7</v>
      </c>
      <c r="Z1230" s="5">
        <v>399.84</v>
      </c>
    </row>
    <row r="1231" spans="1:26">
      <c r="A1231">
        <v>1230</v>
      </c>
      <c r="B1231">
        <v>394</v>
      </c>
      <c r="C1231" s="2">
        <v>46202</v>
      </c>
      <c r="D1231" t="s">
        <v>46</v>
      </c>
      <c r="E1231">
        <v>6</v>
      </c>
      <c r="F1231" s="3">
        <v>11.76</v>
      </c>
      <c r="G1231" t="s">
        <v>36</v>
      </c>
      <c r="H1231">
        <v>27</v>
      </c>
      <c r="I1231" t="s">
        <v>34</v>
      </c>
      <c r="J1231" s="4">
        <v>68.900000000000006</v>
      </c>
      <c r="K1231" s="4">
        <v>160.69999999999999</v>
      </c>
      <c r="L1231" s="4">
        <v>23.9</v>
      </c>
      <c r="M1231">
        <v>15</v>
      </c>
      <c r="N1231" t="s">
        <v>47</v>
      </c>
      <c r="O1231">
        <v>4</v>
      </c>
      <c r="P1231" s="4">
        <v>25.2</v>
      </c>
      <c r="Q1231" t="s">
        <v>42</v>
      </c>
      <c r="R1231">
        <v>0</v>
      </c>
      <c r="S1231" t="s">
        <v>31</v>
      </c>
      <c r="T1231">
        <v>1</v>
      </c>
      <c r="U1231">
        <v>0</v>
      </c>
      <c r="V1231" t="s">
        <v>32</v>
      </c>
      <c r="W1231" t="s">
        <v>57</v>
      </c>
      <c r="X1231" s="4">
        <v>7.7</v>
      </c>
      <c r="Y1231">
        <v>12</v>
      </c>
      <c r="Z1231" s="5">
        <v>152.29</v>
      </c>
    </row>
    <row r="1232" spans="1:26">
      <c r="A1232">
        <v>1231</v>
      </c>
      <c r="B1232">
        <v>395</v>
      </c>
      <c r="C1232" s="2">
        <v>46340</v>
      </c>
      <c r="D1232" t="s">
        <v>40</v>
      </c>
      <c r="E1232">
        <v>11</v>
      </c>
      <c r="F1232" s="3">
        <v>12.05</v>
      </c>
      <c r="G1232" t="s">
        <v>36</v>
      </c>
      <c r="H1232">
        <v>62</v>
      </c>
      <c r="I1232" t="s">
        <v>28</v>
      </c>
      <c r="J1232" s="4">
        <v>74.400000000000006</v>
      </c>
      <c r="K1232" s="4">
        <v>274.10000000000002</v>
      </c>
      <c r="L1232" s="4">
        <v>34.9</v>
      </c>
      <c r="M1232">
        <v>18</v>
      </c>
      <c r="N1232" t="s">
        <v>60</v>
      </c>
      <c r="O1232">
        <v>1</v>
      </c>
      <c r="P1232" s="4">
        <v>1655.9</v>
      </c>
      <c r="Q1232" t="s">
        <v>48</v>
      </c>
      <c r="R1232">
        <v>1</v>
      </c>
      <c r="S1232" t="s">
        <v>31</v>
      </c>
      <c r="T1232">
        <v>0</v>
      </c>
      <c r="U1232">
        <v>1</v>
      </c>
      <c r="V1232" t="s">
        <v>32</v>
      </c>
      <c r="W1232" t="s">
        <v>33</v>
      </c>
      <c r="X1232" s="4">
        <v>11.7</v>
      </c>
      <c r="Y1232">
        <v>14</v>
      </c>
      <c r="Z1232" s="5">
        <v>324.95999999999998</v>
      </c>
    </row>
    <row r="1233" spans="1:26">
      <c r="A1233">
        <v>1232</v>
      </c>
      <c r="B1233">
        <v>396</v>
      </c>
      <c r="C1233" s="2">
        <v>46121</v>
      </c>
      <c r="D1233" t="s">
        <v>55</v>
      </c>
      <c r="E1233">
        <v>4</v>
      </c>
      <c r="F1233" s="3">
        <v>8.26</v>
      </c>
      <c r="G1233" t="s">
        <v>27</v>
      </c>
      <c r="H1233">
        <v>45</v>
      </c>
      <c r="I1233" t="s">
        <v>34</v>
      </c>
      <c r="J1233" s="4">
        <v>64.400000000000006</v>
      </c>
      <c r="K1233" s="4">
        <v>128.6</v>
      </c>
      <c r="L1233" s="4">
        <v>21.5</v>
      </c>
      <c r="M1233">
        <v>13</v>
      </c>
      <c r="N1233" t="s">
        <v>59</v>
      </c>
      <c r="O1233">
        <v>1</v>
      </c>
      <c r="P1233" s="4">
        <v>487.6</v>
      </c>
      <c r="Q1233" t="s">
        <v>30</v>
      </c>
      <c r="R1233">
        <v>1</v>
      </c>
      <c r="S1233" t="s">
        <v>44</v>
      </c>
      <c r="T1233">
        <v>0</v>
      </c>
      <c r="U1233">
        <v>0</v>
      </c>
      <c r="V1233" t="s">
        <v>32</v>
      </c>
      <c r="W1233" t="s">
        <v>43</v>
      </c>
      <c r="X1233" s="4">
        <v>10</v>
      </c>
      <c r="Y1233">
        <v>5</v>
      </c>
      <c r="Z1233" s="5">
        <v>192.55</v>
      </c>
    </row>
    <row r="1234" spans="1:26">
      <c r="A1234">
        <v>1233</v>
      </c>
      <c r="B1234">
        <v>397</v>
      </c>
      <c r="C1234" s="2">
        <v>46347</v>
      </c>
      <c r="D1234" t="s">
        <v>40</v>
      </c>
      <c r="E1234">
        <v>11</v>
      </c>
      <c r="F1234" s="3">
        <v>12.12</v>
      </c>
      <c r="G1234" t="s">
        <v>36</v>
      </c>
      <c r="H1234">
        <v>33</v>
      </c>
      <c r="I1234" t="s">
        <v>34</v>
      </c>
      <c r="J1234" s="4">
        <v>59.7</v>
      </c>
      <c r="K1234" s="4">
        <v>140.80000000000001</v>
      </c>
      <c r="L1234" s="4">
        <v>27.7</v>
      </c>
      <c r="M1234">
        <v>18</v>
      </c>
      <c r="N1234" t="s">
        <v>66</v>
      </c>
      <c r="O1234">
        <v>3</v>
      </c>
      <c r="P1234" s="4">
        <v>494.3</v>
      </c>
      <c r="Q1234" t="s">
        <v>42</v>
      </c>
      <c r="R1234">
        <v>0</v>
      </c>
      <c r="S1234" t="s">
        <v>31</v>
      </c>
      <c r="T1234">
        <v>1</v>
      </c>
      <c r="U1234">
        <v>0</v>
      </c>
      <c r="V1234" t="s">
        <v>32</v>
      </c>
      <c r="W1234" t="s">
        <v>39</v>
      </c>
      <c r="X1234" s="4">
        <v>7.5</v>
      </c>
      <c r="Y1234">
        <v>11</v>
      </c>
      <c r="Z1234" s="5">
        <v>211.31</v>
      </c>
    </row>
    <row r="1235" spans="1:26">
      <c r="A1235">
        <v>1234</v>
      </c>
      <c r="B1235">
        <v>397</v>
      </c>
      <c r="C1235" s="2">
        <v>46347</v>
      </c>
      <c r="D1235" t="s">
        <v>40</v>
      </c>
      <c r="E1235">
        <v>11</v>
      </c>
      <c r="F1235" s="3">
        <v>11.89</v>
      </c>
      <c r="G1235" t="s">
        <v>36</v>
      </c>
      <c r="H1235">
        <v>26</v>
      </c>
      <c r="I1235" t="s">
        <v>34</v>
      </c>
      <c r="J1235" s="4">
        <v>68.099999999999994</v>
      </c>
      <c r="K1235" s="4">
        <v>169.2</v>
      </c>
      <c r="L1235" s="4">
        <v>25.7</v>
      </c>
      <c r="M1235">
        <v>12</v>
      </c>
      <c r="N1235" t="s">
        <v>66</v>
      </c>
      <c r="O1235">
        <v>3</v>
      </c>
      <c r="P1235" s="4">
        <v>494.3</v>
      </c>
      <c r="Q1235" t="s">
        <v>42</v>
      </c>
      <c r="R1235">
        <v>0</v>
      </c>
      <c r="S1235" t="s">
        <v>31</v>
      </c>
      <c r="T1235">
        <v>1</v>
      </c>
      <c r="U1235">
        <v>0</v>
      </c>
      <c r="V1235" t="s">
        <v>32</v>
      </c>
      <c r="W1235" t="s">
        <v>39</v>
      </c>
      <c r="X1235" s="4">
        <v>6.6</v>
      </c>
      <c r="Y1235">
        <v>7</v>
      </c>
      <c r="Z1235" s="5">
        <v>115.6</v>
      </c>
    </row>
    <row r="1236" spans="1:26">
      <c r="A1236">
        <v>1235</v>
      </c>
      <c r="B1236">
        <v>397</v>
      </c>
      <c r="C1236" s="2">
        <v>46347</v>
      </c>
      <c r="D1236" t="s">
        <v>40</v>
      </c>
      <c r="E1236">
        <v>11</v>
      </c>
      <c r="F1236" s="3">
        <v>12.1</v>
      </c>
      <c r="G1236" t="s">
        <v>36</v>
      </c>
      <c r="H1236">
        <v>64</v>
      </c>
      <c r="I1236" t="s">
        <v>28</v>
      </c>
      <c r="J1236" s="4">
        <v>73.599999999999994</v>
      </c>
      <c r="K1236" s="4">
        <v>154.1</v>
      </c>
      <c r="L1236" s="4">
        <v>20</v>
      </c>
      <c r="M1236">
        <v>18</v>
      </c>
      <c r="N1236" t="s">
        <v>66</v>
      </c>
      <c r="O1236">
        <v>3</v>
      </c>
      <c r="P1236" s="4">
        <v>494.3</v>
      </c>
      <c r="Q1236" t="s">
        <v>42</v>
      </c>
      <c r="R1236">
        <v>0</v>
      </c>
      <c r="S1236" t="s">
        <v>31</v>
      </c>
      <c r="T1236">
        <v>1</v>
      </c>
      <c r="U1236">
        <v>0</v>
      </c>
      <c r="V1236" t="s">
        <v>32</v>
      </c>
      <c r="W1236" t="s">
        <v>39</v>
      </c>
      <c r="X1236" s="4">
        <v>7.8</v>
      </c>
      <c r="Y1236">
        <v>3</v>
      </c>
      <c r="Z1236" s="5">
        <v>91.44</v>
      </c>
    </row>
    <row r="1237" spans="1:26">
      <c r="A1237">
        <v>1236</v>
      </c>
      <c r="B1237">
        <v>398</v>
      </c>
      <c r="C1237" s="2">
        <v>46133</v>
      </c>
      <c r="D1237" t="s">
        <v>35</v>
      </c>
      <c r="E1237">
        <v>4</v>
      </c>
      <c r="F1237" s="3">
        <v>11.45</v>
      </c>
      <c r="G1237" t="s">
        <v>36</v>
      </c>
      <c r="H1237">
        <v>53</v>
      </c>
      <c r="I1237" t="s">
        <v>34</v>
      </c>
      <c r="J1237" s="4">
        <v>65.8</v>
      </c>
      <c r="K1237" s="4">
        <v>170.1</v>
      </c>
      <c r="L1237" s="4">
        <v>27.6</v>
      </c>
      <c r="M1237">
        <v>15</v>
      </c>
      <c r="N1237" t="s">
        <v>60</v>
      </c>
      <c r="O1237">
        <v>1</v>
      </c>
      <c r="P1237" s="4">
        <v>1757.2</v>
      </c>
      <c r="Q1237" t="s">
        <v>30</v>
      </c>
      <c r="R1237">
        <v>1</v>
      </c>
      <c r="S1237" t="s">
        <v>38</v>
      </c>
      <c r="T1237">
        <v>0</v>
      </c>
      <c r="U1237">
        <v>0</v>
      </c>
      <c r="V1237" t="s">
        <v>32</v>
      </c>
      <c r="W1237" t="s">
        <v>43</v>
      </c>
      <c r="X1237" s="4">
        <v>9.5</v>
      </c>
      <c r="Y1237">
        <v>2</v>
      </c>
      <c r="Z1237" s="5">
        <v>202.84</v>
      </c>
    </row>
    <row r="1238" spans="1:26">
      <c r="A1238">
        <v>1237</v>
      </c>
      <c r="B1238">
        <v>399</v>
      </c>
      <c r="C1238" s="2">
        <v>46151</v>
      </c>
      <c r="D1238" t="s">
        <v>40</v>
      </c>
      <c r="E1238">
        <v>5</v>
      </c>
      <c r="F1238" s="3">
        <v>9.36</v>
      </c>
      <c r="G1238" t="s">
        <v>27</v>
      </c>
      <c r="H1238">
        <v>47</v>
      </c>
      <c r="I1238" t="s">
        <v>34</v>
      </c>
      <c r="J1238" s="4">
        <v>69.400000000000006</v>
      </c>
      <c r="K1238" s="4">
        <v>271.89999999999998</v>
      </c>
      <c r="L1238" s="4">
        <v>39.799999999999997</v>
      </c>
      <c r="M1238">
        <v>14</v>
      </c>
      <c r="N1238" t="s">
        <v>60</v>
      </c>
      <c r="O1238">
        <v>4</v>
      </c>
      <c r="P1238" s="4">
        <v>1322.4</v>
      </c>
      <c r="Q1238" t="s">
        <v>30</v>
      </c>
      <c r="R1238">
        <v>1</v>
      </c>
      <c r="S1238" t="s">
        <v>44</v>
      </c>
      <c r="T1238">
        <v>0</v>
      </c>
      <c r="U1238">
        <v>0</v>
      </c>
      <c r="V1238" t="s">
        <v>45</v>
      </c>
      <c r="W1238" t="s">
        <v>39</v>
      </c>
      <c r="X1238" s="4">
        <v>9.3000000000000007</v>
      </c>
      <c r="Y1238">
        <v>7</v>
      </c>
      <c r="Z1238" s="5">
        <v>294.16000000000003</v>
      </c>
    </row>
    <row r="1239" spans="1:26">
      <c r="A1239">
        <v>1238</v>
      </c>
      <c r="B1239">
        <v>399</v>
      </c>
      <c r="C1239" s="2">
        <v>46151</v>
      </c>
      <c r="D1239" t="s">
        <v>40</v>
      </c>
      <c r="E1239">
        <v>5</v>
      </c>
      <c r="F1239" s="3">
        <v>9.3699999999999992</v>
      </c>
      <c r="G1239" t="s">
        <v>27</v>
      </c>
      <c r="H1239">
        <v>56</v>
      </c>
      <c r="I1239" t="s">
        <v>34</v>
      </c>
      <c r="J1239" s="4">
        <v>66.099999999999994</v>
      </c>
      <c r="K1239" s="4">
        <v>133.80000000000001</v>
      </c>
      <c r="L1239" s="4">
        <v>21.6</v>
      </c>
      <c r="M1239">
        <v>13</v>
      </c>
      <c r="N1239" t="s">
        <v>60</v>
      </c>
      <c r="O1239">
        <v>4</v>
      </c>
      <c r="P1239" s="4">
        <v>1322.4</v>
      </c>
      <c r="Q1239" t="s">
        <v>30</v>
      </c>
      <c r="R1239">
        <v>1</v>
      </c>
      <c r="S1239" t="s">
        <v>44</v>
      </c>
      <c r="T1239">
        <v>0</v>
      </c>
      <c r="U1239">
        <v>0</v>
      </c>
      <c r="V1239" t="s">
        <v>45</v>
      </c>
      <c r="W1239" t="s">
        <v>39</v>
      </c>
      <c r="X1239" s="4">
        <v>8</v>
      </c>
      <c r="Y1239">
        <v>5</v>
      </c>
      <c r="Z1239" s="5">
        <v>169.67</v>
      </c>
    </row>
    <row r="1240" spans="1:26">
      <c r="A1240">
        <v>1239</v>
      </c>
      <c r="B1240">
        <v>399</v>
      </c>
      <c r="C1240" s="2">
        <v>46151</v>
      </c>
      <c r="D1240" t="s">
        <v>40</v>
      </c>
      <c r="E1240">
        <v>5</v>
      </c>
      <c r="F1240" s="3">
        <v>9.39</v>
      </c>
      <c r="G1240" t="s">
        <v>27</v>
      </c>
      <c r="H1240">
        <v>38</v>
      </c>
      <c r="I1240" t="s">
        <v>34</v>
      </c>
      <c r="J1240" s="4">
        <v>67.099999999999994</v>
      </c>
      <c r="K1240" s="4">
        <v>211.2</v>
      </c>
      <c r="L1240" s="4">
        <v>33.200000000000003</v>
      </c>
      <c r="M1240">
        <v>14</v>
      </c>
      <c r="N1240" t="s">
        <v>60</v>
      </c>
      <c r="O1240">
        <v>4</v>
      </c>
      <c r="P1240" s="4">
        <v>1322.4</v>
      </c>
      <c r="Q1240" t="s">
        <v>30</v>
      </c>
      <c r="R1240">
        <v>1</v>
      </c>
      <c r="S1240" t="s">
        <v>44</v>
      </c>
      <c r="T1240">
        <v>0</v>
      </c>
      <c r="U1240">
        <v>0</v>
      </c>
      <c r="V1240" t="s">
        <v>45</v>
      </c>
      <c r="W1240" t="s">
        <v>39</v>
      </c>
      <c r="X1240" s="4">
        <v>8.4</v>
      </c>
      <c r="Y1240">
        <v>6</v>
      </c>
      <c r="Z1240" s="5">
        <v>218.11</v>
      </c>
    </row>
    <row r="1241" spans="1:26">
      <c r="A1241">
        <v>1240</v>
      </c>
      <c r="B1241">
        <v>399</v>
      </c>
      <c r="C1241" s="2">
        <v>46151</v>
      </c>
      <c r="D1241" t="s">
        <v>40</v>
      </c>
      <c r="E1241">
        <v>5</v>
      </c>
      <c r="F1241" s="3">
        <v>9.44</v>
      </c>
      <c r="G1241" t="s">
        <v>27</v>
      </c>
      <c r="H1241">
        <v>60</v>
      </c>
      <c r="I1241" t="s">
        <v>34</v>
      </c>
      <c r="J1241" s="4">
        <v>65.099999999999994</v>
      </c>
      <c r="K1241" s="4">
        <v>154.5</v>
      </c>
      <c r="L1241" s="4">
        <v>25.8</v>
      </c>
      <c r="M1241">
        <v>12</v>
      </c>
      <c r="N1241" t="s">
        <v>60</v>
      </c>
      <c r="O1241">
        <v>4</v>
      </c>
      <c r="P1241" s="4">
        <v>1322.4</v>
      </c>
      <c r="Q1241" t="s">
        <v>30</v>
      </c>
      <c r="R1241">
        <v>1</v>
      </c>
      <c r="S1241" t="s">
        <v>44</v>
      </c>
      <c r="T1241">
        <v>0</v>
      </c>
      <c r="U1241">
        <v>0</v>
      </c>
      <c r="V1241" t="s">
        <v>45</v>
      </c>
      <c r="W1241" t="s">
        <v>39</v>
      </c>
      <c r="X1241" s="4">
        <v>10.3</v>
      </c>
      <c r="Y1241">
        <v>4</v>
      </c>
      <c r="Z1241" s="5">
        <v>176.78</v>
      </c>
    </row>
    <row r="1242" spans="1:26">
      <c r="A1242">
        <v>1241</v>
      </c>
      <c r="B1242">
        <v>400</v>
      </c>
      <c r="C1242" s="2">
        <v>46064</v>
      </c>
      <c r="D1242" t="s">
        <v>52</v>
      </c>
      <c r="E1242">
        <v>2</v>
      </c>
      <c r="F1242" s="3">
        <v>11.35</v>
      </c>
      <c r="G1242" t="s">
        <v>36</v>
      </c>
      <c r="H1242">
        <v>43</v>
      </c>
      <c r="I1242" t="s">
        <v>28</v>
      </c>
      <c r="J1242" s="4">
        <v>74.400000000000006</v>
      </c>
      <c r="K1242" s="4">
        <v>234.7</v>
      </c>
      <c r="L1242" s="4">
        <v>29.7</v>
      </c>
      <c r="M1242">
        <v>13</v>
      </c>
      <c r="N1242" t="s">
        <v>47</v>
      </c>
      <c r="O1242">
        <v>5</v>
      </c>
      <c r="P1242" s="4">
        <v>129</v>
      </c>
      <c r="Q1242" t="s">
        <v>30</v>
      </c>
      <c r="R1242">
        <v>0</v>
      </c>
      <c r="S1242" t="s">
        <v>44</v>
      </c>
      <c r="T1242">
        <v>1</v>
      </c>
      <c r="U1242">
        <v>0</v>
      </c>
      <c r="V1242" t="s">
        <v>32</v>
      </c>
      <c r="W1242" t="s">
        <v>49</v>
      </c>
      <c r="X1242" s="4">
        <v>9.5</v>
      </c>
      <c r="Y1242">
        <v>11</v>
      </c>
      <c r="Z1242" s="5">
        <v>202.22</v>
      </c>
    </row>
    <row r="1243" spans="1:26">
      <c r="A1243">
        <v>1242</v>
      </c>
      <c r="B1243">
        <v>400</v>
      </c>
      <c r="C1243" s="2">
        <v>46064</v>
      </c>
      <c r="D1243" t="s">
        <v>52</v>
      </c>
      <c r="E1243">
        <v>2</v>
      </c>
      <c r="F1243" s="3">
        <v>11.46</v>
      </c>
      <c r="G1243" t="s">
        <v>36</v>
      </c>
      <c r="H1243">
        <v>74</v>
      </c>
      <c r="I1243" t="s">
        <v>34</v>
      </c>
      <c r="J1243" s="4">
        <v>64.099999999999994</v>
      </c>
      <c r="K1243" s="4">
        <v>132.1</v>
      </c>
      <c r="L1243" s="4">
        <v>22.6</v>
      </c>
      <c r="M1243">
        <v>15</v>
      </c>
      <c r="N1243" t="s">
        <v>47</v>
      </c>
      <c r="O1243">
        <v>5</v>
      </c>
      <c r="P1243" s="4">
        <v>129</v>
      </c>
      <c r="Q1243" t="s">
        <v>30</v>
      </c>
      <c r="R1243">
        <v>0</v>
      </c>
      <c r="S1243" t="s">
        <v>44</v>
      </c>
      <c r="T1243">
        <v>1</v>
      </c>
      <c r="U1243">
        <v>0</v>
      </c>
      <c r="V1243" t="s">
        <v>32</v>
      </c>
      <c r="W1243" t="s">
        <v>49</v>
      </c>
      <c r="X1243" s="4">
        <v>8.9</v>
      </c>
      <c r="Y1243">
        <v>11</v>
      </c>
      <c r="Z1243" s="5">
        <v>246.17</v>
      </c>
    </row>
    <row r="1244" spans="1:26">
      <c r="A1244">
        <v>1243</v>
      </c>
      <c r="B1244">
        <v>400</v>
      </c>
      <c r="C1244" s="2">
        <v>46064</v>
      </c>
      <c r="D1244" t="s">
        <v>52</v>
      </c>
      <c r="E1244">
        <v>2</v>
      </c>
      <c r="F1244" s="3">
        <v>11.39</v>
      </c>
      <c r="G1244" t="s">
        <v>36</v>
      </c>
      <c r="H1244">
        <v>64</v>
      </c>
      <c r="I1244" t="s">
        <v>34</v>
      </c>
      <c r="J1244" s="4">
        <v>61.8</v>
      </c>
      <c r="K1244" s="4">
        <v>116.1</v>
      </c>
      <c r="L1244" s="4">
        <v>21.5</v>
      </c>
      <c r="M1244">
        <v>14</v>
      </c>
      <c r="N1244" t="s">
        <v>47</v>
      </c>
      <c r="O1244">
        <v>5</v>
      </c>
      <c r="P1244" s="4">
        <v>129</v>
      </c>
      <c r="Q1244" t="s">
        <v>30</v>
      </c>
      <c r="R1244">
        <v>0</v>
      </c>
      <c r="S1244" t="s">
        <v>44</v>
      </c>
      <c r="T1244">
        <v>1</v>
      </c>
      <c r="U1244">
        <v>0</v>
      </c>
      <c r="V1244" t="s">
        <v>32</v>
      </c>
      <c r="W1244" t="s">
        <v>49</v>
      </c>
      <c r="X1244" s="4">
        <v>8.5</v>
      </c>
      <c r="Y1244">
        <v>12</v>
      </c>
      <c r="Z1244" s="5">
        <v>194.1</v>
      </c>
    </row>
    <row r="1245" spans="1:26">
      <c r="A1245">
        <v>1244</v>
      </c>
      <c r="B1245">
        <v>400</v>
      </c>
      <c r="C1245" s="2">
        <v>46064</v>
      </c>
      <c r="D1245" t="s">
        <v>52</v>
      </c>
      <c r="E1245">
        <v>2</v>
      </c>
      <c r="F1245" s="3">
        <v>11.57</v>
      </c>
      <c r="G1245" t="s">
        <v>36</v>
      </c>
      <c r="H1245">
        <v>58</v>
      </c>
      <c r="I1245" t="s">
        <v>28</v>
      </c>
      <c r="J1245" s="4">
        <v>66</v>
      </c>
      <c r="K1245" s="4">
        <v>90.9</v>
      </c>
      <c r="L1245" s="4">
        <v>14.8</v>
      </c>
      <c r="M1245">
        <v>13</v>
      </c>
      <c r="N1245" t="s">
        <v>47</v>
      </c>
      <c r="O1245">
        <v>5</v>
      </c>
      <c r="P1245" s="4">
        <v>129</v>
      </c>
      <c r="Q1245" t="s">
        <v>30</v>
      </c>
      <c r="R1245">
        <v>0</v>
      </c>
      <c r="S1245" t="s">
        <v>44</v>
      </c>
      <c r="T1245">
        <v>1</v>
      </c>
      <c r="U1245">
        <v>0</v>
      </c>
      <c r="V1245" t="s">
        <v>32</v>
      </c>
      <c r="W1245" t="s">
        <v>49</v>
      </c>
      <c r="X1245" s="4">
        <v>8.5</v>
      </c>
      <c r="Y1245">
        <v>13</v>
      </c>
      <c r="Z1245" s="5">
        <v>194.17</v>
      </c>
    </row>
    <row r="1246" spans="1:26">
      <c r="A1246">
        <v>1245</v>
      </c>
      <c r="B1246">
        <v>400</v>
      </c>
      <c r="C1246" s="2">
        <v>46064</v>
      </c>
      <c r="D1246" t="s">
        <v>52</v>
      </c>
      <c r="E1246">
        <v>2</v>
      </c>
      <c r="F1246" s="3">
        <v>11.53</v>
      </c>
      <c r="G1246" t="s">
        <v>36</v>
      </c>
      <c r="H1246">
        <v>57</v>
      </c>
      <c r="I1246" t="s">
        <v>34</v>
      </c>
      <c r="J1246" s="4">
        <v>64.7</v>
      </c>
      <c r="K1246" s="4">
        <v>170.1</v>
      </c>
      <c r="L1246" s="4">
        <v>28.4</v>
      </c>
      <c r="M1246">
        <v>15</v>
      </c>
      <c r="N1246" t="s">
        <v>47</v>
      </c>
      <c r="O1246">
        <v>5</v>
      </c>
      <c r="P1246" s="4">
        <v>129</v>
      </c>
      <c r="Q1246" t="s">
        <v>30</v>
      </c>
      <c r="R1246">
        <v>0</v>
      </c>
      <c r="S1246" t="s">
        <v>44</v>
      </c>
      <c r="T1246">
        <v>1</v>
      </c>
      <c r="U1246">
        <v>0</v>
      </c>
      <c r="V1246" t="s">
        <v>32</v>
      </c>
      <c r="W1246" t="s">
        <v>49</v>
      </c>
      <c r="X1246" s="4">
        <v>10.9</v>
      </c>
      <c r="Y1246">
        <v>10</v>
      </c>
      <c r="Z1246" s="5">
        <v>200.96</v>
      </c>
    </row>
    <row r="1247" spans="1:26">
      <c r="A1247">
        <v>1246</v>
      </c>
      <c r="B1247">
        <v>401</v>
      </c>
      <c r="C1247" s="2">
        <v>46353</v>
      </c>
      <c r="D1247" t="s">
        <v>26</v>
      </c>
      <c r="E1247">
        <v>11</v>
      </c>
      <c r="F1247" s="3">
        <v>11.87</v>
      </c>
      <c r="G1247" t="s">
        <v>36</v>
      </c>
      <c r="H1247">
        <v>45</v>
      </c>
      <c r="I1247" t="s">
        <v>34</v>
      </c>
      <c r="J1247" s="4">
        <v>66.3</v>
      </c>
      <c r="K1247" s="4">
        <v>130.5</v>
      </c>
      <c r="L1247" s="4">
        <v>20.8</v>
      </c>
      <c r="M1247">
        <v>20</v>
      </c>
      <c r="N1247" t="s">
        <v>56</v>
      </c>
      <c r="O1247">
        <v>4</v>
      </c>
      <c r="P1247" s="4">
        <v>71.2</v>
      </c>
      <c r="Q1247" t="s">
        <v>48</v>
      </c>
      <c r="R1247">
        <v>0</v>
      </c>
      <c r="S1247" t="s">
        <v>38</v>
      </c>
      <c r="T1247">
        <v>1</v>
      </c>
      <c r="U1247">
        <v>0</v>
      </c>
      <c r="V1247" t="s">
        <v>32</v>
      </c>
      <c r="W1247" t="s">
        <v>39</v>
      </c>
      <c r="X1247" s="4">
        <v>9.1</v>
      </c>
      <c r="Y1247">
        <v>10</v>
      </c>
      <c r="Z1247" s="5">
        <v>153.69</v>
      </c>
    </row>
    <row r="1248" spans="1:26">
      <c r="A1248">
        <v>1247</v>
      </c>
      <c r="B1248">
        <v>401</v>
      </c>
      <c r="C1248" s="2">
        <v>46353</v>
      </c>
      <c r="D1248" t="s">
        <v>26</v>
      </c>
      <c r="E1248">
        <v>11</v>
      </c>
      <c r="F1248" s="3">
        <v>11.52</v>
      </c>
      <c r="G1248" t="s">
        <v>36</v>
      </c>
      <c r="H1248">
        <v>32</v>
      </c>
      <c r="I1248" t="s">
        <v>28</v>
      </c>
      <c r="J1248" s="4">
        <v>69.8</v>
      </c>
      <c r="K1248" s="4">
        <v>161</v>
      </c>
      <c r="L1248" s="4">
        <v>23.3</v>
      </c>
      <c r="M1248">
        <v>18</v>
      </c>
      <c r="N1248" t="s">
        <v>56</v>
      </c>
      <c r="O1248">
        <v>4</v>
      </c>
      <c r="P1248" s="4">
        <v>71.2</v>
      </c>
      <c r="Q1248" t="s">
        <v>48</v>
      </c>
      <c r="R1248">
        <v>0</v>
      </c>
      <c r="S1248" t="s">
        <v>38</v>
      </c>
      <c r="T1248">
        <v>1</v>
      </c>
      <c r="U1248">
        <v>0</v>
      </c>
      <c r="V1248" t="s">
        <v>32</v>
      </c>
      <c r="W1248" t="s">
        <v>39</v>
      </c>
      <c r="X1248" s="4">
        <v>6.5</v>
      </c>
      <c r="Y1248">
        <v>8</v>
      </c>
      <c r="Z1248" s="5">
        <v>224.52</v>
      </c>
    </row>
    <row r="1249" spans="1:26">
      <c r="A1249">
        <v>1248</v>
      </c>
      <c r="B1249">
        <v>401</v>
      </c>
      <c r="C1249" s="2">
        <v>46353</v>
      </c>
      <c r="D1249" t="s">
        <v>26</v>
      </c>
      <c r="E1249">
        <v>11</v>
      </c>
      <c r="F1249" s="3">
        <v>11.84</v>
      </c>
      <c r="G1249" t="s">
        <v>36</v>
      </c>
      <c r="H1249">
        <v>51</v>
      </c>
      <c r="I1249" t="s">
        <v>34</v>
      </c>
      <c r="J1249" s="4">
        <v>65.7</v>
      </c>
      <c r="K1249" s="4">
        <v>147.1</v>
      </c>
      <c r="L1249" s="4">
        <v>23.9</v>
      </c>
      <c r="M1249">
        <v>15</v>
      </c>
      <c r="N1249" t="s">
        <v>56</v>
      </c>
      <c r="O1249">
        <v>4</v>
      </c>
      <c r="P1249" s="4">
        <v>71.2</v>
      </c>
      <c r="Q1249" t="s">
        <v>48</v>
      </c>
      <c r="R1249">
        <v>0</v>
      </c>
      <c r="S1249" t="s">
        <v>38</v>
      </c>
      <c r="T1249">
        <v>1</v>
      </c>
      <c r="U1249">
        <v>0</v>
      </c>
      <c r="V1249" t="s">
        <v>32</v>
      </c>
      <c r="W1249" t="s">
        <v>39</v>
      </c>
      <c r="X1249" s="4">
        <v>8.6</v>
      </c>
      <c r="Y1249">
        <v>12</v>
      </c>
      <c r="Z1249" s="5">
        <v>321.26</v>
      </c>
    </row>
    <row r="1250" spans="1:26">
      <c r="A1250">
        <v>1249</v>
      </c>
      <c r="B1250">
        <v>401</v>
      </c>
      <c r="C1250" s="2">
        <v>46353</v>
      </c>
      <c r="D1250" t="s">
        <v>26</v>
      </c>
      <c r="E1250">
        <v>11</v>
      </c>
      <c r="F1250" s="3">
        <v>11.63</v>
      </c>
      <c r="G1250" t="s">
        <v>36</v>
      </c>
      <c r="H1250">
        <v>45</v>
      </c>
      <c r="I1250" t="s">
        <v>28</v>
      </c>
      <c r="J1250" s="4">
        <v>67.8</v>
      </c>
      <c r="K1250" s="4">
        <v>162.69999999999999</v>
      </c>
      <c r="L1250" s="4">
        <v>25</v>
      </c>
      <c r="M1250">
        <v>20</v>
      </c>
      <c r="N1250" t="s">
        <v>56</v>
      </c>
      <c r="O1250">
        <v>4</v>
      </c>
      <c r="P1250" s="4">
        <v>71.2</v>
      </c>
      <c r="Q1250" t="s">
        <v>48</v>
      </c>
      <c r="R1250">
        <v>0</v>
      </c>
      <c r="S1250" t="s">
        <v>38</v>
      </c>
      <c r="T1250">
        <v>1</v>
      </c>
      <c r="U1250">
        <v>0</v>
      </c>
      <c r="V1250" t="s">
        <v>32</v>
      </c>
      <c r="W1250" t="s">
        <v>39</v>
      </c>
      <c r="X1250" s="4">
        <v>7.2</v>
      </c>
      <c r="Y1250">
        <v>9</v>
      </c>
      <c r="Z1250" s="5">
        <v>423.58</v>
      </c>
    </row>
    <row r="1251" spans="1:26">
      <c r="A1251">
        <v>1250</v>
      </c>
      <c r="B1251">
        <v>402</v>
      </c>
      <c r="C1251" s="2">
        <v>46108</v>
      </c>
      <c r="D1251" t="s">
        <v>26</v>
      </c>
      <c r="E1251">
        <v>3</v>
      </c>
      <c r="F1251" s="3">
        <v>12.68</v>
      </c>
      <c r="G1251" t="s">
        <v>36</v>
      </c>
      <c r="H1251">
        <v>48</v>
      </c>
      <c r="I1251" t="s">
        <v>34</v>
      </c>
      <c r="J1251" s="4">
        <v>63.3</v>
      </c>
      <c r="K1251" s="4">
        <v>151.6</v>
      </c>
      <c r="L1251" s="4">
        <v>27</v>
      </c>
      <c r="M1251">
        <v>16</v>
      </c>
      <c r="N1251" t="s">
        <v>47</v>
      </c>
      <c r="O1251">
        <v>2</v>
      </c>
      <c r="P1251" s="4">
        <v>25.4</v>
      </c>
      <c r="Q1251" t="s">
        <v>48</v>
      </c>
      <c r="R1251">
        <v>0</v>
      </c>
      <c r="S1251" t="s">
        <v>44</v>
      </c>
      <c r="T1251">
        <v>0</v>
      </c>
      <c r="U1251">
        <v>0</v>
      </c>
      <c r="V1251" t="s">
        <v>32</v>
      </c>
      <c r="W1251" t="s">
        <v>43</v>
      </c>
      <c r="X1251" s="4">
        <v>9.1</v>
      </c>
      <c r="Y1251">
        <v>4</v>
      </c>
      <c r="Z1251" s="5">
        <v>103.11</v>
      </c>
    </row>
    <row r="1252" spans="1:26">
      <c r="A1252">
        <v>1251</v>
      </c>
      <c r="B1252">
        <v>402</v>
      </c>
      <c r="C1252" s="2">
        <v>46108</v>
      </c>
      <c r="D1252" t="s">
        <v>26</v>
      </c>
      <c r="E1252">
        <v>3</v>
      </c>
      <c r="F1252" s="3">
        <v>12.68</v>
      </c>
      <c r="G1252" t="s">
        <v>36</v>
      </c>
      <c r="H1252">
        <v>51</v>
      </c>
      <c r="I1252" t="s">
        <v>34</v>
      </c>
      <c r="J1252" s="4">
        <v>64</v>
      </c>
      <c r="K1252" s="4">
        <v>142.6</v>
      </c>
      <c r="L1252" s="4">
        <v>24.5</v>
      </c>
      <c r="M1252">
        <v>19</v>
      </c>
      <c r="N1252" t="s">
        <v>47</v>
      </c>
      <c r="O1252">
        <v>2</v>
      </c>
      <c r="P1252" s="4">
        <v>25.4</v>
      </c>
      <c r="Q1252" t="s">
        <v>48</v>
      </c>
      <c r="R1252">
        <v>0</v>
      </c>
      <c r="S1252" t="s">
        <v>44</v>
      </c>
      <c r="T1252">
        <v>0</v>
      </c>
      <c r="U1252">
        <v>0</v>
      </c>
      <c r="V1252" t="s">
        <v>32</v>
      </c>
      <c r="W1252" t="s">
        <v>43</v>
      </c>
      <c r="X1252" s="4">
        <v>6.8</v>
      </c>
      <c r="Y1252">
        <v>8</v>
      </c>
      <c r="Z1252" s="5">
        <v>308.45</v>
      </c>
    </row>
    <row r="1253" spans="1:26">
      <c r="A1253">
        <v>1252</v>
      </c>
      <c r="B1253">
        <v>403</v>
      </c>
      <c r="C1253" s="2">
        <v>46149</v>
      </c>
      <c r="D1253" t="s">
        <v>55</v>
      </c>
      <c r="E1253">
        <v>5</v>
      </c>
      <c r="F1253" s="3">
        <v>9.99</v>
      </c>
      <c r="G1253" t="s">
        <v>27</v>
      </c>
      <c r="H1253">
        <v>33</v>
      </c>
      <c r="I1253" t="s">
        <v>28</v>
      </c>
      <c r="J1253" s="4">
        <v>70.2</v>
      </c>
      <c r="K1253" s="4">
        <v>199.7</v>
      </c>
      <c r="L1253" s="4">
        <v>28.2</v>
      </c>
      <c r="M1253">
        <v>14</v>
      </c>
      <c r="N1253" t="s">
        <v>65</v>
      </c>
      <c r="O1253">
        <v>5</v>
      </c>
      <c r="P1253" s="4">
        <v>2204.9</v>
      </c>
      <c r="Q1253" t="s">
        <v>48</v>
      </c>
      <c r="R1253">
        <v>1</v>
      </c>
      <c r="S1253" t="s">
        <v>31</v>
      </c>
      <c r="T1253">
        <v>0</v>
      </c>
      <c r="U1253">
        <v>0</v>
      </c>
      <c r="V1253" t="s">
        <v>32</v>
      </c>
      <c r="W1253" t="s">
        <v>57</v>
      </c>
      <c r="X1253" s="4">
        <v>8.3000000000000007</v>
      </c>
      <c r="Y1253">
        <v>10</v>
      </c>
      <c r="Z1253" s="5">
        <v>299.41000000000003</v>
      </c>
    </row>
    <row r="1254" spans="1:26">
      <c r="A1254">
        <v>1253</v>
      </c>
      <c r="B1254">
        <v>403</v>
      </c>
      <c r="C1254" s="2">
        <v>46149</v>
      </c>
      <c r="D1254" t="s">
        <v>55</v>
      </c>
      <c r="E1254">
        <v>5</v>
      </c>
      <c r="F1254" s="3">
        <v>9.86</v>
      </c>
      <c r="G1254" t="s">
        <v>27</v>
      </c>
      <c r="H1254">
        <v>26</v>
      </c>
      <c r="I1254" t="s">
        <v>28</v>
      </c>
      <c r="J1254" s="4">
        <v>64.400000000000006</v>
      </c>
      <c r="K1254" s="4">
        <v>171.4</v>
      </c>
      <c r="L1254" s="4">
        <v>29.2</v>
      </c>
      <c r="M1254">
        <v>18</v>
      </c>
      <c r="N1254" t="s">
        <v>65</v>
      </c>
      <c r="O1254">
        <v>5</v>
      </c>
      <c r="P1254" s="4">
        <v>2204.9</v>
      </c>
      <c r="Q1254" t="s">
        <v>48</v>
      </c>
      <c r="R1254">
        <v>1</v>
      </c>
      <c r="S1254" t="s">
        <v>31</v>
      </c>
      <c r="T1254">
        <v>0</v>
      </c>
      <c r="U1254">
        <v>0</v>
      </c>
      <c r="V1254" t="s">
        <v>32</v>
      </c>
      <c r="W1254" t="s">
        <v>57</v>
      </c>
      <c r="X1254" s="4">
        <v>10.7</v>
      </c>
      <c r="Y1254">
        <v>12</v>
      </c>
      <c r="Z1254" s="5">
        <v>171.12</v>
      </c>
    </row>
    <row r="1255" spans="1:26">
      <c r="A1255">
        <v>1254</v>
      </c>
      <c r="B1255">
        <v>403</v>
      </c>
      <c r="C1255" s="2">
        <v>46149</v>
      </c>
      <c r="D1255" t="s">
        <v>55</v>
      </c>
      <c r="E1255">
        <v>5</v>
      </c>
      <c r="F1255" s="3">
        <v>9.9</v>
      </c>
      <c r="G1255" t="s">
        <v>27</v>
      </c>
      <c r="H1255">
        <v>19</v>
      </c>
      <c r="I1255" t="s">
        <v>28</v>
      </c>
      <c r="J1255" s="4">
        <v>67.400000000000006</v>
      </c>
      <c r="K1255" s="4">
        <v>89.4</v>
      </c>
      <c r="L1255" s="4">
        <v>13.7</v>
      </c>
      <c r="M1255">
        <v>14</v>
      </c>
      <c r="N1255" t="s">
        <v>65</v>
      </c>
      <c r="O1255">
        <v>5</v>
      </c>
      <c r="P1255" s="4">
        <v>2204.9</v>
      </c>
      <c r="Q1255" t="s">
        <v>48</v>
      </c>
      <c r="R1255">
        <v>1</v>
      </c>
      <c r="S1255" t="s">
        <v>31</v>
      </c>
      <c r="T1255">
        <v>0</v>
      </c>
      <c r="U1255">
        <v>0</v>
      </c>
      <c r="V1255" t="s">
        <v>32</v>
      </c>
      <c r="W1255" t="s">
        <v>57</v>
      </c>
      <c r="X1255" s="4">
        <v>8.5</v>
      </c>
      <c r="Y1255">
        <v>8</v>
      </c>
      <c r="Z1255" s="5">
        <v>412.16</v>
      </c>
    </row>
    <row r="1256" spans="1:26">
      <c r="A1256">
        <v>1255</v>
      </c>
      <c r="B1256">
        <v>403</v>
      </c>
      <c r="C1256" s="2">
        <v>46149</v>
      </c>
      <c r="D1256" t="s">
        <v>55</v>
      </c>
      <c r="E1256">
        <v>5</v>
      </c>
      <c r="F1256" s="3">
        <v>10.029999999999999</v>
      </c>
      <c r="G1256" t="s">
        <v>27</v>
      </c>
      <c r="H1256">
        <v>63</v>
      </c>
      <c r="I1256" t="s">
        <v>28</v>
      </c>
      <c r="J1256" s="4">
        <v>71.7</v>
      </c>
      <c r="K1256" s="4">
        <v>174.3</v>
      </c>
      <c r="L1256" s="4">
        <v>23.7</v>
      </c>
      <c r="M1256">
        <v>18</v>
      </c>
      <c r="N1256" t="s">
        <v>65</v>
      </c>
      <c r="O1256">
        <v>5</v>
      </c>
      <c r="P1256" s="4">
        <v>2204.9</v>
      </c>
      <c r="Q1256" t="s">
        <v>48</v>
      </c>
      <c r="R1256">
        <v>1</v>
      </c>
      <c r="S1256" t="s">
        <v>31</v>
      </c>
      <c r="T1256">
        <v>0</v>
      </c>
      <c r="U1256">
        <v>0</v>
      </c>
      <c r="V1256" t="s">
        <v>32</v>
      </c>
      <c r="W1256" t="s">
        <v>57</v>
      </c>
      <c r="X1256" s="4">
        <v>10.5</v>
      </c>
      <c r="Y1256">
        <v>5</v>
      </c>
      <c r="Z1256" s="5">
        <v>226.4</v>
      </c>
    </row>
    <row r="1257" spans="1:26">
      <c r="A1257">
        <v>1256</v>
      </c>
      <c r="B1257">
        <v>403</v>
      </c>
      <c r="C1257" s="2">
        <v>46149</v>
      </c>
      <c r="D1257" t="s">
        <v>55</v>
      </c>
      <c r="E1257">
        <v>5</v>
      </c>
      <c r="F1257" s="3">
        <v>9.8699999999999992</v>
      </c>
      <c r="G1257" t="s">
        <v>27</v>
      </c>
      <c r="H1257">
        <v>48</v>
      </c>
      <c r="I1257" t="s">
        <v>28</v>
      </c>
      <c r="J1257" s="4">
        <v>65.3</v>
      </c>
      <c r="K1257" s="4">
        <v>163.1</v>
      </c>
      <c r="L1257" s="4">
        <v>26.8</v>
      </c>
      <c r="M1257">
        <v>18</v>
      </c>
      <c r="N1257" t="s">
        <v>65</v>
      </c>
      <c r="O1257">
        <v>5</v>
      </c>
      <c r="P1257" s="4">
        <v>2204.9</v>
      </c>
      <c r="Q1257" t="s">
        <v>48</v>
      </c>
      <c r="R1257">
        <v>1</v>
      </c>
      <c r="S1257" t="s">
        <v>31</v>
      </c>
      <c r="T1257">
        <v>0</v>
      </c>
      <c r="U1257">
        <v>0</v>
      </c>
      <c r="V1257" t="s">
        <v>32</v>
      </c>
      <c r="W1257" t="s">
        <v>57</v>
      </c>
      <c r="X1257" s="4">
        <v>6.9</v>
      </c>
      <c r="Y1257">
        <v>8</v>
      </c>
      <c r="Z1257" s="5">
        <v>212.53</v>
      </c>
    </row>
    <row r="1258" spans="1:26">
      <c r="A1258">
        <v>1257</v>
      </c>
      <c r="B1258">
        <v>404</v>
      </c>
      <c r="C1258" s="2">
        <v>46255</v>
      </c>
      <c r="D1258" t="s">
        <v>26</v>
      </c>
      <c r="E1258">
        <v>8</v>
      </c>
      <c r="F1258" s="3">
        <v>10.32</v>
      </c>
      <c r="G1258" t="s">
        <v>27</v>
      </c>
      <c r="H1258">
        <v>45</v>
      </c>
      <c r="I1258" t="s">
        <v>34</v>
      </c>
      <c r="J1258" s="4">
        <v>62.4</v>
      </c>
      <c r="K1258" s="4">
        <v>141.5</v>
      </c>
      <c r="L1258" s="4">
        <v>25.5</v>
      </c>
      <c r="M1258">
        <v>18</v>
      </c>
      <c r="N1258" t="s">
        <v>50</v>
      </c>
      <c r="O1258">
        <v>6</v>
      </c>
      <c r="P1258" s="4">
        <v>323.10000000000002</v>
      </c>
      <c r="Q1258" t="s">
        <v>48</v>
      </c>
      <c r="R1258">
        <v>1</v>
      </c>
      <c r="S1258" t="s">
        <v>44</v>
      </c>
      <c r="T1258">
        <v>1</v>
      </c>
      <c r="U1258">
        <v>1</v>
      </c>
      <c r="V1258" t="s">
        <v>32</v>
      </c>
      <c r="W1258" t="s">
        <v>49</v>
      </c>
      <c r="X1258" s="4">
        <v>9.6</v>
      </c>
      <c r="Y1258">
        <v>10</v>
      </c>
      <c r="Z1258" s="5">
        <v>261.33</v>
      </c>
    </row>
    <row r="1259" spans="1:26">
      <c r="A1259">
        <v>1258</v>
      </c>
      <c r="B1259">
        <v>404</v>
      </c>
      <c r="C1259" s="2">
        <v>46255</v>
      </c>
      <c r="D1259" t="s">
        <v>26</v>
      </c>
      <c r="E1259">
        <v>8</v>
      </c>
      <c r="F1259" s="3">
        <v>10.17</v>
      </c>
      <c r="G1259" t="s">
        <v>27</v>
      </c>
      <c r="H1259">
        <v>52</v>
      </c>
      <c r="I1259" t="s">
        <v>34</v>
      </c>
      <c r="J1259" s="4">
        <v>65.3</v>
      </c>
      <c r="K1259" s="4">
        <v>137.69999999999999</v>
      </c>
      <c r="L1259" s="4">
        <v>22.3</v>
      </c>
      <c r="M1259">
        <v>20</v>
      </c>
      <c r="N1259" t="s">
        <v>50</v>
      </c>
      <c r="O1259">
        <v>6</v>
      </c>
      <c r="P1259" s="4">
        <v>323.10000000000002</v>
      </c>
      <c r="Q1259" t="s">
        <v>48</v>
      </c>
      <c r="R1259">
        <v>1</v>
      </c>
      <c r="S1259" t="s">
        <v>44</v>
      </c>
      <c r="T1259">
        <v>1</v>
      </c>
      <c r="U1259">
        <v>1</v>
      </c>
      <c r="V1259" t="s">
        <v>32</v>
      </c>
      <c r="W1259" t="s">
        <v>49</v>
      </c>
      <c r="X1259" s="4">
        <v>9.6</v>
      </c>
      <c r="Y1259">
        <v>9</v>
      </c>
      <c r="Z1259" s="5">
        <v>453.42</v>
      </c>
    </row>
    <row r="1260" spans="1:26">
      <c r="A1260">
        <v>1259</v>
      </c>
      <c r="B1260">
        <v>404</v>
      </c>
      <c r="C1260" s="2">
        <v>46255</v>
      </c>
      <c r="D1260" t="s">
        <v>26</v>
      </c>
      <c r="E1260">
        <v>8</v>
      </c>
      <c r="F1260" s="3">
        <v>10.47</v>
      </c>
      <c r="G1260" t="s">
        <v>27</v>
      </c>
      <c r="H1260">
        <v>58</v>
      </c>
      <c r="I1260" t="s">
        <v>28</v>
      </c>
      <c r="J1260" s="4">
        <v>67</v>
      </c>
      <c r="K1260" s="4">
        <v>193.7</v>
      </c>
      <c r="L1260" s="4">
        <v>30.6</v>
      </c>
      <c r="M1260">
        <v>19</v>
      </c>
      <c r="N1260" t="s">
        <v>50</v>
      </c>
      <c r="O1260">
        <v>6</v>
      </c>
      <c r="P1260" s="4">
        <v>323.10000000000002</v>
      </c>
      <c r="Q1260" t="s">
        <v>48</v>
      </c>
      <c r="R1260">
        <v>1</v>
      </c>
      <c r="S1260" t="s">
        <v>44</v>
      </c>
      <c r="T1260">
        <v>1</v>
      </c>
      <c r="U1260">
        <v>1</v>
      </c>
      <c r="V1260" t="s">
        <v>32</v>
      </c>
      <c r="W1260" t="s">
        <v>49</v>
      </c>
      <c r="X1260" s="4">
        <v>8.5</v>
      </c>
      <c r="Y1260">
        <v>9</v>
      </c>
      <c r="Z1260" s="5">
        <v>243.11</v>
      </c>
    </row>
    <row r="1261" spans="1:26">
      <c r="A1261">
        <v>1260</v>
      </c>
      <c r="B1261">
        <v>404</v>
      </c>
      <c r="C1261" s="2">
        <v>46255</v>
      </c>
      <c r="D1261" t="s">
        <v>26</v>
      </c>
      <c r="E1261">
        <v>8</v>
      </c>
      <c r="F1261" s="3">
        <v>10.4</v>
      </c>
      <c r="G1261" t="s">
        <v>27</v>
      </c>
      <c r="H1261">
        <v>58</v>
      </c>
      <c r="I1261" t="s">
        <v>28</v>
      </c>
      <c r="J1261" s="4">
        <v>72.400000000000006</v>
      </c>
      <c r="K1261" s="4">
        <v>209.6</v>
      </c>
      <c r="L1261" s="4">
        <v>28.3</v>
      </c>
      <c r="M1261">
        <v>20</v>
      </c>
      <c r="N1261" t="s">
        <v>50</v>
      </c>
      <c r="O1261">
        <v>6</v>
      </c>
      <c r="P1261" s="4">
        <v>323.10000000000002</v>
      </c>
      <c r="Q1261" t="s">
        <v>48</v>
      </c>
      <c r="R1261">
        <v>1</v>
      </c>
      <c r="S1261" t="s">
        <v>44</v>
      </c>
      <c r="T1261">
        <v>1</v>
      </c>
      <c r="U1261">
        <v>1</v>
      </c>
      <c r="V1261" t="s">
        <v>32</v>
      </c>
      <c r="W1261" t="s">
        <v>49</v>
      </c>
      <c r="X1261" s="4">
        <v>7.7</v>
      </c>
      <c r="Y1261">
        <v>8</v>
      </c>
      <c r="Z1261" s="5">
        <v>327.95</v>
      </c>
    </row>
    <row r="1262" spans="1:26">
      <c r="A1262">
        <v>1261</v>
      </c>
      <c r="B1262">
        <v>404</v>
      </c>
      <c r="C1262" s="2">
        <v>46255</v>
      </c>
      <c r="D1262" t="s">
        <v>26</v>
      </c>
      <c r="E1262">
        <v>8</v>
      </c>
      <c r="F1262" s="3">
        <v>10.37</v>
      </c>
      <c r="G1262" t="s">
        <v>27</v>
      </c>
      <c r="H1262">
        <v>37</v>
      </c>
      <c r="I1262" t="s">
        <v>34</v>
      </c>
      <c r="J1262" s="4">
        <v>62.3</v>
      </c>
      <c r="K1262" s="4">
        <v>131.30000000000001</v>
      </c>
      <c r="L1262" s="4">
        <v>23.7</v>
      </c>
      <c r="M1262">
        <v>15</v>
      </c>
      <c r="N1262" t="s">
        <v>50</v>
      </c>
      <c r="O1262">
        <v>6</v>
      </c>
      <c r="P1262" s="4">
        <v>323.10000000000002</v>
      </c>
      <c r="Q1262" t="s">
        <v>48</v>
      </c>
      <c r="R1262">
        <v>1</v>
      </c>
      <c r="S1262" t="s">
        <v>44</v>
      </c>
      <c r="T1262">
        <v>1</v>
      </c>
      <c r="U1262">
        <v>1</v>
      </c>
      <c r="V1262" t="s">
        <v>32</v>
      </c>
      <c r="W1262" t="s">
        <v>49</v>
      </c>
      <c r="X1262" s="4">
        <v>9.1999999999999993</v>
      </c>
      <c r="Y1262">
        <v>14</v>
      </c>
      <c r="Z1262" s="5">
        <v>295.07</v>
      </c>
    </row>
    <row r="1263" spans="1:26">
      <c r="A1263">
        <v>1262</v>
      </c>
      <c r="B1263">
        <v>404</v>
      </c>
      <c r="C1263" s="2">
        <v>46255</v>
      </c>
      <c r="D1263" t="s">
        <v>26</v>
      </c>
      <c r="E1263">
        <v>8</v>
      </c>
      <c r="F1263" s="3">
        <v>10.34</v>
      </c>
      <c r="G1263" t="s">
        <v>27</v>
      </c>
      <c r="H1263">
        <v>53</v>
      </c>
      <c r="I1263" t="s">
        <v>28</v>
      </c>
      <c r="J1263" s="4">
        <v>66.400000000000006</v>
      </c>
      <c r="K1263" s="4">
        <v>163.5</v>
      </c>
      <c r="L1263" s="4">
        <v>26</v>
      </c>
      <c r="M1263">
        <v>16</v>
      </c>
      <c r="N1263" t="s">
        <v>50</v>
      </c>
      <c r="O1263">
        <v>6</v>
      </c>
      <c r="P1263" s="4">
        <v>323.10000000000002</v>
      </c>
      <c r="Q1263" t="s">
        <v>48</v>
      </c>
      <c r="R1263">
        <v>1</v>
      </c>
      <c r="S1263" t="s">
        <v>44</v>
      </c>
      <c r="T1263">
        <v>1</v>
      </c>
      <c r="U1263">
        <v>1</v>
      </c>
      <c r="V1263" t="s">
        <v>32</v>
      </c>
      <c r="W1263" t="s">
        <v>49</v>
      </c>
      <c r="X1263" s="4">
        <v>10.1</v>
      </c>
      <c r="Y1263">
        <v>13</v>
      </c>
      <c r="Z1263" s="5">
        <v>345.53</v>
      </c>
    </row>
    <row r="1264" spans="1:26">
      <c r="A1264">
        <v>1263</v>
      </c>
      <c r="B1264">
        <v>405</v>
      </c>
      <c r="C1264" s="2">
        <v>46221</v>
      </c>
      <c r="D1264" t="s">
        <v>40</v>
      </c>
      <c r="E1264">
        <v>7</v>
      </c>
      <c r="F1264" s="3">
        <v>10.25</v>
      </c>
      <c r="G1264" t="s">
        <v>27</v>
      </c>
      <c r="H1264">
        <v>45</v>
      </c>
      <c r="I1264" t="s">
        <v>28</v>
      </c>
      <c r="J1264" s="4">
        <v>74.900000000000006</v>
      </c>
      <c r="K1264" s="4">
        <v>240.2</v>
      </c>
      <c r="L1264" s="4">
        <v>30.2</v>
      </c>
      <c r="M1264">
        <v>14</v>
      </c>
      <c r="N1264" t="s">
        <v>47</v>
      </c>
      <c r="O1264">
        <v>3</v>
      </c>
      <c r="P1264" s="4">
        <v>85</v>
      </c>
      <c r="Q1264" t="s">
        <v>48</v>
      </c>
      <c r="R1264">
        <v>0</v>
      </c>
      <c r="S1264" t="s">
        <v>38</v>
      </c>
      <c r="T1264">
        <v>1</v>
      </c>
      <c r="U1264">
        <v>0</v>
      </c>
      <c r="V1264" t="s">
        <v>32</v>
      </c>
      <c r="W1264" t="s">
        <v>39</v>
      </c>
      <c r="X1264" s="4">
        <v>5.7</v>
      </c>
      <c r="Y1264">
        <v>8</v>
      </c>
      <c r="Z1264" s="5">
        <v>296.52999999999997</v>
      </c>
    </row>
    <row r="1265" spans="1:26">
      <c r="A1265">
        <v>1264</v>
      </c>
      <c r="B1265">
        <v>405</v>
      </c>
      <c r="C1265" s="2">
        <v>46221</v>
      </c>
      <c r="D1265" t="s">
        <v>40</v>
      </c>
      <c r="E1265">
        <v>7</v>
      </c>
      <c r="F1265" s="3">
        <v>10.220000000000001</v>
      </c>
      <c r="G1265" t="s">
        <v>27</v>
      </c>
      <c r="H1265">
        <v>44</v>
      </c>
      <c r="I1265" t="s">
        <v>34</v>
      </c>
      <c r="J1265" s="4">
        <v>66</v>
      </c>
      <c r="K1265" s="4">
        <v>166</v>
      </c>
      <c r="L1265" s="4">
        <v>27</v>
      </c>
      <c r="M1265">
        <v>19</v>
      </c>
      <c r="N1265" t="s">
        <v>47</v>
      </c>
      <c r="O1265">
        <v>3</v>
      </c>
      <c r="P1265" s="4">
        <v>85</v>
      </c>
      <c r="Q1265" t="s">
        <v>48</v>
      </c>
      <c r="R1265">
        <v>0</v>
      </c>
      <c r="S1265" t="s">
        <v>38</v>
      </c>
      <c r="T1265">
        <v>1</v>
      </c>
      <c r="U1265">
        <v>0</v>
      </c>
      <c r="V1265" t="s">
        <v>32</v>
      </c>
      <c r="W1265" t="s">
        <v>39</v>
      </c>
      <c r="X1265" s="4">
        <v>7.6</v>
      </c>
      <c r="Y1265">
        <v>9</v>
      </c>
      <c r="Z1265" s="5">
        <v>192.4</v>
      </c>
    </row>
    <row r="1266" spans="1:26">
      <c r="A1266">
        <v>1265</v>
      </c>
      <c r="B1266">
        <v>405</v>
      </c>
      <c r="C1266" s="2">
        <v>46221</v>
      </c>
      <c r="D1266" t="s">
        <v>40</v>
      </c>
      <c r="E1266">
        <v>7</v>
      </c>
      <c r="F1266" s="3">
        <v>10.08</v>
      </c>
      <c r="G1266" t="s">
        <v>27</v>
      </c>
      <c r="H1266">
        <v>11</v>
      </c>
      <c r="I1266" t="s">
        <v>34</v>
      </c>
      <c r="J1266" s="4">
        <v>65.400000000000006</v>
      </c>
      <c r="K1266" s="4">
        <v>131</v>
      </c>
      <c r="L1266" s="4">
        <v>21.6</v>
      </c>
      <c r="M1266">
        <v>15</v>
      </c>
      <c r="N1266" t="s">
        <v>47</v>
      </c>
      <c r="O1266">
        <v>3</v>
      </c>
      <c r="P1266" s="4">
        <v>85</v>
      </c>
      <c r="Q1266" t="s">
        <v>48</v>
      </c>
      <c r="R1266">
        <v>0</v>
      </c>
      <c r="S1266" t="s">
        <v>38</v>
      </c>
      <c r="T1266">
        <v>1</v>
      </c>
      <c r="U1266">
        <v>0</v>
      </c>
      <c r="V1266" t="s">
        <v>32</v>
      </c>
      <c r="W1266" t="s">
        <v>39</v>
      </c>
      <c r="X1266" s="4">
        <v>7.5</v>
      </c>
      <c r="Y1266">
        <v>0</v>
      </c>
      <c r="Z1266" s="5">
        <v>229.53</v>
      </c>
    </row>
    <row r="1267" spans="1:26">
      <c r="A1267">
        <v>1266</v>
      </c>
      <c r="B1267">
        <v>406</v>
      </c>
      <c r="C1267" s="2">
        <v>46371</v>
      </c>
      <c r="D1267" t="s">
        <v>35</v>
      </c>
      <c r="E1267">
        <v>12</v>
      </c>
      <c r="F1267" s="3">
        <v>11.08</v>
      </c>
      <c r="G1267" t="s">
        <v>36</v>
      </c>
      <c r="H1267">
        <v>45</v>
      </c>
      <c r="I1267" t="s">
        <v>34</v>
      </c>
      <c r="J1267" s="4">
        <v>63.5</v>
      </c>
      <c r="K1267" s="4">
        <v>161.30000000000001</v>
      </c>
      <c r="L1267" s="4">
        <v>28</v>
      </c>
      <c r="M1267">
        <v>13</v>
      </c>
      <c r="N1267" t="s">
        <v>69</v>
      </c>
      <c r="O1267">
        <v>2</v>
      </c>
      <c r="P1267" s="4">
        <v>2136.6999999999998</v>
      </c>
      <c r="Q1267" t="s">
        <v>42</v>
      </c>
      <c r="R1267">
        <v>1</v>
      </c>
      <c r="S1267" t="s">
        <v>44</v>
      </c>
      <c r="T1267">
        <v>0</v>
      </c>
      <c r="U1267">
        <v>0</v>
      </c>
      <c r="V1267" t="s">
        <v>32</v>
      </c>
      <c r="W1267" t="s">
        <v>43</v>
      </c>
      <c r="X1267" s="4">
        <v>7.4</v>
      </c>
      <c r="Y1267">
        <v>9</v>
      </c>
      <c r="Z1267" s="5">
        <v>183.71</v>
      </c>
    </row>
    <row r="1268" spans="1:26">
      <c r="A1268">
        <v>1267</v>
      </c>
      <c r="B1268">
        <v>406</v>
      </c>
      <c r="C1268" s="2">
        <v>46371</v>
      </c>
      <c r="D1268" t="s">
        <v>35</v>
      </c>
      <c r="E1268">
        <v>12</v>
      </c>
      <c r="F1268" s="3">
        <v>11.51</v>
      </c>
      <c r="G1268" t="s">
        <v>36</v>
      </c>
      <c r="H1268">
        <v>68</v>
      </c>
      <c r="I1268" t="s">
        <v>28</v>
      </c>
      <c r="J1268" s="4">
        <v>63.9</v>
      </c>
      <c r="K1268" s="4">
        <v>157.30000000000001</v>
      </c>
      <c r="L1268" s="4">
        <v>27.1</v>
      </c>
      <c r="M1268">
        <v>16</v>
      </c>
      <c r="N1268" t="s">
        <v>69</v>
      </c>
      <c r="O1268">
        <v>2</v>
      </c>
      <c r="P1268" s="4">
        <v>2136.6999999999998</v>
      </c>
      <c r="Q1268" t="s">
        <v>42</v>
      </c>
      <c r="R1268">
        <v>1</v>
      </c>
      <c r="S1268" t="s">
        <v>44</v>
      </c>
      <c r="T1268">
        <v>0</v>
      </c>
      <c r="U1268">
        <v>0</v>
      </c>
      <c r="V1268" t="s">
        <v>32</v>
      </c>
      <c r="W1268" t="s">
        <v>43</v>
      </c>
      <c r="X1268" s="4">
        <v>10.5</v>
      </c>
      <c r="Y1268">
        <v>11</v>
      </c>
      <c r="Z1268" s="5">
        <v>239.96</v>
      </c>
    </row>
    <row r="1269" spans="1:26">
      <c r="A1269">
        <v>1268</v>
      </c>
      <c r="B1269">
        <v>407</v>
      </c>
      <c r="C1269" s="2">
        <v>46372</v>
      </c>
      <c r="D1269" t="s">
        <v>52</v>
      </c>
      <c r="E1269">
        <v>12</v>
      </c>
      <c r="F1269" s="3">
        <v>11.19</v>
      </c>
      <c r="G1269" t="s">
        <v>36</v>
      </c>
      <c r="H1269">
        <v>33</v>
      </c>
      <c r="I1269" t="s">
        <v>34</v>
      </c>
      <c r="J1269" s="4">
        <v>64.7</v>
      </c>
      <c r="K1269" s="4">
        <v>188.9</v>
      </c>
      <c r="L1269" s="4">
        <v>31.7</v>
      </c>
      <c r="M1269">
        <v>19</v>
      </c>
      <c r="N1269" t="s">
        <v>41</v>
      </c>
      <c r="O1269">
        <v>1</v>
      </c>
      <c r="P1269" s="4">
        <v>2824.4</v>
      </c>
      <c r="Q1269" t="s">
        <v>48</v>
      </c>
      <c r="R1269">
        <v>1</v>
      </c>
      <c r="S1269" t="s">
        <v>31</v>
      </c>
      <c r="T1269">
        <v>1</v>
      </c>
      <c r="U1269">
        <v>1</v>
      </c>
      <c r="V1269" t="s">
        <v>45</v>
      </c>
      <c r="W1269" t="s">
        <v>43</v>
      </c>
      <c r="X1269" s="4">
        <v>8.5</v>
      </c>
      <c r="Y1269">
        <v>5</v>
      </c>
      <c r="Z1269" s="5">
        <v>359.2</v>
      </c>
    </row>
    <row r="1270" spans="1:26">
      <c r="A1270">
        <v>1269</v>
      </c>
      <c r="B1270">
        <v>408</v>
      </c>
      <c r="C1270" s="2">
        <v>46197</v>
      </c>
      <c r="D1270" t="s">
        <v>52</v>
      </c>
      <c r="E1270">
        <v>6</v>
      </c>
      <c r="F1270" s="3">
        <v>9.86</v>
      </c>
      <c r="G1270" t="s">
        <v>27</v>
      </c>
      <c r="H1270">
        <v>18</v>
      </c>
      <c r="I1270" t="s">
        <v>28</v>
      </c>
      <c r="J1270" s="4">
        <v>68.5</v>
      </c>
      <c r="K1270" s="4">
        <v>206.9</v>
      </c>
      <c r="L1270" s="4">
        <v>30.7</v>
      </c>
      <c r="M1270">
        <v>10</v>
      </c>
      <c r="N1270" t="s">
        <v>47</v>
      </c>
      <c r="O1270">
        <v>3</v>
      </c>
      <c r="P1270" s="4">
        <v>130.30000000000001</v>
      </c>
      <c r="Q1270" t="s">
        <v>30</v>
      </c>
      <c r="R1270">
        <v>0</v>
      </c>
      <c r="S1270" t="s">
        <v>44</v>
      </c>
      <c r="T1270">
        <v>0</v>
      </c>
      <c r="U1270">
        <v>0</v>
      </c>
      <c r="V1270" t="s">
        <v>32</v>
      </c>
      <c r="W1270" t="s">
        <v>49</v>
      </c>
      <c r="X1270" s="4">
        <v>8</v>
      </c>
      <c r="Y1270">
        <v>8</v>
      </c>
      <c r="Z1270" s="5">
        <v>157.97</v>
      </c>
    </row>
    <row r="1271" spans="1:26">
      <c r="A1271">
        <v>1270</v>
      </c>
      <c r="B1271">
        <v>408</v>
      </c>
      <c r="C1271" s="2">
        <v>46197</v>
      </c>
      <c r="D1271" t="s">
        <v>52</v>
      </c>
      <c r="E1271">
        <v>6</v>
      </c>
      <c r="F1271" s="3">
        <v>9.8000000000000007</v>
      </c>
      <c r="G1271" t="s">
        <v>27</v>
      </c>
      <c r="H1271">
        <v>73</v>
      </c>
      <c r="I1271" t="s">
        <v>34</v>
      </c>
      <c r="J1271" s="4">
        <v>65</v>
      </c>
      <c r="K1271" s="4">
        <v>144.69999999999999</v>
      </c>
      <c r="L1271" s="4">
        <v>24.2</v>
      </c>
      <c r="M1271">
        <v>13</v>
      </c>
      <c r="N1271" t="s">
        <v>47</v>
      </c>
      <c r="O1271">
        <v>3</v>
      </c>
      <c r="P1271" s="4">
        <v>130.30000000000001</v>
      </c>
      <c r="Q1271" t="s">
        <v>30</v>
      </c>
      <c r="R1271">
        <v>0</v>
      </c>
      <c r="S1271" t="s">
        <v>44</v>
      </c>
      <c r="T1271">
        <v>0</v>
      </c>
      <c r="U1271">
        <v>0</v>
      </c>
      <c r="V1271" t="s">
        <v>32</v>
      </c>
      <c r="W1271" t="s">
        <v>49</v>
      </c>
      <c r="X1271" s="4">
        <v>10.7</v>
      </c>
      <c r="Y1271">
        <v>16</v>
      </c>
      <c r="Z1271" s="5">
        <v>234.11</v>
      </c>
    </row>
    <row r="1272" spans="1:26">
      <c r="A1272">
        <v>1271</v>
      </c>
      <c r="B1272">
        <v>408</v>
      </c>
      <c r="C1272" s="2">
        <v>46197</v>
      </c>
      <c r="D1272" t="s">
        <v>52</v>
      </c>
      <c r="E1272">
        <v>6</v>
      </c>
      <c r="F1272" s="3">
        <v>10.029999999999999</v>
      </c>
      <c r="G1272" t="s">
        <v>27</v>
      </c>
      <c r="H1272">
        <v>7</v>
      </c>
      <c r="I1272" t="s">
        <v>28</v>
      </c>
      <c r="J1272" s="4">
        <v>61.4</v>
      </c>
      <c r="K1272" s="4">
        <v>109.8</v>
      </c>
      <c r="L1272" s="4">
        <v>20.6</v>
      </c>
      <c r="M1272">
        <v>12</v>
      </c>
      <c r="N1272" t="s">
        <v>47</v>
      </c>
      <c r="O1272">
        <v>3</v>
      </c>
      <c r="P1272" s="4">
        <v>130.30000000000001</v>
      </c>
      <c r="Q1272" t="s">
        <v>30</v>
      </c>
      <c r="R1272">
        <v>0</v>
      </c>
      <c r="S1272" t="s">
        <v>44</v>
      </c>
      <c r="T1272">
        <v>0</v>
      </c>
      <c r="U1272">
        <v>0</v>
      </c>
      <c r="V1272" t="s">
        <v>32</v>
      </c>
      <c r="W1272" t="s">
        <v>49</v>
      </c>
      <c r="X1272" s="4">
        <v>7.2</v>
      </c>
      <c r="Y1272">
        <v>6</v>
      </c>
      <c r="Z1272" s="5">
        <v>221.58</v>
      </c>
    </row>
    <row r="1273" spans="1:26">
      <c r="A1273">
        <v>1272</v>
      </c>
      <c r="B1273">
        <v>409</v>
      </c>
      <c r="C1273" s="2">
        <v>46160</v>
      </c>
      <c r="D1273" t="s">
        <v>46</v>
      </c>
      <c r="E1273">
        <v>5</v>
      </c>
      <c r="F1273" s="3">
        <v>8.6</v>
      </c>
      <c r="G1273" t="s">
        <v>27</v>
      </c>
      <c r="H1273">
        <v>18</v>
      </c>
      <c r="I1273" t="s">
        <v>34</v>
      </c>
      <c r="J1273" s="4">
        <v>63.1</v>
      </c>
      <c r="K1273" s="4">
        <v>144.9</v>
      </c>
      <c r="L1273" s="4">
        <v>25.6</v>
      </c>
      <c r="M1273">
        <v>11</v>
      </c>
      <c r="N1273" t="s">
        <v>47</v>
      </c>
      <c r="O1273">
        <v>3</v>
      </c>
      <c r="P1273" s="4">
        <v>180.3</v>
      </c>
      <c r="Q1273" t="s">
        <v>42</v>
      </c>
      <c r="R1273">
        <v>1</v>
      </c>
      <c r="S1273" t="s">
        <v>44</v>
      </c>
      <c r="T1273">
        <v>0</v>
      </c>
      <c r="U1273">
        <v>1</v>
      </c>
      <c r="V1273" t="s">
        <v>32</v>
      </c>
      <c r="W1273" t="s">
        <v>33</v>
      </c>
      <c r="X1273" s="4">
        <v>12.3</v>
      </c>
      <c r="Y1273">
        <v>11</v>
      </c>
      <c r="Z1273" s="5">
        <v>304.94</v>
      </c>
    </row>
    <row r="1274" spans="1:26">
      <c r="A1274">
        <v>1273</v>
      </c>
      <c r="B1274">
        <v>409</v>
      </c>
      <c r="C1274" s="2">
        <v>46160</v>
      </c>
      <c r="D1274" t="s">
        <v>46</v>
      </c>
      <c r="E1274">
        <v>5</v>
      </c>
      <c r="F1274" s="3">
        <v>8.65</v>
      </c>
      <c r="G1274" t="s">
        <v>27</v>
      </c>
      <c r="H1274">
        <v>29</v>
      </c>
      <c r="I1274" t="s">
        <v>34</v>
      </c>
      <c r="J1274" s="4">
        <v>69.599999999999994</v>
      </c>
      <c r="K1274" s="4">
        <v>170.5</v>
      </c>
      <c r="L1274" s="4">
        <v>24.8</v>
      </c>
      <c r="M1274">
        <v>14</v>
      </c>
      <c r="N1274" t="s">
        <v>47</v>
      </c>
      <c r="O1274">
        <v>3</v>
      </c>
      <c r="P1274" s="4">
        <v>180.3</v>
      </c>
      <c r="Q1274" t="s">
        <v>42</v>
      </c>
      <c r="R1274">
        <v>1</v>
      </c>
      <c r="S1274" t="s">
        <v>44</v>
      </c>
      <c r="T1274">
        <v>0</v>
      </c>
      <c r="U1274">
        <v>1</v>
      </c>
      <c r="V1274" t="s">
        <v>32</v>
      </c>
      <c r="W1274" t="s">
        <v>33</v>
      </c>
      <c r="X1274" s="4">
        <v>7.7</v>
      </c>
      <c r="Y1274">
        <v>5</v>
      </c>
      <c r="Z1274" s="5">
        <v>134.19</v>
      </c>
    </row>
    <row r="1275" spans="1:26">
      <c r="A1275">
        <v>1274</v>
      </c>
      <c r="B1275">
        <v>409</v>
      </c>
      <c r="C1275" s="2">
        <v>46160</v>
      </c>
      <c r="D1275" t="s">
        <v>46</v>
      </c>
      <c r="E1275">
        <v>5</v>
      </c>
      <c r="F1275" s="3">
        <v>8.77</v>
      </c>
      <c r="G1275" t="s">
        <v>27</v>
      </c>
      <c r="H1275">
        <v>73</v>
      </c>
      <c r="I1275" t="s">
        <v>28</v>
      </c>
      <c r="J1275" s="4">
        <v>69.099999999999994</v>
      </c>
      <c r="K1275" s="4">
        <v>157.1</v>
      </c>
      <c r="L1275" s="4">
        <v>23.1</v>
      </c>
      <c r="M1275">
        <v>20</v>
      </c>
      <c r="N1275" t="s">
        <v>47</v>
      </c>
      <c r="O1275">
        <v>3</v>
      </c>
      <c r="P1275" s="4">
        <v>180.3</v>
      </c>
      <c r="Q1275" t="s">
        <v>42</v>
      </c>
      <c r="R1275">
        <v>1</v>
      </c>
      <c r="S1275" t="s">
        <v>44</v>
      </c>
      <c r="T1275">
        <v>0</v>
      </c>
      <c r="U1275">
        <v>1</v>
      </c>
      <c r="V1275" t="s">
        <v>32</v>
      </c>
      <c r="W1275" t="s">
        <v>33</v>
      </c>
      <c r="X1275" s="4">
        <v>11.2</v>
      </c>
      <c r="Y1275">
        <v>8</v>
      </c>
      <c r="Z1275" s="5">
        <v>323.35000000000002</v>
      </c>
    </row>
    <row r="1276" spans="1:26">
      <c r="A1276">
        <v>1275</v>
      </c>
      <c r="B1276">
        <v>410</v>
      </c>
      <c r="C1276" s="2">
        <v>46314</v>
      </c>
      <c r="D1276" t="s">
        <v>46</v>
      </c>
      <c r="E1276">
        <v>10</v>
      </c>
      <c r="F1276" s="3">
        <v>10.29</v>
      </c>
      <c r="G1276" t="s">
        <v>27</v>
      </c>
      <c r="H1276">
        <v>58</v>
      </c>
      <c r="I1276" t="s">
        <v>34</v>
      </c>
      <c r="J1276" s="4">
        <v>64.8</v>
      </c>
      <c r="K1276" s="4">
        <v>126.1</v>
      </c>
      <c r="L1276" s="4">
        <v>21</v>
      </c>
      <c r="M1276">
        <v>10</v>
      </c>
      <c r="N1276" t="s">
        <v>50</v>
      </c>
      <c r="O1276">
        <v>3</v>
      </c>
      <c r="P1276" s="4">
        <v>457.1</v>
      </c>
      <c r="Q1276" t="s">
        <v>30</v>
      </c>
      <c r="R1276">
        <v>1</v>
      </c>
      <c r="S1276" t="s">
        <v>38</v>
      </c>
      <c r="T1276">
        <v>0</v>
      </c>
      <c r="U1276">
        <v>0</v>
      </c>
      <c r="V1276" t="s">
        <v>32</v>
      </c>
      <c r="W1276" t="s">
        <v>43</v>
      </c>
      <c r="X1276" s="4">
        <v>9.8000000000000007</v>
      </c>
      <c r="Y1276">
        <v>13</v>
      </c>
      <c r="Z1276" s="5">
        <v>302.51</v>
      </c>
    </row>
    <row r="1277" spans="1:26">
      <c r="A1277">
        <v>1276</v>
      </c>
      <c r="B1277">
        <v>410</v>
      </c>
      <c r="C1277" s="2">
        <v>46314</v>
      </c>
      <c r="D1277" t="s">
        <v>46</v>
      </c>
      <c r="E1277">
        <v>10</v>
      </c>
      <c r="F1277" s="3">
        <v>10.16</v>
      </c>
      <c r="G1277" t="s">
        <v>27</v>
      </c>
      <c r="H1277">
        <v>30</v>
      </c>
      <c r="I1277" t="s">
        <v>34</v>
      </c>
      <c r="J1277" s="4">
        <v>62.7</v>
      </c>
      <c r="K1277" s="4">
        <v>126.8</v>
      </c>
      <c r="L1277" s="4">
        <v>22.9</v>
      </c>
      <c r="M1277">
        <v>10</v>
      </c>
      <c r="N1277" t="s">
        <v>50</v>
      </c>
      <c r="O1277">
        <v>3</v>
      </c>
      <c r="P1277" s="4">
        <v>457.1</v>
      </c>
      <c r="Q1277" t="s">
        <v>30</v>
      </c>
      <c r="R1277">
        <v>1</v>
      </c>
      <c r="S1277" t="s">
        <v>38</v>
      </c>
      <c r="T1277">
        <v>0</v>
      </c>
      <c r="U1277">
        <v>0</v>
      </c>
      <c r="V1277" t="s">
        <v>32</v>
      </c>
      <c r="W1277" t="s">
        <v>43</v>
      </c>
      <c r="X1277" s="4">
        <v>10.199999999999999</v>
      </c>
      <c r="Y1277">
        <v>9</v>
      </c>
      <c r="Z1277" s="5">
        <v>228.39</v>
      </c>
    </row>
    <row r="1278" spans="1:26">
      <c r="A1278">
        <v>1277</v>
      </c>
      <c r="B1278">
        <v>410</v>
      </c>
      <c r="C1278" s="2">
        <v>46314</v>
      </c>
      <c r="D1278" t="s">
        <v>46</v>
      </c>
      <c r="E1278">
        <v>10</v>
      </c>
      <c r="F1278" s="3">
        <v>10.27</v>
      </c>
      <c r="G1278" t="s">
        <v>27</v>
      </c>
      <c r="H1278">
        <v>49</v>
      </c>
      <c r="I1278" t="s">
        <v>28</v>
      </c>
      <c r="J1278" s="4">
        <v>69.7</v>
      </c>
      <c r="K1278" s="4">
        <v>234.7</v>
      </c>
      <c r="L1278" s="4">
        <v>34.1</v>
      </c>
      <c r="M1278">
        <v>12</v>
      </c>
      <c r="N1278" t="s">
        <v>50</v>
      </c>
      <c r="O1278">
        <v>3</v>
      </c>
      <c r="P1278" s="4">
        <v>457.1</v>
      </c>
      <c r="Q1278" t="s">
        <v>30</v>
      </c>
      <c r="R1278">
        <v>1</v>
      </c>
      <c r="S1278" t="s">
        <v>38</v>
      </c>
      <c r="T1278">
        <v>0</v>
      </c>
      <c r="U1278">
        <v>0</v>
      </c>
      <c r="V1278" t="s">
        <v>32</v>
      </c>
      <c r="W1278" t="s">
        <v>43</v>
      </c>
      <c r="X1278" s="4">
        <v>6.6</v>
      </c>
      <c r="Y1278">
        <v>6</v>
      </c>
      <c r="Z1278" s="5">
        <v>134.44</v>
      </c>
    </row>
    <row r="1279" spans="1:26">
      <c r="A1279">
        <v>1278</v>
      </c>
      <c r="B1279">
        <v>411</v>
      </c>
      <c r="C1279" s="2">
        <v>46036</v>
      </c>
      <c r="D1279" t="s">
        <v>52</v>
      </c>
      <c r="E1279">
        <v>1</v>
      </c>
      <c r="F1279" s="3">
        <v>9.11</v>
      </c>
      <c r="G1279" t="s">
        <v>27</v>
      </c>
      <c r="H1279">
        <v>63</v>
      </c>
      <c r="I1279" t="s">
        <v>28</v>
      </c>
      <c r="J1279" s="4">
        <v>66.8</v>
      </c>
      <c r="K1279" s="4">
        <v>145</v>
      </c>
      <c r="L1279" s="4">
        <v>23</v>
      </c>
      <c r="M1279">
        <v>17</v>
      </c>
      <c r="N1279" t="s">
        <v>47</v>
      </c>
      <c r="O1279">
        <v>3</v>
      </c>
      <c r="P1279" s="4">
        <v>18.100000000000001</v>
      </c>
      <c r="Q1279" t="s">
        <v>48</v>
      </c>
      <c r="R1279">
        <v>1</v>
      </c>
      <c r="S1279" t="s">
        <v>44</v>
      </c>
      <c r="T1279">
        <v>1</v>
      </c>
      <c r="U1279">
        <v>1</v>
      </c>
      <c r="V1279" t="s">
        <v>64</v>
      </c>
      <c r="W1279" t="s">
        <v>49</v>
      </c>
      <c r="X1279" s="4">
        <v>8.4</v>
      </c>
      <c r="Y1279">
        <v>2</v>
      </c>
      <c r="Z1279" s="5">
        <v>218.27</v>
      </c>
    </row>
    <row r="1280" spans="1:26">
      <c r="A1280">
        <v>1279</v>
      </c>
      <c r="B1280">
        <v>411</v>
      </c>
      <c r="C1280" s="2">
        <v>46036</v>
      </c>
      <c r="D1280" t="s">
        <v>52</v>
      </c>
      <c r="E1280">
        <v>1</v>
      </c>
      <c r="F1280" s="3">
        <v>9.19</v>
      </c>
      <c r="G1280" t="s">
        <v>27</v>
      </c>
      <c r="H1280">
        <v>36</v>
      </c>
      <c r="I1280" t="s">
        <v>28</v>
      </c>
      <c r="J1280" s="4">
        <v>72.3</v>
      </c>
      <c r="K1280" s="4">
        <v>160</v>
      </c>
      <c r="L1280" s="4">
        <v>21.6</v>
      </c>
      <c r="M1280">
        <v>16</v>
      </c>
      <c r="N1280" t="s">
        <v>47</v>
      </c>
      <c r="O1280">
        <v>3</v>
      </c>
      <c r="P1280" s="4">
        <v>18.100000000000001</v>
      </c>
      <c r="Q1280" t="s">
        <v>48</v>
      </c>
      <c r="R1280">
        <v>1</v>
      </c>
      <c r="S1280" t="s">
        <v>44</v>
      </c>
      <c r="T1280">
        <v>1</v>
      </c>
      <c r="U1280">
        <v>1</v>
      </c>
      <c r="V1280" t="s">
        <v>64</v>
      </c>
      <c r="W1280" t="s">
        <v>49</v>
      </c>
      <c r="X1280" s="4">
        <v>5.3</v>
      </c>
      <c r="Y1280">
        <v>5</v>
      </c>
      <c r="Z1280" s="5">
        <v>195.33</v>
      </c>
    </row>
    <row r="1281" spans="1:26">
      <c r="A1281">
        <v>1280</v>
      </c>
      <c r="B1281">
        <v>411</v>
      </c>
      <c r="C1281" s="2">
        <v>46036</v>
      </c>
      <c r="D1281" t="s">
        <v>52</v>
      </c>
      <c r="E1281">
        <v>1</v>
      </c>
      <c r="F1281" s="3">
        <v>9.06</v>
      </c>
      <c r="G1281" t="s">
        <v>27</v>
      </c>
      <c r="H1281">
        <v>51</v>
      </c>
      <c r="I1281" t="s">
        <v>28</v>
      </c>
      <c r="J1281" s="4">
        <v>70</v>
      </c>
      <c r="K1281" s="4">
        <v>183.7</v>
      </c>
      <c r="L1281" s="4">
        <v>26.4</v>
      </c>
      <c r="M1281">
        <v>15</v>
      </c>
      <c r="N1281" t="s">
        <v>47</v>
      </c>
      <c r="O1281">
        <v>3</v>
      </c>
      <c r="P1281" s="4">
        <v>18.100000000000001</v>
      </c>
      <c r="Q1281" t="s">
        <v>48</v>
      </c>
      <c r="R1281">
        <v>1</v>
      </c>
      <c r="S1281" t="s">
        <v>44</v>
      </c>
      <c r="T1281">
        <v>1</v>
      </c>
      <c r="U1281">
        <v>1</v>
      </c>
      <c r="V1281" t="s">
        <v>64</v>
      </c>
      <c r="W1281" t="s">
        <v>49</v>
      </c>
      <c r="X1281" s="4">
        <v>8.1</v>
      </c>
      <c r="Y1281">
        <v>12</v>
      </c>
      <c r="Z1281" s="5">
        <v>241.17</v>
      </c>
    </row>
    <row r="1282" spans="1:26">
      <c r="A1282">
        <v>1281</v>
      </c>
      <c r="B1282">
        <v>412</v>
      </c>
      <c r="C1282" s="2">
        <v>46099</v>
      </c>
      <c r="D1282" t="s">
        <v>52</v>
      </c>
      <c r="E1282">
        <v>3</v>
      </c>
      <c r="F1282" s="3">
        <v>7.53</v>
      </c>
      <c r="G1282" t="s">
        <v>27</v>
      </c>
      <c r="H1282">
        <v>43</v>
      </c>
      <c r="I1282" t="s">
        <v>28</v>
      </c>
      <c r="J1282" s="4">
        <v>68.7</v>
      </c>
      <c r="K1282" s="4">
        <v>175.3</v>
      </c>
      <c r="L1282" s="4">
        <v>26.3</v>
      </c>
      <c r="M1282">
        <v>16</v>
      </c>
      <c r="N1282" t="s">
        <v>61</v>
      </c>
      <c r="O1282">
        <v>2</v>
      </c>
      <c r="P1282" s="4">
        <v>1344.2</v>
      </c>
      <c r="Q1282" t="s">
        <v>48</v>
      </c>
      <c r="R1282">
        <v>1</v>
      </c>
      <c r="S1282" t="s">
        <v>31</v>
      </c>
      <c r="T1282">
        <v>1</v>
      </c>
      <c r="U1282">
        <v>1</v>
      </c>
      <c r="V1282" t="s">
        <v>64</v>
      </c>
      <c r="W1282" t="s">
        <v>39</v>
      </c>
      <c r="X1282" s="4">
        <v>9.1</v>
      </c>
      <c r="Y1282">
        <v>9</v>
      </c>
      <c r="Z1282" s="5">
        <v>349.11</v>
      </c>
    </row>
    <row r="1283" spans="1:26">
      <c r="A1283">
        <v>1282</v>
      </c>
      <c r="B1283">
        <v>412</v>
      </c>
      <c r="C1283" s="2">
        <v>46099</v>
      </c>
      <c r="D1283" t="s">
        <v>52</v>
      </c>
      <c r="E1283">
        <v>3</v>
      </c>
      <c r="F1283" s="3">
        <v>7.65</v>
      </c>
      <c r="G1283" t="s">
        <v>27</v>
      </c>
      <c r="H1283">
        <v>11</v>
      </c>
      <c r="I1283" t="s">
        <v>28</v>
      </c>
      <c r="J1283" s="4">
        <v>65.5</v>
      </c>
      <c r="K1283" s="4">
        <v>129.69999999999999</v>
      </c>
      <c r="L1283" s="4">
        <v>21</v>
      </c>
      <c r="M1283">
        <v>13</v>
      </c>
      <c r="N1283" t="s">
        <v>61</v>
      </c>
      <c r="O1283">
        <v>2</v>
      </c>
      <c r="P1283" s="4">
        <v>1344.2</v>
      </c>
      <c r="Q1283" t="s">
        <v>48</v>
      </c>
      <c r="R1283">
        <v>1</v>
      </c>
      <c r="S1283" t="s">
        <v>31</v>
      </c>
      <c r="T1283">
        <v>1</v>
      </c>
      <c r="U1283">
        <v>1</v>
      </c>
      <c r="V1283" t="s">
        <v>64</v>
      </c>
      <c r="W1283" t="s">
        <v>39</v>
      </c>
      <c r="X1283" s="4">
        <v>11.6</v>
      </c>
      <c r="Y1283">
        <v>10</v>
      </c>
      <c r="Z1283" s="5">
        <v>566.42999999999995</v>
      </c>
    </row>
    <row r="1284" spans="1:26">
      <c r="A1284">
        <v>1283</v>
      </c>
      <c r="B1284">
        <v>413</v>
      </c>
      <c r="C1284" s="2">
        <v>46276</v>
      </c>
      <c r="D1284" t="s">
        <v>26</v>
      </c>
      <c r="E1284">
        <v>9</v>
      </c>
      <c r="F1284" s="3">
        <v>10.16</v>
      </c>
      <c r="G1284" t="s">
        <v>27</v>
      </c>
      <c r="H1284">
        <v>20</v>
      </c>
      <c r="I1284" t="s">
        <v>28</v>
      </c>
      <c r="J1284" s="4">
        <v>70.400000000000006</v>
      </c>
      <c r="K1284" s="4">
        <v>214</v>
      </c>
      <c r="L1284" s="4">
        <v>30.3</v>
      </c>
      <c r="M1284">
        <v>13</v>
      </c>
      <c r="N1284" t="s">
        <v>47</v>
      </c>
      <c r="O1284">
        <v>1</v>
      </c>
      <c r="P1284" s="4">
        <v>166.1</v>
      </c>
      <c r="Q1284" t="s">
        <v>42</v>
      </c>
      <c r="R1284">
        <v>0</v>
      </c>
      <c r="S1284" t="s">
        <v>38</v>
      </c>
      <c r="T1284">
        <v>1</v>
      </c>
      <c r="U1284">
        <v>0</v>
      </c>
      <c r="V1284" t="s">
        <v>32</v>
      </c>
      <c r="W1284" t="s">
        <v>57</v>
      </c>
      <c r="X1284" s="4">
        <v>7.6</v>
      </c>
      <c r="Y1284">
        <v>9</v>
      </c>
      <c r="Z1284" s="5">
        <v>189.23</v>
      </c>
    </row>
    <row r="1285" spans="1:26">
      <c r="A1285">
        <v>1284</v>
      </c>
      <c r="B1285">
        <v>414</v>
      </c>
      <c r="C1285" s="2">
        <v>46152</v>
      </c>
      <c r="D1285" t="s">
        <v>58</v>
      </c>
      <c r="E1285">
        <v>5</v>
      </c>
      <c r="F1285" s="3">
        <v>8.4700000000000006</v>
      </c>
      <c r="G1285" t="s">
        <v>27</v>
      </c>
      <c r="H1285">
        <v>11</v>
      </c>
      <c r="I1285" t="s">
        <v>28</v>
      </c>
      <c r="J1285" s="4">
        <v>70</v>
      </c>
      <c r="K1285" s="4">
        <v>135.30000000000001</v>
      </c>
      <c r="L1285" s="4">
        <v>19.399999999999999</v>
      </c>
      <c r="M1285">
        <v>14</v>
      </c>
      <c r="N1285" t="s">
        <v>54</v>
      </c>
      <c r="O1285">
        <v>5</v>
      </c>
      <c r="P1285" s="4">
        <v>2729.9</v>
      </c>
      <c r="Q1285" t="s">
        <v>42</v>
      </c>
      <c r="R1285">
        <v>1</v>
      </c>
      <c r="S1285" t="s">
        <v>31</v>
      </c>
      <c r="T1285">
        <v>0</v>
      </c>
      <c r="U1285">
        <v>0</v>
      </c>
      <c r="V1285" t="s">
        <v>45</v>
      </c>
      <c r="W1285" t="s">
        <v>43</v>
      </c>
      <c r="X1285" s="4">
        <v>11.6</v>
      </c>
      <c r="Y1285">
        <v>7</v>
      </c>
      <c r="Z1285" s="5">
        <v>350.38</v>
      </c>
    </row>
    <row r="1286" spans="1:26">
      <c r="A1286">
        <v>1285</v>
      </c>
      <c r="B1286">
        <v>414</v>
      </c>
      <c r="C1286" s="2">
        <v>46152</v>
      </c>
      <c r="D1286" t="s">
        <v>58</v>
      </c>
      <c r="E1286">
        <v>5</v>
      </c>
      <c r="F1286" s="3">
        <v>8.3800000000000008</v>
      </c>
      <c r="G1286" t="s">
        <v>27</v>
      </c>
      <c r="H1286">
        <v>29</v>
      </c>
      <c r="I1286" t="s">
        <v>34</v>
      </c>
      <c r="J1286" s="4">
        <v>66.3</v>
      </c>
      <c r="K1286" s="4">
        <v>164.2</v>
      </c>
      <c r="L1286" s="4">
        <v>26.4</v>
      </c>
      <c r="M1286">
        <v>15</v>
      </c>
      <c r="N1286" t="s">
        <v>54</v>
      </c>
      <c r="O1286">
        <v>5</v>
      </c>
      <c r="P1286" s="4">
        <v>2729.9</v>
      </c>
      <c r="Q1286" t="s">
        <v>42</v>
      </c>
      <c r="R1286">
        <v>1</v>
      </c>
      <c r="S1286" t="s">
        <v>31</v>
      </c>
      <c r="T1286">
        <v>0</v>
      </c>
      <c r="U1286">
        <v>0</v>
      </c>
      <c r="V1286" t="s">
        <v>45</v>
      </c>
      <c r="W1286" t="s">
        <v>43</v>
      </c>
      <c r="X1286" s="4">
        <v>6.9</v>
      </c>
      <c r="Y1286">
        <v>9</v>
      </c>
      <c r="Z1286" s="5">
        <v>324.38</v>
      </c>
    </row>
    <row r="1287" spans="1:26">
      <c r="A1287">
        <v>1286</v>
      </c>
      <c r="B1287">
        <v>414</v>
      </c>
      <c r="C1287" s="2">
        <v>46152</v>
      </c>
      <c r="D1287" t="s">
        <v>58</v>
      </c>
      <c r="E1287">
        <v>5</v>
      </c>
      <c r="F1287" s="3">
        <v>8.3000000000000007</v>
      </c>
      <c r="G1287" t="s">
        <v>27</v>
      </c>
      <c r="H1287">
        <v>39</v>
      </c>
      <c r="I1287" t="s">
        <v>28</v>
      </c>
      <c r="J1287" s="4">
        <v>70.7</v>
      </c>
      <c r="K1287" s="4">
        <v>141.1</v>
      </c>
      <c r="L1287" s="4">
        <v>19.7</v>
      </c>
      <c r="M1287">
        <v>15</v>
      </c>
      <c r="N1287" t="s">
        <v>54</v>
      </c>
      <c r="O1287">
        <v>5</v>
      </c>
      <c r="P1287" s="4">
        <v>2729.9</v>
      </c>
      <c r="Q1287" t="s">
        <v>42</v>
      </c>
      <c r="R1287">
        <v>1</v>
      </c>
      <c r="S1287" t="s">
        <v>31</v>
      </c>
      <c r="T1287">
        <v>0</v>
      </c>
      <c r="U1287">
        <v>0</v>
      </c>
      <c r="V1287" t="s">
        <v>45</v>
      </c>
      <c r="W1287" t="s">
        <v>43</v>
      </c>
      <c r="X1287" s="4">
        <v>12.5</v>
      </c>
      <c r="Y1287">
        <v>12</v>
      </c>
      <c r="Z1287" s="5">
        <v>189.72</v>
      </c>
    </row>
    <row r="1288" spans="1:26">
      <c r="A1288">
        <v>1287</v>
      </c>
      <c r="B1288">
        <v>414</v>
      </c>
      <c r="C1288" s="2">
        <v>46152</v>
      </c>
      <c r="D1288" t="s">
        <v>58</v>
      </c>
      <c r="E1288">
        <v>5</v>
      </c>
      <c r="F1288" s="3">
        <v>8.41</v>
      </c>
      <c r="G1288" t="s">
        <v>27</v>
      </c>
      <c r="H1288">
        <v>53</v>
      </c>
      <c r="I1288" t="s">
        <v>34</v>
      </c>
      <c r="J1288" s="4">
        <v>65.2</v>
      </c>
      <c r="K1288" s="4">
        <v>166.8</v>
      </c>
      <c r="L1288" s="4">
        <v>27.7</v>
      </c>
      <c r="M1288">
        <v>14</v>
      </c>
      <c r="N1288" t="s">
        <v>54</v>
      </c>
      <c r="O1288">
        <v>5</v>
      </c>
      <c r="P1288" s="4">
        <v>2729.9</v>
      </c>
      <c r="Q1288" t="s">
        <v>42</v>
      </c>
      <c r="R1288">
        <v>1</v>
      </c>
      <c r="S1288" t="s">
        <v>31</v>
      </c>
      <c r="T1288">
        <v>0</v>
      </c>
      <c r="U1288">
        <v>0</v>
      </c>
      <c r="V1288" t="s">
        <v>45</v>
      </c>
      <c r="W1288" t="s">
        <v>43</v>
      </c>
      <c r="X1288" s="4">
        <v>10.3</v>
      </c>
      <c r="Y1288">
        <v>12</v>
      </c>
      <c r="Z1288" s="5">
        <v>353.39</v>
      </c>
    </row>
    <row r="1289" spans="1:26">
      <c r="A1289">
        <v>1288</v>
      </c>
      <c r="B1289">
        <v>414</v>
      </c>
      <c r="C1289" s="2">
        <v>46152</v>
      </c>
      <c r="D1289" t="s">
        <v>58</v>
      </c>
      <c r="E1289">
        <v>5</v>
      </c>
      <c r="F1289" s="3">
        <v>8.24</v>
      </c>
      <c r="G1289" t="s">
        <v>27</v>
      </c>
      <c r="H1289">
        <v>3</v>
      </c>
      <c r="I1289" t="s">
        <v>34</v>
      </c>
      <c r="J1289" s="4">
        <v>55.8</v>
      </c>
      <c r="K1289" s="4">
        <v>97.3</v>
      </c>
      <c r="L1289" s="4">
        <v>22.1</v>
      </c>
      <c r="M1289">
        <v>13</v>
      </c>
      <c r="N1289" t="s">
        <v>54</v>
      </c>
      <c r="O1289">
        <v>5</v>
      </c>
      <c r="P1289" s="4">
        <v>2729.9</v>
      </c>
      <c r="Q1289" t="s">
        <v>42</v>
      </c>
      <c r="R1289">
        <v>1</v>
      </c>
      <c r="S1289" t="s">
        <v>31</v>
      </c>
      <c r="T1289">
        <v>0</v>
      </c>
      <c r="U1289">
        <v>0</v>
      </c>
      <c r="V1289" t="s">
        <v>45</v>
      </c>
      <c r="W1289" t="s">
        <v>43</v>
      </c>
      <c r="X1289" s="4">
        <v>8.8000000000000007</v>
      </c>
      <c r="Y1289">
        <v>7</v>
      </c>
      <c r="Z1289" s="5">
        <v>154.22999999999999</v>
      </c>
    </row>
    <row r="1290" spans="1:26">
      <c r="A1290">
        <v>1289</v>
      </c>
      <c r="B1290">
        <v>415</v>
      </c>
      <c r="C1290" s="2">
        <v>46107</v>
      </c>
      <c r="D1290" t="s">
        <v>55</v>
      </c>
      <c r="E1290">
        <v>3</v>
      </c>
      <c r="F1290" s="3">
        <v>8.89</v>
      </c>
      <c r="G1290" t="s">
        <v>27</v>
      </c>
      <c r="H1290">
        <v>41</v>
      </c>
      <c r="I1290" t="s">
        <v>28</v>
      </c>
      <c r="J1290" s="4">
        <v>68.8</v>
      </c>
      <c r="K1290" s="4">
        <v>197.2</v>
      </c>
      <c r="L1290" s="4">
        <v>29.4</v>
      </c>
      <c r="M1290">
        <v>15</v>
      </c>
      <c r="N1290" t="s">
        <v>65</v>
      </c>
      <c r="O1290">
        <v>2</v>
      </c>
      <c r="P1290" s="4">
        <v>2129.8000000000002</v>
      </c>
      <c r="Q1290" t="s">
        <v>48</v>
      </c>
      <c r="R1290">
        <v>0</v>
      </c>
      <c r="S1290" t="s">
        <v>44</v>
      </c>
      <c r="T1290">
        <v>1</v>
      </c>
      <c r="U1290">
        <v>1</v>
      </c>
      <c r="V1290" t="s">
        <v>32</v>
      </c>
      <c r="W1290" t="s">
        <v>49</v>
      </c>
      <c r="X1290" s="4">
        <v>11.1</v>
      </c>
      <c r="Y1290">
        <v>10</v>
      </c>
      <c r="Z1290" s="5">
        <v>365.25</v>
      </c>
    </row>
    <row r="1291" spans="1:26">
      <c r="A1291">
        <v>1290</v>
      </c>
      <c r="B1291">
        <v>415</v>
      </c>
      <c r="C1291" s="2">
        <v>46107</v>
      </c>
      <c r="D1291" t="s">
        <v>55</v>
      </c>
      <c r="E1291">
        <v>3</v>
      </c>
      <c r="F1291" s="3">
        <v>9.08</v>
      </c>
      <c r="G1291" t="s">
        <v>27</v>
      </c>
      <c r="H1291">
        <v>3</v>
      </c>
      <c r="I1291" t="s">
        <v>34</v>
      </c>
      <c r="J1291" s="4">
        <v>60</v>
      </c>
      <c r="K1291" s="4">
        <v>116.1</v>
      </c>
      <c r="L1291" s="4">
        <v>22.8</v>
      </c>
      <c r="M1291">
        <v>15</v>
      </c>
      <c r="N1291" t="s">
        <v>65</v>
      </c>
      <c r="O1291">
        <v>2</v>
      </c>
      <c r="P1291" s="4">
        <v>2129.8000000000002</v>
      </c>
      <c r="Q1291" t="s">
        <v>48</v>
      </c>
      <c r="R1291">
        <v>0</v>
      </c>
      <c r="S1291" t="s">
        <v>44</v>
      </c>
      <c r="T1291">
        <v>1</v>
      </c>
      <c r="U1291">
        <v>1</v>
      </c>
      <c r="V1291" t="s">
        <v>32</v>
      </c>
      <c r="W1291" t="s">
        <v>49</v>
      </c>
      <c r="X1291" s="4">
        <v>10</v>
      </c>
      <c r="Y1291">
        <v>8</v>
      </c>
      <c r="Z1291" s="5">
        <v>325.31</v>
      </c>
    </row>
    <row r="1292" spans="1:26">
      <c r="A1292">
        <v>1291</v>
      </c>
      <c r="B1292">
        <v>416</v>
      </c>
      <c r="C1292" s="2">
        <v>46154</v>
      </c>
      <c r="D1292" t="s">
        <v>35</v>
      </c>
      <c r="E1292">
        <v>5</v>
      </c>
      <c r="F1292" s="3">
        <v>11</v>
      </c>
      <c r="G1292" t="s">
        <v>36</v>
      </c>
      <c r="H1292">
        <v>52</v>
      </c>
      <c r="I1292" t="s">
        <v>28</v>
      </c>
      <c r="J1292" s="4">
        <v>71.099999999999994</v>
      </c>
      <c r="K1292" s="4">
        <v>202.6</v>
      </c>
      <c r="L1292" s="4">
        <v>28.1</v>
      </c>
      <c r="M1292">
        <v>16</v>
      </c>
      <c r="N1292" t="s">
        <v>60</v>
      </c>
      <c r="O1292">
        <v>4</v>
      </c>
      <c r="P1292" s="4">
        <v>2258.8000000000002</v>
      </c>
      <c r="Q1292" t="s">
        <v>42</v>
      </c>
      <c r="R1292">
        <v>0</v>
      </c>
      <c r="S1292" t="s">
        <v>38</v>
      </c>
      <c r="T1292">
        <v>1</v>
      </c>
      <c r="U1292">
        <v>0</v>
      </c>
      <c r="V1292" t="s">
        <v>32</v>
      </c>
      <c r="W1292" t="s">
        <v>39</v>
      </c>
      <c r="X1292" s="4">
        <v>7.9</v>
      </c>
      <c r="Y1292">
        <v>18</v>
      </c>
      <c r="Z1292" s="5">
        <v>253.33</v>
      </c>
    </row>
    <row r="1293" spans="1:26">
      <c r="A1293">
        <v>1292</v>
      </c>
      <c r="B1293">
        <v>416</v>
      </c>
      <c r="C1293" s="2">
        <v>46154</v>
      </c>
      <c r="D1293" t="s">
        <v>35</v>
      </c>
      <c r="E1293">
        <v>5</v>
      </c>
      <c r="F1293" s="3">
        <v>10.97</v>
      </c>
      <c r="G1293" t="s">
        <v>27</v>
      </c>
      <c r="H1293">
        <v>21</v>
      </c>
      <c r="I1293" t="s">
        <v>34</v>
      </c>
      <c r="J1293" s="4">
        <v>66.5</v>
      </c>
      <c r="K1293" s="4">
        <v>137.19999999999999</v>
      </c>
      <c r="L1293" s="4">
        <v>21.9</v>
      </c>
      <c r="M1293">
        <v>11</v>
      </c>
      <c r="N1293" t="s">
        <v>60</v>
      </c>
      <c r="O1293">
        <v>4</v>
      </c>
      <c r="P1293" s="4">
        <v>2258.8000000000002</v>
      </c>
      <c r="Q1293" t="s">
        <v>42</v>
      </c>
      <c r="R1293">
        <v>0</v>
      </c>
      <c r="S1293" t="s">
        <v>38</v>
      </c>
      <c r="T1293">
        <v>1</v>
      </c>
      <c r="U1293">
        <v>0</v>
      </c>
      <c r="V1293" t="s">
        <v>32</v>
      </c>
      <c r="W1293" t="s">
        <v>39</v>
      </c>
      <c r="X1293" s="4">
        <v>7.2</v>
      </c>
      <c r="Y1293">
        <v>6</v>
      </c>
      <c r="Z1293" s="5">
        <v>272.5</v>
      </c>
    </row>
    <row r="1294" spans="1:26">
      <c r="A1294">
        <v>1293</v>
      </c>
      <c r="B1294">
        <v>416</v>
      </c>
      <c r="C1294" s="2">
        <v>46154</v>
      </c>
      <c r="D1294" t="s">
        <v>35</v>
      </c>
      <c r="E1294">
        <v>5</v>
      </c>
      <c r="F1294" s="3">
        <v>11.08</v>
      </c>
      <c r="G1294" t="s">
        <v>36</v>
      </c>
      <c r="H1294">
        <v>42</v>
      </c>
      <c r="I1294" t="s">
        <v>28</v>
      </c>
      <c r="J1294" s="4">
        <v>70.2</v>
      </c>
      <c r="K1294" s="4">
        <v>120.7</v>
      </c>
      <c r="L1294" s="4">
        <v>17.2</v>
      </c>
      <c r="M1294">
        <v>15</v>
      </c>
      <c r="N1294" t="s">
        <v>60</v>
      </c>
      <c r="O1294">
        <v>4</v>
      </c>
      <c r="P1294" s="4">
        <v>2258.8000000000002</v>
      </c>
      <c r="Q1294" t="s">
        <v>42</v>
      </c>
      <c r="R1294">
        <v>0</v>
      </c>
      <c r="S1294" t="s">
        <v>38</v>
      </c>
      <c r="T1294">
        <v>1</v>
      </c>
      <c r="U1294">
        <v>0</v>
      </c>
      <c r="V1294" t="s">
        <v>32</v>
      </c>
      <c r="W1294" t="s">
        <v>39</v>
      </c>
      <c r="X1294" s="4">
        <v>9.1</v>
      </c>
      <c r="Y1294">
        <v>8</v>
      </c>
      <c r="Z1294" s="5">
        <v>219.39</v>
      </c>
    </row>
    <row r="1295" spans="1:26">
      <c r="A1295">
        <v>1294</v>
      </c>
      <c r="B1295">
        <v>416</v>
      </c>
      <c r="C1295" s="2">
        <v>46154</v>
      </c>
      <c r="D1295" t="s">
        <v>35</v>
      </c>
      <c r="E1295">
        <v>5</v>
      </c>
      <c r="F1295" s="3">
        <v>10.93</v>
      </c>
      <c r="G1295" t="s">
        <v>27</v>
      </c>
      <c r="H1295">
        <v>12</v>
      </c>
      <c r="I1295" t="s">
        <v>28</v>
      </c>
      <c r="J1295" s="4">
        <v>68.400000000000006</v>
      </c>
      <c r="K1295" s="4">
        <v>138.5</v>
      </c>
      <c r="L1295" s="4">
        <v>20.9</v>
      </c>
      <c r="M1295">
        <v>11</v>
      </c>
      <c r="N1295" t="s">
        <v>60</v>
      </c>
      <c r="O1295">
        <v>4</v>
      </c>
      <c r="P1295" s="4">
        <v>2258.8000000000002</v>
      </c>
      <c r="Q1295" t="s">
        <v>42</v>
      </c>
      <c r="R1295">
        <v>0</v>
      </c>
      <c r="S1295" t="s">
        <v>38</v>
      </c>
      <c r="T1295">
        <v>1</v>
      </c>
      <c r="U1295">
        <v>0</v>
      </c>
      <c r="V1295" t="s">
        <v>32</v>
      </c>
      <c r="W1295" t="s">
        <v>39</v>
      </c>
      <c r="X1295" s="4">
        <v>8.3000000000000007</v>
      </c>
      <c r="Y1295">
        <v>9</v>
      </c>
      <c r="Z1295" s="5">
        <v>248.13</v>
      </c>
    </row>
    <row r="1296" spans="1:26">
      <c r="A1296">
        <v>1295</v>
      </c>
      <c r="B1296">
        <v>417</v>
      </c>
      <c r="C1296" s="2">
        <v>46068</v>
      </c>
      <c r="D1296" t="s">
        <v>58</v>
      </c>
      <c r="E1296">
        <v>2</v>
      </c>
      <c r="F1296" s="3">
        <v>9.9499999999999993</v>
      </c>
      <c r="G1296" t="s">
        <v>27</v>
      </c>
      <c r="H1296">
        <v>50</v>
      </c>
      <c r="I1296" t="s">
        <v>28</v>
      </c>
      <c r="J1296" s="4">
        <v>70.900000000000006</v>
      </c>
      <c r="K1296" s="4">
        <v>135.80000000000001</v>
      </c>
      <c r="L1296" s="4">
        <v>19</v>
      </c>
      <c r="M1296">
        <v>19</v>
      </c>
      <c r="N1296" t="s">
        <v>47</v>
      </c>
      <c r="O1296">
        <v>2</v>
      </c>
      <c r="P1296" s="4">
        <v>75.8</v>
      </c>
      <c r="Q1296" t="s">
        <v>48</v>
      </c>
      <c r="R1296">
        <v>1</v>
      </c>
      <c r="S1296" t="s">
        <v>44</v>
      </c>
      <c r="T1296">
        <v>0</v>
      </c>
      <c r="U1296">
        <v>0</v>
      </c>
      <c r="V1296" t="s">
        <v>32</v>
      </c>
      <c r="W1296" t="s">
        <v>39</v>
      </c>
      <c r="X1296" s="4">
        <v>10.199999999999999</v>
      </c>
      <c r="Y1296">
        <v>9</v>
      </c>
      <c r="Z1296" s="5">
        <v>194.84</v>
      </c>
    </row>
    <row r="1297" spans="1:26">
      <c r="A1297">
        <v>1296</v>
      </c>
      <c r="B1297">
        <v>417</v>
      </c>
      <c r="C1297" s="2">
        <v>46068</v>
      </c>
      <c r="D1297" t="s">
        <v>58</v>
      </c>
      <c r="E1297">
        <v>2</v>
      </c>
      <c r="F1297" s="3">
        <v>10.199999999999999</v>
      </c>
      <c r="G1297" t="s">
        <v>27</v>
      </c>
      <c r="H1297">
        <v>49</v>
      </c>
      <c r="I1297" t="s">
        <v>34</v>
      </c>
      <c r="J1297" s="4">
        <v>68.900000000000006</v>
      </c>
      <c r="K1297" s="4">
        <v>118.6</v>
      </c>
      <c r="L1297" s="4">
        <v>17.600000000000001</v>
      </c>
      <c r="M1297">
        <v>19</v>
      </c>
      <c r="N1297" t="s">
        <v>47</v>
      </c>
      <c r="O1297">
        <v>2</v>
      </c>
      <c r="P1297" s="4">
        <v>75.8</v>
      </c>
      <c r="Q1297" t="s">
        <v>48</v>
      </c>
      <c r="R1297">
        <v>1</v>
      </c>
      <c r="S1297" t="s">
        <v>44</v>
      </c>
      <c r="T1297">
        <v>0</v>
      </c>
      <c r="U1297">
        <v>0</v>
      </c>
      <c r="V1297" t="s">
        <v>32</v>
      </c>
      <c r="W1297" t="s">
        <v>39</v>
      </c>
      <c r="X1297" s="4">
        <v>11.9</v>
      </c>
      <c r="Y1297">
        <v>8</v>
      </c>
      <c r="Z1297" s="5">
        <v>150.77000000000001</v>
      </c>
    </row>
    <row r="1298" spans="1:26">
      <c r="A1298">
        <v>1297</v>
      </c>
      <c r="B1298">
        <v>418</v>
      </c>
      <c r="C1298" s="2">
        <v>46314</v>
      </c>
      <c r="D1298" t="s">
        <v>46</v>
      </c>
      <c r="E1298">
        <v>10</v>
      </c>
      <c r="F1298" s="3">
        <v>11.4</v>
      </c>
      <c r="G1298" t="s">
        <v>36</v>
      </c>
      <c r="H1298">
        <v>51</v>
      </c>
      <c r="I1298" t="s">
        <v>28</v>
      </c>
      <c r="J1298" s="4">
        <v>71.900000000000006</v>
      </c>
      <c r="K1298" s="4">
        <v>158.4</v>
      </c>
      <c r="L1298" s="4">
        <v>21.4</v>
      </c>
      <c r="M1298">
        <v>18</v>
      </c>
      <c r="N1298" t="s">
        <v>63</v>
      </c>
      <c r="O1298">
        <v>3</v>
      </c>
      <c r="P1298" s="4">
        <v>1969.4</v>
      </c>
      <c r="Q1298" t="s">
        <v>48</v>
      </c>
      <c r="R1298">
        <v>0</v>
      </c>
      <c r="S1298" t="s">
        <v>44</v>
      </c>
      <c r="T1298">
        <v>0</v>
      </c>
      <c r="U1298">
        <v>1</v>
      </c>
      <c r="V1298" t="s">
        <v>32</v>
      </c>
      <c r="W1298" t="s">
        <v>43</v>
      </c>
      <c r="X1298" s="4">
        <v>7.2</v>
      </c>
      <c r="Y1298">
        <v>11</v>
      </c>
      <c r="Z1298" s="5">
        <v>295.64</v>
      </c>
    </row>
    <row r="1299" spans="1:26">
      <c r="A1299">
        <v>1298</v>
      </c>
      <c r="B1299">
        <v>418</v>
      </c>
      <c r="C1299" s="2">
        <v>46314</v>
      </c>
      <c r="D1299" t="s">
        <v>46</v>
      </c>
      <c r="E1299">
        <v>10</v>
      </c>
      <c r="F1299" s="3">
        <v>11.29</v>
      </c>
      <c r="G1299" t="s">
        <v>36</v>
      </c>
      <c r="H1299">
        <v>33</v>
      </c>
      <c r="I1299" t="s">
        <v>28</v>
      </c>
      <c r="J1299" s="4">
        <v>72.2</v>
      </c>
      <c r="K1299" s="4">
        <v>122.5</v>
      </c>
      <c r="L1299" s="4">
        <v>16.7</v>
      </c>
      <c r="M1299">
        <v>15</v>
      </c>
      <c r="N1299" t="s">
        <v>63</v>
      </c>
      <c r="O1299">
        <v>3</v>
      </c>
      <c r="P1299" s="4">
        <v>1969.4</v>
      </c>
      <c r="Q1299" t="s">
        <v>48</v>
      </c>
      <c r="R1299">
        <v>0</v>
      </c>
      <c r="S1299" t="s">
        <v>44</v>
      </c>
      <c r="T1299">
        <v>0</v>
      </c>
      <c r="U1299">
        <v>1</v>
      </c>
      <c r="V1299" t="s">
        <v>32</v>
      </c>
      <c r="W1299" t="s">
        <v>43</v>
      </c>
      <c r="X1299" s="4">
        <v>9.6999999999999993</v>
      </c>
      <c r="Y1299">
        <v>7</v>
      </c>
      <c r="Z1299" s="5">
        <v>350.11</v>
      </c>
    </row>
    <row r="1300" spans="1:26">
      <c r="A1300">
        <v>1299</v>
      </c>
      <c r="B1300">
        <v>418</v>
      </c>
      <c r="C1300" s="2">
        <v>46314</v>
      </c>
      <c r="D1300" t="s">
        <v>46</v>
      </c>
      <c r="E1300">
        <v>10</v>
      </c>
      <c r="F1300" s="3">
        <v>11.35</v>
      </c>
      <c r="G1300" t="s">
        <v>36</v>
      </c>
      <c r="H1300">
        <v>58</v>
      </c>
      <c r="I1300" t="s">
        <v>34</v>
      </c>
      <c r="J1300" s="4">
        <v>65</v>
      </c>
      <c r="K1300" s="4">
        <v>116.4</v>
      </c>
      <c r="L1300" s="4">
        <v>19.399999999999999</v>
      </c>
      <c r="M1300">
        <v>17</v>
      </c>
      <c r="N1300" t="s">
        <v>63</v>
      </c>
      <c r="O1300">
        <v>3</v>
      </c>
      <c r="P1300" s="4">
        <v>1969.4</v>
      </c>
      <c r="Q1300" t="s">
        <v>48</v>
      </c>
      <c r="R1300">
        <v>0</v>
      </c>
      <c r="S1300" t="s">
        <v>44</v>
      </c>
      <c r="T1300">
        <v>0</v>
      </c>
      <c r="U1300">
        <v>1</v>
      </c>
      <c r="V1300" t="s">
        <v>32</v>
      </c>
      <c r="W1300" t="s">
        <v>43</v>
      </c>
      <c r="X1300" s="4">
        <v>10</v>
      </c>
      <c r="Y1300">
        <v>7</v>
      </c>
      <c r="Z1300" s="5">
        <v>178.19</v>
      </c>
    </row>
    <row r="1301" spans="1:26">
      <c r="A1301">
        <v>1300</v>
      </c>
      <c r="B1301">
        <v>419</v>
      </c>
      <c r="C1301" s="2">
        <v>46196</v>
      </c>
      <c r="D1301" t="s">
        <v>35</v>
      </c>
      <c r="E1301">
        <v>6</v>
      </c>
      <c r="F1301" s="3">
        <v>10.71</v>
      </c>
      <c r="G1301" t="s">
        <v>27</v>
      </c>
      <c r="H1301">
        <v>41</v>
      </c>
      <c r="I1301" t="s">
        <v>34</v>
      </c>
      <c r="J1301" s="4">
        <v>60.3</v>
      </c>
      <c r="K1301" s="4">
        <v>121.1</v>
      </c>
      <c r="L1301" s="4">
        <v>23.2</v>
      </c>
      <c r="M1301">
        <v>17</v>
      </c>
      <c r="N1301" t="s">
        <v>47</v>
      </c>
      <c r="O1301">
        <v>6</v>
      </c>
      <c r="P1301" s="4">
        <v>97</v>
      </c>
      <c r="Q1301" t="s">
        <v>42</v>
      </c>
      <c r="R1301">
        <v>1</v>
      </c>
      <c r="S1301" t="s">
        <v>44</v>
      </c>
      <c r="T1301">
        <v>1</v>
      </c>
      <c r="U1301">
        <v>0</v>
      </c>
      <c r="V1301" t="s">
        <v>32</v>
      </c>
      <c r="W1301" t="s">
        <v>39</v>
      </c>
      <c r="X1301" s="4">
        <v>9.9</v>
      </c>
      <c r="Y1301">
        <v>12</v>
      </c>
      <c r="Z1301" s="5">
        <v>270.35000000000002</v>
      </c>
    </row>
    <row r="1302" spans="1:26">
      <c r="A1302">
        <v>1301</v>
      </c>
      <c r="B1302">
        <v>419</v>
      </c>
      <c r="C1302" s="2">
        <v>46196</v>
      </c>
      <c r="D1302" t="s">
        <v>35</v>
      </c>
      <c r="E1302">
        <v>6</v>
      </c>
      <c r="F1302" s="3">
        <v>10.51</v>
      </c>
      <c r="G1302" t="s">
        <v>27</v>
      </c>
      <c r="H1302">
        <v>33</v>
      </c>
      <c r="I1302" t="s">
        <v>28</v>
      </c>
      <c r="J1302" s="4">
        <v>68.2</v>
      </c>
      <c r="K1302" s="4">
        <v>126.2</v>
      </c>
      <c r="L1302" s="4">
        <v>18.899999999999999</v>
      </c>
      <c r="M1302">
        <v>17</v>
      </c>
      <c r="N1302" t="s">
        <v>47</v>
      </c>
      <c r="O1302">
        <v>6</v>
      </c>
      <c r="P1302" s="4">
        <v>97</v>
      </c>
      <c r="Q1302" t="s">
        <v>42</v>
      </c>
      <c r="R1302">
        <v>1</v>
      </c>
      <c r="S1302" t="s">
        <v>44</v>
      </c>
      <c r="T1302">
        <v>1</v>
      </c>
      <c r="U1302">
        <v>0</v>
      </c>
      <c r="V1302" t="s">
        <v>32</v>
      </c>
      <c r="W1302" t="s">
        <v>39</v>
      </c>
      <c r="X1302" s="4">
        <v>8.9</v>
      </c>
      <c r="Y1302">
        <v>3</v>
      </c>
      <c r="Z1302" s="5">
        <v>167.04</v>
      </c>
    </row>
    <row r="1303" spans="1:26">
      <c r="A1303">
        <v>1302</v>
      </c>
      <c r="B1303">
        <v>419</v>
      </c>
      <c r="C1303" s="2">
        <v>46196</v>
      </c>
      <c r="D1303" t="s">
        <v>35</v>
      </c>
      <c r="E1303">
        <v>6</v>
      </c>
      <c r="F1303" s="3">
        <v>10.79</v>
      </c>
      <c r="G1303" t="s">
        <v>27</v>
      </c>
      <c r="H1303">
        <v>7</v>
      </c>
      <c r="I1303" t="s">
        <v>34</v>
      </c>
      <c r="J1303" s="4">
        <v>57.5</v>
      </c>
      <c r="K1303" s="4">
        <v>64.2</v>
      </c>
      <c r="L1303" s="4">
        <v>13.8</v>
      </c>
      <c r="M1303">
        <v>12</v>
      </c>
      <c r="N1303" t="s">
        <v>47</v>
      </c>
      <c r="O1303">
        <v>6</v>
      </c>
      <c r="P1303" s="4">
        <v>97</v>
      </c>
      <c r="Q1303" t="s">
        <v>42</v>
      </c>
      <c r="R1303">
        <v>1</v>
      </c>
      <c r="S1303" t="s">
        <v>44</v>
      </c>
      <c r="T1303">
        <v>1</v>
      </c>
      <c r="U1303">
        <v>0</v>
      </c>
      <c r="V1303" t="s">
        <v>32</v>
      </c>
      <c r="W1303" t="s">
        <v>39</v>
      </c>
      <c r="X1303" s="4">
        <v>10.4</v>
      </c>
      <c r="Y1303">
        <v>9</v>
      </c>
      <c r="Z1303" s="5">
        <v>310.92</v>
      </c>
    </row>
    <row r="1304" spans="1:26">
      <c r="A1304">
        <v>1303</v>
      </c>
      <c r="B1304">
        <v>419</v>
      </c>
      <c r="C1304" s="2">
        <v>46196</v>
      </c>
      <c r="D1304" t="s">
        <v>35</v>
      </c>
      <c r="E1304">
        <v>6</v>
      </c>
      <c r="F1304" s="3">
        <v>10.73</v>
      </c>
      <c r="G1304" t="s">
        <v>27</v>
      </c>
      <c r="H1304">
        <v>12</v>
      </c>
      <c r="I1304" t="s">
        <v>28</v>
      </c>
      <c r="J1304" s="4">
        <v>62.7</v>
      </c>
      <c r="K1304" s="4">
        <v>132.19999999999999</v>
      </c>
      <c r="L1304" s="4">
        <v>23.5</v>
      </c>
      <c r="M1304">
        <v>10</v>
      </c>
      <c r="N1304" t="s">
        <v>47</v>
      </c>
      <c r="O1304">
        <v>6</v>
      </c>
      <c r="P1304" s="4">
        <v>97</v>
      </c>
      <c r="Q1304" t="s">
        <v>42</v>
      </c>
      <c r="R1304">
        <v>1</v>
      </c>
      <c r="S1304" t="s">
        <v>44</v>
      </c>
      <c r="T1304">
        <v>1</v>
      </c>
      <c r="U1304">
        <v>0</v>
      </c>
      <c r="V1304" t="s">
        <v>32</v>
      </c>
      <c r="W1304" t="s">
        <v>39</v>
      </c>
      <c r="X1304" s="4">
        <v>9.9</v>
      </c>
      <c r="Y1304">
        <v>8</v>
      </c>
      <c r="Z1304" s="5">
        <v>234.12</v>
      </c>
    </row>
    <row r="1305" spans="1:26">
      <c r="A1305">
        <v>1304</v>
      </c>
      <c r="B1305">
        <v>419</v>
      </c>
      <c r="C1305" s="2">
        <v>46196</v>
      </c>
      <c r="D1305" t="s">
        <v>35</v>
      </c>
      <c r="E1305">
        <v>6</v>
      </c>
      <c r="F1305" s="3">
        <v>10.83</v>
      </c>
      <c r="G1305" t="s">
        <v>27</v>
      </c>
      <c r="H1305">
        <v>18</v>
      </c>
      <c r="I1305" t="s">
        <v>28</v>
      </c>
      <c r="J1305" s="4">
        <v>67.599999999999994</v>
      </c>
      <c r="K1305" s="4">
        <v>160.69999999999999</v>
      </c>
      <c r="L1305" s="4">
        <v>24.6</v>
      </c>
      <c r="M1305">
        <v>14</v>
      </c>
      <c r="N1305" t="s">
        <v>47</v>
      </c>
      <c r="O1305">
        <v>6</v>
      </c>
      <c r="P1305" s="4">
        <v>97</v>
      </c>
      <c r="Q1305" t="s">
        <v>42</v>
      </c>
      <c r="R1305">
        <v>1</v>
      </c>
      <c r="S1305" t="s">
        <v>44</v>
      </c>
      <c r="T1305">
        <v>1</v>
      </c>
      <c r="U1305">
        <v>0</v>
      </c>
      <c r="V1305" t="s">
        <v>32</v>
      </c>
      <c r="W1305" t="s">
        <v>39</v>
      </c>
      <c r="X1305" s="4">
        <v>8.1999999999999993</v>
      </c>
      <c r="Y1305">
        <v>11</v>
      </c>
      <c r="Z1305" s="5">
        <v>191.36</v>
      </c>
    </row>
    <row r="1306" spans="1:26">
      <c r="A1306">
        <v>1305</v>
      </c>
      <c r="B1306">
        <v>419</v>
      </c>
      <c r="C1306" s="2">
        <v>46196</v>
      </c>
      <c r="D1306" t="s">
        <v>35</v>
      </c>
      <c r="E1306">
        <v>6</v>
      </c>
      <c r="F1306" s="3">
        <v>10.66</v>
      </c>
      <c r="G1306" t="s">
        <v>27</v>
      </c>
      <c r="H1306">
        <v>60</v>
      </c>
      <c r="I1306" t="s">
        <v>28</v>
      </c>
      <c r="J1306" s="4">
        <v>72.900000000000006</v>
      </c>
      <c r="K1306" s="4">
        <v>143.9</v>
      </c>
      <c r="L1306" s="4">
        <v>19</v>
      </c>
      <c r="M1306">
        <v>15</v>
      </c>
      <c r="N1306" t="s">
        <v>47</v>
      </c>
      <c r="O1306">
        <v>6</v>
      </c>
      <c r="P1306" s="4">
        <v>97</v>
      </c>
      <c r="Q1306" t="s">
        <v>42</v>
      </c>
      <c r="R1306">
        <v>1</v>
      </c>
      <c r="S1306" t="s">
        <v>44</v>
      </c>
      <c r="T1306">
        <v>1</v>
      </c>
      <c r="U1306">
        <v>0</v>
      </c>
      <c r="V1306" t="s">
        <v>32</v>
      </c>
      <c r="W1306" t="s">
        <v>39</v>
      </c>
      <c r="X1306" s="4">
        <v>7.3</v>
      </c>
      <c r="Y1306">
        <v>1</v>
      </c>
      <c r="Z1306" s="5">
        <v>162.56</v>
      </c>
    </row>
    <row r="1307" spans="1:26">
      <c r="A1307">
        <v>1306</v>
      </c>
      <c r="B1307">
        <v>420</v>
      </c>
      <c r="C1307" s="2">
        <v>46025</v>
      </c>
      <c r="D1307" t="s">
        <v>40</v>
      </c>
      <c r="E1307">
        <v>1</v>
      </c>
      <c r="F1307" s="3">
        <v>12.37</v>
      </c>
      <c r="G1307" t="s">
        <v>36</v>
      </c>
      <c r="H1307">
        <v>31</v>
      </c>
      <c r="I1307" t="s">
        <v>28</v>
      </c>
      <c r="J1307" s="4">
        <v>75</v>
      </c>
      <c r="K1307" s="4">
        <v>223.9</v>
      </c>
      <c r="L1307" s="4">
        <v>27.9</v>
      </c>
      <c r="M1307">
        <v>14</v>
      </c>
      <c r="N1307" t="s">
        <v>61</v>
      </c>
      <c r="O1307">
        <v>1</v>
      </c>
      <c r="P1307" s="4">
        <v>1178.5</v>
      </c>
      <c r="Q1307" t="s">
        <v>30</v>
      </c>
      <c r="R1307">
        <v>1</v>
      </c>
      <c r="S1307" t="s">
        <v>31</v>
      </c>
      <c r="T1307">
        <v>0</v>
      </c>
      <c r="U1307">
        <v>0</v>
      </c>
      <c r="V1307" t="s">
        <v>32</v>
      </c>
      <c r="W1307" t="s">
        <v>57</v>
      </c>
      <c r="X1307" s="4">
        <v>8.9</v>
      </c>
      <c r="Y1307">
        <v>7</v>
      </c>
      <c r="Z1307" s="5">
        <v>234.14</v>
      </c>
    </row>
    <row r="1308" spans="1:26">
      <c r="A1308">
        <v>1307</v>
      </c>
      <c r="B1308">
        <v>421</v>
      </c>
      <c r="C1308" s="2">
        <v>46343</v>
      </c>
      <c r="D1308" t="s">
        <v>35</v>
      </c>
      <c r="E1308">
        <v>11</v>
      </c>
      <c r="F1308" s="3">
        <v>9.6199999999999992</v>
      </c>
      <c r="G1308" t="s">
        <v>27</v>
      </c>
      <c r="H1308">
        <v>65</v>
      </c>
      <c r="I1308" t="s">
        <v>34</v>
      </c>
      <c r="J1308" s="4">
        <v>63.2</v>
      </c>
      <c r="K1308" s="4">
        <v>140.4</v>
      </c>
      <c r="L1308" s="4">
        <v>24.4</v>
      </c>
      <c r="M1308">
        <v>20</v>
      </c>
      <c r="N1308" t="s">
        <v>62</v>
      </c>
      <c r="O1308">
        <v>5</v>
      </c>
      <c r="P1308" s="4">
        <v>2505.5</v>
      </c>
      <c r="Q1308" t="s">
        <v>48</v>
      </c>
      <c r="R1308">
        <v>1</v>
      </c>
      <c r="S1308" t="s">
        <v>44</v>
      </c>
      <c r="T1308">
        <v>0</v>
      </c>
      <c r="U1308">
        <v>0</v>
      </c>
      <c r="V1308" t="s">
        <v>32</v>
      </c>
      <c r="W1308" t="s">
        <v>43</v>
      </c>
      <c r="X1308" s="4">
        <v>7.3</v>
      </c>
      <c r="Y1308">
        <v>10</v>
      </c>
      <c r="Z1308" s="5">
        <v>267.72000000000003</v>
      </c>
    </row>
    <row r="1309" spans="1:26">
      <c r="A1309">
        <v>1308</v>
      </c>
      <c r="B1309">
        <v>421</v>
      </c>
      <c r="C1309" s="2">
        <v>46343</v>
      </c>
      <c r="D1309" t="s">
        <v>35</v>
      </c>
      <c r="E1309">
        <v>11</v>
      </c>
      <c r="F1309" s="3">
        <v>9.8800000000000008</v>
      </c>
      <c r="G1309" t="s">
        <v>27</v>
      </c>
      <c r="H1309">
        <v>64</v>
      </c>
      <c r="I1309" t="s">
        <v>28</v>
      </c>
      <c r="J1309" s="4">
        <v>72.5</v>
      </c>
      <c r="K1309" s="4">
        <v>162.5</v>
      </c>
      <c r="L1309" s="4">
        <v>21.9</v>
      </c>
      <c r="M1309">
        <v>16</v>
      </c>
      <c r="N1309" t="s">
        <v>62</v>
      </c>
      <c r="O1309">
        <v>5</v>
      </c>
      <c r="P1309" s="4">
        <v>2505.5</v>
      </c>
      <c r="Q1309" t="s">
        <v>48</v>
      </c>
      <c r="R1309">
        <v>1</v>
      </c>
      <c r="S1309" t="s">
        <v>44</v>
      </c>
      <c r="T1309">
        <v>0</v>
      </c>
      <c r="U1309">
        <v>0</v>
      </c>
      <c r="V1309" t="s">
        <v>32</v>
      </c>
      <c r="W1309" t="s">
        <v>43</v>
      </c>
      <c r="X1309" s="4">
        <v>7.6</v>
      </c>
      <c r="Y1309">
        <v>6</v>
      </c>
      <c r="Z1309" s="5">
        <v>414.55</v>
      </c>
    </row>
    <row r="1310" spans="1:26">
      <c r="A1310">
        <v>1309</v>
      </c>
      <c r="B1310">
        <v>421</v>
      </c>
      <c r="C1310" s="2">
        <v>46343</v>
      </c>
      <c r="D1310" t="s">
        <v>35</v>
      </c>
      <c r="E1310">
        <v>11</v>
      </c>
      <c r="F1310" s="3">
        <v>9.5500000000000007</v>
      </c>
      <c r="G1310" t="s">
        <v>27</v>
      </c>
      <c r="H1310">
        <v>29</v>
      </c>
      <c r="I1310" t="s">
        <v>34</v>
      </c>
      <c r="J1310" s="4">
        <v>63.7</v>
      </c>
      <c r="K1310" s="4">
        <v>172.9</v>
      </c>
      <c r="L1310" s="4">
        <v>30</v>
      </c>
      <c r="M1310">
        <v>18</v>
      </c>
      <c r="N1310" t="s">
        <v>62</v>
      </c>
      <c r="O1310">
        <v>5</v>
      </c>
      <c r="P1310" s="4">
        <v>2505.5</v>
      </c>
      <c r="Q1310" t="s">
        <v>48</v>
      </c>
      <c r="R1310">
        <v>1</v>
      </c>
      <c r="S1310" t="s">
        <v>44</v>
      </c>
      <c r="T1310">
        <v>0</v>
      </c>
      <c r="U1310">
        <v>0</v>
      </c>
      <c r="V1310" t="s">
        <v>32</v>
      </c>
      <c r="W1310" t="s">
        <v>43</v>
      </c>
      <c r="X1310" s="4">
        <v>9.1999999999999993</v>
      </c>
      <c r="Y1310">
        <v>10</v>
      </c>
      <c r="Z1310" s="5">
        <v>484.85</v>
      </c>
    </row>
    <row r="1311" spans="1:26">
      <c r="A1311">
        <v>1310</v>
      </c>
      <c r="B1311">
        <v>421</v>
      </c>
      <c r="C1311" s="2">
        <v>46343</v>
      </c>
      <c r="D1311" t="s">
        <v>35</v>
      </c>
      <c r="E1311">
        <v>11</v>
      </c>
      <c r="F1311" s="3">
        <v>9.3800000000000008</v>
      </c>
      <c r="G1311" t="s">
        <v>27</v>
      </c>
      <c r="H1311">
        <v>7</v>
      </c>
      <c r="I1311" t="s">
        <v>34</v>
      </c>
      <c r="J1311" s="4">
        <v>63.4</v>
      </c>
      <c r="K1311" s="4">
        <v>136.9</v>
      </c>
      <c r="L1311" s="4">
        <v>24</v>
      </c>
      <c r="M1311">
        <v>16</v>
      </c>
      <c r="N1311" t="s">
        <v>62</v>
      </c>
      <c r="O1311">
        <v>5</v>
      </c>
      <c r="P1311" s="4">
        <v>2505.5</v>
      </c>
      <c r="Q1311" t="s">
        <v>48</v>
      </c>
      <c r="R1311">
        <v>1</v>
      </c>
      <c r="S1311" t="s">
        <v>44</v>
      </c>
      <c r="T1311">
        <v>0</v>
      </c>
      <c r="U1311">
        <v>0</v>
      </c>
      <c r="V1311" t="s">
        <v>32</v>
      </c>
      <c r="W1311" t="s">
        <v>43</v>
      </c>
      <c r="X1311" s="4">
        <v>8.4</v>
      </c>
      <c r="Y1311">
        <v>4</v>
      </c>
      <c r="Z1311" s="5">
        <v>269.16000000000003</v>
      </c>
    </row>
    <row r="1312" spans="1:26">
      <c r="A1312">
        <v>1311</v>
      </c>
      <c r="B1312">
        <v>421</v>
      </c>
      <c r="C1312" s="2">
        <v>46343</v>
      </c>
      <c r="D1312" t="s">
        <v>35</v>
      </c>
      <c r="E1312">
        <v>11</v>
      </c>
      <c r="F1312" s="3">
        <v>9.61</v>
      </c>
      <c r="G1312" t="s">
        <v>27</v>
      </c>
      <c r="H1312">
        <v>38</v>
      </c>
      <c r="I1312" t="s">
        <v>34</v>
      </c>
      <c r="J1312" s="4">
        <v>65.8</v>
      </c>
      <c r="K1312" s="4">
        <v>186.3</v>
      </c>
      <c r="L1312" s="4">
        <v>30.4</v>
      </c>
      <c r="M1312">
        <v>20</v>
      </c>
      <c r="N1312" t="s">
        <v>62</v>
      </c>
      <c r="O1312">
        <v>5</v>
      </c>
      <c r="P1312" s="4">
        <v>2505.5</v>
      </c>
      <c r="Q1312" t="s">
        <v>48</v>
      </c>
      <c r="R1312">
        <v>1</v>
      </c>
      <c r="S1312" t="s">
        <v>44</v>
      </c>
      <c r="T1312">
        <v>0</v>
      </c>
      <c r="U1312">
        <v>0</v>
      </c>
      <c r="V1312" t="s">
        <v>32</v>
      </c>
      <c r="W1312" t="s">
        <v>43</v>
      </c>
      <c r="X1312" s="4">
        <v>7.9</v>
      </c>
      <c r="Y1312">
        <v>9</v>
      </c>
      <c r="Z1312" s="5">
        <v>218.07</v>
      </c>
    </row>
    <row r="1313" spans="1:26">
      <c r="A1313">
        <v>1312</v>
      </c>
      <c r="B1313">
        <v>422</v>
      </c>
      <c r="C1313" s="2">
        <v>46373</v>
      </c>
      <c r="D1313" t="s">
        <v>55</v>
      </c>
      <c r="E1313">
        <v>12</v>
      </c>
      <c r="F1313" s="3">
        <v>12.08</v>
      </c>
      <c r="G1313" t="s">
        <v>36</v>
      </c>
      <c r="H1313">
        <v>57</v>
      </c>
      <c r="I1313" t="s">
        <v>34</v>
      </c>
      <c r="J1313" s="4">
        <v>62.6</v>
      </c>
      <c r="K1313" s="4">
        <v>146.19999999999999</v>
      </c>
      <c r="L1313" s="4">
        <v>26.4</v>
      </c>
      <c r="M1313">
        <v>16</v>
      </c>
      <c r="N1313" t="s">
        <v>56</v>
      </c>
      <c r="O1313">
        <v>4</v>
      </c>
      <c r="P1313" s="4">
        <v>263.89999999999998</v>
      </c>
      <c r="Q1313" t="s">
        <v>30</v>
      </c>
      <c r="R1313">
        <v>0</v>
      </c>
      <c r="S1313" t="s">
        <v>44</v>
      </c>
      <c r="T1313">
        <v>0</v>
      </c>
      <c r="U1313">
        <v>0</v>
      </c>
      <c r="V1313" t="s">
        <v>32</v>
      </c>
      <c r="W1313" t="s">
        <v>39</v>
      </c>
      <c r="X1313" s="4">
        <v>5</v>
      </c>
      <c r="Y1313">
        <v>3</v>
      </c>
      <c r="Z1313" s="5">
        <v>81.77</v>
      </c>
    </row>
    <row r="1314" spans="1:26">
      <c r="A1314">
        <v>1313</v>
      </c>
      <c r="B1314">
        <v>422</v>
      </c>
      <c r="C1314" s="2">
        <v>46373</v>
      </c>
      <c r="D1314" t="s">
        <v>55</v>
      </c>
      <c r="E1314">
        <v>12</v>
      </c>
      <c r="F1314" s="3">
        <v>11.97</v>
      </c>
      <c r="G1314" t="s">
        <v>36</v>
      </c>
      <c r="H1314">
        <v>59</v>
      </c>
      <c r="I1314" t="s">
        <v>28</v>
      </c>
      <c r="J1314" s="4">
        <v>69</v>
      </c>
      <c r="K1314" s="4">
        <v>190.4</v>
      </c>
      <c r="L1314" s="4">
        <v>28.2</v>
      </c>
      <c r="M1314">
        <v>13</v>
      </c>
      <c r="N1314" t="s">
        <v>56</v>
      </c>
      <c r="O1314">
        <v>4</v>
      </c>
      <c r="P1314" s="4">
        <v>263.89999999999998</v>
      </c>
      <c r="Q1314" t="s">
        <v>30</v>
      </c>
      <c r="R1314">
        <v>0</v>
      </c>
      <c r="S1314" t="s">
        <v>44</v>
      </c>
      <c r="T1314">
        <v>0</v>
      </c>
      <c r="U1314">
        <v>0</v>
      </c>
      <c r="V1314" t="s">
        <v>32</v>
      </c>
      <c r="W1314" t="s">
        <v>39</v>
      </c>
      <c r="X1314" s="4">
        <v>6</v>
      </c>
      <c r="Y1314">
        <v>6</v>
      </c>
      <c r="Z1314" s="5">
        <v>212.76</v>
      </c>
    </row>
    <row r="1315" spans="1:26">
      <c r="A1315">
        <v>1314</v>
      </c>
      <c r="B1315">
        <v>422</v>
      </c>
      <c r="C1315" s="2">
        <v>46373</v>
      </c>
      <c r="D1315" t="s">
        <v>55</v>
      </c>
      <c r="E1315">
        <v>12</v>
      </c>
      <c r="F1315" s="3">
        <v>12.03</v>
      </c>
      <c r="G1315" t="s">
        <v>36</v>
      </c>
      <c r="H1315">
        <v>34</v>
      </c>
      <c r="I1315" t="s">
        <v>28</v>
      </c>
      <c r="J1315" s="4">
        <v>67.099999999999994</v>
      </c>
      <c r="K1315" s="4">
        <v>161.19999999999999</v>
      </c>
      <c r="L1315" s="4">
        <v>25.1</v>
      </c>
      <c r="M1315">
        <v>11</v>
      </c>
      <c r="N1315" t="s">
        <v>56</v>
      </c>
      <c r="O1315">
        <v>4</v>
      </c>
      <c r="P1315" s="4">
        <v>263.89999999999998</v>
      </c>
      <c r="Q1315" t="s">
        <v>30</v>
      </c>
      <c r="R1315">
        <v>0</v>
      </c>
      <c r="S1315" t="s">
        <v>44</v>
      </c>
      <c r="T1315">
        <v>0</v>
      </c>
      <c r="U1315">
        <v>0</v>
      </c>
      <c r="V1315" t="s">
        <v>32</v>
      </c>
      <c r="W1315" t="s">
        <v>39</v>
      </c>
      <c r="X1315" s="4">
        <v>8.5</v>
      </c>
      <c r="Y1315">
        <v>8</v>
      </c>
      <c r="Z1315" s="5">
        <v>146.5</v>
      </c>
    </row>
    <row r="1316" spans="1:26">
      <c r="A1316">
        <v>1315</v>
      </c>
      <c r="B1316">
        <v>422</v>
      </c>
      <c r="C1316" s="2">
        <v>46373</v>
      </c>
      <c r="D1316" t="s">
        <v>55</v>
      </c>
      <c r="E1316">
        <v>12</v>
      </c>
      <c r="F1316" s="3">
        <v>11.98</v>
      </c>
      <c r="G1316" t="s">
        <v>36</v>
      </c>
      <c r="H1316">
        <v>71</v>
      </c>
      <c r="I1316" t="s">
        <v>34</v>
      </c>
      <c r="J1316" s="4">
        <v>62.6</v>
      </c>
      <c r="K1316" s="4">
        <v>122</v>
      </c>
      <c r="L1316" s="4">
        <v>21.9</v>
      </c>
      <c r="M1316">
        <v>14</v>
      </c>
      <c r="N1316" t="s">
        <v>56</v>
      </c>
      <c r="O1316">
        <v>4</v>
      </c>
      <c r="P1316" s="4">
        <v>263.89999999999998</v>
      </c>
      <c r="Q1316" t="s">
        <v>30</v>
      </c>
      <c r="R1316">
        <v>0</v>
      </c>
      <c r="S1316" t="s">
        <v>44</v>
      </c>
      <c r="T1316">
        <v>0</v>
      </c>
      <c r="U1316">
        <v>0</v>
      </c>
      <c r="V1316" t="s">
        <v>32</v>
      </c>
      <c r="W1316" t="s">
        <v>39</v>
      </c>
      <c r="X1316" s="4">
        <v>7.7</v>
      </c>
      <c r="Y1316">
        <v>7</v>
      </c>
      <c r="Z1316" s="5">
        <v>164.66</v>
      </c>
    </row>
    <row r="1317" spans="1:26">
      <c r="A1317">
        <v>1316</v>
      </c>
      <c r="B1317">
        <v>423</v>
      </c>
      <c r="C1317" s="2">
        <v>46051</v>
      </c>
      <c r="D1317" t="s">
        <v>55</v>
      </c>
      <c r="E1317">
        <v>1</v>
      </c>
      <c r="F1317" s="3">
        <v>7</v>
      </c>
      <c r="G1317" t="s">
        <v>27</v>
      </c>
      <c r="H1317">
        <v>66</v>
      </c>
      <c r="I1317" t="s">
        <v>34</v>
      </c>
      <c r="J1317" s="4">
        <v>64.7</v>
      </c>
      <c r="K1317" s="4">
        <v>121.8</v>
      </c>
      <c r="L1317" s="4">
        <v>20.5</v>
      </c>
      <c r="M1317">
        <v>19</v>
      </c>
      <c r="N1317" t="s">
        <v>47</v>
      </c>
      <c r="O1317">
        <v>1</v>
      </c>
      <c r="P1317" s="4">
        <v>26.2</v>
      </c>
      <c r="Q1317" t="s">
        <v>48</v>
      </c>
      <c r="R1317">
        <v>0</v>
      </c>
      <c r="S1317" t="s">
        <v>44</v>
      </c>
      <c r="T1317">
        <v>0</v>
      </c>
      <c r="U1317">
        <v>1</v>
      </c>
      <c r="V1317" t="s">
        <v>64</v>
      </c>
      <c r="W1317" t="s">
        <v>43</v>
      </c>
      <c r="X1317" s="4">
        <v>8.3000000000000007</v>
      </c>
      <c r="Y1317">
        <v>8</v>
      </c>
      <c r="Z1317" s="5">
        <v>215.29</v>
      </c>
    </row>
    <row r="1318" spans="1:26">
      <c r="A1318">
        <v>1317</v>
      </c>
      <c r="B1318">
        <v>424</v>
      </c>
      <c r="C1318" s="2">
        <v>46122</v>
      </c>
      <c r="D1318" t="s">
        <v>26</v>
      </c>
      <c r="E1318">
        <v>4</v>
      </c>
      <c r="F1318" s="3">
        <v>8.5299999999999994</v>
      </c>
      <c r="G1318" t="s">
        <v>27</v>
      </c>
      <c r="H1318">
        <v>40</v>
      </c>
      <c r="I1318" t="s">
        <v>28</v>
      </c>
      <c r="J1318" s="4">
        <v>66.400000000000006</v>
      </c>
      <c r="K1318" s="4">
        <v>125.6</v>
      </c>
      <c r="L1318" s="4">
        <v>20</v>
      </c>
      <c r="M1318">
        <v>14</v>
      </c>
      <c r="N1318" t="s">
        <v>53</v>
      </c>
      <c r="O1318">
        <v>4</v>
      </c>
      <c r="P1318" s="4">
        <v>1028.5999999999999</v>
      </c>
      <c r="Q1318" t="s">
        <v>42</v>
      </c>
      <c r="R1318">
        <v>1</v>
      </c>
      <c r="S1318" t="s">
        <v>38</v>
      </c>
      <c r="T1318">
        <v>1</v>
      </c>
      <c r="U1318">
        <v>1</v>
      </c>
      <c r="V1318" t="s">
        <v>32</v>
      </c>
      <c r="W1318" t="s">
        <v>49</v>
      </c>
      <c r="X1318" s="4">
        <v>12.2</v>
      </c>
      <c r="Y1318">
        <v>17</v>
      </c>
      <c r="Z1318" s="5">
        <v>295.67</v>
      </c>
    </row>
    <row r="1319" spans="1:26">
      <c r="A1319">
        <v>1318</v>
      </c>
      <c r="B1319">
        <v>424</v>
      </c>
      <c r="C1319" s="2">
        <v>46122</v>
      </c>
      <c r="D1319" t="s">
        <v>26</v>
      </c>
      <c r="E1319">
        <v>4</v>
      </c>
      <c r="F1319" s="3">
        <v>8.4499999999999993</v>
      </c>
      <c r="G1319" t="s">
        <v>27</v>
      </c>
      <c r="H1319">
        <v>37</v>
      </c>
      <c r="I1319" t="s">
        <v>28</v>
      </c>
      <c r="J1319" s="4">
        <v>72.3</v>
      </c>
      <c r="K1319" s="4">
        <v>180.8</v>
      </c>
      <c r="L1319" s="4">
        <v>24.1</v>
      </c>
      <c r="M1319">
        <v>18</v>
      </c>
      <c r="N1319" t="s">
        <v>53</v>
      </c>
      <c r="O1319">
        <v>4</v>
      </c>
      <c r="P1319" s="4">
        <v>1028.5999999999999</v>
      </c>
      <c r="Q1319" t="s">
        <v>42</v>
      </c>
      <c r="R1319">
        <v>1</v>
      </c>
      <c r="S1319" t="s">
        <v>38</v>
      </c>
      <c r="T1319">
        <v>1</v>
      </c>
      <c r="U1319">
        <v>1</v>
      </c>
      <c r="V1319" t="s">
        <v>32</v>
      </c>
      <c r="W1319" t="s">
        <v>49</v>
      </c>
      <c r="X1319" s="4">
        <v>9.5</v>
      </c>
      <c r="Y1319">
        <v>8</v>
      </c>
      <c r="Z1319" s="5">
        <v>600.46</v>
      </c>
    </row>
    <row r="1320" spans="1:26">
      <c r="A1320">
        <v>1319</v>
      </c>
      <c r="B1320">
        <v>424</v>
      </c>
      <c r="C1320" s="2">
        <v>46122</v>
      </c>
      <c r="D1320" t="s">
        <v>26</v>
      </c>
      <c r="E1320">
        <v>4</v>
      </c>
      <c r="F1320" s="3">
        <v>8.4499999999999993</v>
      </c>
      <c r="G1320" t="s">
        <v>27</v>
      </c>
      <c r="H1320">
        <v>12</v>
      </c>
      <c r="I1320" t="s">
        <v>34</v>
      </c>
      <c r="J1320" s="4">
        <v>63.8</v>
      </c>
      <c r="K1320" s="4">
        <v>89</v>
      </c>
      <c r="L1320" s="4">
        <v>15.3</v>
      </c>
      <c r="M1320">
        <v>16</v>
      </c>
      <c r="N1320" t="s">
        <v>53</v>
      </c>
      <c r="O1320">
        <v>4</v>
      </c>
      <c r="P1320" s="4">
        <v>1028.5999999999999</v>
      </c>
      <c r="Q1320" t="s">
        <v>42</v>
      </c>
      <c r="R1320">
        <v>1</v>
      </c>
      <c r="S1320" t="s">
        <v>38</v>
      </c>
      <c r="T1320">
        <v>1</v>
      </c>
      <c r="U1320">
        <v>1</v>
      </c>
      <c r="V1320" t="s">
        <v>32</v>
      </c>
      <c r="W1320" t="s">
        <v>49</v>
      </c>
      <c r="X1320" s="4">
        <v>8.6</v>
      </c>
      <c r="Y1320">
        <v>9</v>
      </c>
      <c r="Z1320" s="5">
        <v>296.3</v>
      </c>
    </row>
    <row r="1321" spans="1:26">
      <c r="A1321">
        <v>1320</v>
      </c>
      <c r="B1321">
        <v>424</v>
      </c>
      <c r="C1321" s="2">
        <v>46122</v>
      </c>
      <c r="D1321" t="s">
        <v>26</v>
      </c>
      <c r="E1321">
        <v>4</v>
      </c>
      <c r="F1321" s="3">
        <v>8.51</v>
      </c>
      <c r="G1321" t="s">
        <v>27</v>
      </c>
      <c r="H1321">
        <v>10</v>
      </c>
      <c r="I1321" t="s">
        <v>28</v>
      </c>
      <c r="J1321" s="4">
        <v>62.5</v>
      </c>
      <c r="K1321" s="4">
        <v>81.7</v>
      </c>
      <c r="L1321" s="4">
        <v>14.9</v>
      </c>
      <c r="M1321">
        <v>12</v>
      </c>
      <c r="N1321" t="s">
        <v>53</v>
      </c>
      <c r="O1321">
        <v>4</v>
      </c>
      <c r="P1321" s="4">
        <v>1028.5999999999999</v>
      </c>
      <c r="Q1321" t="s">
        <v>42</v>
      </c>
      <c r="R1321">
        <v>1</v>
      </c>
      <c r="S1321" t="s">
        <v>38</v>
      </c>
      <c r="T1321">
        <v>1</v>
      </c>
      <c r="U1321">
        <v>1</v>
      </c>
      <c r="V1321" t="s">
        <v>32</v>
      </c>
      <c r="W1321" t="s">
        <v>49</v>
      </c>
      <c r="X1321" s="4">
        <v>11.1</v>
      </c>
      <c r="Y1321">
        <v>10</v>
      </c>
      <c r="Z1321" s="5">
        <v>200.63</v>
      </c>
    </row>
    <row r="1322" spans="1:26">
      <c r="A1322">
        <v>1321</v>
      </c>
      <c r="B1322">
        <v>425</v>
      </c>
      <c r="C1322" s="2">
        <v>46365</v>
      </c>
      <c r="D1322" t="s">
        <v>52</v>
      </c>
      <c r="E1322">
        <v>12</v>
      </c>
      <c r="F1322" s="3">
        <v>8.4499999999999993</v>
      </c>
      <c r="G1322" t="s">
        <v>27</v>
      </c>
      <c r="H1322">
        <v>73</v>
      </c>
      <c r="I1322" t="s">
        <v>34</v>
      </c>
      <c r="J1322" s="4">
        <v>63</v>
      </c>
      <c r="K1322" s="4">
        <v>192</v>
      </c>
      <c r="L1322" s="4">
        <v>34.1</v>
      </c>
      <c r="M1322">
        <v>16</v>
      </c>
      <c r="N1322" t="s">
        <v>60</v>
      </c>
      <c r="O1322">
        <v>6</v>
      </c>
      <c r="P1322" s="4">
        <v>1869.9</v>
      </c>
      <c r="Q1322" t="s">
        <v>42</v>
      </c>
      <c r="R1322">
        <v>1</v>
      </c>
      <c r="S1322" t="s">
        <v>44</v>
      </c>
      <c r="T1322">
        <v>0</v>
      </c>
      <c r="U1322">
        <v>0</v>
      </c>
      <c r="V1322" t="s">
        <v>45</v>
      </c>
      <c r="W1322" t="s">
        <v>39</v>
      </c>
      <c r="X1322" s="4">
        <v>10.7</v>
      </c>
      <c r="Y1322">
        <v>8</v>
      </c>
      <c r="Z1322" s="5">
        <v>166.42</v>
      </c>
    </row>
    <row r="1323" spans="1:26">
      <c r="A1323">
        <v>1322</v>
      </c>
      <c r="B1323">
        <v>425</v>
      </c>
      <c r="C1323" s="2">
        <v>46365</v>
      </c>
      <c r="D1323" t="s">
        <v>52</v>
      </c>
      <c r="E1323">
        <v>12</v>
      </c>
      <c r="F1323" s="3">
        <v>8.51</v>
      </c>
      <c r="G1323" t="s">
        <v>27</v>
      </c>
      <c r="H1323">
        <v>14</v>
      </c>
      <c r="I1323" t="s">
        <v>34</v>
      </c>
      <c r="J1323" s="4">
        <v>66.8</v>
      </c>
      <c r="K1323" s="4">
        <v>111.8</v>
      </c>
      <c r="L1323" s="4">
        <v>17.7</v>
      </c>
      <c r="M1323">
        <v>11</v>
      </c>
      <c r="N1323" t="s">
        <v>60</v>
      </c>
      <c r="O1323">
        <v>6</v>
      </c>
      <c r="P1323" s="4">
        <v>1869.9</v>
      </c>
      <c r="Q1323" t="s">
        <v>42</v>
      </c>
      <c r="R1323">
        <v>1</v>
      </c>
      <c r="S1323" t="s">
        <v>44</v>
      </c>
      <c r="T1323">
        <v>0</v>
      </c>
      <c r="U1323">
        <v>0</v>
      </c>
      <c r="V1323" t="s">
        <v>45</v>
      </c>
      <c r="W1323" t="s">
        <v>39</v>
      </c>
      <c r="X1323" s="4">
        <v>10.5</v>
      </c>
      <c r="Y1323">
        <v>17</v>
      </c>
      <c r="Z1323" s="5">
        <v>270.32</v>
      </c>
    </row>
    <row r="1324" spans="1:26">
      <c r="A1324">
        <v>1323</v>
      </c>
      <c r="B1324">
        <v>425</v>
      </c>
      <c r="C1324" s="2">
        <v>46365</v>
      </c>
      <c r="D1324" t="s">
        <v>52</v>
      </c>
      <c r="E1324">
        <v>12</v>
      </c>
      <c r="F1324" s="3">
        <v>8.23</v>
      </c>
      <c r="G1324" t="s">
        <v>27</v>
      </c>
      <c r="H1324">
        <v>13</v>
      </c>
      <c r="I1324" t="s">
        <v>34</v>
      </c>
      <c r="J1324" s="4">
        <v>63.9</v>
      </c>
      <c r="K1324" s="4">
        <v>114.9</v>
      </c>
      <c r="L1324" s="4">
        <v>19.7</v>
      </c>
      <c r="M1324">
        <v>16</v>
      </c>
      <c r="N1324" t="s">
        <v>60</v>
      </c>
      <c r="O1324">
        <v>6</v>
      </c>
      <c r="P1324" s="4">
        <v>1869.9</v>
      </c>
      <c r="Q1324" t="s">
        <v>42</v>
      </c>
      <c r="R1324">
        <v>1</v>
      </c>
      <c r="S1324" t="s">
        <v>44</v>
      </c>
      <c r="T1324">
        <v>0</v>
      </c>
      <c r="U1324">
        <v>0</v>
      </c>
      <c r="V1324" t="s">
        <v>45</v>
      </c>
      <c r="W1324" t="s">
        <v>39</v>
      </c>
      <c r="X1324" s="4">
        <v>9.1999999999999993</v>
      </c>
      <c r="Y1324">
        <v>6</v>
      </c>
      <c r="Z1324" s="5">
        <v>140.81</v>
      </c>
    </row>
    <row r="1325" spans="1:26">
      <c r="A1325">
        <v>1324</v>
      </c>
      <c r="B1325">
        <v>425</v>
      </c>
      <c r="C1325" s="2">
        <v>46365</v>
      </c>
      <c r="D1325" t="s">
        <v>52</v>
      </c>
      <c r="E1325">
        <v>12</v>
      </c>
      <c r="F1325" s="3">
        <v>8.4499999999999993</v>
      </c>
      <c r="G1325" t="s">
        <v>27</v>
      </c>
      <c r="H1325">
        <v>23</v>
      </c>
      <c r="I1325" t="s">
        <v>28</v>
      </c>
      <c r="J1325" s="4">
        <v>66.900000000000006</v>
      </c>
      <c r="K1325" s="4">
        <v>166.7</v>
      </c>
      <c r="L1325" s="4">
        <v>26.2</v>
      </c>
      <c r="M1325">
        <v>12</v>
      </c>
      <c r="N1325" t="s">
        <v>60</v>
      </c>
      <c r="O1325">
        <v>6</v>
      </c>
      <c r="P1325" s="4">
        <v>1869.9</v>
      </c>
      <c r="Q1325" t="s">
        <v>42</v>
      </c>
      <c r="R1325">
        <v>1</v>
      </c>
      <c r="S1325" t="s">
        <v>44</v>
      </c>
      <c r="T1325">
        <v>0</v>
      </c>
      <c r="U1325">
        <v>0</v>
      </c>
      <c r="V1325" t="s">
        <v>45</v>
      </c>
      <c r="W1325" t="s">
        <v>39</v>
      </c>
      <c r="X1325" s="4">
        <v>8</v>
      </c>
      <c r="Y1325">
        <v>9</v>
      </c>
      <c r="Z1325" s="5">
        <v>303.39</v>
      </c>
    </row>
    <row r="1326" spans="1:26">
      <c r="A1326">
        <v>1325</v>
      </c>
      <c r="B1326">
        <v>425</v>
      </c>
      <c r="C1326" s="2">
        <v>46365</v>
      </c>
      <c r="D1326" t="s">
        <v>52</v>
      </c>
      <c r="E1326">
        <v>12</v>
      </c>
      <c r="F1326" s="3">
        <v>8.4600000000000009</v>
      </c>
      <c r="G1326" t="s">
        <v>27</v>
      </c>
      <c r="H1326">
        <v>54</v>
      </c>
      <c r="I1326" t="s">
        <v>34</v>
      </c>
      <c r="J1326" s="4">
        <v>64.599999999999994</v>
      </c>
      <c r="K1326" s="4">
        <v>143.30000000000001</v>
      </c>
      <c r="L1326" s="4">
        <v>24.1</v>
      </c>
      <c r="M1326">
        <v>16</v>
      </c>
      <c r="N1326" t="s">
        <v>60</v>
      </c>
      <c r="O1326">
        <v>6</v>
      </c>
      <c r="P1326" s="4">
        <v>1869.9</v>
      </c>
      <c r="Q1326" t="s">
        <v>42</v>
      </c>
      <c r="R1326">
        <v>1</v>
      </c>
      <c r="S1326" t="s">
        <v>44</v>
      </c>
      <c r="T1326">
        <v>0</v>
      </c>
      <c r="U1326">
        <v>0</v>
      </c>
      <c r="V1326" t="s">
        <v>45</v>
      </c>
      <c r="W1326" t="s">
        <v>39</v>
      </c>
      <c r="X1326" s="4">
        <v>7</v>
      </c>
      <c r="Y1326">
        <v>7</v>
      </c>
      <c r="Z1326" s="5">
        <v>111.14</v>
      </c>
    </row>
    <row r="1327" spans="1:26">
      <c r="A1327">
        <v>1326</v>
      </c>
      <c r="B1327">
        <v>425</v>
      </c>
      <c r="C1327" s="2">
        <v>46365</v>
      </c>
      <c r="D1327" t="s">
        <v>52</v>
      </c>
      <c r="E1327">
        <v>12</v>
      </c>
      <c r="F1327" s="3">
        <v>8.44</v>
      </c>
      <c r="G1327" t="s">
        <v>27</v>
      </c>
      <c r="H1327">
        <v>39</v>
      </c>
      <c r="I1327" t="s">
        <v>28</v>
      </c>
      <c r="J1327" s="4">
        <v>67.8</v>
      </c>
      <c r="K1327" s="4">
        <v>189.2</v>
      </c>
      <c r="L1327" s="4">
        <v>28.9</v>
      </c>
      <c r="M1327">
        <v>14</v>
      </c>
      <c r="N1327" t="s">
        <v>60</v>
      </c>
      <c r="O1327">
        <v>6</v>
      </c>
      <c r="P1327" s="4">
        <v>1869.9</v>
      </c>
      <c r="Q1327" t="s">
        <v>42</v>
      </c>
      <c r="R1327">
        <v>1</v>
      </c>
      <c r="S1327" t="s">
        <v>44</v>
      </c>
      <c r="T1327">
        <v>0</v>
      </c>
      <c r="U1327">
        <v>0</v>
      </c>
      <c r="V1327" t="s">
        <v>45</v>
      </c>
      <c r="W1327" t="s">
        <v>39</v>
      </c>
      <c r="X1327" s="4">
        <v>7.4</v>
      </c>
      <c r="Y1327">
        <v>11</v>
      </c>
      <c r="Z1327" s="5">
        <v>141.80000000000001</v>
      </c>
    </row>
    <row r="1328" spans="1:26">
      <c r="A1328">
        <v>1327</v>
      </c>
      <c r="B1328">
        <v>426</v>
      </c>
      <c r="C1328" s="2">
        <v>46167</v>
      </c>
      <c r="D1328" t="s">
        <v>46</v>
      </c>
      <c r="E1328">
        <v>5</v>
      </c>
      <c r="F1328" s="3">
        <v>10.97</v>
      </c>
      <c r="G1328" t="s">
        <v>27</v>
      </c>
      <c r="H1328">
        <v>65</v>
      </c>
      <c r="I1328" t="s">
        <v>34</v>
      </c>
      <c r="J1328" s="4">
        <v>64.5</v>
      </c>
      <c r="K1328" s="4">
        <v>162</v>
      </c>
      <c r="L1328" s="4">
        <v>27.5</v>
      </c>
      <c r="M1328">
        <v>14</v>
      </c>
      <c r="N1328" t="s">
        <v>56</v>
      </c>
      <c r="O1328">
        <v>2</v>
      </c>
      <c r="P1328" s="4">
        <v>162.19999999999999</v>
      </c>
      <c r="Q1328" t="s">
        <v>30</v>
      </c>
      <c r="R1328">
        <v>0</v>
      </c>
      <c r="S1328" t="s">
        <v>44</v>
      </c>
      <c r="T1328">
        <v>0</v>
      </c>
      <c r="U1328">
        <v>0</v>
      </c>
      <c r="V1328" t="s">
        <v>32</v>
      </c>
      <c r="W1328" t="s">
        <v>39</v>
      </c>
      <c r="X1328" s="4">
        <v>8.1</v>
      </c>
      <c r="Y1328">
        <v>7</v>
      </c>
      <c r="Z1328" s="5">
        <v>133.72999999999999</v>
      </c>
    </row>
    <row r="1329" spans="1:26">
      <c r="A1329">
        <v>1328</v>
      </c>
      <c r="B1329">
        <v>426</v>
      </c>
      <c r="C1329" s="2">
        <v>46167</v>
      </c>
      <c r="D1329" t="s">
        <v>46</v>
      </c>
      <c r="E1329">
        <v>5</v>
      </c>
      <c r="F1329" s="3">
        <v>10.99</v>
      </c>
      <c r="G1329" t="s">
        <v>27</v>
      </c>
      <c r="H1329">
        <v>54</v>
      </c>
      <c r="I1329" t="s">
        <v>28</v>
      </c>
      <c r="J1329" s="4">
        <v>64.8</v>
      </c>
      <c r="K1329" s="4">
        <v>146.80000000000001</v>
      </c>
      <c r="L1329" s="4">
        <v>24.7</v>
      </c>
      <c r="M1329">
        <v>10</v>
      </c>
      <c r="N1329" t="s">
        <v>56</v>
      </c>
      <c r="O1329">
        <v>2</v>
      </c>
      <c r="P1329" s="4">
        <v>162.19999999999999</v>
      </c>
      <c r="Q1329" t="s">
        <v>30</v>
      </c>
      <c r="R1329">
        <v>0</v>
      </c>
      <c r="S1329" t="s">
        <v>44</v>
      </c>
      <c r="T1329">
        <v>0</v>
      </c>
      <c r="U1329">
        <v>0</v>
      </c>
      <c r="V1329" t="s">
        <v>32</v>
      </c>
      <c r="W1329" t="s">
        <v>39</v>
      </c>
      <c r="X1329" s="4">
        <v>8.1</v>
      </c>
      <c r="Y1329">
        <v>11</v>
      </c>
      <c r="Z1329" s="5">
        <v>261.39999999999998</v>
      </c>
    </row>
    <row r="1330" spans="1:26">
      <c r="A1330">
        <v>1329</v>
      </c>
      <c r="B1330">
        <v>427</v>
      </c>
      <c r="C1330" s="2">
        <v>46106</v>
      </c>
      <c r="D1330" t="s">
        <v>52</v>
      </c>
      <c r="E1330">
        <v>3</v>
      </c>
      <c r="F1330" s="3">
        <v>15.45</v>
      </c>
      <c r="G1330" t="s">
        <v>68</v>
      </c>
      <c r="H1330">
        <v>7</v>
      </c>
      <c r="I1330" t="s">
        <v>34</v>
      </c>
      <c r="J1330" s="4">
        <v>55.7</v>
      </c>
      <c r="K1330" s="4">
        <v>69.599999999999994</v>
      </c>
      <c r="L1330" s="4">
        <v>15.8</v>
      </c>
      <c r="M1330">
        <v>17</v>
      </c>
      <c r="N1330" t="s">
        <v>47</v>
      </c>
      <c r="O1330">
        <v>3</v>
      </c>
      <c r="P1330" s="4">
        <v>106.3</v>
      </c>
      <c r="Q1330" t="s">
        <v>48</v>
      </c>
      <c r="R1330">
        <v>1</v>
      </c>
      <c r="S1330" t="s">
        <v>31</v>
      </c>
      <c r="T1330">
        <v>0</v>
      </c>
      <c r="U1330">
        <v>0</v>
      </c>
      <c r="V1330" t="s">
        <v>64</v>
      </c>
      <c r="W1330" t="s">
        <v>39</v>
      </c>
      <c r="X1330" s="4">
        <v>7.3</v>
      </c>
      <c r="Y1330">
        <v>5</v>
      </c>
      <c r="Z1330" s="5">
        <v>159.68</v>
      </c>
    </row>
    <row r="1331" spans="1:26">
      <c r="A1331">
        <v>1330</v>
      </c>
      <c r="B1331">
        <v>427</v>
      </c>
      <c r="C1331" s="2">
        <v>46106</v>
      </c>
      <c r="D1331" t="s">
        <v>52</v>
      </c>
      <c r="E1331">
        <v>3</v>
      </c>
      <c r="F1331" s="3">
        <v>15.09</v>
      </c>
      <c r="G1331" t="s">
        <v>68</v>
      </c>
      <c r="H1331">
        <v>34</v>
      </c>
      <c r="I1331" t="s">
        <v>34</v>
      </c>
      <c r="J1331" s="4">
        <v>64.8</v>
      </c>
      <c r="K1331" s="4">
        <v>151.4</v>
      </c>
      <c r="L1331" s="4">
        <v>25.5</v>
      </c>
      <c r="M1331">
        <v>16</v>
      </c>
      <c r="N1331" t="s">
        <v>47</v>
      </c>
      <c r="O1331">
        <v>3</v>
      </c>
      <c r="P1331" s="4">
        <v>106.3</v>
      </c>
      <c r="Q1331" t="s">
        <v>48</v>
      </c>
      <c r="R1331">
        <v>1</v>
      </c>
      <c r="S1331" t="s">
        <v>31</v>
      </c>
      <c r="T1331">
        <v>0</v>
      </c>
      <c r="U1331">
        <v>0</v>
      </c>
      <c r="V1331" t="s">
        <v>64</v>
      </c>
      <c r="W1331" t="s">
        <v>39</v>
      </c>
      <c r="X1331" s="4">
        <v>7.4</v>
      </c>
      <c r="Y1331">
        <v>7</v>
      </c>
      <c r="Z1331" s="5">
        <v>328.14</v>
      </c>
    </row>
    <row r="1332" spans="1:26">
      <c r="A1332">
        <v>1331</v>
      </c>
      <c r="B1332">
        <v>427</v>
      </c>
      <c r="C1332" s="2">
        <v>46106</v>
      </c>
      <c r="D1332" t="s">
        <v>52</v>
      </c>
      <c r="E1332">
        <v>3</v>
      </c>
      <c r="F1332" s="3">
        <v>15.31</v>
      </c>
      <c r="G1332" t="s">
        <v>68</v>
      </c>
      <c r="H1332">
        <v>22</v>
      </c>
      <c r="I1332" t="s">
        <v>28</v>
      </c>
      <c r="J1332" s="4">
        <v>67.400000000000006</v>
      </c>
      <c r="K1332" s="4">
        <v>177.4</v>
      </c>
      <c r="L1332" s="4">
        <v>27.3</v>
      </c>
      <c r="M1332">
        <v>17</v>
      </c>
      <c r="N1332" t="s">
        <v>47</v>
      </c>
      <c r="O1332">
        <v>3</v>
      </c>
      <c r="P1332" s="4">
        <v>106.3</v>
      </c>
      <c r="Q1332" t="s">
        <v>48</v>
      </c>
      <c r="R1332">
        <v>1</v>
      </c>
      <c r="S1332" t="s">
        <v>31</v>
      </c>
      <c r="T1332">
        <v>0</v>
      </c>
      <c r="U1332">
        <v>0</v>
      </c>
      <c r="V1332" t="s">
        <v>64</v>
      </c>
      <c r="W1332" t="s">
        <v>39</v>
      </c>
      <c r="X1332" s="4">
        <v>6.1</v>
      </c>
      <c r="Y1332">
        <v>7</v>
      </c>
      <c r="Z1332" s="5">
        <v>201.99</v>
      </c>
    </row>
    <row r="1333" spans="1:26">
      <c r="A1333">
        <v>1332</v>
      </c>
      <c r="B1333">
        <v>428</v>
      </c>
      <c r="C1333" s="2">
        <v>46095</v>
      </c>
      <c r="D1333" t="s">
        <v>40</v>
      </c>
      <c r="E1333">
        <v>3</v>
      </c>
      <c r="F1333" s="3">
        <v>8.36</v>
      </c>
      <c r="G1333" t="s">
        <v>27</v>
      </c>
      <c r="H1333">
        <v>6</v>
      </c>
      <c r="I1333" t="s">
        <v>28</v>
      </c>
      <c r="J1333" s="4">
        <v>56.1</v>
      </c>
      <c r="K1333" s="4">
        <v>70.5</v>
      </c>
      <c r="L1333" s="4">
        <v>15.3</v>
      </c>
      <c r="M1333">
        <v>13</v>
      </c>
      <c r="N1333" t="s">
        <v>50</v>
      </c>
      <c r="O1333">
        <v>5</v>
      </c>
      <c r="P1333" s="4">
        <v>460.8</v>
      </c>
      <c r="Q1333" t="s">
        <v>42</v>
      </c>
      <c r="R1333">
        <v>0</v>
      </c>
      <c r="S1333" t="s">
        <v>44</v>
      </c>
      <c r="T1333">
        <v>0</v>
      </c>
      <c r="U1333">
        <v>1</v>
      </c>
      <c r="V1333" t="s">
        <v>32</v>
      </c>
      <c r="W1333" t="s">
        <v>33</v>
      </c>
      <c r="X1333" s="4">
        <v>7.3</v>
      </c>
      <c r="Y1333">
        <v>10</v>
      </c>
      <c r="Z1333" s="5">
        <v>225.93</v>
      </c>
    </row>
    <row r="1334" spans="1:26">
      <c r="A1334">
        <v>1333</v>
      </c>
      <c r="B1334">
        <v>428</v>
      </c>
      <c r="C1334" s="2">
        <v>46095</v>
      </c>
      <c r="D1334" t="s">
        <v>40</v>
      </c>
      <c r="E1334">
        <v>3</v>
      </c>
      <c r="F1334" s="3">
        <v>8.06</v>
      </c>
      <c r="G1334" t="s">
        <v>27</v>
      </c>
      <c r="H1334">
        <v>28</v>
      </c>
      <c r="I1334" t="s">
        <v>28</v>
      </c>
      <c r="J1334" s="4">
        <v>69.099999999999994</v>
      </c>
      <c r="K1334" s="4">
        <v>179.6</v>
      </c>
      <c r="L1334" s="4">
        <v>26.4</v>
      </c>
      <c r="M1334">
        <v>17</v>
      </c>
      <c r="N1334" t="s">
        <v>50</v>
      </c>
      <c r="O1334">
        <v>5</v>
      </c>
      <c r="P1334" s="4">
        <v>460.8</v>
      </c>
      <c r="Q1334" t="s">
        <v>42</v>
      </c>
      <c r="R1334">
        <v>0</v>
      </c>
      <c r="S1334" t="s">
        <v>44</v>
      </c>
      <c r="T1334">
        <v>0</v>
      </c>
      <c r="U1334">
        <v>1</v>
      </c>
      <c r="V1334" t="s">
        <v>32</v>
      </c>
      <c r="W1334" t="s">
        <v>33</v>
      </c>
      <c r="X1334" s="4">
        <v>8.9</v>
      </c>
      <c r="Y1334">
        <v>5</v>
      </c>
      <c r="Z1334" s="5">
        <v>230.74</v>
      </c>
    </row>
    <row r="1335" spans="1:26">
      <c r="A1335">
        <v>1334</v>
      </c>
      <c r="B1335">
        <v>428</v>
      </c>
      <c r="C1335" s="2">
        <v>46095</v>
      </c>
      <c r="D1335" t="s">
        <v>40</v>
      </c>
      <c r="E1335">
        <v>3</v>
      </c>
      <c r="F1335" s="3">
        <v>8.1999999999999993</v>
      </c>
      <c r="G1335" t="s">
        <v>27</v>
      </c>
      <c r="H1335">
        <v>18</v>
      </c>
      <c r="I1335" t="s">
        <v>28</v>
      </c>
      <c r="J1335" s="4">
        <v>70</v>
      </c>
      <c r="K1335" s="4">
        <v>149.69999999999999</v>
      </c>
      <c r="L1335" s="4">
        <v>21.4</v>
      </c>
      <c r="M1335">
        <v>12</v>
      </c>
      <c r="N1335" t="s">
        <v>50</v>
      </c>
      <c r="O1335">
        <v>5</v>
      </c>
      <c r="P1335" s="4">
        <v>460.8</v>
      </c>
      <c r="Q1335" t="s">
        <v>42</v>
      </c>
      <c r="R1335">
        <v>0</v>
      </c>
      <c r="S1335" t="s">
        <v>44</v>
      </c>
      <c r="T1335">
        <v>0</v>
      </c>
      <c r="U1335">
        <v>1</v>
      </c>
      <c r="V1335" t="s">
        <v>32</v>
      </c>
      <c r="W1335" t="s">
        <v>33</v>
      </c>
      <c r="X1335" s="4">
        <v>11.1</v>
      </c>
      <c r="Y1335">
        <v>14</v>
      </c>
      <c r="Z1335" s="5">
        <v>178.28</v>
      </c>
    </row>
    <row r="1336" spans="1:26">
      <c r="A1336">
        <v>1335</v>
      </c>
      <c r="B1336">
        <v>428</v>
      </c>
      <c r="C1336" s="2">
        <v>46095</v>
      </c>
      <c r="D1336" t="s">
        <v>40</v>
      </c>
      <c r="E1336">
        <v>3</v>
      </c>
      <c r="F1336" s="3">
        <v>8.3000000000000007</v>
      </c>
      <c r="G1336" t="s">
        <v>27</v>
      </c>
      <c r="H1336">
        <v>55</v>
      </c>
      <c r="I1336" t="s">
        <v>34</v>
      </c>
      <c r="J1336" s="4">
        <v>67.900000000000006</v>
      </c>
      <c r="K1336" s="4">
        <v>135.80000000000001</v>
      </c>
      <c r="L1336" s="4">
        <v>20.8</v>
      </c>
      <c r="M1336">
        <v>14</v>
      </c>
      <c r="N1336" t="s">
        <v>50</v>
      </c>
      <c r="O1336">
        <v>5</v>
      </c>
      <c r="P1336" s="4">
        <v>460.8</v>
      </c>
      <c r="Q1336" t="s">
        <v>42</v>
      </c>
      <c r="R1336">
        <v>0</v>
      </c>
      <c r="S1336" t="s">
        <v>44</v>
      </c>
      <c r="T1336">
        <v>0</v>
      </c>
      <c r="U1336">
        <v>1</v>
      </c>
      <c r="V1336" t="s">
        <v>32</v>
      </c>
      <c r="W1336" t="s">
        <v>33</v>
      </c>
      <c r="X1336" s="4">
        <v>8.1999999999999993</v>
      </c>
      <c r="Y1336">
        <v>10</v>
      </c>
      <c r="Z1336" s="5">
        <v>297.14999999999998</v>
      </c>
    </row>
    <row r="1337" spans="1:26">
      <c r="A1337">
        <v>1336</v>
      </c>
      <c r="B1337">
        <v>428</v>
      </c>
      <c r="C1337" s="2">
        <v>46095</v>
      </c>
      <c r="D1337" t="s">
        <v>40</v>
      </c>
      <c r="E1337">
        <v>3</v>
      </c>
      <c r="F1337" s="3">
        <v>8.18</v>
      </c>
      <c r="G1337" t="s">
        <v>27</v>
      </c>
      <c r="H1337">
        <v>66</v>
      </c>
      <c r="I1337" t="s">
        <v>28</v>
      </c>
      <c r="J1337" s="4">
        <v>65.5</v>
      </c>
      <c r="K1337" s="4">
        <v>149.69999999999999</v>
      </c>
      <c r="L1337" s="4">
        <v>24.5</v>
      </c>
      <c r="M1337">
        <v>15</v>
      </c>
      <c r="N1337" t="s">
        <v>50</v>
      </c>
      <c r="O1337">
        <v>5</v>
      </c>
      <c r="P1337" s="4">
        <v>460.8</v>
      </c>
      <c r="Q1337" t="s">
        <v>42</v>
      </c>
      <c r="R1337">
        <v>0</v>
      </c>
      <c r="S1337" t="s">
        <v>44</v>
      </c>
      <c r="T1337">
        <v>0</v>
      </c>
      <c r="U1337">
        <v>1</v>
      </c>
      <c r="V1337" t="s">
        <v>32</v>
      </c>
      <c r="W1337" t="s">
        <v>33</v>
      </c>
      <c r="X1337" s="4">
        <v>6.8</v>
      </c>
      <c r="Y1337">
        <v>8</v>
      </c>
      <c r="Z1337" s="5">
        <v>180.03</v>
      </c>
    </row>
    <row r="1338" spans="1:26">
      <c r="A1338">
        <v>1337</v>
      </c>
      <c r="B1338">
        <v>429</v>
      </c>
      <c r="C1338" s="2">
        <v>46045</v>
      </c>
      <c r="D1338" t="s">
        <v>26</v>
      </c>
      <c r="E1338">
        <v>1</v>
      </c>
      <c r="F1338" s="3">
        <v>11.49</v>
      </c>
      <c r="G1338" t="s">
        <v>36</v>
      </c>
      <c r="H1338">
        <v>37</v>
      </c>
      <c r="I1338" t="s">
        <v>28</v>
      </c>
      <c r="J1338" s="4">
        <v>67.400000000000006</v>
      </c>
      <c r="K1338" s="4">
        <v>176.3</v>
      </c>
      <c r="L1338" s="4">
        <v>27.3</v>
      </c>
      <c r="M1338">
        <v>16</v>
      </c>
      <c r="N1338" t="s">
        <v>47</v>
      </c>
      <c r="O1338">
        <v>6</v>
      </c>
      <c r="P1338" s="4">
        <v>56.8</v>
      </c>
      <c r="Q1338" t="s">
        <v>42</v>
      </c>
      <c r="R1338">
        <v>0</v>
      </c>
      <c r="S1338" t="s">
        <v>44</v>
      </c>
      <c r="T1338">
        <v>1</v>
      </c>
      <c r="U1338">
        <v>0</v>
      </c>
      <c r="V1338" t="s">
        <v>45</v>
      </c>
      <c r="W1338" t="s">
        <v>39</v>
      </c>
      <c r="X1338" s="4">
        <v>8.1</v>
      </c>
      <c r="Y1338">
        <v>8</v>
      </c>
      <c r="Z1338" s="5">
        <v>340.75</v>
      </c>
    </row>
    <row r="1339" spans="1:26">
      <c r="A1339">
        <v>1338</v>
      </c>
      <c r="B1339">
        <v>429</v>
      </c>
      <c r="C1339" s="2">
        <v>46045</v>
      </c>
      <c r="D1339" t="s">
        <v>26</v>
      </c>
      <c r="E1339">
        <v>1</v>
      </c>
      <c r="F1339" s="3">
        <v>11.57</v>
      </c>
      <c r="G1339" t="s">
        <v>36</v>
      </c>
      <c r="H1339">
        <v>46</v>
      </c>
      <c r="I1339" t="s">
        <v>28</v>
      </c>
      <c r="J1339" s="4">
        <v>70.7</v>
      </c>
      <c r="K1339" s="4">
        <v>130.80000000000001</v>
      </c>
      <c r="L1339" s="4">
        <v>18.100000000000001</v>
      </c>
      <c r="M1339">
        <v>11</v>
      </c>
      <c r="N1339" t="s">
        <v>47</v>
      </c>
      <c r="O1339">
        <v>6</v>
      </c>
      <c r="P1339" s="4">
        <v>56.8</v>
      </c>
      <c r="Q1339" t="s">
        <v>42</v>
      </c>
      <c r="R1339">
        <v>0</v>
      </c>
      <c r="S1339" t="s">
        <v>44</v>
      </c>
      <c r="T1339">
        <v>1</v>
      </c>
      <c r="U1339">
        <v>0</v>
      </c>
      <c r="V1339" t="s">
        <v>45</v>
      </c>
      <c r="W1339" t="s">
        <v>39</v>
      </c>
      <c r="X1339" s="4">
        <v>7.9</v>
      </c>
      <c r="Y1339">
        <v>14</v>
      </c>
      <c r="Z1339" s="5">
        <v>182.08</v>
      </c>
    </row>
    <row r="1340" spans="1:26">
      <c r="A1340">
        <v>1339</v>
      </c>
      <c r="B1340">
        <v>429</v>
      </c>
      <c r="C1340" s="2">
        <v>46045</v>
      </c>
      <c r="D1340" t="s">
        <v>26</v>
      </c>
      <c r="E1340">
        <v>1</v>
      </c>
      <c r="F1340" s="3">
        <v>11.63</v>
      </c>
      <c r="G1340" t="s">
        <v>36</v>
      </c>
      <c r="H1340">
        <v>45</v>
      </c>
      <c r="I1340" t="s">
        <v>34</v>
      </c>
      <c r="J1340" s="4">
        <v>59.9</v>
      </c>
      <c r="K1340" s="4">
        <v>138.1</v>
      </c>
      <c r="L1340" s="4">
        <v>27</v>
      </c>
      <c r="M1340">
        <v>18</v>
      </c>
      <c r="N1340" t="s">
        <v>47</v>
      </c>
      <c r="O1340">
        <v>6</v>
      </c>
      <c r="P1340" s="4">
        <v>56.8</v>
      </c>
      <c r="Q1340" t="s">
        <v>42</v>
      </c>
      <c r="R1340">
        <v>0</v>
      </c>
      <c r="S1340" t="s">
        <v>44</v>
      </c>
      <c r="T1340">
        <v>1</v>
      </c>
      <c r="U1340">
        <v>0</v>
      </c>
      <c r="V1340" t="s">
        <v>45</v>
      </c>
      <c r="W1340" t="s">
        <v>39</v>
      </c>
      <c r="X1340" s="4">
        <v>8.3000000000000007</v>
      </c>
      <c r="Y1340">
        <v>11</v>
      </c>
      <c r="Z1340" s="5">
        <v>248.79</v>
      </c>
    </row>
    <row r="1341" spans="1:26">
      <c r="A1341">
        <v>1340</v>
      </c>
      <c r="B1341">
        <v>429</v>
      </c>
      <c r="C1341" s="2">
        <v>46045</v>
      </c>
      <c r="D1341" t="s">
        <v>26</v>
      </c>
      <c r="E1341">
        <v>1</v>
      </c>
      <c r="F1341" s="3">
        <v>11.58</v>
      </c>
      <c r="G1341" t="s">
        <v>36</v>
      </c>
      <c r="H1341">
        <v>66</v>
      </c>
      <c r="I1341" t="s">
        <v>34</v>
      </c>
      <c r="J1341" s="4">
        <v>63</v>
      </c>
      <c r="K1341" s="4">
        <v>131.1</v>
      </c>
      <c r="L1341" s="4">
        <v>23.2</v>
      </c>
      <c r="M1341">
        <v>14</v>
      </c>
      <c r="N1341" t="s">
        <v>47</v>
      </c>
      <c r="O1341">
        <v>6</v>
      </c>
      <c r="P1341" s="4">
        <v>56.8</v>
      </c>
      <c r="Q1341" t="s">
        <v>42</v>
      </c>
      <c r="R1341">
        <v>0</v>
      </c>
      <c r="S1341" t="s">
        <v>44</v>
      </c>
      <c r="T1341">
        <v>1</v>
      </c>
      <c r="U1341">
        <v>0</v>
      </c>
      <c r="V1341" t="s">
        <v>45</v>
      </c>
      <c r="W1341" t="s">
        <v>39</v>
      </c>
      <c r="X1341" s="4">
        <v>10</v>
      </c>
      <c r="Y1341">
        <v>10</v>
      </c>
      <c r="Z1341" s="5">
        <v>300.3</v>
      </c>
    </row>
    <row r="1342" spans="1:26">
      <c r="A1342">
        <v>1341</v>
      </c>
      <c r="B1342">
        <v>429</v>
      </c>
      <c r="C1342" s="2">
        <v>46045</v>
      </c>
      <c r="D1342" t="s">
        <v>26</v>
      </c>
      <c r="E1342">
        <v>1</v>
      </c>
      <c r="F1342" s="3">
        <v>11.56</v>
      </c>
      <c r="G1342" t="s">
        <v>36</v>
      </c>
      <c r="H1342">
        <v>57</v>
      </c>
      <c r="I1342" t="s">
        <v>28</v>
      </c>
      <c r="J1342" s="4">
        <v>72.400000000000006</v>
      </c>
      <c r="K1342" s="4">
        <v>236.3</v>
      </c>
      <c r="L1342" s="4">
        <v>31.6</v>
      </c>
      <c r="M1342">
        <v>18</v>
      </c>
      <c r="N1342" t="s">
        <v>47</v>
      </c>
      <c r="O1342">
        <v>6</v>
      </c>
      <c r="P1342" s="4">
        <v>56.8</v>
      </c>
      <c r="Q1342" t="s">
        <v>42</v>
      </c>
      <c r="R1342">
        <v>0</v>
      </c>
      <c r="S1342" t="s">
        <v>44</v>
      </c>
      <c r="T1342">
        <v>1</v>
      </c>
      <c r="U1342">
        <v>0</v>
      </c>
      <c r="V1342" t="s">
        <v>45</v>
      </c>
      <c r="W1342" t="s">
        <v>39</v>
      </c>
      <c r="X1342" s="4">
        <v>8.5</v>
      </c>
      <c r="Y1342">
        <v>9</v>
      </c>
      <c r="Z1342" s="5">
        <v>273.27</v>
      </c>
    </row>
    <row r="1343" spans="1:26">
      <c r="A1343">
        <v>1342</v>
      </c>
      <c r="B1343">
        <v>429</v>
      </c>
      <c r="C1343" s="2">
        <v>46045</v>
      </c>
      <c r="D1343" t="s">
        <v>26</v>
      </c>
      <c r="E1343">
        <v>1</v>
      </c>
      <c r="F1343" s="3">
        <v>11.62</v>
      </c>
      <c r="G1343" t="s">
        <v>36</v>
      </c>
      <c r="H1343">
        <v>37</v>
      </c>
      <c r="I1343" t="s">
        <v>28</v>
      </c>
      <c r="J1343" s="4">
        <v>76.8</v>
      </c>
      <c r="K1343" s="4">
        <v>221.3</v>
      </c>
      <c r="L1343" s="4">
        <v>26.7</v>
      </c>
      <c r="M1343">
        <v>16</v>
      </c>
      <c r="N1343" t="s">
        <v>47</v>
      </c>
      <c r="O1343">
        <v>6</v>
      </c>
      <c r="P1343" s="4">
        <v>56.8</v>
      </c>
      <c r="Q1343" t="s">
        <v>42</v>
      </c>
      <c r="R1343">
        <v>0</v>
      </c>
      <c r="S1343" t="s">
        <v>44</v>
      </c>
      <c r="T1343">
        <v>1</v>
      </c>
      <c r="U1343">
        <v>0</v>
      </c>
      <c r="V1343" t="s">
        <v>45</v>
      </c>
      <c r="W1343" t="s">
        <v>39</v>
      </c>
      <c r="X1343" s="4">
        <v>7.6</v>
      </c>
      <c r="Y1343">
        <v>14</v>
      </c>
      <c r="Z1343" s="5">
        <v>316.77</v>
      </c>
    </row>
    <row r="1344" spans="1:26">
      <c r="A1344">
        <v>1343</v>
      </c>
      <c r="B1344">
        <v>430</v>
      </c>
      <c r="C1344" s="2">
        <v>46212</v>
      </c>
      <c r="D1344" t="s">
        <v>55</v>
      </c>
      <c r="E1344">
        <v>7</v>
      </c>
      <c r="F1344" s="3">
        <v>10.029999999999999</v>
      </c>
      <c r="G1344" t="s">
        <v>27</v>
      </c>
      <c r="H1344">
        <v>3</v>
      </c>
      <c r="I1344" t="s">
        <v>28</v>
      </c>
      <c r="J1344" s="4">
        <v>50</v>
      </c>
      <c r="K1344" s="4">
        <v>68.3</v>
      </c>
      <c r="L1344" s="4">
        <v>19.2</v>
      </c>
      <c r="M1344">
        <v>15</v>
      </c>
      <c r="N1344" t="s">
        <v>47</v>
      </c>
      <c r="O1344">
        <v>4</v>
      </c>
      <c r="P1344" s="4">
        <v>26.4</v>
      </c>
      <c r="Q1344" t="s">
        <v>42</v>
      </c>
      <c r="R1344">
        <v>0</v>
      </c>
      <c r="S1344" t="s">
        <v>44</v>
      </c>
      <c r="T1344">
        <v>0</v>
      </c>
      <c r="U1344">
        <v>1</v>
      </c>
      <c r="V1344" t="s">
        <v>32</v>
      </c>
      <c r="W1344" t="s">
        <v>33</v>
      </c>
      <c r="X1344" s="4">
        <v>10.3</v>
      </c>
      <c r="Y1344">
        <v>10</v>
      </c>
      <c r="Z1344" s="5">
        <v>345.19</v>
      </c>
    </row>
    <row r="1345" spans="1:26">
      <c r="A1345">
        <v>1344</v>
      </c>
      <c r="B1345">
        <v>430</v>
      </c>
      <c r="C1345" s="2">
        <v>46212</v>
      </c>
      <c r="D1345" t="s">
        <v>55</v>
      </c>
      <c r="E1345">
        <v>7</v>
      </c>
      <c r="F1345" s="3">
        <v>9.77</v>
      </c>
      <c r="G1345" t="s">
        <v>27</v>
      </c>
      <c r="H1345">
        <v>38</v>
      </c>
      <c r="I1345" t="s">
        <v>34</v>
      </c>
      <c r="J1345" s="4">
        <v>63.3</v>
      </c>
      <c r="K1345" s="4">
        <v>129.80000000000001</v>
      </c>
      <c r="L1345" s="4">
        <v>22.9</v>
      </c>
      <c r="M1345">
        <v>16</v>
      </c>
      <c r="N1345" t="s">
        <v>47</v>
      </c>
      <c r="O1345">
        <v>4</v>
      </c>
      <c r="P1345" s="4">
        <v>26.4</v>
      </c>
      <c r="Q1345" t="s">
        <v>42</v>
      </c>
      <c r="R1345">
        <v>0</v>
      </c>
      <c r="S1345" t="s">
        <v>44</v>
      </c>
      <c r="T1345">
        <v>0</v>
      </c>
      <c r="U1345">
        <v>1</v>
      </c>
      <c r="V1345" t="s">
        <v>32</v>
      </c>
      <c r="W1345" t="s">
        <v>33</v>
      </c>
      <c r="X1345" s="4">
        <v>11.3</v>
      </c>
      <c r="Y1345">
        <v>4</v>
      </c>
      <c r="Z1345" s="5">
        <v>331.71</v>
      </c>
    </row>
    <row r="1346" spans="1:26">
      <c r="A1346">
        <v>1345</v>
      </c>
      <c r="B1346">
        <v>430</v>
      </c>
      <c r="C1346" s="2">
        <v>46212</v>
      </c>
      <c r="D1346" t="s">
        <v>55</v>
      </c>
      <c r="E1346">
        <v>7</v>
      </c>
      <c r="F1346" s="3">
        <v>9.74</v>
      </c>
      <c r="G1346" t="s">
        <v>27</v>
      </c>
      <c r="H1346">
        <v>53</v>
      </c>
      <c r="I1346" t="s">
        <v>28</v>
      </c>
      <c r="J1346" s="4">
        <v>71.599999999999994</v>
      </c>
      <c r="K1346" s="4">
        <v>190.2</v>
      </c>
      <c r="L1346" s="4">
        <v>25.9</v>
      </c>
      <c r="M1346">
        <v>15</v>
      </c>
      <c r="N1346" t="s">
        <v>47</v>
      </c>
      <c r="O1346">
        <v>4</v>
      </c>
      <c r="P1346" s="4">
        <v>26.4</v>
      </c>
      <c r="Q1346" t="s">
        <v>42</v>
      </c>
      <c r="R1346">
        <v>0</v>
      </c>
      <c r="S1346" t="s">
        <v>44</v>
      </c>
      <c r="T1346">
        <v>0</v>
      </c>
      <c r="U1346">
        <v>1</v>
      </c>
      <c r="V1346" t="s">
        <v>32</v>
      </c>
      <c r="W1346" t="s">
        <v>33</v>
      </c>
      <c r="X1346" s="4">
        <v>7.4</v>
      </c>
      <c r="Y1346">
        <v>13</v>
      </c>
      <c r="Z1346" s="5">
        <v>146.69</v>
      </c>
    </row>
    <row r="1347" spans="1:26">
      <c r="A1347">
        <v>1346</v>
      </c>
      <c r="B1347">
        <v>430</v>
      </c>
      <c r="C1347" s="2">
        <v>46212</v>
      </c>
      <c r="D1347" t="s">
        <v>55</v>
      </c>
      <c r="E1347">
        <v>7</v>
      </c>
      <c r="F1347" s="3">
        <v>9.51</v>
      </c>
      <c r="G1347" t="s">
        <v>27</v>
      </c>
      <c r="H1347">
        <v>55</v>
      </c>
      <c r="I1347" t="s">
        <v>28</v>
      </c>
      <c r="J1347" s="4">
        <v>74.099999999999994</v>
      </c>
      <c r="K1347" s="4">
        <v>296.10000000000002</v>
      </c>
      <c r="L1347" s="4">
        <v>37.9</v>
      </c>
      <c r="M1347">
        <v>14</v>
      </c>
      <c r="N1347" t="s">
        <v>47</v>
      </c>
      <c r="O1347">
        <v>4</v>
      </c>
      <c r="P1347" s="4">
        <v>26.4</v>
      </c>
      <c r="Q1347" t="s">
        <v>42</v>
      </c>
      <c r="R1347">
        <v>0</v>
      </c>
      <c r="S1347" t="s">
        <v>44</v>
      </c>
      <c r="T1347">
        <v>0</v>
      </c>
      <c r="U1347">
        <v>1</v>
      </c>
      <c r="V1347" t="s">
        <v>32</v>
      </c>
      <c r="W1347" t="s">
        <v>33</v>
      </c>
      <c r="X1347" s="4">
        <v>7.7</v>
      </c>
      <c r="Y1347">
        <v>7</v>
      </c>
      <c r="Z1347" s="5">
        <v>131.16999999999999</v>
      </c>
    </row>
    <row r="1348" spans="1:26">
      <c r="A1348">
        <v>1347</v>
      </c>
      <c r="B1348">
        <v>431</v>
      </c>
      <c r="C1348" s="2">
        <v>46312</v>
      </c>
      <c r="D1348" t="s">
        <v>40</v>
      </c>
      <c r="E1348">
        <v>10</v>
      </c>
      <c r="F1348" s="3">
        <v>11.18</v>
      </c>
      <c r="G1348" t="s">
        <v>36</v>
      </c>
      <c r="H1348">
        <v>38</v>
      </c>
      <c r="I1348" t="s">
        <v>34</v>
      </c>
      <c r="J1348" s="4">
        <v>63.3</v>
      </c>
      <c r="K1348" s="4">
        <v>118.1</v>
      </c>
      <c r="L1348" s="4">
        <v>21</v>
      </c>
      <c r="M1348">
        <v>13</v>
      </c>
      <c r="N1348" t="s">
        <v>67</v>
      </c>
      <c r="O1348">
        <v>2</v>
      </c>
      <c r="P1348" s="4">
        <v>1976.6</v>
      </c>
      <c r="Q1348" t="s">
        <v>42</v>
      </c>
      <c r="R1348">
        <v>0</v>
      </c>
      <c r="S1348" t="s">
        <v>44</v>
      </c>
      <c r="T1348">
        <v>0</v>
      </c>
      <c r="U1348">
        <v>0</v>
      </c>
      <c r="V1348" t="s">
        <v>32</v>
      </c>
      <c r="W1348" t="s">
        <v>49</v>
      </c>
      <c r="X1348" s="4">
        <v>8.6</v>
      </c>
      <c r="Y1348">
        <v>11</v>
      </c>
      <c r="Z1348" s="5">
        <v>177.43</v>
      </c>
    </row>
    <row r="1349" spans="1:26">
      <c r="A1349">
        <v>1348</v>
      </c>
      <c r="B1349">
        <v>431</v>
      </c>
      <c r="C1349" s="2">
        <v>46312</v>
      </c>
      <c r="D1349" t="s">
        <v>40</v>
      </c>
      <c r="E1349">
        <v>10</v>
      </c>
      <c r="F1349" s="3">
        <v>10.83</v>
      </c>
      <c r="G1349" t="s">
        <v>27</v>
      </c>
      <c r="H1349">
        <v>7</v>
      </c>
      <c r="I1349" t="s">
        <v>34</v>
      </c>
      <c r="J1349" s="4">
        <v>59</v>
      </c>
      <c r="K1349" s="4">
        <v>95.2</v>
      </c>
      <c r="L1349" s="4">
        <v>19.399999999999999</v>
      </c>
      <c r="M1349">
        <v>11</v>
      </c>
      <c r="N1349" t="s">
        <v>67</v>
      </c>
      <c r="O1349">
        <v>2</v>
      </c>
      <c r="P1349" s="4">
        <v>1976.6</v>
      </c>
      <c r="Q1349" t="s">
        <v>42</v>
      </c>
      <c r="R1349">
        <v>0</v>
      </c>
      <c r="S1349" t="s">
        <v>44</v>
      </c>
      <c r="T1349">
        <v>0</v>
      </c>
      <c r="U1349">
        <v>0</v>
      </c>
      <c r="V1349" t="s">
        <v>32</v>
      </c>
      <c r="W1349" t="s">
        <v>49</v>
      </c>
      <c r="X1349" s="4">
        <v>8.6</v>
      </c>
      <c r="Y1349">
        <v>6</v>
      </c>
      <c r="Z1349" s="5">
        <v>224.93</v>
      </c>
    </row>
    <row r="1350" spans="1:26">
      <c r="A1350">
        <v>1349</v>
      </c>
      <c r="B1350">
        <v>432</v>
      </c>
      <c r="C1350" s="2">
        <v>46049</v>
      </c>
      <c r="D1350" t="s">
        <v>35</v>
      </c>
      <c r="E1350">
        <v>1</v>
      </c>
      <c r="F1350" s="3">
        <v>8.17</v>
      </c>
      <c r="G1350" t="s">
        <v>27</v>
      </c>
      <c r="H1350">
        <v>26</v>
      </c>
      <c r="I1350" t="s">
        <v>28</v>
      </c>
      <c r="J1350" s="4">
        <v>68.099999999999994</v>
      </c>
      <c r="K1350" s="4">
        <v>184.5</v>
      </c>
      <c r="L1350" s="4">
        <v>27.8</v>
      </c>
      <c r="M1350">
        <v>17</v>
      </c>
      <c r="N1350" t="s">
        <v>47</v>
      </c>
      <c r="O1350">
        <v>2</v>
      </c>
      <c r="P1350" s="4">
        <v>172</v>
      </c>
      <c r="Q1350" t="s">
        <v>48</v>
      </c>
      <c r="R1350">
        <v>0</v>
      </c>
      <c r="S1350" t="s">
        <v>44</v>
      </c>
      <c r="T1350">
        <v>0</v>
      </c>
      <c r="U1350">
        <v>0</v>
      </c>
      <c r="V1350" t="s">
        <v>32</v>
      </c>
      <c r="W1350" t="s">
        <v>39</v>
      </c>
      <c r="X1350" s="4">
        <v>9.9</v>
      </c>
      <c r="Y1350">
        <v>9</v>
      </c>
      <c r="Z1350" s="5">
        <v>175.59</v>
      </c>
    </row>
    <row r="1351" spans="1:26">
      <c r="A1351">
        <v>1350</v>
      </c>
      <c r="B1351">
        <v>432</v>
      </c>
      <c r="C1351" s="2">
        <v>46049</v>
      </c>
      <c r="D1351" t="s">
        <v>35</v>
      </c>
      <c r="E1351">
        <v>1</v>
      </c>
      <c r="F1351" s="3">
        <v>8.31</v>
      </c>
      <c r="G1351" t="s">
        <v>27</v>
      </c>
      <c r="H1351">
        <v>63</v>
      </c>
      <c r="I1351" t="s">
        <v>28</v>
      </c>
      <c r="J1351" s="4">
        <v>70.5</v>
      </c>
      <c r="K1351" s="4">
        <v>139.69999999999999</v>
      </c>
      <c r="L1351" s="4">
        <v>20.2</v>
      </c>
      <c r="M1351">
        <v>22</v>
      </c>
      <c r="N1351" t="s">
        <v>47</v>
      </c>
      <c r="O1351">
        <v>2</v>
      </c>
      <c r="P1351" s="4">
        <v>172</v>
      </c>
      <c r="Q1351" t="s">
        <v>48</v>
      </c>
      <c r="R1351">
        <v>0</v>
      </c>
      <c r="S1351" t="s">
        <v>44</v>
      </c>
      <c r="T1351">
        <v>0</v>
      </c>
      <c r="U1351">
        <v>0</v>
      </c>
      <c r="V1351" t="s">
        <v>32</v>
      </c>
      <c r="W1351" t="s">
        <v>39</v>
      </c>
      <c r="X1351" s="4">
        <v>9.6999999999999993</v>
      </c>
      <c r="Y1351">
        <v>9</v>
      </c>
      <c r="Z1351" s="5">
        <v>140.34</v>
      </c>
    </row>
    <row r="1352" spans="1:26">
      <c r="A1352">
        <v>1351</v>
      </c>
      <c r="B1352">
        <v>433</v>
      </c>
      <c r="C1352" s="2">
        <v>46294</v>
      </c>
      <c r="D1352" t="s">
        <v>35</v>
      </c>
      <c r="E1352">
        <v>9</v>
      </c>
      <c r="F1352" s="3">
        <v>11.32</v>
      </c>
      <c r="G1352" t="s">
        <v>36</v>
      </c>
      <c r="H1352">
        <v>27</v>
      </c>
      <c r="I1352" t="s">
        <v>34</v>
      </c>
      <c r="J1352" s="4">
        <v>64.400000000000006</v>
      </c>
      <c r="K1352" s="4">
        <v>168.1</v>
      </c>
      <c r="L1352" s="4">
        <v>28.5</v>
      </c>
      <c r="M1352">
        <v>11</v>
      </c>
      <c r="N1352" t="s">
        <v>59</v>
      </c>
      <c r="O1352">
        <v>2</v>
      </c>
      <c r="P1352" s="4">
        <v>780</v>
      </c>
      <c r="Q1352" t="s">
        <v>30</v>
      </c>
      <c r="R1352">
        <v>1</v>
      </c>
      <c r="S1352" t="s">
        <v>38</v>
      </c>
      <c r="T1352">
        <v>0</v>
      </c>
      <c r="U1352">
        <v>0</v>
      </c>
      <c r="V1352" t="s">
        <v>32</v>
      </c>
      <c r="W1352" t="s">
        <v>39</v>
      </c>
      <c r="X1352" s="4">
        <v>10.8</v>
      </c>
      <c r="Y1352">
        <v>8</v>
      </c>
      <c r="Z1352" s="5">
        <v>187.47</v>
      </c>
    </row>
    <row r="1353" spans="1:26">
      <c r="A1353">
        <v>1352</v>
      </c>
      <c r="B1353">
        <v>433</v>
      </c>
      <c r="C1353" s="2">
        <v>46294</v>
      </c>
      <c r="D1353" t="s">
        <v>35</v>
      </c>
      <c r="E1353">
        <v>9</v>
      </c>
      <c r="F1353" s="3">
        <v>11.13</v>
      </c>
      <c r="G1353" t="s">
        <v>36</v>
      </c>
      <c r="H1353">
        <v>54</v>
      </c>
      <c r="I1353" t="s">
        <v>28</v>
      </c>
      <c r="J1353" s="4">
        <v>71.3</v>
      </c>
      <c r="K1353" s="4">
        <v>228.4</v>
      </c>
      <c r="L1353" s="4">
        <v>31.7</v>
      </c>
      <c r="M1353">
        <v>14</v>
      </c>
      <c r="N1353" t="s">
        <v>59</v>
      </c>
      <c r="O1353">
        <v>2</v>
      </c>
      <c r="P1353" s="4">
        <v>780</v>
      </c>
      <c r="Q1353" t="s">
        <v>30</v>
      </c>
      <c r="R1353">
        <v>1</v>
      </c>
      <c r="S1353" t="s">
        <v>38</v>
      </c>
      <c r="T1353">
        <v>0</v>
      </c>
      <c r="U1353">
        <v>0</v>
      </c>
      <c r="V1353" t="s">
        <v>32</v>
      </c>
      <c r="W1353" t="s">
        <v>39</v>
      </c>
      <c r="X1353" s="4">
        <v>9</v>
      </c>
      <c r="Y1353">
        <v>6</v>
      </c>
      <c r="Z1353" s="5">
        <v>247.79</v>
      </c>
    </row>
    <row r="1354" spans="1:26">
      <c r="A1354">
        <v>1353</v>
      </c>
      <c r="B1354">
        <v>434</v>
      </c>
      <c r="C1354" s="2">
        <v>46203</v>
      </c>
      <c r="D1354" t="s">
        <v>35</v>
      </c>
      <c r="E1354">
        <v>6</v>
      </c>
      <c r="F1354" s="3">
        <v>9.76</v>
      </c>
      <c r="G1354" t="s">
        <v>27</v>
      </c>
      <c r="H1354">
        <v>26</v>
      </c>
      <c r="I1354" t="s">
        <v>34</v>
      </c>
      <c r="J1354" s="4">
        <v>64.400000000000006</v>
      </c>
      <c r="K1354" s="4">
        <v>158.30000000000001</v>
      </c>
      <c r="L1354" s="4">
        <v>26.8</v>
      </c>
      <c r="M1354">
        <v>16</v>
      </c>
      <c r="N1354" t="s">
        <v>60</v>
      </c>
      <c r="O1354">
        <v>2</v>
      </c>
      <c r="P1354" s="4">
        <v>1579.4</v>
      </c>
      <c r="Q1354" t="s">
        <v>48</v>
      </c>
      <c r="R1354">
        <v>1</v>
      </c>
      <c r="S1354" t="s">
        <v>31</v>
      </c>
      <c r="T1354">
        <v>1</v>
      </c>
      <c r="U1354">
        <v>0</v>
      </c>
      <c r="V1354" t="s">
        <v>32</v>
      </c>
      <c r="W1354" t="s">
        <v>39</v>
      </c>
      <c r="X1354" s="4">
        <v>9</v>
      </c>
      <c r="Y1354">
        <v>12</v>
      </c>
      <c r="Z1354" s="5">
        <v>359.82</v>
      </c>
    </row>
    <row r="1355" spans="1:26">
      <c r="A1355">
        <v>1354</v>
      </c>
      <c r="B1355">
        <v>434</v>
      </c>
      <c r="C1355" s="2">
        <v>46203</v>
      </c>
      <c r="D1355" t="s">
        <v>35</v>
      </c>
      <c r="E1355">
        <v>6</v>
      </c>
      <c r="F1355" s="3">
        <v>10.07</v>
      </c>
      <c r="G1355" t="s">
        <v>27</v>
      </c>
      <c r="H1355">
        <v>19</v>
      </c>
      <c r="I1355" t="s">
        <v>28</v>
      </c>
      <c r="J1355" s="4">
        <v>65.400000000000006</v>
      </c>
      <c r="K1355" s="4">
        <v>143.30000000000001</v>
      </c>
      <c r="L1355" s="4">
        <v>23.6</v>
      </c>
      <c r="M1355">
        <v>12</v>
      </c>
      <c r="N1355" t="s">
        <v>60</v>
      </c>
      <c r="O1355">
        <v>2</v>
      </c>
      <c r="P1355" s="4">
        <v>1579.4</v>
      </c>
      <c r="Q1355" t="s">
        <v>48</v>
      </c>
      <c r="R1355">
        <v>1</v>
      </c>
      <c r="S1355" t="s">
        <v>31</v>
      </c>
      <c r="T1355">
        <v>1</v>
      </c>
      <c r="U1355">
        <v>0</v>
      </c>
      <c r="V1355" t="s">
        <v>32</v>
      </c>
      <c r="W1355" t="s">
        <v>39</v>
      </c>
      <c r="X1355" s="4">
        <v>9.6</v>
      </c>
      <c r="Y1355">
        <v>12</v>
      </c>
      <c r="Z1355" s="5">
        <v>278.32</v>
      </c>
    </row>
    <row r="1356" spans="1:26">
      <c r="A1356">
        <v>1355</v>
      </c>
      <c r="B1356">
        <v>435</v>
      </c>
      <c r="C1356" s="2">
        <v>46360</v>
      </c>
      <c r="D1356" t="s">
        <v>26</v>
      </c>
      <c r="E1356">
        <v>12</v>
      </c>
      <c r="F1356" s="3">
        <v>8.6999999999999993</v>
      </c>
      <c r="G1356" t="s">
        <v>27</v>
      </c>
      <c r="H1356">
        <v>27</v>
      </c>
      <c r="I1356" t="s">
        <v>28</v>
      </c>
      <c r="J1356" s="4">
        <v>70.7</v>
      </c>
      <c r="K1356" s="4">
        <v>220.2</v>
      </c>
      <c r="L1356" s="4">
        <v>31.1</v>
      </c>
      <c r="M1356">
        <v>14</v>
      </c>
      <c r="N1356" t="s">
        <v>50</v>
      </c>
      <c r="O1356">
        <v>3</v>
      </c>
      <c r="P1356" s="4">
        <v>428.4</v>
      </c>
      <c r="Q1356" t="s">
        <v>42</v>
      </c>
      <c r="R1356">
        <v>1</v>
      </c>
      <c r="S1356" t="s">
        <v>44</v>
      </c>
      <c r="T1356">
        <v>0</v>
      </c>
      <c r="U1356">
        <v>1</v>
      </c>
      <c r="V1356" t="s">
        <v>64</v>
      </c>
      <c r="W1356" t="s">
        <v>33</v>
      </c>
      <c r="X1356" s="4">
        <v>8.9</v>
      </c>
      <c r="Y1356">
        <v>9</v>
      </c>
      <c r="Z1356" s="5">
        <v>309.98</v>
      </c>
    </row>
    <row r="1357" spans="1:26">
      <c r="A1357">
        <v>1356</v>
      </c>
      <c r="B1357">
        <v>435</v>
      </c>
      <c r="C1357" s="2">
        <v>46360</v>
      </c>
      <c r="D1357" t="s">
        <v>26</v>
      </c>
      <c r="E1357">
        <v>12</v>
      </c>
      <c r="F1357" s="3">
        <v>8.67</v>
      </c>
      <c r="G1357" t="s">
        <v>27</v>
      </c>
      <c r="H1357">
        <v>51</v>
      </c>
      <c r="I1357" t="s">
        <v>28</v>
      </c>
      <c r="J1357" s="4">
        <v>68.400000000000006</v>
      </c>
      <c r="K1357" s="4">
        <v>134.9</v>
      </c>
      <c r="L1357" s="4">
        <v>20.3</v>
      </c>
      <c r="M1357">
        <v>13</v>
      </c>
      <c r="N1357" t="s">
        <v>50</v>
      </c>
      <c r="O1357">
        <v>3</v>
      </c>
      <c r="P1357" s="4">
        <v>428.4</v>
      </c>
      <c r="Q1357" t="s">
        <v>42</v>
      </c>
      <c r="R1357">
        <v>1</v>
      </c>
      <c r="S1357" t="s">
        <v>44</v>
      </c>
      <c r="T1357">
        <v>0</v>
      </c>
      <c r="U1357">
        <v>1</v>
      </c>
      <c r="V1357" t="s">
        <v>64</v>
      </c>
      <c r="W1357" t="s">
        <v>33</v>
      </c>
      <c r="X1357" s="4">
        <v>9.3000000000000007</v>
      </c>
      <c r="Y1357">
        <v>9</v>
      </c>
      <c r="Z1357" s="5">
        <v>234.12</v>
      </c>
    </row>
    <row r="1358" spans="1:26">
      <c r="A1358">
        <v>1357</v>
      </c>
      <c r="B1358">
        <v>435</v>
      </c>
      <c r="C1358" s="2">
        <v>46360</v>
      </c>
      <c r="D1358" t="s">
        <v>26</v>
      </c>
      <c r="E1358">
        <v>12</v>
      </c>
      <c r="F1358" s="3">
        <v>8.5500000000000007</v>
      </c>
      <c r="G1358" t="s">
        <v>27</v>
      </c>
      <c r="H1358">
        <v>26</v>
      </c>
      <c r="I1358" t="s">
        <v>28</v>
      </c>
      <c r="J1358" s="4">
        <v>73.3</v>
      </c>
      <c r="K1358" s="4">
        <v>196.8</v>
      </c>
      <c r="L1358" s="4">
        <v>25.9</v>
      </c>
      <c r="M1358">
        <v>13</v>
      </c>
      <c r="N1358" t="s">
        <v>50</v>
      </c>
      <c r="O1358">
        <v>3</v>
      </c>
      <c r="P1358" s="4">
        <v>428.4</v>
      </c>
      <c r="Q1358" t="s">
        <v>42</v>
      </c>
      <c r="R1358">
        <v>1</v>
      </c>
      <c r="S1358" t="s">
        <v>44</v>
      </c>
      <c r="T1358">
        <v>0</v>
      </c>
      <c r="U1358">
        <v>1</v>
      </c>
      <c r="V1358" t="s">
        <v>64</v>
      </c>
      <c r="W1358" t="s">
        <v>33</v>
      </c>
      <c r="X1358" s="4">
        <v>5.7</v>
      </c>
      <c r="Y1358">
        <v>5</v>
      </c>
      <c r="Z1358" s="5">
        <v>163.89</v>
      </c>
    </row>
    <row r="1359" spans="1:26">
      <c r="A1359">
        <v>1358</v>
      </c>
      <c r="B1359">
        <v>436</v>
      </c>
      <c r="C1359" s="2">
        <v>46083</v>
      </c>
      <c r="D1359" t="s">
        <v>46</v>
      </c>
      <c r="E1359">
        <v>3</v>
      </c>
      <c r="F1359" s="3">
        <v>10.86</v>
      </c>
      <c r="G1359" t="s">
        <v>27</v>
      </c>
      <c r="H1359">
        <v>56</v>
      </c>
      <c r="I1359" t="s">
        <v>34</v>
      </c>
      <c r="J1359" s="4">
        <v>64.2</v>
      </c>
      <c r="K1359" s="4">
        <v>152.5</v>
      </c>
      <c r="L1359" s="4">
        <v>25.8</v>
      </c>
      <c r="M1359">
        <v>19</v>
      </c>
      <c r="N1359" t="s">
        <v>59</v>
      </c>
      <c r="O1359">
        <v>4</v>
      </c>
      <c r="P1359" s="4">
        <v>1069.0999999999999</v>
      </c>
      <c r="Q1359" t="s">
        <v>48</v>
      </c>
      <c r="R1359">
        <v>1</v>
      </c>
      <c r="S1359" t="s">
        <v>44</v>
      </c>
      <c r="T1359">
        <v>0</v>
      </c>
      <c r="U1359">
        <v>1</v>
      </c>
      <c r="V1359" t="s">
        <v>32</v>
      </c>
      <c r="W1359" t="s">
        <v>33</v>
      </c>
      <c r="X1359" s="4">
        <v>8.5</v>
      </c>
      <c r="Y1359">
        <v>6</v>
      </c>
      <c r="Z1359" s="5">
        <v>380.43</v>
      </c>
    </row>
    <row r="1360" spans="1:26">
      <c r="A1360">
        <v>1359</v>
      </c>
      <c r="B1360">
        <v>436</v>
      </c>
      <c r="C1360" s="2">
        <v>46083</v>
      </c>
      <c r="D1360" t="s">
        <v>46</v>
      </c>
      <c r="E1360">
        <v>3</v>
      </c>
      <c r="F1360" s="3">
        <v>10.83</v>
      </c>
      <c r="G1360" t="s">
        <v>27</v>
      </c>
      <c r="H1360">
        <v>63</v>
      </c>
      <c r="I1360" t="s">
        <v>28</v>
      </c>
      <c r="J1360" s="4">
        <v>69.599999999999994</v>
      </c>
      <c r="K1360" s="4">
        <v>149.5</v>
      </c>
      <c r="L1360" s="4">
        <v>21.9</v>
      </c>
      <c r="M1360">
        <v>18</v>
      </c>
      <c r="N1360" t="s">
        <v>59</v>
      </c>
      <c r="O1360">
        <v>4</v>
      </c>
      <c r="P1360" s="4">
        <v>1069.0999999999999</v>
      </c>
      <c r="Q1360" t="s">
        <v>48</v>
      </c>
      <c r="R1360">
        <v>1</v>
      </c>
      <c r="S1360" t="s">
        <v>44</v>
      </c>
      <c r="T1360">
        <v>0</v>
      </c>
      <c r="U1360">
        <v>1</v>
      </c>
      <c r="V1360" t="s">
        <v>32</v>
      </c>
      <c r="W1360" t="s">
        <v>33</v>
      </c>
      <c r="X1360" s="4">
        <v>10.199999999999999</v>
      </c>
      <c r="Y1360">
        <v>12</v>
      </c>
      <c r="Z1360" s="5">
        <v>270.61</v>
      </c>
    </row>
    <row r="1361" spans="1:26">
      <c r="A1361">
        <v>1360</v>
      </c>
      <c r="B1361">
        <v>436</v>
      </c>
      <c r="C1361" s="2">
        <v>46083</v>
      </c>
      <c r="D1361" t="s">
        <v>46</v>
      </c>
      <c r="E1361">
        <v>3</v>
      </c>
      <c r="F1361" s="3">
        <v>11.04</v>
      </c>
      <c r="G1361" t="s">
        <v>36</v>
      </c>
      <c r="H1361">
        <v>12</v>
      </c>
      <c r="I1361" t="s">
        <v>34</v>
      </c>
      <c r="J1361" s="4">
        <v>70</v>
      </c>
      <c r="K1361" s="4">
        <v>123.2</v>
      </c>
      <c r="L1361" s="4">
        <v>17.5</v>
      </c>
      <c r="M1361">
        <v>15</v>
      </c>
      <c r="N1361" t="s">
        <v>59</v>
      </c>
      <c r="O1361">
        <v>4</v>
      </c>
      <c r="P1361" s="4">
        <v>1069.0999999999999</v>
      </c>
      <c r="Q1361" t="s">
        <v>48</v>
      </c>
      <c r="R1361">
        <v>1</v>
      </c>
      <c r="S1361" t="s">
        <v>44</v>
      </c>
      <c r="T1361">
        <v>0</v>
      </c>
      <c r="U1361">
        <v>1</v>
      </c>
      <c r="V1361" t="s">
        <v>32</v>
      </c>
      <c r="W1361" t="s">
        <v>33</v>
      </c>
      <c r="X1361" s="4">
        <v>10</v>
      </c>
      <c r="Y1361">
        <v>11</v>
      </c>
      <c r="Z1361" s="5">
        <v>412.75</v>
      </c>
    </row>
    <row r="1362" spans="1:26">
      <c r="A1362">
        <v>1361</v>
      </c>
      <c r="B1362">
        <v>436</v>
      </c>
      <c r="C1362" s="2">
        <v>46083</v>
      </c>
      <c r="D1362" t="s">
        <v>46</v>
      </c>
      <c r="E1362">
        <v>3</v>
      </c>
      <c r="F1362" s="3">
        <v>10.68</v>
      </c>
      <c r="G1362" t="s">
        <v>27</v>
      </c>
      <c r="H1362">
        <v>65</v>
      </c>
      <c r="I1362" t="s">
        <v>28</v>
      </c>
      <c r="J1362" s="4">
        <v>71</v>
      </c>
      <c r="K1362" s="4">
        <v>226.3</v>
      </c>
      <c r="L1362" s="4">
        <v>31.4</v>
      </c>
      <c r="M1362">
        <v>20</v>
      </c>
      <c r="N1362" t="s">
        <v>59</v>
      </c>
      <c r="O1362">
        <v>4</v>
      </c>
      <c r="P1362" s="4">
        <v>1069.0999999999999</v>
      </c>
      <c r="Q1362" t="s">
        <v>48</v>
      </c>
      <c r="R1362">
        <v>1</v>
      </c>
      <c r="S1362" t="s">
        <v>44</v>
      </c>
      <c r="T1362">
        <v>0</v>
      </c>
      <c r="U1362">
        <v>1</v>
      </c>
      <c r="V1362" t="s">
        <v>32</v>
      </c>
      <c r="W1362" t="s">
        <v>33</v>
      </c>
      <c r="X1362" s="4">
        <v>8.6</v>
      </c>
      <c r="Y1362">
        <v>6</v>
      </c>
      <c r="Z1362" s="5">
        <v>244.34</v>
      </c>
    </row>
    <row r="1363" spans="1:26">
      <c r="A1363">
        <v>1362</v>
      </c>
      <c r="B1363">
        <v>437</v>
      </c>
      <c r="C1363" s="2">
        <v>46148</v>
      </c>
      <c r="D1363" t="s">
        <v>52</v>
      </c>
      <c r="E1363">
        <v>5</v>
      </c>
      <c r="F1363" s="3">
        <v>11.13</v>
      </c>
      <c r="G1363" t="s">
        <v>36</v>
      </c>
      <c r="H1363">
        <v>39</v>
      </c>
      <c r="I1363" t="s">
        <v>34</v>
      </c>
      <c r="J1363" s="4">
        <v>66.900000000000006</v>
      </c>
      <c r="K1363" s="4">
        <v>145.1</v>
      </c>
      <c r="L1363" s="4">
        <v>22.7</v>
      </c>
      <c r="M1363">
        <v>12</v>
      </c>
      <c r="N1363" t="s">
        <v>37</v>
      </c>
      <c r="O1363">
        <v>3</v>
      </c>
      <c r="P1363" s="4">
        <v>1034.7</v>
      </c>
      <c r="Q1363" t="s">
        <v>30</v>
      </c>
      <c r="R1363">
        <v>1</v>
      </c>
      <c r="S1363" t="s">
        <v>31</v>
      </c>
      <c r="T1363">
        <v>0</v>
      </c>
      <c r="U1363">
        <v>0</v>
      </c>
      <c r="V1363" t="s">
        <v>32</v>
      </c>
      <c r="W1363" t="s">
        <v>39</v>
      </c>
      <c r="X1363" s="4">
        <v>7.8</v>
      </c>
      <c r="Y1363">
        <v>10</v>
      </c>
      <c r="Z1363" s="5">
        <v>249.31</v>
      </c>
    </row>
    <row r="1364" spans="1:26">
      <c r="A1364">
        <v>1363</v>
      </c>
      <c r="B1364">
        <v>437</v>
      </c>
      <c r="C1364" s="2">
        <v>46148</v>
      </c>
      <c r="D1364" t="s">
        <v>52</v>
      </c>
      <c r="E1364">
        <v>5</v>
      </c>
      <c r="F1364" s="3">
        <v>11.19</v>
      </c>
      <c r="G1364" t="s">
        <v>36</v>
      </c>
      <c r="H1364">
        <v>18</v>
      </c>
      <c r="I1364" t="s">
        <v>34</v>
      </c>
      <c r="J1364" s="4">
        <v>61.3</v>
      </c>
      <c r="K1364" s="4">
        <v>132.30000000000001</v>
      </c>
      <c r="L1364" s="4">
        <v>25</v>
      </c>
      <c r="M1364">
        <v>9</v>
      </c>
      <c r="N1364" t="s">
        <v>37</v>
      </c>
      <c r="O1364">
        <v>3</v>
      </c>
      <c r="P1364" s="4">
        <v>1034.7</v>
      </c>
      <c r="Q1364" t="s">
        <v>30</v>
      </c>
      <c r="R1364">
        <v>1</v>
      </c>
      <c r="S1364" t="s">
        <v>31</v>
      </c>
      <c r="T1364">
        <v>0</v>
      </c>
      <c r="U1364">
        <v>0</v>
      </c>
      <c r="V1364" t="s">
        <v>32</v>
      </c>
      <c r="W1364" t="s">
        <v>39</v>
      </c>
      <c r="X1364" s="4">
        <v>10</v>
      </c>
      <c r="Y1364">
        <v>11</v>
      </c>
      <c r="Z1364" s="5">
        <v>324.8</v>
      </c>
    </row>
    <row r="1365" spans="1:26">
      <c r="A1365">
        <v>1364</v>
      </c>
      <c r="B1365">
        <v>437</v>
      </c>
      <c r="C1365" s="2">
        <v>46148</v>
      </c>
      <c r="D1365" t="s">
        <v>52</v>
      </c>
      <c r="E1365">
        <v>5</v>
      </c>
      <c r="F1365" s="3">
        <v>11.26</v>
      </c>
      <c r="G1365" t="s">
        <v>36</v>
      </c>
      <c r="H1365">
        <v>33</v>
      </c>
      <c r="I1365" t="s">
        <v>34</v>
      </c>
      <c r="J1365" s="4">
        <v>62.4</v>
      </c>
      <c r="K1365" s="4">
        <v>151.30000000000001</v>
      </c>
      <c r="L1365" s="4">
        <v>27.5</v>
      </c>
      <c r="M1365">
        <v>14</v>
      </c>
      <c r="N1365" t="s">
        <v>37</v>
      </c>
      <c r="O1365">
        <v>3</v>
      </c>
      <c r="P1365" s="4">
        <v>1034.7</v>
      </c>
      <c r="Q1365" t="s">
        <v>30</v>
      </c>
      <c r="R1365">
        <v>1</v>
      </c>
      <c r="S1365" t="s">
        <v>31</v>
      </c>
      <c r="T1365">
        <v>0</v>
      </c>
      <c r="U1365">
        <v>0</v>
      </c>
      <c r="V1365" t="s">
        <v>32</v>
      </c>
      <c r="W1365" t="s">
        <v>39</v>
      </c>
      <c r="X1365" s="4">
        <v>9.8000000000000007</v>
      </c>
      <c r="Y1365">
        <v>6</v>
      </c>
      <c r="Z1365" s="5">
        <v>255.44</v>
      </c>
    </row>
    <row r="1366" spans="1:26">
      <c r="A1366">
        <v>1365</v>
      </c>
      <c r="B1366">
        <v>438</v>
      </c>
      <c r="C1366" s="2">
        <v>46255</v>
      </c>
      <c r="D1366" t="s">
        <v>26</v>
      </c>
      <c r="E1366">
        <v>8</v>
      </c>
      <c r="F1366" s="3">
        <v>9.9600000000000009</v>
      </c>
      <c r="G1366" t="s">
        <v>27</v>
      </c>
      <c r="H1366">
        <v>67</v>
      </c>
      <c r="I1366" t="s">
        <v>28</v>
      </c>
      <c r="J1366" s="4">
        <v>67.8</v>
      </c>
      <c r="K1366" s="4">
        <v>143.69999999999999</v>
      </c>
      <c r="L1366" s="4">
        <v>22.3</v>
      </c>
      <c r="M1366">
        <v>16</v>
      </c>
      <c r="N1366" t="s">
        <v>47</v>
      </c>
      <c r="O1366">
        <v>6</v>
      </c>
      <c r="P1366" s="4">
        <v>67.3</v>
      </c>
      <c r="Q1366" t="s">
        <v>48</v>
      </c>
      <c r="R1366">
        <v>0</v>
      </c>
      <c r="S1366" t="s">
        <v>44</v>
      </c>
      <c r="T1366">
        <v>1</v>
      </c>
      <c r="U1366">
        <v>0</v>
      </c>
      <c r="V1366" t="s">
        <v>32</v>
      </c>
      <c r="W1366" t="s">
        <v>43</v>
      </c>
      <c r="X1366" s="4">
        <v>4.5</v>
      </c>
      <c r="Y1366">
        <v>4</v>
      </c>
      <c r="Z1366" s="5">
        <v>196.65</v>
      </c>
    </row>
    <row r="1367" spans="1:26">
      <c r="A1367">
        <v>1366</v>
      </c>
      <c r="B1367">
        <v>438</v>
      </c>
      <c r="C1367" s="2">
        <v>46255</v>
      </c>
      <c r="D1367" t="s">
        <v>26</v>
      </c>
      <c r="E1367">
        <v>8</v>
      </c>
      <c r="F1367" s="3">
        <v>9.6199999999999992</v>
      </c>
      <c r="G1367" t="s">
        <v>27</v>
      </c>
      <c r="H1367">
        <v>43</v>
      </c>
      <c r="I1367" t="s">
        <v>28</v>
      </c>
      <c r="J1367" s="4">
        <v>65</v>
      </c>
      <c r="K1367" s="4">
        <v>142</v>
      </c>
      <c r="L1367" s="4">
        <v>23.7</v>
      </c>
      <c r="M1367">
        <v>17</v>
      </c>
      <c r="N1367" t="s">
        <v>47</v>
      </c>
      <c r="O1367">
        <v>6</v>
      </c>
      <c r="P1367" s="4">
        <v>67.3</v>
      </c>
      <c r="Q1367" t="s">
        <v>48</v>
      </c>
      <c r="R1367">
        <v>0</v>
      </c>
      <c r="S1367" t="s">
        <v>44</v>
      </c>
      <c r="T1367">
        <v>1</v>
      </c>
      <c r="U1367">
        <v>0</v>
      </c>
      <c r="V1367" t="s">
        <v>32</v>
      </c>
      <c r="W1367" t="s">
        <v>43</v>
      </c>
      <c r="X1367" s="4">
        <v>10.199999999999999</v>
      </c>
      <c r="Y1367">
        <v>9</v>
      </c>
      <c r="Z1367" s="5">
        <v>354.45</v>
      </c>
    </row>
    <row r="1368" spans="1:26">
      <c r="A1368">
        <v>1367</v>
      </c>
      <c r="B1368">
        <v>438</v>
      </c>
      <c r="C1368" s="2">
        <v>46255</v>
      </c>
      <c r="D1368" t="s">
        <v>26</v>
      </c>
      <c r="E1368">
        <v>8</v>
      </c>
      <c r="F1368" s="3">
        <v>9.7200000000000006</v>
      </c>
      <c r="G1368" t="s">
        <v>27</v>
      </c>
      <c r="H1368">
        <v>31</v>
      </c>
      <c r="I1368" t="s">
        <v>34</v>
      </c>
      <c r="J1368" s="4">
        <v>68.099999999999994</v>
      </c>
      <c r="K1368" s="4">
        <v>160.9</v>
      </c>
      <c r="L1368" s="4">
        <v>24.3</v>
      </c>
      <c r="M1368">
        <v>16</v>
      </c>
      <c r="N1368" t="s">
        <v>47</v>
      </c>
      <c r="O1368">
        <v>6</v>
      </c>
      <c r="P1368" s="4">
        <v>67.3</v>
      </c>
      <c r="Q1368" t="s">
        <v>48</v>
      </c>
      <c r="R1368">
        <v>0</v>
      </c>
      <c r="S1368" t="s">
        <v>44</v>
      </c>
      <c r="T1368">
        <v>1</v>
      </c>
      <c r="U1368">
        <v>0</v>
      </c>
      <c r="V1368" t="s">
        <v>32</v>
      </c>
      <c r="W1368" t="s">
        <v>43</v>
      </c>
      <c r="X1368" s="4">
        <v>10.1</v>
      </c>
      <c r="Y1368">
        <v>10</v>
      </c>
      <c r="Z1368" s="5">
        <v>196.35</v>
      </c>
    </row>
    <row r="1369" spans="1:26">
      <c r="A1369">
        <v>1368</v>
      </c>
      <c r="B1369">
        <v>438</v>
      </c>
      <c r="C1369" s="2">
        <v>46255</v>
      </c>
      <c r="D1369" t="s">
        <v>26</v>
      </c>
      <c r="E1369">
        <v>8</v>
      </c>
      <c r="F1369" s="3">
        <v>9.57</v>
      </c>
      <c r="G1369" t="s">
        <v>27</v>
      </c>
      <c r="H1369">
        <v>4</v>
      </c>
      <c r="I1369" t="s">
        <v>34</v>
      </c>
      <c r="J1369" s="4">
        <v>61.6</v>
      </c>
      <c r="K1369" s="4">
        <v>107.1</v>
      </c>
      <c r="L1369" s="4">
        <v>19.899999999999999</v>
      </c>
      <c r="M1369">
        <v>15</v>
      </c>
      <c r="N1369" t="s">
        <v>47</v>
      </c>
      <c r="O1369">
        <v>6</v>
      </c>
      <c r="P1369" s="4">
        <v>67.3</v>
      </c>
      <c r="Q1369" t="s">
        <v>48</v>
      </c>
      <c r="R1369">
        <v>0</v>
      </c>
      <c r="S1369" t="s">
        <v>44</v>
      </c>
      <c r="T1369">
        <v>1</v>
      </c>
      <c r="U1369">
        <v>0</v>
      </c>
      <c r="V1369" t="s">
        <v>32</v>
      </c>
      <c r="W1369" t="s">
        <v>43</v>
      </c>
      <c r="X1369" s="4">
        <v>8.1</v>
      </c>
      <c r="Y1369">
        <v>12</v>
      </c>
      <c r="Z1369" s="5">
        <v>344.03</v>
      </c>
    </row>
    <row r="1370" spans="1:26">
      <c r="A1370">
        <v>1369</v>
      </c>
      <c r="B1370">
        <v>438</v>
      </c>
      <c r="C1370" s="2">
        <v>46255</v>
      </c>
      <c r="D1370" t="s">
        <v>26</v>
      </c>
      <c r="E1370">
        <v>8</v>
      </c>
      <c r="F1370" s="3">
        <v>9.84</v>
      </c>
      <c r="G1370" t="s">
        <v>27</v>
      </c>
      <c r="H1370">
        <v>48</v>
      </c>
      <c r="I1370" t="s">
        <v>34</v>
      </c>
      <c r="J1370" s="4">
        <v>64.900000000000006</v>
      </c>
      <c r="K1370" s="4">
        <v>135.1</v>
      </c>
      <c r="L1370" s="4">
        <v>22.6</v>
      </c>
      <c r="M1370">
        <v>15</v>
      </c>
      <c r="N1370" t="s">
        <v>47</v>
      </c>
      <c r="O1370">
        <v>6</v>
      </c>
      <c r="P1370" s="4">
        <v>67.3</v>
      </c>
      <c r="Q1370" t="s">
        <v>48</v>
      </c>
      <c r="R1370">
        <v>0</v>
      </c>
      <c r="S1370" t="s">
        <v>44</v>
      </c>
      <c r="T1370">
        <v>1</v>
      </c>
      <c r="U1370">
        <v>0</v>
      </c>
      <c r="V1370" t="s">
        <v>32</v>
      </c>
      <c r="W1370" t="s">
        <v>43</v>
      </c>
      <c r="X1370" s="4">
        <v>7.5</v>
      </c>
      <c r="Y1370">
        <v>10</v>
      </c>
      <c r="Z1370" s="5">
        <v>226.68</v>
      </c>
    </row>
    <row r="1371" spans="1:26">
      <c r="A1371">
        <v>1370</v>
      </c>
      <c r="B1371">
        <v>438</v>
      </c>
      <c r="C1371" s="2">
        <v>46255</v>
      </c>
      <c r="D1371" t="s">
        <v>26</v>
      </c>
      <c r="E1371">
        <v>8</v>
      </c>
      <c r="F1371" s="3">
        <v>9.8699999999999992</v>
      </c>
      <c r="G1371" t="s">
        <v>27</v>
      </c>
      <c r="H1371">
        <v>41</v>
      </c>
      <c r="I1371" t="s">
        <v>34</v>
      </c>
      <c r="J1371" s="4">
        <v>63.1</v>
      </c>
      <c r="K1371" s="4">
        <v>172.1</v>
      </c>
      <c r="L1371" s="4">
        <v>30.3</v>
      </c>
      <c r="M1371">
        <v>18</v>
      </c>
      <c r="N1371" t="s">
        <v>47</v>
      </c>
      <c r="O1371">
        <v>6</v>
      </c>
      <c r="P1371" s="4">
        <v>67.3</v>
      </c>
      <c r="Q1371" t="s">
        <v>48</v>
      </c>
      <c r="R1371">
        <v>0</v>
      </c>
      <c r="S1371" t="s">
        <v>44</v>
      </c>
      <c r="T1371">
        <v>1</v>
      </c>
      <c r="U1371">
        <v>0</v>
      </c>
      <c r="V1371" t="s">
        <v>32</v>
      </c>
      <c r="W1371" t="s">
        <v>43</v>
      </c>
      <c r="X1371" s="4">
        <v>7.1</v>
      </c>
      <c r="Y1371">
        <v>6</v>
      </c>
      <c r="Z1371" s="5">
        <v>297.2</v>
      </c>
    </row>
    <row r="1372" spans="1:26">
      <c r="A1372">
        <v>1371</v>
      </c>
      <c r="B1372">
        <v>439</v>
      </c>
      <c r="C1372" s="2">
        <v>46168</v>
      </c>
      <c r="D1372" t="s">
        <v>35</v>
      </c>
      <c r="E1372">
        <v>5</v>
      </c>
      <c r="F1372" s="3">
        <v>10.35</v>
      </c>
      <c r="G1372" t="s">
        <v>27</v>
      </c>
      <c r="H1372">
        <v>46</v>
      </c>
      <c r="I1372" t="s">
        <v>28</v>
      </c>
      <c r="J1372" s="4">
        <v>68</v>
      </c>
      <c r="K1372" s="4">
        <v>126.4</v>
      </c>
      <c r="L1372" s="4">
        <v>19.3</v>
      </c>
      <c r="M1372">
        <v>14</v>
      </c>
      <c r="N1372" t="s">
        <v>47</v>
      </c>
      <c r="O1372">
        <v>3</v>
      </c>
      <c r="P1372" s="4">
        <v>127.5</v>
      </c>
      <c r="Q1372" t="s">
        <v>42</v>
      </c>
      <c r="R1372">
        <v>0</v>
      </c>
      <c r="S1372" t="s">
        <v>44</v>
      </c>
      <c r="T1372">
        <v>0</v>
      </c>
      <c r="U1372">
        <v>1</v>
      </c>
      <c r="V1372" t="s">
        <v>32</v>
      </c>
      <c r="W1372" t="s">
        <v>33</v>
      </c>
      <c r="X1372" s="4">
        <v>10.8</v>
      </c>
      <c r="Y1372">
        <v>7</v>
      </c>
      <c r="Z1372" s="5">
        <v>205.4</v>
      </c>
    </row>
    <row r="1373" spans="1:26">
      <c r="A1373">
        <v>1372</v>
      </c>
      <c r="B1373">
        <v>439</v>
      </c>
      <c r="C1373" s="2">
        <v>46168</v>
      </c>
      <c r="D1373" t="s">
        <v>35</v>
      </c>
      <c r="E1373">
        <v>5</v>
      </c>
      <c r="F1373" s="3">
        <v>10.47</v>
      </c>
      <c r="G1373" t="s">
        <v>27</v>
      </c>
      <c r="H1373">
        <v>26</v>
      </c>
      <c r="I1373" t="s">
        <v>34</v>
      </c>
      <c r="J1373" s="4">
        <v>60.5</v>
      </c>
      <c r="K1373" s="4">
        <v>130.19999999999999</v>
      </c>
      <c r="L1373" s="4">
        <v>25</v>
      </c>
      <c r="M1373">
        <v>12</v>
      </c>
      <c r="N1373" t="s">
        <v>47</v>
      </c>
      <c r="O1373">
        <v>3</v>
      </c>
      <c r="P1373" s="4">
        <v>127.5</v>
      </c>
      <c r="Q1373" t="s">
        <v>42</v>
      </c>
      <c r="R1373">
        <v>0</v>
      </c>
      <c r="S1373" t="s">
        <v>44</v>
      </c>
      <c r="T1373">
        <v>0</v>
      </c>
      <c r="U1373">
        <v>1</v>
      </c>
      <c r="V1373" t="s">
        <v>32</v>
      </c>
      <c r="W1373" t="s">
        <v>33</v>
      </c>
      <c r="X1373" s="4">
        <v>8</v>
      </c>
      <c r="Y1373">
        <v>11</v>
      </c>
      <c r="Z1373" s="5">
        <v>155.01</v>
      </c>
    </row>
    <row r="1374" spans="1:26">
      <c r="A1374">
        <v>1373</v>
      </c>
      <c r="B1374">
        <v>439</v>
      </c>
      <c r="C1374" s="2">
        <v>46168</v>
      </c>
      <c r="D1374" t="s">
        <v>35</v>
      </c>
      <c r="E1374">
        <v>5</v>
      </c>
      <c r="F1374" s="3">
        <v>10.45</v>
      </c>
      <c r="G1374" t="s">
        <v>27</v>
      </c>
      <c r="H1374">
        <v>5</v>
      </c>
      <c r="I1374" t="s">
        <v>34</v>
      </c>
      <c r="J1374" s="4">
        <v>56.1</v>
      </c>
      <c r="K1374" s="4">
        <v>95.2</v>
      </c>
      <c r="L1374" s="4">
        <v>21.2</v>
      </c>
      <c r="M1374">
        <v>18</v>
      </c>
      <c r="N1374" t="s">
        <v>47</v>
      </c>
      <c r="O1374">
        <v>3</v>
      </c>
      <c r="P1374" s="4">
        <v>127.5</v>
      </c>
      <c r="Q1374" t="s">
        <v>42</v>
      </c>
      <c r="R1374">
        <v>0</v>
      </c>
      <c r="S1374" t="s">
        <v>44</v>
      </c>
      <c r="T1374">
        <v>0</v>
      </c>
      <c r="U1374">
        <v>1</v>
      </c>
      <c r="V1374" t="s">
        <v>32</v>
      </c>
      <c r="W1374" t="s">
        <v>33</v>
      </c>
      <c r="X1374" s="4">
        <v>6.8</v>
      </c>
      <c r="Y1374">
        <v>8</v>
      </c>
      <c r="Z1374" s="5">
        <v>320.11</v>
      </c>
    </row>
    <row r="1375" spans="1:26">
      <c r="A1375">
        <v>1374</v>
      </c>
      <c r="B1375">
        <v>440</v>
      </c>
      <c r="C1375" s="2">
        <v>46096</v>
      </c>
      <c r="D1375" t="s">
        <v>58</v>
      </c>
      <c r="E1375">
        <v>3</v>
      </c>
      <c r="F1375" s="3">
        <v>10.24</v>
      </c>
      <c r="G1375" t="s">
        <v>27</v>
      </c>
      <c r="H1375">
        <v>12</v>
      </c>
      <c r="I1375" t="s">
        <v>28</v>
      </c>
      <c r="J1375" s="4">
        <v>68.599999999999994</v>
      </c>
      <c r="K1375" s="4">
        <v>140.30000000000001</v>
      </c>
      <c r="L1375" s="4">
        <v>20.9</v>
      </c>
      <c r="M1375">
        <v>12</v>
      </c>
      <c r="N1375" t="s">
        <v>67</v>
      </c>
      <c r="O1375">
        <v>2</v>
      </c>
      <c r="P1375" s="4">
        <v>1419.7</v>
      </c>
      <c r="Q1375" t="s">
        <v>42</v>
      </c>
      <c r="R1375">
        <v>1</v>
      </c>
      <c r="S1375" t="s">
        <v>44</v>
      </c>
      <c r="T1375">
        <v>0</v>
      </c>
      <c r="U1375">
        <v>1</v>
      </c>
      <c r="V1375" t="s">
        <v>32</v>
      </c>
      <c r="W1375" t="s">
        <v>49</v>
      </c>
      <c r="X1375" s="4">
        <v>8.3000000000000007</v>
      </c>
      <c r="Y1375">
        <v>4</v>
      </c>
      <c r="Z1375" s="5">
        <v>376.05</v>
      </c>
    </row>
    <row r="1376" spans="1:26">
      <c r="A1376">
        <v>1375</v>
      </c>
      <c r="B1376">
        <v>440</v>
      </c>
      <c r="C1376" s="2">
        <v>46096</v>
      </c>
      <c r="D1376" t="s">
        <v>58</v>
      </c>
      <c r="E1376">
        <v>3</v>
      </c>
      <c r="F1376" s="3">
        <v>10.029999999999999</v>
      </c>
      <c r="G1376" t="s">
        <v>27</v>
      </c>
      <c r="H1376">
        <v>18</v>
      </c>
      <c r="I1376" t="s">
        <v>34</v>
      </c>
      <c r="J1376" s="4">
        <v>64.8</v>
      </c>
      <c r="K1376" s="4">
        <v>135.19999999999999</v>
      </c>
      <c r="L1376" s="4">
        <v>22.6</v>
      </c>
      <c r="M1376">
        <v>12</v>
      </c>
      <c r="N1376" t="s">
        <v>67</v>
      </c>
      <c r="O1376">
        <v>2</v>
      </c>
      <c r="P1376" s="4">
        <v>1419.7</v>
      </c>
      <c r="Q1376" t="s">
        <v>42</v>
      </c>
      <c r="R1376">
        <v>1</v>
      </c>
      <c r="S1376" t="s">
        <v>44</v>
      </c>
      <c r="T1376">
        <v>0</v>
      </c>
      <c r="U1376">
        <v>1</v>
      </c>
      <c r="V1376" t="s">
        <v>32</v>
      </c>
      <c r="W1376" t="s">
        <v>49</v>
      </c>
      <c r="X1376" s="4">
        <v>5.9</v>
      </c>
      <c r="Y1376">
        <v>7</v>
      </c>
      <c r="Z1376" s="5">
        <v>275.75</v>
      </c>
    </row>
    <row r="1377" spans="1:26">
      <c r="A1377">
        <v>1376</v>
      </c>
      <c r="B1377">
        <v>441</v>
      </c>
      <c r="C1377" s="2">
        <v>46078</v>
      </c>
      <c r="D1377" t="s">
        <v>52</v>
      </c>
      <c r="E1377">
        <v>2</v>
      </c>
      <c r="F1377" s="3">
        <v>10.15</v>
      </c>
      <c r="G1377" t="s">
        <v>27</v>
      </c>
      <c r="H1377">
        <v>18</v>
      </c>
      <c r="I1377" t="s">
        <v>28</v>
      </c>
      <c r="J1377" s="4">
        <v>61.9</v>
      </c>
      <c r="K1377" s="4">
        <v>167.5</v>
      </c>
      <c r="L1377" s="4">
        <v>30.9</v>
      </c>
      <c r="M1377">
        <v>15</v>
      </c>
      <c r="N1377" t="s">
        <v>50</v>
      </c>
      <c r="O1377">
        <v>3</v>
      </c>
      <c r="P1377" s="4">
        <v>255</v>
      </c>
      <c r="Q1377" t="s">
        <v>48</v>
      </c>
      <c r="R1377">
        <v>1</v>
      </c>
      <c r="S1377" t="s">
        <v>38</v>
      </c>
      <c r="T1377">
        <v>1</v>
      </c>
      <c r="U1377">
        <v>0</v>
      </c>
      <c r="V1377" t="s">
        <v>32</v>
      </c>
      <c r="W1377" t="s">
        <v>39</v>
      </c>
      <c r="X1377" s="4">
        <v>7.1</v>
      </c>
      <c r="Y1377">
        <v>10</v>
      </c>
      <c r="Z1377" s="5">
        <v>233.92</v>
      </c>
    </row>
    <row r="1378" spans="1:26">
      <c r="A1378">
        <v>1377</v>
      </c>
      <c r="B1378">
        <v>441</v>
      </c>
      <c r="C1378" s="2">
        <v>46078</v>
      </c>
      <c r="D1378" t="s">
        <v>52</v>
      </c>
      <c r="E1378">
        <v>2</v>
      </c>
      <c r="F1378" s="3">
        <v>10.23</v>
      </c>
      <c r="G1378" t="s">
        <v>27</v>
      </c>
      <c r="H1378">
        <v>43</v>
      </c>
      <c r="I1378" t="s">
        <v>28</v>
      </c>
      <c r="J1378" s="4">
        <v>67.5</v>
      </c>
      <c r="K1378" s="4">
        <v>200</v>
      </c>
      <c r="L1378" s="4">
        <v>30.7</v>
      </c>
      <c r="M1378">
        <v>16</v>
      </c>
      <c r="N1378" t="s">
        <v>50</v>
      </c>
      <c r="O1378">
        <v>3</v>
      </c>
      <c r="P1378" s="4">
        <v>255</v>
      </c>
      <c r="Q1378" t="s">
        <v>48</v>
      </c>
      <c r="R1378">
        <v>1</v>
      </c>
      <c r="S1378" t="s">
        <v>38</v>
      </c>
      <c r="T1378">
        <v>1</v>
      </c>
      <c r="U1378">
        <v>0</v>
      </c>
      <c r="V1378" t="s">
        <v>32</v>
      </c>
      <c r="W1378" t="s">
        <v>39</v>
      </c>
      <c r="X1378" s="4">
        <v>11.2</v>
      </c>
      <c r="Y1378">
        <v>14</v>
      </c>
      <c r="Z1378" s="5">
        <v>257.60000000000002</v>
      </c>
    </row>
    <row r="1379" spans="1:26">
      <c r="A1379">
        <v>1378</v>
      </c>
      <c r="B1379">
        <v>441</v>
      </c>
      <c r="C1379" s="2">
        <v>46078</v>
      </c>
      <c r="D1379" t="s">
        <v>52</v>
      </c>
      <c r="E1379">
        <v>2</v>
      </c>
      <c r="F1379" s="3">
        <v>10.24</v>
      </c>
      <c r="G1379" t="s">
        <v>27</v>
      </c>
      <c r="H1379">
        <v>64</v>
      </c>
      <c r="I1379" t="s">
        <v>34</v>
      </c>
      <c r="J1379" s="4">
        <v>64.400000000000006</v>
      </c>
      <c r="K1379" s="4">
        <v>168.2</v>
      </c>
      <c r="L1379" s="4">
        <v>28.2</v>
      </c>
      <c r="M1379">
        <v>16</v>
      </c>
      <c r="N1379" t="s">
        <v>50</v>
      </c>
      <c r="O1379">
        <v>3</v>
      </c>
      <c r="P1379" s="4">
        <v>255</v>
      </c>
      <c r="Q1379" t="s">
        <v>48</v>
      </c>
      <c r="R1379">
        <v>1</v>
      </c>
      <c r="S1379" t="s">
        <v>38</v>
      </c>
      <c r="T1379">
        <v>1</v>
      </c>
      <c r="U1379">
        <v>0</v>
      </c>
      <c r="V1379" t="s">
        <v>32</v>
      </c>
      <c r="W1379" t="s">
        <v>39</v>
      </c>
      <c r="X1379" s="4">
        <v>10.1</v>
      </c>
      <c r="Y1379">
        <v>14</v>
      </c>
      <c r="Z1379" s="5">
        <v>423.27</v>
      </c>
    </row>
    <row r="1380" spans="1:26">
      <c r="A1380">
        <v>1379</v>
      </c>
      <c r="B1380">
        <v>442</v>
      </c>
      <c r="C1380" s="2">
        <v>46285</v>
      </c>
      <c r="D1380" t="s">
        <v>58</v>
      </c>
      <c r="E1380">
        <v>9</v>
      </c>
      <c r="F1380" s="3">
        <v>8.5399999999999991</v>
      </c>
      <c r="G1380" t="s">
        <v>27</v>
      </c>
      <c r="H1380">
        <v>51</v>
      </c>
      <c r="I1380" t="s">
        <v>28</v>
      </c>
      <c r="J1380" s="4">
        <v>66.599999999999994</v>
      </c>
      <c r="K1380" s="4">
        <v>177.1</v>
      </c>
      <c r="L1380" s="4">
        <v>28.2</v>
      </c>
      <c r="M1380">
        <v>17</v>
      </c>
      <c r="N1380" t="s">
        <v>47</v>
      </c>
      <c r="O1380">
        <v>2</v>
      </c>
      <c r="P1380" s="4">
        <v>64.599999999999994</v>
      </c>
      <c r="Q1380" t="s">
        <v>30</v>
      </c>
      <c r="R1380">
        <v>1</v>
      </c>
      <c r="S1380" t="s">
        <v>38</v>
      </c>
      <c r="T1380">
        <v>0</v>
      </c>
      <c r="U1380">
        <v>1</v>
      </c>
      <c r="V1380" t="s">
        <v>32</v>
      </c>
      <c r="W1380" t="s">
        <v>33</v>
      </c>
      <c r="X1380" s="4">
        <v>8.6999999999999993</v>
      </c>
      <c r="Y1380">
        <v>11</v>
      </c>
      <c r="Z1380" s="5">
        <v>268.14</v>
      </c>
    </row>
    <row r="1381" spans="1:26">
      <c r="A1381">
        <v>1380</v>
      </c>
      <c r="B1381">
        <v>442</v>
      </c>
      <c r="C1381" s="2">
        <v>46285</v>
      </c>
      <c r="D1381" t="s">
        <v>58</v>
      </c>
      <c r="E1381">
        <v>9</v>
      </c>
      <c r="F1381" s="3">
        <v>8.5299999999999994</v>
      </c>
      <c r="G1381" t="s">
        <v>27</v>
      </c>
      <c r="H1381">
        <v>41</v>
      </c>
      <c r="I1381" t="s">
        <v>28</v>
      </c>
      <c r="J1381" s="4">
        <v>71.099999999999994</v>
      </c>
      <c r="K1381" s="4">
        <v>175.1</v>
      </c>
      <c r="L1381" s="4">
        <v>24.5</v>
      </c>
      <c r="M1381">
        <v>15</v>
      </c>
      <c r="N1381" t="s">
        <v>47</v>
      </c>
      <c r="O1381">
        <v>2</v>
      </c>
      <c r="P1381" s="4">
        <v>64.599999999999994</v>
      </c>
      <c r="Q1381" t="s">
        <v>30</v>
      </c>
      <c r="R1381">
        <v>1</v>
      </c>
      <c r="S1381" t="s">
        <v>38</v>
      </c>
      <c r="T1381">
        <v>0</v>
      </c>
      <c r="U1381">
        <v>1</v>
      </c>
      <c r="V1381" t="s">
        <v>32</v>
      </c>
      <c r="W1381" t="s">
        <v>33</v>
      </c>
      <c r="X1381" s="4">
        <v>12.7</v>
      </c>
      <c r="Y1381">
        <v>14</v>
      </c>
      <c r="Z1381" s="5">
        <v>543.73</v>
      </c>
    </row>
    <row r="1382" spans="1:26">
      <c r="A1382">
        <v>1381</v>
      </c>
      <c r="B1382">
        <v>443</v>
      </c>
      <c r="C1382" s="2">
        <v>46207</v>
      </c>
      <c r="D1382" t="s">
        <v>40</v>
      </c>
      <c r="E1382">
        <v>7</v>
      </c>
      <c r="F1382" s="3">
        <v>9.35</v>
      </c>
      <c r="G1382" t="s">
        <v>27</v>
      </c>
      <c r="H1382">
        <v>30</v>
      </c>
      <c r="I1382" t="s">
        <v>28</v>
      </c>
      <c r="J1382" s="4">
        <v>69.7</v>
      </c>
      <c r="K1382" s="4">
        <v>156.4</v>
      </c>
      <c r="L1382" s="4">
        <v>22.9</v>
      </c>
      <c r="M1382">
        <v>14</v>
      </c>
      <c r="N1382" t="s">
        <v>47</v>
      </c>
      <c r="O1382">
        <v>3</v>
      </c>
      <c r="P1382" s="4">
        <v>62.1</v>
      </c>
      <c r="Q1382" t="s">
        <v>42</v>
      </c>
      <c r="R1382">
        <v>0</v>
      </c>
      <c r="S1382" t="s">
        <v>44</v>
      </c>
      <c r="T1382">
        <v>1</v>
      </c>
      <c r="U1382">
        <v>0</v>
      </c>
      <c r="V1382" t="s">
        <v>32</v>
      </c>
      <c r="W1382" t="s">
        <v>39</v>
      </c>
      <c r="X1382" s="4">
        <v>11.1</v>
      </c>
      <c r="Y1382">
        <v>9</v>
      </c>
      <c r="Z1382" s="5">
        <v>472.36</v>
      </c>
    </row>
    <row r="1383" spans="1:26">
      <c r="A1383">
        <v>1382</v>
      </c>
      <c r="B1383">
        <v>443</v>
      </c>
      <c r="C1383" s="2">
        <v>46207</v>
      </c>
      <c r="D1383" t="s">
        <v>40</v>
      </c>
      <c r="E1383">
        <v>7</v>
      </c>
      <c r="F1383" s="3">
        <v>9.18</v>
      </c>
      <c r="G1383" t="s">
        <v>27</v>
      </c>
      <c r="H1383">
        <v>63</v>
      </c>
      <c r="I1383" t="s">
        <v>28</v>
      </c>
      <c r="J1383" s="4">
        <v>64.900000000000006</v>
      </c>
      <c r="K1383" s="4">
        <v>178.6</v>
      </c>
      <c r="L1383" s="4">
        <v>29.9</v>
      </c>
      <c r="M1383">
        <v>12</v>
      </c>
      <c r="N1383" t="s">
        <v>47</v>
      </c>
      <c r="O1383">
        <v>3</v>
      </c>
      <c r="P1383" s="4">
        <v>62.1</v>
      </c>
      <c r="Q1383" t="s">
        <v>42</v>
      </c>
      <c r="R1383">
        <v>0</v>
      </c>
      <c r="S1383" t="s">
        <v>44</v>
      </c>
      <c r="T1383">
        <v>1</v>
      </c>
      <c r="U1383">
        <v>0</v>
      </c>
      <c r="V1383" t="s">
        <v>32</v>
      </c>
      <c r="W1383" t="s">
        <v>39</v>
      </c>
      <c r="X1383" s="4">
        <v>8.3000000000000007</v>
      </c>
      <c r="Y1383">
        <v>8</v>
      </c>
      <c r="Z1383" s="5">
        <v>164.49</v>
      </c>
    </row>
    <row r="1384" spans="1:26">
      <c r="A1384">
        <v>1383</v>
      </c>
      <c r="B1384">
        <v>443</v>
      </c>
      <c r="C1384" s="2">
        <v>46207</v>
      </c>
      <c r="D1384" t="s">
        <v>40</v>
      </c>
      <c r="E1384">
        <v>7</v>
      </c>
      <c r="F1384" s="3">
        <v>9.26</v>
      </c>
      <c r="G1384" t="s">
        <v>27</v>
      </c>
      <c r="H1384">
        <v>63</v>
      </c>
      <c r="I1384" t="s">
        <v>28</v>
      </c>
      <c r="J1384" s="4">
        <v>66.3</v>
      </c>
      <c r="K1384" s="4">
        <v>182.6</v>
      </c>
      <c r="L1384" s="4">
        <v>29.5</v>
      </c>
      <c r="M1384">
        <v>13</v>
      </c>
      <c r="N1384" t="s">
        <v>47</v>
      </c>
      <c r="O1384">
        <v>3</v>
      </c>
      <c r="P1384" s="4">
        <v>62.1</v>
      </c>
      <c r="Q1384" t="s">
        <v>42</v>
      </c>
      <c r="R1384">
        <v>0</v>
      </c>
      <c r="S1384" t="s">
        <v>44</v>
      </c>
      <c r="T1384">
        <v>1</v>
      </c>
      <c r="U1384">
        <v>0</v>
      </c>
      <c r="V1384" t="s">
        <v>32</v>
      </c>
      <c r="W1384" t="s">
        <v>39</v>
      </c>
      <c r="X1384" s="4">
        <v>8.5</v>
      </c>
      <c r="Y1384">
        <v>8</v>
      </c>
      <c r="Z1384" s="5">
        <v>178.25</v>
      </c>
    </row>
    <row r="1385" spans="1:26">
      <c r="A1385">
        <v>1384</v>
      </c>
      <c r="B1385">
        <v>444</v>
      </c>
      <c r="C1385" s="2">
        <v>46050</v>
      </c>
      <c r="D1385" t="s">
        <v>52</v>
      </c>
      <c r="E1385">
        <v>1</v>
      </c>
      <c r="F1385" s="3">
        <v>10.34</v>
      </c>
      <c r="G1385" t="s">
        <v>27</v>
      </c>
      <c r="H1385">
        <v>35</v>
      </c>
      <c r="I1385" t="s">
        <v>28</v>
      </c>
      <c r="J1385" s="4">
        <v>63.3</v>
      </c>
      <c r="K1385" s="4">
        <v>170.7</v>
      </c>
      <c r="L1385" s="4">
        <v>30</v>
      </c>
      <c r="M1385">
        <v>12</v>
      </c>
      <c r="N1385" t="s">
        <v>47</v>
      </c>
      <c r="O1385">
        <v>3</v>
      </c>
      <c r="P1385" s="4">
        <v>56.5</v>
      </c>
      <c r="Q1385" t="s">
        <v>30</v>
      </c>
      <c r="R1385">
        <v>1</v>
      </c>
      <c r="S1385" t="s">
        <v>44</v>
      </c>
      <c r="T1385">
        <v>0</v>
      </c>
      <c r="U1385">
        <v>0</v>
      </c>
      <c r="V1385" t="s">
        <v>32</v>
      </c>
      <c r="W1385" t="s">
        <v>43</v>
      </c>
      <c r="X1385" s="4">
        <v>9.5</v>
      </c>
      <c r="Y1385">
        <v>7</v>
      </c>
      <c r="Z1385" s="5">
        <v>151.61000000000001</v>
      </c>
    </row>
    <row r="1386" spans="1:26">
      <c r="A1386">
        <v>1385</v>
      </c>
      <c r="B1386">
        <v>444</v>
      </c>
      <c r="C1386" s="2">
        <v>46050</v>
      </c>
      <c r="D1386" t="s">
        <v>52</v>
      </c>
      <c r="E1386">
        <v>1</v>
      </c>
      <c r="F1386" s="3">
        <v>10.039999999999999</v>
      </c>
      <c r="G1386" t="s">
        <v>27</v>
      </c>
      <c r="H1386">
        <v>18</v>
      </c>
      <c r="I1386" t="s">
        <v>28</v>
      </c>
      <c r="J1386" s="4">
        <v>68.900000000000006</v>
      </c>
      <c r="K1386" s="4">
        <v>165.8</v>
      </c>
      <c r="L1386" s="4">
        <v>24.5</v>
      </c>
      <c r="M1386">
        <v>11</v>
      </c>
      <c r="N1386" t="s">
        <v>47</v>
      </c>
      <c r="O1386">
        <v>3</v>
      </c>
      <c r="P1386" s="4">
        <v>56.5</v>
      </c>
      <c r="Q1386" t="s">
        <v>30</v>
      </c>
      <c r="R1386">
        <v>1</v>
      </c>
      <c r="S1386" t="s">
        <v>44</v>
      </c>
      <c r="T1386">
        <v>0</v>
      </c>
      <c r="U1386">
        <v>0</v>
      </c>
      <c r="V1386" t="s">
        <v>32</v>
      </c>
      <c r="W1386" t="s">
        <v>43</v>
      </c>
      <c r="X1386" s="4">
        <v>7.7</v>
      </c>
      <c r="Y1386">
        <v>12</v>
      </c>
      <c r="Z1386" s="5">
        <v>177.5</v>
      </c>
    </row>
    <row r="1387" spans="1:26">
      <c r="A1387">
        <v>1386</v>
      </c>
      <c r="B1387">
        <v>444</v>
      </c>
      <c r="C1387" s="2">
        <v>46050</v>
      </c>
      <c r="D1387" t="s">
        <v>52</v>
      </c>
      <c r="E1387">
        <v>1</v>
      </c>
      <c r="F1387" s="3">
        <v>10.07</v>
      </c>
      <c r="G1387" t="s">
        <v>27</v>
      </c>
      <c r="H1387">
        <v>33</v>
      </c>
      <c r="I1387" t="s">
        <v>28</v>
      </c>
      <c r="J1387" s="4">
        <v>69.5</v>
      </c>
      <c r="K1387" s="4">
        <v>206.3</v>
      </c>
      <c r="L1387" s="4">
        <v>30.2</v>
      </c>
      <c r="M1387">
        <v>13</v>
      </c>
      <c r="N1387" t="s">
        <v>47</v>
      </c>
      <c r="O1387">
        <v>3</v>
      </c>
      <c r="P1387" s="4">
        <v>56.5</v>
      </c>
      <c r="Q1387" t="s">
        <v>30</v>
      </c>
      <c r="R1387">
        <v>1</v>
      </c>
      <c r="S1387" t="s">
        <v>44</v>
      </c>
      <c r="T1387">
        <v>0</v>
      </c>
      <c r="U1387">
        <v>0</v>
      </c>
      <c r="V1387" t="s">
        <v>32</v>
      </c>
      <c r="W1387" t="s">
        <v>43</v>
      </c>
      <c r="X1387" s="4">
        <v>9.3000000000000007</v>
      </c>
      <c r="Y1387">
        <v>6</v>
      </c>
      <c r="Z1387" s="5">
        <v>160.31</v>
      </c>
    </row>
    <row r="1388" spans="1:26">
      <c r="A1388">
        <v>1387</v>
      </c>
      <c r="B1388">
        <v>445</v>
      </c>
      <c r="C1388" s="2">
        <v>46199</v>
      </c>
      <c r="D1388" t="s">
        <v>26</v>
      </c>
      <c r="E1388">
        <v>6</v>
      </c>
      <c r="F1388" s="3">
        <v>9</v>
      </c>
      <c r="G1388" t="s">
        <v>27</v>
      </c>
      <c r="H1388">
        <v>68</v>
      </c>
      <c r="I1388" t="s">
        <v>34</v>
      </c>
      <c r="J1388" s="4">
        <v>69.7</v>
      </c>
      <c r="K1388" s="4">
        <v>176.8</v>
      </c>
      <c r="L1388" s="4">
        <v>25.7</v>
      </c>
      <c r="M1388">
        <v>17</v>
      </c>
      <c r="N1388" t="s">
        <v>47</v>
      </c>
      <c r="O1388">
        <v>3</v>
      </c>
      <c r="P1388" s="4">
        <v>89.7</v>
      </c>
      <c r="Q1388" t="s">
        <v>48</v>
      </c>
      <c r="R1388">
        <v>1</v>
      </c>
      <c r="S1388" t="s">
        <v>38</v>
      </c>
      <c r="T1388">
        <v>1</v>
      </c>
      <c r="U1388">
        <v>1</v>
      </c>
      <c r="V1388" t="s">
        <v>32</v>
      </c>
      <c r="W1388" t="s">
        <v>39</v>
      </c>
      <c r="X1388" s="4">
        <v>13.3</v>
      </c>
      <c r="Y1388">
        <v>13</v>
      </c>
      <c r="Z1388" s="5">
        <v>401.81</v>
      </c>
    </row>
    <row r="1389" spans="1:26">
      <c r="A1389">
        <v>1388</v>
      </c>
      <c r="B1389">
        <v>445</v>
      </c>
      <c r="C1389" s="2">
        <v>46199</v>
      </c>
      <c r="D1389" t="s">
        <v>26</v>
      </c>
      <c r="E1389">
        <v>6</v>
      </c>
      <c r="F1389" s="3">
        <v>9.27</v>
      </c>
      <c r="G1389" t="s">
        <v>27</v>
      </c>
      <c r="H1389">
        <v>10</v>
      </c>
      <c r="I1389" t="s">
        <v>28</v>
      </c>
      <c r="J1389" s="4">
        <v>58</v>
      </c>
      <c r="K1389" s="4">
        <v>82.4</v>
      </c>
      <c r="L1389" s="4">
        <v>17.100000000000001</v>
      </c>
      <c r="M1389">
        <v>14</v>
      </c>
      <c r="N1389" t="s">
        <v>47</v>
      </c>
      <c r="O1389">
        <v>3</v>
      </c>
      <c r="P1389" s="4">
        <v>89.7</v>
      </c>
      <c r="Q1389" t="s">
        <v>48</v>
      </c>
      <c r="R1389">
        <v>1</v>
      </c>
      <c r="S1389" t="s">
        <v>38</v>
      </c>
      <c r="T1389">
        <v>1</v>
      </c>
      <c r="U1389">
        <v>1</v>
      </c>
      <c r="V1389" t="s">
        <v>32</v>
      </c>
      <c r="W1389" t="s">
        <v>39</v>
      </c>
      <c r="X1389" s="4">
        <v>10.4</v>
      </c>
      <c r="Y1389">
        <v>10</v>
      </c>
      <c r="Z1389" s="5">
        <v>535.69000000000005</v>
      </c>
    </row>
    <row r="1390" spans="1:26">
      <c r="A1390">
        <v>1389</v>
      </c>
      <c r="B1390">
        <v>445</v>
      </c>
      <c r="C1390" s="2">
        <v>46199</v>
      </c>
      <c r="D1390" t="s">
        <v>26</v>
      </c>
      <c r="E1390">
        <v>6</v>
      </c>
      <c r="F1390" s="3">
        <v>9.14</v>
      </c>
      <c r="G1390" t="s">
        <v>27</v>
      </c>
      <c r="H1390">
        <v>18</v>
      </c>
      <c r="I1390" t="s">
        <v>28</v>
      </c>
      <c r="J1390" s="4">
        <v>68.8</v>
      </c>
      <c r="K1390" s="4">
        <v>186.4</v>
      </c>
      <c r="L1390" s="4">
        <v>27.7</v>
      </c>
      <c r="M1390">
        <v>13</v>
      </c>
      <c r="N1390" t="s">
        <v>47</v>
      </c>
      <c r="O1390">
        <v>3</v>
      </c>
      <c r="P1390" s="4">
        <v>89.7</v>
      </c>
      <c r="Q1390" t="s">
        <v>48</v>
      </c>
      <c r="R1390">
        <v>1</v>
      </c>
      <c r="S1390" t="s">
        <v>38</v>
      </c>
      <c r="T1390">
        <v>1</v>
      </c>
      <c r="U1390">
        <v>1</v>
      </c>
      <c r="V1390" t="s">
        <v>32</v>
      </c>
      <c r="W1390" t="s">
        <v>39</v>
      </c>
      <c r="X1390" s="4">
        <v>8.3000000000000007</v>
      </c>
      <c r="Y1390">
        <v>2</v>
      </c>
      <c r="Z1390" s="5">
        <v>280.22000000000003</v>
      </c>
    </row>
    <row r="1391" spans="1:26">
      <c r="A1391">
        <v>1390</v>
      </c>
      <c r="B1391">
        <v>446</v>
      </c>
      <c r="C1391" s="2">
        <v>46230</v>
      </c>
      <c r="D1391" t="s">
        <v>46</v>
      </c>
      <c r="E1391">
        <v>7</v>
      </c>
      <c r="F1391" s="3">
        <v>12.13</v>
      </c>
      <c r="G1391" t="s">
        <v>36</v>
      </c>
      <c r="H1391">
        <v>27</v>
      </c>
      <c r="I1391" t="s">
        <v>28</v>
      </c>
      <c r="J1391" s="4">
        <v>77.2</v>
      </c>
      <c r="K1391" s="4">
        <v>239.1</v>
      </c>
      <c r="L1391" s="4">
        <v>28.4</v>
      </c>
      <c r="M1391">
        <v>16</v>
      </c>
      <c r="N1391" t="s">
        <v>47</v>
      </c>
      <c r="O1391">
        <v>4</v>
      </c>
      <c r="P1391" s="4">
        <v>68.099999999999994</v>
      </c>
      <c r="Q1391" t="s">
        <v>30</v>
      </c>
      <c r="R1391">
        <v>1</v>
      </c>
      <c r="S1391" t="s">
        <v>31</v>
      </c>
      <c r="T1391">
        <v>1</v>
      </c>
      <c r="U1391">
        <v>0</v>
      </c>
      <c r="V1391" t="s">
        <v>45</v>
      </c>
      <c r="W1391" t="s">
        <v>49</v>
      </c>
      <c r="X1391" s="4">
        <v>8.6</v>
      </c>
      <c r="Y1391">
        <v>9</v>
      </c>
      <c r="Z1391" s="5">
        <v>120.92</v>
      </c>
    </row>
    <row r="1392" spans="1:26">
      <c r="A1392">
        <v>1391</v>
      </c>
      <c r="B1392">
        <v>446</v>
      </c>
      <c r="C1392" s="2">
        <v>46230</v>
      </c>
      <c r="D1392" t="s">
        <v>46</v>
      </c>
      <c r="E1392">
        <v>7</v>
      </c>
      <c r="F1392" s="3">
        <v>12.1</v>
      </c>
      <c r="G1392" t="s">
        <v>36</v>
      </c>
      <c r="H1392">
        <v>40</v>
      </c>
      <c r="I1392" t="s">
        <v>51</v>
      </c>
      <c r="J1392" s="4">
        <v>69.099999999999994</v>
      </c>
      <c r="K1392" s="4">
        <v>200.6</v>
      </c>
      <c r="L1392" s="4">
        <v>29.5</v>
      </c>
      <c r="M1392">
        <v>14</v>
      </c>
      <c r="N1392" t="s">
        <v>47</v>
      </c>
      <c r="O1392">
        <v>4</v>
      </c>
      <c r="P1392" s="4">
        <v>68.099999999999994</v>
      </c>
      <c r="Q1392" t="s">
        <v>30</v>
      </c>
      <c r="R1392">
        <v>1</v>
      </c>
      <c r="S1392" t="s">
        <v>31</v>
      </c>
      <c r="T1392">
        <v>1</v>
      </c>
      <c r="U1392">
        <v>0</v>
      </c>
      <c r="V1392" t="s">
        <v>45</v>
      </c>
      <c r="W1392" t="s">
        <v>49</v>
      </c>
      <c r="X1392" s="4">
        <v>5.9</v>
      </c>
      <c r="Y1392">
        <v>10</v>
      </c>
      <c r="Z1392" s="5">
        <v>301.58</v>
      </c>
    </row>
    <row r="1393" spans="1:26">
      <c r="A1393">
        <v>1392</v>
      </c>
      <c r="B1393">
        <v>446</v>
      </c>
      <c r="C1393" s="2">
        <v>46230</v>
      </c>
      <c r="D1393" t="s">
        <v>46</v>
      </c>
      <c r="E1393">
        <v>7</v>
      </c>
      <c r="F1393" s="3">
        <v>11.92</v>
      </c>
      <c r="G1393" t="s">
        <v>36</v>
      </c>
      <c r="H1393">
        <v>58</v>
      </c>
      <c r="I1393" t="s">
        <v>34</v>
      </c>
      <c r="J1393" s="4">
        <v>64.599999999999994</v>
      </c>
      <c r="K1393" s="4">
        <v>166.2</v>
      </c>
      <c r="L1393" s="4">
        <v>28.2</v>
      </c>
      <c r="M1393">
        <v>12</v>
      </c>
      <c r="N1393" t="s">
        <v>47</v>
      </c>
      <c r="O1393">
        <v>4</v>
      </c>
      <c r="P1393" s="4">
        <v>68.099999999999994</v>
      </c>
      <c r="Q1393" t="s">
        <v>30</v>
      </c>
      <c r="R1393">
        <v>1</v>
      </c>
      <c r="S1393" t="s">
        <v>31</v>
      </c>
      <c r="T1393">
        <v>1</v>
      </c>
      <c r="U1393">
        <v>0</v>
      </c>
      <c r="V1393" t="s">
        <v>45</v>
      </c>
      <c r="W1393" t="s">
        <v>49</v>
      </c>
      <c r="X1393" s="4">
        <v>8</v>
      </c>
      <c r="Y1393">
        <v>6</v>
      </c>
      <c r="Z1393" s="5">
        <v>195.07</v>
      </c>
    </row>
    <row r="1394" spans="1:26">
      <c r="A1394">
        <v>1393</v>
      </c>
      <c r="B1394">
        <v>446</v>
      </c>
      <c r="C1394" s="2">
        <v>46230</v>
      </c>
      <c r="D1394" t="s">
        <v>46</v>
      </c>
      <c r="E1394">
        <v>7</v>
      </c>
      <c r="F1394" s="3">
        <v>12.14</v>
      </c>
      <c r="G1394" t="s">
        <v>36</v>
      </c>
      <c r="H1394">
        <v>66</v>
      </c>
      <c r="I1394" t="s">
        <v>28</v>
      </c>
      <c r="J1394" s="4">
        <v>74.400000000000006</v>
      </c>
      <c r="K1394" s="4">
        <v>183.4</v>
      </c>
      <c r="L1394" s="4">
        <v>23.3</v>
      </c>
      <c r="M1394">
        <v>14</v>
      </c>
      <c r="N1394" t="s">
        <v>47</v>
      </c>
      <c r="O1394">
        <v>4</v>
      </c>
      <c r="P1394" s="4">
        <v>68.099999999999994</v>
      </c>
      <c r="Q1394" t="s">
        <v>30</v>
      </c>
      <c r="R1394">
        <v>1</v>
      </c>
      <c r="S1394" t="s">
        <v>31</v>
      </c>
      <c r="T1394">
        <v>1</v>
      </c>
      <c r="U1394">
        <v>0</v>
      </c>
      <c r="V1394" t="s">
        <v>45</v>
      </c>
      <c r="W1394" t="s">
        <v>49</v>
      </c>
      <c r="X1394" s="4">
        <v>7.4</v>
      </c>
      <c r="Y1394">
        <v>11</v>
      </c>
      <c r="Z1394" s="5">
        <v>280.94</v>
      </c>
    </row>
    <row r="1395" spans="1:26">
      <c r="A1395">
        <v>1394</v>
      </c>
      <c r="B1395">
        <v>447</v>
      </c>
      <c r="C1395" s="2">
        <v>46025</v>
      </c>
      <c r="D1395" t="s">
        <v>40</v>
      </c>
      <c r="E1395">
        <v>1</v>
      </c>
      <c r="F1395" s="3">
        <v>13.84</v>
      </c>
      <c r="G1395" t="s">
        <v>36</v>
      </c>
      <c r="H1395">
        <v>48</v>
      </c>
      <c r="I1395" t="s">
        <v>28</v>
      </c>
      <c r="J1395" s="4">
        <v>71.400000000000006</v>
      </c>
      <c r="K1395" s="4">
        <v>181.8</v>
      </c>
      <c r="L1395" s="4">
        <v>25.1</v>
      </c>
      <c r="M1395">
        <v>16</v>
      </c>
      <c r="N1395" t="s">
        <v>56</v>
      </c>
      <c r="O1395">
        <v>4</v>
      </c>
      <c r="P1395" s="4">
        <v>371.6</v>
      </c>
      <c r="Q1395" t="s">
        <v>48</v>
      </c>
      <c r="R1395">
        <v>0</v>
      </c>
      <c r="S1395" t="s">
        <v>44</v>
      </c>
      <c r="T1395">
        <v>1</v>
      </c>
      <c r="U1395">
        <v>0</v>
      </c>
      <c r="V1395" t="s">
        <v>32</v>
      </c>
      <c r="W1395" t="s">
        <v>49</v>
      </c>
      <c r="X1395" s="4">
        <v>5.0999999999999996</v>
      </c>
      <c r="Y1395">
        <v>5</v>
      </c>
      <c r="Z1395" s="5">
        <v>136.31</v>
      </c>
    </row>
    <row r="1396" spans="1:26">
      <c r="A1396">
        <v>1395</v>
      </c>
      <c r="B1396">
        <v>447</v>
      </c>
      <c r="C1396" s="2">
        <v>46025</v>
      </c>
      <c r="D1396" t="s">
        <v>40</v>
      </c>
      <c r="E1396">
        <v>1</v>
      </c>
      <c r="F1396" s="3">
        <v>13.65</v>
      </c>
      <c r="G1396" t="s">
        <v>36</v>
      </c>
      <c r="H1396">
        <v>61</v>
      </c>
      <c r="I1396" t="s">
        <v>28</v>
      </c>
      <c r="J1396" s="4">
        <v>68.3</v>
      </c>
      <c r="K1396" s="4">
        <v>230.8</v>
      </c>
      <c r="L1396" s="4">
        <v>34.5</v>
      </c>
      <c r="M1396">
        <v>18</v>
      </c>
      <c r="N1396" t="s">
        <v>56</v>
      </c>
      <c r="O1396">
        <v>4</v>
      </c>
      <c r="P1396" s="4">
        <v>371.6</v>
      </c>
      <c r="Q1396" t="s">
        <v>48</v>
      </c>
      <c r="R1396">
        <v>0</v>
      </c>
      <c r="S1396" t="s">
        <v>44</v>
      </c>
      <c r="T1396">
        <v>1</v>
      </c>
      <c r="U1396">
        <v>0</v>
      </c>
      <c r="V1396" t="s">
        <v>32</v>
      </c>
      <c r="W1396" t="s">
        <v>49</v>
      </c>
      <c r="X1396" s="4">
        <v>6.5</v>
      </c>
      <c r="Y1396">
        <v>6</v>
      </c>
      <c r="Z1396" s="5">
        <v>118.71</v>
      </c>
    </row>
    <row r="1397" spans="1:26">
      <c r="A1397">
        <v>1396</v>
      </c>
      <c r="B1397">
        <v>447</v>
      </c>
      <c r="C1397" s="2">
        <v>46025</v>
      </c>
      <c r="D1397" t="s">
        <v>40</v>
      </c>
      <c r="E1397">
        <v>1</v>
      </c>
      <c r="F1397" s="3">
        <v>13.87</v>
      </c>
      <c r="G1397" t="s">
        <v>36</v>
      </c>
      <c r="H1397">
        <v>8</v>
      </c>
      <c r="I1397" t="s">
        <v>34</v>
      </c>
      <c r="J1397" s="4">
        <v>58</v>
      </c>
      <c r="K1397" s="4">
        <v>102.7</v>
      </c>
      <c r="L1397" s="4">
        <v>21.2</v>
      </c>
      <c r="M1397">
        <v>15</v>
      </c>
      <c r="N1397" t="s">
        <v>56</v>
      </c>
      <c r="O1397">
        <v>4</v>
      </c>
      <c r="P1397" s="4">
        <v>371.6</v>
      </c>
      <c r="Q1397" t="s">
        <v>48</v>
      </c>
      <c r="R1397">
        <v>0</v>
      </c>
      <c r="S1397" t="s">
        <v>44</v>
      </c>
      <c r="T1397">
        <v>1</v>
      </c>
      <c r="U1397">
        <v>0</v>
      </c>
      <c r="V1397" t="s">
        <v>32</v>
      </c>
      <c r="W1397" t="s">
        <v>49</v>
      </c>
      <c r="X1397" s="4">
        <v>8.9</v>
      </c>
      <c r="Y1397">
        <v>9</v>
      </c>
      <c r="Z1397" s="5">
        <v>159.74</v>
      </c>
    </row>
    <row r="1398" spans="1:26">
      <c r="A1398">
        <v>1397</v>
      </c>
      <c r="B1398">
        <v>447</v>
      </c>
      <c r="C1398" s="2">
        <v>46025</v>
      </c>
      <c r="D1398" t="s">
        <v>40</v>
      </c>
      <c r="E1398">
        <v>1</v>
      </c>
      <c r="F1398" s="3">
        <v>13.65</v>
      </c>
      <c r="G1398" t="s">
        <v>36</v>
      </c>
      <c r="H1398">
        <v>18</v>
      </c>
      <c r="I1398" t="s">
        <v>34</v>
      </c>
      <c r="J1398" s="4">
        <v>67.8</v>
      </c>
      <c r="K1398" s="4">
        <v>126.6</v>
      </c>
      <c r="L1398" s="4">
        <v>19.399999999999999</v>
      </c>
      <c r="M1398">
        <v>14</v>
      </c>
      <c r="N1398" t="s">
        <v>56</v>
      </c>
      <c r="O1398">
        <v>4</v>
      </c>
      <c r="P1398" s="4">
        <v>371.6</v>
      </c>
      <c r="Q1398" t="s">
        <v>48</v>
      </c>
      <c r="R1398">
        <v>0</v>
      </c>
      <c r="S1398" t="s">
        <v>44</v>
      </c>
      <c r="T1398">
        <v>1</v>
      </c>
      <c r="U1398">
        <v>0</v>
      </c>
      <c r="V1398" t="s">
        <v>32</v>
      </c>
      <c r="W1398" t="s">
        <v>49</v>
      </c>
      <c r="X1398" s="4">
        <v>9.1</v>
      </c>
      <c r="Y1398">
        <v>14</v>
      </c>
      <c r="Z1398" s="5">
        <v>242.72</v>
      </c>
    </row>
    <row r="1399" spans="1:26">
      <c r="A1399">
        <v>1398</v>
      </c>
      <c r="B1399">
        <v>448</v>
      </c>
      <c r="C1399" s="2">
        <v>46131</v>
      </c>
      <c r="D1399" t="s">
        <v>58</v>
      </c>
      <c r="E1399">
        <v>4</v>
      </c>
      <c r="F1399" s="3">
        <v>12.35</v>
      </c>
      <c r="G1399" t="s">
        <v>36</v>
      </c>
      <c r="H1399">
        <v>35</v>
      </c>
      <c r="I1399" t="s">
        <v>28</v>
      </c>
      <c r="J1399" s="4">
        <v>70.7</v>
      </c>
      <c r="K1399" s="4">
        <v>122</v>
      </c>
      <c r="L1399" s="4">
        <v>17.3</v>
      </c>
      <c r="M1399">
        <v>13</v>
      </c>
      <c r="N1399" t="s">
        <v>47</v>
      </c>
      <c r="O1399">
        <v>3</v>
      </c>
      <c r="P1399" s="4">
        <v>2</v>
      </c>
      <c r="Q1399" t="s">
        <v>42</v>
      </c>
      <c r="R1399">
        <v>0</v>
      </c>
      <c r="S1399" t="s">
        <v>44</v>
      </c>
      <c r="T1399">
        <v>0</v>
      </c>
      <c r="U1399">
        <v>0</v>
      </c>
      <c r="V1399" t="s">
        <v>32</v>
      </c>
      <c r="W1399" t="s">
        <v>57</v>
      </c>
      <c r="X1399" s="4">
        <v>8.1</v>
      </c>
      <c r="Y1399">
        <v>12</v>
      </c>
      <c r="Z1399" s="5">
        <v>171.29</v>
      </c>
    </row>
    <row r="1400" spans="1:26">
      <c r="A1400">
        <v>1399</v>
      </c>
      <c r="B1400">
        <v>448</v>
      </c>
      <c r="C1400" s="2">
        <v>46131</v>
      </c>
      <c r="D1400" t="s">
        <v>58</v>
      </c>
      <c r="E1400">
        <v>4</v>
      </c>
      <c r="F1400" s="3">
        <v>12.35</v>
      </c>
      <c r="G1400" t="s">
        <v>36</v>
      </c>
      <c r="H1400">
        <v>55</v>
      </c>
      <c r="I1400" t="s">
        <v>34</v>
      </c>
      <c r="J1400" s="4">
        <v>61.7</v>
      </c>
      <c r="K1400" s="4">
        <v>136.30000000000001</v>
      </c>
      <c r="L1400" s="4">
        <v>24.8</v>
      </c>
      <c r="M1400">
        <v>19</v>
      </c>
      <c r="N1400" t="s">
        <v>47</v>
      </c>
      <c r="O1400">
        <v>3</v>
      </c>
      <c r="P1400" s="4">
        <v>2</v>
      </c>
      <c r="Q1400" t="s">
        <v>42</v>
      </c>
      <c r="R1400">
        <v>0</v>
      </c>
      <c r="S1400" t="s">
        <v>44</v>
      </c>
      <c r="T1400">
        <v>0</v>
      </c>
      <c r="U1400">
        <v>0</v>
      </c>
      <c r="V1400" t="s">
        <v>32</v>
      </c>
      <c r="W1400" t="s">
        <v>57</v>
      </c>
      <c r="X1400" s="4">
        <v>9.6</v>
      </c>
      <c r="Y1400">
        <v>8</v>
      </c>
      <c r="Z1400" s="5">
        <v>233.02</v>
      </c>
    </row>
    <row r="1401" spans="1:26">
      <c r="A1401">
        <v>1400</v>
      </c>
      <c r="B1401">
        <v>448</v>
      </c>
      <c r="C1401" s="2">
        <v>46131</v>
      </c>
      <c r="D1401" t="s">
        <v>58</v>
      </c>
      <c r="E1401">
        <v>4</v>
      </c>
      <c r="F1401" s="3">
        <v>12.35</v>
      </c>
      <c r="G1401" t="s">
        <v>36</v>
      </c>
      <c r="H1401">
        <v>30</v>
      </c>
      <c r="I1401" t="s">
        <v>28</v>
      </c>
      <c r="J1401" s="4">
        <v>68.099999999999994</v>
      </c>
      <c r="K1401" s="4">
        <v>150.30000000000001</v>
      </c>
      <c r="L1401" s="4">
        <v>23</v>
      </c>
      <c r="M1401">
        <v>16</v>
      </c>
      <c r="N1401" t="s">
        <v>47</v>
      </c>
      <c r="O1401">
        <v>3</v>
      </c>
      <c r="P1401" s="4">
        <v>2</v>
      </c>
      <c r="Q1401" t="s">
        <v>42</v>
      </c>
      <c r="R1401">
        <v>0</v>
      </c>
      <c r="S1401" t="s">
        <v>44</v>
      </c>
      <c r="T1401">
        <v>0</v>
      </c>
      <c r="U1401">
        <v>0</v>
      </c>
      <c r="V1401" t="s">
        <v>32</v>
      </c>
      <c r="W1401" t="s">
        <v>57</v>
      </c>
      <c r="X1401" s="4">
        <v>5.8</v>
      </c>
      <c r="Y1401">
        <v>5</v>
      </c>
      <c r="Z1401" s="5">
        <v>121.19</v>
      </c>
    </row>
    <row r="1402" spans="1:26">
      <c r="A1402">
        <v>1401</v>
      </c>
      <c r="B1402">
        <v>449</v>
      </c>
      <c r="C1402" s="2">
        <v>46233</v>
      </c>
      <c r="D1402" t="s">
        <v>55</v>
      </c>
      <c r="E1402">
        <v>7</v>
      </c>
      <c r="F1402" s="3">
        <v>8.99</v>
      </c>
      <c r="G1402" t="s">
        <v>27</v>
      </c>
      <c r="H1402">
        <v>3</v>
      </c>
      <c r="I1402" t="s">
        <v>34</v>
      </c>
      <c r="J1402" s="4">
        <v>40.799999999999997</v>
      </c>
      <c r="K1402" s="4">
        <v>45</v>
      </c>
      <c r="L1402" s="4">
        <v>19.3</v>
      </c>
      <c r="M1402">
        <v>13</v>
      </c>
      <c r="N1402" t="s">
        <v>47</v>
      </c>
      <c r="O1402">
        <v>2</v>
      </c>
      <c r="P1402" s="4">
        <v>89.5</v>
      </c>
      <c r="Q1402" t="s">
        <v>30</v>
      </c>
      <c r="R1402">
        <v>0</v>
      </c>
      <c r="S1402" t="s">
        <v>44</v>
      </c>
      <c r="T1402">
        <v>0</v>
      </c>
      <c r="U1402">
        <v>0</v>
      </c>
      <c r="V1402" t="s">
        <v>32</v>
      </c>
      <c r="W1402" t="s">
        <v>43</v>
      </c>
      <c r="X1402" s="4">
        <v>8</v>
      </c>
      <c r="Y1402">
        <v>9</v>
      </c>
      <c r="Z1402" s="5">
        <v>162.01</v>
      </c>
    </row>
    <row r="1403" spans="1:26">
      <c r="A1403">
        <v>1402</v>
      </c>
      <c r="B1403">
        <v>449</v>
      </c>
      <c r="C1403" s="2">
        <v>46233</v>
      </c>
      <c r="D1403" t="s">
        <v>55</v>
      </c>
      <c r="E1403">
        <v>7</v>
      </c>
      <c r="F1403" s="3">
        <v>9.0399999999999991</v>
      </c>
      <c r="G1403" t="s">
        <v>27</v>
      </c>
      <c r="H1403">
        <v>38</v>
      </c>
      <c r="I1403" t="s">
        <v>28</v>
      </c>
      <c r="J1403" s="4">
        <v>70.3</v>
      </c>
      <c r="K1403" s="4">
        <v>240.7</v>
      </c>
      <c r="L1403" s="4">
        <v>34.6</v>
      </c>
      <c r="M1403">
        <v>11</v>
      </c>
      <c r="N1403" t="s">
        <v>47</v>
      </c>
      <c r="O1403">
        <v>2</v>
      </c>
      <c r="P1403" s="4">
        <v>89.5</v>
      </c>
      <c r="Q1403" t="s">
        <v>30</v>
      </c>
      <c r="R1403">
        <v>0</v>
      </c>
      <c r="S1403" t="s">
        <v>44</v>
      </c>
      <c r="T1403">
        <v>0</v>
      </c>
      <c r="U1403">
        <v>0</v>
      </c>
      <c r="V1403" t="s">
        <v>32</v>
      </c>
      <c r="W1403" t="s">
        <v>43</v>
      </c>
      <c r="X1403" s="4">
        <v>8</v>
      </c>
      <c r="Y1403">
        <v>9</v>
      </c>
      <c r="Z1403" s="5">
        <v>178.62</v>
      </c>
    </row>
    <row r="1404" spans="1:26">
      <c r="A1404">
        <v>1403</v>
      </c>
      <c r="B1404">
        <v>450</v>
      </c>
      <c r="C1404" s="2">
        <v>46057</v>
      </c>
      <c r="D1404" t="s">
        <v>52</v>
      </c>
      <c r="E1404">
        <v>2</v>
      </c>
      <c r="F1404" s="3">
        <v>12.83</v>
      </c>
      <c r="G1404" t="s">
        <v>36</v>
      </c>
      <c r="H1404">
        <v>69</v>
      </c>
      <c r="I1404" t="s">
        <v>34</v>
      </c>
      <c r="J1404" s="4">
        <v>63.5</v>
      </c>
      <c r="K1404" s="4">
        <v>112.4</v>
      </c>
      <c r="L1404" s="4">
        <v>19.7</v>
      </c>
      <c r="M1404">
        <v>14</v>
      </c>
      <c r="N1404" t="s">
        <v>47</v>
      </c>
      <c r="O1404">
        <v>3</v>
      </c>
      <c r="P1404" s="4">
        <v>122.4</v>
      </c>
      <c r="Q1404" t="s">
        <v>42</v>
      </c>
      <c r="R1404">
        <v>0</v>
      </c>
      <c r="S1404" t="s">
        <v>31</v>
      </c>
      <c r="T1404">
        <v>0</v>
      </c>
      <c r="U1404">
        <v>0</v>
      </c>
      <c r="V1404" t="s">
        <v>32</v>
      </c>
      <c r="W1404" t="s">
        <v>39</v>
      </c>
      <c r="X1404" s="4">
        <v>6.9</v>
      </c>
      <c r="Y1404">
        <v>6</v>
      </c>
      <c r="Z1404" s="5">
        <v>133.46</v>
      </c>
    </row>
    <row r="1405" spans="1:26">
      <c r="A1405">
        <v>1404</v>
      </c>
      <c r="B1405">
        <v>450</v>
      </c>
      <c r="C1405" s="2">
        <v>46057</v>
      </c>
      <c r="D1405" t="s">
        <v>52</v>
      </c>
      <c r="E1405">
        <v>2</v>
      </c>
      <c r="F1405" s="3">
        <v>12.79</v>
      </c>
      <c r="G1405" t="s">
        <v>36</v>
      </c>
      <c r="H1405">
        <v>29</v>
      </c>
      <c r="I1405" t="s">
        <v>34</v>
      </c>
      <c r="J1405" s="4">
        <v>62.8</v>
      </c>
      <c r="K1405" s="4">
        <v>123.7</v>
      </c>
      <c r="L1405" s="4">
        <v>22</v>
      </c>
      <c r="M1405">
        <v>16</v>
      </c>
      <c r="N1405" t="s">
        <v>47</v>
      </c>
      <c r="O1405">
        <v>3</v>
      </c>
      <c r="P1405" s="4">
        <v>122.4</v>
      </c>
      <c r="Q1405" t="s">
        <v>42</v>
      </c>
      <c r="R1405">
        <v>0</v>
      </c>
      <c r="S1405" t="s">
        <v>31</v>
      </c>
      <c r="T1405">
        <v>0</v>
      </c>
      <c r="U1405">
        <v>0</v>
      </c>
      <c r="V1405" t="s">
        <v>32</v>
      </c>
      <c r="W1405" t="s">
        <v>39</v>
      </c>
      <c r="X1405" s="4">
        <v>5.7</v>
      </c>
      <c r="Y1405">
        <v>9</v>
      </c>
      <c r="Z1405" s="5">
        <v>142.88</v>
      </c>
    </row>
    <row r="1406" spans="1:26">
      <c r="A1406">
        <v>1405</v>
      </c>
      <c r="B1406">
        <v>450</v>
      </c>
      <c r="C1406" s="2">
        <v>46057</v>
      </c>
      <c r="D1406" t="s">
        <v>52</v>
      </c>
      <c r="E1406">
        <v>2</v>
      </c>
      <c r="F1406" s="3">
        <v>12.85</v>
      </c>
      <c r="G1406" t="s">
        <v>36</v>
      </c>
      <c r="H1406">
        <v>26</v>
      </c>
      <c r="I1406" t="s">
        <v>28</v>
      </c>
      <c r="J1406" s="4">
        <v>67.2</v>
      </c>
      <c r="K1406" s="4">
        <v>170.1</v>
      </c>
      <c r="L1406" s="4">
        <v>26.4</v>
      </c>
      <c r="M1406">
        <v>17</v>
      </c>
      <c r="N1406" t="s">
        <v>47</v>
      </c>
      <c r="O1406">
        <v>3</v>
      </c>
      <c r="P1406" s="4">
        <v>122.4</v>
      </c>
      <c r="Q1406" t="s">
        <v>42</v>
      </c>
      <c r="R1406">
        <v>0</v>
      </c>
      <c r="S1406" t="s">
        <v>31</v>
      </c>
      <c r="T1406">
        <v>0</v>
      </c>
      <c r="U1406">
        <v>0</v>
      </c>
      <c r="V1406" t="s">
        <v>32</v>
      </c>
      <c r="W1406" t="s">
        <v>39</v>
      </c>
      <c r="X1406" s="4">
        <v>9.6999999999999993</v>
      </c>
      <c r="Y1406">
        <v>12</v>
      </c>
      <c r="Z1406" s="5">
        <v>249.73</v>
      </c>
    </row>
    <row r="1407" spans="1:26">
      <c r="A1407">
        <v>1406</v>
      </c>
      <c r="B1407">
        <v>451</v>
      </c>
      <c r="C1407" s="2">
        <v>46384</v>
      </c>
      <c r="D1407" t="s">
        <v>46</v>
      </c>
      <c r="E1407">
        <v>12</v>
      </c>
      <c r="F1407" s="3">
        <v>10.46</v>
      </c>
      <c r="G1407" t="s">
        <v>27</v>
      </c>
      <c r="H1407">
        <v>62</v>
      </c>
      <c r="I1407" t="s">
        <v>34</v>
      </c>
      <c r="J1407" s="4">
        <v>63.2</v>
      </c>
      <c r="K1407" s="4">
        <v>134</v>
      </c>
      <c r="L1407" s="4">
        <v>23.7</v>
      </c>
      <c r="M1407">
        <v>15</v>
      </c>
      <c r="N1407" t="s">
        <v>47</v>
      </c>
      <c r="O1407">
        <v>1</v>
      </c>
      <c r="P1407" s="4">
        <v>7</v>
      </c>
      <c r="Q1407" t="s">
        <v>42</v>
      </c>
      <c r="R1407">
        <v>0</v>
      </c>
      <c r="S1407" t="s">
        <v>38</v>
      </c>
      <c r="T1407">
        <v>0</v>
      </c>
      <c r="U1407">
        <v>0</v>
      </c>
      <c r="V1407" t="s">
        <v>32</v>
      </c>
      <c r="W1407" t="s">
        <v>49</v>
      </c>
      <c r="X1407" s="4">
        <v>8.6</v>
      </c>
      <c r="Y1407">
        <v>9</v>
      </c>
      <c r="Z1407" s="5">
        <v>363.63</v>
      </c>
    </row>
    <row r="1408" spans="1:26">
      <c r="A1408">
        <v>1407</v>
      </c>
      <c r="B1408">
        <v>452</v>
      </c>
      <c r="C1408" s="2">
        <v>46295</v>
      </c>
      <c r="D1408" t="s">
        <v>52</v>
      </c>
      <c r="E1408">
        <v>9</v>
      </c>
      <c r="F1408" s="3">
        <v>9.6999999999999993</v>
      </c>
      <c r="G1408" t="s">
        <v>27</v>
      </c>
      <c r="H1408">
        <v>7</v>
      </c>
      <c r="I1408" t="s">
        <v>28</v>
      </c>
      <c r="J1408" s="4">
        <v>64.2</v>
      </c>
      <c r="K1408" s="4">
        <v>130.4</v>
      </c>
      <c r="L1408" s="4">
        <v>22</v>
      </c>
      <c r="M1408">
        <v>12</v>
      </c>
      <c r="N1408" t="s">
        <v>47</v>
      </c>
      <c r="O1408">
        <v>3</v>
      </c>
      <c r="P1408" s="4">
        <v>244.1</v>
      </c>
      <c r="Q1408" t="s">
        <v>42</v>
      </c>
      <c r="R1408">
        <v>0</v>
      </c>
      <c r="S1408" t="s">
        <v>31</v>
      </c>
      <c r="T1408">
        <v>1</v>
      </c>
      <c r="U1408">
        <v>0</v>
      </c>
      <c r="V1408" t="s">
        <v>45</v>
      </c>
      <c r="W1408" t="s">
        <v>39</v>
      </c>
      <c r="X1408" s="4">
        <v>10.5</v>
      </c>
      <c r="Y1408">
        <v>10</v>
      </c>
      <c r="Z1408" s="5">
        <v>306.54000000000002</v>
      </c>
    </row>
    <row r="1409" spans="1:26">
      <c r="A1409">
        <v>1408</v>
      </c>
      <c r="B1409">
        <v>452</v>
      </c>
      <c r="C1409" s="2">
        <v>46295</v>
      </c>
      <c r="D1409" t="s">
        <v>52</v>
      </c>
      <c r="E1409">
        <v>9</v>
      </c>
      <c r="F1409" s="3">
        <v>9.6999999999999993</v>
      </c>
      <c r="G1409" t="s">
        <v>27</v>
      </c>
      <c r="H1409">
        <v>39</v>
      </c>
      <c r="I1409" t="s">
        <v>34</v>
      </c>
      <c r="J1409" s="4">
        <v>59.8</v>
      </c>
      <c r="K1409" s="4">
        <v>158.19999999999999</v>
      </c>
      <c r="L1409" s="4">
        <v>31.1</v>
      </c>
      <c r="M1409">
        <v>15</v>
      </c>
      <c r="N1409" t="s">
        <v>47</v>
      </c>
      <c r="O1409">
        <v>3</v>
      </c>
      <c r="P1409" s="4">
        <v>244.1</v>
      </c>
      <c r="Q1409" t="s">
        <v>42</v>
      </c>
      <c r="R1409">
        <v>0</v>
      </c>
      <c r="S1409" t="s">
        <v>31</v>
      </c>
      <c r="T1409">
        <v>1</v>
      </c>
      <c r="U1409">
        <v>0</v>
      </c>
      <c r="V1409" t="s">
        <v>45</v>
      </c>
      <c r="W1409" t="s">
        <v>39</v>
      </c>
      <c r="X1409" s="4">
        <v>7.9</v>
      </c>
      <c r="Y1409">
        <v>4</v>
      </c>
      <c r="Z1409" s="5">
        <v>124.64</v>
      </c>
    </row>
    <row r="1410" spans="1:26">
      <c r="A1410">
        <v>1409</v>
      </c>
      <c r="B1410">
        <v>452</v>
      </c>
      <c r="C1410" s="2">
        <v>46295</v>
      </c>
      <c r="D1410" t="s">
        <v>52</v>
      </c>
      <c r="E1410">
        <v>9</v>
      </c>
      <c r="F1410" s="3">
        <v>9.85</v>
      </c>
      <c r="G1410" t="s">
        <v>27</v>
      </c>
      <c r="H1410">
        <v>6</v>
      </c>
      <c r="I1410" t="s">
        <v>28</v>
      </c>
      <c r="J1410" s="4">
        <v>57.8</v>
      </c>
      <c r="K1410" s="4">
        <v>73.3</v>
      </c>
      <c r="L1410" s="4">
        <v>15.4</v>
      </c>
      <c r="M1410">
        <v>10</v>
      </c>
      <c r="N1410" t="s">
        <v>47</v>
      </c>
      <c r="O1410">
        <v>3</v>
      </c>
      <c r="P1410" s="4">
        <v>244.1</v>
      </c>
      <c r="Q1410" t="s">
        <v>42</v>
      </c>
      <c r="R1410">
        <v>0</v>
      </c>
      <c r="S1410" t="s">
        <v>31</v>
      </c>
      <c r="T1410">
        <v>1</v>
      </c>
      <c r="U1410">
        <v>0</v>
      </c>
      <c r="V1410" t="s">
        <v>45</v>
      </c>
      <c r="W1410" t="s">
        <v>39</v>
      </c>
      <c r="X1410" s="4">
        <v>8.3000000000000007</v>
      </c>
      <c r="Y1410">
        <v>8</v>
      </c>
      <c r="Z1410" s="5">
        <v>253.9</v>
      </c>
    </row>
    <row r="1411" spans="1:26">
      <c r="A1411">
        <v>1410</v>
      </c>
      <c r="B1411">
        <v>453</v>
      </c>
      <c r="C1411" s="2">
        <v>46372</v>
      </c>
      <c r="D1411" t="s">
        <v>52</v>
      </c>
      <c r="E1411">
        <v>12</v>
      </c>
      <c r="F1411" s="3">
        <v>10.34</v>
      </c>
      <c r="G1411" t="s">
        <v>27</v>
      </c>
      <c r="H1411">
        <v>70</v>
      </c>
      <c r="I1411" t="s">
        <v>28</v>
      </c>
      <c r="J1411" s="4">
        <v>68.900000000000006</v>
      </c>
      <c r="K1411" s="4">
        <v>100.3</v>
      </c>
      <c r="L1411" s="4">
        <v>14.8</v>
      </c>
      <c r="M1411">
        <v>18</v>
      </c>
      <c r="N1411" t="s">
        <v>47</v>
      </c>
      <c r="O1411">
        <v>2</v>
      </c>
      <c r="P1411" s="4">
        <v>68.900000000000006</v>
      </c>
      <c r="Q1411" t="s">
        <v>48</v>
      </c>
      <c r="R1411">
        <v>0</v>
      </c>
      <c r="S1411" t="s">
        <v>44</v>
      </c>
      <c r="T1411">
        <v>1</v>
      </c>
      <c r="U1411">
        <v>0</v>
      </c>
      <c r="V1411" t="s">
        <v>45</v>
      </c>
      <c r="W1411" t="s">
        <v>49</v>
      </c>
      <c r="X1411" s="4">
        <v>9.1999999999999993</v>
      </c>
      <c r="Y1411">
        <v>9</v>
      </c>
      <c r="Z1411" s="5">
        <v>264.10000000000002</v>
      </c>
    </row>
    <row r="1412" spans="1:26">
      <c r="A1412">
        <v>1411</v>
      </c>
      <c r="B1412">
        <v>453</v>
      </c>
      <c r="C1412" s="2">
        <v>46372</v>
      </c>
      <c r="D1412" t="s">
        <v>52</v>
      </c>
      <c r="E1412">
        <v>12</v>
      </c>
      <c r="F1412" s="3">
        <v>10.42</v>
      </c>
      <c r="G1412" t="s">
        <v>27</v>
      </c>
      <c r="H1412">
        <v>29</v>
      </c>
      <c r="I1412" t="s">
        <v>34</v>
      </c>
      <c r="J1412" s="4">
        <v>65.3</v>
      </c>
      <c r="K1412" s="4">
        <v>138.5</v>
      </c>
      <c r="L1412" s="4">
        <v>22.9</v>
      </c>
      <c r="M1412">
        <v>17</v>
      </c>
      <c r="N1412" t="s">
        <v>47</v>
      </c>
      <c r="O1412">
        <v>2</v>
      </c>
      <c r="P1412" s="4">
        <v>68.900000000000006</v>
      </c>
      <c r="Q1412" t="s">
        <v>48</v>
      </c>
      <c r="R1412">
        <v>0</v>
      </c>
      <c r="S1412" t="s">
        <v>44</v>
      </c>
      <c r="T1412">
        <v>1</v>
      </c>
      <c r="U1412">
        <v>0</v>
      </c>
      <c r="V1412" t="s">
        <v>45</v>
      </c>
      <c r="W1412" t="s">
        <v>49</v>
      </c>
      <c r="X1412" s="4">
        <v>10.3</v>
      </c>
      <c r="Y1412">
        <v>12</v>
      </c>
      <c r="Z1412" s="5">
        <v>469.04</v>
      </c>
    </row>
    <row r="1413" spans="1:26">
      <c r="A1413">
        <v>1412</v>
      </c>
      <c r="B1413">
        <v>454</v>
      </c>
      <c r="C1413" s="2">
        <v>46061</v>
      </c>
      <c r="D1413" t="s">
        <v>58</v>
      </c>
      <c r="E1413">
        <v>2</v>
      </c>
      <c r="F1413" s="3">
        <v>8.61</v>
      </c>
      <c r="G1413" t="s">
        <v>27</v>
      </c>
      <c r="H1413">
        <v>29</v>
      </c>
      <c r="I1413" t="s">
        <v>34</v>
      </c>
      <c r="J1413" s="4">
        <v>63.8</v>
      </c>
      <c r="K1413" s="4">
        <v>184.9</v>
      </c>
      <c r="L1413" s="4">
        <v>31.9</v>
      </c>
      <c r="M1413">
        <v>15</v>
      </c>
      <c r="N1413" t="s">
        <v>61</v>
      </c>
      <c r="O1413">
        <v>1</v>
      </c>
      <c r="P1413" s="4">
        <v>1879.7</v>
      </c>
      <c r="Q1413" t="s">
        <v>42</v>
      </c>
      <c r="R1413">
        <v>1</v>
      </c>
      <c r="S1413" t="s">
        <v>38</v>
      </c>
      <c r="T1413">
        <v>0</v>
      </c>
      <c r="U1413">
        <v>0</v>
      </c>
      <c r="V1413" t="s">
        <v>32</v>
      </c>
      <c r="W1413" t="s">
        <v>39</v>
      </c>
      <c r="X1413" s="4">
        <v>9.1999999999999993</v>
      </c>
      <c r="Y1413">
        <v>8</v>
      </c>
      <c r="Z1413" s="5">
        <v>141.16</v>
      </c>
    </row>
    <row r="1414" spans="1:26">
      <c r="A1414">
        <v>1413</v>
      </c>
      <c r="B1414">
        <v>455</v>
      </c>
      <c r="C1414" s="2">
        <v>46196</v>
      </c>
      <c r="D1414" t="s">
        <v>35</v>
      </c>
      <c r="E1414">
        <v>6</v>
      </c>
      <c r="F1414" s="3">
        <v>9.36</v>
      </c>
      <c r="G1414" t="s">
        <v>27</v>
      </c>
      <c r="H1414">
        <v>55</v>
      </c>
      <c r="I1414" t="s">
        <v>34</v>
      </c>
      <c r="J1414" s="4">
        <v>56.8</v>
      </c>
      <c r="K1414" s="4">
        <v>143.30000000000001</v>
      </c>
      <c r="L1414" s="4">
        <v>31.2</v>
      </c>
      <c r="M1414">
        <v>16</v>
      </c>
      <c r="N1414" t="s">
        <v>47</v>
      </c>
      <c r="O1414">
        <v>3</v>
      </c>
      <c r="P1414" s="4">
        <v>46.7</v>
      </c>
      <c r="Q1414" t="s">
        <v>42</v>
      </c>
      <c r="R1414">
        <v>0</v>
      </c>
      <c r="S1414" t="s">
        <v>44</v>
      </c>
      <c r="T1414">
        <v>1</v>
      </c>
      <c r="U1414">
        <v>0</v>
      </c>
      <c r="V1414" t="s">
        <v>32</v>
      </c>
      <c r="W1414" t="s">
        <v>39</v>
      </c>
      <c r="X1414" s="4">
        <v>7.5</v>
      </c>
      <c r="Y1414">
        <v>3</v>
      </c>
      <c r="Z1414" s="5">
        <v>184.95</v>
      </c>
    </row>
    <row r="1415" spans="1:26">
      <c r="A1415">
        <v>1414</v>
      </c>
      <c r="B1415">
        <v>455</v>
      </c>
      <c r="C1415" s="2">
        <v>46196</v>
      </c>
      <c r="D1415" t="s">
        <v>35</v>
      </c>
      <c r="E1415">
        <v>6</v>
      </c>
      <c r="F1415" s="3">
        <v>9.2100000000000009</v>
      </c>
      <c r="G1415" t="s">
        <v>27</v>
      </c>
      <c r="H1415">
        <v>71</v>
      </c>
      <c r="I1415" t="s">
        <v>34</v>
      </c>
      <c r="J1415" s="4">
        <v>64.2</v>
      </c>
      <c r="K1415" s="4">
        <v>153.6</v>
      </c>
      <c r="L1415" s="4">
        <v>26.1</v>
      </c>
      <c r="M1415">
        <v>12</v>
      </c>
      <c r="N1415" t="s">
        <v>47</v>
      </c>
      <c r="O1415">
        <v>3</v>
      </c>
      <c r="P1415" s="4">
        <v>46.7</v>
      </c>
      <c r="Q1415" t="s">
        <v>42</v>
      </c>
      <c r="R1415">
        <v>0</v>
      </c>
      <c r="S1415" t="s">
        <v>44</v>
      </c>
      <c r="T1415">
        <v>1</v>
      </c>
      <c r="U1415">
        <v>0</v>
      </c>
      <c r="V1415" t="s">
        <v>32</v>
      </c>
      <c r="W1415" t="s">
        <v>39</v>
      </c>
      <c r="X1415" s="4">
        <v>10.3</v>
      </c>
      <c r="Y1415">
        <v>12</v>
      </c>
      <c r="Z1415" s="5">
        <v>182.11</v>
      </c>
    </row>
    <row r="1416" spans="1:26">
      <c r="A1416">
        <v>1415</v>
      </c>
      <c r="B1416">
        <v>455</v>
      </c>
      <c r="C1416" s="2">
        <v>46196</v>
      </c>
      <c r="D1416" t="s">
        <v>35</v>
      </c>
      <c r="E1416">
        <v>6</v>
      </c>
      <c r="F1416" s="3">
        <v>9.1999999999999993</v>
      </c>
      <c r="G1416" t="s">
        <v>27</v>
      </c>
      <c r="H1416">
        <v>49</v>
      </c>
      <c r="I1416" t="s">
        <v>34</v>
      </c>
      <c r="J1416" s="4">
        <v>67.2</v>
      </c>
      <c r="K1416" s="4">
        <v>171</v>
      </c>
      <c r="L1416" s="4">
        <v>26.4</v>
      </c>
      <c r="M1416">
        <v>17</v>
      </c>
      <c r="N1416" t="s">
        <v>47</v>
      </c>
      <c r="O1416">
        <v>3</v>
      </c>
      <c r="P1416" s="4">
        <v>46.7</v>
      </c>
      <c r="Q1416" t="s">
        <v>42</v>
      </c>
      <c r="R1416">
        <v>0</v>
      </c>
      <c r="S1416" t="s">
        <v>44</v>
      </c>
      <c r="T1416">
        <v>1</v>
      </c>
      <c r="U1416">
        <v>0</v>
      </c>
      <c r="V1416" t="s">
        <v>32</v>
      </c>
      <c r="W1416" t="s">
        <v>39</v>
      </c>
      <c r="X1416" s="4">
        <v>8.5</v>
      </c>
      <c r="Y1416">
        <v>5</v>
      </c>
      <c r="Z1416" s="5">
        <v>173.93</v>
      </c>
    </row>
    <row r="1417" spans="1:26">
      <c r="A1417">
        <v>1416</v>
      </c>
      <c r="B1417">
        <v>456</v>
      </c>
      <c r="C1417" s="2">
        <v>46040</v>
      </c>
      <c r="D1417" t="s">
        <v>58</v>
      </c>
      <c r="E1417">
        <v>1</v>
      </c>
      <c r="F1417" s="3">
        <v>11.45</v>
      </c>
      <c r="G1417" t="s">
        <v>36</v>
      </c>
      <c r="H1417">
        <v>65</v>
      </c>
      <c r="I1417" t="s">
        <v>28</v>
      </c>
      <c r="J1417" s="4">
        <v>73.099999999999994</v>
      </c>
      <c r="K1417" s="4">
        <v>260.39999999999998</v>
      </c>
      <c r="L1417" s="4">
        <v>34.1</v>
      </c>
      <c r="M1417">
        <v>14</v>
      </c>
      <c r="N1417" t="s">
        <v>65</v>
      </c>
      <c r="O1417">
        <v>5</v>
      </c>
      <c r="P1417" s="4">
        <v>1795.3</v>
      </c>
      <c r="Q1417" t="s">
        <v>30</v>
      </c>
      <c r="R1417">
        <v>0</v>
      </c>
      <c r="S1417" t="s">
        <v>38</v>
      </c>
      <c r="T1417">
        <v>0</v>
      </c>
      <c r="U1417">
        <v>0</v>
      </c>
      <c r="V1417" t="s">
        <v>32</v>
      </c>
      <c r="W1417" t="s">
        <v>39</v>
      </c>
      <c r="X1417" s="4">
        <v>5.0999999999999996</v>
      </c>
      <c r="Y1417">
        <v>6</v>
      </c>
      <c r="Z1417" s="5">
        <v>82.43</v>
      </c>
    </row>
    <row r="1418" spans="1:26">
      <c r="A1418">
        <v>1417</v>
      </c>
      <c r="B1418">
        <v>456</v>
      </c>
      <c r="C1418" s="2">
        <v>46040</v>
      </c>
      <c r="D1418" t="s">
        <v>58</v>
      </c>
      <c r="E1418">
        <v>1</v>
      </c>
      <c r="F1418" s="3">
        <v>11.37</v>
      </c>
      <c r="G1418" t="s">
        <v>36</v>
      </c>
      <c r="H1418">
        <v>36</v>
      </c>
      <c r="I1418" t="s">
        <v>34</v>
      </c>
      <c r="J1418" s="4">
        <v>66.3</v>
      </c>
      <c r="K1418" s="4">
        <v>174.2</v>
      </c>
      <c r="L1418" s="4">
        <v>27.6</v>
      </c>
      <c r="M1418">
        <v>11</v>
      </c>
      <c r="N1418" t="s">
        <v>65</v>
      </c>
      <c r="O1418">
        <v>5</v>
      </c>
      <c r="P1418" s="4">
        <v>1795.3</v>
      </c>
      <c r="Q1418" t="s">
        <v>30</v>
      </c>
      <c r="R1418">
        <v>0</v>
      </c>
      <c r="S1418" t="s">
        <v>38</v>
      </c>
      <c r="T1418">
        <v>0</v>
      </c>
      <c r="U1418">
        <v>0</v>
      </c>
      <c r="V1418" t="s">
        <v>32</v>
      </c>
      <c r="W1418" t="s">
        <v>39</v>
      </c>
      <c r="X1418" s="4">
        <v>9.5</v>
      </c>
      <c r="Y1418">
        <v>8</v>
      </c>
      <c r="Z1418" s="5">
        <v>285.67</v>
      </c>
    </row>
    <row r="1419" spans="1:26">
      <c r="A1419">
        <v>1418</v>
      </c>
      <c r="B1419">
        <v>456</v>
      </c>
      <c r="C1419" s="2">
        <v>46040</v>
      </c>
      <c r="D1419" t="s">
        <v>58</v>
      </c>
      <c r="E1419">
        <v>1</v>
      </c>
      <c r="F1419" s="3">
        <v>11.59</v>
      </c>
      <c r="G1419" t="s">
        <v>36</v>
      </c>
      <c r="H1419">
        <v>75</v>
      </c>
      <c r="I1419" t="s">
        <v>28</v>
      </c>
      <c r="J1419" s="4">
        <v>68.5</v>
      </c>
      <c r="K1419" s="4">
        <v>194.1</v>
      </c>
      <c r="L1419" s="4">
        <v>29</v>
      </c>
      <c r="M1419">
        <v>15</v>
      </c>
      <c r="N1419" t="s">
        <v>65</v>
      </c>
      <c r="O1419">
        <v>5</v>
      </c>
      <c r="P1419" s="4">
        <v>1795.3</v>
      </c>
      <c r="Q1419" t="s">
        <v>30</v>
      </c>
      <c r="R1419">
        <v>0</v>
      </c>
      <c r="S1419" t="s">
        <v>38</v>
      </c>
      <c r="T1419">
        <v>0</v>
      </c>
      <c r="U1419">
        <v>0</v>
      </c>
      <c r="V1419" t="s">
        <v>32</v>
      </c>
      <c r="W1419" t="s">
        <v>39</v>
      </c>
      <c r="X1419" s="4">
        <v>9</v>
      </c>
      <c r="Y1419">
        <v>6</v>
      </c>
      <c r="Z1419" s="5">
        <v>196.75</v>
      </c>
    </row>
    <row r="1420" spans="1:26">
      <c r="A1420">
        <v>1419</v>
      </c>
      <c r="B1420">
        <v>456</v>
      </c>
      <c r="C1420" s="2">
        <v>46040</v>
      </c>
      <c r="D1420" t="s">
        <v>58</v>
      </c>
      <c r="E1420">
        <v>1</v>
      </c>
      <c r="F1420" s="3">
        <v>11.2</v>
      </c>
      <c r="G1420" t="s">
        <v>36</v>
      </c>
      <c r="H1420">
        <v>65</v>
      </c>
      <c r="I1420" t="s">
        <v>28</v>
      </c>
      <c r="J1420" s="4">
        <v>69.099999999999994</v>
      </c>
      <c r="K1420" s="4">
        <v>172.3</v>
      </c>
      <c r="L1420" s="4">
        <v>25.6</v>
      </c>
      <c r="M1420">
        <v>14</v>
      </c>
      <c r="N1420" t="s">
        <v>65</v>
      </c>
      <c r="O1420">
        <v>5</v>
      </c>
      <c r="P1420" s="4">
        <v>1795.3</v>
      </c>
      <c r="Q1420" t="s">
        <v>30</v>
      </c>
      <c r="R1420">
        <v>0</v>
      </c>
      <c r="S1420" t="s">
        <v>38</v>
      </c>
      <c r="T1420">
        <v>0</v>
      </c>
      <c r="U1420">
        <v>0</v>
      </c>
      <c r="V1420" t="s">
        <v>32</v>
      </c>
      <c r="W1420" t="s">
        <v>39</v>
      </c>
      <c r="X1420" s="4">
        <v>8.5</v>
      </c>
      <c r="Y1420">
        <v>9</v>
      </c>
      <c r="Z1420" s="5">
        <v>248.04</v>
      </c>
    </row>
    <row r="1421" spans="1:26">
      <c r="A1421">
        <v>1420</v>
      </c>
      <c r="B1421">
        <v>456</v>
      </c>
      <c r="C1421" s="2">
        <v>46040</v>
      </c>
      <c r="D1421" t="s">
        <v>58</v>
      </c>
      <c r="E1421">
        <v>1</v>
      </c>
      <c r="F1421" s="3">
        <v>11.49</v>
      </c>
      <c r="G1421" t="s">
        <v>36</v>
      </c>
      <c r="H1421">
        <v>7</v>
      </c>
      <c r="I1421" t="s">
        <v>34</v>
      </c>
      <c r="J1421" s="4">
        <v>59.4</v>
      </c>
      <c r="K1421" s="4">
        <v>94.4</v>
      </c>
      <c r="L1421" s="4">
        <v>18.600000000000001</v>
      </c>
      <c r="M1421">
        <v>12</v>
      </c>
      <c r="N1421" t="s">
        <v>65</v>
      </c>
      <c r="O1421">
        <v>5</v>
      </c>
      <c r="P1421" s="4">
        <v>1795.3</v>
      </c>
      <c r="Q1421" t="s">
        <v>30</v>
      </c>
      <c r="R1421">
        <v>0</v>
      </c>
      <c r="S1421" t="s">
        <v>38</v>
      </c>
      <c r="T1421">
        <v>0</v>
      </c>
      <c r="U1421">
        <v>0</v>
      </c>
      <c r="V1421" t="s">
        <v>32</v>
      </c>
      <c r="W1421" t="s">
        <v>39</v>
      </c>
      <c r="X1421" s="4">
        <v>7.7</v>
      </c>
      <c r="Y1421">
        <v>4</v>
      </c>
      <c r="Z1421" s="5">
        <v>131.94</v>
      </c>
    </row>
    <row r="1422" spans="1:26">
      <c r="A1422">
        <v>1421</v>
      </c>
      <c r="B1422">
        <v>457</v>
      </c>
      <c r="C1422" s="2">
        <v>46216</v>
      </c>
      <c r="D1422" t="s">
        <v>46</v>
      </c>
      <c r="E1422">
        <v>7</v>
      </c>
      <c r="F1422" s="3">
        <v>9.66</v>
      </c>
      <c r="G1422" t="s">
        <v>27</v>
      </c>
      <c r="H1422">
        <v>51</v>
      </c>
      <c r="I1422" t="s">
        <v>34</v>
      </c>
      <c r="J1422" s="4">
        <v>68.900000000000006</v>
      </c>
      <c r="K1422" s="4">
        <v>179.5</v>
      </c>
      <c r="L1422" s="4">
        <v>26.5</v>
      </c>
      <c r="M1422">
        <v>18</v>
      </c>
      <c r="N1422" t="s">
        <v>41</v>
      </c>
      <c r="O1422">
        <v>2</v>
      </c>
      <c r="P1422" s="4">
        <v>1383</v>
      </c>
      <c r="Q1422" t="s">
        <v>42</v>
      </c>
      <c r="R1422">
        <v>0</v>
      </c>
      <c r="S1422" t="s">
        <v>44</v>
      </c>
      <c r="T1422">
        <v>1</v>
      </c>
      <c r="U1422">
        <v>0</v>
      </c>
      <c r="V1422" t="s">
        <v>32</v>
      </c>
      <c r="W1422" t="s">
        <v>39</v>
      </c>
      <c r="X1422" s="4">
        <v>8.9</v>
      </c>
      <c r="Y1422">
        <v>9</v>
      </c>
      <c r="Z1422" s="5">
        <v>164.42</v>
      </c>
    </row>
    <row r="1423" spans="1:26">
      <c r="A1423">
        <v>1422</v>
      </c>
      <c r="B1423">
        <v>457</v>
      </c>
      <c r="C1423" s="2">
        <v>46216</v>
      </c>
      <c r="D1423" t="s">
        <v>46</v>
      </c>
      <c r="E1423">
        <v>7</v>
      </c>
      <c r="F1423" s="3">
        <v>9.69</v>
      </c>
      <c r="G1423" t="s">
        <v>27</v>
      </c>
      <c r="H1423">
        <v>50</v>
      </c>
      <c r="I1423" t="s">
        <v>34</v>
      </c>
      <c r="J1423" s="4">
        <v>66.7</v>
      </c>
      <c r="K1423" s="4">
        <v>189.5</v>
      </c>
      <c r="L1423" s="4">
        <v>30.1</v>
      </c>
      <c r="M1423">
        <v>15</v>
      </c>
      <c r="N1423" t="s">
        <v>41</v>
      </c>
      <c r="O1423">
        <v>2</v>
      </c>
      <c r="P1423" s="4">
        <v>1383</v>
      </c>
      <c r="Q1423" t="s">
        <v>42</v>
      </c>
      <c r="R1423">
        <v>0</v>
      </c>
      <c r="S1423" t="s">
        <v>44</v>
      </c>
      <c r="T1423">
        <v>1</v>
      </c>
      <c r="U1423">
        <v>0</v>
      </c>
      <c r="V1423" t="s">
        <v>32</v>
      </c>
      <c r="W1423" t="s">
        <v>39</v>
      </c>
      <c r="X1423" s="4">
        <v>7.9</v>
      </c>
      <c r="Y1423">
        <v>14</v>
      </c>
      <c r="Z1423" s="5">
        <v>212.98</v>
      </c>
    </row>
    <row r="1424" spans="1:26">
      <c r="A1424">
        <v>1423</v>
      </c>
      <c r="B1424">
        <v>458</v>
      </c>
      <c r="C1424" s="2">
        <v>46303</v>
      </c>
      <c r="D1424" t="s">
        <v>55</v>
      </c>
      <c r="E1424">
        <v>10</v>
      </c>
      <c r="F1424" s="3">
        <v>9.83</v>
      </c>
      <c r="G1424" t="s">
        <v>27</v>
      </c>
      <c r="H1424">
        <v>31</v>
      </c>
      <c r="I1424" t="s">
        <v>34</v>
      </c>
      <c r="J1424" s="4">
        <v>62.4</v>
      </c>
      <c r="K1424" s="4">
        <v>121.3</v>
      </c>
      <c r="L1424" s="4">
        <v>22.1</v>
      </c>
      <c r="M1424">
        <v>15</v>
      </c>
      <c r="N1424" t="s">
        <v>47</v>
      </c>
      <c r="O1424">
        <v>2</v>
      </c>
      <c r="P1424" s="4">
        <v>14.6</v>
      </c>
      <c r="Q1424" t="s">
        <v>42</v>
      </c>
      <c r="R1424">
        <v>0</v>
      </c>
      <c r="S1424" t="s">
        <v>44</v>
      </c>
      <c r="T1424">
        <v>0</v>
      </c>
      <c r="U1424">
        <v>0</v>
      </c>
      <c r="V1424" t="s">
        <v>64</v>
      </c>
      <c r="W1424" t="s">
        <v>57</v>
      </c>
      <c r="X1424" s="4">
        <v>7.6</v>
      </c>
      <c r="Y1424">
        <v>10</v>
      </c>
      <c r="Z1424" s="5">
        <v>327</v>
      </c>
    </row>
    <row r="1425" spans="1:26">
      <c r="A1425">
        <v>1424</v>
      </c>
      <c r="B1425">
        <v>458</v>
      </c>
      <c r="C1425" s="2">
        <v>46303</v>
      </c>
      <c r="D1425" t="s">
        <v>55</v>
      </c>
      <c r="E1425">
        <v>10</v>
      </c>
      <c r="F1425" s="3">
        <v>9.89</v>
      </c>
      <c r="G1425" t="s">
        <v>27</v>
      </c>
      <c r="H1425">
        <v>5</v>
      </c>
      <c r="I1425" t="s">
        <v>34</v>
      </c>
      <c r="J1425" s="4">
        <v>54.9</v>
      </c>
      <c r="K1425" s="4">
        <v>72.900000000000006</v>
      </c>
      <c r="L1425" s="4">
        <v>16.8</v>
      </c>
      <c r="M1425">
        <v>12</v>
      </c>
      <c r="N1425" t="s">
        <v>47</v>
      </c>
      <c r="O1425">
        <v>2</v>
      </c>
      <c r="P1425" s="4">
        <v>14.6</v>
      </c>
      <c r="Q1425" t="s">
        <v>42</v>
      </c>
      <c r="R1425">
        <v>0</v>
      </c>
      <c r="S1425" t="s">
        <v>44</v>
      </c>
      <c r="T1425">
        <v>0</v>
      </c>
      <c r="U1425">
        <v>0</v>
      </c>
      <c r="V1425" t="s">
        <v>64</v>
      </c>
      <c r="W1425" t="s">
        <v>57</v>
      </c>
      <c r="X1425" s="4">
        <v>6.7</v>
      </c>
      <c r="Y1425">
        <v>3</v>
      </c>
      <c r="Z1425" s="5">
        <v>136.27000000000001</v>
      </c>
    </row>
    <row r="1426" spans="1:26">
      <c r="A1426">
        <v>1425</v>
      </c>
      <c r="B1426">
        <v>459</v>
      </c>
      <c r="C1426" s="2">
        <v>46359</v>
      </c>
      <c r="D1426" t="s">
        <v>55</v>
      </c>
      <c r="E1426">
        <v>12</v>
      </c>
      <c r="F1426" s="3">
        <v>10.94</v>
      </c>
      <c r="G1426" t="s">
        <v>27</v>
      </c>
      <c r="H1426">
        <v>35</v>
      </c>
      <c r="I1426" t="s">
        <v>34</v>
      </c>
      <c r="J1426" s="4">
        <v>60.8</v>
      </c>
      <c r="K1426" s="4">
        <v>156.9</v>
      </c>
      <c r="L1426" s="4">
        <v>30</v>
      </c>
      <c r="M1426">
        <v>17</v>
      </c>
      <c r="N1426" t="s">
        <v>66</v>
      </c>
      <c r="O1426">
        <v>2</v>
      </c>
      <c r="P1426" s="4">
        <v>505.1</v>
      </c>
      <c r="Q1426" t="s">
        <v>48</v>
      </c>
      <c r="R1426">
        <v>0</v>
      </c>
      <c r="S1426" t="s">
        <v>44</v>
      </c>
      <c r="T1426">
        <v>0</v>
      </c>
      <c r="U1426">
        <v>0</v>
      </c>
      <c r="V1426" t="s">
        <v>32</v>
      </c>
      <c r="W1426" t="s">
        <v>49</v>
      </c>
      <c r="X1426" s="4">
        <v>9.6</v>
      </c>
      <c r="Y1426">
        <v>10</v>
      </c>
      <c r="Z1426" s="5">
        <v>367.19</v>
      </c>
    </row>
    <row r="1427" spans="1:26">
      <c r="A1427">
        <v>1426</v>
      </c>
      <c r="B1427">
        <v>459</v>
      </c>
      <c r="C1427" s="2">
        <v>46359</v>
      </c>
      <c r="D1427" t="s">
        <v>55</v>
      </c>
      <c r="E1427">
        <v>12</v>
      </c>
      <c r="F1427" s="3">
        <v>10.86</v>
      </c>
      <c r="G1427" t="s">
        <v>27</v>
      </c>
      <c r="H1427">
        <v>18</v>
      </c>
      <c r="I1427" t="s">
        <v>28</v>
      </c>
      <c r="J1427" s="4">
        <v>70.099999999999994</v>
      </c>
      <c r="K1427" s="4">
        <v>200.6</v>
      </c>
      <c r="L1427" s="4">
        <v>28.6</v>
      </c>
      <c r="M1427">
        <v>14</v>
      </c>
      <c r="N1427" t="s">
        <v>66</v>
      </c>
      <c r="O1427">
        <v>2</v>
      </c>
      <c r="P1427" s="4">
        <v>505.1</v>
      </c>
      <c r="Q1427" t="s">
        <v>48</v>
      </c>
      <c r="R1427">
        <v>0</v>
      </c>
      <c r="S1427" t="s">
        <v>44</v>
      </c>
      <c r="T1427">
        <v>0</v>
      </c>
      <c r="U1427">
        <v>0</v>
      </c>
      <c r="V1427" t="s">
        <v>32</v>
      </c>
      <c r="W1427" t="s">
        <v>49</v>
      </c>
      <c r="X1427" s="4">
        <v>6.6</v>
      </c>
      <c r="Y1427">
        <v>11</v>
      </c>
      <c r="Z1427" s="5">
        <v>236.77</v>
      </c>
    </row>
    <row r="1428" spans="1:26">
      <c r="A1428">
        <v>1427</v>
      </c>
      <c r="B1428">
        <v>460</v>
      </c>
      <c r="C1428" s="2">
        <v>46179</v>
      </c>
      <c r="D1428" t="s">
        <v>40</v>
      </c>
      <c r="E1428">
        <v>6</v>
      </c>
      <c r="F1428" s="3">
        <v>11.72</v>
      </c>
      <c r="G1428" t="s">
        <v>36</v>
      </c>
      <c r="H1428">
        <v>53</v>
      </c>
      <c r="I1428" t="s">
        <v>34</v>
      </c>
      <c r="J1428" s="4">
        <v>65.8</v>
      </c>
      <c r="K1428" s="4">
        <v>208.3</v>
      </c>
      <c r="L1428" s="4">
        <v>33.9</v>
      </c>
      <c r="M1428">
        <v>16</v>
      </c>
      <c r="N1428" t="s">
        <v>60</v>
      </c>
      <c r="O1428">
        <v>4</v>
      </c>
      <c r="P1428" s="4">
        <v>1789.5</v>
      </c>
      <c r="Q1428" t="s">
        <v>42</v>
      </c>
      <c r="R1428">
        <v>1</v>
      </c>
      <c r="S1428" t="s">
        <v>44</v>
      </c>
      <c r="T1428">
        <v>1</v>
      </c>
      <c r="U1428">
        <v>0</v>
      </c>
      <c r="V1428" t="s">
        <v>32</v>
      </c>
      <c r="W1428" t="s">
        <v>43</v>
      </c>
      <c r="X1428" s="4">
        <v>11.1</v>
      </c>
      <c r="Y1428">
        <v>10</v>
      </c>
      <c r="Z1428" s="5">
        <v>283.60000000000002</v>
      </c>
    </row>
    <row r="1429" spans="1:26">
      <c r="A1429">
        <v>1428</v>
      </c>
      <c r="B1429">
        <v>460</v>
      </c>
      <c r="C1429" s="2">
        <v>46179</v>
      </c>
      <c r="D1429" t="s">
        <v>40</v>
      </c>
      <c r="E1429">
        <v>6</v>
      </c>
      <c r="F1429" s="3">
        <v>11.54</v>
      </c>
      <c r="G1429" t="s">
        <v>36</v>
      </c>
      <c r="H1429">
        <v>41</v>
      </c>
      <c r="I1429" t="s">
        <v>28</v>
      </c>
      <c r="J1429" s="4">
        <v>73.099999999999994</v>
      </c>
      <c r="K1429" s="4">
        <v>228.2</v>
      </c>
      <c r="L1429" s="4">
        <v>30.1</v>
      </c>
      <c r="M1429">
        <v>18</v>
      </c>
      <c r="N1429" t="s">
        <v>60</v>
      </c>
      <c r="O1429">
        <v>4</v>
      </c>
      <c r="P1429" s="4">
        <v>1789.5</v>
      </c>
      <c r="Q1429" t="s">
        <v>42</v>
      </c>
      <c r="R1429">
        <v>1</v>
      </c>
      <c r="S1429" t="s">
        <v>44</v>
      </c>
      <c r="T1429">
        <v>1</v>
      </c>
      <c r="U1429">
        <v>0</v>
      </c>
      <c r="V1429" t="s">
        <v>32</v>
      </c>
      <c r="W1429" t="s">
        <v>43</v>
      </c>
      <c r="X1429" s="4">
        <v>8.1</v>
      </c>
      <c r="Y1429">
        <v>12</v>
      </c>
      <c r="Z1429" s="5">
        <v>128.56</v>
      </c>
    </row>
    <row r="1430" spans="1:26">
      <c r="A1430">
        <v>1429</v>
      </c>
      <c r="B1430">
        <v>460</v>
      </c>
      <c r="C1430" s="2">
        <v>46179</v>
      </c>
      <c r="D1430" t="s">
        <v>40</v>
      </c>
      <c r="E1430">
        <v>6</v>
      </c>
      <c r="F1430" s="3">
        <v>11.67</v>
      </c>
      <c r="G1430" t="s">
        <v>36</v>
      </c>
      <c r="H1430">
        <v>24</v>
      </c>
      <c r="I1430" t="s">
        <v>28</v>
      </c>
      <c r="J1430" s="4">
        <v>73.900000000000006</v>
      </c>
      <c r="K1430" s="4">
        <v>224.2</v>
      </c>
      <c r="L1430" s="4">
        <v>29</v>
      </c>
      <c r="M1430">
        <v>15</v>
      </c>
      <c r="N1430" t="s">
        <v>60</v>
      </c>
      <c r="O1430">
        <v>4</v>
      </c>
      <c r="P1430" s="4">
        <v>1789.5</v>
      </c>
      <c r="Q1430" t="s">
        <v>42</v>
      </c>
      <c r="R1430">
        <v>1</v>
      </c>
      <c r="S1430" t="s">
        <v>44</v>
      </c>
      <c r="T1430">
        <v>1</v>
      </c>
      <c r="U1430">
        <v>0</v>
      </c>
      <c r="V1430" t="s">
        <v>32</v>
      </c>
      <c r="W1430" t="s">
        <v>43</v>
      </c>
      <c r="X1430" s="4">
        <v>9.1999999999999993</v>
      </c>
      <c r="Y1430">
        <v>14</v>
      </c>
      <c r="Z1430" s="5">
        <v>221.16</v>
      </c>
    </row>
    <row r="1431" spans="1:26">
      <c r="A1431">
        <v>1430</v>
      </c>
      <c r="B1431">
        <v>460</v>
      </c>
      <c r="C1431" s="2">
        <v>46179</v>
      </c>
      <c r="D1431" t="s">
        <v>40</v>
      </c>
      <c r="E1431">
        <v>6</v>
      </c>
      <c r="F1431" s="3">
        <v>11.95</v>
      </c>
      <c r="G1431" t="s">
        <v>36</v>
      </c>
      <c r="H1431">
        <v>44</v>
      </c>
      <c r="I1431" t="s">
        <v>28</v>
      </c>
      <c r="J1431" s="4">
        <v>71.099999999999994</v>
      </c>
      <c r="K1431" s="4">
        <v>183.7</v>
      </c>
      <c r="L1431" s="4">
        <v>25.6</v>
      </c>
      <c r="M1431">
        <v>15</v>
      </c>
      <c r="N1431" t="s">
        <v>60</v>
      </c>
      <c r="O1431">
        <v>4</v>
      </c>
      <c r="P1431" s="4">
        <v>1789.5</v>
      </c>
      <c r="Q1431" t="s">
        <v>42</v>
      </c>
      <c r="R1431">
        <v>1</v>
      </c>
      <c r="S1431" t="s">
        <v>44</v>
      </c>
      <c r="T1431">
        <v>1</v>
      </c>
      <c r="U1431">
        <v>0</v>
      </c>
      <c r="V1431" t="s">
        <v>32</v>
      </c>
      <c r="W1431" t="s">
        <v>43</v>
      </c>
      <c r="X1431" s="4">
        <v>9.6</v>
      </c>
      <c r="Y1431">
        <v>10</v>
      </c>
      <c r="Z1431" s="5">
        <v>252.13</v>
      </c>
    </row>
    <row r="1432" spans="1:26">
      <c r="A1432">
        <v>1431</v>
      </c>
      <c r="B1432">
        <v>461</v>
      </c>
      <c r="C1432" s="2">
        <v>46163</v>
      </c>
      <c r="D1432" t="s">
        <v>55</v>
      </c>
      <c r="E1432">
        <v>5</v>
      </c>
      <c r="F1432" s="3">
        <v>13.85</v>
      </c>
      <c r="G1432" t="s">
        <v>36</v>
      </c>
      <c r="H1432">
        <v>53</v>
      </c>
      <c r="I1432" t="s">
        <v>34</v>
      </c>
      <c r="J1432" s="4">
        <v>63.2</v>
      </c>
      <c r="K1432" s="4">
        <v>154.19999999999999</v>
      </c>
      <c r="L1432" s="4">
        <v>27.5</v>
      </c>
      <c r="M1432">
        <v>15</v>
      </c>
      <c r="N1432" t="s">
        <v>47</v>
      </c>
      <c r="O1432">
        <v>1</v>
      </c>
      <c r="P1432" s="4">
        <v>102.2</v>
      </c>
      <c r="Q1432" t="s">
        <v>42</v>
      </c>
      <c r="R1432">
        <v>0</v>
      </c>
      <c r="S1432" t="s">
        <v>31</v>
      </c>
      <c r="T1432">
        <v>0</v>
      </c>
      <c r="U1432">
        <v>0</v>
      </c>
      <c r="V1432" t="s">
        <v>32</v>
      </c>
      <c r="W1432" t="s">
        <v>39</v>
      </c>
      <c r="X1432" s="4">
        <v>7.8</v>
      </c>
      <c r="Y1432">
        <v>3</v>
      </c>
      <c r="Z1432" s="5">
        <v>230.74</v>
      </c>
    </row>
    <row r="1433" spans="1:26">
      <c r="A1433">
        <v>1432</v>
      </c>
      <c r="B1433">
        <v>462</v>
      </c>
      <c r="C1433" s="2">
        <v>46317</v>
      </c>
      <c r="D1433" t="s">
        <v>55</v>
      </c>
      <c r="E1433">
        <v>10</v>
      </c>
      <c r="F1433" s="3">
        <v>10.26</v>
      </c>
      <c r="G1433" t="s">
        <v>27</v>
      </c>
      <c r="H1433">
        <v>55</v>
      </c>
      <c r="I1433" t="s">
        <v>28</v>
      </c>
      <c r="J1433" s="4">
        <v>70</v>
      </c>
      <c r="K1433" s="4">
        <v>188.3</v>
      </c>
      <c r="L1433" s="4">
        <v>27.3</v>
      </c>
      <c r="M1433">
        <v>17</v>
      </c>
      <c r="N1433" t="s">
        <v>47</v>
      </c>
      <c r="O1433">
        <v>2</v>
      </c>
      <c r="P1433" s="4">
        <v>116.9</v>
      </c>
      <c r="Q1433" t="s">
        <v>42</v>
      </c>
      <c r="R1433">
        <v>0</v>
      </c>
      <c r="S1433" t="s">
        <v>44</v>
      </c>
      <c r="T1433">
        <v>0</v>
      </c>
      <c r="U1433">
        <v>0</v>
      </c>
      <c r="V1433" t="s">
        <v>32</v>
      </c>
      <c r="W1433" t="s">
        <v>39</v>
      </c>
      <c r="X1433" s="4">
        <v>4.3</v>
      </c>
      <c r="Y1433">
        <v>5</v>
      </c>
      <c r="Z1433" s="5">
        <v>107.85</v>
      </c>
    </row>
    <row r="1434" spans="1:26">
      <c r="A1434">
        <v>1433</v>
      </c>
      <c r="B1434">
        <v>462</v>
      </c>
      <c r="C1434" s="2">
        <v>46317</v>
      </c>
      <c r="D1434" t="s">
        <v>55</v>
      </c>
      <c r="E1434">
        <v>10</v>
      </c>
      <c r="F1434" s="3">
        <v>10.4</v>
      </c>
      <c r="G1434" t="s">
        <v>27</v>
      </c>
      <c r="H1434">
        <v>42</v>
      </c>
      <c r="I1434" t="s">
        <v>34</v>
      </c>
      <c r="J1434" s="4">
        <v>64.8</v>
      </c>
      <c r="K1434" s="4">
        <v>110.2</v>
      </c>
      <c r="L1434" s="4">
        <v>18.399999999999999</v>
      </c>
      <c r="M1434">
        <v>14</v>
      </c>
      <c r="N1434" t="s">
        <v>47</v>
      </c>
      <c r="O1434">
        <v>2</v>
      </c>
      <c r="P1434" s="4">
        <v>116.9</v>
      </c>
      <c r="Q1434" t="s">
        <v>42</v>
      </c>
      <c r="R1434">
        <v>0</v>
      </c>
      <c r="S1434" t="s">
        <v>44</v>
      </c>
      <c r="T1434">
        <v>0</v>
      </c>
      <c r="U1434">
        <v>0</v>
      </c>
      <c r="V1434" t="s">
        <v>32</v>
      </c>
      <c r="W1434" t="s">
        <v>39</v>
      </c>
      <c r="X1434" s="4">
        <v>8.5</v>
      </c>
      <c r="Y1434">
        <v>8</v>
      </c>
      <c r="Z1434" s="5">
        <v>202.17</v>
      </c>
    </row>
    <row r="1435" spans="1:26">
      <c r="A1435">
        <v>1434</v>
      </c>
      <c r="B1435">
        <v>463</v>
      </c>
      <c r="C1435" s="2">
        <v>46023</v>
      </c>
      <c r="D1435" t="s">
        <v>55</v>
      </c>
      <c r="E1435">
        <v>1</v>
      </c>
      <c r="F1435" s="3">
        <v>12.17</v>
      </c>
      <c r="G1435" t="s">
        <v>36</v>
      </c>
      <c r="H1435">
        <v>18</v>
      </c>
      <c r="I1435" t="s">
        <v>34</v>
      </c>
      <c r="J1435" s="4">
        <v>61.1</v>
      </c>
      <c r="K1435" s="4">
        <v>117</v>
      </c>
      <c r="L1435" s="4">
        <v>22.2</v>
      </c>
      <c r="M1435">
        <v>13</v>
      </c>
      <c r="N1435" t="s">
        <v>59</v>
      </c>
      <c r="O1435">
        <v>6</v>
      </c>
      <c r="P1435" s="4">
        <v>1050.9000000000001</v>
      </c>
      <c r="Q1435" t="s">
        <v>42</v>
      </c>
      <c r="R1435">
        <v>1</v>
      </c>
      <c r="S1435" t="s">
        <v>44</v>
      </c>
      <c r="T1435">
        <v>0</v>
      </c>
      <c r="U1435">
        <v>1</v>
      </c>
      <c r="V1435" t="s">
        <v>32</v>
      </c>
      <c r="W1435" t="s">
        <v>43</v>
      </c>
      <c r="X1435" s="4">
        <v>8.6999999999999993</v>
      </c>
      <c r="Y1435">
        <v>11</v>
      </c>
      <c r="Z1435" s="5">
        <v>309.14999999999998</v>
      </c>
    </row>
    <row r="1436" spans="1:26">
      <c r="A1436">
        <v>1435</v>
      </c>
      <c r="B1436">
        <v>463</v>
      </c>
      <c r="C1436" s="2">
        <v>46023</v>
      </c>
      <c r="D1436" t="s">
        <v>55</v>
      </c>
      <c r="E1436">
        <v>1</v>
      </c>
      <c r="F1436" s="3">
        <v>12.06</v>
      </c>
      <c r="G1436" t="s">
        <v>36</v>
      </c>
      <c r="H1436">
        <v>54</v>
      </c>
      <c r="I1436" t="s">
        <v>28</v>
      </c>
      <c r="J1436" s="4">
        <v>69.3</v>
      </c>
      <c r="K1436" s="4">
        <v>173.4</v>
      </c>
      <c r="L1436" s="4">
        <v>25.5</v>
      </c>
      <c r="M1436">
        <v>18</v>
      </c>
      <c r="N1436" t="s">
        <v>59</v>
      </c>
      <c r="O1436">
        <v>6</v>
      </c>
      <c r="P1436" s="4">
        <v>1050.9000000000001</v>
      </c>
      <c r="Q1436" t="s">
        <v>42</v>
      </c>
      <c r="R1436">
        <v>1</v>
      </c>
      <c r="S1436" t="s">
        <v>44</v>
      </c>
      <c r="T1436">
        <v>0</v>
      </c>
      <c r="U1436">
        <v>1</v>
      </c>
      <c r="V1436" t="s">
        <v>32</v>
      </c>
      <c r="W1436" t="s">
        <v>43</v>
      </c>
      <c r="X1436" s="4">
        <v>9</v>
      </c>
      <c r="Y1436">
        <v>9</v>
      </c>
      <c r="Z1436" s="5">
        <v>406.31</v>
      </c>
    </row>
    <row r="1437" spans="1:26">
      <c r="A1437">
        <v>1436</v>
      </c>
      <c r="B1437">
        <v>463</v>
      </c>
      <c r="C1437" s="2">
        <v>46023</v>
      </c>
      <c r="D1437" t="s">
        <v>55</v>
      </c>
      <c r="E1437">
        <v>1</v>
      </c>
      <c r="F1437" s="3">
        <v>12.22</v>
      </c>
      <c r="G1437" t="s">
        <v>36</v>
      </c>
      <c r="H1437">
        <v>18</v>
      </c>
      <c r="I1437" t="s">
        <v>28</v>
      </c>
      <c r="J1437" s="4">
        <v>64.900000000000006</v>
      </c>
      <c r="K1437" s="4">
        <v>138.4</v>
      </c>
      <c r="L1437" s="4">
        <v>22.9</v>
      </c>
      <c r="M1437">
        <v>13</v>
      </c>
      <c r="N1437" t="s">
        <v>59</v>
      </c>
      <c r="O1437">
        <v>6</v>
      </c>
      <c r="P1437" s="4">
        <v>1050.9000000000001</v>
      </c>
      <c r="Q1437" t="s">
        <v>42</v>
      </c>
      <c r="R1437">
        <v>1</v>
      </c>
      <c r="S1437" t="s">
        <v>44</v>
      </c>
      <c r="T1437">
        <v>0</v>
      </c>
      <c r="U1437">
        <v>1</v>
      </c>
      <c r="V1437" t="s">
        <v>32</v>
      </c>
      <c r="W1437" t="s">
        <v>43</v>
      </c>
      <c r="X1437" s="4">
        <v>10.5</v>
      </c>
      <c r="Y1437">
        <v>17</v>
      </c>
      <c r="Z1437" s="5">
        <v>376.91</v>
      </c>
    </row>
    <row r="1438" spans="1:26">
      <c r="A1438">
        <v>1437</v>
      </c>
      <c r="B1438">
        <v>463</v>
      </c>
      <c r="C1438" s="2">
        <v>46023</v>
      </c>
      <c r="D1438" t="s">
        <v>55</v>
      </c>
      <c r="E1438">
        <v>1</v>
      </c>
      <c r="F1438" s="3">
        <v>12.39</v>
      </c>
      <c r="G1438" t="s">
        <v>36</v>
      </c>
      <c r="H1438">
        <v>26</v>
      </c>
      <c r="I1438" t="s">
        <v>34</v>
      </c>
      <c r="J1438" s="4">
        <v>63.1</v>
      </c>
      <c r="K1438" s="4">
        <v>167.2</v>
      </c>
      <c r="L1438" s="4">
        <v>29.7</v>
      </c>
      <c r="M1438">
        <v>13</v>
      </c>
      <c r="N1438" t="s">
        <v>59</v>
      </c>
      <c r="O1438">
        <v>6</v>
      </c>
      <c r="P1438" s="4">
        <v>1050.9000000000001</v>
      </c>
      <c r="Q1438" t="s">
        <v>42</v>
      </c>
      <c r="R1438">
        <v>1</v>
      </c>
      <c r="S1438" t="s">
        <v>44</v>
      </c>
      <c r="T1438">
        <v>0</v>
      </c>
      <c r="U1438">
        <v>1</v>
      </c>
      <c r="V1438" t="s">
        <v>32</v>
      </c>
      <c r="W1438" t="s">
        <v>43</v>
      </c>
      <c r="X1438" s="4">
        <v>9.1999999999999993</v>
      </c>
      <c r="Y1438">
        <v>5</v>
      </c>
      <c r="Z1438" s="5">
        <v>224.73</v>
      </c>
    </row>
    <row r="1439" spans="1:26">
      <c r="A1439">
        <v>1438</v>
      </c>
      <c r="B1439">
        <v>463</v>
      </c>
      <c r="C1439" s="2">
        <v>46023</v>
      </c>
      <c r="D1439" t="s">
        <v>55</v>
      </c>
      <c r="E1439">
        <v>1</v>
      </c>
      <c r="F1439" s="3">
        <v>12.4</v>
      </c>
      <c r="G1439" t="s">
        <v>36</v>
      </c>
      <c r="H1439">
        <v>43</v>
      </c>
      <c r="I1439" t="s">
        <v>34</v>
      </c>
      <c r="J1439" s="4">
        <v>69.5</v>
      </c>
      <c r="K1439" s="4">
        <v>159.80000000000001</v>
      </c>
      <c r="L1439" s="4">
        <v>23.2</v>
      </c>
      <c r="M1439">
        <v>16</v>
      </c>
      <c r="N1439" t="s">
        <v>59</v>
      </c>
      <c r="O1439">
        <v>6</v>
      </c>
      <c r="P1439" s="4">
        <v>1050.9000000000001</v>
      </c>
      <c r="Q1439" t="s">
        <v>42</v>
      </c>
      <c r="R1439">
        <v>1</v>
      </c>
      <c r="S1439" t="s">
        <v>44</v>
      </c>
      <c r="T1439">
        <v>0</v>
      </c>
      <c r="U1439">
        <v>1</v>
      </c>
      <c r="V1439" t="s">
        <v>32</v>
      </c>
      <c r="W1439" t="s">
        <v>43</v>
      </c>
      <c r="X1439" s="4">
        <v>8.1999999999999993</v>
      </c>
      <c r="Y1439">
        <v>7</v>
      </c>
      <c r="Z1439" s="5">
        <v>218.88</v>
      </c>
    </row>
    <row r="1440" spans="1:26">
      <c r="A1440">
        <v>1439</v>
      </c>
      <c r="B1440">
        <v>463</v>
      </c>
      <c r="C1440" s="2">
        <v>46023</v>
      </c>
      <c r="D1440" t="s">
        <v>55</v>
      </c>
      <c r="E1440">
        <v>1</v>
      </c>
      <c r="F1440" s="3">
        <v>12.2</v>
      </c>
      <c r="G1440" t="s">
        <v>36</v>
      </c>
      <c r="H1440">
        <v>36</v>
      </c>
      <c r="I1440" t="s">
        <v>28</v>
      </c>
      <c r="J1440" s="4">
        <v>66.900000000000006</v>
      </c>
      <c r="K1440" s="4">
        <v>150.80000000000001</v>
      </c>
      <c r="L1440" s="4">
        <v>23.7</v>
      </c>
      <c r="M1440">
        <v>13</v>
      </c>
      <c r="N1440" t="s">
        <v>59</v>
      </c>
      <c r="O1440">
        <v>6</v>
      </c>
      <c r="P1440" s="4">
        <v>1050.9000000000001</v>
      </c>
      <c r="Q1440" t="s">
        <v>42</v>
      </c>
      <c r="R1440">
        <v>1</v>
      </c>
      <c r="S1440" t="s">
        <v>44</v>
      </c>
      <c r="T1440">
        <v>0</v>
      </c>
      <c r="U1440">
        <v>1</v>
      </c>
      <c r="V1440" t="s">
        <v>32</v>
      </c>
      <c r="W1440" t="s">
        <v>43</v>
      </c>
      <c r="X1440" s="4">
        <v>11</v>
      </c>
      <c r="Y1440">
        <v>3</v>
      </c>
      <c r="Z1440" s="5">
        <v>200.22</v>
      </c>
    </row>
    <row r="1441" spans="1:26">
      <c r="A1441">
        <v>1440</v>
      </c>
      <c r="B1441">
        <v>464</v>
      </c>
      <c r="C1441" s="2">
        <v>46201</v>
      </c>
      <c r="D1441" t="s">
        <v>58</v>
      </c>
      <c r="E1441">
        <v>6</v>
      </c>
      <c r="F1441" s="3">
        <v>8.1999999999999993</v>
      </c>
      <c r="G1441" t="s">
        <v>27</v>
      </c>
      <c r="H1441">
        <v>27</v>
      </c>
      <c r="I1441" t="s">
        <v>34</v>
      </c>
      <c r="J1441" s="4">
        <v>69.3</v>
      </c>
      <c r="K1441" s="4">
        <v>199.4</v>
      </c>
      <c r="L1441" s="4">
        <v>29.3</v>
      </c>
      <c r="M1441">
        <v>9</v>
      </c>
      <c r="N1441" t="s">
        <v>60</v>
      </c>
      <c r="O1441">
        <v>1</v>
      </c>
      <c r="P1441" s="4">
        <v>1946.7</v>
      </c>
      <c r="Q1441" t="s">
        <v>30</v>
      </c>
      <c r="R1441">
        <v>1</v>
      </c>
      <c r="S1441" t="s">
        <v>44</v>
      </c>
      <c r="T1441">
        <v>0</v>
      </c>
      <c r="U1441">
        <v>0</v>
      </c>
      <c r="V1441" t="s">
        <v>32</v>
      </c>
      <c r="W1441" t="s">
        <v>39</v>
      </c>
      <c r="X1441" s="4">
        <v>9.6999999999999993</v>
      </c>
      <c r="Y1441">
        <v>13</v>
      </c>
      <c r="Z1441" s="5">
        <v>332.24</v>
      </c>
    </row>
    <row r="1442" spans="1:26">
      <c r="A1442">
        <v>1441</v>
      </c>
      <c r="B1442">
        <v>465</v>
      </c>
      <c r="C1442" s="2">
        <v>46092</v>
      </c>
      <c r="D1442" t="s">
        <v>52</v>
      </c>
      <c r="E1442">
        <v>3</v>
      </c>
      <c r="F1442" s="3">
        <v>11.11</v>
      </c>
      <c r="G1442" t="s">
        <v>36</v>
      </c>
      <c r="H1442">
        <v>58</v>
      </c>
      <c r="I1442" t="s">
        <v>34</v>
      </c>
      <c r="J1442" s="4">
        <v>59.2</v>
      </c>
      <c r="K1442" s="4">
        <v>128.80000000000001</v>
      </c>
      <c r="L1442" s="4">
        <v>26.2</v>
      </c>
      <c r="M1442">
        <v>18</v>
      </c>
      <c r="N1442" t="s">
        <v>47</v>
      </c>
      <c r="O1442">
        <v>1</v>
      </c>
      <c r="P1442" s="4">
        <v>116.9</v>
      </c>
      <c r="Q1442" t="s">
        <v>48</v>
      </c>
      <c r="R1442">
        <v>0</v>
      </c>
      <c r="S1442" t="s">
        <v>44</v>
      </c>
      <c r="T1442">
        <v>1</v>
      </c>
      <c r="U1442">
        <v>0</v>
      </c>
      <c r="V1442" t="s">
        <v>32</v>
      </c>
      <c r="W1442" t="s">
        <v>57</v>
      </c>
      <c r="X1442" s="4">
        <v>8.9</v>
      </c>
      <c r="Y1442">
        <v>8</v>
      </c>
      <c r="Z1442" s="5">
        <v>330.91</v>
      </c>
    </row>
    <row r="1443" spans="1:26">
      <c r="A1443">
        <v>1442</v>
      </c>
      <c r="B1443">
        <v>466</v>
      </c>
      <c r="C1443" s="2">
        <v>46235</v>
      </c>
      <c r="D1443" t="s">
        <v>40</v>
      </c>
      <c r="E1443">
        <v>8</v>
      </c>
      <c r="F1443" s="3">
        <v>12.37</v>
      </c>
      <c r="G1443" t="s">
        <v>36</v>
      </c>
      <c r="H1443">
        <v>29</v>
      </c>
      <c r="I1443" t="s">
        <v>34</v>
      </c>
      <c r="J1443" s="4">
        <v>69.400000000000006</v>
      </c>
      <c r="K1443" s="4">
        <v>209</v>
      </c>
      <c r="L1443" s="4">
        <v>30.4</v>
      </c>
      <c r="M1443">
        <v>12</v>
      </c>
      <c r="N1443" t="s">
        <v>47</v>
      </c>
      <c r="O1443">
        <v>1</v>
      </c>
      <c r="P1443" s="4">
        <v>125.4</v>
      </c>
      <c r="Q1443" t="s">
        <v>42</v>
      </c>
      <c r="R1443">
        <v>0</v>
      </c>
      <c r="S1443" t="s">
        <v>44</v>
      </c>
      <c r="T1443">
        <v>0</v>
      </c>
      <c r="U1443">
        <v>0</v>
      </c>
      <c r="V1443" t="s">
        <v>32</v>
      </c>
      <c r="W1443" t="s">
        <v>43</v>
      </c>
      <c r="X1443" s="4">
        <v>7</v>
      </c>
      <c r="Y1443">
        <v>11</v>
      </c>
      <c r="Z1443" s="5">
        <v>143.18</v>
      </c>
    </row>
    <row r="1444" spans="1:26">
      <c r="A1444">
        <v>1443</v>
      </c>
      <c r="B1444">
        <v>467</v>
      </c>
      <c r="C1444" s="2">
        <v>46219</v>
      </c>
      <c r="D1444" t="s">
        <v>55</v>
      </c>
      <c r="E1444">
        <v>7</v>
      </c>
      <c r="F1444" s="3">
        <v>8.2200000000000006</v>
      </c>
      <c r="G1444" t="s">
        <v>27</v>
      </c>
      <c r="H1444">
        <v>41</v>
      </c>
      <c r="I1444" t="s">
        <v>51</v>
      </c>
      <c r="J1444" s="4">
        <v>67.7</v>
      </c>
      <c r="K1444" s="4">
        <v>190.3</v>
      </c>
      <c r="L1444" s="4">
        <v>29.2</v>
      </c>
      <c r="M1444">
        <v>14</v>
      </c>
      <c r="N1444" t="s">
        <v>29</v>
      </c>
      <c r="O1444">
        <v>5</v>
      </c>
      <c r="P1444" s="4">
        <v>1847.3</v>
      </c>
      <c r="Q1444" t="s">
        <v>42</v>
      </c>
      <c r="R1444">
        <v>1</v>
      </c>
      <c r="S1444" t="s">
        <v>44</v>
      </c>
      <c r="T1444">
        <v>0</v>
      </c>
      <c r="U1444">
        <v>0</v>
      </c>
      <c r="V1444" t="s">
        <v>32</v>
      </c>
      <c r="W1444" t="s">
        <v>49</v>
      </c>
      <c r="X1444" s="4">
        <v>7.4</v>
      </c>
      <c r="Y1444">
        <v>6</v>
      </c>
      <c r="Z1444" s="5">
        <v>198.45</v>
      </c>
    </row>
    <row r="1445" spans="1:26">
      <c r="A1445">
        <v>1444</v>
      </c>
      <c r="B1445">
        <v>467</v>
      </c>
      <c r="C1445" s="2">
        <v>46219</v>
      </c>
      <c r="D1445" t="s">
        <v>55</v>
      </c>
      <c r="E1445">
        <v>7</v>
      </c>
      <c r="F1445" s="3">
        <v>8.35</v>
      </c>
      <c r="G1445" t="s">
        <v>27</v>
      </c>
      <c r="H1445">
        <v>62</v>
      </c>
      <c r="I1445" t="s">
        <v>28</v>
      </c>
      <c r="J1445" s="4">
        <v>66</v>
      </c>
      <c r="K1445" s="4">
        <v>152.30000000000001</v>
      </c>
      <c r="L1445" s="4">
        <v>24.5</v>
      </c>
      <c r="M1445">
        <v>15</v>
      </c>
      <c r="N1445" t="s">
        <v>29</v>
      </c>
      <c r="O1445">
        <v>5</v>
      </c>
      <c r="P1445" s="4">
        <v>1847.3</v>
      </c>
      <c r="Q1445" t="s">
        <v>42</v>
      </c>
      <c r="R1445">
        <v>1</v>
      </c>
      <c r="S1445" t="s">
        <v>44</v>
      </c>
      <c r="T1445">
        <v>0</v>
      </c>
      <c r="U1445">
        <v>0</v>
      </c>
      <c r="V1445" t="s">
        <v>32</v>
      </c>
      <c r="W1445" t="s">
        <v>49</v>
      </c>
      <c r="X1445" s="4">
        <v>8.8000000000000007</v>
      </c>
      <c r="Y1445">
        <v>6</v>
      </c>
      <c r="Z1445" s="5">
        <v>231.85</v>
      </c>
    </row>
    <row r="1446" spans="1:26">
      <c r="A1446">
        <v>1445</v>
      </c>
      <c r="B1446">
        <v>467</v>
      </c>
      <c r="C1446" s="2">
        <v>46219</v>
      </c>
      <c r="D1446" t="s">
        <v>55</v>
      </c>
      <c r="E1446">
        <v>7</v>
      </c>
      <c r="F1446" s="3">
        <v>8.48</v>
      </c>
      <c r="G1446" t="s">
        <v>27</v>
      </c>
      <c r="H1446">
        <v>37</v>
      </c>
      <c r="I1446" t="s">
        <v>28</v>
      </c>
      <c r="J1446" s="4">
        <v>69.7</v>
      </c>
      <c r="K1446" s="4">
        <v>207.2</v>
      </c>
      <c r="L1446" s="4">
        <v>29.9</v>
      </c>
      <c r="M1446">
        <v>18</v>
      </c>
      <c r="N1446" t="s">
        <v>29</v>
      </c>
      <c r="O1446">
        <v>5</v>
      </c>
      <c r="P1446" s="4">
        <v>1847.3</v>
      </c>
      <c r="Q1446" t="s">
        <v>42</v>
      </c>
      <c r="R1446">
        <v>1</v>
      </c>
      <c r="S1446" t="s">
        <v>44</v>
      </c>
      <c r="T1446">
        <v>0</v>
      </c>
      <c r="U1446">
        <v>0</v>
      </c>
      <c r="V1446" t="s">
        <v>32</v>
      </c>
      <c r="W1446" t="s">
        <v>49</v>
      </c>
      <c r="X1446" s="4">
        <v>7.7</v>
      </c>
      <c r="Y1446">
        <v>10</v>
      </c>
      <c r="Z1446" s="5">
        <v>262.55</v>
      </c>
    </row>
    <row r="1447" spans="1:26">
      <c r="A1447">
        <v>1446</v>
      </c>
      <c r="B1447">
        <v>467</v>
      </c>
      <c r="C1447" s="2">
        <v>46219</v>
      </c>
      <c r="D1447" t="s">
        <v>55</v>
      </c>
      <c r="E1447">
        <v>7</v>
      </c>
      <c r="F1447" s="3">
        <v>8.32</v>
      </c>
      <c r="G1447" t="s">
        <v>27</v>
      </c>
      <c r="H1447">
        <v>66</v>
      </c>
      <c r="I1447" t="s">
        <v>34</v>
      </c>
      <c r="J1447" s="4">
        <v>64.400000000000006</v>
      </c>
      <c r="K1447" s="4">
        <v>148.1</v>
      </c>
      <c r="L1447" s="4">
        <v>24.8</v>
      </c>
      <c r="M1447">
        <v>17</v>
      </c>
      <c r="N1447" t="s">
        <v>29</v>
      </c>
      <c r="O1447">
        <v>5</v>
      </c>
      <c r="P1447" s="4">
        <v>1847.3</v>
      </c>
      <c r="Q1447" t="s">
        <v>42</v>
      </c>
      <c r="R1447">
        <v>1</v>
      </c>
      <c r="S1447" t="s">
        <v>44</v>
      </c>
      <c r="T1447">
        <v>0</v>
      </c>
      <c r="U1447">
        <v>0</v>
      </c>
      <c r="V1447" t="s">
        <v>32</v>
      </c>
      <c r="W1447" t="s">
        <v>49</v>
      </c>
      <c r="X1447" s="4">
        <v>10.4</v>
      </c>
      <c r="Y1447">
        <v>11</v>
      </c>
      <c r="Z1447" s="5">
        <v>181.55</v>
      </c>
    </row>
    <row r="1448" spans="1:26">
      <c r="A1448">
        <v>1447</v>
      </c>
      <c r="B1448">
        <v>467</v>
      </c>
      <c r="C1448" s="2">
        <v>46219</v>
      </c>
      <c r="D1448" t="s">
        <v>55</v>
      </c>
      <c r="E1448">
        <v>7</v>
      </c>
      <c r="F1448" s="3">
        <v>8.5299999999999994</v>
      </c>
      <c r="G1448" t="s">
        <v>27</v>
      </c>
      <c r="H1448">
        <v>17</v>
      </c>
      <c r="I1448" t="s">
        <v>34</v>
      </c>
      <c r="J1448" s="4">
        <v>70</v>
      </c>
      <c r="K1448" s="4">
        <v>131.69999999999999</v>
      </c>
      <c r="L1448" s="4">
        <v>18.7</v>
      </c>
      <c r="M1448">
        <v>13</v>
      </c>
      <c r="N1448" t="s">
        <v>29</v>
      </c>
      <c r="O1448">
        <v>5</v>
      </c>
      <c r="P1448" s="4">
        <v>1847.3</v>
      </c>
      <c r="Q1448" t="s">
        <v>42</v>
      </c>
      <c r="R1448">
        <v>1</v>
      </c>
      <c r="S1448" t="s">
        <v>44</v>
      </c>
      <c r="T1448">
        <v>0</v>
      </c>
      <c r="U1448">
        <v>0</v>
      </c>
      <c r="V1448" t="s">
        <v>32</v>
      </c>
      <c r="W1448" t="s">
        <v>49</v>
      </c>
      <c r="X1448" s="4">
        <v>8</v>
      </c>
      <c r="Y1448">
        <v>2</v>
      </c>
      <c r="Z1448" s="5">
        <v>132.61000000000001</v>
      </c>
    </row>
    <row r="1449" spans="1:26">
      <c r="A1449">
        <v>1448</v>
      </c>
      <c r="B1449">
        <v>468</v>
      </c>
      <c r="C1449" s="2">
        <v>46386</v>
      </c>
      <c r="D1449" t="s">
        <v>52</v>
      </c>
      <c r="E1449">
        <v>12</v>
      </c>
      <c r="F1449" s="3">
        <v>11.81</v>
      </c>
      <c r="G1449" t="s">
        <v>36</v>
      </c>
      <c r="H1449">
        <v>64</v>
      </c>
      <c r="I1449" t="s">
        <v>28</v>
      </c>
      <c r="J1449" s="4">
        <v>68.900000000000006</v>
      </c>
      <c r="K1449" s="4">
        <v>169.2</v>
      </c>
      <c r="L1449" s="4">
        <v>25.3</v>
      </c>
      <c r="M1449">
        <v>12</v>
      </c>
      <c r="N1449" t="s">
        <v>60</v>
      </c>
      <c r="O1449">
        <v>4</v>
      </c>
      <c r="P1449" s="4">
        <v>1894.3</v>
      </c>
      <c r="Q1449" t="s">
        <v>30</v>
      </c>
      <c r="R1449">
        <v>1</v>
      </c>
      <c r="S1449" t="s">
        <v>44</v>
      </c>
      <c r="T1449">
        <v>1</v>
      </c>
      <c r="U1449">
        <v>0</v>
      </c>
      <c r="V1449" t="s">
        <v>32</v>
      </c>
      <c r="W1449" t="s">
        <v>57</v>
      </c>
      <c r="X1449" s="4">
        <v>8.6999999999999993</v>
      </c>
      <c r="Y1449">
        <v>8</v>
      </c>
      <c r="Z1449" s="5">
        <v>139.72</v>
      </c>
    </row>
    <row r="1450" spans="1:26">
      <c r="A1450">
        <v>1449</v>
      </c>
      <c r="B1450">
        <v>468</v>
      </c>
      <c r="C1450" s="2">
        <v>46386</v>
      </c>
      <c r="D1450" t="s">
        <v>52</v>
      </c>
      <c r="E1450">
        <v>12</v>
      </c>
      <c r="F1450" s="3">
        <v>11.43</v>
      </c>
      <c r="G1450" t="s">
        <v>36</v>
      </c>
      <c r="H1450">
        <v>55</v>
      </c>
      <c r="I1450" t="s">
        <v>34</v>
      </c>
      <c r="J1450" s="4">
        <v>68.599999999999994</v>
      </c>
      <c r="K1450" s="4">
        <v>196.4</v>
      </c>
      <c r="L1450" s="4">
        <v>29.5</v>
      </c>
      <c r="M1450">
        <v>9</v>
      </c>
      <c r="N1450" t="s">
        <v>60</v>
      </c>
      <c r="O1450">
        <v>4</v>
      </c>
      <c r="P1450" s="4">
        <v>1894.3</v>
      </c>
      <c r="Q1450" t="s">
        <v>30</v>
      </c>
      <c r="R1450">
        <v>1</v>
      </c>
      <c r="S1450" t="s">
        <v>44</v>
      </c>
      <c r="T1450">
        <v>1</v>
      </c>
      <c r="U1450">
        <v>0</v>
      </c>
      <c r="V1450" t="s">
        <v>32</v>
      </c>
      <c r="W1450" t="s">
        <v>57</v>
      </c>
      <c r="X1450" s="4">
        <v>6.7</v>
      </c>
      <c r="Y1450">
        <v>8</v>
      </c>
      <c r="Z1450" s="5">
        <v>200.91</v>
      </c>
    </row>
    <row r="1451" spans="1:26">
      <c r="A1451">
        <v>1450</v>
      </c>
      <c r="B1451">
        <v>468</v>
      </c>
      <c r="C1451" s="2">
        <v>46386</v>
      </c>
      <c r="D1451" t="s">
        <v>52</v>
      </c>
      <c r="E1451">
        <v>12</v>
      </c>
      <c r="F1451" s="3">
        <v>11.77</v>
      </c>
      <c r="G1451" t="s">
        <v>36</v>
      </c>
      <c r="H1451">
        <v>18</v>
      </c>
      <c r="I1451" t="s">
        <v>34</v>
      </c>
      <c r="J1451" s="4">
        <v>61.7</v>
      </c>
      <c r="K1451" s="4">
        <v>134.30000000000001</v>
      </c>
      <c r="L1451" s="4">
        <v>25</v>
      </c>
      <c r="M1451">
        <v>10</v>
      </c>
      <c r="N1451" t="s">
        <v>60</v>
      </c>
      <c r="O1451">
        <v>4</v>
      </c>
      <c r="P1451" s="4">
        <v>1894.3</v>
      </c>
      <c r="Q1451" t="s">
        <v>30</v>
      </c>
      <c r="R1451">
        <v>1</v>
      </c>
      <c r="S1451" t="s">
        <v>44</v>
      </c>
      <c r="T1451">
        <v>1</v>
      </c>
      <c r="U1451">
        <v>0</v>
      </c>
      <c r="V1451" t="s">
        <v>32</v>
      </c>
      <c r="W1451" t="s">
        <v>57</v>
      </c>
      <c r="X1451" s="4">
        <v>10.3</v>
      </c>
      <c r="Y1451">
        <v>8</v>
      </c>
      <c r="Z1451" s="5">
        <v>180.63</v>
      </c>
    </row>
    <row r="1452" spans="1:26">
      <c r="A1452">
        <v>1451</v>
      </c>
      <c r="B1452">
        <v>468</v>
      </c>
      <c r="C1452" s="2">
        <v>46386</v>
      </c>
      <c r="D1452" t="s">
        <v>52</v>
      </c>
      <c r="E1452">
        <v>12</v>
      </c>
      <c r="F1452" s="3">
        <v>11.63</v>
      </c>
      <c r="G1452" t="s">
        <v>36</v>
      </c>
      <c r="H1452">
        <v>44</v>
      </c>
      <c r="I1452" t="s">
        <v>28</v>
      </c>
      <c r="J1452" s="4">
        <v>70.3</v>
      </c>
      <c r="K1452" s="4">
        <v>239.4</v>
      </c>
      <c r="L1452" s="4">
        <v>34</v>
      </c>
      <c r="M1452">
        <v>12</v>
      </c>
      <c r="N1452" t="s">
        <v>60</v>
      </c>
      <c r="O1452">
        <v>4</v>
      </c>
      <c r="P1452" s="4">
        <v>1894.3</v>
      </c>
      <c r="Q1452" t="s">
        <v>30</v>
      </c>
      <c r="R1452">
        <v>1</v>
      </c>
      <c r="S1452" t="s">
        <v>44</v>
      </c>
      <c r="T1452">
        <v>1</v>
      </c>
      <c r="U1452">
        <v>0</v>
      </c>
      <c r="V1452" t="s">
        <v>32</v>
      </c>
      <c r="W1452" t="s">
        <v>57</v>
      </c>
      <c r="X1452" s="4">
        <v>7.2</v>
      </c>
      <c r="Y1452">
        <v>10</v>
      </c>
      <c r="Z1452" s="5">
        <v>252.47</v>
      </c>
    </row>
    <row r="1453" spans="1:26">
      <c r="A1453">
        <v>1452</v>
      </c>
      <c r="B1453">
        <v>469</v>
      </c>
      <c r="C1453" s="2">
        <v>46282</v>
      </c>
      <c r="D1453" t="s">
        <v>55</v>
      </c>
      <c r="E1453">
        <v>9</v>
      </c>
      <c r="F1453" s="3">
        <v>11.19</v>
      </c>
      <c r="G1453" t="s">
        <v>36</v>
      </c>
      <c r="H1453">
        <v>18</v>
      </c>
      <c r="I1453" t="s">
        <v>28</v>
      </c>
      <c r="J1453" s="4">
        <v>68.2</v>
      </c>
      <c r="K1453" s="4">
        <v>192.6</v>
      </c>
      <c r="L1453" s="4">
        <v>28.9</v>
      </c>
      <c r="M1453">
        <v>14</v>
      </c>
      <c r="N1453" t="s">
        <v>47</v>
      </c>
      <c r="O1453">
        <v>3</v>
      </c>
      <c r="P1453" s="4">
        <v>105</v>
      </c>
      <c r="Q1453" t="s">
        <v>42</v>
      </c>
      <c r="R1453">
        <v>0</v>
      </c>
      <c r="S1453" t="s">
        <v>31</v>
      </c>
      <c r="T1453">
        <v>0</v>
      </c>
      <c r="U1453">
        <v>0</v>
      </c>
      <c r="V1453" t="s">
        <v>32</v>
      </c>
      <c r="W1453" t="s">
        <v>57</v>
      </c>
      <c r="X1453" s="4">
        <v>7.5</v>
      </c>
      <c r="Y1453">
        <v>6</v>
      </c>
      <c r="Z1453" s="5">
        <v>159.25</v>
      </c>
    </row>
    <row r="1454" spans="1:26">
      <c r="A1454">
        <v>1453</v>
      </c>
      <c r="B1454">
        <v>469</v>
      </c>
      <c r="C1454" s="2">
        <v>46282</v>
      </c>
      <c r="D1454" t="s">
        <v>55</v>
      </c>
      <c r="E1454">
        <v>9</v>
      </c>
      <c r="F1454" s="3">
        <v>11.04</v>
      </c>
      <c r="G1454" t="s">
        <v>36</v>
      </c>
      <c r="H1454">
        <v>18</v>
      </c>
      <c r="I1454" t="s">
        <v>28</v>
      </c>
      <c r="J1454" s="4">
        <v>69.5</v>
      </c>
      <c r="K1454" s="4">
        <v>229.4</v>
      </c>
      <c r="L1454" s="4">
        <v>33.299999999999997</v>
      </c>
      <c r="M1454">
        <v>13</v>
      </c>
      <c r="N1454" t="s">
        <v>47</v>
      </c>
      <c r="O1454">
        <v>3</v>
      </c>
      <c r="P1454" s="4">
        <v>105</v>
      </c>
      <c r="Q1454" t="s">
        <v>42</v>
      </c>
      <c r="R1454">
        <v>0</v>
      </c>
      <c r="S1454" t="s">
        <v>31</v>
      </c>
      <c r="T1454">
        <v>0</v>
      </c>
      <c r="U1454">
        <v>0</v>
      </c>
      <c r="V1454" t="s">
        <v>32</v>
      </c>
      <c r="W1454" t="s">
        <v>57</v>
      </c>
      <c r="X1454" s="4">
        <v>10.199999999999999</v>
      </c>
      <c r="Y1454">
        <v>10</v>
      </c>
      <c r="Z1454" s="5">
        <v>300.63</v>
      </c>
    </row>
    <row r="1455" spans="1:26">
      <c r="A1455">
        <v>1454</v>
      </c>
      <c r="B1455">
        <v>469</v>
      </c>
      <c r="C1455" s="2">
        <v>46282</v>
      </c>
      <c r="D1455" t="s">
        <v>55</v>
      </c>
      <c r="E1455">
        <v>9</v>
      </c>
      <c r="F1455" s="3">
        <v>11.18</v>
      </c>
      <c r="G1455" t="s">
        <v>36</v>
      </c>
      <c r="H1455">
        <v>56</v>
      </c>
      <c r="I1455" t="s">
        <v>34</v>
      </c>
      <c r="J1455" s="4">
        <v>61.4</v>
      </c>
      <c r="K1455" s="4">
        <v>80.5</v>
      </c>
      <c r="L1455" s="4">
        <v>15.1</v>
      </c>
      <c r="M1455">
        <v>15</v>
      </c>
      <c r="N1455" t="s">
        <v>47</v>
      </c>
      <c r="O1455">
        <v>3</v>
      </c>
      <c r="P1455" s="4">
        <v>105</v>
      </c>
      <c r="Q1455" t="s">
        <v>42</v>
      </c>
      <c r="R1455">
        <v>0</v>
      </c>
      <c r="S1455" t="s">
        <v>31</v>
      </c>
      <c r="T1455">
        <v>0</v>
      </c>
      <c r="U1455">
        <v>0</v>
      </c>
      <c r="V1455" t="s">
        <v>32</v>
      </c>
      <c r="W1455" t="s">
        <v>57</v>
      </c>
      <c r="X1455" s="4">
        <v>12.1</v>
      </c>
      <c r="Y1455">
        <v>4</v>
      </c>
      <c r="Z1455" s="5">
        <v>165.49</v>
      </c>
    </row>
    <row r="1456" spans="1:26">
      <c r="A1456">
        <v>1455</v>
      </c>
      <c r="B1456">
        <v>470</v>
      </c>
      <c r="C1456" s="2">
        <v>46327</v>
      </c>
      <c r="D1456" t="s">
        <v>58</v>
      </c>
      <c r="E1456">
        <v>11</v>
      </c>
      <c r="F1456" s="3">
        <v>12.23</v>
      </c>
      <c r="G1456" t="s">
        <v>36</v>
      </c>
      <c r="H1456">
        <v>21</v>
      </c>
      <c r="I1456" t="s">
        <v>34</v>
      </c>
      <c r="J1456" s="4">
        <v>65.3</v>
      </c>
      <c r="K1456" s="4">
        <v>169.9</v>
      </c>
      <c r="L1456" s="4">
        <v>27.8</v>
      </c>
      <c r="M1456">
        <v>14</v>
      </c>
      <c r="N1456" t="s">
        <v>47</v>
      </c>
      <c r="O1456">
        <v>4</v>
      </c>
      <c r="P1456" s="4">
        <v>82.6</v>
      </c>
      <c r="Q1456" t="s">
        <v>48</v>
      </c>
      <c r="R1456">
        <v>0</v>
      </c>
      <c r="S1456" t="s">
        <v>44</v>
      </c>
      <c r="T1456">
        <v>0</v>
      </c>
      <c r="U1456">
        <v>1</v>
      </c>
      <c r="V1456" t="s">
        <v>64</v>
      </c>
      <c r="W1456" t="s">
        <v>43</v>
      </c>
      <c r="X1456" s="4">
        <v>6.7</v>
      </c>
      <c r="Y1456">
        <v>7</v>
      </c>
      <c r="Z1456" s="5">
        <v>204.15</v>
      </c>
    </row>
    <row r="1457" spans="1:26">
      <c r="A1457">
        <v>1456</v>
      </c>
      <c r="B1457">
        <v>470</v>
      </c>
      <c r="C1457" s="2">
        <v>46327</v>
      </c>
      <c r="D1457" t="s">
        <v>58</v>
      </c>
      <c r="E1457">
        <v>11</v>
      </c>
      <c r="F1457" s="3">
        <v>12.31</v>
      </c>
      <c r="G1457" t="s">
        <v>36</v>
      </c>
      <c r="H1457">
        <v>27</v>
      </c>
      <c r="I1457" t="s">
        <v>28</v>
      </c>
      <c r="J1457" s="4">
        <v>63.8</v>
      </c>
      <c r="K1457" s="4">
        <v>166.5</v>
      </c>
      <c r="L1457" s="4">
        <v>28.8</v>
      </c>
      <c r="M1457">
        <v>17</v>
      </c>
      <c r="N1457" t="s">
        <v>47</v>
      </c>
      <c r="O1457">
        <v>4</v>
      </c>
      <c r="P1457" s="4">
        <v>82.6</v>
      </c>
      <c r="Q1457" t="s">
        <v>48</v>
      </c>
      <c r="R1457">
        <v>0</v>
      </c>
      <c r="S1457" t="s">
        <v>44</v>
      </c>
      <c r="T1457">
        <v>0</v>
      </c>
      <c r="U1457">
        <v>1</v>
      </c>
      <c r="V1457" t="s">
        <v>64</v>
      </c>
      <c r="W1457" t="s">
        <v>43</v>
      </c>
      <c r="X1457" s="4">
        <v>8.3000000000000007</v>
      </c>
      <c r="Y1457">
        <v>7</v>
      </c>
      <c r="Z1457" s="5">
        <v>340.95</v>
      </c>
    </row>
    <row r="1458" spans="1:26">
      <c r="A1458">
        <v>1457</v>
      </c>
      <c r="B1458">
        <v>470</v>
      </c>
      <c r="C1458" s="2">
        <v>46327</v>
      </c>
      <c r="D1458" t="s">
        <v>58</v>
      </c>
      <c r="E1458">
        <v>11</v>
      </c>
      <c r="F1458" s="3">
        <v>12.66</v>
      </c>
      <c r="G1458" t="s">
        <v>36</v>
      </c>
      <c r="H1458">
        <v>11</v>
      </c>
      <c r="I1458" t="s">
        <v>28</v>
      </c>
      <c r="J1458" s="4">
        <v>64.8</v>
      </c>
      <c r="K1458" s="4">
        <v>96.1</v>
      </c>
      <c r="L1458" s="4">
        <v>16.3</v>
      </c>
      <c r="M1458">
        <v>15</v>
      </c>
      <c r="N1458" t="s">
        <v>47</v>
      </c>
      <c r="O1458">
        <v>4</v>
      </c>
      <c r="P1458" s="4">
        <v>82.6</v>
      </c>
      <c r="Q1458" t="s">
        <v>48</v>
      </c>
      <c r="R1458">
        <v>0</v>
      </c>
      <c r="S1458" t="s">
        <v>44</v>
      </c>
      <c r="T1458">
        <v>0</v>
      </c>
      <c r="U1458">
        <v>1</v>
      </c>
      <c r="V1458" t="s">
        <v>64</v>
      </c>
      <c r="W1458" t="s">
        <v>43</v>
      </c>
      <c r="X1458" s="4">
        <v>8.9</v>
      </c>
      <c r="Y1458">
        <v>7</v>
      </c>
      <c r="Z1458" s="5">
        <v>232.24</v>
      </c>
    </row>
    <row r="1459" spans="1:26">
      <c r="A1459">
        <v>1458</v>
      </c>
      <c r="B1459">
        <v>470</v>
      </c>
      <c r="C1459" s="2">
        <v>46327</v>
      </c>
      <c r="D1459" t="s">
        <v>58</v>
      </c>
      <c r="E1459">
        <v>11</v>
      </c>
      <c r="F1459" s="3">
        <v>12.4</v>
      </c>
      <c r="G1459" t="s">
        <v>36</v>
      </c>
      <c r="H1459">
        <v>22</v>
      </c>
      <c r="I1459" t="s">
        <v>34</v>
      </c>
      <c r="J1459" s="4">
        <v>65.7</v>
      </c>
      <c r="K1459" s="4">
        <v>110.9</v>
      </c>
      <c r="L1459" s="4">
        <v>18.2</v>
      </c>
      <c r="M1459">
        <v>19</v>
      </c>
      <c r="N1459" t="s">
        <v>47</v>
      </c>
      <c r="O1459">
        <v>4</v>
      </c>
      <c r="P1459" s="4">
        <v>82.6</v>
      </c>
      <c r="Q1459" t="s">
        <v>48</v>
      </c>
      <c r="R1459">
        <v>0</v>
      </c>
      <c r="S1459" t="s">
        <v>44</v>
      </c>
      <c r="T1459">
        <v>0</v>
      </c>
      <c r="U1459">
        <v>1</v>
      </c>
      <c r="V1459" t="s">
        <v>64</v>
      </c>
      <c r="W1459" t="s">
        <v>43</v>
      </c>
      <c r="X1459" s="4">
        <v>5</v>
      </c>
      <c r="Y1459">
        <v>4</v>
      </c>
      <c r="Z1459" s="5">
        <v>182.41</v>
      </c>
    </row>
    <row r="1460" spans="1:26">
      <c r="A1460">
        <v>1459</v>
      </c>
      <c r="B1460">
        <v>471</v>
      </c>
      <c r="C1460" s="2">
        <v>46052</v>
      </c>
      <c r="D1460" t="s">
        <v>26</v>
      </c>
      <c r="E1460">
        <v>1</v>
      </c>
      <c r="F1460" s="3">
        <v>13.98</v>
      </c>
      <c r="G1460" t="s">
        <v>36</v>
      </c>
      <c r="H1460">
        <v>48</v>
      </c>
      <c r="I1460" t="s">
        <v>28</v>
      </c>
      <c r="J1460" s="4">
        <v>64.7</v>
      </c>
      <c r="K1460" s="4">
        <v>168.6</v>
      </c>
      <c r="L1460" s="4">
        <v>28.3</v>
      </c>
      <c r="M1460">
        <v>17</v>
      </c>
      <c r="N1460" t="s">
        <v>47</v>
      </c>
      <c r="O1460">
        <v>1</v>
      </c>
      <c r="P1460" s="4">
        <v>74.099999999999994</v>
      </c>
      <c r="Q1460" t="s">
        <v>48</v>
      </c>
      <c r="R1460">
        <v>0</v>
      </c>
      <c r="S1460" t="s">
        <v>44</v>
      </c>
      <c r="T1460">
        <v>1</v>
      </c>
      <c r="U1460">
        <v>0</v>
      </c>
      <c r="V1460" t="s">
        <v>32</v>
      </c>
      <c r="W1460" t="s">
        <v>43</v>
      </c>
      <c r="X1460" s="4">
        <v>4.4000000000000004</v>
      </c>
      <c r="Y1460">
        <v>11</v>
      </c>
      <c r="Z1460" s="5">
        <v>222.25</v>
      </c>
    </row>
    <row r="1461" spans="1:26">
      <c r="A1461">
        <v>1460</v>
      </c>
      <c r="B1461">
        <v>472</v>
      </c>
      <c r="C1461" s="2">
        <v>46256</v>
      </c>
      <c r="D1461" t="s">
        <v>40</v>
      </c>
      <c r="E1461">
        <v>8</v>
      </c>
      <c r="F1461" s="3">
        <v>9.73</v>
      </c>
      <c r="G1461" t="s">
        <v>27</v>
      </c>
      <c r="H1461">
        <v>34</v>
      </c>
      <c r="I1461" t="s">
        <v>28</v>
      </c>
      <c r="J1461" s="4">
        <v>73.099999999999994</v>
      </c>
      <c r="K1461" s="4">
        <v>202.4</v>
      </c>
      <c r="L1461" s="4">
        <v>26.8</v>
      </c>
      <c r="M1461">
        <v>13</v>
      </c>
      <c r="N1461" t="s">
        <v>53</v>
      </c>
      <c r="O1461">
        <v>2</v>
      </c>
      <c r="P1461" s="4">
        <v>974.7</v>
      </c>
      <c r="Q1461" t="s">
        <v>42</v>
      </c>
      <c r="R1461">
        <v>1</v>
      </c>
      <c r="S1461" t="s">
        <v>31</v>
      </c>
      <c r="T1461">
        <v>0</v>
      </c>
      <c r="U1461">
        <v>0</v>
      </c>
      <c r="V1461" t="s">
        <v>32</v>
      </c>
      <c r="W1461" t="s">
        <v>43</v>
      </c>
      <c r="X1461" s="4">
        <v>8.3000000000000007</v>
      </c>
      <c r="Y1461">
        <v>15</v>
      </c>
      <c r="Z1461" s="5">
        <v>212.26</v>
      </c>
    </row>
    <row r="1462" spans="1:26">
      <c r="A1462">
        <v>1461</v>
      </c>
      <c r="B1462">
        <v>472</v>
      </c>
      <c r="C1462" s="2">
        <v>46256</v>
      </c>
      <c r="D1462" t="s">
        <v>40</v>
      </c>
      <c r="E1462">
        <v>8</v>
      </c>
      <c r="F1462" s="3">
        <v>9.3800000000000008</v>
      </c>
      <c r="G1462" t="s">
        <v>27</v>
      </c>
      <c r="H1462">
        <v>62</v>
      </c>
      <c r="I1462" t="s">
        <v>34</v>
      </c>
      <c r="J1462" s="4">
        <v>57.8</v>
      </c>
      <c r="K1462" s="4">
        <v>160.69999999999999</v>
      </c>
      <c r="L1462" s="4">
        <v>33.700000000000003</v>
      </c>
      <c r="M1462">
        <v>16</v>
      </c>
      <c r="N1462" t="s">
        <v>53</v>
      </c>
      <c r="O1462">
        <v>2</v>
      </c>
      <c r="P1462" s="4">
        <v>974.7</v>
      </c>
      <c r="Q1462" t="s">
        <v>42</v>
      </c>
      <c r="R1462">
        <v>1</v>
      </c>
      <c r="S1462" t="s">
        <v>31</v>
      </c>
      <c r="T1462">
        <v>0</v>
      </c>
      <c r="U1462">
        <v>0</v>
      </c>
      <c r="V1462" t="s">
        <v>32</v>
      </c>
      <c r="W1462" t="s">
        <v>43</v>
      </c>
      <c r="X1462" s="4">
        <v>10.3</v>
      </c>
      <c r="Y1462">
        <v>9</v>
      </c>
      <c r="Z1462" s="5">
        <v>243.74</v>
      </c>
    </row>
    <row r="1463" spans="1:26">
      <c r="A1463">
        <v>1462</v>
      </c>
      <c r="B1463">
        <v>473</v>
      </c>
      <c r="C1463" s="2">
        <v>46117</v>
      </c>
      <c r="D1463" t="s">
        <v>58</v>
      </c>
      <c r="E1463">
        <v>4</v>
      </c>
      <c r="F1463" s="3">
        <v>9.65</v>
      </c>
      <c r="G1463" t="s">
        <v>27</v>
      </c>
      <c r="H1463">
        <v>21</v>
      </c>
      <c r="I1463" t="s">
        <v>34</v>
      </c>
      <c r="J1463" s="4">
        <v>62.3</v>
      </c>
      <c r="K1463" s="4">
        <v>161.19999999999999</v>
      </c>
      <c r="L1463" s="4">
        <v>29.4</v>
      </c>
      <c r="M1463">
        <v>15</v>
      </c>
      <c r="N1463" t="s">
        <v>59</v>
      </c>
      <c r="O1463">
        <v>2</v>
      </c>
      <c r="P1463" s="4">
        <v>994.3</v>
      </c>
      <c r="Q1463" t="s">
        <v>48</v>
      </c>
      <c r="R1463">
        <v>1</v>
      </c>
      <c r="S1463" t="s">
        <v>44</v>
      </c>
      <c r="T1463">
        <v>0</v>
      </c>
      <c r="U1463">
        <v>1</v>
      </c>
      <c r="V1463" t="s">
        <v>32</v>
      </c>
      <c r="W1463" t="s">
        <v>33</v>
      </c>
      <c r="X1463" s="4">
        <v>9.9</v>
      </c>
      <c r="Y1463">
        <v>11</v>
      </c>
      <c r="Z1463" s="5">
        <v>374.34</v>
      </c>
    </row>
    <row r="1464" spans="1:26">
      <c r="A1464">
        <v>1463</v>
      </c>
      <c r="B1464">
        <v>473</v>
      </c>
      <c r="C1464" s="2">
        <v>46117</v>
      </c>
      <c r="D1464" t="s">
        <v>58</v>
      </c>
      <c r="E1464">
        <v>4</v>
      </c>
      <c r="F1464" s="3">
        <v>9.8000000000000007</v>
      </c>
      <c r="G1464" t="s">
        <v>27</v>
      </c>
      <c r="H1464">
        <v>6</v>
      </c>
      <c r="I1464" t="s">
        <v>34</v>
      </c>
      <c r="J1464" s="4">
        <v>59.5</v>
      </c>
      <c r="K1464" s="4">
        <v>78.400000000000006</v>
      </c>
      <c r="L1464" s="4">
        <v>15.7</v>
      </c>
      <c r="M1464">
        <v>14</v>
      </c>
      <c r="N1464" t="s">
        <v>59</v>
      </c>
      <c r="O1464">
        <v>2</v>
      </c>
      <c r="P1464" s="4">
        <v>994.3</v>
      </c>
      <c r="Q1464" t="s">
        <v>48</v>
      </c>
      <c r="R1464">
        <v>1</v>
      </c>
      <c r="S1464" t="s">
        <v>44</v>
      </c>
      <c r="T1464">
        <v>0</v>
      </c>
      <c r="U1464">
        <v>1</v>
      </c>
      <c r="V1464" t="s">
        <v>32</v>
      </c>
      <c r="W1464" t="s">
        <v>33</v>
      </c>
      <c r="X1464" s="4">
        <v>8.8000000000000007</v>
      </c>
      <c r="Y1464">
        <v>11</v>
      </c>
      <c r="Z1464" s="5">
        <v>353.87</v>
      </c>
    </row>
    <row r="1465" spans="1:26">
      <c r="A1465">
        <v>1464</v>
      </c>
      <c r="B1465">
        <v>474</v>
      </c>
      <c r="C1465" s="2">
        <v>46288</v>
      </c>
      <c r="D1465" t="s">
        <v>52</v>
      </c>
      <c r="E1465">
        <v>9</v>
      </c>
      <c r="F1465" s="3">
        <v>12.67</v>
      </c>
      <c r="G1465" t="s">
        <v>36</v>
      </c>
      <c r="H1465">
        <v>41</v>
      </c>
      <c r="I1465" t="s">
        <v>34</v>
      </c>
      <c r="J1465" s="4">
        <v>66.900000000000006</v>
      </c>
      <c r="K1465" s="4">
        <v>155.9</v>
      </c>
      <c r="L1465" s="4">
        <v>24.5</v>
      </c>
      <c r="M1465">
        <v>16</v>
      </c>
      <c r="N1465" t="s">
        <v>56</v>
      </c>
      <c r="O1465">
        <v>2</v>
      </c>
      <c r="P1465" s="4">
        <v>258.2</v>
      </c>
      <c r="Q1465" t="s">
        <v>48</v>
      </c>
      <c r="R1465">
        <v>0</v>
      </c>
      <c r="S1465" t="s">
        <v>44</v>
      </c>
      <c r="T1465">
        <v>0</v>
      </c>
      <c r="U1465">
        <v>0</v>
      </c>
      <c r="V1465" t="s">
        <v>32</v>
      </c>
      <c r="W1465" t="s">
        <v>39</v>
      </c>
      <c r="X1465" s="4">
        <v>5.6</v>
      </c>
      <c r="Y1465">
        <v>7</v>
      </c>
      <c r="Z1465" s="5">
        <v>195.65</v>
      </c>
    </row>
    <row r="1466" spans="1:26">
      <c r="A1466">
        <v>1465</v>
      </c>
      <c r="B1466">
        <v>474</v>
      </c>
      <c r="C1466" s="2">
        <v>46288</v>
      </c>
      <c r="D1466" t="s">
        <v>52</v>
      </c>
      <c r="E1466">
        <v>9</v>
      </c>
      <c r="F1466" s="3">
        <v>12.9</v>
      </c>
      <c r="G1466" t="s">
        <v>36</v>
      </c>
      <c r="H1466">
        <v>68</v>
      </c>
      <c r="I1466" t="s">
        <v>34</v>
      </c>
      <c r="J1466" s="4">
        <v>63.6</v>
      </c>
      <c r="K1466" s="4">
        <v>150</v>
      </c>
      <c r="L1466" s="4">
        <v>25.9</v>
      </c>
      <c r="M1466">
        <v>16</v>
      </c>
      <c r="N1466" t="s">
        <v>56</v>
      </c>
      <c r="O1466">
        <v>2</v>
      </c>
      <c r="P1466" s="4">
        <v>258.2</v>
      </c>
      <c r="Q1466" t="s">
        <v>48</v>
      </c>
      <c r="R1466">
        <v>0</v>
      </c>
      <c r="S1466" t="s">
        <v>44</v>
      </c>
      <c r="T1466">
        <v>0</v>
      </c>
      <c r="U1466">
        <v>0</v>
      </c>
      <c r="V1466" t="s">
        <v>32</v>
      </c>
      <c r="W1466" t="s">
        <v>39</v>
      </c>
      <c r="X1466" s="4">
        <v>10.4</v>
      </c>
      <c r="Y1466">
        <v>5</v>
      </c>
      <c r="Z1466" s="5">
        <v>232.84</v>
      </c>
    </row>
    <row r="1467" spans="1:26">
      <c r="A1467">
        <v>1466</v>
      </c>
      <c r="B1467">
        <v>475</v>
      </c>
      <c r="C1467" s="2">
        <v>46325</v>
      </c>
      <c r="D1467" t="s">
        <v>26</v>
      </c>
      <c r="E1467">
        <v>10</v>
      </c>
      <c r="F1467" s="3">
        <v>9.76</v>
      </c>
      <c r="G1467" t="s">
        <v>27</v>
      </c>
      <c r="H1467">
        <v>76</v>
      </c>
      <c r="I1467" t="s">
        <v>28</v>
      </c>
      <c r="J1467" s="4">
        <v>70.900000000000006</v>
      </c>
      <c r="K1467" s="4">
        <v>143.5</v>
      </c>
      <c r="L1467" s="4">
        <v>20.100000000000001</v>
      </c>
      <c r="M1467">
        <v>17</v>
      </c>
      <c r="N1467" t="s">
        <v>50</v>
      </c>
      <c r="O1467">
        <v>4</v>
      </c>
      <c r="P1467" s="4">
        <v>316.39999999999998</v>
      </c>
      <c r="Q1467" t="s">
        <v>42</v>
      </c>
      <c r="R1467">
        <v>1</v>
      </c>
      <c r="S1467" t="s">
        <v>31</v>
      </c>
      <c r="T1467">
        <v>0</v>
      </c>
      <c r="U1467">
        <v>1</v>
      </c>
      <c r="V1467" t="s">
        <v>32</v>
      </c>
      <c r="W1467" t="s">
        <v>33</v>
      </c>
      <c r="X1467" s="4">
        <v>9</v>
      </c>
      <c r="Y1467">
        <v>5</v>
      </c>
      <c r="Z1467" s="5">
        <v>154.69999999999999</v>
      </c>
    </row>
    <row r="1468" spans="1:26">
      <c r="A1468">
        <v>1467</v>
      </c>
      <c r="B1468">
        <v>475</v>
      </c>
      <c r="C1468" s="2">
        <v>46325</v>
      </c>
      <c r="D1468" t="s">
        <v>26</v>
      </c>
      <c r="E1468">
        <v>10</v>
      </c>
      <c r="F1468" s="3">
        <v>9.9600000000000009</v>
      </c>
      <c r="G1468" t="s">
        <v>27</v>
      </c>
      <c r="H1468">
        <v>75</v>
      </c>
      <c r="I1468" t="s">
        <v>34</v>
      </c>
      <c r="J1468" s="4">
        <v>64.7</v>
      </c>
      <c r="K1468" s="4">
        <v>153.69999999999999</v>
      </c>
      <c r="L1468" s="4">
        <v>25.8</v>
      </c>
      <c r="M1468">
        <v>16</v>
      </c>
      <c r="N1468" t="s">
        <v>50</v>
      </c>
      <c r="O1468">
        <v>4</v>
      </c>
      <c r="P1468" s="4">
        <v>316.39999999999998</v>
      </c>
      <c r="Q1468" t="s">
        <v>42</v>
      </c>
      <c r="R1468">
        <v>1</v>
      </c>
      <c r="S1468" t="s">
        <v>31</v>
      </c>
      <c r="T1468">
        <v>0</v>
      </c>
      <c r="U1468">
        <v>1</v>
      </c>
      <c r="V1468" t="s">
        <v>32</v>
      </c>
      <c r="W1468" t="s">
        <v>33</v>
      </c>
      <c r="X1468" s="4">
        <v>9.9</v>
      </c>
      <c r="Y1468">
        <v>7</v>
      </c>
      <c r="Z1468" s="5">
        <v>309.39999999999998</v>
      </c>
    </row>
    <row r="1469" spans="1:26">
      <c r="A1469">
        <v>1468</v>
      </c>
      <c r="B1469">
        <v>475</v>
      </c>
      <c r="C1469" s="2">
        <v>46325</v>
      </c>
      <c r="D1469" t="s">
        <v>26</v>
      </c>
      <c r="E1469">
        <v>10</v>
      </c>
      <c r="F1469" s="3">
        <v>9.93</v>
      </c>
      <c r="G1469" t="s">
        <v>27</v>
      </c>
      <c r="H1469">
        <v>3</v>
      </c>
      <c r="I1469" t="s">
        <v>34</v>
      </c>
      <c r="J1469" s="4">
        <v>50.8</v>
      </c>
      <c r="K1469" s="4">
        <v>53.1</v>
      </c>
      <c r="L1469" s="4">
        <v>14.7</v>
      </c>
      <c r="M1469">
        <v>14</v>
      </c>
      <c r="N1469" t="s">
        <v>50</v>
      </c>
      <c r="O1469">
        <v>4</v>
      </c>
      <c r="P1469" s="4">
        <v>316.39999999999998</v>
      </c>
      <c r="Q1469" t="s">
        <v>42</v>
      </c>
      <c r="R1469">
        <v>1</v>
      </c>
      <c r="S1469" t="s">
        <v>31</v>
      </c>
      <c r="T1469">
        <v>0</v>
      </c>
      <c r="U1469">
        <v>1</v>
      </c>
      <c r="V1469" t="s">
        <v>32</v>
      </c>
      <c r="W1469" t="s">
        <v>33</v>
      </c>
      <c r="X1469" s="4">
        <v>8.3000000000000007</v>
      </c>
      <c r="Y1469">
        <v>5</v>
      </c>
      <c r="Z1469" s="5">
        <v>176.07</v>
      </c>
    </row>
    <row r="1470" spans="1:26">
      <c r="A1470">
        <v>1469</v>
      </c>
      <c r="B1470">
        <v>475</v>
      </c>
      <c r="C1470" s="2">
        <v>46325</v>
      </c>
      <c r="D1470" t="s">
        <v>26</v>
      </c>
      <c r="E1470">
        <v>10</v>
      </c>
      <c r="F1470" s="3">
        <v>9.7899999999999991</v>
      </c>
      <c r="G1470" t="s">
        <v>27</v>
      </c>
      <c r="H1470">
        <v>20</v>
      </c>
      <c r="I1470" t="s">
        <v>34</v>
      </c>
      <c r="J1470" s="4">
        <v>66.2</v>
      </c>
      <c r="K1470" s="4">
        <v>152.5</v>
      </c>
      <c r="L1470" s="4">
        <v>24.5</v>
      </c>
      <c r="M1470">
        <v>13</v>
      </c>
      <c r="N1470" t="s">
        <v>50</v>
      </c>
      <c r="O1470">
        <v>4</v>
      </c>
      <c r="P1470" s="4">
        <v>316.39999999999998</v>
      </c>
      <c r="Q1470" t="s">
        <v>42</v>
      </c>
      <c r="R1470">
        <v>1</v>
      </c>
      <c r="S1470" t="s">
        <v>31</v>
      </c>
      <c r="T1470">
        <v>0</v>
      </c>
      <c r="U1470">
        <v>1</v>
      </c>
      <c r="V1470" t="s">
        <v>32</v>
      </c>
      <c r="W1470" t="s">
        <v>33</v>
      </c>
      <c r="X1470" s="4">
        <v>12.2</v>
      </c>
      <c r="Y1470">
        <v>7</v>
      </c>
      <c r="Z1470" s="5">
        <v>337.87</v>
      </c>
    </row>
    <row r="1471" spans="1:26">
      <c r="A1471">
        <v>1470</v>
      </c>
      <c r="B1471">
        <v>476</v>
      </c>
      <c r="C1471" s="2">
        <v>46050</v>
      </c>
      <c r="D1471" t="s">
        <v>52</v>
      </c>
      <c r="E1471">
        <v>1</v>
      </c>
      <c r="F1471" s="3">
        <v>11.22</v>
      </c>
      <c r="G1471" t="s">
        <v>36</v>
      </c>
      <c r="H1471">
        <v>59</v>
      </c>
      <c r="I1471" t="s">
        <v>28</v>
      </c>
      <c r="J1471" s="4">
        <v>72</v>
      </c>
      <c r="K1471" s="4">
        <v>191.9</v>
      </c>
      <c r="L1471" s="4">
        <v>26.1</v>
      </c>
      <c r="M1471">
        <v>19</v>
      </c>
      <c r="N1471" t="s">
        <v>47</v>
      </c>
      <c r="O1471">
        <v>2</v>
      </c>
      <c r="P1471" s="4">
        <v>80.599999999999994</v>
      </c>
      <c r="Q1471" t="s">
        <v>42</v>
      </c>
      <c r="R1471">
        <v>1</v>
      </c>
      <c r="S1471" t="s">
        <v>44</v>
      </c>
      <c r="T1471">
        <v>0</v>
      </c>
      <c r="U1471">
        <v>0</v>
      </c>
      <c r="V1471" t="s">
        <v>32</v>
      </c>
      <c r="W1471" t="s">
        <v>49</v>
      </c>
      <c r="X1471" s="4">
        <v>9.8000000000000007</v>
      </c>
      <c r="Y1471">
        <v>11</v>
      </c>
      <c r="Z1471" s="5">
        <v>360.53</v>
      </c>
    </row>
    <row r="1472" spans="1:26">
      <c r="A1472">
        <v>1471</v>
      </c>
      <c r="B1472">
        <v>476</v>
      </c>
      <c r="C1472" s="2">
        <v>46050</v>
      </c>
      <c r="D1472" t="s">
        <v>52</v>
      </c>
      <c r="E1472">
        <v>1</v>
      </c>
      <c r="F1472" s="3">
        <v>11.35</v>
      </c>
      <c r="G1472" t="s">
        <v>36</v>
      </c>
      <c r="H1472">
        <v>23</v>
      </c>
      <c r="I1472" t="s">
        <v>51</v>
      </c>
      <c r="J1472" s="4">
        <v>70.099999999999994</v>
      </c>
      <c r="K1472" s="4">
        <v>221.4</v>
      </c>
      <c r="L1472" s="4">
        <v>31.7</v>
      </c>
      <c r="M1472">
        <v>17</v>
      </c>
      <c r="N1472" t="s">
        <v>47</v>
      </c>
      <c r="O1472">
        <v>2</v>
      </c>
      <c r="P1472" s="4">
        <v>80.599999999999994</v>
      </c>
      <c r="Q1472" t="s">
        <v>42</v>
      </c>
      <c r="R1472">
        <v>1</v>
      </c>
      <c r="S1472" t="s">
        <v>44</v>
      </c>
      <c r="T1472">
        <v>0</v>
      </c>
      <c r="U1472">
        <v>0</v>
      </c>
      <c r="V1472" t="s">
        <v>32</v>
      </c>
      <c r="W1472" t="s">
        <v>49</v>
      </c>
      <c r="X1472" s="4">
        <v>9.6</v>
      </c>
      <c r="Y1472">
        <v>8</v>
      </c>
      <c r="Z1472" s="5">
        <v>264.18</v>
      </c>
    </row>
    <row r="1473" spans="1:26">
      <c r="A1473">
        <v>1472</v>
      </c>
      <c r="B1473">
        <v>477</v>
      </c>
      <c r="C1473" s="2">
        <v>46311</v>
      </c>
      <c r="D1473" t="s">
        <v>26</v>
      </c>
      <c r="E1473">
        <v>10</v>
      </c>
      <c r="F1473" s="3">
        <v>11.6</v>
      </c>
      <c r="G1473" t="s">
        <v>36</v>
      </c>
      <c r="H1473">
        <v>34</v>
      </c>
      <c r="I1473" t="s">
        <v>28</v>
      </c>
      <c r="J1473" s="4">
        <v>73</v>
      </c>
      <c r="K1473" s="4">
        <v>232</v>
      </c>
      <c r="L1473" s="4">
        <v>30.8</v>
      </c>
      <c r="M1473">
        <v>13</v>
      </c>
      <c r="N1473" t="s">
        <v>50</v>
      </c>
      <c r="O1473">
        <v>3</v>
      </c>
      <c r="P1473" s="4">
        <v>340.3</v>
      </c>
      <c r="Q1473" t="s">
        <v>30</v>
      </c>
      <c r="R1473">
        <v>0</v>
      </c>
      <c r="S1473" t="s">
        <v>38</v>
      </c>
      <c r="T1473">
        <v>0</v>
      </c>
      <c r="U1473">
        <v>0</v>
      </c>
      <c r="V1473" t="s">
        <v>32</v>
      </c>
      <c r="W1473" t="s">
        <v>49</v>
      </c>
      <c r="X1473" s="4">
        <v>6.9</v>
      </c>
      <c r="Y1473">
        <v>9</v>
      </c>
      <c r="Z1473" s="5">
        <v>193.02</v>
      </c>
    </row>
    <row r="1474" spans="1:26">
      <c r="A1474">
        <v>1473</v>
      </c>
      <c r="B1474">
        <v>477</v>
      </c>
      <c r="C1474" s="2">
        <v>46311</v>
      </c>
      <c r="D1474" t="s">
        <v>26</v>
      </c>
      <c r="E1474">
        <v>10</v>
      </c>
      <c r="F1474" s="3">
        <v>11.61</v>
      </c>
      <c r="G1474" t="s">
        <v>36</v>
      </c>
      <c r="H1474">
        <v>8</v>
      </c>
      <c r="I1474" t="s">
        <v>28</v>
      </c>
      <c r="J1474" s="4">
        <v>61.3</v>
      </c>
      <c r="K1474" s="4">
        <v>114.7</v>
      </c>
      <c r="L1474" s="4">
        <v>21.6</v>
      </c>
      <c r="M1474">
        <v>12</v>
      </c>
      <c r="N1474" t="s">
        <v>50</v>
      </c>
      <c r="O1474">
        <v>3</v>
      </c>
      <c r="P1474" s="4">
        <v>340.3</v>
      </c>
      <c r="Q1474" t="s">
        <v>30</v>
      </c>
      <c r="R1474">
        <v>0</v>
      </c>
      <c r="S1474" t="s">
        <v>38</v>
      </c>
      <c r="T1474">
        <v>0</v>
      </c>
      <c r="U1474">
        <v>0</v>
      </c>
      <c r="V1474" t="s">
        <v>32</v>
      </c>
      <c r="W1474" t="s">
        <v>49</v>
      </c>
      <c r="X1474" s="4">
        <v>8.4</v>
      </c>
      <c r="Y1474">
        <v>11</v>
      </c>
      <c r="Z1474" s="5">
        <v>140.05000000000001</v>
      </c>
    </row>
    <row r="1475" spans="1:26">
      <c r="A1475">
        <v>1474</v>
      </c>
      <c r="B1475">
        <v>477</v>
      </c>
      <c r="C1475" s="2">
        <v>46311</v>
      </c>
      <c r="D1475" t="s">
        <v>26</v>
      </c>
      <c r="E1475">
        <v>10</v>
      </c>
      <c r="F1475" s="3">
        <v>11.31</v>
      </c>
      <c r="G1475" t="s">
        <v>36</v>
      </c>
      <c r="H1475">
        <v>20</v>
      </c>
      <c r="I1475" t="s">
        <v>34</v>
      </c>
      <c r="J1475" s="4">
        <v>65.7</v>
      </c>
      <c r="K1475" s="4">
        <v>139.30000000000001</v>
      </c>
      <c r="L1475" s="4">
        <v>22.8</v>
      </c>
      <c r="M1475">
        <v>11</v>
      </c>
      <c r="N1475" t="s">
        <v>50</v>
      </c>
      <c r="O1475">
        <v>3</v>
      </c>
      <c r="P1475" s="4">
        <v>340.3</v>
      </c>
      <c r="Q1475" t="s">
        <v>30</v>
      </c>
      <c r="R1475">
        <v>0</v>
      </c>
      <c r="S1475" t="s">
        <v>38</v>
      </c>
      <c r="T1475">
        <v>0</v>
      </c>
      <c r="U1475">
        <v>0</v>
      </c>
      <c r="V1475" t="s">
        <v>32</v>
      </c>
      <c r="W1475" t="s">
        <v>49</v>
      </c>
      <c r="X1475" s="4">
        <v>9.8000000000000007</v>
      </c>
      <c r="Y1475">
        <v>10</v>
      </c>
      <c r="Z1475" s="5">
        <v>217.55</v>
      </c>
    </row>
    <row r="1476" spans="1:26">
      <c r="A1476">
        <v>1475</v>
      </c>
      <c r="B1476">
        <v>478</v>
      </c>
      <c r="C1476" s="2">
        <v>46237</v>
      </c>
      <c r="D1476" t="s">
        <v>46</v>
      </c>
      <c r="E1476">
        <v>8</v>
      </c>
      <c r="F1476" s="3">
        <v>9.77</v>
      </c>
      <c r="G1476" t="s">
        <v>27</v>
      </c>
      <c r="H1476">
        <v>65</v>
      </c>
      <c r="I1476" t="s">
        <v>28</v>
      </c>
      <c r="J1476" s="4">
        <v>71.400000000000006</v>
      </c>
      <c r="K1476" s="4">
        <v>120.3</v>
      </c>
      <c r="L1476" s="4">
        <v>16.600000000000001</v>
      </c>
      <c r="M1476">
        <v>17</v>
      </c>
      <c r="N1476" t="s">
        <v>56</v>
      </c>
      <c r="O1476">
        <v>4</v>
      </c>
      <c r="P1476" s="4">
        <v>274.2</v>
      </c>
      <c r="Q1476" t="s">
        <v>42</v>
      </c>
      <c r="R1476">
        <v>1</v>
      </c>
      <c r="S1476" t="s">
        <v>31</v>
      </c>
      <c r="T1476">
        <v>1</v>
      </c>
      <c r="U1476">
        <v>0</v>
      </c>
      <c r="V1476" t="s">
        <v>32</v>
      </c>
      <c r="W1476" t="s">
        <v>49</v>
      </c>
      <c r="X1476" s="4">
        <v>9.3000000000000007</v>
      </c>
      <c r="Y1476">
        <v>9</v>
      </c>
      <c r="Z1476" s="5">
        <v>165.49</v>
      </c>
    </row>
    <row r="1477" spans="1:26">
      <c r="A1477">
        <v>1476</v>
      </c>
      <c r="B1477">
        <v>478</v>
      </c>
      <c r="C1477" s="2">
        <v>46237</v>
      </c>
      <c r="D1477" t="s">
        <v>46</v>
      </c>
      <c r="E1477">
        <v>8</v>
      </c>
      <c r="F1477" s="3">
        <v>9.74</v>
      </c>
      <c r="G1477" t="s">
        <v>27</v>
      </c>
      <c r="H1477">
        <v>39</v>
      </c>
      <c r="I1477" t="s">
        <v>34</v>
      </c>
      <c r="J1477" s="4">
        <v>63.9</v>
      </c>
      <c r="K1477" s="4">
        <v>174.7</v>
      </c>
      <c r="L1477" s="4">
        <v>30</v>
      </c>
      <c r="M1477">
        <v>15</v>
      </c>
      <c r="N1477" t="s">
        <v>56</v>
      </c>
      <c r="O1477">
        <v>4</v>
      </c>
      <c r="P1477" s="4">
        <v>274.2</v>
      </c>
      <c r="Q1477" t="s">
        <v>42</v>
      </c>
      <c r="R1477">
        <v>1</v>
      </c>
      <c r="S1477" t="s">
        <v>31</v>
      </c>
      <c r="T1477">
        <v>1</v>
      </c>
      <c r="U1477">
        <v>0</v>
      </c>
      <c r="V1477" t="s">
        <v>32</v>
      </c>
      <c r="W1477" t="s">
        <v>49</v>
      </c>
      <c r="X1477" s="4">
        <v>7.9</v>
      </c>
      <c r="Y1477">
        <v>6</v>
      </c>
      <c r="Z1477" s="5">
        <v>525.6</v>
      </c>
    </row>
    <row r="1478" spans="1:26">
      <c r="A1478">
        <v>1477</v>
      </c>
      <c r="B1478">
        <v>478</v>
      </c>
      <c r="C1478" s="2">
        <v>46237</v>
      </c>
      <c r="D1478" t="s">
        <v>46</v>
      </c>
      <c r="E1478">
        <v>8</v>
      </c>
      <c r="F1478" s="3">
        <v>9.82</v>
      </c>
      <c r="G1478" t="s">
        <v>27</v>
      </c>
      <c r="H1478">
        <v>18</v>
      </c>
      <c r="I1478" t="s">
        <v>28</v>
      </c>
      <c r="J1478" s="4">
        <v>73.2</v>
      </c>
      <c r="K1478" s="4">
        <v>201.2</v>
      </c>
      <c r="L1478" s="4">
        <v>26.6</v>
      </c>
      <c r="M1478">
        <v>14</v>
      </c>
      <c r="N1478" t="s">
        <v>56</v>
      </c>
      <c r="O1478">
        <v>4</v>
      </c>
      <c r="P1478" s="4">
        <v>274.2</v>
      </c>
      <c r="Q1478" t="s">
        <v>42</v>
      </c>
      <c r="R1478">
        <v>1</v>
      </c>
      <c r="S1478" t="s">
        <v>31</v>
      </c>
      <c r="T1478">
        <v>1</v>
      </c>
      <c r="U1478">
        <v>0</v>
      </c>
      <c r="V1478" t="s">
        <v>32</v>
      </c>
      <c r="W1478" t="s">
        <v>49</v>
      </c>
      <c r="X1478" s="4">
        <v>7.8</v>
      </c>
      <c r="Y1478">
        <v>2</v>
      </c>
      <c r="Z1478" s="5">
        <v>144.37</v>
      </c>
    </row>
    <row r="1479" spans="1:26">
      <c r="A1479">
        <v>1478</v>
      </c>
      <c r="B1479">
        <v>478</v>
      </c>
      <c r="C1479" s="2">
        <v>46237</v>
      </c>
      <c r="D1479" t="s">
        <v>46</v>
      </c>
      <c r="E1479">
        <v>8</v>
      </c>
      <c r="F1479" s="3">
        <v>9.67</v>
      </c>
      <c r="G1479" t="s">
        <v>27</v>
      </c>
      <c r="H1479">
        <v>64</v>
      </c>
      <c r="I1479" t="s">
        <v>34</v>
      </c>
      <c r="J1479" s="4">
        <v>60.2</v>
      </c>
      <c r="K1479" s="4">
        <v>159.6</v>
      </c>
      <c r="L1479" s="4">
        <v>31.1</v>
      </c>
      <c r="M1479">
        <v>15</v>
      </c>
      <c r="N1479" t="s">
        <v>56</v>
      </c>
      <c r="O1479">
        <v>4</v>
      </c>
      <c r="P1479" s="4">
        <v>274.2</v>
      </c>
      <c r="Q1479" t="s">
        <v>42</v>
      </c>
      <c r="R1479">
        <v>1</v>
      </c>
      <c r="S1479" t="s">
        <v>31</v>
      </c>
      <c r="T1479">
        <v>1</v>
      </c>
      <c r="U1479">
        <v>0</v>
      </c>
      <c r="V1479" t="s">
        <v>32</v>
      </c>
      <c r="W1479" t="s">
        <v>49</v>
      </c>
      <c r="X1479" s="4">
        <v>8.9</v>
      </c>
      <c r="Y1479">
        <v>10</v>
      </c>
      <c r="Z1479" s="5">
        <v>324.95999999999998</v>
      </c>
    </row>
    <row r="1480" spans="1:26">
      <c r="A1480">
        <v>1479</v>
      </c>
      <c r="B1480">
        <v>479</v>
      </c>
      <c r="C1480" s="2">
        <v>46166</v>
      </c>
      <c r="D1480" t="s">
        <v>58</v>
      </c>
      <c r="E1480">
        <v>5</v>
      </c>
      <c r="F1480" s="3">
        <v>11.54</v>
      </c>
      <c r="G1480" t="s">
        <v>36</v>
      </c>
      <c r="H1480">
        <v>27</v>
      </c>
      <c r="I1480" t="s">
        <v>34</v>
      </c>
      <c r="J1480" s="4">
        <v>65.2</v>
      </c>
      <c r="K1480" s="4">
        <v>117.3</v>
      </c>
      <c r="L1480" s="4">
        <v>19.3</v>
      </c>
      <c r="M1480">
        <v>15</v>
      </c>
      <c r="N1480" t="s">
        <v>29</v>
      </c>
      <c r="O1480">
        <v>3</v>
      </c>
      <c r="P1480" s="4">
        <v>2110.5</v>
      </c>
      <c r="Q1480" t="s">
        <v>48</v>
      </c>
      <c r="R1480">
        <v>1</v>
      </c>
      <c r="S1480" t="s">
        <v>31</v>
      </c>
      <c r="T1480">
        <v>1</v>
      </c>
      <c r="U1480">
        <v>0</v>
      </c>
      <c r="V1480" t="s">
        <v>32</v>
      </c>
      <c r="W1480" t="s">
        <v>39</v>
      </c>
      <c r="X1480" s="4">
        <v>10.6</v>
      </c>
      <c r="Y1480">
        <v>10</v>
      </c>
      <c r="Z1480" s="5">
        <v>369.03</v>
      </c>
    </row>
    <row r="1481" spans="1:26">
      <c r="A1481">
        <v>1480</v>
      </c>
      <c r="B1481">
        <v>479</v>
      </c>
      <c r="C1481" s="2">
        <v>46166</v>
      </c>
      <c r="D1481" t="s">
        <v>58</v>
      </c>
      <c r="E1481">
        <v>5</v>
      </c>
      <c r="F1481" s="3">
        <v>11.73</v>
      </c>
      <c r="G1481" t="s">
        <v>36</v>
      </c>
      <c r="H1481">
        <v>31</v>
      </c>
      <c r="I1481" t="s">
        <v>34</v>
      </c>
      <c r="J1481" s="4">
        <v>65.2</v>
      </c>
      <c r="K1481" s="4">
        <v>184.1</v>
      </c>
      <c r="L1481" s="4">
        <v>30.4</v>
      </c>
      <c r="M1481">
        <v>17</v>
      </c>
      <c r="N1481" t="s">
        <v>29</v>
      </c>
      <c r="O1481">
        <v>3</v>
      </c>
      <c r="P1481" s="4">
        <v>2110.5</v>
      </c>
      <c r="Q1481" t="s">
        <v>48</v>
      </c>
      <c r="R1481">
        <v>1</v>
      </c>
      <c r="S1481" t="s">
        <v>31</v>
      </c>
      <c r="T1481">
        <v>1</v>
      </c>
      <c r="U1481">
        <v>0</v>
      </c>
      <c r="V1481" t="s">
        <v>32</v>
      </c>
      <c r="W1481" t="s">
        <v>39</v>
      </c>
      <c r="X1481" s="4">
        <v>8.3000000000000007</v>
      </c>
      <c r="Y1481">
        <v>7</v>
      </c>
      <c r="Z1481" s="5">
        <v>312.95</v>
      </c>
    </row>
    <row r="1482" spans="1:26">
      <c r="A1482">
        <v>1481</v>
      </c>
      <c r="B1482">
        <v>479</v>
      </c>
      <c r="C1482" s="2">
        <v>46166</v>
      </c>
      <c r="D1482" t="s">
        <v>58</v>
      </c>
      <c r="E1482">
        <v>5</v>
      </c>
      <c r="F1482" s="3">
        <v>11.56</v>
      </c>
      <c r="G1482" t="s">
        <v>36</v>
      </c>
      <c r="H1482">
        <v>37</v>
      </c>
      <c r="I1482" t="s">
        <v>28</v>
      </c>
      <c r="J1482" s="4">
        <v>65.2</v>
      </c>
      <c r="K1482" s="4">
        <v>161.5</v>
      </c>
      <c r="L1482" s="4">
        <v>27</v>
      </c>
      <c r="M1482">
        <v>19</v>
      </c>
      <c r="N1482" t="s">
        <v>29</v>
      </c>
      <c r="O1482">
        <v>3</v>
      </c>
      <c r="P1482" s="4">
        <v>2110.5</v>
      </c>
      <c r="Q1482" t="s">
        <v>48</v>
      </c>
      <c r="R1482">
        <v>1</v>
      </c>
      <c r="S1482" t="s">
        <v>31</v>
      </c>
      <c r="T1482">
        <v>1</v>
      </c>
      <c r="U1482">
        <v>0</v>
      </c>
      <c r="V1482" t="s">
        <v>32</v>
      </c>
      <c r="W1482" t="s">
        <v>39</v>
      </c>
      <c r="X1482" s="4">
        <v>11.2</v>
      </c>
      <c r="Y1482">
        <v>11</v>
      </c>
      <c r="Z1482" s="5">
        <v>339.13</v>
      </c>
    </row>
    <row r="1483" spans="1:26">
      <c r="A1483">
        <v>1482</v>
      </c>
      <c r="B1483">
        <v>480</v>
      </c>
      <c r="C1483" s="2">
        <v>46112</v>
      </c>
      <c r="D1483" t="s">
        <v>35</v>
      </c>
      <c r="E1483">
        <v>3</v>
      </c>
      <c r="F1483" s="3">
        <v>8.56</v>
      </c>
      <c r="G1483" t="s">
        <v>27</v>
      </c>
      <c r="H1483">
        <v>10</v>
      </c>
      <c r="I1483" t="s">
        <v>34</v>
      </c>
      <c r="J1483" s="4">
        <v>64.8</v>
      </c>
      <c r="K1483" s="4">
        <v>108</v>
      </c>
      <c r="L1483" s="4">
        <v>17.899999999999999</v>
      </c>
      <c r="M1483">
        <v>15</v>
      </c>
      <c r="N1483" t="s">
        <v>47</v>
      </c>
      <c r="O1483">
        <v>6</v>
      </c>
      <c r="P1483" s="4">
        <v>118.2</v>
      </c>
      <c r="Q1483" t="s">
        <v>42</v>
      </c>
      <c r="R1483">
        <v>0</v>
      </c>
      <c r="S1483" t="s">
        <v>44</v>
      </c>
      <c r="T1483">
        <v>0</v>
      </c>
      <c r="U1483">
        <v>0</v>
      </c>
      <c r="V1483" t="s">
        <v>32</v>
      </c>
      <c r="W1483" t="s">
        <v>39</v>
      </c>
      <c r="X1483" s="4">
        <v>9.3000000000000007</v>
      </c>
      <c r="Y1483">
        <v>10</v>
      </c>
      <c r="Z1483" s="5">
        <v>207.02</v>
      </c>
    </row>
    <row r="1484" spans="1:26">
      <c r="A1484">
        <v>1483</v>
      </c>
      <c r="B1484">
        <v>480</v>
      </c>
      <c r="C1484" s="2">
        <v>46112</v>
      </c>
      <c r="D1484" t="s">
        <v>35</v>
      </c>
      <c r="E1484">
        <v>3</v>
      </c>
      <c r="F1484" s="3">
        <v>8.5299999999999994</v>
      </c>
      <c r="G1484" t="s">
        <v>27</v>
      </c>
      <c r="H1484">
        <v>8</v>
      </c>
      <c r="I1484" t="s">
        <v>34</v>
      </c>
      <c r="J1484" s="4">
        <v>66.3</v>
      </c>
      <c r="K1484" s="4">
        <v>119.1</v>
      </c>
      <c r="L1484" s="4">
        <v>19</v>
      </c>
      <c r="M1484">
        <v>9</v>
      </c>
      <c r="N1484" t="s">
        <v>47</v>
      </c>
      <c r="O1484">
        <v>6</v>
      </c>
      <c r="P1484" s="4">
        <v>118.2</v>
      </c>
      <c r="Q1484" t="s">
        <v>42</v>
      </c>
      <c r="R1484">
        <v>0</v>
      </c>
      <c r="S1484" t="s">
        <v>44</v>
      </c>
      <c r="T1484">
        <v>0</v>
      </c>
      <c r="U1484">
        <v>0</v>
      </c>
      <c r="V1484" t="s">
        <v>32</v>
      </c>
      <c r="W1484" t="s">
        <v>39</v>
      </c>
      <c r="X1484" s="4">
        <v>8.8000000000000007</v>
      </c>
      <c r="Y1484">
        <v>2</v>
      </c>
      <c r="Z1484" s="5">
        <v>266.77999999999997</v>
      </c>
    </row>
    <row r="1485" spans="1:26">
      <c r="A1485">
        <v>1484</v>
      </c>
      <c r="B1485">
        <v>480</v>
      </c>
      <c r="C1485" s="2">
        <v>46112</v>
      </c>
      <c r="D1485" t="s">
        <v>35</v>
      </c>
      <c r="E1485">
        <v>3</v>
      </c>
      <c r="F1485" s="3">
        <v>8.59</v>
      </c>
      <c r="G1485" t="s">
        <v>27</v>
      </c>
      <c r="H1485">
        <v>25</v>
      </c>
      <c r="I1485" t="s">
        <v>34</v>
      </c>
      <c r="J1485" s="4">
        <v>58.3</v>
      </c>
      <c r="K1485" s="4">
        <v>147.5</v>
      </c>
      <c r="L1485" s="4">
        <v>30.4</v>
      </c>
      <c r="M1485">
        <v>13</v>
      </c>
      <c r="N1485" t="s">
        <v>47</v>
      </c>
      <c r="O1485">
        <v>6</v>
      </c>
      <c r="P1485" s="4">
        <v>118.2</v>
      </c>
      <c r="Q1485" t="s">
        <v>42</v>
      </c>
      <c r="R1485">
        <v>0</v>
      </c>
      <c r="S1485" t="s">
        <v>44</v>
      </c>
      <c r="T1485">
        <v>0</v>
      </c>
      <c r="U1485">
        <v>0</v>
      </c>
      <c r="V1485" t="s">
        <v>32</v>
      </c>
      <c r="W1485" t="s">
        <v>39</v>
      </c>
      <c r="X1485" s="4">
        <v>5.3</v>
      </c>
      <c r="Y1485">
        <v>3</v>
      </c>
      <c r="Z1485" s="5">
        <v>89.16</v>
      </c>
    </row>
    <row r="1486" spans="1:26">
      <c r="A1486">
        <v>1485</v>
      </c>
      <c r="B1486">
        <v>480</v>
      </c>
      <c r="C1486" s="2">
        <v>46112</v>
      </c>
      <c r="D1486" t="s">
        <v>35</v>
      </c>
      <c r="E1486">
        <v>3</v>
      </c>
      <c r="F1486" s="3">
        <v>8.61</v>
      </c>
      <c r="G1486" t="s">
        <v>27</v>
      </c>
      <c r="H1486">
        <v>37</v>
      </c>
      <c r="I1486" t="s">
        <v>28</v>
      </c>
      <c r="J1486" s="4">
        <v>71</v>
      </c>
      <c r="K1486" s="4">
        <v>113.5</v>
      </c>
      <c r="L1486" s="4">
        <v>15.7</v>
      </c>
      <c r="M1486">
        <v>17</v>
      </c>
      <c r="N1486" t="s">
        <v>47</v>
      </c>
      <c r="O1486">
        <v>6</v>
      </c>
      <c r="P1486" s="4">
        <v>118.2</v>
      </c>
      <c r="Q1486" t="s">
        <v>42</v>
      </c>
      <c r="R1486">
        <v>0</v>
      </c>
      <c r="S1486" t="s">
        <v>44</v>
      </c>
      <c r="T1486">
        <v>0</v>
      </c>
      <c r="U1486">
        <v>0</v>
      </c>
      <c r="V1486" t="s">
        <v>32</v>
      </c>
      <c r="W1486" t="s">
        <v>39</v>
      </c>
      <c r="X1486" s="4">
        <v>8.1</v>
      </c>
      <c r="Y1486">
        <v>8</v>
      </c>
      <c r="Z1486" s="5">
        <v>202.58</v>
      </c>
    </row>
    <row r="1487" spans="1:26">
      <c r="A1487">
        <v>1486</v>
      </c>
      <c r="B1487">
        <v>480</v>
      </c>
      <c r="C1487" s="2">
        <v>46112</v>
      </c>
      <c r="D1487" t="s">
        <v>35</v>
      </c>
      <c r="E1487">
        <v>3</v>
      </c>
      <c r="F1487" s="3">
        <v>8.4700000000000006</v>
      </c>
      <c r="G1487" t="s">
        <v>27</v>
      </c>
      <c r="H1487">
        <v>35</v>
      </c>
      <c r="I1487" t="s">
        <v>34</v>
      </c>
      <c r="J1487" s="4">
        <v>63.8</v>
      </c>
      <c r="K1487" s="4">
        <v>189.3</v>
      </c>
      <c r="L1487" s="4">
        <v>32.6</v>
      </c>
      <c r="M1487">
        <v>11</v>
      </c>
      <c r="N1487" t="s">
        <v>47</v>
      </c>
      <c r="O1487">
        <v>6</v>
      </c>
      <c r="P1487" s="4">
        <v>118.2</v>
      </c>
      <c r="Q1487" t="s">
        <v>42</v>
      </c>
      <c r="R1487">
        <v>0</v>
      </c>
      <c r="S1487" t="s">
        <v>44</v>
      </c>
      <c r="T1487">
        <v>0</v>
      </c>
      <c r="U1487">
        <v>0</v>
      </c>
      <c r="V1487" t="s">
        <v>32</v>
      </c>
      <c r="W1487" t="s">
        <v>39</v>
      </c>
      <c r="X1487" s="4">
        <v>9.4</v>
      </c>
      <c r="Y1487">
        <v>8</v>
      </c>
      <c r="Z1487" s="5">
        <v>263.62</v>
      </c>
    </row>
    <row r="1488" spans="1:26">
      <c r="A1488">
        <v>1487</v>
      </c>
      <c r="B1488">
        <v>480</v>
      </c>
      <c r="C1488" s="2">
        <v>46112</v>
      </c>
      <c r="D1488" t="s">
        <v>35</v>
      </c>
      <c r="E1488">
        <v>3</v>
      </c>
      <c r="F1488" s="3">
        <v>8.65</v>
      </c>
      <c r="G1488" t="s">
        <v>27</v>
      </c>
      <c r="H1488">
        <v>71</v>
      </c>
      <c r="I1488" t="s">
        <v>34</v>
      </c>
      <c r="J1488" s="4">
        <v>59</v>
      </c>
      <c r="K1488" s="4">
        <v>122.9</v>
      </c>
      <c r="L1488" s="4">
        <v>24.8</v>
      </c>
      <c r="M1488">
        <v>16</v>
      </c>
      <c r="N1488" t="s">
        <v>47</v>
      </c>
      <c r="O1488">
        <v>6</v>
      </c>
      <c r="P1488" s="4">
        <v>118.2</v>
      </c>
      <c r="Q1488" t="s">
        <v>42</v>
      </c>
      <c r="R1488">
        <v>0</v>
      </c>
      <c r="S1488" t="s">
        <v>44</v>
      </c>
      <c r="T1488">
        <v>0</v>
      </c>
      <c r="U1488">
        <v>0</v>
      </c>
      <c r="V1488" t="s">
        <v>32</v>
      </c>
      <c r="W1488" t="s">
        <v>39</v>
      </c>
      <c r="X1488" s="4">
        <v>7.6</v>
      </c>
      <c r="Y1488">
        <v>7</v>
      </c>
      <c r="Z1488" s="5">
        <v>145.04</v>
      </c>
    </row>
    <row r="1489" spans="1:26">
      <c r="A1489">
        <v>1488</v>
      </c>
      <c r="B1489">
        <v>481</v>
      </c>
      <c r="C1489" s="2">
        <v>46303</v>
      </c>
      <c r="D1489" t="s">
        <v>55</v>
      </c>
      <c r="E1489">
        <v>10</v>
      </c>
      <c r="F1489" s="3">
        <v>13.66</v>
      </c>
      <c r="G1489" t="s">
        <v>36</v>
      </c>
      <c r="H1489">
        <v>26</v>
      </c>
      <c r="I1489" t="s">
        <v>28</v>
      </c>
      <c r="J1489" s="4">
        <v>67.900000000000006</v>
      </c>
      <c r="K1489" s="4">
        <v>112.3</v>
      </c>
      <c r="L1489" s="4">
        <v>17.100000000000001</v>
      </c>
      <c r="M1489">
        <v>15</v>
      </c>
      <c r="N1489" t="s">
        <v>47</v>
      </c>
      <c r="O1489">
        <v>4</v>
      </c>
      <c r="P1489" s="4">
        <v>74.2</v>
      </c>
      <c r="Q1489" t="s">
        <v>48</v>
      </c>
      <c r="R1489">
        <v>1</v>
      </c>
      <c r="S1489" t="s">
        <v>31</v>
      </c>
      <c r="T1489">
        <v>1</v>
      </c>
      <c r="U1489">
        <v>0</v>
      </c>
      <c r="V1489" t="s">
        <v>32</v>
      </c>
      <c r="W1489" t="s">
        <v>43</v>
      </c>
      <c r="X1489" s="4">
        <v>9.6</v>
      </c>
      <c r="Y1489">
        <v>7</v>
      </c>
      <c r="Z1489" s="5">
        <v>282.86</v>
      </c>
    </row>
    <row r="1490" spans="1:26">
      <c r="A1490">
        <v>1489</v>
      </c>
      <c r="B1490">
        <v>481</v>
      </c>
      <c r="C1490" s="2">
        <v>46303</v>
      </c>
      <c r="D1490" t="s">
        <v>55</v>
      </c>
      <c r="E1490">
        <v>10</v>
      </c>
      <c r="F1490" s="3">
        <v>13.21</v>
      </c>
      <c r="G1490" t="s">
        <v>36</v>
      </c>
      <c r="H1490">
        <v>18</v>
      </c>
      <c r="I1490" t="s">
        <v>28</v>
      </c>
      <c r="J1490" s="4">
        <v>70</v>
      </c>
      <c r="K1490" s="4">
        <v>158.9</v>
      </c>
      <c r="L1490" s="4">
        <v>22.6</v>
      </c>
      <c r="M1490">
        <v>14</v>
      </c>
      <c r="N1490" t="s">
        <v>47</v>
      </c>
      <c r="O1490">
        <v>4</v>
      </c>
      <c r="P1490" s="4">
        <v>74.2</v>
      </c>
      <c r="Q1490" t="s">
        <v>48</v>
      </c>
      <c r="R1490">
        <v>1</v>
      </c>
      <c r="S1490" t="s">
        <v>31</v>
      </c>
      <c r="T1490">
        <v>1</v>
      </c>
      <c r="U1490">
        <v>0</v>
      </c>
      <c r="V1490" t="s">
        <v>32</v>
      </c>
      <c r="W1490" t="s">
        <v>43</v>
      </c>
      <c r="X1490" s="4">
        <v>8.1999999999999993</v>
      </c>
      <c r="Y1490">
        <v>12</v>
      </c>
      <c r="Z1490" s="5">
        <v>169.68</v>
      </c>
    </row>
    <row r="1491" spans="1:26">
      <c r="A1491">
        <v>1490</v>
      </c>
      <c r="B1491">
        <v>481</v>
      </c>
      <c r="C1491" s="2">
        <v>46303</v>
      </c>
      <c r="D1491" t="s">
        <v>55</v>
      </c>
      <c r="E1491">
        <v>10</v>
      </c>
      <c r="F1491" s="3">
        <v>13.31</v>
      </c>
      <c r="G1491" t="s">
        <v>36</v>
      </c>
      <c r="H1491">
        <v>37</v>
      </c>
      <c r="I1491" t="s">
        <v>28</v>
      </c>
      <c r="J1491" s="4">
        <v>69.400000000000006</v>
      </c>
      <c r="K1491" s="4">
        <v>225.3</v>
      </c>
      <c r="L1491" s="4">
        <v>33.1</v>
      </c>
      <c r="M1491">
        <v>14</v>
      </c>
      <c r="N1491" t="s">
        <v>47</v>
      </c>
      <c r="O1491">
        <v>4</v>
      </c>
      <c r="P1491" s="4">
        <v>74.2</v>
      </c>
      <c r="Q1491" t="s">
        <v>48</v>
      </c>
      <c r="R1491">
        <v>1</v>
      </c>
      <c r="S1491" t="s">
        <v>31</v>
      </c>
      <c r="T1491">
        <v>1</v>
      </c>
      <c r="U1491">
        <v>0</v>
      </c>
      <c r="V1491" t="s">
        <v>32</v>
      </c>
      <c r="W1491" t="s">
        <v>43</v>
      </c>
      <c r="X1491" s="4">
        <v>5.9</v>
      </c>
      <c r="Y1491">
        <v>8</v>
      </c>
      <c r="Z1491" s="5">
        <v>259.29000000000002</v>
      </c>
    </row>
    <row r="1492" spans="1:26">
      <c r="A1492">
        <v>1491</v>
      </c>
      <c r="B1492">
        <v>481</v>
      </c>
      <c r="C1492" s="2">
        <v>46303</v>
      </c>
      <c r="D1492" t="s">
        <v>55</v>
      </c>
      <c r="E1492">
        <v>10</v>
      </c>
      <c r="F1492" s="3">
        <v>13.69</v>
      </c>
      <c r="G1492" t="s">
        <v>36</v>
      </c>
      <c r="H1492">
        <v>61</v>
      </c>
      <c r="I1492" t="s">
        <v>34</v>
      </c>
      <c r="J1492" s="4">
        <v>61</v>
      </c>
      <c r="K1492" s="4">
        <v>129.5</v>
      </c>
      <c r="L1492" s="4">
        <v>24.5</v>
      </c>
      <c r="M1492">
        <v>19</v>
      </c>
      <c r="N1492" t="s">
        <v>47</v>
      </c>
      <c r="O1492">
        <v>4</v>
      </c>
      <c r="P1492" s="4">
        <v>74.2</v>
      </c>
      <c r="Q1492" t="s">
        <v>48</v>
      </c>
      <c r="R1492">
        <v>1</v>
      </c>
      <c r="S1492" t="s">
        <v>31</v>
      </c>
      <c r="T1492">
        <v>1</v>
      </c>
      <c r="U1492">
        <v>0</v>
      </c>
      <c r="V1492" t="s">
        <v>32</v>
      </c>
      <c r="W1492" t="s">
        <v>43</v>
      </c>
      <c r="X1492" s="4">
        <v>6.4</v>
      </c>
      <c r="Y1492">
        <v>8</v>
      </c>
      <c r="Z1492" s="5">
        <v>236.04</v>
      </c>
    </row>
    <row r="1493" spans="1:26">
      <c r="A1493">
        <v>1492</v>
      </c>
      <c r="B1493">
        <v>482</v>
      </c>
      <c r="C1493" s="2">
        <v>46235</v>
      </c>
      <c r="D1493" t="s">
        <v>40</v>
      </c>
      <c r="E1493">
        <v>8</v>
      </c>
      <c r="F1493" s="3">
        <v>10.07</v>
      </c>
      <c r="G1493" t="s">
        <v>27</v>
      </c>
      <c r="H1493">
        <v>26</v>
      </c>
      <c r="I1493" t="s">
        <v>34</v>
      </c>
      <c r="J1493" s="4">
        <v>64.900000000000006</v>
      </c>
      <c r="K1493" s="4">
        <v>175.1</v>
      </c>
      <c r="L1493" s="4">
        <v>29.3</v>
      </c>
      <c r="M1493">
        <v>12</v>
      </c>
      <c r="N1493" t="s">
        <v>50</v>
      </c>
      <c r="O1493">
        <v>4</v>
      </c>
      <c r="P1493" s="4">
        <v>382.5</v>
      </c>
      <c r="Q1493" t="s">
        <v>42</v>
      </c>
      <c r="R1493">
        <v>1</v>
      </c>
      <c r="S1493" t="s">
        <v>44</v>
      </c>
      <c r="T1493">
        <v>1</v>
      </c>
      <c r="U1493">
        <v>0</v>
      </c>
      <c r="V1493" t="s">
        <v>32</v>
      </c>
      <c r="W1493" t="s">
        <v>57</v>
      </c>
      <c r="X1493" s="4">
        <v>5.5</v>
      </c>
      <c r="Y1493">
        <v>10</v>
      </c>
      <c r="Z1493" s="5">
        <v>168.82</v>
      </c>
    </row>
    <row r="1494" spans="1:26">
      <c r="A1494">
        <v>1493</v>
      </c>
      <c r="B1494">
        <v>482</v>
      </c>
      <c r="C1494" s="2">
        <v>46235</v>
      </c>
      <c r="D1494" t="s">
        <v>40</v>
      </c>
      <c r="E1494">
        <v>8</v>
      </c>
      <c r="F1494" s="3">
        <v>9.92</v>
      </c>
      <c r="G1494" t="s">
        <v>27</v>
      </c>
      <c r="H1494">
        <v>46</v>
      </c>
      <c r="I1494" t="s">
        <v>34</v>
      </c>
      <c r="J1494" s="4">
        <v>65.900000000000006</v>
      </c>
      <c r="K1494" s="4">
        <v>143.6</v>
      </c>
      <c r="L1494" s="4">
        <v>23.1</v>
      </c>
      <c r="M1494">
        <v>12</v>
      </c>
      <c r="N1494" t="s">
        <v>50</v>
      </c>
      <c r="O1494">
        <v>4</v>
      </c>
      <c r="P1494" s="4">
        <v>382.5</v>
      </c>
      <c r="Q1494" t="s">
        <v>42</v>
      </c>
      <c r="R1494">
        <v>1</v>
      </c>
      <c r="S1494" t="s">
        <v>44</v>
      </c>
      <c r="T1494">
        <v>1</v>
      </c>
      <c r="U1494">
        <v>0</v>
      </c>
      <c r="V1494" t="s">
        <v>32</v>
      </c>
      <c r="W1494" t="s">
        <v>57</v>
      </c>
      <c r="X1494" s="4">
        <v>7.1</v>
      </c>
      <c r="Y1494">
        <v>8</v>
      </c>
      <c r="Z1494" s="5">
        <v>251.51</v>
      </c>
    </row>
    <row r="1495" spans="1:26">
      <c r="A1495">
        <v>1494</v>
      </c>
      <c r="B1495">
        <v>482</v>
      </c>
      <c r="C1495" s="2">
        <v>46235</v>
      </c>
      <c r="D1495" t="s">
        <v>40</v>
      </c>
      <c r="E1495">
        <v>8</v>
      </c>
      <c r="F1495" s="3">
        <v>10.01</v>
      </c>
      <c r="G1495" t="s">
        <v>27</v>
      </c>
      <c r="H1495">
        <v>60</v>
      </c>
      <c r="I1495" t="s">
        <v>28</v>
      </c>
      <c r="J1495" s="4">
        <v>66.7</v>
      </c>
      <c r="K1495" s="4">
        <v>189.8</v>
      </c>
      <c r="L1495" s="4">
        <v>30.2</v>
      </c>
      <c r="M1495">
        <v>16</v>
      </c>
      <c r="N1495" t="s">
        <v>50</v>
      </c>
      <c r="O1495">
        <v>4</v>
      </c>
      <c r="P1495" s="4">
        <v>382.5</v>
      </c>
      <c r="Q1495" t="s">
        <v>42</v>
      </c>
      <c r="R1495">
        <v>1</v>
      </c>
      <c r="S1495" t="s">
        <v>44</v>
      </c>
      <c r="T1495">
        <v>1</v>
      </c>
      <c r="U1495">
        <v>0</v>
      </c>
      <c r="V1495" t="s">
        <v>32</v>
      </c>
      <c r="W1495" t="s">
        <v>57</v>
      </c>
      <c r="X1495" s="4">
        <v>6.6</v>
      </c>
      <c r="Y1495">
        <v>8</v>
      </c>
      <c r="Z1495" s="5">
        <v>249.7</v>
      </c>
    </row>
    <row r="1496" spans="1:26">
      <c r="A1496">
        <v>1495</v>
      </c>
      <c r="B1496">
        <v>482</v>
      </c>
      <c r="C1496" s="2">
        <v>46235</v>
      </c>
      <c r="D1496" t="s">
        <v>40</v>
      </c>
      <c r="E1496">
        <v>8</v>
      </c>
      <c r="F1496" s="3">
        <v>10.050000000000001</v>
      </c>
      <c r="G1496" t="s">
        <v>27</v>
      </c>
      <c r="H1496">
        <v>33</v>
      </c>
      <c r="I1496" t="s">
        <v>34</v>
      </c>
      <c r="J1496" s="4">
        <v>68.400000000000006</v>
      </c>
      <c r="K1496" s="4">
        <v>193.5</v>
      </c>
      <c r="L1496" s="4">
        <v>29.1</v>
      </c>
      <c r="M1496">
        <v>14</v>
      </c>
      <c r="N1496" t="s">
        <v>50</v>
      </c>
      <c r="O1496">
        <v>4</v>
      </c>
      <c r="P1496" s="4">
        <v>382.5</v>
      </c>
      <c r="Q1496" t="s">
        <v>42</v>
      </c>
      <c r="R1496">
        <v>1</v>
      </c>
      <c r="S1496" t="s">
        <v>44</v>
      </c>
      <c r="T1496">
        <v>1</v>
      </c>
      <c r="U1496">
        <v>0</v>
      </c>
      <c r="V1496" t="s">
        <v>32</v>
      </c>
      <c r="W1496" t="s">
        <v>57</v>
      </c>
      <c r="X1496" s="4">
        <v>6.3</v>
      </c>
      <c r="Y1496">
        <v>4</v>
      </c>
      <c r="Z1496" s="5">
        <v>118.17</v>
      </c>
    </row>
    <row r="1497" spans="1:26">
      <c r="A1497">
        <v>1496</v>
      </c>
      <c r="B1497">
        <v>483</v>
      </c>
      <c r="C1497" s="2">
        <v>46346</v>
      </c>
      <c r="D1497" t="s">
        <v>26</v>
      </c>
      <c r="E1497">
        <v>11</v>
      </c>
      <c r="F1497" s="3">
        <v>9.35</v>
      </c>
      <c r="G1497" t="s">
        <v>27</v>
      </c>
      <c r="H1497">
        <v>39</v>
      </c>
      <c r="I1497" t="s">
        <v>34</v>
      </c>
      <c r="J1497" s="4">
        <v>63.6</v>
      </c>
      <c r="K1497" s="4">
        <v>173.7</v>
      </c>
      <c r="L1497" s="4">
        <v>30.1</v>
      </c>
      <c r="M1497">
        <v>12</v>
      </c>
      <c r="N1497" t="s">
        <v>61</v>
      </c>
      <c r="O1497">
        <v>4</v>
      </c>
      <c r="P1497" s="4">
        <v>1507.6</v>
      </c>
      <c r="Q1497" t="s">
        <v>30</v>
      </c>
      <c r="R1497">
        <v>1</v>
      </c>
      <c r="S1497" t="s">
        <v>38</v>
      </c>
      <c r="T1497">
        <v>1</v>
      </c>
      <c r="U1497">
        <v>1</v>
      </c>
      <c r="V1497" t="s">
        <v>32</v>
      </c>
      <c r="W1497" t="s">
        <v>33</v>
      </c>
      <c r="X1497" s="4">
        <v>7.9</v>
      </c>
      <c r="Y1497">
        <v>12</v>
      </c>
      <c r="Z1497" s="5">
        <v>290.37</v>
      </c>
    </row>
    <row r="1498" spans="1:26">
      <c r="A1498">
        <v>1497</v>
      </c>
      <c r="B1498">
        <v>483</v>
      </c>
      <c r="C1498" s="2">
        <v>46346</v>
      </c>
      <c r="D1498" t="s">
        <v>26</v>
      </c>
      <c r="E1498">
        <v>11</v>
      </c>
      <c r="F1498" s="3">
        <v>9.5</v>
      </c>
      <c r="G1498" t="s">
        <v>27</v>
      </c>
      <c r="H1498">
        <v>4</v>
      </c>
      <c r="I1498" t="s">
        <v>28</v>
      </c>
      <c r="J1498" s="4">
        <v>53.3</v>
      </c>
      <c r="K1498" s="4">
        <v>84.8</v>
      </c>
      <c r="L1498" s="4">
        <v>21.1</v>
      </c>
      <c r="M1498">
        <v>12</v>
      </c>
      <c r="N1498" t="s">
        <v>61</v>
      </c>
      <c r="O1498">
        <v>4</v>
      </c>
      <c r="P1498" s="4">
        <v>1507.6</v>
      </c>
      <c r="Q1498" t="s">
        <v>30</v>
      </c>
      <c r="R1498">
        <v>1</v>
      </c>
      <c r="S1498" t="s">
        <v>38</v>
      </c>
      <c r="T1498">
        <v>1</v>
      </c>
      <c r="U1498">
        <v>1</v>
      </c>
      <c r="V1498" t="s">
        <v>32</v>
      </c>
      <c r="W1498" t="s">
        <v>33</v>
      </c>
      <c r="X1498" s="4">
        <v>10.3</v>
      </c>
      <c r="Y1498">
        <v>12</v>
      </c>
      <c r="Z1498" s="5">
        <v>300.88</v>
      </c>
    </row>
    <row r="1499" spans="1:26">
      <c r="A1499">
        <v>1498</v>
      </c>
      <c r="B1499">
        <v>483</v>
      </c>
      <c r="C1499" s="2">
        <v>46346</v>
      </c>
      <c r="D1499" t="s">
        <v>26</v>
      </c>
      <c r="E1499">
        <v>11</v>
      </c>
      <c r="F1499" s="3">
        <v>9.57</v>
      </c>
      <c r="G1499" t="s">
        <v>27</v>
      </c>
      <c r="H1499">
        <v>10</v>
      </c>
      <c r="I1499" t="s">
        <v>34</v>
      </c>
      <c r="J1499" s="4">
        <v>54.8</v>
      </c>
      <c r="K1499" s="4">
        <v>80.3</v>
      </c>
      <c r="L1499" s="4">
        <v>18.8</v>
      </c>
      <c r="M1499">
        <v>9</v>
      </c>
      <c r="N1499" t="s">
        <v>61</v>
      </c>
      <c r="O1499">
        <v>4</v>
      </c>
      <c r="P1499" s="4">
        <v>1507.6</v>
      </c>
      <c r="Q1499" t="s">
        <v>30</v>
      </c>
      <c r="R1499">
        <v>1</v>
      </c>
      <c r="S1499" t="s">
        <v>38</v>
      </c>
      <c r="T1499">
        <v>1</v>
      </c>
      <c r="U1499">
        <v>1</v>
      </c>
      <c r="V1499" t="s">
        <v>32</v>
      </c>
      <c r="W1499" t="s">
        <v>33</v>
      </c>
      <c r="X1499" s="4">
        <v>7.6</v>
      </c>
      <c r="Y1499">
        <v>8</v>
      </c>
      <c r="Z1499" s="5">
        <v>272.52999999999997</v>
      </c>
    </row>
    <row r="1500" spans="1:26">
      <c r="A1500">
        <v>1499</v>
      </c>
      <c r="B1500">
        <v>483</v>
      </c>
      <c r="C1500" s="2">
        <v>46346</v>
      </c>
      <c r="D1500" t="s">
        <v>26</v>
      </c>
      <c r="E1500">
        <v>11</v>
      </c>
      <c r="F1500" s="3">
        <v>9.4499999999999993</v>
      </c>
      <c r="G1500" t="s">
        <v>27</v>
      </c>
      <c r="H1500">
        <v>43</v>
      </c>
      <c r="I1500" t="s">
        <v>34</v>
      </c>
      <c r="J1500" s="4">
        <v>60</v>
      </c>
      <c r="K1500" s="4">
        <v>120.9</v>
      </c>
      <c r="L1500" s="4">
        <v>23.6</v>
      </c>
      <c r="M1500">
        <v>12</v>
      </c>
      <c r="N1500" t="s">
        <v>61</v>
      </c>
      <c r="O1500">
        <v>4</v>
      </c>
      <c r="P1500" s="4">
        <v>1507.6</v>
      </c>
      <c r="Q1500" t="s">
        <v>30</v>
      </c>
      <c r="R1500">
        <v>1</v>
      </c>
      <c r="S1500" t="s">
        <v>38</v>
      </c>
      <c r="T1500">
        <v>1</v>
      </c>
      <c r="U1500">
        <v>1</v>
      </c>
      <c r="V1500" t="s">
        <v>32</v>
      </c>
      <c r="W1500" t="s">
        <v>33</v>
      </c>
      <c r="X1500" s="4">
        <v>10.4</v>
      </c>
      <c r="Y1500">
        <v>11</v>
      </c>
      <c r="Z1500" s="5">
        <v>372.5</v>
      </c>
    </row>
    <row r="1501" spans="1:26">
      <c r="A1501">
        <v>1500</v>
      </c>
      <c r="B1501">
        <v>484</v>
      </c>
      <c r="C1501" s="2">
        <v>46337</v>
      </c>
      <c r="D1501" t="s">
        <v>52</v>
      </c>
      <c r="E1501">
        <v>11</v>
      </c>
      <c r="F1501" s="3">
        <v>9.2200000000000006</v>
      </c>
      <c r="G1501" t="s">
        <v>27</v>
      </c>
      <c r="H1501">
        <v>54</v>
      </c>
      <c r="I1501" t="s">
        <v>28</v>
      </c>
      <c r="J1501" s="4">
        <v>67.900000000000006</v>
      </c>
      <c r="K1501" s="4">
        <v>137.1</v>
      </c>
      <c r="L1501" s="4">
        <v>21.2</v>
      </c>
      <c r="M1501">
        <v>18</v>
      </c>
      <c r="N1501" t="s">
        <v>47</v>
      </c>
      <c r="O1501">
        <v>2</v>
      </c>
      <c r="P1501" s="4">
        <v>94.8</v>
      </c>
      <c r="Q1501" t="s">
        <v>48</v>
      </c>
      <c r="R1501">
        <v>1</v>
      </c>
      <c r="S1501" t="s">
        <v>44</v>
      </c>
      <c r="T1501">
        <v>0</v>
      </c>
      <c r="U1501">
        <v>0</v>
      </c>
      <c r="V1501" t="s">
        <v>32</v>
      </c>
      <c r="W1501" t="s">
        <v>39</v>
      </c>
      <c r="X1501" s="4">
        <v>5.6</v>
      </c>
      <c r="Y1501">
        <v>5</v>
      </c>
      <c r="Z1501" s="5">
        <v>255.24</v>
      </c>
    </row>
    <row r="1502" spans="1:26">
      <c r="A1502">
        <v>1501</v>
      </c>
      <c r="B1502">
        <v>484</v>
      </c>
      <c r="C1502" s="2">
        <v>46337</v>
      </c>
      <c r="D1502" t="s">
        <v>52</v>
      </c>
      <c r="E1502">
        <v>11</v>
      </c>
      <c r="F1502" s="3">
        <v>9.02</v>
      </c>
      <c r="G1502" t="s">
        <v>27</v>
      </c>
      <c r="H1502">
        <v>17</v>
      </c>
      <c r="I1502" t="s">
        <v>28</v>
      </c>
      <c r="J1502" s="4">
        <v>70</v>
      </c>
      <c r="K1502" s="4">
        <v>140.1</v>
      </c>
      <c r="L1502" s="4">
        <v>20.3</v>
      </c>
      <c r="M1502">
        <v>12</v>
      </c>
      <c r="N1502" t="s">
        <v>47</v>
      </c>
      <c r="O1502">
        <v>2</v>
      </c>
      <c r="P1502" s="4">
        <v>94.8</v>
      </c>
      <c r="Q1502" t="s">
        <v>48</v>
      </c>
      <c r="R1502">
        <v>1</v>
      </c>
      <c r="S1502" t="s">
        <v>44</v>
      </c>
      <c r="T1502">
        <v>0</v>
      </c>
      <c r="U1502">
        <v>0</v>
      </c>
      <c r="V1502" t="s">
        <v>32</v>
      </c>
      <c r="W1502" t="s">
        <v>39</v>
      </c>
      <c r="X1502" s="4">
        <v>9</v>
      </c>
      <c r="Y1502">
        <v>11</v>
      </c>
      <c r="Z1502" s="5">
        <v>305.01</v>
      </c>
    </row>
    <row r="1503" spans="1:26">
      <c r="A1503">
        <v>1502</v>
      </c>
      <c r="B1503">
        <v>485</v>
      </c>
      <c r="C1503" s="2">
        <v>46114</v>
      </c>
      <c r="D1503" t="s">
        <v>55</v>
      </c>
      <c r="E1503">
        <v>4</v>
      </c>
      <c r="F1503" s="3">
        <v>7.6</v>
      </c>
      <c r="G1503" t="s">
        <v>27</v>
      </c>
      <c r="H1503">
        <v>67</v>
      </c>
      <c r="I1503" t="s">
        <v>28</v>
      </c>
      <c r="J1503" s="4">
        <v>70.8</v>
      </c>
      <c r="K1503" s="4">
        <v>207.4</v>
      </c>
      <c r="L1503" s="4">
        <v>28.8</v>
      </c>
      <c r="M1503">
        <v>16</v>
      </c>
      <c r="N1503" t="s">
        <v>37</v>
      </c>
      <c r="O1503">
        <v>4</v>
      </c>
      <c r="P1503" s="4">
        <v>729.8</v>
      </c>
      <c r="Q1503" t="s">
        <v>48</v>
      </c>
      <c r="R1503">
        <v>1</v>
      </c>
      <c r="S1503" t="s">
        <v>44</v>
      </c>
      <c r="T1503">
        <v>0</v>
      </c>
      <c r="U1503">
        <v>0</v>
      </c>
      <c r="V1503" t="s">
        <v>32</v>
      </c>
      <c r="W1503" t="s">
        <v>43</v>
      </c>
      <c r="X1503" s="4">
        <v>9.3000000000000007</v>
      </c>
      <c r="Y1503">
        <v>6</v>
      </c>
      <c r="Z1503" s="5">
        <v>309.32</v>
      </c>
    </row>
    <row r="1504" spans="1:26">
      <c r="A1504">
        <v>1503</v>
      </c>
      <c r="B1504">
        <v>485</v>
      </c>
      <c r="C1504" s="2">
        <v>46114</v>
      </c>
      <c r="D1504" t="s">
        <v>55</v>
      </c>
      <c r="E1504">
        <v>4</v>
      </c>
      <c r="F1504" s="3">
        <v>7.97</v>
      </c>
      <c r="G1504" t="s">
        <v>27</v>
      </c>
      <c r="H1504">
        <v>50</v>
      </c>
      <c r="I1504" t="s">
        <v>34</v>
      </c>
      <c r="J1504" s="4">
        <v>66.5</v>
      </c>
      <c r="K1504" s="4">
        <v>148</v>
      </c>
      <c r="L1504" s="4">
        <v>23.3</v>
      </c>
      <c r="M1504">
        <v>19</v>
      </c>
      <c r="N1504" t="s">
        <v>37</v>
      </c>
      <c r="O1504">
        <v>4</v>
      </c>
      <c r="P1504" s="4">
        <v>729.8</v>
      </c>
      <c r="Q1504" t="s">
        <v>48</v>
      </c>
      <c r="R1504">
        <v>1</v>
      </c>
      <c r="S1504" t="s">
        <v>44</v>
      </c>
      <c r="T1504">
        <v>0</v>
      </c>
      <c r="U1504">
        <v>0</v>
      </c>
      <c r="V1504" t="s">
        <v>32</v>
      </c>
      <c r="W1504" t="s">
        <v>43</v>
      </c>
      <c r="X1504" s="4">
        <v>7.1</v>
      </c>
      <c r="Y1504">
        <v>5</v>
      </c>
      <c r="Z1504" s="5">
        <v>135.6</v>
      </c>
    </row>
    <row r="1505" spans="1:26">
      <c r="A1505">
        <v>1504</v>
      </c>
      <c r="B1505">
        <v>485</v>
      </c>
      <c r="C1505" s="2">
        <v>46114</v>
      </c>
      <c r="D1505" t="s">
        <v>55</v>
      </c>
      <c r="E1505">
        <v>4</v>
      </c>
      <c r="F1505" s="3">
        <v>7.9</v>
      </c>
      <c r="G1505" t="s">
        <v>27</v>
      </c>
      <c r="H1505">
        <v>5</v>
      </c>
      <c r="I1505" t="s">
        <v>34</v>
      </c>
      <c r="J1505" s="4">
        <v>55.9</v>
      </c>
      <c r="K1505" s="4">
        <v>78</v>
      </c>
      <c r="L1505" s="4">
        <v>17.3</v>
      </c>
      <c r="M1505">
        <v>14</v>
      </c>
      <c r="N1505" t="s">
        <v>37</v>
      </c>
      <c r="O1505">
        <v>4</v>
      </c>
      <c r="P1505" s="4">
        <v>729.8</v>
      </c>
      <c r="Q1505" t="s">
        <v>48</v>
      </c>
      <c r="R1505">
        <v>1</v>
      </c>
      <c r="S1505" t="s">
        <v>44</v>
      </c>
      <c r="T1505">
        <v>0</v>
      </c>
      <c r="U1505">
        <v>0</v>
      </c>
      <c r="V1505" t="s">
        <v>32</v>
      </c>
      <c r="W1505" t="s">
        <v>43</v>
      </c>
      <c r="X1505" s="4">
        <v>8.5</v>
      </c>
      <c r="Y1505">
        <v>5</v>
      </c>
      <c r="Z1505" s="5">
        <v>165.67</v>
      </c>
    </row>
    <row r="1506" spans="1:26">
      <c r="A1506">
        <v>1505</v>
      </c>
      <c r="B1506">
        <v>485</v>
      </c>
      <c r="C1506" s="2">
        <v>46114</v>
      </c>
      <c r="D1506" t="s">
        <v>55</v>
      </c>
      <c r="E1506">
        <v>4</v>
      </c>
      <c r="F1506" s="3">
        <v>8.0500000000000007</v>
      </c>
      <c r="G1506" t="s">
        <v>27</v>
      </c>
      <c r="H1506">
        <v>61</v>
      </c>
      <c r="I1506" t="s">
        <v>28</v>
      </c>
      <c r="J1506" s="4">
        <v>75.2</v>
      </c>
      <c r="K1506" s="4">
        <v>195</v>
      </c>
      <c r="L1506" s="4">
        <v>24.3</v>
      </c>
      <c r="M1506">
        <v>17</v>
      </c>
      <c r="N1506" t="s">
        <v>37</v>
      </c>
      <c r="O1506">
        <v>4</v>
      </c>
      <c r="P1506" s="4">
        <v>729.8</v>
      </c>
      <c r="Q1506" t="s">
        <v>48</v>
      </c>
      <c r="R1506">
        <v>1</v>
      </c>
      <c r="S1506" t="s">
        <v>44</v>
      </c>
      <c r="T1506">
        <v>0</v>
      </c>
      <c r="U1506">
        <v>0</v>
      </c>
      <c r="V1506" t="s">
        <v>32</v>
      </c>
      <c r="W1506" t="s">
        <v>43</v>
      </c>
      <c r="X1506" s="4">
        <v>9.6999999999999993</v>
      </c>
      <c r="Y1506">
        <v>10</v>
      </c>
      <c r="Z1506" s="5">
        <v>257.95</v>
      </c>
    </row>
    <row r="1507" spans="1:26">
      <c r="A1507">
        <v>1506</v>
      </c>
      <c r="B1507">
        <v>486</v>
      </c>
      <c r="C1507" s="2">
        <v>46099</v>
      </c>
      <c r="D1507" t="s">
        <v>52</v>
      </c>
      <c r="E1507">
        <v>3</v>
      </c>
      <c r="F1507" s="3">
        <v>8.81</v>
      </c>
      <c r="G1507" t="s">
        <v>27</v>
      </c>
      <c r="H1507">
        <v>64</v>
      </c>
      <c r="I1507" t="s">
        <v>28</v>
      </c>
      <c r="J1507" s="4">
        <v>67.400000000000006</v>
      </c>
      <c r="K1507" s="4">
        <v>203.9</v>
      </c>
      <c r="L1507" s="4">
        <v>31.6</v>
      </c>
      <c r="M1507">
        <v>16</v>
      </c>
      <c r="N1507" t="s">
        <v>59</v>
      </c>
      <c r="O1507">
        <v>3</v>
      </c>
      <c r="P1507" s="4">
        <v>780.2</v>
      </c>
      <c r="Q1507" t="s">
        <v>42</v>
      </c>
      <c r="R1507">
        <v>1</v>
      </c>
      <c r="S1507" t="s">
        <v>38</v>
      </c>
      <c r="T1507">
        <v>1</v>
      </c>
      <c r="U1507">
        <v>0</v>
      </c>
      <c r="V1507" t="s">
        <v>45</v>
      </c>
      <c r="W1507" t="s">
        <v>49</v>
      </c>
      <c r="X1507" s="4">
        <v>8.6999999999999993</v>
      </c>
      <c r="Y1507">
        <v>12</v>
      </c>
      <c r="Z1507" s="5">
        <v>224.86</v>
      </c>
    </row>
    <row r="1508" spans="1:26">
      <c r="A1508">
        <v>1507</v>
      </c>
      <c r="B1508">
        <v>486</v>
      </c>
      <c r="C1508" s="2">
        <v>46099</v>
      </c>
      <c r="D1508" t="s">
        <v>52</v>
      </c>
      <c r="E1508">
        <v>3</v>
      </c>
      <c r="F1508" s="3">
        <v>8.7200000000000006</v>
      </c>
      <c r="G1508" t="s">
        <v>27</v>
      </c>
      <c r="H1508">
        <v>31</v>
      </c>
      <c r="I1508" t="s">
        <v>28</v>
      </c>
      <c r="J1508" s="4">
        <v>70.599999999999994</v>
      </c>
      <c r="K1508" s="4">
        <v>215.4</v>
      </c>
      <c r="L1508" s="4">
        <v>30.2</v>
      </c>
      <c r="M1508">
        <v>13</v>
      </c>
      <c r="N1508" t="s">
        <v>59</v>
      </c>
      <c r="O1508">
        <v>3</v>
      </c>
      <c r="P1508" s="4">
        <v>780.2</v>
      </c>
      <c r="Q1508" t="s">
        <v>42</v>
      </c>
      <c r="R1508">
        <v>1</v>
      </c>
      <c r="S1508" t="s">
        <v>38</v>
      </c>
      <c r="T1508">
        <v>1</v>
      </c>
      <c r="U1508">
        <v>0</v>
      </c>
      <c r="V1508" t="s">
        <v>45</v>
      </c>
      <c r="W1508" t="s">
        <v>49</v>
      </c>
      <c r="X1508" s="4">
        <v>9</v>
      </c>
      <c r="Y1508">
        <v>10</v>
      </c>
      <c r="Z1508" s="5">
        <v>304.39999999999998</v>
      </c>
    </row>
    <row r="1509" spans="1:26">
      <c r="A1509">
        <v>1508</v>
      </c>
      <c r="B1509">
        <v>486</v>
      </c>
      <c r="C1509" s="2">
        <v>46099</v>
      </c>
      <c r="D1509" t="s">
        <v>52</v>
      </c>
      <c r="E1509">
        <v>3</v>
      </c>
      <c r="F1509" s="3">
        <v>8.49</v>
      </c>
      <c r="G1509" t="s">
        <v>27</v>
      </c>
      <c r="H1509">
        <v>70</v>
      </c>
      <c r="I1509" t="s">
        <v>28</v>
      </c>
      <c r="J1509" s="4">
        <v>62.4</v>
      </c>
      <c r="K1509" s="4">
        <v>147</v>
      </c>
      <c r="L1509" s="4">
        <v>26.5</v>
      </c>
      <c r="M1509">
        <v>18</v>
      </c>
      <c r="N1509" t="s">
        <v>59</v>
      </c>
      <c r="O1509">
        <v>3</v>
      </c>
      <c r="P1509" s="4">
        <v>780.2</v>
      </c>
      <c r="Q1509" t="s">
        <v>42</v>
      </c>
      <c r="R1509">
        <v>1</v>
      </c>
      <c r="S1509" t="s">
        <v>38</v>
      </c>
      <c r="T1509">
        <v>1</v>
      </c>
      <c r="U1509">
        <v>0</v>
      </c>
      <c r="V1509" t="s">
        <v>45</v>
      </c>
      <c r="W1509" t="s">
        <v>49</v>
      </c>
      <c r="X1509" s="4">
        <v>10.1</v>
      </c>
      <c r="Y1509">
        <v>10</v>
      </c>
      <c r="Z1509" s="5">
        <v>359.36</v>
      </c>
    </row>
    <row r="1510" spans="1:26">
      <c r="A1510">
        <v>1509</v>
      </c>
      <c r="B1510">
        <v>487</v>
      </c>
      <c r="C1510" s="2">
        <v>46059</v>
      </c>
      <c r="D1510" t="s">
        <v>26</v>
      </c>
      <c r="E1510">
        <v>2</v>
      </c>
      <c r="F1510" s="3">
        <v>11.32</v>
      </c>
      <c r="G1510" t="s">
        <v>36</v>
      </c>
      <c r="H1510">
        <v>67</v>
      </c>
      <c r="I1510" t="s">
        <v>34</v>
      </c>
      <c r="J1510" s="4">
        <v>61.7</v>
      </c>
      <c r="K1510" s="4">
        <v>146.1</v>
      </c>
      <c r="L1510" s="4">
        <v>26.9</v>
      </c>
      <c r="M1510">
        <v>12</v>
      </c>
      <c r="N1510" t="s">
        <v>50</v>
      </c>
      <c r="O1510">
        <v>2</v>
      </c>
      <c r="P1510" s="4">
        <v>297.7</v>
      </c>
      <c r="Q1510" t="s">
        <v>42</v>
      </c>
      <c r="R1510">
        <v>1</v>
      </c>
      <c r="S1510" t="s">
        <v>38</v>
      </c>
      <c r="T1510">
        <v>0</v>
      </c>
      <c r="U1510">
        <v>0</v>
      </c>
      <c r="V1510" t="s">
        <v>32</v>
      </c>
      <c r="W1510" t="s">
        <v>43</v>
      </c>
      <c r="X1510" s="4">
        <v>8.8000000000000007</v>
      </c>
      <c r="Y1510">
        <v>11</v>
      </c>
      <c r="Z1510" s="5">
        <v>205.63</v>
      </c>
    </row>
    <row r="1511" spans="1:26">
      <c r="A1511">
        <v>1510</v>
      </c>
      <c r="B1511">
        <v>487</v>
      </c>
      <c r="C1511" s="2">
        <v>46059</v>
      </c>
      <c r="D1511" t="s">
        <v>26</v>
      </c>
      <c r="E1511">
        <v>2</v>
      </c>
      <c r="F1511" s="3">
        <v>11.34</v>
      </c>
      <c r="G1511" t="s">
        <v>36</v>
      </c>
      <c r="H1511">
        <v>33</v>
      </c>
      <c r="I1511" t="s">
        <v>28</v>
      </c>
      <c r="J1511" s="4">
        <v>71</v>
      </c>
      <c r="K1511" s="4">
        <v>245.8</v>
      </c>
      <c r="L1511" s="4">
        <v>34.4</v>
      </c>
      <c r="M1511">
        <v>16</v>
      </c>
      <c r="N1511" t="s">
        <v>50</v>
      </c>
      <c r="O1511">
        <v>2</v>
      </c>
      <c r="P1511" s="4">
        <v>297.7</v>
      </c>
      <c r="Q1511" t="s">
        <v>42</v>
      </c>
      <c r="R1511">
        <v>1</v>
      </c>
      <c r="S1511" t="s">
        <v>38</v>
      </c>
      <c r="T1511">
        <v>0</v>
      </c>
      <c r="U1511">
        <v>0</v>
      </c>
      <c r="V1511" t="s">
        <v>32</v>
      </c>
      <c r="W1511" t="s">
        <v>43</v>
      </c>
      <c r="X1511" s="4">
        <v>8.1</v>
      </c>
      <c r="Y1511">
        <v>5</v>
      </c>
      <c r="Z1511" s="5">
        <v>177.62</v>
      </c>
    </row>
    <row r="1512" spans="1:26">
      <c r="A1512">
        <v>1511</v>
      </c>
      <c r="B1512">
        <v>488</v>
      </c>
      <c r="C1512" s="2">
        <v>46321</v>
      </c>
      <c r="D1512" t="s">
        <v>46</v>
      </c>
      <c r="E1512">
        <v>10</v>
      </c>
      <c r="F1512" s="3">
        <v>11.4</v>
      </c>
      <c r="G1512" t="s">
        <v>36</v>
      </c>
      <c r="H1512">
        <v>8</v>
      </c>
      <c r="I1512" t="s">
        <v>34</v>
      </c>
      <c r="J1512" s="4">
        <v>62.7</v>
      </c>
      <c r="K1512" s="4">
        <v>126.1</v>
      </c>
      <c r="L1512" s="4">
        <v>22.5</v>
      </c>
      <c r="M1512">
        <v>15</v>
      </c>
      <c r="N1512" t="s">
        <v>37</v>
      </c>
      <c r="O1512">
        <v>6</v>
      </c>
      <c r="P1512" s="4">
        <v>1634</v>
      </c>
      <c r="Q1512" t="s">
        <v>42</v>
      </c>
      <c r="R1512">
        <v>1</v>
      </c>
      <c r="S1512" t="s">
        <v>44</v>
      </c>
      <c r="T1512">
        <v>0</v>
      </c>
      <c r="U1512">
        <v>1</v>
      </c>
      <c r="V1512" t="s">
        <v>45</v>
      </c>
      <c r="W1512" t="s">
        <v>33</v>
      </c>
      <c r="X1512" s="4">
        <v>9</v>
      </c>
      <c r="Y1512">
        <v>11</v>
      </c>
      <c r="Z1512" s="5">
        <v>297.52</v>
      </c>
    </row>
    <row r="1513" spans="1:26">
      <c r="A1513">
        <v>1512</v>
      </c>
      <c r="B1513">
        <v>488</v>
      </c>
      <c r="C1513" s="2">
        <v>46321</v>
      </c>
      <c r="D1513" t="s">
        <v>46</v>
      </c>
      <c r="E1513">
        <v>10</v>
      </c>
      <c r="F1513" s="3">
        <v>11.39</v>
      </c>
      <c r="G1513" t="s">
        <v>36</v>
      </c>
      <c r="H1513">
        <v>40</v>
      </c>
      <c r="I1513" t="s">
        <v>34</v>
      </c>
      <c r="J1513" s="4">
        <v>63.8</v>
      </c>
      <c r="K1513" s="4">
        <v>159.6</v>
      </c>
      <c r="L1513" s="4">
        <v>27.6</v>
      </c>
      <c r="M1513">
        <v>13</v>
      </c>
      <c r="N1513" t="s">
        <v>37</v>
      </c>
      <c r="O1513">
        <v>6</v>
      </c>
      <c r="P1513" s="4">
        <v>1634</v>
      </c>
      <c r="Q1513" t="s">
        <v>42</v>
      </c>
      <c r="R1513">
        <v>1</v>
      </c>
      <c r="S1513" t="s">
        <v>44</v>
      </c>
      <c r="T1513">
        <v>0</v>
      </c>
      <c r="U1513">
        <v>1</v>
      </c>
      <c r="V1513" t="s">
        <v>45</v>
      </c>
      <c r="W1513" t="s">
        <v>33</v>
      </c>
      <c r="X1513" s="4">
        <v>6.7</v>
      </c>
      <c r="Y1513">
        <v>4</v>
      </c>
      <c r="Z1513" s="5">
        <v>198.81</v>
      </c>
    </row>
    <row r="1514" spans="1:26">
      <c r="A1514">
        <v>1513</v>
      </c>
      <c r="B1514">
        <v>488</v>
      </c>
      <c r="C1514" s="2">
        <v>46321</v>
      </c>
      <c r="D1514" t="s">
        <v>46</v>
      </c>
      <c r="E1514">
        <v>10</v>
      </c>
      <c r="F1514" s="3">
        <v>11.5</v>
      </c>
      <c r="G1514" t="s">
        <v>36</v>
      </c>
      <c r="H1514">
        <v>60</v>
      </c>
      <c r="I1514" t="s">
        <v>34</v>
      </c>
      <c r="J1514" s="4">
        <v>65.099999999999994</v>
      </c>
      <c r="K1514" s="4">
        <v>154.69999999999999</v>
      </c>
      <c r="L1514" s="4">
        <v>25.8</v>
      </c>
      <c r="M1514">
        <v>18</v>
      </c>
      <c r="N1514" t="s">
        <v>37</v>
      </c>
      <c r="O1514">
        <v>6</v>
      </c>
      <c r="P1514" s="4">
        <v>1634</v>
      </c>
      <c r="Q1514" t="s">
        <v>42</v>
      </c>
      <c r="R1514">
        <v>1</v>
      </c>
      <c r="S1514" t="s">
        <v>44</v>
      </c>
      <c r="T1514">
        <v>0</v>
      </c>
      <c r="U1514">
        <v>1</v>
      </c>
      <c r="V1514" t="s">
        <v>45</v>
      </c>
      <c r="W1514" t="s">
        <v>33</v>
      </c>
      <c r="X1514" s="4">
        <v>8.8000000000000007</v>
      </c>
      <c r="Y1514">
        <v>9</v>
      </c>
      <c r="Z1514" s="5">
        <v>230.24</v>
      </c>
    </row>
    <row r="1515" spans="1:26">
      <c r="A1515">
        <v>1514</v>
      </c>
      <c r="B1515">
        <v>488</v>
      </c>
      <c r="C1515" s="2">
        <v>46321</v>
      </c>
      <c r="D1515" t="s">
        <v>46</v>
      </c>
      <c r="E1515">
        <v>10</v>
      </c>
      <c r="F1515" s="3">
        <v>11.57</v>
      </c>
      <c r="G1515" t="s">
        <v>36</v>
      </c>
      <c r="H1515">
        <v>62</v>
      </c>
      <c r="I1515" t="s">
        <v>34</v>
      </c>
      <c r="J1515" s="4">
        <v>68</v>
      </c>
      <c r="K1515" s="4">
        <v>164.2</v>
      </c>
      <c r="L1515" s="4">
        <v>24.9</v>
      </c>
      <c r="M1515">
        <v>18</v>
      </c>
      <c r="N1515" t="s">
        <v>37</v>
      </c>
      <c r="O1515">
        <v>6</v>
      </c>
      <c r="P1515" s="4">
        <v>1634</v>
      </c>
      <c r="Q1515" t="s">
        <v>42</v>
      </c>
      <c r="R1515">
        <v>1</v>
      </c>
      <c r="S1515" t="s">
        <v>44</v>
      </c>
      <c r="T1515">
        <v>0</v>
      </c>
      <c r="U1515">
        <v>1</v>
      </c>
      <c r="V1515" t="s">
        <v>45</v>
      </c>
      <c r="W1515" t="s">
        <v>33</v>
      </c>
      <c r="X1515" s="4">
        <v>5.2</v>
      </c>
      <c r="Y1515">
        <v>8</v>
      </c>
      <c r="Z1515" s="5">
        <v>188.48</v>
      </c>
    </row>
    <row r="1516" spans="1:26">
      <c r="A1516">
        <v>1515</v>
      </c>
      <c r="B1516">
        <v>488</v>
      </c>
      <c r="C1516" s="2">
        <v>46321</v>
      </c>
      <c r="D1516" t="s">
        <v>46</v>
      </c>
      <c r="E1516">
        <v>10</v>
      </c>
      <c r="F1516" s="3">
        <v>11.39</v>
      </c>
      <c r="G1516" t="s">
        <v>36</v>
      </c>
      <c r="H1516">
        <v>10</v>
      </c>
      <c r="I1516" t="s">
        <v>28</v>
      </c>
      <c r="J1516" s="4">
        <v>65.099999999999994</v>
      </c>
      <c r="K1516" s="4">
        <v>121.9</v>
      </c>
      <c r="L1516" s="4">
        <v>20.399999999999999</v>
      </c>
      <c r="M1516">
        <v>13</v>
      </c>
      <c r="N1516" t="s">
        <v>37</v>
      </c>
      <c r="O1516">
        <v>6</v>
      </c>
      <c r="P1516" s="4">
        <v>1634</v>
      </c>
      <c r="Q1516" t="s">
        <v>42</v>
      </c>
      <c r="R1516">
        <v>1</v>
      </c>
      <c r="S1516" t="s">
        <v>44</v>
      </c>
      <c r="T1516">
        <v>0</v>
      </c>
      <c r="U1516">
        <v>1</v>
      </c>
      <c r="V1516" t="s">
        <v>45</v>
      </c>
      <c r="W1516" t="s">
        <v>33</v>
      </c>
      <c r="X1516" s="4">
        <v>10.6</v>
      </c>
      <c r="Y1516">
        <v>8</v>
      </c>
      <c r="Z1516" s="5">
        <v>302.70999999999998</v>
      </c>
    </row>
    <row r="1517" spans="1:26">
      <c r="A1517">
        <v>1516</v>
      </c>
      <c r="B1517">
        <v>488</v>
      </c>
      <c r="C1517" s="2">
        <v>46321</v>
      </c>
      <c r="D1517" t="s">
        <v>46</v>
      </c>
      <c r="E1517">
        <v>10</v>
      </c>
      <c r="F1517" s="3">
        <v>11.63</v>
      </c>
      <c r="G1517" t="s">
        <v>36</v>
      </c>
      <c r="H1517">
        <v>3</v>
      </c>
      <c r="I1517" t="s">
        <v>34</v>
      </c>
      <c r="J1517" s="4">
        <v>45</v>
      </c>
      <c r="K1517" s="4">
        <v>79.3</v>
      </c>
      <c r="L1517" s="4">
        <v>27.5</v>
      </c>
      <c r="M1517">
        <v>13</v>
      </c>
      <c r="N1517" t="s">
        <v>37</v>
      </c>
      <c r="O1517">
        <v>6</v>
      </c>
      <c r="P1517" s="4">
        <v>1634</v>
      </c>
      <c r="Q1517" t="s">
        <v>42</v>
      </c>
      <c r="R1517">
        <v>1</v>
      </c>
      <c r="S1517" t="s">
        <v>44</v>
      </c>
      <c r="T1517">
        <v>0</v>
      </c>
      <c r="U1517">
        <v>1</v>
      </c>
      <c r="V1517" t="s">
        <v>45</v>
      </c>
      <c r="W1517" t="s">
        <v>33</v>
      </c>
      <c r="X1517" s="4">
        <v>11.2</v>
      </c>
      <c r="Y1517">
        <v>18</v>
      </c>
      <c r="Z1517" s="5">
        <v>391.6</v>
      </c>
    </row>
    <row r="1518" spans="1:26">
      <c r="A1518">
        <v>1517</v>
      </c>
      <c r="B1518">
        <v>489</v>
      </c>
      <c r="C1518" s="2">
        <v>46246</v>
      </c>
      <c r="D1518" t="s">
        <v>52</v>
      </c>
      <c r="E1518">
        <v>8</v>
      </c>
      <c r="F1518" s="3">
        <v>13.06</v>
      </c>
      <c r="G1518" t="s">
        <v>36</v>
      </c>
      <c r="H1518">
        <v>10</v>
      </c>
      <c r="I1518" t="s">
        <v>34</v>
      </c>
      <c r="J1518" s="4">
        <v>62.3</v>
      </c>
      <c r="K1518" s="4">
        <v>81.400000000000006</v>
      </c>
      <c r="L1518" s="4">
        <v>14.6</v>
      </c>
      <c r="M1518">
        <v>14</v>
      </c>
      <c r="N1518" t="s">
        <v>47</v>
      </c>
      <c r="O1518">
        <v>1</v>
      </c>
      <c r="P1518" s="4">
        <v>54.6</v>
      </c>
      <c r="Q1518" t="s">
        <v>42</v>
      </c>
      <c r="R1518">
        <v>0</v>
      </c>
      <c r="S1518" t="s">
        <v>31</v>
      </c>
      <c r="T1518">
        <v>0</v>
      </c>
      <c r="U1518">
        <v>0</v>
      </c>
      <c r="V1518" t="s">
        <v>32</v>
      </c>
      <c r="W1518" t="s">
        <v>57</v>
      </c>
      <c r="X1518" s="4">
        <v>7.8</v>
      </c>
      <c r="Y1518">
        <v>7</v>
      </c>
      <c r="Z1518" s="5">
        <v>240.5</v>
      </c>
    </row>
    <row r="1519" spans="1:26">
      <c r="A1519">
        <v>1518</v>
      </c>
      <c r="B1519">
        <v>490</v>
      </c>
      <c r="C1519" s="2">
        <v>46081</v>
      </c>
      <c r="D1519" t="s">
        <v>40</v>
      </c>
      <c r="E1519">
        <v>2</v>
      </c>
      <c r="F1519" s="3">
        <v>11.45</v>
      </c>
      <c r="G1519" t="s">
        <v>36</v>
      </c>
      <c r="H1519">
        <v>54</v>
      </c>
      <c r="I1519" t="s">
        <v>34</v>
      </c>
      <c r="J1519" s="4">
        <v>69.400000000000006</v>
      </c>
      <c r="K1519" s="4">
        <v>224.3</v>
      </c>
      <c r="L1519" s="4">
        <v>32.799999999999997</v>
      </c>
      <c r="M1519">
        <v>14</v>
      </c>
      <c r="N1519" t="s">
        <v>41</v>
      </c>
      <c r="O1519">
        <v>2</v>
      </c>
      <c r="P1519" s="4">
        <v>1745.9</v>
      </c>
      <c r="Q1519" t="s">
        <v>30</v>
      </c>
      <c r="R1519">
        <v>0</v>
      </c>
      <c r="S1519" t="s">
        <v>38</v>
      </c>
      <c r="T1519">
        <v>1</v>
      </c>
      <c r="U1519">
        <v>0</v>
      </c>
      <c r="V1519" t="s">
        <v>32</v>
      </c>
      <c r="W1519" t="s">
        <v>49</v>
      </c>
      <c r="X1519" s="4">
        <v>9.3000000000000007</v>
      </c>
      <c r="Y1519">
        <v>13</v>
      </c>
      <c r="Z1519" s="5">
        <v>158.88</v>
      </c>
    </row>
    <row r="1520" spans="1:26">
      <c r="A1520">
        <v>1519</v>
      </c>
      <c r="B1520">
        <v>490</v>
      </c>
      <c r="C1520" s="2">
        <v>46081</v>
      </c>
      <c r="D1520" t="s">
        <v>40</v>
      </c>
      <c r="E1520">
        <v>2</v>
      </c>
      <c r="F1520" s="3">
        <v>11.29</v>
      </c>
      <c r="G1520" t="s">
        <v>36</v>
      </c>
      <c r="H1520">
        <v>13</v>
      </c>
      <c r="I1520" t="s">
        <v>34</v>
      </c>
      <c r="J1520" s="4">
        <v>66.8</v>
      </c>
      <c r="K1520" s="4">
        <v>116</v>
      </c>
      <c r="L1520" s="4">
        <v>18</v>
      </c>
      <c r="M1520">
        <v>12</v>
      </c>
      <c r="N1520" t="s">
        <v>41</v>
      </c>
      <c r="O1520">
        <v>2</v>
      </c>
      <c r="P1520" s="4">
        <v>1745.9</v>
      </c>
      <c r="Q1520" t="s">
        <v>30</v>
      </c>
      <c r="R1520">
        <v>0</v>
      </c>
      <c r="S1520" t="s">
        <v>38</v>
      </c>
      <c r="T1520">
        <v>1</v>
      </c>
      <c r="U1520">
        <v>0</v>
      </c>
      <c r="V1520" t="s">
        <v>32</v>
      </c>
      <c r="W1520" t="s">
        <v>49</v>
      </c>
      <c r="X1520" s="4">
        <v>7.1</v>
      </c>
      <c r="Y1520">
        <v>5</v>
      </c>
      <c r="Z1520" s="5">
        <v>106.39</v>
      </c>
    </row>
    <row r="1521" spans="1:26">
      <c r="A1521">
        <v>1520</v>
      </c>
      <c r="B1521">
        <v>491</v>
      </c>
      <c r="C1521" s="2">
        <v>46063</v>
      </c>
      <c r="D1521" t="s">
        <v>35</v>
      </c>
      <c r="E1521">
        <v>2</v>
      </c>
      <c r="F1521" s="3">
        <v>10.45</v>
      </c>
      <c r="G1521" t="s">
        <v>27</v>
      </c>
      <c r="H1521">
        <v>53</v>
      </c>
      <c r="I1521" t="s">
        <v>34</v>
      </c>
      <c r="J1521" s="4">
        <v>66.599999999999994</v>
      </c>
      <c r="K1521" s="4">
        <v>148.5</v>
      </c>
      <c r="L1521" s="4">
        <v>23.5</v>
      </c>
      <c r="M1521">
        <v>18</v>
      </c>
      <c r="N1521" t="s">
        <v>47</v>
      </c>
      <c r="O1521">
        <v>5</v>
      </c>
      <c r="P1521" s="4">
        <v>97.3</v>
      </c>
      <c r="Q1521" t="s">
        <v>48</v>
      </c>
      <c r="R1521">
        <v>0</v>
      </c>
      <c r="S1521" t="s">
        <v>44</v>
      </c>
      <c r="T1521">
        <v>1</v>
      </c>
      <c r="U1521">
        <v>0</v>
      </c>
      <c r="V1521" t="s">
        <v>32</v>
      </c>
      <c r="W1521" t="s">
        <v>43</v>
      </c>
      <c r="X1521" s="4">
        <v>9.6</v>
      </c>
      <c r="Y1521">
        <v>8</v>
      </c>
      <c r="Z1521" s="5">
        <v>235.92</v>
      </c>
    </row>
    <row r="1522" spans="1:26">
      <c r="A1522">
        <v>1521</v>
      </c>
      <c r="B1522">
        <v>491</v>
      </c>
      <c r="C1522" s="2">
        <v>46063</v>
      </c>
      <c r="D1522" t="s">
        <v>35</v>
      </c>
      <c r="E1522">
        <v>2</v>
      </c>
      <c r="F1522" s="3">
        <v>10.45</v>
      </c>
      <c r="G1522" t="s">
        <v>27</v>
      </c>
      <c r="H1522">
        <v>9</v>
      </c>
      <c r="I1522" t="s">
        <v>28</v>
      </c>
      <c r="J1522" s="4">
        <v>65.2</v>
      </c>
      <c r="K1522" s="4">
        <v>126.5</v>
      </c>
      <c r="L1522" s="4">
        <v>20.8</v>
      </c>
      <c r="M1522">
        <v>11</v>
      </c>
      <c r="N1522" t="s">
        <v>47</v>
      </c>
      <c r="O1522">
        <v>5</v>
      </c>
      <c r="P1522" s="4">
        <v>97.3</v>
      </c>
      <c r="Q1522" t="s">
        <v>48</v>
      </c>
      <c r="R1522">
        <v>0</v>
      </c>
      <c r="S1522" t="s">
        <v>44</v>
      </c>
      <c r="T1522">
        <v>1</v>
      </c>
      <c r="U1522">
        <v>0</v>
      </c>
      <c r="V1522" t="s">
        <v>32</v>
      </c>
      <c r="W1522" t="s">
        <v>43</v>
      </c>
      <c r="X1522" s="4">
        <v>7.7</v>
      </c>
      <c r="Y1522">
        <v>5</v>
      </c>
      <c r="Z1522" s="5">
        <v>192.98</v>
      </c>
    </row>
    <row r="1523" spans="1:26">
      <c r="A1523">
        <v>1522</v>
      </c>
      <c r="B1523">
        <v>491</v>
      </c>
      <c r="C1523" s="2">
        <v>46063</v>
      </c>
      <c r="D1523" t="s">
        <v>35</v>
      </c>
      <c r="E1523">
        <v>2</v>
      </c>
      <c r="F1523" s="3">
        <v>10.37</v>
      </c>
      <c r="G1523" t="s">
        <v>27</v>
      </c>
      <c r="H1523">
        <v>11</v>
      </c>
      <c r="I1523" t="s">
        <v>34</v>
      </c>
      <c r="J1523" s="4">
        <v>62.5</v>
      </c>
      <c r="K1523" s="4">
        <v>121.4</v>
      </c>
      <c r="L1523" s="4">
        <v>21.6</v>
      </c>
      <c r="M1523">
        <v>13</v>
      </c>
      <c r="N1523" t="s">
        <v>47</v>
      </c>
      <c r="O1523">
        <v>5</v>
      </c>
      <c r="P1523" s="4">
        <v>97.3</v>
      </c>
      <c r="Q1523" t="s">
        <v>48</v>
      </c>
      <c r="R1523">
        <v>0</v>
      </c>
      <c r="S1523" t="s">
        <v>44</v>
      </c>
      <c r="T1523">
        <v>1</v>
      </c>
      <c r="U1523">
        <v>0</v>
      </c>
      <c r="V1523" t="s">
        <v>32</v>
      </c>
      <c r="W1523" t="s">
        <v>43</v>
      </c>
      <c r="X1523" s="4">
        <v>9.8000000000000007</v>
      </c>
      <c r="Y1523">
        <v>15</v>
      </c>
      <c r="Z1523" s="5">
        <v>469.8</v>
      </c>
    </row>
    <row r="1524" spans="1:26">
      <c r="A1524">
        <v>1523</v>
      </c>
      <c r="B1524">
        <v>491</v>
      </c>
      <c r="C1524" s="2">
        <v>46063</v>
      </c>
      <c r="D1524" t="s">
        <v>35</v>
      </c>
      <c r="E1524">
        <v>2</v>
      </c>
      <c r="F1524" s="3">
        <v>10.4</v>
      </c>
      <c r="G1524" t="s">
        <v>27</v>
      </c>
      <c r="H1524">
        <v>17</v>
      </c>
      <c r="I1524" t="s">
        <v>28</v>
      </c>
      <c r="J1524" s="4">
        <v>70</v>
      </c>
      <c r="K1524" s="4">
        <v>145.30000000000001</v>
      </c>
      <c r="L1524" s="4">
        <v>20.8</v>
      </c>
      <c r="M1524">
        <v>14</v>
      </c>
      <c r="N1524" t="s">
        <v>47</v>
      </c>
      <c r="O1524">
        <v>5</v>
      </c>
      <c r="P1524" s="4">
        <v>97.3</v>
      </c>
      <c r="Q1524" t="s">
        <v>48</v>
      </c>
      <c r="R1524">
        <v>0</v>
      </c>
      <c r="S1524" t="s">
        <v>44</v>
      </c>
      <c r="T1524">
        <v>1</v>
      </c>
      <c r="U1524">
        <v>0</v>
      </c>
      <c r="V1524" t="s">
        <v>32</v>
      </c>
      <c r="W1524" t="s">
        <v>43</v>
      </c>
      <c r="X1524" s="4">
        <v>7.6</v>
      </c>
      <c r="Y1524">
        <v>6</v>
      </c>
      <c r="Z1524" s="5">
        <v>202.69</v>
      </c>
    </row>
    <row r="1525" spans="1:26">
      <c r="A1525">
        <v>1524</v>
      </c>
      <c r="B1525">
        <v>491</v>
      </c>
      <c r="C1525" s="2">
        <v>46063</v>
      </c>
      <c r="D1525" t="s">
        <v>35</v>
      </c>
      <c r="E1525">
        <v>2</v>
      </c>
      <c r="F1525" s="3">
        <v>10.38</v>
      </c>
      <c r="G1525" t="s">
        <v>27</v>
      </c>
      <c r="H1525">
        <v>40</v>
      </c>
      <c r="I1525" t="s">
        <v>34</v>
      </c>
      <c r="J1525" s="4">
        <v>64.599999999999994</v>
      </c>
      <c r="K1525" s="4">
        <v>172.9</v>
      </c>
      <c r="L1525" s="4">
        <v>29</v>
      </c>
      <c r="M1525">
        <v>21</v>
      </c>
      <c r="N1525" t="s">
        <v>47</v>
      </c>
      <c r="O1525">
        <v>5</v>
      </c>
      <c r="P1525" s="4">
        <v>97.3</v>
      </c>
      <c r="Q1525" t="s">
        <v>48</v>
      </c>
      <c r="R1525">
        <v>0</v>
      </c>
      <c r="S1525" t="s">
        <v>44</v>
      </c>
      <c r="T1525">
        <v>1</v>
      </c>
      <c r="U1525">
        <v>0</v>
      </c>
      <c r="V1525" t="s">
        <v>32</v>
      </c>
      <c r="W1525" t="s">
        <v>43</v>
      </c>
      <c r="X1525" s="4">
        <v>7.1</v>
      </c>
      <c r="Y1525">
        <v>10</v>
      </c>
      <c r="Z1525" s="5">
        <v>325.07</v>
      </c>
    </row>
    <row r="1526" spans="1:26">
      <c r="A1526">
        <v>1525</v>
      </c>
      <c r="B1526">
        <v>492</v>
      </c>
      <c r="C1526" s="2">
        <v>46114</v>
      </c>
      <c r="D1526" t="s">
        <v>55</v>
      </c>
      <c r="E1526">
        <v>4</v>
      </c>
      <c r="F1526" s="3">
        <v>11.16</v>
      </c>
      <c r="G1526" t="s">
        <v>36</v>
      </c>
      <c r="H1526">
        <v>40</v>
      </c>
      <c r="I1526" t="s">
        <v>28</v>
      </c>
      <c r="J1526" s="4">
        <v>62.9</v>
      </c>
      <c r="K1526" s="4">
        <v>144.1</v>
      </c>
      <c r="L1526" s="4">
        <v>25.8</v>
      </c>
      <c r="M1526">
        <v>16</v>
      </c>
      <c r="N1526" t="s">
        <v>47</v>
      </c>
      <c r="O1526">
        <v>4</v>
      </c>
      <c r="P1526" s="4">
        <v>75.3</v>
      </c>
      <c r="Q1526" t="s">
        <v>42</v>
      </c>
      <c r="R1526">
        <v>0</v>
      </c>
      <c r="S1526" t="s">
        <v>44</v>
      </c>
      <c r="T1526">
        <v>0</v>
      </c>
      <c r="U1526">
        <v>0</v>
      </c>
      <c r="V1526" t="s">
        <v>32</v>
      </c>
      <c r="W1526" t="s">
        <v>43</v>
      </c>
      <c r="X1526" s="4">
        <v>8</v>
      </c>
      <c r="Y1526">
        <v>10</v>
      </c>
      <c r="Z1526" s="5">
        <v>182.74</v>
      </c>
    </row>
    <row r="1527" spans="1:26">
      <c r="A1527">
        <v>1526</v>
      </c>
      <c r="B1527">
        <v>492</v>
      </c>
      <c r="C1527" s="2">
        <v>46114</v>
      </c>
      <c r="D1527" t="s">
        <v>55</v>
      </c>
      <c r="E1527">
        <v>4</v>
      </c>
      <c r="F1527" s="3">
        <v>11.22</v>
      </c>
      <c r="G1527" t="s">
        <v>36</v>
      </c>
      <c r="H1527">
        <v>18</v>
      </c>
      <c r="I1527" t="s">
        <v>34</v>
      </c>
      <c r="J1527" s="4">
        <v>65.5</v>
      </c>
      <c r="K1527" s="4">
        <v>130.19999999999999</v>
      </c>
      <c r="L1527" s="4">
        <v>21.3</v>
      </c>
      <c r="M1527">
        <v>12</v>
      </c>
      <c r="N1527" t="s">
        <v>47</v>
      </c>
      <c r="O1527">
        <v>4</v>
      </c>
      <c r="P1527" s="4">
        <v>75.3</v>
      </c>
      <c r="Q1527" t="s">
        <v>42</v>
      </c>
      <c r="R1527">
        <v>0</v>
      </c>
      <c r="S1527" t="s">
        <v>44</v>
      </c>
      <c r="T1527">
        <v>0</v>
      </c>
      <c r="U1527">
        <v>0</v>
      </c>
      <c r="V1527" t="s">
        <v>32</v>
      </c>
      <c r="W1527" t="s">
        <v>43</v>
      </c>
      <c r="X1527" s="4">
        <v>7.8</v>
      </c>
      <c r="Y1527">
        <v>7</v>
      </c>
      <c r="Z1527" s="5">
        <v>118.5</v>
      </c>
    </row>
    <row r="1528" spans="1:26">
      <c r="A1528">
        <v>1527</v>
      </c>
      <c r="B1528">
        <v>492</v>
      </c>
      <c r="C1528" s="2">
        <v>46114</v>
      </c>
      <c r="D1528" t="s">
        <v>55</v>
      </c>
      <c r="E1528">
        <v>4</v>
      </c>
      <c r="F1528" s="3">
        <v>11.21</v>
      </c>
      <c r="G1528" t="s">
        <v>36</v>
      </c>
      <c r="H1528">
        <v>18</v>
      </c>
      <c r="I1528" t="s">
        <v>28</v>
      </c>
      <c r="J1528" s="4">
        <v>71.900000000000006</v>
      </c>
      <c r="K1528" s="4">
        <v>198.3</v>
      </c>
      <c r="L1528" s="4">
        <v>26.9</v>
      </c>
      <c r="M1528">
        <v>13</v>
      </c>
      <c r="N1528" t="s">
        <v>47</v>
      </c>
      <c r="O1528">
        <v>4</v>
      </c>
      <c r="P1528" s="4">
        <v>75.3</v>
      </c>
      <c r="Q1528" t="s">
        <v>42</v>
      </c>
      <c r="R1528">
        <v>0</v>
      </c>
      <c r="S1528" t="s">
        <v>44</v>
      </c>
      <c r="T1528">
        <v>0</v>
      </c>
      <c r="U1528">
        <v>0</v>
      </c>
      <c r="V1528" t="s">
        <v>32</v>
      </c>
      <c r="W1528" t="s">
        <v>43</v>
      </c>
      <c r="X1528" s="4">
        <v>8.9</v>
      </c>
      <c r="Y1528">
        <v>5</v>
      </c>
      <c r="Z1528" s="5">
        <v>210.49</v>
      </c>
    </row>
    <row r="1529" spans="1:26">
      <c r="A1529">
        <v>1528</v>
      </c>
      <c r="B1529">
        <v>492</v>
      </c>
      <c r="C1529" s="2">
        <v>46114</v>
      </c>
      <c r="D1529" t="s">
        <v>55</v>
      </c>
      <c r="E1529">
        <v>4</v>
      </c>
      <c r="F1529" s="3">
        <v>11.24</v>
      </c>
      <c r="G1529" t="s">
        <v>36</v>
      </c>
      <c r="H1529">
        <v>54</v>
      </c>
      <c r="I1529" t="s">
        <v>28</v>
      </c>
      <c r="J1529" s="4">
        <v>67</v>
      </c>
      <c r="K1529" s="4">
        <v>181</v>
      </c>
      <c r="L1529" s="4">
        <v>28.5</v>
      </c>
      <c r="M1529">
        <v>17</v>
      </c>
      <c r="N1529" t="s">
        <v>47</v>
      </c>
      <c r="O1529">
        <v>4</v>
      </c>
      <c r="P1529" s="4">
        <v>75.3</v>
      </c>
      <c r="Q1529" t="s">
        <v>42</v>
      </c>
      <c r="R1529">
        <v>0</v>
      </c>
      <c r="S1529" t="s">
        <v>44</v>
      </c>
      <c r="T1529">
        <v>0</v>
      </c>
      <c r="U1529">
        <v>0</v>
      </c>
      <c r="V1529" t="s">
        <v>32</v>
      </c>
      <c r="W1529" t="s">
        <v>43</v>
      </c>
      <c r="X1529" s="4">
        <v>9.8000000000000007</v>
      </c>
      <c r="Y1529">
        <v>9</v>
      </c>
      <c r="Z1529" s="5">
        <v>263.23</v>
      </c>
    </row>
    <row r="1530" spans="1:26">
      <c r="A1530">
        <v>1529</v>
      </c>
      <c r="B1530">
        <v>493</v>
      </c>
      <c r="C1530" s="2">
        <v>46349</v>
      </c>
      <c r="D1530" t="s">
        <v>46</v>
      </c>
      <c r="E1530">
        <v>11</v>
      </c>
      <c r="F1530" s="3">
        <v>9.65</v>
      </c>
      <c r="G1530" t="s">
        <v>27</v>
      </c>
      <c r="H1530">
        <v>42</v>
      </c>
      <c r="I1530" t="s">
        <v>34</v>
      </c>
      <c r="J1530" s="4">
        <v>63.3</v>
      </c>
      <c r="K1530" s="4">
        <v>144.80000000000001</v>
      </c>
      <c r="L1530" s="4">
        <v>25.4</v>
      </c>
      <c r="M1530">
        <v>15</v>
      </c>
      <c r="N1530" t="s">
        <v>47</v>
      </c>
      <c r="O1530">
        <v>3</v>
      </c>
      <c r="P1530" s="4">
        <v>83</v>
      </c>
      <c r="Q1530" t="s">
        <v>42</v>
      </c>
      <c r="R1530">
        <v>1</v>
      </c>
      <c r="S1530" t="s">
        <v>31</v>
      </c>
      <c r="T1530">
        <v>1</v>
      </c>
      <c r="U1530">
        <v>0</v>
      </c>
      <c r="V1530" t="s">
        <v>32</v>
      </c>
      <c r="W1530" t="s">
        <v>43</v>
      </c>
      <c r="X1530" s="4">
        <v>11.2</v>
      </c>
      <c r="Y1530">
        <v>12</v>
      </c>
      <c r="Z1530" s="5">
        <v>184.11</v>
      </c>
    </row>
    <row r="1531" spans="1:26">
      <c r="A1531">
        <v>1530</v>
      </c>
      <c r="B1531">
        <v>493</v>
      </c>
      <c r="C1531" s="2">
        <v>46349</v>
      </c>
      <c r="D1531" t="s">
        <v>46</v>
      </c>
      <c r="E1531">
        <v>11</v>
      </c>
      <c r="F1531" s="3">
        <v>9.69</v>
      </c>
      <c r="G1531" t="s">
        <v>27</v>
      </c>
      <c r="H1531">
        <v>69</v>
      </c>
      <c r="I1531" t="s">
        <v>28</v>
      </c>
      <c r="J1531" s="4">
        <v>71.8</v>
      </c>
      <c r="K1531" s="4">
        <v>188.6</v>
      </c>
      <c r="L1531" s="4">
        <v>25.4</v>
      </c>
      <c r="M1531">
        <v>18</v>
      </c>
      <c r="N1531" t="s">
        <v>47</v>
      </c>
      <c r="O1531">
        <v>3</v>
      </c>
      <c r="P1531" s="4">
        <v>83</v>
      </c>
      <c r="Q1531" t="s">
        <v>42</v>
      </c>
      <c r="R1531">
        <v>1</v>
      </c>
      <c r="S1531" t="s">
        <v>31</v>
      </c>
      <c r="T1531">
        <v>1</v>
      </c>
      <c r="U1531">
        <v>0</v>
      </c>
      <c r="V1531" t="s">
        <v>32</v>
      </c>
      <c r="W1531" t="s">
        <v>43</v>
      </c>
      <c r="X1531" s="4">
        <v>7</v>
      </c>
      <c r="Y1531">
        <v>5</v>
      </c>
      <c r="Z1531" s="5">
        <v>136.24</v>
      </c>
    </row>
    <row r="1532" spans="1:26">
      <c r="A1532">
        <v>1531</v>
      </c>
      <c r="B1532">
        <v>493</v>
      </c>
      <c r="C1532" s="2">
        <v>46349</v>
      </c>
      <c r="D1532" t="s">
        <v>46</v>
      </c>
      <c r="E1532">
        <v>11</v>
      </c>
      <c r="F1532" s="3">
        <v>9.61</v>
      </c>
      <c r="G1532" t="s">
        <v>27</v>
      </c>
      <c r="H1532">
        <v>18</v>
      </c>
      <c r="I1532" t="s">
        <v>28</v>
      </c>
      <c r="J1532" s="4">
        <v>71.7</v>
      </c>
      <c r="K1532" s="4">
        <v>196.9</v>
      </c>
      <c r="L1532" s="4">
        <v>27.1</v>
      </c>
      <c r="M1532">
        <v>14</v>
      </c>
      <c r="N1532" t="s">
        <v>47</v>
      </c>
      <c r="O1532">
        <v>3</v>
      </c>
      <c r="P1532" s="4">
        <v>83</v>
      </c>
      <c r="Q1532" t="s">
        <v>42</v>
      </c>
      <c r="R1532">
        <v>1</v>
      </c>
      <c r="S1532" t="s">
        <v>31</v>
      </c>
      <c r="T1532">
        <v>1</v>
      </c>
      <c r="U1532">
        <v>0</v>
      </c>
      <c r="V1532" t="s">
        <v>32</v>
      </c>
      <c r="W1532" t="s">
        <v>43</v>
      </c>
      <c r="X1532" s="4">
        <v>12</v>
      </c>
      <c r="Y1532">
        <v>10</v>
      </c>
      <c r="Z1532" s="5">
        <v>435.23</v>
      </c>
    </row>
    <row r="1533" spans="1:26">
      <c r="A1533">
        <v>1532</v>
      </c>
      <c r="B1533">
        <v>494</v>
      </c>
      <c r="C1533" s="2">
        <v>46308</v>
      </c>
      <c r="D1533" t="s">
        <v>35</v>
      </c>
      <c r="E1533">
        <v>10</v>
      </c>
      <c r="F1533" s="3">
        <v>11.8</v>
      </c>
      <c r="G1533" t="s">
        <v>36</v>
      </c>
      <c r="H1533">
        <v>58</v>
      </c>
      <c r="I1533" t="s">
        <v>28</v>
      </c>
      <c r="J1533" s="4">
        <v>68.3</v>
      </c>
      <c r="K1533" s="4">
        <v>154.9</v>
      </c>
      <c r="L1533" s="4">
        <v>23.5</v>
      </c>
      <c r="M1533">
        <v>13</v>
      </c>
      <c r="N1533" t="s">
        <v>66</v>
      </c>
      <c r="O1533">
        <v>1</v>
      </c>
      <c r="P1533" s="4">
        <v>612.20000000000005</v>
      </c>
      <c r="Q1533" t="s">
        <v>30</v>
      </c>
      <c r="R1533">
        <v>1</v>
      </c>
      <c r="S1533" t="s">
        <v>44</v>
      </c>
      <c r="T1533">
        <v>0</v>
      </c>
      <c r="U1533">
        <v>0</v>
      </c>
      <c r="V1533" t="s">
        <v>32</v>
      </c>
      <c r="W1533" t="s">
        <v>57</v>
      </c>
      <c r="X1533" s="4">
        <v>6.9</v>
      </c>
      <c r="Y1533">
        <v>3</v>
      </c>
      <c r="Z1533" s="5">
        <v>165.85</v>
      </c>
    </row>
    <row r="1534" spans="1:26">
      <c r="A1534">
        <v>1533</v>
      </c>
      <c r="B1534">
        <v>495</v>
      </c>
      <c r="C1534" s="2">
        <v>46219</v>
      </c>
      <c r="D1534" t="s">
        <v>55</v>
      </c>
      <c r="E1534">
        <v>7</v>
      </c>
      <c r="F1534" s="3">
        <v>10.67</v>
      </c>
      <c r="G1534" t="s">
        <v>27</v>
      </c>
      <c r="H1534">
        <v>64</v>
      </c>
      <c r="I1534" t="s">
        <v>34</v>
      </c>
      <c r="J1534" s="4">
        <v>63.7</v>
      </c>
      <c r="K1534" s="4">
        <v>153.80000000000001</v>
      </c>
      <c r="L1534" s="4">
        <v>26.6</v>
      </c>
      <c r="M1534">
        <v>15</v>
      </c>
      <c r="N1534" t="s">
        <v>47</v>
      </c>
      <c r="O1534">
        <v>1</v>
      </c>
      <c r="P1534" s="4">
        <v>105.5</v>
      </c>
      <c r="Q1534" t="s">
        <v>42</v>
      </c>
      <c r="R1534">
        <v>1</v>
      </c>
      <c r="S1534" t="s">
        <v>38</v>
      </c>
      <c r="T1534">
        <v>1</v>
      </c>
      <c r="U1534">
        <v>0</v>
      </c>
      <c r="V1534" t="s">
        <v>32</v>
      </c>
      <c r="W1534" t="s">
        <v>39</v>
      </c>
      <c r="X1534" s="4">
        <v>8.6</v>
      </c>
      <c r="Y1534">
        <v>18</v>
      </c>
      <c r="Z1534" s="5">
        <v>276.45999999999998</v>
      </c>
    </row>
    <row r="1535" spans="1:26">
      <c r="A1535">
        <v>1534</v>
      </c>
      <c r="B1535">
        <v>496</v>
      </c>
      <c r="C1535" s="2">
        <v>46351</v>
      </c>
      <c r="D1535" t="s">
        <v>52</v>
      </c>
      <c r="E1535">
        <v>11</v>
      </c>
      <c r="F1535" s="3">
        <v>9.86</v>
      </c>
      <c r="G1535" t="s">
        <v>27</v>
      </c>
      <c r="H1535">
        <v>21</v>
      </c>
      <c r="I1535" t="s">
        <v>28</v>
      </c>
      <c r="J1535" s="4">
        <v>69.099999999999994</v>
      </c>
      <c r="K1535" s="4">
        <v>159.30000000000001</v>
      </c>
      <c r="L1535" s="4">
        <v>23.4</v>
      </c>
      <c r="M1535">
        <v>17</v>
      </c>
      <c r="N1535" t="s">
        <v>61</v>
      </c>
      <c r="O1535">
        <v>1</v>
      </c>
      <c r="P1535" s="4">
        <v>619.6</v>
      </c>
      <c r="Q1535" t="s">
        <v>48</v>
      </c>
      <c r="R1535">
        <v>1</v>
      </c>
      <c r="S1535" t="s">
        <v>31</v>
      </c>
      <c r="T1535">
        <v>0</v>
      </c>
      <c r="U1535">
        <v>1</v>
      </c>
      <c r="V1535" t="s">
        <v>32</v>
      </c>
      <c r="W1535" t="s">
        <v>33</v>
      </c>
      <c r="X1535" s="4">
        <v>9</v>
      </c>
      <c r="Y1535">
        <v>8</v>
      </c>
      <c r="Z1535" s="5">
        <v>330.06</v>
      </c>
    </row>
    <row r="1536" spans="1:26">
      <c r="A1536">
        <v>1535</v>
      </c>
      <c r="B1536">
        <v>497</v>
      </c>
      <c r="C1536" s="2">
        <v>46292</v>
      </c>
      <c r="D1536" t="s">
        <v>58</v>
      </c>
      <c r="E1536">
        <v>9</v>
      </c>
      <c r="F1536" s="3">
        <v>12.87</v>
      </c>
      <c r="G1536" t="s">
        <v>36</v>
      </c>
      <c r="H1536">
        <v>13</v>
      </c>
      <c r="I1536" t="s">
        <v>34</v>
      </c>
      <c r="J1536" s="4">
        <v>65.599999999999994</v>
      </c>
      <c r="K1536" s="4">
        <v>129.9</v>
      </c>
      <c r="L1536" s="4">
        <v>21.1</v>
      </c>
      <c r="M1536">
        <v>13</v>
      </c>
      <c r="N1536" t="s">
        <v>47</v>
      </c>
      <c r="O1536">
        <v>5</v>
      </c>
      <c r="P1536" s="4">
        <v>9</v>
      </c>
      <c r="Q1536" t="s">
        <v>42</v>
      </c>
      <c r="R1536">
        <v>0</v>
      </c>
      <c r="S1536" t="s">
        <v>38</v>
      </c>
      <c r="T1536">
        <v>0</v>
      </c>
      <c r="U1536">
        <v>0</v>
      </c>
      <c r="V1536" t="s">
        <v>45</v>
      </c>
      <c r="W1536" t="s">
        <v>49</v>
      </c>
      <c r="X1536" s="4">
        <v>8.8000000000000007</v>
      </c>
      <c r="Y1536">
        <v>11</v>
      </c>
      <c r="Z1536" s="5">
        <v>291.81</v>
      </c>
    </row>
    <row r="1537" spans="1:26">
      <c r="A1537">
        <v>1536</v>
      </c>
      <c r="B1537">
        <v>497</v>
      </c>
      <c r="C1537" s="2">
        <v>46292</v>
      </c>
      <c r="D1537" t="s">
        <v>58</v>
      </c>
      <c r="E1537">
        <v>9</v>
      </c>
      <c r="F1537" s="3">
        <v>13.39</v>
      </c>
      <c r="G1537" t="s">
        <v>36</v>
      </c>
      <c r="H1537">
        <v>38</v>
      </c>
      <c r="I1537" t="s">
        <v>28</v>
      </c>
      <c r="J1537" s="4">
        <v>67.900000000000006</v>
      </c>
      <c r="K1537" s="4">
        <v>173.6</v>
      </c>
      <c r="L1537" s="4">
        <v>26.3</v>
      </c>
      <c r="M1537">
        <v>14</v>
      </c>
      <c r="N1537" t="s">
        <v>47</v>
      </c>
      <c r="O1537">
        <v>5</v>
      </c>
      <c r="P1537" s="4">
        <v>9</v>
      </c>
      <c r="Q1537" t="s">
        <v>42</v>
      </c>
      <c r="R1537">
        <v>0</v>
      </c>
      <c r="S1537" t="s">
        <v>38</v>
      </c>
      <c r="T1537">
        <v>0</v>
      </c>
      <c r="U1537">
        <v>0</v>
      </c>
      <c r="V1537" t="s">
        <v>45</v>
      </c>
      <c r="W1537" t="s">
        <v>49</v>
      </c>
      <c r="X1537" s="4">
        <v>6.9</v>
      </c>
      <c r="Y1537">
        <v>4</v>
      </c>
      <c r="Z1537" s="5">
        <v>144.11000000000001</v>
      </c>
    </row>
    <row r="1538" spans="1:26">
      <c r="A1538">
        <v>1537</v>
      </c>
      <c r="B1538">
        <v>497</v>
      </c>
      <c r="C1538" s="2">
        <v>46292</v>
      </c>
      <c r="D1538" t="s">
        <v>58</v>
      </c>
      <c r="E1538">
        <v>9</v>
      </c>
      <c r="F1538" s="3">
        <v>13.2</v>
      </c>
      <c r="G1538" t="s">
        <v>36</v>
      </c>
      <c r="H1538">
        <v>59</v>
      </c>
      <c r="I1538" t="s">
        <v>28</v>
      </c>
      <c r="J1538" s="4">
        <v>69.5</v>
      </c>
      <c r="K1538" s="4">
        <v>182</v>
      </c>
      <c r="L1538" s="4">
        <v>26.7</v>
      </c>
      <c r="M1538">
        <v>14</v>
      </c>
      <c r="N1538" t="s">
        <v>47</v>
      </c>
      <c r="O1538">
        <v>5</v>
      </c>
      <c r="P1538" s="4">
        <v>9</v>
      </c>
      <c r="Q1538" t="s">
        <v>42</v>
      </c>
      <c r="R1538">
        <v>0</v>
      </c>
      <c r="S1538" t="s">
        <v>38</v>
      </c>
      <c r="T1538">
        <v>0</v>
      </c>
      <c r="U1538">
        <v>0</v>
      </c>
      <c r="V1538" t="s">
        <v>45</v>
      </c>
      <c r="W1538" t="s">
        <v>49</v>
      </c>
      <c r="X1538" s="4">
        <v>8.1</v>
      </c>
      <c r="Y1538">
        <v>5</v>
      </c>
      <c r="Z1538" s="5">
        <v>123.36</v>
      </c>
    </row>
    <row r="1539" spans="1:26">
      <c r="A1539">
        <v>1538</v>
      </c>
      <c r="B1539">
        <v>497</v>
      </c>
      <c r="C1539" s="2">
        <v>46292</v>
      </c>
      <c r="D1539" t="s">
        <v>58</v>
      </c>
      <c r="E1539">
        <v>9</v>
      </c>
      <c r="F1539" s="3">
        <v>13.22</v>
      </c>
      <c r="G1539" t="s">
        <v>36</v>
      </c>
      <c r="H1539">
        <v>30</v>
      </c>
      <c r="I1539" t="s">
        <v>28</v>
      </c>
      <c r="J1539" s="4">
        <v>69.7</v>
      </c>
      <c r="K1539" s="4">
        <v>192</v>
      </c>
      <c r="L1539" s="4">
        <v>28.2</v>
      </c>
      <c r="M1539">
        <v>12</v>
      </c>
      <c r="N1539" t="s">
        <v>47</v>
      </c>
      <c r="O1539">
        <v>5</v>
      </c>
      <c r="P1539" s="4">
        <v>9</v>
      </c>
      <c r="Q1539" t="s">
        <v>42</v>
      </c>
      <c r="R1539">
        <v>0</v>
      </c>
      <c r="S1539" t="s">
        <v>38</v>
      </c>
      <c r="T1539">
        <v>0</v>
      </c>
      <c r="U1539">
        <v>0</v>
      </c>
      <c r="V1539" t="s">
        <v>45</v>
      </c>
      <c r="W1539" t="s">
        <v>49</v>
      </c>
      <c r="X1539" s="4">
        <v>7.4</v>
      </c>
      <c r="Y1539">
        <v>7</v>
      </c>
      <c r="Z1539" s="5">
        <v>164.34</v>
      </c>
    </row>
    <row r="1540" spans="1:26">
      <c r="A1540">
        <v>1539</v>
      </c>
      <c r="B1540">
        <v>497</v>
      </c>
      <c r="C1540" s="2">
        <v>46292</v>
      </c>
      <c r="D1540" t="s">
        <v>58</v>
      </c>
      <c r="E1540">
        <v>9</v>
      </c>
      <c r="F1540" s="3">
        <v>12.97</v>
      </c>
      <c r="G1540" t="s">
        <v>36</v>
      </c>
      <c r="H1540">
        <v>28</v>
      </c>
      <c r="I1540" t="s">
        <v>34</v>
      </c>
      <c r="J1540" s="4">
        <v>64.8</v>
      </c>
      <c r="K1540" s="4">
        <v>152.6</v>
      </c>
      <c r="L1540" s="4">
        <v>25.5</v>
      </c>
      <c r="M1540">
        <v>15</v>
      </c>
      <c r="N1540" t="s">
        <v>47</v>
      </c>
      <c r="O1540">
        <v>5</v>
      </c>
      <c r="P1540" s="4">
        <v>9</v>
      </c>
      <c r="Q1540" t="s">
        <v>42</v>
      </c>
      <c r="R1540">
        <v>0</v>
      </c>
      <c r="S1540" t="s">
        <v>38</v>
      </c>
      <c r="T1540">
        <v>0</v>
      </c>
      <c r="U1540">
        <v>0</v>
      </c>
      <c r="V1540" t="s">
        <v>45</v>
      </c>
      <c r="W1540" t="s">
        <v>49</v>
      </c>
      <c r="X1540" s="4">
        <v>9.9</v>
      </c>
      <c r="Y1540">
        <v>6</v>
      </c>
      <c r="Z1540" s="5">
        <v>263.27</v>
      </c>
    </row>
    <row r="1541" spans="1:26">
      <c r="A1541">
        <v>1540</v>
      </c>
      <c r="B1541">
        <v>498</v>
      </c>
      <c r="C1541" s="2">
        <v>46299</v>
      </c>
      <c r="D1541" t="s">
        <v>58</v>
      </c>
      <c r="E1541">
        <v>10</v>
      </c>
      <c r="F1541" s="3">
        <v>9.58</v>
      </c>
      <c r="G1541" t="s">
        <v>27</v>
      </c>
      <c r="H1541">
        <v>49</v>
      </c>
      <c r="I1541" t="s">
        <v>28</v>
      </c>
      <c r="J1541" s="4">
        <v>65.900000000000006</v>
      </c>
      <c r="K1541" s="4">
        <v>151.4</v>
      </c>
      <c r="L1541" s="4">
        <v>24.4</v>
      </c>
      <c r="M1541">
        <v>18</v>
      </c>
      <c r="N1541" t="s">
        <v>60</v>
      </c>
      <c r="O1541">
        <v>2</v>
      </c>
      <c r="P1541" s="4">
        <v>1585.9</v>
      </c>
      <c r="Q1541" t="s">
        <v>42</v>
      </c>
      <c r="R1541">
        <v>1</v>
      </c>
      <c r="S1541" t="s">
        <v>44</v>
      </c>
      <c r="T1541">
        <v>0</v>
      </c>
      <c r="U1541">
        <v>0</v>
      </c>
      <c r="V1541" t="s">
        <v>32</v>
      </c>
      <c r="W1541" t="s">
        <v>57</v>
      </c>
      <c r="X1541" s="4">
        <v>7.6</v>
      </c>
      <c r="Y1541">
        <v>6</v>
      </c>
      <c r="Z1541" s="5">
        <v>194.26</v>
      </c>
    </row>
    <row r="1542" spans="1:26">
      <c r="A1542">
        <v>1541</v>
      </c>
      <c r="B1542">
        <v>498</v>
      </c>
      <c r="C1542" s="2">
        <v>46299</v>
      </c>
      <c r="D1542" t="s">
        <v>58</v>
      </c>
      <c r="E1542">
        <v>10</v>
      </c>
      <c r="F1542" s="3">
        <v>9.68</v>
      </c>
      <c r="G1542" t="s">
        <v>27</v>
      </c>
      <c r="H1542">
        <v>68</v>
      </c>
      <c r="I1542" t="s">
        <v>34</v>
      </c>
      <c r="J1542" s="4">
        <v>63.5</v>
      </c>
      <c r="K1542" s="4">
        <v>154.4</v>
      </c>
      <c r="L1542" s="4">
        <v>26.6</v>
      </c>
      <c r="M1542">
        <v>13</v>
      </c>
      <c r="N1542" t="s">
        <v>60</v>
      </c>
      <c r="O1542">
        <v>2</v>
      </c>
      <c r="P1542" s="4">
        <v>1585.9</v>
      </c>
      <c r="Q1542" t="s">
        <v>42</v>
      </c>
      <c r="R1542">
        <v>1</v>
      </c>
      <c r="S1542" t="s">
        <v>44</v>
      </c>
      <c r="T1542">
        <v>0</v>
      </c>
      <c r="U1542">
        <v>0</v>
      </c>
      <c r="V1542" t="s">
        <v>32</v>
      </c>
      <c r="W1542" t="s">
        <v>57</v>
      </c>
      <c r="X1542" s="4">
        <v>6.5</v>
      </c>
      <c r="Y1542">
        <v>10</v>
      </c>
      <c r="Z1542" s="5">
        <v>265.82</v>
      </c>
    </row>
    <row r="1543" spans="1:26">
      <c r="A1543">
        <v>1542</v>
      </c>
      <c r="B1543">
        <v>499</v>
      </c>
      <c r="C1543" s="2">
        <v>46104</v>
      </c>
      <c r="D1543" t="s">
        <v>46</v>
      </c>
      <c r="E1543">
        <v>3</v>
      </c>
      <c r="F1543" s="3">
        <v>11.41</v>
      </c>
      <c r="G1543" t="s">
        <v>36</v>
      </c>
      <c r="H1543">
        <v>50</v>
      </c>
      <c r="I1543" t="s">
        <v>34</v>
      </c>
      <c r="J1543" s="4">
        <v>64.900000000000006</v>
      </c>
      <c r="K1543" s="4">
        <v>167.4</v>
      </c>
      <c r="L1543" s="4">
        <v>27.8</v>
      </c>
      <c r="M1543">
        <v>16</v>
      </c>
      <c r="N1543" t="s">
        <v>50</v>
      </c>
      <c r="O1543">
        <v>4</v>
      </c>
      <c r="P1543" s="4">
        <v>412.4</v>
      </c>
      <c r="Q1543" t="s">
        <v>42</v>
      </c>
      <c r="R1543">
        <v>1</v>
      </c>
      <c r="S1543" t="s">
        <v>38</v>
      </c>
      <c r="T1543">
        <v>0</v>
      </c>
      <c r="U1543">
        <v>0</v>
      </c>
      <c r="V1543" t="s">
        <v>32</v>
      </c>
      <c r="W1543" t="s">
        <v>39</v>
      </c>
      <c r="X1543" s="4">
        <v>7</v>
      </c>
      <c r="Y1543">
        <v>10</v>
      </c>
      <c r="Z1543" s="5">
        <v>202.23</v>
      </c>
    </row>
    <row r="1544" spans="1:26">
      <c r="A1544">
        <v>1543</v>
      </c>
      <c r="B1544">
        <v>499</v>
      </c>
      <c r="C1544" s="2">
        <v>46104</v>
      </c>
      <c r="D1544" t="s">
        <v>46</v>
      </c>
      <c r="E1544">
        <v>3</v>
      </c>
      <c r="F1544" s="3">
        <v>11.57</v>
      </c>
      <c r="G1544" t="s">
        <v>36</v>
      </c>
      <c r="H1544">
        <v>53</v>
      </c>
      <c r="I1544" t="s">
        <v>28</v>
      </c>
      <c r="J1544" s="4">
        <v>67.099999999999994</v>
      </c>
      <c r="K1544" s="4">
        <v>186.4</v>
      </c>
      <c r="L1544" s="4">
        <v>29.1</v>
      </c>
      <c r="M1544">
        <v>16</v>
      </c>
      <c r="N1544" t="s">
        <v>50</v>
      </c>
      <c r="O1544">
        <v>4</v>
      </c>
      <c r="P1544" s="4">
        <v>412.4</v>
      </c>
      <c r="Q1544" t="s">
        <v>42</v>
      </c>
      <c r="R1544">
        <v>1</v>
      </c>
      <c r="S1544" t="s">
        <v>38</v>
      </c>
      <c r="T1544">
        <v>0</v>
      </c>
      <c r="U1544">
        <v>0</v>
      </c>
      <c r="V1544" t="s">
        <v>32</v>
      </c>
      <c r="W1544" t="s">
        <v>39</v>
      </c>
      <c r="X1544" s="4">
        <v>7.5</v>
      </c>
      <c r="Y1544">
        <v>8</v>
      </c>
      <c r="Z1544" s="5">
        <v>460.16</v>
      </c>
    </row>
    <row r="1545" spans="1:26">
      <c r="A1545">
        <v>1544</v>
      </c>
      <c r="B1545">
        <v>499</v>
      </c>
      <c r="C1545" s="2">
        <v>46104</v>
      </c>
      <c r="D1545" t="s">
        <v>46</v>
      </c>
      <c r="E1545">
        <v>3</v>
      </c>
      <c r="F1545" s="3">
        <v>11.33</v>
      </c>
      <c r="G1545" t="s">
        <v>36</v>
      </c>
      <c r="H1545">
        <v>28</v>
      </c>
      <c r="I1545" t="s">
        <v>28</v>
      </c>
      <c r="J1545" s="4">
        <v>69.599999999999994</v>
      </c>
      <c r="K1545" s="4">
        <v>186.3</v>
      </c>
      <c r="L1545" s="4">
        <v>27.3</v>
      </c>
      <c r="M1545">
        <v>15</v>
      </c>
      <c r="N1545" t="s">
        <v>50</v>
      </c>
      <c r="O1545">
        <v>4</v>
      </c>
      <c r="P1545" s="4">
        <v>412.4</v>
      </c>
      <c r="Q1545" t="s">
        <v>42</v>
      </c>
      <c r="R1545">
        <v>1</v>
      </c>
      <c r="S1545" t="s">
        <v>38</v>
      </c>
      <c r="T1545">
        <v>0</v>
      </c>
      <c r="U1545">
        <v>0</v>
      </c>
      <c r="V1545" t="s">
        <v>32</v>
      </c>
      <c r="W1545" t="s">
        <v>39</v>
      </c>
      <c r="X1545" s="4">
        <v>7.8</v>
      </c>
      <c r="Y1545">
        <v>9</v>
      </c>
      <c r="Z1545" s="5">
        <v>196.52</v>
      </c>
    </row>
    <row r="1546" spans="1:26">
      <c r="A1546">
        <v>1545</v>
      </c>
      <c r="B1546">
        <v>499</v>
      </c>
      <c r="C1546" s="2">
        <v>46104</v>
      </c>
      <c r="D1546" t="s">
        <v>46</v>
      </c>
      <c r="E1546">
        <v>3</v>
      </c>
      <c r="F1546" s="3">
        <v>11.54</v>
      </c>
      <c r="G1546" t="s">
        <v>36</v>
      </c>
      <c r="H1546">
        <v>85</v>
      </c>
      <c r="I1546" t="s">
        <v>28</v>
      </c>
      <c r="J1546" s="4">
        <v>74.099999999999994</v>
      </c>
      <c r="K1546" s="4">
        <v>173.9</v>
      </c>
      <c r="L1546" s="4">
        <v>22.6</v>
      </c>
      <c r="M1546">
        <v>17</v>
      </c>
      <c r="N1546" t="s">
        <v>50</v>
      </c>
      <c r="O1546">
        <v>4</v>
      </c>
      <c r="P1546" s="4">
        <v>412.4</v>
      </c>
      <c r="Q1546" t="s">
        <v>42</v>
      </c>
      <c r="R1546">
        <v>1</v>
      </c>
      <c r="S1546" t="s">
        <v>38</v>
      </c>
      <c r="T1546">
        <v>0</v>
      </c>
      <c r="U1546">
        <v>0</v>
      </c>
      <c r="V1546" t="s">
        <v>32</v>
      </c>
      <c r="W1546" t="s">
        <v>39</v>
      </c>
      <c r="X1546" s="4">
        <v>8.1999999999999993</v>
      </c>
      <c r="Y1546">
        <v>8</v>
      </c>
      <c r="Z1546" s="5">
        <v>264.81</v>
      </c>
    </row>
    <row r="1547" spans="1:26">
      <c r="A1547">
        <v>1546</v>
      </c>
      <c r="B1547">
        <v>500</v>
      </c>
      <c r="C1547" s="2">
        <v>46109</v>
      </c>
      <c r="D1547" t="s">
        <v>40</v>
      </c>
      <c r="E1547">
        <v>3</v>
      </c>
      <c r="F1547" s="3">
        <v>9.99</v>
      </c>
      <c r="G1547" t="s">
        <v>27</v>
      </c>
      <c r="H1547">
        <v>32</v>
      </c>
      <c r="I1547" t="s">
        <v>34</v>
      </c>
      <c r="J1547" s="4">
        <v>64.400000000000006</v>
      </c>
      <c r="K1547" s="4">
        <v>154.19999999999999</v>
      </c>
      <c r="L1547" s="4">
        <v>26</v>
      </c>
      <c r="M1547">
        <v>16</v>
      </c>
      <c r="N1547" t="s">
        <v>47</v>
      </c>
      <c r="O1547">
        <v>3</v>
      </c>
      <c r="P1547" s="4">
        <v>101.6</v>
      </c>
      <c r="Q1547" t="s">
        <v>30</v>
      </c>
      <c r="R1547">
        <v>1</v>
      </c>
      <c r="S1547" t="s">
        <v>31</v>
      </c>
      <c r="T1547">
        <v>1</v>
      </c>
      <c r="U1547">
        <v>0</v>
      </c>
      <c r="V1547" t="s">
        <v>32</v>
      </c>
      <c r="W1547" t="s">
        <v>43</v>
      </c>
      <c r="X1547" s="4">
        <v>9.1999999999999993</v>
      </c>
      <c r="Y1547">
        <v>13</v>
      </c>
      <c r="Z1547" s="5">
        <v>291.07</v>
      </c>
    </row>
    <row r="1548" spans="1:26">
      <c r="A1548">
        <v>1547</v>
      </c>
      <c r="B1548">
        <v>500</v>
      </c>
      <c r="C1548" s="2">
        <v>46109</v>
      </c>
      <c r="D1548" t="s">
        <v>40</v>
      </c>
      <c r="E1548">
        <v>3</v>
      </c>
      <c r="F1548" s="3">
        <v>10.039999999999999</v>
      </c>
      <c r="G1548" t="s">
        <v>27</v>
      </c>
      <c r="H1548">
        <v>58</v>
      </c>
      <c r="I1548" t="s">
        <v>28</v>
      </c>
      <c r="J1548" s="4">
        <v>66.8</v>
      </c>
      <c r="K1548" s="4">
        <v>163.1</v>
      </c>
      <c r="L1548" s="4">
        <v>25.6</v>
      </c>
      <c r="M1548">
        <v>14</v>
      </c>
      <c r="N1548" t="s">
        <v>47</v>
      </c>
      <c r="O1548">
        <v>3</v>
      </c>
      <c r="P1548" s="4">
        <v>101.6</v>
      </c>
      <c r="Q1548" t="s">
        <v>30</v>
      </c>
      <c r="R1548">
        <v>1</v>
      </c>
      <c r="S1548" t="s">
        <v>31</v>
      </c>
      <c r="T1548">
        <v>1</v>
      </c>
      <c r="U1548">
        <v>0</v>
      </c>
      <c r="V1548" t="s">
        <v>32</v>
      </c>
      <c r="W1548" t="s">
        <v>43</v>
      </c>
      <c r="X1548" s="4">
        <v>8.8000000000000007</v>
      </c>
      <c r="Y1548">
        <v>12</v>
      </c>
      <c r="Z1548" s="5">
        <v>162.1</v>
      </c>
    </row>
    <row r="1549" spans="1:26">
      <c r="A1549">
        <v>1548</v>
      </c>
      <c r="B1549">
        <v>500</v>
      </c>
      <c r="C1549" s="2">
        <v>46109</v>
      </c>
      <c r="D1549" t="s">
        <v>40</v>
      </c>
      <c r="E1549">
        <v>3</v>
      </c>
      <c r="F1549" s="3">
        <v>9.6300000000000008</v>
      </c>
      <c r="G1549" t="s">
        <v>27</v>
      </c>
      <c r="H1549">
        <v>41</v>
      </c>
      <c r="I1549" t="s">
        <v>34</v>
      </c>
      <c r="J1549" s="4">
        <v>58.8</v>
      </c>
      <c r="K1549" s="4">
        <v>153.30000000000001</v>
      </c>
      <c r="L1549" s="4">
        <v>31.1</v>
      </c>
      <c r="M1549">
        <v>13</v>
      </c>
      <c r="N1549" t="s">
        <v>47</v>
      </c>
      <c r="O1549">
        <v>3</v>
      </c>
      <c r="P1549" s="4">
        <v>101.6</v>
      </c>
      <c r="Q1549" t="s">
        <v>30</v>
      </c>
      <c r="R1549">
        <v>1</v>
      </c>
      <c r="S1549" t="s">
        <v>31</v>
      </c>
      <c r="T1549">
        <v>1</v>
      </c>
      <c r="U1549">
        <v>0</v>
      </c>
      <c r="V1549" t="s">
        <v>32</v>
      </c>
      <c r="W1549" t="s">
        <v>43</v>
      </c>
      <c r="X1549" s="4">
        <v>8.5</v>
      </c>
      <c r="Y1549">
        <v>6</v>
      </c>
      <c r="Z1549" s="5">
        <v>210.69</v>
      </c>
    </row>
    <row r="1550" spans="1:26">
      <c r="A1550">
        <v>1549</v>
      </c>
      <c r="B1550">
        <v>501</v>
      </c>
      <c r="C1550" s="2">
        <v>46095</v>
      </c>
      <c r="D1550" t="s">
        <v>40</v>
      </c>
      <c r="E1550">
        <v>3</v>
      </c>
      <c r="F1550" s="3">
        <v>11.17</v>
      </c>
      <c r="G1550" t="s">
        <v>36</v>
      </c>
      <c r="H1550">
        <v>9</v>
      </c>
      <c r="I1550" t="s">
        <v>34</v>
      </c>
      <c r="J1550" s="4">
        <v>56.1</v>
      </c>
      <c r="K1550" s="4">
        <v>85.2</v>
      </c>
      <c r="L1550" s="4">
        <v>18.899999999999999</v>
      </c>
      <c r="M1550">
        <v>17</v>
      </c>
      <c r="N1550" t="s">
        <v>56</v>
      </c>
      <c r="O1550">
        <v>2</v>
      </c>
      <c r="P1550" s="4">
        <v>260.8</v>
      </c>
      <c r="Q1550" t="s">
        <v>48</v>
      </c>
      <c r="R1550">
        <v>1</v>
      </c>
      <c r="S1550" t="s">
        <v>44</v>
      </c>
      <c r="T1550">
        <v>1</v>
      </c>
      <c r="U1550">
        <v>1</v>
      </c>
      <c r="V1550" t="s">
        <v>32</v>
      </c>
      <c r="W1550" t="s">
        <v>33</v>
      </c>
      <c r="X1550" s="4">
        <v>7.9</v>
      </c>
      <c r="Y1550">
        <v>6</v>
      </c>
      <c r="Z1550" s="5">
        <v>363.29</v>
      </c>
    </row>
    <row r="1551" spans="1:26">
      <c r="A1551">
        <v>1550</v>
      </c>
      <c r="B1551">
        <v>501</v>
      </c>
      <c r="C1551" s="2">
        <v>46095</v>
      </c>
      <c r="D1551" t="s">
        <v>40</v>
      </c>
      <c r="E1551">
        <v>3</v>
      </c>
      <c r="F1551" s="3">
        <v>11.22</v>
      </c>
      <c r="G1551" t="s">
        <v>36</v>
      </c>
      <c r="H1551">
        <v>24</v>
      </c>
      <c r="I1551" t="s">
        <v>34</v>
      </c>
      <c r="J1551" s="4">
        <v>60.1</v>
      </c>
      <c r="K1551" s="4">
        <v>113.6</v>
      </c>
      <c r="L1551" s="4">
        <v>22.3</v>
      </c>
      <c r="M1551">
        <v>16</v>
      </c>
      <c r="N1551" t="s">
        <v>56</v>
      </c>
      <c r="O1551">
        <v>2</v>
      </c>
      <c r="P1551" s="4">
        <v>260.8</v>
      </c>
      <c r="Q1551" t="s">
        <v>48</v>
      </c>
      <c r="R1551">
        <v>1</v>
      </c>
      <c r="S1551" t="s">
        <v>44</v>
      </c>
      <c r="T1551">
        <v>1</v>
      </c>
      <c r="U1551">
        <v>1</v>
      </c>
      <c r="V1551" t="s">
        <v>32</v>
      </c>
      <c r="W1551" t="s">
        <v>33</v>
      </c>
      <c r="X1551" s="4">
        <v>8.1999999999999993</v>
      </c>
      <c r="Y1551">
        <v>12</v>
      </c>
      <c r="Z1551" s="5">
        <v>357.5</v>
      </c>
    </row>
    <row r="1552" spans="1:26">
      <c r="A1552">
        <v>1551</v>
      </c>
      <c r="B1552">
        <v>502</v>
      </c>
      <c r="C1552" s="2">
        <v>46242</v>
      </c>
      <c r="D1552" t="s">
        <v>40</v>
      </c>
      <c r="E1552">
        <v>8</v>
      </c>
      <c r="F1552" s="3">
        <v>7.57</v>
      </c>
      <c r="G1552" t="s">
        <v>27</v>
      </c>
      <c r="H1552">
        <v>43</v>
      </c>
      <c r="I1552" t="s">
        <v>34</v>
      </c>
      <c r="J1552" s="4">
        <v>65.3</v>
      </c>
      <c r="K1552" s="4">
        <v>143.9</v>
      </c>
      <c r="L1552" s="4">
        <v>23.9</v>
      </c>
      <c r="M1552">
        <v>16</v>
      </c>
      <c r="N1552" t="s">
        <v>47</v>
      </c>
      <c r="O1552">
        <v>2</v>
      </c>
      <c r="P1552" s="4">
        <v>117.7</v>
      </c>
      <c r="Q1552" t="s">
        <v>42</v>
      </c>
      <c r="R1552">
        <v>1</v>
      </c>
      <c r="S1552" t="s">
        <v>44</v>
      </c>
      <c r="T1552">
        <v>0</v>
      </c>
      <c r="U1552">
        <v>0</v>
      </c>
      <c r="V1552" t="s">
        <v>32</v>
      </c>
      <c r="W1552" t="s">
        <v>43</v>
      </c>
      <c r="X1552" s="4">
        <v>9.4</v>
      </c>
      <c r="Y1552">
        <v>8</v>
      </c>
      <c r="Z1552" s="5">
        <v>148.86000000000001</v>
      </c>
    </row>
    <row r="1553" spans="1:26">
      <c r="A1553">
        <v>1552</v>
      </c>
      <c r="B1553">
        <v>502</v>
      </c>
      <c r="C1553" s="2">
        <v>46242</v>
      </c>
      <c r="D1553" t="s">
        <v>40</v>
      </c>
      <c r="E1553">
        <v>8</v>
      </c>
      <c r="F1553" s="3">
        <v>7.38</v>
      </c>
      <c r="G1553" t="s">
        <v>27</v>
      </c>
      <c r="H1553">
        <v>43</v>
      </c>
      <c r="I1553" t="s">
        <v>28</v>
      </c>
      <c r="J1553" s="4">
        <v>70</v>
      </c>
      <c r="K1553" s="4">
        <v>162.80000000000001</v>
      </c>
      <c r="L1553" s="4">
        <v>23.2</v>
      </c>
      <c r="M1553">
        <v>16</v>
      </c>
      <c r="N1553" t="s">
        <v>47</v>
      </c>
      <c r="O1553">
        <v>2</v>
      </c>
      <c r="P1553" s="4">
        <v>117.7</v>
      </c>
      <c r="Q1553" t="s">
        <v>42</v>
      </c>
      <c r="R1553">
        <v>1</v>
      </c>
      <c r="S1553" t="s">
        <v>44</v>
      </c>
      <c r="T1553">
        <v>0</v>
      </c>
      <c r="U1553">
        <v>0</v>
      </c>
      <c r="V1553" t="s">
        <v>32</v>
      </c>
      <c r="W1553" t="s">
        <v>43</v>
      </c>
      <c r="X1553" s="4">
        <v>10.1</v>
      </c>
      <c r="Y1553">
        <v>9</v>
      </c>
      <c r="Z1553" s="5">
        <v>181.42</v>
      </c>
    </row>
    <row r="1554" spans="1:26">
      <c r="A1554">
        <v>1553</v>
      </c>
      <c r="B1554">
        <v>503</v>
      </c>
      <c r="C1554" s="2">
        <v>46365</v>
      </c>
      <c r="D1554" t="s">
        <v>52</v>
      </c>
      <c r="E1554">
        <v>12</v>
      </c>
      <c r="F1554" s="3">
        <v>10.48</v>
      </c>
      <c r="G1554" t="s">
        <v>27</v>
      </c>
      <c r="H1554">
        <v>33</v>
      </c>
      <c r="I1554" t="s">
        <v>28</v>
      </c>
      <c r="J1554" s="4">
        <v>67.3</v>
      </c>
      <c r="K1554" s="4">
        <v>149.9</v>
      </c>
      <c r="L1554" s="4">
        <v>23.2</v>
      </c>
      <c r="M1554">
        <v>15</v>
      </c>
      <c r="N1554" t="s">
        <v>61</v>
      </c>
      <c r="O1554">
        <v>4</v>
      </c>
      <c r="P1554" s="4">
        <v>890.7</v>
      </c>
      <c r="Q1554" t="s">
        <v>30</v>
      </c>
      <c r="R1554">
        <v>1</v>
      </c>
      <c r="S1554" t="s">
        <v>44</v>
      </c>
      <c r="T1554">
        <v>0</v>
      </c>
      <c r="U1554">
        <v>0</v>
      </c>
      <c r="V1554" t="s">
        <v>32</v>
      </c>
      <c r="W1554" t="s">
        <v>39</v>
      </c>
      <c r="X1554" s="4">
        <v>7</v>
      </c>
      <c r="Y1554">
        <v>9</v>
      </c>
      <c r="Z1554" s="5">
        <v>228.29</v>
      </c>
    </row>
    <row r="1555" spans="1:26">
      <c r="A1555">
        <v>1554</v>
      </c>
      <c r="B1555">
        <v>503</v>
      </c>
      <c r="C1555" s="2">
        <v>46365</v>
      </c>
      <c r="D1555" t="s">
        <v>52</v>
      </c>
      <c r="E1555">
        <v>12</v>
      </c>
      <c r="F1555" s="3">
        <v>10.35</v>
      </c>
      <c r="G1555" t="s">
        <v>27</v>
      </c>
      <c r="H1555">
        <v>12</v>
      </c>
      <c r="I1555" t="s">
        <v>34</v>
      </c>
      <c r="J1555" s="4">
        <v>60.4</v>
      </c>
      <c r="K1555" s="4">
        <v>94</v>
      </c>
      <c r="L1555" s="4">
        <v>18</v>
      </c>
      <c r="M1555">
        <v>7</v>
      </c>
      <c r="N1555" t="s">
        <v>61</v>
      </c>
      <c r="O1555">
        <v>4</v>
      </c>
      <c r="P1555" s="4">
        <v>890.7</v>
      </c>
      <c r="Q1555" t="s">
        <v>30</v>
      </c>
      <c r="R1555">
        <v>1</v>
      </c>
      <c r="S1555" t="s">
        <v>44</v>
      </c>
      <c r="T1555">
        <v>0</v>
      </c>
      <c r="U1555">
        <v>0</v>
      </c>
      <c r="V1555" t="s">
        <v>32</v>
      </c>
      <c r="W1555" t="s">
        <v>39</v>
      </c>
      <c r="X1555" s="4">
        <v>9.6999999999999993</v>
      </c>
      <c r="Y1555">
        <v>8</v>
      </c>
      <c r="Z1555" s="5">
        <v>232.84</v>
      </c>
    </row>
    <row r="1556" spans="1:26">
      <c r="A1556">
        <v>1555</v>
      </c>
      <c r="B1556">
        <v>503</v>
      </c>
      <c r="C1556" s="2">
        <v>46365</v>
      </c>
      <c r="D1556" t="s">
        <v>52</v>
      </c>
      <c r="E1556">
        <v>12</v>
      </c>
      <c r="F1556" s="3">
        <v>10.39</v>
      </c>
      <c r="G1556" t="s">
        <v>27</v>
      </c>
      <c r="H1556">
        <v>54</v>
      </c>
      <c r="I1556" t="s">
        <v>28</v>
      </c>
      <c r="J1556" s="4">
        <v>69.8</v>
      </c>
      <c r="K1556" s="4">
        <v>205.8</v>
      </c>
      <c r="L1556" s="4">
        <v>29.5</v>
      </c>
      <c r="M1556">
        <v>15</v>
      </c>
      <c r="N1556" t="s">
        <v>61</v>
      </c>
      <c r="O1556">
        <v>4</v>
      </c>
      <c r="P1556" s="4">
        <v>890.7</v>
      </c>
      <c r="Q1556" t="s">
        <v>30</v>
      </c>
      <c r="R1556">
        <v>1</v>
      </c>
      <c r="S1556" t="s">
        <v>44</v>
      </c>
      <c r="T1556">
        <v>0</v>
      </c>
      <c r="U1556">
        <v>0</v>
      </c>
      <c r="V1556" t="s">
        <v>32</v>
      </c>
      <c r="W1556" t="s">
        <v>39</v>
      </c>
      <c r="X1556" s="4">
        <v>9.1</v>
      </c>
      <c r="Y1556">
        <v>4</v>
      </c>
      <c r="Z1556" s="5">
        <v>117.2</v>
      </c>
    </row>
    <row r="1557" spans="1:26">
      <c r="A1557">
        <v>1556</v>
      </c>
      <c r="B1557">
        <v>503</v>
      </c>
      <c r="C1557" s="2">
        <v>46365</v>
      </c>
      <c r="D1557" t="s">
        <v>52</v>
      </c>
      <c r="E1557">
        <v>12</v>
      </c>
      <c r="F1557" s="3">
        <v>10.16</v>
      </c>
      <c r="G1557" t="s">
        <v>27</v>
      </c>
      <c r="H1557">
        <v>45</v>
      </c>
      <c r="I1557" t="s">
        <v>28</v>
      </c>
      <c r="J1557" s="4">
        <v>69.7</v>
      </c>
      <c r="K1557" s="4">
        <v>204.3</v>
      </c>
      <c r="L1557" s="4">
        <v>29.7</v>
      </c>
      <c r="M1557">
        <v>15</v>
      </c>
      <c r="N1557" t="s">
        <v>61</v>
      </c>
      <c r="O1557">
        <v>4</v>
      </c>
      <c r="P1557" s="4">
        <v>890.7</v>
      </c>
      <c r="Q1557" t="s">
        <v>30</v>
      </c>
      <c r="R1557">
        <v>1</v>
      </c>
      <c r="S1557" t="s">
        <v>44</v>
      </c>
      <c r="T1557">
        <v>0</v>
      </c>
      <c r="U1557">
        <v>0</v>
      </c>
      <c r="V1557" t="s">
        <v>32</v>
      </c>
      <c r="W1557" t="s">
        <v>39</v>
      </c>
      <c r="X1557" s="4">
        <v>7.7</v>
      </c>
      <c r="Y1557">
        <v>5</v>
      </c>
      <c r="Z1557" s="5">
        <v>170.12</v>
      </c>
    </row>
    <row r="1558" spans="1:26">
      <c r="A1558">
        <v>1557</v>
      </c>
      <c r="B1558">
        <v>504</v>
      </c>
      <c r="C1558" s="2">
        <v>46024</v>
      </c>
      <c r="D1558" t="s">
        <v>26</v>
      </c>
      <c r="E1558">
        <v>1</v>
      </c>
      <c r="F1558" s="3">
        <v>11.96</v>
      </c>
      <c r="G1558" t="s">
        <v>36</v>
      </c>
      <c r="H1558">
        <v>59</v>
      </c>
      <c r="I1558" t="s">
        <v>28</v>
      </c>
      <c r="J1558" s="4">
        <v>69.400000000000006</v>
      </c>
      <c r="K1558" s="4">
        <v>173.5</v>
      </c>
      <c r="L1558" s="4">
        <v>25.1</v>
      </c>
      <c r="M1558">
        <v>17</v>
      </c>
      <c r="N1558" t="s">
        <v>47</v>
      </c>
      <c r="O1558">
        <v>3</v>
      </c>
      <c r="P1558" s="4">
        <v>2</v>
      </c>
      <c r="Q1558" t="s">
        <v>42</v>
      </c>
      <c r="R1558">
        <v>0</v>
      </c>
      <c r="S1558" t="s">
        <v>44</v>
      </c>
      <c r="T1558">
        <v>0</v>
      </c>
      <c r="U1558">
        <v>0</v>
      </c>
      <c r="V1558" t="s">
        <v>45</v>
      </c>
      <c r="W1558" t="s">
        <v>39</v>
      </c>
      <c r="X1558" s="4">
        <v>5.3</v>
      </c>
      <c r="Y1558">
        <v>8</v>
      </c>
      <c r="Z1558" s="5">
        <v>236.84</v>
      </c>
    </row>
    <row r="1559" spans="1:26">
      <c r="A1559">
        <v>1558</v>
      </c>
      <c r="B1559">
        <v>504</v>
      </c>
      <c r="C1559" s="2">
        <v>46024</v>
      </c>
      <c r="D1559" t="s">
        <v>26</v>
      </c>
      <c r="E1559">
        <v>1</v>
      </c>
      <c r="F1559" s="3">
        <v>12.26</v>
      </c>
      <c r="G1559" t="s">
        <v>36</v>
      </c>
      <c r="H1559">
        <v>20</v>
      </c>
      <c r="I1559" t="s">
        <v>28</v>
      </c>
      <c r="J1559" s="4">
        <v>70</v>
      </c>
      <c r="K1559" s="4">
        <v>172.9</v>
      </c>
      <c r="L1559" s="4">
        <v>24.7</v>
      </c>
      <c r="M1559">
        <v>12</v>
      </c>
      <c r="N1559" t="s">
        <v>47</v>
      </c>
      <c r="O1559">
        <v>3</v>
      </c>
      <c r="P1559" s="4">
        <v>2</v>
      </c>
      <c r="Q1559" t="s">
        <v>42</v>
      </c>
      <c r="R1559">
        <v>0</v>
      </c>
      <c r="S1559" t="s">
        <v>44</v>
      </c>
      <c r="T1559">
        <v>0</v>
      </c>
      <c r="U1559">
        <v>0</v>
      </c>
      <c r="V1559" t="s">
        <v>45</v>
      </c>
      <c r="W1559" t="s">
        <v>39</v>
      </c>
      <c r="X1559" s="4">
        <v>8.4</v>
      </c>
      <c r="Y1559">
        <v>11</v>
      </c>
      <c r="Z1559" s="5">
        <v>149.38999999999999</v>
      </c>
    </row>
    <row r="1560" spans="1:26">
      <c r="A1560">
        <v>1559</v>
      </c>
      <c r="B1560">
        <v>504</v>
      </c>
      <c r="C1560" s="2">
        <v>46024</v>
      </c>
      <c r="D1560" t="s">
        <v>26</v>
      </c>
      <c r="E1560">
        <v>1</v>
      </c>
      <c r="F1560" s="3">
        <v>12.25</v>
      </c>
      <c r="G1560" t="s">
        <v>36</v>
      </c>
      <c r="H1560">
        <v>49</v>
      </c>
      <c r="I1560" t="s">
        <v>28</v>
      </c>
      <c r="J1560" s="4">
        <v>75.400000000000006</v>
      </c>
      <c r="K1560" s="4">
        <v>185.8</v>
      </c>
      <c r="L1560" s="4">
        <v>22.9</v>
      </c>
      <c r="M1560">
        <v>14</v>
      </c>
      <c r="N1560" t="s">
        <v>47</v>
      </c>
      <c r="O1560">
        <v>3</v>
      </c>
      <c r="P1560" s="4">
        <v>2</v>
      </c>
      <c r="Q1560" t="s">
        <v>42</v>
      </c>
      <c r="R1560">
        <v>0</v>
      </c>
      <c r="S1560" t="s">
        <v>44</v>
      </c>
      <c r="T1560">
        <v>0</v>
      </c>
      <c r="U1560">
        <v>0</v>
      </c>
      <c r="V1560" t="s">
        <v>45</v>
      </c>
      <c r="W1560" t="s">
        <v>39</v>
      </c>
      <c r="X1560" s="4">
        <v>5</v>
      </c>
      <c r="Y1560">
        <v>8</v>
      </c>
      <c r="Z1560" s="5">
        <v>130.86000000000001</v>
      </c>
    </row>
    <row r="1561" spans="1:26">
      <c r="A1561">
        <v>1560</v>
      </c>
      <c r="B1561">
        <v>505</v>
      </c>
      <c r="C1561" s="2">
        <v>46237</v>
      </c>
      <c r="D1561" t="s">
        <v>46</v>
      </c>
      <c r="E1561">
        <v>8</v>
      </c>
      <c r="F1561" s="3">
        <v>9.26</v>
      </c>
      <c r="G1561" t="s">
        <v>27</v>
      </c>
      <c r="H1561">
        <v>23</v>
      </c>
      <c r="I1561" t="s">
        <v>28</v>
      </c>
      <c r="J1561" s="4">
        <v>69.8</v>
      </c>
      <c r="K1561" s="4">
        <v>141.69999999999999</v>
      </c>
      <c r="L1561" s="4">
        <v>20.399999999999999</v>
      </c>
      <c r="M1561">
        <v>18</v>
      </c>
      <c r="N1561" t="s">
        <v>50</v>
      </c>
      <c r="O1561">
        <v>4</v>
      </c>
      <c r="P1561" s="4">
        <v>518.79999999999995</v>
      </c>
      <c r="Q1561" t="s">
        <v>48</v>
      </c>
      <c r="R1561">
        <v>0</v>
      </c>
      <c r="S1561" t="s">
        <v>31</v>
      </c>
      <c r="T1561">
        <v>1</v>
      </c>
      <c r="U1561">
        <v>0</v>
      </c>
      <c r="V1561" t="s">
        <v>32</v>
      </c>
      <c r="W1561" t="s">
        <v>49</v>
      </c>
      <c r="X1561" s="4">
        <v>10.5</v>
      </c>
      <c r="Y1561">
        <v>12</v>
      </c>
      <c r="Z1561" s="5">
        <v>326.7</v>
      </c>
    </row>
    <row r="1562" spans="1:26">
      <c r="A1562">
        <v>1561</v>
      </c>
      <c r="B1562">
        <v>505</v>
      </c>
      <c r="C1562" s="2">
        <v>46237</v>
      </c>
      <c r="D1562" t="s">
        <v>46</v>
      </c>
      <c r="E1562">
        <v>8</v>
      </c>
      <c r="F1562" s="3">
        <v>9.33</v>
      </c>
      <c r="G1562" t="s">
        <v>27</v>
      </c>
      <c r="H1562">
        <v>4</v>
      </c>
      <c r="I1562" t="s">
        <v>34</v>
      </c>
      <c r="J1562" s="4">
        <v>53.1</v>
      </c>
      <c r="K1562" s="4">
        <v>79.3</v>
      </c>
      <c r="L1562" s="4">
        <v>19.8</v>
      </c>
      <c r="M1562">
        <v>14</v>
      </c>
      <c r="N1562" t="s">
        <v>50</v>
      </c>
      <c r="O1562">
        <v>4</v>
      </c>
      <c r="P1562" s="4">
        <v>518.79999999999995</v>
      </c>
      <c r="Q1562" t="s">
        <v>48</v>
      </c>
      <c r="R1562">
        <v>0</v>
      </c>
      <c r="S1562" t="s">
        <v>31</v>
      </c>
      <c r="T1562">
        <v>1</v>
      </c>
      <c r="U1562">
        <v>0</v>
      </c>
      <c r="V1562" t="s">
        <v>32</v>
      </c>
      <c r="W1562" t="s">
        <v>49</v>
      </c>
      <c r="X1562" s="4">
        <v>5.6</v>
      </c>
      <c r="Y1562">
        <v>3</v>
      </c>
      <c r="Z1562" s="5">
        <v>146.24</v>
      </c>
    </row>
    <row r="1563" spans="1:26">
      <c r="A1563">
        <v>1562</v>
      </c>
      <c r="B1563">
        <v>505</v>
      </c>
      <c r="C1563" s="2">
        <v>46237</v>
      </c>
      <c r="D1563" t="s">
        <v>46</v>
      </c>
      <c r="E1563">
        <v>8</v>
      </c>
      <c r="F1563" s="3">
        <v>9.34</v>
      </c>
      <c r="G1563" t="s">
        <v>27</v>
      </c>
      <c r="H1563">
        <v>5</v>
      </c>
      <c r="I1563" t="s">
        <v>28</v>
      </c>
      <c r="J1563" s="4">
        <v>51</v>
      </c>
      <c r="K1563" s="4">
        <v>82.3</v>
      </c>
      <c r="L1563" s="4">
        <v>22.3</v>
      </c>
      <c r="M1563">
        <v>14</v>
      </c>
      <c r="N1563" t="s">
        <v>50</v>
      </c>
      <c r="O1563">
        <v>4</v>
      </c>
      <c r="P1563" s="4">
        <v>518.79999999999995</v>
      </c>
      <c r="Q1563" t="s">
        <v>48</v>
      </c>
      <c r="R1563">
        <v>0</v>
      </c>
      <c r="S1563" t="s">
        <v>31</v>
      </c>
      <c r="T1563">
        <v>1</v>
      </c>
      <c r="U1563">
        <v>0</v>
      </c>
      <c r="V1563" t="s">
        <v>32</v>
      </c>
      <c r="W1563" t="s">
        <v>49</v>
      </c>
      <c r="X1563" s="4">
        <v>7.8</v>
      </c>
      <c r="Y1563">
        <v>7</v>
      </c>
      <c r="Z1563" s="5">
        <v>194.94</v>
      </c>
    </row>
    <row r="1564" spans="1:26">
      <c r="A1564">
        <v>1563</v>
      </c>
      <c r="B1564">
        <v>505</v>
      </c>
      <c r="C1564" s="2">
        <v>46237</v>
      </c>
      <c r="D1564" t="s">
        <v>46</v>
      </c>
      <c r="E1564">
        <v>8</v>
      </c>
      <c r="F1564" s="3">
        <v>9.34</v>
      </c>
      <c r="G1564" t="s">
        <v>27</v>
      </c>
      <c r="H1564">
        <v>58</v>
      </c>
      <c r="I1564" t="s">
        <v>28</v>
      </c>
      <c r="J1564" s="4">
        <v>74.5</v>
      </c>
      <c r="K1564" s="4">
        <v>175.8</v>
      </c>
      <c r="L1564" s="4">
        <v>22</v>
      </c>
      <c r="M1564">
        <v>21</v>
      </c>
      <c r="N1564" t="s">
        <v>50</v>
      </c>
      <c r="O1564">
        <v>4</v>
      </c>
      <c r="P1564" s="4">
        <v>518.79999999999995</v>
      </c>
      <c r="Q1564" t="s">
        <v>48</v>
      </c>
      <c r="R1564">
        <v>0</v>
      </c>
      <c r="S1564" t="s">
        <v>31</v>
      </c>
      <c r="T1564">
        <v>1</v>
      </c>
      <c r="U1564">
        <v>0</v>
      </c>
      <c r="V1564" t="s">
        <v>32</v>
      </c>
      <c r="W1564" t="s">
        <v>49</v>
      </c>
      <c r="X1564" s="4">
        <v>11.2</v>
      </c>
      <c r="Y1564">
        <v>18</v>
      </c>
      <c r="Z1564" s="5">
        <v>510.8</v>
      </c>
    </row>
    <row r="1565" spans="1:26">
      <c r="A1565">
        <v>1564</v>
      </c>
      <c r="B1565">
        <v>506</v>
      </c>
      <c r="C1565" s="2">
        <v>46173</v>
      </c>
      <c r="D1565" t="s">
        <v>58</v>
      </c>
      <c r="E1565">
        <v>5</v>
      </c>
      <c r="F1565" s="3">
        <v>8.43</v>
      </c>
      <c r="G1565" t="s">
        <v>27</v>
      </c>
      <c r="H1565">
        <v>18</v>
      </c>
      <c r="I1565" t="s">
        <v>34</v>
      </c>
      <c r="J1565" s="4">
        <v>66</v>
      </c>
      <c r="K1565" s="4">
        <v>137.9</v>
      </c>
      <c r="L1565" s="4">
        <v>22</v>
      </c>
      <c r="M1565">
        <v>14</v>
      </c>
      <c r="N1565" t="s">
        <v>47</v>
      </c>
      <c r="O1565">
        <v>4</v>
      </c>
      <c r="P1565" s="4">
        <v>37.5</v>
      </c>
      <c r="Q1565" t="s">
        <v>42</v>
      </c>
      <c r="R1565">
        <v>0</v>
      </c>
      <c r="S1565" t="s">
        <v>31</v>
      </c>
      <c r="T1565">
        <v>0</v>
      </c>
      <c r="U1565">
        <v>0</v>
      </c>
      <c r="V1565" t="s">
        <v>32</v>
      </c>
      <c r="W1565" t="s">
        <v>39</v>
      </c>
      <c r="X1565" s="4">
        <v>8.9</v>
      </c>
      <c r="Y1565">
        <v>14</v>
      </c>
      <c r="Z1565" s="5">
        <v>183.15</v>
      </c>
    </row>
    <row r="1566" spans="1:26">
      <c r="A1566">
        <v>1565</v>
      </c>
      <c r="B1566">
        <v>506</v>
      </c>
      <c r="C1566" s="2">
        <v>46173</v>
      </c>
      <c r="D1566" t="s">
        <v>58</v>
      </c>
      <c r="E1566">
        <v>5</v>
      </c>
      <c r="F1566" s="3">
        <v>8.39</v>
      </c>
      <c r="G1566" t="s">
        <v>27</v>
      </c>
      <c r="H1566">
        <v>45</v>
      </c>
      <c r="I1566" t="s">
        <v>28</v>
      </c>
      <c r="J1566" s="4">
        <v>71.5</v>
      </c>
      <c r="K1566" s="4">
        <v>189.5</v>
      </c>
      <c r="L1566" s="4">
        <v>26.2</v>
      </c>
      <c r="M1566">
        <v>18</v>
      </c>
      <c r="N1566" t="s">
        <v>47</v>
      </c>
      <c r="O1566">
        <v>4</v>
      </c>
      <c r="P1566" s="4">
        <v>37.5</v>
      </c>
      <c r="Q1566" t="s">
        <v>42</v>
      </c>
      <c r="R1566">
        <v>0</v>
      </c>
      <c r="S1566" t="s">
        <v>31</v>
      </c>
      <c r="T1566">
        <v>0</v>
      </c>
      <c r="U1566">
        <v>0</v>
      </c>
      <c r="V1566" t="s">
        <v>32</v>
      </c>
      <c r="W1566" t="s">
        <v>39</v>
      </c>
      <c r="X1566" s="4">
        <v>11.4</v>
      </c>
      <c r="Y1566">
        <v>13</v>
      </c>
      <c r="Z1566" s="5">
        <v>319.77</v>
      </c>
    </row>
    <row r="1567" spans="1:26">
      <c r="A1567">
        <v>1566</v>
      </c>
      <c r="B1567">
        <v>506</v>
      </c>
      <c r="C1567" s="2">
        <v>46173</v>
      </c>
      <c r="D1567" t="s">
        <v>58</v>
      </c>
      <c r="E1567">
        <v>5</v>
      </c>
      <c r="F1567" s="3">
        <v>8.32</v>
      </c>
      <c r="G1567" t="s">
        <v>27</v>
      </c>
      <c r="H1567">
        <v>21</v>
      </c>
      <c r="I1567" t="s">
        <v>28</v>
      </c>
      <c r="J1567" s="4">
        <v>65.400000000000006</v>
      </c>
      <c r="K1567" s="4">
        <v>124</v>
      </c>
      <c r="L1567" s="4">
        <v>20.399999999999999</v>
      </c>
      <c r="M1567">
        <v>14</v>
      </c>
      <c r="N1567" t="s">
        <v>47</v>
      </c>
      <c r="O1567">
        <v>4</v>
      </c>
      <c r="P1567" s="4">
        <v>37.5</v>
      </c>
      <c r="Q1567" t="s">
        <v>42</v>
      </c>
      <c r="R1567">
        <v>0</v>
      </c>
      <c r="S1567" t="s">
        <v>31</v>
      </c>
      <c r="T1567">
        <v>0</v>
      </c>
      <c r="U1567">
        <v>0</v>
      </c>
      <c r="V1567" t="s">
        <v>32</v>
      </c>
      <c r="W1567" t="s">
        <v>39</v>
      </c>
      <c r="X1567" s="4">
        <v>8.6999999999999993</v>
      </c>
      <c r="Y1567">
        <v>9</v>
      </c>
      <c r="Z1567" s="5">
        <v>233.89</v>
      </c>
    </row>
    <row r="1568" spans="1:26">
      <c r="A1568">
        <v>1567</v>
      </c>
      <c r="B1568">
        <v>506</v>
      </c>
      <c r="C1568" s="2">
        <v>46173</v>
      </c>
      <c r="D1568" t="s">
        <v>58</v>
      </c>
      <c r="E1568">
        <v>5</v>
      </c>
      <c r="F1568" s="3">
        <v>8.35</v>
      </c>
      <c r="G1568" t="s">
        <v>27</v>
      </c>
      <c r="H1568">
        <v>52</v>
      </c>
      <c r="I1568" t="s">
        <v>28</v>
      </c>
      <c r="J1568" s="4">
        <v>69</v>
      </c>
      <c r="K1568" s="4">
        <v>201.1</v>
      </c>
      <c r="L1568" s="4">
        <v>29.6</v>
      </c>
      <c r="M1568">
        <v>12</v>
      </c>
      <c r="N1568" t="s">
        <v>47</v>
      </c>
      <c r="O1568">
        <v>4</v>
      </c>
      <c r="P1568" s="4">
        <v>37.5</v>
      </c>
      <c r="Q1568" t="s">
        <v>42</v>
      </c>
      <c r="R1568">
        <v>0</v>
      </c>
      <c r="S1568" t="s">
        <v>31</v>
      </c>
      <c r="T1568">
        <v>0</v>
      </c>
      <c r="U1568">
        <v>0</v>
      </c>
      <c r="V1568" t="s">
        <v>32</v>
      </c>
      <c r="W1568" t="s">
        <v>39</v>
      </c>
      <c r="X1568" s="4">
        <v>7.9</v>
      </c>
      <c r="Y1568">
        <v>9</v>
      </c>
      <c r="Z1568" s="5">
        <v>237.86</v>
      </c>
    </row>
    <row r="1569" spans="1:26">
      <c r="A1569">
        <v>1568</v>
      </c>
      <c r="B1569">
        <v>507</v>
      </c>
      <c r="C1569" s="2">
        <v>46337</v>
      </c>
      <c r="D1569" t="s">
        <v>52</v>
      </c>
      <c r="E1569">
        <v>11</v>
      </c>
      <c r="F1569" s="3">
        <v>11</v>
      </c>
      <c r="G1569" t="s">
        <v>36</v>
      </c>
      <c r="H1569">
        <v>28</v>
      </c>
      <c r="I1569" t="s">
        <v>28</v>
      </c>
      <c r="J1569" s="4">
        <v>65.900000000000006</v>
      </c>
      <c r="K1569" s="4">
        <v>185.2</v>
      </c>
      <c r="L1569" s="4">
        <v>30.1</v>
      </c>
      <c r="M1569">
        <v>15</v>
      </c>
      <c r="N1569" t="s">
        <v>47</v>
      </c>
      <c r="O1569">
        <v>2</v>
      </c>
      <c r="P1569" s="4">
        <v>127.3</v>
      </c>
      <c r="Q1569" t="s">
        <v>42</v>
      </c>
      <c r="R1569">
        <v>0</v>
      </c>
      <c r="S1569" t="s">
        <v>44</v>
      </c>
      <c r="T1569">
        <v>0</v>
      </c>
      <c r="U1569">
        <v>0</v>
      </c>
      <c r="V1569" t="s">
        <v>32</v>
      </c>
      <c r="W1569" t="s">
        <v>49</v>
      </c>
      <c r="X1569" s="4">
        <v>4.9000000000000004</v>
      </c>
      <c r="Y1569">
        <v>8</v>
      </c>
      <c r="Z1569" s="5">
        <v>169.64</v>
      </c>
    </row>
    <row r="1570" spans="1:26">
      <c r="A1570">
        <v>1569</v>
      </c>
      <c r="B1570">
        <v>507</v>
      </c>
      <c r="C1570" s="2">
        <v>46337</v>
      </c>
      <c r="D1570" t="s">
        <v>52</v>
      </c>
      <c r="E1570">
        <v>11</v>
      </c>
      <c r="F1570" s="3">
        <v>10.86</v>
      </c>
      <c r="G1570" t="s">
        <v>27</v>
      </c>
      <c r="H1570">
        <v>39</v>
      </c>
      <c r="I1570" t="s">
        <v>34</v>
      </c>
      <c r="J1570" s="4">
        <v>67.900000000000006</v>
      </c>
      <c r="K1570" s="4">
        <v>160.4</v>
      </c>
      <c r="L1570" s="4">
        <v>24.4</v>
      </c>
      <c r="M1570">
        <v>15</v>
      </c>
      <c r="N1570" t="s">
        <v>47</v>
      </c>
      <c r="O1570">
        <v>2</v>
      </c>
      <c r="P1570" s="4">
        <v>127.3</v>
      </c>
      <c r="Q1570" t="s">
        <v>42</v>
      </c>
      <c r="R1570">
        <v>0</v>
      </c>
      <c r="S1570" t="s">
        <v>44</v>
      </c>
      <c r="T1570">
        <v>0</v>
      </c>
      <c r="U1570">
        <v>0</v>
      </c>
      <c r="V1570" t="s">
        <v>32</v>
      </c>
      <c r="W1570" t="s">
        <v>49</v>
      </c>
      <c r="X1570" s="4">
        <v>6.2</v>
      </c>
      <c r="Y1570">
        <v>6</v>
      </c>
      <c r="Z1570" s="5">
        <v>242.11</v>
      </c>
    </row>
    <row r="1571" spans="1:26">
      <c r="A1571">
        <v>1570</v>
      </c>
      <c r="B1571">
        <v>508</v>
      </c>
      <c r="C1571" s="2">
        <v>46200</v>
      </c>
      <c r="D1571" t="s">
        <v>40</v>
      </c>
      <c r="E1571">
        <v>6</v>
      </c>
      <c r="F1571" s="3">
        <v>11.64</v>
      </c>
      <c r="G1571" t="s">
        <v>36</v>
      </c>
      <c r="H1571">
        <v>6</v>
      </c>
      <c r="I1571" t="s">
        <v>28</v>
      </c>
      <c r="J1571" s="4">
        <v>60.7</v>
      </c>
      <c r="K1571" s="4">
        <v>98.3</v>
      </c>
      <c r="L1571" s="4">
        <v>18.8</v>
      </c>
      <c r="M1571">
        <v>13</v>
      </c>
      <c r="N1571" t="s">
        <v>47</v>
      </c>
      <c r="O1571">
        <v>2</v>
      </c>
      <c r="P1571" s="4">
        <v>104.5</v>
      </c>
      <c r="Q1571" t="s">
        <v>30</v>
      </c>
      <c r="R1571">
        <v>0</v>
      </c>
      <c r="S1571" t="s">
        <v>44</v>
      </c>
      <c r="T1571">
        <v>0</v>
      </c>
      <c r="U1571">
        <v>0</v>
      </c>
      <c r="V1571" t="s">
        <v>45</v>
      </c>
      <c r="W1571" t="s">
        <v>49</v>
      </c>
      <c r="X1571" s="4">
        <v>7.5</v>
      </c>
      <c r="Y1571">
        <v>5</v>
      </c>
      <c r="Z1571" s="5">
        <v>96.31</v>
      </c>
    </row>
    <row r="1572" spans="1:26">
      <c r="A1572">
        <v>1571</v>
      </c>
      <c r="B1572">
        <v>508</v>
      </c>
      <c r="C1572" s="2">
        <v>46200</v>
      </c>
      <c r="D1572" t="s">
        <v>40</v>
      </c>
      <c r="E1572">
        <v>6</v>
      </c>
      <c r="F1572" s="3">
        <v>11.57</v>
      </c>
      <c r="G1572" t="s">
        <v>36</v>
      </c>
      <c r="H1572">
        <v>11</v>
      </c>
      <c r="I1572" t="s">
        <v>28</v>
      </c>
      <c r="J1572" s="4">
        <v>61.2</v>
      </c>
      <c r="K1572" s="4">
        <v>116.6</v>
      </c>
      <c r="L1572" s="4">
        <v>21.9</v>
      </c>
      <c r="M1572">
        <v>9</v>
      </c>
      <c r="N1572" t="s">
        <v>47</v>
      </c>
      <c r="O1572">
        <v>2</v>
      </c>
      <c r="P1572" s="4">
        <v>104.5</v>
      </c>
      <c r="Q1572" t="s">
        <v>30</v>
      </c>
      <c r="R1572">
        <v>0</v>
      </c>
      <c r="S1572" t="s">
        <v>44</v>
      </c>
      <c r="T1572">
        <v>0</v>
      </c>
      <c r="U1572">
        <v>0</v>
      </c>
      <c r="V1572" t="s">
        <v>45</v>
      </c>
      <c r="W1572" t="s">
        <v>49</v>
      </c>
      <c r="X1572" s="4">
        <v>8.1</v>
      </c>
      <c r="Y1572">
        <v>10</v>
      </c>
      <c r="Z1572" s="5">
        <v>263.87</v>
      </c>
    </row>
    <row r="1573" spans="1:26">
      <c r="A1573">
        <v>1572</v>
      </c>
      <c r="B1573">
        <v>509</v>
      </c>
      <c r="C1573" s="2">
        <v>46166</v>
      </c>
      <c r="D1573" t="s">
        <v>58</v>
      </c>
      <c r="E1573">
        <v>5</v>
      </c>
      <c r="F1573" s="3">
        <v>12.37</v>
      </c>
      <c r="G1573" t="s">
        <v>36</v>
      </c>
      <c r="H1573">
        <v>51</v>
      </c>
      <c r="I1573" t="s">
        <v>34</v>
      </c>
      <c r="J1573" s="4">
        <v>62.8</v>
      </c>
      <c r="K1573" s="4">
        <v>175.3</v>
      </c>
      <c r="L1573" s="4">
        <v>31.1</v>
      </c>
      <c r="M1573">
        <v>13</v>
      </c>
      <c r="N1573" t="s">
        <v>56</v>
      </c>
      <c r="O1573">
        <v>2</v>
      </c>
      <c r="P1573" s="4">
        <v>304.3</v>
      </c>
      <c r="Q1573" t="s">
        <v>42</v>
      </c>
      <c r="R1573">
        <v>0</v>
      </c>
      <c r="S1573" t="s">
        <v>44</v>
      </c>
      <c r="T1573">
        <v>0</v>
      </c>
      <c r="U1573">
        <v>1</v>
      </c>
      <c r="V1573" t="s">
        <v>32</v>
      </c>
      <c r="W1573" t="s">
        <v>33</v>
      </c>
      <c r="X1573" s="4">
        <v>6.3</v>
      </c>
      <c r="Y1573">
        <v>3</v>
      </c>
      <c r="Z1573" s="5">
        <v>255.66</v>
      </c>
    </row>
    <row r="1574" spans="1:26">
      <c r="A1574">
        <v>1573</v>
      </c>
      <c r="B1574">
        <v>509</v>
      </c>
      <c r="C1574" s="2">
        <v>46166</v>
      </c>
      <c r="D1574" t="s">
        <v>58</v>
      </c>
      <c r="E1574">
        <v>5</v>
      </c>
      <c r="F1574" s="3">
        <v>12.66</v>
      </c>
      <c r="G1574" t="s">
        <v>36</v>
      </c>
      <c r="H1574">
        <v>54</v>
      </c>
      <c r="I1574" t="s">
        <v>28</v>
      </c>
      <c r="J1574" s="4">
        <v>71.7</v>
      </c>
      <c r="K1574" s="4">
        <v>173.7</v>
      </c>
      <c r="L1574" s="4">
        <v>23.8</v>
      </c>
      <c r="M1574">
        <v>14</v>
      </c>
      <c r="N1574" t="s">
        <v>56</v>
      </c>
      <c r="O1574">
        <v>2</v>
      </c>
      <c r="P1574" s="4">
        <v>304.3</v>
      </c>
      <c r="Q1574" t="s">
        <v>42</v>
      </c>
      <c r="R1574">
        <v>0</v>
      </c>
      <c r="S1574" t="s">
        <v>44</v>
      </c>
      <c r="T1574">
        <v>0</v>
      </c>
      <c r="U1574">
        <v>1</v>
      </c>
      <c r="V1574" t="s">
        <v>32</v>
      </c>
      <c r="W1574" t="s">
        <v>33</v>
      </c>
      <c r="X1574" s="4">
        <v>6.7</v>
      </c>
      <c r="Y1574">
        <v>10</v>
      </c>
      <c r="Z1574" s="5">
        <v>288.37</v>
      </c>
    </row>
    <row r="1575" spans="1:26">
      <c r="A1575">
        <v>1574</v>
      </c>
      <c r="B1575">
        <v>510</v>
      </c>
      <c r="C1575" s="2">
        <v>46196</v>
      </c>
      <c r="D1575" t="s">
        <v>35</v>
      </c>
      <c r="E1575">
        <v>6</v>
      </c>
      <c r="F1575" s="3">
        <v>9.84</v>
      </c>
      <c r="G1575" t="s">
        <v>27</v>
      </c>
      <c r="H1575">
        <v>22</v>
      </c>
      <c r="I1575" t="s">
        <v>34</v>
      </c>
      <c r="J1575" s="4">
        <v>62.4</v>
      </c>
      <c r="K1575" s="4">
        <v>121.4</v>
      </c>
      <c r="L1575" s="4">
        <v>22.2</v>
      </c>
      <c r="M1575">
        <v>15</v>
      </c>
      <c r="N1575" t="s">
        <v>47</v>
      </c>
      <c r="O1575">
        <v>2</v>
      </c>
      <c r="P1575" s="4">
        <v>100.2</v>
      </c>
      <c r="Q1575" t="s">
        <v>30</v>
      </c>
      <c r="R1575">
        <v>0</v>
      </c>
      <c r="S1575" t="s">
        <v>44</v>
      </c>
      <c r="T1575">
        <v>0</v>
      </c>
      <c r="U1575">
        <v>0</v>
      </c>
      <c r="V1575" t="s">
        <v>32</v>
      </c>
      <c r="W1575" t="s">
        <v>39</v>
      </c>
      <c r="X1575" s="4">
        <v>6.6</v>
      </c>
      <c r="Y1575">
        <v>7</v>
      </c>
      <c r="Z1575" s="5">
        <v>122.77</v>
      </c>
    </row>
    <row r="1576" spans="1:26">
      <c r="A1576">
        <v>1575</v>
      </c>
      <c r="B1576">
        <v>510</v>
      </c>
      <c r="C1576" s="2">
        <v>46196</v>
      </c>
      <c r="D1576" t="s">
        <v>35</v>
      </c>
      <c r="E1576">
        <v>6</v>
      </c>
      <c r="F1576" s="3">
        <v>9.7799999999999994</v>
      </c>
      <c r="G1576" t="s">
        <v>27</v>
      </c>
      <c r="H1576">
        <v>69</v>
      </c>
      <c r="I1576" t="s">
        <v>34</v>
      </c>
      <c r="J1576" s="4">
        <v>67.599999999999994</v>
      </c>
      <c r="K1576" s="4">
        <v>144.19999999999999</v>
      </c>
      <c r="L1576" s="4">
        <v>22.4</v>
      </c>
      <c r="M1576">
        <v>15</v>
      </c>
      <c r="N1576" t="s">
        <v>47</v>
      </c>
      <c r="O1576">
        <v>2</v>
      </c>
      <c r="P1576" s="4">
        <v>100.2</v>
      </c>
      <c r="Q1576" t="s">
        <v>30</v>
      </c>
      <c r="R1576">
        <v>0</v>
      </c>
      <c r="S1576" t="s">
        <v>44</v>
      </c>
      <c r="T1576">
        <v>0</v>
      </c>
      <c r="U1576">
        <v>0</v>
      </c>
      <c r="V1576" t="s">
        <v>32</v>
      </c>
      <c r="W1576" t="s">
        <v>39</v>
      </c>
      <c r="X1576" s="4">
        <v>8.3000000000000007</v>
      </c>
      <c r="Y1576">
        <v>9</v>
      </c>
      <c r="Z1576" s="5">
        <v>166.95</v>
      </c>
    </row>
    <row r="1577" spans="1:26">
      <c r="A1577">
        <v>1576</v>
      </c>
      <c r="B1577">
        <v>511</v>
      </c>
      <c r="C1577" s="2">
        <v>46236</v>
      </c>
      <c r="D1577" t="s">
        <v>58</v>
      </c>
      <c r="E1577">
        <v>8</v>
      </c>
      <c r="F1577" s="3">
        <v>9.11</v>
      </c>
      <c r="G1577" t="s">
        <v>27</v>
      </c>
      <c r="H1577">
        <v>73</v>
      </c>
      <c r="I1577" t="s">
        <v>34</v>
      </c>
      <c r="J1577" s="4">
        <v>67.599999999999994</v>
      </c>
      <c r="K1577" s="4">
        <v>144.9</v>
      </c>
      <c r="L1577" s="4">
        <v>22.5</v>
      </c>
      <c r="M1577">
        <v>20</v>
      </c>
      <c r="N1577" t="s">
        <v>50</v>
      </c>
      <c r="O1577">
        <v>3</v>
      </c>
      <c r="P1577" s="4">
        <v>306.7</v>
      </c>
      <c r="Q1577" t="s">
        <v>48</v>
      </c>
      <c r="R1577">
        <v>1</v>
      </c>
      <c r="S1577" t="s">
        <v>44</v>
      </c>
      <c r="T1577">
        <v>0</v>
      </c>
      <c r="U1577">
        <v>1</v>
      </c>
      <c r="V1577" t="s">
        <v>32</v>
      </c>
      <c r="W1577" t="s">
        <v>49</v>
      </c>
      <c r="X1577" s="4">
        <v>10.1</v>
      </c>
      <c r="Y1577">
        <v>6</v>
      </c>
      <c r="Z1577" s="5">
        <v>537.21</v>
      </c>
    </row>
    <row r="1578" spans="1:26">
      <c r="A1578">
        <v>1577</v>
      </c>
      <c r="B1578">
        <v>511</v>
      </c>
      <c r="C1578" s="2">
        <v>46236</v>
      </c>
      <c r="D1578" t="s">
        <v>58</v>
      </c>
      <c r="E1578">
        <v>8</v>
      </c>
      <c r="F1578" s="3">
        <v>9.43</v>
      </c>
      <c r="G1578" t="s">
        <v>27</v>
      </c>
      <c r="H1578">
        <v>18</v>
      </c>
      <c r="I1578" t="s">
        <v>28</v>
      </c>
      <c r="J1578" s="4">
        <v>64.900000000000006</v>
      </c>
      <c r="K1578" s="4">
        <v>179.8</v>
      </c>
      <c r="L1578" s="4">
        <v>30.3</v>
      </c>
      <c r="M1578">
        <v>15</v>
      </c>
      <c r="N1578" t="s">
        <v>50</v>
      </c>
      <c r="O1578">
        <v>3</v>
      </c>
      <c r="P1578" s="4">
        <v>306.7</v>
      </c>
      <c r="Q1578" t="s">
        <v>48</v>
      </c>
      <c r="R1578">
        <v>1</v>
      </c>
      <c r="S1578" t="s">
        <v>44</v>
      </c>
      <c r="T1578">
        <v>0</v>
      </c>
      <c r="U1578">
        <v>1</v>
      </c>
      <c r="V1578" t="s">
        <v>32</v>
      </c>
      <c r="W1578" t="s">
        <v>49</v>
      </c>
      <c r="X1578" s="4">
        <v>12.1</v>
      </c>
      <c r="Y1578">
        <v>12</v>
      </c>
      <c r="Z1578" s="5">
        <v>375.49</v>
      </c>
    </row>
    <row r="1579" spans="1:26">
      <c r="A1579">
        <v>1578</v>
      </c>
      <c r="B1579">
        <v>511</v>
      </c>
      <c r="C1579" s="2">
        <v>46236</v>
      </c>
      <c r="D1579" t="s">
        <v>58</v>
      </c>
      <c r="E1579">
        <v>8</v>
      </c>
      <c r="F1579" s="3">
        <v>9.23</v>
      </c>
      <c r="G1579" t="s">
        <v>27</v>
      </c>
      <c r="H1579">
        <v>50</v>
      </c>
      <c r="I1579" t="s">
        <v>34</v>
      </c>
      <c r="J1579" s="4">
        <v>61.2</v>
      </c>
      <c r="K1579" s="4">
        <v>117.6</v>
      </c>
      <c r="L1579" s="4">
        <v>21.9</v>
      </c>
      <c r="M1579">
        <v>15</v>
      </c>
      <c r="N1579" t="s">
        <v>50</v>
      </c>
      <c r="O1579">
        <v>3</v>
      </c>
      <c r="P1579" s="4">
        <v>306.7</v>
      </c>
      <c r="Q1579" t="s">
        <v>48</v>
      </c>
      <c r="R1579">
        <v>1</v>
      </c>
      <c r="S1579" t="s">
        <v>44</v>
      </c>
      <c r="T1579">
        <v>0</v>
      </c>
      <c r="U1579">
        <v>1</v>
      </c>
      <c r="V1579" t="s">
        <v>32</v>
      </c>
      <c r="W1579" t="s">
        <v>49</v>
      </c>
      <c r="X1579" s="4">
        <v>8.6</v>
      </c>
      <c r="Y1579">
        <v>5</v>
      </c>
      <c r="Z1579" s="5">
        <v>239.2</v>
      </c>
    </row>
    <row r="1580" spans="1:26">
      <c r="A1580">
        <v>1579</v>
      </c>
      <c r="B1580">
        <v>512</v>
      </c>
      <c r="C1580" s="2">
        <v>46133</v>
      </c>
      <c r="D1580" t="s">
        <v>35</v>
      </c>
      <c r="E1580">
        <v>4</v>
      </c>
      <c r="F1580" s="3">
        <v>11.63</v>
      </c>
      <c r="G1580" t="s">
        <v>36</v>
      </c>
      <c r="H1580">
        <v>69</v>
      </c>
      <c r="I1580" t="s">
        <v>28</v>
      </c>
      <c r="J1580" s="4">
        <v>65.5</v>
      </c>
      <c r="K1580" s="4">
        <v>175.8</v>
      </c>
      <c r="L1580" s="4">
        <v>28.9</v>
      </c>
      <c r="M1580">
        <v>15</v>
      </c>
      <c r="N1580" t="s">
        <v>53</v>
      </c>
      <c r="O1580">
        <v>3</v>
      </c>
      <c r="P1580" s="4">
        <v>1595</v>
      </c>
      <c r="Q1580" t="s">
        <v>42</v>
      </c>
      <c r="R1580">
        <v>1</v>
      </c>
      <c r="S1580" t="s">
        <v>44</v>
      </c>
      <c r="T1580">
        <v>0</v>
      </c>
      <c r="U1580">
        <v>0</v>
      </c>
      <c r="V1580" t="s">
        <v>64</v>
      </c>
      <c r="W1580" t="s">
        <v>57</v>
      </c>
      <c r="X1580" s="4">
        <v>8.1</v>
      </c>
      <c r="Y1580">
        <v>1</v>
      </c>
      <c r="Z1580" s="5">
        <v>131.97</v>
      </c>
    </row>
    <row r="1581" spans="1:26">
      <c r="A1581">
        <v>1580</v>
      </c>
      <c r="B1581">
        <v>512</v>
      </c>
      <c r="C1581" s="2">
        <v>46133</v>
      </c>
      <c r="D1581" t="s">
        <v>35</v>
      </c>
      <c r="E1581">
        <v>4</v>
      </c>
      <c r="F1581" s="3">
        <v>11.55</v>
      </c>
      <c r="G1581" t="s">
        <v>36</v>
      </c>
      <c r="H1581">
        <v>9</v>
      </c>
      <c r="I1581" t="s">
        <v>28</v>
      </c>
      <c r="J1581" s="4">
        <v>57.5</v>
      </c>
      <c r="K1581" s="4">
        <v>97</v>
      </c>
      <c r="L1581" s="4">
        <v>20.3</v>
      </c>
      <c r="M1581">
        <v>13</v>
      </c>
      <c r="N1581" t="s">
        <v>53</v>
      </c>
      <c r="O1581">
        <v>3</v>
      </c>
      <c r="P1581" s="4">
        <v>1595</v>
      </c>
      <c r="Q1581" t="s">
        <v>42</v>
      </c>
      <c r="R1581">
        <v>1</v>
      </c>
      <c r="S1581" t="s">
        <v>44</v>
      </c>
      <c r="T1581">
        <v>0</v>
      </c>
      <c r="U1581">
        <v>0</v>
      </c>
      <c r="V1581" t="s">
        <v>64</v>
      </c>
      <c r="W1581" t="s">
        <v>57</v>
      </c>
      <c r="X1581" s="4">
        <v>6.8</v>
      </c>
      <c r="Y1581">
        <v>8</v>
      </c>
      <c r="Z1581" s="5">
        <v>185.23</v>
      </c>
    </row>
    <row r="1582" spans="1:26">
      <c r="A1582">
        <v>1581</v>
      </c>
      <c r="B1582">
        <v>512</v>
      </c>
      <c r="C1582" s="2">
        <v>46133</v>
      </c>
      <c r="D1582" t="s">
        <v>35</v>
      </c>
      <c r="E1582">
        <v>4</v>
      </c>
      <c r="F1582" s="3">
        <v>11.88</v>
      </c>
      <c r="G1582" t="s">
        <v>36</v>
      </c>
      <c r="H1582">
        <v>59</v>
      </c>
      <c r="I1582" t="s">
        <v>28</v>
      </c>
      <c r="J1582" s="4">
        <v>67.599999999999994</v>
      </c>
      <c r="K1582" s="4">
        <v>207.1</v>
      </c>
      <c r="L1582" s="4">
        <v>32.1</v>
      </c>
      <c r="M1582">
        <v>19</v>
      </c>
      <c r="N1582" t="s">
        <v>53</v>
      </c>
      <c r="O1582">
        <v>3</v>
      </c>
      <c r="P1582" s="4">
        <v>1595</v>
      </c>
      <c r="Q1582" t="s">
        <v>42</v>
      </c>
      <c r="R1582">
        <v>1</v>
      </c>
      <c r="S1582" t="s">
        <v>44</v>
      </c>
      <c r="T1582">
        <v>0</v>
      </c>
      <c r="U1582">
        <v>0</v>
      </c>
      <c r="V1582" t="s">
        <v>64</v>
      </c>
      <c r="W1582" t="s">
        <v>57</v>
      </c>
      <c r="X1582" s="4">
        <v>8</v>
      </c>
      <c r="Y1582">
        <v>2</v>
      </c>
      <c r="Z1582" s="5">
        <v>152.21</v>
      </c>
    </row>
    <row r="1583" spans="1:26">
      <c r="A1583">
        <v>1582</v>
      </c>
      <c r="B1583">
        <v>513</v>
      </c>
      <c r="C1583" s="2">
        <v>46321</v>
      </c>
      <c r="D1583" t="s">
        <v>46</v>
      </c>
      <c r="E1583">
        <v>10</v>
      </c>
      <c r="F1583" s="3">
        <v>11.89</v>
      </c>
      <c r="G1583" t="s">
        <v>36</v>
      </c>
      <c r="H1583">
        <v>33</v>
      </c>
      <c r="I1583" t="s">
        <v>34</v>
      </c>
      <c r="J1583" s="4">
        <v>58</v>
      </c>
      <c r="K1583" s="4">
        <v>153.69999999999999</v>
      </c>
      <c r="L1583" s="4">
        <v>31.9</v>
      </c>
      <c r="M1583">
        <v>15</v>
      </c>
      <c r="N1583" t="s">
        <v>47</v>
      </c>
      <c r="O1583">
        <v>2</v>
      </c>
      <c r="P1583" s="4">
        <v>13.2</v>
      </c>
      <c r="Q1583" t="s">
        <v>42</v>
      </c>
      <c r="R1583">
        <v>0</v>
      </c>
      <c r="S1583" t="s">
        <v>31</v>
      </c>
      <c r="T1583">
        <v>0</v>
      </c>
      <c r="U1583">
        <v>1</v>
      </c>
      <c r="V1583" t="s">
        <v>64</v>
      </c>
      <c r="W1583" t="s">
        <v>33</v>
      </c>
      <c r="X1583" s="4">
        <v>9.3000000000000007</v>
      </c>
      <c r="Y1583">
        <v>7</v>
      </c>
      <c r="Z1583" s="5">
        <v>210.62</v>
      </c>
    </row>
    <row r="1584" spans="1:26">
      <c r="A1584">
        <v>1583</v>
      </c>
      <c r="B1584">
        <v>513</v>
      </c>
      <c r="C1584" s="2">
        <v>46321</v>
      </c>
      <c r="D1584" t="s">
        <v>46</v>
      </c>
      <c r="E1584">
        <v>10</v>
      </c>
      <c r="F1584" s="3">
        <v>11.9</v>
      </c>
      <c r="G1584" t="s">
        <v>36</v>
      </c>
      <c r="H1584">
        <v>53</v>
      </c>
      <c r="I1584" t="s">
        <v>34</v>
      </c>
      <c r="J1584" s="4">
        <v>60</v>
      </c>
      <c r="K1584" s="4">
        <v>152.9</v>
      </c>
      <c r="L1584" s="4">
        <v>29.7</v>
      </c>
      <c r="M1584">
        <v>18</v>
      </c>
      <c r="N1584" t="s">
        <v>47</v>
      </c>
      <c r="O1584">
        <v>2</v>
      </c>
      <c r="P1584" s="4">
        <v>13.2</v>
      </c>
      <c r="Q1584" t="s">
        <v>42</v>
      </c>
      <c r="R1584">
        <v>0</v>
      </c>
      <c r="S1584" t="s">
        <v>31</v>
      </c>
      <c r="T1584">
        <v>0</v>
      </c>
      <c r="U1584">
        <v>1</v>
      </c>
      <c r="V1584" t="s">
        <v>64</v>
      </c>
      <c r="W1584" t="s">
        <v>33</v>
      </c>
      <c r="X1584" s="4">
        <v>8</v>
      </c>
      <c r="Y1584">
        <v>5</v>
      </c>
      <c r="Z1584" s="5">
        <v>139.12</v>
      </c>
    </row>
    <row r="1585" spans="1:26">
      <c r="A1585">
        <v>1584</v>
      </c>
      <c r="B1585">
        <v>514</v>
      </c>
      <c r="C1585" s="2">
        <v>46086</v>
      </c>
      <c r="D1585" t="s">
        <v>55</v>
      </c>
      <c r="E1585">
        <v>3</v>
      </c>
      <c r="F1585" s="3">
        <v>12.04</v>
      </c>
      <c r="G1585" t="s">
        <v>36</v>
      </c>
      <c r="H1585">
        <v>46</v>
      </c>
      <c r="I1585" t="s">
        <v>34</v>
      </c>
      <c r="J1585" s="4">
        <v>62.8</v>
      </c>
      <c r="K1585" s="4">
        <v>143.30000000000001</v>
      </c>
      <c r="L1585" s="4">
        <v>25.4</v>
      </c>
      <c r="M1585">
        <v>14</v>
      </c>
      <c r="N1585" t="s">
        <v>66</v>
      </c>
      <c r="O1585">
        <v>2</v>
      </c>
      <c r="P1585" s="4">
        <v>546.79999999999995</v>
      </c>
      <c r="Q1585" t="s">
        <v>42</v>
      </c>
      <c r="R1585">
        <v>0</v>
      </c>
      <c r="S1585" t="s">
        <v>38</v>
      </c>
      <c r="T1585">
        <v>1</v>
      </c>
      <c r="U1585">
        <v>1</v>
      </c>
      <c r="V1585" t="s">
        <v>32</v>
      </c>
      <c r="W1585" t="s">
        <v>33</v>
      </c>
      <c r="X1585" s="4">
        <v>5.9</v>
      </c>
      <c r="Y1585">
        <v>6</v>
      </c>
      <c r="Z1585" s="5">
        <v>119.62</v>
      </c>
    </row>
    <row r="1586" spans="1:26">
      <c r="A1586">
        <v>1585</v>
      </c>
      <c r="B1586">
        <v>514</v>
      </c>
      <c r="C1586" s="2">
        <v>46086</v>
      </c>
      <c r="D1586" t="s">
        <v>55</v>
      </c>
      <c r="E1586">
        <v>3</v>
      </c>
      <c r="F1586" s="3">
        <v>12.3</v>
      </c>
      <c r="G1586" t="s">
        <v>36</v>
      </c>
      <c r="H1586">
        <v>28</v>
      </c>
      <c r="I1586" t="s">
        <v>28</v>
      </c>
      <c r="J1586" s="4">
        <v>69.599999999999994</v>
      </c>
      <c r="K1586" s="4">
        <v>257.7</v>
      </c>
      <c r="L1586" s="4">
        <v>37.5</v>
      </c>
      <c r="M1586">
        <v>17</v>
      </c>
      <c r="N1586" t="s">
        <v>66</v>
      </c>
      <c r="O1586">
        <v>2</v>
      </c>
      <c r="P1586" s="4">
        <v>546.79999999999995</v>
      </c>
      <c r="Q1586" t="s">
        <v>42</v>
      </c>
      <c r="R1586">
        <v>0</v>
      </c>
      <c r="S1586" t="s">
        <v>38</v>
      </c>
      <c r="T1586">
        <v>1</v>
      </c>
      <c r="U1586">
        <v>1</v>
      </c>
      <c r="V1586" t="s">
        <v>32</v>
      </c>
      <c r="W1586" t="s">
        <v>33</v>
      </c>
      <c r="X1586" s="4">
        <v>10.8</v>
      </c>
      <c r="Y1586">
        <v>9</v>
      </c>
      <c r="Z1586" s="5">
        <v>433.17</v>
      </c>
    </row>
    <row r="1587" spans="1:26">
      <c r="A1587">
        <v>1586</v>
      </c>
      <c r="B1587">
        <v>515</v>
      </c>
      <c r="C1587" s="2">
        <v>46205</v>
      </c>
      <c r="D1587" t="s">
        <v>55</v>
      </c>
      <c r="E1587">
        <v>7</v>
      </c>
      <c r="F1587" s="3">
        <v>10.01</v>
      </c>
      <c r="G1587" t="s">
        <v>27</v>
      </c>
      <c r="H1587">
        <v>49</v>
      </c>
      <c r="I1587" t="s">
        <v>28</v>
      </c>
      <c r="J1587" s="4">
        <v>69.599999999999994</v>
      </c>
      <c r="K1587" s="4">
        <v>189.9</v>
      </c>
      <c r="L1587" s="4">
        <v>27.6</v>
      </c>
      <c r="M1587">
        <v>19</v>
      </c>
      <c r="N1587" t="s">
        <v>61</v>
      </c>
      <c r="O1587">
        <v>6</v>
      </c>
      <c r="P1587" s="4">
        <v>1408.6</v>
      </c>
      <c r="Q1587" t="s">
        <v>42</v>
      </c>
      <c r="R1587">
        <v>1</v>
      </c>
      <c r="S1587" t="s">
        <v>44</v>
      </c>
      <c r="T1587">
        <v>1</v>
      </c>
      <c r="U1587">
        <v>0</v>
      </c>
      <c r="V1587" t="s">
        <v>32</v>
      </c>
      <c r="W1587" t="s">
        <v>49</v>
      </c>
      <c r="X1587" s="4">
        <v>8.1</v>
      </c>
      <c r="Y1587">
        <v>11</v>
      </c>
      <c r="Z1587" s="5">
        <v>242.15</v>
      </c>
    </row>
    <row r="1588" spans="1:26">
      <c r="A1588">
        <v>1587</v>
      </c>
      <c r="B1588">
        <v>515</v>
      </c>
      <c r="C1588" s="2">
        <v>46205</v>
      </c>
      <c r="D1588" t="s">
        <v>55</v>
      </c>
      <c r="E1588">
        <v>7</v>
      </c>
      <c r="F1588" s="3">
        <v>9.74</v>
      </c>
      <c r="G1588" t="s">
        <v>27</v>
      </c>
      <c r="H1588">
        <v>33</v>
      </c>
      <c r="I1588" t="s">
        <v>34</v>
      </c>
      <c r="J1588" s="4">
        <v>67</v>
      </c>
      <c r="K1588" s="4">
        <v>162.30000000000001</v>
      </c>
      <c r="L1588" s="4">
        <v>25.2</v>
      </c>
      <c r="M1588">
        <v>16</v>
      </c>
      <c r="N1588" t="s">
        <v>61</v>
      </c>
      <c r="O1588">
        <v>6</v>
      </c>
      <c r="P1588" s="4">
        <v>1408.6</v>
      </c>
      <c r="Q1588" t="s">
        <v>42</v>
      </c>
      <c r="R1588">
        <v>1</v>
      </c>
      <c r="S1588" t="s">
        <v>44</v>
      </c>
      <c r="T1588">
        <v>1</v>
      </c>
      <c r="U1588">
        <v>0</v>
      </c>
      <c r="V1588" t="s">
        <v>32</v>
      </c>
      <c r="W1588" t="s">
        <v>49</v>
      </c>
      <c r="X1588" s="4">
        <v>8</v>
      </c>
      <c r="Y1588">
        <v>10</v>
      </c>
      <c r="Z1588" s="5">
        <v>200.39</v>
      </c>
    </row>
    <row r="1589" spans="1:26">
      <c r="A1589">
        <v>1588</v>
      </c>
      <c r="B1589">
        <v>515</v>
      </c>
      <c r="C1589" s="2">
        <v>46205</v>
      </c>
      <c r="D1589" t="s">
        <v>55</v>
      </c>
      <c r="E1589">
        <v>7</v>
      </c>
      <c r="F1589" s="3">
        <v>9.84</v>
      </c>
      <c r="G1589" t="s">
        <v>27</v>
      </c>
      <c r="H1589">
        <v>31</v>
      </c>
      <c r="I1589" t="s">
        <v>34</v>
      </c>
      <c r="J1589" s="4">
        <v>65.7</v>
      </c>
      <c r="K1589" s="4">
        <v>180.4</v>
      </c>
      <c r="L1589" s="4">
        <v>29.4</v>
      </c>
      <c r="M1589">
        <v>14</v>
      </c>
      <c r="N1589" t="s">
        <v>61</v>
      </c>
      <c r="O1589">
        <v>6</v>
      </c>
      <c r="P1589" s="4">
        <v>1408.6</v>
      </c>
      <c r="Q1589" t="s">
        <v>42</v>
      </c>
      <c r="R1589">
        <v>1</v>
      </c>
      <c r="S1589" t="s">
        <v>44</v>
      </c>
      <c r="T1589">
        <v>1</v>
      </c>
      <c r="U1589">
        <v>0</v>
      </c>
      <c r="V1589" t="s">
        <v>32</v>
      </c>
      <c r="W1589" t="s">
        <v>49</v>
      </c>
      <c r="X1589" s="4">
        <v>8.6</v>
      </c>
      <c r="Y1589">
        <v>7</v>
      </c>
      <c r="Z1589" s="5">
        <v>203.19</v>
      </c>
    </row>
    <row r="1590" spans="1:26">
      <c r="A1590">
        <v>1589</v>
      </c>
      <c r="B1590">
        <v>515</v>
      </c>
      <c r="C1590" s="2">
        <v>46205</v>
      </c>
      <c r="D1590" t="s">
        <v>55</v>
      </c>
      <c r="E1590">
        <v>7</v>
      </c>
      <c r="F1590" s="3">
        <v>9.92</v>
      </c>
      <c r="G1590" t="s">
        <v>27</v>
      </c>
      <c r="H1590">
        <v>40</v>
      </c>
      <c r="I1590" t="s">
        <v>34</v>
      </c>
      <c r="J1590" s="4">
        <v>65</v>
      </c>
      <c r="K1590" s="4">
        <v>112.5</v>
      </c>
      <c r="L1590" s="4">
        <v>18.899999999999999</v>
      </c>
      <c r="M1590">
        <v>14</v>
      </c>
      <c r="N1590" t="s">
        <v>61</v>
      </c>
      <c r="O1590">
        <v>6</v>
      </c>
      <c r="P1590" s="4">
        <v>1408.6</v>
      </c>
      <c r="Q1590" t="s">
        <v>42</v>
      </c>
      <c r="R1590">
        <v>1</v>
      </c>
      <c r="S1590" t="s">
        <v>44</v>
      </c>
      <c r="T1590">
        <v>1</v>
      </c>
      <c r="U1590">
        <v>0</v>
      </c>
      <c r="V1590" t="s">
        <v>32</v>
      </c>
      <c r="W1590" t="s">
        <v>49</v>
      </c>
      <c r="X1590" s="4">
        <v>7.9</v>
      </c>
      <c r="Y1590">
        <v>7</v>
      </c>
      <c r="Z1590" s="5">
        <v>409.7</v>
      </c>
    </row>
    <row r="1591" spans="1:26">
      <c r="A1591">
        <v>1590</v>
      </c>
      <c r="B1591">
        <v>515</v>
      </c>
      <c r="C1591" s="2">
        <v>46205</v>
      </c>
      <c r="D1591" t="s">
        <v>55</v>
      </c>
      <c r="E1591">
        <v>7</v>
      </c>
      <c r="F1591" s="3">
        <v>9.84</v>
      </c>
      <c r="G1591" t="s">
        <v>27</v>
      </c>
      <c r="H1591">
        <v>12</v>
      </c>
      <c r="I1591" t="s">
        <v>28</v>
      </c>
      <c r="J1591" s="4">
        <v>69.2</v>
      </c>
      <c r="K1591" s="4">
        <v>132.6</v>
      </c>
      <c r="L1591" s="4">
        <v>19.600000000000001</v>
      </c>
      <c r="M1591">
        <v>16</v>
      </c>
      <c r="N1591" t="s">
        <v>61</v>
      </c>
      <c r="O1591">
        <v>6</v>
      </c>
      <c r="P1591" s="4">
        <v>1408.6</v>
      </c>
      <c r="Q1591" t="s">
        <v>42</v>
      </c>
      <c r="R1591">
        <v>1</v>
      </c>
      <c r="S1591" t="s">
        <v>44</v>
      </c>
      <c r="T1591">
        <v>1</v>
      </c>
      <c r="U1591">
        <v>0</v>
      </c>
      <c r="V1591" t="s">
        <v>32</v>
      </c>
      <c r="W1591" t="s">
        <v>49</v>
      </c>
      <c r="X1591" s="4">
        <v>6.7</v>
      </c>
      <c r="Y1591">
        <v>6</v>
      </c>
      <c r="Z1591" s="5">
        <v>123.34</v>
      </c>
    </row>
    <row r="1592" spans="1:26">
      <c r="A1592">
        <v>1591</v>
      </c>
      <c r="B1592">
        <v>515</v>
      </c>
      <c r="C1592" s="2">
        <v>46205</v>
      </c>
      <c r="D1592" t="s">
        <v>55</v>
      </c>
      <c r="E1592">
        <v>7</v>
      </c>
      <c r="F1592" s="3">
        <v>9.6999999999999993</v>
      </c>
      <c r="G1592" t="s">
        <v>27</v>
      </c>
      <c r="H1592">
        <v>59</v>
      </c>
      <c r="I1592" t="s">
        <v>34</v>
      </c>
      <c r="J1592" s="4">
        <v>65.2</v>
      </c>
      <c r="K1592" s="4">
        <v>149.69999999999999</v>
      </c>
      <c r="L1592" s="4">
        <v>24.9</v>
      </c>
      <c r="M1592">
        <v>15</v>
      </c>
      <c r="N1592" t="s">
        <v>61</v>
      </c>
      <c r="O1592">
        <v>6</v>
      </c>
      <c r="P1592" s="4">
        <v>1408.6</v>
      </c>
      <c r="Q1592" t="s">
        <v>42</v>
      </c>
      <c r="R1592">
        <v>1</v>
      </c>
      <c r="S1592" t="s">
        <v>44</v>
      </c>
      <c r="T1592">
        <v>1</v>
      </c>
      <c r="U1592">
        <v>0</v>
      </c>
      <c r="V1592" t="s">
        <v>32</v>
      </c>
      <c r="W1592" t="s">
        <v>49</v>
      </c>
      <c r="X1592" s="4">
        <v>8.8000000000000007</v>
      </c>
      <c r="Y1592">
        <v>10</v>
      </c>
      <c r="Z1592" s="5">
        <v>257.39999999999998</v>
      </c>
    </row>
    <row r="1593" spans="1:26">
      <c r="A1593">
        <v>1592</v>
      </c>
      <c r="B1593">
        <v>516</v>
      </c>
      <c r="C1593" s="2">
        <v>46215</v>
      </c>
      <c r="D1593" t="s">
        <v>58</v>
      </c>
      <c r="E1593">
        <v>7</v>
      </c>
      <c r="F1593" s="3">
        <v>10.6</v>
      </c>
      <c r="G1593" t="s">
        <v>27</v>
      </c>
      <c r="H1593">
        <v>24</v>
      </c>
      <c r="I1593" t="s">
        <v>28</v>
      </c>
      <c r="J1593" s="4">
        <v>68.5</v>
      </c>
      <c r="K1593" s="4">
        <v>164.2</v>
      </c>
      <c r="L1593" s="4">
        <v>24.6</v>
      </c>
      <c r="M1593">
        <v>12</v>
      </c>
      <c r="N1593" t="s">
        <v>47</v>
      </c>
      <c r="O1593">
        <v>2</v>
      </c>
      <c r="P1593" s="4">
        <v>14.8</v>
      </c>
      <c r="Q1593" t="s">
        <v>48</v>
      </c>
      <c r="R1593">
        <v>0</v>
      </c>
      <c r="S1593" t="s">
        <v>44</v>
      </c>
      <c r="T1593">
        <v>0</v>
      </c>
      <c r="U1593">
        <v>1</v>
      </c>
      <c r="V1593" t="s">
        <v>32</v>
      </c>
      <c r="W1593" t="s">
        <v>33</v>
      </c>
      <c r="X1593" s="4">
        <v>8.9</v>
      </c>
      <c r="Y1593">
        <v>10</v>
      </c>
      <c r="Z1593" s="5">
        <v>193.06</v>
      </c>
    </row>
    <row r="1594" spans="1:26">
      <c r="A1594">
        <v>1593</v>
      </c>
      <c r="B1594">
        <v>516</v>
      </c>
      <c r="C1594" s="2">
        <v>46215</v>
      </c>
      <c r="D1594" t="s">
        <v>58</v>
      </c>
      <c r="E1594">
        <v>7</v>
      </c>
      <c r="F1594" s="3">
        <v>10.37</v>
      </c>
      <c r="G1594" t="s">
        <v>27</v>
      </c>
      <c r="H1594">
        <v>9</v>
      </c>
      <c r="I1594" t="s">
        <v>28</v>
      </c>
      <c r="J1594" s="4">
        <v>60.4</v>
      </c>
      <c r="K1594" s="4">
        <v>135.69999999999999</v>
      </c>
      <c r="L1594" s="4">
        <v>25.9</v>
      </c>
      <c r="M1594">
        <v>14</v>
      </c>
      <c r="N1594" t="s">
        <v>47</v>
      </c>
      <c r="O1594">
        <v>2</v>
      </c>
      <c r="P1594" s="4">
        <v>14.8</v>
      </c>
      <c r="Q1594" t="s">
        <v>48</v>
      </c>
      <c r="R1594">
        <v>0</v>
      </c>
      <c r="S1594" t="s">
        <v>44</v>
      </c>
      <c r="T1594">
        <v>0</v>
      </c>
      <c r="U1594">
        <v>1</v>
      </c>
      <c r="V1594" t="s">
        <v>32</v>
      </c>
      <c r="W1594" t="s">
        <v>33</v>
      </c>
      <c r="X1594" s="4">
        <v>9.4</v>
      </c>
      <c r="Y1594">
        <v>5</v>
      </c>
      <c r="Z1594" s="5">
        <v>317.27</v>
      </c>
    </row>
    <row r="1595" spans="1:26">
      <c r="A1595">
        <v>1594</v>
      </c>
      <c r="B1595">
        <v>517</v>
      </c>
      <c r="C1595" s="2">
        <v>46294</v>
      </c>
      <c r="D1595" t="s">
        <v>35</v>
      </c>
      <c r="E1595">
        <v>9</v>
      </c>
      <c r="F1595" s="3">
        <v>9.34</v>
      </c>
      <c r="G1595" t="s">
        <v>27</v>
      </c>
      <c r="H1595">
        <v>65</v>
      </c>
      <c r="I1595" t="s">
        <v>28</v>
      </c>
      <c r="J1595" s="4">
        <v>68.3</v>
      </c>
      <c r="K1595" s="4">
        <v>162.30000000000001</v>
      </c>
      <c r="L1595" s="4">
        <v>24.4</v>
      </c>
      <c r="M1595">
        <v>15</v>
      </c>
      <c r="N1595" t="s">
        <v>63</v>
      </c>
      <c r="O1595">
        <v>2</v>
      </c>
      <c r="P1595" s="4">
        <v>1548.9</v>
      </c>
      <c r="Q1595" t="s">
        <v>30</v>
      </c>
      <c r="R1595">
        <v>1</v>
      </c>
      <c r="S1595" t="s">
        <v>38</v>
      </c>
      <c r="T1595">
        <v>0</v>
      </c>
      <c r="U1595">
        <v>0</v>
      </c>
      <c r="V1595" t="s">
        <v>45</v>
      </c>
      <c r="W1595" t="s">
        <v>39</v>
      </c>
      <c r="X1595" s="4">
        <v>10</v>
      </c>
      <c r="Y1595">
        <v>14</v>
      </c>
      <c r="Z1595" s="5">
        <v>330.56</v>
      </c>
    </row>
    <row r="1596" spans="1:26">
      <c r="A1596">
        <v>1595</v>
      </c>
      <c r="B1596">
        <v>517</v>
      </c>
      <c r="C1596" s="2">
        <v>46294</v>
      </c>
      <c r="D1596" t="s">
        <v>35</v>
      </c>
      <c r="E1596">
        <v>9</v>
      </c>
      <c r="F1596" s="3">
        <v>9.4499999999999993</v>
      </c>
      <c r="G1596" t="s">
        <v>27</v>
      </c>
      <c r="H1596">
        <v>30</v>
      </c>
      <c r="I1596" t="s">
        <v>28</v>
      </c>
      <c r="J1596" s="4">
        <v>69.8</v>
      </c>
      <c r="K1596" s="4">
        <v>164.9</v>
      </c>
      <c r="L1596" s="4">
        <v>23.9</v>
      </c>
      <c r="M1596">
        <v>15</v>
      </c>
      <c r="N1596" t="s">
        <v>63</v>
      </c>
      <c r="O1596">
        <v>2</v>
      </c>
      <c r="P1596" s="4">
        <v>1548.9</v>
      </c>
      <c r="Q1596" t="s">
        <v>30</v>
      </c>
      <c r="R1596">
        <v>1</v>
      </c>
      <c r="S1596" t="s">
        <v>38</v>
      </c>
      <c r="T1596">
        <v>0</v>
      </c>
      <c r="U1596">
        <v>0</v>
      </c>
      <c r="V1596" t="s">
        <v>45</v>
      </c>
      <c r="W1596" t="s">
        <v>39</v>
      </c>
      <c r="X1596" s="4">
        <v>8</v>
      </c>
      <c r="Y1596">
        <v>10</v>
      </c>
      <c r="Z1596" s="5">
        <v>310.92</v>
      </c>
    </row>
    <row r="1597" spans="1:26">
      <c r="A1597">
        <v>1596</v>
      </c>
      <c r="B1597">
        <v>518</v>
      </c>
      <c r="C1597" s="2">
        <v>46154</v>
      </c>
      <c r="D1597" t="s">
        <v>35</v>
      </c>
      <c r="E1597">
        <v>5</v>
      </c>
      <c r="F1597" s="3">
        <v>10.76</v>
      </c>
      <c r="G1597" t="s">
        <v>27</v>
      </c>
      <c r="H1597">
        <v>18</v>
      </c>
      <c r="I1597" t="s">
        <v>28</v>
      </c>
      <c r="J1597" s="4">
        <v>67.400000000000006</v>
      </c>
      <c r="K1597" s="4">
        <v>148.30000000000001</v>
      </c>
      <c r="L1597" s="4">
        <v>22.8</v>
      </c>
      <c r="M1597">
        <v>10</v>
      </c>
      <c r="N1597" t="s">
        <v>53</v>
      </c>
      <c r="O1597">
        <v>4</v>
      </c>
      <c r="P1597" s="4">
        <v>858</v>
      </c>
      <c r="Q1597" t="s">
        <v>42</v>
      </c>
      <c r="R1597">
        <v>1</v>
      </c>
      <c r="S1597" t="s">
        <v>44</v>
      </c>
      <c r="T1597">
        <v>0</v>
      </c>
      <c r="U1597">
        <v>0</v>
      </c>
      <c r="V1597" t="s">
        <v>32</v>
      </c>
      <c r="W1597" t="s">
        <v>49</v>
      </c>
      <c r="X1597" s="4">
        <v>5.3</v>
      </c>
      <c r="Y1597">
        <v>8</v>
      </c>
      <c r="Z1597" s="5">
        <v>100.46</v>
      </c>
    </row>
    <row r="1598" spans="1:26">
      <c r="A1598">
        <v>1597</v>
      </c>
      <c r="B1598">
        <v>518</v>
      </c>
      <c r="C1598" s="2">
        <v>46154</v>
      </c>
      <c r="D1598" t="s">
        <v>35</v>
      </c>
      <c r="E1598">
        <v>5</v>
      </c>
      <c r="F1598" s="3">
        <v>10.58</v>
      </c>
      <c r="G1598" t="s">
        <v>27</v>
      </c>
      <c r="H1598">
        <v>35</v>
      </c>
      <c r="I1598" t="s">
        <v>28</v>
      </c>
      <c r="J1598" s="4">
        <v>70.099999999999994</v>
      </c>
      <c r="K1598" s="4">
        <v>164.5</v>
      </c>
      <c r="L1598" s="4">
        <v>23.8</v>
      </c>
      <c r="M1598">
        <v>15</v>
      </c>
      <c r="N1598" t="s">
        <v>53</v>
      </c>
      <c r="O1598">
        <v>4</v>
      </c>
      <c r="P1598" s="4">
        <v>858</v>
      </c>
      <c r="Q1598" t="s">
        <v>42</v>
      </c>
      <c r="R1598">
        <v>1</v>
      </c>
      <c r="S1598" t="s">
        <v>44</v>
      </c>
      <c r="T1598">
        <v>0</v>
      </c>
      <c r="U1598">
        <v>0</v>
      </c>
      <c r="V1598" t="s">
        <v>32</v>
      </c>
      <c r="W1598" t="s">
        <v>49</v>
      </c>
      <c r="X1598" s="4">
        <v>7.9</v>
      </c>
      <c r="Y1598">
        <v>8</v>
      </c>
      <c r="Z1598" s="5">
        <v>245.79</v>
      </c>
    </row>
    <row r="1599" spans="1:26">
      <c r="A1599">
        <v>1598</v>
      </c>
      <c r="B1599">
        <v>518</v>
      </c>
      <c r="C1599" s="2">
        <v>46154</v>
      </c>
      <c r="D1599" t="s">
        <v>35</v>
      </c>
      <c r="E1599">
        <v>5</v>
      </c>
      <c r="F1599" s="3">
        <v>10.76</v>
      </c>
      <c r="G1599" t="s">
        <v>27</v>
      </c>
      <c r="H1599">
        <v>60</v>
      </c>
      <c r="I1599" t="s">
        <v>34</v>
      </c>
      <c r="J1599" s="4">
        <v>63</v>
      </c>
      <c r="K1599" s="4">
        <v>137.30000000000001</v>
      </c>
      <c r="L1599" s="4">
        <v>24.4</v>
      </c>
      <c r="M1599">
        <v>14</v>
      </c>
      <c r="N1599" t="s">
        <v>53</v>
      </c>
      <c r="O1599">
        <v>4</v>
      </c>
      <c r="P1599" s="4">
        <v>858</v>
      </c>
      <c r="Q1599" t="s">
        <v>42</v>
      </c>
      <c r="R1599">
        <v>1</v>
      </c>
      <c r="S1599" t="s">
        <v>44</v>
      </c>
      <c r="T1599">
        <v>0</v>
      </c>
      <c r="U1599">
        <v>0</v>
      </c>
      <c r="V1599" t="s">
        <v>32</v>
      </c>
      <c r="W1599" t="s">
        <v>49</v>
      </c>
      <c r="X1599" s="4">
        <v>10.7</v>
      </c>
      <c r="Y1599">
        <v>13</v>
      </c>
      <c r="Z1599" s="5">
        <v>258.07</v>
      </c>
    </row>
    <row r="1600" spans="1:26">
      <c r="A1600">
        <v>1599</v>
      </c>
      <c r="B1600">
        <v>518</v>
      </c>
      <c r="C1600" s="2">
        <v>46154</v>
      </c>
      <c r="D1600" t="s">
        <v>35</v>
      </c>
      <c r="E1600">
        <v>5</v>
      </c>
      <c r="F1600" s="3">
        <v>10.82</v>
      </c>
      <c r="G1600" t="s">
        <v>27</v>
      </c>
      <c r="H1600">
        <v>55</v>
      </c>
      <c r="I1600" t="s">
        <v>28</v>
      </c>
      <c r="J1600" s="4">
        <v>69.7</v>
      </c>
      <c r="K1600" s="4">
        <v>221.3</v>
      </c>
      <c r="L1600" s="4">
        <v>32</v>
      </c>
      <c r="M1600">
        <v>17</v>
      </c>
      <c r="N1600" t="s">
        <v>53</v>
      </c>
      <c r="O1600">
        <v>4</v>
      </c>
      <c r="P1600" s="4">
        <v>858</v>
      </c>
      <c r="Q1600" t="s">
        <v>42</v>
      </c>
      <c r="R1600">
        <v>1</v>
      </c>
      <c r="S1600" t="s">
        <v>44</v>
      </c>
      <c r="T1600">
        <v>0</v>
      </c>
      <c r="U1600">
        <v>0</v>
      </c>
      <c r="V1600" t="s">
        <v>32</v>
      </c>
      <c r="W1600" t="s">
        <v>49</v>
      </c>
      <c r="X1600" s="4">
        <v>8.5</v>
      </c>
      <c r="Y1600">
        <v>9</v>
      </c>
      <c r="Z1600" s="5">
        <v>191.55</v>
      </c>
    </row>
    <row r="1601" spans="1:26">
      <c r="A1601">
        <v>1600</v>
      </c>
      <c r="B1601">
        <v>519</v>
      </c>
      <c r="C1601" s="2">
        <v>46073</v>
      </c>
      <c r="D1601" t="s">
        <v>26</v>
      </c>
      <c r="E1601">
        <v>2</v>
      </c>
      <c r="F1601" s="3">
        <v>10.51</v>
      </c>
      <c r="G1601" t="s">
        <v>27</v>
      </c>
      <c r="H1601">
        <v>27</v>
      </c>
      <c r="I1601" t="s">
        <v>28</v>
      </c>
      <c r="J1601" s="4">
        <v>70.2</v>
      </c>
      <c r="K1601" s="4">
        <v>186.8</v>
      </c>
      <c r="L1601" s="4">
        <v>26.7</v>
      </c>
      <c r="M1601">
        <v>13</v>
      </c>
      <c r="N1601" t="s">
        <v>61</v>
      </c>
      <c r="O1601">
        <v>1</v>
      </c>
      <c r="P1601" s="4">
        <v>1648.7</v>
      </c>
      <c r="Q1601" t="s">
        <v>42</v>
      </c>
      <c r="R1601">
        <v>1</v>
      </c>
      <c r="S1601" t="s">
        <v>44</v>
      </c>
      <c r="T1601">
        <v>1</v>
      </c>
      <c r="U1601">
        <v>0</v>
      </c>
      <c r="V1601" t="s">
        <v>32</v>
      </c>
      <c r="W1601" t="s">
        <v>39</v>
      </c>
      <c r="X1601" s="4">
        <v>8.1</v>
      </c>
      <c r="Y1601">
        <v>4</v>
      </c>
      <c r="Z1601" s="5">
        <v>145.99</v>
      </c>
    </row>
    <row r="1602" spans="1:26">
      <c r="A1602">
        <v>1601</v>
      </c>
      <c r="B1602">
        <v>520</v>
      </c>
      <c r="C1602" s="2">
        <v>46341</v>
      </c>
      <c r="D1602" t="s">
        <v>58</v>
      </c>
      <c r="E1602">
        <v>11</v>
      </c>
      <c r="F1602" s="3">
        <v>11.04</v>
      </c>
      <c r="G1602" t="s">
        <v>36</v>
      </c>
      <c r="H1602">
        <v>30</v>
      </c>
      <c r="I1602" t="s">
        <v>28</v>
      </c>
      <c r="J1602" s="4">
        <v>68.900000000000006</v>
      </c>
      <c r="K1602" s="4">
        <v>211.7</v>
      </c>
      <c r="L1602" s="4">
        <v>31.3</v>
      </c>
      <c r="M1602">
        <v>16</v>
      </c>
      <c r="N1602" t="s">
        <v>61</v>
      </c>
      <c r="O1602">
        <v>2</v>
      </c>
      <c r="P1602" s="4">
        <v>1370.4</v>
      </c>
      <c r="Q1602" t="s">
        <v>42</v>
      </c>
      <c r="R1602">
        <v>1</v>
      </c>
      <c r="S1602" t="s">
        <v>44</v>
      </c>
      <c r="T1602">
        <v>0</v>
      </c>
      <c r="U1602">
        <v>1</v>
      </c>
      <c r="V1602" t="s">
        <v>32</v>
      </c>
      <c r="W1602" t="s">
        <v>33</v>
      </c>
      <c r="X1602" s="4">
        <v>8.5</v>
      </c>
      <c r="Y1602">
        <v>12</v>
      </c>
      <c r="Z1602" s="5">
        <v>222.23</v>
      </c>
    </row>
    <row r="1603" spans="1:26">
      <c r="A1603">
        <v>1602</v>
      </c>
      <c r="B1603">
        <v>520</v>
      </c>
      <c r="C1603" s="2">
        <v>46341</v>
      </c>
      <c r="D1603" t="s">
        <v>58</v>
      </c>
      <c r="E1603">
        <v>11</v>
      </c>
      <c r="F1603" s="3">
        <v>10.95</v>
      </c>
      <c r="G1603" t="s">
        <v>27</v>
      </c>
      <c r="H1603">
        <v>37</v>
      </c>
      <c r="I1603" t="s">
        <v>28</v>
      </c>
      <c r="J1603" s="4">
        <v>68.3</v>
      </c>
      <c r="K1603" s="4">
        <v>200.8</v>
      </c>
      <c r="L1603" s="4">
        <v>30.4</v>
      </c>
      <c r="M1603">
        <v>16</v>
      </c>
      <c r="N1603" t="s">
        <v>61</v>
      </c>
      <c r="O1603">
        <v>2</v>
      </c>
      <c r="P1603" s="4">
        <v>1370.4</v>
      </c>
      <c r="Q1603" t="s">
        <v>42</v>
      </c>
      <c r="R1603">
        <v>1</v>
      </c>
      <c r="S1603" t="s">
        <v>44</v>
      </c>
      <c r="T1603">
        <v>0</v>
      </c>
      <c r="U1603">
        <v>1</v>
      </c>
      <c r="V1603" t="s">
        <v>32</v>
      </c>
      <c r="W1603" t="s">
        <v>33</v>
      </c>
      <c r="X1603" s="4">
        <v>7.4</v>
      </c>
      <c r="Y1603">
        <v>11</v>
      </c>
      <c r="Z1603" s="5">
        <v>233.56</v>
      </c>
    </row>
    <row r="1604" spans="1:26">
      <c r="A1604">
        <v>1603</v>
      </c>
      <c r="B1604">
        <v>521</v>
      </c>
      <c r="C1604" s="2">
        <v>46164</v>
      </c>
      <c r="D1604" t="s">
        <v>26</v>
      </c>
      <c r="E1604">
        <v>5</v>
      </c>
      <c r="F1604" s="3">
        <v>8.41</v>
      </c>
      <c r="G1604" t="s">
        <v>27</v>
      </c>
      <c r="H1604">
        <v>52</v>
      </c>
      <c r="I1604" t="s">
        <v>34</v>
      </c>
      <c r="J1604" s="4">
        <v>61.4</v>
      </c>
      <c r="K1604" s="4">
        <v>143.6</v>
      </c>
      <c r="L1604" s="4">
        <v>27.1</v>
      </c>
      <c r="M1604">
        <v>16</v>
      </c>
      <c r="N1604" t="s">
        <v>47</v>
      </c>
      <c r="O1604">
        <v>3</v>
      </c>
      <c r="P1604" s="4">
        <v>74</v>
      </c>
      <c r="Q1604" t="s">
        <v>42</v>
      </c>
      <c r="R1604">
        <v>0</v>
      </c>
      <c r="S1604" t="s">
        <v>44</v>
      </c>
      <c r="T1604">
        <v>0</v>
      </c>
      <c r="U1604">
        <v>0</v>
      </c>
      <c r="V1604" t="s">
        <v>32</v>
      </c>
      <c r="W1604" t="s">
        <v>49</v>
      </c>
      <c r="X1604" s="4">
        <v>6.2</v>
      </c>
      <c r="Y1604">
        <v>13</v>
      </c>
      <c r="Z1604" s="5">
        <v>192.29</v>
      </c>
    </row>
    <row r="1605" spans="1:26">
      <c r="A1605">
        <v>1604</v>
      </c>
      <c r="B1605">
        <v>521</v>
      </c>
      <c r="C1605" s="2">
        <v>46164</v>
      </c>
      <c r="D1605" t="s">
        <v>26</v>
      </c>
      <c r="E1605">
        <v>5</v>
      </c>
      <c r="F1605" s="3">
        <v>8.42</v>
      </c>
      <c r="G1605" t="s">
        <v>27</v>
      </c>
      <c r="H1605">
        <v>40</v>
      </c>
      <c r="I1605" t="s">
        <v>34</v>
      </c>
      <c r="J1605" s="4">
        <v>61.9</v>
      </c>
      <c r="K1605" s="4">
        <v>143.5</v>
      </c>
      <c r="L1605" s="4">
        <v>26.1</v>
      </c>
      <c r="M1605">
        <v>15</v>
      </c>
      <c r="N1605" t="s">
        <v>47</v>
      </c>
      <c r="O1605">
        <v>3</v>
      </c>
      <c r="P1605" s="4">
        <v>74</v>
      </c>
      <c r="Q1605" t="s">
        <v>42</v>
      </c>
      <c r="R1605">
        <v>0</v>
      </c>
      <c r="S1605" t="s">
        <v>44</v>
      </c>
      <c r="T1605">
        <v>0</v>
      </c>
      <c r="U1605">
        <v>0</v>
      </c>
      <c r="V1605" t="s">
        <v>32</v>
      </c>
      <c r="W1605" t="s">
        <v>49</v>
      </c>
      <c r="X1605" s="4">
        <v>8.4</v>
      </c>
      <c r="Y1605">
        <v>7</v>
      </c>
      <c r="Z1605" s="5">
        <v>136.30000000000001</v>
      </c>
    </row>
    <row r="1606" spans="1:26">
      <c r="A1606">
        <v>1605</v>
      </c>
      <c r="B1606">
        <v>521</v>
      </c>
      <c r="C1606" s="2">
        <v>46164</v>
      </c>
      <c r="D1606" t="s">
        <v>26</v>
      </c>
      <c r="E1606">
        <v>5</v>
      </c>
      <c r="F1606" s="3">
        <v>8.3699999999999992</v>
      </c>
      <c r="G1606" t="s">
        <v>27</v>
      </c>
      <c r="H1606">
        <v>45</v>
      </c>
      <c r="I1606" t="s">
        <v>28</v>
      </c>
      <c r="J1606" s="4">
        <v>73.5</v>
      </c>
      <c r="K1606" s="4">
        <v>163.9</v>
      </c>
      <c r="L1606" s="4">
        <v>21.3</v>
      </c>
      <c r="M1606">
        <v>16</v>
      </c>
      <c r="N1606" t="s">
        <v>47</v>
      </c>
      <c r="O1606">
        <v>3</v>
      </c>
      <c r="P1606" s="4">
        <v>74</v>
      </c>
      <c r="Q1606" t="s">
        <v>42</v>
      </c>
      <c r="R1606">
        <v>0</v>
      </c>
      <c r="S1606" t="s">
        <v>44</v>
      </c>
      <c r="T1606">
        <v>0</v>
      </c>
      <c r="U1606">
        <v>0</v>
      </c>
      <c r="V1606" t="s">
        <v>32</v>
      </c>
      <c r="W1606" t="s">
        <v>49</v>
      </c>
      <c r="X1606" s="4">
        <v>6.3</v>
      </c>
      <c r="Y1606">
        <v>6</v>
      </c>
      <c r="Z1606" s="5">
        <v>160.21</v>
      </c>
    </row>
    <row r="1607" spans="1:26">
      <c r="A1607">
        <v>1606</v>
      </c>
      <c r="B1607">
        <v>522</v>
      </c>
      <c r="C1607" s="2">
        <v>46054</v>
      </c>
      <c r="D1607" t="s">
        <v>58</v>
      </c>
      <c r="E1607">
        <v>2</v>
      </c>
      <c r="F1607" s="3">
        <v>10.14</v>
      </c>
      <c r="G1607" t="s">
        <v>27</v>
      </c>
      <c r="H1607">
        <v>67</v>
      </c>
      <c r="I1607" t="s">
        <v>34</v>
      </c>
      <c r="J1607" s="4">
        <v>69.400000000000006</v>
      </c>
      <c r="K1607" s="4">
        <v>194.7</v>
      </c>
      <c r="L1607" s="4">
        <v>28.3</v>
      </c>
      <c r="M1607">
        <v>14</v>
      </c>
      <c r="N1607" t="s">
        <v>61</v>
      </c>
      <c r="O1607">
        <v>3</v>
      </c>
      <c r="P1607" s="4">
        <v>1295.8</v>
      </c>
      <c r="Q1607" t="s">
        <v>30</v>
      </c>
      <c r="R1607">
        <v>0</v>
      </c>
      <c r="S1607" t="s">
        <v>44</v>
      </c>
      <c r="T1607">
        <v>1</v>
      </c>
      <c r="U1607">
        <v>1</v>
      </c>
      <c r="V1607" t="s">
        <v>45</v>
      </c>
      <c r="W1607" t="s">
        <v>33</v>
      </c>
      <c r="X1607" s="4">
        <v>4.7</v>
      </c>
      <c r="Y1607">
        <v>5</v>
      </c>
      <c r="Z1607" s="5">
        <v>86.58</v>
      </c>
    </row>
    <row r="1608" spans="1:26">
      <c r="A1608">
        <v>1607</v>
      </c>
      <c r="B1608">
        <v>522</v>
      </c>
      <c r="C1608" s="2">
        <v>46054</v>
      </c>
      <c r="D1608" t="s">
        <v>58</v>
      </c>
      <c r="E1608">
        <v>2</v>
      </c>
      <c r="F1608" s="3">
        <v>10.1</v>
      </c>
      <c r="G1608" t="s">
        <v>27</v>
      </c>
      <c r="H1608">
        <v>29</v>
      </c>
      <c r="I1608" t="s">
        <v>28</v>
      </c>
      <c r="J1608" s="4">
        <v>64.900000000000006</v>
      </c>
      <c r="K1608" s="4">
        <v>163</v>
      </c>
      <c r="L1608" s="4">
        <v>27.2</v>
      </c>
      <c r="M1608">
        <v>14</v>
      </c>
      <c r="N1608" t="s">
        <v>61</v>
      </c>
      <c r="O1608">
        <v>3</v>
      </c>
      <c r="P1608" s="4">
        <v>1295.8</v>
      </c>
      <c r="Q1608" t="s">
        <v>30</v>
      </c>
      <c r="R1608">
        <v>0</v>
      </c>
      <c r="S1608" t="s">
        <v>44</v>
      </c>
      <c r="T1608">
        <v>1</v>
      </c>
      <c r="U1608">
        <v>1</v>
      </c>
      <c r="V1608" t="s">
        <v>45</v>
      </c>
      <c r="W1608" t="s">
        <v>33</v>
      </c>
      <c r="X1608" s="4">
        <v>11</v>
      </c>
      <c r="Y1608">
        <v>8</v>
      </c>
      <c r="Z1608" s="5">
        <v>221.21</v>
      </c>
    </row>
    <row r="1609" spans="1:26">
      <c r="A1609">
        <v>1608</v>
      </c>
      <c r="B1609">
        <v>522</v>
      </c>
      <c r="C1609" s="2">
        <v>46054</v>
      </c>
      <c r="D1609" t="s">
        <v>58</v>
      </c>
      <c r="E1609">
        <v>2</v>
      </c>
      <c r="F1609" s="3">
        <v>10.06</v>
      </c>
      <c r="G1609" t="s">
        <v>27</v>
      </c>
      <c r="H1609">
        <v>18</v>
      </c>
      <c r="I1609" t="s">
        <v>28</v>
      </c>
      <c r="J1609" s="4">
        <v>68.5</v>
      </c>
      <c r="K1609" s="4">
        <v>140.30000000000001</v>
      </c>
      <c r="L1609" s="4">
        <v>21.1</v>
      </c>
      <c r="M1609">
        <v>12</v>
      </c>
      <c r="N1609" t="s">
        <v>61</v>
      </c>
      <c r="O1609">
        <v>3</v>
      </c>
      <c r="P1609" s="4">
        <v>1295.8</v>
      </c>
      <c r="Q1609" t="s">
        <v>30</v>
      </c>
      <c r="R1609">
        <v>0</v>
      </c>
      <c r="S1609" t="s">
        <v>44</v>
      </c>
      <c r="T1609">
        <v>1</v>
      </c>
      <c r="U1609">
        <v>1</v>
      </c>
      <c r="V1609" t="s">
        <v>45</v>
      </c>
      <c r="W1609" t="s">
        <v>33</v>
      </c>
      <c r="X1609" s="4">
        <v>7.7</v>
      </c>
      <c r="Y1609">
        <v>3</v>
      </c>
      <c r="Z1609" s="5">
        <v>128.68</v>
      </c>
    </row>
    <row r="1610" spans="1:26">
      <c r="A1610">
        <v>1609</v>
      </c>
      <c r="B1610">
        <v>523</v>
      </c>
      <c r="C1610" s="2">
        <v>46286</v>
      </c>
      <c r="D1610" t="s">
        <v>46</v>
      </c>
      <c r="E1610">
        <v>9</v>
      </c>
      <c r="F1610" s="3">
        <v>12.57</v>
      </c>
      <c r="G1610" t="s">
        <v>36</v>
      </c>
      <c r="H1610">
        <v>28</v>
      </c>
      <c r="I1610" t="s">
        <v>28</v>
      </c>
      <c r="J1610" s="4">
        <v>71.8</v>
      </c>
      <c r="K1610" s="4">
        <v>194.3</v>
      </c>
      <c r="L1610" s="4">
        <v>26.3</v>
      </c>
      <c r="M1610">
        <v>16</v>
      </c>
      <c r="N1610" t="s">
        <v>37</v>
      </c>
      <c r="O1610">
        <v>2</v>
      </c>
      <c r="P1610" s="4">
        <v>970.3</v>
      </c>
      <c r="Q1610" t="s">
        <v>42</v>
      </c>
      <c r="R1610">
        <v>0</v>
      </c>
      <c r="S1610" t="s">
        <v>44</v>
      </c>
      <c r="T1610">
        <v>0</v>
      </c>
      <c r="U1610">
        <v>0</v>
      </c>
      <c r="V1610" t="s">
        <v>32</v>
      </c>
      <c r="W1610" t="s">
        <v>57</v>
      </c>
      <c r="X1610" s="4">
        <v>8.6</v>
      </c>
      <c r="Y1610">
        <v>7</v>
      </c>
      <c r="Z1610" s="5">
        <v>181.06</v>
      </c>
    </row>
    <row r="1611" spans="1:26">
      <c r="A1611">
        <v>1610</v>
      </c>
      <c r="B1611">
        <v>523</v>
      </c>
      <c r="C1611" s="2">
        <v>46286</v>
      </c>
      <c r="D1611" t="s">
        <v>46</v>
      </c>
      <c r="E1611">
        <v>9</v>
      </c>
      <c r="F1611" s="3">
        <v>12.91</v>
      </c>
      <c r="G1611" t="s">
        <v>36</v>
      </c>
      <c r="H1611">
        <v>34</v>
      </c>
      <c r="I1611" t="s">
        <v>34</v>
      </c>
      <c r="J1611" s="4">
        <v>66.3</v>
      </c>
      <c r="K1611" s="4">
        <v>135.69999999999999</v>
      </c>
      <c r="L1611" s="4">
        <v>21.5</v>
      </c>
      <c r="M1611">
        <v>14</v>
      </c>
      <c r="N1611" t="s">
        <v>37</v>
      </c>
      <c r="O1611">
        <v>2</v>
      </c>
      <c r="P1611" s="4">
        <v>970.3</v>
      </c>
      <c r="Q1611" t="s">
        <v>42</v>
      </c>
      <c r="R1611">
        <v>0</v>
      </c>
      <c r="S1611" t="s">
        <v>44</v>
      </c>
      <c r="T1611">
        <v>0</v>
      </c>
      <c r="U1611">
        <v>0</v>
      </c>
      <c r="V1611" t="s">
        <v>32</v>
      </c>
      <c r="W1611" t="s">
        <v>57</v>
      </c>
      <c r="X1611" s="4">
        <v>6.2</v>
      </c>
      <c r="Y1611">
        <v>5</v>
      </c>
      <c r="Z1611" s="5">
        <v>173.92</v>
      </c>
    </row>
    <row r="1612" spans="1:26">
      <c r="A1612">
        <v>1611</v>
      </c>
      <c r="B1612">
        <v>524</v>
      </c>
      <c r="C1612" s="2">
        <v>46109</v>
      </c>
      <c r="D1612" t="s">
        <v>40</v>
      </c>
      <c r="E1612">
        <v>3</v>
      </c>
      <c r="F1612" s="3">
        <v>9.52</v>
      </c>
      <c r="G1612" t="s">
        <v>27</v>
      </c>
      <c r="H1612">
        <v>66</v>
      </c>
      <c r="I1612" t="s">
        <v>34</v>
      </c>
      <c r="J1612" s="4">
        <v>61.5</v>
      </c>
      <c r="K1612" s="4">
        <v>187.6</v>
      </c>
      <c r="L1612" s="4">
        <v>34.799999999999997</v>
      </c>
      <c r="M1612">
        <v>13</v>
      </c>
      <c r="N1612" t="s">
        <v>54</v>
      </c>
      <c r="O1612">
        <v>5</v>
      </c>
      <c r="P1612" s="4">
        <v>2282</v>
      </c>
      <c r="Q1612" t="s">
        <v>42</v>
      </c>
      <c r="R1612">
        <v>0</v>
      </c>
      <c r="S1612" t="s">
        <v>44</v>
      </c>
      <c r="T1612">
        <v>0</v>
      </c>
      <c r="U1612">
        <v>0</v>
      </c>
      <c r="V1612" t="s">
        <v>32</v>
      </c>
      <c r="W1612" t="s">
        <v>43</v>
      </c>
      <c r="X1612" s="4">
        <v>8.8000000000000007</v>
      </c>
      <c r="Y1612">
        <v>12</v>
      </c>
      <c r="Z1612" s="5">
        <v>208.29</v>
      </c>
    </row>
    <row r="1613" spans="1:26">
      <c r="A1613">
        <v>1612</v>
      </c>
      <c r="B1613">
        <v>524</v>
      </c>
      <c r="C1613" s="2">
        <v>46109</v>
      </c>
      <c r="D1613" t="s">
        <v>40</v>
      </c>
      <c r="E1613">
        <v>3</v>
      </c>
      <c r="F1613" s="3">
        <v>9.64</v>
      </c>
      <c r="G1613" t="s">
        <v>27</v>
      </c>
      <c r="H1613">
        <v>33</v>
      </c>
      <c r="I1613" t="s">
        <v>34</v>
      </c>
      <c r="J1613" s="4">
        <v>65.900000000000006</v>
      </c>
      <c r="K1613" s="4">
        <v>195.4</v>
      </c>
      <c r="L1613" s="4">
        <v>31.7</v>
      </c>
      <c r="M1613">
        <v>15</v>
      </c>
      <c r="N1613" t="s">
        <v>54</v>
      </c>
      <c r="O1613">
        <v>5</v>
      </c>
      <c r="P1613" s="4">
        <v>2282</v>
      </c>
      <c r="Q1613" t="s">
        <v>42</v>
      </c>
      <c r="R1613">
        <v>0</v>
      </c>
      <c r="S1613" t="s">
        <v>44</v>
      </c>
      <c r="T1613">
        <v>0</v>
      </c>
      <c r="U1613">
        <v>0</v>
      </c>
      <c r="V1613" t="s">
        <v>32</v>
      </c>
      <c r="W1613" t="s">
        <v>43</v>
      </c>
      <c r="X1613" s="4">
        <v>7.6</v>
      </c>
      <c r="Y1613">
        <v>6</v>
      </c>
      <c r="Z1613" s="5">
        <v>120.14</v>
      </c>
    </row>
    <row r="1614" spans="1:26">
      <c r="A1614">
        <v>1613</v>
      </c>
      <c r="B1614">
        <v>524</v>
      </c>
      <c r="C1614" s="2">
        <v>46109</v>
      </c>
      <c r="D1614" t="s">
        <v>40</v>
      </c>
      <c r="E1614">
        <v>3</v>
      </c>
      <c r="F1614" s="3">
        <v>9.34</v>
      </c>
      <c r="G1614" t="s">
        <v>27</v>
      </c>
      <c r="H1614">
        <v>66</v>
      </c>
      <c r="I1614" t="s">
        <v>28</v>
      </c>
      <c r="J1614" s="4">
        <v>69.8</v>
      </c>
      <c r="K1614" s="4">
        <v>213.8</v>
      </c>
      <c r="L1614" s="4">
        <v>30.9</v>
      </c>
      <c r="M1614">
        <v>14</v>
      </c>
      <c r="N1614" t="s">
        <v>54</v>
      </c>
      <c r="O1614">
        <v>5</v>
      </c>
      <c r="P1614" s="4">
        <v>2282</v>
      </c>
      <c r="Q1614" t="s">
        <v>42</v>
      </c>
      <c r="R1614">
        <v>0</v>
      </c>
      <c r="S1614" t="s">
        <v>44</v>
      </c>
      <c r="T1614">
        <v>0</v>
      </c>
      <c r="U1614">
        <v>0</v>
      </c>
      <c r="V1614" t="s">
        <v>32</v>
      </c>
      <c r="W1614" t="s">
        <v>43</v>
      </c>
      <c r="X1614" s="4">
        <v>10</v>
      </c>
      <c r="Y1614">
        <v>8</v>
      </c>
      <c r="Z1614" s="5">
        <v>166.7</v>
      </c>
    </row>
    <row r="1615" spans="1:26">
      <c r="A1615">
        <v>1614</v>
      </c>
      <c r="B1615">
        <v>524</v>
      </c>
      <c r="C1615" s="2">
        <v>46109</v>
      </c>
      <c r="D1615" t="s">
        <v>40</v>
      </c>
      <c r="E1615">
        <v>3</v>
      </c>
      <c r="F1615" s="3">
        <v>9.36</v>
      </c>
      <c r="G1615" t="s">
        <v>27</v>
      </c>
      <c r="H1615">
        <v>45</v>
      </c>
      <c r="I1615" t="s">
        <v>28</v>
      </c>
      <c r="J1615" s="4">
        <v>72.7</v>
      </c>
      <c r="K1615" s="4">
        <v>156.9</v>
      </c>
      <c r="L1615" s="4">
        <v>21</v>
      </c>
      <c r="M1615">
        <v>15</v>
      </c>
      <c r="N1615" t="s">
        <v>54</v>
      </c>
      <c r="O1615">
        <v>5</v>
      </c>
      <c r="P1615" s="4">
        <v>2282</v>
      </c>
      <c r="Q1615" t="s">
        <v>42</v>
      </c>
      <c r="R1615">
        <v>0</v>
      </c>
      <c r="S1615" t="s">
        <v>44</v>
      </c>
      <c r="T1615">
        <v>0</v>
      </c>
      <c r="U1615">
        <v>0</v>
      </c>
      <c r="V1615" t="s">
        <v>32</v>
      </c>
      <c r="W1615" t="s">
        <v>43</v>
      </c>
      <c r="X1615" s="4">
        <v>7.7</v>
      </c>
      <c r="Y1615">
        <v>1</v>
      </c>
      <c r="Z1615" s="5">
        <v>156.65</v>
      </c>
    </row>
    <row r="1616" spans="1:26">
      <c r="A1616">
        <v>1615</v>
      </c>
      <c r="B1616">
        <v>524</v>
      </c>
      <c r="C1616" s="2">
        <v>46109</v>
      </c>
      <c r="D1616" t="s">
        <v>40</v>
      </c>
      <c r="E1616">
        <v>3</v>
      </c>
      <c r="F1616" s="3">
        <v>9.7200000000000006</v>
      </c>
      <c r="G1616" t="s">
        <v>27</v>
      </c>
      <c r="H1616">
        <v>9</v>
      </c>
      <c r="I1616" t="s">
        <v>28</v>
      </c>
      <c r="J1616" s="4">
        <v>62.5</v>
      </c>
      <c r="K1616" s="4">
        <v>110.4</v>
      </c>
      <c r="L1616" s="4">
        <v>19.8</v>
      </c>
      <c r="M1616">
        <v>15</v>
      </c>
      <c r="N1616" t="s">
        <v>54</v>
      </c>
      <c r="O1616">
        <v>5</v>
      </c>
      <c r="P1616" s="4">
        <v>2282</v>
      </c>
      <c r="Q1616" t="s">
        <v>42</v>
      </c>
      <c r="R1616">
        <v>0</v>
      </c>
      <c r="S1616" t="s">
        <v>44</v>
      </c>
      <c r="T1616">
        <v>0</v>
      </c>
      <c r="U1616">
        <v>0</v>
      </c>
      <c r="V1616" t="s">
        <v>32</v>
      </c>
      <c r="W1616" t="s">
        <v>43</v>
      </c>
      <c r="X1616" s="4">
        <v>9.5</v>
      </c>
      <c r="Y1616">
        <v>7</v>
      </c>
      <c r="Z1616" s="5">
        <v>207.82</v>
      </c>
    </row>
    <row r="1617" spans="1:26">
      <c r="A1617">
        <v>1616</v>
      </c>
      <c r="B1617">
        <v>525</v>
      </c>
      <c r="C1617" s="2">
        <v>46213</v>
      </c>
      <c r="D1617" t="s">
        <v>26</v>
      </c>
      <c r="E1617">
        <v>7</v>
      </c>
      <c r="F1617" s="3">
        <v>8.75</v>
      </c>
      <c r="G1617" t="s">
        <v>27</v>
      </c>
      <c r="H1617">
        <v>63</v>
      </c>
      <c r="I1617" t="s">
        <v>28</v>
      </c>
      <c r="J1617" s="4">
        <v>71.2</v>
      </c>
      <c r="K1617" s="4">
        <v>161.4</v>
      </c>
      <c r="L1617" s="4">
        <v>22.7</v>
      </c>
      <c r="M1617">
        <v>17</v>
      </c>
      <c r="N1617" t="s">
        <v>50</v>
      </c>
      <c r="O1617">
        <v>4</v>
      </c>
      <c r="P1617" s="4">
        <v>478.5</v>
      </c>
      <c r="Q1617" t="s">
        <v>42</v>
      </c>
      <c r="R1617">
        <v>1</v>
      </c>
      <c r="S1617" t="s">
        <v>38</v>
      </c>
      <c r="T1617">
        <v>0</v>
      </c>
      <c r="U1617">
        <v>0</v>
      </c>
      <c r="V1617" t="s">
        <v>32</v>
      </c>
      <c r="W1617" t="s">
        <v>43</v>
      </c>
      <c r="X1617" s="4">
        <v>9.6</v>
      </c>
      <c r="Y1617">
        <v>4</v>
      </c>
      <c r="Z1617" s="5">
        <v>134.94</v>
      </c>
    </row>
    <row r="1618" spans="1:26">
      <c r="A1618">
        <v>1617</v>
      </c>
      <c r="B1618">
        <v>525</v>
      </c>
      <c r="C1618" s="2">
        <v>46213</v>
      </c>
      <c r="D1618" t="s">
        <v>26</v>
      </c>
      <c r="E1618">
        <v>7</v>
      </c>
      <c r="F1618" s="3">
        <v>8.94</v>
      </c>
      <c r="G1618" t="s">
        <v>27</v>
      </c>
      <c r="H1618">
        <v>53</v>
      </c>
      <c r="I1618" t="s">
        <v>28</v>
      </c>
      <c r="J1618" s="4">
        <v>68.2</v>
      </c>
      <c r="K1618" s="4">
        <v>129.6</v>
      </c>
      <c r="L1618" s="4">
        <v>19.7</v>
      </c>
      <c r="M1618">
        <v>18</v>
      </c>
      <c r="N1618" t="s">
        <v>50</v>
      </c>
      <c r="O1618">
        <v>4</v>
      </c>
      <c r="P1618" s="4">
        <v>478.5</v>
      </c>
      <c r="Q1618" t="s">
        <v>42</v>
      </c>
      <c r="R1618">
        <v>1</v>
      </c>
      <c r="S1618" t="s">
        <v>38</v>
      </c>
      <c r="T1618">
        <v>0</v>
      </c>
      <c r="U1618">
        <v>0</v>
      </c>
      <c r="V1618" t="s">
        <v>32</v>
      </c>
      <c r="W1618" t="s">
        <v>43</v>
      </c>
      <c r="X1618" s="4">
        <v>11.2</v>
      </c>
      <c r="Y1618">
        <v>10</v>
      </c>
      <c r="Z1618" s="5">
        <v>305.05</v>
      </c>
    </row>
    <row r="1619" spans="1:26">
      <c r="A1619">
        <v>1618</v>
      </c>
      <c r="B1619">
        <v>525</v>
      </c>
      <c r="C1619" s="2">
        <v>46213</v>
      </c>
      <c r="D1619" t="s">
        <v>26</v>
      </c>
      <c r="E1619">
        <v>7</v>
      </c>
      <c r="F1619" s="3">
        <v>8.9700000000000006</v>
      </c>
      <c r="G1619" t="s">
        <v>27</v>
      </c>
      <c r="H1619">
        <v>25</v>
      </c>
      <c r="I1619" t="s">
        <v>28</v>
      </c>
      <c r="J1619" s="4">
        <v>64.8</v>
      </c>
      <c r="K1619" s="4">
        <v>148.19999999999999</v>
      </c>
      <c r="L1619" s="4">
        <v>25</v>
      </c>
      <c r="M1619">
        <v>13</v>
      </c>
      <c r="N1619" t="s">
        <v>50</v>
      </c>
      <c r="O1619">
        <v>4</v>
      </c>
      <c r="P1619" s="4">
        <v>478.5</v>
      </c>
      <c r="Q1619" t="s">
        <v>42</v>
      </c>
      <c r="R1619">
        <v>1</v>
      </c>
      <c r="S1619" t="s">
        <v>38</v>
      </c>
      <c r="T1619">
        <v>0</v>
      </c>
      <c r="U1619">
        <v>0</v>
      </c>
      <c r="V1619" t="s">
        <v>32</v>
      </c>
      <c r="W1619" t="s">
        <v>43</v>
      </c>
      <c r="X1619" s="4">
        <v>9.9</v>
      </c>
      <c r="Y1619">
        <v>10</v>
      </c>
      <c r="Z1619" s="5">
        <v>241.69</v>
      </c>
    </row>
    <row r="1620" spans="1:26">
      <c r="A1620">
        <v>1619</v>
      </c>
      <c r="B1620">
        <v>525</v>
      </c>
      <c r="C1620" s="2">
        <v>46213</v>
      </c>
      <c r="D1620" t="s">
        <v>26</v>
      </c>
      <c r="E1620">
        <v>7</v>
      </c>
      <c r="F1620" s="3">
        <v>8.9600000000000009</v>
      </c>
      <c r="G1620" t="s">
        <v>27</v>
      </c>
      <c r="H1620">
        <v>60</v>
      </c>
      <c r="I1620" t="s">
        <v>34</v>
      </c>
      <c r="J1620" s="4">
        <v>64.3</v>
      </c>
      <c r="K1620" s="4">
        <v>186.8</v>
      </c>
      <c r="L1620" s="4">
        <v>31.5</v>
      </c>
      <c r="M1620">
        <v>18</v>
      </c>
      <c r="N1620" t="s">
        <v>50</v>
      </c>
      <c r="O1620">
        <v>4</v>
      </c>
      <c r="P1620" s="4">
        <v>478.5</v>
      </c>
      <c r="Q1620" t="s">
        <v>42</v>
      </c>
      <c r="R1620">
        <v>1</v>
      </c>
      <c r="S1620" t="s">
        <v>38</v>
      </c>
      <c r="T1620">
        <v>0</v>
      </c>
      <c r="U1620">
        <v>0</v>
      </c>
      <c r="V1620" t="s">
        <v>32</v>
      </c>
      <c r="W1620" t="s">
        <v>43</v>
      </c>
      <c r="X1620" s="4">
        <v>10.4</v>
      </c>
      <c r="Y1620">
        <v>12</v>
      </c>
      <c r="Z1620" s="5">
        <v>378.7</v>
      </c>
    </row>
    <row r="1621" spans="1:26">
      <c r="A1621">
        <v>1620</v>
      </c>
      <c r="B1621">
        <v>526</v>
      </c>
      <c r="C1621" s="2">
        <v>46073</v>
      </c>
      <c r="D1621" t="s">
        <v>26</v>
      </c>
      <c r="E1621">
        <v>2</v>
      </c>
      <c r="F1621" s="3">
        <v>8.99</v>
      </c>
      <c r="G1621" t="s">
        <v>27</v>
      </c>
      <c r="H1621">
        <v>17</v>
      </c>
      <c r="I1621" t="s">
        <v>28</v>
      </c>
      <c r="J1621" s="4">
        <v>70</v>
      </c>
      <c r="K1621" s="4">
        <v>144.1</v>
      </c>
      <c r="L1621" s="4">
        <v>20.7</v>
      </c>
      <c r="M1621">
        <v>12</v>
      </c>
      <c r="N1621" t="s">
        <v>37</v>
      </c>
      <c r="O1621">
        <v>2</v>
      </c>
      <c r="P1621" s="4">
        <v>942.3</v>
      </c>
      <c r="Q1621" t="s">
        <v>42</v>
      </c>
      <c r="R1621">
        <v>1</v>
      </c>
      <c r="S1621" t="s">
        <v>38</v>
      </c>
      <c r="T1621">
        <v>1</v>
      </c>
      <c r="U1621">
        <v>1</v>
      </c>
      <c r="V1621" t="s">
        <v>64</v>
      </c>
      <c r="W1621" t="s">
        <v>33</v>
      </c>
      <c r="X1621" s="4">
        <v>8.1999999999999993</v>
      </c>
      <c r="Y1621">
        <v>10</v>
      </c>
      <c r="Z1621" s="5">
        <v>390.32</v>
      </c>
    </row>
    <row r="1622" spans="1:26">
      <c r="A1622">
        <v>1621</v>
      </c>
      <c r="B1622">
        <v>526</v>
      </c>
      <c r="C1622" s="2">
        <v>46073</v>
      </c>
      <c r="D1622" t="s">
        <v>26</v>
      </c>
      <c r="E1622">
        <v>2</v>
      </c>
      <c r="F1622" s="3">
        <v>9.23</v>
      </c>
      <c r="G1622" t="s">
        <v>27</v>
      </c>
      <c r="H1622">
        <v>65</v>
      </c>
      <c r="I1622" t="s">
        <v>34</v>
      </c>
      <c r="J1622" s="4">
        <v>71.2</v>
      </c>
      <c r="K1622" s="4">
        <v>161.9</v>
      </c>
      <c r="L1622" s="4">
        <v>22.5</v>
      </c>
      <c r="M1622">
        <v>16</v>
      </c>
      <c r="N1622" t="s">
        <v>37</v>
      </c>
      <c r="O1622">
        <v>2</v>
      </c>
      <c r="P1622" s="4">
        <v>942.3</v>
      </c>
      <c r="Q1622" t="s">
        <v>42</v>
      </c>
      <c r="R1622">
        <v>1</v>
      </c>
      <c r="S1622" t="s">
        <v>38</v>
      </c>
      <c r="T1622">
        <v>1</v>
      </c>
      <c r="U1622">
        <v>1</v>
      </c>
      <c r="V1622" t="s">
        <v>64</v>
      </c>
      <c r="W1622" t="s">
        <v>33</v>
      </c>
      <c r="X1622" s="4">
        <v>9</v>
      </c>
      <c r="Y1622">
        <v>8</v>
      </c>
      <c r="Z1622" s="5">
        <v>243.08</v>
      </c>
    </row>
    <row r="1623" spans="1:26">
      <c r="A1623">
        <v>1622</v>
      </c>
      <c r="B1623">
        <v>527</v>
      </c>
      <c r="C1623" s="2">
        <v>46233</v>
      </c>
      <c r="D1623" t="s">
        <v>55</v>
      </c>
      <c r="E1623">
        <v>7</v>
      </c>
      <c r="F1623" s="3">
        <v>11.55</v>
      </c>
      <c r="G1623" t="s">
        <v>36</v>
      </c>
      <c r="H1623">
        <v>29</v>
      </c>
      <c r="I1623" t="s">
        <v>28</v>
      </c>
      <c r="J1623" s="4">
        <v>69.400000000000006</v>
      </c>
      <c r="K1623" s="4">
        <v>187.5</v>
      </c>
      <c r="L1623" s="4">
        <v>27.3</v>
      </c>
      <c r="M1623">
        <v>11</v>
      </c>
      <c r="N1623" t="s">
        <v>37</v>
      </c>
      <c r="O1623">
        <v>2</v>
      </c>
      <c r="P1623" s="4">
        <v>940.6</v>
      </c>
      <c r="Q1623" t="s">
        <v>30</v>
      </c>
      <c r="R1623">
        <v>1</v>
      </c>
      <c r="S1623" t="s">
        <v>38</v>
      </c>
      <c r="T1623">
        <v>0</v>
      </c>
      <c r="U1623">
        <v>0</v>
      </c>
      <c r="V1623" t="s">
        <v>32</v>
      </c>
      <c r="W1623" t="s">
        <v>49</v>
      </c>
      <c r="X1623" s="4">
        <v>8.9</v>
      </c>
      <c r="Y1623">
        <v>6</v>
      </c>
      <c r="Z1623" s="5">
        <v>309.68</v>
      </c>
    </row>
    <row r="1624" spans="1:26">
      <c r="A1624">
        <v>1623</v>
      </c>
      <c r="B1624">
        <v>527</v>
      </c>
      <c r="C1624" s="2">
        <v>46233</v>
      </c>
      <c r="D1624" t="s">
        <v>55</v>
      </c>
      <c r="E1624">
        <v>7</v>
      </c>
      <c r="F1624" s="3">
        <v>11.42</v>
      </c>
      <c r="G1624" t="s">
        <v>36</v>
      </c>
      <c r="H1624">
        <v>3</v>
      </c>
      <c r="I1624" t="s">
        <v>28</v>
      </c>
      <c r="J1624" s="4">
        <v>44.5</v>
      </c>
      <c r="K1624" s="4">
        <v>61.9</v>
      </c>
      <c r="L1624" s="4">
        <v>22</v>
      </c>
      <c r="M1624">
        <v>12</v>
      </c>
      <c r="N1624" t="s">
        <v>37</v>
      </c>
      <c r="O1624">
        <v>2</v>
      </c>
      <c r="P1624" s="4">
        <v>940.6</v>
      </c>
      <c r="Q1624" t="s">
        <v>30</v>
      </c>
      <c r="R1624">
        <v>1</v>
      </c>
      <c r="S1624" t="s">
        <v>38</v>
      </c>
      <c r="T1624">
        <v>0</v>
      </c>
      <c r="U1624">
        <v>0</v>
      </c>
      <c r="V1624" t="s">
        <v>32</v>
      </c>
      <c r="W1624" t="s">
        <v>49</v>
      </c>
      <c r="X1624" s="4">
        <v>7.9</v>
      </c>
      <c r="Y1624">
        <v>2</v>
      </c>
      <c r="Z1624" s="5">
        <v>199.07</v>
      </c>
    </row>
    <row r="1625" spans="1:26">
      <c r="A1625">
        <v>1624</v>
      </c>
      <c r="B1625">
        <v>528</v>
      </c>
      <c r="C1625" s="2">
        <v>46198</v>
      </c>
      <c r="D1625" t="s">
        <v>55</v>
      </c>
      <c r="E1625">
        <v>6</v>
      </c>
      <c r="F1625" s="3">
        <v>13</v>
      </c>
      <c r="G1625" t="s">
        <v>36</v>
      </c>
      <c r="H1625">
        <v>58</v>
      </c>
      <c r="I1625" t="s">
        <v>28</v>
      </c>
      <c r="J1625" s="4">
        <v>69.900000000000006</v>
      </c>
      <c r="K1625" s="4">
        <v>153.5</v>
      </c>
      <c r="L1625" s="4">
        <v>22.1</v>
      </c>
      <c r="M1625">
        <v>16</v>
      </c>
      <c r="N1625" t="s">
        <v>59</v>
      </c>
      <c r="O1625">
        <v>1</v>
      </c>
      <c r="P1625" s="4">
        <v>1053.4000000000001</v>
      </c>
      <c r="Q1625" t="s">
        <v>30</v>
      </c>
      <c r="R1625">
        <v>0</v>
      </c>
      <c r="S1625" t="s">
        <v>31</v>
      </c>
      <c r="T1625">
        <v>0</v>
      </c>
      <c r="U1625">
        <v>0</v>
      </c>
      <c r="V1625" t="s">
        <v>32</v>
      </c>
      <c r="W1625" t="s">
        <v>49</v>
      </c>
      <c r="X1625" s="4">
        <v>7.3</v>
      </c>
      <c r="Y1625">
        <v>9</v>
      </c>
      <c r="Z1625" s="5">
        <v>261.52999999999997</v>
      </c>
    </row>
    <row r="1626" spans="1:26">
      <c r="A1626">
        <v>1625</v>
      </c>
      <c r="B1626">
        <v>529</v>
      </c>
      <c r="C1626" s="2">
        <v>46111</v>
      </c>
      <c r="D1626" t="s">
        <v>46</v>
      </c>
      <c r="E1626">
        <v>3</v>
      </c>
      <c r="F1626" s="3">
        <v>12.5</v>
      </c>
      <c r="G1626" t="s">
        <v>36</v>
      </c>
      <c r="H1626">
        <v>37</v>
      </c>
      <c r="I1626" t="s">
        <v>28</v>
      </c>
      <c r="J1626" s="4">
        <v>70.900000000000006</v>
      </c>
      <c r="K1626" s="4">
        <v>197.1</v>
      </c>
      <c r="L1626" s="4">
        <v>27.5</v>
      </c>
      <c r="M1626">
        <v>14</v>
      </c>
      <c r="N1626" t="s">
        <v>50</v>
      </c>
      <c r="O1626">
        <v>3</v>
      </c>
      <c r="P1626" s="4">
        <v>198.8</v>
      </c>
      <c r="Q1626" t="s">
        <v>42</v>
      </c>
      <c r="R1626">
        <v>1</v>
      </c>
      <c r="S1626" t="s">
        <v>44</v>
      </c>
      <c r="T1626">
        <v>0</v>
      </c>
      <c r="U1626">
        <v>0</v>
      </c>
      <c r="V1626" t="s">
        <v>32</v>
      </c>
      <c r="W1626" t="s">
        <v>49</v>
      </c>
      <c r="X1626" s="4">
        <v>8</v>
      </c>
      <c r="Y1626">
        <v>10</v>
      </c>
      <c r="Z1626" s="5">
        <v>185.62</v>
      </c>
    </row>
    <row r="1627" spans="1:26">
      <c r="A1627">
        <v>1626</v>
      </c>
      <c r="B1627">
        <v>529</v>
      </c>
      <c r="C1627" s="2">
        <v>46111</v>
      </c>
      <c r="D1627" t="s">
        <v>46</v>
      </c>
      <c r="E1627">
        <v>3</v>
      </c>
      <c r="F1627" s="3">
        <v>12.59</v>
      </c>
      <c r="G1627" t="s">
        <v>36</v>
      </c>
      <c r="H1627">
        <v>61</v>
      </c>
      <c r="I1627" t="s">
        <v>34</v>
      </c>
      <c r="J1627" s="4">
        <v>62.9</v>
      </c>
      <c r="K1627" s="4">
        <v>138.69999999999999</v>
      </c>
      <c r="L1627" s="4">
        <v>24.4</v>
      </c>
      <c r="M1627">
        <v>16</v>
      </c>
      <c r="N1627" t="s">
        <v>50</v>
      </c>
      <c r="O1627">
        <v>3</v>
      </c>
      <c r="P1627" s="4">
        <v>198.8</v>
      </c>
      <c r="Q1627" t="s">
        <v>42</v>
      </c>
      <c r="R1627">
        <v>1</v>
      </c>
      <c r="S1627" t="s">
        <v>44</v>
      </c>
      <c r="T1627">
        <v>0</v>
      </c>
      <c r="U1627">
        <v>0</v>
      </c>
      <c r="V1627" t="s">
        <v>32</v>
      </c>
      <c r="W1627" t="s">
        <v>49</v>
      </c>
      <c r="X1627" s="4">
        <v>7.4</v>
      </c>
      <c r="Y1627">
        <v>3</v>
      </c>
      <c r="Z1627" s="5">
        <v>242.05</v>
      </c>
    </row>
    <row r="1628" spans="1:26">
      <c r="A1628">
        <v>1627</v>
      </c>
      <c r="B1628">
        <v>529</v>
      </c>
      <c r="C1628" s="2">
        <v>46111</v>
      </c>
      <c r="D1628" t="s">
        <v>46</v>
      </c>
      <c r="E1628">
        <v>3</v>
      </c>
      <c r="F1628" s="3">
        <v>12.53</v>
      </c>
      <c r="G1628" t="s">
        <v>36</v>
      </c>
      <c r="H1628">
        <v>3</v>
      </c>
      <c r="I1628" t="s">
        <v>28</v>
      </c>
      <c r="J1628" s="4">
        <v>49.9</v>
      </c>
      <c r="K1628" s="4">
        <v>73.099999999999994</v>
      </c>
      <c r="L1628" s="4">
        <v>20.7</v>
      </c>
      <c r="M1628">
        <v>14</v>
      </c>
      <c r="N1628" t="s">
        <v>50</v>
      </c>
      <c r="O1628">
        <v>3</v>
      </c>
      <c r="P1628" s="4">
        <v>198.8</v>
      </c>
      <c r="Q1628" t="s">
        <v>42</v>
      </c>
      <c r="R1628">
        <v>1</v>
      </c>
      <c r="S1628" t="s">
        <v>44</v>
      </c>
      <c r="T1628">
        <v>0</v>
      </c>
      <c r="U1628">
        <v>0</v>
      </c>
      <c r="V1628" t="s">
        <v>32</v>
      </c>
      <c r="W1628" t="s">
        <v>49</v>
      </c>
      <c r="X1628" s="4">
        <v>4.4000000000000004</v>
      </c>
      <c r="Y1628">
        <v>5</v>
      </c>
      <c r="Z1628" s="5">
        <v>94.88</v>
      </c>
    </row>
    <row r="1629" spans="1:26">
      <c r="A1629">
        <v>1628</v>
      </c>
      <c r="B1629">
        <v>530</v>
      </c>
      <c r="C1629" s="2">
        <v>46355</v>
      </c>
      <c r="D1629" t="s">
        <v>58</v>
      </c>
      <c r="E1629">
        <v>11</v>
      </c>
      <c r="F1629" s="3">
        <v>7.12</v>
      </c>
      <c r="G1629" t="s">
        <v>27</v>
      </c>
      <c r="H1629">
        <v>51</v>
      </c>
      <c r="I1629" t="s">
        <v>34</v>
      </c>
      <c r="J1629" s="4">
        <v>65.7</v>
      </c>
      <c r="K1629" s="4">
        <v>215.5</v>
      </c>
      <c r="L1629" s="4">
        <v>35.200000000000003</v>
      </c>
      <c r="M1629">
        <v>8</v>
      </c>
      <c r="N1629" t="s">
        <v>65</v>
      </c>
      <c r="O1629">
        <v>5</v>
      </c>
      <c r="P1629" s="4">
        <v>1883.8</v>
      </c>
      <c r="Q1629" t="s">
        <v>30</v>
      </c>
      <c r="R1629">
        <v>0</v>
      </c>
      <c r="S1629" t="s">
        <v>44</v>
      </c>
      <c r="T1629">
        <v>0</v>
      </c>
      <c r="U1629">
        <v>0</v>
      </c>
      <c r="V1629" t="s">
        <v>32</v>
      </c>
      <c r="W1629" t="s">
        <v>43</v>
      </c>
      <c r="X1629" s="4">
        <v>6.3</v>
      </c>
      <c r="Y1629">
        <v>5</v>
      </c>
      <c r="Z1629" s="5">
        <v>87.98</v>
      </c>
    </row>
    <row r="1630" spans="1:26">
      <c r="A1630">
        <v>1629</v>
      </c>
      <c r="B1630">
        <v>530</v>
      </c>
      <c r="C1630" s="2">
        <v>46355</v>
      </c>
      <c r="D1630" t="s">
        <v>58</v>
      </c>
      <c r="E1630">
        <v>11</v>
      </c>
      <c r="F1630" s="3">
        <v>7</v>
      </c>
      <c r="G1630" t="s">
        <v>27</v>
      </c>
      <c r="H1630">
        <v>65</v>
      </c>
      <c r="I1630" t="s">
        <v>28</v>
      </c>
      <c r="J1630" s="4">
        <v>67.5</v>
      </c>
      <c r="K1630" s="4">
        <v>150.5</v>
      </c>
      <c r="L1630" s="4">
        <v>23.1</v>
      </c>
      <c r="M1630">
        <v>15</v>
      </c>
      <c r="N1630" t="s">
        <v>65</v>
      </c>
      <c r="O1630">
        <v>5</v>
      </c>
      <c r="P1630" s="4">
        <v>1883.8</v>
      </c>
      <c r="Q1630" t="s">
        <v>30</v>
      </c>
      <c r="R1630">
        <v>0</v>
      </c>
      <c r="S1630" t="s">
        <v>44</v>
      </c>
      <c r="T1630">
        <v>0</v>
      </c>
      <c r="U1630">
        <v>0</v>
      </c>
      <c r="V1630" t="s">
        <v>32</v>
      </c>
      <c r="W1630" t="s">
        <v>43</v>
      </c>
      <c r="X1630" s="4">
        <v>7.4</v>
      </c>
      <c r="Y1630">
        <v>8</v>
      </c>
      <c r="Z1630" s="5">
        <v>164.62</v>
      </c>
    </row>
    <row r="1631" spans="1:26">
      <c r="A1631">
        <v>1630</v>
      </c>
      <c r="B1631">
        <v>530</v>
      </c>
      <c r="C1631" s="2">
        <v>46355</v>
      </c>
      <c r="D1631" t="s">
        <v>58</v>
      </c>
      <c r="E1631">
        <v>11</v>
      </c>
      <c r="F1631" s="3">
        <v>7.23</v>
      </c>
      <c r="G1631" t="s">
        <v>27</v>
      </c>
      <c r="H1631">
        <v>27</v>
      </c>
      <c r="I1631" t="s">
        <v>28</v>
      </c>
      <c r="J1631" s="4">
        <v>70.099999999999994</v>
      </c>
      <c r="K1631" s="4">
        <v>146.6</v>
      </c>
      <c r="L1631" s="4">
        <v>20.9</v>
      </c>
      <c r="M1631">
        <v>12</v>
      </c>
      <c r="N1631" t="s">
        <v>65</v>
      </c>
      <c r="O1631">
        <v>5</v>
      </c>
      <c r="P1631" s="4">
        <v>1883.8</v>
      </c>
      <c r="Q1631" t="s">
        <v>30</v>
      </c>
      <c r="R1631">
        <v>0</v>
      </c>
      <c r="S1631" t="s">
        <v>44</v>
      </c>
      <c r="T1631">
        <v>0</v>
      </c>
      <c r="U1631">
        <v>0</v>
      </c>
      <c r="V1631" t="s">
        <v>32</v>
      </c>
      <c r="W1631" t="s">
        <v>43</v>
      </c>
      <c r="X1631" s="4">
        <v>10.9</v>
      </c>
      <c r="Y1631">
        <v>5</v>
      </c>
      <c r="Z1631" s="5">
        <v>163.35</v>
      </c>
    </row>
    <row r="1632" spans="1:26">
      <c r="A1632">
        <v>1631</v>
      </c>
      <c r="B1632">
        <v>530</v>
      </c>
      <c r="C1632" s="2">
        <v>46355</v>
      </c>
      <c r="D1632" t="s">
        <v>58</v>
      </c>
      <c r="E1632">
        <v>11</v>
      </c>
      <c r="F1632" s="3">
        <v>7</v>
      </c>
      <c r="G1632" t="s">
        <v>27</v>
      </c>
      <c r="H1632">
        <v>67</v>
      </c>
      <c r="I1632" t="s">
        <v>28</v>
      </c>
      <c r="J1632" s="4">
        <v>70</v>
      </c>
      <c r="K1632" s="4">
        <v>163.9</v>
      </c>
      <c r="L1632" s="4">
        <v>23.4</v>
      </c>
      <c r="M1632">
        <v>15</v>
      </c>
      <c r="N1632" t="s">
        <v>65</v>
      </c>
      <c r="O1632">
        <v>5</v>
      </c>
      <c r="P1632" s="4">
        <v>1883.8</v>
      </c>
      <c r="Q1632" t="s">
        <v>30</v>
      </c>
      <c r="R1632">
        <v>0</v>
      </c>
      <c r="S1632" t="s">
        <v>44</v>
      </c>
      <c r="T1632">
        <v>0</v>
      </c>
      <c r="U1632">
        <v>0</v>
      </c>
      <c r="V1632" t="s">
        <v>32</v>
      </c>
      <c r="W1632" t="s">
        <v>43</v>
      </c>
      <c r="X1632" s="4">
        <v>9</v>
      </c>
      <c r="Y1632">
        <v>7</v>
      </c>
      <c r="Z1632" s="5">
        <v>204.22</v>
      </c>
    </row>
    <row r="1633" spans="1:26">
      <c r="A1633">
        <v>1632</v>
      </c>
      <c r="B1633">
        <v>530</v>
      </c>
      <c r="C1633" s="2">
        <v>46355</v>
      </c>
      <c r="D1633" t="s">
        <v>58</v>
      </c>
      <c r="E1633">
        <v>11</v>
      </c>
      <c r="F1633" s="3">
        <v>7.07</v>
      </c>
      <c r="G1633" t="s">
        <v>27</v>
      </c>
      <c r="H1633">
        <v>37</v>
      </c>
      <c r="I1633" t="s">
        <v>28</v>
      </c>
      <c r="J1633" s="4">
        <v>71.5</v>
      </c>
      <c r="K1633" s="4">
        <v>209</v>
      </c>
      <c r="L1633" s="4">
        <v>28.7</v>
      </c>
      <c r="M1633">
        <v>11</v>
      </c>
      <c r="N1633" t="s">
        <v>65</v>
      </c>
      <c r="O1633">
        <v>5</v>
      </c>
      <c r="P1633" s="4">
        <v>1883.8</v>
      </c>
      <c r="Q1633" t="s">
        <v>30</v>
      </c>
      <c r="R1633">
        <v>0</v>
      </c>
      <c r="S1633" t="s">
        <v>44</v>
      </c>
      <c r="T1633">
        <v>0</v>
      </c>
      <c r="U1633">
        <v>0</v>
      </c>
      <c r="V1633" t="s">
        <v>32</v>
      </c>
      <c r="W1633" t="s">
        <v>43</v>
      </c>
      <c r="X1633" s="4">
        <v>7.9</v>
      </c>
      <c r="Y1633">
        <v>5</v>
      </c>
      <c r="Z1633" s="5">
        <v>170.22</v>
      </c>
    </row>
    <row r="1634" spans="1:26">
      <c r="A1634">
        <v>1633</v>
      </c>
      <c r="B1634">
        <v>531</v>
      </c>
      <c r="C1634" s="2">
        <v>46366</v>
      </c>
      <c r="D1634" t="s">
        <v>55</v>
      </c>
      <c r="E1634">
        <v>12</v>
      </c>
      <c r="F1634" s="3">
        <v>11.52</v>
      </c>
      <c r="G1634" t="s">
        <v>36</v>
      </c>
      <c r="H1634">
        <v>35</v>
      </c>
      <c r="I1634" t="s">
        <v>34</v>
      </c>
      <c r="J1634" s="4">
        <v>60</v>
      </c>
      <c r="K1634" s="4">
        <v>110.4</v>
      </c>
      <c r="L1634" s="4">
        <v>21.4</v>
      </c>
      <c r="M1634">
        <v>14</v>
      </c>
      <c r="N1634" t="s">
        <v>60</v>
      </c>
      <c r="O1634">
        <v>3</v>
      </c>
      <c r="P1634" s="4">
        <v>848</v>
      </c>
      <c r="Q1634" t="s">
        <v>48</v>
      </c>
      <c r="R1634">
        <v>1</v>
      </c>
      <c r="S1634" t="s">
        <v>44</v>
      </c>
      <c r="T1634">
        <v>0</v>
      </c>
      <c r="U1634">
        <v>1</v>
      </c>
      <c r="V1634" t="s">
        <v>32</v>
      </c>
      <c r="W1634" t="s">
        <v>43</v>
      </c>
      <c r="X1634" s="4">
        <v>8.3000000000000007</v>
      </c>
      <c r="Y1634">
        <v>7</v>
      </c>
      <c r="Z1634" s="5">
        <v>291.26</v>
      </c>
    </row>
    <row r="1635" spans="1:26">
      <c r="A1635">
        <v>1634</v>
      </c>
      <c r="B1635">
        <v>531</v>
      </c>
      <c r="C1635" s="2">
        <v>46366</v>
      </c>
      <c r="D1635" t="s">
        <v>55</v>
      </c>
      <c r="E1635">
        <v>12</v>
      </c>
      <c r="F1635" s="3">
        <v>11.44</v>
      </c>
      <c r="G1635" t="s">
        <v>36</v>
      </c>
      <c r="H1635">
        <v>46</v>
      </c>
      <c r="I1635" t="s">
        <v>28</v>
      </c>
      <c r="J1635" s="4">
        <v>69.400000000000006</v>
      </c>
      <c r="K1635" s="4">
        <v>146.5</v>
      </c>
      <c r="L1635" s="4">
        <v>21.6</v>
      </c>
      <c r="M1635">
        <v>18</v>
      </c>
      <c r="N1635" t="s">
        <v>60</v>
      </c>
      <c r="O1635">
        <v>3</v>
      </c>
      <c r="P1635" s="4">
        <v>848</v>
      </c>
      <c r="Q1635" t="s">
        <v>48</v>
      </c>
      <c r="R1635">
        <v>1</v>
      </c>
      <c r="S1635" t="s">
        <v>44</v>
      </c>
      <c r="T1635">
        <v>0</v>
      </c>
      <c r="U1635">
        <v>1</v>
      </c>
      <c r="V1635" t="s">
        <v>32</v>
      </c>
      <c r="W1635" t="s">
        <v>43</v>
      </c>
      <c r="X1635" s="4">
        <v>7.4</v>
      </c>
      <c r="Y1635">
        <v>8</v>
      </c>
      <c r="Z1635" s="5">
        <v>217.49</v>
      </c>
    </row>
    <row r="1636" spans="1:26">
      <c r="A1636">
        <v>1635</v>
      </c>
      <c r="B1636">
        <v>531</v>
      </c>
      <c r="C1636" s="2">
        <v>46366</v>
      </c>
      <c r="D1636" t="s">
        <v>55</v>
      </c>
      <c r="E1636">
        <v>12</v>
      </c>
      <c r="F1636" s="3">
        <v>11.35</v>
      </c>
      <c r="G1636" t="s">
        <v>36</v>
      </c>
      <c r="H1636">
        <v>35</v>
      </c>
      <c r="I1636" t="s">
        <v>28</v>
      </c>
      <c r="J1636" s="4">
        <v>74.099999999999994</v>
      </c>
      <c r="K1636" s="4">
        <v>197.7</v>
      </c>
      <c r="L1636" s="4">
        <v>25.1</v>
      </c>
      <c r="M1636">
        <v>22</v>
      </c>
      <c r="N1636" t="s">
        <v>60</v>
      </c>
      <c r="O1636">
        <v>3</v>
      </c>
      <c r="P1636" s="4">
        <v>848</v>
      </c>
      <c r="Q1636" t="s">
        <v>48</v>
      </c>
      <c r="R1636">
        <v>1</v>
      </c>
      <c r="S1636" t="s">
        <v>44</v>
      </c>
      <c r="T1636">
        <v>0</v>
      </c>
      <c r="U1636">
        <v>1</v>
      </c>
      <c r="V1636" t="s">
        <v>32</v>
      </c>
      <c r="W1636" t="s">
        <v>43</v>
      </c>
      <c r="X1636" s="4">
        <v>10.7</v>
      </c>
      <c r="Y1636">
        <v>9</v>
      </c>
      <c r="Z1636" s="5">
        <v>245.78</v>
      </c>
    </row>
    <row r="1637" spans="1:26">
      <c r="A1637">
        <v>1636</v>
      </c>
      <c r="B1637">
        <v>532</v>
      </c>
      <c r="C1637" s="2">
        <v>46180</v>
      </c>
      <c r="D1637" t="s">
        <v>58</v>
      </c>
      <c r="E1637">
        <v>6</v>
      </c>
      <c r="F1637" s="3">
        <v>10.34</v>
      </c>
      <c r="G1637" t="s">
        <v>27</v>
      </c>
      <c r="H1637">
        <v>6</v>
      </c>
      <c r="I1637" t="s">
        <v>34</v>
      </c>
      <c r="J1637" s="4">
        <v>62.9</v>
      </c>
      <c r="K1637" s="4">
        <v>86.4</v>
      </c>
      <c r="L1637" s="4">
        <v>15.6</v>
      </c>
      <c r="M1637">
        <v>12</v>
      </c>
      <c r="N1637" t="s">
        <v>69</v>
      </c>
      <c r="O1637">
        <v>2</v>
      </c>
      <c r="P1637" s="4">
        <v>1910.7</v>
      </c>
      <c r="Q1637" t="s">
        <v>42</v>
      </c>
      <c r="R1637">
        <v>1</v>
      </c>
      <c r="S1637" t="s">
        <v>38</v>
      </c>
      <c r="T1637">
        <v>0</v>
      </c>
      <c r="U1637">
        <v>0</v>
      </c>
      <c r="V1637" t="s">
        <v>32</v>
      </c>
      <c r="W1637" t="s">
        <v>43</v>
      </c>
      <c r="X1637" s="4">
        <v>7.8</v>
      </c>
      <c r="Y1637">
        <v>2</v>
      </c>
      <c r="Z1637" s="5">
        <v>83.02</v>
      </c>
    </row>
    <row r="1638" spans="1:26">
      <c r="A1638">
        <v>1637</v>
      </c>
      <c r="B1638">
        <v>532</v>
      </c>
      <c r="C1638" s="2">
        <v>46180</v>
      </c>
      <c r="D1638" t="s">
        <v>58</v>
      </c>
      <c r="E1638">
        <v>6</v>
      </c>
      <c r="F1638" s="3">
        <v>10.26</v>
      </c>
      <c r="G1638" t="s">
        <v>27</v>
      </c>
      <c r="H1638">
        <v>33</v>
      </c>
      <c r="I1638" t="s">
        <v>34</v>
      </c>
      <c r="J1638" s="4">
        <v>61.3</v>
      </c>
      <c r="K1638" s="4">
        <v>122.7</v>
      </c>
      <c r="L1638" s="4">
        <v>22.8</v>
      </c>
      <c r="M1638">
        <v>18</v>
      </c>
      <c r="N1638" t="s">
        <v>69</v>
      </c>
      <c r="O1638">
        <v>2</v>
      </c>
      <c r="P1638" s="4">
        <v>1910.7</v>
      </c>
      <c r="Q1638" t="s">
        <v>42</v>
      </c>
      <c r="R1638">
        <v>1</v>
      </c>
      <c r="S1638" t="s">
        <v>38</v>
      </c>
      <c r="T1638">
        <v>0</v>
      </c>
      <c r="U1638">
        <v>0</v>
      </c>
      <c r="V1638" t="s">
        <v>32</v>
      </c>
      <c r="W1638" t="s">
        <v>43</v>
      </c>
      <c r="X1638" s="4">
        <v>10.6</v>
      </c>
      <c r="Y1638">
        <v>3</v>
      </c>
      <c r="Z1638" s="5">
        <v>175.58</v>
      </c>
    </row>
    <row r="1639" spans="1:26">
      <c r="A1639">
        <v>1638</v>
      </c>
      <c r="B1639">
        <v>533</v>
      </c>
      <c r="C1639" s="2">
        <v>46264</v>
      </c>
      <c r="D1639" t="s">
        <v>58</v>
      </c>
      <c r="E1639">
        <v>8</v>
      </c>
      <c r="F1639" s="3">
        <v>11.35</v>
      </c>
      <c r="G1639" t="s">
        <v>36</v>
      </c>
      <c r="H1639">
        <v>64</v>
      </c>
      <c r="I1639" t="s">
        <v>28</v>
      </c>
      <c r="J1639" s="4">
        <v>73.3</v>
      </c>
      <c r="K1639" s="4">
        <v>190.3</v>
      </c>
      <c r="L1639" s="4">
        <v>24.7</v>
      </c>
      <c r="M1639">
        <v>14</v>
      </c>
      <c r="N1639" t="s">
        <v>54</v>
      </c>
      <c r="O1639">
        <v>1</v>
      </c>
      <c r="P1639" s="4">
        <v>2160.6</v>
      </c>
      <c r="Q1639" t="s">
        <v>30</v>
      </c>
      <c r="R1639">
        <v>1</v>
      </c>
      <c r="S1639" t="s">
        <v>44</v>
      </c>
      <c r="T1639">
        <v>0</v>
      </c>
      <c r="U1639">
        <v>0</v>
      </c>
      <c r="V1639" t="s">
        <v>32</v>
      </c>
      <c r="W1639" t="s">
        <v>49</v>
      </c>
      <c r="X1639" s="4">
        <v>9.3000000000000007</v>
      </c>
      <c r="Y1639">
        <v>8</v>
      </c>
      <c r="Z1639" s="5">
        <v>308.57</v>
      </c>
    </row>
    <row r="1640" spans="1:26">
      <c r="A1640">
        <v>1639</v>
      </c>
      <c r="B1640">
        <v>534</v>
      </c>
      <c r="C1640" s="2">
        <v>46030</v>
      </c>
      <c r="D1640" t="s">
        <v>55</v>
      </c>
      <c r="E1640">
        <v>1</v>
      </c>
      <c r="F1640" s="3">
        <v>9.57</v>
      </c>
      <c r="G1640" t="s">
        <v>27</v>
      </c>
      <c r="H1640">
        <v>10</v>
      </c>
      <c r="I1640" t="s">
        <v>34</v>
      </c>
      <c r="J1640" s="4">
        <v>64.8</v>
      </c>
      <c r="K1640" s="4">
        <v>89</v>
      </c>
      <c r="L1640" s="4">
        <v>15</v>
      </c>
      <c r="M1640">
        <v>12</v>
      </c>
      <c r="N1640" t="s">
        <v>47</v>
      </c>
      <c r="O1640">
        <v>4</v>
      </c>
      <c r="P1640" s="4">
        <v>79.599999999999994</v>
      </c>
      <c r="Q1640" t="s">
        <v>30</v>
      </c>
      <c r="R1640">
        <v>0</v>
      </c>
      <c r="S1640" t="s">
        <v>44</v>
      </c>
      <c r="T1640">
        <v>0</v>
      </c>
      <c r="U1640">
        <v>0</v>
      </c>
      <c r="V1640" t="s">
        <v>32</v>
      </c>
      <c r="W1640" t="s">
        <v>39</v>
      </c>
      <c r="X1640" s="4">
        <v>7.1</v>
      </c>
      <c r="Y1640">
        <v>8</v>
      </c>
      <c r="Z1640" s="5">
        <v>192.54</v>
      </c>
    </row>
    <row r="1641" spans="1:26">
      <c r="A1641">
        <v>1640</v>
      </c>
      <c r="B1641">
        <v>534</v>
      </c>
      <c r="C1641" s="2">
        <v>46030</v>
      </c>
      <c r="D1641" t="s">
        <v>55</v>
      </c>
      <c r="E1641">
        <v>1</v>
      </c>
      <c r="F1641" s="3">
        <v>9.27</v>
      </c>
      <c r="G1641" t="s">
        <v>27</v>
      </c>
      <c r="H1641">
        <v>43</v>
      </c>
      <c r="I1641" t="s">
        <v>28</v>
      </c>
      <c r="J1641" s="4">
        <v>71.2</v>
      </c>
      <c r="K1641" s="4">
        <v>233.6</v>
      </c>
      <c r="L1641" s="4">
        <v>32.299999999999997</v>
      </c>
      <c r="M1641">
        <v>13</v>
      </c>
      <c r="N1641" t="s">
        <v>47</v>
      </c>
      <c r="O1641">
        <v>4</v>
      </c>
      <c r="P1641" s="4">
        <v>79.599999999999994</v>
      </c>
      <c r="Q1641" t="s">
        <v>30</v>
      </c>
      <c r="R1641">
        <v>0</v>
      </c>
      <c r="S1641" t="s">
        <v>44</v>
      </c>
      <c r="T1641">
        <v>0</v>
      </c>
      <c r="U1641">
        <v>0</v>
      </c>
      <c r="V1641" t="s">
        <v>32</v>
      </c>
      <c r="W1641" t="s">
        <v>39</v>
      </c>
      <c r="X1641" s="4">
        <v>9.1999999999999993</v>
      </c>
      <c r="Y1641">
        <v>11</v>
      </c>
      <c r="Z1641" s="5">
        <v>122.58</v>
      </c>
    </row>
    <row r="1642" spans="1:26">
      <c r="A1642">
        <v>1641</v>
      </c>
      <c r="B1642">
        <v>534</v>
      </c>
      <c r="C1642" s="2">
        <v>46030</v>
      </c>
      <c r="D1642" t="s">
        <v>55</v>
      </c>
      <c r="E1642">
        <v>1</v>
      </c>
      <c r="F1642" s="3">
        <v>9.39</v>
      </c>
      <c r="G1642" t="s">
        <v>27</v>
      </c>
      <c r="H1642">
        <v>46</v>
      </c>
      <c r="I1642" t="s">
        <v>28</v>
      </c>
      <c r="J1642" s="4">
        <v>75.3</v>
      </c>
      <c r="K1642" s="4">
        <v>278.89999999999998</v>
      </c>
      <c r="L1642" s="4">
        <v>34.6</v>
      </c>
      <c r="M1642">
        <v>10</v>
      </c>
      <c r="N1642" t="s">
        <v>47</v>
      </c>
      <c r="O1642">
        <v>4</v>
      </c>
      <c r="P1642" s="4">
        <v>79.599999999999994</v>
      </c>
      <c r="Q1642" t="s">
        <v>30</v>
      </c>
      <c r="R1642">
        <v>0</v>
      </c>
      <c r="S1642" t="s">
        <v>44</v>
      </c>
      <c r="T1642">
        <v>0</v>
      </c>
      <c r="U1642">
        <v>0</v>
      </c>
      <c r="V1642" t="s">
        <v>32</v>
      </c>
      <c r="W1642" t="s">
        <v>39</v>
      </c>
      <c r="X1642" s="4">
        <v>9.1999999999999993</v>
      </c>
      <c r="Y1642">
        <v>12</v>
      </c>
      <c r="Z1642" s="5">
        <v>187.44</v>
      </c>
    </row>
    <row r="1643" spans="1:26">
      <c r="A1643">
        <v>1642</v>
      </c>
      <c r="B1643">
        <v>534</v>
      </c>
      <c r="C1643" s="2">
        <v>46030</v>
      </c>
      <c r="D1643" t="s">
        <v>55</v>
      </c>
      <c r="E1643">
        <v>1</v>
      </c>
      <c r="F1643" s="3">
        <v>9.6999999999999993</v>
      </c>
      <c r="G1643" t="s">
        <v>27</v>
      </c>
      <c r="H1643">
        <v>40</v>
      </c>
      <c r="I1643" t="s">
        <v>28</v>
      </c>
      <c r="J1643" s="4">
        <v>68.900000000000006</v>
      </c>
      <c r="K1643" s="4">
        <v>203.9</v>
      </c>
      <c r="L1643" s="4">
        <v>30</v>
      </c>
      <c r="M1643">
        <v>13</v>
      </c>
      <c r="N1643" t="s">
        <v>47</v>
      </c>
      <c r="O1643">
        <v>4</v>
      </c>
      <c r="P1643" s="4">
        <v>79.599999999999994</v>
      </c>
      <c r="Q1643" t="s">
        <v>30</v>
      </c>
      <c r="R1643">
        <v>0</v>
      </c>
      <c r="S1643" t="s">
        <v>44</v>
      </c>
      <c r="T1643">
        <v>0</v>
      </c>
      <c r="U1643">
        <v>0</v>
      </c>
      <c r="V1643" t="s">
        <v>32</v>
      </c>
      <c r="W1643" t="s">
        <v>39</v>
      </c>
      <c r="X1643" s="4">
        <v>9.6</v>
      </c>
      <c r="Y1643">
        <v>10</v>
      </c>
      <c r="Z1643" s="5">
        <v>195.57</v>
      </c>
    </row>
    <row r="1644" spans="1:26">
      <c r="A1644">
        <v>1643</v>
      </c>
      <c r="B1644">
        <v>535</v>
      </c>
      <c r="C1644" s="2">
        <v>46207</v>
      </c>
      <c r="D1644" t="s">
        <v>40</v>
      </c>
      <c r="E1644">
        <v>7</v>
      </c>
      <c r="F1644" s="3">
        <v>8.7100000000000009</v>
      </c>
      <c r="G1644" t="s">
        <v>27</v>
      </c>
      <c r="H1644">
        <v>11</v>
      </c>
      <c r="I1644" t="s">
        <v>34</v>
      </c>
      <c r="J1644" s="4">
        <v>56.6</v>
      </c>
      <c r="K1644" s="4">
        <v>77.400000000000006</v>
      </c>
      <c r="L1644" s="4">
        <v>16.899999999999999</v>
      </c>
      <c r="M1644">
        <v>13</v>
      </c>
      <c r="N1644" t="s">
        <v>50</v>
      </c>
      <c r="O1644">
        <v>5</v>
      </c>
      <c r="P1644" s="4">
        <v>355.4</v>
      </c>
      <c r="Q1644" t="s">
        <v>30</v>
      </c>
      <c r="R1644">
        <v>0</v>
      </c>
      <c r="S1644" t="s">
        <v>44</v>
      </c>
      <c r="T1644">
        <v>1</v>
      </c>
      <c r="U1644">
        <v>0</v>
      </c>
      <c r="V1644" t="s">
        <v>32</v>
      </c>
      <c r="W1644" t="s">
        <v>49</v>
      </c>
      <c r="X1644" s="4">
        <v>8</v>
      </c>
      <c r="Y1644">
        <v>12</v>
      </c>
      <c r="Z1644" s="5">
        <v>156.51</v>
      </c>
    </row>
    <row r="1645" spans="1:26">
      <c r="A1645">
        <v>1644</v>
      </c>
      <c r="B1645">
        <v>535</v>
      </c>
      <c r="C1645" s="2">
        <v>46207</v>
      </c>
      <c r="D1645" t="s">
        <v>40</v>
      </c>
      <c r="E1645">
        <v>7</v>
      </c>
      <c r="F1645" s="3">
        <v>8.9700000000000006</v>
      </c>
      <c r="G1645" t="s">
        <v>27</v>
      </c>
      <c r="H1645">
        <v>61</v>
      </c>
      <c r="I1645" t="s">
        <v>28</v>
      </c>
      <c r="J1645" s="4">
        <v>74</v>
      </c>
      <c r="K1645" s="4">
        <v>205.8</v>
      </c>
      <c r="L1645" s="4">
        <v>26.6</v>
      </c>
      <c r="M1645">
        <v>17</v>
      </c>
      <c r="N1645" t="s">
        <v>50</v>
      </c>
      <c r="O1645">
        <v>5</v>
      </c>
      <c r="P1645" s="4">
        <v>355.4</v>
      </c>
      <c r="Q1645" t="s">
        <v>30</v>
      </c>
      <c r="R1645">
        <v>0</v>
      </c>
      <c r="S1645" t="s">
        <v>44</v>
      </c>
      <c r="T1645">
        <v>1</v>
      </c>
      <c r="U1645">
        <v>0</v>
      </c>
      <c r="V1645" t="s">
        <v>32</v>
      </c>
      <c r="W1645" t="s">
        <v>49</v>
      </c>
      <c r="X1645" s="4">
        <v>8.4</v>
      </c>
      <c r="Y1645">
        <v>6</v>
      </c>
      <c r="Z1645" s="5">
        <v>157.99</v>
      </c>
    </row>
    <row r="1646" spans="1:26">
      <c r="A1646">
        <v>1645</v>
      </c>
      <c r="B1646">
        <v>535</v>
      </c>
      <c r="C1646" s="2">
        <v>46207</v>
      </c>
      <c r="D1646" t="s">
        <v>40</v>
      </c>
      <c r="E1646">
        <v>7</v>
      </c>
      <c r="F1646" s="3">
        <v>8.89</v>
      </c>
      <c r="G1646" t="s">
        <v>27</v>
      </c>
      <c r="H1646">
        <v>19</v>
      </c>
      <c r="I1646" t="s">
        <v>28</v>
      </c>
      <c r="J1646" s="4">
        <v>69.2</v>
      </c>
      <c r="K1646" s="4">
        <v>198</v>
      </c>
      <c r="L1646" s="4">
        <v>29.3</v>
      </c>
      <c r="M1646">
        <v>9</v>
      </c>
      <c r="N1646" t="s">
        <v>50</v>
      </c>
      <c r="O1646">
        <v>5</v>
      </c>
      <c r="P1646" s="4">
        <v>355.4</v>
      </c>
      <c r="Q1646" t="s">
        <v>30</v>
      </c>
      <c r="R1646">
        <v>0</v>
      </c>
      <c r="S1646" t="s">
        <v>44</v>
      </c>
      <c r="T1646">
        <v>1</v>
      </c>
      <c r="U1646">
        <v>0</v>
      </c>
      <c r="V1646" t="s">
        <v>32</v>
      </c>
      <c r="W1646" t="s">
        <v>49</v>
      </c>
      <c r="X1646" s="4">
        <v>8.9</v>
      </c>
      <c r="Y1646">
        <v>4</v>
      </c>
      <c r="Z1646" s="5">
        <v>185.62</v>
      </c>
    </row>
    <row r="1647" spans="1:26">
      <c r="A1647">
        <v>1646</v>
      </c>
      <c r="B1647">
        <v>535</v>
      </c>
      <c r="C1647" s="2">
        <v>46207</v>
      </c>
      <c r="D1647" t="s">
        <v>40</v>
      </c>
      <c r="E1647">
        <v>7</v>
      </c>
      <c r="F1647" s="3">
        <v>8.74</v>
      </c>
      <c r="G1647" t="s">
        <v>27</v>
      </c>
      <c r="H1647">
        <v>54</v>
      </c>
      <c r="I1647" t="s">
        <v>28</v>
      </c>
      <c r="J1647" s="4">
        <v>62.9</v>
      </c>
      <c r="K1647" s="4">
        <v>156.80000000000001</v>
      </c>
      <c r="L1647" s="4">
        <v>27.8</v>
      </c>
      <c r="M1647">
        <v>13</v>
      </c>
      <c r="N1647" t="s">
        <v>50</v>
      </c>
      <c r="O1647">
        <v>5</v>
      </c>
      <c r="P1647" s="4">
        <v>355.4</v>
      </c>
      <c r="Q1647" t="s">
        <v>30</v>
      </c>
      <c r="R1647">
        <v>0</v>
      </c>
      <c r="S1647" t="s">
        <v>44</v>
      </c>
      <c r="T1647">
        <v>1</v>
      </c>
      <c r="U1647">
        <v>0</v>
      </c>
      <c r="V1647" t="s">
        <v>32</v>
      </c>
      <c r="W1647" t="s">
        <v>49</v>
      </c>
      <c r="X1647" s="4">
        <v>7.3</v>
      </c>
      <c r="Y1647">
        <v>4</v>
      </c>
      <c r="Z1647" s="5">
        <v>166.77</v>
      </c>
    </row>
    <row r="1648" spans="1:26">
      <c r="A1648">
        <v>1647</v>
      </c>
      <c r="B1648">
        <v>535</v>
      </c>
      <c r="C1648" s="2">
        <v>46207</v>
      </c>
      <c r="D1648" t="s">
        <v>40</v>
      </c>
      <c r="E1648">
        <v>7</v>
      </c>
      <c r="F1648" s="3">
        <v>9.07</v>
      </c>
      <c r="G1648" t="s">
        <v>27</v>
      </c>
      <c r="H1648">
        <v>3</v>
      </c>
      <c r="I1648" t="s">
        <v>28</v>
      </c>
      <c r="J1648" s="4">
        <v>50.5</v>
      </c>
      <c r="K1648" s="4">
        <v>79.099999999999994</v>
      </c>
      <c r="L1648" s="4">
        <v>21.6</v>
      </c>
      <c r="M1648">
        <v>9</v>
      </c>
      <c r="N1648" t="s">
        <v>50</v>
      </c>
      <c r="O1648">
        <v>5</v>
      </c>
      <c r="P1648" s="4">
        <v>355.4</v>
      </c>
      <c r="Q1648" t="s">
        <v>30</v>
      </c>
      <c r="R1648">
        <v>0</v>
      </c>
      <c r="S1648" t="s">
        <v>44</v>
      </c>
      <c r="T1648">
        <v>1</v>
      </c>
      <c r="U1648">
        <v>0</v>
      </c>
      <c r="V1648" t="s">
        <v>32</v>
      </c>
      <c r="W1648" t="s">
        <v>49</v>
      </c>
      <c r="X1648" s="4">
        <v>11.6</v>
      </c>
      <c r="Y1648">
        <v>8</v>
      </c>
      <c r="Z1648" s="5">
        <v>226.43</v>
      </c>
    </row>
    <row r="1649" spans="1:26">
      <c r="A1649">
        <v>1648</v>
      </c>
      <c r="B1649">
        <v>536</v>
      </c>
      <c r="C1649" s="2">
        <v>46170</v>
      </c>
      <c r="D1649" t="s">
        <v>55</v>
      </c>
      <c r="E1649">
        <v>5</v>
      </c>
      <c r="F1649" s="3">
        <v>8.23</v>
      </c>
      <c r="G1649" t="s">
        <v>27</v>
      </c>
      <c r="H1649">
        <v>37</v>
      </c>
      <c r="I1649" t="s">
        <v>28</v>
      </c>
      <c r="J1649" s="4">
        <v>69.900000000000006</v>
      </c>
      <c r="K1649" s="4">
        <v>145</v>
      </c>
      <c r="L1649" s="4">
        <v>20.9</v>
      </c>
      <c r="M1649">
        <v>17</v>
      </c>
      <c r="N1649" t="s">
        <v>54</v>
      </c>
      <c r="O1649">
        <v>2</v>
      </c>
      <c r="P1649" s="4">
        <v>2910.4</v>
      </c>
      <c r="Q1649" t="s">
        <v>42</v>
      </c>
      <c r="R1649">
        <v>1</v>
      </c>
      <c r="S1649" t="s">
        <v>44</v>
      </c>
      <c r="T1649">
        <v>1</v>
      </c>
      <c r="U1649">
        <v>1</v>
      </c>
      <c r="V1649" t="s">
        <v>32</v>
      </c>
      <c r="W1649" t="s">
        <v>33</v>
      </c>
      <c r="X1649" s="4">
        <v>8.1</v>
      </c>
      <c r="Y1649">
        <v>5</v>
      </c>
      <c r="Z1649" s="5">
        <v>307.3</v>
      </c>
    </row>
    <row r="1650" spans="1:26">
      <c r="A1650">
        <v>1649</v>
      </c>
      <c r="B1650">
        <v>536</v>
      </c>
      <c r="C1650" s="2">
        <v>46170</v>
      </c>
      <c r="D1650" t="s">
        <v>55</v>
      </c>
      <c r="E1650">
        <v>5</v>
      </c>
      <c r="F1650" s="3">
        <v>8.09</v>
      </c>
      <c r="G1650" t="s">
        <v>27</v>
      </c>
      <c r="H1650">
        <v>62</v>
      </c>
      <c r="I1650" t="s">
        <v>34</v>
      </c>
      <c r="J1650" s="4">
        <v>63.2</v>
      </c>
      <c r="K1650" s="4">
        <v>170.3</v>
      </c>
      <c r="L1650" s="4">
        <v>29.9</v>
      </c>
      <c r="M1650">
        <v>17</v>
      </c>
      <c r="N1650" t="s">
        <v>54</v>
      </c>
      <c r="O1650">
        <v>2</v>
      </c>
      <c r="P1650" s="4">
        <v>2910.4</v>
      </c>
      <c r="Q1650" t="s">
        <v>42</v>
      </c>
      <c r="R1650">
        <v>1</v>
      </c>
      <c r="S1650" t="s">
        <v>44</v>
      </c>
      <c r="T1650">
        <v>1</v>
      </c>
      <c r="U1650">
        <v>1</v>
      </c>
      <c r="V1650" t="s">
        <v>32</v>
      </c>
      <c r="W1650" t="s">
        <v>33</v>
      </c>
      <c r="X1650" s="4">
        <v>9.9</v>
      </c>
      <c r="Y1650">
        <v>7</v>
      </c>
      <c r="Z1650" s="5">
        <v>200.3</v>
      </c>
    </row>
    <row r="1651" spans="1:26">
      <c r="A1651">
        <v>1650</v>
      </c>
      <c r="B1651">
        <v>537</v>
      </c>
      <c r="C1651" s="2">
        <v>46195</v>
      </c>
      <c r="D1651" t="s">
        <v>46</v>
      </c>
      <c r="E1651">
        <v>6</v>
      </c>
      <c r="F1651" s="3">
        <v>8.0399999999999991</v>
      </c>
      <c r="G1651" t="s">
        <v>27</v>
      </c>
      <c r="H1651">
        <v>69</v>
      </c>
      <c r="I1651" t="s">
        <v>28</v>
      </c>
      <c r="J1651" s="4">
        <v>69.099999999999994</v>
      </c>
      <c r="K1651" s="4">
        <v>136</v>
      </c>
      <c r="L1651" s="4">
        <v>20</v>
      </c>
      <c r="M1651">
        <v>15</v>
      </c>
      <c r="N1651" t="s">
        <v>47</v>
      </c>
      <c r="O1651">
        <v>1</v>
      </c>
      <c r="P1651" s="4">
        <v>141.19999999999999</v>
      </c>
      <c r="Q1651" t="s">
        <v>42</v>
      </c>
      <c r="R1651">
        <v>0</v>
      </c>
      <c r="S1651" t="s">
        <v>38</v>
      </c>
      <c r="T1651">
        <v>1</v>
      </c>
      <c r="U1651">
        <v>1</v>
      </c>
      <c r="V1651" t="s">
        <v>32</v>
      </c>
      <c r="W1651" t="s">
        <v>33</v>
      </c>
      <c r="X1651" s="4">
        <v>6.6</v>
      </c>
      <c r="Y1651">
        <v>3</v>
      </c>
      <c r="Z1651" s="5">
        <v>99.25</v>
      </c>
    </row>
    <row r="1652" spans="1:26">
      <c r="A1652">
        <v>1651</v>
      </c>
      <c r="B1652">
        <v>538</v>
      </c>
      <c r="C1652" s="2">
        <v>46127</v>
      </c>
      <c r="D1652" t="s">
        <v>52</v>
      </c>
      <c r="E1652">
        <v>4</v>
      </c>
      <c r="F1652" s="3">
        <v>7.33</v>
      </c>
      <c r="G1652" t="s">
        <v>27</v>
      </c>
      <c r="H1652">
        <v>8</v>
      </c>
      <c r="I1652" t="s">
        <v>34</v>
      </c>
      <c r="J1652" s="4">
        <v>63.1</v>
      </c>
      <c r="K1652" s="4">
        <v>92.9</v>
      </c>
      <c r="L1652" s="4">
        <v>16.2</v>
      </c>
      <c r="M1652">
        <v>14</v>
      </c>
      <c r="N1652" t="s">
        <v>60</v>
      </c>
      <c r="O1652">
        <v>4</v>
      </c>
      <c r="P1652" s="4">
        <v>1613</v>
      </c>
      <c r="Q1652" t="s">
        <v>42</v>
      </c>
      <c r="R1652">
        <v>0</v>
      </c>
      <c r="S1652" t="s">
        <v>44</v>
      </c>
      <c r="T1652">
        <v>0</v>
      </c>
      <c r="U1652">
        <v>0</v>
      </c>
      <c r="V1652" t="s">
        <v>64</v>
      </c>
      <c r="W1652" t="s">
        <v>39</v>
      </c>
      <c r="X1652" s="4">
        <v>8</v>
      </c>
      <c r="Y1652">
        <v>6</v>
      </c>
      <c r="Z1652" s="5">
        <v>198.69</v>
      </c>
    </row>
    <row r="1653" spans="1:26">
      <c r="A1653">
        <v>1652</v>
      </c>
      <c r="B1653">
        <v>538</v>
      </c>
      <c r="C1653" s="2">
        <v>46127</v>
      </c>
      <c r="D1653" t="s">
        <v>52</v>
      </c>
      <c r="E1653">
        <v>4</v>
      </c>
      <c r="F1653" s="3">
        <v>7.49</v>
      </c>
      <c r="G1653" t="s">
        <v>27</v>
      </c>
      <c r="H1653">
        <v>13</v>
      </c>
      <c r="I1653" t="s">
        <v>34</v>
      </c>
      <c r="J1653" s="4">
        <v>69.5</v>
      </c>
      <c r="K1653" s="4">
        <v>120.8</v>
      </c>
      <c r="L1653" s="4">
        <v>17.5</v>
      </c>
      <c r="M1653">
        <v>15</v>
      </c>
      <c r="N1653" t="s">
        <v>60</v>
      </c>
      <c r="O1653">
        <v>4</v>
      </c>
      <c r="P1653" s="4">
        <v>1613</v>
      </c>
      <c r="Q1653" t="s">
        <v>42</v>
      </c>
      <c r="R1653">
        <v>0</v>
      </c>
      <c r="S1653" t="s">
        <v>44</v>
      </c>
      <c r="T1653">
        <v>0</v>
      </c>
      <c r="U1653">
        <v>0</v>
      </c>
      <c r="V1653" t="s">
        <v>64</v>
      </c>
      <c r="W1653" t="s">
        <v>39</v>
      </c>
      <c r="X1653" s="4">
        <v>7.8</v>
      </c>
      <c r="Y1653">
        <v>11</v>
      </c>
      <c r="Z1653" s="5">
        <v>182.5</v>
      </c>
    </row>
    <row r="1654" spans="1:26">
      <c r="A1654">
        <v>1653</v>
      </c>
      <c r="B1654">
        <v>538</v>
      </c>
      <c r="C1654" s="2">
        <v>46127</v>
      </c>
      <c r="D1654" t="s">
        <v>52</v>
      </c>
      <c r="E1654">
        <v>4</v>
      </c>
      <c r="F1654" s="3">
        <v>7.7</v>
      </c>
      <c r="G1654" t="s">
        <v>27</v>
      </c>
      <c r="H1654">
        <v>76</v>
      </c>
      <c r="I1654" t="s">
        <v>28</v>
      </c>
      <c r="J1654" s="4">
        <v>69.3</v>
      </c>
      <c r="K1654" s="4">
        <v>176.7</v>
      </c>
      <c r="L1654" s="4">
        <v>25.7</v>
      </c>
      <c r="M1654">
        <v>14</v>
      </c>
      <c r="N1654" t="s">
        <v>60</v>
      </c>
      <c r="O1654">
        <v>4</v>
      </c>
      <c r="P1654" s="4">
        <v>1613</v>
      </c>
      <c r="Q1654" t="s">
        <v>42</v>
      </c>
      <c r="R1654">
        <v>0</v>
      </c>
      <c r="S1654" t="s">
        <v>44</v>
      </c>
      <c r="T1654">
        <v>0</v>
      </c>
      <c r="U1654">
        <v>0</v>
      </c>
      <c r="V1654" t="s">
        <v>64</v>
      </c>
      <c r="W1654" t="s">
        <v>39</v>
      </c>
      <c r="X1654" s="4">
        <v>9.1</v>
      </c>
      <c r="Y1654">
        <v>9</v>
      </c>
      <c r="Z1654" s="5">
        <v>160.44999999999999</v>
      </c>
    </row>
    <row r="1655" spans="1:26">
      <c r="A1655">
        <v>1654</v>
      </c>
      <c r="B1655">
        <v>538</v>
      </c>
      <c r="C1655" s="2">
        <v>46127</v>
      </c>
      <c r="D1655" t="s">
        <v>52</v>
      </c>
      <c r="E1655">
        <v>4</v>
      </c>
      <c r="F1655" s="3">
        <v>7.57</v>
      </c>
      <c r="G1655" t="s">
        <v>27</v>
      </c>
      <c r="H1655">
        <v>18</v>
      </c>
      <c r="I1655" t="s">
        <v>34</v>
      </c>
      <c r="J1655" s="4">
        <v>61.2</v>
      </c>
      <c r="K1655" s="4">
        <v>130</v>
      </c>
      <c r="L1655" s="4">
        <v>24.3</v>
      </c>
      <c r="M1655">
        <v>12</v>
      </c>
      <c r="N1655" t="s">
        <v>60</v>
      </c>
      <c r="O1655">
        <v>4</v>
      </c>
      <c r="P1655" s="4">
        <v>1613</v>
      </c>
      <c r="Q1655" t="s">
        <v>42</v>
      </c>
      <c r="R1655">
        <v>0</v>
      </c>
      <c r="S1655" t="s">
        <v>44</v>
      </c>
      <c r="T1655">
        <v>0</v>
      </c>
      <c r="U1655">
        <v>0</v>
      </c>
      <c r="V1655" t="s">
        <v>64</v>
      </c>
      <c r="W1655" t="s">
        <v>39</v>
      </c>
      <c r="X1655" s="4">
        <v>8.3000000000000007</v>
      </c>
      <c r="Y1655">
        <v>7</v>
      </c>
      <c r="Z1655" s="5">
        <v>202.7</v>
      </c>
    </row>
    <row r="1656" spans="1:26">
      <c r="A1656">
        <v>1655</v>
      </c>
      <c r="B1656">
        <v>539</v>
      </c>
      <c r="C1656" s="2">
        <v>46190</v>
      </c>
      <c r="D1656" t="s">
        <v>52</v>
      </c>
      <c r="E1656">
        <v>6</v>
      </c>
      <c r="F1656" s="3">
        <v>12.26</v>
      </c>
      <c r="G1656" t="s">
        <v>36</v>
      </c>
      <c r="H1656">
        <v>28</v>
      </c>
      <c r="I1656" t="s">
        <v>28</v>
      </c>
      <c r="J1656" s="4">
        <v>71.3</v>
      </c>
      <c r="K1656" s="4">
        <v>219.4</v>
      </c>
      <c r="L1656" s="4">
        <v>30.4</v>
      </c>
      <c r="M1656">
        <v>11</v>
      </c>
      <c r="N1656" t="s">
        <v>47</v>
      </c>
      <c r="O1656">
        <v>2</v>
      </c>
      <c r="P1656" s="4">
        <v>68.5</v>
      </c>
      <c r="Q1656" t="s">
        <v>30</v>
      </c>
      <c r="R1656">
        <v>0</v>
      </c>
      <c r="S1656" t="s">
        <v>31</v>
      </c>
      <c r="T1656">
        <v>0</v>
      </c>
      <c r="U1656">
        <v>0</v>
      </c>
      <c r="V1656" t="s">
        <v>32</v>
      </c>
      <c r="W1656" t="s">
        <v>49</v>
      </c>
      <c r="X1656" s="4">
        <v>8.9</v>
      </c>
      <c r="Y1656">
        <v>9</v>
      </c>
      <c r="Z1656" s="5">
        <v>161.4</v>
      </c>
    </row>
    <row r="1657" spans="1:26">
      <c r="A1657">
        <v>1656</v>
      </c>
      <c r="B1657">
        <v>539</v>
      </c>
      <c r="C1657" s="2">
        <v>46190</v>
      </c>
      <c r="D1657" t="s">
        <v>52</v>
      </c>
      <c r="E1657">
        <v>6</v>
      </c>
      <c r="F1657" s="3">
        <v>12.12</v>
      </c>
      <c r="G1657" t="s">
        <v>36</v>
      </c>
      <c r="H1657">
        <v>30</v>
      </c>
      <c r="I1657" t="s">
        <v>28</v>
      </c>
      <c r="J1657" s="4">
        <v>75.3</v>
      </c>
      <c r="K1657" s="4">
        <v>194.6</v>
      </c>
      <c r="L1657" s="4">
        <v>24.3</v>
      </c>
      <c r="M1657">
        <v>14</v>
      </c>
      <c r="N1657" t="s">
        <v>47</v>
      </c>
      <c r="O1657">
        <v>2</v>
      </c>
      <c r="P1657" s="4">
        <v>68.5</v>
      </c>
      <c r="Q1657" t="s">
        <v>30</v>
      </c>
      <c r="R1657">
        <v>0</v>
      </c>
      <c r="S1657" t="s">
        <v>31</v>
      </c>
      <c r="T1657">
        <v>0</v>
      </c>
      <c r="U1657">
        <v>0</v>
      </c>
      <c r="V1657" t="s">
        <v>32</v>
      </c>
      <c r="W1657" t="s">
        <v>49</v>
      </c>
      <c r="X1657" s="4">
        <v>9.1</v>
      </c>
      <c r="Y1657">
        <v>13</v>
      </c>
      <c r="Z1657" s="5">
        <v>129.31</v>
      </c>
    </row>
    <row r="1658" spans="1:26">
      <c r="A1658">
        <v>1657</v>
      </c>
      <c r="B1658">
        <v>540</v>
      </c>
      <c r="C1658" s="2">
        <v>46221</v>
      </c>
      <c r="D1658" t="s">
        <v>40</v>
      </c>
      <c r="E1658">
        <v>7</v>
      </c>
      <c r="F1658" s="3">
        <v>11.37</v>
      </c>
      <c r="G1658" t="s">
        <v>36</v>
      </c>
      <c r="H1658">
        <v>50</v>
      </c>
      <c r="I1658" t="s">
        <v>28</v>
      </c>
      <c r="J1658" s="4">
        <v>72.900000000000006</v>
      </c>
      <c r="K1658" s="4">
        <v>197.7</v>
      </c>
      <c r="L1658" s="4">
        <v>26</v>
      </c>
      <c r="M1658">
        <v>14</v>
      </c>
      <c r="N1658" t="s">
        <v>67</v>
      </c>
      <c r="O1658">
        <v>6</v>
      </c>
      <c r="P1658" s="4">
        <v>1781.6</v>
      </c>
      <c r="Q1658" t="s">
        <v>30</v>
      </c>
      <c r="R1658">
        <v>1</v>
      </c>
      <c r="S1658" t="s">
        <v>31</v>
      </c>
      <c r="T1658">
        <v>0</v>
      </c>
      <c r="U1658">
        <v>1</v>
      </c>
      <c r="V1658" t="s">
        <v>64</v>
      </c>
      <c r="W1658" t="s">
        <v>33</v>
      </c>
      <c r="X1658" s="4">
        <v>7.4</v>
      </c>
      <c r="Y1658">
        <v>8</v>
      </c>
      <c r="Z1658" s="5">
        <v>169.96</v>
      </c>
    </row>
    <row r="1659" spans="1:26">
      <c r="A1659">
        <v>1658</v>
      </c>
      <c r="B1659">
        <v>540</v>
      </c>
      <c r="C1659" s="2">
        <v>46221</v>
      </c>
      <c r="D1659" t="s">
        <v>40</v>
      </c>
      <c r="E1659">
        <v>7</v>
      </c>
      <c r="F1659" s="3">
        <v>11.16</v>
      </c>
      <c r="G1659" t="s">
        <v>36</v>
      </c>
      <c r="H1659">
        <v>9</v>
      </c>
      <c r="I1659" t="s">
        <v>34</v>
      </c>
      <c r="J1659" s="4">
        <v>54.5</v>
      </c>
      <c r="K1659" s="4">
        <v>71.400000000000006</v>
      </c>
      <c r="L1659" s="4">
        <v>17.2</v>
      </c>
      <c r="M1659">
        <v>15</v>
      </c>
      <c r="N1659" t="s">
        <v>67</v>
      </c>
      <c r="O1659">
        <v>6</v>
      </c>
      <c r="P1659" s="4">
        <v>1781.6</v>
      </c>
      <c r="Q1659" t="s">
        <v>30</v>
      </c>
      <c r="R1659">
        <v>1</v>
      </c>
      <c r="S1659" t="s">
        <v>31</v>
      </c>
      <c r="T1659">
        <v>0</v>
      </c>
      <c r="U1659">
        <v>1</v>
      </c>
      <c r="V1659" t="s">
        <v>64</v>
      </c>
      <c r="W1659" t="s">
        <v>33</v>
      </c>
      <c r="X1659" s="4">
        <v>12.1</v>
      </c>
      <c r="Y1659">
        <v>7</v>
      </c>
      <c r="Z1659" s="5">
        <v>289.31</v>
      </c>
    </row>
    <row r="1660" spans="1:26">
      <c r="A1660">
        <v>1659</v>
      </c>
      <c r="B1660">
        <v>540</v>
      </c>
      <c r="C1660" s="2">
        <v>46221</v>
      </c>
      <c r="D1660" t="s">
        <v>40</v>
      </c>
      <c r="E1660">
        <v>7</v>
      </c>
      <c r="F1660" s="3">
        <v>11.21</v>
      </c>
      <c r="G1660" t="s">
        <v>36</v>
      </c>
      <c r="H1660">
        <v>69</v>
      </c>
      <c r="I1660" t="s">
        <v>28</v>
      </c>
      <c r="J1660" s="4">
        <v>74.3</v>
      </c>
      <c r="K1660" s="4">
        <v>179.6</v>
      </c>
      <c r="L1660" s="4">
        <v>22.9</v>
      </c>
      <c r="M1660">
        <v>15</v>
      </c>
      <c r="N1660" t="s">
        <v>67</v>
      </c>
      <c r="O1660">
        <v>6</v>
      </c>
      <c r="P1660" s="4">
        <v>1781.6</v>
      </c>
      <c r="Q1660" t="s">
        <v>30</v>
      </c>
      <c r="R1660">
        <v>1</v>
      </c>
      <c r="S1660" t="s">
        <v>31</v>
      </c>
      <c r="T1660">
        <v>0</v>
      </c>
      <c r="U1660">
        <v>1</v>
      </c>
      <c r="V1660" t="s">
        <v>64</v>
      </c>
      <c r="W1660" t="s">
        <v>33</v>
      </c>
      <c r="X1660" s="4">
        <v>8.6999999999999993</v>
      </c>
      <c r="Y1660">
        <v>8</v>
      </c>
      <c r="Z1660" s="5">
        <v>178.2</v>
      </c>
    </row>
    <row r="1661" spans="1:26">
      <c r="A1661">
        <v>1660</v>
      </c>
      <c r="B1661">
        <v>540</v>
      </c>
      <c r="C1661" s="2">
        <v>46221</v>
      </c>
      <c r="D1661" t="s">
        <v>40</v>
      </c>
      <c r="E1661">
        <v>7</v>
      </c>
      <c r="F1661" s="3">
        <v>11.18</v>
      </c>
      <c r="G1661" t="s">
        <v>36</v>
      </c>
      <c r="H1661">
        <v>4</v>
      </c>
      <c r="I1661" t="s">
        <v>28</v>
      </c>
      <c r="J1661" s="4">
        <v>55.3</v>
      </c>
      <c r="K1661" s="4">
        <v>94.3</v>
      </c>
      <c r="L1661" s="4">
        <v>21.7</v>
      </c>
      <c r="M1661">
        <v>10</v>
      </c>
      <c r="N1661" t="s">
        <v>67</v>
      </c>
      <c r="O1661">
        <v>6</v>
      </c>
      <c r="P1661" s="4">
        <v>1781.6</v>
      </c>
      <c r="Q1661" t="s">
        <v>30</v>
      </c>
      <c r="R1661">
        <v>1</v>
      </c>
      <c r="S1661" t="s">
        <v>31</v>
      </c>
      <c r="T1661">
        <v>0</v>
      </c>
      <c r="U1661">
        <v>1</v>
      </c>
      <c r="V1661" t="s">
        <v>64</v>
      </c>
      <c r="W1661" t="s">
        <v>33</v>
      </c>
      <c r="X1661" s="4">
        <v>9.6999999999999993</v>
      </c>
      <c r="Y1661">
        <v>7</v>
      </c>
      <c r="Z1661" s="5">
        <v>307.64999999999998</v>
      </c>
    </row>
    <row r="1662" spans="1:26">
      <c r="A1662">
        <v>1661</v>
      </c>
      <c r="B1662">
        <v>540</v>
      </c>
      <c r="C1662" s="2">
        <v>46221</v>
      </c>
      <c r="D1662" t="s">
        <v>40</v>
      </c>
      <c r="E1662">
        <v>7</v>
      </c>
      <c r="F1662" s="3">
        <v>11.15</v>
      </c>
      <c r="G1662" t="s">
        <v>36</v>
      </c>
      <c r="H1662">
        <v>63</v>
      </c>
      <c r="I1662" t="s">
        <v>34</v>
      </c>
      <c r="J1662" s="4">
        <v>62.4</v>
      </c>
      <c r="K1662" s="4">
        <v>114.6</v>
      </c>
      <c r="L1662" s="4">
        <v>20.8</v>
      </c>
      <c r="M1662">
        <v>14</v>
      </c>
      <c r="N1662" t="s">
        <v>67</v>
      </c>
      <c r="O1662">
        <v>6</v>
      </c>
      <c r="P1662" s="4">
        <v>1781.6</v>
      </c>
      <c r="Q1662" t="s">
        <v>30</v>
      </c>
      <c r="R1662">
        <v>1</v>
      </c>
      <c r="S1662" t="s">
        <v>31</v>
      </c>
      <c r="T1662">
        <v>0</v>
      </c>
      <c r="U1662">
        <v>1</v>
      </c>
      <c r="V1662" t="s">
        <v>64</v>
      </c>
      <c r="W1662" t="s">
        <v>33</v>
      </c>
      <c r="X1662" s="4">
        <v>10</v>
      </c>
      <c r="Y1662">
        <v>9</v>
      </c>
      <c r="Z1662" s="5">
        <v>225.64</v>
      </c>
    </row>
    <row r="1663" spans="1:26">
      <c r="A1663">
        <v>1662</v>
      </c>
      <c r="B1663">
        <v>540</v>
      </c>
      <c r="C1663" s="2">
        <v>46221</v>
      </c>
      <c r="D1663" t="s">
        <v>40</v>
      </c>
      <c r="E1663">
        <v>7</v>
      </c>
      <c r="F1663" s="3">
        <v>11.23</v>
      </c>
      <c r="G1663" t="s">
        <v>36</v>
      </c>
      <c r="H1663">
        <v>41</v>
      </c>
      <c r="I1663" t="s">
        <v>34</v>
      </c>
      <c r="J1663" s="4">
        <v>64.8</v>
      </c>
      <c r="K1663" s="4">
        <v>149.9</v>
      </c>
      <c r="L1663" s="4">
        <v>25.4</v>
      </c>
      <c r="M1663">
        <v>13</v>
      </c>
      <c r="N1663" t="s">
        <v>67</v>
      </c>
      <c r="O1663">
        <v>6</v>
      </c>
      <c r="P1663" s="4">
        <v>1781.6</v>
      </c>
      <c r="Q1663" t="s">
        <v>30</v>
      </c>
      <c r="R1663">
        <v>1</v>
      </c>
      <c r="S1663" t="s">
        <v>31</v>
      </c>
      <c r="T1663">
        <v>0</v>
      </c>
      <c r="U1663">
        <v>1</v>
      </c>
      <c r="V1663" t="s">
        <v>64</v>
      </c>
      <c r="W1663" t="s">
        <v>33</v>
      </c>
      <c r="X1663" s="4">
        <v>6.8</v>
      </c>
      <c r="Y1663">
        <v>6</v>
      </c>
      <c r="Z1663" s="5">
        <v>254.01</v>
      </c>
    </row>
    <row r="1664" spans="1:26">
      <c r="A1664">
        <v>1663</v>
      </c>
      <c r="B1664">
        <v>541</v>
      </c>
      <c r="C1664" s="2">
        <v>46210</v>
      </c>
      <c r="D1664" t="s">
        <v>35</v>
      </c>
      <c r="E1664">
        <v>7</v>
      </c>
      <c r="F1664" s="3">
        <v>7.98</v>
      </c>
      <c r="G1664" t="s">
        <v>27</v>
      </c>
      <c r="H1664">
        <v>67</v>
      </c>
      <c r="I1664" t="s">
        <v>28</v>
      </c>
      <c r="J1664" s="4">
        <v>66.2</v>
      </c>
      <c r="K1664" s="4">
        <v>190.7</v>
      </c>
      <c r="L1664" s="4">
        <v>30.5</v>
      </c>
      <c r="M1664">
        <v>14</v>
      </c>
      <c r="N1664" t="s">
        <v>47</v>
      </c>
      <c r="O1664">
        <v>2</v>
      </c>
      <c r="P1664" s="4">
        <v>75.900000000000006</v>
      </c>
      <c r="Q1664" t="s">
        <v>42</v>
      </c>
      <c r="R1664">
        <v>1</v>
      </c>
      <c r="S1664" t="s">
        <v>31</v>
      </c>
      <c r="T1664">
        <v>1</v>
      </c>
      <c r="U1664">
        <v>0</v>
      </c>
      <c r="V1664" t="s">
        <v>32</v>
      </c>
      <c r="W1664" t="s">
        <v>57</v>
      </c>
      <c r="X1664" s="4">
        <v>10.6</v>
      </c>
      <c r="Y1664">
        <v>8</v>
      </c>
      <c r="Z1664" s="5">
        <v>199.49</v>
      </c>
    </row>
    <row r="1665" spans="1:26">
      <c r="A1665">
        <v>1664</v>
      </c>
      <c r="B1665">
        <v>541</v>
      </c>
      <c r="C1665" s="2">
        <v>46210</v>
      </c>
      <c r="D1665" t="s">
        <v>35</v>
      </c>
      <c r="E1665">
        <v>7</v>
      </c>
      <c r="F1665" s="3">
        <v>8.1</v>
      </c>
      <c r="G1665" t="s">
        <v>27</v>
      </c>
      <c r="H1665">
        <v>38</v>
      </c>
      <c r="I1665" t="s">
        <v>28</v>
      </c>
      <c r="J1665" s="4">
        <v>70.599999999999994</v>
      </c>
      <c r="K1665" s="4">
        <v>155.80000000000001</v>
      </c>
      <c r="L1665" s="4">
        <v>22.1</v>
      </c>
      <c r="M1665">
        <v>15</v>
      </c>
      <c r="N1665" t="s">
        <v>47</v>
      </c>
      <c r="O1665">
        <v>2</v>
      </c>
      <c r="P1665" s="4">
        <v>75.900000000000006</v>
      </c>
      <c r="Q1665" t="s">
        <v>42</v>
      </c>
      <c r="R1665">
        <v>1</v>
      </c>
      <c r="S1665" t="s">
        <v>31</v>
      </c>
      <c r="T1665">
        <v>1</v>
      </c>
      <c r="U1665">
        <v>0</v>
      </c>
      <c r="V1665" t="s">
        <v>32</v>
      </c>
      <c r="W1665" t="s">
        <v>57</v>
      </c>
      <c r="X1665" s="4">
        <v>9.6</v>
      </c>
      <c r="Y1665">
        <v>10</v>
      </c>
      <c r="Z1665" s="5">
        <v>229.23</v>
      </c>
    </row>
    <row r="1666" spans="1:26">
      <c r="A1666">
        <v>1665</v>
      </c>
      <c r="B1666">
        <v>542</v>
      </c>
      <c r="C1666" s="2">
        <v>46152</v>
      </c>
      <c r="D1666" t="s">
        <v>58</v>
      </c>
      <c r="E1666">
        <v>5</v>
      </c>
      <c r="F1666" s="3">
        <v>11.92</v>
      </c>
      <c r="G1666" t="s">
        <v>36</v>
      </c>
      <c r="H1666">
        <v>49</v>
      </c>
      <c r="I1666" t="s">
        <v>28</v>
      </c>
      <c r="J1666" s="4">
        <v>66.900000000000006</v>
      </c>
      <c r="K1666" s="4">
        <v>187</v>
      </c>
      <c r="L1666" s="4">
        <v>29.6</v>
      </c>
      <c r="M1666">
        <v>14</v>
      </c>
      <c r="N1666" t="s">
        <v>50</v>
      </c>
      <c r="O1666">
        <v>3</v>
      </c>
      <c r="P1666" s="4">
        <v>273.3</v>
      </c>
      <c r="Q1666" t="s">
        <v>48</v>
      </c>
      <c r="R1666">
        <v>0</v>
      </c>
      <c r="S1666" t="s">
        <v>31</v>
      </c>
      <c r="T1666">
        <v>0</v>
      </c>
      <c r="U1666">
        <v>0</v>
      </c>
      <c r="V1666" t="s">
        <v>32</v>
      </c>
      <c r="W1666" t="s">
        <v>39</v>
      </c>
      <c r="X1666" s="4">
        <v>8</v>
      </c>
      <c r="Y1666">
        <v>13</v>
      </c>
      <c r="Z1666" s="5">
        <v>552.61</v>
      </c>
    </row>
    <row r="1667" spans="1:26">
      <c r="A1667">
        <v>1666</v>
      </c>
      <c r="B1667">
        <v>542</v>
      </c>
      <c r="C1667" s="2">
        <v>46152</v>
      </c>
      <c r="D1667" t="s">
        <v>58</v>
      </c>
      <c r="E1667">
        <v>5</v>
      </c>
      <c r="F1667" s="3">
        <v>11.71</v>
      </c>
      <c r="G1667" t="s">
        <v>36</v>
      </c>
      <c r="H1667">
        <v>63</v>
      </c>
      <c r="I1667" t="s">
        <v>28</v>
      </c>
      <c r="J1667" s="4">
        <v>72.099999999999994</v>
      </c>
      <c r="K1667" s="4">
        <v>220.8</v>
      </c>
      <c r="L1667" s="4">
        <v>29.9</v>
      </c>
      <c r="M1667">
        <v>14</v>
      </c>
      <c r="N1667" t="s">
        <v>50</v>
      </c>
      <c r="O1667">
        <v>3</v>
      </c>
      <c r="P1667" s="4">
        <v>273.3</v>
      </c>
      <c r="Q1667" t="s">
        <v>48</v>
      </c>
      <c r="R1667">
        <v>0</v>
      </c>
      <c r="S1667" t="s">
        <v>31</v>
      </c>
      <c r="T1667">
        <v>0</v>
      </c>
      <c r="U1667">
        <v>0</v>
      </c>
      <c r="V1667" t="s">
        <v>32</v>
      </c>
      <c r="W1667" t="s">
        <v>39</v>
      </c>
      <c r="X1667" s="4">
        <v>9.1999999999999993</v>
      </c>
      <c r="Y1667">
        <v>6</v>
      </c>
      <c r="Z1667" s="5">
        <v>291.76</v>
      </c>
    </row>
    <row r="1668" spans="1:26">
      <c r="A1668">
        <v>1667</v>
      </c>
      <c r="B1668">
        <v>542</v>
      </c>
      <c r="C1668" s="2">
        <v>46152</v>
      </c>
      <c r="D1668" t="s">
        <v>58</v>
      </c>
      <c r="E1668">
        <v>5</v>
      </c>
      <c r="F1668" s="3">
        <v>11.76</v>
      </c>
      <c r="G1668" t="s">
        <v>36</v>
      </c>
      <c r="H1668">
        <v>13</v>
      </c>
      <c r="I1668" t="s">
        <v>28</v>
      </c>
      <c r="J1668" s="4">
        <v>69.8</v>
      </c>
      <c r="K1668" s="4">
        <v>94.7</v>
      </c>
      <c r="L1668" s="4">
        <v>13.8</v>
      </c>
      <c r="M1668">
        <v>13</v>
      </c>
      <c r="N1668" t="s">
        <v>50</v>
      </c>
      <c r="O1668">
        <v>3</v>
      </c>
      <c r="P1668" s="4">
        <v>273.3</v>
      </c>
      <c r="Q1668" t="s">
        <v>48</v>
      </c>
      <c r="R1668">
        <v>0</v>
      </c>
      <c r="S1668" t="s">
        <v>31</v>
      </c>
      <c r="T1668">
        <v>0</v>
      </c>
      <c r="U1668">
        <v>0</v>
      </c>
      <c r="V1668" t="s">
        <v>32</v>
      </c>
      <c r="W1668" t="s">
        <v>39</v>
      </c>
      <c r="X1668" s="4">
        <v>8.9</v>
      </c>
      <c r="Y1668">
        <v>8</v>
      </c>
      <c r="Z1668" s="5">
        <v>177.49</v>
      </c>
    </row>
    <row r="1669" spans="1:26">
      <c r="A1669">
        <v>1668</v>
      </c>
      <c r="B1669">
        <v>543</v>
      </c>
      <c r="C1669" s="2">
        <v>46304</v>
      </c>
      <c r="D1669" t="s">
        <v>26</v>
      </c>
      <c r="E1669">
        <v>10</v>
      </c>
      <c r="F1669" s="3">
        <v>12.96</v>
      </c>
      <c r="G1669" t="s">
        <v>36</v>
      </c>
      <c r="H1669">
        <v>18</v>
      </c>
      <c r="I1669" t="s">
        <v>34</v>
      </c>
      <c r="J1669" s="4">
        <v>69</v>
      </c>
      <c r="K1669" s="4">
        <v>122.1</v>
      </c>
      <c r="L1669" s="4">
        <v>18.3</v>
      </c>
      <c r="M1669">
        <v>12</v>
      </c>
      <c r="N1669" t="s">
        <v>61</v>
      </c>
      <c r="O1669">
        <v>2</v>
      </c>
      <c r="P1669" s="4">
        <v>1614.3</v>
      </c>
      <c r="Q1669" t="s">
        <v>30</v>
      </c>
      <c r="R1669">
        <v>1</v>
      </c>
      <c r="S1669" t="s">
        <v>31</v>
      </c>
      <c r="T1669">
        <v>1</v>
      </c>
      <c r="U1669">
        <v>0</v>
      </c>
      <c r="V1669" t="s">
        <v>45</v>
      </c>
      <c r="W1669" t="s">
        <v>43</v>
      </c>
      <c r="X1669" s="4">
        <v>6.7</v>
      </c>
      <c r="Y1669">
        <v>7</v>
      </c>
      <c r="Z1669" s="5">
        <v>177.04</v>
      </c>
    </row>
    <row r="1670" spans="1:26">
      <c r="A1670">
        <v>1669</v>
      </c>
      <c r="B1670">
        <v>543</v>
      </c>
      <c r="C1670" s="2">
        <v>46304</v>
      </c>
      <c r="D1670" t="s">
        <v>26</v>
      </c>
      <c r="E1670">
        <v>10</v>
      </c>
      <c r="F1670" s="3">
        <v>12.71</v>
      </c>
      <c r="G1670" t="s">
        <v>36</v>
      </c>
      <c r="H1670">
        <v>25</v>
      </c>
      <c r="I1670" t="s">
        <v>34</v>
      </c>
      <c r="J1670" s="4">
        <v>63.2</v>
      </c>
      <c r="K1670" s="4">
        <v>128.5</v>
      </c>
      <c r="L1670" s="4">
        <v>22.6</v>
      </c>
      <c r="M1670">
        <v>11</v>
      </c>
      <c r="N1670" t="s">
        <v>61</v>
      </c>
      <c r="O1670">
        <v>2</v>
      </c>
      <c r="P1670" s="4">
        <v>1614.3</v>
      </c>
      <c r="Q1670" t="s">
        <v>30</v>
      </c>
      <c r="R1670">
        <v>1</v>
      </c>
      <c r="S1670" t="s">
        <v>31</v>
      </c>
      <c r="T1670">
        <v>1</v>
      </c>
      <c r="U1670">
        <v>0</v>
      </c>
      <c r="V1670" t="s">
        <v>45</v>
      </c>
      <c r="W1670" t="s">
        <v>43</v>
      </c>
      <c r="X1670" s="4">
        <v>8.6999999999999993</v>
      </c>
      <c r="Y1670">
        <v>10</v>
      </c>
      <c r="Z1670" s="5">
        <v>186.39</v>
      </c>
    </row>
    <row r="1671" spans="1:26">
      <c r="A1671">
        <v>1670</v>
      </c>
      <c r="B1671">
        <v>544</v>
      </c>
      <c r="C1671" s="2">
        <v>46221</v>
      </c>
      <c r="D1671" t="s">
        <v>40</v>
      </c>
      <c r="E1671">
        <v>7</v>
      </c>
      <c r="F1671" s="3">
        <v>9.18</v>
      </c>
      <c r="G1671" t="s">
        <v>27</v>
      </c>
      <c r="H1671">
        <v>20</v>
      </c>
      <c r="I1671" t="s">
        <v>34</v>
      </c>
      <c r="J1671" s="4">
        <v>63.7</v>
      </c>
      <c r="K1671" s="4">
        <v>168.3</v>
      </c>
      <c r="L1671" s="4">
        <v>29.1</v>
      </c>
      <c r="M1671">
        <v>14</v>
      </c>
      <c r="N1671" t="s">
        <v>53</v>
      </c>
      <c r="O1671">
        <v>4</v>
      </c>
      <c r="P1671" s="4">
        <v>951.5</v>
      </c>
      <c r="Q1671" t="s">
        <v>42</v>
      </c>
      <c r="R1671">
        <v>1</v>
      </c>
      <c r="S1671" t="s">
        <v>31</v>
      </c>
      <c r="T1671">
        <v>1</v>
      </c>
      <c r="U1671">
        <v>0</v>
      </c>
      <c r="V1671" t="s">
        <v>32</v>
      </c>
      <c r="W1671" t="s">
        <v>39</v>
      </c>
      <c r="X1671" s="4">
        <v>10.9</v>
      </c>
      <c r="Y1671">
        <v>14</v>
      </c>
      <c r="Z1671" s="5">
        <v>291.18</v>
      </c>
    </row>
    <row r="1672" spans="1:26">
      <c r="A1672">
        <v>1671</v>
      </c>
      <c r="B1672">
        <v>544</v>
      </c>
      <c r="C1672" s="2">
        <v>46221</v>
      </c>
      <c r="D1672" t="s">
        <v>40</v>
      </c>
      <c r="E1672">
        <v>7</v>
      </c>
      <c r="F1672" s="3">
        <v>9.27</v>
      </c>
      <c r="G1672" t="s">
        <v>27</v>
      </c>
      <c r="H1672">
        <v>36</v>
      </c>
      <c r="I1672" t="s">
        <v>34</v>
      </c>
      <c r="J1672" s="4">
        <v>61.9</v>
      </c>
      <c r="K1672" s="4">
        <v>111.3</v>
      </c>
      <c r="L1672" s="4">
        <v>20.399999999999999</v>
      </c>
      <c r="M1672">
        <v>16</v>
      </c>
      <c r="N1672" t="s">
        <v>53</v>
      </c>
      <c r="O1672">
        <v>4</v>
      </c>
      <c r="P1672" s="4">
        <v>951.5</v>
      </c>
      <c r="Q1672" t="s">
        <v>42</v>
      </c>
      <c r="R1672">
        <v>1</v>
      </c>
      <c r="S1672" t="s">
        <v>31</v>
      </c>
      <c r="T1672">
        <v>1</v>
      </c>
      <c r="U1672">
        <v>0</v>
      </c>
      <c r="V1672" t="s">
        <v>32</v>
      </c>
      <c r="W1672" t="s">
        <v>39</v>
      </c>
      <c r="X1672" s="4">
        <v>9.4</v>
      </c>
      <c r="Y1672">
        <v>9</v>
      </c>
      <c r="Z1672" s="5">
        <v>262.79000000000002</v>
      </c>
    </row>
    <row r="1673" spans="1:26">
      <c r="A1673">
        <v>1672</v>
      </c>
      <c r="B1673">
        <v>544</v>
      </c>
      <c r="C1673" s="2">
        <v>46221</v>
      </c>
      <c r="D1673" t="s">
        <v>40</v>
      </c>
      <c r="E1673">
        <v>7</v>
      </c>
      <c r="F1673" s="3">
        <v>9.18</v>
      </c>
      <c r="G1673" t="s">
        <v>27</v>
      </c>
      <c r="H1673">
        <v>18</v>
      </c>
      <c r="I1673" t="s">
        <v>34</v>
      </c>
      <c r="J1673" s="4">
        <v>66.599999999999994</v>
      </c>
      <c r="K1673" s="4">
        <v>157.6</v>
      </c>
      <c r="L1673" s="4">
        <v>25.1</v>
      </c>
      <c r="M1673">
        <v>11</v>
      </c>
      <c r="N1673" t="s">
        <v>53</v>
      </c>
      <c r="O1673">
        <v>4</v>
      </c>
      <c r="P1673" s="4">
        <v>951.5</v>
      </c>
      <c r="Q1673" t="s">
        <v>42</v>
      </c>
      <c r="R1673">
        <v>1</v>
      </c>
      <c r="S1673" t="s">
        <v>31</v>
      </c>
      <c r="T1673">
        <v>1</v>
      </c>
      <c r="U1673">
        <v>0</v>
      </c>
      <c r="V1673" t="s">
        <v>32</v>
      </c>
      <c r="W1673" t="s">
        <v>39</v>
      </c>
      <c r="X1673" s="4">
        <v>8.6</v>
      </c>
      <c r="Y1673">
        <v>7</v>
      </c>
      <c r="Z1673" s="5">
        <v>204.76</v>
      </c>
    </row>
    <row r="1674" spans="1:26">
      <c r="A1674">
        <v>1673</v>
      </c>
      <c r="B1674">
        <v>544</v>
      </c>
      <c r="C1674" s="2">
        <v>46221</v>
      </c>
      <c r="D1674" t="s">
        <v>40</v>
      </c>
      <c r="E1674">
        <v>7</v>
      </c>
      <c r="F1674" s="3">
        <v>9.34</v>
      </c>
      <c r="G1674" t="s">
        <v>27</v>
      </c>
      <c r="H1674">
        <v>68</v>
      </c>
      <c r="I1674" t="s">
        <v>28</v>
      </c>
      <c r="J1674" s="4">
        <v>66.8</v>
      </c>
      <c r="K1674" s="4">
        <v>211.3</v>
      </c>
      <c r="L1674" s="4">
        <v>33.4</v>
      </c>
      <c r="M1674">
        <v>17</v>
      </c>
      <c r="N1674" t="s">
        <v>53</v>
      </c>
      <c r="O1674">
        <v>4</v>
      </c>
      <c r="P1674" s="4">
        <v>951.5</v>
      </c>
      <c r="Q1674" t="s">
        <v>42</v>
      </c>
      <c r="R1674">
        <v>1</v>
      </c>
      <c r="S1674" t="s">
        <v>31</v>
      </c>
      <c r="T1674">
        <v>1</v>
      </c>
      <c r="U1674">
        <v>0</v>
      </c>
      <c r="V1674" t="s">
        <v>32</v>
      </c>
      <c r="W1674" t="s">
        <v>39</v>
      </c>
      <c r="X1674" s="4">
        <v>8</v>
      </c>
      <c r="Y1674">
        <v>7</v>
      </c>
      <c r="Z1674" s="5">
        <v>301.83</v>
      </c>
    </row>
    <row r="1675" spans="1:26">
      <c r="A1675">
        <v>1674</v>
      </c>
      <c r="B1675">
        <v>545</v>
      </c>
      <c r="C1675" s="2">
        <v>46141</v>
      </c>
      <c r="D1675" t="s">
        <v>52</v>
      </c>
      <c r="E1675">
        <v>4</v>
      </c>
      <c r="F1675" s="3">
        <v>9.77</v>
      </c>
      <c r="G1675" t="s">
        <v>27</v>
      </c>
      <c r="H1675">
        <v>65</v>
      </c>
      <c r="I1675" t="s">
        <v>28</v>
      </c>
      <c r="J1675" s="4">
        <v>67.400000000000006</v>
      </c>
      <c r="K1675" s="4">
        <v>145.1</v>
      </c>
      <c r="L1675" s="4">
        <v>22.5</v>
      </c>
      <c r="M1675">
        <v>16</v>
      </c>
      <c r="N1675" t="s">
        <v>37</v>
      </c>
      <c r="O1675">
        <v>2</v>
      </c>
      <c r="P1675" s="4">
        <v>1171.9000000000001</v>
      </c>
      <c r="Q1675" t="s">
        <v>48</v>
      </c>
      <c r="R1675">
        <v>0</v>
      </c>
      <c r="S1675" t="s">
        <v>31</v>
      </c>
      <c r="T1675">
        <v>0</v>
      </c>
      <c r="U1675">
        <v>0</v>
      </c>
      <c r="V1675" t="s">
        <v>45</v>
      </c>
      <c r="W1675" t="s">
        <v>39</v>
      </c>
      <c r="X1675" s="4">
        <v>8.4</v>
      </c>
      <c r="Y1675">
        <v>9</v>
      </c>
      <c r="Z1675" s="5">
        <v>255.09</v>
      </c>
    </row>
    <row r="1676" spans="1:26">
      <c r="A1676">
        <v>1675</v>
      </c>
      <c r="B1676">
        <v>545</v>
      </c>
      <c r="C1676" s="2">
        <v>46141</v>
      </c>
      <c r="D1676" t="s">
        <v>52</v>
      </c>
      <c r="E1676">
        <v>4</v>
      </c>
      <c r="F1676" s="3">
        <v>9.74</v>
      </c>
      <c r="G1676" t="s">
        <v>27</v>
      </c>
      <c r="H1676">
        <v>18</v>
      </c>
      <c r="I1676" t="s">
        <v>34</v>
      </c>
      <c r="J1676" s="4">
        <v>65.3</v>
      </c>
      <c r="K1676" s="4">
        <v>188.5</v>
      </c>
      <c r="L1676" s="4">
        <v>30.9</v>
      </c>
      <c r="M1676">
        <v>15</v>
      </c>
      <c r="N1676" t="s">
        <v>37</v>
      </c>
      <c r="O1676">
        <v>2</v>
      </c>
      <c r="P1676" s="4">
        <v>1171.9000000000001</v>
      </c>
      <c r="Q1676" t="s">
        <v>48</v>
      </c>
      <c r="R1676">
        <v>0</v>
      </c>
      <c r="S1676" t="s">
        <v>31</v>
      </c>
      <c r="T1676">
        <v>0</v>
      </c>
      <c r="U1676">
        <v>0</v>
      </c>
      <c r="V1676" t="s">
        <v>45</v>
      </c>
      <c r="W1676" t="s">
        <v>39</v>
      </c>
      <c r="X1676" s="4">
        <v>6.6</v>
      </c>
      <c r="Y1676">
        <v>7</v>
      </c>
      <c r="Z1676" s="5">
        <v>197.22</v>
      </c>
    </row>
    <row r="1677" spans="1:26">
      <c r="A1677">
        <v>1676</v>
      </c>
      <c r="B1677">
        <v>546</v>
      </c>
      <c r="C1677" s="2">
        <v>46158</v>
      </c>
      <c r="D1677" t="s">
        <v>40</v>
      </c>
      <c r="E1677">
        <v>5</v>
      </c>
      <c r="F1677" s="3">
        <v>11.4</v>
      </c>
      <c r="G1677" t="s">
        <v>36</v>
      </c>
      <c r="H1677">
        <v>43</v>
      </c>
      <c r="I1677" t="s">
        <v>28</v>
      </c>
      <c r="J1677" s="4">
        <v>70.3</v>
      </c>
      <c r="K1677" s="4">
        <v>194.2</v>
      </c>
      <c r="L1677" s="4">
        <v>27.5</v>
      </c>
      <c r="M1677">
        <v>15</v>
      </c>
      <c r="N1677" t="s">
        <v>47</v>
      </c>
      <c r="O1677">
        <v>1</v>
      </c>
      <c r="P1677" s="4">
        <v>154.69999999999999</v>
      </c>
      <c r="Q1677" t="s">
        <v>30</v>
      </c>
      <c r="R1677">
        <v>0</v>
      </c>
      <c r="S1677" t="s">
        <v>31</v>
      </c>
      <c r="T1677">
        <v>0</v>
      </c>
      <c r="U1677">
        <v>0</v>
      </c>
      <c r="V1677" t="s">
        <v>32</v>
      </c>
      <c r="W1677" t="s">
        <v>43</v>
      </c>
      <c r="X1677" s="4">
        <v>7.5</v>
      </c>
      <c r="Y1677">
        <v>5</v>
      </c>
      <c r="Z1677" s="5">
        <v>162.35</v>
      </c>
    </row>
    <row r="1678" spans="1:26">
      <c r="A1678">
        <v>1677</v>
      </c>
      <c r="B1678">
        <v>547</v>
      </c>
      <c r="C1678" s="2">
        <v>46294</v>
      </c>
      <c r="D1678" t="s">
        <v>35</v>
      </c>
      <c r="E1678">
        <v>9</v>
      </c>
      <c r="F1678" s="3">
        <v>11.13</v>
      </c>
      <c r="G1678" t="s">
        <v>36</v>
      </c>
      <c r="H1678">
        <v>38</v>
      </c>
      <c r="I1678" t="s">
        <v>28</v>
      </c>
      <c r="J1678" s="4">
        <v>68</v>
      </c>
      <c r="K1678" s="4">
        <v>198.2</v>
      </c>
      <c r="L1678" s="4">
        <v>30.4</v>
      </c>
      <c r="M1678">
        <v>13</v>
      </c>
      <c r="N1678" t="s">
        <v>61</v>
      </c>
      <c r="O1678">
        <v>4</v>
      </c>
      <c r="P1678" s="4">
        <v>2555.6</v>
      </c>
      <c r="Q1678" t="s">
        <v>42</v>
      </c>
      <c r="R1678">
        <v>0</v>
      </c>
      <c r="S1678" t="s">
        <v>38</v>
      </c>
      <c r="T1678">
        <v>1</v>
      </c>
      <c r="U1678">
        <v>0</v>
      </c>
      <c r="V1678" t="s">
        <v>45</v>
      </c>
      <c r="W1678" t="s">
        <v>39</v>
      </c>
      <c r="X1678" s="4">
        <v>8.5</v>
      </c>
      <c r="Y1678">
        <v>5</v>
      </c>
      <c r="Z1678" s="5">
        <v>324.79000000000002</v>
      </c>
    </row>
    <row r="1679" spans="1:26">
      <c r="A1679">
        <v>1678</v>
      </c>
      <c r="B1679">
        <v>547</v>
      </c>
      <c r="C1679" s="2">
        <v>46294</v>
      </c>
      <c r="D1679" t="s">
        <v>35</v>
      </c>
      <c r="E1679">
        <v>9</v>
      </c>
      <c r="F1679" s="3">
        <v>11</v>
      </c>
      <c r="G1679" t="s">
        <v>27</v>
      </c>
      <c r="H1679">
        <v>38</v>
      </c>
      <c r="I1679" t="s">
        <v>34</v>
      </c>
      <c r="J1679" s="4">
        <v>62.9</v>
      </c>
      <c r="K1679" s="4">
        <v>126.1</v>
      </c>
      <c r="L1679" s="4">
        <v>22.2</v>
      </c>
      <c r="M1679">
        <v>13</v>
      </c>
      <c r="N1679" t="s">
        <v>61</v>
      </c>
      <c r="O1679">
        <v>4</v>
      </c>
      <c r="P1679" s="4">
        <v>2555.6</v>
      </c>
      <c r="Q1679" t="s">
        <v>42</v>
      </c>
      <c r="R1679">
        <v>0</v>
      </c>
      <c r="S1679" t="s">
        <v>38</v>
      </c>
      <c r="T1679">
        <v>1</v>
      </c>
      <c r="U1679">
        <v>0</v>
      </c>
      <c r="V1679" t="s">
        <v>45</v>
      </c>
      <c r="W1679" t="s">
        <v>39</v>
      </c>
      <c r="X1679" s="4">
        <v>9.3000000000000007</v>
      </c>
      <c r="Y1679">
        <v>5</v>
      </c>
      <c r="Z1679" s="5">
        <v>226.36</v>
      </c>
    </row>
    <row r="1680" spans="1:26">
      <c r="A1680">
        <v>1679</v>
      </c>
      <c r="B1680">
        <v>547</v>
      </c>
      <c r="C1680" s="2">
        <v>46294</v>
      </c>
      <c r="D1680" t="s">
        <v>35</v>
      </c>
      <c r="E1680">
        <v>9</v>
      </c>
      <c r="F1680" s="3">
        <v>11.23</v>
      </c>
      <c r="G1680" t="s">
        <v>36</v>
      </c>
      <c r="H1680">
        <v>50</v>
      </c>
      <c r="I1680" t="s">
        <v>28</v>
      </c>
      <c r="J1680" s="4">
        <v>69.599999999999994</v>
      </c>
      <c r="K1680" s="4">
        <v>165.1</v>
      </c>
      <c r="L1680" s="4">
        <v>24</v>
      </c>
      <c r="M1680">
        <v>16</v>
      </c>
      <c r="N1680" t="s">
        <v>61</v>
      </c>
      <c r="O1680">
        <v>4</v>
      </c>
      <c r="P1680" s="4">
        <v>2555.6</v>
      </c>
      <c r="Q1680" t="s">
        <v>42</v>
      </c>
      <c r="R1680">
        <v>0</v>
      </c>
      <c r="S1680" t="s">
        <v>38</v>
      </c>
      <c r="T1680">
        <v>1</v>
      </c>
      <c r="U1680">
        <v>0</v>
      </c>
      <c r="V1680" t="s">
        <v>45</v>
      </c>
      <c r="W1680" t="s">
        <v>39</v>
      </c>
      <c r="X1680" s="4">
        <v>6.3</v>
      </c>
      <c r="Y1680">
        <v>9</v>
      </c>
      <c r="Z1680" s="5">
        <v>170.55</v>
      </c>
    </row>
    <row r="1681" spans="1:26">
      <c r="A1681">
        <v>1680</v>
      </c>
      <c r="B1681">
        <v>547</v>
      </c>
      <c r="C1681" s="2">
        <v>46294</v>
      </c>
      <c r="D1681" t="s">
        <v>35</v>
      </c>
      <c r="E1681">
        <v>9</v>
      </c>
      <c r="F1681" s="3">
        <v>11.01</v>
      </c>
      <c r="G1681" t="s">
        <v>36</v>
      </c>
      <c r="H1681">
        <v>51</v>
      </c>
      <c r="I1681" t="s">
        <v>34</v>
      </c>
      <c r="J1681" s="4">
        <v>61</v>
      </c>
      <c r="K1681" s="4">
        <v>161.30000000000001</v>
      </c>
      <c r="L1681" s="4">
        <v>30.3</v>
      </c>
      <c r="M1681">
        <v>17</v>
      </c>
      <c r="N1681" t="s">
        <v>61</v>
      </c>
      <c r="O1681">
        <v>4</v>
      </c>
      <c r="P1681" s="4">
        <v>2555.6</v>
      </c>
      <c r="Q1681" t="s">
        <v>42</v>
      </c>
      <c r="R1681">
        <v>0</v>
      </c>
      <c r="S1681" t="s">
        <v>38</v>
      </c>
      <c r="T1681">
        <v>1</v>
      </c>
      <c r="U1681">
        <v>0</v>
      </c>
      <c r="V1681" t="s">
        <v>45</v>
      </c>
      <c r="W1681" t="s">
        <v>39</v>
      </c>
      <c r="X1681" s="4">
        <v>6.1</v>
      </c>
      <c r="Y1681">
        <v>2</v>
      </c>
      <c r="Z1681" s="5">
        <v>114.78</v>
      </c>
    </row>
    <row r="1682" spans="1:26">
      <c r="A1682">
        <v>1681</v>
      </c>
      <c r="B1682">
        <v>548</v>
      </c>
      <c r="C1682" s="2">
        <v>46266</v>
      </c>
      <c r="D1682" t="s">
        <v>35</v>
      </c>
      <c r="E1682">
        <v>9</v>
      </c>
      <c r="F1682" s="3">
        <v>8.7100000000000009</v>
      </c>
      <c r="G1682" t="s">
        <v>27</v>
      </c>
      <c r="H1682">
        <v>4</v>
      </c>
      <c r="I1682" t="s">
        <v>28</v>
      </c>
      <c r="J1682" s="4">
        <v>60</v>
      </c>
      <c r="K1682" s="4">
        <v>67.2</v>
      </c>
      <c r="L1682" s="4">
        <v>13.2</v>
      </c>
      <c r="M1682">
        <v>17</v>
      </c>
      <c r="N1682" t="s">
        <v>60</v>
      </c>
      <c r="O1682">
        <v>3</v>
      </c>
      <c r="P1682" s="4">
        <v>1685.6</v>
      </c>
      <c r="Q1682" t="s">
        <v>48</v>
      </c>
      <c r="R1682">
        <v>1</v>
      </c>
      <c r="S1682" t="s">
        <v>31</v>
      </c>
      <c r="T1682">
        <v>1</v>
      </c>
      <c r="U1682">
        <v>1</v>
      </c>
      <c r="V1682" t="s">
        <v>64</v>
      </c>
      <c r="W1682" t="s">
        <v>49</v>
      </c>
      <c r="X1682" s="4">
        <v>7.9</v>
      </c>
      <c r="Y1682">
        <v>6</v>
      </c>
      <c r="Z1682" s="5">
        <v>241.06</v>
      </c>
    </row>
    <row r="1683" spans="1:26">
      <c r="A1683">
        <v>1682</v>
      </c>
      <c r="B1683">
        <v>548</v>
      </c>
      <c r="C1683" s="2">
        <v>46266</v>
      </c>
      <c r="D1683" t="s">
        <v>35</v>
      </c>
      <c r="E1683">
        <v>9</v>
      </c>
      <c r="F1683" s="3">
        <v>8.2899999999999991</v>
      </c>
      <c r="G1683" t="s">
        <v>27</v>
      </c>
      <c r="H1683">
        <v>30</v>
      </c>
      <c r="I1683" t="s">
        <v>28</v>
      </c>
      <c r="J1683" s="4">
        <v>64.2</v>
      </c>
      <c r="K1683" s="4">
        <v>158.69999999999999</v>
      </c>
      <c r="L1683" s="4">
        <v>27</v>
      </c>
      <c r="M1683">
        <v>16</v>
      </c>
      <c r="N1683" t="s">
        <v>60</v>
      </c>
      <c r="O1683">
        <v>3</v>
      </c>
      <c r="P1683" s="4">
        <v>1685.6</v>
      </c>
      <c r="Q1683" t="s">
        <v>48</v>
      </c>
      <c r="R1683">
        <v>1</v>
      </c>
      <c r="S1683" t="s">
        <v>31</v>
      </c>
      <c r="T1683">
        <v>1</v>
      </c>
      <c r="U1683">
        <v>1</v>
      </c>
      <c r="V1683" t="s">
        <v>64</v>
      </c>
      <c r="W1683" t="s">
        <v>49</v>
      </c>
      <c r="X1683" s="4">
        <v>8.6</v>
      </c>
      <c r="Y1683">
        <v>17</v>
      </c>
      <c r="Z1683" s="5">
        <v>650</v>
      </c>
    </row>
    <row r="1684" spans="1:26">
      <c r="A1684">
        <v>1683</v>
      </c>
      <c r="B1684">
        <v>548</v>
      </c>
      <c r="C1684" s="2">
        <v>46266</v>
      </c>
      <c r="D1684" t="s">
        <v>35</v>
      </c>
      <c r="E1684">
        <v>9</v>
      </c>
      <c r="F1684" s="3">
        <v>8.86</v>
      </c>
      <c r="G1684" t="s">
        <v>27</v>
      </c>
      <c r="H1684">
        <v>54</v>
      </c>
      <c r="I1684" t="s">
        <v>34</v>
      </c>
      <c r="J1684" s="4">
        <v>61.2</v>
      </c>
      <c r="K1684" s="4">
        <v>165.3</v>
      </c>
      <c r="L1684" s="4">
        <v>31.2</v>
      </c>
      <c r="M1684">
        <v>20</v>
      </c>
      <c r="N1684" t="s">
        <v>60</v>
      </c>
      <c r="O1684">
        <v>3</v>
      </c>
      <c r="P1684" s="4">
        <v>1685.6</v>
      </c>
      <c r="Q1684" t="s">
        <v>48</v>
      </c>
      <c r="R1684">
        <v>1</v>
      </c>
      <c r="S1684" t="s">
        <v>31</v>
      </c>
      <c r="T1684">
        <v>1</v>
      </c>
      <c r="U1684">
        <v>1</v>
      </c>
      <c r="V1684" t="s">
        <v>64</v>
      </c>
      <c r="W1684" t="s">
        <v>49</v>
      </c>
      <c r="X1684" s="4">
        <v>7.3</v>
      </c>
      <c r="Y1684">
        <v>14</v>
      </c>
      <c r="Z1684" s="5">
        <v>287.89</v>
      </c>
    </row>
    <row r="1685" spans="1:26">
      <c r="A1685">
        <v>1684</v>
      </c>
      <c r="B1685">
        <v>549</v>
      </c>
      <c r="C1685" s="2">
        <v>46041</v>
      </c>
      <c r="D1685" t="s">
        <v>46</v>
      </c>
      <c r="E1685">
        <v>1</v>
      </c>
      <c r="F1685" s="3">
        <v>9.73</v>
      </c>
      <c r="G1685" t="s">
        <v>27</v>
      </c>
      <c r="H1685">
        <v>10</v>
      </c>
      <c r="I1685" t="s">
        <v>34</v>
      </c>
      <c r="J1685" s="4">
        <v>68.3</v>
      </c>
      <c r="K1685" s="4">
        <v>112.5</v>
      </c>
      <c r="L1685" s="4">
        <v>17</v>
      </c>
      <c r="M1685">
        <v>14</v>
      </c>
      <c r="N1685" t="s">
        <v>47</v>
      </c>
      <c r="O1685">
        <v>6</v>
      </c>
      <c r="P1685" s="4">
        <v>142.30000000000001</v>
      </c>
      <c r="Q1685" t="s">
        <v>42</v>
      </c>
      <c r="R1685">
        <v>0</v>
      </c>
      <c r="S1685" t="s">
        <v>44</v>
      </c>
      <c r="T1685">
        <v>0</v>
      </c>
      <c r="U1685">
        <v>0</v>
      </c>
      <c r="V1685" t="s">
        <v>32</v>
      </c>
      <c r="W1685" t="s">
        <v>57</v>
      </c>
      <c r="X1685" s="4">
        <v>7.4</v>
      </c>
      <c r="Y1685">
        <v>9</v>
      </c>
      <c r="Z1685" s="5">
        <v>227.46</v>
      </c>
    </row>
    <row r="1686" spans="1:26">
      <c r="A1686">
        <v>1685</v>
      </c>
      <c r="B1686">
        <v>549</v>
      </c>
      <c r="C1686" s="2">
        <v>46041</v>
      </c>
      <c r="D1686" t="s">
        <v>46</v>
      </c>
      <c r="E1686">
        <v>1</v>
      </c>
      <c r="F1686" s="3">
        <v>9.9</v>
      </c>
      <c r="G1686" t="s">
        <v>27</v>
      </c>
      <c r="H1686">
        <v>8</v>
      </c>
      <c r="I1686" t="s">
        <v>34</v>
      </c>
      <c r="J1686" s="4">
        <v>59.5</v>
      </c>
      <c r="K1686" s="4">
        <v>100.5</v>
      </c>
      <c r="L1686" s="4">
        <v>20</v>
      </c>
      <c r="M1686">
        <v>13</v>
      </c>
      <c r="N1686" t="s">
        <v>47</v>
      </c>
      <c r="O1686">
        <v>6</v>
      </c>
      <c r="P1686" s="4">
        <v>142.30000000000001</v>
      </c>
      <c r="Q1686" t="s">
        <v>42</v>
      </c>
      <c r="R1686">
        <v>0</v>
      </c>
      <c r="S1686" t="s">
        <v>44</v>
      </c>
      <c r="T1686">
        <v>0</v>
      </c>
      <c r="U1686">
        <v>0</v>
      </c>
      <c r="V1686" t="s">
        <v>32</v>
      </c>
      <c r="W1686" t="s">
        <v>57</v>
      </c>
      <c r="X1686" s="4">
        <v>8.3000000000000007</v>
      </c>
      <c r="Y1686">
        <v>10</v>
      </c>
      <c r="Z1686" s="5">
        <v>328.97</v>
      </c>
    </row>
    <row r="1687" spans="1:26">
      <c r="A1687">
        <v>1686</v>
      </c>
      <c r="B1687">
        <v>549</v>
      </c>
      <c r="C1687" s="2">
        <v>46041</v>
      </c>
      <c r="D1687" t="s">
        <v>46</v>
      </c>
      <c r="E1687">
        <v>1</v>
      </c>
      <c r="F1687" s="3">
        <v>9.74</v>
      </c>
      <c r="G1687" t="s">
        <v>27</v>
      </c>
      <c r="H1687">
        <v>26</v>
      </c>
      <c r="I1687" t="s">
        <v>28</v>
      </c>
      <c r="J1687" s="4">
        <v>68.2</v>
      </c>
      <c r="K1687" s="4">
        <v>135.19999999999999</v>
      </c>
      <c r="L1687" s="4">
        <v>20.5</v>
      </c>
      <c r="M1687">
        <v>12</v>
      </c>
      <c r="N1687" t="s">
        <v>47</v>
      </c>
      <c r="O1687">
        <v>6</v>
      </c>
      <c r="P1687" s="4">
        <v>142.30000000000001</v>
      </c>
      <c r="Q1687" t="s">
        <v>42</v>
      </c>
      <c r="R1687">
        <v>0</v>
      </c>
      <c r="S1687" t="s">
        <v>44</v>
      </c>
      <c r="T1687">
        <v>0</v>
      </c>
      <c r="U1687">
        <v>0</v>
      </c>
      <c r="V1687" t="s">
        <v>32</v>
      </c>
      <c r="W1687" t="s">
        <v>57</v>
      </c>
      <c r="X1687" s="4">
        <v>6.3</v>
      </c>
      <c r="Y1687">
        <v>6</v>
      </c>
      <c r="Z1687" s="5">
        <v>242.16</v>
      </c>
    </row>
    <row r="1688" spans="1:26">
      <c r="A1688">
        <v>1687</v>
      </c>
      <c r="B1688">
        <v>549</v>
      </c>
      <c r="C1688" s="2">
        <v>46041</v>
      </c>
      <c r="D1688" t="s">
        <v>46</v>
      </c>
      <c r="E1688">
        <v>1</v>
      </c>
      <c r="F1688" s="3">
        <v>9.69</v>
      </c>
      <c r="G1688" t="s">
        <v>27</v>
      </c>
      <c r="H1688">
        <v>55</v>
      </c>
      <c r="I1688" t="s">
        <v>28</v>
      </c>
      <c r="J1688" s="4">
        <v>68.099999999999994</v>
      </c>
      <c r="K1688" s="4">
        <v>147.1</v>
      </c>
      <c r="L1688" s="4">
        <v>22</v>
      </c>
      <c r="M1688">
        <v>15</v>
      </c>
      <c r="N1688" t="s">
        <v>47</v>
      </c>
      <c r="O1688">
        <v>6</v>
      </c>
      <c r="P1688" s="4">
        <v>142.30000000000001</v>
      </c>
      <c r="Q1688" t="s">
        <v>42</v>
      </c>
      <c r="R1688">
        <v>0</v>
      </c>
      <c r="S1688" t="s">
        <v>44</v>
      </c>
      <c r="T1688">
        <v>0</v>
      </c>
      <c r="U1688">
        <v>0</v>
      </c>
      <c r="V1688" t="s">
        <v>32</v>
      </c>
      <c r="W1688" t="s">
        <v>57</v>
      </c>
      <c r="X1688" s="4">
        <v>6.9</v>
      </c>
      <c r="Y1688">
        <v>6</v>
      </c>
      <c r="Z1688" s="5">
        <v>168.38</v>
      </c>
    </row>
    <row r="1689" spans="1:26">
      <c r="A1689">
        <v>1688</v>
      </c>
      <c r="B1689">
        <v>549</v>
      </c>
      <c r="C1689" s="2">
        <v>46041</v>
      </c>
      <c r="D1689" t="s">
        <v>46</v>
      </c>
      <c r="E1689">
        <v>1</v>
      </c>
      <c r="F1689" s="3">
        <v>9.51</v>
      </c>
      <c r="G1689" t="s">
        <v>27</v>
      </c>
      <c r="H1689">
        <v>28</v>
      </c>
      <c r="I1689" t="s">
        <v>28</v>
      </c>
      <c r="J1689" s="4">
        <v>68.5</v>
      </c>
      <c r="K1689" s="4">
        <v>171.6</v>
      </c>
      <c r="L1689" s="4">
        <v>26</v>
      </c>
      <c r="M1689">
        <v>15</v>
      </c>
      <c r="N1689" t="s">
        <v>47</v>
      </c>
      <c r="O1689">
        <v>6</v>
      </c>
      <c r="P1689" s="4">
        <v>142.30000000000001</v>
      </c>
      <c r="Q1689" t="s">
        <v>42</v>
      </c>
      <c r="R1689">
        <v>0</v>
      </c>
      <c r="S1689" t="s">
        <v>44</v>
      </c>
      <c r="T1689">
        <v>0</v>
      </c>
      <c r="U1689">
        <v>0</v>
      </c>
      <c r="V1689" t="s">
        <v>32</v>
      </c>
      <c r="W1689" t="s">
        <v>57</v>
      </c>
      <c r="X1689" s="4">
        <v>7.5</v>
      </c>
      <c r="Y1689">
        <v>8</v>
      </c>
      <c r="Z1689" s="5">
        <v>156.34</v>
      </c>
    </row>
    <row r="1690" spans="1:26">
      <c r="A1690">
        <v>1689</v>
      </c>
      <c r="B1690">
        <v>549</v>
      </c>
      <c r="C1690" s="2">
        <v>46041</v>
      </c>
      <c r="D1690" t="s">
        <v>46</v>
      </c>
      <c r="E1690">
        <v>1</v>
      </c>
      <c r="F1690" s="3">
        <v>9.56</v>
      </c>
      <c r="G1690" t="s">
        <v>27</v>
      </c>
      <c r="H1690">
        <v>42</v>
      </c>
      <c r="I1690" t="s">
        <v>34</v>
      </c>
      <c r="J1690" s="4">
        <v>66.400000000000006</v>
      </c>
      <c r="K1690" s="4">
        <v>159.6</v>
      </c>
      <c r="L1690" s="4">
        <v>25.3</v>
      </c>
      <c r="M1690">
        <v>15</v>
      </c>
      <c r="N1690" t="s">
        <v>47</v>
      </c>
      <c r="O1690">
        <v>6</v>
      </c>
      <c r="P1690" s="4">
        <v>142.30000000000001</v>
      </c>
      <c r="Q1690" t="s">
        <v>42</v>
      </c>
      <c r="R1690">
        <v>0</v>
      </c>
      <c r="S1690" t="s">
        <v>44</v>
      </c>
      <c r="T1690">
        <v>0</v>
      </c>
      <c r="U1690">
        <v>0</v>
      </c>
      <c r="V1690" t="s">
        <v>32</v>
      </c>
      <c r="W1690" t="s">
        <v>57</v>
      </c>
      <c r="X1690" s="4">
        <v>9.3000000000000007</v>
      </c>
      <c r="Y1690">
        <v>15</v>
      </c>
      <c r="Z1690" s="5">
        <v>196.61</v>
      </c>
    </row>
    <row r="1691" spans="1:26">
      <c r="A1691">
        <v>1690</v>
      </c>
      <c r="B1691">
        <v>550</v>
      </c>
      <c r="C1691" s="2">
        <v>46081</v>
      </c>
      <c r="D1691" t="s">
        <v>40</v>
      </c>
      <c r="E1691">
        <v>2</v>
      </c>
      <c r="F1691" s="3">
        <v>7.87</v>
      </c>
      <c r="G1691" t="s">
        <v>27</v>
      </c>
      <c r="H1691">
        <v>9</v>
      </c>
      <c r="I1691" t="s">
        <v>28</v>
      </c>
      <c r="J1691" s="4">
        <v>58.9</v>
      </c>
      <c r="K1691" s="4">
        <v>98.4</v>
      </c>
      <c r="L1691" s="4">
        <v>19.899999999999999</v>
      </c>
      <c r="M1691">
        <v>13</v>
      </c>
      <c r="N1691" t="s">
        <v>54</v>
      </c>
      <c r="O1691">
        <v>2</v>
      </c>
      <c r="P1691" s="4">
        <v>1940.4</v>
      </c>
      <c r="Q1691" t="s">
        <v>42</v>
      </c>
      <c r="R1691">
        <v>1</v>
      </c>
      <c r="S1691" t="s">
        <v>38</v>
      </c>
      <c r="T1691">
        <v>1</v>
      </c>
      <c r="U1691">
        <v>0</v>
      </c>
      <c r="V1691" t="s">
        <v>32</v>
      </c>
      <c r="W1691" t="s">
        <v>49</v>
      </c>
      <c r="X1691" s="4">
        <v>10</v>
      </c>
      <c r="Y1691">
        <v>16</v>
      </c>
      <c r="Z1691" s="5">
        <v>192.72</v>
      </c>
    </row>
    <row r="1692" spans="1:26">
      <c r="A1692">
        <v>1691</v>
      </c>
      <c r="B1692">
        <v>550</v>
      </c>
      <c r="C1692" s="2">
        <v>46081</v>
      </c>
      <c r="D1692" t="s">
        <v>40</v>
      </c>
      <c r="E1692">
        <v>2</v>
      </c>
      <c r="F1692" s="3">
        <v>7.77</v>
      </c>
      <c r="G1692" t="s">
        <v>27</v>
      </c>
      <c r="H1692">
        <v>79</v>
      </c>
      <c r="I1692" t="s">
        <v>28</v>
      </c>
      <c r="J1692" s="4">
        <v>68.400000000000006</v>
      </c>
      <c r="K1692" s="4">
        <v>181.4</v>
      </c>
      <c r="L1692" s="4">
        <v>27.3</v>
      </c>
      <c r="M1692">
        <v>16</v>
      </c>
      <c r="N1692" t="s">
        <v>54</v>
      </c>
      <c r="O1692">
        <v>2</v>
      </c>
      <c r="P1692" s="4">
        <v>1940.4</v>
      </c>
      <c r="Q1692" t="s">
        <v>42</v>
      </c>
      <c r="R1692">
        <v>1</v>
      </c>
      <c r="S1692" t="s">
        <v>38</v>
      </c>
      <c r="T1692">
        <v>1</v>
      </c>
      <c r="U1692">
        <v>0</v>
      </c>
      <c r="V1692" t="s">
        <v>32</v>
      </c>
      <c r="W1692" t="s">
        <v>49</v>
      </c>
      <c r="X1692" s="4">
        <v>10.199999999999999</v>
      </c>
      <c r="Y1692">
        <v>13</v>
      </c>
      <c r="Z1692" s="5">
        <v>173.03</v>
      </c>
    </row>
    <row r="1693" spans="1:26">
      <c r="A1693">
        <v>1692</v>
      </c>
      <c r="B1693">
        <v>551</v>
      </c>
      <c r="C1693" s="2">
        <v>46172</v>
      </c>
      <c r="D1693" t="s">
        <v>40</v>
      </c>
      <c r="E1693">
        <v>5</v>
      </c>
      <c r="F1693" s="3">
        <v>8.41</v>
      </c>
      <c r="G1693" t="s">
        <v>27</v>
      </c>
      <c r="H1693">
        <v>63</v>
      </c>
      <c r="I1693" t="s">
        <v>28</v>
      </c>
      <c r="J1693" s="4">
        <v>71.599999999999994</v>
      </c>
      <c r="K1693" s="4">
        <v>162.9</v>
      </c>
      <c r="L1693" s="4">
        <v>22.5</v>
      </c>
      <c r="M1693">
        <v>12</v>
      </c>
      <c r="N1693" t="s">
        <v>59</v>
      </c>
      <c r="O1693">
        <v>3</v>
      </c>
      <c r="P1693" s="4">
        <v>496.4</v>
      </c>
      <c r="Q1693" t="s">
        <v>30</v>
      </c>
      <c r="R1693">
        <v>1</v>
      </c>
      <c r="S1693" t="s">
        <v>31</v>
      </c>
      <c r="T1693">
        <v>1</v>
      </c>
      <c r="U1693">
        <v>0</v>
      </c>
      <c r="V1693" t="s">
        <v>32</v>
      </c>
      <c r="W1693" t="s">
        <v>49</v>
      </c>
      <c r="X1693" s="4">
        <v>9.6</v>
      </c>
      <c r="Y1693">
        <v>11</v>
      </c>
      <c r="Z1693" s="5">
        <v>227.41</v>
      </c>
    </row>
    <row r="1694" spans="1:26">
      <c r="A1694">
        <v>1693</v>
      </c>
      <c r="B1694">
        <v>551</v>
      </c>
      <c r="C1694" s="2">
        <v>46172</v>
      </c>
      <c r="D1694" t="s">
        <v>40</v>
      </c>
      <c r="E1694">
        <v>5</v>
      </c>
      <c r="F1694" s="3">
        <v>8.19</v>
      </c>
      <c r="G1694" t="s">
        <v>27</v>
      </c>
      <c r="H1694">
        <v>30</v>
      </c>
      <c r="I1694" t="s">
        <v>34</v>
      </c>
      <c r="J1694" s="4">
        <v>62.6</v>
      </c>
      <c r="K1694" s="4">
        <v>118.7</v>
      </c>
      <c r="L1694" s="4">
        <v>21</v>
      </c>
      <c r="M1694">
        <v>12</v>
      </c>
      <c r="N1694" t="s">
        <v>59</v>
      </c>
      <c r="O1694">
        <v>3</v>
      </c>
      <c r="P1694" s="4">
        <v>496.4</v>
      </c>
      <c r="Q1694" t="s">
        <v>30</v>
      </c>
      <c r="R1694">
        <v>1</v>
      </c>
      <c r="S1694" t="s">
        <v>31</v>
      </c>
      <c r="T1694">
        <v>1</v>
      </c>
      <c r="U1694">
        <v>0</v>
      </c>
      <c r="V1694" t="s">
        <v>32</v>
      </c>
      <c r="W1694" t="s">
        <v>49</v>
      </c>
      <c r="X1694" s="4">
        <v>11</v>
      </c>
      <c r="Y1694">
        <v>18</v>
      </c>
      <c r="Z1694" s="5">
        <v>289.33999999999997</v>
      </c>
    </row>
    <row r="1695" spans="1:26">
      <c r="A1695">
        <v>1694</v>
      </c>
      <c r="B1695">
        <v>551</v>
      </c>
      <c r="C1695" s="2">
        <v>46172</v>
      </c>
      <c r="D1695" t="s">
        <v>40</v>
      </c>
      <c r="E1695">
        <v>5</v>
      </c>
      <c r="F1695" s="3">
        <v>8.35</v>
      </c>
      <c r="G1695" t="s">
        <v>27</v>
      </c>
      <c r="H1695">
        <v>47</v>
      </c>
      <c r="I1695" t="s">
        <v>34</v>
      </c>
      <c r="J1695" s="4">
        <v>60.8</v>
      </c>
      <c r="K1695" s="4">
        <v>131</v>
      </c>
      <c r="L1695" s="4">
        <v>25</v>
      </c>
      <c r="M1695">
        <v>14</v>
      </c>
      <c r="N1695" t="s">
        <v>59</v>
      </c>
      <c r="O1695">
        <v>3</v>
      </c>
      <c r="P1695" s="4">
        <v>496.4</v>
      </c>
      <c r="Q1695" t="s">
        <v>30</v>
      </c>
      <c r="R1695">
        <v>1</v>
      </c>
      <c r="S1695" t="s">
        <v>31</v>
      </c>
      <c r="T1695">
        <v>1</v>
      </c>
      <c r="U1695">
        <v>0</v>
      </c>
      <c r="V1695" t="s">
        <v>32</v>
      </c>
      <c r="W1695" t="s">
        <v>49</v>
      </c>
      <c r="X1695" s="4">
        <v>8.9</v>
      </c>
      <c r="Y1695">
        <v>12</v>
      </c>
      <c r="Z1695" s="5">
        <v>255.87</v>
      </c>
    </row>
    <row r="1696" spans="1:26">
      <c r="A1696">
        <v>1695</v>
      </c>
      <c r="B1696">
        <v>552</v>
      </c>
      <c r="C1696" s="2">
        <v>46081</v>
      </c>
      <c r="D1696" t="s">
        <v>40</v>
      </c>
      <c r="E1696">
        <v>2</v>
      </c>
      <c r="F1696" s="3">
        <v>10.46</v>
      </c>
      <c r="G1696" t="s">
        <v>27</v>
      </c>
      <c r="H1696">
        <v>70</v>
      </c>
      <c r="I1696" t="s">
        <v>28</v>
      </c>
      <c r="J1696" s="4">
        <v>69.400000000000006</v>
      </c>
      <c r="K1696" s="4">
        <v>145.30000000000001</v>
      </c>
      <c r="L1696" s="4">
        <v>21.5</v>
      </c>
      <c r="M1696">
        <v>16</v>
      </c>
      <c r="N1696" t="s">
        <v>47</v>
      </c>
      <c r="O1696">
        <v>3</v>
      </c>
      <c r="P1696" s="4">
        <v>116.9</v>
      </c>
      <c r="Q1696" t="s">
        <v>42</v>
      </c>
      <c r="R1696">
        <v>0</v>
      </c>
      <c r="S1696" t="s">
        <v>44</v>
      </c>
      <c r="T1696">
        <v>0</v>
      </c>
      <c r="U1696">
        <v>0</v>
      </c>
      <c r="V1696" t="s">
        <v>32</v>
      </c>
      <c r="W1696" t="s">
        <v>49</v>
      </c>
      <c r="X1696" s="4">
        <v>7.6</v>
      </c>
      <c r="Y1696">
        <v>8</v>
      </c>
      <c r="Z1696" s="5">
        <v>247.48</v>
      </c>
    </row>
    <row r="1697" spans="1:26">
      <c r="A1697">
        <v>1696</v>
      </c>
      <c r="B1697">
        <v>552</v>
      </c>
      <c r="C1697" s="2">
        <v>46081</v>
      </c>
      <c r="D1697" t="s">
        <v>40</v>
      </c>
      <c r="E1697">
        <v>2</v>
      </c>
      <c r="F1697" s="3">
        <v>10.56</v>
      </c>
      <c r="G1697" t="s">
        <v>27</v>
      </c>
      <c r="H1697">
        <v>41</v>
      </c>
      <c r="I1697" t="s">
        <v>28</v>
      </c>
      <c r="J1697" s="4">
        <v>71.5</v>
      </c>
      <c r="K1697" s="4">
        <v>211</v>
      </c>
      <c r="L1697" s="4">
        <v>29</v>
      </c>
      <c r="M1697">
        <v>14</v>
      </c>
      <c r="N1697" t="s">
        <v>47</v>
      </c>
      <c r="O1697">
        <v>3</v>
      </c>
      <c r="P1697" s="4">
        <v>116.9</v>
      </c>
      <c r="Q1697" t="s">
        <v>42</v>
      </c>
      <c r="R1697">
        <v>0</v>
      </c>
      <c r="S1697" t="s">
        <v>44</v>
      </c>
      <c r="T1697">
        <v>0</v>
      </c>
      <c r="U1697">
        <v>0</v>
      </c>
      <c r="V1697" t="s">
        <v>32</v>
      </c>
      <c r="W1697" t="s">
        <v>49</v>
      </c>
      <c r="X1697" s="4">
        <v>6.5</v>
      </c>
      <c r="Y1697">
        <v>6</v>
      </c>
      <c r="Z1697" s="5">
        <v>231.41</v>
      </c>
    </row>
    <row r="1698" spans="1:26">
      <c r="A1698">
        <v>1697</v>
      </c>
      <c r="B1698">
        <v>552</v>
      </c>
      <c r="C1698" s="2">
        <v>46081</v>
      </c>
      <c r="D1698" t="s">
        <v>40</v>
      </c>
      <c r="E1698">
        <v>2</v>
      </c>
      <c r="F1698" s="3">
        <v>10.38</v>
      </c>
      <c r="G1698" t="s">
        <v>27</v>
      </c>
      <c r="H1698">
        <v>31</v>
      </c>
      <c r="I1698" t="s">
        <v>34</v>
      </c>
      <c r="J1698" s="4">
        <v>67.8</v>
      </c>
      <c r="K1698" s="4">
        <v>126.3</v>
      </c>
      <c r="L1698" s="4">
        <v>19.5</v>
      </c>
      <c r="M1698">
        <v>15</v>
      </c>
      <c r="N1698" t="s">
        <v>47</v>
      </c>
      <c r="O1698">
        <v>3</v>
      </c>
      <c r="P1698" s="4">
        <v>116.9</v>
      </c>
      <c r="Q1698" t="s">
        <v>42</v>
      </c>
      <c r="R1698">
        <v>0</v>
      </c>
      <c r="S1698" t="s">
        <v>44</v>
      </c>
      <c r="T1698">
        <v>0</v>
      </c>
      <c r="U1698">
        <v>0</v>
      </c>
      <c r="V1698" t="s">
        <v>32</v>
      </c>
      <c r="W1698" t="s">
        <v>49</v>
      </c>
      <c r="X1698" s="4">
        <v>7.1</v>
      </c>
      <c r="Y1698">
        <v>6</v>
      </c>
      <c r="Z1698" s="5">
        <v>185.64</v>
      </c>
    </row>
    <row r="1699" spans="1:26">
      <c r="A1699">
        <v>1698</v>
      </c>
      <c r="B1699">
        <v>553</v>
      </c>
      <c r="C1699" s="2">
        <v>46152</v>
      </c>
      <c r="D1699" t="s">
        <v>58</v>
      </c>
      <c r="E1699">
        <v>5</v>
      </c>
      <c r="F1699" s="3">
        <v>8.35</v>
      </c>
      <c r="G1699" t="s">
        <v>27</v>
      </c>
      <c r="H1699">
        <v>81</v>
      </c>
      <c r="I1699" t="s">
        <v>28</v>
      </c>
      <c r="J1699" s="4">
        <v>64.7</v>
      </c>
      <c r="K1699" s="4">
        <v>157.80000000000001</v>
      </c>
      <c r="L1699" s="4">
        <v>26.4</v>
      </c>
      <c r="M1699">
        <v>16</v>
      </c>
      <c r="N1699" t="s">
        <v>47</v>
      </c>
      <c r="O1699">
        <v>4</v>
      </c>
      <c r="P1699" s="4">
        <v>59.3</v>
      </c>
      <c r="Q1699" t="s">
        <v>42</v>
      </c>
      <c r="R1699">
        <v>0</v>
      </c>
      <c r="S1699" t="s">
        <v>38</v>
      </c>
      <c r="T1699">
        <v>0</v>
      </c>
      <c r="U1699">
        <v>0</v>
      </c>
      <c r="V1699" t="s">
        <v>32</v>
      </c>
      <c r="W1699" t="s">
        <v>49</v>
      </c>
      <c r="X1699" s="4">
        <v>8.6</v>
      </c>
      <c r="Y1699">
        <v>11</v>
      </c>
      <c r="Z1699" s="5">
        <v>196.84</v>
      </c>
    </row>
    <row r="1700" spans="1:26">
      <c r="A1700">
        <v>1699</v>
      </c>
      <c r="B1700">
        <v>553</v>
      </c>
      <c r="C1700" s="2">
        <v>46152</v>
      </c>
      <c r="D1700" t="s">
        <v>58</v>
      </c>
      <c r="E1700">
        <v>5</v>
      </c>
      <c r="F1700" s="3">
        <v>8.39</v>
      </c>
      <c r="G1700" t="s">
        <v>27</v>
      </c>
      <c r="H1700">
        <v>67</v>
      </c>
      <c r="I1700" t="s">
        <v>34</v>
      </c>
      <c r="J1700" s="4">
        <v>68.3</v>
      </c>
      <c r="K1700" s="4">
        <v>186.8</v>
      </c>
      <c r="L1700" s="4">
        <v>28</v>
      </c>
      <c r="M1700">
        <v>15</v>
      </c>
      <c r="N1700" t="s">
        <v>47</v>
      </c>
      <c r="O1700">
        <v>4</v>
      </c>
      <c r="P1700" s="4">
        <v>59.3</v>
      </c>
      <c r="Q1700" t="s">
        <v>42</v>
      </c>
      <c r="R1700">
        <v>0</v>
      </c>
      <c r="S1700" t="s">
        <v>38</v>
      </c>
      <c r="T1700">
        <v>0</v>
      </c>
      <c r="U1700">
        <v>0</v>
      </c>
      <c r="V1700" t="s">
        <v>32</v>
      </c>
      <c r="W1700" t="s">
        <v>49</v>
      </c>
      <c r="X1700" s="4">
        <v>8.3000000000000007</v>
      </c>
      <c r="Y1700">
        <v>9</v>
      </c>
      <c r="Z1700" s="5">
        <v>89.02</v>
      </c>
    </row>
    <row r="1701" spans="1:26">
      <c r="A1701">
        <v>1700</v>
      </c>
      <c r="B1701">
        <v>553</v>
      </c>
      <c r="C1701" s="2">
        <v>46152</v>
      </c>
      <c r="D1701" t="s">
        <v>58</v>
      </c>
      <c r="E1701">
        <v>5</v>
      </c>
      <c r="F1701" s="3">
        <v>8.1199999999999992</v>
      </c>
      <c r="G1701" t="s">
        <v>27</v>
      </c>
      <c r="H1701">
        <v>53</v>
      </c>
      <c r="I1701" t="s">
        <v>34</v>
      </c>
      <c r="J1701" s="4">
        <v>59.5</v>
      </c>
      <c r="K1701" s="4">
        <v>144.4</v>
      </c>
      <c r="L1701" s="4">
        <v>28.8</v>
      </c>
      <c r="M1701">
        <v>11</v>
      </c>
      <c r="N1701" t="s">
        <v>47</v>
      </c>
      <c r="O1701">
        <v>4</v>
      </c>
      <c r="P1701" s="4">
        <v>59.3</v>
      </c>
      <c r="Q1701" t="s">
        <v>42</v>
      </c>
      <c r="R1701">
        <v>0</v>
      </c>
      <c r="S1701" t="s">
        <v>38</v>
      </c>
      <c r="T1701">
        <v>0</v>
      </c>
      <c r="U1701">
        <v>0</v>
      </c>
      <c r="V1701" t="s">
        <v>32</v>
      </c>
      <c r="W1701" t="s">
        <v>49</v>
      </c>
      <c r="X1701" s="4">
        <v>7.1</v>
      </c>
      <c r="Y1701">
        <v>6</v>
      </c>
      <c r="Z1701" s="5">
        <v>144.12</v>
      </c>
    </row>
    <row r="1702" spans="1:26">
      <c r="A1702">
        <v>1701</v>
      </c>
      <c r="B1702">
        <v>553</v>
      </c>
      <c r="C1702" s="2">
        <v>46152</v>
      </c>
      <c r="D1702" t="s">
        <v>58</v>
      </c>
      <c r="E1702">
        <v>5</v>
      </c>
      <c r="F1702" s="3">
        <v>8.3800000000000008</v>
      </c>
      <c r="G1702" t="s">
        <v>27</v>
      </c>
      <c r="H1702">
        <v>50</v>
      </c>
      <c r="I1702" t="s">
        <v>34</v>
      </c>
      <c r="J1702" s="4">
        <v>63.4</v>
      </c>
      <c r="K1702" s="4">
        <v>144.30000000000001</v>
      </c>
      <c r="L1702" s="4">
        <v>25</v>
      </c>
      <c r="M1702">
        <v>15</v>
      </c>
      <c r="N1702" t="s">
        <v>47</v>
      </c>
      <c r="O1702">
        <v>4</v>
      </c>
      <c r="P1702" s="4">
        <v>59.3</v>
      </c>
      <c r="Q1702" t="s">
        <v>42</v>
      </c>
      <c r="R1702">
        <v>0</v>
      </c>
      <c r="S1702" t="s">
        <v>38</v>
      </c>
      <c r="T1702">
        <v>0</v>
      </c>
      <c r="U1702">
        <v>0</v>
      </c>
      <c r="V1702" t="s">
        <v>32</v>
      </c>
      <c r="W1702" t="s">
        <v>49</v>
      </c>
      <c r="X1702" s="4">
        <v>8</v>
      </c>
      <c r="Y1702">
        <v>6</v>
      </c>
      <c r="Z1702" s="5">
        <v>217.92</v>
      </c>
    </row>
    <row r="1703" spans="1:26">
      <c r="A1703">
        <v>1702</v>
      </c>
      <c r="B1703">
        <v>554</v>
      </c>
      <c r="C1703" s="2">
        <v>46137</v>
      </c>
      <c r="D1703" t="s">
        <v>40</v>
      </c>
      <c r="E1703">
        <v>4</v>
      </c>
      <c r="F1703" s="3">
        <v>12.06</v>
      </c>
      <c r="G1703" t="s">
        <v>36</v>
      </c>
      <c r="H1703">
        <v>19</v>
      </c>
      <c r="I1703" t="s">
        <v>28</v>
      </c>
      <c r="J1703" s="4">
        <v>74.2</v>
      </c>
      <c r="K1703" s="4">
        <v>169.3</v>
      </c>
      <c r="L1703" s="4">
        <v>21.7</v>
      </c>
      <c r="M1703">
        <v>9</v>
      </c>
      <c r="N1703" t="s">
        <v>37</v>
      </c>
      <c r="O1703">
        <v>4</v>
      </c>
      <c r="P1703" s="4">
        <v>1058</v>
      </c>
      <c r="Q1703" t="s">
        <v>42</v>
      </c>
      <c r="R1703">
        <v>0</v>
      </c>
      <c r="S1703" t="s">
        <v>38</v>
      </c>
      <c r="T1703">
        <v>0</v>
      </c>
      <c r="U1703">
        <v>0</v>
      </c>
      <c r="V1703" t="s">
        <v>32</v>
      </c>
      <c r="W1703" t="s">
        <v>39</v>
      </c>
      <c r="X1703" s="4">
        <v>6.4</v>
      </c>
      <c r="Y1703">
        <v>4</v>
      </c>
      <c r="Z1703" s="5">
        <v>151.59</v>
      </c>
    </row>
    <row r="1704" spans="1:26">
      <c r="A1704">
        <v>1703</v>
      </c>
      <c r="B1704">
        <v>554</v>
      </c>
      <c r="C1704" s="2">
        <v>46137</v>
      </c>
      <c r="D1704" t="s">
        <v>40</v>
      </c>
      <c r="E1704">
        <v>4</v>
      </c>
      <c r="F1704" s="3">
        <v>11.85</v>
      </c>
      <c r="G1704" t="s">
        <v>36</v>
      </c>
      <c r="H1704">
        <v>18</v>
      </c>
      <c r="I1704" t="s">
        <v>28</v>
      </c>
      <c r="J1704" s="4">
        <v>61.6</v>
      </c>
      <c r="K1704" s="4">
        <v>156.5</v>
      </c>
      <c r="L1704" s="4">
        <v>28.8</v>
      </c>
      <c r="M1704">
        <v>13</v>
      </c>
      <c r="N1704" t="s">
        <v>37</v>
      </c>
      <c r="O1704">
        <v>4</v>
      </c>
      <c r="P1704" s="4">
        <v>1058</v>
      </c>
      <c r="Q1704" t="s">
        <v>42</v>
      </c>
      <c r="R1704">
        <v>0</v>
      </c>
      <c r="S1704" t="s">
        <v>38</v>
      </c>
      <c r="T1704">
        <v>0</v>
      </c>
      <c r="U1704">
        <v>0</v>
      </c>
      <c r="V1704" t="s">
        <v>32</v>
      </c>
      <c r="W1704" t="s">
        <v>39</v>
      </c>
      <c r="X1704" s="4">
        <v>8.6</v>
      </c>
      <c r="Y1704">
        <v>6</v>
      </c>
      <c r="Z1704" s="5">
        <v>265.2</v>
      </c>
    </row>
    <row r="1705" spans="1:26">
      <c r="A1705">
        <v>1704</v>
      </c>
      <c r="B1705">
        <v>554</v>
      </c>
      <c r="C1705" s="2">
        <v>46137</v>
      </c>
      <c r="D1705" t="s">
        <v>40</v>
      </c>
      <c r="E1705">
        <v>4</v>
      </c>
      <c r="F1705" s="3">
        <v>12.06</v>
      </c>
      <c r="G1705" t="s">
        <v>36</v>
      </c>
      <c r="H1705">
        <v>48</v>
      </c>
      <c r="I1705" t="s">
        <v>28</v>
      </c>
      <c r="J1705" s="4">
        <v>69.900000000000006</v>
      </c>
      <c r="K1705" s="4">
        <v>174.1</v>
      </c>
      <c r="L1705" s="4">
        <v>25</v>
      </c>
      <c r="M1705">
        <v>17</v>
      </c>
      <c r="N1705" t="s">
        <v>37</v>
      </c>
      <c r="O1705">
        <v>4</v>
      </c>
      <c r="P1705" s="4">
        <v>1058</v>
      </c>
      <c r="Q1705" t="s">
        <v>42</v>
      </c>
      <c r="R1705">
        <v>0</v>
      </c>
      <c r="S1705" t="s">
        <v>38</v>
      </c>
      <c r="T1705">
        <v>0</v>
      </c>
      <c r="U1705">
        <v>0</v>
      </c>
      <c r="V1705" t="s">
        <v>32</v>
      </c>
      <c r="W1705" t="s">
        <v>39</v>
      </c>
      <c r="X1705" s="4">
        <v>6.2</v>
      </c>
      <c r="Y1705">
        <v>4</v>
      </c>
      <c r="Z1705" s="5">
        <v>169.4</v>
      </c>
    </row>
    <row r="1706" spans="1:26">
      <c r="A1706">
        <v>1705</v>
      </c>
      <c r="B1706">
        <v>554</v>
      </c>
      <c r="C1706" s="2">
        <v>46137</v>
      </c>
      <c r="D1706" t="s">
        <v>40</v>
      </c>
      <c r="E1706">
        <v>4</v>
      </c>
      <c r="F1706" s="3">
        <v>11.92</v>
      </c>
      <c r="G1706" t="s">
        <v>36</v>
      </c>
      <c r="H1706">
        <v>48</v>
      </c>
      <c r="I1706" t="s">
        <v>34</v>
      </c>
      <c r="J1706" s="4">
        <v>66</v>
      </c>
      <c r="K1706" s="4">
        <v>168.5</v>
      </c>
      <c r="L1706" s="4">
        <v>27.1</v>
      </c>
      <c r="M1706">
        <v>16</v>
      </c>
      <c r="N1706" t="s">
        <v>37</v>
      </c>
      <c r="O1706">
        <v>4</v>
      </c>
      <c r="P1706" s="4">
        <v>1058</v>
      </c>
      <c r="Q1706" t="s">
        <v>42</v>
      </c>
      <c r="R1706">
        <v>0</v>
      </c>
      <c r="S1706" t="s">
        <v>38</v>
      </c>
      <c r="T1706">
        <v>0</v>
      </c>
      <c r="U1706">
        <v>0</v>
      </c>
      <c r="V1706" t="s">
        <v>32</v>
      </c>
      <c r="W1706" t="s">
        <v>39</v>
      </c>
      <c r="X1706" s="4">
        <v>7.4</v>
      </c>
      <c r="Y1706">
        <v>6</v>
      </c>
      <c r="Z1706" s="5">
        <v>209.58</v>
      </c>
    </row>
    <row r="1707" spans="1:26">
      <c r="A1707">
        <v>1706</v>
      </c>
      <c r="B1707">
        <v>555</v>
      </c>
      <c r="C1707" s="2">
        <v>46368</v>
      </c>
      <c r="D1707" t="s">
        <v>40</v>
      </c>
      <c r="E1707">
        <v>12</v>
      </c>
      <c r="F1707" s="3">
        <v>8.9700000000000006</v>
      </c>
      <c r="G1707" t="s">
        <v>27</v>
      </c>
      <c r="H1707">
        <v>62</v>
      </c>
      <c r="I1707" t="s">
        <v>34</v>
      </c>
      <c r="J1707" s="4">
        <v>65.400000000000006</v>
      </c>
      <c r="K1707" s="4">
        <v>168</v>
      </c>
      <c r="L1707" s="4">
        <v>27.7</v>
      </c>
      <c r="M1707">
        <v>17</v>
      </c>
      <c r="N1707" t="s">
        <v>47</v>
      </c>
      <c r="O1707">
        <v>4</v>
      </c>
      <c r="P1707" s="4">
        <v>145.19999999999999</v>
      </c>
      <c r="Q1707" t="s">
        <v>42</v>
      </c>
      <c r="R1707">
        <v>0</v>
      </c>
      <c r="S1707" t="s">
        <v>44</v>
      </c>
      <c r="T1707">
        <v>0</v>
      </c>
      <c r="U1707">
        <v>0</v>
      </c>
      <c r="V1707" t="s">
        <v>45</v>
      </c>
      <c r="W1707" t="s">
        <v>39</v>
      </c>
      <c r="X1707" s="4">
        <v>6.1</v>
      </c>
      <c r="Y1707">
        <v>10</v>
      </c>
      <c r="Z1707" s="5">
        <v>174.44</v>
      </c>
    </row>
    <row r="1708" spans="1:26">
      <c r="A1708">
        <v>1707</v>
      </c>
      <c r="B1708">
        <v>555</v>
      </c>
      <c r="C1708" s="2">
        <v>46368</v>
      </c>
      <c r="D1708" t="s">
        <v>40</v>
      </c>
      <c r="E1708">
        <v>12</v>
      </c>
      <c r="F1708" s="3">
        <v>9.1300000000000008</v>
      </c>
      <c r="G1708" t="s">
        <v>27</v>
      </c>
      <c r="H1708">
        <v>82</v>
      </c>
      <c r="I1708" t="s">
        <v>34</v>
      </c>
      <c r="J1708" s="4">
        <v>60.9</v>
      </c>
      <c r="K1708" s="4">
        <v>134.1</v>
      </c>
      <c r="L1708" s="4">
        <v>25.3</v>
      </c>
      <c r="M1708">
        <v>19</v>
      </c>
      <c r="N1708" t="s">
        <v>47</v>
      </c>
      <c r="O1708">
        <v>4</v>
      </c>
      <c r="P1708" s="4">
        <v>145.19999999999999</v>
      </c>
      <c r="Q1708" t="s">
        <v>42</v>
      </c>
      <c r="R1708">
        <v>0</v>
      </c>
      <c r="S1708" t="s">
        <v>44</v>
      </c>
      <c r="T1708">
        <v>0</v>
      </c>
      <c r="U1708">
        <v>0</v>
      </c>
      <c r="V1708" t="s">
        <v>45</v>
      </c>
      <c r="W1708" t="s">
        <v>39</v>
      </c>
      <c r="X1708" s="4">
        <v>11.1</v>
      </c>
      <c r="Y1708">
        <v>11</v>
      </c>
      <c r="Z1708" s="5">
        <v>370.7</v>
      </c>
    </row>
    <row r="1709" spans="1:26">
      <c r="A1709">
        <v>1708</v>
      </c>
      <c r="B1709">
        <v>555</v>
      </c>
      <c r="C1709" s="2">
        <v>46368</v>
      </c>
      <c r="D1709" t="s">
        <v>40</v>
      </c>
      <c r="E1709">
        <v>12</v>
      </c>
      <c r="F1709" s="3">
        <v>9.56</v>
      </c>
      <c r="G1709" t="s">
        <v>27</v>
      </c>
      <c r="H1709">
        <v>35</v>
      </c>
      <c r="I1709" t="s">
        <v>28</v>
      </c>
      <c r="J1709" s="4">
        <v>72.900000000000006</v>
      </c>
      <c r="K1709" s="4">
        <v>206.4</v>
      </c>
      <c r="L1709" s="4">
        <v>27.4</v>
      </c>
      <c r="M1709">
        <v>14</v>
      </c>
      <c r="N1709" t="s">
        <v>47</v>
      </c>
      <c r="O1709">
        <v>4</v>
      </c>
      <c r="P1709" s="4">
        <v>145.19999999999999</v>
      </c>
      <c r="Q1709" t="s">
        <v>42</v>
      </c>
      <c r="R1709">
        <v>0</v>
      </c>
      <c r="S1709" t="s">
        <v>44</v>
      </c>
      <c r="T1709">
        <v>0</v>
      </c>
      <c r="U1709">
        <v>0</v>
      </c>
      <c r="V1709" t="s">
        <v>45</v>
      </c>
      <c r="W1709" t="s">
        <v>39</v>
      </c>
      <c r="X1709" s="4">
        <v>9.8000000000000007</v>
      </c>
      <c r="Y1709">
        <v>7</v>
      </c>
      <c r="Z1709" s="5">
        <v>210.99</v>
      </c>
    </row>
    <row r="1710" spans="1:26">
      <c r="A1710">
        <v>1709</v>
      </c>
      <c r="B1710">
        <v>555</v>
      </c>
      <c r="C1710" s="2">
        <v>46368</v>
      </c>
      <c r="D1710" t="s">
        <v>40</v>
      </c>
      <c r="E1710">
        <v>12</v>
      </c>
      <c r="F1710" s="3">
        <v>9.1300000000000008</v>
      </c>
      <c r="G1710" t="s">
        <v>27</v>
      </c>
      <c r="H1710">
        <v>46</v>
      </c>
      <c r="I1710" t="s">
        <v>34</v>
      </c>
      <c r="J1710" s="4">
        <v>64.2</v>
      </c>
      <c r="K1710" s="4">
        <v>151</v>
      </c>
      <c r="L1710" s="4">
        <v>25.7</v>
      </c>
      <c r="M1710">
        <v>13</v>
      </c>
      <c r="N1710" t="s">
        <v>47</v>
      </c>
      <c r="O1710">
        <v>4</v>
      </c>
      <c r="P1710" s="4">
        <v>145.19999999999999</v>
      </c>
      <c r="Q1710" t="s">
        <v>42</v>
      </c>
      <c r="R1710">
        <v>0</v>
      </c>
      <c r="S1710" t="s">
        <v>44</v>
      </c>
      <c r="T1710">
        <v>0</v>
      </c>
      <c r="U1710">
        <v>0</v>
      </c>
      <c r="V1710" t="s">
        <v>45</v>
      </c>
      <c r="W1710" t="s">
        <v>39</v>
      </c>
      <c r="X1710" s="4">
        <v>5.5</v>
      </c>
      <c r="Y1710">
        <v>8</v>
      </c>
      <c r="Z1710" s="5">
        <v>112.79</v>
      </c>
    </row>
    <row r="1711" spans="1:26">
      <c r="A1711">
        <v>1710</v>
      </c>
      <c r="B1711">
        <v>556</v>
      </c>
      <c r="C1711" s="2">
        <v>46373</v>
      </c>
      <c r="D1711" t="s">
        <v>55</v>
      </c>
      <c r="E1711">
        <v>12</v>
      </c>
      <c r="F1711" s="3">
        <v>11.58</v>
      </c>
      <c r="G1711" t="s">
        <v>36</v>
      </c>
      <c r="H1711">
        <v>38</v>
      </c>
      <c r="I1711" t="s">
        <v>28</v>
      </c>
      <c r="J1711" s="4">
        <v>71.099999999999994</v>
      </c>
      <c r="K1711" s="4">
        <v>210.5</v>
      </c>
      <c r="L1711" s="4">
        <v>29</v>
      </c>
      <c r="M1711">
        <v>18</v>
      </c>
      <c r="N1711" t="s">
        <v>59</v>
      </c>
      <c r="O1711">
        <v>3</v>
      </c>
      <c r="P1711" s="4">
        <v>745</v>
      </c>
      <c r="Q1711" t="s">
        <v>48</v>
      </c>
      <c r="R1711">
        <v>1</v>
      </c>
      <c r="S1711" t="s">
        <v>44</v>
      </c>
      <c r="T1711">
        <v>1</v>
      </c>
      <c r="U1711">
        <v>0</v>
      </c>
      <c r="V1711" t="s">
        <v>32</v>
      </c>
      <c r="W1711" t="s">
        <v>39</v>
      </c>
      <c r="X1711" s="4">
        <v>6.6</v>
      </c>
      <c r="Y1711">
        <v>9</v>
      </c>
      <c r="Z1711" s="5">
        <v>179.43</v>
      </c>
    </row>
    <row r="1712" spans="1:26">
      <c r="A1712">
        <v>1711</v>
      </c>
      <c r="B1712">
        <v>556</v>
      </c>
      <c r="C1712" s="2">
        <v>46373</v>
      </c>
      <c r="D1712" t="s">
        <v>55</v>
      </c>
      <c r="E1712">
        <v>12</v>
      </c>
      <c r="F1712" s="3">
        <v>11.65</v>
      </c>
      <c r="G1712" t="s">
        <v>36</v>
      </c>
      <c r="H1712">
        <v>67</v>
      </c>
      <c r="I1712" t="s">
        <v>34</v>
      </c>
      <c r="J1712" s="4">
        <v>63.8</v>
      </c>
      <c r="K1712" s="4">
        <v>109.2</v>
      </c>
      <c r="L1712" s="4">
        <v>18.899999999999999</v>
      </c>
      <c r="M1712">
        <v>17</v>
      </c>
      <c r="N1712" t="s">
        <v>59</v>
      </c>
      <c r="O1712">
        <v>3</v>
      </c>
      <c r="P1712" s="4">
        <v>745</v>
      </c>
      <c r="Q1712" t="s">
        <v>48</v>
      </c>
      <c r="R1712">
        <v>1</v>
      </c>
      <c r="S1712" t="s">
        <v>44</v>
      </c>
      <c r="T1712">
        <v>1</v>
      </c>
      <c r="U1712">
        <v>0</v>
      </c>
      <c r="V1712" t="s">
        <v>32</v>
      </c>
      <c r="W1712" t="s">
        <v>39</v>
      </c>
      <c r="X1712" s="4">
        <v>8.6999999999999993</v>
      </c>
      <c r="Y1712">
        <v>9</v>
      </c>
      <c r="Z1712" s="5">
        <v>222.24</v>
      </c>
    </row>
    <row r="1713" spans="1:26">
      <c r="A1713">
        <v>1712</v>
      </c>
      <c r="B1713">
        <v>556</v>
      </c>
      <c r="C1713" s="2">
        <v>46373</v>
      </c>
      <c r="D1713" t="s">
        <v>55</v>
      </c>
      <c r="E1713">
        <v>12</v>
      </c>
      <c r="F1713" s="3">
        <v>11.44</v>
      </c>
      <c r="G1713" t="s">
        <v>36</v>
      </c>
      <c r="H1713">
        <v>59</v>
      </c>
      <c r="I1713" t="s">
        <v>28</v>
      </c>
      <c r="J1713" s="4">
        <v>76.7</v>
      </c>
      <c r="K1713" s="4">
        <v>251.5</v>
      </c>
      <c r="L1713" s="4">
        <v>30.2</v>
      </c>
      <c r="M1713">
        <v>17</v>
      </c>
      <c r="N1713" t="s">
        <v>59</v>
      </c>
      <c r="O1713">
        <v>3</v>
      </c>
      <c r="P1713" s="4">
        <v>745</v>
      </c>
      <c r="Q1713" t="s">
        <v>48</v>
      </c>
      <c r="R1713">
        <v>1</v>
      </c>
      <c r="S1713" t="s">
        <v>44</v>
      </c>
      <c r="T1713">
        <v>1</v>
      </c>
      <c r="U1713">
        <v>0</v>
      </c>
      <c r="V1713" t="s">
        <v>32</v>
      </c>
      <c r="W1713" t="s">
        <v>39</v>
      </c>
      <c r="X1713" s="4">
        <v>3.9</v>
      </c>
      <c r="Y1713">
        <v>7</v>
      </c>
      <c r="Z1713" s="5">
        <v>295.94</v>
      </c>
    </row>
    <row r="1714" spans="1:26">
      <c r="A1714">
        <v>1713</v>
      </c>
      <c r="B1714">
        <v>557</v>
      </c>
      <c r="C1714" s="2">
        <v>46354</v>
      </c>
      <c r="D1714" t="s">
        <v>40</v>
      </c>
      <c r="E1714">
        <v>11</v>
      </c>
      <c r="F1714" s="3">
        <v>10.76</v>
      </c>
      <c r="G1714" t="s">
        <v>27</v>
      </c>
      <c r="H1714">
        <v>43</v>
      </c>
      <c r="I1714" t="s">
        <v>34</v>
      </c>
      <c r="J1714" s="4">
        <v>63.8</v>
      </c>
      <c r="K1714" s="4">
        <v>145.30000000000001</v>
      </c>
      <c r="L1714" s="4">
        <v>25.1</v>
      </c>
      <c r="M1714">
        <v>17</v>
      </c>
      <c r="N1714" t="s">
        <v>37</v>
      </c>
      <c r="O1714">
        <v>3</v>
      </c>
      <c r="P1714" s="4">
        <v>1327.5</v>
      </c>
      <c r="Q1714" t="s">
        <v>42</v>
      </c>
      <c r="R1714">
        <v>0</v>
      </c>
      <c r="S1714" t="s">
        <v>44</v>
      </c>
      <c r="T1714">
        <v>0</v>
      </c>
      <c r="U1714">
        <v>1</v>
      </c>
      <c r="V1714" t="s">
        <v>32</v>
      </c>
      <c r="W1714" t="s">
        <v>33</v>
      </c>
      <c r="X1714" s="4">
        <v>10.199999999999999</v>
      </c>
      <c r="Y1714">
        <v>14</v>
      </c>
      <c r="Z1714" s="5">
        <v>274.64999999999998</v>
      </c>
    </row>
    <row r="1715" spans="1:26">
      <c r="A1715">
        <v>1714</v>
      </c>
      <c r="B1715">
        <v>557</v>
      </c>
      <c r="C1715" s="2">
        <v>46354</v>
      </c>
      <c r="D1715" t="s">
        <v>40</v>
      </c>
      <c r="E1715">
        <v>11</v>
      </c>
      <c r="F1715" s="3">
        <v>10.74</v>
      </c>
      <c r="G1715" t="s">
        <v>27</v>
      </c>
      <c r="H1715">
        <v>9</v>
      </c>
      <c r="I1715" t="s">
        <v>28</v>
      </c>
      <c r="J1715" s="4">
        <v>62</v>
      </c>
      <c r="K1715" s="4">
        <v>112</v>
      </c>
      <c r="L1715" s="4">
        <v>20.399999999999999</v>
      </c>
      <c r="M1715">
        <v>11</v>
      </c>
      <c r="N1715" t="s">
        <v>37</v>
      </c>
      <c r="O1715">
        <v>3</v>
      </c>
      <c r="P1715" s="4">
        <v>1327.5</v>
      </c>
      <c r="Q1715" t="s">
        <v>42</v>
      </c>
      <c r="R1715">
        <v>0</v>
      </c>
      <c r="S1715" t="s">
        <v>44</v>
      </c>
      <c r="T1715">
        <v>0</v>
      </c>
      <c r="U1715">
        <v>1</v>
      </c>
      <c r="V1715" t="s">
        <v>32</v>
      </c>
      <c r="W1715" t="s">
        <v>33</v>
      </c>
      <c r="X1715" s="4">
        <v>11.7</v>
      </c>
      <c r="Y1715">
        <v>10</v>
      </c>
      <c r="Z1715" s="5">
        <v>504.56</v>
      </c>
    </row>
    <row r="1716" spans="1:26">
      <c r="A1716">
        <v>1715</v>
      </c>
      <c r="B1716">
        <v>557</v>
      </c>
      <c r="C1716" s="2">
        <v>46354</v>
      </c>
      <c r="D1716" t="s">
        <v>40</v>
      </c>
      <c r="E1716">
        <v>11</v>
      </c>
      <c r="F1716" s="3">
        <v>10.66</v>
      </c>
      <c r="G1716" t="s">
        <v>27</v>
      </c>
      <c r="H1716">
        <v>18</v>
      </c>
      <c r="I1716" t="s">
        <v>28</v>
      </c>
      <c r="J1716" s="4">
        <v>66</v>
      </c>
      <c r="K1716" s="4">
        <v>225.3</v>
      </c>
      <c r="L1716" s="4">
        <v>36.299999999999997</v>
      </c>
      <c r="M1716">
        <v>14</v>
      </c>
      <c r="N1716" t="s">
        <v>37</v>
      </c>
      <c r="O1716">
        <v>3</v>
      </c>
      <c r="P1716" s="4">
        <v>1327.5</v>
      </c>
      <c r="Q1716" t="s">
        <v>42</v>
      </c>
      <c r="R1716">
        <v>0</v>
      </c>
      <c r="S1716" t="s">
        <v>44</v>
      </c>
      <c r="T1716">
        <v>0</v>
      </c>
      <c r="U1716">
        <v>1</v>
      </c>
      <c r="V1716" t="s">
        <v>32</v>
      </c>
      <c r="W1716" t="s">
        <v>33</v>
      </c>
      <c r="X1716" s="4">
        <v>7.2</v>
      </c>
      <c r="Y1716">
        <v>11</v>
      </c>
      <c r="Z1716" s="5">
        <v>235</v>
      </c>
    </row>
    <row r="1717" spans="1:26">
      <c r="A1717">
        <v>1716</v>
      </c>
      <c r="B1717">
        <v>558</v>
      </c>
      <c r="C1717" s="2">
        <v>46072</v>
      </c>
      <c r="D1717" t="s">
        <v>55</v>
      </c>
      <c r="E1717">
        <v>2</v>
      </c>
      <c r="F1717" s="3">
        <v>9.9600000000000009</v>
      </c>
      <c r="G1717" t="s">
        <v>27</v>
      </c>
      <c r="H1717">
        <v>53</v>
      </c>
      <c r="I1717" t="s">
        <v>28</v>
      </c>
      <c r="J1717" s="4">
        <v>66.7</v>
      </c>
      <c r="K1717" s="4">
        <v>150.1</v>
      </c>
      <c r="L1717" s="4">
        <v>23.7</v>
      </c>
      <c r="M1717">
        <v>14</v>
      </c>
      <c r="N1717" t="s">
        <v>47</v>
      </c>
      <c r="O1717">
        <v>3</v>
      </c>
      <c r="P1717" s="4">
        <v>59</v>
      </c>
      <c r="Q1717" t="s">
        <v>42</v>
      </c>
      <c r="R1717">
        <v>1</v>
      </c>
      <c r="S1717" t="s">
        <v>44</v>
      </c>
      <c r="T1717">
        <v>1</v>
      </c>
      <c r="U1717">
        <v>0</v>
      </c>
      <c r="V1717" t="s">
        <v>32</v>
      </c>
      <c r="W1717" t="s">
        <v>39</v>
      </c>
      <c r="X1717" s="4">
        <v>11.2</v>
      </c>
      <c r="Y1717">
        <v>6</v>
      </c>
      <c r="Z1717" s="5">
        <v>245.48</v>
      </c>
    </row>
    <row r="1718" spans="1:26">
      <c r="A1718">
        <v>1717</v>
      </c>
      <c r="B1718">
        <v>558</v>
      </c>
      <c r="C1718" s="2">
        <v>46072</v>
      </c>
      <c r="D1718" t="s">
        <v>55</v>
      </c>
      <c r="E1718">
        <v>2</v>
      </c>
      <c r="F1718" s="3">
        <v>9.91</v>
      </c>
      <c r="G1718" t="s">
        <v>27</v>
      </c>
      <c r="H1718">
        <v>38</v>
      </c>
      <c r="I1718" t="s">
        <v>34</v>
      </c>
      <c r="J1718" s="4">
        <v>56.3</v>
      </c>
      <c r="K1718" s="4">
        <v>137.30000000000001</v>
      </c>
      <c r="L1718" s="4">
        <v>30.1</v>
      </c>
      <c r="M1718">
        <v>13</v>
      </c>
      <c r="N1718" t="s">
        <v>47</v>
      </c>
      <c r="O1718">
        <v>3</v>
      </c>
      <c r="P1718" s="4">
        <v>59</v>
      </c>
      <c r="Q1718" t="s">
        <v>42</v>
      </c>
      <c r="R1718">
        <v>1</v>
      </c>
      <c r="S1718" t="s">
        <v>44</v>
      </c>
      <c r="T1718">
        <v>1</v>
      </c>
      <c r="U1718">
        <v>0</v>
      </c>
      <c r="V1718" t="s">
        <v>32</v>
      </c>
      <c r="W1718" t="s">
        <v>39</v>
      </c>
      <c r="X1718" s="4">
        <v>7.4</v>
      </c>
      <c r="Y1718">
        <v>9</v>
      </c>
      <c r="Z1718" s="5">
        <v>249.15</v>
      </c>
    </row>
    <row r="1719" spans="1:26">
      <c r="A1719">
        <v>1718</v>
      </c>
      <c r="B1719">
        <v>558</v>
      </c>
      <c r="C1719" s="2">
        <v>46072</v>
      </c>
      <c r="D1719" t="s">
        <v>55</v>
      </c>
      <c r="E1719">
        <v>2</v>
      </c>
      <c r="F1719" s="3">
        <v>9.83</v>
      </c>
      <c r="G1719" t="s">
        <v>27</v>
      </c>
      <c r="H1719">
        <v>56</v>
      </c>
      <c r="I1719" t="s">
        <v>34</v>
      </c>
      <c r="J1719" s="4">
        <v>67.599999999999994</v>
      </c>
      <c r="K1719" s="4">
        <v>196</v>
      </c>
      <c r="L1719" s="4">
        <v>30.3</v>
      </c>
      <c r="M1719">
        <v>15</v>
      </c>
      <c r="N1719" t="s">
        <v>47</v>
      </c>
      <c r="O1719">
        <v>3</v>
      </c>
      <c r="P1719" s="4">
        <v>59</v>
      </c>
      <c r="Q1719" t="s">
        <v>42</v>
      </c>
      <c r="R1719">
        <v>1</v>
      </c>
      <c r="S1719" t="s">
        <v>44</v>
      </c>
      <c r="T1719">
        <v>1</v>
      </c>
      <c r="U1719">
        <v>0</v>
      </c>
      <c r="V1719" t="s">
        <v>32</v>
      </c>
      <c r="W1719" t="s">
        <v>39</v>
      </c>
      <c r="X1719" s="4">
        <v>8.4</v>
      </c>
      <c r="Y1719">
        <v>6</v>
      </c>
      <c r="Z1719" s="5">
        <v>128.26</v>
      </c>
    </row>
    <row r="1720" spans="1:26">
      <c r="A1720">
        <v>1719</v>
      </c>
      <c r="B1720">
        <v>559</v>
      </c>
      <c r="C1720" s="2">
        <v>46054</v>
      </c>
      <c r="D1720" t="s">
        <v>58</v>
      </c>
      <c r="E1720">
        <v>2</v>
      </c>
      <c r="F1720" s="3">
        <v>8.33</v>
      </c>
      <c r="G1720" t="s">
        <v>27</v>
      </c>
      <c r="H1720">
        <v>72</v>
      </c>
      <c r="I1720" t="s">
        <v>34</v>
      </c>
      <c r="J1720" s="4">
        <v>65.099999999999994</v>
      </c>
      <c r="K1720" s="4">
        <v>158.69999999999999</v>
      </c>
      <c r="L1720" s="4">
        <v>26.5</v>
      </c>
      <c r="M1720">
        <v>14</v>
      </c>
      <c r="N1720" t="s">
        <v>47</v>
      </c>
      <c r="O1720">
        <v>1</v>
      </c>
      <c r="P1720" s="4">
        <v>66.5</v>
      </c>
      <c r="Q1720" t="s">
        <v>30</v>
      </c>
      <c r="R1720">
        <v>1</v>
      </c>
      <c r="S1720" t="s">
        <v>38</v>
      </c>
      <c r="T1720">
        <v>1</v>
      </c>
      <c r="U1720">
        <v>0</v>
      </c>
      <c r="V1720" t="s">
        <v>32</v>
      </c>
      <c r="W1720" t="s">
        <v>49</v>
      </c>
      <c r="X1720" s="4">
        <v>9.1</v>
      </c>
      <c r="Y1720">
        <v>7</v>
      </c>
      <c r="Z1720" s="5">
        <v>220.47</v>
      </c>
    </row>
    <row r="1721" spans="1:26">
      <c r="A1721">
        <v>1720</v>
      </c>
      <c r="B1721">
        <v>560</v>
      </c>
      <c r="C1721" s="2">
        <v>46125</v>
      </c>
      <c r="D1721" t="s">
        <v>46</v>
      </c>
      <c r="E1721">
        <v>4</v>
      </c>
      <c r="F1721" s="3">
        <v>9.06</v>
      </c>
      <c r="G1721" t="s">
        <v>27</v>
      </c>
      <c r="H1721">
        <v>50</v>
      </c>
      <c r="I1721" t="s">
        <v>34</v>
      </c>
      <c r="J1721" s="4">
        <v>65.900000000000006</v>
      </c>
      <c r="K1721" s="4">
        <v>146.4</v>
      </c>
      <c r="L1721" s="4">
        <v>23.8</v>
      </c>
      <c r="M1721">
        <v>13</v>
      </c>
      <c r="N1721" t="s">
        <v>47</v>
      </c>
      <c r="O1721">
        <v>3</v>
      </c>
      <c r="P1721" s="4">
        <v>148.5</v>
      </c>
      <c r="Q1721" t="s">
        <v>42</v>
      </c>
      <c r="R1721">
        <v>0</v>
      </c>
      <c r="S1721" t="s">
        <v>44</v>
      </c>
      <c r="T1721">
        <v>0</v>
      </c>
      <c r="U1721">
        <v>1</v>
      </c>
      <c r="V1721" t="s">
        <v>32</v>
      </c>
      <c r="W1721" t="s">
        <v>43</v>
      </c>
      <c r="X1721" s="4">
        <v>11.5</v>
      </c>
      <c r="Y1721">
        <v>13</v>
      </c>
      <c r="Z1721" s="5">
        <v>142.69</v>
      </c>
    </row>
    <row r="1722" spans="1:26">
      <c r="A1722">
        <v>1721</v>
      </c>
      <c r="B1722">
        <v>560</v>
      </c>
      <c r="C1722" s="2">
        <v>46125</v>
      </c>
      <c r="D1722" t="s">
        <v>46</v>
      </c>
      <c r="E1722">
        <v>4</v>
      </c>
      <c r="F1722" s="3">
        <v>8.9700000000000006</v>
      </c>
      <c r="G1722" t="s">
        <v>27</v>
      </c>
      <c r="H1722">
        <v>31</v>
      </c>
      <c r="I1722" t="s">
        <v>34</v>
      </c>
      <c r="J1722" s="4">
        <v>68.3</v>
      </c>
      <c r="K1722" s="4">
        <v>102.7</v>
      </c>
      <c r="L1722" s="4">
        <v>15.2</v>
      </c>
      <c r="M1722">
        <v>14</v>
      </c>
      <c r="N1722" t="s">
        <v>47</v>
      </c>
      <c r="O1722">
        <v>3</v>
      </c>
      <c r="P1722" s="4">
        <v>148.5</v>
      </c>
      <c r="Q1722" t="s">
        <v>42</v>
      </c>
      <c r="R1722">
        <v>0</v>
      </c>
      <c r="S1722" t="s">
        <v>44</v>
      </c>
      <c r="T1722">
        <v>0</v>
      </c>
      <c r="U1722">
        <v>1</v>
      </c>
      <c r="V1722" t="s">
        <v>32</v>
      </c>
      <c r="W1722" t="s">
        <v>43</v>
      </c>
      <c r="X1722" s="4">
        <v>9.4</v>
      </c>
      <c r="Y1722">
        <v>6</v>
      </c>
      <c r="Z1722" s="5">
        <v>327.24</v>
      </c>
    </row>
    <row r="1723" spans="1:26">
      <c r="A1723">
        <v>1722</v>
      </c>
      <c r="B1723">
        <v>560</v>
      </c>
      <c r="C1723" s="2">
        <v>46125</v>
      </c>
      <c r="D1723" t="s">
        <v>46</v>
      </c>
      <c r="E1723">
        <v>4</v>
      </c>
      <c r="F1723" s="3">
        <v>9.1999999999999993</v>
      </c>
      <c r="G1723" t="s">
        <v>27</v>
      </c>
      <c r="H1723">
        <v>5</v>
      </c>
      <c r="I1723" t="s">
        <v>28</v>
      </c>
      <c r="J1723" s="4">
        <v>51.1</v>
      </c>
      <c r="K1723" s="4">
        <v>74.7</v>
      </c>
      <c r="L1723" s="4">
        <v>20.100000000000001</v>
      </c>
      <c r="M1723">
        <v>14</v>
      </c>
      <c r="N1723" t="s">
        <v>47</v>
      </c>
      <c r="O1723">
        <v>3</v>
      </c>
      <c r="P1723" s="4">
        <v>148.5</v>
      </c>
      <c r="Q1723" t="s">
        <v>42</v>
      </c>
      <c r="R1723">
        <v>0</v>
      </c>
      <c r="S1723" t="s">
        <v>44</v>
      </c>
      <c r="T1723">
        <v>0</v>
      </c>
      <c r="U1723">
        <v>1</v>
      </c>
      <c r="V1723" t="s">
        <v>32</v>
      </c>
      <c r="W1723" t="s">
        <v>43</v>
      </c>
      <c r="X1723" s="4">
        <v>9.4</v>
      </c>
      <c r="Y1723">
        <v>11</v>
      </c>
      <c r="Z1723" s="5">
        <v>199.15</v>
      </c>
    </row>
    <row r="1724" spans="1:26">
      <c r="A1724">
        <v>1723</v>
      </c>
      <c r="B1724">
        <v>561</v>
      </c>
      <c r="C1724" s="2">
        <v>46132</v>
      </c>
      <c r="D1724" t="s">
        <v>46</v>
      </c>
      <c r="E1724">
        <v>4</v>
      </c>
      <c r="F1724" s="3">
        <v>7.15</v>
      </c>
      <c r="G1724" t="s">
        <v>27</v>
      </c>
      <c r="H1724">
        <v>7</v>
      </c>
      <c r="I1724" t="s">
        <v>34</v>
      </c>
      <c r="J1724" s="4">
        <v>51.7</v>
      </c>
      <c r="K1724" s="4">
        <v>82.9</v>
      </c>
      <c r="L1724" s="4">
        <v>21.9</v>
      </c>
      <c r="M1724">
        <v>12</v>
      </c>
      <c r="N1724" t="s">
        <v>54</v>
      </c>
      <c r="O1724">
        <v>4</v>
      </c>
      <c r="P1724" s="4">
        <v>2133.6</v>
      </c>
      <c r="Q1724" t="s">
        <v>42</v>
      </c>
      <c r="R1724">
        <v>0</v>
      </c>
      <c r="S1724" t="s">
        <v>31</v>
      </c>
      <c r="T1724">
        <v>1</v>
      </c>
      <c r="U1724">
        <v>0</v>
      </c>
      <c r="V1724" t="s">
        <v>32</v>
      </c>
      <c r="W1724" t="s">
        <v>43</v>
      </c>
      <c r="X1724" s="4">
        <v>10.199999999999999</v>
      </c>
      <c r="Y1724">
        <v>7</v>
      </c>
      <c r="Z1724" s="5">
        <v>264.64999999999998</v>
      </c>
    </row>
    <row r="1725" spans="1:26">
      <c r="A1725">
        <v>1724</v>
      </c>
      <c r="B1725">
        <v>561</v>
      </c>
      <c r="C1725" s="2">
        <v>46132</v>
      </c>
      <c r="D1725" t="s">
        <v>46</v>
      </c>
      <c r="E1725">
        <v>4</v>
      </c>
      <c r="F1725" s="3">
        <v>7.02</v>
      </c>
      <c r="G1725" t="s">
        <v>27</v>
      </c>
      <c r="H1725">
        <v>64</v>
      </c>
      <c r="I1725" t="s">
        <v>34</v>
      </c>
      <c r="J1725" s="4">
        <v>62.7</v>
      </c>
      <c r="K1725" s="4">
        <v>134.19999999999999</v>
      </c>
      <c r="L1725" s="4">
        <v>24</v>
      </c>
      <c r="M1725">
        <v>14</v>
      </c>
      <c r="N1725" t="s">
        <v>54</v>
      </c>
      <c r="O1725">
        <v>4</v>
      </c>
      <c r="P1725" s="4">
        <v>2133.6</v>
      </c>
      <c r="Q1725" t="s">
        <v>42</v>
      </c>
      <c r="R1725">
        <v>0</v>
      </c>
      <c r="S1725" t="s">
        <v>31</v>
      </c>
      <c r="T1725">
        <v>1</v>
      </c>
      <c r="U1725">
        <v>0</v>
      </c>
      <c r="V1725" t="s">
        <v>32</v>
      </c>
      <c r="W1725" t="s">
        <v>43</v>
      </c>
      <c r="X1725" s="4">
        <v>7.7</v>
      </c>
      <c r="Y1725">
        <v>11</v>
      </c>
      <c r="Z1725" s="5">
        <v>201.12</v>
      </c>
    </row>
    <row r="1726" spans="1:26">
      <c r="A1726">
        <v>1725</v>
      </c>
      <c r="B1726">
        <v>561</v>
      </c>
      <c r="C1726" s="2">
        <v>46132</v>
      </c>
      <c r="D1726" t="s">
        <v>46</v>
      </c>
      <c r="E1726">
        <v>4</v>
      </c>
      <c r="F1726" s="3">
        <v>7</v>
      </c>
      <c r="G1726" t="s">
        <v>27</v>
      </c>
      <c r="H1726">
        <v>59</v>
      </c>
      <c r="I1726" t="s">
        <v>28</v>
      </c>
      <c r="J1726" s="4">
        <v>69</v>
      </c>
      <c r="K1726" s="4">
        <v>235.1</v>
      </c>
      <c r="L1726" s="4">
        <v>34.5</v>
      </c>
      <c r="M1726">
        <v>16</v>
      </c>
      <c r="N1726" t="s">
        <v>54</v>
      </c>
      <c r="O1726">
        <v>4</v>
      </c>
      <c r="P1726" s="4">
        <v>2133.6</v>
      </c>
      <c r="Q1726" t="s">
        <v>42</v>
      </c>
      <c r="R1726">
        <v>0</v>
      </c>
      <c r="S1726" t="s">
        <v>31</v>
      </c>
      <c r="T1726">
        <v>1</v>
      </c>
      <c r="U1726">
        <v>0</v>
      </c>
      <c r="V1726" t="s">
        <v>32</v>
      </c>
      <c r="W1726" t="s">
        <v>43</v>
      </c>
      <c r="X1726" s="4">
        <v>10.5</v>
      </c>
      <c r="Y1726">
        <v>13</v>
      </c>
      <c r="Z1726" s="5">
        <v>457.35</v>
      </c>
    </row>
    <row r="1727" spans="1:26">
      <c r="A1727">
        <v>1726</v>
      </c>
      <c r="B1727">
        <v>561</v>
      </c>
      <c r="C1727" s="2">
        <v>46132</v>
      </c>
      <c r="D1727" t="s">
        <v>46</v>
      </c>
      <c r="E1727">
        <v>4</v>
      </c>
      <c r="F1727" s="3">
        <v>7.04</v>
      </c>
      <c r="G1727" t="s">
        <v>27</v>
      </c>
      <c r="H1727">
        <v>28</v>
      </c>
      <c r="I1727" t="s">
        <v>28</v>
      </c>
      <c r="J1727" s="4">
        <v>74.3</v>
      </c>
      <c r="K1727" s="4">
        <v>246.2</v>
      </c>
      <c r="L1727" s="4">
        <v>31.3</v>
      </c>
      <c r="M1727">
        <v>13</v>
      </c>
      <c r="N1727" t="s">
        <v>54</v>
      </c>
      <c r="O1727">
        <v>4</v>
      </c>
      <c r="P1727" s="4">
        <v>2133.6</v>
      </c>
      <c r="Q1727" t="s">
        <v>42</v>
      </c>
      <c r="R1727">
        <v>0</v>
      </c>
      <c r="S1727" t="s">
        <v>31</v>
      </c>
      <c r="T1727">
        <v>1</v>
      </c>
      <c r="U1727">
        <v>0</v>
      </c>
      <c r="V1727" t="s">
        <v>32</v>
      </c>
      <c r="W1727" t="s">
        <v>43</v>
      </c>
      <c r="X1727" s="4">
        <v>8.6</v>
      </c>
      <c r="Y1727">
        <v>15</v>
      </c>
      <c r="Z1727" s="5">
        <v>302.81</v>
      </c>
    </row>
    <row r="1728" spans="1:26">
      <c r="A1728">
        <v>1727</v>
      </c>
      <c r="B1728">
        <v>562</v>
      </c>
      <c r="C1728" s="2">
        <v>46206</v>
      </c>
      <c r="D1728" t="s">
        <v>26</v>
      </c>
      <c r="E1728">
        <v>7</v>
      </c>
      <c r="F1728" s="3">
        <v>12.79</v>
      </c>
      <c r="G1728" t="s">
        <v>36</v>
      </c>
      <c r="H1728">
        <v>17</v>
      </c>
      <c r="I1728" t="s">
        <v>34</v>
      </c>
      <c r="J1728" s="4">
        <v>70</v>
      </c>
      <c r="K1728" s="4">
        <v>134.6</v>
      </c>
      <c r="L1728" s="4">
        <v>19.399999999999999</v>
      </c>
      <c r="M1728">
        <v>15</v>
      </c>
      <c r="N1728" t="s">
        <v>53</v>
      </c>
      <c r="O1728">
        <v>1</v>
      </c>
      <c r="P1728" s="4">
        <v>1087.9000000000001</v>
      </c>
      <c r="Q1728" t="s">
        <v>48</v>
      </c>
      <c r="R1728">
        <v>1</v>
      </c>
      <c r="S1728" t="s">
        <v>31</v>
      </c>
      <c r="T1728">
        <v>0</v>
      </c>
      <c r="U1728">
        <v>0</v>
      </c>
      <c r="V1728" t="s">
        <v>32</v>
      </c>
      <c r="W1728" t="s">
        <v>49</v>
      </c>
      <c r="X1728" s="4">
        <v>7.5</v>
      </c>
      <c r="Y1728">
        <v>12</v>
      </c>
      <c r="Z1728" s="5">
        <v>225.53</v>
      </c>
    </row>
    <row r="1729" spans="1:26">
      <c r="A1729">
        <v>1728</v>
      </c>
      <c r="B1729">
        <v>563</v>
      </c>
      <c r="C1729" s="2">
        <v>46037</v>
      </c>
      <c r="D1729" t="s">
        <v>55</v>
      </c>
      <c r="E1729">
        <v>1</v>
      </c>
      <c r="F1729" s="3">
        <v>13.31</v>
      </c>
      <c r="G1729" t="s">
        <v>36</v>
      </c>
      <c r="H1729">
        <v>3</v>
      </c>
      <c r="I1729" t="s">
        <v>34</v>
      </c>
      <c r="J1729" s="4">
        <v>55.5</v>
      </c>
      <c r="K1729" s="4">
        <v>88</v>
      </c>
      <c r="L1729" s="4">
        <v>19.7</v>
      </c>
      <c r="M1729">
        <v>15</v>
      </c>
      <c r="N1729" t="s">
        <v>47</v>
      </c>
      <c r="O1729">
        <v>3</v>
      </c>
      <c r="P1729" s="4">
        <v>72.8</v>
      </c>
      <c r="Q1729" t="s">
        <v>48</v>
      </c>
      <c r="R1729">
        <v>0</v>
      </c>
      <c r="S1729" t="s">
        <v>31</v>
      </c>
      <c r="T1729">
        <v>0</v>
      </c>
      <c r="U1729">
        <v>0</v>
      </c>
      <c r="V1729" t="s">
        <v>32</v>
      </c>
      <c r="W1729" t="s">
        <v>39</v>
      </c>
      <c r="X1729" s="4">
        <v>6</v>
      </c>
      <c r="Y1729">
        <v>10</v>
      </c>
      <c r="Z1729" s="5">
        <v>243.39</v>
      </c>
    </row>
    <row r="1730" spans="1:26">
      <c r="A1730">
        <v>1729</v>
      </c>
      <c r="B1730">
        <v>563</v>
      </c>
      <c r="C1730" s="2">
        <v>46037</v>
      </c>
      <c r="D1730" t="s">
        <v>55</v>
      </c>
      <c r="E1730">
        <v>1</v>
      </c>
      <c r="F1730" s="3">
        <v>13.38</v>
      </c>
      <c r="G1730" t="s">
        <v>36</v>
      </c>
      <c r="H1730">
        <v>53</v>
      </c>
      <c r="I1730" t="s">
        <v>34</v>
      </c>
      <c r="J1730" s="4">
        <v>58.8</v>
      </c>
      <c r="K1730" s="4">
        <v>134.1</v>
      </c>
      <c r="L1730" s="4">
        <v>27.3</v>
      </c>
      <c r="M1730">
        <v>17</v>
      </c>
      <c r="N1730" t="s">
        <v>47</v>
      </c>
      <c r="O1730">
        <v>3</v>
      </c>
      <c r="P1730" s="4">
        <v>72.8</v>
      </c>
      <c r="Q1730" t="s">
        <v>48</v>
      </c>
      <c r="R1730">
        <v>0</v>
      </c>
      <c r="S1730" t="s">
        <v>31</v>
      </c>
      <c r="T1730">
        <v>0</v>
      </c>
      <c r="U1730">
        <v>0</v>
      </c>
      <c r="V1730" t="s">
        <v>32</v>
      </c>
      <c r="W1730" t="s">
        <v>39</v>
      </c>
      <c r="X1730" s="4">
        <v>8</v>
      </c>
      <c r="Y1730">
        <v>5</v>
      </c>
      <c r="Z1730" s="5">
        <v>291.31</v>
      </c>
    </row>
    <row r="1731" spans="1:26">
      <c r="A1731">
        <v>1730</v>
      </c>
      <c r="B1731">
        <v>563</v>
      </c>
      <c r="C1731" s="2">
        <v>46037</v>
      </c>
      <c r="D1731" t="s">
        <v>55</v>
      </c>
      <c r="E1731">
        <v>1</v>
      </c>
      <c r="F1731" s="3">
        <v>13.43</v>
      </c>
      <c r="G1731" t="s">
        <v>36</v>
      </c>
      <c r="H1731">
        <v>69</v>
      </c>
      <c r="I1731" t="s">
        <v>34</v>
      </c>
      <c r="J1731" s="4">
        <v>63</v>
      </c>
      <c r="K1731" s="4">
        <v>161.5</v>
      </c>
      <c r="L1731" s="4">
        <v>28.6</v>
      </c>
      <c r="M1731">
        <v>22</v>
      </c>
      <c r="N1731" t="s">
        <v>47</v>
      </c>
      <c r="O1731">
        <v>3</v>
      </c>
      <c r="P1731" s="4">
        <v>72.8</v>
      </c>
      <c r="Q1731" t="s">
        <v>48</v>
      </c>
      <c r="R1731">
        <v>0</v>
      </c>
      <c r="S1731" t="s">
        <v>31</v>
      </c>
      <c r="T1731">
        <v>0</v>
      </c>
      <c r="U1731">
        <v>0</v>
      </c>
      <c r="V1731" t="s">
        <v>32</v>
      </c>
      <c r="W1731" t="s">
        <v>39</v>
      </c>
      <c r="X1731" s="4">
        <v>7</v>
      </c>
      <c r="Y1731">
        <v>8</v>
      </c>
      <c r="Z1731" s="5">
        <v>217.15</v>
      </c>
    </row>
    <row r="1732" spans="1:26">
      <c r="A1732">
        <v>1731</v>
      </c>
      <c r="B1732">
        <v>564</v>
      </c>
      <c r="C1732" s="2">
        <v>46033</v>
      </c>
      <c r="D1732" t="s">
        <v>58</v>
      </c>
      <c r="E1732">
        <v>1</v>
      </c>
      <c r="F1732" s="3">
        <v>7.84</v>
      </c>
      <c r="G1732" t="s">
        <v>27</v>
      </c>
      <c r="H1732">
        <v>22</v>
      </c>
      <c r="I1732" t="s">
        <v>28</v>
      </c>
      <c r="J1732" s="4">
        <v>66</v>
      </c>
      <c r="K1732" s="4">
        <v>207.8</v>
      </c>
      <c r="L1732" s="4">
        <v>33.4</v>
      </c>
      <c r="M1732">
        <v>13</v>
      </c>
      <c r="N1732" t="s">
        <v>37</v>
      </c>
      <c r="O1732">
        <v>3</v>
      </c>
      <c r="P1732" s="4">
        <v>1303.4000000000001</v>
      </c>
      <c r="Q1732" t="s">
        <v>30</v>
      </c>
      <c r="R1732">
        <v>1</v>
      </c>
      <c r="S1732" t="s">
        <v>31</v>
      </c>
      <c r="T1732">
        <v>1</v>
      </c>
      <c r="U1732">
        <v>0</v>
      </c>
      <c r="V1732" t="s">
        <v>32</v>
      </c>
      <c r="W1732" t="s">
        <v>39</v>
      </c>
      <c r="X1732" s="4">
        <v>8.6999999999999993</v>
      </c>
      <c r="Y1732">
        <v>10</v>
      </c>
      <c r="Z1732" s="5">
        <v>187.46</v>
      </c>
    </row>
    <row r="1733" spans="1:26">
      <c r="A1733">
        <v>1732</v>
      </c>
      <c r="B1733">
        <v>564</v>
      </c>
      <c r="C1733" s="2">
        <v>46033</v>
      </c>
      <c r="D1733" t="s">
        <v>58</v>
      </c>
      <c r="E1733">
        <v>1</v>
      </c>
      <c r="F1733" s="3">
        <v>8.0500000000000007</v>
      </c>
      <c r="G1733" t="s">
        <v>27</v>
      </c>
      <c r="H1733">
        <v>24</v>
      </c>
      <c r="I1733" t="s">
        <v>28</v>
      </c>
      <c r="J1733" s="4">
        <v>70.599999999999994</v>
      </c>
      <c r="K1733" s="4">
        <v>194.1</v>
      </c>
      <c r="L1733" s="4">
        <v>27.3</v>
      </c>
      <c r="M1733">
        <v>13</v>
      </c>
      <c r="N1733" t="s">
        <v>37</v>
      </c>
      <c r="O1733">
        <v>3</v>
      </c>
      <c r="P1733" s="4">
        <v>1303.4000000000001</v>
      </c>
      <c r="Q1733" t="s">
        <v>30</v>
      </c>
      <c r="R1733">
        <v>1</v>
      </c>
      <c r="S1733" t="s">
        <v>31</v>
      </c>
      <c r="T1733">
        <v>1</v>
      </c>
      <c r="U1733">
        <v>0</v>
      </c>
      <c r="V1733" t="s">
        <v>32</v>
      </c>
      <c r="W1733" t="s">
        <v>39</v>
      </c>
      <c r="X1733" s="4">
        <v>6.5</v>
      </c>
      <c r="Y1733">
        <v>12</v>
      </c>
      <c r="Z1733" s="5">
        <v>211.34</v>
      </c>
    </row>
    <row r="1734" spans="1:26">
      <c r="A1734">
        <v>1733</v>
      </c>
      <c r="B1734">
        <v>564</v>
      </c>
      <c r="C1734" s="2">
        <v>46033</v>
      </c>
      <c r="D1734" t="s">
        <v>58</v>
      </c>
      <c r="E1734">
        <v>1</v>
      </c>
      <c r="F1734" s="3">
        <v>7.94</v>
      </c>
      <c r="G1734" t="s">
        <v>27</v>
      </c>
      <c r="H1734">
        <v>8</v>
      </c>
      <c r="I1734" t="s">
        <v>28</v>
      </c>
      <c r="J1734" s="4">
        <v>64</v>
      </c>
      <c r="K1734" s="4">
        <v>116.2</v>
      </c>
      <c r="L1734" s="4">
        <v>20.2</v>
      </c>
      <c r="M1734">
        <v>11</v>
      </c>
      <c r="N1734" t="s">
        <v>37</v>
      </c>
      <c r="O1734">
        <v>3</v>
      </c>
      <c r="P1734" s="4">
        <v>1303.4000000000001</v>
      </c>
      <c r="Q1734" t="s">
        <v>30</v>
      </c>
      <c r="R1734">
        <v>1</v>
      </c>
      <c r="S1734" t="s">
        <v>31</v>
      </c>
      <c r="T1734">
        <v>1</v>
      </c>
      <c r="U1734">
        <v>0</v>
      </c>
      <c r="V1734" t="s">
        <v>32</v>
      </c>
      <c r="W1734" t="s">
        <v>39</v>
      </c>
      <c r="X1734" s="4">
        <v>10.8</v>
      </c>
      <c r="Y1734">
        <v>12</v>
      </c>
      <c r="Z1734" s="5">
        <v>308.02</v>
      </c>
    </row>
    <row r="1735" spans="1:26">
      <c r="A1735">
        <v>1734</v>
      </c>
      <c r="B1735">
        <v>565</v>
      </c>
      <c r="C1735" s="2">
        <v>46249</v>
      </c>
      <c r="D1735" t="s">
        <v>40</v>
      </c>
      <c r="E1735">
        <v>8</v>
      </c>
      <c r="F1735" s="3">
        <v>11.48</v>
      </c>
      <c r="G1735" t="s">
        <v>36</v>
      </c>
      <c r="H1735">
        <v>38</v>
      </c>
      <c r="I1735" t="s">
        <v>28</v>
      </c>
      <c r="J1735" s="4">
        <v>68.099999999999994</v>
      </c>
      <c r="K1735" s="4">
        <v>115.3</v>
      </c>
      <c r="L1735" s="4">
        <v>17.600000000000001</v>
      </c>
      <c r="M1735">
        <v>11</v>
      </c>
      <c r="N1735" t="s">
        <v>60</v>
      </c>
      <c r="O1735">
        <v>2</v>
      </c>
      <c r="P1735" s="4">
        <v>1594.9</v>
      </c>
      <c r="Q1735" t="s">
        <v>42</v>
      </c>
      <c r="R1735">
        <v>1</v>
      </c>
      <c r="S1735" t="s">
        <v>38</v>
      </c>
      <c r="T1735">
        <v>1</v>
      </c>
      <c r="U1735">
        <v>0</v>
      </c>
      <c r="V1735" t="s">
        <v>32</v>
      </c>
      <c r="W1735" t="s">
        <v>43</v>
      </c>
      <c r="X1735" s="4">
        <v>7.2</v>
      </c>
      <c r="Y1735">
        <v>12</v>
      </c>
      <c r="Z1735" s="5">
        <v>236.4</v>
      </c>
    </row>
    <row r="1736" spans="1:26">
      <c r="A1736">
        <v>1735</v>
      </c>
      <c r="B1736">
        <v>565</v>
      </c>
      <c r="C1736" s="2">
        <v>46249</v>
      </c>
      <c r="D1736" t="s">
        <v>40</v>
      </c>
      <c r="E1736">
        <v>8</v>
      </c>
      <c r="F1736" s="3">
        <v>11.41</v>
      </c>
      <c r="G1736" t="s">
        <v>36</v>
      </c>
      <c r="H1736">
        <v>12</v>
      </c>
      <c r="I1736" t="s">
        <v>28</v>
      </c>
      <c r="J1736" s="4">
        <v>70</v>
      </c>
      <c r="K1736" s="4">
        <v>146.1</v>
      </c>
      <c r="L1736" s="4">
        <v>20.8</v>
      </c>
      <c r="M1736">
        <v>11</v>
      </c>
      <c r="N1736" t="s">
        <v>60</v>
      </c>
      <c r="O1736">
        <v>2</v>
      </c>
      <c r="P1736" s="4">
        <v>1594.9</v>
      </c>
      <c r="Q1736" t="s">
        <v>42</v>
      </c>
      <c r="R1736">
        <v>1</v>
      </c>
      <c r="S1736" t="s">
        <v>38</v>
      </c>
      <c r="T1736">
        <v>1</v>
      </c>
      <c r="U1736">
        <v>0</v>
      </c>
      <c r="V1736" t="s">
        <v>32</v>
      </c>
      <c r="W1736" t="s">
        <v>43</v>
      </c>
      <c r="X1736" s="4">
        <v>6.4</v>
      </c>
      <c r="Y1736">
        <v>11</v>
      </c>
      <c r="Z1736" s="5">
        <v>249.56</v>
      </c>
    </row>
    <row r="1737" spans="1:26">
      <c r="A1737">
        <v>1736</v>
      </c>
      <c r="B1737">
        <v>566</v>
      </c>
      <c r="C1737" s="2">
        <v>46283</v>
      </c>
      <c r="D1737" t="s">
        <v>26</v>
      </c>
      <c r="E1737">
        <v>9</v>
      </c>
      <c r="F1737" s="3">
        <v>12.31</v>
      </c>
      <c r="G1737" t="s">
        <v>36</v>
      </c>
      <c r="H1737">
        <v>76</v>
      </c>
      <c r="I1737" t="s">
        <v>34</v>
      </c>
      <c r="J1737" s="4">
        <v>63.4</v>
      </c>
      <c r="K1737" s="4">
        <v>156.5</v>
      </c>
      <c r="L1737" s="4">
        <v>27.7</v>
      </c>
      <c r="M1737">
        <v>14</v>
      </c>
      <c r="N1737" t="s">
        <v>56</v>
      </c>
      <c r="O1737">
        <v>6</v>
      </c>
      <c r="P1737" s="4">
        <v>259.60000000000002</v>
      </c>
      <c r="Q1737" t="s">
        <v>42</v>
      </c>
      <c r="R1737">
        <v>1</v>
      </c>
      <c r="S1737" t="s">
        <v>31</v>
      </c>
      <c r="T1737">
        <v>0</v>
      </c>
      <c r="U1737">
        <v>0</v>
      </c>
      <c r="V1737" t="s">
        <v>32</v>
      </c>
      <c r="W1737" t="s">
        <v>39</v>
      </c>
      <c r="X1737" s="4">
        <v>9.6999999999999993</v>
      </c>
      <c r="Y1737">
        <v>9</v>
      </c>
      <c r="Z1737" s="5">
        <v>220</v>
      </c>
    </row>
    <row r="1738" spans="1:26">
      <c r="A1738">
        <v>1737</v>
      </c>
      <c r="B1738">
        <v>566</v>
      </c>
      <c r="C1738" s="2">
        <v>46283</v>
      </c>
      <c r="D1738" t="s">
        <v>26</v>
      </c>
      <c r="E1738">
        <v>9</v>
      </c>
      <c r="F1738" s="3">
        <v>12.1</v>
      </c>
      <c r="G1738" t="s">
        <v>36</v>
      </c>
      <c r="H1738">
        <v>20</v>
      </c>
      <c r="I1738" t="s">
        <v>34</v>
      </c>
      <c r="J1738" s="4">
        <v>66.900000000000006</v>
      </c>
      <c r="K1738" s="4">
        <v>152.19999999999999</v>
      </c>
      <c r="L1738" s="4">
        <v>23.9</v>
      </c>
      <c r="M1738">
        <v>11</v>
      </c>
      <c r="N1738" t="s">
        <v>56</v>
      </c>
      <c r="O1738">
        <v>6</v>
      </c>
      <c r="P1738" s="4">
        <v>259.60000000000002</v>
      </c>
      <c r="Q1738" t="s">
        <v>42</v>
      </c>
      <c r="R1738">
        <v>1</v>
      </c>
      <c r="S1738" t="s">
        <v>31</v>
      </c>
      <c r="T1738">
        <v>0</v>
      </c>
      <c r="U1738">
        <v>0</v>
      </c>
      <c r="V1738" t="s">
        <v>32</v>
      </c>
      <c r="W1738" t="s">
        <v>39</v>
      </c>
      <c r="X1738" s="4">
        <v>8.6999999999999993</v>
      </c>
      <c r="Y1738">
        <v>7</v>
      </c>
      <c r="Z1738" s="5">
        <v>193.26</v>
      </c>
    </row>
    <row r="1739" spans="1:26">
      <c r="A1739">
        <v>1738</v>
      </c>
      <c r="B1739">
        <v>566</v>
      </c>
      <c r="C1739" s="2">
        <v>46283</v>
      </c>
      <c r="D1739" t="s">
        <v>26</v>
      </c>
      <c r="E1739">
        <v>9</v>
      </c>
      <c r="F1739" s="3">
        <v>12.04</v>
      </c>
      <c r="G1739" t="s">
        <v>36</v>
      </c>
      <c r="H1739">
        <v>3</v>
      </c>
      <c r="I1739" t="s">
        <v>28</v>
      </c>
      <c r="J1739" s="4">
        <v>55.1</v>
      </c>
      <c r="K1739" s="4">
        <v>77.7</v>
      </c>
      <c r="L1739" s="4">
        <v>18</v>
      </c>
      <c r="M1739">
        <v>14</v>
      </c>
      <c r="N1739" t="s">
        <v>56</v>
      </c>
      <c r="O1739">
        <v>6</v>
      </c>
      <c r="P1739" s="4">
        <v>259.60000000000002</v>
      </c>
      <c r="Q1739" t="s">
        <v>42</v>
      </c>
      <c r="R1739">
        <v>1</v>
      </c>
      <c r="S1739" t="s">
        <v>31</v>
      </c>
      <c r="T1739">
        <v>0</v>
      </c>
      <c r="U1739">
        <v>0</v>
      </c>
      <c r="V1739" t="s">
        <v>32</v>
      </c>
      <c r="W1739" t="s">
        <v>39</v>
      </c>
      <c r="X1739" s="4">
        <v>9</v>
      </c>
      <c r="Y1739">
        <v>6</v>
      </c>
      <c r="Z1739" s="5">
        <v>153.24</v>
      </c>
    </row>
    <row r="1740" spans="1:26">
      <c r="A1740">
        <v>1739</v>
      </c>
      <c r="B1740">
        <v>566</v>
      </c>
      <c r="C1740" s="2">
        <v>46283</v>
      </c>
      <c r="D1740" t="s">
        <v>26</v>
      </c>
      <c r="E1740">
        <v>9</v>
      </c>
      <c r="F1740" s="3">
        <v>11.95</v>
      </c>
      <c r="G1740" t="s">
        <v>36</v>
      </c>
      <c r="H1740">
        <v>4</v>
      </c>
      <c r="I1740" t="s">
        <v>34</v>
      </c>
      <c r="J1740" s="4">
        <v>55.4</v>
      </c>
      <c r="K1740" s="4">
        <v>82</v>
      </c>
      <c r="L1740" s="4">
        <v>18.899999999999999</v>
      </c>
      <c r="M1740">
        <v>14</v>
      </c>
      <c r="N1740" t="s">
        <v>56</v>
      </c>
      <c r="O1740">
        <v>6</v>
      </c>
      <c r="P1740" s="4">
        <v>259.60000000000002</v>
      </c>
      <c r="Q1740" t="s">
        <v>42</v>
      </c>
      <c r="R1740">
        <v>1</v>
      </c>
      <c r="S1740" t="s">
        <v>31</v>
      </c>
      <c r="T1740">
        <v>0</v>
      </c>
      <c r="U1740">
        <v>0</v>
      </c>
      <c r="V1740" t="s">
        <v>32</v>
      </c>
      <c r="W1740" t="s">
        <v>39</v>
      </c>
      <c r="X1740" s="4">
        <v>9.3000000000000007</v>
      </c>
      <c r="Y1740">
        <v>9</v>
      </c>
      <c r="Z1740" s="5">
        <v>356.48</v>
      </c>
    </row>
    <row r="1741" spans="1:26">
      <c r="A1741">
        <v>1740</v>
      </c>
      <c r="B1741">
        <v>566</v>
      </c>
      <c r="C1741" s="2">
        <v>46283</v>
      </c>
      <c r="D1741" t="s">
        <v>26</v>
      </c>
      <c r="E1741">
        <v>9</v>
      </c>
      <c r="F1741" s="3">
        <v>12.25</v>
      </c>
      <c r="G1741" t="s">
        <v>36</v>
      </c>
      <c r="H1741">
        <v>71</v>
      </c>
      <c r="I1741" t="s">
        <v>34</v>
      </c>
      <c r="J1741" s="4">
        <v>64.599999999999994</v>
      </c>
      <c r="K1741" s="4">
        <v>226.4</v>
      </c>
      <c r="L1741" s="4">
        <v>38.200000000000003</v>
      </c>
      <c r="M1741">
        <v>14</v>
      </c>
      <c r="N1741" t="s">
        <v>56</v>
      </c>
      <c r="O1741">
        <v>6</v>
      </c>
      <c r="P1741" s="4">
        <v>259.60000000000002</v>
      </c>
      <c r="Q1741" t="s">
        <v>42</v>
      </c>
      <c r="R1741">
        <v>1</v>
      </c>
      <c r="S1741" t="s">
        <v>31</v>
      </c>
      <c r="T1741">
        <v>0</v>
      </c>
      <c r="U1741">
        <v>0</v>
      </c>
      <c r="V1741" t="s">
        <v>32</v>
      </c>
      <c r="W1741" t="s">
        <v>39</v>
      </c>
      <c r="X1741" s="4">
        <v>5.9</v>
      </c>
      <c r="Y1741">
        <v>8</v>
      </c>
      <c r="Z1741" s="5">
        <v>208.88</v>
      </c>
    </row>
    <row r="1742" spans="1:26">
      <c r="A1742">
        <v>1741</v>
      </c>
      <c r="B1742">
        <v>566</v>
      </c>
      <c r="C1742" s="2">
        <v>46283</v>
      </c>
      <c r="D1742" t="s">
        <v>26</v>
      </c>
      <c r="E1742">
        <v>9</v>
      </c>
      <c r="F1742" s="3">
        <v>12.14</v>
      </c>
      <c r="G1742" t="s">
        <v>36</v>
      </c>
      <c r="H1742">
        <v>18</v>
      </c>
      <c r="I1742" t="s">
        <v>34</v>
      </c>
      <c r="J1742" s="4">
        <v>64.7</v>
      </c>
      <c r="K1742" s="4">
        <v>87.4</v>
      </c>
      <c r="L1742" s="4">
        <v>14.9</v>
      </c>
      <c r="M1742">
        <v>11</v>
      </c>
      <c r="N1742" t="s">
        <v>56</v>
      </c>
      <c r="O1742">
        <v>6</v>
      </c>
      <c r="P1742" s="4">
        <v>259.60000000000002</v>
      </c>
      <c r="Q1742" t="s">
        <v>42</v>
      </c>
      <c r="R1742">
        <v>1</v>
      </c>
      <c r="S1742" t="s">
        <v>31</v>
      </c>
      <c r="T1742">
        <v>0</v>
      </c>
      <c r="U1742">
        <v>0</v>
      </c>
      <c r="V1742" t="s">
        <v>32</v>
      </c>
      <c r="W1742" t="s">
        <v>39</v>
      </c>
      <c r="X1742" s="4">
        <v>7.6</v>
      </c>
      <c r="Y1742">
        <v>7</v>
      </c>
      <c r="Z1742" s="5">
        <v>207.35</v>
      </c>
    </row>
    <row r="1743" spans="1:26">
      <c r="A1743">
        <v>1742</v>
      </c>
      <c r="B1743">
        <v>567</v>
      </c>
      <c r="C1743" s="2">
        <v>46027</v>
      </c>
      <c r="D1743" t="s">
        <v>46</v>
      </c>
      <c r="E1743">
        <v>1</v>
      </c>
      <c r="F1743" s="3">
        <v>9.92</v>
      </c>
      <c r="G1743" t="s">
        <v>27</v>
      </c>
      <c r="H1743">
        <v>62</v>
      </c>
      <c r="I1743" t="s">
        <v>34</v>
      </c>
      <c r="J1743" s="4">
        <v>61.3</v>
      </c>
      <c r="K1743" s="4">
        <v>181.1</v>
      </c>
      <c r="L1743" s="4">
        <v>34</v>
      </c>
      <c r="M1743">
        <v>13</v>
      </c>
      <c r="N1743" t="s">
        <v>56</v>
      </c>
      <c r="O1743">
        <v>2</v>
      </c>
      <c r="P1743" s="4">
        <v>361.2</v>
      </c>
      <c r="Q1743" t="s">
        <v>30</v>
      </c>
      <c r="R1743">
        <v>1</v>
      </c>
      <c r="S1743" t="s">
        <v>38</v>
      </c>
      <c r="T1743">
        <v>0</v>
      </c>
      <c r="U1743">
        <v>0</v>
      </c>
      <c r="V1743" t="s">
        <v>45</v>
      </c>
      <c r="W1743" t="s">
        <v>39</v>
      </c>
      <c r="X1743" s="4">
        <v>9.3000000000000007</v>
      </c>
      <c r="Y1743">
        <v>12</v>
      </c>
      <c r="Z1743" s="5">
        <v>326.68</v>
      </c>
    </row>
    <row r="1744" spans="1:26">
      <c r="A1744">
        <v>1743</v>
      </c>
      <c r="B1744">
        <v>567</v>
      </c>
      <c r="C1744" s="2">
        <v>46027</v>
      </c>
      <c r="D1744" t="s">
        <v>46</v>
      </c>
      <c r="E1744">
        <v>1</v>
      </c>
      <c r="F1744" s="3">
        <v>9.82</v>
      </c>
      <c r="G1744" t="s">
        <v>27</v>
      </c>
      <c r="H1744">
        <v>6</v>
      </c>
      <c r="I1744" t="s">
        <v>34</v>
      </c>
      <c r="J1744" s="4">
        <v>54.8</v>
      </c>
      <c r="K1744" s="4">
        <v>73.099999999999994</v>
      </c>
      <c r="L1744" s="4">
        <v>17.399999999999999</v>
      </c>
      <c r="M1744">
        <v>10</v>
      </c>
      <c r="N1744" t="s">
        <v>56</v>
      </c>
      <c r="O1744">
        <v>2</v>
      </c>
      <c r="P1744" s="4">
        <v>361.2</v>
      </c>
      <c r="Q1744" t="s">
        <v>30</v>
      </c>
      <c r="R1744">
        <v>1</v>
      </c>
      <c r="S1744" t="s">
        <v>38</v>
      </c>
      <c r="T1744">
        <v>0</v>
      </c>
      <c r="U1744">
        <v>0</v>
      </c>
      <c r="V1744" t="s">
        <v>45</v>
      </c>
      <c r="W1744" t="s">
        <v>39</v>
      </c>
      <c r="X1744" s="4">
        <v>9.8000000000000007</v>
      </c>
      <c r="Y1744">
        <v>11</v>
      </c>
      <c r="Z1744" s="5">
        <v>159.87</v>
      </c>
    </row>
    <row r="1745" spans="1:26">
      <c r="A1745">
        <v>1744</v>
      </c>
      <c r="B1745">
        <v>568</v>
      </c>
      <c r="C1745" s="2">
        <v>46150</v>
      </c>
      <c r="D1745" t="s">
        <v>26</v>
      </c>
      <c r="E1745">
        <v>5</v>
      </c>
      <c r="F1745" s="3">
        <v>7.56</v>
      </c>
      <c r="G1745" t="s">
        <v>27</v>
      </c>
      <c r="H1745">
        <v>63</v>
      </c>
      <c r="I1745" t="s">
        <v>34</v>
      </c>
      <c r="J1745" s="4">
        <v>60.6</v>
      </c>
      <c r="K1745" s="4">
        <v>132.69999999999999</v>
      </c>
      <c r="L1745" s="4">
        <v>25.3</v>
      </c>
      <c r="M1745">
        <v>16</v>
      </c>
      <c r="N1745" t="s">
        <v>59</v>
      </c>
      <c r="O1745">
        <v>1</v>
      </c>
      <c r="P1745" s="4">
        <v>470.9</v>
      </c>
      <c r="Q1745" t="s">
        <v>42</v>
      </c>
      <c r="R1745">
        <v>1</v>
      </c>
      <c r="S1745" t="s">
        <v>44</v>
      </c>
      <c r="T1745">
        <v>0</v>
      </c>
      <c r="U1745">
        <v>0</v>
      </c>
      <c r="V1745" t="s">
        <v>32</v>
      </c>
      <c r="W1745" t="s">
        <v>43</v>
      </c>
      <c r="X1745" s="4">
        <v>8</v>
      </c>
      <c r="Y1745">
        <v>12</v>
      </c>
      <c r="Z1745" s="5">
        <v>228.77</v>
      </c>
    </row>
    <row r="1746" spans="1:26">
      <c r="A1746">
        <v>1745</v>
      </c>
      <c r="B1746">
        <v>569</v>
      </c>
      <c r="C1746" s="2">
        <v>46305</v>
      </c>
      <c r="D1746" t="s">
        <v>40</v>
      </c>
      <c r="E1746">
        <v>10</v>
      </c>
      <c r="F1746" s="3">
        <v>10.87</v>
      </c>
      <c r="G1746" t="s">
        <v>27</v>
      </c>
      <c r="H1746">
        <v>23</v>
      </c>
      <c r="I1746" t="s">
        <v>34</v>
      </c>
      <c r="J1746" s="4">
        <v>62.4</v>
      </c>
      <c r="K1746" s="4">
        <v>166.7</v>
      </c>
      <c r="L1746" s="4">
        <v>29.9</v>
      </c>
      <c r="M1746">
        <v>10</v>
      </c>
      <c r="N1746" t="s">
        <v>50</v>
      </c>
      <c r="O1746">
        <v>1</v>
      </c>
      <c r="P1746" s="4">
        <v>311.5</v>
      </c>
      <c r="Q1746" t="s">
        <v>30</v>
      </c>
      <c r="R1746">
        <v>0</v>
      </c>
      <c r="S1746" t="s">
        <v>44</v>
      </c>
      <c r="T1746">
        <v>0</v>
      </c>
      <c r="U1746">
        <v>0</v>
      </c>
      <c r="V1746" t="s">
        <v>32</v>
      </c>
      <c r="W1746" t="s">
        <v>49</v>
      </c>
      <c r="X1746" s="4">
        <v>8.1999999999999993</v>
      </c>
      <c r="Y1746">
        <v>9</v>
      </c>
      <c r="Z1746" s="5">
        <v>228.64</v>
      </c>
    </row>
    <row r="1747" spans="1:26">
      <c r="A1747">
        <v>1746</v>
      </c>
      <c r="B1747">
        <v>570</v>
      </c>
      <c r="C1747" s="2">
        <v>46181</v>
      </c>
      <c r="D1747" t="s">
        <v>46</v>
      </c>
      <c r="E1747">
        <v>6</v>
      </c>
      <c r="F1747" s="3">
        <v>13.22</v>
      </c>
      <c r="G1747" t="s">
        <v>36</v>
      </c>
      <c r="H1747">
        <v>72</v>
      </c>
      <c r="I1747" t="s">
        <v>34</v>
      </c>
      <c r="J1747" s="4">
        <v>64.5</v>
      </c>
      <c r="K1747" s="4">
        <v>148.1</v>
      </c>
      <c r="L1747" s="4">
        <v>25.1</v>
      </c>
      <c r="M1747">
        <v>14</v>
      </c>
      <c r="N1747" t="s">
        <v>47</v>
      </c>
      <c r="O1747">
        <v>3</v>
      </c>
      <c r="P1747" s="4">
        <v>79.3</v>
      </c>
      <c r="Q1747" t="s">
        <v>42</v>
      </c>
      <c r="R1747">
        <v>1</v>
      </c>
      <c r="S1747" t="s">
        <v>31</v>
      </c>
      <c r="T1747">
        <v>1</v>
      </c>
      <c r="U1747">
        <v>0</v>
      </c>
      <c r="V1747" t="s">
        <v>32</v>
      </c>
      <c r="W1747" t="s">
        <v>43</v>
      </c>
      <c r="X1747" s="4">
        <v>8.6999999999999993</v>
      </c>
      <c r="Y1747">
        <v>11</v>
      </c>
      <c r="Z1747" s="5">
        <v>147.91999999999999</v>
      </c>
    </row>
    <row r="1748" spans="1:26">
      <c r="A1748">
        <v>1747</v>
      </c>
      <c r="B1748">
        <v>570</v>
      </c>
      <c r="C1748" s="2">
        <v>46181</v>
      </c>
      <c r="D1748" t="s">
        <v>46</v>
      </c>
      <c r="E1748">
        <v>6</v>
      </c>
      <c r="F1748" s="3">
        <v>12.82</v>
      </c>
      <c r="G1748" t="s">
        <v>36</v>
      </c>
      <c r="H1748">
        <v>34</v>
      </c>
      <c r="I1748" t="s">
        <v>28</v>
      </c>
      <c r="J1748" s="4">
        <v>60.4</v>
      </c>
      <c r="K1748" s="4">
        <v>155.69999999999999</v>
      </c>
      <c r="L1748" s="4">
        <v>30</v>
      </c>
      <c r="M1748">
        <v>14</v>
      </c>
      <c r="N1748" t="s">
        <v>47</v>
      </c>
      <c r="O1748">
        <v>3</v>
      </c>
      <c r="P1748" s="4">
        <v>79.3</v>
      </c>
      <c r="Q1748" t="s">
        <v>42</v>
      </c>
      <c r="R1748">
        <v>1</v>
      </c>
      <c r="S1748" t="s">
        <v>31</v>
      </c>
      <c r="T1748">
        <v>1</v>
      </c>
      <c r="U1748">
        <v>0</v>
      </c>
      <c r="V1748" t="s">
        <v>32</v>
      </c>
      <c r="W1748" t="s">
        <v>43</v>
      </c>
      <c r="X1748" s="4">
        <v>6.7</v>
      </c>
      <c r="Y1748">
        <v>3</v>
      </c>
      <c r="Z1748" s="5">
        <v>154.4</v>
      </c>
    </row>
    <row r="1749" spans="1:26">
      <c r="A1749">
        <v>1748</v>
      </c>
      <c r="B1749">
        <v>570</v>
      </c>
      <c r="C1749" s="2">
        <v>46181</v>
      </c>
      <c r="D1749" t="s">
        <v>46</v>
      </c>
      <c r="E1749">
        <v>6</v>
      </c>
      <c r="F1749" s="3">
        <v>13.06</v>
      </c>
      <c r="G1749" t="s">
        <v>36</v>
      </c>
      <c r="H1749">
        <v>21</v>
      </c>
      <c r="I1749" t="s">
        <v>28</v>
      </c>
      <c r="J1749" s="4">
        <v>68.099999999999994</v>
      </c>
      <c r="K1749" s="4">
        <v>202.4</v>
      </c>
      <c r="L1749" s="4">
        <v>30.8</v>
      </c>
      <c r="M1749">
        <v>12</v>
      </c>
      <c r="N1749" t="s">
        <v>47</v>
      </c>
      <c r="O1749">
        <v>3</v>
      </c>
      <c r="P1749" s="4">
        <v>79.3</v>
      </c>
      <c r="Q1749" t="s">
        <v>42</v>
      </c>
      <c r="R1749">
        <v>1</v>
      </c>
      <c r="S1749" t="s">
        <v>31</v>
      </c>
      <c r="T1749">
        <v>1</v>
      </c>
      <c r="U1749">
        <v>0</v>
      </c>
      <c r="V1749" t="s">
        <v>32</v>
      </c>
      <c r="W1749" t="s">
        <v>43</v>
      </c>
      <c r="X1749" s="4">
        <v>9.6</v>
      </c>
      <c r="Y1749">
        <v>11</v>
      </c>
      <c r="Z1749" s="5">
        <v>215.47</v>
      </c>
    </row>
    <row r="1750" spans="1:26">
      <c r="A1750">
        <v>1749</v>
      </c>
      <c r="B1750">
        <v>571</v>
      </c>
      <c r="C1750" s="2">
        <v>46185</v>
      </c>
      <c r="D1750" t="s">
        <v>26</v>
      </c>
      <c r="E1750">
        <v>6</v>
      </c>
      <c r="F1750" s="3">
        <v>9.85</v>
      </c>
      <c r="G1750" t="s">
        <v>27</v>
      </c>
      <c r="H1750">
        <v>63</v>
      </c>
      <c r="I1750" t="s">
        <v>34</v>
      </c>
      <c r="J1750" s="4">
        <v>62.4</v>
      </c>
      <c r="K1750" s="4">
        <v>171.3</v>
      </c>
      <c r="L1750" s="4">
        <v>31.1</v>
      </c>
      <c r="M1750">
        <v>17</v>
      </c>
      <c r="N1750" t="s">
        <v>47</v>
      </c>
      <c r="O1750">
        <v>5</v>
      </c>
      <c r="P1750" s="4">
        <v>195.4</v>
      </c>
      <c r="Q1750" t="s">
        <v>42</v>
      </c>
      <c r="R1750">
        <v>0</v>
      </c>
      <c r="S1750" t="s">
        <v>31</v>
      </c>
      <c r="T1750">
        <v>0</v>
      </c>
      <c r="U1750">
        <v>0</v>
      </c>
      <c r="V1750" t="s">
        <v>32</v>
      </c>
      <c r="W1750" t="s">
        <v>39</v>
      </c>
      <c r="X1750" s="4">
        <v>6.3</v>
      </c>
      <c r="Y1750">
        <v>7</v>
      </c>
      <c r="Z1750" s="5">
        <v>297.72000000000003</v>
      </c>
    </row>
    <row r="1751" spans="1:26">
      <c r="A1751">
        <v>1750</v>
      </c>
      <c r="B1751">
        <v>571</v>
      </c>
      <c r="C1751" s="2">
        <v>46185</v>
      </c>
      <c r="D1751" t="s">
        <v>26</v>
      </c>
      <c r="E1751">
        <v>6</v>
      </c>
      <c r="F1751" s="3">
        <v>9.74</v>
      </c>
      <c r="G1751" t="s">
        <v>27</v>
      </c>
      <c r="H1751">
        <v>32</v>
      </c>
      <c r="I1751" t="s">
        <v>28</v>
      </c>
      <c r="J1751" s="4">
        <v>70.5</v>
      </c>
      <c r="K1751" s="4">
        <v>241.5</v>
      </c>
      <c r="L1751" s="4">
        <v>34.200000000000003</v>
      </c>
      <c r="M1751">
        <v>13</v>
      </c>
      <c r="N1751" t="s">
        <v>47</v>
      </c>
      <c r="O1751">
        <v>5</v>
      </c>
      <c r="P1751" s="4">
        <v>195.4</v>
      </c>
      <c r="Q1751" t="s">
        <v>42</v>
      </c>
      <c r="R1751">
        <v>0</v>
      </c>
      <c r="S1751" t="s">
        <v>31</v>
      </c>
      <c r="T1751">
        <v>0</v>
      </c>
      <c r="U1751">
        <v>0</v>
      </c>
      <c r="V1751" t="s">
        <v>32</v>
      </c>
      <c r="W1751" t="s">
        <v>39</v>
      </c>
      <c r="X1751" s="4">
        <v>9.1999999999999993</v>
      </c>
      <c r="Y1751">
        <v>3</v>
      </c>
      <c r="Z1751" s="5">
        <v>276.23</v>
      </c>
    </row>
    <row r="1752" spans="1:26">
      <c r="A1752">
        <v>1751</v>
      </c>
      <c r="B1752">
        <v>571</v>
      </c>
      <c r="C1752" s="2">
        <v>46185</v>
      </c>
      <c r="D1752" t="s">
        <v>26</v>
      </c>
      <c r="E1752">
        <v>6</v>
      </c>
      <c r="F1752" s="3">
        <v>9.67</v>
      </c>
      <c r="G1752" t="s">
        <v>27</v>
      </c>
      <c r="H1752">
        <v>13</v>
      </c>
      <c r="I1752" t="s">
        <v>28</v>
      </c>
      <c r="J1752" s="4">
        <v>63.5</v>
      </c>
      <c r="K1752" s="4">
        <v>137.30000000000001</v>
      </c>
      <c r="L1752" s="4">
        <v>24.2</v>
      </c>
      <c r="M1752">
        <v>13</v>
      </c>
      <c r="N1752" t="s">
        <v>47</v>
      </c>
      <c r="O1752">
        <v>5</v>
      </c>
      <c r="P1752" s="4">
        <v>195.4</v>
      </c>
      <c r="Q1752" t="s">
        <v>42</v>
      </c>
      <c r="R1752">
        <v>0</v>
      </c>
      <c r="S1752" t="s">
        <v>31</v>
      </c>
      <c r="T1752">
        <v>0</v>
      </c>
      <c r="U1752">
        <v>0</v>
      </c>
      <c r="V1752" t="s">
        <v>32</v>
      </c>
      <c r="W1752" t="s">
        <v>39</v>
      </c>
      <c r="X1752" s="4">
        <v>6.1</v>
      </c>
      <c r="Y1752">
        <v>6</v>
      </c>
      <c r="Z1752" s="5">
        <v>160.71</v>
      </c>
    </row>
    <row r="1753" spans="1:26">
      <c r="A1753">
        <v>1752</v>
      </c>
      <c r="B1753">
        <v>571</v>
      </c>
      <c r="C1753" s="2">
        <v>46185</v>
      </c>
      <c r="D1753" t="s">
        <v>26</v>
      </c>
      <c r="E1753">
        <v>6</v>
      </c>
      <c r="F1753" s="3">
        <v>9.6300000000000008</v>
      </c>
      <c r="G1753" t="s">
        <v>27</v>
      </c>
      <c r="H1753">
        <v>6</v>
      </c>
      <c r="I1753" t="s">
        <v>34</v>
      </c>
      <c r="J1753" s="4">
        <v>49.8</v>
      </c>
      <c r="K1753" s="4">
        <v>84</v>
      </c>
      <c r="L1753" s="4">
        <v>23.9</v>
      </c>
      <c r="M1753">
        <v>13</v>
      </c>
      <c r="N1753" t="s">
        <v>47</v>
      </c>
      <c r="O1753">
        <v>5</v>
      </c>
      <c r="P1753" s="4">
        <v>195.4</v>
      </c>
      <c r="Q1753" t="s">
        <v>42</v>
      </c>
      <c r="R1753">
        <v>0</v>
      </c>
      <c r="S1753" t="s">
        <v>31</v>
      </c>
      <c r="T1753">
        <v>0</v>
      </c>
      <c r="U1753">
        <v>0</v>
      </c>
      <c r="V1753" t="s">
        <v>32</v>
      </c>
      <c r="W1753" t="s">
        <v>39</v>
      </c>
      <c r="X1753" s="4">
        <v>6</v>
      </c>
      <c r="Y1753">
        <v>9</v>
      </c>
      <c r="Z1753" s="5">
        <v>172.37</v>
      </c>
    </row>
    <row r="1754" spans="1:26">
      <c r="A1754">
        <v>1753</v>
      </c>
      <c r="B1754">
        <v>571</v>
      </c>
      <c r="C1754" s="2">
        <v>46185</v>
      </c>
      <c r="D1754" t="s">
        <v>26</v>
      </c>
      <c r="E1754">
        <v>6</v>
      </c>
      <c r="F1754" s="3">
        <v>9.6999999999999993</v>
      </c>
      <c r="G1754" t="s">
        <v>27</v>
      </c>
      <c r="H1754">
        <v>7</v>
      </c>
      <c r="I1754" t="s">
        <v>34</v>
      </c>
      <c r="J1754" s="4">
        <v>55</v>
      </c>
      <c r="K1754" s="4">
        <v>83.4</v>
      </c>
      <c r="L1754" s="4">
        <v>19</v>
      </c>
      <c r="M1754">
        <v>11</v>
      </c>
      <c r="N1754" t="s">
        <v>47</v>
      </c>
      <c r="O1754">
        <v>5</v>
      </c>
      <c r="P1754" s="4">
        <v>195.4</v>
      </c>
      <c r="Q1754" t="s">
        <v>42</v>
      </c>
      <c r="R1754">
        <v>0</v>
      </c>
      <c r="S1754" t="s">
        <v>31</v>
      </c>
      <c r="T1754">
        <v>0</v>
      </c>
      <c r="U1754">
        <v>0</v>
      </c>
      <c r="V1754" t="s">
        <v>32</v>
      </c>
      <c r="W1754" t="s">
        <v>39</v>
      </c>
      <c r="X1754" s="4">
        <v>10.6</v>
      </c>
      <c r="Y1754">
        <v>7</v>
      </c>
      <c r="Z1754" s="5">
        <v>254.97</v>
      </c>
    </row>
    <row r="1755" spans="1:26">
      <c r="A1755">
        <v>1754</v>
      </c>
      <c r="B1755">
        <v>572</v>
      </c>
      <c r="C1755" s="2">
        <v>46369</v>
      </c>
      <c r="D1755" t="s">
        <v>58</v>
      </c>
      <c r="E1755">
        <v>12</v>
      </c>
      <c r="F1755" s="3">
        <v>10.37</v>
      </c>
      <c r="G1755" t="s">
        <v>27</v>
      </c>
      <c r="H1755">
        <v>36</v>
      </c>
      <c r="I1755" t="s">
        <v>34</v>
      </c>
      <c r="J1755" s="4">
        <v>65.5</v>
      </c>
      <c r="K1755" s="4">
        <v>207.7</v>
      </c>
      <c r="L1755" s="4">
        <v>34.1</v>
      </c>
      <c r="M1755">
        <v>13</v>
      </c>
      <c r="N1755" t="s">
        <v>47</v>
      </c>
      <c r="O1755">
        <v>4</v>
      </c>
      <c r="P1755" s="4">
        <v>63.3</v>
      </c>
      <c r="Q1755" t="s">
        <v>42</v>
      </c>
      <c r="R1755">
        <v>0</v>
      </c>
      <c r="S1755" t="s">
        <v>31</v>
      </c>
      <c r="T1755">
        <v>0</v>
      </c>
      <c r="U1755">
        <v>0</v>
      </c>
      <c r="V1755" t="s">
        <v>64</v>
      </c>
      <c r="W1755" t="s">
        <v>43</v>
      </c>
      <c r="X1755" s="4">
        <v>8.1</v>
      </c>
      <c r="Y1755">
        <v>9</v>
      </c>
      <c r="Z1755" s="5">
        <v>172.38</v>
      </c>
    </row>
    <row r="1756" spans="1:26">
      <c r="A1756">
        <v>1755</v>
      </c>
      <c r="B1756">
        <v>572</v>
      </c>
      <c r="C1756" s="2">
        <v>46369</v>
      </c>
      <c r="D1756" t="s">
        <v>58</v>
      </c>
      <c r="E1756">
        <v>12</v>
      </c>
      <c r="F1756" s="3">
        <v>10.49</v>
      </c>
      <c r="G1756" t="s">
        <v>27</v>
      </c>
      <c r="H1756">
        <v>6</v>
      </c>
      <c r="I1756" t="s">
        <v>28</v>
      </c>
      <c r="J1756" s="4">
        <v>59</v>
      </c>
      <c r="K1756" s="4">
        <v>108</v>
      </c>
      <c r="L1756" s="4">
        <v>21.5</v>
      </c>
      <c r="M1756">
        <v>15</v>
      </c>
      <c r="N1756" t="s">
        <v>47</v>
      </c>
      <c r="O1756">
        <v>4</v>
      </c>
      <c r="P1756" s="4">
        <v>63.3</v>
      </c>
      <c r="Q1756" t="s">
        <v>42</v>
      </c>
      <c r="R1756">
        <v>0</v>
      </c>
      <c r="S1756" t="s">
        <v>31</v>
      </c>
      <c r="T1756">
        <v>0</v>
      </c>
      <c r="U1756">
        <v>0</v>
      </c>
      <c r="V1756" t="s">
        <v>64</v>
      </c>
      <c r="W1756" t="s">
        <v>43</v>
      </c>
      <c r="X1756" s="4">
        <v>8.4</v>
      </c>
      <c r="Y1756">
        <v>8</v>
      </c>
      <c r="Z1756" s="5">
        <v>165.68</v>
      </c>
    </row>
    <row r="1757" spans="1:26">
      <c r="A1757">
        <v>1756</v>
      </c>
      <c r="B1757">
        <v>572</v>
      </c>
      <c r="C1757" s="2">
        <v>46369</v>
      </c>
      <c r="D1757" t="s">
        <v>58</v>
      </c>
      <c r="E1757">
        <v>12</v>
      </c>
      <c r="F1757" s="3">
        <v>10.6</v>
      </c>
      <c r="G1757" t="s">
        <v>27</v>
      </c>
      <c r="H1757">
        <v>4</v>
      </c>
      <c r="I1757" t="s">
        <v>34</v>
      </c>
      <c r="J1757" s="4">
        <v>55</v>
      </c>
      <c r="K1757" s="4">
        <v>99.9</v>
      </c>
      <c r="L1757" s="4">
        <v>23.2</v>
      </c>
      <c r="M1757">
        <v>13</v>
      </c>
      <c r="N1757" t="s">
        <v>47</v>
      </c>
      <c r="O1757">
        <v>4</v>
      </c>
      <c r="P1757" s="4">
        <v>63.3</v>
      </c>
      <c r="Q1757" t="s">
        <v>42</v>
      </c>
      <c r="R1757">
        <v>0</v>
      </c>
      <c r="S1757" t="s">
        <v>31</v>
      </c>
      <c r="T1757">
        <v>0</v>
      </c>
      <c r="U1757">
        <v>0</v>
      </c>
      <c r="V1757" t="s">
        <v>64</v>
      </c>
      <c r="W1757" t="s">
        <v>43</v>
      </c>
      <c r="X1757" s="4">
        <v>8</v>
      </c>
      <c r="Y1757">
        <v>9</v>
      </c>
      <c r="Z1757" s="5">
        <v>214.59</v>
      </c>
    </row>
    <row r="1758" spans="1:26">
      <c r="A1758">
        <v>1757</v>
      </c>
      <c r="B1758">
        <v>572</v>
      </c>
      <c r="C1758" s="2">
        <v>46369</v>
      </c>
      <c r="D1758" t="s">
        <v>58</v>
      </c>
      <c r="E1758">
        <v>12</v>
      </c>
      <c r="F1758" s="3">
        <v>10.63</v>
      </c>
      <c r="G1758" t="s">
        <v>27</v>
      </c>
      <c r="H1758">
        <v>12</v>
      </c>
      <c r="I1758" t="s">
        <v>28</v>
      </c>
      <c r="J1758" s="4">
        <v>64.2</v>
      </c>
      <c r="K1758" s="4">
        <v>156.30000000000001</v>
      </c>
      <c r="L1758" s="4">
        <v>26.7</v>
      </c>
      <c r="M1758">
        <v>16</v>
      </c>
      <c r="N1758" t="s">
        <v>47</v>
      </c>
      <c r="O1758">
        <v>4</v>
      </c>
      <c r="P1758" s="4">
        <v>63.3</v>
      </c>
      <c r="Q1758" t="s">
        <v>42</v>
      </c>
      <c r="R1758">
        <v>0</v>
      </c>
      <c r="S1758" t="s">
        <v>31</v>
      </c>
      <c r="T1758">
        <v>0</v>
      </c>
      <c r="U1758">
        <v>0</v>
      </c>
      <c r="V1758" t="s">
        <v>64</v>
      </c>
      <c r="W1758" t="s">
        <v>43</v>
      </c>
      <c r="X1758" s="4">
        <v>8.4</v>
      </c>
      <c r="Y1758">
        <v>4</v>
      </c>
      <c r="Z1758" s="5">
        <v>189.21</v>
      </c>
    </row>
    <row r="1759" spans="1:26">
      <c r="A1759">
        <v>1758</v>
      </c>
      <c r="B1759">
        <v>573</v>
      </c>
      <c r="C1759" s="2">
        <v>46076</v>
      </c>
      <c r="D1759" t="s">
        <v>46</v>
      </c>
      <c r="E1759">
        <v>2</v>
      </c>
      <c r="F1759" s="3">
        <v>10.199999999999999</v>
      </c>
      <c r="G1759" t="s">
        <v>27</v>
      </c>
      <c r="H1759">
        <v>19</v>
      </c>
      <c r="I1759" t="s">
        <v>28</v>
      </c>
      <c r="J1759" s="4">
        <v>66.3</v>
      </c>
      <c r="K1759" s="4">
        <v>180.9</v>
      </c>
      <c r="L1759" s="4">
        <v>29</v>
      </c>
      <c r="M1759">
        <v>18</v>
      </c>
      <c r="N1759" t="s">
        <v>61</v>
      </c>
      <c r="O1759">
        <v>2</v>
      </c>
      <c r="P1759" s="4">
        <v>1420.8</v>
      </c>
      <c r="Q1759" t="s">
        <v>48</v>
      </c>
      <c r="R1759">
        <v>1</v>
      </c>
      <c r="S1759" t="s">
        <v>44</v>
      </c>
      <c r="T1759">
        <v>1</v>
      </c>
      <c r="U1759">
        <v>1</v>
      </c>
      <c r="V1759" t="s">
        <v>32</v>
      </c>
      <c r="W1759" t="s">
        <v>33</v>
      </c>
      <c r="X1759" s="4">
        <v>10.9</v>
      </c>
      <c r="Y1759">
        <v>14</v>
      </c>
      <c r="Z1759" s="5">
        <v>230.04</v>
      </c>
    </row>
    <row r="1760" spans="1:26">
      <c r="A1760">
        <v>1759</v>
      </c>
      <c r="B1760">
        <v>573</v>
      </c>
      <c r="C1760" s="2">
        <v>46076</v>
      </c>
      <c r="D1760" t="s">
        <v>46</v>
      </c>
      <c r="E1760">
        <v>2</v>
      </c>
      <c r="F1760" s="3">
        <v>10.25</v>
      </c>
      <c r="G1760" t="s">
        <v>27</v>
      </c>
      <c r="H1760">
        <v>13</v>
      </c>
      <c r="I1760" t="s">
        <v>28</v>
      </c>
      <c r="J1760" s="4">
        <v>70</v>
      </c>
      <c r="K1760" s="4">
        <v>149.9</v>
      </c>
      <c r="L1760" s="4">
        <v>21.3</v>
      </c>
      <c r="M1760">
        <v>16</v>
      </c>
      <c r="N1760" t="s">
        <v>61</v>
      </c>
      <c r="O1760">
        <v>2</v>
      </c>
      <c r="P1760" s="4">
        <v>1420.8</v>
      </c>
      <c r="Q1760" t="s">
        <v>48</v>
      </c>
      <c r="R1760">
        <v>1</v>
      </c>
      <c r="S1760" t="s">
        <v>44</v>
      </c>
      <c r="T1760">
        <v>1</v>
      </c>
      <c r="U1760">
        <v>1</v>
      </c>
      <c r="V1760" t="s">
        <v>32</v>
      </c>
      <c r="W1760" t="s">
        <v>33</v>
      </c>
      <c r="X1760" s="4">
        <v>6.7</v>
      </c>
      <c r="Y1760">
        <v>9</v>
      </c>
      <c r="Z1760" s="5">
        <v>214.4</v>
      </c>
    </row>
    <row r="1761" spans="1:26">
      <c r="A1761">
        <v>1760</v>
      </c>
      <c r="B1761">
        <v>574</v>
      </c>
      <c r="C1761" s="2">
        <v>46376</v>
      </c>
      <c r="D1761" t="s">
        <v>58</v>
      </c>
      <c r="E1761">
        <v>12</v>
      </c>
      <c r="F1761" s="3">
        <v>9.64</v>
      </c>
      <c r="G1761" t="s">
        <v>27</v>
      </c>
      <c r="H1761">
        <v>63</v>
      </c>
      <c r="I1761" t="s">
        <v>34</v>
      </c>
      <c r="J1761" s="4">
        <v>63.7</v>
      </c>
      <c r="K1761" s="4">
        <v>163.19999999999999</v>
      </c>
      <c r="L1761" s="4">
        <v>28.5</v>
      </c>
      <c r="M1761">
        <v>16</v>
      </c>
      <c r="N1761" t="s">
        <v>47</v>
      </c>
      <c r="O1761">
        <v>3</v>
      </c>
      <c r="P1761" s="4">
        <v>47.9</v>
      </c>
      <c r="Q1761" t="s">
        <v>42</v>
      </c>
      <c r="R1761">
        <v>0</v>
      </c>
      <c r="S1761" t="s">
        <v>44</v>
      </c>
      <c r="T1761">
        <v>1</v>
      </c>
      <c r="U1761">
        <v>0</v>
      </c>
      <c r="V1761" t="s">
        <v>32</v>
      </c>
      <c r="W1761" t="s">
        <v>39</v>
      </c>
      <c r="X1761" s="4">
        <v>9.1999999999999993</v>
      </c>
      <c r="Y1761">
        <v>4</v>
      </c>
      <c r="Z1761" s="5">
        <v>225.58</v>
      </c>
    </row>
    <row r="1762" spans="1:26">
      <c r="A1762">
        <v>1761</v>
      </c>
      <c r="B1762">
        <v>574</v>
      </c>
      <c r="C1762" s="2">
        <v>46376</v>
      </c>
      <c r="D1762" t="s">
        <v>58</v>
      </c>
      <c r="E1762">
        <v>12</v>
      </c>
      <c r="F1762" s="3">
        <v>10.15</v>
      </c>
      <c r="G1762" t="s">
        <v>27</v>
      </c>
      <c r="H1762">
        <v>7</v>
      </c>
      <c r="I1762" t="s">
        <v>34</v>
      </c>
      <c r="J1762" s="4">
        <v>64.2</v>
      </c>
      <c r="K1762" s="4">
        <v>106.2</v>
      </c>
      <c r="L1762" s="4">
        <v>17.8</v>
      </c>
      <c r="M1762">
        <v>13</v>
      </c>
      <c r="N1762" t="s">
        <v>47</v>
      </c>
      <c r="O1762">
        <v>3</v>
      </c>
      <c r="P1762" s="4">
        <v>47.9</v>
      </c>
      <c r="Q1762" t="s">
        <v>42</v>
      </c>
      <c r="R1762">
        <v>0</v>
      </c>
      <c r="S1762" t="s">
        <v>44</v>
      </c>
      <c r="T1762">
        <v>1</v>
      </c>
      <c r="U1762">
        <v>0</v>
      </c>
      <c r="V1762" t="s">
        <v>32</v>
      </c>
      <c r="W1762" t="s">
        <v>39</v>
      </c>
      <c r="X1762" s="4">
        <v>7.7</v>
      </c>
      <c r="Y1762">
        <v>9</v>
      </c>
      <c r="Z1762" s="5">
        <v>241.66</v>
      </c>
    </row>
    <row r="1763" spans="1:26">
      <c r="A1763">
        <v>1762</v>
      </c>
      <c r="B1763">
        <v>574</v>
      </c>
      <c r="C1763" s="2">
        <v>46376</v>
      </c>
      <c r="D1763" t="s">
        <v>58</v>
      </c>
      <c r="E1763">
        <v>12</v>
      </c>
      <c r="F1763" s="3">
        <v>9.91</v>
      </c>
      <c r="G1763" t="s">
        <v>27</v>
      </c>
      <c r="H1763">
        <v>84</v>
      </c>
      <c r="I1763" t="s">
        <v>34</v>
      </c>
      <c r="J1763" s="4">
        <v>66.3</v>
      </c>
      <c r="K1763" s="4">
        <v>165.2</v>
      </c>
      <c r="L1763" s="4">
        <v>26.6</v>
      </c>
      <c r="M1763">
        <v>19</v>
      </c>
      <c r="N1763" t="s">
        <v>47</v>
      </c>
      <c r="O1763">
        <v>3</v>
      </c>
      <c r="P1763" s="4">
        <v>47.9</v>
      </c>
      <c r="Q1763" t="s">
        <v>42</v>
      </c>
      <c r="R1763">
        <v>0</v>
      </c>
      <c r="S1763" t="s">
        <v>44</v>
      </c>
      <c r="T1763">
        <v>1</v>
      </c>
      <c r="U1763">
        <v>0</v>
      </c>
      <c r="V1763" t="s">
        <v>32</v>
      </c>
      <c r="W1763" t="s">
        <v>39</v>
      </c>
      <c r="X1763" s="4">
        <v>5.6</v>
      </c>
      <c r="Y1763">
        <v>5</v>
      </c>
      <c r="Z1763" s="5">
        <v>200.38</v>
      </c>
    </row>
    <row r="1764" spans="1:26">
      <c r="A1764">
        <v>1763</v>
      </c>
      <c r="B1764">
        <v>575</v>
      </c>
      <c r="C1764" s="2">
        <v>46373</v>
      </c>
      <c r="D1764" t="s">
        <v>55</v>
      </c>
      <c r="E1764">
        <v>12</v>
      </c>
      <c r="F1764" s="3">
        <v>9.67</v>
      </c>
      <c r="G1764" t="s">
        <v>27</v>
      </c>
      <c r="H1764">
        <v>10</v>
      </c>
      <c r="I1764" t="s">
        <v>34</v>
      </c>
      <c r="J1764" s="4">
        <v>60.8</v>
      </c>
      <c r="K1764" s="4">
        <v>118.9</v>
      </c>
      <c r="L1764" s="4">
        <v>22.5</v>
      </c>
      <c r="M1764">
        <v>18</v>
      </c>
      <c r="N1764" t="s">
        <v>47</v>
      </c>
      <c r="O1764">
        <v>4</v>
      </c>
      <c r="P1764" s="4">
        <v>82.3</v>
      </c>
      <c r="Q1764" t="s">
        <v>48</v>
      </c>
      <c r="R1764">
        <v>1</v>
      </c>
      <c r="S1764" t="s">
        <v>44</v>
      </c>
      <c r="T1764">
        <v>0</v>
      </c>
      <c r="U1764">
        <v>0</v>
      </c>
      <c r="V1764" t="s">
        <v>32</v>
      </c>
      <c r="W1764" t="s">
        <v>57</v>
      </c>
      <c r="X1764" s="4">
        <v>11.2</v>
      </c>
      <c r="Y1764">
        <v>15</v>
      </c>
      <c r="Z1764" s="5">
        <v>394.84</v>
      </c>
    </row>
    <row r="1765" spans="1:26">
      <c r="A1765">
        <v>1764</v>
      </c>
      <c r="B1765">
        <v>575</v>
      </c>
      <c r="C1765" s="2">
        <v>46373</v>
      </c>
      <c r="D1765" t="s">
        <v>55</v>
      </c>
      <c r="E1765">
        <v>12</v>
      </c>
      <c r="F1765" s="3">
        <v>9.6</v>
      </c>
      <c r="G1765" t="s">
        <v>27</v>
      </c>
      <c r="H1765">
        <v>67</v>
      </c>
      <c r="I1765" t="s">
        <v>34</v>
      </c>
      <c r="J1765" s="4">
        <v>63.4</v>
      </c>
      <c r="K1765" s="4">
        <v>154.5</v>
      </c>
      <c r="L1765" s="4">
        <v>26.9</v>
      </c>
      <c r="M1765">
        <v>20</v>
      </c>
      <c r="N1765" t="s">
        <v>47</v>
      </c>
      <c r="O1765">
        <v>4</v>
      </c>
      <c r="P1765" s="4">
        <v>82.3</v>
      </c>
      <c r="Q1765" t="s">
        <v>48</v>
      </c>
      <c r="R1765">
        <v>1</v>
      </c>
      <c r="S1765" t="s">
        <v>44</v>
      </c>
      <c r="T1765">
        <v>0</v>
      </c>
      <c r="U1765">
        <v>0</v>
      </c>
      <c r="V1765" t="s">
        <v>32</v>
      </c>
      <c r="W1765" t="s">
        <v>57</v>
      </c>
      <c r="X1765" s="4">
        <v>8.1999999999999993</v>
      </c>
      <c r="Y1765">
        <v>7</v>
      </c>
      <c r="Z1765" s="5">
        <v>128.05000000000001</v>
      </c>
    </row>
    <row r="1766" spans="1:26">
      <c r="A1766">
        <v>1765</v>
      </c>
      <c r="B1766">
        <v>575</v>
      </c>
      <c r="C1766" s="2">
        <v>46373</v>
      </c>
      <c r="D1766" t="s">
        <v>55</v>
      </c>
      <c r="E1766">
        <v>12</v>
      </c>
      <c r="F1766" s="3">
        <v>9.83</v>
      </c>
      <c r="G1766" t="s">
        <v>27</v>
      </c>
      <c r="H1766">
        <v>18</v>
      </c>
      <c r="I1766" t="s">
        <v>28</v>
      </c>
      <c r="J1766" s="4">
        <v>65.5</v>
      </c>
      <c r="K1766" s="4">
        <v>161.69999999999999</v>
      </c>
      <c r="L1766" s="4">
        <v>26.4</v>
      </c>
      <c r="M1766">
        <v>12</v>
      </c>
      <c r="N1766" t="s">
        <v>47</v>
      </c>
      <c r="O1766">
        <v>4</v>
      </c>
      <c r="P1766" s="4">
        <v>82.3</v>
      </c>
      <c r="Q1766" t="s">
        <v>48</v>
      </c>
      <c r="R1766">
        <v>1</v>
      </c>
      <c r="S1766" t="s">
        <v>44</v>
      </c>
      <c r="T1766">
        <v>0</v>
      </c>
      <c r="U1766">
        <v>0</v>
      </c>
      <c r="V1766" t="s">
        <v>32</v>
      </c>
      <c r="W1766" t="s">
        <v>57</v>
      </c>
      <c r="X1766" s="4">
        <v>7.4</v>
      </c>
      <c r="Y1766">
        <v>5</v>
      </c>
      <c r="Z1766" s="5">
        <v>169.74</v>
      </c>
    </row>
    <row r="1767" spans="1:26">
      <c r="A1767">
        <v>1766</v>
      </c>
      <c r="B1767">
        <v>575</v>
      </c>
      <c r="C1767" s="2">
        <v>46373</v>
      </c>
      <c r="D1767" t="s">
        <v>55</v>
      </c>
      <c r="E1767">
        <v>12</v>
      </c>
      <c r="F1767" s="3">
        <v>9.77</v>
      </c>
      <c r="G1767" t="s">
        <v>27</v>
      </c>
      <c r="H1767">
        <v>61</v>
      </c>
      <c r="I1767" t="s">
        <v>34</v>
      </c>
      <c r="J1767" s="4">
        <v>63</v>
      </c>
      <c r="K1767" s="4">
        <v>198.4</v>
      </c>
      <c r="L1767" s="4">
        <v>35.5</v>
      </c>
      <c r="M1767">
        <v>15</v>
      </c>
      <c r="N1767" t="s">
        <v>47</v>
      </c>
      <c r="O1767">
        <v>4</v>
      </c>
      <c r="P1767" s="4">
        <v>82.3</v>
      </c>
      <c r="Q1767" t="s">
        <v>48</v>
      </c>
      <c r="R1767">
        <v>1</v>
      </c>
      <c r="S1767" t="s">
        <v>44</v>
      </c>
      <c r="T1767">
        <v>0</v>
      </c>
      <c r="U1767">
        <v>0</v>
      </c>
      <c r="V1767" t="s">
        <v>32</v>
      </c>
      <c r="W1767" t="s">
        <v>57</v>
      </c>
      <c r="X1767" s="4">
        <v>7.2</v>
      </c>
      <c r="Y1767">
        <v>10</v>
      </c>
      <c r="Z1767" s="5">
        <v>262.37</v>
      </c>
    </row>
    <row r="1768" spans="1:26">
      <c r="A1768">
        <v>1767</v>
      </c>
      <c r="B1768">
        <v>576</v>
      </c>
      <c r="C1768" s="2">
        <v>46221</v>
      </c>
      <c r="D1768" t="s">
        <v>40</v>
      </c>
      <c r="E1768">
        <v>7</v>
      </c>
      <c r="F1768" s="3">
        <v>7.22</v>
      </c>
      <c r="G1768" t="s">
        <v>27</v>
      </c>
      <c r="H1768">
        <v>12</v>
      </c>
      <c r="I1768" t="s">
        <v>28</v>
      </c>
      <c r="J1768" s="4">
        <v>60</v>
      </c>
      <c r="K1768" s="4">
        <v>71.2</v>
      </c>
      <c r="L1768" s="4">
        <v>14.1</v>
      </c>
      <c r="M1768">
        <v>13</v>
      </c>
      <c r="N1768" t="s">
        <v>47</v>
      </c>
      <c r="O1768">
        <v>3</v>
      </c>
      <c r="P1768" s="4">
        <v>89.9</v>
      </c>
      <c r="Q1768" t="s">
        <v>42</v>
      </c>
      <c r="R1768">
        <v>0</v>
      </c>
      <c r="S1768" t="s">
        <v>44</v>
      </c>
      <c r="T1768">
        <v>0</v>
      </c>
      <c r="U1768">
        <v>0</v>
      </c>
      <c r="V1768" t="s">
        <v>32</v>
      </c>
      <c r="W1768" t="s">
        <v>43</v>
      </c>
      <c r="X1768" s="4">
        <v>9.1999999999999993</v>
      </c>
      <c r="Y1768">
        <v>7</v>
      </c>
      <c r="Z1768" s="5">
        <v>201.03</v>
      </c>
    </row>
    <row r="1769" spans="1:26">
      <c r="A1769">
        <v>1768</v>
      </c>
      <c r="B1769">
        <v>576</v>
      </c>
      <c r="C1769" s="2">
        <v>46221</v>
      </c>
      <c r="D1769" t="s">
        <v>40</v>
      </c>
      <c r="E1769">
        <v>7</v>
      </c>
      <c r="F1769" s="3">
        <v>7.11</v>
      </c>
      <c r="G1769" t="s">
        <v>27</v>
      </c>
      <c r="H1769">
        <v>6</v>
      </c>
      <c r="I1769" t="s">
        <v>34</v>
      </c>
      <c r="J1769" s="4">
        <v>57.7</v>
      </c>
      <c r="K1769" s="4">
        <v>90.5</v>
      </c>
      <c r="L1769" s="4">
        <v>19</v>
      </c>
      <c r="M1769">
        <v>12</v>
      </c>
      <c r="N1769" t="s">
        <v>47</v>
      </c>
      <c r="O1769">
        <v>3</v>
      </c>
      <c r="P1769" s="4">
        <v>89.9</v>
      </c>
      <c r="Q1769" t="s">
        <v>42</v>
      </c>
      <c r="R1769">
        <v>0</v>
      </c>
      <c r="S1769" t="s">
        <v>44</v>
      </c>
      <c r="T1769">
        <v>0</v>
      </c>
      <c r="U1769">
        <v>0</v>
      </c>
      <c r="V1769" t="s">
        <v>32</v>
      </c>
      <c r="W1769" t="s">
        <v>43</v>
      </c>
      <c r="X1769" s="4">
        <v>9</v>
      </c>
      <c r="Y1769">
        <v>11</v>
      </c>
      <c r="Z1769" s="5">
        <v>367.67</v>
      </c>
    </row>
    <row r="1770" spans="1:26">
      <c r="A1770">
        <v>1769</v>
      </c>
      <c r="B1770">
        <v>576</v>
      </c>
      <c r="C1770" s="2">
        <v>46221</v>
      </c>
      <c r="D1770" t="s">
        <v>40</v>
      </c>
      <c r="E1770">
        <v>7</v>
      </c>
      <c r="F1770" s="3">
        <v>7</v>
      </c>
      <c r="G1770" t="s">
        <v>27</v>
      </c>
      <c r="H1770">
        <v>46</v>
      </c>
      <c r="I1770" t="s">
        <v>28</v>
      </c>
      <c r="J1770" s="4">
        <v>64</v>
      </c>
      <c r="K1770" s="4">
        <v>89</v>
      </c>
      <c r="L1770" s="4">
        <v>15.4</v>
      </c>
      <c r="M1770">
        <v>15</v>
      </c>
      <c r="N1770" t="s">
        <v>47</v>
      </c>
      <c r="O1770">
        <v>3</v>
      </c>
      <c r="P1770" s="4">
        <v>89.9</v>
      </c>
      <c r="Q1770" t="s">
        <v>42</v>
      </c>
      <c r="R1770">
        <v>0</v>
      </c>
      <c r="S1770" t="s">
        <v>44</v>
      </c>
      <c r="T1770">
        <v>0</v>
      </c>
      <c r="U1770">
        <v>0</v>
      </c>
      <c r="V1770" t="s">
        <v>32</v>
      </c>
      <c r="W1770" t="s">
        <v>43</v>
      </c>
      <c r="X1770" s="4">
        <v>9.6</v>
      </c>
      <c r="Y1770">
        <v>6</v>
      </c>
      <c r="Z1770" s="5">
        <v>263.37</v>
      </c>
    </row>
    <row r="1771" spans="1:26">
      <c r="A1771">
        <v>1770</v>
      </c>
      <c r="B1771">
        <v>577</v>
      </c>
      <c r="C1771" s="2">
        <v>46040</v>
      </c>
      <c r="D1771" t="s">
        <v>58</v>
      </c>
      <c r="E1771">
        <v>1</v>
      </c>
      <c r="F1771" s="3">
        <v>8.93</v>
      </c>
      <c r="G1771" t="s">
        <v>27</v>
      </c>
      <c r="H1771">
        <v>45</v>
      </c>
      <c r="I1771" t="s">
        <v>28</v>
      </c>
      <c r="J1771" s="4">
        <v>65.7</v>
      </c>
      <c r="K1771" s="4">
        <v>132.4</v>
      </c>
      <c r="L1771" s="4">
        <v>21.6</v>
      </c>
      <c r="M1771">
        <v>12</v>
      </c>
      <c r="N1771" t="s">
        <v>61</v>
      </c>
      <c r="O1771">
        <v>6</v>
      </c>
      <c r="P1771" s="4">
        <v>1417.7</v>
      </c>
      <c r="Q1771" t="s">
        <v>42</v>
      </c>
      <c r="R1771">
        <v>0</v>
      </c>
      <c r="S1771" t="s">
        <v>31</v>
      </c>
      <c r="T1771">
        <v>0</v>
      </c>
      <c r="U1771">
        <v>0</v>
      </c>
      <c r="V1771" t="s">
        <v>32</v>
      </c>
      <c r="W1771" t="s">
        <v>43</v>
      </c>
      <c r="X1771" s="4">
        <v>8</v>
      </c>
      <c r="Y1771">
        <v>1</v>
      </c>
      <c r="Z1771" s="5">
        <v>106.1</v>
      </c>
    </row>
    <row r="1772" spans="1:26">
      <c r="A1772">
        <v>1771</v>
      </c>
      <c r="B1772">
        <v>577</v>
      </c>
      <c r="C1772" s="2">
        <v>46040</v>
      </c>
      <c r="D1772" t="s">
        <v>58</v>
      </c>
      <c r="E1772">
        <v>1</v>
      </c>
      <c r="F1772" s="3">
        <v>8.3699999999999992</v>
      </c>
      <c r="G1772" t="s">
        <v>27</v>
      </c>
      <c r="H1772">
        <v>37</v>
      </c>
      <c r="I1772" t="s">
        <v>34</v>
      </c>
      <c r="J1772" s="4">
        <v>64.2</v>
      </c>
      <c r="K1772" s="4">
        <v>126.1</v>
      </c>
      <c r="L1772" s="4">
        <v>21.4</v>
      </c>
      <c r="M1772">
        <v>14</v>
      </c>
      <c r="N1772" t="s">
        <v>61</v>
      </c>
      <c r="O1772">
        <v>6</v>
      </c>
      <c r="P1772" s="4">
        <v>1417.7</v>
      </c>
      <c r="Q1772" t="s">
        <v>42</v>
      </c>
      <c r="R1772">
        <v>0</v>
      </c>
      <c r="S1772" t="s">
        <v>31</v>
      </c>
      <c r="T1772">
        <v>0</v>
      </c>
      <c r="U1772">
        <v>0</v>
      </c>
      <c r="V1772" t="s">
        <v>32</v>
      </c>
      <c r="W1772" t="s">
        <v>43</v>
      </c>
      <c r="X1772" s="4">
        <v>10.199999999999999</v>
      </c>
      <c r="Y1772">
        <v>11</v>
      </c>
      <c r="Z1772" s="5">
        <v>249.15</v>
      </c>
    </row>
    <row r="1773" spans="1:26">
      <c r="A1773">
        <v>1772</v>
      </c>
      <c r="B1773">
        <v>577</v>
      </c>
      <c r="C1773" s="2">
        <v>46040</v>
      </c>
      <c r="D1773" t="s">
        <v>58</v>
      </c>
      <c r="E1773">
        <v>1</v>
      </c>
      <c r="F1773" s="3">
        <v>8.5</v>
      </c>
      <c r="G1773" t="s">
        <v>27</v>
      </c>
      <c r="H1773">
        <v>10</v>
      </c>
      <c r="I1773" t="s">
        <v>28</v>
      </c>
      <c r="J1773" s="4">
        <v>62.5</v>
      </c>
      <c r="K1773" s="4">
        <v>119.3</v>
      </c>
      <c r="L1773" s="4">
        <v>21.3</v>
      </c>
      <c r="M1773">
        <v>13</v>
      </c>
      <c r="N1773" t="s">
        <v>61</v>
      </c>
      <c r="O1773">
        <v>6</v>
      </c>
      <c r="P1773" s="4">
        <v>1417.7</v>
      </c>
      <c r="Q1773" t="s">
        <v>42</v>
      </c>
      <c r="R1773">
        <v>0</v>
      </c>
      <c r="S1773" t="s">
        <v>31</v>
      </c>
      <c r="T1773">
        <v>0</v>
      </c>
      <c r="U1773">
        <v>0</v>
      </c>
      <c r="V1773" t="s">
        <v>32</v>
      </c>
      <c r="W1773" t="s">
        <v>43</v>
      </c>
      <c r="X1773" s="4">
        <v>10.8</v>
      </c>
      <c r="Y1773">
        <v>7</v>
      </c>
      <c r="Z1773" s="5">
        <v>257.14</v>
      </c>
    </row>
    <row r="1774" spans="1:26">
      <c r="A1774">
        <v>1773</v>
      </c>
      <c r="B1774">
        <v>577</v>
      </c>
      <c r="C1774" s="2">
        <v>46040</v>
      </c>
      <c r="D1774" t="s">
        <v>58</v>
      </c>
      <c r="E1774">
        <v>1</v>
      </c>
      <c r="F1774" s="3">
        <v>8.66</v>
      </c>
      <c r="G1774" t="s">
        <v>27</v>
      </c>
      <c r="H1774">
        <v>60</v>
      </c>
      <c r="I1774" t="s">
        <v>34</v>
      </c>
      <c r="J1774" s="4">
        <v>64.3</v>
      </c>
      <c r="K1774" s="4">
        <v>185.2</v>
      </c>
      <c r="L1774" s="4">
        <v>31.6</v>
      </c>
      <c r="M1774">
        <v>17</v>
      </c>
      <c r="N1774" t="s">
        <v>61</v>
      </c>
      <c r="O1774">
        <v>6</v>
      </c>
      <c r="P1774" s="4">
        <v>1417.7</v>
      </c>
      <c r="Q1774" t="s">
        <v>42</v>
      </c>
      <c r="R1774">
        <v>0</v>
      </c>
      <c r="S1774" t="s">
        <v>31</v>
      </c>
      <c r="T1774">
        <v>0</v>
      </c>
      <c r="U1774">
        <v>0</v>
      </c>
      <c r="V1774" t="s">
        <v>32</v>
      </c>
      <c r="W1774" t="s">
        <v>43</v>
      </c>
      <c r="X1774" s="4">
        <v>8.1999999999999993</v>
      </c>
      <c r="Y1774">
        <v>7</v>
      </c>
      <c r="Z1774" s="5">
        <v>158.33000000000001</v>
      </c>
    </row>
    <row r="1775" spans="1:26">
      <c r="A1775">
        <v>1774</v>
      </c>
      <c r="B1775">
        <v>577</v>
      </c>
      <c r="C1775" s="2">
        <v>46040</v>
      </c>
      <c r="D1775" t="s">
        <v>58</v>
      </c>
      <c r="E1775">
        <v>1</v>
      </c>
      <c r="F1775" s="3">
        <v>8.39</v>
      </c>
      <c r="G1775" t="s">
        <v>27</v>
      </c>
      <c r="H1775">
        <v>6</v>
      </c>
      <c r="I1775" t="s">
        <v>28</v>
      </c>
      <c r="J1775" s="4">
        <v>62.2</v>
      </c>
      <c r="K1775" s="4">
        <v>123.7</v>
      </c>
      <c r="L1775" s="4">
        <v>22.3</v>
      </c>
      <c r="M1775">
        <v>9</v>
      </c>
      <c r="N1775" t="s">
        <v>61</v>
      </c>
      <c r="O1775">
        <v>6</v>
      </c>
      <c r="P1775" s="4">
        <v>1417.7</v>
      </c>
      <c r="Q1775" t="s">
        <v>42</v>
      </c>
      <c r="R1775">
        <v>0</v>
      </c>
      <c r="S1775" t="s">
        <v>31</v>
      </c>
      <c r="T1775">
        <v>0</v>
      </c>
      <c r="U1775">
        <v>0</v>
      </c>
      <c r="V1775" t="s">
        <v>32</v>
      </c>
      <c r="W1775" t="s">
        <v>43</v>
      </c>
      <c r="X1775" s="4">
        <v>7.2</v>
      </c>
      <c r="Y1775">
        <v>5</v>
      </c>
      <c r="Z1775" s="5">
        <v>147.75</v>
      </c>
    </row>
    <row r="1776" spans="1:26">
      <c r="A1776">
        <v>1775</v>
      </c>
      <c r="B1776">
        <v>577</v>
      </c>
      <c r="C1776" s="2">
        <v>46040</v>
      </c>
      <c r="D1776" t="s">
        <v>58</v>
      </c>
      <c r="E1776">
        <v>1</v>
      </c>
      <c r="F1776" s="3">
        <v>8.2799999999999994</v>
      </c>
      <c r="G1776" t="s">
        <v>27</v>
      </c>
      <c r="H1776">
        <v>8</v>
      </c>
      <c r="I1776" t="s">
        <v>28</v>
      </c>
      <c r="J1776" s="4">
        <v>64.3</v>
      </c>
      <c r="K1776" s="4">
        <v>139.9</v>
      </c>
      <c r="L1776" s="4">
        <v>23.8</v>
      </c>
      <c r="M1776">
        <v>14</v>
      </c>
      <c r="N1776" t="s">
        <v>61</v>
      </c>
      <c r="O1776">
        <v>6</v>
      </c>
      <c r="P1776" s="4">
        <v>1417.7</v>
      </c>
      <c r="Q1776" t="s">
        <v>42</v>
      </c>
      <c r="R1776">
        <v>0</v>
      </c>
      <c r="S1776" t="s">
        <v>31</v>
      </c>
      <c r="T1776">
        <v>0</v>
      </c>
      <c r="U1776">
        <v>0</v>
      </c>
      <c r="V1776" t="s">
        <v>32</v>
      </c>
      <c r="W1776" t="s">
        <v>43</v>
      </c>
      <c r="X1776" s="4">
        <v>8.6</v>
      </c>
      <c r="Y1776">
        <v>7</v>
      </c>
      <c r="Z1776" s="5">
        <v>154.91</v>
      </c>
    </row>
    <row r="1777" spans="1:26">
      <c r="A1777">
        <v>1776</v>
      </c>
      <c r="B1777">
        <v>578</v>
      </c>
      <c r="C1777" s="2">
        <v>46098</v>
      </c>
      <c r="D1777" t="s">
        <v>35</v>
      </c>
      <c r="E1777">
        <v>3</v>
      </c>
      <c r="F1777" s="3">
        <v>11.54</v>
      </c>
      <c r="G1777" t="s">
        <v>36</v>
      </c>
      <c r="H1777">
        <v>12</v>
      </c>
      <c r="I1777" t="s">
        <v>28</v>
      </c>
      <c r="J1777" s="4">
        <v>67.900000000000006</v>
      </c>
      <c r="K1777" s="4">
        <v>119.5</v>
      </c>
      <c r="L1777" s="4">
        <v>18.2</v>
      </c>
      <c r="M1777">
        <v>11</v>
      </c>
      <c r="N1777" t="s">
        <v>47</v>
      </c>
      <c r="O1777">
        <v>3</v>
      </c>
      <c r="P1777" s="4">
        <v>76</v>
      </c>
      <c r="Q1777" t="s">
        <v>30</v>
      </c>
      <c r="R1777">
        <v>0</v>
      </c>
      <c r="S1777" t="s">
        <v>31</v>
      </c>
      <c r="T1777">
        <v>0</v>
      </c>
      <c r="U1777">
        <v>0</v>
      </c>
      <c r="V1777" t="s">
        <v>32</v>
      </c>
      <c r="W1777" t="s">
        <v>39</v>
      </c>
      <c r="X1777" s="4">
        <v>7.2</v>
      </c>
      <c r="Y1777">
        <v>6</v>
      </c>
      <c r="Z1777" s="5">
        <v>458.28</v>
      </c>
    </row>
    <row r="1778" spans="1:26">
      <c r="A1778">
        <v>1777</v>
      </c>
      <c r="B1778">
        <v>578</v>
      </c>
      <c r="C1778" s="2">
        <v>46098</v>
      </c>
      <c r="D1778" t="s">
        <v>35</v>
      </c>
      <c r="E1778">
        <v>3</v>
      </c>
      <c r="F1778" s="3">
        <v>11.55</v>
      </c>
      <c r="G1778" t="s">
        <v>36</v>
      </c>
      <c r="H1778">
        <v>33</v>
      </c>
      <c r="I1778" t="s">
        <v>34</v>
      </c>
      <c r="J1778" s="4">
        <v>61.7</v>
      </c>
      <c r="K1778" s="4">
        <v>170.1</v>
      </c>
      <c r="L1778" s="4">
        <v>31.4</v>
      </c>
      <c r="M1778">
        <v>10</v>
      </c>
      <c r="N1778" t="s">
        <v>47</v>
      </c>
      <c r="O1778">
        <v>3</v>
      </c>
      <c r="P1778" s="4">
        <v>76</v>
      </c>
      <c r="Q1778" t="s">
        <v>30</v>
      </c>
      <c r="R1778">
        <v>0</v>
      </c>
      <c r="S1778" t="s">
        <v>31</v>
      </c>
      <c r="T1778">
        <v>0</v>
      </c>
      <c r="U1778">
        <v>0</v>
      </c>
      <c r="V1778" t="s">
        <v>32</v>
      </c>
      <c r="W1778" t="s">
        <v>39</v>
      </c>
      <c r="X1778" s="4">
        <v>9.1999999999999993</v>
      </c>
      <c r="Y1778">
        <v>6</v>
      </c>
      <c r="Z1778" s="5">
        <v>178.55</v>
      </c>
    </row>
    <row r="1779" spans="1:26">
      <c r="A1779">
        <v>1778</v>
      </c>
      <c r="B1779">
        <v>578</v>
      </c>
      <c r="C1779" s="2">
        <v>46098</v>
      </c>
      <c r="D1779" t="s">
        <v>35</v>
      </c>
      <c r="E1779">
        <v>3</v>
      </c>
      <c r="F1779" s="3">
        <v>11.77</v>
      </c>
      <c r="G1779" t="s">
        <v>36</v>
      </c>
      <c r="H1779">
        <v>53</v>
      </c>
      <c r="I1779" t="s">
        <v>28</v>
      </c>
      <c r="J1779" s="4">
        <v>70.2</v>
      </c>
      <c r="K1779" s="4">
        <v>205.9</v>
      </c>
      <c r="L1779" s="4">
        <v>29.5</v>
      </c>
      <c r="M1779">
        <v>14</v>
      </c>
      <c r="N1779" t="s">
        <v>47</v>
      </c>
      <c r="O1779">
        <v>3</v>
      </c>
      <c r="P1779" s="4">
        <v>76</v>
      </c>
      <c r="Q1779" t="s">
        <v>30</v>
      </c>
      <c r="R1779">
        <v>0</v>
      </c>
      <c r="S1779" t="s">
        <v>31</v>
      </c>
      <c r="T1779">
        <v>0</v>
      </c>
      <c r="U1779">
        <v>0</v>
      </c>
      <c r="V1779" t="s">
        <v>32</v>
      </c>
      <c r="W1779" t="s">
        <v>39</v>
      </c>
      <c r="X1779" s="4">
        <v>8.1999999999999993</v>
      </c>
      <c r="Y1779">
        <v>8</v>
      </c>
      <c r="Z1779" s="5">
        <v>143.15</v>
      </c>
    </row>
    <row r="1780" spans="1:26">
      <c r="A1780">
        <v>1779</v>
      </c>
      <c r="B1780">
        <v>579</v>
      </c>
      <c r="C1780" s="2">
        <v>46219</v>
      </c>
      <c r="D1780" t="s">
        <v>55</v>
      </c>
      <c r="E1780">
        <v>7</v>
      </c>
      <c r="F1780" s="3">
        <v>10.91</v>
      </c>
      <c r="G1780" t="s">
        <v>27</v>
      </c>
      <c r="H1780">
        <v>18</v>
      </c>
      <c r="I1780" t="s">
        <v>28</v>
      </c>
      <c r="J1780" s="4">
        <v>69.400000000000006</v>
      </c>
      <c r="K1780" s="4">
        <v>159.6</v>
      </c>
      <c r="L1780" s="4">
        <v>23.3</v>
      </c>
      <c r="M1780">
        <v>11</v>
      </c>
      <c r="N1780" t="s">
        <v>60</v>
      </c>
      <c r="O1780">
        <v>3</v>
      </c>
      <c r="P1780" s="4">
        <v>1464</v>
      </c>
      <c r="Q1780" t="s">
        <v>42</v>
      </c>
      <c r="R1780">
        <v>0</v>
      </c>
      <c r="S1780" t="s">
        <v>31</v>
      </c>
      <c r="T1780">
        <v>0</v>
      </c>
      <c r="U1780">
        <v>0</v>
      </c>
      <c r="V1780" t="s">
        <v>32</v>
      </c>
      <c r="W1780" t="s">
        <v>39</v>
      </c>
      <c r="X1780" s="4">
        <v>11.1</v>
      </c>
      <c r="Y1780">
        <v>9</v>
      </c>
      <c r="Z1780" s="5">
        <v>331.25</v>
      </c>
    </row>
    <row r="1781" spans="1:26">
      <c r="A1781">
        <v>1780</v>
      </c>
      <c r="B1781">
        <v>579</v>
      </c>
      <c r="C1781" s="2">
        <v>46219</v>
      </c>
      <c r="D1781" t="s">
        <v>55</v>
      </c>
      <c r="E1781">
        <v>7</v>
      </c>
      <c r="F1781" s="3">
        <v>10.81</v>
      </c>
      <c r="G1781" t="s">
        <v>27</v>
      </c>
      <c r="H1781">
        <v>69</v>
      </c>
      <c r="I1781" t="s">
        <v>34</v>
      </c>
      <c r="J1781" s="4">
        <v>66</v>
      </c>
      <c r="K1781" s="4">
        <v>144.30000000000001</v>
      </c>
      <c r="L1781" s="4">
        <v>23.3</v>
      </c>
      <c r="M1781">
        <v>19</v>
      </c>
      <c r="N1781" t="s">
        <v>60</v>
      </c>
      <c r="O1781">
        <v>3</v>
      </c>
      <c r="P1781" s="4">
        <v>1464</v>
      </c>
      <c r="Q1781" t="s">
        <v>42</v>
      </c>
      <c r="R1781">
        <v>0</v>
      </c>
      <c r="S1781" t="s">
        <v>31</v>
      </c>
      <c r="T1781">
        <v>0</v>
      </c>
      <c r="U1781">
        <v>0</v>
      </c>
      <c r="V1781" t="s">
        <v>32</v>
      </c>
      <c r="W1781" t="s">
        <v>39</v>
      </c>
      <c r="X1781" s="4">
        <v>7.2</v>
      </c>
      <c r="Y1781">
        <v>6</v>
      </c>
      <c r="Z1781" s="5">
        <v>154.16999999999999</v>
      </c>
    </row>
    <row r="1782" spans="1:26">
      <c r="A1782">
        <v>1781</v>
      </c>
      <c r="B1782">
        <v>579</v>
      </c>
      <c r="C1782" s="2">
        <v>46219</v>
      </c>
      <c r="D1782" t="s">
        <v>55</v>
      </c>
      <c r="E1782">
        <v>7</v>
      </c>
      <c r="F1782" s="3">
        <v>10.7</v>
      </c>
      <c r="G1782" t="s">
        <v>27</v>
      </c>
      <c r="H1782">
        <v>39</v>
      </c>
      <c r="I1782" t="s">
        <v>34</v>
      </c>
      <c r="J1782" s="4">
        <v>64.8</v>
      </c>
      <c r="K1782" s="4">
        <v>172.3</v>
      </c>
      <c r="L1782" s="4">
        <v>29</v>
      </c>
      <c r="M1782">
        <v>12</v>
      </c>
      <c r="N1782" t="s">
        <v>60</v>
      </c>
      <c r="O1782">
        <v>3</v>
      </c>
      <c r="P1782" s="4">
        <v>1464</v>
      </c>
      <c r="Q1782" t="s">
        <v>42</v>
      </c>
      <c r="R1782">
        <v>0</v>
      </c>
      <c r="S1782" t="s">
        <v>31</v>
      </c>
      <c r="T1782">
        <v>0</v>
      </c>
      <c r="U1782">
        <v>0</v>
      </c>
      <c r="V1782" t="s">
        <v>32</v>
      </c>
      <c r="W1782" t="s">
        <v>39</v>
      </c>
      <c r="X1782" s="4">
        <v>6.2</v>
      </c>
      <c r="Y1782">
        <v>6</v>
      </c>
      <c r="Z1782" s="5">
        <v>240.42</v>
      </c>
    </row>
    <row r="1783" spans="1:26">
      <c r="A1783">
        <v>1782</v>
      </c>
      <c r="B1783">
        <v>580</v>
      </c>
      <c r="C1783" s="2">
        <v>46116</v>
      </c>
      <c r="D1783" t="s">
        <v>40</v>
      </c>
      <c r="E1783">
        <v>4</v>
      </c>
      <c r="F1783" s="3">
        <v>12.48</v>
      </c>
      <c r="G1783" t="s">
        <v>36</v>
      </c>
      <c r="H1783">
        <v>29</v>
      </c>
      <c r="I1783" t="s">
        <v>28</v>
      </c>
      <c r="J1783" s="4">
        <v>67.099999999999994</v>
      </c>
      <c r="K1783" s="4">
        <v>195.2</v>
      </c>
      <c r="L1783" s="4">
        <v>30.4</v>
      </c>
      <c r="M1783">
        <v>13</v>
      </c>
      <c r="N1783" t="s">
        <v>53</v>
      </c>
      <c r="O1783">
        <v>3</v>
      </c>
      <c r="P1783" s="4">
        <v>1034.0999999999999</v>
      </c>
      <c r="Q1783" t="s">
        <v>42</v>
      </c>
      <c r="R1783">
        <v>1</v>
      </c>
      <c r="S1783" t="s">
        <v>44</v>
      </c>
      <c r="T1783">
        <v>0</v>
      </c>
      <c r="U1783">
        <v>0</v>
      </c>
      <c r="V1783" t="s">
        <v>32</v>
      </c>
      <c r="W1783" t="s">
        <v>39</v>
      </c>
      <c r="X1783" s="4">
        <v>8.3000000000000007</v>
      </c>
      <c r="Y1783">
        <v>11</v>
      </c>
      <c r="Z1783" s="5">
        <v>462.39</v>
      </c>
    </row>
    <row r="1784" spans="1:26">
      <c r="A1784">
        <v>1783</v>
      </c>
      <c r="B1784">
        <v>580</v>
      </c>
      <c r="C1784" s="2">
        <v>46116</v>
      </c>
      <c r="D1784" t="s">
        <v>40</v>
      </c>
      <c r="E1784">
        <v>4</v>
      </c>
      <c r="F1784" s="3">
        <v>12.36</v>
      </c>
      <c r="G1784" t="s">
        <v>36</v>
      </c>
      <c r="H1784">
        <v>47</v>
      </c>
      <c r="I1784" t="s">
        <v>28</v>
      </c>
      <c r="J1784" s="4">
        <v>67.3</v>
      </c>
      <c r="K1784" s="4">
        <v>188.1</v>
      </c>
      <c r="L1784" s="4">
        <v>29.1</v>
      </c>
      <c r="M1784">
        <v>15</v>
      </c>
      <c r="N1784" t="s">
        <v>53</v>
      </c>
      <c r="O1784">
        <v>3</v>
      </c>
      <c r="P1784" s="4">
        <v>1034.0999999999999</v>
      </c>
      <c r="Q1784" t="s">
        <v>42</v>
      </c>
      <c r="R1784">
        <v>1</v>
      </c>
      <c r="S1784" t="s">
        <v>44</v>
      </c>
      <c r="T1784">
        <v>0</v>
      </c>
      <c r="U1784">
        <v>0</v>
      </c>
      <c r="V1784" t="s">
        <v>32</v>
      </c>
      <c r="W1784" t="s">
        <v>39</v>
      </c>
      <c r="X1784" s="4">
        <v>8</v>
      </c>
      <c r="Y1784">
        <v>6</v>
      </c>
      <c r="Z1784" s="5">
        <v>190.21</v>
      </c>
    </row>
    <row r="1785" spans="1:26">
      <c r="A1785">
        <v>1784</v>
      </c>
      <c r="B1785">
        <v>580</v>
      </c>
      <c r="C1785" s="2">
        <v>46116</v>
      </c>
      <c r="D1785" t="s">
        <v>40</v>
      </c>
      <c r="E1785">
        <v>4</v>
      </c>
      <c r="F1785" s="3">
        <v>12.45</v>
      </c>
      <c r="G1785" t="s">
        <v>36</v>
      </c>
      <c r="H1785">
        <v>77</v>
      </c>
      <c r="I1785" t="s">
        <v>28</v>
      </c>
      <c r="J1785" s="4">
        <v>68.8</v>
      </c>
      <c r="K1785" s="4">
        <v>139.1</v>
      </c>
      <c r="L1785" s="4">
        <v>20.7</v>
      </c>
      <c r="M1785">
        <v>14</v>
      </c>
      <c r="N1785" t="s">
        <v>53</v>
      </c>
      <c r="O1785">
        <v>3</v>
      </c>
      <c r="P1785" s="4">
        <v>1034.0999999999999</v>
      </c>
      <c r="Q1785" t="s">
        <v>42</v>
      </c>
      <c r="R1785">
        <v>1</v>
      </c>
      <c r="S1785" t="s">
        <v>44</v>
      </c>
      <c r="T1785">
        <v>0</v>
      </c>
      <c r="U1785">
        <v>0</v>
      </c>
      <c r="V1785" t="s">
        <v>32</v>
      </c>
      <c r="W1785" t="s">
        <v>39</v>
      </c>
      <c r="X1785" s="4">
        <v>7.5</v>
      </c>
      <c r="Y1785">
        <v>8</v>
      </c>
      <c r="Z1785" s="5">
        <v>193.12</v>
      </c>
    </row>
    <row r="1786" spans="1:26">
      <c r="A1786">
        <v>1785</v>
      </c>
      <c r="B1786">
        <v>581</v>
      </c>
      <c r="C1786" s="2">
        <v>46058</v>
      </c>
      <c r="D1786" t="s">
        <v>55</v>
      </c>
      <c r="E1786">
        <v>2</v>
      </c>
      <c r="F1786" s="3">
        <v>9.81</v>
      </c>
      <c r="G1786" t="s">
        <v>27</v>
      </c>
      <c r="H1786">
        <v>59</v>
      </c>
      <c r="I1786" t="s">
        <v>28</v>
      </c>
      <c r="J1786" s="4">
        <v>67.099999999999994</v>
      </c>
      <c r="K1786" s="4">
        <v>202</v>
      </c>
      <c r="L1786" s="4">
        <v>31.2</v>
      </c>
      <c r="M1786">
        <v>17</v>
      </c>
      <c r="N1786" t="s">
        <v>59</v>
      </c>
      <c r="O1786">
        <v>3</v>
      </c>
      <c r="P1786" s="4">
        <v>1033.8</v>
      </c>
      <c r="Q1786" t="s">
        <v>48</v>
      </c>
      <c r="R1786">
        <v>1</v>
      </c>
      <c r="S1786" t="s">
        <v>44</v>
      </c>
      <c r="T1786">
        <v>0</v>
      </c>
      <c r="U1786">
        <v>0</v>
      </c>
      <c r="V1786" t="s">
        <v>45</v>
      </c>
      <c r="W1786" t="s">
        <v>57</v>
      </c>
      <c r="X1786" s="4">
        <v>9.3000000000000007</v>
      </c>
      <c r="Y1786">
        <v>4</v>
      </c>
      <c r="Z1786" s="5">
        <v>227.2</v>
      </c>
    </row>
    <row r="1787" spans="1:26">
      <c r="A1787">
        <v>1786</v>
      </c>
      <c r="B1787">
        <v>581</v>
      </c>
      <c r="C1787" s="2">
        <v>46058</v>
      </c>
      <c r="D1787" t="s">
        <v>55</v>
      </c>
      <c r="E1787">
        <v>2</v>
      </c>
      <c r="F1787" s="3">
        <v>9.76</v>
      </c>
      <c r="G1787" t="s">
        <v>27</v>
      </c>
      <c r="H1787">
        <v>18</v>
      </c>
      <c r="I1787" t="s">
        <v>34</v>
      </c>
      <c r="J1787" s="4">
        <v>62.4</v>
      </c>
      <c r="K1787" s="4">
        <v>148.6</v>
      </c>
      <c r="L1787" s="4">
        <v>26.6</v>
      </c>
      <c r="M1787">
        <v>18</v>
      </c>
      <c r="N1787" t="s">
        <v>59</v>
      </c>
      <c r="O1787">
        <v>3</v>
      </c>
      <c r="P1787" s="4">
        <v>1033.8</v>
      </c>
      <c r="Q1787" t="s">
        <v>48</v>
      </c>
      <c r="R1787">
        <v>1</v>
      </c>
      <c r="S1787" t="s">
        <v>44</v>
      </c>
      <c r="T1787">
        <v>0</v>
      </c>
      <c r="U1787">
        <v>0</v>
      </c>
      <c r="V1787" t="s">
        <v>45</v>
      </c>
      <c r="W1787" t="s">
        <v>57</v>
      </c>
      <c r="X1787" s="4">
        <v>6.5</v>
      </c>
      <c r="Y1787">
        <v>5</v>
      </c>
      <c r="Z1787" s="5">
        <v>503.78</v>
      </c>
    </row>
    <row r="1788" spans="1:26">
      <c r="A1788">
        <v>1787</v>
      </c>
      <c r="B1788">
        <v>581</v>
      </c>
      <c r="C1788" s="2">
        <v>46058</v>
      </c>
      <c r="D1788" t="s">
        <v>55</v>
      </c>
      <c r="E1788">
        <v>2</v>
      </c>
      <c r="F1788" s="3">
        <v>9.7799999999999994</v>
      </c>
      <c r="G1788" t="s">
        <v>27</v>
      </c>
      <c r="H1788">
        <v>53</v>
      </c>
      <c r="I1788" t="s">
        <v>34</v>
      </c>
      <c r="J1788" s="4">
        <v>59.3</v>
      </c>
      <c r="K1788" s="4">
        <v>113.2</v>
      </c>
      <c r="L1788" s="4">
        <v>22.4</v>
      </c>
      <c r="M1788">
        <v>16</v>
      </c>
      <c r="N1788" t="s">
        <v>59</v>
      </c>
      <c r="O1788">
        <v>3</v>
      </c>
      <c r="P1788" s="4">
        <v>1033.8</v>
      </c>
      <c r="Q1788" t="s">
        <v>48</v>
      </c>
      <c r="R1788">
        <v>1</v>
      </c>
      <c r="S1788" t="s">
        <v>44</v>
      </c>
      <c r="T1788">
        <v>0</v>
      </c>
      <c r="U1788">
        <v>0</v>
      </c>
      <c r="V1788" t="s">
        <v>45</v>
      </c>
      <c r="W1788" t="s">
        <v>57</v>
      </c>
      <c r="X1788" s="4">
        <v>7.3</v>
      </c>
      <c r="Y1788">
        <v>11</v>
      </c>
      <c r="Z1788" s="5">
        <v>188.86</v>
      </c>
    </row>
    <row r="1789" spans="1:26">
      <c r="A1789">
        <v>1788</v>
      </c>
      <c r="B1789">
        <v>582</v>
      </c>
      <c r="C1789" s="2">
        <v>46087</v>
      </c>
      <c r="D1789" t="s">
        <v>26</v>
      </c>
      <c r="E1789">
        <v>3</v>
      </c>
      <c r="F1789" s="3">
        <v>11.47</v>
      </c>
      <c r="G1789" t="s">
        <v>36</v>
      </c>
      <c r="H1789">
        <v>37</v>
      </c>
      <c r="I1789" t="s">
        <v>34</v>
      </c>
      <c r="J1789" s="4">
        <v>60.4</v>
      </c>
      <c r="K1789" s="4">
        <v>135.5</v>
      </c>
      <c r="L1789" s="4">
        <v>26.4</v>
      </c>
      <c r="M1789">
        <v>12</v>
      </c>
      <c r="N1789" t="s">
        <v>61</v>
      </c>
      <c r="O1789">
        <v>1</v>
      </c>
      <c r="P1789" s="4">
        <v>961.8</v>
      </c>
      <c r="Q1789" t="s">
        <v>30</v>
      </c>
      <c r="R1789">
        <v>1</v>
      </c>
      <c r="S1789" t="s">
        <v>44</v>
      </c>
      <c r="T1789">
        <v>0</v>
      </c>
      <c r="U1789">
        <v>0</v>
      </c>
      <c r="V1789" t="s">
        <v>32</v>
      </c>
      <c r="W1789" t="s">
        <v>49</v>
      </c>
      <c r="X1789" s="4">
        <v>8.1999999999999993</v>
      </c>
      <c r="Y1789">
        <v>8</v>
      </c>
      <c r="Z1789" s="5">
        <v>197.74</v>
      </c>
    </row>
    <row r="1790" spans="1:26">
      <c r="A1790">
        <v>1789</v>
      </c>
      <c r="B1790">
        <v>583</v>
      </c>
      <c r="C1790" s="2">
        <v>46383</v>
      </c>
      <c r="D1790" t="s">
        <v>58</v>
      </c>
      <c r="E1790">
        <v>12</v>
      </c>
      <c r="F1790" s="3">
        <v>10.84</v>
      </c>
      <c r="G1790" t="s">
        <v>27</v>
      </c>
      <c r="H1790">
        <v>22</v>
      </c>
      <c r="I1790" t="s">
        <v>34</v>
      </c>
      <c r="J1790" s="4">
        <v>59.9</v>
      </c>
      <c r="K1790" s="4">
        <v>130.5</v>
      </c>
      <c r="L1790" s="4">
        <v>25.7</v>
      </c>
      <c r="M1790">
        <v>11</v>
      </c>
      <c r="N1790" t="s">
        <v>47</v>
      </c>
      <c r="O1790">
        <v>5</v>
      </c>
      <c r="P1790" s="4">
        <v>138.5</v>
      </c>
      <c r="Q1790" t="s">
        <v>30</v>
      </c>
      <c r="R1790">
        <v>0</v>
      </c>
      <c r="S1790" t="s">
        <v>31</v>
      </c>
      <c r="T1790">
        <v>0</v>
      </c>
      <c r="U1790">
        <v>0</v>
      </c>
      <c r="V1790" t="s">
        <v>45</v>
      </c>
      <c r="W1790" t="s">
        <v>43</v>
      </c>
      <c r="X1790" s="4">
        <v>9.9</v>
      </c>
      <c r="Y1790">
        <v>11</v>
      </c>
      <c r="Z1790" s="5">
        <v>205.63</v>
      </c>
    </row>
    <row r="1791" spans="1:26">
      <c r="A1791">
        <v>1790</v>
      </c>
      <c r="B1791">
        <v>583</v>
      </c>
      <c r="C1791" s="2">
        <v>46383</v>
      </c>
      <c r="D1791" t="s">
        <v>58</v>
      </c>
      <c r="E1791">
        <v>12</v>
      </c>
      <c r="F1791" s="3">
        <v>10.75</v>
      </c>
      <c r="G1791" t="s">
        <v>27</v>
      </c>
      <c r="H1791">
        <v>34</v>
      </c>
      <c r="I1791" t="s">
        <v>34</v>
      </c>
      <c r="J1791" s="4">
        <v>61</v>
      </c>
      <c r="K1791" s="4">
        <v>117.3</v>
      </c>
      <c r="L1791" s="4">
        <v>22</v>
      </c>
      <c r="M1791">
        <v>13</v>
      </c>
      <c r="N1791" t="s">
        <v>47</v>
      </c>
      <c r="O1791">
        <v>5</v>
      </c>
      <c r="P1791" s="4">
        <v>138.5</v>
      </c>
      <c r="Q1791" t="s">
        <v>30</v>
      </c>
      <c r="R1791">
        <v>0</v>
      </c>
      <c r="S1791" t="s">
        <v>31</v>
      </c>
      <c r="T1791">
        <v>0</v>
      </c>
      <c r="U1791">
        <v>0</v>
      </c>
      <c r="V1791" t="s">
        <v>45</v>
      </c>
      <c r="W1791" t="s">
        <v>43</v>
      </c>
      <c r="X1791" s="4">
        <v>10.8</v>
      </c>
      <c r="Y1791">
        <v>11</v>
      </c>
      <c r="Z1791" s="5">
        <v>211.9</v>
      </c>
    </row>
    <row r="1792" spans="1:26">
      <c r="A1792">
        <v>1791</v>
      </c>
      <c r="B1792">
        <v>583</v>
      </c>
      <c r="C1792" s="2">
        <v>46383</v>
      </c>
      <c r="D1792" t="s">
        <v>58</v>
      </c>
      <c r="E1792">
        <v>12</v>
      </c>
      <c r="F1792" s="3">
        <v>10.94</v>
      </c>
      <c r="G1792" t="s">
        <v>27</v>
      </c>
      <c r="H1792">
        <v>11</v>
      </c>
      <c r="I1792" t="s">
        <v>34</v>
      </c>
      <c r="J1792" s="4">
        <v>65.7</v>
      </c>
      <c r="K1792" s="4">
        <v>154.5</v>
      </c>
      <c r="L1792" s="4">
        <v>25.2</v>
      </c>
      <c r="M1792">
        <v>12</v>
      </c>
      <c r="N1792" t="s">
        <v>47</v>
      </c>
      <c r="O1792">
        <v>5</v>
      </c>
      <c r="P1792" s="4">
        <v>138.5</v>
      </c>
      <c r="Q1792" t="s">
        <v>30</v>
      </c>
      <c r="R1792">
        <v>0</v>
      </c>
      <c r="S1792" t="s">
        <v>31</v>
      </c>
      <c r="T1792">
        <v>0</v>
      </c>
      <c r="U1792">
        <v>0</v>
      </c>
      <c r="V1792" t="s">
        <v>45</v>
      </c>
      <c r="W1792" t="s">
        <v>43</v>
      </c>
      <c r="X1792" s="4">
        <v>8.9</v>
      </c>
      <c r="Y1792">
        <v>5</v>
      </c>
      <c r="Z1792" s="5">
        <v>192</v>
      </c>
    </row>
    <row r="1793" spans="1:26">
      <c r="A1793">
        <v>1792</v>
      </c>
      <c r="B1793">
        <v>583</v>
      </c>
      <c r="C1793" s="2">
        <v>46383</v>
      </c>
      <c r="D1793" t="s">
        <v>58</v>
      </c>
      <c r="E1793">
        <v>12</v>
      </c>
      <c r="F1793" s="3">
        <v>10.84</v>
      </c>
      <c r="G1793" t="s">
        <v>27</v>
      </c>
      <c r="H1793">
        <v>70</v>
      </c>
      <c r="I1793" t="s">
        <v>28</v>
      </c>
      <c r="J1793" s="4">
        <v>68.8</v>
      </c>
      <c r="K1793" s="4">
        <v>146.69999999999999</v>
      </c>
      <c r="L1793" s="4">
        <v>21.8</v>
      </c>
      <c r="M1793">
        <v>14</v>
      </c>
      <c r="N1793" t="s">
        <v>47</v>
      </c>
      <c r="O1793">
        <v>5</v>
      </c>
      <c r="P1793" s="4">
        <v>138.5</v>
      </c>
      <c r="Q1793" t="s">
        <v>30</v>
      </c>
      <c r="R1793">
        <v>0</v>
      </c>
      <c r="S1793" t="s">
        <v>31</v>
      </c>
      <c r="T1793">
        <v>0</v>
      </c>
      <c r="U1793">
        <v>0</v>
      </c>
      <c r="V1793" t="s">
        <v>45</v>
      </c>
      <c r="W1793" t="s">
        <v>43</v>
      </c>
      <c r="X1793" s="4">
        <v>9.1</v>
      </c>
      <c r="Y1793">
        <v>11</v>
      </c>
      <c r="Z1793" s="5">
        <v>156.99</v>
      </c>
    </row>
    <row r="1794" spans="1:26">
      <c r="A1794">
        <v>1793</v>
      </c>
      <c r="B1794">
        <v>583</v>
      </c>
      <c r="C1794" s="2">
        <v>46383</v>
      </c>
      <c r="D1794" t="s">
        <v>58</v>
      </c>
      <c r="E1794">
        <v>12</v>
      </c>
      <c r="F1794" s="3">
        <v>10.63</v>
      </c>
      <c r="G1794" t="s">
        <v>27</v>
      </c>
      <c r="H1794">
        <v>40</v>
      </c>
      <c r="I1794" t="s">
        <v>28</v>
      </c>
      <c r="J1794" s="4">
        <v>72</v>
      </c>
      <c r="K1794" s="4">
        <v>163.30000000000001</v>
      </c>
      <c r="L1794" s="4">
        <v>22.1</v>
      </c>
      <c r="M1794">
        <v>8</v>
      </c>
      <c r="N1794" t="s">
        <v>47</v>
      </c>
      <c r="O1794">
        <v>5</v>
      </c>
      <c r="P1794" s="4">
        <v>138.5</v>
      </c>
      <c r="Q1794" t="s">
        <v>30</v>
      </c>
      <c r="R1794">
        <v>0</v>
      </c>
      <c r="S1794" t="s">
        <v>31</v>
      </c>
      <c r="T1794">
        <v>0</v>
      </c>
      <c r="U1794">
        <v>0</v>
      </c>
      <c r="V1794" t="s">
        <v>45</v>
      </c>
      <c r="W1794" t="s">
        <v>43</v>
      </c>
      <c r="X1794" s="4">
        <v>7.9</v>
      </c>
      <c r="Y1794">
        <v>7</v>
      </c>
      <c r="Z1794" s="5">
        <v>279.10000000000002</v>
      </c>
    </row>
    <row r="1795" spans="1:26">
      <c r="A1795">
        <v>1794</v>
      </c>
      <c r="B1795">
        <v>584</v>
      </c>
      <c r="C1795" s="2">
        <v>46304</v>
      </c>
      <c r="D1795" t="s">
        <v>26</v>
      </c>
      <c r="E1795">
        <v>10</v>
      </c>
      <c r="F1795" s="3">
        <v>11.86</v>
      </c>
      <c r="G1795" t="s">
        <v>36</v>
      </c>
      <c r="H1795">
        <v>53</v>
      </c>
      <c r="I1795" t="s">
        <v>28</v>
      </c>
      <c r="J1795" s="4">
        <v>68.8</v>
      </c>
      <c r="K1795" s="4">
        <v>154.30000000000001</v>
      </c>
      <c r="L1795" s="4">
        <v>23.2</v>
      </c>
      <c r="M1795">
        <v>12</v>
      </c>
      <c r="N1795" t="s">
        <v>47</v>
      </c>
      <c r="O1795">
        <v>4</v>
      </c>
      <c r="P1795" s="4">
        <v>3.1</v>
      </c>
      <c r="Q1795" t="s">
        <v>30</v>
      </c>
      <c r="R1795">
        <v>0</v>
      </c>
      <c r="S1795" t="s">
        <v>38</v>
      </c>
      <c r="T1795">
        <v>0</v>
      </c>
      <c r="U1795">
        <v>0</v>
      </c>
      <c r="V1795" t="s">
        <v>32</v>
      </c>
      <c r="W1795" t="s">
        <v>39</v>
      </c>
      <c r="X1795" s="4">
        <v>6.5</v>
      </c>
      <c r="Y1795">
        <v>7</v>
      </c>
      <c r="Z1795" s="5">
        <v>115.89</v>
      </c>
    </row>
    <row r="1796" spans="1:26">
      <c r="A1796">
        <v>1795</v>
      </c>
      <c r="B1796">
        <v>584</v>
      </c>
      <c r="C1796" s="2">
        <v>46304</v>
      </c>
      <c r="D1796" t="s">
        <v>26</v>
      </c>
      <c r="E1796">
        <v>10</v>
      </c>
      <c r="F1796" s="3">
        <v>11.26</v>
      </c>
      <c r="G1796" t="s">
        <v>36</v>
      </c>
      <c r="H1796">
        <v>19</v>
      </c>
      <c r="I1796" t="s">
        <v>34</v>
      </c>
      <c r="J1796" s="4">
        <v>67.400000000000006</v>
      </c>
      <c r="K1796" s="4">
        <v>149.1</v>
      </c>
      <c r="L1796" s="4">
        <v>22.7</v>
      </c>
      <c r="M1796">
        <v>14</v>
      </c>
      <c r="N1796" t="s">
        <v>47</v>
      </c>
      <c r="O1796">
        <v>4</v>
      </c>
      <c r="P1796" s="4">
        <v>3.1</v>
      </c>
      <c r="Q1796" t="s">
        <v>30</v>
      </c>
      <c r="R1796">
        <v>0</v>
      </c>
      <c r="S1796" t="s">
        <v>38</v>
      </c>
      <c r="T1796">
        <v>0</v>
      </c>
      <c r="U1796">
        <v>0</v>
      </c>
      <c r="V1796" t="s">
        <v>32</v>
      </c>
      <c r="W1796" t="s">
        <v>39</v>
      </c>
      <c r="X1796" s="4">
        <v>5</v>
      </c>
      <c r="Y1796">
        <v>8</v>
      </c>
      <c r="Z1796" s="5">
        <v>176.83</v>
      </c>
    </row>
    <row r="1797" spans="1:26">
      <c r="A1797">
        <v>1796</v>
      </c>
      <c r="B1797">
        <v>584</v>
      </c>
      <c r="C1797" s="2">
        <v>46304</v>
      </c>
      <c r="D1797" t="s">
        <v>26</v>
      </c>
      <c r="E1797">
        <v>10</v>
      </c>
      <c r="F1797" s="3">
        <v>11.64</v>
      </c>
      <c r="G1797" t="s">
        <v>36</v>
      </c>
      <c r="H1797">
        <v>29</v>
      </c>
      <c r="I1797" t="s">
        <v>28</v>
      </c>
      <c r="J1797" s="4">
        <v>70.400000000000006</v>
      </c>
      <c r="K1797" s="4">
        <v>193.9</v>
      </c>
      <c r="L1797" s="4">
        <v>27.4</v>
      </c>
      <c r="M1797">
        <v>12</v>
      </c>
      <c r="N1797" t="s">
        <v>47</v>
      </c>
      <c r="O1797">
        <v>4</v>
      </c>
      <c r="P1797" s="4">
        <v>3.1</v>
      </c>
      <c r="Q1797" t="s">
        <v>30</v>
      </c>
      <c r="R1797">
        <v>0</v>
      </c>
      <c r="S1797" t="s">
        <v>38</v>
      </c>
      <c r="T1797">
        <v>0</v>
      </c>
      <c r="U1797">
        <v>0</v>
      </c>
      <c r="V1797" t="s">
        <v>32</v>
      </c>
      <c r="W1797" t="s">
        <v>39</v>
      </c>
      <c r="X1797" s="4">
        <v>6.8</v>
      </c>
      <c r="Y1797">
        <v>5</v>
      </c>
      <c r="Z1797" s="5">
        <v>103.16</v>
      </c>
    </row>
    <row r="1798" spans="1:26">
      <c r="A1798">
        <v>1797</v>
      </c>
      <c r="B1798">
        <v>584</v>
      </c>
      <c r="C1798" s="2">
        <v>46304</v>
      </c>
      <c r="D1798" t="s">
        <v>26</v>
      </c>
      <c r="E1798">
        <v>10</v>
      </c>
      <c r="F1798" s="3">
        <v>11.67</v>
      </c>
      <c r="G1798" t="s">
        <v>36</v>
      </c>
      <c r="H1798">
        <v>56</v>
      </c>
      <c r="I1798" t="s">
        <v>28</v>
      </c>
      <c r="J1798" s="4">
        <v>69.8</v>
      </c>
      <c r="K1798" s="4">
        <v>250.4</v>
      </c>
      <c r="L1798" s="4">
        <v>36.1</v>
      </c>
      <c r="M1798">
        <v>12</v>
      </c>
      <c r="N1798" t="s">
        <v>47</v>
      </c>
      <c r="O1798">
        <v>4</v>
      </c>
      <c r="P1798" s="4">
        <v>3.1</v>
      </c>
      <c r="Q1798" t="s">
        <v>30</v>
      </c>
      <c r="R1798">
        <v>0</v>
      </c>
      <c r="S1798" t="s">
        <v>38</v>
      </c>
      <c r="T1798">
        <v>0</v>
      </c>
      <c r="U1798">
        <v>0</v>
      </c>
      <c r="V1798" t="s">
        <v>32</v>
      </c>
      <c r="W1798" t="s">
        <v>39</v>
      </c>
      <c r="X1798" s="4">
        <v>8</v>
      </c>
      <c r="Y1798">
        <v>9</v>
      </c>
      <c r="Z1798" s="5">
        <v>137.29</v>
      </c>
    </row>
    <row r="1799" spans="1:26">
      <c r="A1799">
        <v>1798</v>
      </c>
      <c r="B1799">
        <v>585</v>
      </c>
      <c r="C1799" s="2">
        <v>46232</v>
      </c>
      <c r="D1799" t="s">
        <v>52</v>
      </c>
      <c r="E1799">
        <v>7</v>
      </c>
      <c r="F1799" s="3">
        <v>10.6</v>
      </c>
      <c r="G1799" t="s">
        <v>27</v>
      </c>
      <c r="H1799">
        <v>3</v>
      </c>
      <c r="I1799" t="s">
        <v>34</v>
      </c>
      <c r="J1799" s="4">
        <v>53.4</v>
      </c>
      <c r="K1799" s="4">
        <v>91.2</v>
      </c>
      <c r="L1799" s="4">
        <v>22.4</v>
      </c>
      <c r="M1799">
        <v>12</v>
      </c>
      <c r="N1799" t="s">
        <v>47</v>
      </c>
      <c r="O1799">
        <v>3</v>
      </c>
      <c r="P1799" s="4">
        <v>157.19999999999999</v>
      </c>
      <c r="Q1799" t="s">
        <v>42</v>
      </c>
      <c r="R1799">
        <v>0</v>
      </c>
      <c r="S1799" t="s">
        <v>38</v>
      </c>
      <c r="T1799">
        <v>0</v>
      </c>
      <c r="U1799">
        <v>1</v>
      </c>
      <c r="V1799" t="s">
        <v>32</v>
      </c>
      <c r="W1799" t="s">
        <v>39</v>
      </c>
      <c r="X1799" s="4">
        <v>9</v>
      </c>
      <c r="Y1799">
        <v>5</v>
      </c>
      <c r="Z1799" s="5">
        <v>150.26</v>
      </c>
    </row>
    <row r="1800" spans="1:26">
      <c r="A1800">
        <v>1799</v>
      </c>
      <c r="B1800">
        <v>585</v>
      </c>
      <c r="C1800" s="2">
        <v>46232</v>
      </c>
      <c r="D1800" t="s">
        <v>52</v>
      </c>
      <c r="E1800">
        <v>7</v>
      </c>
      <c r="F1800" s="3">
        <v>10.69</v>
      </c>
      <c r="G1800" t="s">
        <v>27</v>
      </c>
      <c r="H1800">
        <v>49</v>
      </c>
      <c r="I1800" t="s">
        <v>28</v>
      </c>
      <c r="J1800" s="4">
        <v>69.599999999999994</v>
      </c>
      <c r="K1800" s="4">
        <v>128</v>
      </c>
      <c r="L1800" s="4">
        <v>18.399999999999999</v>
      </c>
      <c r="M1800">
        <v>17</v>
      </c>
      <c r="N1800" t="s">
        <v>47</v>
      </c>
      <c r="O1800">
        <v>3</v>
      </c>
      <c r="P1800" s="4">
        <v>157.19999999999999</v>
      </c>
      <c r="Q1800" t="s">
        <v>42</v>
      </c>
      <c r="R1800">
        <v>0</v>
      </c>
      <c r="S1800" t="s">
        <v>38</v>
      </c>
      <c r="T1800">
        <v>0</v>
      </c>
      <c r="U1800">
        <v>1</v>
      </c>
      <c r="V1800" t="s">
        <v>32</v>
      </c>
      <c r="W1800" t="s">
        <v>39</v>
      </c>
      <c r="X1800" s="4">
        <v>6.9</v>
      </c>
      <c r="Y1800">
        <v>9</v>
      </c>
      <c r="Z1800" s="5">
        <v>179.22</v>
      </c>
    </row>
    <row r="1801" spans="1:26">
      <c r="A1801">
        <v>1800</v>
      </c>
      <c r="B1801">
        <v>585</v>
      </c>
      <c r="C1801" s="2">
        <v>46232</v>
      </c>
      <c r="D1801" t="s">
        <v>52</v>
      </c>
      <c r="E1801">
        <v>7</v>
      </c>
      <c r="F1801" s="3">
        <v>10.66</v>
      </c>
      <c r="G1801" t="s">
        <v>27</v>
      </c>
      <c r="H1801">
        <v>70</v>
      </c>
      <c r="I1801" t="s">
        <v>28</v>
      </c>
      <c r="J1801" s="4">
        <v>71.7</v>
      </c>
      <c r="K1801" s="4">
        <v>198</v>
      </c>
      <c r="L1801" s="4">
        <v>27.1</v>
      </c>
      <c r="M1801">
        <v>16</v>
      </c>
      <c r="N1801" t="s">
        <v>47</v>
      </c>
      <c r="O1801">
        <v>3</v>
      </c>
      <c r="P1801" s="4">
        <v>157.19999999999999</v>
      </c>
      <c r="Q1801" t="s">
        <v>42</v>
      </c>
      <c r="R1801">
        <v>0</v>
      </c>
      <c r="S1801" t="s">
        <v>38</v>
      </c>
      <c r="T1801">
        <v>0</v>
      </c>
      <c r="U1801">
        <v>1</v>
      </c>
      <c r="V1801" t="s">
        <v>32</v>
      </c>
      <c r="W1801" t="s">
        <v>39</v>
      </c>
      <c r="X1801" s="4">
        <v>11.7</v>
      </c>
      <c r="Y1801">
        <v>7</v>
      </c>
      <c r="Z1801" s="5">
        <v>255.1</v>
      </c>
    </row>
    <row r="1802" spans="1:26">
      <c r="A1802">
        <v>1801</v>
      </c>
      <c r="B1802">
        <v>586</v>
      </c>
      <c r="C1802" s="2">
        <v>46095</v>
      </c>
      <c r="D1802" t="s">
        <v>40</v>
      </c>
      <c r="E1802">
        <v>3</v>
      </c>
      <c r="F1802" s="3">
        <v>11.42</v>
      </c>
      <c r="G1802" t="s">
        <v>36</v>
      </c>
      <c r="H1802">
        <v>66</v>
      </c>
      <c r="I1802" t="s">
        <v>28</v>
      </c>
      <c r="J1802" s="4">
        <v>68.5</v>
      </c>
      <c r="K1802" s="4">
        <v>125.8</v>
      </c>
      <c r="L1802" s="4">
        <v>18.600000000000001</v>
      </c>
      <c r="M1802">
        <v>20</v>
      </c>
      <c r="N1802" t="s">
        <v>61</v>
      </c>
      <c r="O1802">
        <v>2</v>
      </c>
      <c r="P1802" s="4">
        <v>1184</v>
      </c>
      <c r="Q1802" t="s">
        <v>48</v>
      </c>
      <c r="R1802">
        <v>1</v>
      </c>
      <c r="S1802" t="s">
        <v>44</v>
      </c>
      <c r="T1802">
        <v>0</v>
      </c>
      <c r="U1802">
        <v>0</v>
      </c>
      <c r="V1802" t="s">
        <v>32</v>
      </c>
      <c r="W1802" t="s">
        <v>43</v>
      </c>
      <c r="X1802" s="4">
        <v>8.6999999999999993</v>
      </c>
      <c r="Y1802">
        <v>8</v>
      </c>
      <c r="Z1802" s="5">
        <v>181.08</v>
      </c>
    </row>
    <row r="1803" spans="1:26">
      <c r="A1803">
        <v>1802</v>
      </c>
      <c r="B1803">
        <v>586</v>
      </c>
      <c r="C1803" s="2">
        <v>46095</v>
      </c>
      <c r="D1803" t="s">
        <v>40</v>
      </c>
      <c r="E1803">
        <v>3</v>
      </c>
      <c r="F1803" s="3">
        <v>11.52</v>
      </c>
      <c r="G1803" t="s">
        <v>36</v>
      </c>
      <c r="H1803">
        <v>13</v>
      </c>
      <c r="I1803" t="s">
        <v>34</v>
      </c>
      <c r="J1803" s="4">
        <v>70</v>
      </c>
      <c r="K1803" s="4">
        <v>130.80000000000001</v>
      </c>
      <c r="L1803" s="4">
        <v>18.8</v>
      </c>
      <c r="M1803">
        <v>13</v>
      </c>
      <c r="N1803" t="s">
        <v>61</v>
      </c>
      <c r="O1803">
        <v>2</v>
      </c>
      <c r="P1803" s="4">
        <v>1184</v>
      </c>
      <c r="Q1803" t="s">
        <v>48</v>
      </c>
      <c r="R1803">
        <v>1</v>
      </c>
      <c r="S1803" t="s">
        <v>44</v>
      </c>
      <c r="T1803">
        <v>0</v>
      </c>
      <c r="U1803">
        <v>0</v>
      </c>
      <c r="V1803" t="s">
        <v>32</v>
      </c>
      <c r="W1803" t="s">
        <v>43</v>
      </c>
      <c r="X1803" s="4">
        <v>9</v>
      </c>
      <c r="Y1803">
        <v>9</v>
      </c>
      <c r="Z1803" s="5">
        <v>314.20999999999998</v>
      </c>
    </row>
    <row r="1804" spans="1:26">
      <c r="A1804">
        <v>1803</v>
      </c>
      <c r="B1804">
        <v>587</v>
      </c>
      <c r="C1804" s="2">
        <v>46349</v>
      </c>
      <c r="D1804" t="s">
        <v>46</v>
      </c>
      <c r="E1804">
        <v>11</v>
      </c>
      <c r="F1804" s="3">
        <v>9.77</v>
      </c>
      <c r="G1804" t="s">
        <v>27</v>
      </c>
      <c r="H1804">
        <v>8</v>
      </c>
      <c r="I1804" t="s">
        <v>28</v>
      </c>
      <c r="J1804" s="4">
        <v>62.1</v>
      </c>
      <c r="K1804" s="4">
        <v>88.4</v>
      </c>
      <c r="L1804" s="4">
        <v>16</v>
      </c>
      <c r="M1804">
        <v>14</v>
      </c>
      <c r="N1804" t="s">
        <v>47</v>
      </c>
      <c r="O1804">
        <v>5</v>
      </c>
      <c r="P1804" s="4">
        <v>51</v>
      </c>
      <c r="Q1804" t="s">
        <v>42</v>
      </c>
      <c r="R1804">
        <v>0</v>
      </c>
      <c r="S1804" t="s">
        <v>38</v>
      </c>
      <c r="T1804">
        <v>1</v>
      </c>
      <c r="U1804">
        <v>0</v>
      </c>
      <c r="V1804" t="s">
        <v>32</v>
      </c>
      <c r="W1804" t="s">
        <v>39</v>
      </c>
      <c r="X1804" s="4">
        <v>9.4</v>
      </c>
      <c r="Y1804">
        <v>8</v>
      </c>
      <c r="Z1804" s="5">
        <v>157.86000000000001</v>
      </c>
    </row>
    <row r="1805" spans="1:26">
      <c r="A1805">
        <v>1804</v>
      </c>
      <c r="B1805">
        <v>587</v>
      </c>
      <c r="C1805" s="2">
        <v>46349</v>
      </c>
      <c r="D1805" t="s">
        <v>46</v>
      </c>
      <c r="E1805">
        <v>11</v>
      </c>
      <c r="F1805" s="3">
        <v>10.029999999999999</v>
      </c>
      <c r="G1805" t="s">
        <v>27</v>
      </c>
      <c r="H1805">
        <v>26</v>
      </c>
      <c r="I1805" t="s">
        <v>34</v>
      </c>
      <c r="J1805" s="4">
        <v>65</v>
      </c>
      <c r="K1805" s="4">
        <v>189.4</v>
      </c>
      <c r="L1805" s="4">
        <v>31.6</v>
      </c>
      <c r="M1805">
        <v>17</v>
      </c>
      <c r="N1805" t="s">
        <v>47</v>
      </c>
      <c r="O1805">
        <v>5</v>
      </c>
      <c r="P1805" s="4">
        <v>51</v>
      </c>
      <c r="Q1805" t="s">
        <v>42</v>
      </c>
      <c r="R1805">
        <v>0</v>
      </c>
      <c r="S1805" t="s">
        <v>38</v>
      </c>
      <c r="T1805">
        <v>1</v>
      </c>
      <c r="U1805">
        <v>0</v>
      </c>
      <c r="V1805" t="s">
        <v>32</v>
      </c>
      <c r="W1805" t="s">
        <v>39</v>
      </c>
      <c r="X1805" s="4">
        <v>8.1999999999999993</v>
      </c>
      <c r="Y1805">
        <v>11</v>
      </c>
      <c r="Z1805" s="5">
        <v>315.57</v>
      </c>
    </row>
    <row r="1806" spans="1:26">
      <c r="A1806">
        <v>1805</v>
      </c>
      <c r="B1806">
        <v>587</v>
      </c>
      <c r="C1806" s="2">
        <v>46349</v>
      </c>
      <c r="D1806" t="s">
        <v>46</v>
      </c>
      <c r="E1806">
        <v>11</v>
      </c>
      <c r="F1806" s="3">
        <v>10.16</v>
      </c>
      <c r="G1806" t="s">
        <v>27</v>
      </c>
      <c r="H1806">
        <v>24</v>
      </c>
      <c r="I1806" t="s">
        <v>28</v>
      </c>
      <c r="J1806" s="4">
        <v>68.400000000000006</v>
      </c>
      <c r="K1806" s="4">
        <v>151.6</v>
      </c>
      <c r="L1806" s="4">
        <v>22.8</v>
      </c>
      <c r="M1806">
        <v>16</v>
      </c>
      <c r="N1806" t="s">
        <v>47</v>
      </c>
      <c r="O1806">
        <v>5</v>
      </c>
      <c r="P1806" s="4">
        <v>51</v>
      </c>
      <c r="Q1806" t="s">
        <v>42</v>
      </c>
      <c r="R1806">
        <v>0</v>
      </c>
      <c r="S1806" t="s">
        <v>38</v>
      </c>
      <c r="T1806">
        <v>1</v>
      </c>
      <c r="U1806">
        <v>0</v>
      </c>
      <c r="V1806" t="s">
        <v>32</v>
      </c>
      <c r="W1806" t="s">
        <v>39</v>
      </c>
      <c r="X1806" s="4">
        <v>7</v>
      </c>
      <c r="Y1806">
        <v>15</v>
      </c>
      <c r="Z1806" s="5">
        <v>323.43</v>
      </c>
    </row>
    <row r="1807" spans="1:26">
      <c r="A1807">
        <v>1806</v>
      </c>
      <c r="B1807">
        <v>587</v>
      </c>
      <c r="C1807" s="2">
        <v>46349</v>
      </c>
      <c r="D1807" t="s">
        <v>46</v>
      </c>
      <c r="E1807">
        <v>11</v>
      </c>
      <c r="F1807" s="3">
        <v>9.92</v>
      </c>
      <c r="G1807" t="s">
        <v>27</v>
      </c>
      <c r="H1807">
        <v>53</v>
      </c>
      <c r="I1807" t="s">
        <v>34</v>
      </c>
      <c r="J1807" s="4">
        <v>62.7</v>
      </c>
      <c r="K1807" s="4">
        <v>177.4</v>
      </c>
      <c r="L1807" s="4">
        <v>31.7</v>
      </c>
      <c r="M1807">
        <v>13</v>
      </c>
      <c r="N1807" t="s">
        <v>47</v>
      </c>
      <c r="O1807">
        <v>5</v>
      </c>
      <c r="P1807" s="4">
        <v>51</v>
      </c>
      <c r="Q1807" t="s">
        <v>42</v>
      </c>
      <c r="R1807">
        <v>0</v>
      </c>
      <c r="S1807" t="s">
        <v>38</v>
      </c>
      <c r="T1807">
        <v>1</v>
      </c>
      <c r="U1807">
        <v>0</v>
      </c>
      <c r="V1807" t="s">
        <v>32</v>
      </c>
      <c r="W1807" t="s">
        <v>39</v>
      </c>
      <c r="X1807" s="4">
        <v>7.5</v>
      </c>
      <c r="Y1807">
        <v>9</v>
      </c>
      <c r="Z1807" s="5">
        <v>181.13</v>
      </c>
    </row>
    <row r="1808" spans="1:26">
      <c r="A1808">
        <v>1807</v>
      </c>
      <c r="B1808">
        <v>587</v>
      </c>
      <c r="C1808" s="2">
        <v>46349</v>
      </c>
      <c r="D1808" t="s">
        <v>46</v>
      </c>
      <c r="E1808">
        <v>11</v>
      </c>
      <c r="F1808" s="3">
        <v>9.89</v>
      </c>
      <c r="G1808" t="s">
        <v>27</v>
      </c>
      <c r="H1808">
        <v>58</v>
      </c>
      <c r="I1808" t="s">
        <v>34</v>
      </c>
      <c r="J1808" s="4">
        <v>65.599999999999994</v>
      </c>
      <c r="K1808" s="4">
        <v>125.6</v>
      </c>
      <c r="L1808" s="4">
        <v>20.5</v>
      </c>
      <c r="M1808">
        <v>15</v>
      </c>
      <c r="N1808" t="s">
        <v>47</v>
      </c>
      <c r="O1808">
        <v>5</v>
      </c>
      <c r="P1808" s="4">
        <v>51</v>
      </c>
      <c r="Q1808" t="s">
        <v>42</v>
      </c>
      <c r="R1808">
        <v>0</v>
      </c>
      <c r="S1808" t="s">
        <v>38</v>
      </c>
      <c r="T1808">
        <v>1</v>
      </c>
      <c r="U1808">
        <v>0</v>
      </c>
      <c r="V1808" t="s">
        <v>32</v>
      </c>
      <c r="W1808" t="s">
        <v>39</v>
      </c>
      <c r="X1808" s="4">
        <v>8.6999999999999993</v>
      </c>
      <c r="Y1808">
        <v>4</v>
      </c>
      <c r="Z1808" s="5">
        <v>173.63</v>
      </c>
    </row>
    <row r="1809" spans="1:26">
      <c r="A1809">
        <v>1808</v>
      </c>
      <c r="B1809">
        <v>588</v>
      </c>
      <c r="C1809" s="2">
        <v>46245</v>
      </c>
      <c r="D1809" t="s">
        <v>35</v>
      </c>
      <c r="E1809">
        <v>8</v>
      </c>
      <c r="F1809" s="3">
        <v>10.55</v>
      </c>
      <c r="G1809" t="s">
        <v>27</v>
      </c>
      <c r="H1809">
        <v>62</v>
      </c>
      <c r="I1809" t="s">
        <v>28</v>
      </c>
      <c r="J1809" s="4">
        <v>66.7</v>
      </c>
      <c r="K1809" s="4">
        <v>186.3</v>
      </c>
      <c r="L1809" s="4">
        <v>29.5</v>
      </c>
      <c r="M1809">
        <v>17</v>
      </c>
      <c r="N1809" t="s">
        <v>60</v>
      </c>
      <c r="O1809">
        <v>4</v>
      </c>
      <c r="P1809" s="4">
        <v>1277</v>
      </c>
      <c r="Q1809" t="s">
        <v>48</v>
      </c>
      <c r="R1809">
        <v>0</v>
      </c>
      <c r="S1809" t="s">
        <v>44</v>
      </c>
      <c r="T1809">
        <v>0</v>
      </c>
      <c r="U1809">
        <v>0</v>
      </c>
      <c r="V1809" t="s">
        <v>45</v>
      </c>
      <c r="W1809" t="s">
        <v>39</v>
      </c>
      <c r="X1809" s="4">
        <v>5.4</v>
      </c>
      <c r="Y1809">
        <v>5</v>
      </c>
      <c r="Z1809" s="5">
        <v>245.49</v>
      </c>
    </row>
    <row r="1810" spans="1:26">
      <c r="A1810">
        <v>1809</v>
      </c>
      <c r="B1810">
        <v>588</v>
      </c>
      <c r="C1810" s="2">
        <v>46245</v>
      </c>
      <c r="D1810" t="s">
        <v>35</v>
      </c>
      <c r="E1810">
        <v>8</v>
      </c>
      <c r="F1810" s="3">
        <v>10.61</v>
      </c>
      <c r="G1810" t="s">
        <v>27</v>
      </c>
      <c r="H1810">
        <v>30</v>
      </c>
      <c r="I1810" t="s">
        <v>28</v>
      </c>
      <c r="J1810" s="4">
        <v>71</v>
      </c>
      <c r="K1810" s="4">
        <v>146.1</v>
      </c>
      <c r="L1810" s="4">
        <v>20.399999999999999</v>
      </c>
      <c r="M1810">
        <v>17</v>
      </c>
      <c r="N1810" t="s">
        <v>60</v>
      </c>
      <c r="O1810">
        <v>4</v>
      </c>
      <c r="P1810" s="4">
        <v>1277</v>
      </c>
      <c r="Q1810" t="s">
        <v>48</v>
      </c>
      <c r="R1810">
        <v>0</v>
      </c>
      <c r="S1810" t="s">
        <v>44</v>
      </c>
      <c r="T1810">
        <v>0</v>
      </c>
      <c r="U1810">
        <v>0</v>
      </c>
      <c r="V1810" t="s">
        <v>45</v>
      </c>
      <c r="W1810" t="s">
        <v>39</v>
      </c>
      <c r="X1810" s="4">
        <v>8</v>
      </c>
      <c r="Y1810">
        <v>7</v>
      </c>
      <c r="Z1810" s="5">
        <v>125.96</v>
      </c>
    </row>
    <row r="1811" spans="1:26">
      <c r="A1811">
        <v>1810</v>
      </c>
      <c r="B1811">
        <v>588</v>
      </c>
      <c r="C1811" s="2">
        <v>46245</v>
      </c>
      <c r="D1811" t="s">
        <v>35</v>
      </c>
      <c r="E1811">
        <v>8</v>
      </c>
      <c r="F1811" s="3">
        <v>10.4</v>
      </c>
      <c r="G1811" t="s">
        <v>27</v>
      </c>
      <c r="H1811">
        <v>3</v>
      </c>
      <c r="I1811" t="s">
        <v>28</v>
      </c>
      <c r="J1811" s="4">
        <v>54.6</v>
      </c>
      <c r="K1811" s="4">
        <v>58.2</v>
      </c>
      <c r="L1811" s="4">
        <v>13.7</v>
      </c>
      <c r="M1811">
        <v>14</v>
      </c>
      <c r="N1811" t="s">
        <v>60</v>
      </c>
      <c r="O1811">
        <v>4</v>
      </c>
      <c r="P1811" s="4">
        <v>1277</v>
      </c>
      <c r="Q1811" t="s">
        <v>48</v>
      </c>
      <c r="R1811">
        <v>0</v>
      </c>
      <c r="S1811" t="s">
        <v>44</v>
      </c>
      <c r="T1811">
        <v>0</v>
      </c>
      <c r="U1811">
        <v>0</v>
      </c>
      <c r="V1811" t="s">
        <v>45</v>
      </c>
      <c r="W1811" t="s">
        <v>39</v>
      </c>
      <c r="X1811" s="4">
        <v>9.3000000000000007</v>
      </c>
      <c r="Y1811">
        <v>7</v>
      </c>
      <c r="Z1811" s="5">
        <v>443.71</v>
      </c>
    </row>
    <row r="1812" spans="1:26">
      <c r="A1812">
        <v>1811</v>
      </c>
      <c r="B1812">
        <v>588</v>
      </c>
      <c r="C1812" s="2">
        <v>46245</v>
      </c>
      <c r="D1812" t="s">
        <v>35</v>
      </c>
      <c r="E1812">
        <v>8</v>
      </c>
      <c r="F1812" s="3">
        <v>10.46</v>
      </c>
      <c r="G1812" t="s">
        <v>27</v>
      </c>
      <c r="H1812">
        <v>32</v>
      </c>
      <c r="I1812" t="s">
        <v>28</v>
      </c>
      <c r="J1812" s="4">
        <v>68.8</v>
      </c>
      <c r="K1812" s="4">
        <v>183.3</v>
      </c>
      <c r="L1812" s="4">
        <v>27.1</v>
      </c>
      <c r="M1812">
        <v>20</v>
      </c>
      <c r="N1812" t="s">
        <v>60</v>
      </c>
      <c r="O1812">
        <v>4</v>
      </c>
      <c r="P1812" s="4">
        <v>1277</v>
      </c>
      <c r="Q1812" t="s">
        <v>48</v>
      </c>
      <c r="R1812">
        <v>0</v>
      </c>
      <c r="S1812" t="s">
        <v>44</v>
      </c>
      <c r="T1812">
        <v>0</v>
      </c>
      <c r="U1812">
        <v>0</v>
      </c>
      <c r="V1812" t="s">
        <v>45</v>
      </c>
      <c r="W1812" t="s">
        <v>39</v>
      </c>
      <c r="X1812" s="4">
        <v>10.5</v>
      </c>
      <c r="Y1812">
        <v>10</v>
      </c>
      <c r="Z1812" s="5">
        <v>215.24</v>
      </c>
    </row>
    <row r="1813" spans="1:26">
      <c r="A1813">
        <v>1812</v>
      </c>
      <c r="B1813">
        <v>589</v>
      </c>
      <c r="C1813" s="2">
        <v>46040</v>
      </c>
      <c r="D1813" t="s">
        <v>58</v>
      </c>
      <c r="E1813">
        <v>1</v>
      </c>
      <c r="F1813" s="3">
        <v>9.06</v>
      </c>
      <c r="G1813" t="s">
        <v>27</v>
      </c>
      <c r="H1813">
        <v>20</v>
      </c>
      <c r="I1813" t="s">
        <v>28</v>
      </c>
      <c r="J1813" s="4">
        <v>71.599999999999994</v>
      </c>
      <c r="K1813" s="4">
        <v>164.5</v>
      </c>
      <c r="L1813" s="4">
        <v>22.4</v>
      </c>
      <c r="M1813">
        <v>15</v>
      </c>
      <c r="N1813" t="s">
        <v>61</v>
      </c>
      <c r="O1813">
        <v>4</v>
      </c>
      <c r="P1813" s="4">
        <v>778</v>
      </c>
      <c r="Q1813" t="s">
        <v>48</v>
      </c>
      <c r="R1813">
        <v>1</v>
      </c>
      <c r="S1813" t="s">
        <v>44</v>
      </c>
      <c r="T1813">
        <v>1</v>
      </c>
      <c r="U1813">
        <v>0</v>
      </c>
      <c r="V1813" t="s">
        <v>32</v>
      </c>
      <c r="W1813" t="s">
        <v>39</v>
      </c>
      <c r="X1813" s="4">
        <v>7.7</v>
      </c>
      <c r="Y1813">
        <v>14</v>
      </c>
      <c r="Z1813" s="5">
        <v>276.73</v>
      </c>
    </row>
    <row r="1814" spans="1:26">
      <c r="A1814">
        <v>1813</v>
      </c>
      <c r="B1814">
        <v>589</v>
      </c>
      <c r="C1814" s="2">
        <v>46040</v>
      </c>
      <c r="D1814" t="s">
        <v>58</v>
      </c>
      <c r="E1814">
        <v>1</v>
      </c>
      <c r="F1814" s="3">
        <v>9.1199999999999992</v>
      </c>
      <c r="G1814" t="s">
        <v>27</v>
      </c>
      <c r="H1814">
        <v>37</v>
      </c>
      <c r="I1814" t="s">
        <v>28</v>
      </c>
      <c r="J1814" s="4">
        <v>68.400000000000006</v>
      </c>
      <c r="K1814" s="4">
        <v>195.4</v>
      </c>
      <c r="L1814" s="4">
        <v>29.4</v>
      </c>
      <c r="M1814">
        <v>17</v>
      </c>
      <c r="N1814" t="s">
        <v>61</v>
      </c>
      <c r="O1814">
        <v>4</v>
      </c>
      <c r="P1814" s="4">
        <v>778</v>
      </c>
      <c r="Q1814" t="s">
        <v>48</v>
      </c>
      <c r="R1814">
        <v>1</v>
      </c>
      <c r="S1814" t="s">
        <v>44</v>
      </c>
      <c r="T1814">
        <v>1</v>
      </c>
      <c r="U1814">
        <v>0</v>
      </c>
      <c r="V1814" t="s">
        <v>32</v>
      </c>
      <c r="W1814" t="s">
        <v>39</v>
      </c>
      <c r="X1814" s="4">
        <v>11.6</v>
      </c>
      <c r="Y1814">
        <v>13</v>
      </c>
      <c r="Z1814" s="5">
        <v>409.71</v>
      </c>
    </row>
    <row r="1815" spans="1:26">
      <c r="A1815">
        <v>1814</v>
      </c>
      <c r="B1815">
        <v>589</v>
      </c>
      <c r="C1815" s="2">
        <v>46040</v>
      </c>
      <c r="D1815" t="s">
        <v>58</v>
      </c>
      <c r="E1815">
        <v>1</v>
      </c>
      <c r="F1815" s="3">
        <v>9.01</v>
      </c>
      <c r="G1815" t="s">
        <v>27</v>
      </c>
      <c r="H1815">
        <v>31</v>
      </c>
      <c r="I1815" t="s">
        <v>28</v>
      </c>
      <c r="J1815" s="4">
        <v>68</v>
      </c>
      <c r="K1815" s="4">
        <v>196.1</v>
      </c>
      <c r="L1815" s="4">
        <v>30.2</v>
      </c>
      <c r="M1815">
        <v>14</v>
      </c>
      <c r="N1815" t="s">
        <v>61</v>
      </c>
      <c r="O1815">
        <v>4</v>
      </c>
      <c r="P1815" s="4">
        <v>778</v>
      </c>
      <c r="Q1815" t="s">
        <v>48</v>
      </c>
      <c r="R1815">
        <v>1</v>
      </c>
      <c r="S1815" t="s">
        <v>44</v>
      </c>
      <c r="T1815">
        <v>1</v>
      </c>
      <c r="U1815">
        <v>0</v>
      </c>
      <c r="V1815" t="s">
        <v>32</v>
      </c>
      <c r="W1815" t="s">
        <v>39</v>
      </c>
      <c r="X1815" s="4">
        <v>8.8000000000000007</v>
      </c>
      <c r="Y1815">
        <v>7</v>
      </c>
      <c r="Z1815" s="5">
        <v>220.85</v>
      </c>
    </row>
    <row r="1816" spans="1:26">
      <c r="A1816">
        <v>1815</v>
      </c>
      <c r="B1816">
        <v>589</v>
      </c>
      <c r="C1816" s="2">
        <v>46040</v>
      </c>
      <c r="D1816" t="s">
        <v>58</v>
      </c>
      <c r="E1816">
        <v>1</v>
      </c>
      <c r="F1816" s="3">
        <v>9.2200000000000006</v>
      </c>
      <c r="G1816" t="s">
        <v>27</v>
      </c>
      <c r="H1816">
        <v>59</v>
      </c>
      <c r="I1816" t="s">
        <v>28</v>
      </c>
      <c r="J1816" s="4">
        <v>67.5</v>
      </c>
      <c r="K1816" s="4">
        <v>209.8</v>
      </c>
      <c r="L1816" s="4">
        <v>32.799999999999997</v>
      </c>
      <c r="M1816">
        <v>18</v>
      </c>
      <c r="N1816" t="s">
        <v>61</v>
      </c>
      <c r="O1816">
        <v>4</v>
      </c>
      <c r="P1816" s="4">
        <v>778</v>
      </c>
      <c r="Q1816" t="s">
        <v>48</v>
      </c>
      <c r="R1816">
        <v>1</v>
      </c>
      <c r="S1816" t="s">
        <v>44</v>
      </c>
      <c r="T1816">
        <v>1</v>
      </c>
      <c r="U1816">
        <v>0</v>
      </c>
      <c r="V1816" t="s">
        <v>32</v>
      </c>
      <c r="W1816" t="s">
        <v>39</v>
      </c>
      <c r="X1816" s="4">
        <v>7.4</v>
      </c>
      <c r="Y1816">
        <v>9</v>
      </c>
      <c r="Z1816" s="5">
        <v>236.93</v>
      </c>
    </row>
    <row r="1817" spans="1:26">
      <c r="A1817">
        <v>1816</v>
      </c>
      <c r="B1817">
        <v>590</v>
      </c>
      <c r="C1817" s="2">
        <v>46023</v>
      </c>
      <c r="D1817" t="s">
        <v>55</v>
      </c>
      <c r="E1817">
        <v>1</v>
      </c>
      <c r="F1817" s="3">
        <v>9.73</v>
      </c>
      <c r="G1817" t="s">
        <v>27</v>
      </c>
      <c r="H1817">
        <v>36</v>
      </c>
      <c r="I1817" t="s">
        <v>28</v>
      </c>
      <c r="J1817" s="4">
        <v>74.900000000000006</v>
      </c>
      <c r="K1817" s="4">
        <v>218.5</v>
      </c>
      <c r="L1817" s="4">
        <v>27.4</v>
      </c>
      <c r="M1817">
        <v>15</v>
      </c>
      <c r="N1817" t="s">
        <v>59</v>
      </c>
      <c r="O1817">
        <v>3</v>
      </c>
      <c r="P1817" s="4">
        <v>959.4</v>
      </c>
      <c r="Q1817" t="s">
        <v>42</v>
      </c>
      <c r="R1817">
        <v>0</v>
      </c>
      <c r="S1817" t="s">
        <v>44</v>
      </c>
      <c r="T1817">
        <v>0</v>
      </c>
      <c r="U1817">
        <v>1</v>
      </c>
      <c r="V1817" t="s">
        <v>32</v>
      </c>
      <c r="W1817" t="s">
        <v>33</v>
      </c>
      <c r="X1817" s="4">
        <v>8.9</v>
      </c>
      <c r="Y1817">
        <v>5</v>
      </c>
      <c r="Z1817" s="5">
        <v>257.20999999999998</v>
      </c>
    </row>
    <row r="1818" spans="1:26">
      <c r="A1818">
        <v>1817</v>
      </c>
      <c r="B1818">
        <v>590</v>
      </c>
      <c r="C1818" s="2">
        <v>46023</v>
      </c>
      <c r="D1818" t="s">
        <v>55</v>
      </c>
      <c r="E1818">
        <v>1</v>
      </c>
      <c r="F1818" s="3">
        <v>9.82</v>
      </c>
      <c r="G1818" t="s">
        <v>27</v>
      </c>
      <c r="H1818">
        <v>71</v>
      </c>
      <c r="I1818" t="s">
        <v>28</v>
      </c>
      <c r="J1818" s="4">
        <v>72.5</v>
      </c>
      <c r="K1818" s="4">
        <v>230.5</v>
      </c>
      <c r="L1818" s="4">
        <v>30.8</v>
      </c>
      <c r="M1818">
        <v>16</v>
      </c>
      <c r="N1818" t="s">
        <v>59</v>
      </c>
      <c r="O1818">
        <v>3</v>
      </c>
      <c r="P1818" s="4">
        <v>959.4</v>
      </c>
      <c r="Q1818" t="s">
        <v>42</v>
      </c>
      <c r="R1818">
        <v>0</v>
      </c>
      <c r="S1818" t="s">
        <v>44</v>
      </c>
      <c r="T1818">
        <v>0</v>
      </c>
      <c r="U1818">
        <v>1</v>
      </c>
      <c r="V1818" t="s">
        <v>32</v>
      </c>
      <c r="W1818" t="s">
        <v>33</v>
      </c>
      <c r="X1818" s="4">
        <v>9</v>
      </c>
      <c r="Y1818">
        <v>12</v>
      </c>
      <c r="Z1818" s="5">
        <v>219.11</v>
      </c>
    </row>
    <row r="1819" spans="1:26">
      <c r="A1819">
        <v>1818</v>
      </c>
      <c r="B1819">
        <v>590</v>
      </c>
      <c r="C1819" s="2">
        <v>46023</v>
      </c>
      <c r="D1819" t="s">
        <v>55</v>
      </c>
      <c r="E1819">
        <v>1</v>
      </c>
      <c r="F1819" s="3">
        <v>9.93</v>
      </c>
      <c r="G1819" t="s">
        <v>27</v>
      </c>
      <c r="H1819">
        <v>27</v>
      </c>
      <c r="I1819" t="s">
        <v>28</v>
      </c>
      <c r="J1819" s="4">
        <v>66.7</v>
      </c>
      <c r="K1819" s="4">
        <v>166</v>
      </c>
      <c r="L1819" s="4">
        <v>26.4</v>
      </c>
      <c r="M1819">
        <v>15</v>
      </c>
      <c r="N1819" t="s">
        <v>59</v>
      </c>
      <c r="O1819">
        <v>3</v>
      </c>
      <c r="P1819" s="4">
        <v>959.4</v>
      </c>
      <c r="Q1819" t="s">
        <v>42</v>
      </c>
      <c r="R1819">
        <v>0</v>
      </c>
      <c r="S1819" t="s">
        <v>44</v>
      </c>
      <c r="T1819">
        <v>0</v>
      </c>
      <c r="U1819">
        <v>1</v>
      </c>
      <c r="V1819" t="s">
        <v>32</v>
      </c>
      <c r="W1819" t="s">
        <v>33</v>
      </c>
      <c r="X1819" s="4">
        <v>10.6</v>
      </c>
      <c r="Y1819">
        <v>16</v>
      </c>
      <c r="Z1819" s="5">
        <v>249.25</v>
      </c>
    </row>
    <row r="1820" spans="1:26">
      <c r="A1820">
        <v>1819</v>
      </c>
      <c r="B1820">
        <v>591</v>
      </c>
      <c r="C1820" s="2">
        <v>46023</v>
      </c>
      <c r="D1820" t="s">
        <v>55</v>
      </c>
      <c r="E1820">
        <v>1</v>
      </c>
      <c r="F1820" s="3">
        <v>8.9</v>
      </c>
      <c r="G1820" t="s">
        <v>27</v>
      </c>
      <c r="H1820">
        <v>40</v>
      </c>
      <c r="I1820" t="s">
        <v>34</v>
      </c>
      <c r="J1820" s="4">
        <v>63.5</v>
      </c>
      <c r="K1820" s="4">
        <v>200.2</v>
      </c>
      <c r="L1820" s="4">
        <v>34.9</v>
      </c>
      <c r="M1820">
        <v>14</v>
      </c>
      <c r="N1820" t="s">
        <v>66</v>
      </c>
      <c r="O1820">
        <v>3</v>
      </c>
      <c r="P1820" s="4">
        <v>445.1</v>
      </c>
      <c r="Q1820" t="s">
        <v>42</v>
      </c>
      <c r="R1820">
        <v>1</v>
      </c>
      <c r="S1820" t="s">
        <v>44</v>
      </c>
      <c r="T1820">
        <v>1</v>
      </c>
      <c r="U1820">
        <v>0</v>
      </c>
      <c r="V1820" t="s">
        <v>32</v>
      </c>
      <c r="W1820" t="s">
        <v>39</v>
      </c>
      <c r="X1820" s="4">
        <v>9.1</v>
      </c>
      <c r="Y1820">
        <v>8</v>
      </c>
      <c r="Z1820" s="5">
        <v>162.91999999999999</v>
      </c>
    </row>
    <row r="1821" spans="1:26">
      <c r="A1821">
        <v>1820</v>
      </c>
      <c r="B1821">
        <v>591</v>
      </c>
      <c r="C1821" s="2">
        <v>46023</v>
      </c>
      <c r="D1821" t="s">
        <v>55</v>
      </c>
      <c r="E1821">
        <v>1</v>
      </c>
      <c r="F1821" s="3">
        <v>9.0500000000000007</v>
      </c>
      <c r="G1821" t="s">
        <v>27</v>
      </c>
      <c r="H1821">
        <v>26</v>
      </c>
      <c r="I1821" t="s">
        <v>34</v>
      </c>
      <c r="J1821" s="4">
        <v>66.5</v>
      </c>
      <c r="K1821" s="4">
        <v>201.6</v>
      </c>
      <c r="L1821" s="4">
        <v>32.1</v>
      </c>
      <c r="M1821">
        <v>15</v>
      </c>
      <c r="N1821" t="s">
        <v>66</v>
      </c>
      <c r="O1821">
        <v>3</v>
      </c>
      <c r="P1821" s="4">
        <v>445.1</v>
      </c>
      <c r="Q1821" t="s">
        <v>42</v>
      </c>
      <c r="R1821">
        <v>1</v>
      </c>
      <c r="S1821" t="s">
        <v>44</v>
      </c>
      <c r="T1821">
        <v>1</v>
      </c>
      <c r="U1821">
        <v>0</v>
      </c>
      <c r="V1821" t="s">
        <v>32</v>
      </c>
      <c r="W1821" t="s">
        <v>39</v>
      </c>
      <c r="X1821" s="4">
        <v>7.6</v>
      </c>
      <c r="Y1821">
        <v>11</v>
      </c>
      <c r="Z1821" s="5">
        <v>340.74</v>
      </c>
    </row>
    <row r="1822" spans="1:26">
      <c r="A1822">
        <v>1821</v>
      </c>
      <c r="B1822">
        <v>591</v>
      </c>
      <c r="C1822" s="2">
        <v>46023</v>
      </c>
      <c r="D1822" t="s">
        <v>55</v>
      </c>
      <c r="E1822">
        <v>1</v>
      </c>
      <c r="F1822" s="3">
        <v>9.26</v>
      </c>
      <c r="G1822" t="s">
        <v>27</v>
      </c>
      <c r="H1822">
        <v>33</v>
      </c>
      <c r="I1822" t="s">
        <v>34</v>
      </c>
      <c r="J1822" s="4">
        <v>69.7</v>
      </c>
      <c r="K1822" s="4">
        <v>232</v>
      </c>
      <c r="L1822" s="4">
        <v>33.6</v>
      </c>
      <c r="M1822">
        <v>14</v>
      </c>
      <c r="N1822" t="s">
        <v>66</v>
      </c>
      <c r="O1822">
        <v>3</v>
      </c>
      <c r="P1822" s="4">
        <v>445.1</v>
      </c>
      <c r="Q1822" t="s">
        <v>42</v>
      </c>
      <c r="R1822">
        <v>1</v>
      </c>
      <c r="S1822" t="s">
        <v>44</v>
      </c>
      <c r="T1822">
        <v>1</v>
      </c>
      <c r="U1822">
        <v>0</v>
      </c>
      <c r="V1822" t="s">
        <v>32</v>
      </c>
      <c r="W1822" t="s">
        <v>39</v>
      </c>
      <c r="X1822" s="4">
        <v>7.5</v>
      </c>
      <c r="Y1822">
        <v>7</v>
      </c>
      <c r="Z1822" s="5">
        <v>102.7</v>
      </c>
    </row>
    <row r="1823" spans="1:26">
      <c r="A1823">
        <v>1822</v>
      </c>
      <c r="B1823">
        <v>592</v>
      </c>
      <c r="C1823" s="2">
        <v>46288</v>
      </c>
      <c r="D1823" t="s">
        <v>52</v>
      </c>
      <c r="E1823">
        <v>9</v>
      </c>
      <c r="F1823" s="3">
        <v>12.72</v>
      </c>
      <c r="G1823" t="s">
        <v>36</v>
      </c>
      <c r="H1823">
        <v>67</v>
      </c>
      <c r="I1823" t="s">
        <v>34</v>
      </c>
      <c r="J1823" s="4">
        <v>66</v>
      </c>
      <c r="K1823" s="4">
        <v>172.7</v>
      </c>
      <c r="L1823" s="4">
        <v>27.7</v>
      </c>
      <c r="M1823">
        <v>16</v>
      </c>
      <c r="N1823" t="s">
        <v>47</v>
      </c>
      <c r="O1823">
        <v>1</v>
      </c>
      <c r="P1823" s="4">
        <v>2</v>
      </c>
      <c r="Q1823" t="s">
        <v>42</v>
      </c>
      <c r="R1823">
        <v>0</v>
      </c>
      <c r="S1823" t="s">
        <v>44</v>
      </c>
      <c r="T1823">
        <v>0</v>
      </c>
      <c r="U1823">
        <v>1</v>
      </c>
      <c r="V1823" t="s">
        <v>32</v>
      </c>
      <c r="W1823" t="s">
        <v>33</v>
      </c>
      <c r="X1823" s="4">
        <v>6.7</v>
      </c>
      <c r="Y1823">
        <v>11</v>
      </c>
      <c r="Z1823" s="5">
        <v>233.81</v>
      </c>
    </row>
    <row r="1824" spans="1:26">
      <c r="A1824">
        <v>1823</v>
      </c>
      <c r="B1824">
        <v>593</v>
      </c>
      <c r="C1824" s="2">
        <v>46089</v>
      </c>
      <c r="D1824" t="s">
        <v>58</v>
      </c>
      <c r="E1824">
        <v>3</v>
      </c>
      <c r="F1824" s="3">
        <v>9.3000000000000007</v>
      </c>
      <c r="G1824" t="s">
        <v>27</v>
      </c>
      <c r="H1824">
        <v>68</v>
      </c>
      <c r="I1824" t="s">
        <v>34</v>
      </c>
      <c r="J1824" s="4">
        <v>67.7</v>
      </c>
      <c r="K1824" s="4">
        <v>142.30000000000001</v>
      </c>
      <c r="L1824" s="4">
        <v>21.6</v>
      </c>
      <c r="M1824">
        <v>11</v>
      </c>
      <c r="N1824" t="s">
        <v>47</v>
      </c>
      <c r="O1824">
        <v>1</v>
      </c>
      <c r="P1824" s="4">
        <v>55.5</v>
      </c>
      <c r="Q1824" t="s">
        <v>30</v>
      </c>
      <c r="R1824">
        <v>1</v>
      </c>
      <c r="S1824" t="s">
        <v>31</v>
      </c>
      <c r="T1824">
        <v>0</v>
      </c>
      <c r="U1824">
        <v>0</v>
      </c>
      <c r="V1824" t="s">
        <v>32</v>
      </c>
      <c r="W1824" t="s">
        <v>49</v>
      </c>
      <c r="X1824" s="4">
        <v>8.6999999999999993</v>
      </c>
      <c r="Y1824">
        <v>7</v>
      </c>
      <c r="Z1824" s="5">
        <v>110.12</v>
      </c>
    </row>
    <row r="1825" spans="1:26">
      <c r="A1825">
        <v>1824</v>
      </c>
      <c r="B1825">
        <v>594</v>
      </c>
      <c r="C1825" s="2">
        <v>46270</v>
      </c>
      <c r="D1825" t="s">
        <v>40</v>
      </c>
      <c r="E1825">
        <v>9</v>
      </c>
      <c r="F1825" s="3">
        <v>11.22</v>
      </c>
      <c r="G1825" t="s">
        <v>36</v>
      </c>
      <c r="H1825">
        <v>68</v>
      </c>
      <c r="I1825" t="s">
        <v>34</v>
      </c>
      <c r="J1825" s="4">
        <v>62.7</v>
      </c>
      <c r="K1825" s="4">
        <v>134.9</v>
      </c>
      <c r="L1825" s="4">
        <v>24</v>
      </c>
      <c r="M1825">
        <v>17</v>
      </c>
      <c r="N1825" t="s">
        <v>53</v>
      </c>
      <c r="O1825">
        <v>3</v>
      </c>
      <c r="P1825" s="4">
        <v>837.5</v>
      </c>
      <c r="Q1825" t="s">
        <v>42</v>
      </c>
      <c r="R1825">
        <v>0</v>
      </c>
      <c r="S1825" t="s">
        <v>44</v>
      </c>
      <c r="T1825">
        <v>0</v>
      </c>
      <c r="U1825">
        <v>1</v>
      </c>
      <c r="V1825" t="s">
        <v>32</v>
      </c>
      <c r="W1825" t="s">
        <v>39</v>
      </c>
      <c r="X1825" s="4">
        <v>10.1</v>
      </c>
      <c r="Y1825">
        <v>12</v>
      </c>
      <c r="Z1825" s="5">
        <v>160.65</v>
      </c>
    </row>
    <row r="1826" spans="1:26">
      <c r="A1826">
        <v>1825</v>
      </c>
      <c r="B1826">
        <v>594</v>
      </c>
      <c r="C1826" s="2">
        <v>46270</v>
      </c>
      <c r="D1826" t="s">
        <v>40</v>
      </c>
      <c r="E1826">
        <v>9</v>
      </c>
      <c r="F1826" s="3">
        <v>11.1</v>
      </c>
      <c r="G1826" t="s">
        <v>36</v>
      </c>
      <c r="H1826">
        <v>53</v>
      </c>
      <c r="I1826" t="s">
        <v>34</v>
      </c>
      <c r="J1826" s="4">
        <v>66.3</v>
      </c>
      <c r="K1826" s="4">
        <v>150.5</v>
      </c>
      <c r="L1826" s="4">
        <v>23.9</v>
      </c>
      <c r="M1826">
        <v>18</v>
      </c>
      <c r="N1826" t="s">
        <v>53</v>
      </c>
      <c r="O1826">
        <v>3</v>
      </c>
      <c r="P1826" s="4">
        <v>837.5</v>
      </c>
      <c r="Q1826" t="s">
        <v>42</v>
      </c>
      <c r="R1826">
        <v>0</v>
      </c>
      <c r="S1826" t="s">
        <v>44</v>
      </c>
      <c r="T1826">
        <v>0</v>
      </c>
      <c r="U1826">
        <v>1</v>
      </c>
      <c r="V1826" t="s">
        <v>32</v>
      </c>
      <c r="W1826" t="s">
        <v>39</v>
      </c>
      <c r="X1826" s="4">
        <v>9.6999999999999993</v>
      </c>
      <c r="Y1826">
        <v>11</v>
      </c>
      <c r="Z1826" s="5">
        <v>153.97999999999999</v>
      </c>
    </row>
    <row r="1827" spans="1:26">
      <c r="A1827">
        <v>1826</v>
      </c>
      <c r="B1827">
        <v>594</v>
      </c>
      <c r="C1827" s="2">
        <v>46270</v>
      </c>
      <c r="D1827" t="s">
        <v>40</v>
      </c>
      <c r="E1827">
        <v>9</v>
      </c>
      <c r="F1827" s="3">
        <v>11.11</v>
      </c>
      <c r="G1827" t="s">
        <v>36</v>
      </c>
      <c r="H1827">
        <v>49</v>
      </c>
      <c r="I1827" t="s">
        <v>34</v>
      </c>
      <c r="J1827" s="4">
        <v>63.3</v>
      </c>
      <c r="K1827" s="4">
        <v>162.5</v>
      </c>
      <c r="L1827" s="4">
        <v>28.4</v>
      </c>
      <c r="M1827">
        <v>17</v>
      </c>
      <c r="N1827" t="s">
        <v>53</v>
      </c>
      <c r="O1827">
        <v>3</v>
      </c>
      <c r="P1827" s="4">
        <v>837.5</v>
      </c>
      <c r="Q1827" t="s">
        <v>42</v>
      </c>
      <c r="R1827">
        <v>0</v>
      </c>
      <c r="S1827" t="s">
        <v>44</v>
      </c>
      <c r="T1827">
        <v>0</v>
      </c>
      <c r="U1827">
        <v>1</v>
      </c>
      <c r="V1827" t="s">
        <v>32</v>
      </c>
      <c r="W1827" t="s">
        <v>39</v>
      </c>
      <c r="X1827" s="4">
        <v>7.6</v>
      </c>
      <c r="Y1827">
        <v>6</v>
      </c>
      <c r="Z1827" s="5">
        <v>128.77000000000001</v>
      </c>
    </row>
    <row r="1828" spans="1:26">
      <c r="A1828">
        <v>1827</v>
      </c>
      <c r="B1828">
        <v>595</v>
      </c>
      <c r="C1828" s="2">
        <v>46293</v>
      </c>
      <c r="D1828" t="s">
        <v>46</v>
      </c>
      <c r="E1828">
        <v>9</v>
      </c>
      <c r="F1828" s="3">
        <v>11.51</v>
      </c>
      <c r="G1828" t="s">
        <v>36</v>
      </c>
      <c r="H1828">
        <v>36</v>
      </c>
      <c r="I1828" t="s">
        <v>28</v>
      </c>
      <c r="J1828" s="4">
        <v>66.2</v>
      </c>
      <c r="K1828" s="4">
        <v>184.5</v>
      </c>
      <c r="L1828" s="4">
        <v>29.8</v>
      </c>
      <c r="M1828">
        <v>14</v>
      </c>
      <c r="N1828" t="s">
        <v>47</v>
      </c>
      <c r="O1828">
        <v>3</v>
      </c>
      <c r="P1828" s="4">
        <v>32.799999999999997</v>
      </c>
      <c r="Q1828" t="s">
        <v>30</v>
      </c>
      <c r="R1828">
        <v>0</v>
      </c>
      <c r="S1828" t="s">
        <v>31</v>
      </c>
      <c r="T1828">
        <v>1</v>
      </c>
      <c r="U1828">
        <v>0</v>
      </c>
      <c r="V1828" t="s">
        <v>45</v>
      </c>
      <c r="W1828" t="s">
        <v>57</v>
      </c>
      <c r="X1828" s="4">
        <v>10.4</v>
      </c>
      <c r="Y1828">
        <v>15</v>
      </c>
      <c r="Z1828" s="5">
        <v>213.27</v>
      </c>
    </row>
    <row r="1829" spans="1:26">
      <c r="A1829">
        <v>1828</v>
      </c>
      <c r="B1829">
        <v>595</v>
      </c>
      <c r="C1829" s="2">
        <v>46293</v>
      </c>
      <c r="D1829" t="s">
        <v>46</v>
      </c>
      <c r="E1829">
        <v>9</v>
      </c>
      <c r="F1829" s="3">
        <v>11.37</v>
      </c>
      <c r="G1829" t="s">
        <v>36</v>
      </c>
      <c r="H1829">
        <v>74</v>
      </c>
      <c r="I1829" t="s">
        <v>34</v>
      </c>
      <c r="J1829" s="4">
        <v>65.7</v>
      </c>
      <c r="K1829" s="4">
        <v>163</v>
      </c>
      <c r="L1829" s="4">
        <v>26.7</v>
      </c>
      <c r="M1829">
        <v>16</v>
      </c>
      <c r="N1829" t="s">
        <v>47</v>
      </c>
      <c r="O1829">
        <v>3</v>
      </c>
      <c r="P1829" s="4">
        <v>32.799999999999997</v>
      </c>
      <c r="Q1829" t="s">
        <v>30</v>
      </c>
      <c r="R1829">
        <v>0</v>
      </c>
      <c r="S1829" t="s">
        <v>31</v>
      </c>
      <c r="T1829">
        <v>1</v>
      </c>
      <c r="U1829">
        <v>0</v>
      </c>
      <c r="V1829" t="s">
        <v>45</v>
      </c>
      <c r="W1829" t="s">
        <v>57</v>
      </c>
      <c r="X1829" s="4">
        <v>9.3000000000000007</v>
      </c>
      <c r="Y1829">
        <v>13</v>
      </c>
      <c r="Z1829" s="5">
        <v>249.72</v>
      </c>
    </row>
    <row r="1830" spans="1:26">
      <c r="A1830">
        <v>1829</v>
      </c>
      <c r="B1830">
        <v>595</v>
      </c>
      <c r="C1830" s="2">
        <v>46293</v>
      </c>
      <c r="D1830" t="s">
        <v>46</v>
      </c>
      <c r="E1830">
        <v>9</v>
      </c>
      <c r="F1830" s="3">
        <v>11.33</v>
      </c>
      <c r="G1830" t="s">
        <v>36</v>
      </c>
      <c r="H1830">
        <v>20</v>
      </c>
      <c r="I1830" t="s">
        <v>34</v>
      </c>
      <c r="J1830" s="4">
        <v>61.7</v>
      </c>
      <c r="K1830" s="4">
        <v>141.9</v>
      </c>
      <c r="L1830" s="4">
        <v>26.2</v>
      </c>
      <c r="M1830">
        <v>13</v>
      </c>
      <c r="N1830" t="s">
        <v>47</v>
      </c>
      <c r="O1830">
        <v>3</v>
      </c>
      <c r="P1830" s="4">
        <v>32.799999999999997</v>
      </c>
      <c r="Q1830" t="s">
        <v>30</v>
      </c>
      <c r="R1830">
        <v>0</v>
      </c>
      <c r="S1830" t="s">
        <v>31</v>
      </c>
      <c r="T1830">
        <v>1</v>
      </c>
      <c r="U1830">
        <v>0</v>
      </c>
      <c r="V1830" t="s">
        <v>45</v>
      </c>
      <c r="W1830" t="s">
        <v>57</v>
      </c>
      <c r="X1830" s="4">
        <v>7.4</v>
      </c>
      <c r="Y1830">
        <v>6</v>
      </c>
      <c r="Z1830" s="5">
        <v>194.41</v>
      </c>
    </row>
    <row r="1831" spans="1:26">
      <c r="A1831">
        <v>1830</v>
      </c>
      <c r="B1831">
        <v>596</v>
      </c>
      <c r="C1831" s="2">
        <v>46371</v>
      </c>
      <c r="D1831" t="s">
        <v>35</v>
      </c>
      <c r="E1831">
        <v>12</v>
      </c>
      <c r="F1831" s="3">
        <v>9.3800000000000008</v>
      </c>
      <c r="G1831" t="s">
        <v>27</v>
      </c>
      <c r="H1831">
        <v>18</v>
      </c>
      <c r="I1831" t="s">
        <v>34</v>
      </c>
      <c r="J1831" s="4">
        <v>67.8</v>
      </c>
      <c r="K1831" s="4">
        <v>183.7</v>
      </c>
      <c r="L1831" s="4">
        <v>28.1</v>
      </c>
      <c r="M1831">
        <v>13</v>
      </c>
      <c r="N1831" t="s">
        <v>60</v>
      </c>
      <c r="O1831">
        <v>3</v>
      </c>
      <c r="P1831" s="4">
        <v>1422.6</v>
      </c>
      <c r="Q1831" t="s">
        <v>48</v>
      </c>
      <c r="R1831">
        <v>1</v>
      </c>
      <c r="S1831" t="s">
        <v>44</v>
      </c>
      <c r="T1831">
        <v>0</v>
      </c>
      <c r="U1831">
        <v>1</v>
      </c>
      <c r="V1831" t="s">
        <v>32</v>
      </c>
      <c r="W1831" t="s">
        <v>33</v>
      </c>
      <c r="X1831" s="4">
        <v>9.3000000000000007</v>
      </c>
      <c r="Y1831">
        <v>10</v>
      </c>
      <c r="Z1831" s="5">
        <v>291.01</v>
      </c>
    </row>
    <row r="1832" spans="1:26">
      <c r="A1832">
        <v>1831</v>
      </c>
      <c r="B1832">
        <v>596</v>
      </c>
      <c r="C1832" s="2">
        <v>46371</v>
      </c>
      <c r="D1832" t="s">
        <v>35</v>
      </c>
      <c r="E1832">
        <v>12</v>
      </c>
      <c r="F1832" s="3">
        <v>9.3699999999999992</v>
      </c>
      <c r="G1832" t="s">
        <v>27</v>
      </c>
      <c r="H1832">
        <v>36</v>
      </c>
      <c r="I1832" t="s">
        <v>28</v>
      </c>
      <c r="J1832" s="4">
        <v>67.400000000000006</v>
      </c>
      <c r="K1832" s="4">
        <v>164.5</v>
      </c>
      <c r="L1832" s="4">
        <v>25.3</v>
      </c>
      <c r="M1832">
        <v>15</v>
      </c>
      <c r="N1832" t="s">
        <v>60</v>
      </c>
      <c r="O1832">
        <v>3</v>
      </c>
      <c r="P1832" s="4">
        <v>1422.6</v>
      </c>
      <c r="Q1832" t="s">
        <v>48</v>
      </c>
      <c r="R1832">
        <v>1</v>
      </c>
      <c r="S1832" t="s">
        <v>44</v>
      </c>
      <c r="T1832">
        <v>0</v>
      </c>
      <c r="U1832">
        <v>1</v>
      </c>
      <c r="V1832" t="s">
        <v>32</v>
      </c>
      <c r="W1832" t="s">
        <v>33</v>
      </c>
      <c r="X1832" s="4">
        <v>8.6999999999999993</v>
      </c>
      <c r="Y1832">
        <v>9</v>
      </c>
      <c r="Z1832" s="5">
        <v>195.21</v>
      </c>
    </row>
    <row r="1833" spans="1:26">
      <c r="A1833">
        <v>1832</v>
      </c>
      <c r="B1833">
        <v>596</v>
      </c>
      <c r="C1833" s="2">
        <v>46371</v>
      </c>
      <c r="D1833" t="s">
        <v>35</v>
      </c>
      <c r="E1833">
        <v>12</v>
      </c>
      <c r="F1833" s="3">
        <v>9.34</v>
      </c>
      <c r="G1833" t="s">
        <v>27</v>
      </c>
      <c r="H1833">
        <v>81</v>
      </c>
      <c r="I1833" t="s">
        <v>34</v>
      </c>
      <c r="J1833" s="4">
        <v>66.900000000000006</v>
      </c>
      <c r="K1833" s="4">
        <v>190.9</v>
      </c>
      <c r="L1833" s="4">
        <v>30.1</v>
      </c>
      <c r="M1833">
        <v>19</v>
      </c>
      <c r="N1833" t="s">
        <v>60</v>
      </c>
      <c r="O1833">
        <v>3</v>
      </c>
      <c r="P1833" s="4">
        <v>1422.6</v>
      </c>
      <c r="Q1833" t="s">
        <v>48</v>
      </c>
      <c r="R1833">
        <v>1</v>
      </c>
      <c r="S1833" t="s">
        <v>44</v>
      </c>
      <c r="T1833">
        <v>0</v>
      </c>
      <c r="U1833">
        <v>1</v>
      </c>
      <c r="V1833" t="s">
        <v>32</v>
      </c>
      <c r="W1833" t="s">
        <v>33</v>
      </c>
      <c r="X1833" s="4">
        <v>10.6</v>
      </c>
      <c r="Y1833">
        <v>0</v>
      </c>
      <c r="Z1833" s="5">
        <v>173.45</v>
      </c>
    </row>
    <row r="1834" spans="1:26">
      <c r="A1834">
        <v>1833</v>
      </c>
      <c r="B1834">
        <v>597</v>
      </c>
      <c r="C1834" s="2">
        <v>46032</v>
      </c>
      <c r="D1834" t="s">
        <v>40</v>
      </c>
      <c r="E1834">
        <v>1</v>
      </c>
      <c r="F1834" s="3">
        <v>13.79</v>
      </c>
      <c r="G1834" t="s">
        <v>36</v>
      </c>
      <c r="H1834">
        <v>26</v>
      </c>
      <c r="I1834" t="s">
        <v>34</v>
      </c>
      <c r="J1834" s="4">
        <v>66.599999999999994</v>
      </c>
      <c r="K1834" s="4">
        <v>168.2</v>
      </c>
      <c r="L1834" s="4">
        <v>26.6</v>
      </c>
      <c r="M1834">
        <v>14</v>
      </c>
      <c r="N1834" t="s">
        <v>60</v>
      </c>
      <c r="O1834">
        <v>4</v>
      </c>
      <c r="P1834" s="4">
        <v>1093.8</v>
      </c>
      <c r="Q1834" t="s">
        <v>48</v>
      </c>
      <c r="R1834">
        <v>1</v>
      </c>
      <c r="S1834" t="s">
        <v>44</v>
      </c>
      <c r="T1834">
        <v>0</v>
      </c>
      <c r="U1834">
        <v>0</v>
      </c>
      <c r="V1834" t="s">
        <v>32</v>
      </c>
      <c r="W1834" t="s">
        <v>49</v>
      </c>
      <c r="X1834" s="4">
        <v>8.1</v>
      </c>
      <c r="Y1834">
        <v>4</v>
      </c>
      <c r="Z1834" s="5">
        <v>362.45</v>
      </c>
    </row>
    <row r="1835" spans="1:26">
      <c r="A1835">
        <v>1834</v>
      </c>
      <c r="B1835">
        <v>597</v>
      </c>
      <c r="C1835" s="2">
        <v>46032</v>
      </c>
      <c r="D1835" t="s">
        <v>40</v>
      </c>
      <c r="E1835">
        <v>1</v>
      </c>
      <c r="F1835" s="3">
        <v>13.95</v>
      </c>
      <c r="G1835" t="s">
        <v>36</v>
      </c>
      <c r="H1835">
        <v>31</v>
      </c>
      <c r="I1835" t="s">
        <v>28</v>
      </c>
      <c r="J1835" s="4">
        <v>62.7</v>
      </c>
      <c r="K1835" s="4">
        <v>129.80000000000001</v>
      </c>
      <c r="L1835" s="4">
        <v>23.1</v>
      </c>
      <c r="M1835">
        <v>18</v>
      </c>
      <c r="N1835" t="s">
        <v>60</v>
      </c>
      <c r="O1835">
        <v>4</v>
      </c>
      <c r="P1835" s="4">
        <v>1093.8</v>
      </c>
      <c r="Q1835" t="s">
        <v>48</v>
      </c>
      <c r="R1835">
        <v>1</v>
      </c>
      <c r="S1835" t="s">
        <v>44</v>
      </c>
      <c r="T1835">
        <v>0</v>
      </c>
      <c r="U1835">
        <v>0</v>
      </c>
      <c r="V1835" t="s">
        <v>32</v>
      </c>
      <c r="W1835" t="s">
        <v>49</v>
      </c>
      <c r="X1835" s="4">
        <v>8.6</v>
      </c>
      <c r="Y1835">
        <v>10</v>
      </c>
      <c r="Z1835" s="5">
        <v>297.57</v>
      </c>
    </row>
    <row r="1836" spans="1:26">
      <c r="A1836">
        <v>1835</v>
      </c>
      <c r="B1836">
        <v>597</v>
      </c>
      <c r="C1836" s="2">
        <v>46032</v>
      </c>
      <c r="D1836" t="s">
        <v>40</v>
      </c>
      <c r="E1836">
        <v>1</v>
      </c>
      <c r="F1836" s="3">
        <v>13.85</v>
      </c>
      <c r="G1836" t="s">
        <v>36</v>
      </c>
      <c r="H1836">
        <v>72</v>
      </c>
      <c r="I1836" t="s">
        <v>34</v>
      </c>
      <c r="J1836" s="4">
        <v>64.5</v>
      </c>
      <c r="K1836" s="4">
        <v>161.6</v>
      </c>
      <c r="L1836" s="4">
        <v>27.2</v>
      </c>
      <c r="M1836">
        <v>20</v>
      </c>
      <c r="N1836" t="s">
        <v>60</v>
      </c>
      <c r="O1836">
        <v>4</v>
      </c>
      <c r="P1836" s="4">
        <v>1093.8</v>
      </c>
      <c r="Q1836" t="s">
        <v>48</v>
      </c>
      <c r="R1836">
        <v>1</v>
      </c>
      <c r="S1836" t="s">
        <v>44</v>
      </c>
      <c r="T1836">
        <v>0</v>
      </c>
      <c r="U1836">
        <v>0</v>
      </c>
      <c r="V1836" t="s">
        <v>32</v>
      </c>
      <c r="W1836" t="s">
        <v>49</v>
      </c>
      <c r="X1836" s="4">
        <v>6.5</v>
      </c>
      <c r="Y1836">
        <v>10</v>
      </c>
      <c r="Z1836" s="5">
        <v>247.69</v>
      </c>
    </row>
    <row r="1837" spans="1:26">
      <c r="A1837">
        <v>1836</v>
      </c>
      <c r="B1837">
        <v>597</v>
      </c>
      <c r="C1837" s="2">
        <v>46032</v>
      </c>
      <c r="D1837" t="s">
        <v>40</v>
      </c>
      <c r="E1837">
        <v>1</v>
      </c>
      <c r="F1837" s="3">
        <v>13.77</v>
      </c>
      <c r="G1837" t="s">
        <v>36</v>
      </c>
      <c r="H1837">
        <v>78</v>
      </c>
      <c r="I1837" t="s">
        <v>34</v>
      </c>
      <c r="J1837" s="4">
        <v>62.5</v>
      </c>
      <c r="K1837" s="4">
        <v>168.3</v>
      </c>
      <c r="L1837" s="4">
        <v>30.3</v>
      </c>
      <c r="M1837">
        <v>21</v>
      </c>
      <c r="N1837" t="s">
        <v>60</v>
      </c>
      <c r="O1837">
        <v>4</v>
      </c>
      <c r="P1837" s="4">
        <v>1093.8</v>
      </c>
      <c r="Q1837" t="s">
        <v>48</v>
      </c>
      <c r="R1837">
        <v>1</v>
      </c>
      <c r="S1837" t="s">
        <v>44</v>
      </c>
      <c r="T1837">
        <v>0</v>
      </c>
      <c r="U1837">
        <v>0</v>
      </c>
      <c r="V1837" t="s">
        <v>32</v>
      </c>
      <c r="W1837" t="s">
        <v>49</v>
      </c>
      <c r="X1837" s="4">
        <v>8.8000000000000007</v>
      </c>
      <c r="Y1837">
        <v>6</v>
      </c>
      <c r="Z1837" s="5">
        <v>262.3</v>
      </c>
    </row>
    <row r="1838" spans="1:26">
      <c r="A1838">
        <v>1837</v>
      </c>
      <c r="B1838">
        <v>598</v>
      </c>
      <c r="C1838" s="2">
        <v>46268</v>
      </c>
      <c r="D1838" t="s">
        <v>55</v>
      </c>
      <c r="E1838">
        <v>9</v>
      </c>
      <c r="F1838" s="3">
        <v>9.81</v>
      </c>
      <c r="G1838" t="s">
        <v>27</v>
      </c>
      <c r="H1838">
        <v>26</v>
      </c>
      <c r="I1838" t="s">
        <v>34</v>
      </c>
      <c r="J1838" s="4">
        <v>65.5</v>
      </c>
      <c r="K1838" s="4">
        <v>125.7</v>
      </c>
      <c r="L1838" s="4">
        <v>20.399999999999999</v>
      </c>
      <c r="M1838">
        <v>13</v>
      </c>
      <c r="N1838" t="s">
        <v>56</v>
      </c>
      <c r="O1838">
        <v>1</v>
      </c>
      <c r="P1838" s="4">
        <v>264.60000000000002</v>
      </c>
      <c r="Q1838" t="s">
        <v>42</v>
      </c>
      <c r="R1838">
        <v>1</v>
      </c>
      <c r="S1838" t="s">
        <v>44</v>
      </c>
      <c r="T1838">
        <v>0</v>
      </c>
      <c r="U1838">
        <v>0</v>
      </c>
      <c r="V1838" t="s">
        <v>32</v>
      </c>
      <c r="W1838" t="s">
        <v>49</v>
      </c>
      <c r="X1838" s="4">
        <v>10.1</v>
      </c>
      <c r="Y1838">
        <v>12</v>
      </c>
      <c r="Z1838" s="5">
        <v>359.64</v>
      </c>
    </row>
    <row r="1839" spans="1:26">
      <c r="A1839">
        <v>1838</v>
      </c>
      <c r="B1839">
        <v>599</v>
      </c>
      <c r="C1839" s="2">
        <v>46123</v>
      </c>
      <c r="D1839" t="s">
        <v>40</v>
      </c>
      <c r="E1839">
        <v>4</v>
      </c>
      <c r="F1839" s="3">
        <v>9.1</v>
      </c>
      <c r="G1839" t="s">
        <v>27</v>
      </c>
      <c r="H1839">
        <v>61</v>
      </c>
      <c r="I1839" t="s">
        <v>34</v>
      </c>
      <c r="J1839" s="4">
        <v>64.900000000000006</v>
      </c>
      <c r="K1839" s="4">
        <v>157.4</v>
      </c>
      <c r="L1839" s="4">
        <v>26.3</v>
      </c>
      <c r="M1839">
        <v>13</v>
      </c>
      <c r="N1839" t="s">
        <v>61</v>
      </c>
      <c r="O1839">
        <v>1</v>
      </c>
      <c r="P1839" s="4">
        <v>1312.6</v>
      </c>
      <c r="Q1839" t="s">
        <v>30</v>
      </c>
      <c r="R1839">
        <v>1</v>
      </c>
      <c r="S1839" t="s">
        <v>31</v>
      </c>
      <c r="T1839">
        <v>0</v>
      </c>
      <c r="U1839">
        <v>0</v>
      </c>
      <c r="V1839" t="s">
        <v>32</v>
      </c>
      <c r="W1839" t="s">
        <v>39</v>
      </c>
      <c r="X1839" s="4">
        <v>11.2</v>
      </c>
      <c r="Y1839">
        <v>11</v>
      </c>
      <c r="Z1839" s="5">
        <v>401.28</v>
      </c>
    </row>
    <row r="1840" spans="1:26">
      <c r="A1840">
        <v>1839</v>
      </c>
      <c r="B1840">
        <v>600</v>
      </c>
      <c r="C1840" s="2">
        <v>46192</v>
      </c>
      <c r="D1840" t="s">
        <v>26</v>
      </c>
      <c r="E1840">
        <v>6</v>
      </c>
      <c r="F1840" s="3">
        <v>7.81</v>
      </c>
      <c r="G1840" t="s">
        <v>27</v>
      </c>
      <c r="H1840">
        <v>62</v>
      </c>
      <c r="I1840" t="s">
        <v>28</v>
      </c>
      <c r="J1840" s="4">
        <v>68.5</v>
      </c>
      <c r="K1840" s="4">
        <v>191.5</v>
      </c>
      <c r="L1840" s="4">
        <v>28.5</v>
      </c>
      <c r="M1840">
        <v>18</v>
      </c>
      <c r="N1840" t="s">
        <v>60</v>
      </c>
      <c r="O1840">
        <v>2</v>
      </c>
      <c r="P1840" s="4">
        <v>2017.8</v>
      </c>
      <c r="Q1840" t="s">
        <v>42</v>
      </c>
      <c r="R1840">
        <v>1</v>
      </c>
      <c r="S1840" t="s">
        <v>44</v>
      </c>
      <c r="T1840">
        <v>1</v>
      </c>
      <c r="U1840">
        <v>0</v>
      </c>
      <c r="V1840" t="s">
        <v>32</v>
      </c>
      <c r="W1840" t="s">
        <v>57</v>
      </c>
      <c r="X1840" s="4">
        <v>10.5</v>
      </c>
      <c r="Y1840">
        <v>7</v>
      </c>
      <c r="Z1840" s="5">
        <v>167.47</v>
      </c>
    </row>
    <row r="1841" spans="1:26">
      <c r="A1841">
        <v>1840</v>
      </c>
      <c r="B1841">
        <v>600</v>
      </c>
      <c r="C1841" s="2">
        <v>46192</v>
      </c>
      <c r="D1841" t="s">
        <v>26</v>
      </c>
      <c r="E1841">
        <v>6</v>
      </c>
      <c r="F1841" s="3">
        <v>7.96</v>
      </c>
      <c r="G1841" t="s">
        <v>27</v>
      </c>
      <c r="H1841">
        <v>40</v>
      </c>
      <c r="I1841" t="s">
        <v>28</v>
      </c>
      <c r="J1841" s="4">
        <v>67.2</v>
      </c>
      <c r="K1841" s="4">
        <v>182.3</v>
      </c>
      <c r="L1841" s="4">
        <v>28.5</v>
      </c>
      <c r="M1841">
        <v>15</v>
      </c>
      <c r="N1841" t="s">
        <v>60</v>
      </c>
      <c r="O1841">
        <v>2</v>
      </c>
      <c r="P1841" s="4">
        <v>2017.8</v>
      </c>
      <c r="Q1841" t="s">
        <v>42</v>
      </c>
      <c r="R1841">
        <v>1</v>
      </c>
      <c r="S1841" t="s">
        <v>44</v>
      </c>
      <c r="T1841">
        <v>1</v>
      </c>
      <c r="U1841">
        <v>0</v>
      </c>
      <c r="V1841" t="s">
        <v>32</v>
      </c>
      <c r="W1841" t="s">
        <v>57</v>
      </c>
      <c r="X1841" s="4">
        <v>8.1999999999999993</v>
      </c>
      <c r="Y1841">
        <v>12</v>
      </c>
      <c r="Z1841" s="5">
        <v>182.86</v>
      </c>
    </row>
    <row r="1842" spans="1:26">
      <c r="A1842">
        <v>1841</v>
      </c>
      <c r="B1842">
        <v>601</v>
      </c>
      <c r="C1842" s="2">
        <v>46296</v>
      </c>
      <c r="D1842" t="s">
        <v>55</v>
      </c>
      <c r="E1842">
        <v>10</v>
      </c>
      <c r="F1842" s="3">
        <v>9.9499999999999993</v>
      </c>
      <c r="G1842" t="s">
        <v>27</v>
      </c>
      <c r="H1842">
        <v>56</v>
      </c>
      <c r="I1842" t="s">
        <v>28</v>
      </c>
      <c r="J1842" s="4">
        <v>72.7</v>
      </c>
      <c r="K1842" s="4">
        <v>164.7</v>
      </c>
      <c r="L1842" s="4">
        <v>21.9</v>
      </c>
      <c r="M1842">
        <v>12</v>
      </c>
      <c r="N1842" t="s">
        <v>59</v>
      </c>
      <c r="O1842">
        <v>3</v>
      </c>
      <c r="P1842" s="4">
        <v>1065.9000000000001</v>
      </c>
      <c r="Q1842" t="s">
        <v>30</v>
      </c>
      <c r="R1842">
        <v>1</v>
      </c>
      <c r="S1842" t="s">
        <v>31</v>
      </c>
      <c r="T1842">
        <v>0</v>
      </c>
      <c r="U1842">
        <v>0</v>
      </c>
      <c r="V1842" t="s">
        <v>32</v>
      </c>
      <c r="W1842" t="s">
        <v>43</v>
      </c>
      <c r="X1842" s="4">
        <v>9.1</v>
      </c>
      <c r="Y1842">
        <v>8</v>
      </c>
      <c r="Z1842" s="5">
        <v>172.83</v>
      </c>
    </row>
    <row r="1843" spans="1:26">
      <c r="A1843">
        <v>1842</v>
      </c>
      <c r="B1843">
        <v>601</v>
      </c>
      <c r="C1843" s="2">
        <v>46296</v>
      </c>
      <c r="D1843" t="s">
        <v>55</v>
      </c>
      <c r="E1843">
        <v>10</v>
      </c>
      <c r="F1843" s="3">
        <v>10.25</v>
      </c>
      <c r="G1843" t="s">
        <v>27</v>
      </c>
      <c r="H1843">
        <v>42</v>
      </c>
      <c r="I1843" t="s">
        <v>34</v>
      </c>
      <c r="J1843" s="4">
        <v>61.9</v>
      </c>
      <c r="K1843" s="4">
        <v>128.30000000000001</v>
      </c>
      <c r="L1843" s="4">
        <v>23.6</v>
      </c>
      <c r="M1843">
        <v>14</v>
      </c>
      <c r="N1843" t="s">
        <v>59</v>
      </c>
      <c r="O1843">
        <v>3</v>
      </c>
      <c r="P1843" s="4">
        <v>1065.9000000000001</v>
      </c>
      <c r="Q1843" t="s">
        <v>30</v>
      </c>
      <c r="R1843">
        <v>1</v>
      </c>
      <c r="S1843" t="s">
        <v>31</v>
      </c>
      <c r="T1843">
        <v>0</v>
      </c>
      <c r="U1843">
        <v>0</v>
      </c>
      <c r="V1843" t="s">
        <v>32</v>
      </c>
      <c r="W1843" t="s">
        <v>43</v>
      </c>
      <c r="X1843" s="4">
        <v>8.3000000000000007</v>
      </c>
      <c r="Y1843">
        <v>9</v>
      </c>
      <c r="Z1843" s="5">
        <v>138.15</v>
      </c>
    </row>
    <row r="1844" spans="1:26">
      <c r="A1844">
        <v>1843</v>
      </c>
      <c r="B1844">
        <v>601</v>
      </c>
      <c r="C1844" s="2">
        <v>46296</v>
      </c>
      <c r="D1844" t="s">
        <v>55</v>
      </c>
      <c r="E1844">
        <v>10</v>
      </c>
      <c r="F1844" s="3">
        <v>9.8800000000000008</v>
      </c>
      <c r="G1844" t="s">
        <v>27</v>
      </c>
      <c r="H1844">
        <v>12</v>
      </c>
      <c r="I1844" t="s">
        <v>28</v>
      </c>
      <c r="J1844" s="4">
        <v>70</v>
      </c>
      <c r="K1844" s="4">
        <v>151.4</v>
      </c>
      <c r="L1844" s="4">
        <v>21.6</v>
      </c>
      <c r="M1844">
        <v>11</v>
      </c>
      <c r="N1844" t="s">
        <v>59</v>
      </c>
      <c r="O1844">
        <v>3</v>
      </c>
      <c r="P1844" s="4">
        <v>1065.9000000000001</v>
      </c>
      <c r="Q1844" t="s">
        <v>30</v>
      </c>
      <c r="R1844">
        <v>1</v>
      </c>
      <c r="S1844" t="s">
        <v>31</v>
      </c>
      <c r="T1844">
        <v>0</v>
      </c>
      <c r="U1844">
        <v>0</v>
      </c>
      <c r="V1844" t="s">
        <v>32</v>
      </c>
      <c r="W1844" t="s">
        <v>43</v>
      </c>
      <c r="X1844" s="4">
        <v>9</v>
      </c>
      <c r="Y1844">
        <v>7</v>
      </c>
      <c r="Z1844" s="5">
        <v>182.39</v>
      </c>
    </row>
    <row r="1845" spans="1:26">
      <c r="A1845">
        <v>1844</v>
      </c>
      <c r="B1845">
        <v>602</v>
      </c>
      <c r="C1845" s="2">
        <v>46083</v>
      </c>
      <c r="D1845" t="s">
        <v>46</v>
      </c>
      <c r="E1845">
        <v>3</v>
      </c>
      <c r="F1845" s="3">
        <v>9.56</v>
      </c>
      <c r="G1845" t="s">
        <v>27</v>
      </c>
      <c r="H1845">
        <v>45</v>
      </c>
      <c r="I1845" t="s">
        <v>34</v>
      </c>
      <c r="J1845" s="4">
        <v>64.5</v>
      </c>
      <c r="K1845" s="4">
        <v>138.19999999999999</v>
      </c>
      <c r="L1845" s="4">
        <v>23.4</v>
      </c>
      <c r="M1845">
        <v>13</v>
      </c>
      <c r="N1845" t="s">
        <v>56</v>
      </c>
      <c r="O1845">
        <v>1</v>
      </c>
      <c r="P1845" s="4">
        <v>309.3</v>
      </c>
      <c r="Q1845" t="s">
        <v>30</v>
      </c>
      <c r="R1845">
        <v>0</v>
      </c>
      <c r="S1845" t="s">
        <v>44</v>
      </c>
      <c r="T1845">
        <v>0</v>
      </c>
      <c r="U1845">
        <v>0</v>
      </c>
      <c r="V1845" t="s">
        <v>32</v>
      </c>
      <c r="W1845" t="s">
        <v>43</v>
      </c>
      <c r="X1845" s="4">
        <v>8.1999999999999993</v>
      </c>
      <c r="Y1845">
        <v>9</v>
      </c>
      <c r="Z1845" s="5">
        <v>121.12</v>
      </c>
    </row>
    <row r="1846" spans="1:26">
      <c r="A1846">
        <v>1845</v>
      </c>
      <c r="B1846">
        <v>603</v>
      </c>
      <c r="C1846" s="2">
        <v>46040</v>
      </c>
      <c r="D1846" t="s">
        <v>58</v>
      </c>
      <c r="E1846">
        <v>1</v>
      </c>
      <c r="F1846" s="3">
        <v>12.15</v>
      </c>
      <c r="G1846" t="s">
        <v>36</v>
      </c>
      <c r="H1846">
        <v>34</v>
      </c>
      <c r="I1846" t="s">
        <v>28</v>
      </c>
      <c r="J1846" s="4">
        <v>74.099999999999994</v>
      </c>
      <c r="K1846" s="4">
        <v>244.1</v>
      </c>
      <c r="L1846" s="4">
        <v>31.5</v>
      </c>
      <c r="M1846">
        <v>13</v>
      </c>
      <c r="N1846" t="s">
        <v>60</v>
      </c>
      <c r="O1846">
        <v>2</v>
      </c>
      <c r="P1846" s="4">
        <v>2422.6999999999998</v>
      </c>
      <c r="Q1846" t="s">
        <v>42</v>
      </c>
      <c r="R1846">
        <v>1</v>
      </c>
      <c r="S1846" t="s">
        <v>44</v>
      </c>
      <c r="T1846">
        <v>1</v>
      </c>
      <c r="U1846">
        <v>0</v>
      </c>
      <c r="V1846" t="s">
        <v>32</v>
      </c>
      <c r="W1846" t="s">
        <v>43</v>
      </c>
      <c r="X1846" s="4">
        <v>7.2</v>
      </c>
      <c r="Y1846">
        <v>13</v>
      </c>
      <c r="Z1846" s="5">
        <v>270.62</v>
      </c>
    </row>
    <row r="1847" spans="1:26">
      <c r="A1847">
        <v>1846</v>
      </c>
      <c r="B1847">
        <v>603</v>
      </c>
      <c r="C1847" s="2">
        <v>46040</v>
      </c>
      <c r="D1847" t="s">
        <v>58</v>
      </c>
      <c r="E1847">
        <v>1</v>
      </c>
      <c r="F1847" s="3">
        <v>12.26</v>
      </c>
      <c r="G1847" t="s">
        <v>36</v>
      </c>
      <c r="H1847">
        <v>34</v>
      </c>
      <c r="I1847" t="s">
        <v>28</v>
      </c>
      <c r="J1847" s="4">
        <v>68.7</v>
      </c>
      <c r="K1847" s="4">
        <v>165.8</v>
      </c>
      <c r="L1847" s="4">
        <v>24.7</v>
      </c>
      <c r="M1847">
        <v>18</v>
      </c>
      <c r="N1847" t="s">
        <v>60</v>
      </c>
      <c r="O1847">
        <v>2</v>
      </c>
      <c r="P1847" s="4">
        <v>2422.6999999999998</v>
      </c>
      <c r="Q1847" t="s">
        <v>42</v>
      </c>
      <c r="R1847">
        <v>1</v>
      </c>
      <c r="S1847" t="s">
        <v>44</v>
      </c>
      <c r="T1847">
        <v>1</v>
      </c>
      <c r="U1847">
        <v>0</v>
      </c>
      <c r="V1847" t="s">
        <v>32</v>
      </c>
      <c r="W1847" t="s">
        <v>43</v>
      </c>
      <c r="X1847" s="4">
        <v>9.6</v>
      </c>
      <c r="Y1847">
        <v>13</v>
      </c>
      <c r="Z1847" s="5">
        <v>295.31</v>
      </c>
    </row>
    <row r="1848" spans="1:26">
      <c r="A1848">
        <v>1847</v>
      </c>
      <c r="B1848">
        <v>604</v>
      </c>
      <c r="C1848" s="2">
        <v>46210</v>
      </c>
      <c r="D1848" t="s">
        <v>35</v>
      </c>
      <c r="E1848">
        <v>7</v>
      </c>
      <c r="F1848" s="3">
        <v>11.37</v>
      </c>
      <c r="G1848" t="s">
        <v>36</v>
      </c>
      <c r="H1848">
        <v>3</v>
      </c>
      <c r="I1848" t="s">
        <v>34</v>
      </c>
      <c r="J1848" s="4">
        <v>50.4</v>
      </c>
      <c r="K1848" s="4">
        <v>75.8</v>
      </c>
      <c r="L1848" s="4">
        <v>21</v>
      </c>
      <c r="M1848">
        <v>10</v>
      </c>
      <c r="N1848" t="s">
        <v>37</v>
      </c>
      <c r="O1848">
        <v>6</v>
      </c>
      <c r="P1848" s="4">
        <v>726.4</v>
      </c>
      <c r="Q1848" t="s">
        <v>42</v>
      </c>
      <c r="R1848">
        <v>0</v>
      </c>
      <c r="S1848" t="s">
        <v>38</v>
      </c>
      <c r="T1848">
        <v>0</v>
      </c>
      <c r="U1848">
        <v>0</v>
      </c>
      <c r="V1848" t="s">
        <v>32</v>
      </c>
      <c r="W1848" t="s">
        <v>39</v>
      </c>
      <c r="X1848" s="4">
        <v>7.1</v>
      </c>
      <c r="Y1848">
        <v>10</v>
      </c>
      <c r="Z1848" s="5">
        <v>130.53</v>
      </c>
    </row>
    <row r="1849" spans="1:26">
      <c r="A1849">
        <v>1848</v>
      </c>
      <c r="B1849">
        <v>604</v>
      </c>
      <c r="C1849" s="2">
        <v>46210</v>
      </c>
      <c r="D1849" t="s">
        <v>35</v>
      </c>
      <c r="E1849">
        <v>7</v>
      </c>
      <c r="F1849" s="3">
        <v>11.22</v>
      </c>
      <c r="G1849" t="s">
        <v>36</v>
      </c>
      <c r="H1849">
        <v>8</v>
      </c>
      <c r="I1849" t="s">
        <v>34</v>
      </c>
      <c r="J1849" s="4">
        <v>58.7</v>
      </c>
      <c r="K1849" s="4">
        <v>76.5</v>
      </c>
      <c r="L1849" s="4">
        <v>15.7</v>
      </c>
      <c r="M1849">
        <v>11</v>
      </c>
      <c r="N1849" t="s">
        <v>37</v>
      </c>
      <c r="O1849">
        <v>6</v>
      </c>
      <c r="P1849" s="4">
        <v>726.4</v>
      </c>
      <c r="Q1849" t="s">
        <v>42</v>
      </c>
      <c r="R1849">
        <v>0</v>
      </c>
      <c r="S1849" t="s">
        <v>38</v>
      </c>
      <c r="T1849">
        <v>0</v>
      </c>
      <c r="U1849">
        <v>0</v>
      </c>
      <c r="V1849" t="s">
        <v>32</v>
      </c>
      <c r="W1849" t="s">
        <v>39</v>
      </c>
      <c r="X1849" s="4">
        <v>10.6</v>
      </c>
      <c r="Y1849">
        <v>3</v>
      </c>
      <c r="Z1849" s="5">
        <v>190.65</v>
      </c>
    </row>
    <row r="1850" spans="1:26">
      <c r="A1850">
        <v>1849</v>
      </c>
      <c r="B1850">
        <v>604</v>
      </c>
      <c r="C1850" s="2">
        <v>46210</v>
      </c>
      <c r="D1850" t="s">
        <v>35</v>
      </c>
      <c r="E1850">
        <v>7</v>
      </c>
      <c r="F1850" s="3">
        <v>11.19</v>
      </c>
      <c r="G1850" t="s">
        <v>36</v>
      </c>
      <c r="H1850">
        <v>17</v>
      </c>
      <c r="I1850" t="s">
        <v>28</v>
      </c>
      <c r="J1850" s="4">
        <v>70</v>
      </c>
      <c r="K1850" s="4">
        <v>149.6</v>
      </c>
      <c r="L1850" s="4">
        <v>21.5</v>
      </c>
      <c r="M1850">
        <v>16</v>
      </c>
      <c r="N1850" t="s">
        <v>37</v>
      </c>
      <c r="O1850">
        <v>6</v>
      </c>
      <c r="P1850" s="4">
        <v>726.4</v>
      </c>
      <c r="Q1850" t="s">
        <v>42</v>
      </c>
      <c r="R1850">
        <v>0</v>
      </c>
      <c r="S1850" t="s">
        <v>38</v>
      </c>
      <c r="T1850">
        <v>0</v>
      </c>
      <c r="U1850">
        <v>0</v>
      </c>
      <c r="V1850" t="s">
        <v>32</v>
      </c>
      <c r="W1850" t="s">
        <v>39</v>
      </c>
      <c r="X1850" s="4">
        <v>8.6999999999999993</v>
      </c>
      <c r="Y1850">
        <v>9</v>
      </c>
      <c r="Z1850" s="5">
        <v>226.68</v>
      </c>
    </row>
    <row r="1851" spans="1:26">
      <c r="A1851">
        <v>1850</v>
      </c>
      <c r="B1851">
        <v>604</v>
      </c>
      <c r="C1851" s="2">
        <v>46210</v>
      </c>
      <c r="D1851" t="s">
        <v>35</v>
      </c>
      <c r="E1851">
        <v>7</v>
      </c>
      <c r="F1851" s="3">
        <v>11.19</v>
      </c>
      <c r="G1851" t="s">
        <v>36</v>
      </c>
      <c r="H1851">
        <v>19</v>
      </c>
      <c r="I1851" t="s">
        <v>28</v>
      </c>
      <c r="J1851" s="4">
        <v>63.8</v>
      </c>
      <c r="K1851" s="4">
        <v>134.5</v>
      </c>
      <c r="L1851" s="4">
        <v>23.5</v>
      </c>
      <c r="M1851">
        <v>12</v>
      </c>
      <c r="N1851" t="s">
        <v>37</v>
      </c>
      <c r="O1851">
        <v>6</v>
      </c>
      <c r="P1851" s="4">
        <v>726.4</v>
      </c>
      <c r="Q1851" t="s">
        <v>42</v>
      </c>
      <c r="R1851">
        <v>0</v>
      </c>
      <c r="S1851" t="s">
        <v>38</v>
      </c>
      <c r="T1851">
        <v>0</v>
      </c>
      <c r="U1851">
        <v>0</v>
      </c>
      <c r="V1851" t="s">
        <v>32</v>
      </c>
      <c r="W1851" t="s">
        <v>39</v>
      </c>
      <c r="X1851" s="4">
        <v>7.8</v>
      </c>
      <c r="Y1851">
        <v>6</v>
      </c>
      <c r="Z1851" s="5">
        <v>97.73</v>
      </c>
    </row>
    <row r="1852" spans="1:26">
      <c r="A1852">
        <v>1851</v>
      </c>
      <c r="B1852">
        <v>604</v>
      </c>
      <c r="C1852" s="2">
        <v>46210</v>
      </c>
      <c r="D1852" t="s">
        <v>35</v>
      </c>
      <c r="E1852">
        <v>7</v>
      </c>
      <c r="F1852" s="3">
        <v>11.46</v>
      </c>
      <c r="G1852" t="s">
        <v>36</v>
      </c>
      <c r="H1852">
        <v>41</v>
      </c>
      <c r="I1852" t="s">
        <v>28</v>
      </c>
      <c r="J1852" s="4">
        <v>66.400000000000006</v>
      </c>
      <c r="K1852" s="4">
        <v>155.5</v>
      </c>
      <c r="L1852" s="4">
        <v>24.9</v>
      </c>
      <c r="M1852">
        <v>14</v>
      </c>
      <c r="N1852" t="s">
        <v>37</v>
      </c>
      <c r="O1852">
        <v>6</v>
      </c>
      <c r="P1852" s="4">
        <v>726.4</v>
      </c>
      <c r="Q1852" t="s">
        <v>42</v>
      </c>
      <c r="R1852">
        <v>0</v>
      </c>
      <c r="S1852" t="s">
        <v>38</v>
      </c>
      <c r="T1852">
        <v>0</v>
      </c>
      <c r="U1852">
        <v>0</v>
      </c>
      <c r="V1852" t="s">
        <v>32</v>
      </c>
      <c r="W1852" t="s">
        <v>39</v>
      </c>
      <c r="X1852" s="4">
        <v>9.5</v>
      </c>
      <c r="Y1852">
        <v>10</v>
      </c>
      <c r="Z1852" s="5">
        <v>179.4</v>
      </c>
    </row>
    <row r="1853" spans="1:26">
      <c r="A1853">
        <v>1852</v>
      </c>
      <c r="B1853">
        <v>604</v>
      </c>
      <c r="C1853" s="2">
        <v>46210</v>
      </c>
      <c r="D1853" t="s">
        <v>35</v>
      </c>
      <c r="E1853">
        <v>7</v>
      </c>
      <c r="F1853" s="3">
        <v>11.31</v>
      </c>
      <c r="G1853" t="s">
        <v>36</v>
      </c>
      <c r="H1853">
        <v>68</v>
      </c>
      <c r="I1853" t="s">
        <v>34</v>
      </c>
      <c r="J1853" s="4">
        <v>66.3</v>
      </c>
      <c r="K1853" s="4">
        <v>179</v>
      </c>
      <c r="L1853" s="4">
        <v>28.7</v>
      </c>
      <c r="M1853">
        <v>15</v>
      </c>
      <c r="N1853" t="s">
        <v>37</v>
      </c>
      <c r="O1853">
        <v>6</v>
      </c>
      <c r="P1853" s="4">
        <v>726.4</v>
      </c>
      <c r="Q1853" t="s">
        <v>42</v>
      </c>
      <c r="R1853">
        <v>0</v>
      </c>
      <c r="S1853" t="s">
        <v>38</v>
      </c>
      <c r="T1853">
        <v>0</v>
      </c>
      <c r="U1853">
        <v>0</v>
      </c>
      <c r="V1853" t="s">
        <v>32</v>
      </c>
      <c r="W1853" t="s">
        <v>39</v>
      </c>
      <c r="X1853" s="4">
        <v>10.6</v>
      </c>
      <c r="Y1853">
        <v>8</v>
      </c>
      <c r="Z1853" s="5">
        <v>195.2</v>
      </c>
    </row>
    <row r="1854" spans="1:26">
      <c r="A1854">
        <v>1853</v>
      </c>
      <c r="B1854">
        <v>605</v>
      </c>
      <c r="C1854" s="2">
        <v>46303</v>
      </c>
      <c r="D1854" t="s">
        <v>55</v>
      </c>
      <c r="E1854">
        <v>10</v>
      </c>
      <c r="F1854" s="3">
        <v>12.69</v>
      </c>
      <c r="G1854" t="s">
        <v>36</v>
      </c>
      <c r="H1854">
        <v>11</v>
      </c>
      <c r="I1854" t="s">
        <v>34</v>
      </c>
      <c r="J1854" s="4">
        <v>62</v>
      </c>
      <c r="K1854" s="4">
        <v>110.4</v>
      </c>
      <c r="L1854" s="4">
        <v>20.100000000000001</v>
      </c>
      <c r="M1854">
        <v>12</v>
      </c>
      <c r="N1854" t="s">
        <v>56</v>
      </c>
      <c r="O1854">
        <v>3</v>
      </c>
      <c r="P1854" s="4">
        <v>275</v>
      </c>
      <c r="Q1854" t="s">
        <v>42</v>
      </c>
      <c r="R1854">
        <v>1</v>
      </c>
      <c r="S1854" t="s">
        <v>31</v>
      </c>
      <c r="T1854">
        <v>0</v>
      </c>
      <c r="U1854">
        <v>0</v>
      </c>
      <c r="V1854" t="s">
        <v>32</v>
      </c>
      <c r="W1854" t="s">
        <v>39</v>
      </c>
      <c r="X1854" s="4">
        <v>7.7</v>
      </c>
      <c r="Y1854">
        <v>12</v>
      </c>
      <c r="Z1854" s="5">
        <v>284.66000000000003</v>
      </c>
    </row>
    <row r="1855" spans="1:26">
      <c r="A1855">
        <v>1854</v>
      </c>
      <c r="B1855">
        <v>605</v>
      </c>
      <c r="C1855" s="2">
        <v>46303</v>
      </c>
      <c r="D1855" t="s">
        <v>55</v>
      </c>
      <c r="E1855">
        <v>10</v>
      </c>
      <c r="F1855" s="3">
        <v>12.62</v>
      </c>
      <c r="G1855" t="s">
        <v>36</v>
      </c>
      <c r="H1855">
        <v>53</v>
      </c>
      <c r="I1855" t="s">
        <v>34</v>
      </c>
      <c r="J1855" s="4">
        <v>61.7</v>
      </c>
      <c r="K1855" s="4">
        <v>115.4</v>
      </c>
      <c r="L1855" s="4">
        <v>21.2</v>
      </c>
      <c r="M1855">
        <v>19</v>
      </c>
      <c r="N1855" t="s">
        <v>56</v>
      </c>
      <c r="O1855">
        <v>3</v>
      </c>
      <c r="P1855" s="4">
        <v>275</v>
      </c>
      <c r="Q1855" t="s">
        <v>42</v>
      </c>
      <c r="R1855">
        <v>1</v>
      </c>
      <c r="S1855" t="s">
        <v>31</v>
      </c>
      <c r="T1855">
        <v>0</v>
      </c>
      <c r="U1855">
        <v>0</v>
      </c>
      <c r="V1855" t="s">
        <v>32</v>
      </c>
      <c r="W1855" t="s">
        <v>39</v>
      </c>
      <c r="X1855" s="4">
        <v>7.7</v>
      </c>
      <c r="Y1855">
        <v>11</v>
      </c>
      <c r="Z1855" s="5">
        <v>345.01</v>
      </c>
    </row>
    <row r="1856" spans="1:26">
      <c r="A1856">
        <v>1855</v>
      </c>
      <c r="B1856">
        <v>605</v>
      </c>
      <c r="C1856" s="2">
        <v>46303</v>
      </c>
      <c r="D1856" t="s">
        <v>55</v>
      </c>
      <c r="E1856">
        <v>10</v>
      </c>
      <c r="F1856" s="3">
        <v>12.76</v>
      </c>
      <c r="G1856" t="s">
        <v>36</v>
      </c>
      <c r="H1856">
        <v>38</v>
      </c>
      <c r="I1856" t="s">
        <v>28</v>
      </c>
      <c r="J1856" s="4">
        <v>70</v>
      </c>
      <c r="K1856" s="4">
        <v>212.8</v>
      </c>
      <c r="L1856" s="4">
        <v>30.4</v>
      </c>
      <c r="M1856">
        <v>15</v>
      </c>
      <c r="N1856" t="s">
        <v>56</v>
      </c>
      <c r="O1856">
        <v>3</v>
      </c>
      <c r="P1856" s="4">
        <v>275</v>
      </c>
      <c r="Q1856" t="s">
        <v>42</v>
      </c>
      <c r="R1856">
        <v>1</v>
      </c>
      <c r="S1856" t="s">
        <v>31</v>
      </c>
      <c r="T1856">
        <v>0</v>
      </c>
      <c r="U1856">
        <v>0</v>
      </c>
      <c r="V1856" t="s">
        <v>32</v>
      </c>
      <c r="W1856" t="s">
        <v>39</v>
      </c>
      <c r="X1856" s="4">
        <v>7.3</v>
      </c>
      <c r="Y1856">
        <v>4</v>
      </c>
      <c r="Z1856" s="5">
        <v>96.62</v>
      </c>
    </row>
    <row r="1857" spans="1:26">
      <c r="A1857">
        <v>1856</v>
      </c>
      <c r="B1857">
        <v>606</v>
      </c>
      <c r="C1857" s="2">
        <v>46350</v>
      </c>
      <c r="D1857" t="s">
        <v>35</v>
      </c>
      <c r="E1857">
        <v>11</v>
      </c>
      <c r="F1857" s="3">
        <v>10.82</v>
      </c>
      <c r="G1857" t="s">
        <v>27</v>
      </c>
      <c r="H1857">
        <v>67</v>
      </c>
      <c r="I1857" t="s">
        <v>28</v>
      </c>
      <c r="J1857" s="4">
        <v>68</v>
      </c>
      <c r="K1857" s="4">
        <v>167.7</v>
      </c>
      <c r="L1857" s="4">
        <v>25.4</v>
      </c>
      <c r="M1857">
        <v>15</v>
      </c>
      <c r="N1857" t="s">
        <v>50</v>
      </c>
      <c r="O1857">
        <v>1</v>
      </c>
      <c r="P1857" s="4">
        <v>482</v>
      </c>
      <c r="Q1857" t="s">
        <v>42</v>
      </c>
      <c r="R1857">
        <v>0</v>
      </c>
      <c r="S1857" t="s">
        <v>44</v>
      </c>
      <c r="T1857">
        <v>0</v>
      </c>
      <c r="U1857">
        <v>0</v>
      </c>
      <c r="V1857" t="s">
        <v>32</v>
      </c>
      <c r="W1857" t="s">
        <v>39</v>
      </c>
      <c r="X1857" s="4">
        <v>9</v>
      </c>
      <c r="Y1857">
        <v>7</v>
      </c>
      <c r="Z1857" s="5">
        <v>127.09</v>
      </c>
    </row>
    <row r="1858" spans="1:26">
      <c r="A1858">
        <v>1857</v>
      </c>
      <c r="B1858">
        <v>607</v>
      </c>
      <c r="C1858" s="2">
        <v>46209</v>
      </c>
      <c r="D1858" t="s">
        <v>46</v>
      </c>
      <c r="E1858">
        <v>7</v>
      </c>
      <c r="F1858" s="3">
        <v>10.62</v>
      </c>
      <c r="G1858" t="s">
        <v>27</v>
      </c>
      <c r="H1858">
        <v>71</v>
      </c>
      <c r="I1858" t="s">
        <v>34</v>
      </c>
      <c r="J1858" s="4">
        <v>60.8</v>
      </c>
      <c r="K1858" s="4">
        <v>140.69999999999999</v>
      </c>
      <c r="L1858" s="4">
        <v>26.9</v>
      </c>
      <c r="M1858">
        <v>13</v>
      </c>
      <c r="N1858" t="s">
        <v>47</v>
      </c>
      <c r="O1858">
        <v>2</v>
      </c>
      <c r="P1858" s="4">
        <v>119.3</v>
      </c>
      <c r="Q1858" t="s">
        <v>42</v>
      </c>
      <c r="R1858">
        <v>1</v>
      </c>
      <c r="S1858" t="s">
        <v>38</v>
      </c>
      <c r="T1858">
        <v>0</v>
      </c>
      <c r="U1858">
        <v>1</v>
      </c>
      <c r="V1858" t="s">
        <v>32</v>
      </c>
      <c r="W1858" t="s">
        <v>39</v>
      </c>
      <c r="X1858" s="4">
        <v>11</v>
      </c>
      <c r="Y1858">
        <v>13</v>
      </c>
      <c r="Z1858" s="5">
        <v>237.48</v>
      </c>
    </row>
    <row r="1859" spans="1:26">
      <c r="A1859">
        <v>1858</v>
      </c>
      <c r="B1859">
        <v>607</v>
      </c>
      <c r="C1859" s="2">
        <v>46209</v>
      </c>
      <c r="D1859" t="s">
        <v>46</v>
      </c>
      <c r="E1859">
        <v>7</v>
      </c>
      <c r="F1859" s="3">
        <v>10.74</v>
      </c>
      <c r="G1859" t="s">
        <v>27</v>
      </c>
      <c r="H1859">
        <v>12</v>
      </c>
      <c r="I1859" t="s">
        <v>34</v>
      </c>
      <c r="J1859" s="4">
        <v>70</v>
      </c>
      <c r="K1859" s="4">
        <v>137.9</v>
      </c>
      <c r="L1859" s="4">
        <v>20</v>
      </c>
      <c r="M1859">
        <v>9</v>
      </c>
      <c r="N1859" t="s">
        <v>47</v>
      </c>
      <c r="O1859">
        <v>2</v>
      </c>
      <c r="P1859" s="4">
        <v>119.3</v>
      </c>
      <c r="Q1859" t="s">
        <v>42</v>
      </c>
      <c r="R1859">
        <v>1</v>
      </c>
      <c r="S1859" t="s">
        <v>38</v>
      </c>
      <c r="T1859">
        <v>0</v>
      </c>
      <c r="U1859">
        <v>1</v>
      </c>
      <c r="V1859" t="s">
        <v>32</v>
      </c>
      <c r="W1859" t="s">
        <v>39</v>
      </c>
      <c r="X1859" s="4">
        <v>9.4</v>
      </c>
      <c r="Y1859">
        <v>8</v>
      </c>
      <c r="Z1859" s="5">
        <v>349.91</v>
      </c>
    </row>
    <row r="1860" spans="1:26">
      <c r="A1860">
        <v>1859</v>
      </c>
      <c r="B1860">
        <v>608</v>
      </c>
      <c r="C1860" s="2">
        <v>46345</v>
      </c>
      <c r="D1860" t="s">
        <v>55</v>
      </c>
      <c r="E1860">
        <v>11</v>
      </c>
      <c r="F1860" s="3">
        <v>8.82</v>
      </c>
      <c r="G1860" t="s">
        <v>27</v>
      </c>
      <c r="H1860">
        <v>70</v>
      </c>
      <c r="I1860" t="s">
        <v>28</v>
      </c>
      <c r="J1860" s="4">
        <v>69.2</v>
      </c>
      <c r="K1860" s="4">
        <v>207.1</v>
      </c>
      <c r="L1860" s="4">
        <v>30.6</v>
      </c>
      <c r="M1860">
        <v>15</v>
      </c>
      <c r="N1860" t="s">
        <v>47</v>
      </c>
      <c r="O1860">
        <v>3</v>
      </c>
      <c r="P1860" s="4">
        <v>134</v>
      </c>
      <c r="Q1860" t="s">
        <v>30</v>
      </c>
      <c r="R1860">
        <v>0</v>
      </c>
      <c r="S1860" t="s">
        <v>44</v>
      </c>
      <c r="T1860">
        <v>0</v>
      </c>
      <c r="U1860">
        <v>0</v>
      </c>
      <c r="V1860" t="s">
        <v>32</v>
      </c>
      <c r="W1860" t="s">
        <v>49</v>
      </c>
      <c r="X1860" s="4">
        <v>10</v>
      </c>
      <c r="Y1860">
        <v>5</v>
      </c>
      <c r="Z1860" s="5">
        <v>230.85</v>
      </c>
    </row>
    <row r="1861" spans="1:26">
      <c r="A1861">
        <v>1860</v>
      </c>
      <c r="B1861">
        <v>608</v>
      </c>
      <c r="C1861" s="2">
        <v>46345</v>
      </c>
      <c r="D1861" t="s">
        <v>55</v>
      </c>
      <c r="E1861">
        <v>11</v>
      </c>
      <c r="F1861" s="3">
        <v>8.7899999999999991</v>
      </c>
      <c r="G1861" t="s">
        <v>27</v>
      </c>
      <c r="H1861">
        <v>25</v>
      </c>
      <c r="I1861" t="s">
        <v>28</v>
      </c>
      <c r="J1861" s="4">
        <v>70.7</v>
      </c>
      <c r="K1861" s="4">
        <v>193.1</v>
      </c>
      <c r="L1861" s="4">
        <v>27.2</v>
      </c>
      <c r="M1861">
        <v>14</v>
      </c>
      <c r="N1861" t="s">
        <v>47</v>
      </c>
      <c r="O1861">
        <v>3</v>
      </c>
      <c r="P1861" s="4">
        <v>134</v>
      </c>
      <c r="Q1861" t="s">
        <v>30</v>
      </c>
      <c r="R1861">
        <v>0</v>
      </c>
      <c r="S1861" t="s">
        <v>44</v>
      </c>
      <c r="T1861">
        <v>0</v>
      </c>
      <c r="U1861">
        <v>0</v>
      </c>
      <c r="V1861" t="s">
        <v>32</v>
      </c>
      <c r="W1861" t="s">
        <v>49</v>
      </c>
      <c r="X1861" s="4">
        <v>12.7</v>
      </c>
      <c r="Y1861">
        <v>12</v>
      </c>
      <c r="Z1861" s="5">
        <v>335.89</v>
      </c>
    </row>
    <row r="1862" spans="1:26">
      <c r="A1862">
        <v>1861</v>
      </c>
      <c r="B1862">
        <v>608</v>
      </c>
      <c r="C1862" s="2">
        <v>46345</v>
      </c>
      <c r="D1862" t="s">
        <v>55</v>
      </c>
      <c r="E1862">
        <v>11</v>
      </c>
      <c r="F1862" s="3">
        <v>8.8000000000000007</v>
      </c>
      <c r="G1862" t="s">
        <v>27</v>
      </c>
      <c r="H1862">
        <v>28</v>
      </c>
      <c r="I1862" t="s">
        <v>28</v>
      </c>
      <c r="J1862" s="4">
        <v>71.400000000000006</v>
      </c>
      <c r="K1862" s="4">
        <v>190.7</v>
      </c>
      <c r="L1862" s="4">
        <v>26.5</v>
      </c>
      <c r="M1862">
        <v>15</v>
      </c>
      <c r="N1862" t="s">
        <v>47</v>
      </c>
      <c r="O1862">
        <v>3</v>
      </c>
      <c r="P1862" s="4">
        <v>134</v>
      </c>
      <c r="Q1862" t="s">
        <v>30</v>
      </c>
      <c r="R1862">
        <v>0</v>
      </c>
      <c r="S1862" t="s">
        <v>44</v>
      </c>
      <c r="T1862">
        <v>0</v>
      </c>
      <c r="U1862">
        <v>0</v>
      </c>
      <c r="V1862" t="s">
        <v>32</v>
      </c>
      <c r="W1862" t="s">
        <v>49</v>
      </c>
      <c r="X1862" s="4">
        <v>9.1999999999999993</v>
      </c>
      <c r="Y1862">
        <v>6</v>
      </c>
      <c r="Z1862" s="5">
        <v>168.32</v>
      </c>
    </row>
    <row r="1863" spans="1:26">
      <c r="A1863">
        <v>1862</v>
      </c>
      <c r="B1863">
        <v>609</v>
      </c>
      <c r="C1863" s="2">
        <v>46194</v>
      </c>
      <c r="D1863" t="s">
        <v>58</v>
      </c>
      <c r="E1863">
        <v>6</v>
      </c>
      <c r="F1863" s="3">
        <v>9.77</v>
      </c>
      <c r="G1863" t="s">
        <v>27</v>
      </c>
      <c r="H1863">
        <v>48</v>
      </c>
      <c r="I1863" t="s">
        <v>34</v>
      </c>
      <c r="J1863" s="4">
        <v>64.599999999999994</v>
      </c>
      <c r="K1863" s="4">
        <v>114</v>
      </c>
      <c r="L1863" s="4">
        <v>19.3</v>
      </c>
      <c r="M1863">
        <v>16</v>
      </c>
      <c r="N1863" t="s">
        <v>47</v>
      </c>
      <c r="O1863">
        <v>1</v>
      </c>
      <c r="P1863" s="4">
        <v>43.5</v>
      </c>
      <c r="Q1863" t="s">
        <v>42</v>
      </c>
      <c r="R1863">
        <v>0</v>
      </c>
      <c r="S1863" t="s">
        <v>38</v>
      </c>
      <c r="T1863">
        <v>1</v>
      </c>
      <c r="U1863">
        <v>0</v>
      </c>
      <c r="V1863" t="s">
        <v>32</v>
      </c>
      <c r="W1863" t="s">
        <v>39</v>
      </c>
      <c r="X1863" s="4">
        <v>7.5</v>
      </c>
      <c r="Y1863">
        <v>7</v>
      </c>
      <c r="Z1863" s="5">
        <v>205.26</v>
      </c>
    </row>
    <row r="1864" spans="1:26">
      <c r="A1864">
        <v>1863</v>
      </c>
      <c r="B1864">
        <v>610</v>
      </c>
      <c r="C1864" s="2">
        <v>46032</v>
      </c>
      <c r="D1864" t="s">
        <v>40</v>
      </c>
      <c r="E1864">
        <v>1</v>
      </c>
      <c r="F1864" s="3">
        <v>11.98</v>
      </c>
      <c r="G1864" t="s">
        <v>36</v>
      </c>
      <c r="H1864">
        <v>15</v>
      </c>
      <c r="I1864" t="s">
        <v>34</v>
      </c>
      <c r="J1864" s="4">
        <v>70</v>
      </c>
      <c r="K1864" s="4">
        <v>109.3</v>
      </c>
      <c r="L1864" s="4">
        <v>15.9</v>
      </c>
      <c r="M1864">
        <v>12</v>
      </c>
      <c r="N1864" t="s">
        <v>50</v>
      </c>
      <c r="O1864">
        <v>4</v>
      </c>
      <c r="P1864" s="4">
        <v>424.4</v>
      </c>
      <c r="Q1864" t="s">
        <v>42</v>
      </c>
      <c r="R1864">
        <v>0</v>
      </c>
      <c r="S1864" t="s">
        <v>44</v>
      </c>
      <c r="T1864">
        <v>1</v>
      </c>
      <c r="U1864">
        <v>0</v>
      </c>
      <c r="V1864" t="s">
        <v>32</v>
      </c>
      <c r="W1864" t="s">
        <v>39</v>
      </c>
      <c r="X1864" s="4">
        <v>6.8</v>
      </c>
      <c r="Y1864">
        <v>8</v>
      </c>
      <c r="Z1864" s="5">
        <v>209.84</v>
      </c>
    </row>
    <row r="1865" spans="1:26">
      <c r="A1865">
        <v>1864</v>
      </c>
      <c r="B1865">
        <v>610</v>
      </c>
      <c r="C1865" s="2">
        <v>46032</v>
      </c>
      <c r="D1865" t="s">
        <v>40</v>
      </c>
      <c r="E1865">
        <v>1</v>
      </c>
      <c r="F1865" s="3">
        <v>11.9</v>
      </c>
      <c r="G1865" t="s">
        <v>36</v>
      </c>
      <c r="H1865">
        <v>5</v>
      </c>
      <c r="I1865" t="s">
        <v>28</v>
      </c>
      <c r="J1865" s="4">
        <v>52</v>
      </c>
      <c r="K1865" s="4">
        <v>76.7</v>
      </c>
      <c r="L1865" s="4">
        <v>20.2</v>
      </c>
      <c r="M1865">
        <v>12</v>
      </c>
      <c r="N1865" t="s">
        <v>50</v>
      </c>
      <c r="O1865">
        <v>4</v>
      </c>
      <c r="P1865" s="4">
        <v>424.4</v>
      </c>
      <c r="Q1865" t="s">
        <v>42</v>
      </c>
      <c r="R1865">
        <v>0</v>
      </c>
      <c r="S1865" t="s">
        <v>44</v>
      </c>
      <c r="T1865">
        <v>1</v>
      </c>
      <c r="U1865">
        <v>0</v>
      </c>
      <c r="V1865" t="s">
        <v>32</v>
      </c>
      <c r="W1865" t="s">
        <v>39</v>
      </c>
      <c r="X1865" s="4">
        <v>4.5</v>
      </c>
      <c r="Y1865">
        <v>8</v>
      </c>
      <c r="Z1865" s="5">
        <v>156.61000000000001</v>
      </c>
    </row>
    <row r="1866" spans="1:26">
      <c r="A1866">
        <v>1865</v>
      </c>
      <c r="B1866">
        <v>610</v>
      </c>
      <c r="C1866" s="2">
        <v>46032</v>
      </c>
      <c r="D1866" t="s">
        <v>40</v>
      </c>
      <c r="E1866">
        <v>1</v>
      </c>
      <c r="F1866" s="3">
        <v>12.04</v>
      </c>
      <c r="G1866" t="s">
        <v>36</v>
      </c>
      <c r="H1866">
        <v>71</v>
      </c>
      <c r="I1866" t="s">
        <v>28</v>
      </c>
      <c r="J1866" s="4">
        <v>67.599999999999994</v>
      </c>
      <c r="K1866" s="4">
        <v>171</v>
      </c>
      <c r="L1866" s="4">
        <v>26.4</v>
      </c>
      <c r="M1866">
        <v>18</v>
      </c>
      <c r="N1866" t="s">
        <v>50</v>
      </c>
      <c r="O1866">
        <v>4</v>
      </c>
      <c r="P1866" s="4">
        <v>424.4</v>
      </c>
      <c r="Q1866" t="s">
        <v>42</v>
      </c>
      <c r="R1866">
        <v>0</v>
      </c>
      <c r="S1866" t="s">
        <v>44</v>
      </c>
      <c r="T1866">
        <v>1</v>
      </c>
      <c r="U1866">
        <v>0</v>
      </c>
      <c r="V1866" t="s">
        <v>32</v>
      </c>
      <c r="W1866" t="s">
        <v>39</v>
      </c>
      <c r="X1866" s="4">
        <v>6.4</v>
      </c>
      <c r="Y1866">
        <v>4</v>
      </c>
      <c r="Z1866" s="5">
        <v>134.84</v>
      </c>
    </row>
    <row r="1867" spans="1:26">
      <c r="A1867">
        <v>1866</v>
      </c>
      <c r="B1867">
        <v>610</v>
      </c>
      <c r="C1867" s="2">
        <v>46032</v>
      </c>
      <c r="D1867" t="s">
        <v>40</v>
      </c>
      <c r="E1867">
        <v>1</v>
      </c>
      <c r="F1867" s="3">
        <v>11.94</v>
      </c>
      <c r="G1867" t="s">
        <v>36</v>
      </c>
      <c r="H1867">
        <v>46</v>
      </c>
      <c r="I1867" t="s">
        <v>28</v>
      </c>
      <c r="J1867" s="4">
        <v>71.7</v>
      </c>
      <c r="K1867" s="4">
        <v>210.9</v>
      </c>
      <c r="L1867" s="4">
        <v>28.9</v>
      </c>
      <c r="M1867">
        <v>18</v>
      </c>
      <c r="N1867" t="s">
        <v>50</v>
      </c>
      <c r="O1867">
        <v>4</v>
      </c>
      <c r="P1867" s="4">
        <v>424.4</v>
      </c>
      <c r="Q1867" t="s">
        <v>42</v>
      </c>
      <c r="R1867">
        <v>0</v>
      </c>
      <c r="S1867" t="s">
        <v>44</v>
      </c>
      <c r="T1867">
        <v>1</v>
      </c>
      <c r="U1867">
        <v>0</v>
      </c>
      <c r="V1867" t="s">
        <v>32</v>
      </c>
      <c r="W1867" t="s">
        <v>39</v>
      </c>
      <c r="X1867" s="4">
        <v>8.3000000000000007</v>
      </c>
      <c r="Y1867">
        <v>6</v>
      </c>
      <c r="Z1867" s="5">
        <v>209.35</v>
      </c>
    </row>
    <row r="1868" spans="1:26">
      <c r="A1868">
        <v>1867</v>
      </c>
      <c r="B1868">
        <v>611</v>
      </c>
      <c r="C1868" s="2">
        <v>46153</v>
      </c>
      <c r="D1868" t="s">
        <v>46</v>
      </c>
      <c r="E1868">
        <v>5</v>
      </c>
      <c r="F1868" s="3">
        <v>8.91</v>
      </c>
      <c r="G1868" t="s">
        <v>27</v>
      </c>
      <c r="H1868">
        <v>49</v>
      </c>
      <c r="I1868" t="s">
        <v>28</v>
      </c>
      <c r="J1868" s="4">
        <v>66.3</v>
      </c>
      <c r="K1868" s="4">
        <v>152.4</v>
      </c>
      <c r="L1868" s="4">
        <v>24.2</v>
      </c>
      <c r="M1868">
        <v>16</v>
      </c>
      <c r="N1868" t="s">
        <v>41</v>
      </c>
      <c r="O1868">
        <v>5</v>
      </c>
      <c r="P1868" s="4">
        <v>3618.2</v>
      </c>
      <c r="Q1868" t="s">
        <v>42</v>
      </c>
      <c r="R1868">
        <v>0</v>
      </c>
      <c r="S1868" t="s">
        <v>44</v>
      </c>
      <c r="T1868">
        <v>0</v>
      </c>
      <c r="U1868">
        <v>1</v>
      </c>
      <c r="V1868" t="s">
        <v>32</v>
      </c>
      <c r="W1868" t="s">
        <v>43</v>
      </c>
      <c r="X1868" s="4">
        <v>11.6</v>
      </c>
      <c r="Y1868">
        <v>12</v>
      </c>
      <c r="Z1868" s="5">
        <v>273.10000000000002</v>
      </c>
    </row>
    <row r="1869" spans="1:26">
      <c r="A1869">
        <v>1868</v>
      </c>
      <c r="B1869">
        <v>611</v>
      </c>
      <c r="C1869" s="2">
        <v>46153</v>
      </c>
      <c r="D1869" t="s">
        <v>46</v>
      </c>
      <c r="E1869">
        <v>5</v>
      </c>
      <c r="F1869" s="3">
        <v>8.81</v>
      </c>
      <c r="G1869" t="s">
        <v>27</v>
      </c>
      <c r="H1869">
        <v>58</v>
      </c>
      <c r="I1869" t="s">
        <v>28</v>
      </c>
      <c r="J1869" s="4">
        <v>68.2</v>
      </c>
      <c r="K1869" s="4">
        <v>179.4</v>
      </c>
      <c r="L1869" s="4">
        <v>27.3</v>
      </c>
      <c r="M1869">
        <v>16</v>
      </c>
      <c r="N1869" t="s">
        <v>41</v>
      </c>
      <c r="O1869">
        <v>5</v>
      </c>
      <c r="P1869" s="4">
        <v>3618.2</v>
      </c>
      <c r="Q1869" t="s">
        <v>42</v>
      </c>
      <c r="R1869">
        <v>0</v>
      </c>
      <c r="S1869" t="s">
        <v>44</v>
      </c>
      <c r="T1869">
        <v>0</v>
      </c>
      <c r="U1869">
        <v>1</v>
      </c>
      <c r="V1869" t="s">
        <v>32</v>
      </c>
      <c r="W1869" t="s">
        <v>43</v>
      </c>
      <c r="X1869" s="4">
        <v>9.3000000000000007</v>
      </c>
      <c r="Y1869">
        <v>10</v>
      </c>
      <c r="Z1869" s="5">
        <v>213.1</v>
      </c>
    </row>
    <row r="1870" spans="1:26">
      <c r="A1870">
        <v>1869</v>
      </c>
      <c r="B1870">
        <v>611</v>
      </c>
      <c r="C1870" s="2">
        <v>46153</v>
      </c>
      <c r="D1870" t="s">
        <v>46</v>
      </c>
      <c r="E1870">
        <v>5</v>
      </c>
      <c r="F1870" s="3">
        <v>8.7200000000000006</v>
      </c>
      <c r="G1870" t="s">
        <v>27</v>
      </c>
      <c r="H1870">
        <v>57</v>
      </c>
      <c r="I1870" t="s">
        <v>34</v>
      </c>
      <c r="J1870" s="4">
        <v>64.8</v>
      </c>
      <c r="K1870" s="4">
        <v>128.69999999999999</v>
      </c>
      <c r="L1870" s="4">
        <v>21.6</v>
      </c>
      <c r="M1870">
        <v>14</v>
      </c>
      <c r="N1870" t="s">
        <v>41</v>
      </c>
      <c r="O1870">
        <v>5</v>
      </c>
      <c r="P1870" s="4">
        <v>3618.2</v>
      </c>
      <c r="Q1870" t="s">
        <v>42</v>
      </c>
      <c r="R1870">
        <v>0</v>
      </c>
      <c r="S1870" t="s">
        <v>44</v>
      </c>
      <c r="T1870">
        <v>0</v>
      </c>
      <c r="U1870">
        <v>1</v>
      </c>
      <c r="V1870" t="s">
        <v>32</v>
      </c>
      <c r="W1870" t="s">
        <v>43</v>
      </c>
      <c r="X1870" s="4">
        <v>7.3</v>
      </c>
      <c r="Y1870">
        <v>7</v>
      </c>
      <c r="Z1870" s="5">
        <v>213.32</v>
      </c>
    </row>
    <row r="1871" spans="1:26">
      <c r="A1871">
        <v>1870</v>
      </c>
      <c r="B1871">
        <v>611</v>
      </c>
      <c r="C1871" s="2">
        <v>46153</v>
      </c>
      <c r="D1871" t="s">
        <v>46</v>
      </c>
      <c r="E1871">
        <v>5</v>
      </c>
      <c r="F1871" s="3">
        <v>8.9</v>
      </c>
      <c r="G1871" t="s">
        <v>27</v>
      </c>
      <c r="H1871">
        <v>64</v>
      </c>
      <c r="I1871" t="s">
        <v>34</v>
      </c>
      <c r="J1871" s="4">
        <v>61.4</v>
      </c>
      <c r="K1871" s="4">
        <v>108.4</v>
      </c>
      <c r="L1871" s="4">
        <v>20.2</v>
      </c>
      <c r="M1871">
        <v>14</v>
      </c>
      <c r="N1871" t="s">
        <v>41</v>
      </c>
      <c r="O1871">
        <v>5</v>
      </c>
      <c r="P1871" s="4">
        <v>3618.2</v>
      </c>
      <c r="Q1871" t="s">
        <v>42</v>
      </c>
      <c r="R1871">
        <v>0</v>
      </c>
      <c r="S1871" t="s">
        <v>44</v>
      </c>
      <c r="T1871">
        <v>0</v>
      </c>
      <c r="U1871">
        <v>1</v>
      </c>
      <c r="V1871" t="s">
        <v>32</v>
      </c>
      <c r="W1871" t="s">
        <v>43</v>
      </c>
      <c r="X1871" s="4">
        <v>8.8000000000000007</v>
      </c>
      <c r="Y1871">
        <v>9</v>
      </c>
      <c r="Z1871" s="5">
        <v>211.6</v>
      </c>
    </row>
    <row r="1872" spans="1:26">
      <c r="A1872">
        <v>1871</v>
      </c>
      <c r="B1872">
        <v>611</v>
      </c>
      <c r="C1872" s="2">
        <v>46153</v>
      </c>
      <c r="D1872" t="s">
        <v>46</v>
      </c>
      <c r="E1872">
        <v>5</v>
      </c>
      <c r="F1872" s="3">
        <v>8.98</v>
      </c>
      <c r="G1872" t="s">
        <v>27</v>
      </c>
      <c r="H1872">
        <v>32</v>
      </c>
      <c r="I1872" t="s">
        <v>34</v>
      </c>
      <c r="J1872" s="4">
        <v>66.2</v>
      </c>
      <c r="K1872" s="4">
        <v>185.1</v>
      </c>
      <c r="L1872" s="4">
        <v>29.8</v>
      </c>
      <c r="M1872">
        <v>16</v>
      </c>
      <c r="N1872" t="s">
        <v>41</v>
      </c>
      <c r="O1872">
        <v>5</v>
      </c>
      <c r="P1872" s="4">
        <v>3618.2</v>
      </c>
      <c r="Q1872" t="s">
        <v>42</v>
      </c>
      <c r="R1872">
        <v>0</v>
      </c>
      <c r="S1872" t="s">
        <v>44</v>
      </c>
      <c r="T1872">
        <v>0</v>
      </c>
      <c r="U1872">
        <v>1</v>
      </c>
      <c r="V1872" t="s">
        <v>32</v>
      </c>
      <c r="W1872" t="s">
        <v>43</v>
      </c>
      <c r="X1872" s="4">
        <v>8.5</v>
      </c>
      <c r="Y1872">
        <v>7</v>
      </c>
      <c r="Z1872" s="5">
        <v>236.28</v>
      </c>
    </row>
    <row r="1873" spans="1:26">
      <c r="A1873">
        <v>1872</v>
      </c>
      <c r="B1873">
        <v>612</v>
      </c>
      <c r="C1873" s="2">
        <v>46332</v>
      </c>
      <c r="D1873" t="s">
        <v>26</v>
      </c>
      <c r="E1873">
        <v>11</v>
      </c>
      <c r="F1873" s="3">
        <v>9.6199999999999992</v>
      </c>
      <c r="G1873" t="s">
        <v>27</v>
      </c>
      <c r="H1873">
        <v>60</v>
      </c>
      <c r="I1873" t="s">
        <v>34</v>
      </c>
      <c r="J1873" s="4">
        <v>63.1</v>
      </c>
      <c r="K1873" s="4">
        <v>118.4</v>
      </c>
      <c r="L1873" s="4">
        <v>20.9</v>
      </c>
      <c r="M1873">
        <v>14</v>
      </c>
      <c r="N1873" t="s">
        <v>53</v>
      </c>
      <c r="O1873">
        <v>2</v>
      </c>
      <c r="P1873" s="4">
        <v>1192.5</v>
      </c>
      <c r="Q1873" t="s">
        <v>42</v>
      </c>
      <c r="R1873">
        <v>1</v>
      </c>
      <c r="S1873" t="s">
        <v>44</v>
      </c>
      <c r="T1873">
        <v>0</v>
      </c>
      <c r="U1873">
        <v>0</v>
      </c>
      <c r="V1873" t="s">
        <v>32</v>
      </c>
      <c r="W1873" t="s">
        <v>43</v>
      </c>
      <c r="X1873" s="4">
        <v>11.3</v>
      </c>
      <c r="Y1873">
        <v>11</v>
      </c>
      <c r="Z1873" s="5">
        <v>472.05</v>
      </c>
    </row>
    <row r="1874" spans="1:26">
      <c r="A1874">
        <v>1873</v>
      </c>
      <c r="B1874">
        <v>612</v>
      </c>
      <c r="C1874" s="2">
        <v>46332</v>
      </c>
      <c r="D1874" t="s">
        <v>26</v>
      </c>
      <c r="E1874">
        <v>11</v>
      </c>
      <c r="F1874" s="3">
        <v>9.6</v>
      </c>
      <c r="G1874" t="s">
        <v>27</v>
      </c>
      <c r="H1874">
        <v>56</v>
      </c>
      <c r="I1874" t="s">
        <v>28</v>
      </c>
      <c r="J1874" s="4">
        <v>78</v>
      </c>
      <c r="K1874" s="4">
        <v>224.6</v>
      </c>
      <c r="L1874" s="4">
        <v>26</v>
      </c>
      <c r="M1874">
        <v>17</v>
      </c>
      <c r="N1874" t="s">
        <v>53</v>
      </c>
      <c r="O1874">
        <v>2</v>
      </c>
      <c r="P1874" s="4">
        <v>1192.5</v>
      </c>
      <c r="Q1874" t="s">
        <v>42</v>
      </c>
      <c r="R1874">
        <v>1</v>
      </c>
      <c r="S1874" t="s">
        <v>44</v>
      </c>
      <c r="T1874">
        <v>0</v>
      </c>
      <c r="U1874">
        <v>0</v>
      </c>
      <c r="V1874" t="s">
        <v>32</v>
      </c>
      <c r="W1874" t="s">
        <v>43</v>
      </c>
      <c r="X1874" s="4">
        <v>9.9</v>
      </c>
      <c r="Y1874">
        <v>9</v>
      </c>
      <c r="Z1874" s="5">
        <v>262.57</v>
      </c>
    </row>
    <row r="1875" spans="1:26">
      <c r="A1875">
        <v>1874</v>
      </c>
      <c r="B1875">
        <v>613</v>
      </c>
      <c r="C1875" s="2">
        <v>46133</v>
      </c>
      <c r="D1875" t="s">
        <v>35</v>
      </c>
      <c r="E1875">
        <v>4</v>
      </c>
      <c r="F1875" s="3">
        <v>10.57</v>
      </c>
      <c r="G1875" t="s">
        <v>27</v>
      </c>
      <c r="H1875">
        <v>38</v>
      </c>
      <c r="I1875" t="s">
        <v>28</v>
      </c>
      <c r="J1875" s="4">
        <v>73.2</v>
      </c>
      <c r="K1875" s="4">
        <v>187.7</v>
      </c>
      <c r="L1875" s="4">
        <v>24.6</v>
      </c>
      <c r="M1875">
        <v>14</v>
      </c>
      <c r="N1875" t="s">
        <v>47</v>
      </c>
      <c r="O1875">
        <v>5</v>
      </c>
      <c r="P1875" s="4">
        <v>130.6</v>
      </c>
      <c r="Q1875" t="s">
        <v>30</v>
      </c>
      <c r="R1875">
        <v>1</v>
      </c>
      <c r="S1875" t="s">
        <v>44</v>
      </c>
      <c r="T1875">
        <v>0</v>
      </c>
      <c r="U1875">
        <v>1</v>
      </c>
      <c r="V1875" t="s">
        <v>64</v>
      </c>
      <c r="W1875" t="s">
        <v>49</v>
      </c>
      <c r="X1875" s="4">
        <v>8.8000000000000007</v>
      </c>
      <c r="Y1875">
        <v>7</v>
      </c>
      <c r="Z1875" s="5">
        <v>251.47</v>
      </c>
    </row>
    <row r="1876" spans="1:26">
      <c r="A1876">
        <v>1875</v>
      </c>
      <c r="B1876">
        <v>613</v>
      </c>
      <c r="C1876" s="2">
        <v>46133</v>
      </c>
      <c r="D1876" t="s">
        <v>35</v>
      </c>
      <c r="E1876">
        <v>4</v>
      </c>
      <c r="F1876" s="3">
        <v>10.31</v>
      </c>
      <c r="G1876" t="s">
        <v>27</v>
      </c>
      <c r="H1876">
        <v>6</v>
      </c>
      <c r="I1876" t="s">
        <v>28</v>
      </c>
      <c r="J1876" s="4">
        <v>53.6</v>
      </c>
      <c r="K1876" s="4">
        <v>84.6</v>
      </c>
      <c r="L1876" s="4">
        <v>20.7</v>
      </c>
      <c r="M1876">
        <v>9</v>
      </c>
      <c r="N1876" t="s">
        <v>47</v>
      </c>
      <c r="O1876">
        <v>5</v>
      </c>
      <c r="P1876" s="4">
        <v>130.6</v>
      </c>
      <c r="Q1876" t="s">
        <v>30</v>
      </c>
      <c r="R1876">
        <v>1</v>
      </c>
      <c r="S1876" t="s">
        <v>44</v>
      </c>
      <c r="T1876">
        <v>0</v>
      </c>
      <c r="U1876">
        <v>1</v>
      </c>
      <c r="V1876" t="s">
        <v>64</v>
      </c>
      <c r="W1876" t="s">
        <v>49</v>
      </c>
      <c r="X1876" s="4">
        <v>12.1</v>
      </c>
      <c r="Y1876">
        <v>13</v>
      </c>
      <c r="Z1876" s="5">
        <v>351.43</v>
      </c>
    </row>
    <row r="1877" spans="1:26">
      <c r="A1877">
        <v>1876</v>
      </c>
      <c r="B1877">
        <v>613</v>
      </c>
      <c r="C1877" s="2">
        <v>46133</v>
      </c>
      <c r="D1877" t="s">
        <v>35</v>
      </c>
      <c r="E1877">
        <v>4</v>
      </c>
      <c r="F1877" s="3">
        <v>10.31</v>
      </c>
      <c r="G1877" t="s">
        <v>27</v>
      </c>
      <c r="H1877">
        <v>48</v>
      </c>
      <c r="I1877" t="s">
        <v>28</v>
      </c>
      <c r="J1877" s="4">
        <v>64.7</v>
      </c>
      <c r="K1877" s="4">
        <v>169.8</v>
      </c>
      <c r="L1877" s="4">
        <v>28.5</v>
      </c>
      <c r="M1877">
        <v>18</v>
      </c>
      <c r="N1877" t="s">
        <v>47</v>
      </c>
      <c r="O1877">
        <v>5</v>
      </c>
      <c r="P1877" s="4">
        <v>130.6</v>
      </c>
      <c r="Q1877" t="s">
        <v>30</v>
      </c>
      <c r="R1877">
        <v>1</v>
      </c>
      <c r="S1877" t="s">
        <v>44</v>
      </c>
      <c r="T1877">
        <v>0</v>
      </c>
      <c r="U1877">
        <v>1</v>
      </c>
      <c r="V1877" t="s">
        <v>64</v>
      </c>
      <c r="W1877" t="s">
        <v>49</v>
      </c>
      <c r="X1877" s="4">
        <v>8.4</v>
      </c>
      <c r="Y1877">
        <v>5</v>
      </c>
      <c r="Z1877" s="5">
        <v>218.27</v>
      </c>
    </row>
    <row r="1878" spans="1:26">
      <c r="A1878">
        <v>1877</v>
      </c>
      <c r="B1878">
        <v>613</v>
      </c>
      <c r="C1878" s="2">
        <v>46133</v>
      </c>
      <c r="D1878" t="s">
        <v>35</v>
      </c>
      <c r="E1878">
        <v>4</v>
      </c>
      <c r="F1878" s="3">
        <v>10.39</v>
      </c>
      <c r="G1878" t="s">
        <v>27</v>
      </c>
      <c r="H1878">
        <v>26</v>
      </c>
      <c r="I1878" t="s">
        <v>34</v>
      </c>
      <c r="J1878" s="4">
        <v>58.9</v>
      </c>
      <c r="K1878" s="4">
        <v>154.19999999999999</v>
      </c>
      <c r="L1878" s="4">
        <v>31.3</v>
      </c>
      <c r="M1878">
        <v>13</v>
      </c>
      <c r="N1878" t="s">
        <v>47</v>
      </c>
      <c r="O1878">
        <v>5</v>
      </c>
      <c r="P1878" s="4">
        <v>130.6</v>
      </c>
      <c r="Q1878" t="s">
        <v>30</v>
      </c>
      <c r="R1878">
        <v>1</v>
      </c>
      <c r="S1878" t="s">
        <v>44</v>
      </c>
      <c r="T1878">
        <v>0</v>
      </c>
      <c r="U1878">
        <v>1</v>
      </c>
      <c r="V1878" t="s">
        <v>64</v>
      </c>
      <c r="W1878" t="s">
        <v>49</v>
      </c>
      <c r="X1878" s="4">
        <v>11.3</v>
      </c>
      <c r="Y1878">
        <v>11</v>
      </c>
      <c r="Z1878" s="5">
        <v>264.58999999999997</v>
      </c>
    </row>
    <row r="1879" spans="1:26">
      <c r="A1879">
        <v>1878</v>
      </c>
      <c r="B1879">
        <v>613</v>
      </c>
      <c r="C1879" s="2">
        <v>46133</v>
      </c>
      <c r="D1879" t="s">
        <v>35</v>
      </c>
      <c r="E1879">
        <v>4</v>
      </c>
      <c r="F1879" s="3">
        <v>10.35</v>
      </c>
      <c r="G1879" t="s">
        <v>27</v>
      </c>
      <c r="H1879">
        <v>25</v>
      </c>
      <c r="I1879" t="s">
        <v>28</v>
      </c>
      <c r="J1879" s="4">
        <v>66.3</v>
      </c>
      <c r="K1879" s="4">
        <v>158.19999999999999</v>
      </c>
      <c r="L1879" s="4">
        <v>25.1</v>
      </c>
      <c r="M1879">
        <v>11</v>
      </c>
      <c r="N1879" t="s">
        <v>47</v>
      </c>
      <c r="O1879">
        <v>5</v>
      </c>
      <c r="P1879" s="4">
        <v>130.6</v>
      </c>
      <c r="Q1879" t="s">
        <v>30</v>
      </c>
      <c r="R1879">
        <v>1</v>
      </c>
      <c r="S1879" t="s">
        <v>44</v>
      </c>
      <c r="T1879">
        <v>0</v>
      </c>
      <c r="U1879">
        <v>1</v>
      </c>
      <c r="V1879" t="s">
        <v>64</v>
      </c>
      <c r="W1879" t="s">
        <v>49</v>
      </c>
      <c r="X1879" s="4">
        <v>8.6999999999999993</v>
      </c>
      <c r="Y1879">
        <v>9</v>
      </c>
      <c r="Z1879" s="5">
        <v>276.70999999999998</v>
      </c>
    </row>
    <row r="1880" spans="1:26">
      <c r="A1880">
        <v>1879</v>
      </c>
      <c r="B1880">
        <v>614</v>
      </c>
      <c r="C1880" s="2">
        <v>46158</v>
      </c>
      <c r="D1880" t="s">
        <v>40</v>
      </c>
      <c r="E1880">
        <v>5</v>
      </c>
      <c r="F1880" s="3">
        <v>9.1300000000000008</v>
      </c>
      <c r="G1880" t="s">
        <v>27</v>
      </c>
      <c r="H1880">
        <v>5</v>
      </c>
      <c r="I1880" t="s">
        <v>28</v>
      </c>
      <c r="J1880" s="4">
        <v>55.3</v>
      </c>
      <c r="K1880" s="4">
        <v>90</v>
      </c>
      <c r="L1880" s="4">
        <v>20.7</v>
      </c>
      <c r="M1880">
        <v>17</v>
      </c>
      <c r="N1880" t="s">
        <v>60</v>
      </c>
      <c r="O1880">
        <v>5</v>
      </c>
      <c r="P1880" s="4">
        <v>1661.1</v>
      </c>
      <c r="Q1880" t="s">
        <v>48</v>
      </c>
      <c r="R1880">
        <v>0</v>
      </c>
      <c r="S1880" t="s">
        <v>31</v>
      </c>
      <c r="T1880">
        <v>1</v>
      </c>
      <c r="U1880">
        <v>1</v>
      </c>
      <c r="V1880" t="s">
        <v>64</v>
      </c>
      <c r="W1880" t="s">
        <v>33</v>
      </c>
      <c r="X1880" s="4">
        <v>10.5</v>
      </c>
      <c r="Y1880">
        <v>14</v>
      </c>
      <c r="Z1880" s="5">
        <v>324.73</v>
      </c>
    </row>
    <row r="1881" spans="1:26">
      <c r="A1881">
        <v>1880</v>
      </c>
      <c r="B1881">
        <v>614</v>
      </c>
      <c r="C1881" s="2">
        <v>46158</v>
      </c>
      <c r="D1881" t="s">
        <v>40</v>
      </c>
      <c r="E1881">
        <v>5</v>
      </c>
      <c r="F1881" s="3">
        <v>9.16</v>
      </c>
      <c r="G1881" t="s">
        <v>27</v>
      </c>
      <c r="H1881">
        <v>46</v>
      </c>
      <c r="I1881" t="s">
        <v>34</v>
      </c>
      <c r="J1881" s="4">
        <v>62.7</v>
      </c>
      <c r="K1881" s="4">
        <v>139.5</v>
      </c>
      <c r="L1881" s="4">
        <v>25</v>
      </c>
      <c r="M1881">
        <v>19</v>
      </c>
      <c r="N1881" t="s">
        <v>60</v>
      </c>
      <c r="O1881">
        <v>5</v>
      </c>
      <c r="P1881" s="4">
        <v>1661.1</v>
      </c>
      <c r="Q1881" t="s">
        <v>48</v>
      </c>
      <c r="R1881">
        <v>0</v>
      </c>
      <c r="S1881" t="s">
        <v>31</v>
      </c>
      <c r="T1881">
        <v>1</v>
      </c>
      <c r="U1881">
        <v>1</v>
      </c>
      <c r="V1881" t="s">
        <v>64</v>
      </c>
      <c r="W1881" t="s">
        <v>33</v>
      </c>
      <c r="X1881" s="4">
        <v>9.8000000000000007</v>
      </c>
      <c r="Y1881">
        <v>11</v>
      </c>
      <c r="Z1881" s="5">
        <v>316.17</v>
      </c>
    </row>
    <row r="1882" spans="1:26">
      <c r="A1882">
        <v>1881</v>
      </c>
      <c r="B1882">
        <v>614</v>
      </c>
      <c r="C1882" s="2">
        <v>46158</v>
      </c>
      <c r="D1882" t="s">
        <v>40</v>
      </c>
      <c r="E1882">
        <v>5</v>
      </c>
      <c r="F1882" s="3">
        <v>9.16</v>
      </c>
      <c r="G1882" t="s">
        <v>27</v>
      </c>
      <c r="H1882">
        <v>40</v>
      </c>
      <c r="I1882" t="s">
        <v>28</v>
      </c>
      <c r="J1882" s="4">
        <v>69.900000000000006</v>
      </c>
      <c r="K1882" s="4">
        <v>194.3</v>
      </c>
      <c r="L1882" s="4">
        <v>27.8</v>
      </c>
      <c r="M1882">
        <v>15</v>
      </c>
      <c r="N1882" t="s">
        <v>60</v>
      </c>
      <c r="O1882">
        <v>5</v>
      </c>
      <c r="P1882" s="4">
        <v>1661.1</v>
      </c>
      <c r="Q1882" t="s">
        <v>48</v>
      </c>
      <c r="R1882">
        <v>0</v>
      </c>
      <c r="S1882" t="s">
        <v>31</v>
      </c>
      <c r="T1882">
        <v>1</v>
      </c>
      <c r="U1882">
        <v>1</v>
      </c>
      <c r="V1882" t="s">
        <v>64</v>
      </c>
      <c r="W1882" t="s">
        <v>33</v>
      </c>
      <c r="X1882" s="4">
        <v>8.6999999999999993</v>
      </c>
      <c r="Y1882">
        <v>15</v>
      </c>
      <c r="Z1882" s="5">
        <v>324.67</v>
      </c>
    </row>
    <row r="1883" spans="1:26">
      <c r="A1883">
        <v>1882</v>
      </c>
      <c r="B1883">
        <v>614</v>
      </c>
      <c r="C1883" s="2">
        <v>46158</v>
      </c>
      <c r="D1883" t="s">
        <v>40</v>
      </c>
      <c r="E1883">
        <v>5</v>
      </c>
      <c r="F1883" s="3">
        <v>9.2200000000000006</v>
      </c>
      <c r="G1883" t="s">
        <v>27</v>
      </c>
      <c r="H1883">
        <v>29</v>
      </c>
      <c r="I1883" t="s">
        <v>34</v>
      </c>
      <c r="J1883" s="4">
        <v>64.2</v>
      </c>
      <c r="K1883" s="4">
        <v>155.30000000000001</v>
      </c>
      <c r="L1883" s="4">
        <v>26.4</v>
      </c>
      <c r="M1883">
        <v>15</v>
      </c>
      <c r="N1883" t="s">
        <v>60</v>
      </c>
      <c r="O1883">
        <v>5</v>
      </c>
      <c r="P1883" s="4">
        <v>1661.1</v>
      </c>
      <c r="Q1883" t="s">
        <v>48</v>
      </c>
      <c r="R1883">
        <v>0</v>
      </c>
      <c r="S1883" t="s">
        <v>31</v>
      </c>
      <c r="T1883">
        <v>1</v>
      </c>
      <c r="U1883">
        <v>1</v>
      </c>
      <c r="V1883" t="s">
        <v>64</v>
      </c>
      <c r="W1883" t="s">
        <v>33</v>
      </c>
      <c r="X1883" s="4">
        <v>10</v>
      </c>
      <c r="Y1883">
        <v>9</v>
      </c>
      <c r="Z1883" s="5">
        <v>285.75</v>
      </c>
    </row>
    <row r="1884" spans="1:26">
      <c r="A1884">
        <v>1883</v>
      </c>
      <c r="B1884">
        <v>614</v>
      </c>
      <c r="C1884" s="2">
        <v>46158</v>
      </c>
      <c r="D1884" t="s">
        <v>40</v>
      </c>
      <c r="E1884">
        <v>5</v>
      </c>
      <c r="F1884" s="3">
        <v>9.02</v>
      </c>
      <c r="G1884" t="s">
        <v>27</v>
      </c>
      <c r="H1884">
        <v>34</v>
      </c>
      <c r="I1884" t="s">
        <v>34</v>
      </c>
      <c r="J1884" s="4">
        <v>57.1</v>
      </c>
      <c r="K1884" s="4">
        <v>96.7</v>
      </c>
      <c r="L1884" s="4">
        <v>20.7</v>
      </c>
      <c r="M1884">
        <v>17</v>
      </c>
      <c r="N1884" t="s">
        <v>60</v>
      </c>
      <c r="O1884">
        <v>5</v>
      </c>
      <c r="P1884" s="4">
        <v>1661.1</v>
      </c>
      <c r="Q1884" t="s">
        <v>48</v>
      </c>
      <c r="R1884">
        <v>0</v>
      </c>
      <c r="S1884" t="s">
        <v>31</v>
      </c>
      <c r="T1884">
        <v>1</v>
      </c>
      <c r="U1884">
        <v>1</v>
      </c>
      <c r="V1884" t="s">
        <v>64</v>
      </c>
      <c r="W1884" t="s">
        <v>33</v>
      </c>
      <c r="X1884" s="4">
        <v>8.5</v>
      </c>
      <c r="Y1884">
        <v>8</v>
      </c>
      <c r="Z1884" s="5">
        <v>242.01</v>
      </c>
    </row>
    <row r="1885" spans="1:26">
      <c r="A1885">
        <v>1884</v>
      </c>
      <c r="B1885">
        <v>615</v>
      </c>
      <c r="C1885" s="2">
        <v>46335</v>
      </c>
      <c r="D1885" t="s">
        <v>46</v>
      </c>
      <c r="E1885">
        <v>11</v>
      </c>
      <c r="F1885" s="3">
        <v>11.47</v>
      </c>
      <c r="G1885" t="s">
        <v>36</v>
      </c>
      <c r="H1885">
        <v>3</v>
      </c>
      <c r="I1885" t="s">
        <v>34</v>
      </c>
      <c r="J1885" s="4">
        <v>52.9</v>
      </c>
      <c r="K1885" s="4">
        <v>79.099999999999994</v>
      </c>
      <c r="L1885" s="4">
        <v>20</v>
      </c>
      <c r="M1885">
        <v>7</v>
      </c>
      <c r="N1885" t="s">
        <v>47</v>
      </c>
      <c r="O1885">
        <v>2</v>
      </c>
      <c r="P1885" s="4">
        <v>79.8</v>
      </c>
      <c r="Q1885" t="s">
        <v>30</v>
      </c>
      <c r="R1885">
        <v>1</v>
      </c>
      <c r="S1885" t="s">
        <v>44</v>
      </c>
      <c r="T1885">
        <v>0</v>
      </c>
      <c r="U1885">
        <v>0</v>
      </c>
      <c r="V1885" t="s">
        <v>32</v>
      </c>
      <c r="W1885" t="s">
        <v>39</v>
      </c>
      <c r="X1885" s="4">
        <v>5.0999999999999996</v>
      </c>
      <c r="Y1885">
        <v>1</v>
      </c>
      <c r="Z1885" s="5">
        <v>164.27</v>
      </c>
    </row>
    <row r="1886" spans="1:26">
      <c r="A1886">
        <v>1885</v>
      </c>
      <c r="B1886">
        <v>615</v>
      </c>
      <c r="C1886" s="2">
        <v>46335</v>
      </c>
      <c r="D1886" t="s">
        <v>46</v>
      </c>
      <c r="E1886">
        <v>11</v>
      </c>
      <c r="F1886" s="3">
        <v>11.64</v>
      </c>
      <c r="G1886" t="s">
        <v>36</v>
      </c>
      <c r="H1886">
        <v>29</v>
      </c>
      <c r="I1886" t="s">
        <v>28</v>
      </c>
      <c r="J1886" s="4">
        <v>68.400000000000006</v>
      </c>
      <c r="K1886" s="4">
        <v>164.6</v>
      </c>
      <c r="L1886" s="4">
        <v>24.5</v>
      </c>
      <c r="M1886">
        <v>10</v>
      </c>
      <c r="N1886" t="s">
        <v>47</v>
      </c>
      <c r="O1886">
        <v>2</v>
      </c>
      <c r="P1886" s="4">
        <v>79.8</v>
      </c>
      <c r="Q1886" t="s">
        <v>30</v>
      </c>
      <c r="R1886">
        <v>1</v>
      </c>
      <c r="S1886" t="s">
        <v>44</v>
      </c>
      <c r="T1886">
        <v>0</v>
      </c>
      <c r="U1886">
        <v>0</v>
      </c>
      <c r="V1886" t="s">
        <v>32</v>
      </c>
      <c r="W1886" t="s">
        <v>39</v>
      </c>
      <c r="X1886" s="4">
        <v>5.3</v>
      </c>
      <c r="Y1886">
        <v>3</v>
      </c>
      <c r="Z1886" s="5">
        <v>70.36</v>
      </c>
    </row>
    <row r="1887" spans="1:26">
      <c r="A1887">
        <v>1886</v>
      </c>
      <c r="B1887">
        <v>616</v>
      </c>
      <c r="C1887" s="2">
        <v>46125</v>
      </c>
      <c r="D1887" t="s">
        <v>46</v>
      </c>
      <c r="E1887">
        <v>4</v>
      </c>
      <c r="F1887" s="3">
        <v>12.52</v>
      </c>
      <c r="G1887" t="s">
        <v>36</v>
      </c>
      <c r="H1887">
        <v>58</v>
      </c>
      <c r="I1887" t="s">
        <v>34</v>
      </c>
      <c r="J1887" s="4">
        <v>67.5</v>
      </c>
      <c r="K1887" s="4">
        <v>195.3</v>
      </c>
      <c r="L1887" s="4">
        <v>29.9</v>
      </c>
      <c r="M1887">
        <v>18</v>
      </c>
      <c r="N1887" t="s">
        <v>66</v>
      </c>
      <c r="O1887">
        <v>4</v>
      </c>
      <c r="P1887" s="4">
        <v>500</v>
      </c>
      <c r="Q1887" t="s">
        <v>42</v>
      </c>
      <c r="R1887">
        <v>0</v>
      </c>
      <c r="S1887" t="s">
        <v>31</v>
      </c>
      <c r="T1887">
        <v>0</v>
      </c>
      <c r="U1887">
        <v>0</v>
      </c>
      <c r="V1887" t="s">
        <v>32</v>
      </c>
      <c r="W1887" t="s">
        <v>49</v>
      </c>
      <c r="X1887" s="4">
        <v>7.5</v>
      </c>
      <c r="Y1887">
        <v>11</v>
      </c>
      <c r="Z1887" s="5">
        <v>297.11</v>
      </c>
    </row>
    <row r="1888" spans="1:26">
      <c r="A1888">
        <v>1887</v>
      </c>
      <c r="B1888">
        <v>616</v>
      </c>
      <c r="C1888" s="2">
        <v>46125</v>
      </c>
      <c r="D1888" t="s">
        <v>46</v>
      </c>
      <c r="E1888">
        <v>4</v>
      </c>
      <c r="F1888" s="3">
        <v>12.53</v>
      </c>
      <c r="G1888" t="s">
        <v>36</v>
      </c>
      <c r="H1888">
        <v>69</v>
      </c>
      <c r="I1888" t="s">
        <v>34</v>
      </c>
      <c r="J1888" s="4">
        <v>65.900000000000006</v>
      </c>
      <c r="K1888" s="4">
        <v>181.8</v>
      </c>
      <c r="L1888" s="4">
        <v>29.6</v>
      </c>
      <c r="M1888">
        <v>18</v>
      </c>
      <c r="N1888" t="s">
        <v>66</v>
      </c>
      <c r="O1888">
        <v>4</v>
      </c>
      <c r="P1888" s="4">
        <v>500</v>
      </c>
      <c r="Q1888" t="s">
        <v>42</v>
      </c>
      <c r="R1888">
        <v>0</v>
      </c>
      <c r="S1888" t="s">
        <v>31</v>
      </c>
      <c r="T1888">
        <v>0</v>
      </c>
      <c r="U1888">
        <v>0</v>
      </c>
      <c r="V1888" t="s">
        <v>32</v>
      </c>
      <c r="W1888" t="s">
        <v>49</v>
      </c>
      <c r="X1888" s="4">
        <v>6.7</v>
      </c>
      <c r="Y1888">
        <v>7</v>
      </c>
      <c r="Z1888" s="5">
        <v>145.13999999999999</v>
      </c>
    </row>
    <row r="1889" spans="1:26">
      <c r="A1889">
        <v>1888</v>
      </c>
      <c r="B1889">
        <v>616</v>
      </c>
      <c r="C1889" s="2">
        <v>46125</v>
      </c>
      <c r="D1889" t="s">
        <v>46</v>
      </c>
      <c r="E1889">
        <v>4</v>
      </c>
      <c r="F1889" s="3">
        <v>12.53</v>
      </c>
      <c r="G1889" t="s">
        <v>36</v>
      </c>
      <c r="H1889">
        <v>11</v>
      </c>
      <c r="I1889" t="s">
        <v>34</v>
      </c>
      <c r="J1889" s="4">
        <v>65.8</v>
      </c>
      <c r="K1889" s="4">
        <v>117.9</v>
      </c>
      <c r="L1889" s="4">
        <v>19</v>
      </c>
      <c r="M1889">
        <v>13</v>
      </c>
      <c r="N1889" t="s">
        <v>66</v>
      </c>
      <c r="O1889">
        <v>4</v>
      </c>
      <c r="P1889" s="4">
        <v>500</v>
      </c>
      <c r="Q1889" t="s">
        <v>42</v>
      </c>
      <c r="R1889">
        <v>0</v>
      </c>
      <c r="S1889" t="s">
        <v>31</v>
      </c>
      <c r="T1889">
        <v>0</v>
      </c>
      <c r="U1889">
        <v>0</v>
      </c>
      <c r="V1889" t="s">
        <v>32</v>
      </c>
      <c r="W1889" t="s">
        <v>49</v>
      </c>
      <c r="X1889" s="4">
        <v>8.4</v>
      </c>
      <c r="Y1889">
        <v>6</v>
      </c>
      <c r="Z1889" s="5">
        <v>115.57</v>
      </c>
    </row>
    <row r="1890" spans="1:26">
      <c r="A1890">
        <v>1889</v>
      </c>
      <c r="B1890">
        <v>616</v>
      </c>
      <c r="C1890" s="2">
        <v>46125</v>
      </c>
      <c r="D1890" t="s">
        <v>46</v>
      </c>
      <c r="E1890">
        <v>4</v>
      </c>
      <c r="F1890" s="3">
        <v>12.68</v>
      </c>
      <c r="G1890" t="s">
        <v>36</v>
      </c>
      <c r="H1890">
        <v>27</v>
      </c>
      <c r="I1890" t="s">
        <v>28</v>
      </c>
      <c r="J1890" s="4">
        <v>72.400000000000006</v>
      </c>
      <c r="K1890" s="4">
        <v>211.3</v>
      </c>
      <c r="L1890" s="4">
        <v>28.4</v>
      </c>
      <c r="M1890">
        <v>13</v>
      </c>
      <c r="N1890" t="s">
        <v>66</v>
      </c>
      <c r="O1890">
        <v>4</v>
      </c>
      <c r="P1890" s="4">
        <v>500</v>
      </c>
      <c r="Q1890" t="s">
        <v>42</v>
      </c>
      <c r="R1890">
        <v>0</v>
      </c>
      <c r="S1890" t="s">
        <v>31</v>
      </c>
      <c r="T1890">
        <v>0</v>
      </c>
      <c r="U1890">
        <v>0</v>
      </c>
      <c r="V1890" t="s">
        <v>32</v>
      </c>
      <c r="W1890" t="s">
        <v>49</v>
      </c>
      <c r="X1890" s="4">
        <v>7.9</v>
      </c>
      <c r="Y1890">
        <v>10</v>
      </c>
      <c r="Z1890" s="5">
        <v>187.96</v>
      </c>
    </row>
    <row r="1891" spans="1:26">
      <c r="A1891">
        <v>1890</v>
      </c>
      <c r="B1891">
        <v>617</v>
      </c>
      <c r="C1891" s="2">
        <v>46085</v>
      </c>
      <c r="D1891" t="s">
        <v>52</v>
      </c>
      <c r="E1891">
        <v>3</v>
      </c>
      <c r="F1891" s="3">
        <v>10.6</v>
      </c>
      <c r="G1891" t="s">
        <v>27</v>
      </c>
      <c r="H1891">
        <v>10</v>
      </c>
      <c r="I1891" t="s">
        <v>28</v>
      </c>
      <c r="J1891" s="4">
        <v>61.7</v>
      </c>
      <c r="K1891" s="4">
        <v>112.2</v>
      </c>
      <c r="L1891" s="4">
        <v>20.7</v>
      </c>
      <c r="M1891">
        <v>14</v>
      </c>
      <c r="N1891" t="s">
        <v>37</v>
      </c>
      <c r="O1891">
        <v>1</v>
      </c>
      <c r="P1891" s="4">
        <v>1317.2</v>
      </c>
      <c r="Q1891" t="s">
        <v>42</v>
      </c>
      <c r="R1891">
        <v>0</v>
      </c>
      <c r="S1891" t="s">
        <v>44</v>
      </c>
      <c r="T1891">
        <v>0</v>
      </c>
      <c r="U1891">
        <v>0</v>
      </c>
      <c r="V1891" t="s">
        <v>32</v>
      </c>
      <c r="W1891" t="s">
        <v>49</v>
      </c>
      <c r="X1891" s="4">
        <v>7.2</v>
      </c>
      <c r="Y1891">
        <v>11</v>
      </c>
      <c r="Z1891" s="5">
        <v>247.57</v>
      </c>
    </row>
    <row r="1892" spans="1:26">
      <c r="A1892">
        <v>1891</v>
      </c>
      <c r="B1892">
        <v>618</v>
      </c>
      <c r="C1892" s="2">
        <v>46333</v>
      </c>
      <c r="D1892" t="s">
        <v>40</v>
      </c>
      <c r="E1892">
        <v>11</v>
      </c>
      <c r="F1892" s="3">
        <v>12.94</v>
      </c>
      <c r="G1892" t="s">
        <v>36</v>
      </c>
      <c r="H1892">
        <v>54</v>
      </c>
      <c r="I1892" t="s">
        <v>34</v>
      </c>
      <c r="J1892" s="4">
        <v>69.5</v>
      </c>
      <c r="K1892" s="4">
        <v>163</v>
      </c>
      <c r="L1892" s="4">
        <v>23.5</v>
      </c>
      <c r="M1892">
        <v>15</v>
      </c>
      <c r="N1892" t="s">
        <v>41</v>
      </c>
      <c r="O1892">
        <v>3</v>
      </c>
      <c r="P1892" s="4">
        <v>1489</v>
      </c>
      <c r="Q1892" t="s">
        <v>42</v>
      </c>
      <c r="R1892">
        <v>0</v>
      </c>
      <c r="S1892" t="s">
        <v>38</v>
      </c>
      <c r="T1892">
        <v>0</v>
      </c>
      <c r="U1892">
        <v>0</v>
      </c>
      <c r="V1892" t="s">
        <v>32</v>
      </c>
      <c r="W1892" t="s">
        <v>39</v>
      </c>
      <c r="X1892" s="4">
        <v>8.1999999999999993</v>
      </c>
      <c r="Y1892">
        <v>8</v>
      </c>
      <c r="Z1892" s="5">
        <v>182.27</v>
      </c>
    </row>
    <row r="1893" spans="1:26">
      <c r="A1893">
        <v>1892</v>
      </c>
      <c r="B1893">
        <v>618</v>
      </c>
      <c r="C1893" s="2">
        <v>46333</v>
      </c>
      <c r="D1893" t="s">
        <v>40</v>
      </c>
      <c r="E1893">
        <v>11</v>
      </c>
      <c r="F1893" s="3">
        <v>12.98</v>
      </c>
      <c r="G1893" t="s">
        <v>36</v>
      </c>
      <c r="H1893">
        <v>57</v>
      </c>
      <c r="I1893" t="s">
        <v>34</v>
      </c>
      <c r="J1893" s="4">
        <v>61</v>
      </c>
      <c r="K1893" s="4">
        <v>146.1</v>
      </c>
      <c r="L1893" s="4">
        <v>27.5</v>
      </c>
      <c r="M1893">
        <v>17</v>
      </c>
      <c r="N1893" t="s">
        <v>41</v>
      </c>
      <c r="O1893">
        <v>3</v>
      </c>
      <c r="P1893" s="4">
        <v>1489</v>
      </c>
      <c r="Q1893" t="s">
        <v>42</v>
      </c>
      <c r="R1893">
        <v>0</v>
      </c>
      <c r="S1893" t="s">
        <v>38</v>
      </c>
      <c r="T1893">
        <v>0</v>
      </c>
      <c r="U1893">
        <v>0</v>
      </c>
      <c r="V1893" t="s">
        <v>32</v>
      </c>
      <c r="W1893" t="s">
        <v>39</v>
      </c>
      <c r="X1893" s="4">
        <v>6.5</v>
      </c>
      <c r="Y1893">
        <v>8</v>
      </c>
      <c r="Z1893" s="5">
        <v>154.08000000000001</v>
      </c>
    </row>
    <row r="1894" spans="1:26">
      <c r="A1894">
        <v>1893</v>
      </c>
      <c r="B1894">
        <v>618</v>
      </c>
      <c r="C1894" s="2">
        <v>46333</v>
      </c>
      <c r="D1894" t="s">
        <v>40</v>
      </c>
      <c r="E1894">
        <v>11</v>
      </c>
      <c r="F1894" s="3">
        <v>12.85</v>
      </c>
      <c r="G1894" t="s">
        <v>36</v>
      </c>
      <c r="H1894">
        <v>40</v>
      </c>
      <c r="I1894" t="s">
        <v>34</v>
      </c>
      <c r="J1894" s="4">
        <v>64.3</v>
      </c>
      <c r="K1894" s="4">
        <v>149.80000000000001</v>
      </c>
      <c r="L1894" s="4">
        <v>25.7</v>
      </c>
      <c r="M1894">
        <v>14</v>
      </c>
      <c r="N1894" t="s">
        <v>41</v>
      </c>
      <c r="O1894">
        <v>3</v>
      </c>
      <c r="P1894" s="4">
        <v>1489</v>
      </c>
      <c r="Q1894" t="s">
        <v>42</v>
      </c>
      <c r="R1894">
        <v>0</v>
      </c>
      <c r="S1894" t="s">
        <v>38</v>
      </c>
      <c r="T1894">
        <v>0</v>
      </c>
      <c r="U1894">
        <v>0</v>
      </c>
      <c r="V1894" t="s">
        <v>32</v>
      </c>
      <c r="W1894" t="s">
        <v>39</v>
      </c>
      <c r="X1894" s="4">
        <v>9.8000000000000007</v>
      </c>
      <c r="Y1894">
        <v>12</v>
      </c>
      <c r="Z1894" s="5">
        <v>150.38999999999999</v>
      </c>
    </row>
    <row r="1895" spans="1:26">
      <c r="A1895">
        <v>1894</v>
      </c>
      <c r="B1895">
        <v>619</v>
      </c>
      <c r="C1895" s="2">
        <v>46109</v>
      </c>
      <c r="D1895" t="s">
        <v>40</v>
      </c>
      <c r="E1895">
        <v>3</v>
      </c>
      <c r="F1895" s="3">
        <v>8.8000000000000007</v>
      </c>
      <c r="G1895" t="s">
        <v>27</v>
      </c>
      <c r="H1895">
        <v>36</v>
      </c>
      <c r="I1895" t="s">
        <v>28</v>
      </c>
      <c r="J1895" s="4">
        <v>69.900000000000006</v>
      </c>
      <c r="K1895" s="4">
        <v>169.4</v>
      </c>
      <c r="L1895" s="4">
        <v>24.5</v>
      </c>
      <c r="M1895">
        <v>14</v>
      </c>
      <c r="N1895" t="s">
        <v>56</v>
      </c>
      <c r="O1895">
        <v>1</v>
      </c>
      <c r="P1895" s="4">
        <v>304.10000000000002</v>
      </c>
      <c r="Q1895" t="s">
        <v>30</v>
      </c>
      <c r="R1895">
        <v>0</v>
      </c>
      <c r="S1895" t="s">
        <v>44</v>
      </c>
      <c r="T1895">
        <v>1</v>
      </c>
      <c r="U1895">
        <v>0</v>
      </c>
      <c r="V1895" t="s">
        <v>32</v>
      </c>
      <c r="W1895" t="s">
        <v>39</v>
      </c>
      <c r="X1895" s="4">
        <v>10</v>
      </c>
      <c r="Y1895">
        <v>8</v>
      </c>
      <c r="Z1895" s="5">
        <v>251.35</v>
      </c>
    </row>
    <row r="1896" spans="1:26">
      <c r="A1896">
        <v>1895</v>
      </c>
      <c r="B1896">
        <v>620</v>
      </c>
      <c r="C1896" s="2">
        <v>46155</v>
      </c>
      <c r="D1896" t="s">
        <v>52</v>
      </c>
      <c r="E1896">
        <v>5</v>
      </c>
      <c r="F1896" s="3">
        <v>8.66</v>
      </c>
      <c r="G1896" t="s">
        <v>27</v>
      </c>
      <c r="H1896">
        <v>70</v>
      </c>
      <c r="I1896" t="s">
        <v>34</v>
      </c>
      <c r="J1896" s="4">
        <v>61.5</v>
      </c>
      <c r="K1896" s="4">
        <v>121.5</v>
      </c>
      <c r="L1896" s="4">
        <v>22.7</v>
      </c>
      <c r="M1896">
        <v>15</v>
      </c>
      <c r="N1896" t="s">
        <v>47</v>
      </c>
      <c r="O1896">
        <v>2</v>
      </c>
      <c r="P1896" s="4">
        <v>2.6</v>
      </c>
      <c r="Q1896" t="s">
        <v>42</v>
      </c>
      <c r="R1896">
        <v>0</v>
      </c>
      <c r="S1896" t="s">
        <v>44</v>
      </c>
      <c r="T1896">
        <v>1</v>
      </c>
      <c r="U1896">
        <v>0</v>
      </c>
      <c r="V1896" t="s">
        <v>32</v>
      </c>
      <c r="W1896" t="s">
        <v>43</v>
      </c>
      <c r="X1896" s="4">
        <v>6.9</v>
      </c>
      <c r="Y1896">
        <v>7</v>
      </c>
      <c r="Z1896" s="5">
        <v>121.45</v>
      </c>
    </row>
    <row r="1897" spans="1:26">
      <c r="A1897">
        <v>1896</v>
      </c>
      <c r="B1897">
        <v>620</v>
      </c>
      <c r="C1897" s="2">
        <v>46155</v>
      </c>
      <c r="D1897" t="s">
        <v>52</v>
      </c>
      <c r="E1897">
        <v>5</v>
      </c>
      <c r="F1897" s="3">
        <v>8.67</v>
      </c>
      <c r="G1897" t="s">
        <v>27</v>
      </c>
      <c r="H1897">
        <v>47</v>
      </c>
      <c r="I1897" t="s">
        <v>28</v>
      </c>
      <c r="J1897" s="4">
        <v>66.900000000000006</v>
      </c>
      <c r="K1897" s="4">
        <v>209.4</v>
      </c>
      <c r="L1897" s="4">
        <v>33</v>
      </c>
      <c r="M1897">
        <v>15</v>
      </c>
      <c r="N1897" t="s">
        <v>47</v>
      </c>
      <c r="O1897">
        <v>2</v>
      </c>
      <c r="P1897" s="4">
        <v>2.6</v>
      </c>
      <c r="Q1897" t="s">
        <v>42</v>
      </c>
      <c r="R1897">
        <v>0</v>
      </c>
      <c r="S1897" t="s">
        <v>44</v>
      </c>
      <c r="T1897">
        <v>1</v>
      </c>
      <c r="U1897">
        <v>0</v>
      </c>
      <c r="V1897" t="s">
        <v>32</v>
      </c>
      <c r="W1897" t="s">
        <v>43</v>
      </c>
      <c r="X1897" s="4">
        <v>8.1</v>
      </c>
      <c r="Y1897">
        <v>5</v>
      </c>
      <c r="Z1897" s="5">
        <v>142.96</v>
      </c>
    </row>
    <row r="1898" spans="1:26">
      <c r="A1898">
        <v>1897</v>
      </c>
      <c r="B1898">
        <v>621</v>
      </c>
      <c r="C1898" s="2">
        <v>46377</v>
      </c>
      <c r="D1898" t="s">
        <v>46</v>
      </c>
      <c r="E1898">
        <v>12</v>
      </c>
      <c r="F1898" s="3">
        <v>12.47</v>
      </c>
      <c r="G1898" t="s">
        <v>36</v>
      </c>
      <c r="H1898">
        <v>69</v>
      </c>
      <c r="I1898" t="s">
        <v>34</v>
      </c>
      <c r="J1898" s="4">
        <v>63.6</v>
      </c>
      <c r="K1898" s="4">
        <v>165</v>
      </c>
      <c r="L1898" s="4">
        <v>28.8</v>
      </c>
      <c r="M1898">
        <v>15</v>
      </c>
      <c r="N1898" t="s">
        <v>47</v>
      </c>
      <c r="O1898">
        <v>4</v>
      </c>
      <c r="P1898" s="4">
        <v>81.2</v>
      </c>
      <c r="Q1898" t="s">
        <v>42</v>
      </c>
      <c r="R1898">
        <v>1</v>
      </c>
      <c r="S1898" t="s">
        <v>44</v>
      </c>
      <c r="T1898">
        <v>0</v>
      </c>
      <c r="U1898">
        <v>0</v>
      </c>
      <c r="V1898" t="s">
        <v>32</v>
      </c>
      <c r="W1898" t="s">
        <v>43</v>
      </c>
      <c r="X1898" s="4">
        <v>10</v>
      </c>
      <c r="Y1898">
        <v>3</v>
      </c>
      <c r="Z1898" s="5">
        <v>205</v>
      </c>
    </row>
    <row r="1899" spans="1:26">
      <c r="A1899">
        <v>1898</v>
      </c>
      <c r="B1899">
        <v>621</v>
      </c>
      <c r="C1899" s="2">
        <v>46377</v>
      </c>
      <c r="D1899" t="s">
        <v>46</v>
      </c>
      <c r="E1899">
        <v>12</v>
      </c>
      <c r="F1899" s="3">
        <v>12.65</v>
      </c>
      <c r="G1899" t="s">
        <v>36</v>
      </c>
      <c r="H1899">
        <v>49</v>
      </c>
      <c r="I1899" t="s">
        <v>28</v>
      </c>
      <c r="J1899" s="4">
        <v>71.7</v>
      </c>
      <c r="K1899" s="4">
        <v>175.1</v>
      </c>
      <c r="L1899" s="4">
        <v>24</v>
      </c>
      <c r="M1899">
        <v>18</v>
      </c>
      <c r="N1899" t="s">
        <v>47</v>
      </c>
      <c r="O1899">
        <v>4</v>
      </c>
      <c r="P1899" s="4">
        <v>81.2</v>
      </c>
      <c r="Q1899" t="s">
        <v>42</v>
      </c>
      <c r="R1899">
        <v>1</v>
      </c>
      <c r="S1899" t="s">
        <v>44</v>
      </c>
      <c r="T1899">
        <v>0</v>
      </c>
      <c r="U1899">
        <v>0</v>
      </c>
      <c r="V1899" t="s">
        <v>32</v>
      </c>
      <c r="W1899" t="s">
        <v>43</v>
      </c>
      <c r="X1899" s="4">
        <v>6.8</v>
      </c>
      <c r="Y1899">
        <v>10</v>
      </c>
      <c r="Z1899" s="5">
        <v>204.05</v>
      </c>
    </row>
    <row r="1900" spans="1:26">
      <c r="A1900">
        <v>1899</v>
      </c>
      <c r="B1900">
        <v>621</v>
      </c>
      <c r="C1900" s="2">
        <v>46377</v>
      </c>
      <c r="D1900" t="s">
        <v>46</v>
      </c>
      <c r="E1900">
        <v>12</v>
      </c>
      <c r="F1900" s="3">
        <v>12.51</v>
      </c>
      <c r="G1900" t="s">
        <v>36</v>
      </c>
      <c r="H1900">
        <v>10</v>
      </c>
      <c r="I1900" t="s">
        <v>34</v>
      </c>
      <c r="J1900" s="4">
        <v>69.099999999999994</v>
      </c>
      <c r="K1900" s="4">
        <v>113.6</v>
      </c>
      <c r="L1900" s="4">
        <v>16.3</v>
      </c>
      <c r="M1900">
        <v>12</v>
      </c>
      <c r="N1900" t="s">
        <v>47</v>
      </c>
      <c r="O1900">
        <v>4</v>
      </c>
      <c r="P1900" s="4">
        <v>81.2</v>
      </c>
      <c r="Q1900" t="s">
        <v>42</v>
      </c>
      <c r="R1900">
        <v>1</v>
      </c>
      <c r="S1900" t="s">
        <v>44</v>
      </c>
      <c r="T1900">
        <v>0</v>
      </c>
      <c r="U1900">
        <v>0</v>
      </c>
      <c r="V1900" t="s">
        <v>32</v>
      </c>
      <c r="W1900" t="s">
        <v>43</v>
      </c>
      <c r="X1900" s="4">
        <v>7</v>
      </c>
      <c r="Y1900">
        <v>7</v>
      </c>
      <c r="Z1900" s="5">
        <v>167.18</v>
      </c>
    </row>
    <row r="1901" spans="1:26">
      <c r="A1901">
        <v>1900</v>
      </c>
      <c r="B1901">
        <v>621</v>
      </c>
      <c r="C1901" s="2">
        <v>46377</v>
      </c>
      <c r="D1901" t="s">
        <v>46</v>
      </c>
      <c r="E1901">
        <v>12</v>
      </c>
      <c r="F1901" s="3">
        <v>12.37</v>
      </c>
      <c r="G1901" t="s">
        <v>36</v>
      </c>
      <c r="H1901">
        <v>51</v>
      </c>
      <c r="I1901" t="s">
        <v>28</v>
      </c>
      <c r="J1901" s="4">
        <v>68.7</v>
      </c>
      <c r="K1901" s="4">
        <v>155.69999999999999</v>
      </c>
      <c r="L1901" s="4">
        <v>23.3</v>
      </c>
      <c r="M1901">
        <v>12</v>
      </c>
      <c r="N1901" t="s">
        <v>47</v>
      </c>
      <c r="O1901">
        <v>4</v>
      </c>
      <c r="P1901" s="4">
        <v>81.2</v>
      </c>
      <c r="Q1901" t="s">
        <v>42</v>
      </c>
      <c r="R1901">
        <v>1</v>
      </c>
      <c r="S1901" t="s">
        <v>44</v>
      </c>
      <c r="T1901">
        <v>0</v>
      </c>
      <c r="U1901">
        <v>0</v>
      </c>
      <c r="V1901" t="s">
        <v>32</v>
      </c>
      <c r="W1901" t="s">
        <v>43</v>
      </c>
      <c r="X1901" s="4">
        <v>6.5</v>
      </c>
      <c r="Y1901">
        <v>8</v>
      </c>
      <c r="Z1901" s="5">
        <v>175.38</v>
      </c>
    </row>
    <row r="1902" spans="1:26">
      <c r="A1902">
        <v>1901</v>
      </c>
      <c r="B1902">
        <v>622</v>
      </c>
      <c r="C1902" s="2">
        <v>46058</v>
      </c>
      <c r="D1902" t="s">
        <v>55</v>
      </c>
      <c r="E1902">
        <v>2</v>
      </c>
      <c r="F1902" s="3">
        <v>10.220000000000001</v>
      </c>
      <c r="G1902" t="s">
        <v>27</v>
      </c>
      <c r="H1902">
        <v>23</v>
      </c>
      <c r="I1902" t="s">
        <v>34</v>
      </c>
      <c r="J1902" s="4">
        <v>64.900000000000006</v>
      </c>
      <c r="K1902" s="4">
        <v>175.4</v>
      </c>
      <c r="L1902" s="4">
        <v>29.3</v>
      </c>
      <c r="M1902">
        <v>17</v>
      </c>
      <c r="N1902" t="s">
        <v>47</v>
      </c>
      <c r="O1902">
        <v>5</v>
      </c>
      <c r="P1902" s="4">
        <v>103.9</v>
      </c>
      <c r="Q1902" t="s">
        <v>48</v>
      </c>
      <c r="R1902">
        <v>1</v>
      </c>
      <c r="S1902" t="s">
        <v>44</v>
      </c>
      <c r="T1902">
        <v>0</v>
      </c>
      <c r="U1902">
        <v>0</v>
      </c>
      <c r="V1902" t="s">
        <v>32</v>
      </c>
      <c r="W1902" t="s">
        <v>49</v>
      </c>
      <c r="X1902" s="4">
        <v>6.6</v>
      </c>
      <c r="Y1902">
        <v>7</v>
      </c>
      <c r="Z1902" s="5">
        <v>182.98</v>
      </c>
    </row>
    <row r="1903" spans="1:26">
      <c r="A1903">
        <v>1902</v>
      </c>
      <c r="B1903">
        <v>622</v>
      </c>
      <c r="C1903" s="2">
        <v>46058</v>
      </c>
      <c r="D1903" t="s">
        <v>55</v>
      </c>
      <c r="E1903">
        <v>2</v>
      </c>
      <c r="F1903" s="3">
        <v>10.29</v>
      </c>
      <c r="G1903" t="s">
        <v>27</v>
      </c>
      <c r="H1903">
        <v>36</v>
      </c>
      <c r="I1903" t="s">
        <v>28</v>
      </c>
      <c r="J1903" s="4">
        <v>63.7</v>
      </c>
      <c r="K1903" s="4">
        <v>117.8</v>
      </c>
      <c r="L1903" s="4">
        <v>20.5</v>
      </c>
      <c r="M1903">
        <v>14</v>
      </c>
      <c r="N1903" t="s">
        <v>47</v>
      </c>
      <c r="O1903">
        <v>5</v>
      </c>
      <c r="P1903" s="4">
        <v>103.9</v>
      </c>
      <c r="Q1903" t="s">
        <v>48</v>
      </c>
      <c r="R1903">
        <v>1</v>
      </c>
      <c r="S1903" t="s">
        <v>44</v>
      </c>
      <c r="T1903">
        <v>0</v>
      </c>
      <c r="U1903">
        <v>0</v>
      </c>
      <c r="V1903" t="s">
        <v>32</v>
      </c>
      <c r="W1903" t="s">
        <v>49</v>
      </c>
      <c r="X1903" s="4">
        <v>11.9</v>
      </c>
      <c r="Y1903">
        <v>9</v>
      </c>
      <c r="Z1903" s="5">
        <v>297.62</v>
      </c>
    </row>
    <row r="1904" spans="1:26">
      <c r="A1904">
        <v>1903</v>
      </c>
      <c r="B1904">
        <v>622</v>
      </c>
      <c r="C1904" s="2">
        <v>46058</v>
      </c>
      <c r="D1904" t="s">
        <v>55</v>
      </c>
      <c r="E1904">
        <v>2</v>
      </c>
      <c r="F1904" s="3">
        <v>10.119999999999999</v>
      </c>
      <c r="G1904" t="s">
        <v>27</v>
      </c>
      <c r="H1904">
        <v>6</v>
      </c>
      <c r="I1904" t="s">
        <v>28</v>
      </c>
      <c r="J1904" s="4">
        <v>52.2</v>
      </c>
      <c r="K1904" s="4">
        <v>70.3</v>
      </c>
      <c r="L1904" s="4">
        <v>18.100000000000001</v>
      </c>
      <c r="M1904">
        <v>13</v>
      </c>
      <c r="N1904" t="s">
        <v>47</v>
      </c>
      <c r="O1904">
        <v>5</v>
      </c>
      <c r="P1904" s="4">
        <v>103.9</v>
      </c>
      <c r="Q1904" t="s">
        <v>48</v>
      </c>
      <c r="R1904">
        <v>1</v>
      </c>
      <c r="S1904" t="s">
        <v>44</v>
      </c>
      <c r="T1904">
        <v>0</v>
      </c>
      <c r="U1904">
        <v>0</v>
      </c>
      <c r="V1904" t="s">
        <v>32</v>
      </c>
      <c r="W1904" t="s">
        <v>49</v>
      </c>
      <c r="X1904" s="4">
        <v>7.5</v>
      </c>
      <c r="Y1904">
        <v>9</v>
      </c>
      <c r="Z1904" s="5">
        <v>304.04000000000002</v>
      </c>
    </row>
    <row r="1905" spans="1:26">
      <c r="A1905">
        <v>1904</v>
      </c>
      <c r="B1905">
        <v>622</v>
      </c>
      <c r="C1905" s="2">
        <v>46058</v>
      </c>
      <c r="D1905" t="s">
        <v>55</v>
      </c>
      <c r="E1905">
        <v>2</v>
      </c>
      <c r="F1905" s="3">
        <v>10.3</v>
      </c>
      <c r="G1905" t="s">
        <v>27</v>
      </c>
      <c r="H1905">
        <v>26</v>
      </c>
      <c r="I1905" t="s">
        <v>34</v>
      </c>
      <c r="J1905" s="4">
        <v>65.8</v>
      </c>
      <c r="K1905" s="4">
        <v>152.19999999999999</v>
      </c>
      <c r="L1905" s="4">
        <v>24.9</v>
      </c>
      <c r="M1905">
        <v>17</v>
      </c>
      <c r="N1905" t="s">
        <v>47</v>
      </c>
      <c r="O1905">
        <v>5</v>
      </c>
      <c r="P1905" s="4">
        <v>103.9</v>
      </c>
      <c r="Q1905" t="s">
        <v>48</v>
      </c>
      <c r="R1905">
        <v>1</v>
      </c>
      <c r="S1905" t="s">
        <v>44</v>
      </c>
      <c r="T1905">
        <v>0</v>
      </c>
      <c r="U1905">
        <v>0</v>
      </c>
      <c r="V1905" t="s">
        <v>32</v>
      </c>
      <c r="W1905" t="s">
        <v>49</v>
      </c>
      <c r="X1905" s="4">
        <v>8.6</v>
      </c>
      <c r="Y1905">
        <v>9</v>
      </c>
      <c r="Z1905" s="5">
        <v>196.31</v>
      </c>
    </row>
    <row r="1906" spans="1:26">
      <c r="A1906">
        <v>1905</v>
      </c>
      <c r="B1906">
        <v>622</v>
      </c>
      <c r="C1906" s="2">
        <v>46058</v>
      </c>
      <c r="D1906" t="s">
        <v>55</v>
      </c>
      <c r="E1906">
        <v>2</v>
      </c>
      <c r="F1906" s="3">
        <v>10.46</v>
      </c>
      <c r="G1906" t="s">
        <v>27</v>
      </c>
      <c r="H1906">
        <v>31</v>
      </c>
      <c r="I1906" t="s">
        <v>34</v>
      </c>
      <c r="J1906" s="4">
        <v>67.099999999999994</v>
      </c>
      <c r="K1906" s="4">
        <v>154</v>
      </c>
      <c r="L1906" s="4">
        <v>24.1</v>
      </c>
      <c r="M1906">
        <v>14</v>
      </c>
      <c r="N1906" t="s">
        <v>47</v>
      </c>
      <c r="O1906">
        <v>5</v>
      </c>
      <c r="P1906" s="4">
        <v>103.9</v>
      </c>
      <c r="Q1906" t="s">
        <v>48</v>
      </c>
      <c r="R1906">
        <v>1</v>
      </c>
      <c r="S1906" t="s">
        <v>44</v>
      </c>
      <c r="T1906">
        <v>0</v>
      </c>
      <c r="U1906">
        <v>0</v>
      </c>
      <c r="V1906" t="s">
        <v>32</v>
      </c>
      <c r="W1906" t="s">
        <v>49</v>
      </c>
      <c r="X1906" s="4">
        <v>9.6</v>
      </c>
      <c r="Y1906">
        <v>5</v>
      </c>
      <c r="Z1906" s="5">
        <v>149.59</v>
      </c>
    </row>
    <row r="1907" spans="1:26">
      <c r="A1907">
        <v>1906</v>
      </c>
      <c r="B1907">
        <v>623</v>
      </c>
      <c r="C1907" s="2">
        <v>46315</v>
      </c>
      <c r="D1907" t="s">
        <v>35</v>
      </c>
      <c r="E1907">
        <v>10</v>
      </c>
      <c r="F1907" s="3">
        <v>11.18</v>
      </c>
      <c r="G1907" t="s">
        <v>36</v>
      </c>
      <c r="H1907">
        <v>34</v>
      </c>
      <c r="I1907" t="s">
        <v>28</v>
      </c>
      <c r="J1907" s="4">
        <v>65.7</v>
      </c>
      <c r="K1907" s="4">
        <v>145.6</v>
      </c>
      <c r="L1907" s="4">
        <v>23.5</v>
      </c>
      <c r="M1907">
        <v>18</v>
      </c>
      <c r="N1907" t="s">
        <v>50</v>
      </c>
      <c r="O1907">
        <v>3</v>
      </c>
      <c r="P1907" s="4">
        <v>99.4</v>
      </c>
      <c r="Q1907" t="s">
        <v>48</v>
      </c>
      <c r="R1907">
        <v>1</v>
      </c>
      <c r="S1907" t="s">
        <v>44</v>
      </c>
      <c r="T1907">
        <v>1</v>
      </c>
      <c r="U1907">
        <v>1</v>
      </c>
      <c r="V1907" t="s">
        <v>64</v>
      </c>
      <c r="W1907" t="s">
        <v>39</v>
      </c>
      <c r="X1907" s="4">
        <v>9</v>
      </c>
      <c r="Y1907">
        <v>13</v>
      </c>
      <c r="Z1907" s="5">
        <v>451.51</v>
      </c>
    </row>
    <row r="1908" spans="1:26">
      <c r="A1908">
        <v>1907</v>
      </c>
      <c r="B1908">
        <v>623</v>
      </c>
      <c r="C1908" s="2">
        <v>46315</v>
      </c>
      <c r="D1908" t="s">
        <v>35</v>
      </c>
      <c r="E1908">
        <v>10</v>
      </c>
      <c r="F1908" s="3">
        <v>11.19</v>
      </c>
      <c r="G1908" t="s">
        <v>36</v>
      </c>
      <c r="H1908">
        <v>75</v>
      </c>
      <c r="I1908" t="s">
        <v>28</v>
      </c>
      <c r="J1908" s="4">
        <v>74.7</v>
      </c>
      <c r="K1908" s="4">
        <v>175.3</v>
      </c>
      <c r="L1908" s="4">
        <v>22</v>
      </c>
      <c r="M1908">
        <v>18</v>
      </c>
      <c r="N1908" t="s">
        <v>50</v>
      </c>
      <c r="O1908">
        <v>3</v>
      </c>
      <c r="P1908" s="4">
        <v>99.4</v>
      </c>
      <c r="Q1908" t="s">
        <v>48</v>
      </c>
      <c r="R1908">
        <v>1</v>
      </c>
      <c r="S1908" t="s">
        <v>44</v>
      </c>
      <c r="T1908">
        <v>1</v>
      </c>
      <c r="U1908">
        <v>1</v>
      </c>
      <c r="V1908" t="s">
        <v>64</v>
      </c>
      <c r="W1908" t="s">
        <v>39</v>
      </c>
      <c r="X1908" s="4">
        <v>10.1</v>
      </c>
      <c r="Y1908">
        <v>15</v>
      </c>
      <c r="Z1908" s="5">
        <v>153.76</v>
      </c>
    </row>
    <row r="1909" spans="1:26">
      <c r="A1909">
        <v>1908</v>
      </c>
      <c r="B1909">
        <v>623</v>
      </c>
      <c r="C1909" s="2">
        <v>46315</v>
      </c>
      <c r="D1909" t="s">
        <v>35</v>
      </c>
      <c r="E1909">
        <v>10</v>
      </c>
      <c r="F1909" s="3">
        <v>11.09</v>
      </c>
      <c r="G1909" t="s">
        <v>36</v>
      </c>
      <c r="H1909">
        <v>65</v>
      </c>
      <c r="I1909" t="s">
        <v>34</v>
      </c>
      <c r="J1909" s="4">
        <v>64.599999999999994</v>
      </c>
      <c r="K1909" s="4">
        <v>158.1</v>
      </c>
      <c r="L1909" s="4">
        <v>26.8</v>
      </c>
      <c r="M1909">
        <v>21</v>
      </c>
      <c r="N1909" t="s">
        <v>50</v>
      </c>
      <c r="O1909">
        <v>3</v>
      </c>
      <c r="P1909" s="4">
        <v>99.4</v>
      </c>
      <c r="Q1909" t="s">
        <v>48</v>
      </c>
      <c r="R1909">
        <v>1</v>
      </c>
      <c r="S1909" t="s">
        <v>44</v>
      </c>
      <c r="T1909">
        <v>1</v>
      </c>
      <c r="U1909">
        <v>1</v>
      </c>
      <c r="V1909" t="s">
        <v>64</v>
      </c>
      <c r="W1909" t="s">
        <v>39</v>
      </c>
      <c r="X1909" s="4">
        <v>10</v>
      </c>
      <c r="Y1909">
        <v>12</v>
      </c>
      <c r="Z1909" s="5">
        <v>535.32000000000005</v>
      </c>
    </row>
    <row r="1910" spans="1:26">
      <c r="A1910">
        <v>1909</v>
      </c>
      <c r="B1910">
        <v>624</v>
      </c>
      <c r="C1910" s="2">
        <v>46048</v>
      </c>
      <c r="D1910" t="s">
        <v>46</v>
      </c>
      <c r="E1910">
        <v>1</v>
      </c>
      <c r="F1910" s="3">
        <v>11.86</v>
      </c>
      <c r="G1910" t="s">
        <v>36</v>
      </c>
      <c r="H1910">
        <v>50</v>
      </c>
      <c r="I1910" t="s">
        <v>28</v>
      </c>
      <c r="J1910" s="4">
        <v>71.2</v>
      </c>
      <c r="K1910" s="4">
        <v>188.8</v>
      </c>
      <c r="L1910" s="4">
        <v>26</v>
      </c>
      <c r="M1910">
        <v>16</v>
      </c>
      <c r="N1910" t="s">
        <v>59</v>
      </c>
      <c r="O1910">
        <v>1</v>
      </c>
      <c r="P1910" s="4">
        <v>854.1</v>
      </c>
      <c r="Q1910" t="s">
        <v>30</v>
      </c>
      <c r="R1910">
        <v>1</v>
      </c>
      <c r="S1910" t="s">
        <v>44</v>
      </c>
      <c r="T1910">
        <v>0</v>
      </c>
      <c r="U1910">
        <v>0</v>
      </c>
      <c r="V1910" t="s">
        <v>45</v>
      </c>
      <c r="W1910" t="s">
        <v>57</v>
      </c>
      <c r="X1910" s="4">
        <v>9.5</v>
      </c>
      <c r="Y1910">
        <v>7</v>
      </c>
      <c r="Z1910" s="5">
        <v>238.49</v>
      </c>
    </row>
    <row r="1911" spans="1:26">
      <c r="A1911">
        <v>1910</v>
      </c>
      <c r="B1911">
        <v>625</v>
      </c>
      <c r="C1911" s="2">
        <v>46292</v>
      </c>
      <c r="D1911" t="s">
        <v>58</v>
      </c>
      <c r="E1911">
        <v>9</v>
      </c>
      <c r="F1911" s="3">
        <v>11.95</v>
      </c>
      <c r="G1911" t="s">
        <v>36</v>
      </c>
      <c r="H1911">
        <v>64</v>
      </c>
      <c r="I1911" t="s">
        <v>28</v>
      </c>
      <c r="J1911" s="4">
        <v>71.599999999999994</v>
      </c>
      <c r="K1911" s="4">
        <v>166.7</v>
      </c>
      <c r="L1911" s="4">
        <v>23.1</v>
      </c>
      <c r="M1911">
        <v>16</v>
      </c>
      <c r="N1911" t="s">
        <v>47</v>
      </c>
      <c r="O1911">
        <v>3</v>
      </c>
      <c r="P1911" s="4">
        <v>141.1</v>
      </c>
      <c r="Q1911" t="s">
        <v>48</v>
      </c>
      <c r="R1911">
        <v>1</v>
      </c>
      <c r="S1911" t="s">
        <v>38</v>
      </c>
      <c r="T1911">
        <v>0</v>
      </c>
      <c r="U1911">
        <v>0</v>
      </c>
      <c r="V1911" t="s">
        <v>32</v>
      </c>
      <c r="W1911" t="s">
        <v>39</v>
      </c>
      <c r="X1911" s="4">
        <v>8.6999999999999993</v>
      </c>
      <c r="Y1911">
        <v>12</v>
      </c>
      <c r="Z1911" s="5">
        <v>514.76</v>
      </c>
    </row>
    <row r="1912" spans="1:26">
      <c r="A1912">
        <v>1911</v>
      </c>
      <c r="B1912">
        <v>625</v>
      </c>
      <c r="C1912" s="2">
        <v>46292</v>
      </c>
      <c r="D1912" t="s">
        <v>58</v>
      </c>
      <c r="E1912">
        <v>9</v>
      </c>
      <c r="F1912" s="3">
        <v>12.2</v>
      </c>
      <c r="G1912" t="s">
        <v>36</v>
      </c>
      <c r="H1912">
        <v>60</v>
      </c>
      <c r="I1912" t="s">
        <v>34</v>
      </c>
      <c r="J1912" s="4">
        <v>66</v>
      </c>
      <c r="K1912" s="4">
        <v>140.1</v>
      </c>
      <c r="L1912" s="4">
        <v>22.6</v>
      </c>
      <c r="M1912">
        <v>19</v>
      </c>
      <c r="N1912" t="s">
        <v>47</v>
      </c>
      <c r="O1912">
        <v>3</v>
      </c>
      <c r="P1912" s="4">
        <v>141.1</v>
      </c>
      <c r="Q1912" t="s">
        <v>48</v>
      </c>
      <c r="R1912">
        <v>1</v>
      </c>
      <c r="S1912" t="s">
        <v>38</v>
      </c>
      <c r="T1912">
        <v>0</v>
      </c>
      <c r="U1912">
        <v>0</v>
      </c>
      <c r="V1912" t="s">
        <v>32</v>
      </c>
      <c r="W1912" t="s">
        <v>39</v>
      </c>
      <c r="X1912" s="4">
        <v>10.199999999999999</v>
      </c>
      <c r="Y1912">
        <v>8</v>
      </c>
      <c r="Z1912" s="5">
        <v>264.42</v>
      </c>
    </row>
    <row r="1913" spans="1:26">
      <c r="A1913">
        <v>1912</v>
      </c>
      <c r="B1913">
        <v>625</v>
      </c>
      <c r="C1913" s="2">
        <v>46292</v>
      </c>
      <c r="D1913" t="s">
        <v>58</v>
      </c>
      <c r="E1913">
        <v>9</v>
      </c>
      <c r="F1913" s="3">
        <v>12.07</v>
      </c>
      <c r="G1913" t="s">
        <v>36</v>
      </c>
      <c r="H1913">
        <v>52</v>
      </c>
      <c r="I1913" t="s">
        <v>34</v>
      </c>
      <c r="J1913" s="4">
        <v>65.900000000000006</v>
      </c>
      <c r="K1913" s="4">
        <v>130.19999999999999</v>
      </c>
      <c r="L1913" s="4">
        <v>21.3</v>
      </c>
      <c r="M1913">
        <v>19</v>
      </c>
      <c r="N1913" t="s">
        <v>47</v>
      </c>
      <c r="O1913">
        <v>3</v>
      </c>
      <c r="P1913" s="4">
        <v>141.1</v>
      </c>
      <c r="Q1913" t="s">
        <v>48</v>
      </c>
      <c r="R1913">
        <v>1</v>
      </c>
      <c r="S1913" t="s">
        <v>38</v>
      </c>
      <c r="T1913">
        <v>0</v>
      </c>
      <c r="U1913">
        <v>0</v>
      </c>
      <c r="V1913" t="s">
        <v>32</v>
      </c>
      <c r="W1913" t="s">
        <v>39</v>
      </c>
      <c r="X1913" s="4">
        <v>6</v>
      </c>
      <c r="Y1913">
        <v>10</v>
      </c>
      <c r="Z1913" s="5">
        <v>201.55</v>
      </c>
    </row>
    <row r="1914" spans="1:26">
      <c r="A1914">
        <v>1913</v>
      </c>
      <c r="B1914">
        <v>626</v>
      </c>
      <c r="C1914" s="2">
        <v>46285</v>
      </c>
      <c r="D1914" t="s">
        <v>58</v>
      </c>
      <c r="E1914">
        <v>9</v>
      </c>
      <c r="F1914" s="3">
        <v>9.51</v>
      </c>
      <c r="G1914" t="s">
        <v>27</v>
      </c>
      <c r="H1914">
        <v>53</v>
      </c>
      <c r="I1914" t="s">
        <v>28</v>
      </c>
      <c r="J1914" s="4">
        <v>70.8</v>
      </c>
      <c r="K1914" s="4">
        <v>225.3</v>
      </c>
      <c r="L1914" s="4">
        <v>31.7</v>
      </c>
      <c r="M1914">
        <v>19</v>
      </c>
      <c r="N1914" t="s">
        <v>50</v>
      </c>
      <c r="O1914">
        <v>2</v>
      </c>
      <c r="P1914" s="4">
        <v>476.6</v>
      </c>
      <c r="Q1914" t="s">
        <v>48</v>
      </c>
      <c r="R1914">
        <v>0</v>
      </c>
      <c r="S1914" t="s">
        <v>44</v>
      </c>
      <c r="T1914">
        <v>0</v>
      </c>
      <c r="U1914">
        <v>1</v>
      </c>
      <c r="V1914" t="s">
        <v>64</v>
      </c>
      <c r="W1914" t="s">
        <v>33</v>
      </c>
      <c r="X1914" s="4">
        <v>8</v>
      </c>
      <c r="Y1914">
        <v>5</v>
      </c>
      <c r="Z1914" s="5">
        <v>188.86</v>
      </c>
    </row>
    <row r="1915" spans="1:26">
      <c r="A1915">
        <v>1914</v>
      </c>
      <c r="B1915">
        <v>626</v>
      </c>
      <c r="C1915" s="2">
        <v>46285</v>
      </c>
      <c r="D1915" t="s">
        <v>58</v>
      </c>
      <c r="E1915">
        <v>9</v>
      </c>
      <c r="F1915" s="3">
        <v>9.3800000000000008</v>
      </c>
      <c r="G1915" t="s">
        <v>27</v>
      </c>
      <c r="H1915">
        <v>67</v>
      </c>
      <c r="I1915" t="s">
        <v>34</v>
      </c>
      <c r="J1915" s="4">
        <v>65.099999999999994</v>
      </c>
      <c r="K1915" s="4">
        <v>206.8</v>
      </c>
      <c r="L1915" s="4">
        <v>34.299999999999997</v>
      </c>
      <c r="M1915">
        <v>17</v>
      </c>
      <c r="N1915" t="s">
        <v>50</v>
      </c>
      <c r="O1915">
        <v>2</v>
      </c>
      <c r="P1915" s="4">
        <v>476.6</v>
      </c>
      <c r="Q1915" t="s">
        <v>48</v>
      </c>
      <c r="R1915">
        <v>0</v>
      </c>
      <c r="S1915" t="s">
        <v>44</v>
      </c>
      <c r="T1915">
        <v>0</v>
      </c>
      <c r="U1915">
        <v>1</v>
      </c>
      <c r="V1915" t="s">
        <v>64</v>
      </c>
      <c r="W1915" t="s">
        <v>33</v>
      </c>
      <c r="X1915" s="4">
        <v>6.8</v>
      </c>
      <c r="Y1915">
        <v>6</v>
      </c>
      <c r="Z1915" s="5">
        <v>186</v>
      </c>
    </row>
    <row r="1916" spans="1:26">
      <c r="A1916">
        <v>1915</v>
      </c>
      <c r="B1916">
        <v>627</v>
      </c>
      <c r="C1916" s="2">
        <v>46220</v>
      </c>
      <c r="D1916" t="s">
        <v>26</v>
      </c>
      <c r="E1916">
        <v>7</v>
      </c>
      <c r="F1916" s="3">
        <v>12.41</v>
      </c>
      <c r="G1916" t="s">
        <v>36</v>
      </c>
      <c r="H1916">
        <v>13</v>
      </c>
      <c r="I1916" t="s">
        <v>28</v>
      </c>
      <c r="J1916" s="4">
        <v>62.5</v>
      </c>
      <c r="K1916" s="4">
        <v>117.7</v>
      </c>
      <c r="L1916" s="4">
        <v>21.4</v>
      </c>
      <c r="M1916">
        <v>13</v>
      </c>
      <c r="N1916" t="s">
        <v>56</v>
      </c>
      <c r="O1916">
        <v>3</v>
      </c>
      <c r="P1916" s="4">
        <v>294.8</v>
      </c>
      <c r="Q1916" t="s">
        <v>48</v>
      </c>
      <c r="R1916">
        <v>1</v>
      </c>
      <c r="S1916" t="s">
        <v>38</v>
      </c>
      <c r="T1916">
        <v>1</v>
      </c>
      <c r="U1916">
        <v>0</v>
      </c>
      <c r="V1916" t="s">
        <v>45</v>
      </c>
      <c r="W1916" t="s">
        <v>39</v>
      </c>
      <c r="X1916" s="4">
        <v>8.8000000000000007</v>
      </c>
      <c r="Y1916">
        <v>9</v>
      </c>
      <c r="Z1916" s="5">
        <v>294.58</v>
      </c>
    </row>
    <row r="1917" spans="1:26">
      <c r="A1917">
        <v>1916</v>
      </c>
      <c r="B1917">
        <v>627</v>
      </c>
      <c r="C1917" s="2">
        <v>46220</v>
      </c>
      <c r="D1917" t="s">
        <v>26</v>
      </c>
      <c r="E1917">
        <v>7</v>
      </c>
      <c r="F1917" s="3">
        <v>12.4</v>
      </c>
      <c r="G1917" t="s">
        <v>36</v>
      </c>
      <c r="H1917">
        <v>33</v>
      </c>
      <c r="I1917" t="s">
        <v>28</v>
      </c>
      <c r="J1917" s="4">
        <v>67.7</v>
      </c>
      <c r="K1917" s="4">
        <v>156.30000000000001</v>
      </c>
      <c r="L1917" s="4">
        <v>24.1</v>
      </c>
      <c r="M1917">
        <v>14</v>
      </c>
      <c r="N1917" t="s">
        <v>56</v>
      </c>
      <c r="O1917">
        <v>3</v>
      </c>
      <c r="P1917" s="4">
        <v>294.8</v>
      </c>
      <c r="Q1917" t="s">
        <v>48</v>
      </c>
      <c r="R1917">
        <v>1</v>
      </c>
      <c r="S1917" t="s">
        <v>38</v>
      </c>
      <c r="T1917">
        <v>1</v>
      </c>
      <c r="U1917">
        <v>0</v>
      </c>
      <c r="V1917" t="s">
        <v>45</v>
      </c>
      <c r="W1917" t="s">
        <v>39</v>
      </c>
      <c r="X1917" s="4">
        <v>9</v>
      </c>
      <c r="Y1917">
        <v>9</v>
      </c>
      <c r="Z1917" s="5">
        <v>304.18</v>
      </c>
    </row>
    <row r="1918" spans="1:26">
      <c r="A1918">
        <v>1917</v>
      </c>
      <c r="B1918">
        <v>627</v>
      </c>
      <c r="C1918" s="2">
        <v>46220</v>
      </c>
      <c r="D1918" t="s">
        <v>26</v>
      </c>
      <c r="E1918">
        <v>7</v>
      </c>
      <c r="F1918" s="3">
        <v>12.24</v>
      </c>
      <c r="G1918" t="s">
        <v>36</v>
      </c>
      <c r="H1918">
        <v>9</v>
      </c>
      <c r="I1918" t="s">
        <v>34</v>
      </c>
      <c r="J1918" s="4">
        <v>60.8</v>
      </c>
      <c r="K1918" s="4">
        <v>91.2</v>
      </c>
      <c r="L1918" s="4">
        <v>17.3</v>
      </c>
      <c r="M1918">
        <v>17</v>
      </c>
      <c r="N1918" t="s">
        <v>56</v>
      </c>
      <c r="O1918">
        <v>3</v>
      </c>
      <c r="P1918" s="4">
        <v>294.8</v>
      </c>
      <c r="Q1918" t="s">
        <v>48</v>
      </c>
      <c r="R1918">
        <v>1</v>
      </c>
      <c r="S1918" t="s">
        <v>38</v>
      </c>
      <c r="T1918">
        <v>1</v>
      </c>
      <c r="U1918">
        <v>0</v>
      </c>
      <c r="V1918" t="s">
        <v>45</v>
      </c>
      <c r="W1918" t="s">
        <v>39</v>
      </c>
      <c r="X1918" s="4">
        <v>5.7</v>
      </c>
      <c r="Y1918">
        <v>8</v>
      </c>
      <c r="Z1918" s="5">
        <v>143.38</v>
      </c>
    </row>
    <row r="1919" spans="1:26">
      <c r="A1919">
        <v>1918</v>
      </c>
      <c r="B1919">
        <v>628</v>
      </c>
      <c r="C1919" s="2">
        <v>46128</v>
      </c>
      <c r="D1919" t="s">
        <v>55</v>
      </c>
      <c r="E1919">
        <v>4</v>
      </c>
      <c r="F1919" s="3">
        <v>9.8000000000000007</v>
      </c>
      <c r="G1919" t="s">
        <v>27</v>
      </c>
      <c r="H1919">
        <v>35</v>
      </c>
      <c r="I1919" t="s">
        <v>34</v>
      </c>
      <c r="J1919" s="4">
        <v>65.2</v>
      </c>
      <c r="K1919" s="4">
        <v>162.69999999999999</v>
      </c>
      <c r="L1919" s="4">
        <v>26.7</v>
      </c>
      <c r="M1919">
        <v>17</v>
      </c>
      <c r="N1919" t="s">
        <v>53</v>
      </c>
      <c r="O1919">
        <v>2</v>
      </c>
      <c r="P1919" s="4">
        <v>855.1</v>
      </c>
      <c r="Q1919" t="s">
        <v>48</v>
      </c>
      <c r="R1919">
        <v>0</v>
      </c>
      <c r="S1919" t="s">
        <v>44</v>
      </c>
      <c r="T1919">
        <v>1</v>
      </c>
      <c r="U1919">
        <v>0</v>
      </c>
      <c r="V1919" t="s">
        <v>45</v>
      </c>
      <c r="W1919" t="s">
        <v>57</v>
      </c>
      <c r="X1919" s="4">
        <v>11.6</v>
      </c>
      <c r="Y1919">
        <v>5</v>
      </c>
      <c r="Z1919" s="5">
        <v>169.9</v>
      </c>
    </row>
    <row r="1920" spans="1:26">
      <c r="A1920">
        <v>1919</v>
      </c>
      <c r="B1920">
        <v>628</v>
      </c>
      <c r="C1920" s="2">
        <v>46128</v>
      </c>
      <c r="D1920" t="s">
        <v>55</v>
      </c>
      <c r="E1920">
        <v>4</v>
      </c>
      <c r="F1920" s="3">
        <v>9.83</v>
      </c>
      <c r="G1920" t="s">
        <v>27</v>
      </c>
      <c r="H1920">
        <v>40</v>
      </c>
      <c r="I1920" t="s">
        <v>34</v>
      </c>
      <c r="J1920" s="4">
        <v>63.2</v>
      </c>
      <c r="K1920" s="4">
        <v>159.1</v>
      </c>
      <c r="L1920" s="4">
        <v>27.8</v>
      </c>
      <c r="M1920">
        <v>17</v>
      </c>
      <c r="N1920" t="s">
        <v>53</v>
      </c>
      <c r="O1920">
        <v>2</v>
      </c>
      <c r="P1920" s="4">
        <v>855.1</v>
      </c>
      <c r="Q1920" t="s">
        <v>48</v>
      </c>
      <c r="R1920">
        <v>0</v>
      </c>
      <c r="S1920" t="s">
        <v>44</v>
      </c>
      <c r="T1920">
        <v>1</v>
      </c>
      <c r="U1920">
        <v>0</v>
      </c>
      <c r="V1920" t="s">
        <v>45</v>
      </c>
      <c r="W1920" t="s">
        <v>57</v>
      </c>
      <c r="X1920" s="4">
        <v>11</v>
      </c>
      <c r="Y1920">
        <v>8</v>
      </c>
      <c r="Z1920" s="5">
        <v>195.07</v>
      </c>
    </row>
    <row r="1921" spans="1:26">
      <c r="A1921">
        <v>1920</v>
      </c>
      <c r="B1921">
        <v>629</v>
      </c>
      <c r="C1921" s="2">
        <v>46270</v>
      </c>
      <c r="D1921" t="s">
        <v>40</v>
      </c>
      <c r="E1921">
        <v>9</v>
      </c>
      <c r="F1921" s="3">
        <v>11.03</v>
      </c>
      <c r="G1921" t="s">
        <v>36</v>
      </c>
      <c r="H1921">
        <v>64</v>
      </c>
      <c r="I1921" t="s">
        <v>34</v>
      </c>
      <c r="J1921" s="4">
        <v>63.9</v>
      </c>
      <c r="K1921" s="4">
        <v>182</v>
      </c>
      <c r="L1921" s="4">
        <v>31.2</v>
      </c>
      <c r="M1921">
        <v>16</v>
      </c>
      <c r="N1921" t="s">
        <v>47</v>
      </c>
      <c r="O1921">
        <v>2</v>
      </c>
      <c r="P1921" s="4">
        <v>121.1</v>
      </c>
      <c r="Q1921" t="s">
        <v>30</v>
      </c>
      <c r="R1921">
        <v>1</v>
      </c>
      <c r="S1921" t="s">
        <v>44</v>
      </c>
      <c r="T1921">
        <v>0</v>
      </c>
      <c r="U1921">
        <v>0</v>
      </c>
      <c r="V1921" t="s">
        <v>32</v>
      </c>
      <c r="W1921" t="s">
        <v>39</v>
      </c>
      <c r="X1921" s="4">
        <v>7.8</v>
      </c>
      <c r="Y1921">
        <v>9</v>
      </c>
      <c r="Z1921" s="5">
        <v>183.69</v>
      </c>
    </row>
    <row r="1922" spans="1:26">
      <c r="A1922">
        <v>1921</v>
      </c>
      <c r="B1922">
        <v>629</v>
      </c>
      <c r="C1922" s="2">
        <v>46270</v>
      </c>
      <c r="D1922" t="s">
        <v>40</v>
      </c>
      <c r="E1922">
        <v>9</v>
      </c>
      <c r="F1922" s="3">
        <v>11.07</v>
      </c>
      <c r="G1922" t="s">
        <v>36</v>
      </c>
      <c r="H1922">
        <v>28</v>
      </c>
      <c r="I1922" t="s">
        <v>34</v>
      </c>
      <c r="J1922" s="4">
        <v>65.2</v>
      </c>
      <c r="K1922" s="4">
        <v>162.4</v>
      </c>
      <c r="L1922" s="4">
        <v>26.8</v>
      </c>
      <c r="M1922">
        <v>13</v>
      </c>
      <c r="N1922" t="s">
        <v>47</v>
      </c>
      <c r="O1922">
        <v>2</v>
      </c>
      <c r="P1922" s="4">
        <v>121.1</v>
      </c>
      <c r="Q1922" t="s">
        <v>30</v>
      </c>
      <c r="R1922">
        <v>1</v>
      </c>
      <c r="S1922" t="s">
        <v>44</v>
      </c>
      <c r="T1922">
        <v>0</v>
      </c>
      <c r="U1922">
        <v>0</v>
      </c>
      <c r="V1922" t="s">
        <v>32</v>
      </c>
      <c r="W1922" t="s">
        <v>39</v>
      </c>
      <c r="X1922" s="4">
        <v>10.3</v>
      </c>
      <c r="Y1922">
        <v>16</v>
      </c>
      <c r="Z1922" s="5">
        <v>337.48</v>
      </c>
    </row>
    <row r="1923" spans="1:26">
      <c r="A1923">
        <v>1922</v>
      </c>
      <c r="B1923">
        <v>630</v>
      </c>
      <c r="C1923" s="2">
        <v>46168</v>
      </c>
      <c r="D1923" t="s">
        <v>35</v>
      </c>
      <c r="E1923">
        <v>5</v>
      </c>
      <c r="F1923" s="3">
        <v>11.18</v>
      </c>
      <c r="G1923" t="s">
        <v>36</v>
      </c>
      <c r="H1923">
        <v>38</v>
      </c>
      <c r="I1923" t="s">
        <v>34</v>
      </c>
      <c r="J1923" s="4">
        <v>62.6</v>
      </c>
      <c r="K1923" s="4">
        <v>138.19999999999999</v>
      </c>
      <c r="L1923" s="4">
        <v>25.1</v>
      </c>
      <c r="M1923">
        <v>15</v>
      </c>
      <c r="N1923" t="s">
        <v>63</v>
      </c>
      <c r="O1923">
        <v>3</v>
      </c>
      <c r="P1923" s="4">
        <v>1848.8</v>
      </c>
      <c r="Q1923" t="s">
        <v>30</v>
      </c>
      <c r="R1923">
        <v>1</v>
      </c>
      <c r="S1923" t="s">
        <v>31</v>
      </c>
      <c r="T1923">
        <v>0</v>
      </c>
      <c r="U1923">
        <v>0</v>
      </c>
      <c r="V1923" t="s">
        <v>32</v>
      </c>
      <c r="W1923" t="s">
        <v>39</v>
      </c>
      <c r="X1923" s="4">
        <v>10.1</v>
      </c>
      <c r="Y1923">
        <v>15</v>
      </c>
      <c r="Z1923" s="5">
        <v>201.76</v>
      </c>
    </row>
    <row r="1924" spans="1:26">
      <c r="A1924">
        <v>1923</v>
      </c>
      <c r="B1924">
        <v>630</v>
      </c>
      <c r="C1924" s="2">
        <v>46168</v>
      </c>
      <c r="D1924" t="s">
        <v>35</v>
      </c>
      <c r="E1924">
        <v>5</v>
      </c>
      <c r="F1924" s="3">
        <v>11.36</v>
      </c>
      <c r="G1924" t="s">
        <v>36</v>
      </c>
      <c r="H1924">
        <v>42</v>
      </c>
      <c r="I1924" t="s">
        <v>34</v>
      </c>
      <c r="J1924" s="4">
        <v>66.599999999999994</v>
      </c>
      <c r="K1924" s="4">
        <v>173.3</v>
      </c>
      <c r="L1924" s="4">
        <v>27.7</v>
      </c>
      <c r="M1924">
        <v>13</v>
      </c>
      <c r="N1924" t="s">
        <v>63</v>
      </c>
      <c r="O1924">
        <v>3</v>
      </c>
      <c r="P1924" s="4">
        <v>1848.8</v>
      </c>
      <c r="Q1924" t="s">
        <v>30</v>
      </c>
      <c r="R1924">
        <v>1</v>
      </c>
      <c r="S1924" t="s">
        <v>31</v>
      </c>
      <c r="T1924">
        <v>0</v>
      </c>
      <c r="U1924">
        <v>0</v>
      </c>
      <c r="V1924" t="s">
        <v>32</v>
      </c>
      <c r="W1924" t="s">
        <v>39</v>
      </c>
      <c r="X1924" s="4">
        <v>8.6999999999999993</v>
      </c>
      <c r="Y1924">
        <v>7</v>
      </c>
      <c r="Z1924" s="5">
        <v>153.22</v>
      </c>
    </row>
    <row r="1925" spans="1:26">
      <c r="A1925">
        <v>1924</v>
      </c>
      <c r="B1925">
        <v>630</v>
      </c>
      <c r="C1925" s="2">
        <v>46168</v>
      </c>
      <c r="D1925" t="s">
        <v>35</v>
      </c>
      <c r="E1925">
        <v>5</v>
      </c>
      <c r="F1925" s="3">
        <v>11.18</v>
      </c>
      <c r="G1925" t="s">
        <v>36</v>
      </c>
      <c r="H1925">
        <v>64</v>
      </c>
      <c r="I1925" t="s">
        <v>28</v>
      </c>
      <c r="J1925" s="4">
        <v>71</v>
      </c>
      <c r="K1925" s="4">
        <v>211.2</v>
      </c>
      <c r="L1925" s="4">
        <v>29.5</v>
      </c>
      <c r="M1925">
        <v>17</v>
      </c>
      <c r="N1925" t="s">
        <v>63</v>
      </c>
      <c r="O1925">
        <v>3</v>
      </c>
      <c r="P1925" s="4">
        <v>1848.8</v>
      </c>
      <c r="Q1925" t="s">
        <v>30</v>
      </c>
      <c r="R1925">
        <v>1</v>
      </c>
      <c r="S1925" t="s">
        <v>31</v>
      </c>
      <c r="T1925">
        <v>0</v>
      </c>
      <c r="U1925">
        <v>0</v>
      </c>
      <c r="V1925" t="s">
        <v>32</v>
      </c>
      <c r="W1925" t="s">
        <v>39</v>
      </c>
      <c r="X1925" s="4">
        <v>10.7</v>
      </c>
      <c r="Y1925">
        <v>11</v>
      </c>
      <c r="Z1925" s="5">
        <v>281.67</v>
      </c>
    </row>
    <row r="1926" spans="1:26">
      <c r="A1926">
        <v>1925</v>
      </c>
      <c r="B1926">
        <v>631</v>
      </c>
      <c r="C1926" s="2">
        <v>46268</v>
      </c>
      <c r="D1926" t="s">
        <v>55</v>
      </c>
      <c r="E1926">
        <v>9</v>
      </c>
      <c r="F1926" s="3">
        <v>11.05</v>
      </c>
      <c r="G1926" t="s">
        <v>36</v>
      </c>
      <c r="H1926">
        <v>61</v>
      </c>
      <c r="I1926" t="s">
        <v>28</v>
      </c>
      <c r="J1926" s="4">
        <v>65.7</v>
      </c>
      <c r="K1926" s="4">
        <v>112.7</v>
      </c>
      <c r="L1926" s="4">
        <v>18.3</v>
      </c>
      <c r="M1926">
        <v>20</v>
      </c>
      <c r="N1926" t="s">
        <v>50</v>
      </c>
      <c r="O1926">
        <v>2</v>
      </c>
      <c r="P1926" s="4">
        <v>411.1</v>
      </c>
      <c r="Q1926" t="s">
        <v>48</v>
      </c>
      <c r="R1926">
        <v>1</v>
      </c>
      <c r="S1926" t="s">
        <v>38</v>
      </c>
      <c r="T1926">
        <v>0</v>
      </c>
      <c r="U1926">
        <v>0</v>
      </c>
      <c r="V1926" t="s">
        <v>32</v>
      </c>
      <c r="W1926" t="s">
        <v>43</v>
      </c>
      <c r="X1926" s="4">
        <v>11.1</v>
      </c>
      <c r="Y1926">
        <v>12</v>
      </c>
      <c r="Z1926" s="5">
        <v>307.10000000000002</v>
      </c>
    </row>
    <row r="1927" spans="1:26">
      <c r="A1927">
        <v>1926</v>
      </c>
      <c r="B1927">
        <v>631</v>
      </c>
      <c r="C1927" s="2">
        <v>46268</v>
      </c>
      <c r="D1927" t="s">
        <v>55</v>
      </c>
      <c r="E1927">
        <v>9</v>
      </c>
      <c r="F1927" s="3">
        <v>11.08</v>
      </c>
      <c r="G1927" t="s">
        <v>36</v>
      </c>
      <c r="H1927">
        <v>51</v>
      </c>
      <c r="I1927" t="s">
        <v>34</v>
      </c>
      <c r="J1927" s="4">
        <v>65.599999999999994</v>
      </c>
      <c r="K1927" s="4">
        <v>172.8</v>
      </c>
      <c r="L1927" s="4">
        <v>28.2</v>
      </c>
      <c r="M1927">
        <v>14</v>
      </c>
      <c r="N1927" t="s">
        <v>50</v>
      </c>
      <c r="O1927">
        <v>2</v>
      </c>
      <c r="P1927" s="4">
        <v>411.1</v>
      </c>
      <c r="Q1927" t="s">
        <v>48</v>
      </c>
      <c r="R1927">
        <v>1</v>
      </c>
      <c r="S1927" t="s">
        <v>38</v>
      </c>
      <c r="T1927">
        <v>0</v>
      </c>
      <c r="U1927">
        <v>0</v>
      </c>
      <c r="V1927" t="s">
        <v>32</v>
      </c>
      <c r="W1927" t="s">
        <v>43</v>
      </c>
      <c r="X1927" s="4">
        <v>7</v>
      </c>
      <c r="Y1927">
        <v>4</v>
      </c>
      <c r="Z1927" s="5">
        <v>238.67</v>
      </c>
    </row>
    <row r="1928" spans="1:26">
      <c r="A1928">
        <v>1927</v>
      </c>
      <c r="B1928">
        <v>632</v>
      </c>
      <c r="C1928" s="2">
        <v>46344</v>
      </c>
      <c r="D1928" t="s">
        <v>52</v>
      </c>
      <c r="E1928">
        <v>11</v>
      </c>
      <c r="F1928" s="3">
        <v>9.68</v>
      </c>
      <c r="G1928" t="s">
        <v>27</v>
      </c>
      <c r="H1928">
        <v>6</v>
      </c>
      <c r="I1928" t="s">
        <v>28</v>
      </c>
      <c r="J1928" s="4">
        <v>62.7</v>
      </c>
      <c r="K1928" s="4">
        <v>101.7</v>
      </c>
      <c r="L1928" s="4">
        <v>18.100000000000001</v>
      </c>
      <c r="M1928">
        <v>11</v>
      </c>
      <c r="N1928" t="s">
        <v>65</v>
      </c>
      <c r="O1928">
        <v>5</v>
      </c>
      <c r="P1928" s="4">
        <v>1995.8</v>
      </c>
      <c r="Q1928" t="s">
        <v>42</v>
      </c>
      <c r="R1928">
        <v>0</v>
      </c>
      <c r="S1928" t="s">
        <v>38</v>
      </c>
      <c r="T1928">
        <v>1</v>
      </c>
      <c r="U1928">
        <v>0</v>
      </c>
      <c r="V1928" t="s">
        <v>45</v>
      </c>
      <c r="W1928" t="s">
        <v>43</v>
      </c>
      <c r="X1928" s="4">
        <v>10</v>
      </c>
      <c r="Y1928">
        <v>9</v>
      </c>
      <c r="Z1928" s="5">
        <v>309.97000000000003</v>
      </c>
    </row>
    <row r="1929" spans="1:26">
      <c r="A1929">
        <v>1928</v>
      </c>
      <c r="B1929">
        <v>632</v>
      </c>
      <c r="C1929" s="2">
        <v>46344</v>
      </c>
      <c r="D1929" t="s">
        <v>52</v>
      </c>
      <c r="E1929">
        <v>11</v>
      </c>
      <c r="F1929" s="3">
        <v>9.42</v>
      </c>
      <c r="G1929" t="s">
        <v>27</v>
      </c>
      <c r="H1929">
        <v>34</v>
      </c>
      <c r="I1929" t="s">
        <v>34</v>
      </c>
      <c r="J1929" s="4">
        <v>61.2</v>
      </c>
      <c r="K1929" s="4">
        <v>134.6</v>
      </c>
      <c r="L1929" s="4">
        <v>25.2</v>
      </c>
      <c r="M1929">
        <v>15</v>
      </c>
      <c r="N1929" t="s">
        <v>65</v>
      </c>
      <c r="O1929">
        <v>5</v>
      </c>
      <c r="P1929" s="4">
        <v>1995.8</v>
      </c>
      <c r="Q1929" t="s">
        <v>42</v>
      </c>
      <c r="R1929">
        <v>0</v>
      </c>
      <c r="S1929" t="s">
        <v>38</v>
      </c>
      <c r="T1929">
        <v>1</v>
      </c>
      <c r="U1929">
        <v>0</v>
      </c>
      <c r="V1929" t="s">
        <v>45</v>
      </c>
      <c r="W1929" t="s">
        <v>43</v>
      </c>
      <c r="X1929" s="4">
        <v>8.4</v>
      </c>
      <c r="Y1929">
        <v>15</v>
      </c>
      <c r="Z1929" s="5">
        <v>273.76</v>
      </c>
    </row>
    <row r="1930" spans="1:26">
      <c r="A1930">
        <v>1929</v>
      </c>
      <c r="B1930">
        <v>632</v>
      </c>
      <c r="C1930" s="2">
        <v>46344</v>
      </c>
      <c r="D1930" t="s">
        <v>52</v>
      </c>
      <c r="E1930">
        <v>11</v>
      </c>
      <c r="F1930" s="3">
        <v>9.51</v>
      </c>
      <c r="G1930" t="s">
        <v>27</v>
      </c>
      <c r="H1930">
        <v>47</v>
      </c>
      <c r="I1930" t="s">
        <v>28</v>
      </c>
      <c r="J1930" s="4">
        <v>71.599999999999994</v>
      </c>
      <c r="K1930" s="4">
        <v>184.7</v>
      </c>
      <c r="L1930" s="4">
        <v>25.5</v>
      </c>
      <c r="M1930">
        <v>16</v>
      </c>
      <c r="N1930" t="s">
        <v>65</v>
      </c>
      <c r="O1930">
        <v>5</v>
      </c>
      <c r="P1930" s="4">
        <v>1995.8</v>
      </c>
      <c r="Q1930" t="s">
        <v>42</v>
      </c>
      <c r="R1930">
        <v>0</v>
      </c>
      <c r="S1930" t="s">
        <v>38</v>
      </c>
      <c r="T1930">
        <v>1</v>
      </c>
      <c r="U1930">
        <v>0</v>
      </c>
      <c r="V1930" t="s">
        <v>45</v>
      </c>
      <c r="W1930" t="s">
        <v>43</v>
      </c>
      <c r="X1930" s="4">
        <v>8.1999999999999993</v>
      </c>
      <c r="Y1930">
        <v>9</v>
      </c>
      <c r="Z1930" s="5">
        <v>183.62</v>
      </c>
    </row>
    <row r="1931" spans="1:26">
      <c r="A1931">
        <v>1930</v>
      </c>
      <c r="B1931">
        <v>632</v>
      </c>
      <c r="C1931" s="2">
        <v>46344</v>
      </c>
      <c r="D1931" t="s">
        <v>52</v>
      </c>
      <c r="E1931">
        <v>11</v>
      </c>
      <c r="F1931" s="3">
        <v>9.52</v>
      </c>
      <c r="G1931" t="s">
        <v>27</v>
      </c>
      <c r="H1931">
        <v>56</v>
      </c>
      <c r="I1931" t="s">
        <v>34</v>
      </c>
      <c r="J1931" s="4">
        <v>64</v>
      </c>
      <c r="K1931" s="4">
        <v>169.7</v>
      </c>
      <c r="L1931" s="4">
        <v>29.1</v>
      </c>
      <c r="M1931">
        <v>14</v>
      </c>
      <c r="N1931" t="s">
        <v>65</v>
      </c>
      <c r="O1931">
        <v>5</v>
      </c>
      <c r="P1931" s="4">
        <v>1995.8</v>
      </c>
      <c r="Q1931" t="s">
        <v>42</v>
      </c>
      <c r="R1931">
        <v>0</v>
      </c>
      <c r="S1931" t="s">
        <v>38</v>
      </c>
      <c r="T1931">
        <v>1</v>
      </c>
      <c r="U1931">
        <v>0</v>
      </c>
      <c r="V1931" t="s">
        <v>45</v>
      </c>
      <c r="W1931" t="s">
        <v>43</v>
      </c>
      <c r="X1931" s="4">
        <v>9.9</v>
      </c>
      <c r="Y1931">
        <v>12</v>
      </c>
      <c r="Z1931" s="5">
        <v>260.58</v>
      </c>
    </row>
    <row r="1932" spans="1:26">
      <c r="A1932">
        <v>1931</v>
      </c>
      <c r="B1932">
        <v>632</v>
      </c>
      <c r="C1932" s="2">
        <v>46344</v>
      </c>
      <c r="D1932" t="s">
        <v>52</v>
      </c>
      <c r="E1932">
        <v>11</v>
      </c>
      <c r="F1932" s="3">
        <v>9.43</v>
      </c>
      <c r="G1932" t="s">
        <v>27</v>
      </c>
      <c r="H1932">
        <v>56</v>
      </c>
      <c r="I1932" t="s">
        <v>28</v>
      </c>
      <c r="J1932" s="4">
        <v>71.900000000000006</v>
      </c>
      <c r="K1932" s="4">
        <v>153.4</v>
      </c>
      <c r="L1932" s="4">
        <v>20.9</v>
      </c>
      <c r="M1932">
        <v>18</v>
      </c>
      <c r="N1932" t="s">
        <v>65</v>
      </c>
      <c r="O1932">
        <v>5</v>
      </c>
      <c r="P1932" s="4">
        <v>1995.8</v>
      </c>
      <c r="Q1932" t="s">
        <v>42</v>
      </c>
      <c r="R1932">
        <v>0</v>
      </c>
      <c r="S1932" t="s">
        <v>38</v>
      </c>
      <c r="T1932">
        <v>1</v>
      </c>
      <c r="U1932">
        <v>0</v>
      </c>
      <c r="V1932" t="s">
        <v>45</v>
      </c>
      <c r="W1932" t="s">
        <v>43</v>
      </c>
      <c r="X1932" s="4">
        <v>6.7</v>
      </c>
      <c r="Y1932">
        <v>5</v>
      </c>
      <c r="Z1932" s="5">
        <v>126.21</v>
      </c>
    </row>
    <row r="1933" spans="1:26">
      <c r="A1933">
        <v>1932</v>
      </c>
      <c r="B1933">
        <v>633</v>
      </c>
      <c r="C1933" s="2">
        <v>46169</v>
      </c>
      <c r="D1933" t="s">
        <v>52</v>
      </c>
      <c r="E1933">
        <v>5</v>
      </c>
      <c r="F1933" s="3">
        <v>12.72</v>
      </c>
      <c r="G1933" t="s">
        <v>36</v>
      </c>
      <c r="H1933">
        <v>6</v>
      </c>
      <c r="I1933" t="s">
        <v>28</v>
      </c>
      <c r="J1933" s="4">
        <v>67.2</v>
      </c>
      <c r="K1933" s="4">
        <v>110.6</v>
      </c>
      <c r="L1933" s="4">
        <v>17.3</v>
      </c>
      <c r="M1933">
        <v>12</v>
      </c>
      <c r="N1933" t="s">
        <v>47</v>
      </c>
      <c r="O1933">
        <v>3</v>
      </c>
      <c r="P1933" s="4">
        <v>77.099999999999994</v>
      </c>
      <c r="Q1933" t="s">
        <v>30</v>
      </c>
      <c r="R1933">
        <v>0</v>
      </c>
      <c r="S1933" t="s">
        <v>38</v>
      </c>
      <c r="T1933">
        <v>0</v>
      </c>
      <c r="U1933">
        <v>0</v>
      </c>
      <c r="V1933" t="s">
        <v>32</v>
      </c>
      <c r="W1933" t="s">
        <v>43</v>
      </c>
      <c r="X1933" s="4">
        <v>6.1</v>
      </c>
      <c r="Y1933">
        <v>6</v>
      </c>
      <c r="Z1933" s="5">
        <v>154.51</v>
      </c>
    </row>
    <row r="1934" spans="1:26">
      <c r="A1934">
        <v>1933</v>
      </c>
      <c r="B1934">
        <v>633</v>
      </c>
      <c r="C1934" s="2">
        <v>46169</v>
      </c>
      <c r="D1934" t="s">
        <v>52</v>
      </c>
      <c r="E1934">
        <v>5</v>
      </c>
      <c r="F1934" s="3">
        <v>12.47</v>
      </c>
      <c r="G1934" t="s">
        <v>36</v>
      </c>
      <c r="H1934">
        <v>18</v>
      </c>
      <c r="I1934" t="s">
        <v>28</v>
      </c>
      <c r="J1934" s="4">
        <v>67.599999999999994</v>
      </c>
      <c r="K1934" s="4">
        <v>176.6</v>
      </c>
      <c r="L1934" s="4">
        <v>26.7</v>
      </c>
      <c r="M1934">
        <v>12</v>
      </c>
      <c r="N1934" t="s">
        <v>47</v>
      </c>
      <c r="O1934">
        <v>3</v>
      </c>
      <c r="P1934" s="4">
        <v>77.099999999999994</v>
      </c>
      <c r="Q1934" t="s">
        <v>30</v>
      </c>
      <c r="R1934">
        <v>0</v>
      </c>
      <c r="S1934" t="s">
        <v>38</v>
      </c>
      <c r="T1934">
        <v>0</v>
      </c>
      <c r="U1934">
        <v>0</v>
      </c>
      <c r="V1934" t="s">
        <v>32</v>
      </c>
      <c r="W1934" t="s">
        <v>43</v>
      </c>
      <c r="X1934" s="4">
        <v>7.6</v>
      </c>
      <c r="Y1934">
        <v>10</v>
      </c>
      <c r="Z1934" s="5">
        <v>158.96</v>
      </c>
    </row>
    <row r="1935" spans="1:26">
      <c r="A1935">
        <v>1934</v>
      </c>
      <c r="B1935">
        <v>633</v>
      </c>
      <c r="C1935" s="2">
        <v>46169</v>
      </c>
      <c r="D1935" t="s">
        <v>52</v>
      </c>
      <c r="E1935">
        <v>5</v>
      </c>
      <c r="F1935" s="3">
        <v>12.57</v>
      </c>
      <c r="G1935" t="s">
        <v>36</v>
      </c>
      <c r="H1935">
        <v>21</v>
      </c>
      <c r="I1935" t="s">
        <v>34</v>
      </c>
      <c r="J1935" s="4">
        <v>63.8</v>
      </c>
      <c r="K1935" s="4">
        <v>171.3</v>
      </c>
      <c r="L1935" s="4">
        <v>29.5</v>
      </c>
      <c r="M1935">
        <v>9</v>
      </c>
      <c r="N1935" t="s">
        <v>47</v>
      </c>
      <c r="O1935">
        <v>3</v>
      </c>
      <c r="P1935" s="4">
        <v>77.099999999999994</v>
      </c>
      <c r="Q1935" t="s">
        <v>30</v>
      </c>
      <c r="R1935">
        <v>0</v>
      </c>
      <c r="S1935" t="s">
        <v>38</v>
      </c>
      <c r="T1935">
        <v>0</v>
      </c>
      <c r="U1935">
        <v>0</v>
      </c>
      <c r="V1935" t="s">
        <v>32</v>
      </c>
      <c r="W1935" t="s">
        <v>43</v>
      </c>
      <c r="X1935" s="4">
        <v>9.4</v>
      </c>
      <c r="Y1935">
        <v>7</v>
      </c>
      <c r="Z1935" s="5">
        <v>140.29</v>
      </c>
    </row>
    <row r="1936" spans="1:26">
      <c r="A1936">
        <v>1935</v>
      </c>
      <c r="B1936">
        <v>634</v>
      </c>
      <c r="C1936" s="2">
        <v>46365</v>
      </c>
      <c r="D1936" t="s">
        <v>52</v>
      </c>
      <c r="E1936">
        <v>12</v>
      </c>
      <c r="F1936" s="3">
        <v>8.5</v>
      </c>
      <c r="G1936" t="s">
        <v>27</v>
      </c>
      <c r="H1936">
        <v>17</v>
      </c>
      <c r="I1936" t="s">
        <v>28</v>
      </c>
      <c r="J1936" s="4">
        <v>70</v>
      </c>
      <c r="K1936" s="4">
        <v>139.4</v>
      </c>
      <c r="L1936" s="4">
        <v>20.100000000000001</v>
      </c>
      <c r="M1936">
        <v>14</v>
      </c>
      <c r="N1936" t="s">
        <v>66</v>
      </c>
      <c r="O1936">
        <v>2</v>
      </c>
      <c r="P1936" s="4">
        <v>864.7</v>
      </c>
      <c r="Q1936" t="s">
        <v>42</v>
      </c>
      <c r="R1936">
        <v>0</v>
      </c>
      <c r="S1936" t="s">
        <v>44</v>
      </c>
      <c r="T1936">
        <v>0</v>
      </c>
      <c r="U1936">
        <v>1</v>
      </c>
      <c r="V1936" t="s">
        <v>32</v>
      </c>
      <c r="W1936" t="s">
        <v>33</v>
      </c>
      <c r="X1936" s="4">
        <v>6.2</v>
      </c>
      <c r="Y1936">
        <v>6</v>
      </c>
      <c r="Z1936" s="5">
        <v>228.52</v>
      </c>
    </row>
    <row r="1937" spans="1:26">
      <c r="A1937">
        <v>1936</v>
      </c>
      <c r="B1937">
        <v>634</v>
      </c>
      <c r="C1937" s="2">
        <v>46365</v>
      </c>
      <c r="D1937" t="s">
        <v>52</v>
      </c>
      <c r="E1937">
        <v>12</v>
      </c>
      <c r="F1937" s="3">
        <v>8.68</v>
      </c>
      <c r="G1937" t="s">
        <v>27</v>
      </c>
      <c r="H1937">
        <v>10</v>
      </c>
      <c r="I1937" t="s">
        <v>34</v>
      </c>
      <c r="J1937" s="4">
        <v>62.6</v>
      </c>
      <c r="K1937" s="4">
        <v>126.4</v>
      </c>
      <c r="L1937" s="4">
        <v>22.5</v>
      </c>
      <c r="M1937">
        <v>15</v>
      </c>
      <c r="N1937" t="s">
        <v>66</v>
      </c>
      <c r="O1937">
        <v>2</v>
      </c>
      <c r="P1937" s="4">
        <v>864.7</v>
      </c>
      <c r="Q1937" t="s">
        <v>42</v>
      </c>
      <c r="R1937">
        <v>0</v>
      </c>
      <c r="S1937" t="s">
        <v>44</v>
      </c>
      <c r="T1937">
        <v>0</v>
      </c>
      <c r="U1937">
        <v>1</v>
      </c>
      <c r="V1937" t="s">
        <v>32</v>
      </c>
      <c r="W1937" t="s">
        <v>33</v>
      </c>
      <c r="X1937" s="4">
        <v>7.4</v>
      </c>
      <c r="Y1937">
        <v>8</v>
      </c>
      <c r="Z1937" s="5">
        <v>233.09</v>
      </c>
    </row>
    <row r="1938" spans="1:26">
      <c r="A1938">
        <v>1937</v>
      </c>
      <c r="B1938">
        <v>635</v>
      </c>
      <c r="C1938" s="2">
        <v>46262</v>
      </c>
      <c r="D1938" t="s">
        <v>26</v>
      </c>
      <c r="E1938">
        <v>8</v>
      </c>
      <c r="F1938" s="3">
        <v>10.57</v>
      </c>
      <c r="G1938" t="s">
        <v>27</v>
      </c>
      <c r="H1938">
        <v>40</v>
      </c>
      <c r="I1938" t="s">
        <v>28</v>
      </c>
      <c r="J1938" s="4">
        <v>68.3</v>
      </c>
      <c r="K1938" s="4">
        <v>183</v>
      </c>
      <c r="L1938" s="4">
        <v>27.7</v>
      </c>
      <c r="M1938">
        <v>11</v>
      </c>
      <c r="N1938" t="s">
        <v>47</v>
      </c>
      <c r="O1938">
        <v>1</v>
      </c>
      <c r="P1938" s="4">
        <v>100.8</v>
      </c>
      <c r="Q1938" t="s">
        <v>30</v>
      </c>
      <c r="R1938">
        <v>0</v>
      </c>
      <c r="S1938" t="s">
        <v>31</v>
      </c>
      <c r="T1938">
        <v>0</v>
      </c>
      <c r="U1938">
        <v>0</v>
      </c>
      <c r="V1938" t="s">
        <v>32</v>
      </c>
      <c r="W1938" t="s">
        <v>43</v>
      </c>
      <c r="X1938" s="4">
        <v>10.199999999999999</v>
      </c>
      <c r="Y1938">
        <v>3</v>
      </c>
      <c r="Z1938" s="5">
        <v>183.51</v>
      </c>
    </row>
    <row r="1939" spans="1:26">
      <c r="A1939">
        <v>1938</v>
      </c>
      <c r="B1939">
        <v>636</v>
      </c>
      <c r="C1939" s="2">
        <v>46103</v>
      </c>
      <c r="D1939" t="s">
        <v>58</v>
      </c>
      <c r="E1939">
        <v>3</v>
      </c>
      <c r="F1939" s="3">
        <v>9</v>
      </c>
      <c r="G1939" t="s">
        <v>27</v>
      </c>
      <c r="H1939">
        <v>19</v>
      </c>
      <c r="I1939" t="s">
        <v>34</v>
      </c>
      <c r="J1939" s="4">
        <v>65.900000000000006</v>
      </c>
      <c r="K1939" s="4">
        <v>167.3</v>
      </c>
      <c r="L1939" s="4">
        <v>27.3</v>
      </c>
      <c r="M1939">
        <v>15</v>
      </c>
      <c r="N1939" t="s">
        <v>47</v>
      </c>
      <c r="O1939">
        <v>4</v>
      </c>
      <c r="P1939" s="4">
        <v>33.6</v>
      </c>
      <c r="Q1939" t="s">
        <v>48</v>
      </c>
      <c r="R1939">
        <v>0</v>
      </c>
      <c r="S1939" t="s">
        <v>44</v>
      </c>
      <c r="T1939">
        <v>1</v>
      </c>
      <c r="U1939">
        <v>0</v>
      </c>
      <c r="V1939" t="s">
        <v>32</v>
      </c>
      <c r="W1939" t="s">
        <v>43</v>
      </c>
      <c r="X1939" s="4">
        <v>8</v>
      </c>
      <c r="Y1939">
        <v>0</v>
      </c>
      <c r="Z1939" s="5">
        <v>207.69</v>
      </c>
    </row>
    <row r="1940" spans="1:26">
      <c r="A1940">
        <v>1939</v>
      </c>
      <c r="B1940">
        <v>636</v>
      </c>
      <c r="C1940" s="2">
        <v>46103</v>
      </c>
      <c r="D1940" t="s">
        <v>58</v>
      </c>
      <c r="E1940">
        <v>3</v>
      </c>
      <c r="F1940" s="3">
        <v>8.94</v>
      </c>
      <c r="G1940" t="s">
        <v>27</v>
      </c>
      <c r="H1940">
        <v>30</v>
      </c>
      <c r="I1940" t="s">
        <v>28</v>
      </c>
      <c r="J1940" s="4">
        <v>69</v>
      </c>
      <c r="K1940" s="4">
        <v>140.1</v>
      </c>
      <c r="L1940" s="4">
        <v>20.399999999999999</v>
      </c>
      <c r="M1940">
        <v>18</v>
      </c>
      <c r="N1940" t="s">
        <v>47</v>
      </c>
      <c r="O1940">
        <v>4</v>
      </c>
      <c r="P1940" s="4">
        <v>33.6</v>
      </c>
      <c r="Q1940" t="s">
        <v>48</v>
      </c>
      <c r="R1940">
        <v>0</v>
      </c>
      <c r="S1940" t="s">
        <v>44</v>
      </c>
      <c r="T1940">
        <v>1</v>
      </c>
      <c r="U1940">
        <v>0</v>
      </c>
      <c r="V1940" t="s">
        <v>32</v>
      </c>
      <c r="W1940" t="s">
        <v>43</v>
      </c>
      <c r="X1940" s="4">
        <v>5</v>
      </c>
      <c r="Y1940">
        <v>7</v>
      </c>
      <c r="Z1940" s="5">
        <v>275.18</v>
      </c>
    </row>
    <row r="1941" spans="1:26">
      <c r="A1941">
        <v>1940</v>
      </c>
      <c r="B1941">
        <v>636</v>
      </c>
      <c r="C1941" s="2">
        <v>46103</v>
      </c>
      <c r="D1941" t="s">
        <v>58</v>
      </c>
      <c r="E1941">
        <v>3</v>
      </c>
      <c r="F1941" s="3">
        <v>8.8699999999999992</v>
      </c>
      <c r="G1941" t="s">
        <v>27</v>
      </c>
      <c r="H1941">
        <v>3</v>
      </c>
      <c r="I1941" t="s">
        <v>34</v>
      </c>
      <c r="J1941" s="4">
        <v>57.4</v>
      </c>
      <c r="K1941" s="4">
        <v>69.8</v>
      </c>
      <c r="L1941" s="4">
        <v>14.8</v>
      </c>
      <c r="M1941">
        <v>15</v>
      </c>
      <c r="N1941" t="s">
        <v>47</v>
      </c>
      <c r="O1941">
        <v>4</v>
      </c>
      <c r="P1941" s="4">
        <v>33.6</v>
      </c>
      <c r="Q1941" t="s">
        <v>48</v>
      </c>
      <c r="R1941">
        <v>0</v>
      </c>
      <c r="S1941" t="s">
        <v>44</v>
      </c>
      <c r="T1941">
        <v>1</v>
      </c>
      <c r="U1941">
        <v>0</v>
      </c>
      <c r="V1941" t="s">
        <v>32</v>
      </c>
      <c r="W1941" t="s">
        <v>43</v>
      </c>
      <c r="X1941" s="4">
        <v>9.5</v>
      </c>
      <c r="Y1941">
        <v>3</v>
      </c>
      <c r="Z1941" s="5">
        <v>127.64</v>
      </c>
    </row>
    <row r="1942" spans="1:26">
      <c r="A1942">
        <v>1941</v>
      </c>
      <c r="B1942">
        <v>636</v>
      </c>
      <c r="C1942" s="2">
        <v>46103</v>
      </c>
      <c r="D1942" t="s">
        <v>58</v>
      </c>
      <c r="E1942">
        <v>3</v>
      </c>
      <c r="F1942" s="3">
        <v>9</v>
      </c>
      <c r="G1942" t="s">
        <v>27</v>
      </c>
      <c r="H1942">
        <v>83</v>
      </c>
      <c r="I1942" t="s">
        <v>28</v>
      </c>
      <c r="J1942" s="4">
        <v>67.099999999999994</v>
      </c>
      <c r="K1942" s="4">
        <v>129.1</v>
      </c>
      <c r="L1942" s="4">
        <v>20.100000000000001</v>
      </c>
      <c r="M1942">
        <v>18</v>
      </c>
      <c r="N1942" t="s">
        <v>47</v>
      </c>
      <c r="O1942">
        <v>4</v>
      </c>
      <c r="P1942" s="4">
        <v>33.6</v>
      </c>
      <c r="Q1942" t="s">
        <v>48</v>
      </c>
      <c r="R1942">
        <v>0</v>
      </c>
      <c r="S1942" t="s">
        <v>44</v>
      </c>
      <c r="T1942">
        <v>1</v>
      </c>
      <c r="U1942">
        <v>0</v>
      </c>
      <c r="V1942" t="s">
        <v>32</v>
      </c>
      <c r="W1942" t="s">
        <v>43</v>
      </c>
      <c r="X1942" s="4">
        <v>7.4</v>
      </c>
      <c r="Y1942">
        <v>13</v>
      </c>
      <c r="Z1942" s="5">
        <v>220.45</v>
      </c>
    </row>
    <row r="1943" spans="1:26">
      <c r="A1943">
        <v>1942</v>
      </c>
      <c r="B1943">
        <v>637</v>
      </c>
      <c r="C1943" s="2">
        <v>46203</v>
      </c>
      <c r="D1943" t="s">
        <v>35</v>
      </c>
      <c r="E1943">
        <v>6</v>
      </c>
      <c r="F1943" s="3">
        <v>9.33</v>
      </c>
      <c r="G1943" t="s">
        <v>27</v>
      </c>
      <c r="H1943">
        <v>45</v>
      </c>
      <c r="I1943" t="s">
        <v>28</v>
      </c>
      <c r="J1943" s="4">
        <v>67.7</v>
      </c>
      <c r="K1943" s="4">
        <v>148.1</v>
      </c>
      <c r="L1943" s="4">
        <v>22.6</v>
      </c>
      <c r="M1943">
        <v>15</v>
      </c>
      <c r="N1943" t="s">
        <v>47</v>
      </c>
      <c r="O1943">
        <v>1</v>
      </c>
      <c r="P1943" s="4">
        <v>71.400000000000006</v>
      </c>
      <c r="Q1943" t="s">
        <v>30</v>
      </c>
      <c r="R1943">
        <v>0</v>
      </c>
      <c r="S1943" t="s">
        <v>44</v>
      </c>
      <c r="T1943">
        <v>0</v>
      </c>
      <c r="U1943">
        <v>0</v>
      </c>
      <c r="V1943" t="s">
        <v>32</v>
      </c>
      <c r="W1943" t="s">
        <v>39</v>
      </c>
      <c r="X1943" s="4">
        <v>10.6</v>
      </c>
      <c r="Y1943">
        <v>2</v>
      </c>
      <c r="Z1943" s="5">
        <v>280.35000000000002</v>
      </c>
    </row>
    <row r="1944" spans="1:26">
      <c r="A1944">
        <v>1943</v>
      </c>
      <c r="B1944">
        <v>638</v>
      </c>
      <c r="C1944" s="2">
        <v>46373</v>
      </c>
      <c r="D1944" t="s">
        <v>55</v>
      </c>
      <c r="E1944">
        <v>12</v>
      </c>
      <c r="F1944" s="3">
        <v>8.17</v>
      </c>
      <c r="G1944" t="s">
        <v>27</v>
      </c>
      <c r="H1944">
        <v>14</v>
      </c>
      <c r="I1944" t="s">
        <v>28</v>
      </c>
      <c r="J1944" s="4">
        <v>70</v>
      </c>
      <c r="K1944" s="4">
        <v>120.6</v>
      </c>
      <c r="L1944" s="4">
        <v>17.3</v>
      </c>
      <c r="M1944">
        <v>12</v>
      </c>
      <c r="N1944" t="s">
        <v>59</v>
      </c>
      <c r="O1944">
        <v>5</v>
      </c>
      <c r="P1944" s="4">
        <v>1090</v>
      </c>
      <c r="Q1944" t="s">
        <v>48</v>
      </c>
      <c r="R1944">
        <v>0</v>
      </c>
      <c r="S1944" t="s">
        <v>44</v>
      </c>
      <c r="T1944">
        <v>0</v>
      </c>
      <c r="U1944">
        <v>0</v>
      </c>
      <c r="V1944" t="s">
        <v>32</v>
      </c>
      <c r="W1944" t="s">
        <v>39</v>
      </c>
      <c r="X1944" s="4">
        <v>9.3000000000000007</v>
      </c>
      <c r="Y1944">
        <v>9</v>
      </c>
      <c r="Z1944" s="5">
        <v>326.63</v>
      </c>
    </row>
    <row r="1945" spans="1:26">
      <c r="A1945">
        <v>1944</v>
      </c>
      <c r="B1945">
        <v>638</v>
      </c>
      <c r="C1945" s="2">
        <v>46373</v>
      </c>
      <c r="D1945" t="s">
        <v>55</v>
      </c>
      <c r="E1945">
        <v>12</v>
      </c>
      <c r="F1945" s="3">
        <v>8.25</v>
      </c>
      <c r="G1945" t="s">
        <v>27</v>
      </c>
      <c r="H1945">
        <v>54</v>
      </c>
      <c r="I1945" t="s">
        <v>28</v>
      </c>
      <c r="J1945" s="4">
        <v>73</v>
      </c>
      <c r="K1945" s="4">
        <v>160.5</v>
      </c>
      <c r="L1945" s="4">
        <v>21.3</v>
      </c>
      <c r="M1945">
        <v>16</v>
      </c>
      <c r="N1945" t="s">
        <v>59</v>
      </c>
      <c r="O1945">
        <v>5</v>
      </c>
      <c r="P1945" s="4">
        <v>1090</v>
      </c>
      <c r="Q1945" t="s">
        <v>48</v>
      </c>
      <c r="R1945">
        <v>0</v>
      </c>
      <c r="S1945" t="s">
        <v>44</v>
      </c>
      <c r="T1945">
        <v>0</v>
      </c>
      <c r="U1945">
        <v>0</v>
      </c>
      <c r="V1945" t="s">
        <v>32</v>
      </c>
      <c r="W1945" t="s">
        <v>39</v>
      </c>
      <c r="X1945" s="4">
        <v>8.6</v>
      </c>
      <c r="Y1945">
        <v>10</v>
      </c>
      <c r="Z1945" s="5">
        <v>238.97</v>
      </c>
    </row>
    <row r="1946" spans="1:26">
      <c r="A1946">
        <v>1945</v>
      </c>
      <c r="B1946">
        <v>638</v>
      </c>
      <c r="C1946" s="2">
        <v>46373</v>
      </c>
      <c r="D1946" t="s">
        <v>55</v>
      </c>
      <c r="E1946">
        <v>12</v>
      </c>
      <c r="F1946" s="3">
        <v>8.1999999999999993</v>
      </c>
      <c r="G1946" t="s">
        <v>27</v>
      </c>
      <c r="H1946">
        <v>40</v>
      </c>
      <c r="I1946" t="s">
        <v>34</v>
      </c>
      <c r="J1946" s="4">
        <v>61.8</v>
      </c>
      <c r="K1946" s="4">
        <v>114.4</v>
      </c>
      <c r="L1946" s="4">
        <v>21</v>
      </c>
      <c r="M1946">
        <v>18</v>
      </c>
      <c r="N1946" t="s">
        <v>59</v>
      </c>
      <c r="O1946">
        <v>5</v>
      </c>
      <c r="P1946" s="4">
        <v>1090</v>
      </c>
      <c r="Q1946" t="s">
        <v>48</v>
      </c>
      <c r="R1946">
        <v>0</v>
      </c>
      <c r="S1946" t="s">
        <v>44</v>
      </c>
      <c r="T1946">
        <v>0</v>
      </c>
      <c r="U1946">
        <v>0</v>
      </c>
      <c r="V1946" t="s">
        <v>32</v>
      </c>
      <c r="W1946" t="s">
        <v>39</v>
      </c>
      <c r="X1946" s="4">
        <v>7.5</v>
      </c>
      <c r="Y1946">
        <v>3</v>
      </c>
      <c r="Z1946" s="5">
        <v>110.99</v>
      </c>
    </row>
    <row r="1947" spans="1:26">
      <c r="A1947">
        <v>1946</v>
      </c>
      <c r="B1947">
        <v>638</v>
      </c>
      <c r="C1947" s="2">
        <v>46373</v>
      </c>
      <c r="D1947" t="s">
        <v>55</v>
      </c>
      <c r="E1947">
        <v>12</v>
      </c>
      <c r="F1947" s="3">
        <v>8.2899999999999991</v>
      </c>
      <c r="G1947" t="s">
        <v>27</v>
      </c>
      <c r="H1947">
        <v>32</v>
      </c>
      <c r="I1947" t="s">
        <v>28</v>
      </c>
      <c r="J1947" s="4">
        <v>70</v>
      </c>
      <c r="K1947" s="4">
        <v>139.6</v>
      </c>
      <c r="L1947" s="4">
        <v>20.100000000000001</v>
      </c>
      <c r="M1947">
        <v>16</v>
      </c>
      <c r="N1947" t="s">
        <v>59</v>
      </c>
      <c r="O1947">
        <v>5</v>
      </c>
      <c r="P1947" s="4">
        <v>1090</v>
      </c>
      <c r="Q1947" t="s">
        <v>48</v>
      </c>
      <c r="R1947">
        <v>0</v>
      </c>
      <c r="S1947" t="s">
        <v>44</v>
      </c>
      <c r="T1947">
        <v>0</v>
      </c>
      <c r="U1947">
        <v>0</v>
      </c>
      <c r="V1947" t="s">
        <v>32</v>
      </c>
      <c r="W1947" t="s">
        <v>39</v>
      </c>
      <c r="X1947" s="4">
        <v>7.5</v>
      </c>
      <c r="Y1947">
        <v>4</v>
      </c>
      <c r="Z1947" s="5">
        <v>124.01</v>
      </c>
    </row>
    <row r="1948" spans="1:26">
      <c r="A1948">
        <v>1947</v>
      </c>
      <c r="B1948">
        <v>638</v>
      </c>
      <c r="C1948" s="2">
        <v>46373</v>
      </c>
      <c r="D1948" t="s">
        <v>55</v>
      </c>
      <c r="E1948">
        <v>12</v>
      </c>
      <c r="F1948" s="3">
        <v>8.1</v>
      </c>
      <c r="G1948" t="s">
        <v>27</v>
      </c>
      <c r="H1948">
        <v>31</v>
      </c>
      <c r="I1948" t="s">
        <v>34</v>
      </c>
      <c r="J1948" s="4">
        <v>64.400000000000006</v>
      </c>
      <c r="K1948" s="4">
        <v>147.1</v>
      </c>
      <c r="L1948" s="4">
        <v>24.9</v>
      </c>
      <c r="M1948">
        <v>16</v>
      </c>
      <c r="N1948" t="s">
        <v>59</v>
      </c>
      <c r="O1948">
        <v>5</v>
      </c>
      <c r="P1948" s="4">
        <v>1090</v>
      </c>
      <c r="Q1948" t="s">
        <v>48</v>
      </c>
      <c r="R1948">
        <v>0</v>
      </c>
      <c r="S1948" t="s">
        <v>44</v>
      </c>
      <c r="T1948">
        <v>0</v>
      </c>
      <c r="U1948">
        <v>0</v>
      </c>
      <c r="V1948" t="s">
        <v>32</v>
      </c>
      <c r="W1948" t="s">
        <v>39</v>
      </c>
      <c r="X1948" s="4">
        <v>6.3</v>
      </c>
      <c r="Y1948">
        <v>8</v>
      </c>
      <c r="Z1948" s="5">
        <v>234.43</v>
      </c>
    </row>
    <row r="1949" spans="1:26">
      <c r="A1949">
        <v>1948</v>
      </c>
      <c r="B1949">
        <v>639</v>
      </c>
      <c r="C1949" s="2">
        <v>46236</v>
      </c>
      <c r="D1949" t="s">
        <v>58</v>
      </c>
      <c r="E1949">
        <v>8</v>
      </c>
      <c r="F1949" s="3">
        <v>10.5</v>
      </c>
      <c r="G1949" t="s">
        <v>27</v>
      </c>
      <c r="H1949">
        <v>45</v>
      </c>
      <c r="I1949" t="s">
        <v>34</v>
      </c>
      <c r="J1949" s="4">
        <v>66</v>
      </c>
      <c r="K1949" s="4">
        <v>175.6</v>
      </c>
      <c r="L1949" s="4">
        <v>28.4</v>
      </c>
      <c r="M1949">
        <v>12</v>
      </c>
      <c r="N1949" t="s">
        <v>47</v>
      </c>
      <c r="O1949">
        <v>1</v>
      </c>
      <c r="P1949" s="4">
        <v>119.3</v>
      </c>
      <c r="Q1949" t="s">
        <v>30</v>
      </c>
      <c r="R1949">
        <v>0</v>
      </c>
      <c r="S1949" t="s">
        <v>31</v>
      </c>
      <c r="T1949">
        <v>0</v>
      </c>
      <c r="U1949">
        <v>0</v>
      </c>
      <c r="V1949" t="s">
        <v>45</v>
      </c>
      <c r="W1949" t="s">
        <v>39</v>
      </c>
      <c r="X1949" s="4">
        <v>7.3</v>
      </c>
      <c r="Y1949">
        <v>4</v>
      </c>
      <c r="Z1949" s="5">
        <v>154.68</v>
      </c>
    </row>
    <row r="1950" spans="1:26">
      <c r="A1950">
        <v>1949</v>
      </c>
      <c r="B1950">
        <v>640</v>
      </c>
      <c r="C1950" s="2">
        <v>46034</v>
      </c>
      <c r="D1950" t="s">
        <v>46</v>
      </c>
      <c r="E1950">
        <v>1</v>
      </c>
      <c r="F1950" s="3">
        <v>10.61</v>
      </c>
      <c r="G1950" t="s">
        <v>27</v>
      </c>
      <c r="H1950">
        <v>46</v>
      </c>
      <c r="I1950" t="s">
        <v>28</v>
      </c>
      <c r="J1950" s="4">
        <v>67.8</v>
      </c>
      <c r="K1950" s="4">
        <v>195.1</v>
      </c>
      <c r="L1950" s="4">
        <v>29.7</v>
      </c>
      <c r="M1950">
        <v>15</v>
      </c>
      <c r="N1950" t="s">
        <v>47</v>
      </c>
      <c r="O1950">
        <v>3</v>
      </c>
      <c r="P1950" s="4">
        <v>39.4</v>
      </c>
      <c r="Q1950" t="s">
        <v>48</v>
      </c>
      <c r="R1950">
        <v>0</v>
      </c>
      <c r="S1950" t="s">
        <v>31</v>
      </c>
      <c r="T1950">
        <v>0</v>
      </c>
      <c r="U1950">
        <v>1</v>
      </c>
      <c r="V1950" t="s">
        <v>64</v>
      </c>
      <c r="W1950" t="s">
        <v>39</v>
      </c>
      <c r="X1950" s="4">
        <v>7.6</v>
      </c>
      <c r="Y1950">
        <v>9</v>
      </c>
      <c r="Z1950" s="5">
        <v>210.9</v>
      </c>
    </row>
    <row r="1951" spans="1:26">
      <c r="A1951">
        <v>1950</v>
      </c>
      <c r="B1951">
        <v>640</v>
      </c>
      <c r="C1951" s="2">
        <v>46034</v>
      </c>
      <c r="D1951" t="s">
        <v>46</v>
      </c>
      <c r="E1951">
        <v>1</v>
      </c>
      <c r="F1951" s="3">
        <v>10.78</v>
      </c>
      <c r="G1951" t="s">
        <v>27</v>
      </c>
      <c r="H1951">
        <v>26</v>
      </c>
      <c r="I1951" t="s">
        <v>34</v>
      </c>
      <c r="J1951" s="4">
        <v>66.3</v>
      </c>
      <c r="K1951" s="4">
        <v>153.69999999999999</v>
      </c>
      <c r="L1951" s="4">
        <v>24.5</v>
      </c>
      <c r="M1951">
        <v>17</v>
      </c>
      <c r="N1951" t="s">
        <v>47</v>
      </c>
      <c r="O1951">
        <v>3</v>
      </c>
      <c r="P1951" s="4">
        <v>39.4</v>
      </c>
      <c r="Q1951" t="s">
        <v>48</v>
      </c>
      <c r="R1951">
        <v>0</v>
      </c>
      <c r="S1951" t="s">
        <v>31</v>
      </c>
      <c r="T1951">
        <v>0</v>
      </c>
      <c r="U1951">
        <v>1</v>
      </c>
      <c r="V1951" t="s">
        <v>64</v>
      </c>
      <c r="W1951" t="s">
        <v>39</v>
      </c>
      <c r="X1951" s="4">
        <v>8.9</v>
      </c>
      <c r="Y1951">
        <v>7</v>
      </c>
      <c r="Z1951" s="5">
        <v>256.81</v>
      </c>
    </row>
    <row r="1952" spans="1:26">
      <c r="A1952">
        <v>1951</v>
      </c>
      <c r="B1952">
        <v>640</v>
      </c>
      <c r="C1952" s="2">
        <v>46034</v>
      </c>
      <c r="D1952" t="s">
        <v>46</v>
      </c>
      <c r="E1952">
        <v>1</v>
      </c>
      <c r="F1952" s="3">
        <v>10.74</v>
      </c>
      <c r="G1952" t="s">
        <v>27</v>
      </c>
      <c r="H1952">
        <v>33</v>
      </c>
      <c r="I1952" t="s">
        <v>34</v>
      </c>
      <c r="J1952" s="4">
        <v>65.400000000000006</v>
      </c>
      <c r="K1952" s="4">
        <v>114.6</v>
      </c>
      <c r="L1952" s="4">
        <v>18.5</v>
      </c>
      <c r="M1952">
        <v>16</v>
      </c>
      <c r="N1952" t="s">
        <v>47</v>
      </c>
      <c r="O1952">
        <v>3</v>
      </c>
      <c r="P1952" s="4">
        <v>39.4</v>
      </c>
      <c r="Q1952" t="s">
        <v>48</v>
      </c>
      <c r="R1952">
        <v>0</v>
      </c>
      <c r="S1952" t="s">
        <v>31</v>
      </c>
      <c r="T1952">
        <v>0</v>
      </c>
      <c r="U1952">
        <v>1</v>
      </c>
      <c r="V1952" t="s">
        <v>64</v>
      </c>
      <c r="W1952" t="s">
        <v>39</v>
      </c>
      <c r="X1952" s="4">
        <v>10.6</v>
      </c>
      <c r="Y1952">
        <v>9</v>
      </c>
      <c r="Z1952" s="5">
        <v>281.37</v>
      </c>
    </row>
    <row r="1953" spans="1:26">
      <c r="A1953">
        <v>1952</v>
      </c>
      <c r="B1953">
        <v>641</v>
      </c>
      <c r="C1953" s="2">
        <v>46271</v>
      </c>
      <c r="D1953" t="s">
        <v>58</v>
      </c>
      <c r="E1953">
        <v>9</v>
      </c>
      <c r="F1953" s="3">
        <v>12.73</v>
      </c>
      <c r="G1953" t="s">
        <v>36</v>
      </c>
      <c r="H1953">
        <v>51</v>
      </c>
      <c r="I1953" t="s">
        <v>34</v>
      </c>
      <c r="J1953" s="4">
        <v>62.2</v>
      </c>
      <c r="K1953" s="4">
        <v>165.2</v>
      </c>
      <c r="L1953" s="4">
        <v>30</v>
      </c>
      <c r="M1953">
        <v>14</v>
      </c>
      <c r="N1953" t="s">
        <v>54</v>
      </c>
      <c r="O1953">
        <v>2</v>
      </c>
      <c r="P1953" s="4">
        <v>2915.2</v>
      </c>
      <c r="Q1953" t="s">
        <v>42</v>
      </c>
      <c r="R1953">
        <v>1</v>
      </c>
      <c r="S1953" t="s">
        <v>44</v>
      </c>
      <c r="T1953">
        <v>0</v>
      </c>
      <c r="U1953">
        <v>1</v>
      </c>
      <c r="V1953" t="s">
        <v>64</v>
      </c>
      <c r="W1953" t="s">
        <v>33</v>
      </c>
      <c r="X1953" s="4">
        <v>9</v>
      </c>
      <c r="Y1953">
        <v>6</v>
      </c>
      <c r="Z1953" s="5">
        <v>213.22</v>
      </c>
    </row>
    <row r="1954" spans="1:26">
      <c r="A1954">
        <v>1953</v>
      </c>
      <c r="B1954">
        <v>641</v>
      </c>
      <c r="C1954" s="2">
        <v>46271</v>
      </c>
      <c r="D1954" t="s">
        <v>58</v>
      </c>
      <c r="E1954">
        <v>9</v>
      </c>
      <c r="F1954" s="3">
        <v>12.7</v>
      </c>
      <c r="G1954" t="s">
        <v>36</v>
      </c>
      <c r="H1954">
        <v>61</v>
      </c>
      <c r="I1954" t="s">
        <v>28</v>
      </c>
      <c r="J1954" s="4">
        <v>69.7</v>
      </c>
      <c r="K1954" s="4">
        <v>232.3</v>
      </c>
      <c r="L1954" s="4">
        <v>33.9</v>
      </c>
      <c r="M1954">
        <v>17</v>
      </c>
      <c r="N1954" t="s">
        <v>54</v>
      </c>
      <c r="O1954">
        <v>2</v>
      </c>
      <c r="P1954" s="4">
        <v>2915.2</v>
      </c>
      <c r="Q1954" t="s">
        <v>42</v>
      </c>
      <c r="R1954">
        <v>1</v>
      </c>
      <c r="S1954" t="s">
        <v>44</v>
      </c>
      <c r="T1954">
        <v>0</v>
      </c>
      <c r="U1954">
        <v>1</v>
      </c>
      <c r="V1954" t="s">
        <v>64</v>
      </c>
      <c r="W1954" t="s">
        <v>33</v>
      </c>
      <c r="X1954" s="4">
        <v>6.9</v>
      </c>
      <c r="Y1954">
        <v>7</v>
      </c>
      <c r="Z1954" s="5">
        <v>297.52999999999997</v>
      </c>
    </row>
    <row r="1955" spans="1:26">
      <c r="A1955">
        <v>1954</v>
      </c>
      <c r="B1955">
        <v>642</v>
      </c>
      <c r="C1955" s="2">
        <v>46287</v>
      </c>
      <c r="D1955" t="s">
        <v>35</v>
      </c>
      <c r="E1955">
        <v>9</v>
      </c>
      <c r="F1955" s="3">
        <v>11.46</v>
      </c>
      <c r="G1955" t="s">
        <v>36</v>
      </c>
      <c r="H1955">
        <v>18</v>
      </c>
      <c r="I1955" t="s">
        <v>28</v>
      </c>
      <c r="J1955" s="4">
        <v>70.400000000000006</v>
      </c>
      <c r="K1955" s="4">
        <v>221.2</v>
      </c>
      <c r="L1955" s="4">
        <v>31.3</v>
      </c>
      <c r="M1955">
        <v>14</v>
      </c>
      <c r="N1955" t="s">
        <v>47</v>
      </c>
      <c r="O1955">
        <v>1</v>
      </c>
      <c r="P1955" s="4">
        <v>54.7</v>
      </c>
      <c r="Q1955" t="s">
        <v>30</v>
      </c>
      <c r="R1955">
        <v>1</v>
      </c>
      <c r="S1955" t="s">
        <v>44</v>
      </c>
      <c r="T1955">
        <v>0</v>
      </c>
      <c r="U1955">
        <v>0</v>
      </c>
      <c r="V1955" t="s">
        <v>32</v>
      </c>
      <c r="W1955" t="s">
        <v>43</v>
      </c>
      <c r="X1955" s="4">
        <v>7.9</v>
      </c>
      <c r="Y1955">
        <v>9</v>
      </c>
      <c r="Z1955" s="5">
        <v>148.9</v>
      </c>
    </row>
    <row r="1956" spans="1:26">
      <c r="A1956">
        <v>1955</v>
      </c>
      <c r="B1956">
        <v>643</v>
      </c>
      <c r="C1956" s="2">
        <v>46110</v>
      </c>
      <c r="D1956" t="s">
        <v>58</v>
      </c>
      <c r="E1956">
        <v>3</v>
      </c>
      <c r="F1956" s="3">
        <v>10.33</v>
      </c>
      <c r="G1956" t="s">
        <v>27</v>
      </c>
      <c r="H1956">
        <v>20</v>
      </c>
      <c r="I1956" t="s">
        <v>34</v>
      </c>
      <c r="J1956" s="4">
        <v>56.4</v>
      </c>
      <c r="K1956" s="4">
        <v>65.599999999999994</v>
      </c>
      <c r="L1956" s="4">
        <v>14.4</v>
      </c>
      <c r="M1956">
        <v>9</v>
      </c>
      <c r="N1956" t="s">
        <v>47</v>
      </c>
      <c r="O1956">
        <v>4</v>
      </c>
      <c r="P1956" s="4">
        <v>35.4</v>
      </c>
      <c r="Q1956" t="s">
        <v>30</v>
      </c>
      <c r="R1956">
        <v>0</v>
      </c>
      <c r="S1956" t="s">
        <v>44</v>
      </c>
      <c r="T1956">
        <v>0</v>
      </c>
      <c r="U1956">
        <v>0</v>
      </c>
      <c r="V1956" t="s">
        <v>45</v>
      </c>
      <c r="W1956" t="s">
        <v>43</v>
      </c>
      <c r="X1956" s="4">
        <v>7.4</v>
      </c>
      <c r="Y1956">
        <v>0</v>
      </c>
      <c r="Z1956" s="5">
        <v>146.09</v>
      </c>
    </row>
    <row r="1957" spans="1:26">
      <c r="A1957">
        <v>1956</v>
      </c>
      <c r="B1957">
        <v>643</v>
      </c>
      <c r="C1957" s="2">
        <v>46110</v>
      </c>
      <c r="D1957" t="s">
        <v>58</v>
      </c>
      <c r="E1957">
        <v>3</v>
      </c>
      <c r="F1957" s="3">
        <v>10.38</v>
      </c>
      <c r="G1957" t="s">
        <v>27</v>
      </c>
      <c r="H1957">
        <v>39</v>
      </c>
      <c r="I1957" t="s">
        <v>28</v>
      </c>
      <c r="J1957" s="4">
        <v>66.400000000000006</v>
      </c>
      <c r="K1957" s="4">
        <v>153.30000000000001</v>
      </c>
      <c r="L1957" s="4">
        <v>24.8</v>
      </c>
      <c r="M1957">
        <v>14</v>
      </c>
      <c r="N1957" t="s">
        <v>47</v>
      </c>
      <c r="O1957">
        <v>4</v>
      </c>
      <c r="P1957" s="4">
        <v>35.4</v>
      </c>
      <c r="Q1957" t="s">
        <v>30</v>
      </c>
      <c r="R1957">
        <v>0</v>
      </c>
      <c r="S1957" t="s">
        <v>44</v>
      </c>
      <c r="T1957">
        <v>0</v>
      </c>
      <c r="U1957">
        <v>0</v>
      </c>
      <c r="V1957" t="s">
        <v>45</v>
      </c>
      <c r="W1957" t="s">
        <v>43</v>
      </c>
      <c r="X1957" s="4">
        <v>5.7</v>
      </c>
      <c r="Y1957">
        <v>4</v>
      </c>
      <c r="Z1957" s="5">
        <v>115.84</v>
      </c>
    </row>
    <row r="1958" spans="1:26">
      <c r="A1958">
        <v>1957</v>
      </c>
      <c r="B1958">
        <v>643</v>
      </c>
      <c r="C1958" s="2">
        <v>46110</v>
      </c>
      <c r="D1958" t="s">
        <v>58</v>
      </c>
      <c r="E1958">
        <v>3</v>
      </c>
      <c r="F1958" s="3">
        <v>10.4</v>
      </c>
      <c r="G1958" t="s">
        <v>27</v>
      </c>
      <c r="H1958">
        <v>40</v>
      </c>
      <c r="I1958" t="s">
        <v>28</v>
      </c>
      <c r="J1958" s="4">
        <v>68.3</v>
      </c>
      <c r="K1958" s="4">
        <v>171.5</v>
      </c>
      <c r="L1958" s="4">
        <v>26</v>
      </c>
      <c r="M1958">
        <v>16</v>
      </c>
      <c r="N1958" t="s">
        <v>47</v>
      </c>
      <c r="O1958">
        <v>4</v>
      </c>
      <c r="P1958" s="4">
        <v>35.4</v>
      </c>
      <c r="Q1958" t="s">
        <v>30</v>
      </c>
      <c r="R1958">
        <v>0</v>
      </c>
      <c r="S1958" t="s">
        <v>44</v>
      </c>
      <c r="T1958">
        <v>0</v>
      </c>
      <c r="U1958">
        <v>0</v>
      </c>
      <c r="V1958" t="s">
        <v>45</v>
      </c>
      <c r="W1958" t="s">
        <v>43</v>
      </c>
      <c r="X1958" s="4">
        <v>7.2</v>
      </c>
      <c r="Y1958">
        <v>5</v>
      </c>
      <c r="Z1958" s="5">
        <v>222.53</v>
      </c>
    </row>
    <row r="1959" spans="1:26">
      <c r="A1959">
        <v>1958</v>
      </c>
      <c r="B1959">
        <v>643</v>
      </c>
      <c r="C1959" s="2">
        <v>46110</v>
      </c>
      <c r="D1959" t="s">
        <v>58</v>
      </c>
      <c r="E1959">
        <v>3</v>
      </c>
      <c r="F1959" s="3">
        <v>10.59</v>
      </c>
      <c r="G1959" t="s">
        <v>27</v>
      </c>
      <c r="H1959">
        <v>63</v>
      </c>
      <c r="I1959" t="s">
        <v>34</v>
      </c>
      <c r="J1959" s="4">
        <v>63.1</v>
      </c>
      <c r="K1959" s="4">
        <v>145.6</v>
      </c>
      <c r="L1959" s="4">
        <v>25.7</v>
      </c>
      <c r="M1959">
        <v>12</v>
      </c>
      <c r="N1959" t="s">
        <v>47</v>
      </c>
      <c r="O1959">
        <v>4</v>
      </c>
      <c r="P1959" s="4">
        <v>35.4</v>
      </c>
      <c r="Q1959" t="s">
        <v>30</v>
      </c>
      <c r="R1959">
        <v>0</v>
      </c>
      <c r="S1959" t="s">
        <v>44</v>
      </c>
      <c r="T1959">
        <v>0</v>
      </c>
      <c r="U1959">
        <v>0</v>
      </c>
      <c r="V1959" t="s">
        <v>45</v>
      </c>
      <c r="W1959" t="s">
        <v>43</v>
      </c>
      <c r="X1959" s="4">
        <v>8</v>
      </c>
      <c r="Y1959">
        <v>9</v>
      </c>
      <c r="Z1959" s="5">
        <v>180.24</v>
      </c>
    </row>
    <row r="1960" spans="1:26">
      <c r="A1960">
        <v>1959</v>
      </c>
      <c r="B1960">
        <v>644</v>
      </c>
      <c r="C1960" s="2">
        <v>46059</v>
      </c>
      <c r="D1960" t="s">
        <v>26</v>
      </c>
      <c r="E1960">
        <v>2</v>
      </c>
      <c r="F1960" s="3">
        <v>11.23</v>
      </c>
      <c r="G1960" t="s">
        <v>36</v>
      </c>
      <c r="H1960">
        <v>51</v>
      </c>
      <c r="I1960" t="s">
        <v>28</v>
      </c>
      <c r="J1960" s="4">
        <v>68</v>
      </c>
      <c r="K1960" s="4">
        <v>138.30000000000001</v>
      </c>
      <c r="L1960" s="4">
        <v>21.1</v>
      </c>
      <c r="M1960">
        <v>17</v>
      </c>
      <c r="N1960" t="s">
        <v>61</v>
      </c>
      <c r="O1960">
        <v>1</v>
      </c>
      <c r="P1960" s="4">
        <v>1215.8</v>
      </c>
      <c r="Q1960" t="s">
        <v>48</v>
      </c>
      <c r="R1960">
        <v>0</v>
      </c>
      <c r="S1960" t="s">
        <v>38</v>
      </c>
      <c r="T1960">
        <v>1</v>
      </c>
      <c r="U1960">
        <v>1</v>
      </c>
      <c r="V1960" t="s">
        <v>32</v>
      </c>
      <c r="W1960" t="s">
        <v>49</v>
      </c>
      <c r="X1960" s="4">
        <v>7.1</v>
      </c>
      <c r="Y1960">
        <v>6</v>
      </c>
      <c r="Z1960" s="5">
        <v>245.92</v>
      </c>
    </row>
    <row r="1961" spans="1:26">
      <c r="A1961">
        <v>1960</v>
      </c>
      <c r="B1961">
        <v>645</v>
      </c>
      <c r="C1961" s="2">
        <v>46239</v>
      </c>
      <c r="D1961" t="s">
        <v>52</v>
      </c>
      <c r="E1961">
        <v>8</v>
      </c>
      <c r="F1961" s="3">
        <v>9.0399999999999991</v>
      </c>
      <c r="G1961" t="s">
        <v>27</v>
      </c>
      <c r="H1961">
        <v>41</v>
      </c>
      <c r="I1961" t="s">
        <v>34</v>
      </c>
      <c r="J1961" s="4">
        <v>66.8</v>
      </c>
      <c r="K1961" s="4">
        <v>107.5</v>
      </c>
      <c r="L1961" s="4">
        <v>17</v>
      </c>
      <c r="M1961">
        <v>15</v>
      </c>
      <c r="N1961" t="s">
        <v>60</v>
      </c>
      <c r="O1961">
        <v>4</v>
      </c>
      <c r="P1961" s="4">
        <v>1087.8</v>
      </c>
      <c r="Q1961" t="s">
        <v>30</v>
      </c>
      <c r="R1961">
        <v>1</v>
      </c>
      <c r="S1961" t="s">
        <v>31</v>
      </c>
      <c r="T1961">
        <v>1</v>
      </c>
      <c r="U1961">
        <v>0</v>
      </c>
      <c r="V1961" t="s">
        <v>32</v>
      </c>
      <c r="W1961" t="s">
        <v>49</v>
      </c>
      <c r="X1961" s="4">
        <v>10.4</v>
      </c>
      <c r="Y1961">
        <v>13</v>
      </c>
      <c r="Z1961" s="5">
        <v>258</v>
      </c>
    </row>
    <row r="1962" spans="1:26">
      <c r="A1962">
        <v>1961</v>
      </c>
      <c r="B1962">
        <v>645</v>
      </c>
      <c r="C1962" s="2">
        <v>46239</v>
      </c>
      <c r="D1962" t="s">
        <v>52</v>
      </c>
      <c r="E1962">
        <v>8</v>
      </c>
      <c r="F1962" s="3">
        <v>9.0299999999999994</v>
      </c>
      <c r="G1962" t="s">
        <v>27</v>
      </c>
      <c r="H1962">
        <v>28</v>
      </c>
      <c r="I1962" t="s">
        <v>34</v>
      </c>
      <c r="J1962" s="4">
        <v>61</v>
      </c>
      <c r="K1962" s="4">
        <v>116.6</v>
      </c>
      <c r="L1962" s="4">
        <v>22.1</v>
      </c>
      <c r="M1962">
        <v>15</v>
      </c>
      <c r="N1962" t="s">
        <v>60</v>
      </c>
      <c r="O1962">
        <v>4</v>
      </c>
      <c r="P1962" s="4">
        <v>1087.8</v>
      </c>
      <c r="Q1962" t="s">
        <v>30</v>
      </c>
      <c r="R1962">
        <v>1</v>
      </c>
      <c r="S1962" t="s">
        <v>31</v>
      </c>
      <c r="T1962">
        <v>1</v>
      </c>
      <c r="U1962">
        <v>0</v>
      </c>
      <c r="V1962" t="s">
        <v>32</v>
      </c>
      <c r="W1962" t="s">
        <v>49</v>
      </c>
      <c r="X1962" s="4">
        <v>13.5</v>
      </c>
      <c r="Y1962">
        <v>9</v>
      </c>
      <c r="Z1962" s="5">
        <v>406.86</v>
      </c>
    </row>
    <row r="1963" spans="1:26">
      <c r="A1963">
        <v>1962</v>
      </c>
      <c r="B1963">
        <v>645</v>
      </c>
      <c r="C1963" s="2">
        <v>46239</v>
      </c>
      <c r="D1963" t="s">
        <v>52</v>
      </c>
      <c r="E1963">
        <v>8</v>
      </c>
      <c r="F1963" s="3">
        <v>9.0299999999999994</v>
      </c>
      <c r="G1963" t="s">
        <v>27</v>
      </c>
      <c r="H1963">
        <v>57</v>
      </c>
      <c r="I1963" t="s">
        <v>28</v>
      </c>
      <c r="J1963" s="4">
        <v>66.5</v>
      </c>
      <c r="K1963" s="4">
        <v>172.4</v>
      </c>
      <c r="L1963" s="4">
        <v>27.1</v>
      </c>
      <c r="M1963">
        <v>14</v>
      </c>
      <c r="N1963" t="s">
        <v>60</v>
      </c>
      <c r="O1963">
        <v>4</v>
      </c>
      <c r="P1963" s="4">
        <v>1087.8</v>
      </c>
      <c r="Q1963" t="s">
        <v>30</v>
      </c>
      <c r="R1963">
        <v>1</v>
      </c>
      <c r="S1963" t="s">
        <v>31</v>
      </c>
      <c r="T1963">
        <v>1</v>
      </c>
      <c r="U1963">
        <v>0</v>
      </c>
      <c r="V1963" t="s">
        <v>32</v>
      </c>
      <c r="W1963" t="s">
        <v>49</v>
      </c>
      <c r="X1963" s="4">
        <v>10.199999999999999</v>
      </c>
      <c r="Y1963">
        <v>6</v>
      </c>
      <c r="Z1963" s="5">
        <v>189.4</v>
      </c>
    </row>
    <row r="1964" spans="1:26">
      <c r="A1964">
        <v>1963</v>
      </c>
      <c r="B1964">
        <v>645</v>
      </c>
      <c r="C1964" s="2">
        <v>46239</v>
      </c>
      <c r="D1964" t="s">
        <v>52</v>
      </c>
      <c r="E1964">
        <v>8</v>
      </c>
      <c r="F1964" s="3">
        <v>9.0399999999999991</v>
      </c>
      <c r="G1964" t="s">
        <v>27</v>
      </c>
      <c r="H1964">
        <v>65</v>
      </c>
      <c r="I1964" t="s">
        <v>28</v>
      </c>
      <c r="J1964" s="4">
        <v>63.6</v>
      </c>
      <c r="K1964" s="4">
        <v>166.7</v>
      </c>
      <c r="L1964" s="4">
        <v>29</v>
      </c>
      <c r="M1964">
        <v>16</v>
      </c>
      <c r="N1964" t="s">
        <v>60</v>
      </c>
      <c r="O1964">
        <v>4</v>
      </c>
      <c r="P1964" s="4">
        <v>1087.8</v>
      </c>
      <c r="Q1964" t="s">
        <v>30</v>
      </c>
      <c r="R1964">
        <v>1</v>
      </c>
      <c r="S1964" t="s">
        <v>31</v>
      </c>
      <c r="T1964">
        <v>1</v>
      </c>
      <c r="U1964">
        <v>0</v>
      </c>
      <c r="V1964" t="s">
        <v>32</v>
      </c>
      <c r="W1964" t="s">
        <v>49</v>
      </c>
      <c r="X1964" s="4">
        <v>11.2</v>
      </c>
      <c r="Y1964">
        <v>5</v>
      </c>
      <c r="Z1964" s="5">
        <v>102.38</v>
      </c>
    </row>
    <row r="1965" spans="1:26">
      <c r="A1965">
        <v>1964</v>
      </c>
      <c r="B1965">
        <v>646</v>
      </c>
      <c r="C1965" s="2">
        <v>46258</v>
      </c>
      <c r="D1965" t="s">
        <v>46</v>
      </c>
      <c r="E1965">
        <v>8</v>
      </c>
      <c r="F1965" s="3">
        <v>7.38</v>
      </c>
      <c r="G1965" t="s">
        <v>27</v>
      </c>
      <c r="H1965">
        <v>58</v>
      </c>
      <c r="I1965" t="s">
        <v>34</v>
      </c>
      <c r="J1965" s="4">
        <v>63.1</v>
      </c>
      <c r="K1965" s="4">
        <v>121.1</v>
      </c>
      <c r="L1965" s="4">
        <v>21.4</v>
      </c>
      <c r="M1965">
        <v>17</v>
      </c>
      <c r="N1965" t="s">
        <v>47</v>
      </c>
      <c r="O1965">
        <v>2</v>
      </c>
      <c r="P1965" s="4">
        <v>2</v>
      </c>
      <c r="Q1965" t="s">
        <v>48</v>
      </c>
      <c r="R1965">
        <v>0</v>
      </c>
      <c r="S1965" t="s">
        <v>31</v>
      </c>
      <c r="T1965">
        <v>0</v>
      </c>
      <c r="U1965">
        <v>1</v>
      </c>
      <c r="V1965" t="s">
        <v>64</v>
      </c>
      <c r="W1965" t="s">
        <v>33</v>
      </c>
      <c r="X1965" s="4">
        <v>7.8</v>
      </c>
      <c r="Y1965">
        <v>5</v>
      </c>
      <c r="Z1965" s="5">
        <v>252.27</v>
      </c>
    </row>
    <row r="1966" spans="1:26">
      <c r="A1966">
        <v>1965</v>
      </c>
      <c r="B1966">
        <v>646</v>
      </c>
      <c r="C1966" s="2">
        <v>46258</v>
      </c>
      <c r="D1966" t="s">
        <v>46</v>
      </c>
      <c r="E1966">
        <v>8</v>
      </c>
      <c r="F1966" s="3">
        <v>7.39</v>
      </c>
      <c r="G1966" t="s">
        <v>27</v>
      </c>
      <c r="H1966">
        <v>3</v>
      </c>
      <c r="I1966" t="s">
        <v>34</v>
      </c>
      <c r="J1966" s="4">
        <v>47.4</v>
      </c>
      <c r="K1966" s="4">
        <v>56</v>
      </c>
      <c r="L1966" s="4">
        <v>17.7</v>
      </c>
      <c r="M1966">
        <v>16</v>
      </c>
      <c r="N1966" t="s">
        <v>47</v>
      </c>
      <c r="O1966">
        <v>2</v>
      </c>
      <c r="P1966" s="4">
        <v>2</v>
      </c>
      <c r="Q1966" t="s">
        <v>48</v>
      </c>
      <c r="R1966">
        <v>0</v>
      </c>
      <c r="S1966" t="s">
        <v>31</v>
      </c>
      <c r="T1966">
        <v>0</v>
      </c>
      <c r="U1966">
        <v>1</v>
      </c>
      <c r="V1966" t="s">
        <v>64</v>
      </c>
      <c r="W1966" t="s">
        <v>33</v>
      </c>
      <c r="X1966" s="4">
        <v>10.1</v>
      </c>
      <c r="Y1966">
        <v>11</v>
      </c>
      <c r="Z1966" s="5">
        <v>243.11</v>
      </c>
    </row>
    <row r="1967" spans="1:26">
      <c r="A1967">
        <v>1966</v>
      </c>
      <c r="B1967">
        <v>647</v>
      </c>
      <c r="C1967" s="2">
        <v>46173</v>
      </c>
      <c r="D1967" t="s">
        <v>58</v>
      </c>
      <c r="E1967">
        <v>5</v>
      </c>
      <c r="F1967" s="3">
        <v>9.77</v>
      </c>
      <c r="G1967" t="s">
        <v>27</v>
      </c>
      <c r="H1967">
        <v>58</v>
      </c>
      <c r="I1967" t="s">
        <v>28</v>
      </c>
      <c r="J1967" s="4">
        <v>74.400000000000006</v>
      </c>
      <c r="K1967" s="4">
        <v>256.60000000000002</v>
      </c>
      <c r="L1967" s="4">
        <v>32.4</v>
      </c>
      <c r="M1967">
        <v>20</v>
      </c>
      <c r="N1967" t="s">
        <v>56</v>
      </c>
      <c r="O1967">
        <v>3</v>
      </c>
      <c r="P1967" s="4">
        <v>364.9</v>
      </c>
      <c r="Q1967" t="s">
        <v>42</v>
      </c>
      <c r="R1967">
        <v>0</v>
      </c>
      <c r="S1967" t="s">
        <v>44</v>
      </c>
      <c r="T1967">
        <v>0</v>
      </c>
      <c r="U1967">
        <v>0</v>
      </c>
      <c r="V1967" t="s">
        <v>45</v>
      </c>
      <c r="W1967" t="s">
        <v>39</v>
      </c>
      <c r="X1967" s="4">
        <v>4.8</v>
      </c>
      <c r="Y1967">
        <v>5</v>
      </c>
      <c r="Z1967" s="5">
        <v>166.2</v>
      </c>
    </row>
    <row r="1968" spans="1:26">
      <c r="A1968">
        <v>1967</v>
      </c>
      <c r="B1968">
        <v>647</v>
      </c>
      <c r="C1968" s="2">
        <v>46173</v>
      </c>
      <c r="D1968" t="s">
        <v>58</v>
      </c>
      <c r="E1968">
        <v>5</v>
      </c>
      <c r="F1968" s="3">
        <v>9.7200000000000006</v>
      </c>
      <c r="G1968" t="s">
        <v>27</v>
      </c>
      <c r="H1968">
        <v>6</v>
      </c>
      <c r="I1968" t="s">
        <v>34</v>
      </c>
      <c r="J1968" s="4">
        <v>47.3</v>
      </c>
      <c r="K1968" s="4">
        <v>51.1</v>
      </c>
      <c r="L1968" s="4">
        <v>15.9</v>
      </c>
      <c r="M1968">
        <v>16</v>
      </c>
      <c r="N1968" t="s">
        <v>56</v>
      </c>
      <c r="O1968">
        <v>3</v>
      </c>
      <c r="P1968" s="4">
        <v>364.9</v>
      </c>
      <c r="Q1968" t="s">
        <v>42</v>
      </c>
      <c r="R1968">
        <v>0</v>
      </c>
      <c r="S1968" t="s">
        <v>44</v>
      </c>
      <c r="T1968">
        <v>0</v>
      </c>
      <c r="U1968">
        <v>0</v>
      </c>
      <c r="V1968" t="s">
        <v>45</v>
      </c>
      <c r="W1968" t="s">
        <v>39</v>
      </c>
      <c r="X1968" s="4">
        <v>9.1</v>
      </c>
      <c r="Y1968">
        <v>9</v>
      </c>
      <c r="Z1968" s="5">
        <v>139.47999999999999</v>
      </c>
    </row>
    <row r="1969" spans="1:26">
      <c r="A1969">
        <v>1968</v>
      </c>
      <c r="B1969">
        <v>647</v>
      </c>
      <c r="C1969" s="2">
        <v>46173</v>
      </c>
      <c r="D1969" t="s">
        <v>58</v>
      </c>
      <c r="E1969">
        <v>5</v>
      </c>
      <c r="F1969" s="3">
        <v>9.7200000000000006</v>
      </c>
      <c r="G1969" t="s">
        <v>27</v>
      </c>
      <c r="H1969">
        <v>60</v>
      </c>
      <c r="I1969" t="s">
        <v>28</v>
      </c>
      <c r="J1969" s="4">
        <v>70.099999999999994</v>
      </c>
      <c r="K1969" s="4">
        <v>153.69999999999999</v>
      </c>
      <c r="L1969" s="4">
        <v>22.2</v>
      </c>
      <c r="M1969">
        <v>18</v>
      </c>
      <c r="N1969" t="s">
        <v>56</v>
      </c>
      <c r="O1969">
        <v>3</v>
      </c>
      <c r="P1969" s="4">
        <v>364.9</v>
      </c>
      <c r="Q1969" t="s">
        <v>42</v>
      </c>
      <c r="R1969">
        <v>0</v>
      </c>
      <c r="S1969" t="s">
        <v>44</v>
      </c>
      <c r="T1969">
        <v>0</v>
      </c>
      <c r="U1969">
        <v>0</v>
      </c>
      <c r="V1969" t="s">
        <v>45</v>
      </c>
      <c r="W1969" t="s">
        <v>39</v>
      </c>
      <c r="X1969" s="4">
        <v>9.3000000000000007</v>
      </c>
      <c r="Y1969">
        <v>10</v>
      </c>
      <c r="Z1969" s="5">
        <v>192.59</v>
      </c>
    </row>
    <row r="1970" spans="1:26">
      <c r="A1970">
        <v>1969</v>
      </c>
      <c r="B1970">
        <v>648</v>
      </c>
      <c r="C1970" s="2">
        <v>46359</v>
      </c>
      <c r="D1970" t="s">
        <v>55</v>
      </c>
      <c r="E1970">
        <v>12</v>
      </c>
      <c r="F1970" s="3">
        <v>8.75</v>
      </c>
      <c r="G1970" t="s">
        <v>27</v>
      </c>
      <c r="H1970">
        <v>60</v>
      </c>
      <c r="I1970" t="s">
        <v>28</v>
      </c>
      <c r="J1970" s="4">
        <v>67.5</v>
      </c>
      <c r="K1970" s="4">
        <v>112.3</v>
      </c>
      <c r="L1970" s="4">
        <v>17</v>
      </c>
      <c r="M1970">
        <v>12</v>
      </c>
      <c r="N1970" t="s">
        <v>47</v>
      </c>
      <c r="O1970">
        <v>5</v>
      </c>
      <c r="P1970" s="4">
        <v>116.3</v>
      </c>
      <c r="Q1970" t="s">
        <v>42</v>
      </c>
      <c r="R1970">
        <v>0</v>
      </c>
      <c r="S1970" t="s">
        <v>38</v>
      </c>
      <c r="T1970">
        <v>0</v>
      </c>
      <c r="U1970">
        <v>0</v>
      </c>
      <c r="V1970" t="s">
        <v>32</v>
      </c>
      <c r="W1970" t="s">
        <v>49</v>
      </c>
      <c r="X1970" s="4">
        <v>8.8000000000000007</v>
      </c>
      <c r="Y1970">
        <v>10</v>
      </c>
      <c r="Z1970" s="5">
        <v>280.98</v>
      </c>
    </row>
    <row r="1971" spans="1:26">
      <c r="A1971">
        <v>1970</v>
      </c>
      <c r="B1971">
        <v>648</v>
      </c>
      <c r="C1971" s="2">
        <v>46359</v>
      </c>
      <c r="D1971" t="s">
        <v>55</v>
      </c>
      <c r="E1971">
        <v>12</v>
      </c>
      <c r="F1971" s="3">
        <v>8.76</v>
      </c>
      <c r="G1971" t="s">
        <v>27</v>
      </c>
      <c r="H1971">
        <v>21</v>
      </c>
      <c r="I1971" t="s">
        <v>28</v>
      </c>
      <c r="J1971" s="4">
        <v>65.599999999999994</v>
      </c>
      <c r="K1971" s="4">
        <v>185.3</v>
      </c>
      <c r="L1971" s="4">
        <v>30.2</v>
      </c>
      <c r="M1971">
        <v>10</v>
      </c>
      <c r="N1971" t="s">
        <v>47</v>
      </c>
      <c r="O1971">
        <v>5</v>
      </c>
      <c r="P1971" s="4">
        <v>116.3</v>
      </c>
      <c r="Q1971" t="s">
        <v>42</v>
      </c>
      <c r="R1971">
        <v>0</v>
      </c>
      <c r="S1971" t="s">
        <v>38</v>
      </c>
      <c r="T1971">
        <v>0</v>
      </c>
      <c r="U1971">
        <v>0</v>
      </c>
      <c r="V1971" t="s">
        <v>32</v>
      </c>
      <c r="W1971" t="s">
        <v>49</v>
      </c>
      <c r="X1971" s="4">
        <v>10.7</v>
      </c>
      <c r="Y1971">
        <v>10</v>
      </c>
      <c r="Z1971" s="5">
        <v>203.81</v>
      </c>
    </row>
    <row r="1972" spans="1:26">
      <c r="A1972">
        <v>1971</v>
      </c>
      <c r="B1972">
        <v>648</v>
      </c>
      <c r="C1972" s="2">
        <v>46359</v>
      </c>
      <c r="D1972" t="s">
        <v>55</v>
      </c>
      <c r="E1972">
        <v>12</v>
      </c>
      <c r="F1972" s="3">
        <v>8.82</v>
      </c>
      <c r="G1972" t="s">
        <v>27</v>
      </c>
      <c r="H1972">
        <v>55</v>
      </c>
      <c r="I1972" t="s">
        <v>28</v>
      </c>
      <c r="J1972" s="4">
        <v>68.599999999999994</v>
      </c>
      <c r="K1972" s="4">
        <v>203.5</v>
      </c>
      <c r="L1972" s="4">
        <v>30.3</v>
      </c>
      <c r="M1972">
        <v>14</v>
      </c>
      <c r="N1972" t="s">
        <v>47</v>
      </c>
      <c r="O1972">
        <v>5</v>
      </c>
      <c r="P1972" s="4">
        <v>116.3</v>
      </c>
      <c r="Q1972" t="s">
        <v>42</v>
      </c>
      <c r="R1972">
        <v>0</v>
      </c>
      <c r="S1972" t="s">
        <v>38</v>
      </c>
      <c r="T1972">
        <v>0</v>
      </c>
      <c r="U1972">
        <v>0</v>
      </c>
      <c r="V1972" t="s">
        <v>32</v>
      </c>
      <c r="W1972" t="s">
        <v>49</v>
      </c>
      <c r="X1972" s="4">
        <v>10.3</v>
      </c>
      <c r="Y1972">
        <v>3</v>
      </c>
      <c r="Z1972" s="5">
        <v>191.71</v>
      </c>
    </row>
    <row r="1973" spans="1:26">
      <c r="A1973">
        <v>1972</v>
      </c>
      <c r="B1973">
        <v>648</v>
      </c>
      <c r="C1973" s="2">
        <v>46359</v>
      </c>
      <c r="D1973" t="s">
        <v>55</v>
      </c>
      <c r="E1973">
        <v>12</v>
      </c>
      <c r="F1973" s="3">
        <v>8.64</v>
      </c>
      <c r="G1973" t="s">
        <v>27</v>
      </c>
      <c r="H1973">
        <v>5</v>
      </c>
      <c r="I1973" t="s">
        <v>34</v>
      </c>
      <c r="J1973" s="4">
        <v>55.5</v>
      </c>
      <c r="K1973" s="4">
        <v>92.3</v>
      </c>
      <c r="L1973" s="4">
        <v>21.2</v>
      </c>
      <c r="M1973">
        <v>13</v>
      </c>
      <c r="N1973" t="s">
        <v>47</v>
      </c>
      <c r="O1973">
        <v>5</v>
      </c>
      <c r="P1973" s="4">
        <v>116.3</v>
      </c>
      <c r="Q1973" t="s">
        <v>42</v>
      </c>
      <c r="R1973">
        <v>0</v>
      </c>
      <c r="S1973" t="s">
        <v>38</v>
      </c>
      <c r="T1973">
        <v>0</v>
      </c>
      <c r="U1973">
        <v>0</v>
      </c>
      <c r="V1973" t="s">
        <v>32</v>
      </c>
      <c r="W1973" t="s">
        <v>49</v>
      </c>
      <c r="X1973" s="4">
        <v>7.8</v>
      </c>
      <c r="Y1973">
        <v>6</v>
      </c>
      <c r="Z1973" s="5">
        <v>311.36</v>
      </c>
    </row>
    <row r="1974" spans="1:26">
      <c r="A1974">
        <v>1973</v>
      </c>
      <c r="B1974">
        <v>648</v>
      </c>
      <c r="C1974" s="2">
        <v>46359</v>
      </c>
      <c r="D1974" t="s">
        <v>55</v>
      </c>
      <c r="E1974">
        <v>12</v>
      </c>
      <c r="F1974" s="3">
        <v>8.65</v>
      </c>
      <c r="G1974" t="s">
        <v>27</v>
      </c>
      <c r="H1974">
        <v>40</v>
      </c>
      <c r="I1974" t="s">
        <v>28</v>
      </c>
      <c r="J1974" s="4">
        <v>70.5</v>
      </c>
      <c r="K1974" s="4">
        <v>213.4</v>
      </c>
      <c r="L1974" s="4">
        <v>30.1</v>
      </c>
      <c r="M1974">
        <v>14</v>
      </c>
      <c r="N1974" t="s">
        <v>47</v>
      </c>
      <c r="O1974">
        <v>5</v>
      </c>
      <c r="P1974" s="4">
        <v>116.3</v>
      </c>
      <c r="Q1974" t="s">
        <v>42</v>
      </c>
      <c r="R1974">
        <v>0</v>
      </c>
      <c r="S1974" t="s">
        <v>38</v>
      </c>
      <c r="T1974">
        <v>0</v>
      </c>
      <c r="U1974">
        <v>0</v>
      </c>
      <c r="V1974" t="s">
        <v>32</v>
      </c>
      <c r="W1974" t="s">
        <v>49</v>
      </c>
      <c r="X1974" s="4">
        <v>7.2</v>
      </c>
      <c r="Y1974">
        <v>7</v>
      </c>
      <c r="Z1974" s="5">
        <v>196.25</v>
      </c>
    </row>
    <row r="1975" spans="1:26">
      <c r="A1975">
        <v>1974</v>
      </c>
      <c r="B1975">
        <v>649</v>
      </c>
      <c r="C1975" s="2">
        <v>46039</v>
      </c>
      <c r="D1975" t="s">
        <v>40</v>
      </c>
      <c r="E1975">
        <v>1</v>
      </c>
      <c r="F1975" s="3">
        <v>7.52</v>
      </c>
      <c r="G1975" t="s">
        <v>27</v>
      </c>
      <c r="H1975">
        <v>28</v>
      </c>
      <c r="I1975" t="s">
        <v>28</v>
      </c>
      <c r="J1975" s="4">
        <v>73.599999999999994</v>
      </c>
      <c r="K1975" s="4">
        <v>184.7</v>
      </c>
      <c r="L1975" s="4">
        <v>24</v>
      </c>
      <c r="M1975">
        <v>12</v>
      </c>
      <c r="N1975" t="s">
        <v>66</v>
      </c>
      <c r="O1975">
        <v>3</v>
      </c>
      <c r="P1975" s="4">
        <v>454.4</v>
      </c>
      <c r="Q1975" t="s">
        <v>42</v>
      </c>
      <c r="R1975">
        <v>1</v>
      </c>
      <c r="S1975" t="s">
        <v>31</v>
      </c>
      <c r="T1975">
        <v>0</v>
      </c>
      <c r="U1975">
        <v>0</v>
      </c>
      <c r="V1975" t="s">
        <v>32</v>
      </c>
      <c r="W1975" t="s">
        <v>57</v>
      </c>
      <c r="X1975" s="4">
        <v>9.4</v>
      </c>
      <c r="Y1975">
        <v>10</v>
      </c>
      <c r="Z1975" s="5">
        <v>340.8</v>
      </c>
    </row>
    <row r="1976" spans="1:26">
      <c r="A1976">
        <v>1975</v>
      </c>
      <c r="B1976">
        <v>649</v>
      </c>
      <c r="C1976" s="2">
        <v>46039</v>
      </c>
      <c r="D1976" t="s">
        <v>40</v>
      </c>
      <c r="E1976">
        <v>1</v>
      </c>
      <c r="F1976" s="3">
        <v>7.59</v>
      </c>
      <c r="G1976" t="s">
        <v>27</v>
      </c>
      <c r="H1976">
        <v>47</v>
      </c>
      <c r="I1976" t="s">
        <v>28</v>
      </c>
      <c r="J1976" s="4">
        <v>66.900000000000006</v>
      </c>
      <c r="K1976" s="4">
        <v>139.80000000000001</v>
      </c>
      <c r="L1976" s="4">
        <v>21.8</v>
      </c>
      <c r="M1976">
        <v>21</v>
      </c>
      <c r="N1976" t="s">
        <v>66</v>
      </c>
      <c r="O1976">
        <v>3</v>
      </c>
      <c r="P1976" s="4">
        <v>454.4</v>
      </c>
      <c r="Q1976" t="s">
        <v>42</v>
      </c>
      <c r="R1976">
        <v>1</v>
      </c>
      <c r="S1976" t="s">
        <v>31</v>
      </c>
      <c r="T1976">
        <v>0</v>
      </c>
      <c r="U1976">
        <v>0</v>
      </c>
      <c r="V1976" t="s">
        <v>32</v>
      </c>
      <c r="W1976" t="s">
        <v>57</v>
      </c>
      <c r="X1976" s="4">
        <v>9.6999999999999993</v>
      </c>
      <c r="Y1976">
        <v>11</v>
      </c>
      <c r="Z1976" s="5">
        <v>191.08</v>
      </c>
    </row>
    <row r="1977" spans="1:26">
      <c r="A1977">
        <v>1976</v>
      </c>
      <c r="B1977">
        <v>649</v>
      </c>
      <c r="C1977" s="2">
        <v>46039</v>
      </c>
      <c r="D1977" t="s">
        <v>40</v>
      </c>
      <c r="E1977">
        <v>1</v>
      </c>
      <c r="F1977" s="3">
        <v>7.22</v>
      </c>
      <c r="G1977" t="s">
        <v>27</v>
      </c>
      <c r="H1977">
        <v>29</v>
      </c>
      <c r="I1977" t="s">
        <v>34</v>
      </c>
      <c r="J1977" s="4">
        <v>63.1</v>
      </c>
      <c r="K1977" s="4">
        <v>148.69999999999999</v>
      </c>
      <c r="L1977" s="4">
        <v>26.5</v>
      </c>
      <c r="M1977">
        <v>16</v>
      </c>
      <c r="N1977" t="s">
        <v>66</v>
      </c>
      <c r="O1977">
        <v>3</v>
      </c>
      <c r="P1977" s="4">
        <v>454.4</v>
      </c>
      <c r="Q1977" t="s">
        <v>42</v>
      </c>
      <c r="R1977">
        <v>1</v>
      </c>
      <c r="S1977" t="s">
        <v>31</v>
      </c>
      <c r="T1977">
        <v>0</v>
      </c>
      <c r="U1977">
        <v>0</v>
      </c>
      <c r="V1977" t="s">
        <v>32</v>
      </c>
      <c r="W1977" t="s">
        <v>57</v>
      </c>
      <c r="X1977" s="4">
        <v>9.5</v>
      </c>
      <c r="Y1977">
        <v>7</v>
      </c>
      <c r="Z1977" s="5">
        <v>129.72</v>
      </c>
    </row>
    <row r="1978" spans="1:26">
      <c r="A1978">
        <v>1977</v>
      </c>
      <c r="B1978">
        <v>650</v>
      </c>
      <c r="C1978" s="2">
        <v>46378</v>
      </c>
      <c r="D1978" t="s">
        <v>35</v>
      </c>
      <c r="E1978">
        <v>12</v>
      </c>
      <c r="F1978" s="3">
        <v>12.63</v>
      </c>
      <c r="G1978" t="s">
        <v>36</v>
      </c>
      <c r="H1978">
        <v>65</v>
      </c>
      <c r="I1978" t="s">
        <v>34</v>
      </c>
      <c r="J1978" s="4">
        <v>64.099999999999994</v>
      </c>
      <c r="K1978" s="4">
        <v>172.9</v>
      </c>
      <c r="L1978" s="4">
        <v>29.7</v>
      </c>
      <c r="M1978">
        <v>17</v>
      </c>
      <c r="N1978" t="s">
        <v>60</v>
      </c>
      <c r="O1978">
        <v>3</v>
      </c>
      <c r="P1978" s="4">
        <v>1219.5999999999999</v>
      </c>
      <c r="Q1978" t="s">
        <v>42</v>
      </c>
      <c r="R1978">
        <v>1</v>
      </c>
      <c r="S1978" t="s">
        <v>31</v>
      </c>
      <c r="T1978">
        <v>1</v>
      </c>
      <c r="U1978">
        <v>1</v>
      </c>
      <c r="V1978" t="s">
        <v>32</v>
      </c>
      <c r="W1978" t="s">
        <v>33</v>
      </c>
      <c r="X1978" s="4">
        <v>8</v>
      </c>
      <c r="Y1978">
        <v>5</v>
      </c>
      <c r="Z1978" s="5">
        <v>161.63</v>
      </c>
    </row>
    <row r="1979" spans="1:26">
      <c r="A1979">
        <v>1978</v>
      </c>
      <c r="B1979">
        <v>650</v>
      </c>
      <c r="C1979" s="2">
        <v>46378</v>
      </c>
      <c r="D1979" t="s">
        <v>35</v>
      </c>
      <c r="E1979">
        <v>12</v>
      </c>
      <c r="F1979" s="3">
        <v>12.75</v>
      </c>
      <c r="G1979" t="s">
        <v>36</v>
      </c>
      <c r="H1979">
        <v>50</v>
      </c>
      <c r="I1979" t="s">
        <v>28</v>
      </c>
      <c r="J1979" s="4">
        <v>72.099999999999994</v>
      </c>
      <c r="K1979" s="4">
        <v>211.8</v>
      </c>
      <c r="L1979" s="4">
        <v>28.8</v>
      </c>
      <c r="M1979">
        <v>16</v>
      </c>
      <c r="N1979" t="s">
        <v>60</v>
      </c>
      <c r="O1979">
        <v>3</v>
      </c>
      <c r="P1979" s="4">
        <v>1219.5999999999999</v>
      </c>
      <c r="Q1979" t="s">
        <v>42</v>
      </c>
      <c r="R1979">
        <v>1</v>
      </c>
      <c r="S1979" t="s">
        <v>31</v>
      </c>
      <c r="T1979">
        <v>1</v>
      </c>
      <c r="U1979">
        <v>1</v>
      </c>
      <c r="V1979" t="s">
        <v>32</v>
      </c>
      <c r="W1979" t="s">
        <v>33</v>
      </c>
      <c r="X1979" s="4">
        <v>9.9</v>
      </c>
      <c r="Y1979">
        <v>15</v>
      </c>
      <c r="Z1979" s="5">
        <v>348.82</v>
      </c>
    </row>
    <row r="1980" spans="1:26">
      <c r="A1980">
        <v>1979</v>
      </c>
      <c r="B1980">
        <v>650</v>
      </c>
      <c r="C1980" s="2">
        <v>46378</v>
      </c>
      <c r="D1980" t="s">
        <v>35</v>
      </c>
      <c r="E1980">
        <v>12</v>
      </c>
      <c r="F1980" s="3">
        <v>12.74</v>
      </c>
      <c r="G1980" t="s">
        <v>36</v>
      </c>
      <c r="H1980">
        <v>10</v>
      </c>
      <c r="I1980" t="s">
        <v>34</v>
      </c>
      <c r="J1980" s="4">
        <v>68.8</v>
      </c>
      <c r="K1980" s="4">
        <v>126</v>
      </c>
      <c r="L1980" s="4">
        <v>18.5</v>
      </c>
      <c r="M1980">
        <v>14</v>
      </c>
      <c r="N1980" t="s">
        <v>60</v>
      </c>
      <c r="O1980">
        <v>3</v>
      </c>
      <c r="P1980" s="4">
        <v>1219.5999999999999</v>
      </c>
      <c r="Q1980" t="s">
        <v>42</v>
      </c>
      <c r="R1980">
        <v>1</v>
      </c>
      <c r="S1980" t="s">
        <v>31</v>
      </c>
      <c r="T1980">
        <v>1</v>
      </c>
      <c r="U1980">
        <v>1</v>
      </c>
      <c r="V1980" t="s">
        <v>32</v>
      </c>
      <c r="W1980" t="s">
        <v>33</v>
      </c>
      <c r="X1980" s="4">
        <v>7.7</v>
      </c>
      <c r="Y1980">
        <v>4</v>
      </c>
      <c r="Z1980" s="5">
        <v>215.5</v>
      </c>
    </row>
    <row r="1981" spans="1:26">
      <c r="A1981">
        <v>1980</v>
      </c>
      <c r="B1981">
        <v>651</v>
      </c>
      <c r="C1981" s="2">
        <v>46150</v>
      </c>
      <c r="D1981" t="s">
        <v>26</v>
      </c>
      <c r="E1981">
        <v>5</v>
      </c>
      <c r="F1981" s="3">
        <v>12.71</v>
      </c>
      <c r="G1981" t="s">
        <v>36</v>
      </c>
      <c r="H1981">
        <v>10</v>
      </c>
      <c r="I1981" t="s">
        <v>34</v>
      </c>
      <c r="J1981" s="4">
        <v>66.599999999999994</v>
      </c>
      <c r="K1981" s="4">
        <v>126.3</v>
      </c>
      <c r="L1981" s="4">
        <v>20</v>
      </c>
      <c r="M1981">
        <v>13</v>
      </c>
      <c r="N1981" t="s">
        <v>66</v>
      </c>
      <c r="O1981">
        <v>1</v>
      </c>
      <c r="P1981" s="4">
        <v>537.6</v>
      </c>
      <c r="Q1981" t="s">
        <v>42</v>
      </c>
      <c r="R1981">
        <v>0</v>
      </c>
      <c r="S1981" t="s">
        <v>44</v>
      </c>
      <c r="T1981">
        <v>0</v>
      </c>
      <c r="U1981">
        <v>1</v>
      </c>
      <c r="V1981" t="s">
        <v>32</v>
      </c>
      <c r="W1981" t="s">
        <v>33</v>
      </c>
      <c r="X1981" s="4">
        <v>7.4</v>
      </c>
      <c r="Y1981">
        <v>8</v>
      </c>
      <c r="Z1981" s="5">
        <v>167.07</v>
      </c>
    </row>
    <row r="1982" spans="1:26">
      <c r="A1982">
        <v>1981</v>
      </c>
      <c r="B1982">
        <v>652</v>
      </c>
      <c r="C1982" s="2">
        <v>46237</v>
      </c>
      <c r="D1982" t="s">
        <v>46</v>
      </c>
      <c r="E1982">
        <v>8</v>
      </c>
      <c r="F1982" s="3">
        <v>11.46</v>
      </c>
      <c r="G1982" t="s">
        <v>36</v>
      </c>
      <c r="H1982">
        <v>62</v>
      </c>
      <c r="I1982" t="s">
        <v>28</v>
      </c>
      <c r="J1982" s="4">
        <v>69.5</v>
      </c>
      <c r="K1982" s="4">
        <v>187.1</v>
      </c>
      <c r="L1982" s="4">
        <v>27.4</v>
      </c>
      <c r="M1982">
        <v>21</v>
      </c>
      <c r="N1982" t="s">
        <v>29</v>
      </c>
      <c r="O1982">
        <v>4</v>
      </c>
      <c r="P1982" s="4">
        <v>2496</v>
      </c>
      <c r="Q1982" t="s">
        <v>48</v>
      </c>
      <c r="R1982">
        <v>1</v>
      </c>
      <c r="S1982" t="s">
        <v>44</v>
      </c>
      <c r="T1982">
        <v>0</v>
      </c>
      <c r="U1982">
        <v>1</v>
      </c>
      <c r="V1982" t="s">
        <v>32</v>
      </c>
      <c r="W1982" t="s">
        <v>39</v>
      </c>
      <c r="X1982" s="4">
        <v>8.6</v>
      </c>
      <c r="Y1982">
        <v>10</v>
      </c>
      <c r="Z1982" s="5">
        <v>237.97</v>
      </c>
    </row>
    <row r="1983" spans="1:26">
      <c r="A1983">
        <v>1982</v>
      </c>
      <c r="B1983">
        <v>652</v>
      </c>
      <c r="C1983" s="2">
        <v>46237</v>
      </c>
      <c r="D1983" t="s">
        <v>46</v>
      </c>
      <c r="E1983">
        <v>8</v>
      </c>
      <c r="F1983" s="3">
        <v>11.57</v>
      </c>
      <c r="G1983" t="s">
        <v>36</v>
      </c>
      <c r="H1983">
        <v>58</v>
      </c>
      <c r="I1983" t="s">
        <v>28</v>
      </c>
      <c r="J1983" s="4">
        <v>67.599999999999994</v>
      </c>
      <c r="K1983" s="4">
        <v>181.8</v>
      </c>
      <c r="L1983" s="4">
        <v>28</v>
      </c>
      <c r="M1983">
        <v>13</v>
      </c>
      <c r="N1983" t="s">
        <v>29</v>
      </c>
      <c r="O1983">
        <v>4</v>
      </c>
      <c r="P1983" s="4">
        <v>2496</v>
      </c>
      <c r="Q1983" t="s">
        <v>48</v>
      </c>
      <c r="R1983">
        <v>1</v>
      </c>
      <c r="S1983" t="s">
        <v>44</v>
      </c>
      <c r="T1983">
        <v>0</v>
      </c>
      <c r="U1983">
        <v>1</v>
      </c>
      <c r="V1983" t="s">
        <v>32</v>
      </c>
      <c r="W1983" t="s">
        <v>39</v>
      </c>
      <c r="X1983" s="4">
        <v>5.9</v>
      </c>
      <c r="Y1983">
        <v>8</v>
      </c>
      <c r="Z1983" s="5">
        <v>285.75</v>
      </c>
    </row>
    <row r="1984" spans="1:26">
      <c r="A1984">
        <v>1983</v>
      </c>
      <c r="B1984">
        <v>652</v>
      </c>
      <c r="C1984" s="2">
        <v>46237</v>
      </c>
      <c r="D1984" t="s">
        <v>46</v>
      </c>
      <c r="E1984">
        <v>8</v>
      </c>
      <c r="F1984" s="3">
        <v>11.61</v>
      </c>
      <c r="G1984" t="s">
        <v>36</v>
      </c>
      <c r="H1984">
        <v>39</v>
      </c>
      <c r="I1984" t="s">
        <v>28</v>
      </c>
      <c r="J1984" s="4">
        <v>65.400000000000006</v>
      </c>
      <c r="K1984" s="4">
        <v>152</v>
      </c>
      <c r="L1984" s="4">
        <v>25.2</v>
      </c>
      <c r="M1984">
        <v>18</v>
      </c>
      <c r="N1984" t="s">
        <v>29</v>
      </c>
      <c r="O1984">
        <v>4</v>
      </c>
      <c r="P1984" s="4">
        <v>2496</v>
      </c>
      <c r="Q1984" t="s">
        <v>48</v>
      </c>
      <c r="R1984">
        <v>1</v>
      </c>
      <c r="S1984" t="s">
        <v>44</v>
      </c>
      <c r="T1984">
        <v>0</v>
      </c>
      <c r="U1984">
        <v>1</v>
      </c>
      <c r="V1984" t="s">
        <v>32</v>
      </c>
      <c r="W1984" t="s">
        <v>39</v>
      </c>
      <c r="X1984" s="4">
        <v>9.9</v>
      </c>
      <c r="Y1984">
        <v>6</v>
      </c>
      <c r="Z1984" s="5">
        <v>289.66000000000003</v>
      </c>
    </row>
    <row r="1985" spans="1:26">
      <c r="A1985">
        <v>1984</v>
      </c>
      <c r="B1985">
        <v>652</v>
      </c>
      <c r="C1985" s="2">
        <v>46237</v>
      </c>
      <c r="D1985" t="s">
        <v>46</v>
      </c>
      <c r="E1985">
        <v>8</v>
      </c>
      <c r="F1985" s="3">
        <v>11.72</v>
      </c>
      <c r="G1985" t="s">
        <v>36</v>
      </c>
      <c r="H1985">
        <v>20</v>
      </c>
      <c r="I1985" t="s">
        <v>28</v>
      </c>
      <c r="J1985" s="4">
        <v>69.599999999999994</v>
      </c>
      <c r="K1985" s="4">
        <v>209.2</v>
      </c>
      <c r="L1985" s="4">
        <v>30.1</v>
      </c>
      <c r="M1985">
        <v>16</v>
      </c>
      <c r="N1985" t="s">
        <v>29</v>
      </c>
      <c r="O1985">
        <v>4</v>
      </c>
      <c r="P1985" s="4">
        <v>2496</v>
      </c>
      <c r="Q1985" t="s">
        <v>48</v>
      </c>
      <c r="R1985">
        <v>1</v>
      </c>
      <c r="S1985" t="s">
        <v>44</v>
      </c>
      <c r="T1985">
        <v>0</v>
      </c>
      <c r="U1985">
        <v>1</v>
      </c>
      <c r="V1985" t="s">
        <v>32</v>
      </c>
      <c r="W1985" t="s">
        <v>39</v>
      </c>
      <c r="X1985" s="4">
        <v>8.5</v>
      </c>
      <c r="Y1985">
        <v>6</v>
      </c>
      <c r="Z1985" s="5">
        <v>259.64999999999998</v>
      </c>
    </row>
    <row r="1986" spans="1:26">
      <c r="A1986">
        <v>1985</v>
      </c>
      <c r="B1986">
        <v>653</v>
      </c>
      <c r="C1986" s="2">
        <v>46323</v>
      </c>
      <c r="D1986" t="s">
        <v>52</v>
      </c>
      <c r="E1986">
        <v>10</v>
      </c>
      <c r="F1986" s="3">
        <v>10.14</v>
      </c>
      <c r="G1986" t="s">
        <v>27</v>
      </c>
      <c r="H1986">
        <v>18</v>
      </c>
      <c r="I1986" t="s">
        <v>28</v>
      </c>
      <c r="J1986" s="4">
        <v>75.2</v>
      </c>
      <c r="K1986" s="4">
        <v>208.6</v>
      </c>
      <c r="L1986" s="4">
        <v>26.1</v>
      </c>
      <c r="M1986">
        <v>16</v>
      </c>
      <c r="N1986" t="s">
        <v>53</v>
      </c>
      <c r="O1986">
        <v>5</v>
      </c>
      <c r="P1986" s="4">
        <v>965.5</v>
      </c>
      <c r="Q1986" t="s">
        <v>48</v>
      </c>
      <c r="R1986">
        <v>0</v>
      </c>
      <c r="S1986" t="s">
        <v>31</v>
      </c>
      <c r="T1986">
        <v>1</v>
      </c>
      <c r="U1986">
        <v>0</v>
      </c>
      <c r="V1986" t="s">
        <v>32</v>
      </c>
      <c r="W1986" t="s">
        <v>49</v>
      </c>
      <c r="X1986" s="4">
        <v>9.1999999999999993</v>
      </c>
      <c r="Y1986">
        <v>2</v>
      </c>
      <c r="Z1986" s="5">
        <v>239.07</v>
      </c>
    </row>
    <row r="1987" spans="1:26">
      <c r="A1987">
        <v>1986</v>
      </c>
      <c r="B1987">
        <v>653</v>
      </c>
      <c r="C1987" s="2">
        <v>46323</v>
      </c>
      <c r="D1987" t="s">
        <v>52</v>
      </c>
      <c r="E1987">
        <v>10</v>
      </c>
      <c r="F1987" s="3">
        <v>10.11</v>
      </c>
      <c r="G1987" t="s">
        <v>27</v>
      </c>
      <c r="H1987">
        <v>23</v>
      </c>
      <c r="I1987" t="s">
        <v>28</v>
      </c>
      <c r="J1987" s="4">
        <v>69.8</v>
      </c>
      <c r="K1987" s="4">
        <v>207.4</v>
      </c>
      <c r="L1987" s="4">
        <v>29.8</v>
      </c>
      <c r="M1987">
        <v>18</v>
      </c>
      <c r="N1987" t="s">
        <v>53</v>
      </c>
      <c r="O1987">
        <v>5</v>
      </c>
      <c r="P1987" s="4">
        <v>965.5</v>
      </c>
      <c r="Q1987" t="s">
        <v>48</v>
      </c>
      <c r="R1987">
        <v>0</v>
      </c>
      <c r="S1987" t="s">
        <v>31</v>
      </c>
      <c r="T1987">
        <v>1</v>
      </c>
      <c r="U1987">
        <v>0</v>
      </c>
      <c r="V1987" t="s">
        <v>32</v>
      </c>
      <c r="W1987" t="s">
        <v>49</v>
      </c>
      <c r="X1987" s="4">
        <v>7.3</v>
      </c>
      <c r="Y1987">
        <v>4</v>
      </c>
      <c r="Z1987" s="5">
        <v>396.16</v>
      </c>
    </row>
    <row r="1988" spans="1:26">
      <c r="A1988">
        <v>1987</v>
      </c>
      <c r="B1988">
        <v>653</v>
      </c>
      <c r="C1988" s="2">
        <v>46323</v>
      </c>
      <c r="D1988" t="s">
        <v>52</v>
      </c>
      <c r="E1988">
        <v>10</v>
      </c>
      <c r="F1988" s="3">
        <v>10.11</v>
      </c>
      <c r="G1988" t="s">
        <v>27</v>
      </c>
      <c r="H1988">
        <v>6</v>
      </c>
      <c r="I1988" t="s">
        <v>28</v>
      </c>
      <c r="J1988" s="4">
        <v>59.9</v>
      </c>
      <c r="K1988" s="4">
        <v>107.7</v>
      </c>
      <c r="L1988" s="4">
        <v>21.1</v>
      </c>
      <c r="M1988">
        <v>15</v>
      </c>
      <c r="N1988" t="s">
        <v>53</v>
      </c>
      <c r="O1988">
        <v>5</v>
      </c>
      <c r="P1988" s="4">
        <v>965.5</v>
      </c>
      <c r="Q1988" t="s">
        <v>48</v>
      </c>
      <c r="R1988">
        <v>0</v>
      </c>
      <c r="S1988" t="s">
        <v>31</v>
      </c>
      <c r="T1988">
        <v>1</v>
      </c>
      <c r="U1988">
        <v>0</v>
      </c>
      <c r="V1988" t="s">
        <v>32</v>
      </c>
      <c r="W1988" t="s">
        <v>49</v>
      </c>
      <c r="X1988" s="4">
        <v>7.4</v>
      </c>
      <c r="Y1988">
        <v>9</v>
      </c>
      <c r="Z1988" s="5">
        <v>201.82</v>
      </c>
    </row>
    <row r="1989" spans="1:26">
      <c r="A1989">
        <v>1988</v>
      </c>
      <c r="B1989">
        <v>653</v>
      </c>
      <c r="C1989" s="2">
        <v>46323</v>
      </c>
      <c r="D1989" t="s">
        <v>52</v>
      </c>
      <c r="E1989">
        <v>10</v>
      </c>
      <c r="F1989" s="3">
        <v>10.1</v>
      </c>
      <c r="G1989" t="s">
        <v>27</v>
      </c>
      <c r="H1989">
        <v>18</v>
      </c>
      <c r="I1989" t="s">
        <v>34</v>
      </c>
      <c r="J1989" s="4">
        <v>61.6</v>
      </c>
      <c r="K1989" s="4">
        <v>163</v>
      </c>
      <c r="L1989" s="4">
        <v>30</v>
      </c>
      <c r="M1989">
        <v>17</v>
      </c>
      <c r="N1989" t="s">
        <v>53</v>
      </c>
      <c r="O1989">
        <v>5</v>
      </c>
      <c r="P1989" s="4">
        <v>965.5</v>
      </c>
      <c r="Q1989" t="s">
        <v>48</v>
      </c>
      <c r="R1989">
        <v>0</v>
      </c>
      <c r="S1989" t="s">
        <v>31</v>
      </c>
      <c r="T1989">
        <v>1</v>
      </c>
      <c r="U1989">
        <v>0</v>
      </c>
      <c r="V1989" t="s">
        <v>32</v>
      </c>
      <c r="W1989" t="s">
        <v>49</v>
      </c>
      <c r="X1989" s="4">
        <v>7.8</v>
      </c>
      <c r="Y1989">
        <v>6</v>
      </c>
      <c r="Z1989" s="5">
        <v>286.17</v>
      </c>
    </row>
    <row r="1990" spans="1:26">
      <c r="A1990">
        <v>1989</v>
      </c>
      <c r="B1990">
        <v>653</v>
      </c>
      <c r="C1990" s="2">
        <v>46323</v>
      </c>
      <c r="D1990" t="s">
        <v>52</v>
      </c>
      <c r="E1990">
        <v>10</v>
      </c>
      <c r="F1990" s="3">
        <v>10.14</v>
      </c>
      <c r="G1990" t="s">
        <v>27</v>
      </c>
      <c r="H1990">
        <v>42</v>
      </c>
      <c r="I1990" t="s">
        <v>28</v>
      </c>
      <c r="J1990" s="4">
        <v>69.099999999999994</v>
      </c>
      <c r="K1990" s="4">
        <v>199.9</v>
      </c>
      <c r="L1990" s="4">
        <v>29.6</v>
      </c>
      <c r="M1990">
        <v>13</v>
      </c>
      <c r="N1990" t="s">
        <v>53</v>
      </c>
      <c r="O1990">
        <v>5</v>
      </c>
      <c r="P1990" s="4">
        <v>965.5</v>
      </c>
      <c r="Q1990" t="s">
        <v>48</v>
      </c>
      <c r="R1990">
        <v>0</v>
      </c>
      <c r="S1990" t="s">
        <v>31</v>
      </c>
      <c r="T1990">
        <v>1</v>
      </c>
      <c r="U1990">
        <v>0</v>
      </c>
      <c r="V1990" t="s">
        <v>32</v>
      </c>
      <c r="W1990" t="s">
        <v>49</v>
      </c>
      <c r="X1990" s="4">
        <v>8.6</v>
      </c>
      <c r="Y1990">
        <v>6</v>
      </c>
      <c r="Z1990" s="5">
        <v>232.83</v>
      </c>
    </row>
    <row r="1991" spans="1:26">
      <c r="A1991">
        <v>1990</v>
      </c>
      <c r="B1991">
        <v>654</v>
      </c>
      <c r="C1991" s="2">
        <v>46356</v>
      </c>
      <c r="D1991" t="s">
        <v>46</v>
      </c>
      <c r="E1991">
        <v>11</v>
      </c>
      <c r="F1991" s="3">
        <v>10.98</v>
      </c>
      <c r="G1991" t="s">
        <v>27</v>
      </c>
      <c r="H1991">
        <v>18</v>
      </c>
      <c r="I1991" t="s">
        <v>28</v>
      </c>
      <c r="J1991" s="4">
        <v>70.5</v>
      </c>
      <c r="K1991" s="4">
        <v>169.6</v>
      </c>
      <c r="L1991" s="4">
        <v>24.3</v>
      </c>
      <c r="M1991">
        <v>17</v>
      </c>
      <c r="N1991" t="s">
        <v>54</v>
      </c>
      <c r="O1991">
        <v>2</v>
      </c>
      <c r="P1991" s="4">
        <v>3039.6</v>
      </c>
      <c r="Q1991" t="s">
        <v>48</v>
      </c>
      <c r="R1991">
        <v>1</v>
      </c>
      <c r="S1991" t="s">
        <v>44</v>
      </c>
      <c r="T1991">
        <v>1</v>
      </c>
      <c r="U1991">
        <v>0</v>
      </c>
      <c r="V1991" t="s">
        <v>45</v>
      </c>
      <c r="W1991" t="s">
        <v>43</v>
      </c>
      <c r="X1991" s="4">
        <v>11.3</v>
      </c>
      <c r="Y1991">
        <v>13</v>
      </c>
      <c r="Z1991" s="5">
        <v>369.16</v>
      </c>
    </row>
    <row r="1992" spans="1:26">
      <c r="A1992">
        <v>1991</v>
      </c>
      <c r="B1992">
        <v>654</v>
      </c>
      <c r="C1992" s="2">
        <v>46356</v>
      </c>
      <c r="D1992" t="s">
        <v>46</v>
      </c>
      <c r="E1992">
        <v>11</v>
      </c>
      <c r="F1992" s="3">
        <v>10.98</v>
      </c>
      <c r="G1992" t="s">
        <v>27</v>
      </c>
      <c r="H1992">
        <v>32</v>
      </c>
      <c r="I1992" t="s">
        <v>28</v>
      </c>
      <c r="J1992" s="4">
        <v>67.7</v>
      </c>
      <c r="K1992" s="4">
        <v>154.69999999999999</v>
      </c>
      <c r="L1992" s="4">
        <v>23.5</v>
      </c>
      <c r="M1992">
        <v>16</v>
      </c>
      <c r="N1992" t="s">
        <v>54</v>
      </c>
      <c r="O1992">
        <v>2</v>
      </c>
      <c r="P1992" s="4">
        <v>3039.6</v>
      </c>
      <c r="Q1992" t="s">
        <v>48</v>
      </c>
      <c r="R1992">
        <v>1</v>
      </c>
      <c r="S1992" t="s">
        <v>44</v>
      </c>
      <c r="T1992">
        <v>1</v>
      </c>
      <c r="U1992">
        <v>0</v>
      </c>
      <c r="V1992" t="s">
        <v>45</v>
      </c>
      <c r="W1992" t="s">
        <v>43</v>
      </c>
      <c r="X1992" s="4">
        <v>6.6</v>
      </c>
      <c r="Y1992">
        <v>8</v>
      </c>
      <c r="Z1992" s="5">
        <v>227.82</v>
      </c>
    </row>
    <row r="1993" spans="1:26">
      <c r="A1993">
        <v>1992</v>
      </c>
      <c r="B1993">
        <v>655</v>
      </c>
      <c r="C1993" s="2">
        <v>46263</v>
      </c>
      <c r="D1993" t="s">
        <v>40</v>
      </c>
      <c r="E1993">
        <v>8</v>
      </c>
      <c r="F1993" s="3">
        <v>9.25</v>
      </c>
      <c r="G1993" t="s">
        <v>27</v>
      </c>
      <c r="H1993">
        <v>3</v>
      </c>
      <c r="I1993" t="s">
        <v>34</v>
      </c>
      <c r="J1993" s="4">
        <v>45.5</v>
      </c>
      <c r="K1993" s="4">
        <v>59.8</v>
      </c>
      <c r="L1993" s="4">
        <v>20.399999999999999</v>
      </c>
      <c r="M1993">
        <v>17</v>
      </c>
      <c r="N1993" t="s">
        <v>47</v>
      </c>
      <c r="O1993">
        <v>5</v>
      </c>
      <c r="P1993" s="4">
        <v>107.8</v>
      </c>
      <c r="Q1993" t="s">
        <v>48</v>
      </c>
      <c r="R1993">
        <v>0</v>
      </c>
      <c r="S1993" t="s">
        <v>44</v>
      </c>
      <c r="T1993">
        <v>0</v>
      </c>
      <c r="U1993">
        <v>1</v>
      </c>
      <c r="V1993" t="s">
        <v>32</v>
      </c>
      <c r="W1993" t="s">
        <v>49</v>
      </c>
      <c r="X1993" s="4">
        <v>7</v>
      </c>
      <c r="Y1993">
        <v>7</v>
      </c>
      <c r="Z1993" s="5">
        <v>204.61</v>
      </c>
    </row>
    <row r="1994" spans="1:26">
      <c r="A1994">
        <v>1993</v>
      </c>
      <c r="B1994">
        <v>655</v>
      </c>
      <c r="C1994" s="2">
        <v>46263</v>
      </c>
      <c r="D1994" t="s">
        <v>40</v>
      </c>
      <c r="E1994">
        <v>8</v>
      </c>
      <c r="F1994" s="3">
        <v>9.08</v>
      </c>
      <c r="G1994" t="s">
        <v>27</v>
      </c>
      <c r="H1994">
        <v>18</v>
      </c>
      <c r="I1994" t="s">
        <v>28</v>
      </c>
      <c r="J1994" s="4">
        <v>71</v>
      </c>
      <c r="K1994" s="4">
        <v>224.6</v>
      </c>
      <c r="L1994" s="4">
        <v>31.5</v>
      </c>
      <c r="M1994">
        <v>14</v>
      </c>
      <c r="N1994" t="s">
        <v>47</v>
      </c>
      <c r="O1994">
        <v>5</v>
      </c>
      <c r="P1994" s="4">
        <v>107.8</v>
      </c>
      <c r="Q1994" t="s">
        <v>48</v>
      </c>
      <c r="R1994">
        <v>0</v>
      </c>
      <c r="S1994" t="s">
        <v>44</v>
      </c>
      <c r="T1994">
        <v>0</v>
      </c>
      <c r="U1994">
        <v>1</v>
      </c>
      <c r="V1994" t="s">
        <v>32</v>
      </c>
      <c r="W1994" t="s">
        <v>49</v>
      </c>
      <c r="X1994" s="4">
        <v>10.4</v>
      </c>
      <c r="Y1994">
        <v>11</v>
      </c>
      <c r="Z1994" s="5">
        <v>260.60000000000002</v>
      </c>
    </row>
    <row r="1995" spans="1:26">
      <c r="A1995">
        <v>1994</v>
      </c>
      <c r="B1995">
        <v>655</v>
      </c>
      <c r="C1995" s="2">
        <v>46263</v>
      </c>
      <c r="D1995" t="s">
        <v>40</v>
      </c>
      <c r="E1995">
        <v>8</v>
      </c>
      <c r="F1995" s="3">
        <v>9.23</v>
      </c>
      <c r="G1995" t="s">
        <v>27</v>
      </c>
      <c r="H1995">
        <v>18</v>
      </c>
      <c r="I1995" t="s">
        <v>34</v>
      </c>
      <c r="J1995" s="4">
        <v>62.4</v>
      </c>
      <c r="K1995" s="4">
        <v>145</v>
      </c>
      <c r="L1995" s="4">
        <v>25.9</v>
      </c>
      <c r="M1995">
        <v>15</v>
      </c>
      <c r="N1995" t="s">
        <v>47</v>
      </c>
      <c r="O1995">
        <v>5</v>
      </c>
      <c r="P1995" s="4">
        <v>107.8</v>
      </c>
      <c r="Q1995" t="s">
        <v>48</v>
      </c>
      <c r="R1995">
        <v>0</v>
      </c>
      <c r="S1995" t="s">
        <v>44</v>
      </c>
      <c r="T1995">
        <v>0</v>
      </c>
      <c r="U1995">
        <v>1</v>
      </c>
      <c r="V1995" t="s">
        <v>32</v>
      </c>
      <c r="W1995" t="s">
        <v>49</v>
      </c>
      <c r="X1995" s="4">
        <v>10.5</v>
      </c>
      <c r="Y1995">
        <v>9</v>
      </c>
      <c r="Z1995" s="5">
        <v>418.01</v>
      </c>
    </row>
    <row r="1996" spans="1:26">
      <c r="A1996">
        <v>1995</v>
      </c>
      <c r="B1996">
        <v>655</v>
      </c>
      <c r="C1996" s="2">
        <v>46263</v>
      </c>
      <c r="D1996" t="s">
        <v>40</v>
      </c>
      <c r="E1996">
        <v>8</v>
      </c>
      <c r="F1996" s="3">
        <v>9.41</v>
      </c>
      <c r="G1996" t="s">
        <v>27</v>
      </c>
      <c r="H1996">
        <v>50</v>
      </c>
      <c r="I1996" t="s">
        <v>34</v>
      </c>
      <c r="J1996" s="4">
        <v>66.8</v>
      </c>
      <c r="K1996" s="4">
        <v>156.69999999999999</v>
      </c>
      <c r="L1996" s="4">
        <v>25</v>
      </c>
      <c r="M1996">
        <v>18</v>
      </c>
      <c r="N1996" t="s">
        <v>47</v>
      </c>
      <c r="O1996">
        <v>5</v>
      </c>
      <c r="P1996" s="4">
        <v>107.8</v>
      </c>
      <c r="Q1996" t="s">
        <v>48</v>
      </c>
      <c r="R1996">
        <v>0</v>
      </c>
      <c r="S1996" t="s">
        <v>44</v>
      </c>
      <c r="T1996">
        <v>0</v>
      </c>
      <c r="U1996">
        <v>1</v>
      </c>
      <c r="V1996" t="s">
        <v>32</v>
      </c>
      <c r="W1996" t="s">
        <v>49</v>
      </c>
      <c r="X1996" s="4">
        <v>9.8000000000000007</v>
      </c>
      <c r="Y1996">
        <v>8</v>
      </c>
      <c r="Z1996" s="5">
        <v>323.45999999999998</v>
      </c>
    </row>
    <row r="1997" spans="1:26">
      <c r="A1997">
        <v>1996</v>
      </c>
      <c r="B1997">
        <v>655</v>
      </c>
      <c r="C1997" s="2">
        <v>46263</v>
      </c>
      <c r="D1997" t="s">
        <v>40</v>
      </c>
      <c r="E1997">
        <v>8</v>
      </c>
      <c r="F1997" s="3">
        <v>9.36</v>
      </c>
      <c r="G1997" t="s">
        <v>27</v>
      </c>
      <c r="H1997">
        <v>59</v>
      </c>
      <c r="I1997" t="s">
        <v>28</v>
      </c>
      <c r="J1997" s="4">
        <v>65.3</v>
      </c>
      <c r="K1997" s="4">
        <v>179.1</v>
      </c>
      <c r="L1997" s="4">
        <v>29.6</v>
      </c>
      <c r="M1997">
        <v>19</v>
      </c>
      <c r="N1997" t="s">
        <v>47</v>
      </c>
      <c r="O1997">
        <v>5</v>
      </c>
      <c r="P1997" s="4">
        <v>107.8</v>
      </c>
      <c r="Q1997" t="s">
        <v>48</v>
      </c>
      <c r="R1997">
        <v>0</v>
      </c>
      <c r="S1997" t="s">
        <v>44</v>
      </c>
      <c r="T1997">
        <v>0</v>
      </c>
      <c r="U1997">
        <v>1</v>
      </c>
      <c r="V1997" t="s">
        <v>32</v>
      </c>
      <c r="W1997" t="s">
        <v>49</v>
      </c>
      <c r="X1997" s="4">
        <v>6.7</v>
      </c>
      <c r="Y1997">
        <v>2</v>
      </c>
      <c r="Z1997" s="5">
        <v>224.17</v>
      </c>
    </row>
    <row r="1998" spans="1:26">
      <c r="A1998">
        <v>1997</v>
      </c>
      <c r="B1998">
        <v>656</v>
      </c>
      <c r="C1998" s="2">
        <v>46351</v>
      </c>
      <c r="D1998" t="s">
        <v>52</v>
      </c>
      <c r="E1998">
        <v>11</v>
      </c>
      <c r="F1998" s="3">
        <v>8.77</v>
      </c>
      <c r="G1998" t="s">
        <v>27</v>
      </c>
      <c r="H1998">
        <v>52</v>
      </c>
      <c r="I1998" t="s">
        <v>34</v>
      </c>
      <c r="J1998" s="4">
        <v>60.3</v>
      </c>
      <c r="K1998" s="4">
        <v>141.9</v>
      </c>
      <c r="L1998" s="4">
        <v>27.3</v>
      </c>
      <c r="M1998">
        <v>13</v>
      </c>
      <c r="N1998" t="s">
        <v>47</v>
      </c>
      <c r="O1998">
        <v>4</v>
      </c>
      <c r="P1998" s="4">
        <v>105.2</v>
      </c>
      <c r="Q1998" t="s">
        <v>30</v>
      </c>
      <c r="R1998">
        <v>0</v>
      </c>
      <c r="S1998" t="s">
        <v>44</v>
      </c>
      <c r="T1998">
        <v>0</v>
      </c>
      <c r="U1998">
        <v>0</v>
      </c>
      <c r="V1998" t="s">
        <v>32</v>
      </c>
      <c r="W1998" t="s">
        <v>39</v>
      </c>
      <c r="X1998" s="4">
        <v>9.1999999999999993</v>
      </c>
      <c r="Y1998">
        <v>8</v>
      </c>
      <c r="Z1998" s="5">
        <v>213.68</v>
      </c>
    </row>
    <row r="1999" spans="1:26">
      <c r="A1999">
        <v>1998</v>
      </c>
      <c r="B1999">
        <v>656</v>
      </c>
      <c r="C1999" s="2">
        <v>46351</v>
      </c>
      <c r="D1999" t="s">
        <v>52</v>
      </c>
      <c r="E1999">
        <v>11</v>
      </c>
      <c r="F1999" s="3">
        <v>8.98</v>
      </c>
      <c r="G1999" t="s">
        <v>27</v>
      </c>
      <c r="H1999">
        <v>70</v>
      </c>
      <c r="I1999" t="s">
        <v>34</v>
      </c>
      <c r="J1999" s="4">
        <v>61.9</v>
      </c>
      <c r="K1999" s="4">
        <v>111.3</v>
      </c>
      <c r="L1999" s="4">
        <v>20.399999999999999</v>
      </c>
      <c r="M1999">
        <v>13</v>
      </c>
      <c r="N1999" t="s">
        <v>47</v>
      </c>
      <c r="O1999">
        <v>4</v>
      </c>
      <c r="P1999" s="4">
        <v>105.2</v>
      </c>
      <c r="Q1999" t="s">
        <v>30</v>
      </c>
      <c r="R1999">
        <v>0</v>
      </c>
      <c r="S1999" t="s">
        <v>44</v>
      </c>
      <c r="T1999">
        <v>0</v>
      </c>
      <c r="U1999">
        <v>0</v>
      </c>
      <c r="V1999" t="s">
        <v>32</v>
      </c>
      <c r="W1999" t="s">
        <v>39</v>
      </c>
      <c r="X1999" s="4">
        <v>9.4</v>
      </c>
      <c r="Y1999">
        <v>8</v>
      </c>
      <c r="Z1999" s="5">
        <v>236.63</v>
      </c>
    </row>
    <row r="2000" spans="1:26">
      <c r="A2000">
        <v>1999</v>
      </c>
      <c r="B2000">
        <v>656</v>
      </c>
      <c r="C2000" s="2">
        <v>46351</v>
      </c>
      <c r="D2000" t="s">
        <v>52</v>
      </c>
      <c r="E2000">
        <v>11</v>
      </c>
      <c r="F2000" s="3">
        <v>8.69</v>
      </c>
      <c r="G2000" t="s">
        <v>27</v>
      </c>
      <c r="H2000">
        <v>36</v>
      </c>
      <c r="I2000" t="s">
        <v>28</v>
      </c>
      <c r="J2000" s="4">
        <v>75.2</v>
      </c>
      <c r="K2000" s="4">
        <v>210.5</v>
      </c>
      <c r="L2000" s="4">
        <v>26.1</v>
      </c>
      <c r="M2000">
        <v>12</v>
      </c>
      <c r="N2000" t="s">
        <v>47</v>
      </c>
      <c r="O2000">
        <v>4</v>
      </c>
      <c r="P2000" s="4">
        <v>105.2</v>
      </c>
      <c r="Q2000" t="s">
        <v>30</v>
      </c>
      <c r="R2000">
        <v>0</v>
      </c>
      <c r="S2000" t="s">
        <v>44</v>
      </c>
      <c r="T2000">
        <v>0</v>
      </c>
      <c r="U2000">
        <v>0</v>
      </c>
      <c r="V2000" t="s">
        <v>32</v>
      </c>
      <c r="W2000" t="s">
        <v>39</v>
      </c>
      <c r="X2000" s="4">
        <v>10.6</v>
      </c>
      <c r="Y2000">
        <v>4</v>
      </c>
      <c r="Z2000" s="5">
        <v>174.4</v>
      </c>
    </row>
    <row r="2001" spans="1:26">
      <c r="A2001">
        <v>2000</v>
      </c>
      <c r="B2001">
        <v>656</v>
      </c>
      <c r="C2001" s="2">
        <v>46351</v>
      </c>
      <c r="D2001" t="s">
        <v>52</v>
      </c>
      <c r="E2001">
        <v>11</v>
      </c>
      <c r="F2001" s="3">
        <v>8.84</v>
      </c>
      <c r="G2001" t="s">
        <v>27</v>
      </c>
      <c r="H2001">
        <v>45</v>
      </c>
      <c r="I2001" t="s">
        <v>28</v>
      </c>
      <c r="J2001" s="4">
        <v>71.5</v>
      </c>
      <c r="K2001" s="4">
        <v>145.9</v>
      </c>
      <c r="L2001" s="4">
        <v>19.8</v>
      </c>
      <c r="M2001">
        <v>16</v>
      </c>
      <c r="N2001" t="s">
        <v>47</v>
      </c>
      <c r="O2001">
        <v>4</v>
      </c>
      <c r="P2001" s="4">
        <v>105.2</v>
      </c>
      <c r="Q2001" t="s">
        <v>30</v>
      </c>
      <c r="R2001">
        <v>0</v>
      </c>
      <c r="S2001" t="s">
        <v>44</v>
      </c>
      <c r="T2001">
        <v>0</v>
      </c>
      <c r="U2001">
        <v>0</v>
      </c>
      <c r="V2001" t="s">
        <v>32</v>
      </c>
      <c r="W2001" t="s">
        <v>39</v>
      </c>
      <c r="X2001" s="4">
        <v>11.1</v>
      </c>
      <c r="Y2001">
        <v>8</v>
      </c>
      <c r="Z2001" s="5">
        <v>195.74</v>
      </c>
    </row>
    <row r="2002" spans="1:26">
      <c r="A2002">
        <v>2001</v>
      </c>
      <c r="B2002">
        <v>657</v>
      </c>
      <c r="C2002" s="2">
        <v>46288</v>
      </c>
      <c r="D2002" t="s">
        <v>52</v>
      </c>
      <c r="E2002">
        <v>9</v>
      </c>
      <c r="F2002" s="3">
        <v>11.16</v>
      </c>
      <c r="G2002" t="s">
        <v>36</v>
      </c>
      <c r="H2002">
        <v>58</v>
      </c>
      <c r="I2002" t="s">
        <v>34</v>
      </c>
      <c r="J2002" s="4">
        <v>67.8</v>
      </c>
      <c r="K2002" s="4">
        <v>217.4</v>
      </c>
      <c r="L2002" s="4">
        <v>33.200000000000003</v>
      </c>
      <c r="M2002">
        <v>15</v>
      </c>
      <c r="N2002" t="s">
        <v>60</v>
      </c>
      <c r="O2002">
        <v>3</v>
      </c>
      <c r="P2002" s="4">
        <v>896.5</v>
      </c>
      <c r="Q2002" t="s">
        <v>48</v>
      </c>
      <c r="R2002">
        <v>0</v>
      </c>
      <c r="S2002" t="s">
        <v>31</v>
      </c>
      <c r="T2002">
        <v>1</v>
      </c>
      <c r="U2002">
        <v>0</v>
      </c>
      <c r="V2002" t="s">
        <v>45</v>
      </c>
      <c r="W2002" t="s">
        <v>39</v>
      </c>
      <c r="X2002" s="4">
        <v>5.7</v>
      </c>
      <c r="Y2002">
        <v>12</v>
      </c>
      <c r="Z2002" s="5">
        <v>149.53</v>
      </c>
    </row>
    <row r="2003" spans="1:26">
      <c r="A2003">
        <v>2002</v>
      </c>
      <c r="B2003">
        <v>657</v>
      </c>
      <c r="C2003" s="2">
        <v>46288</v>
      </c>
      <c r="D2003" t="s">
        <v>52</v>
      </c>
      <c r="E2003">
        <v>9</v>
      </c>
      <c r="F2003" s="3">
        <v>10.93</v>
      </c>
      <c r="G2003" t="s">
        <v>27</v>
      </c>
      <c r="H2003">
        <v>10</v>
      </c>
      <c r="I2003" t="s">
        <v>28</v>
      </c>
      <c r="J2003" s="4">
        <v>68.3</v>
      </c>
      <c r="K2003" s="4">
        <v>127.3</v>
      </c>
      <c r="L2003" s="4">
        <v>19.399999999999999</v>
      </c>
      <c r="M2003">
        <v>14</v>
      </c>
      <c r="N2003" t="s">
        <v>60</v>
      </c>
      <c r="O2003">
        <v>3</v>
      </c>
      <c r="P2003" s="4">
        <v>896.5</v>
      </c>
      <c r="Q2003" t="s">
        <v>48</v>
      </c>
      <c r="R2003">
        <v>0</v>
      </c>
      <c r="S2003" t="s">
        <v>31</v>
      </c>
      <c r="T2003">
        <v>1</v>
      </c>
      <c r="U2003">
        <v>0</v>
      </c>
      <c r="V2003" t="s">
        <v>45</v>
      </c>
      <c r="W2003" t="s">
        <v>39</v>
      </c>
      <c r="X2003" s="4">
        <v>7.6</v>
      </c>
      <c r="Y2003">
        <v>9</v>
      </c>
      <c r="Z2003" s="5">
        <v>142.88</v>
      </c>
    </row>
    <row r="2004" spans="1:26">
      <c r="A2004">
        <v>2003</v>
      </c>
      <c r="B2004">
        <v>657</v>
      </c>
      <c r="C2004" s="2">
        <v>46288</v>
      </c>
      <c r="D2004" t="s">
        <v>52</v>
      </c>
      <c r="E2004">
        <v>9</v>
      </c>
      <c r="F2004" s="3">
        <v>10.86</v>
      </c>
      <c r="G2004" t="s">
        <v>27</v>
      </c>
      <c r="H2004">
        <v>13</v>
      </c>
      <c r="I2004" t="s">
        <v>28</v>
      </c>
      <c r="J2004" s="4">
        <v>70</v>
      </c>
      <c r="K2004" s="4">
        <v>120</v>
      </c>
      <c r="L2004" s="4">
        <v>16.7</v>
      </c>
      <c r="M2004">
        <v>14</v>
      </c>
      <c r="N2004" t="s">
        <v>60</v>
      </c>
      <c r="O2004">
        <v>3</v>
      </c>
      <c r="P2004" s="4">
        <v>896.5</v>
      </c>
      <c r="Q2004" t="s">
        <v>48</v>
      </c>
      <c r="R2004">
        <v>0</v>
      </c>
      <c r="S2004" t="s">
        <v>31</v>
      </c>
      <c r="T2004">
        <v>1</v>
      </c>
      <c r="U2004">
        <v>0</v>
      </c>
      <c r="V2004" t="s">
        <v>45</v>
      </c>
      <c r="W2004" t="s">
        <v>39</v>
      </c>
      <c r="X2004" s="4">
        <v>5.2</v>
      </c>
      <c r="Y2004">
        <v>5</v>
      </c>
      <c r="Z2004" s="5">
        <v>220.01</v>
      </c>
    </row>
    <row r="2005" spans="1:26">
      <c r="A2005">
        <v>2004</v>
      </c>
      <c r="B2005">
        <v>658</v>
      </c>
      <c r="C2005" s="2">
        <v>46244</v>
      </c>
      <c r="D2005" t="s">
        <v>46</v>
      </c>
      <c r="E2005">
        <v>8</v>
      </c>
      <c r="F2005" s="3">
        <v>11.03</v>
      </c>
      <c r="G2005" t="s">
        <v>36</v>
      </c>
      <c r="H2005">
        <v>44</v>
      </c>
      <c r="I2005" t="s">
        <v>28</v>
      </c>
      <c r="J2005" s="4">
        <v>68</v>
      </c>
      <c r="K2005" s="4">
        <v>198.2</v>
      </c>
      <c r="L2005" s="4">
        <v>30</v>
      </c>
      <c r="M2005">
        <v>16</v>
      </c>
      <c r="N2005" t="s">
        <v>37</v>
      </c>
      <c r="O2005">
        <v>1</v>
      </c>
      <c r="P2005" s="4">
        <v>1115.3</v>
      </c>
      <c r="Q2005" t="s">
        <v>42</v>
      </c>
      <c r="R2005">
        <v>1</v>
      </c>
      <c r="S2005" t="s">
        <v>44</v>
      </c>
      <c r="T2005">
        <v>1</v>
      </c>
      <c r="U2005">
        <v>0</v>
      </c>
      <c r="V2005" t="s">
        <v>32</v>
      </c>
      <c r="W2005" t="s">
        <v>49</v>
      </c>
      <c r="X2005" s="4">
        <v>6.9</v>
      </c>
      <c r="Y2005">
        <v>3</v>
      </c>
      <c r="Z2005" s="5">
        <v>195.24</v>
      </c>
    </row>
    <row r="2006" spans="1:26">
      <c r="A2006">
        <v>2005</v>
      </c>
      <c r="B2006">
        <v>659</v>
      </c>
      <c r="C2006" s="2">
        <v>46033</v>
      </c>
      <c r="D2006" t="s">
        <v>58</v>
      </c>
      <c r="E2006">
        <v>1</v>
      </c>
      <c r="F2006" s="3">
        <v>11.51</v>
      </c>
      <c r="G2006" t="s">
        <v>36</v>
      </c>
      <c r="H2006">
        <v>56</v>
      </c>
      <c r="I2006" t="s">
        <v>28</v>
      </c>
      <c r="J2006" s="4">
        <v>68.5</v>
      </c>
      <c r="K2006" s="4">
        <v>119.5</v>
      </c>
      <c r="L2006" s="4">
        <v>17.8</v>
      </c>
      <c r="M2006">
        <v>19</v>
      </c>
      <c r="N2006" t="s">
        <v>47</v>
      </c>
      <c r="O2006">
        <v>1</v>
      </c>
      <c r="P2006" s="4">
        <v>99.4</v>
      </c>
      <c r="Q2006" t="s">
        <v>48</v>
      </c>
      <c r="R2006">
        <v>0</v>
      </c>
      <c r="S2006" t="s">
        <v>44</v>
      </c>
      <c r="T2006">
        <v>1</v>
      </c>
      <c r="U2006">
        <v>1</v>
      </c>
      <c r="V2006" t="s">
        <v>32</v>
      </c>
      <c r="W2006" t="s">
        <v>43</v>
      </c>
      <c r="X2006" s="4">
        <v>5.0999999999999996</v>
      </c>
      <c r="Y2006">
        <v>2</v>
      </c>
      <c r="Z2006" s="5">
        <v>304.36</v>
      </c>
    </row>
    <row r="2007" spans="1:26">
      <c r="A2007">
        <v>2006</v>
      </c>
      <c r="B2007">
        <v>660</v>
      </c>
      <c r="C2007" s="2">
        <v>46224</v>
      </c>
      <c r="D2007" t="s">
        <v>35</v>
      </c>
      <c r="E2007">
        <v>7</v>
      </c>
      <c r="F2007" s="3">
        <v>8.33</v>
      </c>
      <c r="G2007" t="s">
        <v>27</v>
      </c>
      <c r="H2007">
        <v>70</v>
      </c>
      <c r="I2007" t="s">
        <v>51</v>
      </c>
      <c r="J2007" s="4">
        <v>69.900000000000006</v>
      </c>
      <c r="K2007" s="4">
        <v>167.7</v>
      </c>
      <c r="L2007" s="4">
        <v>24.1</v>
      </c>
      <c r="M2007">
        <v>16</v>
      </c>
      <c r="N2007" t="s">
        <v>37</v>
      </c>
      <c r="O2007">
        <v>5</v>
      </c>
      <c r="P2007" s="4">
        <v>732.5</v>
      </c>
      <c r="Q2007" t="s">
        <v>42</v>
      </c>
      <c r="R2007">
        <v>1</v>
      </c>
      <c r="S2007" t="s">
        <v>38</v>
      </c>
      <c r="T2007">
        <v>0</v>
      </c>
      <c r="U2007">
        <v>1</v>
      </c>
      <c r="V2007" t="s">
        <v>32</v>
      </c>
      <c r="W2007" t="s">
        <v>33</v>
      </c>
      <c r="X2007" s="4">
        <v>10.3</v>
      </c>
      <c r="Y2007">
        <v>11</v>
      </c>
      <c r="Z2007" s="5">
        <v>409.84</v>
      </c>
    </row>
    <row r="2008" spans="1:26">
      <c r="A2008">
        <v>2007</v>
      </c>
      <c r="B2008">
        <v>660</v>
      </c>
      <c r="C2008" s="2">
        <v>46224</v>
      </c>
      <c r="D2008" t="s">
        <v>35</v>
      </c>
      <c r="E2008">
        <v>7</v>
      </c>
      <c r="F2008" s="3">
        <v>8.3699999999999992</v>
      </c>
      <c r="G2008" t="s">
        <v>27</v>
      </c>
      <c r="H2008">
        <v>14</v>
      </c>
      <c r="I2008" t="s">
        <v>28</v>
      </c>
      <c r="J2008" s="4">
        <v>68.400000000000006</v>
      </c>
      <c r="K2008" s="4">
        <v>131</v>
      </c>
      <c r="L2008" s="4">
        <v>19.8</v>
      </c>
      <c r="M2008">
        <v>15</v>
      </c>
      <c r="N2008" t="s">
        <v>37</v>
      </c>
      <c r="O2008">
        <v>5</v>
      </c>
      <c r="P2008" s="4">
        <v>732.5</v>
      </c>
      <c r="Q2008" t="s">
        <v>42</v>
      </c>
      <c r="R2008">
        <v>1</v>
      </c>
      <c r="S2008" t="s">
        <v>38</v>
      </c>
      <c r="T2008">
        <v>0</v>
      </c>
      <c r="U2008">
        <v>1</v>
      </c>
      <c r="V2008" t="s">
        <v>32</v>
      </c>
      <c r="W2008" t="s">
        <v>33</v>
      </c>
      <c r="X2008" s="4">
        <v>11.4</v>
      </c>
      <c r="Y2008">
        <v>8</v>
      </c>
      <c r="Z2008" s="5">
        <v>171.84</v>
      </c>
    </row>
    <row r="2009" spans="1:26">
      <c r="A2009">
        <v>2008</v>
      </c>
      <c r="B2009">
        <v>660</v>
      </c>
      <c r="C2009" s="2">
        <v>46224</v>
      </c>
      <c r="D2009" t="s">
        <v>35</v>
      </c>
      <c r="E2009">
        <v>7</v>
      </c>
      <c r="F2009" s="3">
        <v>8.27</v>
      </c>
      <c r="G2009" t="s">
        <v>27</v>
      </c>
      <c r="H2009">
        <v>80</v>
      </c>
      <c r="I2009" t="s">
        <v>28</v>
      </c>
      <c r="J2009" s="4">
        <v>66.900000000000006</v>
      </c>
      <c r="K2009" s="4">
        <v>208.9</v>
      </c>
      <c r="L2009" s="4">
        <v>33</v>
      </c>
      <c r="M2009">
        <v>15</v>
      </c>
      <c r="N2009" t="s">
        <v>37</v>
      </c>
      <c r="O2009">
        <v>5</v>
      </c>
      <c r="P2009" s="4">
        <v>732.5</v>
      </c>
      <c r="Q2009" t="s">
        <v>42</v>
      </c>
      <c r="R2009">
        <v>1</v>
      </c>
      <c r="S2009" t="s">
        <v>38</v>
      </c>
      <c r="T2009">
        <v>0</v>
      </c>
      <c r="U2009">
        <v>1</v>
      </c>
      <c r="V2009" t="s">
        <v>32</v>
      </c>
      <c r="W2009" t="s">
        <v>33</v>
      </c>
      <c r="X2009" s="4">
        <v>9.8000000000000007</v>
      </c>
      <c r="Y2009">
        <v>6</v>
      </c>
      <c r="Z2009" s="5">
        <v>154.94</v>
      </c>
    </row>
    <row r="2010" spans="1:26">
      <c r="A2010">
        <v>2009</v>
      </c>
      <c r="B2010">
        <v>660</v>
      </c>
      <c r="C2010" s="2">
        <v>46224</v>
      </c>
      <c r="D2010" t="s">
        <v>35</v>
      </c>
      <c r="E2010">
        <v>7</v>
      </c>
      <c r="F2010" s="3">
        <v>8.27</v>
      </c>
      <c r="G2010" t="s">
        <v>27</v>
      </c>
      <c r="H2010">
        <v>29</v>
      </c>
      <c r="I2010" t="s">
        <v>34</v>
      </c>
      <c r="J2010" s="4">
        <v>63.5</v>
      </c>
      <c r="K2010" s="4">
        <v>163.9</v>
      </c>
      <c r="L2010" s="4">
        <v>28.6</v>
      </c>
      <c r="M2010">
        <v>18</v>
      </c>
      <c r="N2010" t="s">
        <v>37</v>
      </c>
      <c r="O2010">
        <v>5</v>
      </c>
      <c r="P2010" s="4">
        <v>732.5</v>
      </c>
      <c r="Q2010" t="s">
        <v>42</v>
      </c>
      <c r="R2010">
        <v>1</v>
      </c>
      <c r="S2010" t="s">
        <v>38</v>
      </c>
      <c r="T2010">
        <v>0</v>
      </c>
      <c r="U2010">
        <v>1</v>
      </c>
      <c r="V2010" t="s">
        <v>32</v>
      </c>
      <c r="W2010" t="s">
        <v>33</v>
      </c>
      <c r="X2010" s="4">
        <v>9</v>
      </c>
      <c r="Y2010">
        <v>4</v>
      </c>
      <c r="Z2010" s="5">
        <v>271.08999999999997</v>
      </c>
    </row>
    <row r="2011" spans="1:26">
      <c r="A2011">
        <v>2010</v>
      </c>
      <c r="B2011">
        <v>660</v>
      </c>
      <c r="C2011" s="2">
        <v>46224</v>
      </c>
      <c r="D2011" t="s">
        <v>35</v>
      </c>
      <c r="E2011">
        <v>7</v>
      </c>
      <c r="F2011" s="3">
        <v>8.2100000000000009</v>
      </c>
      <c r="G2011" t="s">
        <v>27</v>
      </c>
      <c r="H2011">
        <v>9</v>
      </c>
      <c r="I2011" t="s">
        <v>34</v>
      </c>
      <c r="J2011" s="4">
        <v>66.900000000000006</v>
      </c>
      <c r="K2011" s="4">
        <v>124</v>
      </c>
      <c r="L2011" s="4">
        <v>19.3</v>
      </c>
      <c r="M2011">
        <v>15</v>
      </c>
      <c r="N2011" t="s">
        <v>37</v>
      </c>
      <c r="O2011">
        <v>5</v>
      </c>
      <c r="P2011" s="4">
        <v>732.5</v>
      </c>
      <c r="Q2011" t="s">
        <v>42</v>
      </c>
      <c r="R2011">
        <v>1</v>
      </c>
      <c r="S2011" t="s">
        <v>38</v>
      </c>
      <c r="T2011">
        <v>0</v>
      </c>
      <c r="U2011">
        <v>1</v>
      </c>
      <c r="V2011" t="s">
        <v>32</v>
      </c>
      <c r="W2011" t="s">
        <v>33</v>
      </c>
      <c r="X2011" s="4">
        <v>9.9</v>
      </c>
      <c r="Y2011">
        <v>15</v>
      </c>
      <c r="Z2011" s="5">
        <v>580.82000000000005</v>
      </c>
    </row>
    <row r="2012" spans="1:26">
      <c r="A2012">
        <v>2011</v>
      </c>
      <c r="B2012">
        <v>661</v>
      </c>
      <c r="C2012" s="2">
        <v>46070</v>
      </c>
      <c r="D2012" t="s">
        <v>35</v>
      </c>
      <c r="E2012">
        <v>2</v>
      </c>
      <c r="F2012" s="3">
        <v>10.6</v>
      </c>
      <c r="G2012" t="s">
        <v>27</v>
      </c>
      <c r="H2012">
        <v>10</v>
      </c>
      <c r="I2012" t="s">
        <v>28</v>
      </c>
      <c r="J2012" s="4">
        <v>66.599999999999994</v>
      </c>
      <c r="K2012" s="4">
        <v>128</v>
      </c>
      <c r="L2012" s="4">
        <v>20.3</v>
      </c>
      <c r="M2012">
        <v>14</v>
      </c>
      <c r="N2012" t="s">
        <v>41</v>
      </c>
      <c r="O2012">
        <v>3</v>
      </c>
      <c r="P2012" s="4">
        <v>2420.8000000000002</v>
      </c>
      <c r="Q2012" t="s">
        <v>42</v>
      </c>
      <c r="R2012">
        <v>1</v>
      </c>
      <c r="S2012" t="s">
        <v>38</v>
      </c>
      <c r="T2012">
        <v>1</v>
      </c>
      <c r="U2012">
        <v>0</v>
      </c>
      <c r="V2012" t="s">
        <v>32</v>
      </c>
      <c r="W2012" t="s">
        <v>39</v>
      </c>
      <c r="X2012" s="4">
        <v>10.7</v>
      </c>
      <c r="Y2012">
        <v>9</v>
      </c>
      <c r="Z2012" s="5">
        <v>267.10000000000002</v>
      </c>
    </row>
    <row r="2013" spans="1:26">
      <c r="A2013">
        <v>2012</v>
      </c>
      <c r="B2013">
        <v>661</v>
      </c>
      <c r="C2013" s="2">
        <v>46070</v>
      </c>
      <c r="D2013" t="s">
        <v>35</v>
      </c>
      <c r="E2013">
        <v>2</v>
      </c>
      <c r="F2013" s="3">
        <v>10.45</v>
      </c>
      <c r="G2013" t="s">
        <v>27</v>
      </c>
      <c r="H2013">
        <v>3</v>
      </c>
      <c r="I2013" t="s">
        <v>34</v>
      </c>
      <c r="J2013" s="4">
        <v>53.1</v>
      </c>
      <c r="K2013" s="4">
        <v>88</v>
      </c>
      <c r="L2013" s="4">
        <v>21.8</v>
      </c>
      <c r="M2013">
        <v>14</v>
      </c>
      <c r="N2013" t="s">
        <v>41</v>
      </c>
      <c r="O2013">
        <v>3</v>
      </c>
      <c r="P2013" s="4">
        <v>2420.8000000000002</v>
      </c>
      <c r="Q2013" t="s">
        <v>42</v>
      </c>
      <c r="R2013">
        <v>1</v>
      </c>
      <c r="S2013" t="s">
        <v>38</v>
      </c>
      <c r="T2013">
        <v>1</v>
      </c>
      <c r="U2013">
        <v>0</v>
      </c>
      <c r="V2013" t="s">
        <v>32</v>
      </c>
      <c r="W2013" t="s">
        <v>39</v>
      </c>
      <c r="X2013" s="4">
        <v>8.3000000000000007</v>
      </c>
      <c r="Y2013">
        <v>11</v>
      </c>
      <c r="Z2013" s="5">
        <v>144.24</v>
      </c>
    </row>
    <row r="2014" spans="1:26">
      <c r="A2014">
        <v>2013</v>
      </c>
      <c r="B2014">
        <v>661</v>
      </c>
      <c r="C2014" s="2">
        <v>46070</v>
      </c>
      <c r="D2014" t="s">
        <v>35</v>
      </c>
      <c r="E2014">
        <v>2</v>
      </c>
      <c r="F2014" s="3">
        <v>10.65</v>
      </c>
      <c r="G2014" t="s">
        <v>27</v>
      </c>
      <c r="H2014">
        <v>39</v>
      </c>
      <c r="I2014" t="s">
        <v>34</v>
      </c>
      <c r="J2014" s="4">
        <v>63.8</v>
      </c>
      <c r="K2014" s="4">
        <v>147.5</v>
      </c>
      <c r="L2014" s="4">
        <v>25.4</v>
      </c>
      <c r="M2014">
        <v>17</v>
      </c>
      <c r="N2014" t="s">
        <v>41</v>
      </c>
      <c r="O2014">
        <v>3</v>
      </c>
      <c r="P2014" s="4">
        <v>2420.8000000000002</v>
      </c>
      <c r="Q2014" t="s">
        <v>42</v>
      </c>
      <c r="R2014">
        <v>1</v>
      </c>
      <c r="S2014" t="s">
        <v>38</v>
      </c>
      <c r="T2014">
        <v>1</v>
      </c>
      <c r="U2014">
        <v>0</v>
      </c>
      <c r="V2014" t="s">
        <v>32</v>
      </c>
      <c r="W2014" t="s">
        <v>39</v>
      </c>
      <c r="X2014" s="4">
        <v>11.5</v>
      </c>
      <c r="Y2014">
        <v>9</v>
      </c>
      <c r="Z2014" s="5">
        <v>420.45</v>
      </c>
    </row>
    <row r="2015" spans="1:26">
      <c r="A2015">
        <v>2014</v>
      </c>
      <c r="B2015">
        <v>662</v>
      </c>
      <c r="C2015" s="2">
        <v>46044</v>
      </c>
      <c r="D2015" t="s">
        <v>55</v>
      </c>
      <c r="E2015">
        <v>1</v>
      </c>
      <c r="F2015" s="3">
        <v>10.92</v>
      </c>
      <c r="G2015" t="s">
        <v>27</v>
      </c>
      <c r="H2015">
        <v>64</v>
      </c>
      <c r="I2015" t="s">
        <v>34</v>
      </c>
      <c r="J2015" s="4">
        <v>67.7</v>
      </c>
      <c r="K2015" s="4">
        <v>214.1</v>
      </c>
      <c r="L2015" s="4">
        <v>32.9</v>
      </c>
      <c r="M2015">
        <v>14</v>
      </c>
      <c r="N2015" t="s">
        <v>50</v>
      </c>
      <c r="O2015">
        <v>6</v>
      </c>
      <c r="P2015" s="4">
        <v>222.9</v>
      </c>
      <c r="Q2015" t="s">
        <v>30</v>
      </c>
      <c r="R2015">
        <v>1</v>
      </c>
      <c r="S2015" t="s">
        <v>31</v>
      </c>
      <c r="T2015">
        <v>0</v>
      </c>
      <c r="U2015">
        <v>0</v>
      </c>
      <c r="V2015" t="s">
        <v>32</v>
      </c>
      <c r="W2015" t="s">
        <v>39</v>
      </c>
      <c r="X2015" s="4">
        <v>8.6</v>
      </c>
      <c r="Y2015">
        <v>12</v>
      </c>
      <c r="Z2015" s="5">
        <v>318.56</v>
      </c>
    </row>
    <row r="2016" spans="1:26">
      <c r="A2016">
        <v>2015</v>
      </c>
      <c r="B2016">
        <v>662</v>
      </c>
      <c r="C2016" s="2">
        <v>46044</v>
      </c>
      <c r="D2016" t="s">
        <v>55</v>
      </c>
      <c r="E2016">
        <v>1</v>
      </c>
      <c r="F2016" s="3">
        <v>10.99</v>
      </c>
      <c r="G2016" t="s">
        <v>27</v>
      </c>
      <c r="H2016">
        <v>35</v>
      </c>
      <c r="I2016" t="s">
        <v>28</v>
      </c>
      <c r="J2016" s="4">
        <v>72.900000000000006</v>
      </c>
      <c r="K2016" s="4">
        <v>180.8</v>
      </c>
      <c r="L2016" s="4">
        <v>23.7</v>
      </c>
      <c r="M2016">
        <v>17</v>
      </c>
      <c r="N2016" t="s">
        <v>50</v>
      </c>
      <c r="O2016">
        <v>6</v>
      </c>
      <c r="P2016" s="4">
        <v>222.9</v>
      </c>
      <c r="Q2016" t="s">
        <v>30</v>
      </c>
      <c r="R2016">
        <v>1</v>
      </c>
      <c r="S2016" t="s">
        <v>31</v>
      </c>
      <c r="T2016">
        <v>0</v>
      </c>
      <c r="U2016">
        <v>0</v>
      </c>
      <c r="V2016" t="s">
        <v>32</v>
      </c>
      <c r="W2016" t="s">
        <v>39</v>
      </c>
      <c r="X2016" s="4">
        <v>7.9</v>
      </c>
      <c r="Y2016">
        <v>1</v>
      </c>
      <c r="Z2016" s="5">
        <v>117.47</v>
      </c>
    </row>
    <row r="2017" spans="1:26">
      <c r="A2017">
        <v>2016</v>
      </c>
      <c r="B2017">
        <v>662</v>
      </c>
      <c r="C2017" s="2">
        <v>46044</v>
      </c>
      <c r="D2017" t="s">
        <v>55</v>
      </c>
      <c r="E2017">
        <v>1</v>
      </c>
      <c r="F2017" s="3">
        <v>10.99</v>
      </c>
      <c r="G2017" t="s">
        <v>27</v>
      </c>
      <c r="H2017">
        <v>18</v>
      </c>
      <c r="I2017" t="s">
        <v>34</v>
      </c>
      <c r="J2017" s="4">
        <v>63.2</v>
      </c>
      <c r="K2017" s="4">
        <v>127.5</v>
      </c>
      <c r="L2017" s="4">
        <v>22.7</v>
      </c>
      <c r="M2017">
        <v>11</v>
      </c>
      <c r="N2017" t="s">
        <v>50</v>
      </c>
      <c r="O2017">
        <v>6</v>
      </c>
      <c r="P2017" s="4">
        <v>222.9</v>
      </c>
      <c r="Q2017" t="s">
        <v>30</v>
      </c>
      <c r="R2017">
        <v>1</v>
      </c>
      <c r="S2017" t="s">
        <v>31</v>
      </c>
      <c r="T2017">
        <v>0</v>
      </c>
      <c r="U2017">
        <v>0</v>
      </c>
      <c r="V2017" t="s">
        <v>32</v>
      </c>
      <c r="W2017" t="s">
        <v>39</v>
      </c>
      <c r="X2017" s="4">
        <v>9.1</v>
      </c>
      <c r="Y2017">
        <v>10</v>
      </c>
      <c r="Z2017" s="5">
        <v>180.81</v>
      </c>
    </row>
    <row r="2018" spans="1:26">
      <c r="A2018">
        <v>2017</v>
      </c>
      <c r="B2018">
        <v>662</v>
      </c>
      <c r="C2018" s="2">
        <v>46044</v>
      </c>
      <c r="D2018" t="s">
        <v>55</v>
      </c>
      <c r="E2018">
        <v>1</v>
      </c>
      <c r="F2018" s="3">
        <v>10.88</v>
      </c>
      <c r="G2018" t="s">
        <v>27</v>
      </c>
      <c r="H2018">
        <v>58</v>
      </c>
      <c r="I2018" t="s">
        <v>28</v>
      </c>
      <c r="J2018" s="4">
        <v>69.400000000000006</v>
      </c>
      <c r="K2018" s="4">
        <v>157.5</v>
      </c>
      <c r="L2018" s="4">
        <v>22.8</v>
      </c>
      <c r="M2018">
        <v>16</v>
      </c>
      <c r="N2018" t="s">
        <v>50</v>
      </c>
      <c r="O2018">
        <v>6</v>
      </c>
      <c r="P2018" s="4">
        <v>222.9</v>
      </c>
      <c r="Q2018" t="s">
        <v>30</v>
      </c>
      <c r="R2018">
        <v>1</v>
      </c>
      <c r="S2018" t="s">
        <v>31</v>
      </c>
      <c r="T2018">
        <v>0</v>
      </c>
      <c r="U2018">
        <v>0</v>
      </c>
      <c r="V2018" t="s">
        <v>32</v>
      </c>
      <c r="W2018" t="s">
        <v>39</v>
      </c>
      <c r="X2018" s="4">
        <v>6.3</v>
      </c>
      <c r="Y2018">
        <v>4</v>
      </c>
      <c r="Z2018" s="5">
        <v>109.24</v>
      </c>
    </row>
    <row r="2019" spans="1:26">
      <c r="A2019">
        <v>2018</v>
      </c>
      <c r="B2019">
        <v>662</v>
      </c>
      <c r="C2019" s="2">
        <v>46044</v>
      </c>
      <c r="D2019" t="s">
        <v>55</v>
      </c>
      <c r="E2019">
        <v>1</v>
      </c>
      <c r="F2019" s="3">
        <v>11.18</v>
      </c>
      <c r="G2019" t="s">
        <v>36</v>
      </c>
      <c r="H2019">
        <v>61</v>
      </c>
      <c r="I2019" t="s">
        <v>28</v>
      </c>
      <c r="J2019" s="4">
        <v>68.5</v>
      </c>
      <c r="K2019" s="4">
        <v>149.6</v>
      </c>
      <c r="L2019" s="4">
        <v>22</v>
      </c>
      <c r="M2019">
        <v>13</v>
      </c>
      <c r="N2019" t="s">
        <v>50</v>
      </c>
      <c r="O2019">
        <v>6</v>
      </c>
      <c r="P2019" s="4">
        <v>222.9</v>
      </c>
      <c r="Q2019" t="s">
        <v>30</v>
      </c>
      <c r="R2019">
        <v>1</v>
      </c>
      <c r="S2019" t="s">
        <v>31</v>
      </c>
      <c r="T2019">
        <v>0</v>
      </c>
      <c r="U2019">
        <v>0</v>
      </c>
      <c r="V2019" t="s">
        <v>32</v>
      </c>
      <c r="W2019" t="s">
        <v>39</v>
      </c>
      <c r="X2019" s="4">
        <v>8.6</v>
      </c>
      <c r="Y2019">
        <v>10</v>
      </c>
      <c r="Z2019" s="5">
        <v>258.41000000000003</v>
      </c>
    </row>
    <row r="2020" spans="1:26">
      <c r="A2020">
        <v>2019</v>
      </c>
      <c r="B2020">
        <v>662</v>
      </c>
      <c r="C2020" s="2">
        <v>46044</v>
      </c>
      <c r="D2020" t="s">
        <v>55</v>
      </c>
      <c r="E2020">
        <v>1</v>
      </c>
      <c r="F2020" s="3">
        <v>10.98</v>
      </c>
      <c r="G2020" t="s">
        <v>27</v>
      </c>
      <c r="H2020">
        <v>33</v>
      </c>
      <c r="I2020" t="s">
        <v>34</v>
      </c>
      <c r="J2020" s="4">
        <v>62</v>
      </c>
      <c r="K2020" s="4">
        <v>174.4</v>
      </c>
      <c r="L2020" s="4">
        <v>32</v>
      </c>
      <c r="M2020">
        <v>10</v>
      </c>
      <c r="N2020" t="s">
        <v>50</v>
      </c>
      <c r="O2020">
        <v>6</v>
      </c>
      <c r="P2020" s="4">
        <v>222.9</v>
      </c>
      <c r="Q2020" t="s">
        <v>30</v>
      </c>
      <c r="R2020">
        <v>1</v>
      </c>
      <c r="S2020" t="s">
        <v>31</v>
      </c>
      <c r="T2020">
        <v>0</v>
      </c>
      <c r="U2020">
        <v>0</v>
      </c>
      <c r="V2020" t="s">
        <v>32</v>
      </c>
      <c r="W2020" t="s">
        <v>39</v>
      </c>
      <c r="X2020" s="4">
        <v>12.4</v>
      </c>
      <c r="Y2020">
        <v>15</v>
      </c>
      <c r="Z2020" s="5">
        <v>272.24</v>
      </c>
    </row>
    <row r="2021" spans="1:26">
      <c r="A2021">
        <v>2020</v>
      </c>
      <c r="B2021">
        <v>663</v>
      </c>
      <c r="C2021" s="2">
        <v>46127</v>
      </c>
      <c r="D2021" t="s">
        <v>52</v>
      </c>
      <c r="E2021">
        <v>4</v>
      </c>
      <c r="F2021" s="3">
        <v>11.97</v>
      </c>
      <c r="G2021" t="s">
        <v>36</v>
      </c>
      <c r="H2021">
        <v>54</v>
      </c>
      <c r="I2021" t="s">
        <v>28</v>
      </c>
      <c r="J2021" s="4">
        <v>69.5</v>
      </c>
      <c r="K2021" s="4">
        <v>181.7</v>
      </c>
      <c r="L2021" s="4">
        <v>26.2</v>
      </c>
      <c r="M2021">
        <v>18</v>
      </c>
      <c r="N2021" t="s">
        <v>56</v>
      </c>
      <c r="O2021">
        <v>4</v>
      </c>
      <c r="P2021" s="4">
        <v>211.3</v>
      </c>
      <c r="Q2021" t="s">
        <v>42</v>
      </c>
      <c r="R2021">
        <v>0</v>
      </c>
      <c r="S2021" t="s">
        <v>31</v>
      </c>
      <c r="T2021">
        <v>1</v>
      </c>
      <c r="U2021">
        <v>0</v>
      </c>
      <c r="V2021" t="s">
        <v>32</v>
      </c>
      <c r="W2021" t="s">
        <v>49</v>
      </c>
      <c r="X2021" s="4">
        <v>7.5</v>
      </c>
      <c r="Y2021">
        <v>12</v>
      </c>
      <c r="Z2021" s="5">
        <v>229.03</v>
      </c>
    </row>
    <row r="2022" spans="1:26">
      <c r="A2022">
        <v>2021</v>
      </c>
      <c r="B2022">
        <v>663</v>
      </c>
      <c r="C2022" s="2">
        <v>46127</v>
      </c>
      <c r="D2022" t="s">
        <v>52</v>
      </c>
      <c r="E2022">
        <v>4</v>
      </c>
      <c r="F2022" s="3">
        <v>12.11</v>
      </c>
      <c r="G2022" t="s">
        <v>36</v>
      </c>
      <c r="H2022">
        <v>44</v>
      </c>
      <c r="I2022" t="s">
        <v>28</v>
      </c>
      <c r="J2022" s="4">
        <v>69.8</v>
      </c>
      <c r="K2022" s="4">
        <v>190.7</v>
      </c>
      <c r="L2022" s="4">
        <v>27.2</v>
      </c>
      <c r="M2022">
        <v>13</v>
      </c>
      <c r="N2022" t="s">
        <v>56</v>
      </c>
      <c r="O2022">
        <v>4</v>
      </c>
      <c r="P2022" s="4">
        <v>211.3</v>
      </c>
      <c r="Q2022" t="s">
        <v>42</v>
      </c>
      <c r="R2022">
        <v>0</v>
      </c>
      <c r="S2022" t="s">
        <v>31</v>
      </c>
      <c r="T2022">
        <v>1</v>
      </c>
      <c r="U2022">
        <v>0</v>
      </c>
      <c r="V2022" t="s">
        <v>32</v>
      </c>
      <c r="W2022" t="s">
        <v>49</v>
      </c>
      <c r="X2022" s="4">
        <v>5.2</v>
      </c>
      <c r="Y2022">
        <v>8</v>
      </c>
      <c r="Z2022" s="5">
        <v>177.27</v>
      </c>
    </row>
    <row r="2023" spans="1:26">
      <c r="A2023">
        <v>2022</v>
      </c>
      <c r="B2023">
        <v>663</v>
      </c>
      <c r="C2023" s="2">
        <v>46127</v>
      </c>
      <c r="D2023" t="s">
        <v>52</v>
      </c>
      <c r="E2023">
        <v>4</v>
      </c>
      <c r="F2023" s="3">
        <v>12.06</v>
      </c>
      <c r="G2023" t="s">
        <v>36</v>
      </c>
      <c r="H2023">
        <v>54</v>
      </c>
      <c r="I2023" t="s">
        <v>28</v>
      </c>
      <c r="J2023" s="4">
        <v>67.3</v>
      </c>
      <c r="K2023" s="4">
        <v>173.1</v>
      </c>
      <c r="L2023" s="4">
        <v>27</v>
      </c>
      <c r="M2023">
        <v>13</v>
      </c>
      <c r="N2023" t="s">
        <v>56</v>
      </c>
      <c r="O2023">
        <v>4</v>
      </c>
      <c r="P2023" s="4">
        <v>211.3</v>
      </c>
      <c r="Q2023" t="s">
        <v>42</v>
      </c>
      <c r="R2023">
        <v>0</v>
      </c>
      <c r="S2023" t="s">
        <v>31</v>
      </c>
      <c r="T2023">
        <v>1</v>
      </c>
      <c r="U2023">
        <v>0</v>
      </c>
      <c r="V2023" t="s">
        <v>32</v>
      </c>
      <c r="W2023" t="s">
        <v>49</v>
      </c>
      <c r="X2023" s="4">
        <v>8.3000000000000007</v>
      </c>
      <c r="Y2023">
        <v>9</v>
      </c>
      <c r="Z2023" s="5">
        <v>225.62</v>
      </c>
    </row>
    <row r="2024" spans="1:26">
      <c r="A2024">
        <v>2023</v>
      </c>
      <c r="B2024">
        <v>663</v>
      </c>
      <c r="C2024" s="2">
        <v>46127</v>
      </c>
      <c r="D2024" t="s">
        <v>52</v>
      </c>
      <c r="E2024">
        <v>4</v>
      </c>
      <c r="F2024" s="3">
        <v>12.03</v>
      </c>
      <c r="G2024" t="s">
        <v>36</v>
      </c>
      <c r="H2024">
        <v>59</v>
      </c>
      <c r="I2024" t="s">
        <v>34</v>
      </c>
      <c r="J2024" s="4">
        <v>63.1</v>
      </c>
      <c r="K2024" s="4">
        <v>142.6</v>
      </c>
      <c r="L2024" s="4">
        <v>25.3</v>
      </c>
      <c r="M2024">
        <v>17</v>
      </c>
      <c r="N2024" t="s">
        <v>56</v>
      </c>
      <c r="O2024">
        <v>4</v>
      </c>
      <c r="P2024" s="4">
        <v>211.3</v>
      </c>
      <c r="Q2024" t="s">
        <v>42</v>
      </c>
      <c r="R2024">
        <v>0</v>
      </c>
      <c r="S2024" t="s">
        <v>31</v>
      </c>
      <c r="T2024">
        <v>1</v>
      </c>
      <c r="U2024">
        <v>0</v>
      </c>
      <c r="V2024" t="s">
        <v>32</v>
      </c>
      <c r="W2024" t="s">
        <v>49</v>
      </c>
      <c r="X2024" s="4">
        <v>8.9</v>
      </c>
      <c r="Y2024">
        <v>10</v>
      </c>
      <c r="Z2024" s="5">
        <v>207.6</v>
      </c>
    </row>
    <row r="2025" spans="1:26">
      <c r="A2025">
        <v>2024</v>
      </c>
      <c r="B2025">
        <v>664</v>
      </c>
      <c r="C2025" s="2">
        <v>46233</v>
      </c>
      <c r="D2025" t="s">
        <v>55</v>
      </c>
      <c r="E2025">
        <v>7</v>
      </c>
      <c r="F2025" s="3">
        <v>8.8699999999999992</v>
      </c>
      <c r="G2025" t="s">
        <v>27</v>
      </c>
      <c r="H2025">
        <v>31</v>
      </c>
      <c r="I2025" t="s">
        <v>28</v>
      </c>
      <c r="J2025" s="4">
        <v>65.7</v>
      </c>
      <c r="K2025" s="4">
        <v>139.4</v>
      </c>
      <c r="L2025" s="4">
        <v>22.8</v>
      </c>
      <c r="M2025">
        <v>16</v>
      </c>
      <c r="N2025" t="s">
        <v>47</v>
      </c>
      <c r="O2025">
        <v>3</v>
      </c>
      <c r="P2025" s="4">
        <v>136.80000000000001</v>
      </c>
      <c r="Q2025" t="s">
        <v>42</v>
      </c>
      <c r="R2025">
        <v>1</v>
      </c>
      <c r="S2025" t="s">
        <v>44</v>
      </c>
      <c r="T2025">
        <v>1</v>
      </c>
      <c r="U2025">
        <v>0</v>
      </c>
      <c r="V2025" t="s">
        <v>32</v>
      </c>
      <c r="W2025" t="s">
        <v>39</v>
      </c>
      <c r="X2025" s="4">
        <v>12.9</v>
      </c>
      <c r="Y2025">
        <v>15</v>
      </c>
      <c r="Z2025" s="5">
        <v>401.38</v>
      </c>
    </row>
    <row r="2026" spans="1:26">
      <c r="A2026">
        <v>2025</v>
      </c>
      <c r="B2026">
        <v>664</v>
      </c>
      <c r="C2026" s="2">
        <v>46233</v>
      </c>
      <c r="D2026" t="s">
        <v>55</v>
      </c>
      <c r="E2026">
        <v>7</v>
      </c>
      <c r="F2026" s="3">
        <v>8.77</v>
      </c>
      <c r="G2026" t="s">
        <v>27</v>
      </c>
      <c r="H2026">
        <v>68</v>
      </c>
      <c r="I2026" t="s">
        <v>34</v>
      </c>
      <c r="J2026" s="4">
        <v>59.4</v>
      </c>
      <c r="K2026" s="4">
        <v>113</v>
      </c>
      <c r="L2026" s="4">
        <v>22.6</v>
      </c>
      <c r="M2026">
        <v>15</v>
      </c>
      <c r="N2026" t="s">
        <v>47</v>
      </c>
      <c r="O2026">
        <v>3</v>
      </c>
      <c r="P2026" s="4">
        <v>136.80000000000001</v>
      </c>
      <c r="Q2026" t="s">
        <v>42</v>
      </c>
      <c r="R2026">
        <v>1</v>
      </c>
      <c r="S2026" t="s">
        <v>44</v>
      </c>
      <c r="T2026">
        <v>1</v>
      </c>
      <c r="U2026">
        <v>0</v>
      </c>
      <c r="V2026" t="s">
        <v>32</v>
      </c>
      <c r="W2026" t="s">
        <v>39</v>
      </c>
      <c r="X2026" s="4">
        <v>8.4</v>
      </c>
      <c r="Y2026">
        <v>13</v>
      </c>
      <c r="Z2026" s="5">
        <v>273.06</v>
      </c>
    </row>
    <row r="2027" spans="1:26">
      <c r="A2027">
        <v>2026</v>
      </c>
      <c r="B2027">
        <v>664</v>
      </c>
      <c r="C2027" s="2">
        <v>46233</v>
      </c>
      <c r="D2027" t="s">
        <v>55</v>
      </c>
      <c r="E2027">
        <v>7</v>
      </c>
      <c r="F2027" s="3">
        <v>8.85</v>
      </c>
      <c r="G2027" t="s">
        <v>27</v>
      </c>
      <c r="H2027">
        <v>59</v>
      </c>
      <c r="I2027" t="s">
        <v>28</v>
      </c>
      <c r="J2027" s="4">
        <v>69.099999999999994</v>
      </c>
      <c r="K2027" s="4">
        <v>165.1</v>
      </c>
      <c r="L2027" s="4">
        <v>24.4</v>
      </c>
      <c r="M2027">
        <v>16</v>
      </c>
      <c r="N2027" t="s">
        <v>47</v>
      </c>
      <c r="O2027">
        <v>3</v>
      </c>
      <c r="P2027" s="4">
        <v>136.80000000000001</v>
      </c>
      <c r="Q2027" t="s">
        <v>42</v>
      </c>
      <c r="R2027">
        <v>1</v>
      </c>
      <c r="S2027" t="s">
        <v>44</v>
      </c>
      <c r="T2027">
        <v>1</v>
      </c>
      <c r="U2027">
        <v>0</v>
      </c>
      <c r="V2027" t="s">
        <v>32</v>
      </c>
      <c r="W2027" t="s">
        <v>39</v>
      </c>
      <c r="X2027" s="4">
        <v>4.5999999999999996</v>
      </c>
      <c r="Y2027">
        <v>5</v>
      </c>
      <c r="Z2027" s="5">
        <v>118.62</v>
      </c>
    </row>
    <row r="2028" spans="1:26">
      <c r="A2028">
        <v>2027</v>
      </c>
      <c r="B2028">
        <v>665</v>
      </c>
      <c r="C2028" s="2">
        <v>46232</v>
      </c>
      <c r="D2028" t="s">
        <v>52</v>
      </c>
      <c r="E2028">
        <v>7</v>
      </c>
      <c r="F2028" s="3">
        <v>10.77</v>
      </c>
      <c r="G2028" t="s">
        <v>27</v>
      </c>
      <c r="H2028">
        <v>59</v>
      </c>
      <c r="I2028" t="s">
        <v>34</v>
      </c>
      <c r="J2028" s="4">
        <v>67.7</v>
      </c>
      <c r="K2028" s="4">
        <v>174.7</v>
      </c>
      <c r="L2028" s="4">
        <v>26.5</v>
      </c>
      <c r="M2028">
        <v>12</v>
      </c>
      <c r="N2028" t="s">
        <v>53</v>
      </c>
      <c r="O2028">
        <v>3</v>
      </c>
      <c r="P2028" s="4">
        <v>913.5</v>
      </c>
      <c r="Q2028" t="s">
        <v>42</v>
      </c>
      <c r="R2028">
        <v>1</v>
      </c>
      <c r="S2028" t="s">
        <v>31</v>
      </c>
      <c r="T2028">
        <v>0</v>
      </c>
      <c r="U2028">
        <v>0</v>
      </c>
      <c r="V2028" t="s">
        <v>32</v>
      </c>
      <c r="W2028" t="s">
        <v>39</v>
      </c>
      <c r="X2028" s="4">
        <v>9.4</v>
      </c>
      <c r="Y2028">
        <v>13</v>
      </c>
      <c r="Z2028" s="5">
        <v>159.44999999999999</v>
      </c>
    </row>
    <row r="2029" spans="1:26">
      <c r="A2029">
        <v>2028</v>
      </c>
      <c r="B2029">
        <v>665</v>
      </c>
      <c r="C2029" s="2">
        <v>46232</v>
      </c>
      <c r="D2029" t="s">
        <v>52</v>
      </c>
      <c r="E2029">
        <v>7</v>
      </c>
      <c r="F2029" s="3">
        <v>10.75</v>
      </c>
      <c r="G2029" t="s">
        <v>27</v>
      </c>
      <c r="H2029">
        <v>55</v>
      </c>
      <c r="I2029" t="s">
        <v>28</v>
      </c>
      <c r="J2029" s="4">
        <v>70.5</v>
      </c>
      <c r="K2029" s="4">
        <v>132.19999999999999</v>
      </c>
      <c r="L2029" s="4">
        <v>18.399999999999999</v>
      </c>
      <c r="M2029">
        <v>14</v>
      </c>
      <c r="N2029" t="s">
        <v>53</v>
      </c>
      <c r="O2029">
        <v>3</v>
      </c>
      <c r="P2029" s="4">
        <v>913.5</v>
      </c>
      <c r="Q2029" t="s">
        <v>42</v>
      </c>
      <c r="R2029">
        <v>1</v>
      </c>
      <c r="S2029" t="s">
        <v>31</v>
      </c>
      <c r="T2029">
        <v>0</v>
      </c>
      <c r="U2029">
        <v>0</v>
      </c>
      <c r="V2029" t="s">
        <v>32</v>
      </c>
      <c r="W2029" t="s">
        <v>39</v>
      </c>
      <c r="X2029" s="4">
        <v>8.3000000000000007</v>
      </c>
      <c r="Y2029">
        <v>9</v>
      </c>
      <c r="Z2029" s="5">
        <v>348.19</v>
      </c>
    </row>
    <row r="2030" spans="1:26">
      <c r="A2030">
        <v>2029</v>
      </c>
      <c r="B2030">
        <v>665</v>
      </c>
      <c r="C2030" s="2">
        <v>46232</v>
      </c>
      <c r="D2030" t="s">
        <v>52</v>
      </c>
      <c r="E2030">
        <v>7</v>
      </c>
      <c r="F2030" s="3">
        <v>10.62</v>
      </c>
      <c r="G2030" t="s">
        <v>27</v>
      </c>
      <c r="H2030">
        <v>51</v>
      </c>
      <c r="I2030" t="s">
        <v>28</v>
      </c>
      <c r="J2030" s="4">
        <v>72.599999999999994</v>
      </c>
      <c r="K2030" s="4">
        <v>116.3</v>
      </c>
      <c r="L2030" s="4">
        <v>15.4</v>
      </c>
      <c r="M2030">
        <v>14</v>
      </c>
      <c r="N2030" t="s">
        <v>53</v>
      </c>
      <c r="O2030">
        <v>3</v>
      </c>
      <c r="P2030" s="4">
        <v>913.5</v>
      </c>
      <c r="Q2030" t="s">
        <v>42</v>
      </c>
      <c r="R2030">
        <v>1</v>
      </c>
      <c r="S2030" t="s">
        <v>31</v>
      </c>
      <c r="T2030">
        <v>0</v>
      </c>
      <c r="U2030">
        <v>0</v>
      </c>
      <c r="V2030" t="s">
        <v>32</v>
      </c>
      <c r="W2030" t="s">
        <v>39</v>
      </c>
      <c r="X2030" s="4">
        <v>10.1</v>
      </c>
      <c r="Y2030">
        <v>4</v>
      </c>
      <c r="Z2030" s="5">
        <v>240.02</v>
      </c>
    </row>
    <row r="2031" spans="1:26">
      <c r="A2031">
        <v>2030</v>
      </c>
      <c r="B2031">
        <v>666</v>
      </c>
      <c r="C2031" s="2">
        <v>46361</v>
      </c>
      <c r="D2031" t="s">
        <v>40</v>
      </c>
      <c r="E2031">
        <v>12</v>
      </c>
      <c r="F2031" s="3">
        <v>11.33</v>
      </c>
      <c r="G2031" t="s">
        <v>36</v>
      </c>
      <c r="H2031">
        <v>12</v>
      </c>
      <c r="I2031" t="s">
        <v>28</v>
      </c>
      <c r="J2031" s="4">
        <v>63.1</v>
      </c>
      <c r="K2031" s="4">
        <v>115.7</v>
      </c>
      <c r="L2031" s="4">
        <v>20.3</v>
      </c>
      <c r="M2031">
        <v>7</v>
      </c>
      <c r="N2031" t="s">
        <v>59</v>
      </c>
      <c r="O2031">
        <v>4</v>
      </c>
      <c r="P2031" s="4">
        <v>868.8</v>
      </c>
      <c r="Q2031" t="s">
        <v>42</v>
      </c>
      <c r="R2031">
        <v>0</v>
      </c>
      <c r="S2031" t="s">
        <v>38</v>
      </c>
      <c r="T2031">
        <v>0</v>
      </c>
      <c r="U2031">
        <v>0</v>
      </c>
      <c r="V2031" t="s">
        <v>32</v>
      </c>
      <c r="W2031" t="s">
        <v>39</v>
      </c>
      <c r="X2031" s="4">
        <v>7</v>
      </c>
      <c r="Y2031">
        <v>9</v>
      </c>
      <c r="Z2031" s="5">
        <v>124.43</v>
      </c>
    </row>
    <row r="2032" spans="1:26">
      <c r="A2032">
        <v>2031</v>
      </c>
      <c r="B2032">
        <v>666</v>
      </c>
      <c r="C2032" s="2">
        <v>46361</v>
      </c>
      <c r="D2032" t="s">
        <v>40</v>
      </c>
      <c r="E2032">
        <v>12</v>
      </c>
      <c r="F2032" s="3">
        <v>11.4</v>
      </c>
      <c r="G2032" t="s">
        <v>36</v>
      </c>
      <c r="H2032">
        <v>63</v>
      </c>
      <c r="I2032" t="s">
        <v>34</v>
      </c>
      <c r="J2032" s="4">
        <v>70.099999999999994</v>
      </c>
      <c r="K2032" s="4">
        <v>194.9</v>
      </c>
      <c r="L2032" s="4">
        <v>28</v>
      </c>
      <c r="M2032">
        <v>14</v>
      </c>
      <c r="N2032" t="s">
        <v>59</v>
      </c>
      <c r="O2032">
        <v>4</v>
      </c>
      <c r="P2032" s="4">
        <v>868.8</v>
      </c>
      <c r="Q2032" t="s">
        <v>42</v>
      </c>
      <c r="R2032">
        <v>0</v>
      </c>
      <c r="S2032" t="s">
        <v>38</v>
      </c>
      <c r="T2032">
        <v>0</v>
      </c>
      <c r="U2032">
        <v>0</v>
      </c>
      <c r="V2032" t="s">
        <v>32</v>
      </c>
      <c r="W2032" t="s">
        <v>39</v>
      </c>
      <c r="X2032" s="4">
        <v>8.1999999999999993</v>
      </c>
      <c r="Y2032">
        <v>8</v>
      </c>
      <c r="Z2032" s="5">
        <v>99.66</v>
      </c>
    </row>
    <row r="2033" spans="1:26">
      <c r="A2033">
        <v>2032</v>
      </c>
      <c r="B2033">
        <v>666</v>
      </c>
      <c r="C2033" s="2">
        <v>46361</v>
      </c>
      <c r="D2033" t="s">
        <v>40</v>
      </c>
      <c r="E2033">
        <v>12</v>
      </c>
      <c r="F2033" s="3">
        <v>11.31</v>
      </c>
      <c r="G2033" t="s">
        <v>36</v>
      </c>
      <c r="H2033">
        <v>20</v>
      </c>
      <c r="I2033" t="s">
        <v>34</v>
      </c>
      <c r="J2033" s="4">
        <v>67.5</v>
      </c>
      <c r="K2033" s="4">
        <v>171.5</v>
      </c>
      <c r="L2033" s="4">
        <v>26.8</v>
      </c>
      <c r="M2033">
        <v>15</v>
      </c>
      <c r="N2033" t="s">
        <v>59</v>
      </c>
      <c r="O2033">
        <v>4</v>
      </c>
      <c r="P2033" s="4">
        <v>868.8</v>
      </c>
      <c r="Q2033" t="s">
        <v>42</v>
      </c>
      <c r="R2033">
        <v>0</v>
      </c>
      <c r="S2033" t="s">
        <v>38</v>
      </c>
      <c r="T2033">
        <v>0</v>
      </c>
      <c r="U2033">
        <v>0</v>
      </c>
      <c r="V2033" t="s">
        <v>32</v>
      </c>
      <c r="W2033" t="s">
        <v>39</v>
      </c>
      <c r="X2033" s="4">
        <v>8.6</v>
      </c>
      <c r="Y2033">
        <v>7</v>
      </c>
      <c r="Z2033" s="5">
        <v>175.24</v>
      </c>
    </row>
    <row r="2034" spans="1:26">
      <c r="A2034">
        <v>2033</v>
      </c>
      <c r="B2034">
        <v>666</v>
      </c>
      <c r="C2034" s="2">
        <v>46361</v>
      </c>
      <c r="D2034" t="s">
        <v>40</v>
      </c>
      <c r="E2034">
        <v>12</v>
      </c>
      <c r="F2034" s="3">
        <v>11.31</v>
      </c>
      <c r="G2034" t="s">
        <v>36</v>
      </c>
      <c r="H2034">
        <v>6</v>
      </c>
      <c r="I2034" t="s">
        <v>34</v>
      </c>
      <c r="J2034" s="4">
        <v>55.6</v>
      </c>
      <c r="K2034" s="4">
        <v>86</v>
      </c>
      <c r="L2034" s="4">
        <v>19.399999999999999</v>
      </c>
      <c r="M2034">
        <v>13</v>
      </c>
      <c r="N2034" t="s">
        <v>59</v>
      </c>
      <c r="O2034">
        <v>4</v>
      </c>
      <c r="P2034" s="4">
        <v>868.8</v>
      </c>
      <c r="Q2034" t="s">
        <v>42</v>
      </c>
      <c r="R2034">
        <v>0</v>
      </c>
      <c r="S2034" t="s">
        <v>38</v>
      </c>
      <c r="T2034">
        <v>0</v>
      </c>
      <c r="U2034">
        <v>0</v>
      </c>
      <c r="V2034" t="s">
        <v>32</v>
      </c>
      <c r="W2034" t="s">
        <v>39</v>
      </c>
      <c r="X2034" s="4">
        <v>5</v>
      </c>
      <c r="Y2034">
        <v>5</v>
      </c>
      <c r="Z2034" s="5">
        <v>138.88</v>
      </c>
    </row>
    <row r="2035" spans="1:26">
      <c r="A2035">
        <v>2034</v>
      </c>
      <c r="B2035">
        <v>667</v>
      </c>
      <c r="C2035" s="2">
        <v>46087</v>
      </c>
      <c r="D2035" t="s">
        <v>26</v>
      </c>
      <c r="E2035">
        <v>3</v>
      </c>
      <c r="F2035" s="3">
        <v>10.08</v>
      </c>
      <c r="G2035" t="s">
        <v>27</v>
      </c>
      <c r="H2035">
        <v>6</v>
      </c>
      <c r="I2035" t="s">
        <v>34</v>
      </c>
      <c r="J2035" s="4">
        <v>52.4</v>
      </c>
      <c r="K2035" s="4">
        <v>96.2</v>
      </c>
      <c r="L2035" s="4">
        <v>24.8</v>
      </c>
      <c r="M2035">
        <v>15</v>
      </c>
      <c r="N2035" t="s">
        <v>63</v>
      </c>
      <c r="O2035">
        <v>2</v>
      </c>
      <c r="P2035" s="4">
        <v>1820.2</v>
      </c>
      <c r="Q2035" t="s">
        <v>48</v>
      </c>
      <c r="R2035">
        <v>1</v>
      </c>
      <c r="S2035" t="s">
        <v>44</v>
      </c>
      <c r="T2035">
        <v>0</v>
      </c>
      <c r="U2035">
        <v>1</v>
      </c>
      <c r="V2035" t="s">
        <v>32</v>
      </c>
      <c r="W2035" t="s">
        <v>33</v>
      </c>
      <c r="X2035" s="4">
        <v>9.1</v>
      </c>
      <c r="Y2035">
        <v>6</v>
      </c>
      <c r="Z2035" s="5">
        <v>421.17</v>
      </c>
    </row>
    <row r="2036" spans="1:26">
      <c r="A2036">
        <v>2035</v>
      </c>
      <c r="B2036">
        <v>667</v>
      </c>
      <c r="C2036" s="2">
        <v>46087</v>
      </c>
      <c r="D2036" t="s">
        <v>26</v>
      </c>
      <c r="E2036">
        <v>3</v>
      </c>
      <c r="F2036" s="3">
        <v>9.9700000000000006</v>
      </c>
      <c r="G2036" t="s">
        <v>27</v>
      </c>
      <c r="H2036">
        <v>50</v>
      </c>
      <c r="I2036" t="s">
        <v>28</v>
      </c>
      <c r="J2036" s="4">
        <v>70.2</v>
      </c>
      <c r="K2036" s="4">
        <v>160.6</v>
      </c>
      <c r="L2036" s="4">
        <v>22.8</v>
      </c>
      <c r="M2036">
        <v>16</v>
      </c>
      <c r="N2036" t="s">
        <v>63</v>
      </c>
      <c r="O2036">
        <v>2</v>
      </c>
      <c r="P2036" s="4">
        <v>1820.2</v>
      </c>
      <c r="Q2036" t="s">
        <v>48</v>
      </c>
      <c r="R2036">
        <v>1</v>
      </c>
      <c r="S2036" t="s">
        <v>44</v>
      </c>
      <c r="T2036">
        <v>0</v>
      </c>
      <c r="U2036">
        <v>1</v>
      </c>
      <c r="V2036" t="s">
        <v>32</v>
      </c>
      <c r="W2036" t="s">
        <v>33</v>
      </c>
      <c r="X2036" s="4">
        <v>10.199999999999999</v>
      </c>
      <c r="Y2036">
        <v>9</v>
      </c>
      <c r="Z2036" s="5">
        <v>252.95</v>
      </c>
    </row>
    <row r="2037" spans="1:26">
      <c r="A2037">
        <v>2036</v>
      </c>
      <c r="B2037">
        <v>668</v>
      </c>
      <c r="C2037" s="2">
        <v>46130</v>
      </c>
      <c r="D2037" t="s">
        <v>40</v>
      </c>
      <c r="E2037">
        <v>4</v>
      </c>
      <c r="F2037" s="3">
        <v>12.53</v>
      </c>
      <c r="G2037" t="s">
        <v>36</v>
      </c>
      <c r="H2037">
        <v>42</v>
      </c>
      <c r="I2037" t="s">
        <v>34</v>
      </c>
      <c r="J2037" s="4">
        <v>64.599999999999994</v>
      </c>
      <c r="K2037" s="4">
        <v>133.9</v>
      </c>
      <c r="L2037" s="4">
        <v>22.6</v>
      </c>
      <c r="M2037">
        <v>15</v>
      </c>
      <c r="N2037" t="s">
        <v>60</v>
      </c>
      <c r="O2037">
        <v>1</v>
      </c>
      <c r="P2037" s="4">
        <v>1281.9000000000001</v>
      </c>
      <c r="Q2037" t="s">
        <v>48</v>
      </c>
      <c r="R2037">
        <v>0</v>
      </c>
      <c r="S2037" t="s">
        <v>31</v>
      </c>
      <c r="T2037">
        <v>1</v>
      </c>
      <c r="U2037">
        <v>0</v>
      </c>
      <c r="V2037" t="s">
        <v>32</v>
      </c>
      <c r="W2037" t="s">
        <v>49</v>
      </c>
      <c r="X2037" s="4">
        <v>7.8</v>
      </c>
      <c r="Y2037">
        <v>11</v>
      </c>
      <c r="Z2037" s="5">
        <v>364.73</v>
      </c>
    </row>
    <row r="2038" spans="1:26">
      <c r="A2038">
        <v>2037</v>
      </c>
      <c r="B2038">
        <v>669</v>
      </c>
      <c r="C2038" s="2">
        <v>46289</v>
      </c>
      <c r="D2038" t="s">
        <v>55</v>
      </c>
      <c r="E2038">
        <v>9</v>
      </c>
      <c r="F2038" s="3">
        <v>9.2200000000000006</v>
      </c>
      <c r="G2038" t="s">
        <v>27</v>
      </c>
      <c r="H2038">
        <v>21</v>
      </c>
      <c r="I2038" t="s">
        <v>28</v>
      </c>
      <c r="J2038" s="4">
        <v>65.2</v>
      </c>
      <c r="K2038" s="4">
        <v>166</v>
      </c>
      <c r="L2038" s="4">
        <v>27.4</v>
      </c>
      <c r="M2038">
        <v>12</v>
      </c>
      <c r="N2038" t="s">
        <v>61</v>
      </c>
      <c r="O2038">
        <v>1</v>
      </c>
      <c r="P2038" s="4">
        <v>1573.1</v>
      </c>
      <c r="Q2038" t="s">
        <v>42</v>
      </c>
      <c r="R2038">
        <v>1</v>
      </c>
      <c r="S2038" t="s">
        <v>31</v>
      </c>
      <c r="T2038">
        <v>0</v>
      </c>
      <c r="U2038">
        <v>1</v>
      </c>
      <c r="V2038" t="s">
        <v>32</v>
      </c>
      <c r="W2038" t="s">
        <v>39</v>
      </c>
      <c r="X2038" s="4">
        <v>13</v>
      </c>
      <c r="Y2038">
        <v>9</v>
      </c>
      <c r="Z2038" s="5">
        <v>234.05</v>
      </c>
    </row>
    <row r="2039" spans="1:26">
      <c r="A2039">
        <v>2038</v>
      </c>
      <c r="B2039">
        <v>670</v>
      </c>
      <c r="C2039" s="2">
        <v>46247</v>
      </c>
      <c r="D2039" t="s">
        <v>55</v>
      </c>
      <c r="E2039">
        <v>8</v>
      </c>
      <c r="F2039" s="3">
        <v>13.28</v>
      </c>
      <c r="G2039" t="s">
        <v>36</v>
      </c>
      <c r="H2039">
        <v>43</v>
      </c>
      <c r="I2039" t="s">
        <v>34</v>
      </c>
      <c r="J2039" s="4">
        <v>65.900000000000006</v>
      </c>
      <c r="K2039" s="4">
        <v>143.30000000000001</v>
      </c>
      <c r="L2039" s="4">
        <v>23.3</v>
      </c>
      <c r="M2039">
        <v>14</v>
      </c>
      <c r="N2039" t="s">
        <v>50</v>
      </c>
      <c r="O2039">
        <v>3</v>
      </c>
      <c r="P2039" s="4">
        <v>490.3</v>
      </c>
      <c r="Q2039" t="s">
        <v>42</v>
      </c>
      <c r="R2039">
        <v>1</v>
      </c>
      <c r="S2039" t="s">
        <v>38</v>
      </c>
      <c r="T2039">
        <v>0</v>
      </c>
      <c r="U2039">
        <v>0</v>
      </c>
      <c r="V2039" t="s">
        <v>32</v>
      </c>
      <c r="W2039" t="s">
        <v>49</v>
      </c>
      <c r="X2039" s="4">
        <v>6.2</v>
      </c>
      <c r="Y2039">
        <v>8</v>
      </c>
      <c r="Z2039" s="5">
        <v>269.31</v>
      </c>
    </row>
    <row r="2040" spans="1:26">
      <c r="A2040">
        <v>2039</v>
      </c>
      <c r="B2040">
        <v>670</v>
      </c>
      <c r="C2040" s="2">
        <v>46247</v>
      </c>
      <c r="D2040" t="s">
        <v>55</v>
      </c>
      <c r="E2040">
        <v>8</v>
      </c>
      <c r="F2040" s="3">
        <v>13.45</v>
      </c>
      <c r="G2040" t="s">
        <v>36</v>
      </c>
      <c r="H2040">
        <v>62</v>
      </c>
      <c r="I2040" t="s">
        <v>28</v>
      </c>
      <c r="J2040" s="4">
        <v>63.5</v>
      </c>
      <c r="K2040" s="4">
        <v>155.4</v>
      </c>
      <c r="L2040" s="4">
        <v>27.2</v>
      </c>
      <c r="M2040">
        <v>16</v>
      </c>
      <c r="N2040" t="s">
        <v>50</v>
      </c>
      <c r="O2040">
        <v>3</v>
      </c>
      <c r="P2040" s="4">
        <v>490.3</v>
      </c>
      <c r="Q2040" t="s">
        <v>42</v>
      </c>
      <c r="R2040">
        <v>1</v>
      </c>
      <c r="S2040" t="s">
        <v>38</v>
      </c>
      <c r="T2040">
        <v>0</v>
      </c>
      <c r="U2040">
        <v>0</v>
      </c>
      <c r="V2040" t="s">
        <v>32</v>
      </c>
      <c r="W2040" t="s">
        <v>49</v>
      </c>
      <c r="X2040" s="4">
        <v>8.1999999999999993</v>
      </c>
      <c r="Y2040">
        <v>12</v>
      </c>
      <c r="Z2040" s="5">
        <v>245.94</v>
      </c>
    </row>
    <row r="2041" spans="1:26">
      <c r="A2041">
        <v>2040</v>
      </c>
      <c r="B2041">
        <v>670</v>
      </c>
      <c r="C2041" s="2">
        <v>46247</v>
      </c>
      <c r="D2041" t="s">
        <v>55</v>
      </c>
      <c r="E2041">
        <v>8</v>
      </c>
      <c r="F2041" s="3">
        <v>13.54</v>
      </c>
      <c r="G2041" t="s">
        <v>36</v>
      </c>
      <c r="H2041">
        <v>67</v>
      </c>
      <c r="I2041" t="s">
        <v>28</v>
      </c>
      <c r="J2041" s="4">
        <v>70.099999999999994</v>
      </c>
      <c r="K2041" s="4">
        <v>225.9</v>
      </c>
      <c r="L2041" s="4">
        <v>32.5</v>
      </c>
      <c r="M2041">
        <v>13</v>
      </c>
      <c r="N2041" t="s">
        <v>50</v>
      </c>
      <c r="O2041">
        <v>3</v>
      </c>
      <c r="P2041" s="4">
        <v>490.3</v>
      </c>
      <c r="Q2041" t="s">
        <v>42</v>
      </c>
      <c r="R2041">
        <v>1</v>
      </c>
      <c r="S2041" t="s">
        <v>38</v>
      </c>
      <c r="T2041">
        <v>0</v>
      </c>
      <c r="U2041">
        <v>0</v>
      </c>
      <c r="V2041" t="s">
        <v>32</v>
      </c>
      <c r="W2041" t="s">
        <v>49</v>
      </c>
      <c r="X2041" s="4">
        <v>7.8</v>
      </c>
      <c r="Y2041">
        <v>5</v>
      </c>
      <c r="Z2041" s="5">
        <v>208.64</v>
      </c>
    </row>
    <row r="2042" spans="1:26">
      <c r="A2042">
        <v>2041</v>
      </c>
      <c r="B2042">
        <v>671</v>
      </c>
      <c r="C2042" s="2">
        <v>46200</v>
      </c>
      <c r="D2042" t="s">
        <v>40</v>
      </c>
      <c r="E2042">
        <v>6</v>
      </c>
      <c r="F2042" s="3">
        <v>7.08</v>
      </c>
      <c r="G2042" t="s">
        <v>27</v>
      </c>
      <c r="H2042">
        <v>62</v>
      </c>
      <c r="I2042" t="s">
        <v>28</v>
      </c>
      <c r="J2042" s="4">
        <v>75.3</v>
      </c>
      <c r="K2042" s="4">
        <v>166.8</v>
      </c>
      <c r="L2042" s="4">
        <v>20.7</v>
      </c>
      <c r="M2042">
        <v>14</v>
      </c>
      <c r="N2042" t="s">
        <v>66</v>
      </c>
      <c r="O2042">
        <v>2</v>
      </c>
      <c r="P2042" s="4">
        <v>530.29999999999995</v>
      </c>
      <c r="Q2042" t="s">
        <v>30</v>
      </c>
      <c r="R2042">
        <v>0</v>
      </c>
      <c r="S2042" t="s">
        <v>44</v>
      </c>
      <c r="T2042">
        <v>0</v>
      </c>
      <c r="U2042">
        <v>1</v>
      </c>
      <c r="V2042" t="s">
        <v>32</v>
      </c>
      <c r="W2042" t="s">
        <v>39</v>
      </c>
      <c r="X2042" s="4">
        <v>10.4</v>
      </c>
      <c r="Y2042">
        <v>8</v>
      </c>
      <c r="Z2042" s="5">
        <v>156.68</v>
      </c>
    </row>
    <row r="2043" spans="1:26">
      <c r="A2043">
        <v>2042</v>
      </c>
      <c r="B2043">
        <v>671</v>
      </c>
      <c r="C2043" s="2">
        <v>46200</v>
      </c>
      <c r="D2043" t="s">
        <v>40</v>
      </c>
      <c r="E2043">
        <v>6</v>
      </c>
      <c r="F2043" s="3">
        <v>7.14</v>
      </c>
      <c r="G2043" t="s">
        <v>27</v>
      </c>
      <c r="H2043">
        <v>28</v>
      </c>
      <c r="I2043" t="s">
        <v>34</v>
      </c>
      <c r="J2043" s="4">
        <v>61.4</v>
      </c>
      <c r="K2043" s="4">
        <v>110.6</v>
      </c>
      <c r="L2043" s="4">
        <v>20.7</v>
      </c>
      <c r="M2043">
        <v>15</v>
      </c>
      <c r="N2043" t="s">
        <v>66</v>
      </c>
      <c r="O2043">
        <v>2</v>
      </c>
      <c r="P2043" s="4">
        <v>530.29999999999995</v>
      </c>
      <c r="Q2043" t="s">
        <v>30</v>
      </c>
      <c r="R2043">
        <v>0</v>
      </c>
      <c r="S2043" t="s">
        <v>44</v>
      </c>
      <c r="T2043">
        <v>0</v>
      </c>
      <c r="U2043">
        <v>1</v>
      </c>
      <c r="V2043" t="s">
        <v>32</v>
      </c>
      <c r="W2043" t="s">
        <v>39</v>
      </c>
      <c r="X2043" s="4">
        <v>8</v>
      </c>
      <c r="Y2043">
        <v>7</v>
      </c>
      <c r="Z2043" s="5">
        <v>147.01</v>
      </c>
    </row>
    <row r="2044" spans="1:26">
      <c r="A2044">
        <v>2043</v>
      </c>
      <c r="B2044">
        <v>672</v>
      </c>
      <c r="C2044" s="2">
        <v>46107</v>
      </c>
      <c r="D2044" t="s">
        <v>55</v>
      </c>
      <c r="E2044">
        <v>3</v>
      </c>
      <c r="F2044" s="3">
        <v>8.06</v>
      </c>
      <c r="G2044" t="s">
        <v>27</v>
      </c>
      <c r="H2044">
        <v>26</v>
      </c>
      <c r="I2044" t="s">
        <v>34</v>
      </c>
      <c r="J2044" s="4">
        <v>63.5</v>
      </c>
      <c r="K2044" s="4">
        <v>145.4</v>
      </c>
      <c r="L2044" s="4">
        <v>25.3</v>
      </c>
      <c r="M2044">
        <v>12</v>
      </c>
      <c r="N2044" t="s">
        <v>47</v>
      </c>
      <c r="O2044">
        <v>5</v>
      </c>
      <c r="P2044" s="4">
        <v>114.2</v>
      </c>
      <c r="Q2044" t="s">
        <v>42</v>
      </c>
      <c r="R2044">
        <v>0</v>
      </c>
      <c r="S2044" t="s">
        <v>44</v>
      </c>
      <c r="T2044">
        <v>0</v>
      </c>
      <c r="U2044">
        <v>1</v>
      </c>
      <c r="V2044" t="s">
        <v>32</v>
      </c>
      <c r="W2044" t="s">
        <v>33</v>
      </c>
      <c r="X2044" s="4">
        <v>9.1</v>
      </c>
      <c r="Y2044">
        <v>10</v>
      </c>
      <c r="Z2044" s="5">
        <v>206.64</v>
      </c>
    </row>
    <row r="2045" spans="1:26">
      <c r="A2045">
        <v>2044</v>
      </c>
      <c r="B2045">
        <v>672</v>
      </c>
      <c r="C2045" s="2">
        <v>46107</v>
      </c>
      <c r="D2045" t="s">
        <v>55</v>
      </c>
      <c r="E2045">
        <v>3</v>
      </c>
      <c r="F2045" s="3">
        <v>8.0500000000000007</v>
      </c>
      <c r="G2045" t="s">
        <v>27</v>
      </c>
      <c r="H2045">
        <v>57</v>
      </c>
      <c r="I2045" t="s">
        <v>28</v>
      </c>
      <c r="J2045" s="4">
        <v>68.8</v>
      </c>
      <c r="K2045" s="4">
        <v>168.7</v>
      </c>
      <c r="L2045" s="4">
        <v>25.2</v>
      </c>
      <c r="M2045">
        <v>14</v>
      </c>
      <c r="N2045" t="s">
        <v>47</v>
      </c>
      <c r="O2045">
        <v>5</v>
      </c>
      <c r="P2045" s="4">
        <v>114.2</v>
      </c>
      <c r="Q2045" t="s">
        <v>42</v>
      </c>
      <c r="R2045">
        <v>0</v>
      </c>
      <c r="S2045" t="s">
        <v>44</v>
      </c>
      <c r="T2045">
        <v>0</v>
      </c>
      <c r="U2045">
        <v>1</v>
      </c>
      <c r="V2045" t="s">
        <v>32</v>
      </c>
      <c r="W2045" t="s">
        <v>33</v>
      </c>
      <c r="X2045" s="4">
        <v>8.4</v>
      </c>
      <c r="Y2045">
        <v>10</v>
      </c>
      <c r="Z2045" s="5">
        <v>212.12</v>
      </c>
    </row>
    <row r="2046" spans="1:26">
      <c r="A2046">
        <v>2045</v>
      </c>
      <c r="B2046">
        <v>672</v>
      </c>
      <c r="C2046" s="2">
        <v>46107</v>
      </c>
      <c r="D2046" t="s">
        <v>55</v>
      </c>
      <c r="E2046">
        <v>3</v>
      </c>
      <c r="F2046" s="3">
        <v>7.92</v>
      </c>
      <c r="G2046" t="s">
        <v>27</v>
      </c>
      <c r="H2046">
        <v>27</v>
      </c>
      <c r="I2046" t="s">
        <v>28</v>
      </c>
      <c r="J2046" s="4">
        <v>72.400000000000006</v>
      </c>
      <c r="K2046" s="4">
        <v>194.7</v>
      </c>
      <c r="L2046" s="4">
        <v>26.2</v>
      </c>
      <c r="M2046">
        <v>21</v>
      </c>
      <c r="N2046" t="s">
        <v>47</v>
      </c>
      <c r="O2046">
        <v>5</v>
      </c>
      <c r="P2046" s="4">
        <v>114.2</v>
      </c>
      <c r="Q2046" t="s">
        <v>42</v>
      </c>
      <c r="R2046">
        <v>0</v>
      </c>
      <c r="S2046" t="s">
        <v>44</v>
      </c>
      <c r="T2046">
        <v>0</v>
      </c>
      <c r="U2046">
        <v>1</v>
      </c>
      <c r="V2046" t="s">
        <v>32</v>
      </c>
      <c r="W2046" t="s">
        <v>33</v>
      </c>
      <c r="X2046" s="4">
        <v>8.6999999999999993</v>
      </c>
      <c r="Y2046">
        <v>9</v>
      </c>
      <c r="Z2046" s="5">
        <v>299.86</v>
      </c>
    </row>
    <row r="2047" spans="1:26">
      <c r="A2047">
        <v>2046</v>
      </c>
      <c r="B2047">
        <v>672</v>
      </c>
      <c r="C2047" s="2">
        <v>46107</v>
      </c>
      <c r="D2047" t="s">
        <v>55</v>
      </c>
      <c r="E2047">
        <v>3</v>
      </c>
      <c r="F2047" s="3">
        <v>8.0299999999999994</v>
      </c>
      <c r="G2047" t="s">
        <v>27</v>
      </c>
      <c r="H2047">
        <v>63</v>
      </c>
      <c r="I2047" t="s">
        <v>34</v>
      </c>
      <c r="J2047" s="4">
        <v>60.3</v>
      </c>
      <c r="K2047" s="4">
        <v>135.4</v>
      </c>
      <c r="L2047" s="4">
        <v>26.3</v>
      </c>
      <c r="M2047">
        <v>13</v>
      </c>
      <c r="N2047" t="s">
        <v>47</v>
      </c>
      <c r="O2047">
        <v>5</v>
      </c>
      <c r="P2047" s="4">
        <v>114.2</v>
      </c>
      <c r="Q2047" t="s">
        <v>42</v>
      </c>
      <c r="R2047">
        <v>0</v>
      </c>
      <c r="S2047" t="s">
        <v>44</v>
      </c>
      <c r="T2047">
        <v>0</v>
      </c>
      <c r="U2047">
        <v>1</v>
      </c>
      <c r="V2047" t="s">
        <v>32</v>
      </c>
      <c r="W2047" t="s">
        <v>33</v>
      </c>
      <c r="X2047" s="4">
        <v>8.3000000000000007</v>
      </c>
      <c r="Y2047">
        <v>8</v>
      </c>
      <c r="Z2047" s="5">
        <v>158.31</v>
      </c>
    </row>
    <row r="2048" spans="1:26">
      <c r="A2048">
        <v>2047</v>
      </c>
      <c r="B2048">
        <v>672</v>
      </c>
      <c r="C2048" s="2">
        <v>46107</v>
      </c>
      <c r="D2048" t="s">
        <v>55</v>
      </c>
      <c r="E2048">
        <v>3</v>
      </c>
      <c r="F2048" s="3">
        <v>7.89</v>
      </c>
      <c r="G2048" t="s">
        <v>27</v>
      </c>
      <c r="H2048">
        <v>56</v>
      </c>
      <c r="I2048" t="s">
        <v>28</v>
      </c>
      <c r="J2048" s="4">
        <v>70.5</v>
      </c>
      <c r="K2048" s="4">
        <v>128.5</v>
      </c>
      <c r="L2048" s="4">
        <v>17.899999999999999</v>
      </c>
      <c r="M2048">
        <v>14</v>
      </c>
      <c r="N2048" t="s">
        <v>47</v>
      </c>
      <c r="O2048">
        <v>5</v>
      </c>
      <c r="P2048" s="4">
        <v>114.2</v>
      </c>
      <c r="Q2048" t="s">
        <v>42</v>
      </c>
      <c r="R2048">
        <v>0</v>
      </c>
      <c r="S2048" t="s">
        <v>44</v>
      </c>
      <c r="T2048">
        <v>0</v>
      </c>
      <c r="U2048">
        <v>1</v>
      </c>
      <c r="V2048" t="s">
        <v>32</v>
      </c>
      <c r="W2048" t="s">
        <v>33</v>
      </c>
      <c r="X2048" s="4">
        <v>6.9</v>
      </c>
      <c r="Y2048">
        <v>0</v>
      </c>
      <c r="Z2048" s="5">
        <v>181.71</v>
      </c>
    </row>
    <row r="2049" spans="1:26">
      <c r="A2049">
        <v>2048</v>
      </c>
      <c r="B2049">
        <v>673</v>
      </c>
      <c r="C2049" s="2">
        <v>46275</v>
      </c>
      <c r="D2049" t="s">
        <v>55</v>
      </c>
      <c r="E2049">
        <v>9</v>
      </c>
      <c r="F2049" s="3">
        <v>12.31</v>
      </c>
      <c r="G2049" t="s">
        <v>36</v>
      </c>
      <c r="H2049">
        <v>8</v>
      </c>
      <c r="I2049" t="s">
        <v>28</v>
      </c>
      <c r="J2049" s="4">
        <v>67.900000000000006</v>
      </c>
      <c r="K2049" s="4">
        <v>162.19999999999999</v>
      </c>
      <c r="L2049" s="4">
        <v>24.4</v>
      </c>
      <c r="M2049">
        <v>10</v>
      </c>
      <c r="N2049" t="s">
        <v>60</v>
      </c>
      <c r="O2049">
        <v>1</v>
      </c>
      <c r="P2049" s="4">
        <v>1710.1</v>
      </c>
      <c r="Q2049" t="s">
        <v>30</v>
      </c>
      <c r="R2049">
        <v>0</v>
      </c>
      <c r="S2049" t="s">
        <v>38</v>
      </c>
      <c r="T2049">
        <v>1</v>
      </c>
      <c r="U2049">
        <v>1</v>
      </c>
      <c r="V2049" t="s">
        <v>32</v>
      </c>
      <c r="W2049" t="s">
        <v>33</v>
      </c>
      <c r="X2049" s="4">
        <v>8.6999999999999993</v>
      </c>
      <c r="Y2049">
        <v>11</v>
      </c>
      <c r="Z2049" s="5">
        <v>172.46</v>
      </c>
    </row>
    <row r="2050" spans="1:26">
      <c r="A2050">
        <v>2049</v>
      </c>
      <c r="B2050">
        <v>674</v>
      </c>
      <c r="C2050" s="2">
        <v>46061</v>
      </c>
      <c r="D2050" t="s">
        <v>58</v>
      </c>
      <c r="E2050">
        <v>2</v>
      </c>
      <c r="F2050" s="3">
        <v>11.02</v>
      </c>
      <c r="G2050" t="s">
        <v>36</v>
      </c>
      <c r="H2050">
        <v>47</v>
      </c>
      <c r="I2050" t="s">
        <v>34</v>
      </c>
      <c r="J2050" s="4">
        <v>64.900000000000006</v>
      </c>
      <c r="K2050" s="4">
        <v>200.8</v>
      </c>
      <c r="L2050" s="4">
        <v>33.5</v>
      </c>
      <c r="M2050">
        <v>16</v>
      </c>
      <c r="N2050" t="s">
        <v>47</v>
      </c>
      <c r="O2050">
        <v>5</v>
      </c>
      <c r="P2050" s="4">
        <v>61.1</v>
      </c>
      <c r="Q2050" t="s">
        <v>42</v>
      </c>
      <c r="R2050">
        <v>1</v>
      </c>
      <c r="S2050" t="s">
        <v>44</v>
      </c>
      <c r="T2050">
        <v>0</v>
      </c>
      <c r="U2050">
        <v>0</v>
      </c>
      <c r="V2050" t="s">
        <v>32</v>
      </c>
      <c r="W2050" t="s">
        <v>43</v>
      </c>
      <c r="X2050" s="4">
        <v>8.4</v>
      </c>
      <c r="Y2050">
        <v>9</v>
      </c>
      <c r="Z2050" s="5">
        <v>177.25</v>
      </c>
    </row>
    <row r="2051" spans="1:26">
      <c r="A2051">
        <v>2050</v>
      </c>
      <c r="B2051">
        <v>674</v>
      </c>
      <c r="C2051" s="2">
        <v>46061</v>
      </c>
      <c r="D2051" t="s">
        <v>58</v>
      </c>
      <c r="E2051">
        <v>2</v>
      </c>
      <c r="F2051" s="3">
        <v>10.97</v>
      </c>
      <c r="G2051" t="s">
        <v>27</v>
      </c>
      <c r="H2051">
        <v>13</v>
      </c>
      <c r="I2051" t="s">
        <v>34</v>
      </c>
      <c r="J2051" s="4">
        <v>65.099999999999994</v>
      </c>
      <c r="K2051" s="4">
        <v>102.3</v>
      </c>
      <c r="L2051" s="4">
        <v>17.100000000000001</v>
      </c>
      <c r="M2051">
        <v>13</v>
      </c>
      <c r="N2051" t="s">
        <v>47</v>
      </c>
      <c r="O2051">
        <v>5</v>
      </c>
      <c r="P2051" s="4">
        <v>61.1</v>
      </c>
      <c r="Q2051" t="s">
        <v>42</v>
      </c>
      <c r="R2051">
        <v>1</v>
      </c>
      <c r="S2051" t="s">
        <v>44</v>
      </c>
      <c r="T2051">
        <v>0</v>
      </c>
      <c r="U2051">
        <v>0</v>
      </c>
      <c r="V2051" t="s">
        <v>32</v>
      </c>
      <c r="W2051" t="s">
        <v>43</v>
      </c>
      <c r="X2051" s="4">
        <v>6</v>
      </c>
      <c r="Y2051">
        <v>3</v>
      </c>
      <c r="Z2051" s="5">
        <v>201.42</v>
      </c>
    </row>
    <row r="2052" spans="1:26">
      <c r="A2052">
        <v>2051</v>
      </c>
      <c r="B2052">
        <v>674</v>
      </c>
      <c r="C2052" s="2">
        <v>46061</v>
      </c>
      <c r="D2052" t="s">
        <v>58</v>
      </c>
      <c r="E2052">
        <v>2</v>
      </c>
      <c r="F2052" s="3">
        <v>11.21</v>
      </c>
      <c r="G2052" t="s">
        <v>36</v>
      </c>
      <c r="H2052">
        <v>80</v>
      </c>
      <c r="I2052" t="s">
        <v>28</v>
      </c>
      <c r="J2052" s="4">
        <v>72.3</v>
      </c>
      <c r="K2052" s="4">
        <v>228.9</v>
      </c>
      <c r="L2052" s="4">
        <v>30.8</v>
      </c>
      <c r="M2052">
        <v>17</v>
      </c>
      <c r="N2052" t="s">
        <v>47</v>
      </c>
      <c r="O2052">
        <v>5</v>
      </c>
      <c r="P2052" s="4">
        <v>61.1</v>
      </c>
      <c r="Q2052" t="s">
        <v>42</v>
      </c>
      <c r="R2052">
        <v>1</v>
      </c>
      <c r="S2052" t="s">
        <v>44</v>
      </c>
      <c r="T2052">
        <v>0</v>
      </c>
      <c r="U2052">
        <v>0</v>
      </c>
      <c r="V2052" t="s">
        <v>32</v>
      </c>
      <c r="W2052" t="s">
        <v>43</v>
      </c>
      <c r="X2052" s="4">
        <v>10.4</v>
      </c>
      <c r="Y2052">
        <v>13</v>
      </c>
      <c r="Z2052" s="5">
        <v>412.47</v>
      </c>
    </row>
    <row r="2053" spans="1:26">
      <c r="A2053">
        <v>2052</v>
      </c>
      <c r="B2053">
        <v>674</v>
      </c>
      <c r="C2053" s="2">
        <v>46061</v>
      </c>
      <c r="D2053" t="s">
        <v>58</v>
      </c>
      <c r="E2053">
        <v>2</v>
      </c>
      <c r="F2053" s="3">
        <v>11.11</v>
      </c>
      <c r="G2053" t="s">
        <v>36</v>
      </c>
      <c r="H2053">
        <v>59</v>
      </c>
      <c r="I2053" t="s">
        <v>34</v>
      </c>
      <c r="J2053" s="4">
        <v>62.7</v>
      </c>
      <c r="K2053" s="4">
        <v>127.5</v>
      </c>
      <c r="L2053" s="4">
        <v>22.8</v>
      </c>
      <c r="M2053">
        <v>16</v>
      </c>
      <c r="N2053" t="s">
        <v>47</v>
      </c>
      <c r="O2053">
        <v>5</v>
      </c>
      <c r="P2053" s="4">
        <v>61.1</v>
      </c>
      <c r="Q2053" t="s">
        <v>42</v>
      </c>
      <c r="R2053">
        <v>1</v>
      </c>
      <c r="S2053" t="s">
        <v>44</v>
      </c>
      <c r="T2053">
        <v>0</v>
      </c>
      <c r="U2053">
        <v>0</v>
      </c>
      <c r="V2053" t="s">
        <v>32</v>
      </c>
      <c r="W2053" t="s">
        <v>43</v>
      </c>
      <c r="X2053" s="4">
        <v>7.7</v>
      </c>
      <c r="Y2053">
        <v>4</v>
      </c>
      <c r="Z2053" s="5">
        <v>126.05</v>
      </c>
    </row>
    <row r="2054" spans="1:26">
      <c r="A2054">
        <v>2053</v>
      </c>
      <c r="B2054">
        <v>674</v>
      </c>
      <c r="C2054" s="2">
        <v>46061</v>
      </c>
      <c r="D2054" t="s">
        <v>58</v>
      </c>
      <c r="E2054">
        <v>2</v>
      </c>
      <c r="F2054" s="3">
        <v>11.15</v>
      </c>
      <c r="G2054" t="s">
        <v>36</v>
      </c>
      <c r="H2054">
        <v>18</v>
      </c>
      <c r="I2054" t="s">
        <v>28</v>
      </c>
      <c r="J2054" s="4">
        <v>71.8</v>
      </c>
      <c r="K2054" s="4">
        <v>192.3</v>
      </c>
      <c r="L2054" s="4">
        <v>26.4</v>
      </c>
      <c r="M2054">
        <v>13</v>
      </c>
      <c r="N2054" t="s">
        <v>47</v>
      </c>
      <c r="O2054">
        <v>5</v>
      </c>
      <c r="P2054" s="4">
        <v>61.1</v>
      </c>
      <c r="Q2054" t="s">
        <v>42</v>
      </c>
      <c r="R2054">
        <v>1</v>
      </c>
      <c r="S2054" t="s">
        <v>44</v>
      </c>
      <c r="T2054">
        <v>0</v>
      </c>
      <c r="U2054">
        <v>0</v>
      </c>
      <c r="V2054" t="s">
        <v>32</v>
      </c>
      <c r="W2054" t="s">
        <v>43</v>
      </c>
      <c r="X2054" s="4">
        <v>9.1999999999999993</v>
      </c>
      <c r="Y2054">
        <v>7</v>
      </c>
      <c r="Z2054" s="5">
        <v>233.29</v>
      </c>
    </row>
    <row r="2055" spans="1:26">
      <c r="A2055">
        <v>2054</v>
      </c>
      <c r="B2055">
        <v>675</v>
      </c>
      <c r="C2055" s="2">
        <v>46152</v>
      </c>
      <c r="D2055" t="s">
        <v>58</v>
      </c>
      <c r="E2055">
        <v>5</v>
      </c>
      <c r="F2055" s="3">
        <v>8.42</v>
      </c>
      <c r="G2055" t="s">
        <v>27</v>
      </c>
      <c r="H2055">
        <v>47</v>
      </c>
      <c r="I2055" t="s">
        <v>28</v>
      </c>
      <c r="J2055" s="4">
        <v>73.7</v>
      </c>
      <c r="K2055" s="4">
        <v>217.2</v>
      </c>
      <c r="L2055" s="4">
        <v>28.2</v>
      </c>
      <c r="M2055">
        <v>20</v>
      </c>
      <c r="N2055" t="s">
        <v>60</v>
      </c>
      <c r="O2055">
        <v>5</v>
      </c>
      <c r="P2055" s="4">
        <v>1262.0999999999999</v>
      </c>
      <c r="Q2055" t="s">
        <v>48</v>
      </c>
      <c r="R2055">
        <v>1</v>
      </c>
      <c r="S2055" t="s">
        <v>44</v>
      </c>
      <c r="T2055">
        <v>0</v>
      </c>
      <c r="U2055">
        <v>0</v>
      </c>
      <c r="V2055" t="s">
        <v>45</v>
      </c>
      <c r="W2055" t="s">
        <v>39</v>
      </c>
      <c r="X2055" s="4">
        <v>6.2</v>
      </c>
      <c r="Y2055">
        <v>8</v>
      </c>
      <c r="Z2055" s="5">
        <v>238.09</v>
      </c>
    </row>
    <row r="2056" spans="1:26">
      <c r="A2056">
        <v>2055</v>
      </c>
      <c r="B2056">
        <v>675</v>
      </c>
      <c r="C2056" s="2">
        <v>46152</v>
      </c>
      <c r="D2056" t="s">
        <v>58</v>
      </c>
      <c r="E2056">
        <v>5</v>
      </c>
      <c r="F2056" s="3">
        <v>8.6</v>
      </c>
      <c r="G2056" t="s">
        <v>27</v>
      </c>
      <c r="H2056">
        <v>12</v>
      </c>
      <c r="I2056" t="s">
        <v>28</v>
      </c>
      <c r="J2056" s="4">
        <v>70</v>
      </c>
      <c r="K2056" s="4">
        <v>99.9</v>
      </c>
      <c r="L2056" s="4">
        <v>14.4</v>
      </c>
      <c r="M2056">
        <v>17</v>
      </c>
      <c r="N2056" t="s">
        <v>60</v>
      </c>
      <c r="O2056">
        <v>5</v>
      </c>
      <c r="P2056" s="4">
        <v>1262.0999999999999</v>
      </c>
      <c r="Q2056" t="s">
        <v>48</v>
      </c>
      <c r="R2056">
        <v>1</v>
      </c>
      <c r="S2056" t="s">
        <v>44</v>
      </c>
      <c r="T2056">
        <v>0</v>
      </c>
      <c r="U2056">
        <v>0</v>
      </c>
      <c r="V2056" t="s">
        <v>45</v>
      </c>
      <c r="W2056" t="s">
        <v>39</v>
      </c>
      <c r="X2056" s="4">
        <v>9.1999999999999993</v>
      </c>
      <c r="Y2056">
        <v>8</v>
      </c>
      <c r="Z2056" s="5">
        <v>193.14</v>
      </c>
    </row>
    <row r="2057" spans="1:26">
      <c r="A2057">
        <v>2056</v>
      </c>
      <c r="B2057">
        <v>675</v>
      </c>
      <c r="C2057" s="2">
        <v>46152</v>
      </c>
      <c r="D2057" t="s">
        <v>58</v>
      </c>
      <c r="E2057">
        <v>5</v>
      </c>
      <c r="F2057" s="3">
        <v>8.3699999999999992</v>
      </c>
      <c r="G2057" t="s">
        <v>27</v>
      </c>
      <c r="H2057">
        <v>67</v>
      </c>
      <c r="I2057" t="s">
        <v>28</v>
      </c>
      <c r="J2057" s="4">
        <v>63.3</v>
      </c>
      <c r="K2057" s="4">
        <v>137.19999999999999</v>
      </c>
      <c r="L2057" s="4">
        <v>24.1</v>
      </c>
      <c r="M2057">
        <v>22</v>
      </c>
      <c r="N2057" t="s">
        <v>60</v>
      </c>
      <c r="O2057">
        <v>5</v>
      </c>
      <c r="P2057" s="4">
        <v>1262.0999999999999</v>
      </c>
      <c r="Q2057" t="s">
        <v>48</v>
      </c>
      <c r="R2057">
        <v>1</v>
      </c>
      <c r="S2057" t="s">
        <v>44</v>
      </c>
      <c r="T2057">
        <v>0</v>
      </c>
      <c r="U2057">
        <v>0</v>
      </c>
      <c r="V2057" t="s">
        <v>45</v>
      </c>
      <c r="W2057" t="s">
        <v>39</v>
      </c>
      <c r="X2057" s="4">
        <v>9.6999999999999993</v>
      </c>
      <c r="Y2057">
        <v>12</v>
      </c>
      <c r="Z2057" s="5">
        <v>404.63</v>
      </c>
    </row>
    <row r="2058" spans="1:26">
      <c r="A2058">
        <v>2057</v>
      </c>
      <c r="B2058">
        <v>675</v>
      </c>
      <c r="C2058" s="2">
        <v>46152</v>
      </c>
      <c r="D2058" t="s">
        <v>58</v>
      </c>
      <c r="E2058">
        <v>5</v>
      </c>
      <c r="F2058" s="3">
        <v>8.0500000000000007</v>
      </c>
      <c r="G2058" t="s">
        <v>27</v>
      </c>
      <c r="H2058">
        <v>18</v>
      </c>
      <c r="I2058" t="s">
        <v>28</v>
      </c>
      <c r="J2058" s="4">
        <v>71.8</v>
      </c>
      <c r="K2058" s="4">
        <v>247.3</v>
      </c>
      <c r="L2058" s="4">
        <v>33.6</v>
      </c>
      <c r="M2058">
        <v>15</v>
      </c>
      <c r="N2058" t="s">
        <v>60</v>
      </c>
      <c r="O2058">
        <v>5</v>
      </c>
      <c r="P2058" s="4">
        <v>1262.0999999999999</v>
      </c>
      <c r="Q2058" t="s">
        <v>48</v>
      </c>
      <c r="R2058">
        <v>1</v>
      </c>
      <c r="S2058" t="s">
        <v>44</v>
      </c>
      <c r="T2058">
        <v>0</v>
      </c>
      <c r="U2058">
        <v>0</v>
      </c>
      <c r="V2058" t="s">
        <v>45</v>
      </c>
      <c r="W2058" t="s">
        <v>39</v>
      </c>
      <c r="X2058" s="4">
        <v>7.5</v>
      </c>
      <c r="Y2058">
        <v>6</v>
      </c>
      <c r="Z2058" s="5">
        <v>158.72</v>
      </c>
    </row>
    <row r="2059" spans="1:26">
      <c r="A2059">
        <v>2058</v>
      </c>
      <c r="B2059">
        <v>675</v>
      </c>
      <c r="C2059" s="2">
        <v>46152</v>
      </c>
      <c r="D2059" t="s">
        <v>58</v>
      </c>
      <c r="E2059">
        <v>5</v>
      </c>
      <c r="F2059" s="3">
        <v>8.25</v>
      </c>
      <c r="G2059" t="s">
        <v>27</v>
      </c>
      <c r="H2059">
        <v>54</v>
      </c>
      <c r="I2059" t="s">
        <v>28</v>
      </c>
      <c r="J2059" s="4">
        <v>74.2</v>
      </c>
      <c r="K2059" s="4">
        <v>218.1</v>
      </c>
      <c r="L2059" s="4">
        <v>28</v>
      </c>
      <c r="M2059">
        <v>18</v>
      </c>
      <c r="N2059" t="s">
        <v>60</v>
      </c>
      <c r="O2059">
        <v>5</v>
      </c>
      <c r="P2059" s="4">
        <v>1262.0999999999999</v>
      </c>
      <c r="Q2059" t="s">
        <v>48</v>
      </c>
      <c r="R2059">
        <v>1</v>
      </c>
      <c r="S2059" t="s">
        <v>44</v>
      </c>
      <c r="T2059">
        <v>0</v>
      </c>
      <c r="U2059">
        <v>0</v>
      </c>
      <c r="V2059" t="s">
        <v>45</v>
      </c>
      <c r="W2059" t="s">
        <v>39</v>
      </c>
      <c r="X2059" s="4">
        <v>6.9</v>
      </c>
      <c r="Y2059">
        <v>5</v>
      </c>
      <c r="Z2059" s="5">
        <v>141.59</v>
      </c>
    </row>
    <row r="2060" spans="1:26">
      <c r="A2060">
        <v>2059</v>
      </c>
      <c r="B2060">
        <v>676</v>
      </c>
      <c r="C2060" s="2">
        <v>46289</v>
      </c>
      <c r="D2060" t="s">
        <v>55</v>
      </c>
      <c r="E2060">
        <v>9</v>
      </c>
      <c r="F2060" s="3">
        <v>11.96</v>
      </c>
      <c r="G2060" t="s">
        <v>36</v>
      </c>
      <c r="H2060">
        <v>62</v>
      </c>
      <c r="I2060" t="s">
        <v>34</v>
      </c>
      <c r="J2060" s="4">
        <v>64.900000000000006</v>
      </c>
      <c r="K2060" s="4">
        <v>139.4</v>
      </c>
      <c r="L2060" s="4">
        <v>23.5</v>
      </c>
      <c r="M2060">
        <v>17</v>
      </c>
      <c r="N2060" t="s">
        <v>41</v>
      </c>
      <c r="O2060">
        <v>2</v>
      </c>
      <c r="P2060" s="4">
        <v>2418.6999999999998</v>
      </c>
      <c r="Q2060" t="s">
        <v>42</v>
      </c>
      <c r="R2060">
        <v>0</v>
      </c>
      <c r="S2060" t="s">
        <v>31</v>
      </c>
      <c r="T2060">
        <v>0</v>
      </c>
      <c r="U2060">
        <v>1</v>
      </c>
      <c r="V2060" t="s">
        <v>32</v>
      </c>
      <c r="W2060" t="s">
        <v>49</v>
      </c>
      <c r="X2060" s="4">
        <v>10.8</v>
      </c>
      <c r="Y2060">
        <v>9</v>
      </c>
      <c r="Z2060" s="5">
        <v>391.66</v>
      </c>
    </row>
    <row r="2061" spans="1:26">
      <c r="A2061">
        <v>2060</v>
      </c>
      <c r="B2061">
        <v>676</v>
      </c>
      <c r="C2061" s="2">
        <v>46289</v>
      </c>
      <c r="D2061" t="s">
        <v>55</v>
      </c>
      <c r="E2061">
        <v>9</v>
      </c>
      <c r="F2061" s="3">
        <v>11.75</v>
      </c>
      <c r="G2061" t="s">
        <v>36</v>
      </c>
      <c r="H2061">
        <v>20</v>
      </c>
      <c r="I2061" t="s">
        <v>34</v>
      </c>
      <c r="J2061" s="4">
        <v>65.599999999999994</v>
      </c>
      <c r="K2061" s="4">
        <v>122.3</v>
      </c>
      <c r="L2061" s="4">
        <v>20</v>
      </c>
      <c r="M2061">
        <v>16</v>
      </c>
      <c r="N2061" t="s">
        <v>41</v>
      </c>
      <c r="O2061">
        <v>2</v>
      </c>
      <c r="P2061" s="4">
        <v>2418.6999999999998</v>
      </c>
      <c r="Q2061" t="s">
        <v>42</v>
      </c>
      <c r="R2061">
        <v>0</v>
      </c>
      <c r="S2061" t="s">
        <v>31</v>
      </c>
      <c r="T2061">
        <v>0</v>
      </c>
      <c r="U2061">
        <v>1</v>
      </c>
      <c r="V2061" t="s">
        <v>32</v>
      </c>
      <c r="W2061" t="s">
        <v>49</v>
      </c>
      <c r="X2061" s="4">
        <v>9.3000000000000007</v>
      </c>
      <c r="Y2061">
        <v>7</v>
      </c>
      <c r="Z2061" s="5">
        <v>184.73</v>
      </c>
    </row>
    <row r="2062" spans="1:26">
      <c r="A2062">
        <v>2061</v>
      </c>
      <c r="B2062">
        <v>677</v>
      </c>
      <c r="C2062" s="2">
        <v>46249</v>
      </c>
      <c r="D2062" t="s">
        <v>40</v>
      </c>
      <c r="E2062">
        <v>8</v>
      </c>
      <c r="F2062" s="3">
        <v>9.32</v>
      </c>
      <c r="G2062" t="s">
        <v>27</v>
      </c>
      <c r="H2062">
        <v>58</v>
      </c>
      <c r="I2062" t="s">
        <v>28</v>
      </c>
      <c r="J2062" s="4">
        <v>76.400000000000006</v>
      </c>
      <c r="K2062" s="4">
        <v>211.3</v>
      </c>
      <c r="L2062" s="4">
        <v>25.8</v>
      </c>
      <c r="M2062">
        <v>16</v>
      </c>
      <c r="N2062" t="s">
        <v>47</v>
      </c>
      <c r="O2062">
        <v>4</v>
      </c>
      <c r="P2062" s="4">
        <v>163.5</v>
      </c>
      <c r="Q2062" t="s">
        <v>42</v>
      </c>
      <c r="R2062">
        <v>0</v>
      </c>
      <c r="S2062" t="s">
        <v>44</v>
      </c>
      <c r="T2062">
        <v>0</v>
      </c>
      <c r="U2062">
        <v>0</v>
      </c>
      <c r="V2062" t="s">
        <v>32</v>
      </c>
      <c r="W2062" t="s">
        <v>57</v>
      </c>
      <c r="X2062" s="4">
        <v>6.3</v>
      </c>
      <c r="Y2062">
        <v>6</v>
      </c>
      <c r="Z2062" s="5">
        <v>191.68</v>
      </c>
    </row>
    <row r="2063" spans="1:26">
      <c r="A2063">
        <v>2062</v>
      </c>
      <c r="B2063">
        <v>677</v>
      </c>
      <c r="C2063" s="2">
        <v>46249</v>
      </c>
      <c r="D2063" t="s">
        <v>40</v>
      </c>
      <c r="E2063">
        <v>8</v>
      </c>
      <c r="F2063" s="3">
        <v>9.26</v>
      </c>
      <c r="G2063" t="s">
        <v>27</v>
      </c>
      <c r="H2063">
        <v>60</v>
      </c>
      <c r="I2063" t="s">
        <v>28</v>
      </c>
      <c r="J2063" s="4">
        <v>72.400000000000006</v>
      </c>
      <c r="K2063" s="4">
        <v>216.4</v>
      </c>
      <c r="L2063" s="4">
        <v>28.9</v>
      </c>
      <c r="M2063">
        <v>15</v>
      </c>
      <c r="N2063" t="s">
        <v>47</v>
      </c>
      <c r="O2063">
        <v>4</v>
      </c>
      <c r="P2063" s="4">
        <v>163.5</v>
      </c>
      <c r="Q2063" t="s">
        <v>42</v>
      </c>
      <c r="R2063">
        <v>0</v>
      </c>
      <c r="S2063" t="s">
        <v>44</v>
      </c>
      <c r="T2063">
        <v>0</v>
      </c>
      <c r="U2063">
        <v>0</v>
      </c>
      <c r="V2063" t="s">
        <v>32</v>
      </c>
      <c r="W2063" t="s">
        <v>57</v>
      </c>
      <c r="X2063" s="4">
        <v>9.5</v>
      </c>
      <c r="Y2063">
        <v>11</v>
      </c>
      <c r="Z2063" s="5">
        <v>195.85</v>
      </c>
    </row>
    <row r="2064" spans="1:26">
      <c r="A2064">
        <v>2063</v>
      </c>
      <c r="B2064">
        <v>677</v>
      </c>
      <c r="C2064" s="2">
        <v>46249</v>
      </c>
      <c r="D2064" t="s">
        <v>40</v>
      </c>
      <c r="E2064">
        <v>8</v>
      </c>
      <c r="F2064" s="3">
        <v>9.51</v>
      </c>
      <c r="G2064" t="s">
        <v>27</v>
      </c>
      <c r="H2064">
        <v>12</v>
      </c>
      <c r="I2064" t="s">
        <v>28</v>
      </c>
      <c r="J2064" s="4">
        <v>65.900000000000006</v>
      </c>
      <c r="K2064" s="4">
        <v>128.9</v>
      </c>
      <c r="L2064" s="4">
        <v>20.6</v>
      </c>
      <c r="M2064">
        <v>13</v>
      </c>
      <c r="N2064" t="s">
        <v>47</v>
      </c>
      <c r="O2064">
        <v>4</v>
      </c>
      <c r="P2064" s="4">
        <v>163.5</v>
      </c>
      <c r="Q2064" t="s">
        <v>42</v>
      </c>
      <c r="R2064">
        <v>0</v>
      </c>
      <c r="S2064" t="s">
        <v>44</v>
      </c>
      <c r="T2064">
        <v>0</v>
      </c>
      <c r="U2064">
        <v>0</v>
      </c>
      <c r="V2064" t="s">
        <v>32</v>
      </c>
      <c r="W2064" t="s">
        <v>57</v>
      </c>
      <c r="X2064" s="4">
        <v>8.1999999999999993</v>
      </c>
      <c r="Y2064">
        <v>9</v>
      </c>
      <c r="Z2064" s="5">
        <v>130.61000000000001</v>
      </c>
    </row>
    <row r="2065" spans="1:26">
      <c r="A2065">
        <v>2064</v>
      </c>
      <c r="B2065">
        <v>677</v>
      </c>
      <c r="C2065" s="2">
        <v>46249</v>
      </c>
      <c r="D2065" t="s">
        <v>40</v>
      </c>
      <c r="E2065">
        <v>8</v>
      </c>
      <c r="F2065" s="3">
        <v>9.4700000000000006</v>
      </c>
      <c r="G2065" t="s">
        <v>27</v>
      </c>
      <c r="H2065">
        <v>47</v>
      </c>
      <c r="I2065" t="s">
        <v>28</v>
      </c>
      <c r="J2065" s="4">
        <v>65.2</v>
      </c>
      <c r="K2065" s="4">
        <v>166.5</v>
      </c>
      <c r="L2065" s="4">
        <v>27.6</v>
      </c>
      <c r="M2065">
        <v>14</v>
      </c>
      <c r="N2065" t="s">
        <v>47</v>
      </c>
      <c r="O2065">
        <v>4</v>
      </c>
      <c r="P2065" s="4">
        <v>163.5</v>
      </c>
      <c r="Q2065" t="s">
        <v>42</v>
      </c>
      <c r="R2065">
        <v>0</v>
      </c>
      <c r="S2065" t="s">
        <v>44</v>
      </c>
      <c r="T2065">
        <v>0</v>
      </c>
      <c r="U2065">
        <v>0</v>
      </c>
      <c r="V2065" t="s">
        <v>32</v>
      </c>
      <c r="W2065" t="s">
        <v>57</v>
      </c>
      <c r="X2065" s="4">
        <v>9</v>
      </c>
      <c r="Y2065">
        <v>7</v>
      </c>
      <c r="Z2065" s="5">
        <v>163.31</v>
      </c>
    </row>
    <row r="2066" spans="1:26">
      <c r="A2066">
        <v>2065</v>
      </c>
      <c r="B2066">
        <v>678</v>
      </c>
      <c r="C2066" s="2">
        <v>46352</v>
      </c>
      <c r="D2066" t="s">
        <v>55</v>
      </c>
      <c r="E2066">
        <v>11</v>
      </c>
      <c r="F2066" s="3">
        <v>8.8000000000000007</v>
      </c>
      <c r="G2066" t="s">
        <v>27</v>
      </c>
      <c r="H2066">
        <v>72</v>
      </c>
      <c r="I2066" t="s">
        <v>34</v>
      </c>
      <c r="J2066" s="4">
        <v>66.7</v>
      </c>
      <c r="K2066" s="4">
        <v>184.8</v>
      </c>
      <c r="L2066" s="4">
        <v>29.1</v>
      </c>
      <c r="M2066">
        <v>16</v>
      </c>
      <c r="N2066" t="s">
        <v>53</v>
      </c>
      <c r="O2066">
        <v>3</v>
      </c>
      <c r="P2066" s="4">
        <v>745.1</v>
      </c>
      <c r="Q2066" t="s">
        <v>42</v>
      </c>
      <c r="R2066">
        <v>1</v>
      </c>
      <c r="S2066" t="s">
        <v>44</v>
      </c>
      <c r="T2066">
        <v>1</v>
      </c>
      <c r="U2066">
        <v>0</v>
      </c>
      <c r="V2066" t="s">
        <v>45</v>
      </c>
      <c r="W2066" t="s">
        <v>39</v>
      </c>
      <c r="X2066" s="4">
        <v>8.4</v>
      </c>
      <c r="Y2066">
        <v>7</v>
      </c>
      <c r="Z2066" s="5">
        <v>227.25</v>
      </c>
    </row>
    <row r="2067" spans="1:26">
      <c r="A2067">
        <v>2066</v>
      </c>
      <c r="B2067">
        <v>678</v>
      </c>
      <c r="C2067" s="2">
        <v>46352</v>
      </c>
      <c r="D2067" t="s">
        <v>55</v>
      </c>
      <c r="E2067">
        <v>11</v>
      </c>
      <c r="F2067" s="3">
        <v>8.6</v>
      </c>
      <c r="G2067" t="s">
        <v>27</v>
      </c>
      <c r="H2067">
        <v>31</v>
      </c>
      <c r="I2067" t="s">
        <v>34</v>
      </c>
      <c r="J2067" s="4">
        <v>64.599999999999994</v>
      </c>
      <c r="K2067" s="4">
        <v>131.19999999999999</v>
      </c>
      <c r="L2067" s="4">
        <v>22</v>
      </c>
      <c r="M2067">
        <v>15</v>
      </c>
      <c r="N2067" t="s">
        <v>53</v>
      </c>
      <c r="O2067">
        <v>3</v>
      </c>
      <c r="P2067" s="4">
        <v>745.1</v>
      </c>
      <c r="Q2067" t="s">
        <v>42</v>
      </c>
      <c r="R2067">
        <v>1</v>
      </c>
      <c r="S2067" t="s">
        <v>44</v>
      </c>
      <c r="T2067">
        <v>1</v>
      </c>
      <c r="U2067">
        <v>0</v>
      </c>
      <c r="V2067" t="s">
        <v>45</v>
      </c>
      <c r="W2067" t="s">
        <v>39</v>
      </c>
      <c r="X2067" s="4">
        <v>9.6</v>
      </c>
      <c r="Y2067">
        <v>13</v>
      </c>
      <c r="Z2067" s="5">
        <v>230.26</v>
      </c>
    </row>
    <row r="2068" spans="1:26">
      <c r="A2068">
        <v>2067</v>
      </c>
      <c r="B2068">
        <v>678</v>
      </c>
      <c r="C2068" s="2">
        <v>46352</v>
      </c>
      <c r="D2068" t="s">
        <v>55</v>
      </c>
      <c r="E2068">
        <v>11</v>
      </c>
      <c r="F2068" s="3">
        <v>8.68</v>
      </c>
      <c r="G2068" t="s">
        <v>27</v>
      </c>
      <c r="H2068">
        <v>59</v>
      </c>
      <c r="I2068" t="s">
        <v>34</v>
      </c>
      <c r="J2068" s="4">
        <v>62.4</v>
      </c>
      <c r="K2068" s="4">
        <v>118.4</v>
      </c>
      <c r="L2068" s="4">
        <v>21.2</v>
      </c>
      <c r="M2068">
        <v>18</v>
      </c>
      <c r="N2068" t="s">
        <v>53</v>
      </c>
      <c r="O2068">
        <v>3</v>
      </c>
      <c r="P2068" s="4">
        <v>745.1</v>
      </c>
      <c r="Q2068" t="s">
        <v>42</v>
      </c>
      <c r="R2068">
        <v>1</v>
      </c>
      <c r="S2068" t="s">
        <v>44</v>
      </c>
      <c r="T2068">
        <v>1</v>
      </c>
      <c r="U2068">
        <v>0</v>
      </c>
      <c r="V2068" t="s">
        <v>45</v>
      </c>
      <c r="W2068" t="s">
        <v>39</v>
      </c>
      <c r="X2068" s="4">
        <v>9.6999999999999993</v>
      </c>
      <c r="Y2068">
        <v>11</v>
      </c>
      <c r="Z2068" s="5">
        <v>361.3</v>
      </c>
    </row>
    <row r="2069" spans="1:26">
      <c r="A2069">
        <v>2068</v>
      </c>
      <c r="B2069">
        <v>679</v>
      </c>
      <c r="C2069" s="2">
        <v>46153</v>
      </c>
      <c r="D2069" t="s">
        <v>46</v>
      </c>
      <c r="E2069">
        <v>5</v>
      </c>
      <c r="F2069" s="3">
        <v>9.92</v>
      </c>
      <c r="G2069" t="s">
        <v>27</v>
      </c>
      <c r="H2069">
        <v>18</v>
      </c>
      <c r="I2069" t="s">
        <v>34</v>
      </c>
      <c r="J2069" s="4">
        <v>60.5</v>
      </c>
      <c r="K2069" s="4">
        <v>132.80000000000001</v>
      </c>
      <c r="L2069" s="4">
        <v>25.5</v>
      </c>
      <c r="M2069">
        <v>12</v>
      </c>
      <c r="N2069" t="s">
        <v>47</v>
      </c>
      <c r="O2069">
        <v>4</v>
      </c>
      <c r="P2069" s="4">
        <v>2</v>
      </c>
      <c r="Q2069" t="s">
        <v>30</v>
      </c>
      <c r="R2069">
        <v>0</v>
      </c>
      <c r="S2069" t="s">
        <v>44</v>
      </c>
      <c r="T2069">
        <v>0</v>
      </c>
      <c r="U2069">
        <v>0</v>
      </c>
      <c r="V2069" t="s">
        <v>32</v>
      </c>
      <c r="W2069" t="s">
        <v>39</v>
      </c>
      <c r="X2069" s="4">
        <v>9.8000000000000007</v>
      </c>
      <c r="Y2069">
        <v>16</v>
      </c>
      <c r="Z2069" s="5">
        <v>313.39</v>
      </c>
    </row>
    <row r="2070" spans="1:26">
      <c r="A2070">
        <v>2069</v>
      </c>
      <c r="B2070">
        <v>679</v>
      </c>
      <c r="C2070" s="2">
        <v>46153</v>
      </c>
      <c r="D2070" t="s">
        <v>46</v>
      </c>
      <c r="E2070">
        <v>5</v>
      </c>
      <c r="F2070" s="3">
        <v>9.7100000000000009</v>
      </c>
      <c r="G2070" t="s">
        <v>27</v>
      </c>
      <c r="H2070">
        <v>7</v>
      </c>
      <c r="I2070" t="s">
        <v>28</v>
      </c>
      <c r="J2070" s="4">
        <v>55.4</v>
      </c>
      <c r="K2070" s="4">
        <v>92.9</v>
      </c>
      <c r="L2070" s="4">
        <v>21.3</v>
      </c>
      <c r="M2070">
        <v>13</v>
      </c>
      <c r="N2070" t="s">
        <v>47</v>
      </c>
      <c r="O2070">
        <v>4</v>
      </c>
      <c r="P2070" s="4">
        <v>2</v>
      </c>
      <c r="Q2070" t="s">
        <v>30</v>
      </c>
      <c r="R2070">
        <v>0</v>
      </c>
      <c r="S2070" t="s">
        <v>44</v>
      </c>
      <c r="T2070">
        <v>0</v>
      </c>
      <c r="U2070">
        <v>0</v>
      </c>
      <c r="V2070" t="s">
        <v>32</v>
      </c>
      <c r="W2070" t="s">
        <v>39</v>
      </c>
      <c r="X2070" s="4">
        <v>8.6</v>
      </c>
      <c r="Y2070">
        <v>7</v>
      </c>
      <c r="Z2070" s="5">
        <v>274.37</v>
      </c>
    </row>
    <row r="2071" spans="1:26">
      <c r="A2071">
        <v>2070</v>
      </c>
      <c r="B2071">
        <v>679</v>
      </c>
      <c r="C2071" s="2">
        <v>46153</v>
      </c>
      <c r="D2071" t="s">
        <v>46</v>
      </c>
      <c r="E2071">
        <v>5</v>
      </c>
      <c r="F2071" s="3">
        <v>9.86</v>
      </c>
      <c r="G2071" t="s">
        <v>27</v>
      </c>
      <c r="H2071">
        <v>5</v>
      </c>
      <c r="I2071" t="s">
        <v>34</v>
      </c>
      <c r="J2071" s="4">
        <v>56.6</v>
      </c>
      <c r="K2071" s="4">
        <v>87.2</v>
      </c>
      <c r="L2071" s="4">
        <v>19.2</v>
      </c>
      <c r="M2071">
        <v>10</v>
      </c>
      <c r="N2071" t="s">
        <v>47</v>
      </c>
      <c r="O2071">
        <v>4</v>
      </c>
      <c r="P2071" s="4">
        <v>2</v>
      </c>
      <c r="Q2071" t="s">
        <v>30</v>
      </c>
      <c r="R2071">
        <v>0</v>
      </c>
      <c r="S2071" t="s">
        <v>44</v>
      </c>
      <c r="T2071">
        <v>0</v>
      </c>
      <c r="U2071">
        <v>0</v>
      </c>
      <c r="V2071" t="s">
        <v>32</v>
      </c>
      <c r="W2071" t="s">
        <v>39</v>
      </c>
      <c r="X2071" s="4">
        <v>6.6</v>
      </c>
      <c r="Y2071">
        <v>4</v>
      </c>
      <c r="Z2071" s="5">
        <v>72.209999999999994</v>
      </c>
    </row>
    <row r="2072" spans="1:26">
      <c r="A2072">
        <v>2071</v>
      </c>
      <c r="B2072">
        <v>679</v>
      </c>
      <c r="C2072" s="2">
        <v>46153</v>
      </c>
      <c r="D2072" t="s">
        <v>46</v>
      </c>
      <c r="E2072">
        <v>5</v>
      </c>
      <c r="F2072" s="3">
        <v>9.86</v>
      </c>
      <c r="G2072" t="s">
        <v>27</v>
      </c>
      <c r="H2072">
        <v>43</v>
      </c>
      <c r="I2072" t="s">
        <v>34</v>
      </c>
      <c r="J2072" s="4">
        <v>64.900000000000006</v>
      </c>
      <c r="K2072" s="4">
        <v>153.1</v>
      </c>
      <c r="L2072" s="4">
        <v>25.6</v>
      </c>
      <c r="M2072">
        <v>14</v>
      </c>
      <c r="N2072" t="s">
        <v>47</v>
      </c>
      <c r="O2072">
        <v>4</v>
      </c>
      <c r="P2072" s="4">
        <v>2</v>
      </c>
      <c r="Q2072" t="s">
        <v>30</v>
      </c>
      <c r="R2072">
        <v>0</v>
      </c>
      <c r="S2072" t="s">
        <v>44</v>
      </c>
      <c r="T2072">
        <v>0</v>
      </c>
      <c r="U2072">
        <v>0</v>
      </c>
      <c r="V2072" t="s">
        <v>32</v>
      </c>
      <c r="W2072" t="s">
        <v>39</v>
      </c>
      <c r="X2072" s="4">
        <v>6</v>
      </c>
      <c r="Y2072">
        <v>5</v>
      </c>
      <c r="Z2072" s="5">
        <v>132.19999999999999</v>
      </c>
    </row>
    <row r="2073" spans="1:26">
      <c r="A2073">
        <v>2072</v>
      </c>
      <c r="B2073">
        <v>680</v>
      </c>
      <c r="C2073" s="2">
        <v>46079</v>
      </c>
      <c r="D2073" t="s">
        <v>55</v>
      </c>
      <c r="E2073">
        <v>2</v>
      </c>
      <c r="F2073" s="3">
        <v>10.79</v>
      </c>
      <c r="G2073" t="s">
        <v>27</v>
      </c>
      <c r="H2073">
        <v>67</v>
      </c>
      <c r="I2073" t="s">
        <v>28</v>
      </c>
      <c r="J2073" s="4">
        <v>71.2</v>
      </c>
      <c r="K2073" s="4">
        <v>139.19999999999999</v>
      </c>
      <c r="L2073" s="4">
        <v>19.100000000000001</v>
      </c>
      <c r="M2073">
        <v>15</v>
      </c>
      <c r="N2073" t="s">
        <v>47</v>
      </c>
      <c r="O2073">
        <v>3</v>
      </c>
      <c r="P2073" s="4">
        <v>73.3</v>
      </c>
      <c r="Q2073" t="s">
        <v>42</v>
      </c>
      <c r="R2073">
        <v>0</v>
      </c>
      <c r="S2073" t="s">
        <v>31</v>
      </c>
      <c r="T2073">
        <v>0</v>
      </c>
      <c r="U2073">
        <v>0</v>
      </c>
      <c r="V2073" t="s">
        <v>45</v>
      </c>
      <c r="W2073" t="s">
        <v>39</v>
      </c>
      <c r="X2073" s="4">
        <v>9</v>
      </c>
      <c r="Y2073">
        <v>6</v>
      </c>
      <c r="Z2073" s="5">
        <v>189.06</v>
      </c>
    </row>
    <row r="2074" spans="1:26">
      <c r="A2074">
        <v>2073</v>
      </c>
      <c r="B2074">
        <v>680</v>
      </c>
      <c r="C2074" s="2">
        <v>46079</v>
      </c>
      <c r="D2074" t="s">
        <v>55</v>
      </c>
      <c r="E2074">
        <v>2</v>
      </c>
      <c r="F2074" s="3">
        <v>10.42</v>
      </c>
      <c r="G2074" t="s">
        <v>27</v>
      </c>
      <c r="H2074">
        <v>27</v>
      </c>
      <c r="I2074" t="s">
        <v>34</v>
      </c>
      <c r="J2074" s="4">
        <v>63.4</v>
      </c>
      <c r="K2074" s="4">
        <v>112</v>
      </c>
      <c r="L2074" s="4">
        <v>19.600000000000001</v>
      </c>
      <c r="M2074">
        <v>11</v>
      </c>
      <c r="N2074" t="s">
        <v>47</v>
      </c>
      <c r="O2074">
        <v>3</v>
      </c>
      <c r="P2074" s="4">
        <v>73.3</v>
      </c>
      <c r="Q2074" t="s">
        <v>42</v>
      </c>
      <c r="R2074">
        <v>0</v>
      </c>
      <c r="S2074" t="s">
        <v>31</v>
      </c>
      <c r="T2074">
        <v>0</v>
      </c>
      <c r="U2074">
        <v>0</v>
      </c>
      <c r="V2074" t="s">
        <v>45</v>
      </c>
      <c r="W2074" t="s">
        <v>39</v>
      </c>
      <c r="X2074" s="4">
        <v>5</v>
      </c>
      <c r="Y2074">
        <v>7</v>
      </c>
      <c r="Z2074" s="5">
        <v>99.36</v>
      </c>
    </row>
    <row r="2075" spans="1:26">
      <c r="A2075">
        <v>2074</v>
      </c>
      <c r="B2075">
        <v>680</v>
      </c>
      <c r="C2075" s="2">
        <v>46079</v>
      </c>
      <c r="D2075" t="s">
        <v>55</v>
      </c>
      <c r="E2075">
        <v>2</v>
      </c>
      <c r="F2075" s="3">
        <v>10.88</v>
      </c>
      <c r="G2075" t="s">
        <v>27</v>
      </c>
      <c r="H2075">
        <v>62</v>
      </c>
      <c r="I2075" t="s">
        <v>28</v>
      </c>
      <c r="J2075" s="4">
        <v>64.900000000000006</v>
      </c>
      <c r="K2075" s="4">
        <v>167.1</v>
      </c>
      <c r="L2075" s="4">
        <v>28</v>
      </c>
      <c r="M2075">
        <v>17</v>
      </c>
      <c r="N2075" t="s">
        <v>47</v>
      </c>
      <c r="O2075">
        <v>3</v>
      </c>
      <c r="P2075" s="4">
        <v>73.3</v>
      </c>
      <c r="Q2075" t="s">
        <v>42</v>
      </c>
      <c r="R2075">
        <v>0</v>
      </c>
      <c r="S2075" t="s">
        <v>31</v>
      </c>
      <c r="T2075">
        <v>0</v>
      </c>
      <c r="U2075">
        <v>0</v>
      </c>
      <c r="V2075" t="s">
        <v>45</v>
      </c>
      <c r="W2075" t="s">
        <v>39</v>
      </c>
      <c r="X2075" s="4">
        <v>7.7</v>
      </c>
      <c r="Y2075">
        <v>6</v>
      </c>
      <c r="Z2075" s="5">
        <v>337.23</v>
      </c>
    </row>
    <row r="2076" spans="1:26">
      <c r="A2076">
        <v>2075</v>
      </c>
      <c r="B2076">
        <v>681</v>
      </c>
      <c r="C2076" s="2">
        <v>46215</v>
      </c>
      <c r="D2076" t="s">
        <v>58</v>
      </c>
      <c r="E2076">
        <v>7</v>
      </c>
      <c r="F2076" s="3">
        <v>8.99</v>
      </c>
      <c r="G2076" t="s">
        <v>27</v>
      </c>
      <c r="H2076">
        <v>10</v>
      </c>
      <c r="I2076" t="s">
        <v>34</v>
      </c>
      <c r="J2076" s="4">
        <v>63.3</v>
      </c>
      <c r="K2076" s="4">
        <v>122.9</v>
      </c>
      <c r="L2076" s="4">
        <v>21.7</v>
      </c>
      <c r="M2076">
        <v>12</v>
      </c>
      <c r="N2076" t="s">
        <v>47</v>
      </c>
      <c r="O2076">
        <v>5</v>
      </c>
      <c r="P2076" s="4">
        <v>139</v>
      </c>
      <c r="Q2076" t="s">
        <v>48</v>
      </c>
      <c r="R2076">
        <v>0</v>
      </c>
      <c r="S2076" t="s">
        <v>38</v>
      </c>
      <c r="T2076">
        <v>0</v>
      </c>
      <c r="U2076">
        <v>0</v>
      </c>
      <c r="V2076" t="s">
        <v>32</v>
      </c>
      <c r="W2076" t="s">
        <v>43</v>
      </c>
      <c r="X2076" s="4">
        <v>7.6</v>
      </c>
      <c r="Y2076">
        <v>4</v>
      </c>
      <c r="Z2076" s="5">
        <v>141.91</v>
      </c>
    </row>
    <row r="2077" spans="1:26">
      <c r="A2077">
        <v>2076</v>
      </c>
      <c r="B2077">
        <v>681</v>
      </c>
      <c r="C2077" s="2">
        <v>46215</v>
      </c>
      <c r="D2077" t="s">
        <v>58</v>
      </c>
      <c r="E2077">
        <v>7</v>
      </c>
      <c r="F2077" s="3">
        <v>9.07</v>
      </c>
      <c r="G2077" t="s">
        <v>27</v>
      </c>
      <c r="H2077">
        <v>65</v>
      </c>
      <c r="I2077" t="s">
        <v>34</v>
      </c>
      <c r="J2077" s="4">
        <v>64.3</v>
      </c>
      <c r="K2077" s="4">
        <v>128.30000000000001</v>
      </c>
      <c r="L2077" s="4">
        <v>21.4</v>
      </c>
      <c r="M2077">
        <v>19</v>
      </c>
      <c r="N2077" t="s">
        <v>47</v>
      </c>
      <c r="O2077">
        <v>5</v>
      </c>
      <c r="P2077" s="4">
        <v>139</v>
      </c>
      <c r="Q2077" t="s">
        <v>48</v>
      </c>
      <c r="R2077">
        <v>0</v>
      </c>
      <c r="S2077" t="s">
        <v>38</v>
      </c>
      <c r="T2077">
        <v>0</v>
      </c>
      <c r="U2077">
        <v>0</v>
      </c>
      <c r="V2077" t="s">
        <v>32</v>
      </c>
      <c r="W2077" t="s">
        <v>43</v>
      </c>
      <c r="X2077" s="4">
        <v>8</v>
      </c>
      <c r="Y2077">
        <v>9</v>
      </c>
      <c r="Z2077" s="5">
        <v>127.78</v>
      </c>
    </row>
    <row r="2078" spans="1:26">
      <c r="A2078">
        <v>2077</v>
      </c>
      <c r="B2078">
        <v>681</v>
      </c>
      <c r="C2078" s="2">
        <v>46215</v>
      </c>
      <c r="D2078" t="s">
        <v>58</v>
      </c>
      <c r="E2078">
        <v>7</v>
      </c>
      <c r="F2078" s="3">
        <v>9.1300000000000008</v>
      </c>
      <c r="G2078" t="s">
        <v>27</v>
      </c>
      <c r="H2078">
        <v>25</v>
      </c>
      <c r="I2078" t="s">
        <v>28</v>
      </c>
      <c r="J2078" s="4">
        <v>72.900000000000006</v>
      </c>
      <c r="K2078" s="4">
        <v>213.5</v>
      </c>
      <c r="L2078" s="4">
        <v>28.4</v>
      </c>
      <c r="M2078">
        <v>15</v>
      </c>
      <c r="N2078" t="s">
        <v>47</v>
      </c>
      <c r="O2078">
        <v>5</v>
      </c>
      <c r="P2078" s="4">
        <v>139</v>
      </c>
      <c r="Q2078" t="s">
        <v>48</v>
      </c>
      <c r="R2078">
        <v>0</v>
      </c>
      <c r="S2078" t="s">
        <v>38</v>
      </c>
      <c r="T2078">
        <v>0</v>
      </c>
      <c r="U2078">
        <v>0</v>
      </c>
      <c r="V2078" t="s">
        <v>32</v>
      </c>
      <c r="W2078" t="s">
        <v>43</v>
      </c>
      <c r="X2078" s="4">
        <v>9.6</v>
      </c>
      <c r="Y2078">
        <v>11</v>
      </c>
      <c r="Z2078" s="5">
        <v>179.49</v>
      </c>
    </row>
    <row r="2079" spans="1:26">
      <c r="A2079">
        <v>2078</v>
      </c>
      <c r="B2079">
        <v>681</v>
      </c>
      <c r="C2079" s="2">
        <v>46215</v>
      </c>
      <c r="D2079" t="s">
        <v>58</v>
      </c>
      <c r="E2079">
        <v>7</v>
      </c>
      <c r="F2079" s="3">
        <v>9.2799999999999994</v>
      </c>
      <c r="G2079" t="s">
        <v>27</v>
      </c>
      <c r="H2079">
        <v>3</v>
      </c>
      <c r="I2079" t="s">
        <v>28</v>
      </c>
      <c r="J2079" s="4">
        <v>54.6</v>
      </c>
      <c r="K2079" s="4">
        <v>86.2</v>
      </c>
      <c r="L2079" s="4">
        <v>20.6</v>
      </c>
      <c r="M2079">
        <v>14</v>
      </c>
      <c r="N2079" t="s">
        <v>47</v>
      </c>
      <c r="O2079">
        <v>5</v>
      </c>
      <c r="P2079" s="4">
        <v>139</v>
      </c>
      <c r="Q2079" t="s">
        <v>48</v>
      </c>
      <c r="R2079">
        <v>0</v>
      </c>
      <c r="S2079" t="s">
        <v>38</v>
      </c>
      <c r="T2079">
        <v>0</v>
      </c>
      <c r="U2079">
        <v>0</v>
      </c>
      <c r="V2079" t="s">
        <v>32</v>
      </c>
      <c r="W2079" t="s">
        <v>43</v>
      </c>
      <c r="X2079" s="4">
        <v>10.199999999999999</v>
      </c>
      <c r="Y2079">
        <v>11</v>
      </c>
      <c r="Z2079" s="5">
        <v>214.73</v>
      </c>
    </row>
    <row r="2080" spans="1:26">
      <c r="A2080">
        <v>2079</v>
      </c>
      <c r="B2080">
        <v>681</v>
      </c>
      <c r="C2080" s="2">
        <v>46215</v>
      </c>
      <c r="D2080" t="s">
        <v>58</v>
      </c>
      <c r="E2080">
        <v>7</v>
      </c>
      <c r="F2080" s="3">
        <v>9.0500000000000007</v>
      </c>
      <c r="G2080" t="s">
        <v>27</v>
      </c>
      <c r="H2080">
        <v>8</v>
      </c>
      <c r="I2080" t="s">
        <v>28</v>
      </c>
      <c r="J2080" s="4">
        <v>51.9</v>
      </c>
      <c r="K2080" s="4">
        <v>72.3</v>
      </c>
      <c r="L2080" s="4">
        <v>19</v>
      </c>
      <c r="M2080">
        <v>12</v>
      </c>
      <c r="N2080" t="s">
        <v>47</v>
      </c>
      <c r="O2080">
        <v>5</v>
      </c>
      <c r="P2080" s="4">
        <v>139</v>
      </c>
      <c r="Q2080" t="s">
        <v>48</v>
      </c>
      <c r="R2080">
        <v>0</v>
      </c>
      <c r="S2080" t="s">
        <v>38</v>
      </c>
      <c r="T2080">
        <v>0</v>
      </c>
      <c r="U2080">
        <v>0</v>
      </c>
      <c r="V2080" t="s">
        <v>32</v>
      </c>
      <c r="W2080" t="s">
        <v>43</v>
      </c>
      <c r="X2080" s="4">
        <v>8.9</v>
      </c>
      <c r="Y2080">
        <v>7</v>
      </c>
      <c r="Z2080" s="5">
        <v>302.64999999999998</v>
      </c>
    </row>
    <row r="2081" spans="1:26">
      <c r="A2081">
        <v>2080</v>
      </c>
      <c r="B2081">
        <v>682</v>
      </c>
      <c r="C2081" s="2">
        <v>46106</v>
      </c>
      <c r="D2081" t="s">
        <v>52</v>
      </c>
      <c r="E2081">
        <v>3</v>
      </c>
      <c r="F2081" s="3">
        <v>9.23</v>
      </c>
      <c r="G2081" t="s">
        <v>27</v>
      </c>
      <c r="H2081">
        <v>42</v>
      </c>
      <c r="I2081" t="s">
        <v>28</v>
      </c>
      <c r="J2081" s="4">
        <v>67.8</v>
      </c>
      <c r="K2081" s="4">
        <v>150.69999999999999</v>
      </c>
      <c r="L2081" s="4">
        <v>22.8</v>
      </c>
      <c r="M2081">
        <v>9</v>
      </c>
      <c r="N2081" t="s">
        <v>47</v>
      </c>
      <c r="O2081">
        <v>1</v>
      </c>
      <c r="P2081" s="4">
        <v>83.5</v>
      </c>
      <c r="Q2081" t="s">
        <v>30</v>
      </c>
      <c r="R2081">
        <v>0</v>
      </c>
      <c r="S2081" t="s">
        <v>44</v>
      </c>
      <c r="T2081">
        <v>1</v>
      </c>
      <c r="U2081">
        <v>0</v>
      </c>
      <c r="V2081" t="s">
        <v>32</v>
      </c>
      <c r="W2081" t="s">
        <v>43</v>
      </c>
      <c r="X2081" s="4">
        <v>6.7</v>
      </c>
      <c r="Y2081">
        <v>2</v>
      </c>
      <c r="Z2081" s="5">
        <v>189.87</v>
      </c>
    </row>
    <row r="2082" spans="1:26">
      <c r="A2082">
        <v>2081</v>
      </c>
      <c r="B2082">
        <v>683</v>
      </c>
      <c r="C2082" s="2">
        <v>46169</v>
      </c>
      <c r="D2082" t="s">
        <v>52</v>
      </c>
      <c r="E2082">
        <v>5</v>
      </c>
      <c r="F2082" s="3">
        <v>13.9</v>
      </c>
      <c r="G2082" t="s">
        <v>36</v>
      </c>
      <c r="H2082">
        <v>28</v>
      </c>
      <c r="I2082" t="s">
        <v>28</v>
      </c>
      <c r="J2082" s="4">
        <v>66.3</v>
      </c>
      <c r="K2082" s="4">
        <v>120.8</v>
      </c>
      <c r="L2082" s="4">
        <v>18.899999999999999</v>
      </c>
      <c r="M2082">
        <v>18</v>
      </c>
      <c r="N2082" t="s">
        <v>56</v>
      </c>
      <c r="O2082">
        <v>2</v>
      </c>
      <c r="P2082" s="4">
        <v>262.10000000000002</v>
      </c>
      <c r="Q2082" t="s">
        <v>48</v>
      </c>
      <c r="R2082">
        <v>0</v>
      </c>
      <c r="S2082" t="s">
        <v>44</v>
      </c>
      <c r="T2082">
        <v>0</v>
      </c>
      <c r="U2082">
        <v>1</v>
      </c>
      <c r="V2082" t="s">
        <v>32</v>
      </c>
      <c r="W2082" t="s">
        <v>43</v>
      </c>
      <c r="X2082" s="4">
        <v>7.5</v>
      </c>
      <c r="Y2082">
        <v>10</v>
      </c>
      <c r="Z2082" s="5">
        <v>343.22</v>
      </c>
    </row>
    <row r="2083" spans="1:26">
      <c r="A2083">
        <v>2082</v>
      </c>
      <c r="B2083">
        <v>683</v>
      </c>
      <c r="C2083" s="2">
        <v>46169</v>
      </c>
      <c r="D2083" t="s">
        <v>52</v>
      </c>
      <c r="E2083">
        <v>5</v>
      </c>
      <c r="F2083" s="3">
        <v>13.94</v>
      </c>
      <c r="G2083" t="s">
        <v>36</v>
      </c>
      <c r="H2083">
        <v>11</v>
      </c>
      <c r="I2083" t="s">
        <v>34</v>
      </c>
      <c r="J2083" s="4">
        <v>57.9</v>
      </c>
      <c r="K2083" s="4">
        <v>98</v>
      </c>
      <c r="L2083" s="4">
        <v>20.6</v>
      </c>
      <c r="M2083">
        <v>16</v>
      </c>
      <c r="N2083" t="s">
        <v>56</v>
      </c>
      <c r="O2083">
        <v>2</v>
      </c>
      <c r="P2083" s="4">
        <v>262.10000000000002</v>
      </c>
      <c r="Q2083" t="s">
        <v>48</v>
      </c>
      <c r="R2083">
        <v>0</v>
      </c>
      <c r="S2083" t="s">
        <v>44</v>
      </c>
      <c r="T2083">
        <v>0</v>
      </c>
      <c r="U2083">
        <v>1</v>
      </c>
      <c r="V2083" t="s">
        <v>32</v>
      </c>
      <c r="W2083" t="s">
        <v>43</v>
      </c>
      <c r="X2083" s="4">
        <v>9.6999999999999993</v>
      </c>
      <c r="Y2083">
        <v>5</v>
      </c>
      <c r="Z2083" s="5">
        <v>372.13</v>
      </c>
    </row>
    <row r="2084" spans="1:26">
      <c r="A2084">
        <v>2083</v>
      </c>
      <c r="B2084">
        <v>684</v>
      </c>
      <c r="C2084" s="2">
        <v>46184</v>
      </c>
      <c r="D2084" t="s">
        <v>55</v>
      </c>
      <c r="E2084">
        <v>6</v>
      </c>
      <c r="F2084" s="3">
        <v>9.34</v>
      </c>
      <c r="G2084" t="s">
        <v>27</v>
      </c>
      <c r="H2084">
        <v>37</v>
      </c>
      <c r="I2084" t="s">
        <v>28</v>
      </c>
      <c r="J2084" s="4">
        <v>67.8</v>
      </c>
      <c r="K2084" s="4">
        <v>150.69999999999999</v>
      </c>
      <c r="L2084" s="4">
        <v>23.1</v>
      </c>
      <c r="M2084">
        <v>16</v>
      </c>
      <c r="N2084" t="s">
        <v>56</v>
      </c>
      <c r="O2084">
        <v>3</v>
      </c>
      <c r="P2084" s="4">
        <v>151.9</v>
      </c>
      <c r="Q2084" t="s">
        <v>42</v>
      </c>
      <c r="R2084">
        <v>1</v>
      </c>
      <c r="S2084" t="s">
        <v>31</v>
      </c>
      <c r="T2084">
        <v>0</v>
      </c>
      <c r="U2084">
        <v>1</v>
      </c>
      <c r="V2084" t="s">
        <v>32</v>
      </c>
      <c r="W2084" t="s">
        <v>39</v>
      </c>
      <c r="X2084" s="4">
        <v>10.199999999999999</v>
      </c>
      <c r="Y2084">
        <v>8</v>
      </c>
      <c r="Z2084" s="5">
        <v>311.86</v>
      </c>
    </row>
    <row r="2085" spans="1:26">
      <c r="A2085">
        <v>2084</v>
      </c>
      <c r="B2085">
        <v>684</v>
      </c>
      <c r="C2085" s="2">
        <v>46184</v>
      </c>
      <c r="D2085" t="s">
        <v>55</v>
      </c>
      <c r="E2085">
        <v>6</v>
      </c>
      <c r="F2085" s="3">
        <v>9.4600000000000009</v>
      </c>
      <c r="G2085" t="s">
        <v>27</v>
      </c>
      <c r="H2085">
        <v>55</v>
      </c>
      <c r="I2085" t="s">
        <v>34</v>
      </c>
      <c r="J2085" s="4">
        <v>60.7</v>
      </c>
      <c r="K2085" s="4">
        <v>105.1</v>
      </c>
      <c r="L2085" s="4">
        <v>20.3</v>
      </c>
      <c r="M2085">
        <v>15</v>
      </c>
      <c r="N2085" t="s">
        <v>56</v>
      </c>
      <c r="O2085">
        <v>3</v>
      </c>
      <c r="P2085" s="4">
        <v>151.9</v>
      </c>
      <c r="Q2085" t="s">
        <v>42</v>
      </c>
      <c r="R2085">
        <v>1</v>
      </c>
      <c r="S2085" t="s">
        <v>31</v>
      </c>
      <c r="T2085">
        <v>0</v>
      </c>
      <c r="U2085">
        <v>1</v>
      </c>
      <c r="V2085" t="s">
        <v>32</v>
      </c>
      <c r="W2085" t="s">
        <v>39</v>
      </c>
      <c r="X2085" s="4">
        <v>11.3</v>
      </c>
      <c r="Y2085">
        <v>9</v>
      </c>
      <c r="Z2085" s="5">
        <v>211.75</v>
      </c>
    </row>
    <row r="2086" spans="1:26">
      <c r="A2086">
        <v>2085</v>
      </c>
      <c r="B2086">
        <v>684</v>
      </c>
      <c r="C2086" s="2">
        <v>46184</v>
      </c>
      <c r="D2086" t="s">
        <v>55</v>
      </c>
      <c r="E2086">
        <v>6</v>
      </c>
      <c r="F2086" s="3">
        <v>9.3699999999999992</v>
      </c>
      <c r="G2086" t="s">
        <v>27</v>
      </c>
      <c r="H2086">
        <v>61</v>
      </c>
      <c r="I2086" t="s">
        <v>28</v>
      </c>
      <c r="J2086" s="4">
        <v>66.3</v>
      </c>
      <c r="K2086" s="4">
        <v>121.8</v>
      </c>
      <c r="L2086" s="4">
        <v>19.399999999999999</v>
      </c>
      <c r="M2086">
        <v>17</v>
      </c>
      <c r="N2086" t="s">
        <v>56</v>
      </c>
      <c r="O2086">
        <v>3</v>
      </c>
      <c r="P2086" s="4">
        <v>151.9</v>
      </c>
      <c r="Q2086" t="s">
        <v>42</v>
      </c>
      <c r="R2086">
        <v>1</v>
      </c>
      <c r="S2086" t="s">
        <v>31</v>
      </c>
      <c r="T2086">
        <v>0</v>
      </c>
      <c r="U2086">
        <v>1</v>
      </c>
      <c r="V2086" t="s">
        <v>32</v>
      </c>
      <c r="W2086" t="s">
        <v>39</v>
      </c>
      <c r="X2086" s="4">
        <v>10.5</v>
      </c>
      <c r="Y2086">
        <v>11</v>
      </c>
      <c r="Z2086" s="5">
        <v>417.6</v>
      </c>
    </row>
    <row r="2087" spans="1:26">
      <c r="A2087">
        <v>2086</v>
      </c>
      <c r="B2087">
        <v>685</v>
      </c>
      <c r="C2087" s="2">
        <v>46180</v>
      </c>
      <c r="D2087" t="s">
        <v>58</v>
      </c>
      <c r="E2087">
        <v>6</v>
      </c>
      <c r="F2087" s="3">
        <v>11.02</v>
      </c>
      <c r="G2087" t="s">
        <v>36</v>
      </c>
      <c r="H2087">
        <v>43</v>
      </c>
      <c r="I2087" t="s">
        <v>28</v>
      </c>
      <c r="J2087" s="4">
        <v>70.3</v>
      </c>
      <c r="K2087" s="4">
        <v>185.6</v>
      </c>
      <c r="L2087" s="4">
        <v>26.5</v>
      </c>
      <c r="M2087">
        <v>16</v>
      </c>
      <c r="N2087" t="s">
        <v>60</v>
      </c>
      <c r="O2087">
        <v>1</v>
      </c>
      <c r="P2087" s="4">
        <v>2286.6</v>
      </c>
      <c r="Q2087" t="s">
        <v>48</v>
      </c>
      <c r="R2087">
        <v>1</v>
      </c>
      <c r="S2087" t="s">
        <v>44</v>
      </c>
      <c r="T2087">
        <v>0</v>
      </c>
      <c r="U2087">
        <v>1</v>
      </c>
      <c r="V2087" t="s">
        <v>32</v>
      </c>
      <c r="W2087" t="s">
        <v>33</v>
      </c>
      <c r="X2087" s="4">
        <v>7.3</v>
      </c>
      <c r="Y2087">
        <v>7</v>
      </c>
      <c r="Z2087" s="5">
        <v>197.46</v>
      </c>
    </row>
    <row r="2088" spans="1:26">
      <c r="A2088">
        <v>2087</v>
      </c>
      <c r="B2088">
        <v>686</v>
      </c>
      <c r="C2088" s="2">
        <v>46104</v>
      </c>
      <c r="D2088" t="s">
        <v>46</v>
      </c>
      <c r="E2088">
        <v>3</v>
      </c>
      <c r="F2088" s="3">
        <v>8.6</v>
      </c>
      <c r="G2088" t="s">
        <v>27</v>
      </c>
      <c r="H2088">
        <v>20</v>
      </c>
      <c r="I2088" t="s">
        <v>34</v>
      </c>
      <c r="J2088" s="4">
        <v>69.099999999999994</v>
      </c>
      <c r="K2088" s="4">
        <v>167.3</v>
      </c>
      <c r="L2088" s="4">
        <v>24.6</v>
      </c>
      <c r="M2088">
        <v>12</v>
      </c>
      <c r="N2088" t="s">
        <v>60</v>
      </c>
      <c r="O2088">
        <v>3</v>
      </c>
      <c r="P2088" s="4">
        <v>1792.1</v>
      </c>
      <c r="Q2088" t="s">
        <v>42</v>
      </c>
      <c r="R2088">
        <v>0</v>
      </c>
      <c r="S2088" t="s">
        <v>31</v>
      </c>
      <c r="T2088">
        <v>1</v>
      </c>
      <c r="U2088">
        <v>1</v>
      </c>
      <c r="V2088" t="s">
        <v>45</v>
      </c>
      <c r="W2088" t="s">
        <v>33</v>
      </c>
      <c r="X2088" s="4">
        <v>11.1</v>
      </c>
      <c r="Y2088">
        <v>18</v>
      </c>
      <c r="Z2088" s="5">
        <v>289.52</v>
      </c>
    </row>
    <row r="2089" spans="1:26">
      <c r="A2089">
        <v>2088</v>
      </c>
      <c r="B2089">
        <v>686</v>
      </c>
      <c r="C2089" s="2">
        <v>46104</v>
      </c>
      <c r="D2089" t="s">
        <v>46</v>
      </c>
      <c r="E2089">
        <v>3</v>
      </c>
      <c r="F2089" s="3">
        <v>8.65</v>
      </c>
      <c r="G2089" t="s">
        <v>27</v>
      </c>
      <c r="H2089">
        <v>11</v>
      </c>
      <c r="I2089" t="s">
        <v>28</v>
      </c>
      <c r="J2089" s="4">
        <v>60</v>
      </c>
      <c r="K2089" s="4">
        <v>64.599999999999994</v>
      </c>
      <c r="L2089" s="4">
        <v>12.5</v>
      </c>
      <c r="M2089">
        <v>13</v>
      </c>
      <c r="N2089" t="s">
        <v>60</v>
      </c>
      <c r="O2089">
        <v>3</v>
      </c>
      <c r="P2089" s="4">
        <v>1792.1</v>
      </c>
      <c r="Q2089" t="s">
        <v>42</v>
      </c>
      <c r="R2089">
        <v>0</v>
      </c>
      <c r="S2089" t="s">
        <v>31</v>
      </c>
      <c r="T2089">
        <v>1</v>
      </c>
      <c r="U2089">
        <v>1</v>
      </c>
      <c r="V2089" t="s">
        <v>45</v>
      </c>
      <c r="W2089" t="s">
        <v>33</v>
      </c>
      <c r="X2089" s="4">
        <v>10</v>
      </c>
      <c r="Y2089">
        <v>8</v>
      </c>
      <c r="Z2089" s="5">
        <v>230.71</v>
      </c>
    </row>
    <row r="2090" spans="1:26">
      <c r="A2090">
        <v>2089</v>
      </c>
      <c r="B2090">
        <v>686</v>
      </c>
      <c r="C2090" s="2">
        <v>46104</v>
      </c>
      <c r="D2090" t="s">
        <v>46</v>
      </c>
      <c r="E2090">
        <v>3</v>
      </c>
      <c r="F2090" s="3">
        <v>8.59</v>
      </c>
      <c r="G2090" t="s">
        <v>27</v>
      </c>
      <c r="H2090">
        <v>61</v>
      </c>
      <c r="I2090" t="s">
        <v>28</v>
      </c>
      <c r="J2090" s="4">
        <v>72.400000000000006</v>
      </c>
      <c r="K2090" s="4">
        <v>156.80000000000001</v>
      </c>
      <c r="L2090" s="4">
        <v>21</v>
      </c>
      <c r="M2090">
        <v>17</v>
      </c>
      <c r="N2090" t="s">
        <v>60</v>
      </c>
      <c r="O2090">
        <v>3</v>
      </c>
      <c r="P2090" s="4">
        <v>1792.1</v>
      </c>
      <c r="Q2090" t="s">
        <v>42</v>
      </c>
      <c r="R2090">
        <v>0</v>
      </c>
      <c r="S2090" t="s">
        <v>31</v>
      </c>
      <c r="T2090">
        <v>1</v>
      </c>
      <c r="U2090">
        <v>1</v>
      </c>
      <c r="V2090" t="s">
        <v>45</v>
      </c>
      <c r="W2090" t="s">
        <v>33</v>
      </c>
      <c r="X2090" s="4">
        <v>8.8000000000000007</v>
      </c>
      <c r="Y2090">
        <v>5</v>
      </c>
      <c r="Z2090" s="5">
        <v>295.49</v>
      </c>
    </row>
    <row r="2091" spans="1:26">
      <c r="A2091">
        <v>2090</v>
      </c>
      <c r="B2091">
        <v>687</v>
      </c>
      <c r="C2091" s="2">
        <v>46262</v>
      </c>
      <c r="D2091" t="s">
        <v>26</v>
      </c>
      <c r="E2091">
        <v>8</v>
      </c>
      <c r="F2091" s="3">
        <v>7.86</v>
      </c>
      <c r="G2091" t="s">
        <v>27</v>
      </c>
      <c r="H2091">
        <v>48</v>
      </c>
      <c r="I2091" t="s">
        <v>28</v>
      </c>
      <c r="J2091" s="4">
        <v>72.599999999999994</v>
      </c>
      <c r="K2091" s="4">
        <v>190.6</v>
      </c>
      <c r="L2091" s="4">
        <v>25.1</v>
      </c>
      <c r="M2091">
        <v>18</v>
      </c>
      <c r="N2091" t="s">
        <v>60</v>
      </c>
      <c r="O2091">
        <v>4</v>
      </c>
      <c r="P2091" s="4">
        <v>1044.5</v>
      </c>
      <c r="Q2091" t="s">
        <v>42</v>
      </c>
      <c r="R2091">
        <v>1</v>
      </c>
      <c r="S2091" t="s">
        <v>44</v>
      </c>
      <c r="T2091">
        <v>1</v>
      </c>
      <c r="U2091">
        <v>0</v>
      </c>
      <c r="V2091" t="s">
        <v>32</v>
      </c>
      <c r="W2091" t="s">
        <v>57</v>
      </c>
      <c r="X2091" s="4">
        <v>8.4</v>
      </c>
      <c r="Y2091">
        <v>9</v>
      </c>
      <c r="Z2091" s="5">
        <v>193.21</v>
      </c>
    </row>
    <row r="2092" spans="1:26">
      <c r="A2092">
        <v>2091</v>
      </c>
      <c r="B2092">
        <v>687</v>
      </c>
      <c r="C2092" s="2">
        <v>46262</v>
      </c>
      <c r="D2092" t="s">
        <v>26</v>
      </c>
      <c r="E2092">
        <v>8</v>
      </c>
      <c r="F2092" s="3">
        <v>7.96</v>
      </c>
      <c r="G2092" t="s">
        <v>27</v>
      </c>
      <c r="H2092">
        <v>18</v>
      </c>
      <c r="I2092" t="s">
        <v>28</v>
      </c>
      <c r="J2092" s="4">
        <v>70.7</v>
      </c>
      <c r="K2092" s="4">
        <v>188.5</v>
      </c>
      <c r="L2092" s="4">
        <v>26.9</v>
      </c>
      <c r="M2092">
        <v>13</v>
      </c>
      <c r="N2092" t="s">
        <v>60</v>
      </c>
      <c r="O2092">
        <v>4</v>
      </c>
      <c r="P2092" s="4">
        <v>1044.5</v>
      </c>
      <c r="Q2092" t="s">
        <v>42</v>
      </c>
      <c r="R2092">
        <v>1</v>
      </c>
      <c r="S2092" t="s">
        <v>44</v>
      </c>
      <c r="T2092">
        <v>1</v>
      </c>
      <c r="U2092">
        <v>0</v>
      </c>
      <c r="V2092" t="s">
        <v>32</v>
      </c>
      <c r="W2092" t="s">
        <v>57</v>
      </c>
      <c r="X2092" s="4">
        <v>7.1</v>
      </c>
      <c r="Y2092">
        <v>2</v>
      </c>
      <c r="Z2092" s="5">
        <v>117.96</v>
      </c>
    </row>
    <row r="2093" spans="1:26">
      <c r="A2093">
        <v>2092</v>
      </c>
      <c r="B2093">
        <v>687</v>
      </c>
      <c r="C2093" s="2">
        <v>46262</v>
      </c>
      <c r="D2093" t="s">
        <v>26</v>
      </c>
      <c r="E2093">
        <v>8</v>
      </c>
      <c r="F2093" s="3">
        <v>8.0399999999999991</v>
      </c>
      <c r="G2093" t="s">
        <v>27</v>
      </c>
      <c r="H2093">
        <v>63</v>
      </c>
      <c r="I2093" t="s">
        <v>34</v>
      </c>
      <c r="J2093" s="4">
        <v>61.8</v>
      </c>
      <c r="K2093" s="4">
        <v>143</v>
      </c>
      <c r="L2093" s="4">
        <v>26.2</v>
      </c>
      <c r="M2093">
        <v>16</v>
      </c>
      <c r="N2093" t="s">
        <v>60</v>
      </c>
      <c r="O2093">
        <v>4</v>
      </c>
      <c r="P2093" s="4">
        <v>1044.5</v>
      </c>
      <c r="Q2093" t="s">
        <v>42</v>
      </c>
      <c r="R2093">
        <v>1</v>
      </c>
      <c r="S2093" t="s">
        <v>44</v>
      </c>
      <c r="T2093">
        <v>1</v>
      </c>
      <c r="U2093">
        <v>0</v>
      </c>
      <c r="V2093" t="s">
        <v>32</v>
      </c>
      <c r="W2093" t="s">
        <v>57</v>
      </c>
      <c r="X2093" s="4">
        <v>8.6</v>
      </c>
      <c r="Y2093">
        <v>8</v>
      </c>
      <c r="Z2093" s="5">
        <v>205.93</v>
      </c>
    </row>
    <row r="2094" spans="1:26">
      <c r="A2094">
        <v>2093</v>
      </c>
      <c r="B2094">
        <v>687</v>
      </c>
      <c r="C2094" s="2">
        <v>46262</v>
      </c>
      <c r="D2094" t="s">
        <v>26</v>
      </c>
      <c r="E2094">
        <v>8</v>
      </c>
      <c r="F2094" s="3">
        <v>8.1199999999999992</v>
      </c>
      <c r="G2094" t="s">
        <v>27</v>
      </c>
      <c r="H2094">
        <v>18</v>
      </c>
      <c r="I2094" t="s">
        <v>28</v>
      </c>
      <c r="J2094" s="4">
        <v>70.8</v>
      </c>
      <c r="K2094" s="4">
        <v>212.5</v>
      </c>
      <c r="L2094" s="4">
        <v>30</v>
      </c>
      <c r="M2094">
        <v>13</v>
      </c>
      <c r="N2094" t="s">
        <v>60</v>
      </c>
      <c r="O2094">
        <v>4</v>
      </c>
      <c r="P2094" s="4">
        <v>1044.5</v>
      </c>
      <c r="Q2094" t="s">
        <v>42</v>
      </c>
      <c r="R2094">
        <v>1</v>
      </c>
      <c r="S2094" t="s">
        <v>44</v>
      </c>
      <c r="T2094">
        <v>1</v>
      </c>
      <c r="U2094">
        <v>0</v>
      </c>
      <c r="V2094" t="s">
        <v>32</v>
      </c>
      <c r="W2094" t="s">
        <v>57</v>
      </c>
      <c r="X2094" s="4">
        <v>8.4</v>
      </c>
      <c r="Y2094">
        <v>12</v>
      </c>
      <c r="Z2094" s="5">
        <v>271.69</v>
      </c>
    </row>
    <row r="2095" spans="1:26">
      <c r="A2095">
        <v>2094</v>
      </c>
      <c r="B2095">
        <v>688</v>
      </c>
      <c r="C2095" s="2">
        <v>46256</v>
      </c>
      <c r="D2095" t="s">
        <v>40</v>
      </c>
      <c r="E2095">
        <v>8</v>
      </c>
      <c r="F2095" s="3">
        <v>8.67</v>
      </c>
      <c r="G2095" t="s">
        <v>27</v>
      </c>
      <c r="H2095">
        <v>4</v>
      </c>
      <c r="I2095" t="s">
        <v>28</v>
      </c>
      <c r="J2095" s="4">
        <v>53.3</v>
      </c>
      <c r="K2095" s="4">
        <v>65.8</v>
      </c>
      <c r="L2095" s="4">
        <v>16.2</v>
      </c>
      <c r="M2095">
        <v>12</v>
      </c>
      <c r="N2095" t="s">
        <v>29</v>
      </c>
      <c r="O2095">
        <v>1</v>
      </c>
      <c r="P2095" s="4">
        <v>2386.6</v>
      </c>
      <c r="Q2095" t="s">
        <v>42</v>
      </c>
      <c r="R2095">
        <v>0</v>
      </c>
      <c r="S2095" t="s">
        <v>44</v>
      </c>
      <c r="T2095">
        <v>0</v>
      </c>
      <c r="U2095">
        <v>1</v>
      </c>
      <c r="V2095" t="s">
        <v>32</v>
      </c>
      <c r="W2095" t="s">
        <v>49</v>
      </c>
      <c r="X2095" s="4">
        <v>10</v>
      </c>
      <c r="Y2095">
        <v>7</v>
      </c>
      <c r="Z2095" s="5">
        <v>197.64</v>
      </c>
    </row>
    <row r="2096" spans="1:26">
      <c r="A2096">
        <v>2095</v>
      </c>
      <c r="B2096">
        <v>689</v>
      </c>
      <c r="C2096" s="2">
        <v>46355</v>
      </c>
      <c r="D2096" t="s">
        <v>58</v>
      </c>
      <c r="E2096">
        <v>11</v>
      </c>
      <c r="F2096" s="3">
        <v>11.25</v>
      </c>
      <c r="G2096" t="s">
        <v>36</v>
      </c>
      <c r="H2096">
        <v>4</v>
      </c>
      <c r="I2096" t="s">
        <v>28</v>
      </c>
      <c r="J2096" s="4">
        <v>52.6</v>
      </c>
      <c r="K2096" s="4">
        <v>74.7</v>
      </c>
      <c r="L2096" s="4">
        <v>19.2</v>
      </c>
      <c r="M2096">
        <v>14</v>
      </c>
      <c r="N2096" t="s">
        <v>61</v>
      </c>
      <c r="O2096">
        <v>1</v>
      </c>
      <c r="P2096" s="4">
        <v>1942.6</v>
      </c>
      <c r="Q2096" t="s">
        <v>48</v>
      </c>
      <c r="R2096">
        <v>1</v>
      </c>
      <c r="S2096" t="s">
        <v>44</v>
      </c>
      <c r="T2096">
        <v>1</v>
      </c>
      <c r="U2096">
        <v>0</v>
      </c>
      <c r="V2096" t="s">
        <v>32</v>
      </c>
      <c r="W2096" t="s">
        <v>43</v>
      </c>
      <c r="X2096" s="4">
        <v>5.8</v>
      </c>
      <c r="Y2096">
        <v>8</v>
      </c>
      <c r="Z2096" s="5">
        <v>387.23</v>
      </c>
    </row>
    <row r="2097" spans="1:26">
      <c r="A2097">
        <v>2096</v>
      </c>
      <c r="B2097">
        <v>690</v>
      </c>
      <c r="C2097" s="2">
        <v>46194</v>
      </c>
      <c r="D2097" t="s">
        <v>58</v>
      </c>
      <c r="E2097">
        <v>6</v>
      </c>
      <c r="F2097" s="3">
        <v>8.9499999999999993</v>
      </c>
      <c r="G2097" t="s">
        <v>27</v>
      </c>
      <c r="H2097">
        <v>52</v>
      </c>
      <c r="I2097" t="s">
        <v>28</v>
      </c>
      <c r="J2097" s="4">
        <v>69.5</v>
      </c>
      <c r="K2097" s="4">
        <v>161.1</v>
      </c>
      <c r="L2097" s="4">
        <v>23.3</v>
      </c>
      <c r="M2097">
        <v>15</v>
      </c>
      <c r="N2097" t="s">
        <v>60</v>
      </c>
      <c r="O2097">
        <v>3</v>
      </c>
      <c r="P2097" s="4">
        <v>2484.3000000000002</v>
      </c>
      <c r="Q2097" t="s">
        <v>42</v>
      </c>
      <c r="R2097">
        <v>1</v>
      </c>
      <c r="S2097" t="s">
        <v>38</v>
      </c>
      <c r="T2097">
        <v>1</v>
      </c>
      <c r="U2097">
        <v>1</v>
      </c>
      <c r="V2097" t="s">
        <v>32</v>
      </c>
      <c r="W2097" t="s">
        <v>39</v>
      </c>
      <c r="X2097" s="4">
        <v>10.7</v>
      </c>
      <c r="Y2097">
        <v>12</v>
      </c>
      <c r="Z2097" s="5">
        <v>444.66</v>
      </c>
    </row>
    <row r="2098" spans="1:26">
      <c r="A2098">
        <v>2097</v>
      </c>
      <c r="B2098">
        <v>690</v>
      </c>
      <c r="C2098" s="2">
        <v>46194</v>
      </c>
      <c r="D2098" t="s">
        <v>58</v>
      </c>
      <c r="E2098">
        <v>6</v>
      </c>
      <c r="F2098" s="3">
        <v>9.24</v>
      </c>
      <c r="G2098" t="s">
        <v>27</v>
      </c>
      <c r="H2098">
        <v>12</v>
      </c>
      <c r="I2098" t="s">
        <v>28</v>
      </c>
      <c r="J2098" s="4">
        <v>67.8</v>
      </c>
      <c r="K2098" s="4">
        <v>125.3</v>
      </c>
      <c r="L2098" s="4">
        <v>19</v>
      </c>
      <c r="M2098">
        <v>12</v>
      </c>
      <c r="N2098" t="s">
        <v>60</v>
      </c>
      <c r="O2098">
        <v>3</v>
      </c>
      <c r="P2098" s="4">
        <v>2484.3000000000002</v>
      </c>
      <c r="Q2098" t="s">
        <v>42</v>
      </c>
      <c r="R2098">
        <v>1</v>
      </c>
      <c r="S2098" t="s">
        <v>38</v>
      </c>
      <c r="T2098">
        <v>1</v>
      </c>
      <c r="U2098">
        <v>1</v>
      </c>
      <c r="V2098" t="s">
        <v>32</v>
      </c>
      <c r="W2098" t="s">
        <v>39</v>
      </c>
      <c r="X2098" s="4">
        <v>8.8000000000000007</v>
      </c>
      <c r="Y2098">
        <v>13</v>
      </c>
      <c r="Z2098" s="5">
        <v>227.06</v>
      </c>
    </row>
    <row r="2099" spans="1:26">
      <c r="A2099">
        <v>2098</v>
      </c>
      <c r="B2099">
        <v>690</v>
      </c>
      <c r="C2099" s="2">
        <v>46194</v>
      </c>
      <c r="D2099" t="s">
        <v>58</v>
      </c>
      <c r="E2099">
        <v>6</v>
      </c>
      <c r="F2099" s="3">
        <v>8.9700000000000006</v>
      </c>
      <c r="G2099" t="s">
        <v>27</v>
      </c>
      <c r="H2099">
        <v>35</v>
      </c>
      <c r="I2099" t="s">
        <v>34</v>
      </c>
      <c r="J2099" s="4">
        <v>59.5</v>
      </c>
      <c r="K2099" s="4">
        <v>112.7</v>
      </c>
      <c r="L2099" s="4">
        <v>22.1</v>
      </c>
      <c r="M2099">
        <v>16</v>
      </c>
      <c r="N2099" t="s">
        <v>60</v>
      </c>
      <c r="O2099">
        <v>3</v>
      </c>
      <c r="P2099" s="4">
        <v>2484.3000000000002</v>
      </c>
      <c r="Q2099" t="s">
        <v>42</v>
      </c>
      <c r="R2099">
        <v>1</v>
      </c>
      <c r="S2099" t="s">
        <v>38</v>
      </c>
      <c r="T2099">
        <v>1</v>
      </c>
      <c r="U2099">
        <v>1</v>
      </c>
      <c r="V2099" t="s">
        <v>32</v>
      </c>
      <c r="W2099" t="s">
        <v>39</v>
      </c>
      <c r="X2099" s="4">
        <v>9.5</v>
      </c>
      <c r="Y2099">
        <v>11</v>
      </c>
      <c r="Z2099" s="5">
        <v>391.76</v>
      </c>
    </row>
    <row r="2100" spans="1:26">
      <c r="A2100">
        <v>2099</v>
      </c>
      <c r="B2100">
        <v>691</v>
      </c>
      <c r="C2100" s="2">
        <v>46104</v>
      </c>
      <c r="D2100" t="s">
        <v>46</v>
      </c>
      <c r="E2100">
        <v>3</v>
      </c>
      <c r="F2100" s="3">
        <v>9.19</v>
      </c>
      <c r="G2100" t="s">
        <v>27</v>
      </c>
      <c r="H2100">
        <v>35</v>
      </c>
      <c r="I2100" t="s">
        <v>34</v>
      </c>
      <c r="J2100" s="4">
        <v>59.4</v>
      </c>
      <c r="K2100" s="4">
        <v>143.19999999999999</v>
      </c>
      <c r="L2100" s="4">
        <v>28.6</v>
      </c>
      <c r="M2100">
        <v>12</v>
      </c>
      <c r="N2100" t="s">
        <v>47</v>
      </c>
      <c r="O2100">
        <v>2</v>
      </c>
      <c r="P2100" s="4">
        <v>45.1</v>
      </c>
      <c r="Q2100" t="s">
        <v>42</v>
      </c>
      <c r="R2100">
        <v>0</v>
      </c>
      <c r="S2100" t="s">
        <v>44</v>
      </c>
      <c r="T2100">
        <v>0</v>
      </c>
      <c r="U2100">
        <v>0</v>
      </c>
      <c r="V2100" t="s">
        <v>32</v>
      </c>
      <c r="W2100" t="s">
        <v>39</v>
      </c>
      <c r="X2100" s="4">
        <v>9.1</v>
      </c>
      <c r="Y2100">
        <v>4</v>
      </c>
      <c r="Z2100" s="5">
        <v>170.35</v>
      </c>
    </row>
    <row r="2101" spans="1:26">
      <c r="A2101">
        <v>2100</v>
      </c>
      <c r="B2101">
        <v>691</v>
      </c>
      <c r="C2101" s="2">
        <v>46104</v>
      </c>
      <c r="D2101" t="s">
        <v>46</v>
      </c>
      <c r="E2101">
        <v>3</v>
      </c>
      <c r="F2101" s="3">
        <v>9.4</v>
      </c>
      <c r="G2101" t="s">
        <v>27</v>
      </c>
      <c r="H2101">
        <v>6</v>
      </c>
      <c r="I2101" t="s">
        <v>34</v>
      </c>
      <c r="J2101" s="4">
        <v>57.1</v>
      </c>
      <c r="K2101" s="4">
        <v>76.599999999999994</v>
      </c>
      <c r="L2101" s="4">
        <v>16.399999999999999</v>
      </c>
      <c r="M2101">
        <v>13</v>
      </c>
      <c r="N2101" t="s">
        <v>47</v>
      </c>
      <c r="O2101">
        <v>2</v>
      </c>
      <c r="P2101" s="4">
        <v>45.1</v>
      </c>
      <c r="Q2101" t="s">
        <v>42</v>
      </c>
      <c r="R2101">
        <v>0</v>
      </c>
      <c r="S2101" t="s">
        <v>44</v>
      </c>
      <c r="T2101">
        <v>0</v>
      </c>
      <c r="U2101">
        <v>0</v>
      </c>
      <c r="V2101" t="s">
        <v>32</v>
      </c>
      <c r="W2101" t="s">
        <v>39</v>
      </c>
      <c r="X2101" s="4">
        <v>8.6999999999999993</v>
      </c>
      <c r="Y2101">
        <v>8</v>
      </c>
      <c r="Z2101" s="5">
        <v>239</v>
      </c>
    </row>
    <row r="2102" spans="1:26">
      <c r="A2102">
        <v>2101</v>
      </c>
      <c r="B2102">
        <v>692</v>
      </c>
      <c r="C2102" s="2">
        <v>46051</v>
      </c>
      <c r="D2102" t="s">
        <v>55</v>
      </c>
      <c r="E2102">
        <v>1</v>
      </c>
      <c r="F2102" s="3">
        <v>9.99</v>
      </c>
      <c r="G2102" t="s">
        <v>27</v>
      </c>
      <c r="H2102">
        <v>4</v>
      </c>
      <c r="I2102" t="s">
        <v>34</v>
      </c>
      <c r="J2102" s="4">
        <v>55.9</v>
      </c>
      <c r="K2102" s="4">
        <v>85.9</v>
      </c>
      <c r="L2102" s="4">
        <v>19.3</v>
      </c>
      <c r="M2102">
        <v>11</v>
      </c>
      <c r="N2102" t="s">
        <v>41</v>
      </c>
      <c r="O2102">
        <v>3</v>
      </c>
      <c r="P2102" s="4">
        <v>3027.6</v>
      </c>
      <c r="Q2102" t="s">
        <v>42</v>
      </c>
      <c r="R2102">
        <v>0</v>
      </c>
      <c r="S2102" t="s">
        <v>38</v>
      </c>
      <c r="T2102">
        <v>1</v>
      </c>
      <c r="U2102">
        <v>0</v>
      </c>
      <c r="V2102" t="s">
        <v>32</v>
      </c>
      <c r="W2102" t="s">
        <v>49</v>
      </c>
      <c r="X2102" s="4">
        <v>5.8</v>
      </c>
      <c r="Y2102">
        <v>8</v>
      </c>
      <c r="Z2102" s="5">
        <v>143.47999999999999</v>
      </c>
    </row>
    <row r="2103" spans="1:26">
      <c r="A2103">
        <v>2102</v>
      </c>
      <c r="B2103">
        <v>692</v>
      </c>
      <c r="C2103" s="2">
        <v>46051</v>
      </c>
      <c r="D2103" t="s">
        <v>55</v>
      </c>
      <c r="E2103">
        <v>1</v>
      </c>
      <c r="F2103" s="3">
        <v>10.039999999999999</v>
      </c>
      <c r="G2103" t="s">
        <v>27</v>
      </c>
      <c r="H2103">
        <v>70</v>
      </c>
      <c r="I2103" t="s">
        <v>28</v>
      </c>
      <c r="J2103" s="4">
        <v>69.3</v>
      </c>
      <c r="K2103" s="4">
        <v>160.9</v>
      </c>
      <c r="L2103" s="4">
        <v>23.4</v>
      </c>
      <c r="M2103">
        <v>16</v>
      </c>
      <c r="N2103" t="s">
        <v>41</v>
      </c>
      <c r="O2103">
        <v>3</v>
      </c>
      <c r="P2103" s="4">
        <v>3027.6</v>
      </c>
      <c r="Q2103" t="s">
        <v>42</v>
      </c>
      <c r="R2103">
        <v>0</v>
      </c>
      <c r="S2103" t="s">
        <v>38</v>
      </c>
      <c r="T2103">
        <v>1</v>
      </c>
      <c r="U2103">
        <v>0</v>
      </c>
      <c r="V2103" t="s">
        <v>32</v>
      </c>
      <c r="W2103" t="s">
        <v>49</v>
      </c>
      <c r="X2103" s="4">
        <v>8.8000000000000007</v>
      </c>
      <c r="Y2103">
        <v>9</v>
      </c>
      <c r="Z2103" s="5">
        <v>148.33000000000001</v>
      </c>
    </row>
    <row r="2104" spans="1:26">
      <c r="A2104">
        <v>2103</v>
      </c>
      <c r="B2104">
        <v>692</v>
      </c>
      <c r="C2104" s="2">
        <v>46051</v>
      </c>
      <c r="D2104" t="s">
        <v>55</v>
      </c>
      <c r="E2104">
        <v>1</v>
      </c>
      <c r="F2104" s="3">
        <v>10.17</v>
      </c>
      <c r="G2104" t="s">
        <v>27</v>
      </c>
      <c r="H2104">
        <v>40</v>
      </c>
      <c r="I2104" t="s">
        <v>34</v>
      </c>
      <c r="J2104" s="4">
        <v>66.400000000000006</v>
      </c>
      <c r="K2104" s="4">
        <v>153</v>
      </c>
      <c r="L2104" s="4">
        <v>24.3</v>
      </c>
      <c r="M2104">
        <v>14</v>
      </c>
      <c r="N2104" t="s">
        <v>41</v>
      </c>
      <c r="O2104">
        <v>3</v>
      </c>
      <c r="P2104" s="4">
        <v>3027.6</v>
      </c>
      <c r="Q2104" t="s">
        <v>42</v>
      </c>
      <c r="R2104">
        <v>0</v>
      </c>
      <c r="S2104" t="s">
        <v>38</v>
      </c>
      <c r="T2104">
        <v>1</v>
      </c>
      <c r="U2104">
        <v>0</v>
      </c>
      <c r="V2104" t="s">
        <v>32</v>
      </c>
      <c r="W2104" t="s">
        <v>49</v>
      </c>
      <c r="X2104" s="4">
        <v>7.3</v>
      </c>
      <c r="Y2104">
        <v>10</v>
      </c>
      <c r="Z2104" s="5">
        <v>164.14</v>
      </c>
    </row>
    <row r="2105" spans="1:26">
      <c r="A2105">
        <v>2104</v>
      </c>
      <c r="B2105">
        <v>693</v>
      </c>
      <c r="C2105" s="2">
        <v>46055</v>
      </c>
      <c r="D2105" t="s">
        <v>46</v>
      </c>
      <c r="E2105">
        <v>2</v>
      </c>
      <c r="F2105" s="3">
        <v>8.76</v>
      </c>
      <c r="G2105" t="s">
        <v>27</v>
      </c>
      <c r="H2105">
        <v>6</v>
      </c>
      <c r="I2105" t="s">
        <v>34</v>
      </c>
      <c r="J2105" s="4">
        <v>65.5</v>
      </c>
      <c r="K2105" s="4">
        <v>122.2</v>
      </c>
      <c r="L2105" s="4">
        <v>20.2</v>
      </c>
      <c r="M2105">
        <v>11</v>
      </c>
      <c r="N2105" t="s">
        <v>53</v>
      </c>
      <c r="O2105">
        <v>2</v>
      </c>
      <c r="P2105" s="4">
        <v>1310.9</v>
      </c>
      <c r="Q2105" t="s">
        <v>48</v>
      </c>
      <c r="R2105">
        <v>1</v>
      </c>
      <c r="S2105" t="s">
        <v>31</v>
      </c>
      <c r="T2105">
        <v>1</v>
      </c>
      <c r="U2105">
        <v>0</v>
      </c>
      <c r="V2105" t="s">
        <v>32</v>
      </c>
      <c r="W2105" t="s">
        <v>57</v>
      </c>
      <c r="X2105" s="4">
        <v>11.3</v>
      </c>
      <c r="Y2105">
        <v>9</v>
      </c>
      <c r="Z2105" s="5">
        <v>332.35</v>
      </c>
    </row>
    <row r="2106" spans="1:26">
      <c r="A2106">
        <v>2105</v>
      </c>
      <c r="B2106">
        <v>693</v>
      </c>
      <c r="C2106" s="2">
        <v>46055</v>
      </c>
      <c r="D2106" t="s">
        <v>46</v>
      </c>
      <c r="E2106">
        <v>2</v>
      </c>
      <c r="F2106" s="3">
        <v>8.7200000000000006</v>
      </c>
      <c r="G2106" t="s">
        <v>27</v>
      </c>
      <c r="H2106">
        <v>52</v>
      </c>
      <c r="I2106" t="s">
        <v>28</v>
      </c>
      <c r="J2106" s="4">
        <v>66.099999999999994</v>
      </c>
      <c r="K2106" s="4">
        <v>130.80000000000001</v>
      </c>
      <c r="L2106" s="4">
        <v>21.1</v>
      </c>
      <c r="M2106">
        <v>18</v>
      </c>
      <c r="N2106" t="s">
        <v>53</v>
      </c>
      <c r="O2106">
        <v>2</v>
      </c>
      <c r="P2106" s="4">
        <v>1310.9</v>
      </c>
      <c r="Q2106" t="s">
        <v>48</v>
      </c>
      <c r="R2106">
        <v>1</v>
      </c>
      <c r="S2106" t="s">
        <v>31</v>
      </c>
      <c r="T2106">
        <v>1</v>
      </c>
      <c r="U2106">
        <v>0</v>
      </c>
      <c r="V2106" t="s">
        <v>32</v>
      </c>
      <c r="W2106" t="s">
        <v>57</v>
      </c>
      <c r="X2106" s="4">
        <v>6.6</v>
      </c>
      <c r="Y2106">
        <v>9</v>
      </c>
      <c r="Z2106" s="5">
        <v>238.18</v>
      </c>
    </row>
    <row r="2107" spans="1:26">
      <c r="A2107">
        <v>2106</v>
      </c>
      <c r="B2107">
        <v>694</v>
      </c>
      <c r="C2107" s="2">
        <v>46366</v>
      </c>
      <c r="D2107" t="s">
        <v>55</v>
      </c>
      <c r="E2107">
        <v>12</v>
      </c>
      <c r="F2107" s="3">
        <v>8.6300000000000008</v>
      </c>
      <c r="G2107" t="s">
        <v>27</v>
      </c>
      <c r="H2107">
        <v>65</v>
      </c>
      <c r="I2107" t="s">
        <v>34</v>
      </c>
      <c r="J2107" s="4">
        <v>60.8</v>
      </c>
      <c r="K2107" s="4">
        <v>149.5</v>
      </c>
      <c r="L2107" s="4">
        <v>28.3</v>
      </c>
      <c r="M2107">
        <v>13</v>
      </c>
      <c r="N2107" t="s">
        <v>60</v>
      </c>
      <c r="O2107">
        <v>2</v>
      </c>
      <c r="P2107" s="4">
        <v>1829.4</v>
      </c>
      <c r="Q2107" t="s">
        <v>42</v>
      </c>
      <c r="R2107">
        <v>0</v>
      </c>
      <c r="S2107" t="s">
        <v>38</v>
      </c>
      <c r="T2107">
        <v>1</v>
      </c>
      <c r="U2107">
        <v>0</v>
      </c>
      <c r="V2107" t="s">
        <v>32</v>
      </c>
      <c r="W2107" t="s">
        <v>43</v>
      </c>
      <c r="X2107" s="4">
        <v>8.6</v>
      </c>
      <c r="Y2107">
        <v>10</v>
      </c>
      <c r="Z2107" s="5">
        <v>207.29</v>
      </c>
    </row>
    <row r="2108" spans="1:26">
      <c r="A2108">
        <v>2107</v>
      </c>
      <c r="B2108">
        <v>694</v>
      </c>
      <c r="C2108" s="2">
        <v>46366</v>
      </c>
      <c r="D2108" t="s">
        <v>55</v>
      </c>
      <c r="E2108">
        <v>12</v>
      </c>
      <c r="F2108" s="3">
        <v>8.74</v>
      </c>
      <c r="G2108" t="s">
        <v>27</v>
      </c>
      <c r="H2108">
        <v>56</v>
      </c>
      <c r="I2108" t="s">
        <v>28</v>
      </c>
      <c r="J2108" s="4">
        <v>72.400000000000006</v>
      </c>
      <c r="K2108" s="4">
        <v>197.6</v>
      </c>
      <c r="L2108" s="4">
        <v>26.5</v>
      </c>
      <c r="M2108">
        <v>17</v>
      </c>
      <c r="N2108" t="s">
        <v>60</v>
      </c>
      <c r="O2108">
        <v>2</v>
      </c>
      <c r="P2108" s="4">
        <v>1829.4</v>
      </c>
      <c r="Q2108" t="s">
        <v>42</v>
      </c>
      <c r="R2108">
        <v>0</v>
      </c>
      <c r="S2108" t="s">
        <v>38</v>
      </c>
      <c r="T2108">
        <v>1</v>
      </c>
      <c r="U2108">
        <v>0</v>
      </c>
      <c r="V2108" t="s">
        <v>32</v>
      </c>
      <c r="W2108" t="s">
        <v>43</v>
      </c>
      <c r="X2108" s="4">
        <v>8</v>
      </c>
      <c r="Y2108">
        <v>11</v>
      </c>
      <c r="Z2108" s="5">
        <v>351.97</v>
      </c>
    </row>
    <row r="2109" spans="1:26">
      <c r="A2109">
        <v>2108</v>
      </c>
      <c r="B2109">
        <v>695</v>
      </c>
      <c r="C2109" s="2">
        <v>46213</v>
      </c>
      <c r="D2109" t="s">
        <v>26</v>
      </c>
      <c r="E2109">
        <v>7</v>
      </c>
      <c r="F2109" s="3">
        <v>10.57</v>
      </c>
      <c r="G2109" t="s">
        <v>27</v>
      </c>
      <c r="H2109">
        <v>25</v>
      </c>
      <c r="I2109" t="s">
        <v>34</v>
      </c>
      <c r="J2109" s="4">
        <v>59.1</v>
      </c>
      <c r="K2109" s="4">
        <v>143.19999999999999</v>
      </c>
      <c r="L2109" s="4">
        <v>28.7</v>
      </c>
      <c r="M2109">
        <v>16</v>
      </c>
      <c r="N2109" t="s">
        <v>61</v>
      </c>
      <c r="O2109">
        <v>3</v>
      </c>
      <c r="P2109" s="4">
        <v>1165</v>
      </c>
      <c r="Q2109" t="s">
        <v>48</v>
      </c>
      <c r="R2109">
        <v>1</v>
      </c>
      <c r="S2109" t="s">
        <v>44</v>
      </c>
      <c r="T2109">
        <v>1</v>
      </c>
      <c r="U2109">
        <v>1</v>
      </c>
      <c r="V2109" t="s">
        <v>64</v>
      </c>
      <c r="W2109" t="s">
        <v>33</v>
      </c>
      <c r="X2109" s="4">
        <v>9.6999999999999993</v>
      </c>
      <c r="Y2109">
        <v>10</v>
      </c>
      <c r="Z2109" s="5">
        <v>238.09</v>
      </c>
    </row>
    <row r="2110" spans="1:26">
      <c r="A2110">
        <v>2109</v>
      </c>
      <c r="B2110">
        <v>695</v>
      </c>
      <c r="C2110" s="2">
        <v>46213</v>
      </c>
      <c r="D2110" t="s">
        <v>26</v>
      </c>
      <c r="E2110">
        <v>7</v>
      </c>
      <c r="F2110" s="3">
        <v>10.36</v>
      </c>
      <c r="G2110" t="s">
        <v>27</v>
      </c>
      <c r="H2110">
        <v>18</v>
      </c>
      <c r="I2110" t="s">
        <v>28</v>
      </c>
      <c r="J2110" s="4">
        <v>72.8</v>
      </c>
      <c r="K2110" s="4">
        <v>212.4</v>
      </c>
      <c r="L2110" s="4">
        <v>28.2</v>
      </c>
      <c r="M2110">
        <v>15</v>
      </c>
      <c r="N2110" t="s">
        <v>61</v>
      </c>
      <c r="O2110">
        <v>3</v>
      </c>
      <c r="P2110" s="4">
        <v>1165</v>
      </c>
      <c r="Q2110" t="s">
        <v>48</v>
      </c>
      <c r="R2110">
        <v>1</v>
      </c>
      <c r="S2110" t="s">
        <v>44</v>
      </c>
      <c r="T2110">
        <v>1</v>
      </c>
      <c r="U2110">
        <v>1</v>
      </c>
      <c r="V2110" t="s">
        <v>64</v>
      </c>
      <c r="W2110" t="s">
        <v>33</v>
      </c>
      <c r="X2110" s="4">
        <v>10.9</v>
      </c>
      <c r="Y2110">
        <v>12</v>
      </c>
      <c r="Z2110" s="5">
        <v>442.86</v>
      </c>
    </row>
    <row r="2111" spans="1:26">
      <c r="A2111">
        <v>2110</v>
      </c>
      <c r="B2111">
        <v>695</v>
      </c>
      <c r="C2111" s="2">
        <v>46213</v>
      </c>
      <c r="D2111" t="s">
        <v>26</v>
      </c>
      <c r="E2111">
        <v>7</v>
      </c>
      <c r="F2111" s="3">
        <v>10.52</v>
      </c>
      <c r="G2111" t="s">
        <v>27</v>
      </c>
      <c r="H2111">
        <v>18</v>
      </c>
      <c r="I2111" t="s">
        <v>34</v>
      </c>
      <c r="J2111" s="4">
        <v>64.7</v>
      </c>
      <c r="K2111" s="4">
        <v>143</v>
      </c>
      <c r="L2111" s="4">
        <v>23.9</v>
      </c>
      <c r="M2111">
        <v>15</v>
      </c>
      <c r="N2111" t="s">
        <v>61</v>
      </c>
      <c r="O2111">
        <v>3</v>
      </c>
      <c r="P2111" s="4">
        <v>1165</v>
      </c>
      <c r="Q2111" t="s">
        <v>48</v>
      </c>
      <c r="R2111">
        <v>1</v>
      </c>
      <c r="S2111" t="s">
        <v>44</v>
      </c>
      <c r="T2111">
        <v>1</v>
      </c>
      <c r="U2111">
        <v>1</v>
      </c>
      <c r="V2111" t="s">
        <v>64</v>
      </c>
      <c r="W2111" t="s">
        <v>33</v>
      </c>
      <c r="X2111" s="4">
        <v>9.3000000000000007</v>
      </c>
      <c r="Y2111">
        <v>12</v>
      </c>
      <c r="Z2111" s="5">
        <v>243.9</v>
      </c>
    </row>
    <row r="2112" spans="1:26">
      <c r="A2112">
        <v>2111</v>
      </c>
      <c r="B2112">
        <v>696</v>
      </c>
      <c r="C2112" s="2">
        <v>46042</v>
      </c>
      <c r="D2112" t="s">
        <v>35</v>
      </c>
      <c r="E2112">
        <v>1</v>
      </c>
      <c r="F2112" s="3">
        <v>9.7200000000000006</v>
      </c>
      <c r="G2112" t="s">
        <v>27</v>
      </c>
      <c r="H2112">
        <v>35</v>
      </c>
      <c r="I2112" t="s">
        <v>28</v>
      </c>
      <c r="J2112" s="4">
        <v>70.7</v>
      </c>
      <c r="K2112" s="4">
        <v>164.5</v>
      </c>
      <c r="L2112" s="4">
        <v>23.4</v>
      </c>
      <c r="M2112">
        <v>16</v>
      </c>
      <c r="N2112" t="s">
        <v>65</v>
      </c>
      <c r="O2112">
        <v>5</v>
      </c>
      <c r="P2112" s="4">
        <v>1759.8</v>
      </c>
      <c r="Q2112" t="s">
        <v>48</v>
      </c>
      <c r="R2112">
        <v>1</v>
      </c>
      <c r="S2112" t="s">
        <v>44</v>
      </c>
      <c r="T2112">
        <v>0</v>
      </c>
      <c r="U2112">
        <v>0</v>
      </c>
      <c r="V2112" t="s">
        <v>32</v>
      </c>
      <c r="W2112" t="s">
        <v>39</v>
      </c>
      <c r="X2112" s="4">
        <v>8</v>
      </c>
      <c r="Y2112">
        <v>12</v>
      </c>
      <c r="Z2112" s="5">
        <v>185.43</v>
      </c>
    </row>
    <row r="2113" spans="1:26">
      <c r="A2113">
        <v>2112</v>
      </c>
      <c r="B2113">
        <v>696</v>
      </c>
      <c r="C2113" s="2">
        <v>46042</v>
      </c>
      <c r="D2113" t="s">
        <v>35</v>
      </c>
      <c r="E2113">
        <v>1</v>
      </c>
      <c r="F2113" s="3">
        <v>9.92</v>
      </c>
      <c r="G2113" t="s">
        <v>27</v>
      </c>
      <c r="H2113">
        <v>60</v>
      </c>
      <c r="I2113" t="s">
        <v>34</v>
      </c>
      <c r="J2113" s="4">
        <v>62.6</v>
      </c>
      <c r="K2113" s="4">
        <v>111.1</v>
      </c>
      <c r="L2113" s="4">
        <v>19.5</v>
      </c>
      <c r="M2113">
        <v>16</v>
      </c>
      <c r="N2113" t="s">
        <v>65</v>
      </c>
      <c r="O2113">
        <v>5</v>
      </c>
      <c r="P2113" s="4">
        <v>1759.8</v>
      </c>
      <c r="Q2113" t="s">
        <v>48</v>
      </c>
      <c r="R2113">
        <v>1</v>
      </c>
      <c r="S2113" t="s">
        <v>44</v>
      </c>
      <c r="T2113">
        <v>0</v>
      </c>
      <c r="U2113">
        <v>0</v>
      </c>
      <c r="V2113" t="s">
        <v>32</v>
      </c>
      <c r="W2113" t="s">
        <v>39</v>
      </c>
      <c r="X2113" s="4">
        <v>7.8</v>
      </c>
      <c r="Y2113">
        <v>8</v>
      </c>
      <c r="Z2113" s="5">
        <v>339.69</v>
      </c>
    </row>
    <row r="2114" spans="1:26">
      <c r="A2114">
        <v>2113</v>
      </c>
      <c r="B2114">
        <v>696</v>
      </c>
      <c r="C2114" s="2">
        <v>46042</v>
      </c>
      <c r="D2114" t="s">
        <v>35</v>
      </c>
      <c r="E2114">
        <v>1</v>
      </c>
      <c r="F2114" s="3">
        <v>10.029999999999999</v>
      </c>
      <c r="G2114" t="s">
        <v>27</v>
      </c>
      <c r="H2114">
        <v>12</v>
      </c>
      <c r="I2114" t="s">
        <v>34</v>
      </c>
      <c r="J2114" s="4">
        <v>62.9</v>
      </c>
      <c r="K2114" s="4">
        <v>112</v>
      </c>
      <c r="L2114" s="4">
        <v>20.2</v>
      </c>
      <c r="M2114">
        <v>17</v>
      </c>
      <c r="N2114" t="s">
        <v>65</v>
      </c>
      <c r="O2114">
        <v>5</v>
      </c>
      <c r="P2114" s="4">
        <v>1759.8</v>
      </c>
      <c r="Q2114" t="s">
        <v>48</v>
      </c>
      <c r="R2114">
        <v>1</v>
      </c>
      <c r="S2114" t="s">
        <v>44</v>
      </c>
      <c r="T2114">
        <v>0</v>
      </c>
      <c r="U2114">
        <v>0</v>
      </c>
      <c r="V2114" t="s">
        <v>32</v>
      </c>
      <c r="W2114" t="s">
        <v>39</v>
      </c>
      <c r="X2114" s="4">
        <v>7.7</v>
      </c>
      <c r="Y2114">
        <v>2</v>
      </c>
      <c r="Z2114" s="5">
        <v>243.35</v>
      </c>
    </row>
    <row r="2115" spans="1:26">
      <c r="A2115">
        <v>2114</v>
      </c>
      <c r="B2115">
        <v>696</v>
      </c>
      <c r="C2115" s="2">
        <v>46042</v>
      </c>
      <c r="D2115" t="s">
        <v>35</v>
      </c>
      <c r="E2115">
        <v>1</v>
      </c>
      <c r="F2115" s="3">
        <v>9.94</v>
      </c>
      <c r="G2115" t="s">
        <v>27</v>
      </c>
      <c r="H2115">
        <v>9</v>
      </c>
      <c r="I2115" t="s">
        <v>34</v>
      </c>
      <c r="J2115" s="4">
        <v>66.2</v>
      </c>
      <c r="K2115" s="4">
        <v>136.1</v>
      </c>
      <c r="L2115" s="4">
        <v>21.9</v>
      </c>
      <c r="M2115">
        <v>15</v>
      </c>
      <c r="N2115" t="s">
        <v>65</v>
      </c>
      <c r="O2115">
        <v>5</v>
      </c>
      <c r="P2115" s="4">
        <v>1759.8</v>
      </c>
      <c r="Q2115" t="s">
        <v>48</v>
      </c>
      <c r="R2115">
        <v>1</v>
      </c>
      <c r="S2115" t="s">
        <v>44</v>
      </c>
      <c r="T2115">
        <v>0</v>
      </c>
      <c r="U2115">
        <v>0</v>
      </c>
      <c r="V2115" t="s">
        <v>32</v>
      </c>
      <c r="W2115" t="s">
        <v>39</v>
      </c>
      <c r="X2115" s="4">
        <v>9.8000000000000007</v>
      </c>
      <c r="Y2115">
        <v>11</v>
      </c>
      <c r="Z2115" s="5">
        <v>622.76</v>
      </c>
    </row>
    <row r="2116" spans="1:26">
      <c r="A2116">
        <v>2115</v>
      </c>
      <c r="B2116">
        <v>696</v>
      </c>
      <c r="C2116" s="2">
        <v>46042</v>
      </c>
      <c r="D2116" t="s">
        <v>35</v>
      </c>
      <c r="E2116">
        <v>1</v>
      </c>
      <c r="F2116" s="3">
        <v>9.92</v>
      </c>
      <c r="G2116" t="s">
        <v>27</v>
      </c>
      <c r="H2116">
        <v>66</v>
      </c>
      <c r="I2116" t="s">
        <v>34</v>
      </c>
      <c r="J2116" s="4">
        <v>61.6</v>
      </c>
      <c r="K2116" s="4">
        <v>145.80000000000001</v>
      </c>
      <c r="L2116" s="4">
        <v>26.9</v>
      </c>
      <c r="M2116">
        <v>17</v>
      </c>
      <c r="N2116" t="s">
        <v>65</v>
      </c>
      <c r="O2116">
        <v>5</v>
      </c>
      <c r="P2116" s="4">
        <v>1759.8</v>
      </c>
      <c r="Q2116" t="s">
        <v>48</v>
      </c>
      <c r="R2116">
        <v>1</v>
      </c>
      <c r="S2116" t="s">
        <v>44</v>
      </c>
      <c r="T2116">
        <v>0</v>
      </c>
      <c r="U2116">
        <v>0</v>
      </c>
      <c r="V2116" t="s">
        <v>32</v>
      </c>
      <c r="W2116" t="s">
        <v>39</v>
      </c>
      <c r="X2116" s="4">
        <v>7.4</v>
      </c>
      <c r="Y2116">
        <v>11</v>
      </c>
      <c r="Z2116" s="5">
        <v>354.54</v>
      </c>
    </row>
    <row r="2117" spans="1:26">
      <c r="A2117">
        <v>2116</v>
      </c>
      <c r="B2117">
        <v>697</v>
      </c>
      <c r="C2117" s="2">
        <v>46316</v>
      </c>
      <c r="D2117" t="s">
        <v>52</v>
      </c>
      <c r="E2117">
        <v>10</v>
      </c>
      <c r="F2117" s="3">
        <v>9.42</v>
      </c>
      <c r="G2117" t="s">
        <v>27</v>
      </c>
      <c r="H2117">
        <v>32</v>
      </c>
      <c r="I2117" t="s">
        <v>34</v>
      </c>
      <c r="J2117" s="4">
        <v>59.8</v>
      </c>
      <c r="K2117" s="4">
        <v>124.5</v>
      </c>
      <c r="L2117" s="4">
        <v>24.4</v>
      </c>
      <c r="M2117">
        <v>11</v>
      </c>
      <c r="N2117" t="s">
        <v>47</v>
      </c>
      <c r="O2117">
        <v>3</v>
      </c>
      <c r="P2117" s="4">
        <v>96.8</v>
      </c>
      <c r="Q2117" t="s">
        <v>30</v>
      </c>
      <c r="R2117">
        <v>0</v>
      </c>
      <c r="S2117" t="s">
        <v>44</v>
      </c>
      <c r="T2117">
        <v>0</v>
      </c>
      <c r="U2117">
        <v>0</v>
      </c>
      <c r="V2117" t="s">
        <v>32</v>
      </c>
      <c r="W2117" t="s">
        <v>39</v>
      </c>
      <c r="X2117" s="4">
        <v>6.5</v>
      </c>
      <c r="Y2117">
        <v>8</v>
      </c>
      <c r="Z2117" s="5">
        <v>127.76</v>
      </c>
    </row>
    <row r="2118" spans="1:26">
      <c r="A2118">
        <v>2117</v>
      </c>
      <c r="B2118">
        <v>697</v>
      </c>
      <c r="C2118" s="2">
        <v>46316</v>
      </c>
      <c r="D2118" t="s">
        <v>52</v>
      </c>
      <c r="E2118">
        <v>10</v>
      </c>
      <c r="F2118" s="3">
        <v>9.26</v>
      </c>
      <c r="G2118" t="s">
        <v>27</v>
      </c>
      <c r="H2118">
        <v>27</v>
      </c>
      <c r="I2118" t="s">
        <v>28</v>
      </c>
      <c r="J2118" s="4">
        <v>70.3</v>
      </c>
      <c r="K2118" s="4">
        <v>165.7</v>
      </c>
      <c r="L2118" s="4">
        <v>23.8</v>
      </c>
      <c r="M2118">
        <v>12</v>
      </c>
      <c r="N2118" t="s">
        <v>47</v>
      </c>
      <c r="O2118">
        <v>3</v>
      </c>
      <c r="P2118" s="4">
        <v>96.8</v>
      </c>
      <c r="Q2118" t="s">
        <v>30</v>
      </c>
      <c r="R2118">
        <v>0</v>
      </c>
      <c r="S2118" t="s">
        <v>44</v>
      </c>
      <c r="T2118">
        <v>0</v>
      </c>
      <c r="U2118">
        <v>0</v>
      </c>
      <c r="V2118" t="s">
        <v>32</v>
      </c>
      <c r="W2118" t="s">
        <v>39</v>
      </c>
      <c r="X2118" s="4">
        <v>7.1</v>
      </c>
      <c r="Y2118">
        <v>6</v>
      </c>
      <c r="Z2118" s="5">
        <v>167.78</v>
      </c>
    </row>
    <row r="2119" spans="1:26">
      <c r="A2119">
        <v>2118</v>
      </c>
      <c r="B2119">
        <v>697</v>
      </c>
      <c r="C2119" s="2">
        <v>46316</v>
      </c>
      <c r="D2119" t="s">
        <v>52</v>
      </c>
      <c r="E2119">
        <v>10</v>
      </c>
      <c r="F2119" s="3">
        <v>9.42</v>
      </c>
      <c r="G2119" t="s">
        <v>27</v>
      </c>
      <c r="H2119">
        <v>58</v>
      </c>
      <c r="I2119" t="s">
        <v>28</v>
      </c>
      <c r="J2119" s="4">
        <v>67.7</v>
      </c>
      <c r="K2119" s="4">
        <v>173.1</v>
      </c>
      <c r="L2119" s="4">
        <v>26.5</v>
      </c>
      <c r="M2119">
        <v>14</v>
      </c>
      <c r="N2119" t="s">
        <v>47</v>
      </c>
      <c r="O2119">
        <v>3</v>
      </c>
      <c r="P2119" s="4">
        <v>96.8</v>
      </c>
      <c r="Q2119" t="s">
        <v>30</v>
      </c>
      <c r="R2119">
        <v>0</v>
      </c>
      <c r="S2119" t="s">
        <v>44</v>
      </c>
      <c r="T2119">
        <v>0</v>
      </c>
      <c r="U2119">
        <v>0</v>
      </c>
      <c r="V2119" t="s">
        <v>32</v>
      </c>
      <c r="W2119" t="s">
        <v>39</v>
      </c>
      <c r="X2119" s="4">
        <v>9.1</v>
      </c>
      <c r="Y2119">
        <v>11</v>
      </c>
      <c r="Z2119" s="5">
        <v>244.12</v>
      </c>
    </row>
    <row r="2120" spans="1:26">
      <c r="A2120">
        <v>2119</v>
      </c>
      <c r="B2120">
        <v>698</v>
      </c>
      <c r="C2120" s="2">
        <v>46123</v>
      </c>
      <c r="D2120" t="s">
        <v>40</v>
      </c>
      <c r="E2120">
        <v>4</v>
      </c>
      <c r="F2120" s="3">
        <v>12.46</v>
      </c>
      <c r="G2120" t="s">
        <v>36</v>
      </c>
      <c r="H2120">
        <v>53</v>
      </c>
      <c r="I2120" t="s">
        <v>28</v>
      </c>
      <c r="J2120" s="4">
        <v>65.5</v>
      </c>
      <c r="K2120" s="4">
        <v>130.9</v>
      </c>
      <c r="L2120" s="4">
        <v>21.4</v>
      </c>
      <c r="M2120">
        <v>16</v>
      </c>
      <c r="N2120" t="s">
        <v>60</v>
      </c>
      <c r="O2120">
        <v>3</v>
      </c>
      <c r="P2120" s="4">
        <v>1649.4</v>
      </c>
      <c r="Q2120" t="s">
        <v>42</v>
      </c>
      <c r="R2120">
        <v>1</v>
      </c>
      <c r="S2120" t="s">
        <v>44</v>
      </c>
      <c r="T2120">
        <v>1</v>
      </c>
      <c r="U2120">
        <v>0</v>
      </c>
      <c r="V2120" t="s">
        <v>32</v>
      </c>
      <c r="W2120" t="s">
        <v>49</v>
      </c>
      <c r="X2120" s="4">
        <v>10.5</v>
      </c>
      <c r="Y2120">
        <v>12</v>
      </c>
      <c r="Z2120" s="5">
        <v>408.59</v>
      </c>
    </row>
    <row r="2121" spans="1:26">
      <c r="A2121">
        <v>2120</v>
      </c>
      <c r="B2121">
        <v>698</v>
      </c>
      <c r="C2121" s="2">
        <v>46123</v>
      </c>
      <c r="D2121" t="s">
        <v>40</v>
      </c>
      <c r="E2121">
        <v>4</v>
      </c>
      <c r="F2121" s="3">
        <v>12.51</v>
      </c>
      <c r="G2121" t="s">
        <v>36</v>
      </c>
      <c r="H2121">
        <v>24</v>
      </c>
      <c r="I2121" t="s">
        <v>34</v>
      </c>
      <c r="J2121" s="4">
        <v>65.400000000000006</v>
      </c>
      <c r="K2121" s="4">
        <v>170.8</v>
      </c>
      <c r="L2121" s="4">
        <v>28.1</v>
      </c>
      <c r="M2121">
        <v>14</v>
      </c>
      <c r="N2121" t="s">
        <v>60</v>
      </c>
      <c r="O2121">
        <v>3</v>
      </c>
      <c r="P2121" s="4">
        <v>1649.4</v>
      </c>
      <c r="Q2121" t="s">
        <v>42</v>
      </c>
      <c r="R2121">
        <v>1</v>
      </c>
      <c r="S2121" t="s">
        <v>44</v>
      </c>
      <c r="T2121">
        <v>1</v>
      </c>
      <c r="U2121">
        <v>0</v>
      </c>
      <c r="V2121" t="s">
        <v>32</v>
      </c>
      <c r="W2121" t="s">
        <v>49</v>
      </c>
      <c r="X2121" s="4">
        <v>6.3</v>
      </c>
      <c r="Y2121">
        <v>13</v>
      </c>
      <c r="Z2121" s="5">
        <v>202.93</v>
      </c>
    </row>
    <row r="2122" spans="1:26">
      <c r="A2122">
        <v>2121</v>
      </c>
      <c r="B2122">
        <v>698</v>
      </c>
      <c r="C2122" s="2">
        <v>46123</v>
      </c>
      <c r="D2122" t="s">
        <v>40</v>
      </c>
      <c r="E2122">
        <v>4</v>
      </c>
      <c r="F2122" s="3">
        <v>12.47</v>
      </c>
      <c r="G2122" t="s">
        <v>36</v>
      </c>
      <c r="H2122">
        <v>59</v>
      </c>
      <c r="I2122" t="s">
        <v>28</v>
      </c>
      <c r="J2122" s="4">
        <v>72.7</v>
      </c>
      <c r="K2122" s="4">
        <v>230.1</v>
      </c>
      <c r="L2122" s="4">
        <v>30.8</v>
      </c>
      <c r="M2122">
        <v>15</v>
      </c>
      <c r="N2122" t="s">
        <v>60</v>
      </c>
      <c r="O2122">
        <v>3</v>
      </c>
      <c r="P2122" s="4">
        <v>1649.4</v>
      </c>
      <c r="Q2122" t="s">
        <v>42</v>
      </c>
      <c r="R2122">
        <v>1</v>
      </c>
      <c r="S2122" t="s">
        <v>44</v>
      </c>
      <c r="T2122">
        <v>1</v>
      </c>
      <c r="U2122">
        <v>0</v>
      </c>
      <c r="V2122" t="s">
        <v>32</v>
      </c>
      <c r="W2122" t="s">
        <v>49</v>
      </c>
      <c r="X2122" s="4">
        <v>9.8000000000000007</v>
      </c>
      <c r="Y2122">
        <v>10</v>
      </c>
      <c r="Z2122" s="5">
        <v>280.64999999999998</v>
      </c>
    </row>
    <row r="2123" spans="1:26">
      <c r="A2123">
        <v>2122</v>
      </c>
      <c r="B2123">
        <v>699</v>
      </c>
      <c r="C2123" s="2">
        <v>46342</v>
      </c>
      <c r="D2123" t="s">
        <v>46</v>
      </c>
      <c r="E2123">
        <v>11</v>
      </c>
      <c r="F2123" s="3">
        <v>10.56</v>
      </c>
      <c r="G2123" t="s">
        <v>27</v>
      </c>
      <c r="H2123">
        <v>18</v>
      </c>
      <c r="I2123" t="s">
        <v>28</v>
      </c>
      <c r="J2123" s="4">
        <v>63.8</v>
      </c>
      <c r="K2123" s="4">
        <v>155.1</v>
      </c>
      <c r="L2123" s="4">
        <v>26.6</v>
      </c>
      <c r="M2123">
        <v>8</v>
      </c>
      <c r="N2123" t="s">
        <v>56</v>
      </c>
      <c r="O2123">
        <v>2</v>
      </c>
      <c r="P2123" s="4">
        <v>304.89999999999998</v>
      </c>
      <c r="Q2123" t="s">
        <v>30</v>
      </c>
      <c r="R2123">
        <v>0</v>
      </c>
      <c r="S2123" t="s">
        <v>31</v>
      </c>
      <c r="T2123">
        <v>0</v>
      </c>
      <c r="U2123">
        <v>0</v>
      </c>
      <c r="V2123" t="s">
        <v>32</v>
      </c>
      <c r="W2123" t="s">
        <v>57</v>
      </c>
      <c r="X2123" s="4">
        <v>9</v>
      </c>
      <c r="Y2123">
        <v>8</v>
      </c>
      <c r="Z2123" s="5">
        <v>191.87</v>
      </c>
    </row>
    <row r="2124" spans="1:26">
      <c r="A2124">
        <v>2123</v>
      </c>
      <c r="B2124">
        <v>699</v>
      </c>
      <c r="C2124" s="2">
        <v>46342</v>
      </c>
      <c r="D2124" t="s">
        <v>46</v>
      </c>
      <c r="E2124">
        <v>11</v>
      </c>
      <c r="F2124" s="3">
        <v>10.59</v>
      </c>
      <c r="G2124" t="s">
        <v>27</v>
      </c>
      <c r="H2124">
        <v>74</v>
      </c>
      <c r="I2124" t="s">
        <v>34</v>
      </c>
      <c r="J2124" s="4">
        <v>68.3</v>
      </c>
      <c r="K2124" s="4">
        <v>186.7</v>
      </c>
      <c r="L2124" s="4">
        <v>28.4</v>
      </c>
      <c r="M2124">
        <v>13</v>
      </c>
      <c r="N2124" t="s">
        <v>56</v>
      </c>
      <c r="O2124">
        <v>2</v>
      </c>
      <c r="P2124" s="4">
        <v>304.89999999999998</v>
      </c>
      <c r="Q2124" t="s">
        <v>30</v>
      </c>
      <c r="R2124">
        <v>0</v>
      </c>
      <c r="S2124" t="s">
        <v>31</v>
      </c>
      <c r="T2124">
        <v>0</v>
      </c>
      <c r="U2124">
        <v>0</v>
      </c>
      <c r="V2124" t="s">
        <v>32</v>
      </c>
      <c r="W2124" t="s">
        <v>57</v>
      </c>
      <c r="X2124" s="4">
        <v>6.5</v>
      </c>
      <c r="Y2124">
        <v>5</v>
      </c>
      <c r="Z2124" s="5">
        <v>110.15</v>
      </c>
    </row>
    <row r="2125" spans="1:26">
      <c r="A2125">
        <v>2124</v>
      </c>
      <c r="B2125">
        <v>700</v>
      </c>
      <c r="C2125" s="2">
        <v>46156</v>
      </c>
      <c r="D2125" t="s">
        <v>55</v>
      </c>
      <c r="E2125">
        <v>5</v>
      </c>
      <c r="F2125" s="3">
        <v>8.83</v>
      </c>
      <c r="G2125" t="s">
        <v>27</v>
      </c>
      <c r="H2125">
        <v>69</v>
      </c>
      <c r="I2125" t="s">
        <v>51</v>
      </c>
      <c r="J2125" s="4">
        <v>67.599999999999994</v>
      </c>
      <c r="K2125" s="4">
        <v>140.80000000000001</v>
      </c>
      <c r="L2125" s="4">
        <v>21.7</v>
      </c>
      <c r="M2125">
        <v>13</v>
      </c>
      <c r="N2125" t="s">
        <v>47</v>
      </c>
      <c r="O2125">
        <v>5</v>
      </c>
      <c r="P2125" s="4">
        <v>64.2</v>
      </c>
      <c r="Q2125" t="s">
        <v>30</v>
      </c>
      <c r="R2125">
        <v>1</v>
      </c>
      <c r="S2125" t="s">
        <v>44</v>
      </c>
      <c r="T2125">
        <v>0</v>
      </c>
      <c r="U2125">
        <v>0</v>
      </c>
      <c r="V2125" t="s">
        <v>32</v>
      </c>
      <c r="W2125" t="s">
        <v>49</v>
      </c>
      <c r="X2125" s="4">
        <v>7.9</v>
      </c>
      <c r="Y2125">
        <v>6</v>
      </c>
      <c r="Z2125" s="5">
        <v>180.84</v>
      </c>
    </row>
    <row r="2126" spans="1:26">
      <c r="A2126">
        <v>2125</v>
      </c>
      <c r="B2126">
        <v>700</v>
      </c>
      <c r="C2126" s="2">
        <v>46156</v>
      </c>
      <c r="D2126" t="s">
        <v>55</v>
      </c>
      <c r="E2126">
        <v>5</v>
      </c>
      <c r="F2126" s="3">
        <v>8.6</v>
      </c>
      <c r="G2126" t="s">
        <v>27</v>
      </c>
      <c r="H2126">
        <v>18</v>
      </c>
      <c r="I2126" t="s">
        <v>28</v>
      </c>
      <c r="J2126" s="4">
        <v>69.8</v>
      </c>
      <c r="K2126" s="4">
        <v>178.8</v>
      </c>
      <c r="L2126" s="4">
        <v>25.8</v>
      </c>
      <c r="M2126">
        <v>12</v>
      </c>
      <c r="N2126" t="s">
        <v>47</v>
      </c>
      <c r="O2126">
        <v>5</v>
      </c>
      <c r="P2126" s="4">
        <v>64.2</v>
      </c>
      <c r="Q2126" t="s">
        <v>30</v>
      </c>
      <c r="R2126">
        <v>1</v>
      </c>
      <c r="S2126" t="s">
        <v>44</v>
      </c>
      <c r="T2126">
        <v>0</v>
      </c>
      <c r="U2126">
        <v>0</v>
      </c>
      <c r="V2126" t="s">
        <v>32</v>
      </c>
      <c r="W2126" t="s">
        <v>49</v>
      </c>
      <c r="X2126" s="4">
        <v>6.1</v>
      </c>
      <c r="Y2126">
        <v>10</v>
      </c>
      <c r="Z2126" s="5">
        <v>146.96</v>
      </c>
    </row>
    <row r="2127" spans="1:26">
      <c r="A2127">
        <v>2126</v>
      </c>
      <c r="B2127">
        <v>700</v>
      </c>
      <c r="C2127" s="2">
        <v>46156</v>
      </c>
      <c r="D2127" t="s">
        <v>55</v>
      </c>
      <c r="E2127">
        <v>5</v>
      </c>
      <c r="F2127" s="3">
        <v>8.6199999999999992</v>
      </c>
      <c r="G2127" t="s">
        <v>27</v>
      </c>
      <c r="H2127">
        <v>24</v>
      </c>
      <c r="I2127" t="s">
        <v>28</v>
      </c>
      <c r="J2127" s="4">
        <v>73.099999999999994</v>
      </c>
      <c r="K2127" s="4">
        <v>173.7</v>
      </c>
      <c r="L2127" s="4">
        <v>22.9</v>
      </c>
      <c r="M2127">
        <v>11</v>
      </c>
      <c r="N2127" t="s">
        <v>47</v>
      </c>
      <c r="O2127">
        <v>5</v>
      </c>
      <c r="P2127" s="4">
        <v>64.2</v>
      </c>
      <c r="Q2127" t="s">
        <v>30</v>
      </c>
      <c r="R2127">
        <v>1</v>
      </c>
      <c r="S2127" t="s">
        <v>44</v>
      </c>
      <c r="T2127">
        <v>0</v>
      </c>
      <c r="U2127">
        <v>0</v>
      </c>
      <c r="V2127" t="s">
        <v>32</v>
      </c>
      <c r="W2127" t="s">
        <v>49</v>
      </c>
      <c r="X2127" s="4">
        <v>8.9</v>
      </c>
      <c r="Y2127">
        <v>8</v>
      </c>
      <c r="Z2127" s="5">
        <v>230.23</v>
      </c>
    </row>
    <row r="2128" spans="1:26">
      <c r="A2128">
        <v>2127</v>
      </c>
      <c r="B2128">
        <v>700</v>
      </c>
      <c r="C2128" s="2">
        <v>46156</v>
      </c>
      <c r="D2128" t="s">
        <v>55</v>
      </c>
      <c r="E2128">
        <v>5</v>
      </c>
      <c r="F2128" s="3">
        <v>8.5</v>
      </c>
      <c r="G2128" t="s">
        <v>27</v>
      </c>
      <c r="H2128">
        <v>19</v>
      </c>
      <c r="I2128" t="s">
        <v>28</v>
      </c>
      <c r="J2128" s="4">
        <v>70</v>
      </c>
      <c r="K2128" s="4">
        <v>155.5</v>
      </c>
      <c r="L2128" s="4">
        <v>22.2</v>
      </c>
      <c r="M2128">
        <v>7</v>
      </c>
      <c r="N2128" t="s">
        <v>47</v>
      </c>
      <c r="O2128">
        <v>5</v>
      </c>
      <c r="P2128" s="4">
        <v>64.2</v>
      </c>
      <c r="Q2128" t="s">
        <v>30</v>
      </c>
      <c r="R2128">
        <v>1</v>
      </c>
      <c r="S2128" t="s">
        <v>44</v>
      </c>
      <c r="T2128">
        <v>0</v>
      </c>
      <c r="U2128">
        <v>0</v>
      </c>
      <c r="V2128" t="s">
        <v>32</v>
      </c>
      <c r="W2128" t="s">
        <v>49</v>
      </c>
      <c r="X2128" s="4">
        <v>8.1</v>
      </c>
      <c r="Y2128">
        <v>9</v>
      </c>
      <c r="Z2128" s="5">
        <v>175.41</v>
      </c>
    </row>
    <row r="2129" spans="1:26">
      <c r="A2129">
        <v>2128</v>
      </c>
      <c r="B2129">
        <v>700</v>
      </c>
      <c r="C2129" s="2">
        <v>46156</v>
      </c>
      <c r="D2129" t="s">
        <v>55</v>
      </c>
      <c r="E2129">
        <v>5</v>
      </c>
      <c r="F2129" s="3">
        <v>8.74</v>
      </c>
      <c r="G2129" t="s">
        <v>27</v>
      </c>
      <c r="H2129">
        <v>71</v>
      </c>
      <c r="I2129" t="s">
        <v>28</v>
      </c>
      <c r="J2129" s="4">
        <v>70.900000000000006</v>
      </c>
      <c r="K2129" s="4">
        <v>215.1</v>
      </c>
      <c r="L2129" s="4">
        <v>30.1</v>
      </c>
      <c r="M2129">
        <v>15</v>
      </c>
      <c r="N2129" t="s">
        <v>47</v>
      </c>
      <c r="O2129">
        <v>5</v>
      </c>
      <c r="P2129" s="4">
        <v>64.2</v>
      </c>
      <c r="Q2129" t="s">
        <v>30</v>
      </c>
      <c r="R2129">
        <v>1</v>
      </c>
      <c r="S2129" t="s">
        <v>44</v>
      </c>
      <c r="T2129">
        <v>0</v>
      </c>
      <c r="U2129">
        <v>0</v>
      </c>
      <c r="V2129" t="s">
        <v>32</v>
      </c>
      <c r="W2129" t="s">
        <v>49</v>
      </c>
      <c r="X2129" s="4">
        <v>9.5</v>
      </c>
      <c r="Y2129">
        <v>11</v>
      </c>
      <c r="Z2129" s="5">
        <v>219.27</v>
      </c>
    </row>
    <row r="2130" spans="1:26">
      <c r="A2130">
        <v>2129</v>
      </c>
      <c r="B2130">
        <v>701</v>
      </c>
      <c r="C2130" s="2">
        <v>46369</v>
      </c>
      <c r="D2130" t="s">
        <v>58</v>
      </c>
      <c r="E2130">
        <v>12</v>
      </c>
      <c r="F2130" s="3">
        <v>11.36</v>
      </c>
      <c r="G2130" t="s">
        <v>36</v>
      </c>
      <c r="H2130">
        <v>3</v>
      </c>
      <c r="I2130" t="s">
        <v>34</v>
      </c>
      <c r="J2130" s="4">
        <v>48.4</v>
      </c>
      <c r="K2130" s="4">
        <v>53.3</v>
      </c>
      <c r="L2130" s="4">
        <v>15.8</v>
      </c>
      <c r="M2130">
        <v>9</v>
      </c>
      <c r="N2130" t="s">
        <v>41</v>
      </c>
      <c r="O2130">
        <v>3</v>
      </c>
      <c r="P2130" s="4">
        <v>2536.6</v>
      </c>
      <c r="Q2130" t="s">
        <v>30</v>
      </c>
      <c r="R2130">
        <v>1</v>
      </c>
      <c r="S2130" t="s">
        <v>44</v>
      </c>
      <c r="T2130">
        <v>0</v>
      </c>
      <c r="U2130">
        <v>0</v>
      </c>
      <c r="V2130" t="s">
        <v>45</v>
      </c>
      <c r="W2130" t="s">
        <v>49</v>
      </c>
      <c r="X2130" s="4">
        <v>8.6999999999999993</v>
      </c>
      <c r="Y2130">
        <v>5</v>
      </c>
      <c r="Z2130" s="5">
        <v>148.03</v>
      </c>
    </row>
    <row r="2131" spans="1:26">
      <c r="A2131">
        <v>2130</v>
      </c>
      <c r="B2131">
        <v>701</v>
      </c>
      <c r="C2131" s="2">
        <v>46369</v>
      </c>
      <c r="D2131" t="s">
        <v>58</v>
      </c>
      <c r="E2131">
        <v>12</v>
      </c>
      <c r="F2131" s="3">
        <v>11.57</v>
      </c>
      <c r="G2131" t="s">
        <v>36</v>
      </c>
      <c r="H2131">
        <v>61</v>
      </c>
      <c r="I2131" t="s">
        <v>34</v>
      </c>
      <c r="J2131" s="4">
        <v>58</v>
      </c>
      <c r="K2131" s="4">
        <v>110</v>
      </c>
      <c r="L2131" s="4">
        <v>22.9</v>
      </c>
      <c r="M2131">
        <v>15</v>
      </c>
      <c r="N2131" t="s">
        <v>41</v>
      </c>
      <c r="O2131">
        <v>3</v>
      </c>
      <c r="P2131" s="4">
        <v>2536.6</v>
      </c>
      <c r="Q2131" t="s">
        <v>30</v>
      </c>
      <c r="R2131">
        <v>1</v>
      </c>
      <c r="S2131" t="s">
        <v>44</v>
      </c>
      <c r="T2131">
        <v>0</v>
      </c>
      <c r="U2131">
        <v>0</v>
      </c>
      <c r="V2131" t="s">
        <v>45</v>
      </c>
      <c r="W2131" t="s">
        <v>49</v>
      </c>
      <c r="X2131" s="4">
        <v>6.8</v>
      </c>
      <c r="Y2131">
        <v>7</v>
      </c>
      <c r="Z2131" s="5">
        <v>169.06</v>
      </c>
    </row>
    <row r="2132" spans="1:26">
      <c r="A2132">
        <v>2131</v>
      </c>
      <c r="B2132">
        <v>701</v>
      </c>
      <c r="C2132" s="2">
        <v>46369</v>
      </c>
      <c r="D2132" t="s">
        <v>58</v>
      </c>
      <c r="E2132">
        <v>12</v>
      </c>
      <c r="F2132" s="3">
        <v>11.36</v>
      </c>
      <c r="G2132" t="s">
        <v>36</v>
      </c>
      <c r="H2132">
        <v>16</v>
      </c>
      <c r="I2132" t="s">
        <v>34</v>
      </c>
      <c r="J2132" s="4">
        <v>70</v>
      </c>
      <c r="K2132" s="4">
        <v>117.6</v>
      </c>
      <c r="L2132" s="4">
        <v>16.600000000000001</v>
      </c>
      <c r="M2132">
        <v>10</v>
      </c>
      <c r="N2132" t="s">
        <v>41</v>
      </c>
      <c r="O2132">
        <v>3</v>
      </c>
      <c r="P2132" s="4">
        <v>2536.6</v>
      </c>
      <c r="Q2132" t="s">
        <v>30</v>
      </c>
      <c r="R2132">
        <v>1</v>
      </c>
      <c r="S2132" t="s">
        <v>44</v>
      </c>
      <c r="T2132">
        <v>0</v>
      </c>
      <c r="U2132">
        <v>0</v>
      </c>
      <c r="V2132" t="s">
        <v>45</v>
      </c>
      <c r="W2132" t="s">
        <v>49</v>
      </c>
      <c r="X2132" s="4">
        <v>7.2</v>
      </c>
      <c r="Y2132">
        <v>3</v>
      </c>
      <c r="Z2132" s="5">
        <v>133.79</v>
      </c>
    </row>
    <row r="2133" spans="1:26">
      <c r="A2133">
        <v>2132</v>
      </c>
      <c r="B2133">
        <v>702</v>
      </c>
      <c r="C2133" s="2">
        <v>46156</v>
      </c>
      <c r="D2133" t="s">
        <v>55</v>
      </c>
      <c r="E2133">
        <v>5</v>
      </c>
      <c r="F2133" s="3">
        <v>11.26</v>
      </c>
      <c r="G2133" t="s">
        <v>36</v>
      </c>
      <c r="H2133">
        <v>4</v>
      </c>
      <c r="I2133" t="s">
        <v>28</v>
      </c>
      <c r="J2133" s="4">
        <v>51.6</v>
      </c>
      <c r="K2133" s="4">
        <v>61.2</v>
      </c>
      <c r="L2133" s="4">
        <v>16.100000000000001</v>
      </c>
      <c r="M2133">
        <v>11</v>
      </c>
      <c r="N2133" t="s">
        <v>61</v>
      </c>
      <c r="O2133">
        <v>3</v>
      </c>
      <c r="P2133" s="4">
        <v>1459.6</v>
      </c>
      <c r="Q2133" t="s">
        <v>42</v>
      </c>
      <c r="R2133">
        <v>1</v>
      </c>
      <c r="S2133" t="s">
        <v>44</v>
      </c>
      <c r="T2133">
        <v>1</v>
      </c>
      <c r="U2133">
        <v>0</v>
      </c>
      <c r="V2133" t="s">
        <v>32</v>
      </c>
      <c r="W2133" t="s">
        <v>39</v>
      </c>
      <c r="X2133" s="4">
        <v>4.9000000000000004</v>
      </c>
      <c r="Y2133">
        <v>7</v>
      </c>
      <c r="Z2133" s="5">
        <v>262.93</v>
      </c>
    </row>
    <row r="2134" spans="1:26">
      <c r="A2134">
        <v>2133</v>
      </c>
      <c r="B2134">
        <v>702</v>
      </c>
      <c r="C2134" s="2">
        <v>46156</v>
      </c>
      <c r="D2134" t="s">
        <v>55</v>
      </c>
      <c r="E2134">
        <v>5</v>
      </c>
      <c r="F2134" s="3">
        <v>11.15</v>
      </c>
      <c r="G2134" t="s">
        <v>36</v>
      </c>
      <c r="H2134">
        <v>49</v>
      </c>
      <c r="I2134" t="s">
        <v>34</v>
      </c>
      <c r="J2134" s="4">
        <v>62.8</v>
      </c>
      <c r="K2134" s="4">
        <v>182.4</v>
      </c>
      <c r="L2134" s="4">
        <v>32.5</v>
      </c>
      <c r="M2134">
        <v>15</v>
      </c>
      <c r="N2134" t="s">
        <v>61</v>
      </c>
      <c r="O2134">
        <v>3</v>
      </c>
      <c r="P2134" s="4">
        <v>1459.6</v>
      </c>
      <c r="Q2134" t="s">
        <v>42</v>
      </c>
      <c r="R2134">
        <v>1</v>
      </c>
      <c r="S2134" t="s">
        <v>44</v>
      </c>
      <c r="T2134">
        <v>1</v>
      </c>
      <c r="U2134">
        <v>0</v>
      </c>
      <c r="V2134" t="s">
        <v>32</v>
      </c>
      <c r="W2134" t="s">
        <v>39</v>
      </c>
      <c r="X2134" s="4">
        <v>9.1</v>
      </c>
      <c r="Y2134">
        <v>9</v>
      </c>
      <c r="Z2134" s="5">
        <v>292.23</v>
      </c>
    </row>
    <row r="2135" spans="1:26">
      <c r="A2135">
        <v>2134</v>
      </c>
      <c r="B2135">
        <v>702</v>
      </c>
      <c r="C2135" s="2">
        <v>46156</v>
      </c>
      <c r="D2135" t="s">
        <v>55</v>
      </c>
      <c r="E2135">
        <v>5</v>
      </c>
      <c r="F2135" s="3">
        <v>11.18</v>
      </c>
      <c r="G2135" t="s">
        <v>36</v>
      </c>
      <c r="H2135">
        <v>13</v>
      </c>
      <c r="I2135" t="s">
        <v>28</v>
      </c>
      <c r="J2135" s="4">
        <v>63.4</v>
      </c>
      <c r="K2135" s="4">
        <v>107.8</v>
      </c>
      <c r="L2135" s="4">
        <v>18.5</v>
      </c>
      <c r="M2135">
        <v>13</v>
      </c>
      <c r="N2135" t="s">
        <v>61</v>
      </c>
      <c r="O2135">
        <v>3</v>
      </c>
      <c r="P2135" s="4">
        <v>1459.6</v>
      </c>
      <c r="Q2135" t="s">
        <v>42</v>
      </c>
      <c r="R2135">
        <v>1</v>
      </c>
      <c r="S2135" t="s">
        <v>44</v>
      </c>
      <c r="T2135">
        <v>1</v>
      </c>
      <c r="U2135">
        <v>0</v>
      </c>
      <c r="V2135" t="s">
        <v>32</v>
      </c>
      <c r="W2135" t="s">
        <v>39</v>
      </c>
      <c r="X2135" s="4">
        <v>11.9</v>
      </c>
      <c r="Y2135">
        <v>7</v>
      </c>
      <c r="Z2135" s="5">
        <v>291.23</v>
      </c>
    </row>
    <row r="2136" spans="1:26">
      <c r="A2136">
        <v>2135</v>
      </c>
      <c r="B2136">
        <v>703</v>
      </c>
      <c r="C2136" s="2">
        <v>46173</v>
      </c>
      <c r="D2136" t="s">
        <v>58</v>
      </c>
      <c r="E2136">
        <v>5</v>
      </c>
      <c r="F2136" s="3">
        <v>9.41</v>
      </c>
      <c r="G2136" t="s">
        <v>27</v>
      </c>
      <c r="H2136">
        <v>53</v>
      </c>
      <c r="I2136" t="s">
        <v>28</v>
      </c>
      <c r="J2136" s="4">
        <v>70.900000000000006</v>
      </c>
      <c r="K2136" s="4">
        <v>169</v>
      </c>
      <c r="L2136" s="4">
        <v>23.7</v>
      </c>
      <c r="M2136">
        <v>11</v>
      </c>
      <c r="N2136" t="s">
        <v>56</v>
      </c>
      <c r="O2136">
        <v>4</v>
      </c>
      <c r="P2136" s="4">
        <v>229.6</v>
      </c>
      <c r="Q2136" t="s">
        <v>30</v>
      </c>
      <c r="R2136">
        <v>0</v>
      </c>
      <c r="S2136" t="s">
        <v>44</v>
      </c>
      <c r="T2136">
        <v>0</v>
      </c>
      <c r="U2136">
        <v>0</v>
      </c>
      <c r="V2136" t="s">
        <v>32</v>
      </c>
      <c r="W2136" t="s">
        <v>43</v>
      </c>
      <c r="X2136" s="4">
        <v>8.9</v>
      </c>
      <c r="Y2136">
        <v>3</v>
      </c>
      <c r="Z2136" s="5">
        <v>111.1</v>
      </c>
    </row>
    <row r="2137" spans="1:26">
      <c r="A2137">
        <v>2136</v>
      </c>
      <c r="B2137">
        <v>703</v>
      </c>
      <c r="C2137" s="2">
        <v>46173</v>
      </c>
      <c r="D2137" t="s">
        <v>58</v>
      </c>
      <c r="E2137">
        <v>5</v>
      </c>
      <c r="F2137" s="3">
        <v>9.23</v>
      </c>
      <c r="G2137" t="s">
        <v>27</v>
      </c>
      <c r="H2137">
        <v>39</v>
      </c>
      <c r="I2137" t="s">
        <v>28</v>
      </c>
      <c r="J2137" s="4">
        <v>68.5</v>
      </c>
      <c r="K2137" s="4">
        <v>145.1</v>
      </c>
      <c r="L2137" s="4">
        <v>21.6</v>
      </c>
      <c r="M2137">
        <v>12</v>
      </c>
      <c r="N2137" t="s">
        <v>56</v>
      </c>
      <c r="O2137">
        <v>4</v>
      </c>
      <c r="P2137" s="4">
        <v>229.6</v>
      </c>
      <c r="Q2137" t="s">
        <v>30</v>
      </c>
      <c r="R2137">
        <v>0</v>
      </c>
      <c r="S2137" t="s">
        <v>44</v>
      </c>
      <c r="T2137">
        <v>0</v>
      </c>
      <c r="U2137">
        <v>0</v>
      </c>
      <c r="V2137" t="s">
        <v>32</v>
      </c>
      <c r="W2137" t="s">
        <v>43</v>
      </c>
      <c r="X2137" s="4">
        <v>10</v>
      </c>
      <c r="Y2137">
        <v>12</v>
      </c>
      <c r="Z2137" s="5">
        <v>156.31</v>
      </c>
    </row>
    <row r="2138" spans="1:26">
      <c r="A2138">
        <v>2137</v>
      </c>
      <c r="B2138">
        <v>703</v>
      </c>
      <c r="C2138" s="2">
        <v>46173</v>
      </c>
      <c r="D2138" t="s">
        <v>58</v>
      </c>
      <c r="E2138">
        <v>5</v>
      </c>
      <c r="F2138" s="3">
        <v>9.56</v>
      </c>
      <c r="G2138" t="s">
        <v>27</v>
      </c>
      <c r="H2138">
        <v>18</v>
      </c>
      <c r="I2138" t="s">
        <v>28</v>
      </c>
      <c r="J2138" s="4">
        <v>66.5</v>
      </c>
      <c r="K2138" s="4">
        <v>172.6</v>
      </c>
      <c r="L2138" s="4">
        <v>27.5</v>
      </c>
      <c r="M2138">
        <v>11</v>
      </c>
      <c r="N2138" t="s">
        <v>56</v>
      </c>
      <c r="O2138">
        <v>4</v>
      </c>
      <c r="P2138" s="4">
        <v>229.6</v>
      </c>
      <c r="Q2138" t="s">
        <v>30</v>
      </c>
      <c r="R2138">
        <v>0</v>
      </c>
      <c r="S2138" t="s">
        <v>44</v>
      </c>
      <c r="T2138">
        <v>0</v>
      </c>
      <c r="U2138">
        <v>0</v>
      </c>
      <c r="V2138" t="s">
        <v>32</v>
      </c>
      <c r="W2138" t="s">
        <v>43</v>
      </c>
      <c r="X2138" s="4">
        <v>8.3000000000000007</v>
      </c>
      <c r="Y2138">
        <v>5</v>
      </c>
      <c r="Z2138" s="5">
        <v>123.08</v>
      </c>
    </row>
    <row r="2139" spans="1:26">
      <c r="A2139">
        <v>2138</v>
      </c>
      <c r="B2139">
        <v>703</v>
      </c>
      <c r="C2139" s="2">
        <v>46173</v>
      </c>
      <c r="D2139" t="s">
        <v>58</v>
      </c>
      <c r="E2139">
        <v>5</v>
      </c>
      <c r="F2139" s="3">
        <v>9.43</v>
      </c>
      <c r="G2139" t="s">
        <v>27</v>
      </c>
      <c r="H2139">
        <v>68</v>
      </c>
      <c r="I2139" t="s">
        <v>28</v>
      </c>
      <c r="J2139" s="4">
        <v>66.400000000000006</v>
      </c>
      <c r="K2139" s="4">
        <v>159.6</v>
      </c>
      <c r="L2139" s="4">
        <v>25.6</v>
      </c>
      <c r="M2139">
        <v>12</v>
      </c>
      <c r="N2139" t="s">
        <v>56</v>
      </c>
      <c r="O2139">
        <v>4</v>
      </c>
      <c r="P2139" s="4">
        <v>229.6</v>
      </c>
      <c r="Q2139" t="s">
        <v>30</v>
      </c>
      <c r="R2139">
        <v>0</v>
      </c>
      <c r="S2139" t="s">
        <v>44</v>
      </c>
      <c r="T2139">
        <v>0</v>
      </c>
      <c r="U2139">
        <v>0</v>
      </c>
      <c r="V2139" t="s">
        <v>32</v>
      </c>
      <c r="W2139" t="s">
        <v>43</v>
      </c>
      <c r="X2139" s="4">
        <v>9</v>
      </c>
      <c r="Y2139">
        <v>5</v>
      </c>
      <c r="Z2139" s="5">
        <v>162.47999999999999</v>
      </c>
    </row>
    <row r="2140" spans="1:26">
      <c r="A2140">
        <v>2139</v>
      </c>
      <c r="B2140">
        <v>704</v>
      </c>
      <c r="C2140" s="2">
        <v>46233</v>
      </c>
      <c r="D2140" t="s">
        <v>55</v>
      </c>
      <c r="E2140">
        <v>7</v>
      </c>
      <c r="F2140" s="3">
        <v>8.1</v>
      </c>
      <c r="G2140" t="s">
        <v>27</v>
      </c>
      <c r="H2140">
        <v>30</v>
      </c>
      <c r="I2140" t="s">
        <v>34</v>
      </c>
      <c r="J2140" s="4">
        <v>60.6</v>
      </c>
      <c r="K2140" s="4">
        <v>159.5</v>
      </c>
      <c r="L2140" s="4">
        <v>30.5</v>
      </c>
      <c r="M2140">
        <v>15</v>
      </c>
      <c r="N2140" t="s">
        <v>56</v>
      </c>
      <c r="O2140">
        <v>3</v>
      </c>
      <c r="P2140" s="4">
        <v>282.10000000000002</v>
      </c>
      <c r="Q2140" t="s">
        <v>42</v>
      </c>
      <c r="R2140">
        <v>0</v>
      </c>
      <c r="S2140" t="s">
        <v>44</v>
      </c>
      <c r="T2140">
        <v>0</v>
      </c>
      <c r="U2140">
        <v>0</v>
      </c>
      <c r="V2140" t="s">
        <v>32</v>
      </c>
      <c r="W2140" t="s">
        <v>43</v>
      </c>
      <c r="X2140" s="4">
        <v>9.8000000000000007</v>
      </c>
      <c r="Y2140">
        <v>9</v>
      </c>
      <c r="Z2140" s="5">
        <v>158.44999999999999</v>
      </c>
    </row>
    <row r="2141" spans="1:26">
      <c r="A2141">
        <v>2140</v>
      </c>
      <c r="B2141">
        <v>704</v>
      </c>
      <c r="C2141" s="2">
        <v>46233</v>
      </c>
      <c r="D2141" t="s">
        <v>55</v>
      </c>
      <c r="E2141">
        <v>7</v>
      </c>
      <c r="F2141" s="3">
        <v>8.2100000000000009</v>
      </c>
      <c r="G2141" t="s">
        <v>27</v>
      </c>
      <c r="H2141">
        <v>71</v>
      </c>
      <c r="I2141" t="s">
        <v>28</v>
      </c>
      <c r="J2141" s="4">
        <v>68.3</v>
      </c>
      <c r="K2141" s="4">
        <v>187.9</v>
      </c>
      <c r="L2141" s="4">
        <v>28.4</v>
      </c>
      <c r="M2141">
        <v>16</v>
      </c>
      <c r="N2141" t="s">
        <v>56</v>
      </c>
      <c r="O2141">
        <v>3</v>
      </c>
      <c r="P2141" s="4">
        <v>282.10000000000002</v>
      </c>
      <c r="Q2141" t="s">
        <v>42</v>
      </c>
      <c r="R2141">
        <v>0</v>
      </c>
      <c r="S2141" t="s">
        <v>44</v>
      </c>
      <c r="T2141">
        <v>0</v>
      </c>
      <c r="U2141">
        <v>0</v>
      </c>
      <c r="V2141" t="s">
        <v>32</v>
      </c>
      <c r="W2141" t="s">
        <v>43</v>
      </c>
      <c r="X2141" s="4">
        <v>7.8</v>
      </c>
      <c r="Y2141">
        <v>6</v>
      </c>
      <c r="Z2141" s="5">
        <v>180.74</v>
      </c>
    </row>
    <row r="2142" spans="1:26">
      <c r="A2142">
        <v>2141</v>
      </c>
      <c r="B2142">
        <v>704</v>
      </c>
      <c r="C2142" s="2">
        <v>46233</v>
      </c>
      <c r="D2142" t="s">
        <v>55</v>
      </c>
      <c r="E2142">
        <v>7</v>
      </c>
      <c r="F2142" s="3">
        <v>8.0399999999999991</v>
      </c>
      <c r="G2142" t="s">
        <v>27</v>
      </c>
      <c r="H2142">
        <v>18</v>
      </c>
      <c r="I2142" t="s">
        <v>28</v>
      </c>
      <c r="J2142" s="4">
        <v>65.7</v>
      </c>
      <c r="K2142" s="4">
        <v>171.1</v>
      </c>
      <c r="L2142" s="4">
        <v>27.9</v>
      </c>
      <c r="M2142">
        <v>13</v>
      </c>
      <c r="N2142" t="s">
        <v>56</v>
      </c>
      <c r="O2142">
        <v>3</v>
      </c>
      <c r="P2142" s="4">
        <v>282.10000000000002</v>
      </c>
      <c r="Q2142" t="s">
        <v>42</v>
      </c>
      <c r="R2142">
        <v>0</v>
      </c>
      <c r="S2142" t="s">
        <v>44</v>
      </c>
      <c r="T2142">
        <v>0</v>
      </c>
      <c r="U2142">
        <v>0</v>
      </c>
      <c r="V2142" t="s">
        <v>32</v>
      </c>
      <c r="W2142" t="s">
        <v>43</v>
      </c>
      <c r="X2142" s="4">
        <v>9.8000000000000007</v>
      </c>
      <c r="Y2142">
        <v>6</v>
      </c>
      <c r="Z2142" s="5">
        <v>174.05</v>
      </c>
    </row>
    <row r="2143" spans="1:26">
      <c r="A2143">
        <v>2142</v>
      </c>
      <c r="B2143">
        <v>705</v>
      </c>
      <c r="C2143" s="2">
        <v>46350</v>
      </c>
      <c r="D2143" t="s">
        <v>35</v>
      </c>
      <c r="E2143">
        <v>11</v>
      </c>
      <c r="F2143" s="3">
        <v>10.56</v>
      </c>
      <c r="G2143" t="s">
        <v>27</v>
      </c>
      <c r="H2143">
        <v>25</v>
      </c>
      <c r="I2143" t="s">
        <v>34</v>
      </c>
      <c r="J2143" s="4">
        <v>61.1</v>
      </c>
      <c r="K2143" s="4">
        <v>151.19999999999999</v>
      </c>
      <c r="L2143" s="4">
        <v>28.4</v>
      </c>
      <c r="M2143">
        <v>14</v>
      </c>
      <c r="N2143" t="s">
        <v>54</v>
      </c>
      <c r="O2143">
        <v>1</v>
      </c>
      <c r="P2143" s="4">
        <v>2081.1999999999998</v>
      </c>
      <c r="Q2143" t="s">
        <v>30</v>
      </c>
      <c r="R2143">
        <v>1</v>
      </c>
      <c r="S2143" t="s">
        <v>38</v>
      </c>
      <c r="T2143">
        <v>0</v>
      </c>
      <c r="U2143">
        <v>1</v>
      </c>
      <c r="V2143" t="s">
        <v>64</v>
      </c>
      <c r="W2143" t="s">
        <v>33</v>
      </c>
      <c r="X2143" s="4">
        <v>10.199999999999999</v>
      </c>
      <c r="Y2143">
        <v>4</v>
      </c>
      <c r="Z2143" s="5">
        <v>247.06</v>
      </c>
    </row>
    <row r="2144" spans="1:26">
      <c r="A2144">
        <v>2143</v>
      </c>
      <c r="B2144">
        <v>706</v>
      </c>
      <c r="C2144" s="2">
        <v>46347</v>
      </c>
      <c r="D2144" t="s">
        <v>40</v>
      </c>
      <c r="E2144">
        <v>11</v>
      </c>
      <c r="F2144" s="3">
        <v>11.76</v>
      </c>
      <c r="G2144" t="s">
        <v>36</v>
      </c>
      <c r="H2144">
        <v>52</v>
      </c>
      <c r="I2144" t="s">
        <v>34</v>
      </c>
      <c r="J2144" s="4">
        <v>65.8</v>
      </c>
      <c r="K2144" s="4">
        <v>148</v>
      </c>
      <c r="L2144" s="4">
        <v>23.8</v>
      </c>
      <c r="M2144">
        <v>14</v>
      </c>
      <c r="N2144" t="s">
        <v>53</v>
      </c>
      <c r="O2144">
        <v>4</v>
      </c>
      <c r="P2144" s="4">
        <v>1188.9000000000001</v>
      </c>
      <c r="Q2144" t="s">
        <v>30</v>
      </c>
      <c r="R2144">
        <v>1</v>
      </c>
      <c r="S2144" t="s">
        <v>38</v>
      </c>
      <c r="T2144">
        <v>0</v>
      </c>
      <c r="U2144">
        <v>0</v>
      </c>
      <c r="V2144" t="s">
        <v>32</v>
      </c>
      <c r="W2144" t="s">
        <v>49</v>
      </c>
      <c r="X2144" s="4">
        <v>7.2</v>
      </c>
      <c r="Y2144">
        <v>10</v>
      </c>
      <c r="Z2144" s="5">
        <v>132.97</v>
      </c>
    </row>
    <row r="2145" spans="1:26">
      <c r="A2145">
        <v>2144</v>
      </c>
      <c r="B2145">
        <v>706</v>
      </c>
      <c r="C2145" s="2">
        <v>46347</v>
      </c>
      <c r="D2145" t="s">
        <v>40</v>
      </c>
      <c r="E2145">
        <v>11</v>
      </c>
      <c r="F2145" s="3">
        <v>11.41</v>
      </c>
      <c r="G2145" t="s">
        <v>36</v>
      </c>
      <c r="H2145">
        <v>3</v>
      </c>
      <c r="I2145" t="s">
        <v>34</v>
      </c>
      <c r="J2145" s="4">
        <v>54.6</v>
      </c>
      <c r="K2145" s="4">
        <v>87.1</v>
      </c>
      <c r="L2145" s="4">
        <v>20.399999999999999</v>
      </c>
      <c r="M2145">
        <v>16</v>
      </c>
      <c r="N2145" t="s">
        <v>53</v>
      </c>
      <c r="O2145">
        <v>4</v>
      </c>
      <c r="P2145" s="4">
        <v>1188.9000000000001</v>
      </c>
      <c r="Q2145" t="s">
        <v>30</v>
      </c>
      <c r="R2145">
        <v>1</v>
      </c>
      <c r="S2145" t="s">
        <v>38</v>
      </c>
      <c r="T2145">
        <v>0</v>
      </c>
      <c r="U2145">
        <v>0</v>
      </c>
      <c r="V2145" t="s">
        <v>32</v>
      </c>
      <c r="W2145" t="s">
        <v>49</v>
      </c>
      <c r="X2145" s="4">
        <v>9.4</v>
      </c>
      <c r="Y2145">
        <v>6</v>
      </c>
      <c r="Z2145" s="5">
        <v>194.9</v>
      </c>
    </row>
    <row r="2146" spans="1:26">
      <c r="A2146">
        <v>2145</v>
      </c>
      <c r="B2146">
        <v>706</v>
      </c>
      <c r="C2146" s="2">
        <v>46347</v>
      </c>
      <c r="D2146" t="s">
        <v>40</v>
      </c>
      <c r="E2146">
        <v>11</v>
      </c>
      <c r="F2146" s="3">
        <v>11.57</v>
      </c>
      <c r="G2146" t="s">
        <v>36</v>
      </c>
      <c r="H2146">
        <v>24</v>
      </c>
      <c r="I2146" t="s">
        <v>34</v>
      </c>
      <c r="J2146" s="4">
        <v>68.7</v>
      </c>
      <c r="K2146" s="4">
        <v>198.2</v>
      </c>
      <c r="L2146" s="4">
        <v>29.6</v>
      </c>
      <c r="M2146">
        <v>16</v>
      </c>
      <c r="N2146" t="s">
        <v>53</v>
      </c>
      <c r="O2146">
        <v>4</v>
      </c>
      <c r="P2146" s="4">
        <v>1188.9000000000001</v>
      </c>
      <c r="Q2146" t="s">
        <v>30</v>
      </c>
      <c r="R2146">
        <v>1</v>
      </c>
      <c r="S2146" t="s">
        <v>38</v>
      </c>
      <c r="T2146">
        <v>0</v>
      </c>
      <c r="U2146">
        <v>0</v>
      </c>
      <c r="V2146" t="s">
        <v>32</v>
      </c>
      <c r="W2146" t="s">
        <v>49</v>
      </c>
      <c r="X2146" s="4">
        <v>9.6</v>
      </c>
      <c r="Y2146">
        <v>7</v>
      </c>
      <c r="Z2146" s="5">
        <v>141.15</v>
      </c>
    </row>
    <row r="2147" spans="1:26">
      <c r="A2147">
        <v>2146</v>
      </c>
      <c r="B2147">
        <v>706</v>
      </c>
      <c r="C2147" s="2">
        <v>46347</v>
      </c>
      <c r="D2147" t="s">
        <v>40</v>
      </c>
      <c r="E2147">
        <v>11</v>
      </c>
      <c r="F2147" s="3">
        <v>11.57</v>
      </c>
      <c r="G2147" t="s">
        <v>36</v>
      </c>
      <c r="H2147">
        <v>59</v>
      </c>
      <c r="I2147" t="s">
        <v>28</v>
      </c>
      <c r="J2147" s="4">
        <v>67.900000000000006</v>
      </c>
      <c r="K2147" s="4">
        <v>210</v>
      </c>
      <c r="L2147" s="4">
        <v>32.1</v>
      </c>
      <c r="M2147">
        <v>17</v>
      </c>
      <c r="N2147" t="s">
        <v>53</v>
      </c>
      <c r="O2147">
        <v>4</v>
      </c>
      <c r="P2147" s="4">
        <v>1188.9000000000001</v>
      </c>
      <c r="Q2147" t="s">
        <v>30</v>
      </c>
      <c r="R2147">
        <v>1</v>
      </c>
      <c r="S2147" t="s">
        <v>38</v>
      </c>
      <c r="T2147">
        <v>0</v>
      </c>
      <c r="U2147">
        <v>0</v>
      </c>
      <c r="V2147" t="s">
        <v>32</v>
      </c>
      <c r="W2147" t="s">
        <v>49</v>
      </c>
      <c r="X2147" s="4">
        <v>5.2</v>
      </c>
      <c r="Y2147">
        <v>3</v>
      </c>
      <c r="Z2147" s="5">
        <v>102.75</v>
      </c>
    </row>
    <row r="2148" spans="1:26">
      <c r="A2148">
        <v>2147</v>
      </c>
      <c r="B2148">
        <v>707</v>
      </c>
      <c r="C2148" s="2">
        <v>46265</v>
      </c>
      <c r="D2148" t="s">
        <v>46</v>
      </c>
      <c r="E2148">
        <v>8</v>
      </c>
      <c r="F2148" s="3">
        <v>10.91</v>
      </c>
      <c r="G2148" t="s">
        <v>27</v>
      </c>
      <c r="H2148">
        <v>41</v>
      </c>
      <c r="I2148" t="s">
        <v>28</v>
      </c>
      <c r="J2148" s="4">
        <v>65.5</v>
      </c>
      <c r="K2148" s="4">
        <v>162.30000000000001</v>
      </c>
      <c r="L2148" s="4">
        <v>26.7</v>
      </c>
      <c r="M2148">
        <v>15</v>
      </c>
      <c r="N2148" t="s">
        <v>56</v>
      </c>
      <c r="O2148">
        <v>2</v>
      </c>
      <c r="P2148" s="4">
        <v>422.8</v>
      </c>
      <c r="Q2148" t="s">
        <v>30</v>
      </c>
      <c r="R2148">
        <v>0</v>
      </c>
      <c r="S2148" t="s">
        <v>44</v>
      </c>
      <c r="T2148">
        <v>0</v>
      </c>
      <c r="U2148">
        <v>0</v>
      </c>
      <c r="V2148" t="s">
        <v>45</v>
      </c>
      <c r="W2148" t="s">
        <v>39</v>
      </c>
      <c r="X2148" s="4">
        <v>9.4</v>
      </c>
      <c r="Y2148">
        <v>7</v>
      </c>
      <c r="Z2148" s="5">
        <v>138.1</v>
      </c>
    </row>
    <row r="2149" spans="1:26">
      <c r="A2149">
        <v>2148</v>
      </c>
      <c r="B2149">
        <v>707</v>
      </c>
      <c r="C2149" s="2">
        <v>46265</v>
      </c>
      <c r="D2149" t="s">
        <v>46</v>
      </c>
      <c r="E2149">
        <v>8</v>
      </c>
      <c r="F2149" s="3">
        <v>10.95</v>
      </c>
      <c r="G2149" t="s">
        <v>27</v>
      </c>
      <c r="H2149">
        <v>31</v>
      </c>
      <c r="I2149" t="s">
        <v>28</v>
      </c>
      <c r="J2149" s="4">
        <v>65.3</v>
      </c>
      <c r="K2149" s="4">
        <v>146.4</v>
      </c>
      <c r="L2149" s="4">
        <v>23.9</v>
      </c>
      <c r="M2149">
        <v>13</v>
      </c>
      <c r="N2149" t="s">
        <v>56</v>
      </c>
      <c r="O2149">
        <v>2</v>
      </c>
      <c r="P2149" s="4">
        <v>422.8</v>
      </c>
      <c r="Q2149" t="s">
        <v>30</v>
      </c>
      <c r="R2149">
        <v>0</v>
      </c>
      <c r="S2149" t="s">
        <v>44</v>
      </c>
      <c r="T2149">
        <v>0</v>
      </c>
      <c r="U2149">
        <v>0</v>
      </c>
      <c r="V2149" t="s">
        <v>45</v>
      </c>
      <c r="W2149" t="s">
        <v>39</v>
      </c>
      <c r="X2149" s="4">
        <v>8.1999999999999993</v>
      </c>
      <c r="Y2149">
        <v>8</v>
      </c>
      <c r="Z2149" s="5">
        <v>210.41</v>
      </c>
    </row>
    <row r="2150" spans="1:26">
      <c r="A2150">
        <v>2149</v>
      </c>
      <c r="B2150">
        <v>708</v>
      </c>
      <c r="C2150" s="2">
        <v>46279</v>
      </c>
      <c r="D2150" t="s">
        <v>46</v>
      </c>
      <c r="E2150">
        <v>9</v>
      </c>
      <c r="F2150" s="3">
        <v>11.32</v>
      </c>
      <c r="G2150" t="s">
        <v>36</v>
      </c>
      <c r="H2150">
        <v>34</v>
      </c>
      <c r="I2150" t="s">
        <v>28</v>
      </c>
      <c r="J2150" s="4">
        <v>73.7</v>
      </c>
      <c r="K2150" s="4">
        <v>190.4</v>
      </c>
      <c r="L2150" s="4">
        <v>24.7</v>
      </c>
      <c r="M2150">
        <v>19</v>
      </c>
      <c r="N2150" t="s">
        <v>47</v>
      </c>
      <c r="O2150">
        <v>4</v>
      </c>
      <c r="P2150" s="4">
        <v>95.7</v>
      </c>
      <c r="Q2150" t="s">
        <v>42</v>
      </c>
      <c r="R2150">
        <v>1</v>
      </c>
      <c r="S2150" t="s">
        <v>38</v>
      </c>
      <c r="T2150">
        <v>1</v>
      </c>
      <c r="U2150">
        <v>0</v>
      </c>
      <c r="V2150" t="s">
        <v>32</v>
      </c>
      <c r="W2150" t="s">
        <v>43</v>
      </c>
      <c r="X2150" s="4">
        <v>7</v>
      </c>
      <c r="Y2150">
        <v>6</v>
      </c>
      <c r="Z2150" s="5">
        <v>271.64999999999998</v>
      </c>
    </row>
    <row r="2151" spans="1:26">
      <c r="A2151">
        <v>2150</v>
      </c>
      <c r="B2151">
        <v>708</v>
      </c>
      <c r="C2151" s="2">
        <v>46279</v>
      </c>
      <c r="D2151" t="s">
        <v>46</v>
      </c>
      <c r="E2151">
        <v>9</v>
      </c>
      <c r="F2151" s="3">
        <v>11.27</v>
      </c>
      <c r="G2151" t="s">
        <v>36</v>
      </c>
      <c r="H2151">
        <v>27</v>
      </c>
      <c r="I2151" t="s">
        <v>34</v>
      </c>
      <c r="J2151" s="4">
        <v>67.599999999999994</v>
      </c>
      <c r="K2151" s="4">
        <v>181.4</v>
      </c>
      <c r="L2151" s="4">
        <v>27.8</v>
      </c>
      <c r="M2151">
        <v>13</v>
      </c>
      <c r="N2151" t="s">
        <v>47</v>
      </c>
      <c r="O2151">
        <v>4</v>
      </c>
      <c r="P2151" s="4">
        <v>95.7</v>
      </c>
      <c r="Q2151" t="s">
        <v>42</v>
      </c>
      <c r="R2151">
        <v>1</v>
      </c>
      <c r="S2151" t="s">
        <v>38</v>
      </c>
      <c r="T2151">
        <v>1</v>
      </c>
      <c r="U2151">
        <v>0</v>
      </c>
      <c r="V2151" t="s">
        <v>32</v>
      </c>
      <c r="W2151" t="s">
        <v>43</v>
      </c>
      <c r="X2151" s="4">
        <v>7.2</v>
      </c>
      <c r="Y2151">
        <v>7</v>
      </c>
      <c r="Z2151" s="5">
        <v>190.85</v>
      </c>
    </row>
    <row r="2152" spans="1:26">
      <c r="A2152">
        <v>2151</v>
      </c>
      <c r="B2152">
        <v>708</v>
      </c>
      <c r="C2152" s="2">
        <v>46279</v>
      </c>
      <c r="D2152" t="s">
        <v>46</v>
      </c>
      <c r="E2152">
        <v>9</v>
      </c>
      <c r="F2152" s="3">
        <v>11.42</v>
      </c>
      <c r="G2152" t="s">
        <v>36</v>
      </c>
      <c r="H2152">
        <v>44</v>
      </c>
      <c r="I2152" t="s">
        <v>51</v>
      </c>
      <c r="J2152" s="4">
        <v>63.2</v>
      </c>
      <c r="K2152" s="4">
        <v>181.1</v>
      </c>
      <c r="L2152" s="4">
        <v>32</v>
      </c>
      <c r="M2152">
        <v>15</v>
      </c>
      <c r="N2152" t="s">
        <v>47</v>
      </c>
      <c r="O2152">
        <v>4</v>
      </c>
      <c r="P2152" s="4">
        <v>95.7</v>
      </c>
      <c r="Q2152" t="s">
        <v>42</v>
      </c>
      <c r="R2152">
        <v>1</v>
      </c>
      <c r="S2152" t="s">
        <v>38</v>
      </c>
      <c r="T2152">
        <v>1</v>
      </c>
      <c r="U2152">
        <v>0</v>
      </c>
      <c r="V2152" t="s">
        <v>32</v>
      </c>
      <c r="W2152" t="s">
        <v>43</v>
      </c>
      <c r="X2152" s="4">
        <v>7</v>
      </c>
      <c r="Y2152">
        <v>6</v>
      </c>
      <c r="Z2152" s="5">
        <v>227.28</v>
      </c>
    </row>
    <row r="2153" spans="1:26">
      <c r="A2153">
        <v>2152</v>
      </c>
      <c r="B2153">
        <v>708</v>
      </c>
      <c r="C2153" s="2">
        <v>46279</v>
      </c>
      <c r="D2153" t="s">
        <v>46</v>
      </c>
      <c r="E2153">
        <v>9</v>
      </c>
      <c r="F2153" s="3">
        <v>11.28</v>
      </c>
      <c r="G2153" t="s">
        <v>36</v>
      </c>
      <c r="H2153">
        <v>36</v>
      </c>
      <c r="I2153" t="s">
        <v>28</v>
      </c>
      <c r="J2153" s="4">
        <v>73.400000000000006</v>
      </c>
      <c r="K2153" s="4">
        <v>199.6</v>
      </c>
      <c r="L2153" s="4">
        <v>26.2</v>
      </c>
      <c r="M2153">
        <v>18</v>
      </c>
      <c r="N2153" t="s">
        <v>47</v>
      </c>
      <c r="O2153">
        <v>4</v>
      </c>
      <c r="P2153" s="4">
        <v>95.7</v>
      </c>
      <c r="Q2153" t="s">
        <v>42</v>
      </c>
      <c r="R2153">
        <v>1</v>
      </c>
      <c r="S2153" t="s">
        <v>38</v>
      </c>
      <c r="T2153">
        <v>1</v>
      </c>
      <c r="U2153">
        <v>0</v>
      </c>
      <c r="V2153" t="s">
        <v>32</v>
      </c>
      <c r="W2153" t="s">
        <v>43</v>
      </c>
      <c r="X2153" s="4">
        <v>8.8000000000000007</v>
      </c>
      <c r="Y2153">
        <v>11</v>
      </c>
      <c r="Z2153" s="5">
        <v>287.16000000000003</v>
      </c>
    </row>
    <row r="2154" spans="1:26">
      <c r="A2154">
        <v>2153</v>
      </c>
      <c r="B2154">
        <v>709</v>
      </c>
      <c r="C2154" s="2">
        <v>46132</v>
      </c>
      <c r="D2154" t="s">
        <v>46</v>
      </c>
      <c r="E2154">
        <v>4</v>
      </c>
      <c r="F2154" s="3">
        <v>7.93</v>
      </c>
      <c r="G2154" t="s">
        <v>27</v>
      </c>
      <c r="H2154">
        <v>37</v>
      </c>
      <c r="I2154" t="s">
        <v>34</v>
      </c>
      <c r="J2154" s="4">
        <v>64.5</v>
      </c>
      <c r="K2154" s="4">
        <v>140.9</v>
      </c>
      <c r="L2154" s="4">
        <v>23.8</v>
      </c>
      <c r="M2154">
        <v>15</v>
      </c>
      <c r="N2154" t="s">
        <v>61</v>
      </c>
      <c r="O2154">
        <v>2</v>
      </c>
      <c r="P2154" s="4">
        <v>1099.3</v>
      </c>
      <c r="Q2154" t="s">
        <v>30</v>
      </c>
      <c r="R2154">
        <v>1</v>
      </c>
      <c r="S2154" t="s">
        <v>31</v>
      </c>
      <c r="T2154">
        <v>0</v>
      </c>
      <c r="U2154">
        <v>0</v>
      </c>
      <c r="V2154" t="s">
        <v>45</v>
      </c>
      <c r="W2154" t="s">
        <v>57</v>
      </c>
      <c r="X2154" s="4">
        <v>7.1</v>
      </c>
      <c r="Y2154">
        <v>3</v>
      </c>
      <c r="Z2154" s="5">
        <v>162.26</v>
      </c>
    </row>
    <row r="2155" spans="1:26">
      <c r="A2155">
        <v>2154</v>
      </c>
      <c r="B2155">
        <v>709</v>
      </c>
      <c r="C2155" s="2">
        <v>46132</v>
      </c>
      <c r="D2155" t="s">
        <v>46</v>
      </c>
      <c r="E2155">
        <v>4</v>
      </c>
      <c r="F2155" s="3">
        <v>8</v>
      </c>
      <c r="G2155" t="s">
        <v>27</v>
      </c>
      <c r="H2155">
        <v>33</v>
      </c>
      <c r="I2155" t="s">
        <v>28</v>
      </c>
      <c r="J2155" s="4">
        <v>66.2</v>
      </c>
      <c r="K2155" s="4">
        <v>173.8</v>
      </c>
      <c r="L2155" s="4">
        <v>27.9</v>
      </c>
      <c r="M2155">
        <v>12</v>
      </c>
      <c r="N2155" t="s">
        <v>61</v>
      </c>
      <c r="O2155">
        <v>2</v>
      </c>
      <c r="P2155" s="4">
        <v>1099.3</v>
      </c>
      <c r="Q2155" t="s">
        <v>30</v>
      </c>
      <c r="R2155">
        <v>1</v>
      </c>
      <c r="S2155" t="s">
        <v>31</v>
      </c>
      <c r="T2155">
        <v>0</v>
      </c>
      <c r="U2155">
        <v>0</v>
      </c>
      <c r="V2155" t="s">
        <v>45</v>
      </c>
      <c r="W2155" t="s">
        <v>57</v>
      </c>
      <c r="X2155" s="4">
        <v>10.1</v>
      </c>
      <c r="Y2155">
        <v>13</v>
      </c>
      <c r="Z2155" s="5">
        <v>300.3</v>
      </c>
    </row>
    <row r="2156" spans="1:26">
      <c r="A2156">
        <v>2155</v>
      </c>
      <c r="B2156">
        <v>710</v>
      </c>
      <c r="C2156" s="2">
        <v>46129</v>
      </c>
      <c r="D2156" t="s">
        <v>26</v>
      </c>
      <c r="E2156">
        <v>4</v>
      </c>
      <c r="F2156" s="3">
        <v>10.18</v>
      </c>
      <c r="G2156" t="s">
        <v>27</v>
      </c>
      <c r="H2156">
        <v>21</v>
      </c>
      <c r="I2156" t="s">
        <v>28</v>
      </c>
      <c r="J2156" s="4">
        <v>69</v>
      </c>
      <c r="K2156" s="4">
        <v>160.5</v>
      </c>
      <c r="L2156" s="4">
        <v>23.6</v>
      </c>
      <c r="M2156">
        <v>11</v>
      </c>
      <c r="N2156" t="s">
        <v>47</v>
      </c>
      <c r="O2156">
        <v>4</v>
      </c>
      <c r="P2156" s="4">
        <v>130.9</v>
      </c>
      <c r="Q2156" t="s">
        <v>30</v>
      </c>
      <c r="R2156">
        <v>0</v>
      </c>
      <c r="S2156" t="s">
        <v>31</v>
      </c>
      <c r="T2156">
        <v>0</v>
      </c>
      <c r="U2156">
        <v>0</v>
      </c>
      <c r="V2156" t="s">
        <v>32</v>
      </c>
      <c r="W2156" t="s">
        <v>39</v>
      </c>
      <c r="X2156" s="4">
        <v>9.6</v>
      </c>
      <c r="Y2156">
        <v>12</v>
      </c>
      <c r="Z2156" s="5">
        <v>243.62</v>
      </c>
    </row>
    <row r="2157" spans="1:26">
      <c r="A2157">
        <v>2156</v>
      </c>
      <c r="B2157">
        <v>710</v>
      </c>
      <c r="C2157" s="2">
        <v>46129</v>
      </c>
      <c r="D2157" t="s">
        <v>26</v>
      </c>
      <c r="E2157">
        <v>4</v>
      </c>
      <c r="F2157" s="3">
        <v>10.28</v>
      </c>
      <c r="G2157" t="s">
        <v>27</v>
      </c>
      <c r="H2157">
        <v>52</v>
      </c>
      <c r="I2157" t="s">
        <v>34</v>
      </c>
      <c r="J2157" s="4">
        <v>63.3</v>
      </c>
      <c r="K2157" s="4">
        <v>159.4</v>
      </c>
      <c r="L2157" s="4">
        <v>27.9</v>
      </c>
      <c r="M2157">
        <v>12</v>
      </c>
      <c r="N2157" t="s">
        <v>47</v>
      </c>
      <c r="O2157">
        <v>4</v>
      </c>
      <c r="P2157" s="4">
        <v>130.9</v>
      </c>
      <c r="Q2157" t="s">
        <v>30</v>
      </c>
      <c r="R2157">
        <v>0</v>
      </c>
      <c r="S2157" t="s">
        <v>31</v>
      </c>
      <c r="T2157">
        <v>0</v>
      </c>
      <c r="U2157">
        <v>0</v>
      </c>
      <c r="V2157" t="s">
        <v>32</v>
      </c>
      <c r="W2157" t="s">
        <v>39</v>
      </c>
      <c r="X2157" s="4">
        <v>7.3</v>
      </c>
      <c r="Y2157">
        <v>10</v>
      </c>
      <c r="Z2157" s="5">
        <v>177.76</v>
      </c>
    </row>
    <row r="2158" spans="1:26">
      <c r="A2158">
        <v>2157</v>
      </c>
      <c r="B2158">
        <v>710</v>
      </c>
      <c r="C2158" s="2">
        <v>46129</v>
      </c>
      <c r="D2158" t="s">
        <v>26</v>
      </c>
      <c r="E2158">
        <v>4</v>
      </c>
      <c r="F2158" s="3">
        <v>10.31</v>
      </c>
      <c r="G2158" t="s">
        <v>27</v>
      </c>
      <c r="H2158">
        <v>4</v>
      </c>
      <c r="I2158" t="s">
        <v>34</v>
      </c>
      <c r="J2158" s="4">
        <v>55.2</v>
      </c>
      <c r="K2158" s="4">
        <v>84.7</v>
      </c>
      <c r="L2158" s="4">
        <v>19.399999999999999</v>
      </c>
      <c r="M2158">
        <v>11</v>
      </c>
      <c r="N2158" t="s">
        <v>47</v>
      </c>
      <c r="O2158">
        <v>4</v>
      </c>
      <c r="P2158" s="4">
        <v>130.9</v>
      </c>
      <c r="Q2158" t="s">
        <v>30</v>
      </c>
      <c r="R2158">
        <v>0</v>
      </c>
      <c r="S2158" t="s">
        <v>31</v>
      </c>
      <c r="T2158">
        <v>0</v>
      </c>
      <c r="U2158">
        <v>0</v>
      </c>
      <c r="V2158" t="s">
        <v>32</v>
      </c>
      <c r="W2158" t="s">
        <v>39</v>
      </c>
      <c r="X2158" s="4">
        <v>7.7</v>
      </c>
      <c r="Y2158">
        <v>11</v>
      </c>
      <c r="Z2158" s="5">
        <v>348.08</v>
      </c>
    </row>
    <row r="2159" spans="1:26">
      <c r="A2159">
        <v>2158</v>
      </c>
      <c r="B2159">
        <v>710</v>
      </c>
      <c r="C2159" s="2">
        <v>46129</v>
      </c>
      <c r="D2159" t="s">
        <v>26</v>
      </c>
      <c r="E2159">
        <v>4</v>
      </c>
      <c r="F2159" s="3">
        <v>10.39</v>
      </c>
      <c r="G2159" t="s">
        <v>27</v>
      </c>
      <c r="H2159">
        <v>3</v>
      </c>
      <c r="I2159" t="s">
        <v>28</v>
      </c>
      <c r="J2159" s="4">
        <v>49.9</v>
      </c>
      <c r="K2159" s="4">
        <v>51.7</v>
      </c>
      <c r="L2159" s="4">
        <v>14.5</v>
      </c>
      <c r="M2159">
        <v>11</v>
      </c>
      <c r="N2159" t="s">
        <v>47</v>
      </c>
      <c r="O2159">
        <v>4</v>
      </c>
      <c r="P2159" s="4">
        <v>130.9</v>
      </c>
      <c r="Q2159" t="s">
        <v>30</v>
      </c>
      <c r="R2159">
        <v>0</v>
      </c>
      <c r="S2159" t="s">
        <v>31</v>
      </c>
      <c r="T2159">
        <v>0</v>
      </c>
      <c r="U2159">
        <v>0</v>
      </c>
      <c r="V2159" t="s">
        <v>32</v>
      </c>
      <c r="W2159" t="s">
        <v>39</v>
      </c>
      <c r="X2159" s="4">
        <v>6.1</v>
      </c>
      <c r="Y2159">
        <v>6</v>
      </c>
      <c r="Z2159" s="5">
        <v>171.28</v>
      </c>
    </row>
    <row r="2160" spans="1:26">
      <c r="A2160">
        <v>2159</v>
      </c>
      <c r="B2160">
        <v>711</v>
      </c>
      <c r="C2160" s="2">
        <v>46051</v>
      </c>
      <c r="D2160" t="s">
        <v>55</v>
      </c>
      <c r="E2160">
        <v>1</v>
      </c>
      <c r="F2160" s="3">
        <v>9.85</v>
      </c>
      <c r="G2160" t="s">
        <v>27</v>
      </c>
      <c r="H2160">
        <v>63</v>
      </c>
      <c r="I2160" t="s">
        <v>28</v>
      </c>
      <c r="J2160" s="4">
        <v>70</v>
      </c>
      <c r="K2160" s="4">
        <v>144.69999999999999</v>
      </c>
      <c r="L2160" s="4">
        <v>20.6</v>
      </c>
      <c r="M2160">
        <v>12</v>
      </c>
      <c r="N2160" t="s">
        <v>37</v>
      </c>
      <c r="O2160">
        <v>2</v>
      </c>
      <c r="P2160" s="4">
        <v>1179.5</v>
      </c>
      <c r="Q2160" t="s">
        <v>30</v>
      </c>
      <c r="R2160">
        <v>1</v>
      </c>
      <c r="S2160" t="s">
        <v>44</v>
      </c>
      <c r="T2160">
        <v>0</v>
      </c>
      <c r="U2160">
        <v>0</v>
      </c>
      <c r="V2160" t="s">
        <v>32</v>
      </c>
      <c r="W2160" t="s">
        <v>43</v>
      </c>
      <c r="X2160" s="4">
        <v>8</v>
      </c>
      <c r="Y2160">
        <v>11</v>
      </c>
      <c r="Z2160" s="5">
        <v>383.63</v>
      </c>
    </row>
    <row r="2161" spans="1:26">
      <c r="A2161">
        <v>2160</v>
      </c>
      <c r="B2161">
        <v>711</v>
      </c>
      <c r="C2161" s="2">
        <v>46051</v>
      </c>
      <c r="D2161" t="s">
        <v>55</v>
      </c>
      <c r="E2161">
        <v>1</v>
      </c>
      <c r="F2161" s="3">
        <v>9.9499999999999993</v>
      </c>
      <c r="G2161" t="s">
        <v>27</v>
      </c>
      <c r="H2161">
        <v>85</v>
      </c>
      <c r="I2161" t="s">
        <v>28</v>
      </c>
      <c r="J2161" s="4">
        <v>72.7</v>
      </c>
      <c r="K2161" s="4">
        <v>221.9</v>
      </c>
      <c r="L2161" s="4">
        <v>29.7</v>
      </c>
      <c r="M2161">
        <v>14</v>
      </c>
      <c r="N2161" t="s">
        <v>37</v>
      </c>
      <c r="O2161">
        <v>2</v>
      </c>
      <c r="P2161" s="4">
        <v>1179.5</v>
      </c>
      <c r="Q2161" t="s">
        <v>30</v>
      </c>
      <c r="R2161">
        <v>1</v>
      </c>
      <c r="S2161" t="s">
        <v>44</v>
      </c>
      <c r="T2161">
        <v>0</v>
      </c>
      <c r="U2161">
        <v>0</v>
      </c>
      <c r="V2161" t="s">
        <v>32</v>
      </c>
      <c r="W2161" t="s">
        <v>43</v>
      </c>
      <c r="X2161" s="4">
        <v>8.8000000000000007</v>
      </c>
      <c r="Y2161">
        <v>5</v>
      </c>
      <c r="Z2161" s="5">
        <v>176.04</v>
      </c>
    </row>
    <row r="2162" spans="1:26">
      <c r="A2162">
        <v>2161</v>
      </c>
      <c r="B2162">
        <v>712</v>
      </c>
      <c r="C2162" s="2">
        <v>46204</v>
      </c>
      <c r="D2162" t="s">
        <v>52</v>
      </c>
      <c r="E2162">
        <v>7</v>
      </c>
      <c r="F2162" s="3">
        <v>10.3</v>
      </c>
      <c r="G2162" t="s">
        <v>27</v>
      </c>
      <c r="H2162">
        <v>18</v>
      </c>
      <c r="I2162" t="s">
        <v>34</v>
      </c>
      <c r="J2162" s="4">
        <v>64.3</v>
      </c>
      <c r="K2162" s="4">
        <v>153.69999999999999</v>
      </c>
      <c r="L2162" s="4">
        <v>25.9</v>
      </c>
      <c r="M2162">
        <v>12</v>
      </c>
      <c r="N2162" t="s">
        <v>56</v>
      </c>
      <c r="O2162">
        <v>4</v>
      </c>
      <c r="P2162" s="4">
        <v>210.5</v>
      </c>
      <c r="Q2162" t="s">
        <v>42</v>
      </c>
      <c r="R2162">
        <v>0</v>
      </c>
      <c r="S2162" t="s">
        <v>38</v>
      </c>
      <c r="T2162">
        <v>0</v>
      </c>
      <c r="U2162">
        <v>1</v>
      </c>
      <c r="V2162" t="s">
        <v>32</v>
      </c>
      <c r="W2162" t="s">
        <v>43</v>
      </c>
      <c r="X2162" s="4">
        <v>10</v>
      </c>
      <c r="Y2162">
        <v>8</v>
      </c>
      <c r="Z2162" s="5">
        <v>233.73</v>
      </c>
    </row>
    <row r="2163" spans="1:26">
      <c r="A2163">
        <v>2162</v>
      </c>
      <c r="B2163">
        <v>712</v>
      </c>
      <c r="C2163" s="2">
        <v>46204</v>
      </c>
      <c r="D2163" t="s">
        <v>52</v>
      </c>
      <c r="E2163">
        <v>7</v>
      </c>
      <c r="F2163" s="3">
        <v>9.94</v>
      </c>
      <c r="G2163" t="s">
        <v>27</v>
      </c>
      <c r="H2163">
        <v>55</v>
      </c>
      <c r="I2163" t="s">
        <v>34</v>
      </c>
      <c r="J2163" s="4">
        <v>69</v>
      </c>
      <c r="K2163" s="4">
        <v>203.6</v>
      </c>
      <c r="L2163" s="4">
        <v>30.1</v>
      </c>
      <c r="M2163">
        <v>15</v>
      </c>
      <c r="N2163" t="s">
        <v>56</v>
      </c>
      <c r="O2163">
        <v>4</v>
      </c>
      <c r="P2163" s="4">
        <v>210.5</v>
      </c>
      <c r="Q2163" t="s">
        <v>42</v>
      </c>
      <c r="R2163">
        <v>0</v>
      </c>
      <c r="S2163" t="s">
        <v>38</v>
      </c>
      <c r="T2163">
        <v>0</v>
      </c>
      <c r="U2163">
        <v>1</v>
      </c>
      <c r="V2163" t="s">
        <v>32</v>
      </c>
      <c r="W2163" t="s">
        <v>43</v>
      </c>
      <c r="X2163" s="4">
        <v>10.3</v>
      </c>
      <c r="Y2163">
        <v>4</v>
      </c>
      <c r="Z2163" s="5">
        <v>304.79000000000002</v>
      </c>
    </row>
    <row r="2164" spans="1:26">
      <c r="A2164">
        <v>2163</v>
      </c>
      <c r="B2164">
        <v>712</v>
      </c>
      <c r="C2164" s="2">
        <v>46204</v>
      </c>
      <c r="D2164" t="s">
        <v>52</v>
      </c>
      <c r="E2164">
        <v>7</v>
      </c>
      <c r="F2164" s="3">
        <v>10.199999999999999</v>
      </c>
      <c r="G2164" t="s">
        <v>27</v>
      </c>
      <c r="H2164">
        <v>68</v>
      </c>
      <c r="I2164" t="s">
        <v>34</v>
      </c>
      <c r="J2164" s="4">
        <v>62.5</v>
      </c>
      <c r="K2164" s="4">
        <v>161.1</v>
      </c>
      <c r="L2164" s="4">
        <v>29</v>
      </c>
      <c r="M2164">
        <v>15</v>
      </c>
      <c r="N2164" t="s">
        <v>56</v>
      </c>
      <c r="O2164">
        <v>4</v>
      </c>
      <c r="P2164" s="4">
        <v>210.5</v>
      </c>
      <c r="Q2164" t="s">
        <v>42</v>
      </c>
      <c r="R2164">
        <v>0</v>
      </c>
      <c r="S2164" t="s">
        <v>38</v>
      </c>
      <c r="T2164">
        <v>0</v>
      </c>
      <c r="U2164">
        <v>1</v>
      </c>
      <c r="V2164" t="s">
        <v>32</v>
      </c>
      <c r="W2164" t="s">
        <v>43</v>
      </c>
      <c r="X2164" s="4">
        <v>10.199999999999999</v>
      </c>
      <c r="Y2164">
        <v>9</v>
      </c>
      <c r="Z2164" s="5">
        <v>312.69</v>
      </c>
    </row>
    <row r="2165" spans="1:26">
      <c r="A2165">
        <v>2164</v>
      </c>
      <c r="B2165">
        <v>712</v>
      </c>
      <c r="C2165" s="2">
        <v>46204</v>
      </c>
      <c r="D2165" t="s">
        <v>52</v>
      </c>
      <c r="E2165">
        <v>7</v>
      </c>
      <c r="F2165" s="3">
        <v>10.08</v>
      </c>
      <c r="G2165" t="s">
        <v>27</v>
      </c>
      <c r="H2165">
        <v>36</v>
      </c>
      <c r="I2165" t="s">
        <v>34</v>
      </c>
      <c r="J2165" s="4">
        <v>63.7</v>
      </c>
      <c r="K2165" s="4">
        <v>220.3</v>
      </c>
      <c r="L2165" s="4">
        <v>37.9</v>
      </c>
      <c r="M2165">
        <v>14</v>
      </c>
      <c r="N2165" t="s">
        <v>56</v>
      </c>
      <c r="O2165">
        <v>4</v>
      </c>
      <c r="P2165" s="4">
        <v>210.5</v>
      </c>
      <c r="Q2165" t="s">
        <v>42</v>
      </c>
      <c r="R2165">
        <v>0</v>
      </c>
      <c r="S2165" t="s">
        <v>38</v>
      </c>
      <c r="T2165">
        <v>0</v>
      </c>
      <c r="U2165">
        <v>1</v>
      </c>
      <c r="V2165" t="s">
        <v>32</v>
      </c>
      <c r="W2165" t="s">
        <v>43</v>
      </c>
      <c r="X2165" s="4">
        <v>10.5</v>
      </c>
      <c r="Y2165">
        <v>11</v>
      </c>
      <c r="Z2165" s="5">
        <v>229.86</v>
      </c>
    </row>
    <row r="2166" spans="1:26">
      <c r="A2166">
        <v>2165</v>
      </c>
      <c r="B2166">
        <v>713</v>
      </c>
      <c r="C2166" s="2">
        <v>46373</v>
      </c>
      <c r="D2166" t="s">
        <v>55</v>
      </c>
      <c r="E2166">
        <v>12</v>
      </c>
      <c r="F2166" s="3">
        <v>11.41</v>
      </c>
      <c r="G2166" t="s">
        <v>36</v>
      </c>
      <c r="H2166">
        <v>56</v>
      </c>
      <c r="I2166" t="s">
        <v>34</v>
      </c>
      <c r="J2166" s="4">
        <v>64.599999999999994</v>
      </c>
      <c r="K2166" s="4">
        <v>113.7</v>
      </c>
      <c r="L2166" s="4">
        <v>18.899999999999999</v>
      </c>
      <c r="M2166">
        <v>17</v>
      </c>
      <c r="N2166" t="s">
        <v>50</v>
      </c>
      <c r="O2166">
        <v>4</v>
      </c>
      <c r="P2166" s="4">
        <v>362.5</v>
      </c>
      <c r="Q2166" t="s">
        <v>42</v>
      </c>
      <c r="R2166">
        <v>0</v>
      </c>
      <c r="S2166" t="s">
        <v>31</v>
      </c>
      <c r="T2166">
        <v>1</v>
      </c>
      <c r="U2166">
        <v>0</v>
      </c>
      <c r="V2166" t="s">
        <v>32</v>
      </c>
      <c r="W2166" t="s">
        <v>39</v>
      </c>
      <c r="X2166" s="4">
        <v>6.8</v>
      </c>
      <c r="Y2166">
        <v>6</v>
      </c>
      <c r="Z2166" s="5">
        <v>140.80000000000001</v>
      </c>
    </row>
    <row r="2167" spans="1:26">
      <c r="A2167">
        <v>2166</v>
      </c>
      <c r="B2167">
        <v>713</v>
      </c>
      <c r="C2167" s="2">
        <v>46373</v>
      </c>
      <c r="D2167" t="s">
        <v>55</v>
      </c>
      <c r="E2167">
        <v>12</v>
      </c>
      <c r="F2167" s="3">
        <v>11.39</v>
      </c>
      <c r="G2167" t="s">
        <v>36</v>
      </c>
      <c r="H2167">
        <v>71</v>
      </c>
      <c r="I2167" t="s">
        <v>34</v>
      </c>
      <c r="J2167" s="4">
        <v>68.8</v>
      </c>
      <c r="K2167" s="4">
        <v>153.4</v>
      </c>
      <c r="L2167" s="4">
        <v>22.8</v>
      </c>
      <c r="M2167">
        <v>14</v>
      </c>
      <c r="N2167" t="s">
        <v>50</v>
      </c>
      <c r="O2167">
        <v>4</v>
      </c>
      <c r="P2167" s="4">
        <v>362.5</v>
      </c>
      <c r="Q2167" t="s">
        <v>42</v>
      </c>
      <c r="R2167">
        <v>0</v>
      </c>
      <c r="S2167" t="s">
        <v>31</v>
      </c>
      <c r="T2167">
        <v>1</v>
      </c>
      <c r="U2167">
        <v>0</v>
      </c>
      <c r="V2167" t="s">
        <v>32</v>
      </c>
      <c r="W2167" t="s">
        <v>39</v>
      </c>
      <c r="X2167" s="4">
        <v>8.5</v>
      </c>
      <c r="Y2167">
        <v>13</v>
      </c>
      <c r="Z2167" s="5">
        <v>255.49</v>
      </c>
    </row>
    <row r="2168" spans="1:26">
      <c r="A2168">
        <v>2167</v>
      </c>
      <c r="B2168">
        <v>713</v>
      </c>
      <c r="C2168" s="2">
        <v>46373</v>
      </c>
      <c r="D2168" t="s">
        <v>55</v>
      </c>
      <c r="E2168">
        <v>12</v>
      </c>
      <c r="F2168" s="3">
        <v>11.39</v>
      </c>
      <c r="G2168" t="s">
        <v>36</v>
      </c>
      <c r="H2168">
        <v>14</v>
      </c>
      <c r="I2168" t="s">
        <v>28</v>
      </c>
      <c r="J2168" s="4">
        <v>70</v>
      </c>
      <c r="K2168" s="4">
        <v>132.5</v>
      </c>
      <c r="L2168" s="4">
        <v>19</v>
      </c>
      <c r="M2168">
        <v>14</v>
      </c>
      <c r="N2168" t="s">
        <v>50</v>
      </c>
      <c r="O2168">
        <v>4</v>
      </c>
      <c r="P2168" s="4">
        <v>362.5</v>
      </c>
      <c r="Q2168" t="s">
        <v>42</v>
      </c>
      <c r="R2168">
        <v>0</v>
      </c>
      <c r="S2168" t="s">
        <v>31</v>
      </c>
      <c r="T2168">
        <v>1</v>
      </c>
      <c r="U2168">
        <v>0</v>
      </c>
      <c r="V2168" t="s">
        <v>32</v>
      </c>
      <c r="W2168" t="s">
        <v>39</v>
      </c>
      <c r="X2168" s="4">
        <v>5.3</v>
      </c>
      <c r="Y2168">
        <v>4</v>
      </c>
      <c r="Z2168" s="5">
        <v>115.15</v>
      </c>
    </row>
    <row r="2169" spans="1:26">
      <c r="A2169">
        <v>2168</v>
      </c>
      <c r="B2169">
        <v>713</v>
      </c>
      <c r="C2169" s="2">
        <v>46373</v>
      </c>
      <c r="D2169" t="s">
        <v>55</v>
      </c>
      <c r="E2169">
        <v>12</v>
      </c>
      <c r="F2169" s="3">
        <v>11.63</v>
      </c>
      <c r="G2169" t="s">
        <v>36</v>
      </c>
      <c r="H2169">
        <v>57</v>
      </c>
      <c r="I2169" t="s">
        <v>34</v>
      </c>
      <c r="J2169" s="4">
        <v>63.9</v>
      </c>
      <c r="K2169" s="4">
        <v>133.5</v>
      </c>
      <c r="L2169" s="4">
        <v>22.9</v>
      </c>
      <c r="M2169">
        <v>15</v>
      </c>
      <c r="N2169" t="s">
        <v>50</v>
      </c>
      <c r="O2169">
        <v>4</v>
      </c>
      <c r="P2169" s="4">
        <v>362.5</v>
      </c>
      <c r="Q2169" t="s">
        <v>42</v>
      </c>
      <c r="R2169">
        <v>0</v>
      </c>
      <c r="S2169" t="s">
        <v>31</v>
      </c>
      <c r="T2169">
        <v>1</v>
      </c>
      <c r="U2169">
        <v>0</v>
      </c>
      <c r="V2169" t="s">
        <v>32</v>
      </c>
      <c r="W2169" t="s">
        <v>39</v>
      </c>
      <c r="X2169" s="4">
        <v>7.7</v>
      </c>
      <c r="Y2169">
        <v>10</v>
      </c>
      <c r="Z2169" s="5">
        <v>218.87</v>
      </c>
    </row>
    <row r="2170" spans="1:26">
      <c r="A2170">
        <v>2169</v>
      </c>
      <c r="B2170">
        <v>714</v>
      </c>
      <c r="C2170" s="2">
        <v>46291</v>
      </c>
      <c r="D2170" t="s">
        <v>40</v>
      </c>
      <c r="E2170">
        <v>9</v>
      </c>
      <c r="F2170" s="3">
        <v>9.84</v>
      </c>
      <c r="G2170" t="s">
        <v>27</v>
      </c>
      <c r="H2170">
        <v>26</v>
      </c>
      <c r="I2170" t="s">
        <v>28</v>
      </c>
      <c r="J2170" s="4">
        <v>69.7</v>
      </c>
      <c r="K2170" s="4">
        <v>182.1</v>
      </c>
      <c r="L2170" s="4">
        <v>26.2</v>
      </c>
      <c r="M2170">
        <v>14</v>
      </c>
      <c r="N2170" t="s">
        <v>54</v>
      </c>
      <c r="O2170">
        <v>2</v>
      </c>
      <c r="P2170" s="4">
        <v>2097</v>
      </c>
      <c r="Q2170" t="s">
        <v>48</v>
      </c>
      <c r="R2170">
        <v>1</v>
      </c>
      <c r="S2170" t="s">
        <v>44</v>
      </c>
      <c r="T2170">
        <v>0</v>
      </c>
      <c r="U2170">
        <v>0</v>
      </c>
      <c r="V2170" t="s">
        <v>32</v>
      </c>
      <c r="W2170" t="s">
        <v>57</v>
      </c>
      <c r="X2170" s="4">
        <v>9</v>
      </c>
      <c r="Y2170">
        <v>15</v>
      </c>
      <c r="Z2170" s="5">
        <v>317.25</v>
      </c>
    </row>
    <row r="2171" spans="1:26">
      <c r="A2171">
        <v>2170</v>
      </c>
      <c r="B2171">
        <v>714</v>
      </c>
      <c r="C2171" s="2">
        <v>46291</v>
      </c>
      <c r="D2171" t="s">
        <v>40</v>
      </c>
      <c r="E2171">
        <v>9</v>
      </c>
      <c r="F2171" s="3">
        <v>9.64</v>
      </c>
      <c r="G2171" t="s">
        <v>27</v>
      </c>
      <c r="H2171">
        <v>26</v>
      </c>
      <c r="I2171" t="s">
        <v>28</v>
      </c>
      <c r="J2171" s="4">
        <v>73</v>
      </c>
      <c r="K2171" s="4">
        <v>181.6</v>
      </c>
      <c r="L2171" s="4">
        <v>24</v>
      </c>
      <c r="M2171">
        <v>18</v>
      </c>
      <c r="N2171" t="s">
        <v>54</v>
      </c>
      <c r="O2171">
        <v>2</v>
      </c>
      <c r="P2171" s="4">
        <v>2097</v>
      </c>
      <c r="Q2171" t="s">
        <v>48</v>
      </c>
      <c r="R2171">
        <v>1</v>
      </c>
      <c r="S2171" t="s">
        <v>44</v>
      </c>
      <c r="T2171">
        <v>0</v>
      </c>
      <c r="U2171">
        <v>0</v>
      </c>
      <c r="V2171" t="s">
        <v>32</v>
      </c>
      <c r="W2171" t="s">
        <v>57</v>
      </c>
      <c r="X2171" s="4">
        <v>6.5</v>
      </c>
      <c r="Y2171">
        <v>7</v>
      </c>
      <c r="Z2171" s="5">
        <v>228.17</v>
      </c>
    </row>
    <row r="2172" spans="1:26">
      <c r="A2172">
        <v>2171</v>
      </c>
      <c r="B2172">
        <v>715</v>
      </c>
      <c r="C2172" s="2">
        <v>46207</v>
      </c>
      <c r="D2172" t="s">
        <v>40</v>
      </c>
      <c r="E2172">
        <v>7</v>
      </c>
      <c r="F2172" s="3">
        <v>11.35</v>
      </c>
      <c r="G2172" t="s">
        <v>36</v>
      </c>
      <c r="H2172">
        <v>70</v>
      </c>
      <c r="I2172" t="s">
        <v>34</v>
      </c>
      <c r="J2172" s="4">
        <v>65.7</v>
      </c>
      <c r="K2172" s="4">
        <v>167.4</v>
      </c>
      <c r="L2172" s="4">
        <v>27.3</v>
      </c>
      <c r="M2172">
        <v>13</v>
      </c>
      <c r="N2172" t="s">
        <v>47</v>
      </c>
      <c r="O2172">
        <v>3</v>
      </c>
      <c r="P2172" s="4">
        <v>159.5</v>
      </c>
      <c r="Q2172" t="s">
        <v>42</v>
      </c>
      <c r="R2172">
        <v>0</v>
      </c>
      <c r="S2172" t="s">
        <v>44</v>
      </c>
      <c r="T2172">
        <v>0</v>
      </c>
      <c r="U2172">
        <v>0</v>
      </c>
      <c r="V2172" t="s">
        <v>45</v>
      </c>
      <c r="W2172" t="s">
        <v>57</v>
      </c>
      <c r="X2172" s="4">
        <v>9.6999999999999993</v>
      </c>
      <c r="Y2172">
        <v>7</v>
      </c>
      <c r="Z2172" s="5">
        <v>221.52</v>
      </c>
    </row>
    <row r="2173" spans="1:26">
      <c r="A2173">
        <v>2172</v>
      </c>
      <c r="B2173">
        <v>715</v>
      </c>
      <c r="C2173" s="2">
        <v>46207</v>
      </c>
      <c r="D2173" t="s">
        <v>40</v>
      </c>
      <c r="E2173">
        <v>7</v>
      </c>
      <c r="F2173" s="3">
        <v>11.53</v>
      </c>
      <c r="G2173" t="s">
        <v>36</v>
      </c>
      <c r="H2173">
        <v>78</v>
      </c>
      <c r="I2173" t="s">
        <v>28</v>
      </c>
      <c r="J2173" s="4">
        <v>63.3</v>
      </c>
      <c r="K2173" s="4">
        <v>117.6</v>
      </c>
      <c r="L2173" s="4">
        <v>20.9</v>
      </c>
      <c r="M2173">
        <v>14</v>
      </c>
      <c r="N2173" t="s">
        <v>47</v>
      </c>
      <c r="O2173">
        <v>3</v>
      </c>
      <c r="P2173" s="4">
        <v>159.5</v>
      </c>
      <c r="Q2173" t="s">
        <v>42</v>
      </c>
      <c r="R2173">
        <v>0</v>
      </c>
      <c r="S2173" t="s">
        <v>44</v>
      </c>
      <c r="T2173">
        <v>0</v>
      </c>
      <c r="U2173">
        <v>0</v>
      </c>
      <c r="V2173" t="s">
        <v>45</v>
      </c>
      <c r="W2173" t="s">
        <v>57</v>
      </c>
      <c r="X2173" s="4">
        <v>6.6</v>
      </c>
      <c r="Y2173">
        <v>5</v>
      </c>
      <c r="Z2173" s="5">
        <v>168.72</v>
      </c>
    </row>
    <row r="2174" spans="1:26">
      <c r="A2174">
        <v>2173</v>
      </c>
      <c r="B2174">
        <v>715</v>
      </c>
      <c r="C2174" s="2">
        <v>46207</v>
      </c>
      <c r="D2174" t="s">
        <v>40</v>
      </c>
      <c r="E2174">
        <v>7</v>
      </c>
      <c r="F2174" s="3">
        <v>11.43</v>
      </c>
      <c r="G2174" t="s">
        <v>36</v>
      </c>
      <c r="H2174">
        <v>35</v>
      </c>
      <c r="I2174" t="s">
        <v>34</v>
      </c>
      <c r="J2174" s="4">
        <v>66.599999999999994</v>
      </c>
      <c r="K2174" s="4">
        <v>181.5</v>
      </c>
      <c r="L2174" s="4">
        <v>28.8</v>
      </c>
      <c r="M2174">
        <v>15</v>
      </c>
      <c r="N2174" t="s">
        <v>47</v>
      </c>
      <c r="O2174">
        <v>3</v>
      </c>
      <c r="P2174" s="4">
        <v>159.5</v>
      </c>
      <c r="Q2174" t="s">
        <v>42</v>
      </c>
      <c r="R2174">
        <v>0</v>
      </c>
      <c r="S2174" t="s">
        <v>44</v>
      </c>
      <c r="T2174">
        <v>0</v>
      </c>
      <c r="U2174">
        <v>0</v>
      </c>
      <c r="V2174" t="s">
        <v>45</v>
      </c>
      <c r="W2174" t="s">
        <v>57</v>
      </c>
      <c r="X2174" s="4">
        <v>8.4</v>
      </c>
      <c r="Y2174">
        <v>13</v>
      </c>
      <c r="Z2174" s="5">
        <v>293.47000000000003</v>
      </c>
    </row>
    <row r="2175" spans="1:26">
      <c r="A2175">
        <v>2174</v>
      </c>
      <c r="B2175">
        <v>716</v>
      </c>
      <c r="C2175" s="2">
        <v>46039</v>
      </c>
      <c r="D2175" t="s">
        <v>40</v>
      </c>
      <c r="E2175">
        <v>1</v>
      </c>
      <c r="F2175" s="3">
        <v>13.87</v>
      </c>
      <c r="G2175" t="s">
        <v>36</v>
      </c>
      <c r="H2175">
        <v>43</v>
      </c>
      <c r="I2175" t="s">
        <v>34</v>
      </c>
      <c r="J2175" s="4">
        <v>70.5</v>
      </c>
      <c r="K2175" s="4">
        <v>239.1</v>
      </c>
      <c r="L2175" s="4">
        <v>33.799999999999997</v>
      </c>
      <c r="M2175">
        <v>13</v>
      </c>
      <c r="N2175" t="s">
        <v>50</v>
      </c>
      <c r="O2175">
        <v>4</v>
      </c>
      <c r="P2175" s="4">
        <v>179.9</v>
      </c>
      <c r="Q2175" t="s">
        <v>30</v>
      </c>
      <c r="R2175">
        <v>1</v>
      </c>
      <c r="S2175" t="s">
        <v>44</v>
      </c>
      <c r="T2175">
        <v>0</v>
      </c>
      <c r="U2175">
        <v>0</v>
      </c>
      <c r="V2175" t="s">
        <v>32</v>
      </c>
      <c r="W2175" t="s">
        <v>57</v>
      </c>
      <c r="X2175" s="4">
        <v>6.5</v>
      </c>
      <c r="Y2175">
        <v>4</v>
      </c>
      <c r="Z2175" s="5">
        <v>185</v>
      </c>
    </row>
    <row r="2176" spans="1:26">
      <c r="A2176">
        <v>2175</v>
      </c>
      <c r="B2176">
        <v>716</v>
      </c>
      <c r="C2176" s="2">
        <v>46039</v>
      </c>
      <c r="D2176" t="s">
        <v>40</v>
      </c>
      <c r="E2176">
        <v>1</v>
      </c>
      <c r="F2176" s="3">
        <v>14.08</v>
      </c>
      <c r="G2176" t="s">
        <v>36</v>
      </c>
      <c r="H2176">
        <v>11</v>
      </c>
      <c r="I2176" t="s">
        <v>34</v>
      </c>
      <c r="J2176" s="4">
        <v>70</v>
      </c>
      <c r="K2176" s="4">
        <v>155.5</v>
      </c>
      <c r="L2176" s="4">
        <v>22.2</v>
      </c>
      <c r="M2176">
        <v>9</v>
      </c>
      <c r="N2176" t="s">
        <v>50</v>
      </c>
      <c r="O2176">
        <v>4</v>
      </c>
      <c r="P2176" s="4">
        <v>179.9</v>
      </c>
      <c r="Q2176" t="s">
        <v>30</v>
      </c>
      <c r="R2176">
        <v>1</v>
      </c>
      <c r="S2176" t="s">
        <v>44</v>
      </c>
      <c r="T2176">
        <v>0</v>
      </c>
      <c r="U2176">
        <v>0</v>
      </c>
      <c r="V2176" t="s">
        <v>32</v>
      </c>
      <c r="W2176" t="s">
        <v>57</v>
      </c>
      <c r="X2176" s="4">
        <v>6</v>
      </c>
      <c r="Y2176">
        <v>3</v>
      </c>
      <c r="Z2176" s="5">
        <v>116.32</v>
      </c>
    </row>
    <row r="2177" spans="1:26">
      <c r="A2177">
        <v>2176</v>
      </c>
      <c r="B2177">
        <v>716</v>
      </c>
      <c r="C2177" s="2">
        <v>46039</v>
      </c>
      <c r="D2177" t="s">
        <v>40</v>
      </c>
      <c r="E2177">
        <v>1</v>
      </c>
      <c r="F2177" s="3">
        <v>13.97</v>
      </c>
      <c r="G2177" t="s">
        <v>36</v>
      </c>
      <c r="H2177">
        <v>36</v>
      </c>
      <c r="I2177" t="s">
        <v>34</v>
      </c>
      <c r="J2177" s="4">
        <v>65.400000000000006</v>
      </c>
      <c r="K2177" s="4">
        <v>164.6</v>
      </c>
      <c r="L2177" s="4">
        <v>27</v>
      </c>
      <c r="M2177">
        <v>12</v>
      </c>
      <c r="N2177" t="s">
        <v>50</v>
      </c>
      <c r="O2177">
        <v>4</v>
      </c>
      <c r="P2177" s="4">
        <v>179.9</v>
      </c>
      <c r="Q2177" t="s">
        <v>30</v>
      </c>
      <c r="R2177">
        <v>1</v>
      </c>
      <c r="S2177" t="s">
        <v>44</v>
      </c>
      <c r="T2177">
        <v>0</v>
      </c>
      <c r="U2177">
        <v>0</v>
      </c>
      <c r="V2177" t="s">
        <v>32</v>
      </c>
      <c r="W2177" t="s">
        <v>57</v>
      </c>
      <c r="X2177" s="4">
        <v>6</v>
      </c>
      <c r="Y2177">
        <v>4</v>
      </c>
      <c r="Z2177" s="5">
        <v>190.24</v>
      </c>
    </row>
    <row r="2178" spans="1:26">
      <c r="A2178">
        <v>2177</v>
      </c>
      <c r="B2178">
        <v>716</v>
      </c>
      <c r="C2178" s="2">
        <v>46039</v>
      </c>
      <c r="D2178" t="s">
        <v>40</v>
      </c>
      <c r="E2178">
        <v>1</v>
      </c>
      <c r="F2178" s="3">
        <v>13.93</v>
      </c>
      <c r="G2178" t="s">
        <v>36</v>
      </c>
      <c r="H2178">
        <v>38</v>
      </c>
      <c r="I2178" t="s">
        <v>34</v>
      </c>
      <c r="J2178" s="4">
        <v>59.9</v>
      </c>
      <c r="K2178" s="4">
        <v>112.4</v>
      </c>
      <c r="L2178" s="4">
        <v>21.9</v>
      </c>
      <c r="M2178">
        <v>15</v>
      </c>
      <c r="N2178" t="s">
        <v>50</v>
      </c>
      <c r="O2178">
        <v>4</v>
      </c>
      <c r="P2178" s="4">
        <v>179.9</v>
      </c>
      <c r="Q2178" t="s">
        <v>30</v>
      </c>
      <c r="R2178">
        <v>1</v>
      </c>
      <c r="S2178" t="s">
        <v>44</v>
      </c>
      <c r="T2178">
        <v>0</v>
      </c>
      <c r="U2178">
        <v>0</v>
      </c>
      <c r="V2178" t="s">
        <v>32</v>
      </c>
      <c r="W2178" t="s">
        <v>57</v>
      </c>
      <c r="X2178" s="4">
        <v>8.6999999999999993</v>
      </c>
      <c r="Y2178">
        <v>13</v>
      </c>
      <c r="Z2178" s="5">
        <v>255.57</v>
      </c>
    </row>
    <row r="2179" spans="1:26">
      <c r="A2179">
        <v>2178</v>
      </c>
      <c r="B2179">
        <v>717</v>
      </c>
      <c r="C2179" s="2">
        <v>46219</v>
      </c>
      <c r="D2179" t="s">
        <v>55</v>
      </c>
      <c r="E2179">
        <v>7</v>
      </c>
      <c r="F2179" s="3">
        <v>10.96</v>
      </c>
      <c r="G2179" t="s">
        <v>27</v>
      </c>
      <c r="H2179">
        <v>11</v>
      </c>
      <c r="I2179" t="s">
        <v>34</v>
      </c>
      <c r="J2179" s="4">
        <v>59.2</v>
      </c>
      <c r="K2179" s="4">
        <v>99.9</v>
      </c>
      <c r="L2179" s="4">
        <v>20.2</v>
      </c>
      <c r="M2179">
        <v>11</v>
      </c>
      <c r="N2179" t="s">
        <v>66</v>
      </c>
      <c r="O2179">
        <v>1</v>
      </c>
      <c r="P2179" s="4">
        <v>406.5</v>
      </c>
      <c r="Q2179" t="s">
        <v>42</v>
      </c>
      <c r="R2179">
        <v>1</v>
      </c>
      <c r="S2179" t="s">
        <v>38</v>
      </c>
      <c r="T2179">
        <v>1</v>
      </c>
      <c r="U2179">
        <v>0</v>
      </c>
      <c r="V2179" t="s">
        <v>32</v>
      </c>
      <c r="W2179" t="s">
        <v>39</v>
      </c>
      <c r="X2179" s="4">
        <v>8.4</v>
      </c>
      <c r="Y2179">
        <v>13</v>
      </c>
      <c r="Z2179" s="5">
        <v>334.18</v>
      </c>
    </row>
    <row r="2180" spans="1:26">
      <c r="A2180">
        <v>2179</v>
      </c>
      <c r="B2180">
        <v>718</v>
      </c>
      <c r="C2180" s="2">
        <v>46119</v>
      </c>
      <c r="D2180" t="s">
        <v>35</v>
      </c>
      <c r="E2180">
        <v>4</v>
      </c>
      <c r="F2180" s="3">
        <v>9.75</v>
      </c>
      <c r="G2180" t="s">
        <v>27</v>
      </c>
      <c r="H2180">
        <v>18</v>
      </c>
      <c r="I2180" t="s">
        <v>28</v>
      </c>
      <c r="J2180" s="4">
        <v>75.099999999999994</v>
      </c>
      <c r="K2180" s="4">
        <v>176.8</v>
      </c>
      <c r="L2180" s="4">
        <v>22</v>
      </c>
      <c r="M2180">
        <v>11</v>
      </c>
      <c r="N2180" t="s">
        <v>66</v>
      </c>
      <c r="O2180">
        <v>4</v>
      </c>
      <c r="P2180" s="4">
        <v>741.5</v>
      </c>
      <c r="Q2180" t="s">
        <v>48</v>
      </c>
      <c r="R2180">
        <v>1</v>
      </c>
      <c r="S2180" t="s">
        <v>38</v>
      </c>
      <c r="T2180">
        <v>1</v>
      </c>
      <c r="U2180">
        <v>1</v>
      </c>
      <c r="V2180" t="s">
        <v>32</v>
      </c>
      <c r="W2180" t="s">
        <v>33</v>
      </c>
      <c r="X2180" s="4">
        <v>8.9</v>
      </c>
      <c r="Y2180">
        <v>17</v>
      </c>
      <c r="Z2180" s="5">
        <v>216.75</v>
      </c>
    </row>
    <row r="2181" spans="1:26">
      <c r="A2181">
        <v>2180</v>
      </c>
      <c r="B2181">
        <v>718</v>
      </c>
      <c r="C2181" s="2">
        <v>46119</v>
      </c>
      <c r="D2181" t="s">
        <v>35</v>
      </c>
      <c r="E2181">
        <v>4</v>
      </c>
      <c r="F2181" s="3">
        <v>9.86</v>
      </c>
      <c r="G2181" t="s">
        <v>27</v>
      </c>
      <c r="H2181">
        <v>21</v>
      </c>
      <c r="I2181" t="s">
        <v>34</v>
      </c>
      <c r="J2181" s="4">
        <v>63.3</v>
      </c>
      <c r="K2181" s="4">
        <v>155.19999999999999</v>
      </c>
      <c r="L2181" s="4">
        <v>27.3</v>
      </c>
      <c r="M2181">
        <v>16</v>
      </c>
      <c r="N2181" t="s">
        <v>66</v>
      </c>
      <c r="O2181">
        <v>4</v>
      </c>
      <c r="P2181" s="4">
        <v>741.5</v>
      </c>
      <c r="Q2181" t="s">
        <v>48</v>
      </c>
      <c r="R2181">
        <v>1</v>
      </c>
      <c r="S2181" t="s">
        <v>38</v>
      </c>
      <c r="T2181">
        <v>1</v>
      </c>
      <c r="U2181">
        <v>1</v>
      </c>
      <c r="V2181" t="s">
        <v>32</v>
      </c>
      <c r="W2181" t="s">
        <v>33</v>
      </c>
      <c r="X2181" s="4">
        <v>9.9</v>
      </c>
      <c r="Y2181">
        <v>12</v>
      </c>
      <c r="Z2181" s="5">
        <v>219.78</v>
      </c>
    </row>
    <row r="2182" spans="1:26">
      <c r="A2182">
        <v>2181</v>
      </c>
      <c r="B2182">
        <v>718</v>
      </c>
      <c r="C2182" s="2">
        <v>46119</v>
      </c>
      <c r="D2182" t="s">
        <v>35</v>
      </c>
      <c r="E2182">
        <v>4</v>
      </c>
      <c r="F2182" s="3">
        <v>9.98</v>
      </c>
      <c r="G2182" t="s">
        <v>27</v>
      </c>
      <c r="H2182">
        <v>59</v>
      </c>
      <c r="I2182" t="s">
        <v>28</v>
      </c>
      <c r="J2182" s="4">
        <v>72.599999999999994</v>
      </c>
      <c r="K2182" s="4">
        <v>223.4</v>
      </c>
      <c r="L2182" s="4">
        <v>29.7</v>
      </c>
      <c r="M2182">
        <v>17</v>
      </c>
      <c r="N2182" t="s">
        <v>66</v>
      </c>
      <c r="O2182">
        <v>4</v>
      </c>
      <c r="P2182" s="4">
        <v>741.5</v>
      </c>
      <c r="Q2182" t="s">
        <v>48</v>
      </c>
      <c r="R2182">
        <v>1</v>
      </c>
      <c r="S2182" t="s">
        <v>38</v>
      </c>
      <c r="T2182">
        <v>1</v>
      </c>
      <c r="U2182">
        <v>1</v>
      </c>
      <c r="V2182" t="s">
        <v>32</v>
      </c>
      <c r="W2182" t="s">
        <v>33</v>
      </c>
      <c r="X2182" s="4">
        <v>8.8000000000000007</v>
      </c>
      <c r="Y2182">
        <v>8</v>
      </c>
      <c r="Z2182" s="5">
        <v>277.47000000000003</v>
      </c>
    </row>
    <row r="2183" spans="1:26">
      <c r="A2183">
        <v>2182</v>
      </c>
      <c r="B2183">
        <v>718</v>
      </c>
      <c r="C2183" s="2">
        <v>46119</v>
      </c>
      <c r="D2183" t="s">
        <v>35</v>
      </c>
      <c r="E2183">
        <v>4</v>
      </c>
      <c r="F2183" s="3">
        <v>9.92</v>
      </c>
      <c r="G2183" t="s">
        <v>27</v>
      </c>
      <c r="H2183">
        <v>20</v>
      </c>
      <c r="I2183" t="s">
        <v>34</v>
      </c>
      <c r="J2183" s="4">
        <v>65.7</v>
      </c>
      <c r="K2183" s="4">
        <v>165.7</v>
      </c>
      <c r="L2183" s="4">
        <v>26.9</v>
      </c>
      <c r="M2183">
        <v>13</v>
      </c>
      <c r="N2183" t="s">
        <v>66</v>
      </c>
      <c r="O2183">
        <v>4</v>
      </c>
      <c r="P2183" s="4">
        <v>741.5</v>
      </c>
      <c r="Q2183" t="s">
        <v>48</v>
      </c>
      <c r="R2183">
        <v>1</v>
      </c>
      <c r="S2183" t="s">
        <v>38</v>
      </c>
      <c r="T2183">
        <v>1</v>
      </c>
      <c r="U2183">
        <v>1</v>
      </c>
      <c r="V2183" t="s">
        <v>32</v>
      </c>
      <c r="W2183" t="s">
        <v>33</v>
      </c>
      <c r="X2183" s="4">
        <v>11.1</v>
      </c>
      <c r="Y2183">
        <v>10</v>
      </c>
      <c r="Z2183" s="5">
        <v>450.84</v>
      </c>
    </row>
    <row r="2184" spans="1:26">
      <c r="A2184">
        <v>2183</v>
      </c>
      <c r="B2184">
        <v>719</v>
      </c>
      <c r="C2184" s="2">
        <v>46065</v>
      </c>
      <c r="D2184" t="s">
        <v>55</v>
      </c>
      <c r="E2184">
        <v>2</v>
      </c>
      <c r="F2184" s="3">
        <v>9.82</v>
      </c>
      <c r="G2184" t="s">
        <v>27</v>
      </c>
      <c r="H2184">
        <v>47</v>
      </c>
      <c r="I2184" t="s">
        <v>34</v>
      </c>
      <c r="J2184" s="4">
        <v>64.5</v>
      </c>
      <c r="K2184" s="4">
        <v>147.5</v>
      </c>
      <c r="L2184" s="4">
        <v>25</v>
      </c>
      <c r="M2184">
        <v>13</v>
      </c>
      <c r="N2184" t="s">
        <v>41</v>
      </c>
      <c r="O2184">
        <v>4</v>
      </c>
      <c r="P2184" s="4">
        <v>3310.9</v>
      </c>
      <c r="Q2184" t="s">
        <v>48</v>
      </c>
      <c r="R2184">
        <v>1</v>
      </c>
      <c r="S2184" t="s">
        <v>38</v>
      </c>
      <c r="T2184">
        <v>0</v>
      </c>
      <c r="U2184">
        <v>0</v>
      </c>
      <c r="V2184" t="s">
        <v>32</v>
      </c>
      <c r="W2184" t="s">
        <v>43</v>
      </c>
      <c r="X2184" s="4">
        <v>12.9</v>
      </c>
      <c r="Y2184">
        <v>9</v>
      </c>
      <c r="Z2184" s="5">
        <v>187.43</v>
      </c>
    </row>
    <row r="2185" spans="1:26">
      <c r="A2185">
        <v>2184</v>
      </c>
      <c r="B2185">
        <v>719</v>
      </c>
      <c r="C2185" s="2">
        <v>46065</v>
      </c>
      <c r="D2185" t="s">
        <v>55</v>
      </c>
      <c r="E2185">
        <v>2</v>
      </c>
      <c r="F2185" s="3">
        <v>9.8699999999999992</v>
      </c>
      <c r="G2185" t="s">
        <v>27</v>
      </c>
      <c r="H2185">
        <v>64</v>
      </c>
      <c r="I2185" t="s">
        <v>34</v>
      </c>
      <c r="J2185" s="4">
        <v>68</v>
      </c>
      <c r="K2185" s="4">
        <v>198.1</v>
      </c>
      <c r="L2185" s="4">
        <v>30.4</v>
      </c>
      <c r="M2185">
        <v>20</v>
      </c>
      <c r="N2185" t="s">
        <v>41</v>
      </c>
      <c r="O2185">
        <v>4</v>
      </c>
      <c r="P2185" s="4">
        <v>3310.9</v>
      </c>
      <c r="Q2185" t="s">
        <v>48</v>
      </c>
      <c r="R2185">
        <v>1</v>
      </c>
      <c r="S2185" t="s">
        <v>38</v>
      </c>
      <c r="T2185">
        <v>0</v>
      </c>
      <c r="U2185">
        <v>0</v>
      </c>
      <c r="V2185" t="s">
        <v>32</v>
      </c>
      <c r="W2185" t="s">
        <v>43</v>
      </c>
      <c r="X2185" s="4">
        <v>9.4</v>
      </c>
      <c r="Y2185">
        <v>12</v>
      </c>
      <c r="Z2185" s="5">
        <v>276.7</v>
      </c>
    </row>
    <row r="2186" spans="1:26">
      <c r="A2186">
        <v>2185</v>
      </c>
      <c r="B2186">
        <v>719</v>
      </c>
      <c r="C2186" s="2">
        <v>46065</v>
      </c>
      <c r="D2186" t="s">
        <v>55</v>
      </c>
      <c r="E2186">
        <v>2</v>
      </c>
      <c r="F2186" s="3">
        <v>9.57</v>
      </c>
      <c r="G2186" t="s">
        <v>27</v>
      </c>
      <c r="H2186">
        <v>56</v>
      </c>
      <c r="I2186" t="s">
        <v>34</v>
      </c>
      <c r="J2186" s="4">
        <v>62.8</v>
      </c>
      <c r="K2186" s="4">
        <v>181.2</v>
      </c>
      <c r="L2186" s="4">
        <v>32.200000000000003</v>
      </c>
      <c r="M2186">
        <v>16</v>
      </c>
      <c r="N2186" t="s">
        <v>41</v>
      </c>
      <c r="O2186">
        <v>4</v>
      </c>
      <c r="P2186" s="4">
        <v>3310.9</v>
      </c>
      <c r="Q2186" t="s">
        <v>48</v>
      </c>
      <c r="R2186">
        <v>1</v>
      </c>
      <c r="S2186" t="s">
        <v>38</v>
      </c>
      <c r="T2186">
        <v>0</v>
      </c>
      <c r="U2186">
        <v>0</v>
      </c>
      <c r="V2186" t="s">
        <v>32</v>
      </c>
      <c r="W2186" t="s">
        <v>43</v>
      </c>
      <c r="X2186" s="4">
        <v>9.1</v>
      </c>
      <c r="Y2186">
        <v>7</v>
      </c>
      <c r="Z2186" s="5">
        <v>165.86</v>
      </c>
    </row>
    <row r="2187" spans="1:26">
      <c r="A2187">
        <v>2186</v>
      </c>
      <c r="B2187">
        <v>719</v>
      </c>
      <c r="C2187" s="2">
        <v>46065</v>
      </c>
      <c r="D2187" t="s">
        <v>55</v>
      </c>
      <c r="E2187">
        <v>2</v>
      </c>
      <c r="F2187" s="3">
        <v>9.84</v>
      </c>
      <c r="G2187" t="s">
        <v>27</v>
      </c>
      <c r="H2187">
        <v>45</v>
      </c>
      <c r="I2187" t="s">
        <v>34</v>
      </c>
      <c r="J2187" s="4">
        <v>60.4</v>
      </c>
      <c r="K2187" s="4">
        <v>115</v>
      </c>
      <c r="L2187" s="4">
        <v>22.4</v>
      </c>
      <c r="M2187">
        <v>22</v>
      </c>
      <c r="N2187" t="s">
        <v>41</v>
      </c>
      <c r="O2187">
        <v>4</v>
      </c>
      <c r="P2187" s="4">
        <v>3310.9</v>
      </c>
      <c r="Q2187" t="s">
        <v>48</v>
      </c>
      <c r="R2187">
        <v>1</v>
      </c>
      <c r="S2187" t="s">
        <v>38</v>
      </c>
      <c r="T2187">
        <v>0</v>
      </c>
      <c r="U2187">
        <v>0</v>
      </c>
      <c r="V2187" t="s">
        <v>32</v>
      </c>
      <c r="W2187" t="s">
        <v>43</v>
      </c>
      <c r="X2187" s="4">
        <v>9.5</v>
      </c>
      <c r="Y2187">
        <v>8</v>
      </c>
      <c r="Z2187" s="5">
        <v>195.88</v>
      </c>
    </row>
    <row r="2188" spans="1:26">
      <c r="A2188">
        <v>2187</v>
      </c>
      <c r="B2188">
        <v>720</v>
      </c>
      <c r="C2188" s="2">
        <v>46133</v>
      </c>
      <c r="D2188" t="s">
        <v>35</v>
      </c>
      <c r="E2188">
        <v>4</v>
      </c>
      <c r="F2188" s="3">
        <v>9.69</v>
      </c>
      <c r="G2188" t="s">
        <v>27</v>
      </c>
      <c r="H2188">
        <v>45</v>
      </c>
      <c r="I2188" t="s">
        <v>28</v>
      </c>
      <c r="J2188" s="4">
        <v>71.099999999999994</v>
      </c>
      <c r="K2188" s="4">
        <v>193.1</v>
      </c>
      <c r="L2188" s="4">
        <v>26.9</v>
      </c>
      <c r="M2188">
        <v>14</v>
      </c>
      <c r="N2188" t="s">
        <v>60</v>
      </c>
      <c r="O2188">
        <v>1</v>
      </c>
      <c r="P2188" s="4">
        <v>1702.8</v>
      </c>
      <c r="Q2188" t="s">
        <v>42</v>
      </c>
      <c r="R2188">
        <v>1</v>
      </c>
      <c r="S2188" t="s">
        <v>31</v>
      </c>
      <c r="T2188">
        <v>0</v>
      </c>
      <c r="U2188">
        <v>0</v>
      </c>
      <c r="V2188" t="s">
        <v>32</v>
      </c>
      <c r="W2188" t="s">
        <v>49</v>
      </c>
      <c r="X2188" s="4">
        <v>10.4</v>
      </c>
      <c r="Y2188">
        <v>9</v>
      </c>
      <c r="Z2188" s="5">
        <v>162.53</v>
      </c>
    </row>
    <row r="2189" spans="1:26">
      <c r="A2189">
        <v>2188</v>
      </c>
      <c r="B2189">
        <v>721</v>
      </c>
      <c r="C2189" s="2">
        <v>46340</v>
      </c>
      <c r="D2189" t="s">
        <v>40</v>
      </c>
      <c r="E2189">
        <v>11</v>
      </c>
      <c r="F2189" s="3">
        <v>12.21</v>
      </c>
      <c r="G2189" t="s">
        <v>36</v>
      </c>
      <c r="H2189">
        <v>40</v>
      </c>
      <c r="I2189" t="s">
        <v>34</v>
      </c>
      <c r="J2189" s="4">
        <v>60.3</v>
      </c>
      <c r="K2189" s="4">
        <v>115.5</v>
      </c>
      <c r="L2189" s="4">
        <v>22.3</v>
      </c>
      <c r="M2189">
        <v>13</v>
      </c>
      <c r="N2189" t="s">
        <v>59</v>
      </c>
      <c r="O2189">
        <v>1</v>
      </c>
      <c r="P2189" s="4">
        <v>1125.7</v>
      </c>
      <c r="Q2189" t="s">
        <v>42</v>
      </c>
      <c r="R2189">
        <v>1</v>
      </c>
      <c r="S2189" t="s">
        <v>31</v>
      </c>
      <c r="T2189">
        <v>0</v>
      </c>
      <c r="U2189">
        <v>0</v>
      </c>
      <c r="V2189" t="s">
        <v>32</v>
      </c>
      <c r="W2189" t="s">
        <v>39</v>
      </c>
      <c r="X2189" s="4">
        <v>10.6</v>
      </c>
      <c r="Y2189">
        <v>13</v>
      </c>
      <c r="Z2189" s="5">
        <v>308.58</v>
      </c>
    </row>
    <row r="2190" spans="1:26">
      <c r="A2190">
        <v>2189</v>
      </c>
      <c r="B2190">
        <v>722</v>
      </c>
      <c r="C2190" s="2">
        <v>46222</v>
      </c>
      <c r="D2190" t="s">
        <v>58</v>
      </c>
      <c r="E2190">
        <v>7</v>
      </c>
      <c r="F2190" s="3">
        <v>12.13</v>
      </c>
      <c r="G2190" t="s">
        <v>36</v>
      </c>
      <c r="H2190">
        <v>60</v>
      </c>
      <c r="I2190" t="s">
        <v>28</v>
      </c>
      <c r="J2190" s="4">
        <v>68.900000000000006</v>
      </c>
      <c r="K2190" s="4">
        <v>162.19999999999999</v>
      </c>
      <c r="L2190" s="4">
        <v>24</v>
      </c>
      <c r="M2190">
        <v>14</v>
      </c>
      <c r="N2190" t="s">
        <v>47</v>
      </c>
      <c r="O2190">
        <v>4</v>
      </c>
      <c r="P2190" s="4">
        <v>27.5</v>
      </c>
      <c r="Q2190" t="s">
        <v>30</v>
      </c>
      <c r="R2190">
        <v>0</v>
      </c>
      <c r="S2190" t="s">
        <v>44</v>
      </c>
      <c r="T2190">
        <v>1</v>
      </c>
      <c r="U2190">
        <v>0</v>
      </c>
      <c r="V2190" t="s">
        <v>32</v>
      </c>
      <c r="W2190" t="s">
        <v>49</v>
      </c>
      <c r="X2190" s="4">
        <v>6.3</v>
      </c>
      <c r="Y2190">
        <v>6</v>
      </c>
      <c r="Z2190" s="5">
        <v>136</v>
      </c>
    </row>
    <row r="2191" spans="1:26">
      <c r="A2191">
        <v>2190</v>
      </c>
      <c r="B2191">
        <v>722</v>
      </c>
      <c r="C2191" s="2">
        <v>46222</v>
      </c>
      <c r="D2191" t="s">
        <v>58</v>
      </c>
      <c r="E2191">
        <v>7</v>
      </c>
      <c r="F2191" s="3">
        <v>11.77</v>
      </c>
      <c r="G2191" t="s">
        <v>36</v>
      </c>
      <c r="H2191">
        <v>55</v>
      </c>
      <c r="I2191" t="s">
        <v>28</v>
      </c>
      <c r="J2191" s="4">
        <v>64.5</v>
      </c>
      <c r="K2191" s="4">
        <v>194</v>
      </c>
      <c r="L2191" s="4">
        <v>32.700000000000003</v>
      </c>
      <c r="M2191">
        <v>16</v>
      </c>
      <c r="N2191" t="s">
        <v>47</v>
      </c>
      <c r="O2191">
        <v>4</v>
      </c>
      <c r="P2191" s="4">
        <v>27.5</v>
      </c>
      <c r="Q2191" t="s">
        <v>30</v>
      </c>
      <c r="R2191">
        <v>0</v>
      </c>
      <c r="S2191" t="s">
        <v>44</v>
      </c>
      <c r="T2191">
        <v>1</v>
      </c>
      <c r="U2191">
        <v>0</v>
      </c>
      <c r="V2191" t="s">
        <v>32</v>
      </c>
      <c r="W2191" t="s">
        <v>49</v>
      </c>
      <c r="X2191" s="4">
        <v>7</v>
      </c>
      <c r="Y2191">
        <v>6</v>
      </c>
      <c r="Z2191" s="5">
        <v>142.66</v>
      </c>
    </row>
    <row r="2192" spans="1:26">
      <c r="A2192">
        <v>2191</v>
      </c>
      <c r="B2192">
        <v>722</v>
      </c>
      <c r="C2192" s="2">
        <v>46222</v>
      </c>
      <c r="D2192" t="s">
        <v>58</v>
      </c>
      <c r="E2192">
        <v>7</v>
      </c>
      <c r="F2192" s="3">
        <v>12.02</v>
      </c>
      <c r="G2192" t="s">
        <v>36</v>
      </c>
      <c r="H2192">
        <v>4</v>
      </c>
      <c r="I2192" t="s">
        <v>34</v>
      </c>
      <c r="J2192" s="4">
        <v>49.8</v>
      </c>
      <c r="K2192" s="4">
        <v>75</v>
      </c>
      <c r="L2192" s="4">
        <v>21.4</v>
      </c>
      <c r="M2192">
        <v>13</v>
      </c>
      <c r="N2192" t="s">
        <v>47</v>
      </c>
      <c r="O2192">
        <v>4</v>
      </c>
      <c r="P2192" s="4">
        <v>27.5</v>
      </c>
      <c r="Q2192" t="s">
        <v>30</v>
      </c>
      <c r="R2192">
        <v>0</v>
      </c>
      <c r="S2192" t="s">
        <v>44</v>
      </c>
      <c r="T2192">
        <v>1</v>
      </c>
      <c r="U2192">
        <v>0</v>
      </c>
      <c r="V2192" t="s">
        <v>32</v>
      </c>
      <c r="W2192" t="s">
        <v>49</v>
      </c>
      <c r="X2192" s="4">
        <v>8.1999999999999993</v>
      </c>
      <c r="Y2192">
        <v>12</v>
      </c>
      <c r="Z2192" s="5">
        <v>174.27</v>
      </c>
    </row>
    <row r="2193" spans="1:26">
      <c r="A2193">
        <v>2192</v>
      </c>
      <c r="B2193">
        <v>722</v>
      </c>
      <c r="C2193" s="2">
        <v>46222</v>
      </c>
      <c r="D2193" t="s">
        <v>58</v>
      </c>
      <c r="E2193">
        <v>7</v>
      </c>
      <c r="F2193" s="3">
        <v>12.03</v>
      </c>
      <c r="G2193" t="s">
        <v>36</v>
      </c>
      <c r="H2193">
        <v>35</v>
      </c>
      <c r="I2193" t="s">
        <v>34</v>
      </c>
      <c r="J2193" s="4">
        <v>64.599999999999994</v>
      </c>
      <c r="K2193" s="4">
        <v>177.8</v>
      </c>
      <c r="L2193" s="4">
        <v>29.8</v>
      </c>
      <c r="M2193">
        <v>12</v>
      </c>
      <c r="N2193" t="s">
        <v>47</v>
      </c>
      <c r="O2193">
        <v>4</v>
      </c>
      <c r="P2193" s="4">
        <v>27.5</v>
      </c>
      <c r="Q2193" t="s">
        <v>30</v>
      </c>
      <c r="R2193">
        <v>0</v>
      </c>
      <c r="S2193" t="s">
        <v>44</v>
      </c>
      <c r="T2193">
        <v>1</v>
      </c>
      <c r="U2193">
        <v>0</v>
      </c>
      <c r="V2193" t="s">
        <v>32</v>
      </c>
      <c r="W2193" t="s">
        <v>49</v>
      </c>
      <c r="X2193" s="4">
        <v>7.9</v>
      </c>
      <c r="Y2193">
        <v>11</v>
      </c>
      <c r="Z2193" s="5">
        <v>167.99</v>
      </c>
    </row>
    <row r="2194" spans="1:26">
      <c r="A2194">
        <v>2193</v>
      </c>
      <c r="B2194">
        <v>723</v>
      </c>
      <c r="C2194" s="2">
        <v>46351</v>
      </c>
      <c r="D2194" t="s">
        <v>52</v>
      </c>
      <c r="E2194">
        <v>11</v>
      </c>
      <c r="F2194" s="3">
        <v>8.69</v>
      </c>
      <c r="G2194" t="s">
        <v>27</v>
      </c>
      <c r="H2194">
        <v>69</v>
      </c>
      <c r="I2194" t="s">
        <v>28</v>
      </c>
      <c r="J2194" s="4">
        <v>68.599999999999994</v>
      </c>
      <c r="K2194" s="4">
        <v>135.80000000000001</v>
      </c>
      <c r="L2194" s="4">
        <v>20.2</v>
      </c>
      <c r="M2194">
        <v>14</v>
      </c>
      <c r="N2194" t="s">
        <v>47</v>
      </c>
      <c r="O2194">
        <v>2</v>
      </c>
      <c r="P2194" s="4">
        <v>2</v>
      </c>
      <c r="Q2194" t="s">
        <v>30</v>
      </c>
      <c r="R2194">
        <v>1</v>
      </c>
      <c r="S2194" t="s">
        <v>38</v>
      </c>
      <c r="T2194">
        <v>1</v>
      </c>
      <c r="U2194">
        <v>0</v>
      </c>
      <c r="V2194" t="s">
        <v>32</v>
      </c>
      <c r="W2194" t="s">
        <v>49</v>
      </c>
      <c r="X2194" s="4">
        <v>11.8</v>
      </c>
      <c r="Y2194">
        <v>14</v>
      </c>
      <c r="Z2194" s="5">
        <v>214.96</v>
      </c>
    </row>
    <row r="2195" spans="1:26">
      <c r="A2195">
        <v>2194</v>
      </c>
      <c r="B2195">
        <v>723</v>
      </c>
      <c r="C2195" s="2">
        <v>46351</v>
      </c>
      <c r="D2195" t="s">
        <v>52</v>
      </c>
      <c r="E2195">
        <v>11</v>
      </c>
      <c r="F2195" s="3">
        <v>8.8000000000000007</v>
      </c>
      <c r="G2195" t="s">
        <v>27</v>
      </c>
      <c r="H2195">
        <v>49</v>
      </c>
      <c r="I2195" t="s">
        <v>34</v>
      </c>
      <c r="J2195" s="4">
        <v>65</v>
      </c>
      <c r="K2195" s="4">
        <v>162.80000000000001</v>
      </c>
      <c r="L2195" s="4">
        <v>27</v>
      </c>
      <c r="M2195">
        <v>15</v>
      </c>
      <c r="N2195" t="s">
        <v>47</v>
      </c>
      <c r="O2195">
        <v>2</v>
      </c>
      <c r="P2195" s="4">
        <v>2</v>
      </c>
      <c r="Q2195" t="s">
        <v>30</v>
      </c>
      <c r="R2195">
        <v>1</v>
      </c>
      <c r="S2195" t="s">
        <v>38</v>
      </c>
      <c r="T2195">
        <v>1</v>
      </c>
      <c r="U2195">
        <v>0</v>
      </c>
      <c r="V2195" t="s">
        <v>32</v>
      </c>
      <c r="W2195" t="s">
        <v>49</v>
      </c>
      <c r="X2195" s="4">
        <v>10.9</v>
      </c>
      <c r="Y2195">
        <v>10</v>
      </c>
      <c r="Z2195" s="5">
        <v>309.97000000000003</v>
      </c>
    </row>
    <row r="2196" spans="1:26">
      <c r="A2196">
        <v>2195</v>
      </c>
      <c r="B2196">
        <v>724</v>
      </c>
      <c r="C2196" s="2">
        <v>46092</v>
      </c>
      <c r="D2196" t="s">
        <v>52</v>
      </c>
      <c r="E2196">
        <v>3</v>
      </c>
      <c r="F2196" s="3">
        <v>9.68</v>
      </c>
      <c r="G2196" t="s">
        <v>27</v>
      </c>
      <c r="H2196">
        <v>62</v>
      </c>
      <c r="I2196" t="s">
        <v>34</v>
      </c>
      <c r="J2196" s="4">
        <v>66.2</v>
      </c>
      <c r="K2196" s="4">
        <v>161</v>
      </c>
      <c r="L2196" s="4">
        <v>25.7</v>
      </c>
      <c r="M2196">
        <v>12</v>
      </c>
      <c r="N2196" t="s">
        <v>41</v>
      </c>
      <c r="O2196">
        <v>2</v>
      </c>
      <c r="P2196" s="4">
        <v>2059.6</v>
      </c>
      <c r="Q2196" t="s">
        <v>30</v>
      </c>
      <c r="R2196">
        <v>1</v>
      </c>
      <c r="S2196" t="s">
        <v>44</v>
      </c>
      <c r="T2196">
        <v>1</v>
      </c>
      <c r="U2196">
        <v>0</v>
      </c>
      <c r="V2196" t="s">
        <v>32</v>
      </c>
      <c r="W2196" t="s">
        <v>43</v>
      </c>
      <c r="X2196" s="4">
        <v>7.1</v>
      </c>
      <c r="Y2196">
        <v>3</v>
      </c>
      <c r="Z2196" s="5">
        <v>145.02000000000001</v>
      </c>
    </row>
    <row r="2197" spans="1:26">
      <c r="A2197">
        <v>2196</v>
      </c>
      <c r="B2197">
        <v>724</v>
      </c>
      <c r="C2197" s="2">
        <v>46092</v>
      </c>
      <c r="D2197" t="s">
        <v>52</v>
      </c>
      <c r="E2197">
        <v>3</v>
      </c>
      <c r="F2197" s="3">
        <v>9.89</v>
      </c>
      <c r="G2197" t="s">
        <v>27</v>
      </c>
      <c r="H2197">
        <v>31</v>
      </c>
      <c r="I2197" t="s">
        <v>34</v>
      </c>
      <c r="J2197" s="4">
        <v>64</v>
      </c>
      <c r="K2197" s="4">
        <v>150.80000000000001</v>
      </c>
      <c r="L2197" s="4">
        <v>26.1</v>
      </c>
      <c r="M2197">
        <v>10</v>
      </c>
      <c r="N2197" t="s">
        <v>41</v>
      </c>
      <c r="O2197">
        <v>2</v>
      </c>
      <c r="P2197" s="4">
        <v>2059.6</v>
      </c>
      <c r="Q2197" t="s">
        <v>30</v>
      </c>
      <c r="R2197">
        <v>1</v>
      </c>
      <c r="S2197" t="s">
        <v>44</v>
      </c>
      <c r="T2197">
        <v>1</v>
      </c>
      <c r="U2197">
        <v>0</v>
      </c>
      <c r="V2197" t="s">
        <v>32</v>
      </c>
      <c r="W2197" t="s">
        <v>43</v>
      </c>
      <c r="X2197" s="4">
        <v>6.8</v>
      </c>
      <c r="Y2197">
        <v>5</v>
      </c>
      <c r="Z2197" s="5">
        <v>179.57</v>
      </c>
    </row>
    <row r="2198" spans="1:26">
      <c r="A2198">
        <v>2197</v>
      </c>
      <c r="B2198">
        <v>725</v>
      </c>
      <c r="C2198" s="2">
        <v>46300</v>
      </c>
      <c r="D2198" t="s">
        <v>46</v>
      </c>
      <c r="E2198">
        <v>10</v>
      </c>
      <c r="F2198" s="3">
        <v>9.16</v>
      </c>
      <c r="G2198" t="s">
        <v>27</v>
      </c>
      <c r="H2198">
        <v>29</v>
      </c>
      <c r="I2198" t="s">
        <v>28</v>
      </c>
      <c r="J2198" s="4">
        <v>70.400000000000006</v>
      </c>
      <c r="K2198" s="4">
        <v>169.9</v>
      </c>
      <c r="L2198" s="4">
        <v>23.9</v>
      </c>
      <c r="M2198">
        <v>14</v>
      </c>
      <c r="N2198" t="s">
        <v>47</v>
      </c>
      <c r="O2198">
        <v>3</v>
      </c>
      <c r="P2198" s="4">
        <v>39.799999999999997</v>
      </c>
      <c r="Q2198" t="s">
        <v>42</v>
      </c>
      <c r="R2198">
        <v>0</v>
      </c>
      <c r="S2198" t="s">
        <v>31</v>
      </c>
      <c r="T2198">
        <v>0</v>
      </c>
      <c r="U2198">
        <v>0</v>
      </c>
      <c r="V2198" t="s">
        <v>32</v>
      </c>
      <c r="W2198" t="s">
        <v>49</v>
      </c>
      <c r="X2198" s="4">
        <v>10.5</v>
      </c>
      <c r="Y2198">
        <v>11</v>
      </c>
      <c r="Z2198" s="5">
        <v>296.11</v>
      </c>
    </row>
    <row r="2199" spans="1:26">
      <c r="A2199">
        <v>2198</v>
      </c>
      <c r="B2199">
        <v>725</v>
      </c>
      <c r="C2199" s="2">
        <v>46300</v>
      </c>
      <c r="D2199" t="s">
        <v>46</v>
      </c>
      <c r="E2199">
        <v>10</v>
      </c>
      <c r="F2199" s="3">
        <v>9.27</v>
      </c>
      <c r="G2199" t="s">
        <v>27</v>
      </c>
      <c r="H2199">
        <v>12</v>
      </c>
      <c r="I2199" t="s">
        <v>34</v>
      </c>
      <c r="J2199" s="4">
        <v>70</v>
      </c>
      <c r="K2199" s="4">
        <v>156.4</v>
      </c>
      <c r="L2199" s="4">
        <v>22.4</v>
      </c>
      <c r="M2199">
        <v>14</v>
      </c>
      <c r="N2199" t="s">
        <v>47</v>
      </c>
      <c r="O2199">
        <v>3</v>
      </c>
      <c r="P2199" s="4">
        <v>39.799999999999997</v>
      </c>
      <c r="Q2199" t="s">
        <v>42</v>
      </c>
      <c r="R2199">
        <v>0</v>
      </c>
      <c r="S2199" t="s">
        <v>31</v>
      </c>
      <c r="T2199">
        <v>0</v>
      </c>
      <c r="U2199">
        <v>0</v>
      </c>
      <c r="V2199" t="s">
        <v>32</v>
      </c>
      <c r="W2199" t="s">
        <v>49</v>
      </c>
      <c r="X2199" s="4">
        <v>5.9</v>
      </c>
      <c r="Y2199">
        <v>3</v>
      </c>
      <c r="Z2199" s="5">
        <v>181.58</v>
      </c>
    </row>
    <row r="2200" spans="1:26">
      <c r="A2200">
        <v>2199</v>
      </c>
      <c r="B2200">
        <v>725</v>
      </c>
      <c r="C2200" s="2">
        <v>46300</v>
      </c>
      <c r="D2200" t="s">
        <v>46</v>
      </c>
      <c r="E2200">
        <v>10</v>
      </c>
      <c r="F2200" s="3">
        <v>9.08</v>
      </c>
      <c r="G2200" t="s">
        <v>27</v>
      </c>
      <c r="H2200">
        <v>36</v>
      </c>
      <c r="I2200" t="s">
        <v>34</v>
      </c>
      <c r="J2200" s="4">
        <v>62.6</v>
      </c>
      <c r="K2200" s="4">
        <v>174.5</v>
      </c>
      <c r="L2200" s="4">
        <v>31.3</v>
      </c>
      <c r="M2200">
        <v>12</v>
      </c>
      <c r="N2200" t="s">
        <v>47</v>
      </c>
      <c r="O2200">
        <v>3</v>
      </c>
      <c r="P2200" s="4">
        <v>39.799999999999997</v>
      </c>
      <c r="Q2200" t="s">
        <v>42</v>
      </c>
      <c r="R2200">
        <v>0</v>
      </c>
      <c r="S2200" t="s">
        <v>31</v>
      </c>
      <c r="T2200">
        <v>0</v>
      </c>
      <c r="U2200">
        <v>0</v>
      </c>
      <c r="V2200" t="s">
        <v>32</v>
      </c>
      <c r="W2200" t="s">
        <v>49</v>
      </c>
      <c r="X2200" s="4">
        <v>7.9</v>
      </c>
      <c r="Y2200">
        <v>10</v>
      </c>
      <c r="Z2200" s="5">
        <v>91.45</v>
      </c>
    </row>
    <row r="2201" spans="1:26">
      <c r="A2201">
        <v>2200</v>
      </c>
      <c r="B2201">
        <v>726</v>
      </c>
      <c r="C2201" s="2">
        <v>46044</v>
      </c>
      <c r="D2201" t="s">
        <v>55</v>
      </c>
      <c r="E2201">
        <v>1</v>
      </c>
      <c r="F2201" s="3">
        <v>11.48</v>
      </c>
      <c r="G2201" t="s">
        <v>36</v>
      </c>
      <c r="H2201">
        <v>59</v>
      </c>
      <c r="I2201" t="s">
        <v>34</v>
      </c>
      <c r="J2201" s="4">
        <v>66.8</v>
      </c>
      <c r="K2201" s="4">
        <v>154.9</v>
      </c>
      <c r="L2201" s="4">
        <v>24.4</v>
      </c>
      <c r="M2201">
        <v>12</v>
      </c>
      <c r="N2201" t="s">
        <v>67</v>
      </c>
      <c r="O2201">
        <v>5</v>
      </c>
      <c r="P2201" s="4">
        <v>1797.3</v>
      </c>
      <c r="Q2201" t="s">
        <v>42</v>
      </c>
      <c r="R2201">
        <v>1</v>
      </c>
      <c r="S2201" t="s">
        <v>44</v>
      </c>
      <c r="T2201">
        <v>0</v>
      </c>
      <c r="U2201">
        <v>0</v>
      </c>
      <c r="V2201" t="s">
        <v>32</v>
      </c>
      <c r="W2201" t="s">
        <v>43</v>
      </c>
      <c r="X2201" s="4">
        <v>7.3</v>
      </c>
      <c r="Y2201">
        <v>8</v>
      </c>
      <c r="Z2201" s="5">
        <v>244.12</v>
      </c>
    </row>
    <row r="2202" spans="1:26">
      <c r="A2202">
        <v>2201</v>
      </c>
      <c r="B2202">
        <v>726</v>
      </c>
      <c r="C2202" s="2">
        <v>46044</v>
      </c>
      <c r="D2202" t="s">
        <v>55</v>
      </c>
      <c r="E2202">
        <v>1</v>
      </c>
      <c r="F2202" s="3">
        <v>11.61</v>
      </c>
      <c r="G2202" t="s">
        <v>36</v>
      </c>
      <c r="H2202">
        <v>8</v>
      </c>
      <c r="I2202" t="s">
        <v>34</v>
      </c>
      <c r="J2202" s="4">
        <v>57.9</v>
      </c>
      <c r="K2202" s="4">
        <v>73.099999999999994</v>
      </c>
      <c r="L2202" s="4">
        <v>15.4</v>
      </c>
      <c r="M2202">
        <v>11</v>
      </c>
      <c r="N2202" t="s">
        <v>67</v>
      </c>
      <c r="O2202">
        <v>5</v>
      </c>
      <c r="P2202" s="4">
        <v>1797.3</v>
      </c>
      <c r="Q2202" t="s">
        <v>42</v>
      </c>
      <c r="R2202">
        <v>1</v>
      </c>
      <c r="S2202" t="s">
        <v>44</v>
      </c>
      <c r="T2202">
        <v>0</v>
      </c>
      <c r="U2202">
        <v>0</v>
      </c>
      <c r="V2202" t="s">
        <v>32</v>
      </c>
      <c r="W2202" t="s">
        <v>43</v>
      </c>
      <c r="X2202" s="4">
        <v>6.9</v>
      </c>
      <c r="Y2202">
        <v>1</v>
      </c>
      <c r="Z2202" s="5">
        <v>166.27</v>
      </c>
    </row>
    <row r="2203" spans="1:26">
      <c r="A2203">
        <v>2202</v>
      </c>
      <c r="B2203">
        <v>726</v>
      </c>
      <c r="C2203" s="2">
        <v>46044</v>
      </c>
      <c r="D2203" t="s">
        <v>55</v>
      </c>
      <c r="E2203">
        <v>1</v>
      </c>
      <c r="F2203" s="3">
        <v>11.24</v>
      </c>
      <c r="G2203" t="s">
        <v>36</v>
      </c>
      <c r="H2203">
        <v>38</v>
      </c>
      <c r="I2203" t="s">
        <v>34</v>
      </c>
      <c r="J2203" s="4">
        <v>63.9</v>
      </c>
      <c r="K2203" s="4">
        <v>133.1</v>
      </c>
      <c r="L2203" s="4">
        <v>23.1</v>
      </c>
      <c r="M2203">
        <v>18</v>
      </c>
      <c r="N2203" t="s">
        <v>67</v>
      </c>
      <c r="O2203">
        <v>5</v>
      </c>
      <c r="P2203" s="4">
        <v>1797.3</v>
      </c>
      <c r="Q2203" t="s">
        <v>42</v>
      </c>
      <c r="R2203">
        <v>1</v>
      </c>
      <c r="S2203" t="s">
        <v>44</v>
      </c>
      <c r="T2203">
        <v>0</v>
      </c>
      <c r="U2203">
        <v>0</v>
      </c>
      <c r="V2203" t="s">
        <v>32</v>
      </c>
      <c r="W2203" t="s">
        <v>43</v>
      </c>
      <c r="X2203" s="4">
        <v>6.8</v>
      </c>
      <c r="Y2203">
        <v>10</v>
      </c>
      <c r="Z2203" s="5">
        <v>124.64</v>
      </c>
    </row>
    <row r="2204" spans="1:26">
      <c r="A2204">
        <v>2203</v>
      </c>
      <c r="B2204">
        <v>726</v>
      </c>
      <c r="C2204" s="2">
        <v>46044</v>
      </c>
      <c r="D2204" t="s">
        <v>55</v>
      </c>
      <c r="E2204">
        <v>1</v>
      </c>
      <c r="F2204" s="3">
        <v>11.7</v>
      </c>
      <c r="G2204" t="s">
        <v>36</v>
      </c>
      <c r="H2204">
        <v>70</v>
      </c>
      <c r="I2204" t="s">
        <v>28</v>
      </c>
      <c r="J2204" s="4">
        <v>71</v>
      </c>
      <c r="K2204" s="4">
        <v>181</v>
      </c>
      <c r="L2204" s="4">
        <v>25.1</v>
      </c>
      <c r="M2204">
        <v>15</v>
      </c>
      <c r="N2204" t="s">
        <v>67</v>
      </c>
      <c r="O2204">
        <v>5</v>
      </c>
      <c r="P2204" s="4">
        <v>1797.3</v>
      </c>
      <c r="Q2204" t="s">
        <v>42</v>
      </c>
      <c r="R2204">
        <v>1</v>
      </c>
      <c r="S2204" t="s">
        <v>44</v>
      </c>
      <c r="T2204">
        <v>0</v>
      </c>
      <c r="U2204">
        <v>0</v>
      </c>
      <c r="V2204" t="s">
        <v>32</v>
      </c>
      <c r="W2204" t="s">
        <v>43</v>
      </c>
      <c r="X2204" s="4">
        <v>8.4</v>
      </c>
      <c r="Y2204">
        <v>12</v>
      </c>
      <c r="Z2204" s="5">
        <v>337.84</v>
      </c>
    </row>
    <row r="2205" spans="1:26">
      <c r="A2205">
        <v>2204</v>
      </c>
      <c r="B2205">
        <v>726</v>
      </c>
      <c r="C2205" s="2">
        <v>46044</v>
      </c>
      <c r="D2205" t="s">
        <v>55</v>
      </c>
      <c r="E2205">
        <v>1</v>
      </c>
      <c r="F2205" s="3">
        <v>11.64</v>
      </c>
      <c r="G2205" t="s">
        <v>36</v>
      </c>
      <c r="H2205">
        <v>23</v>
      </c>
      <c r="I2205" t="s">
        <v>34</v>
      </c>
      <c r="J2205" s="4">
        <v>68.099999999999994</v>
      </c>
      <c r="K2205" s="4">
        <v>102.6</v>
      </c>
      <c r="L2205" s="4">
        <v>15.6</v>
      </c>
      <c r="M2205">
        <v>13</v>
      </c>
      <c r="N2205" t="s">
        <v>67</v>
      </c>
      <c r="O2205">
        <v>5</v>
      </c>
      <c r="P2205" s="4">
        <v>1797.3</v>
      </c>
      <c r="Q2205" t="s">
        <v>42</v>
      </c>
      <c r="R2205">
        <v>1</v>
      </c>
      <c r="S2205" t="s">
        <v>44</v>
      </c>
      <c r="T2205">
        <v>0</v>
      </c>
      <c r="U2205">
        <v>0</v>
      </c>
      <c r="V2205" t="s">
        <v>32</v>
      </c>
      <c r="W2205" t="s">
        <v>43</v>
      </c>
      <c r="X2205" s="4">
        <v>6.7</v>
      </c>
      <c r="Y2205">
        <v>6</v>
      </c>
      <c r="Z2205" s="5">
        <v>95.81</v>
      </c>
    </row>
    <row r="2206" spans="1:26">
      <c r="A2206">
        <v>2205</v>
      </c>
      <c r="B2206">
        <v>727</v>
      </c>
      <c r="C2206" s="2">
        <v>46028</v>
      </c>
      <c r="D2206" t="s">
        <v>35</v>
      </c>
      <c r="E2206">
        <v>1</v>
      </c>
      <c r="F2206" s="3">
        <v>11.63</v>
      </c>
      <c r="G2206" t="s">
        <v>36</v>
      </c>
      <c r="H2206">
        <v>40</v>
      </c>
      <c r="I2206" t="s">
        <v>28</v>
      </c>
      <c r="J2206" s="4">
        <v>71.7</v>
      </c>
      <c r="K2206" s="4">
        <v>205.8</v>
      </c>
      <c r="L2206" s="4">
        <v>28.1</v>
      </c>
      <c r="M2206">
        <v>13</v>
      </c>
      <c r="N2206" t="s">
        <v>59</v>
      </c>
      <c r="O2206">
        <v>1</v>
      </c>
      <c r="P2206" s="4">
        <v>951.5</v>
      </c>
      <c r="Q2206" t="s">
        <v>42</v>
      </c>
      <c r="R2206">
        <v>0</v>
      </c>
      <c r="S2206" t="s">
        <v>38</v>
      </c>
      <c r="T2206">
        <v>1</v>
      </c>
      <c r="U2206">
        <v>0</v>
      </c>
      <c r="V2206" t="s">
        <v>32</v>
      </c>
      <c r="W2206" t="s">
        <v>43</v>
      </c>
      <c r="X2206" s="4">
        <v>8.4</v>
      </c>
      <c r="Y2206">
        <v>15</v>
      </c>
      <c r="Z2206" s="5">
        <v>335.36</v>
      </c>
    </row>
    <row r="2207" spans="1:26">
      <c r="A2207">
        <v>2206</v>
      </c>
      <c r="B2207">
        <v>728</v>
      </c>
      <c r="C2207" s="2">
        <v>46277</v>
      </c>
      <c r="D2207" t="s">
        <v>40</v>
      </c>
      <c r="E2207">
        <v>9</v>
      </c>
      <c r="F2207" s="3">
        <v>12.44</v>
      </c>
      <c r="G2207" t="s">
        <v>36</v>
      </c>
      <c r="H2207">
        <v>58</v>
      </c>
      <c r="I2207" t="s">
        <v>34</v>
      </c>
      <c r="J2207" s="4">
        <v>66.400000000000006</v>
      </c>
      <c r="K2207" s="4">
        <v>167.4</v>
      </c>
      <c r="L2207" s="4">
        <v>26.8</v>
      </c>
      <c r="M2207">
        <v>16</v>
      </c>
      <c r="N2207" t="s">
        <v>60</v>
      </c>
      <c r="O2207">
        <v>3</v>
      </c>
      <c r="P2207" s="4">
        <v>1576.1</v>
      </c>
      <c r="Q2207" t="s">
        <v>48</v>
      </c>
      <c r="R2207">
        <v>1</v>
      </c>
      <c r="S2207" t="s">
        <v>31</v>
      </c>
      <c r="T2207">
        <v>1</v>
      </c>
      <c r="U2207">
        <v>0</v>
      </c>
      <c r="V2207" t="s">
        <v>32</v>
      </c>
      <c r="W2207" t="s">
        <v>39</v>
      </c>
      <c r="X2207" s="4">
        <v>10.6</v>
      </c>
      <c r="Y2207">
        <v>11</v>
      </c>
      <c r="Z2207" s="5">
        <v>302.43</v>
      </c>
    </row>
    <row r="2208" spans="1:26">
      <c r="A2208">
        <v>2207</v>
      </c>
      <c r="B2208">
        <v>728</v>
      </c>
      <c r="C2208" s="2">
        <v>46277</v>
      </c>
      <c r="D2208" t="s">
        <v>40</v>
      </c>
      <c r="E2208">
        <v>9</v>
      </c>
      <c r="F2208" s="3">
        <v>12.42</v>
      </c>
      <c r="G2208" t="s">
        <v>36</v>
      </c>
      <c r="H2208">
        <v>45</v>
      </c>
      <c r="I2208" t="s">
        <v>28</v>
      </c>
      <c r="J2208" s="4">
        <v>72.7</v>
      </c>
      <c r="K2208" s="4">
        <v>199.1</v>
      </c>
      <c r="L2208" s="4">
        <v>26.3</v>
      </c>
      <c r="M2208">
        <v>19</v>
      </c>
      <c r="N2208" t="s">
        <v>60</v>
      </c>
      <c r="O2208">
        <v>3</v>
      </c>
      <c r="P2208" s="4">
        <v>1576.1</v>
      </c>
      <c r="Q2208" t="s">
        <v>48</v>
      </c>
      <c r="R2208">
        <v>1</v>
      </c>
      <c r="S2208" t="s">
        <v>31</v>
      </c>
      <c r="T2208">
        <v>1</v>
      </c>
      <c r="U2208">
        <v>0</v>
      </c>
      <c r="V2208" t="s">
        <v>32</v>
      </c>
      <c r="W2208" t="s">
        <v>39</v>
      </c>
      <c r="X2208" s="4">
        <v>8</v>
      </c>
      <c r="Y2208">
        <v>11</v>
      </c>
      <c r="Z2208" s="5">
        <v>335.13</v>
      </c>
    </row>
    <row r="2209" spans="1:26">
      <c r="A2209">
        <v>2208</v>
      </c>
      <c r="B2209">
        <v>728</v>
      </c>
      <c r="C2209" s="2">
        <v>46277</v>
      </c>
      <c r="D2209" t="s">
        <v>40</v>
      </c>
      <c r="E2209">
        <v>9</v>
      </c>
      <c r="F2209" s="3">
        <v>12.46</v>
      </c>
      <c r="G2209" t="s">
        <v>36</v>
      </c>
      <c r="H2209">
        <v>56</v>
      </c>
      <c r="I2209" t="s">
        <v>28</v>
      </c>
      <c r="J2209" s="4">
        <v>70.8</v>
      </c>
      <c r="K2209" s="4">
        <v>209.3</v>
      </c>
      <c r="L2209" s="4">
        <v>29.4</v>
      </c>
      <c r="M2209">
        <v>14</v>
      </c>
      <c r="N2209" t="s">
        <v>60</v>
      </c>
      <c r="O2209">
        <v>3</v>
      </c>
      <c r="P2209" s="4">
        <v>1576.1</v>
      </c>
      <c r="Q2209" t="s">
        <v>48</v>
      </c>
      <c r="R2209">
        <v>1</v>
      </c>
      <c r="S2209" t="s">
        <v>31</v>
      </c>
      <c r="T2209">
        <v>1</v>
      </c>
      <c r="U2209">
        <v>0</v>
      </c>
      <c r="V2209" t="s">
        <v>32</v>
      </c>
      <c r="W2209" t="s">
        <v>39</v>
      </c>
      <c r="X2209" s="4">
        <v>8.8000000000000007</v>
      </c>
      <c r="Y2209">
        <v>8</v>
      </c>
      <c r="Z2209" s="5">
        <v>288.02999999999997</v>
      </c>
    </row>
    <row r="2210" spans="1:26">
      <c r="A2210">
        <v>2209</v>
      </c>
      <c r="B2210">
        <v>729</v>
      </c>
      <c r="C2210" s="2">
        <v>46212</v>
      </c>
      <c r="D2210" t="s">
        <v>55</v>
      </c>
      <c r="E2210">
        <v>7</v>
      </c>
      <c r="F2210" s="3">
        <v>9.4</v>
      </c>
      <c r="G2210" t="s">
        <v>27</v>
      </c>
      <c r="H2210">
        <v>35</v>
      </c>
      <c r="I2210" t="s">
        <v>34</v>
      </c>
      <c r="J2210" s="4">
        <v>60.9</v>
      </c>
      <c r="K2210" s="4">
        <v>139.4</v>
      </c>
      <c r="L2210" s="4">
        <v>26.5</v>
      </c>
      <c r="M2210">
        <v>14</v>
      </c>
      <c r="N2210" t="s">
        <v>59</v>
      </c>
      <c r="O2210">
        <v>2</v>
      </c>
      <c r="P2210" s="4">
        <v>828.6</v>
      </c>
      <c r="Q2210" t="s">
        <v>42</v>
      </c>
      <c r="R2210">
        <v>0</v>
      </c>
      <c r="S2210" t="s">
        <v>44</v>
      </c>
      <c r="T2210">
        <v>1</v>
      </c>
      <c r="U2210">
        <v>0</v>
      </c>
      <c r="V2210" t="s">
        <v>32</v>
      </c>
      <c r="W2210" t="s">
        <v>49</v>
      </c>
      <c r="X2210" s="4">
        <v>9.5</v>
      </c>
      <c r="Y2210">
        <v>11</v>
      </c>
      <c r="Z2210" s="5">
        <v>241.89</v>
      </c>
    </row>
    <row r="2211" spans="1:26">
      <c r="A2211">
        <v>2210</v>
      </c>
      <c r="B2211">
        <v>729</v>
      </c>
      <c r="C2211" s="2">
        <v>46212</v>
      </c>
      <c r="D2211" t="s">
        <v>55</v>
      </c>
      <c r="E2211">
        <v>7</v>
      </c>
      <c r="F2211" s="3">
        <v>9.74</v>
      </c>
      <c r="G2211" t="s">
        <v>27</v>
      </c>
      <c r="H2211">
        <v>8</v>
      </c>
      <c r="I2211" t="s">
        <v>28</v>
      </c>
      <c r="J2211" s="4">
        <v>58.8</v>
      </c>
      <c r="K2211" s="4">
        <v>101.9</v>
      </c>
      <c r="L2211" s="4">
        <v>20.8</v>
      </c>
      <c r="M2211">
        <v>12</v>
      </c>
      <c r="N2211" t="s">
        <v>59</v>
      </c>
      <c r="O2211">
        <v>2</v>
      </c>
      <c r="P2211" s="4">
        <v>828.6</v>
      </c>
      <c r="Q2211" t="s">
        <v>42</v>
      </c>
      <c r="R2211">
        <v>0</v>
      </c>
      <c r="S2211" t="s">
        <v>44</v>
      </c>
      <c r="T2211">
        <v>1</v>
      </c>
      <c r="U2211">
        <v>0</v>
      </c>
      <c r="V2211" t="s">
        <v>32</v>
      </c>
      <c r="W2211" t="s">
        <v>49</v>
      </c>
      <c r="X2211" s="4">
        <v>8.1999999999999993</v>
      </c>
      <c r="Y2211">
        <v>8</v>
      </c>
      <c r="Z2211" s="5">
        <v>172.02</v>
      </c>
    </row>
    <row r="2212" spans="1:26">
      <c r="A2212">
        <v>2211</v>
      </c>
      <c r="B2212">
        <v>730</v>
      </c>
      <c r="C2212" s="2">
        <v>46372</v>
      </c>
      <c r="D2212" t="s">
        <v>52</v>
      </c>
      <c r="E2212">
        <v>12</v>
      </c>
      <c r="F2212" s="3">
        <v>10.01</v>
      </c>
      <c r="G2212" t="s">
        <v>27</v>
      </c>
      <c r="H2212">
        <v>11</v>
      </c>
      <c r="I2212" t="s">
        <v>34</v>
      </c>
      <c r="J2212" s="4">
        <v>68.7</v>
      </c>
      <c r="K2212" s="4">
        <v>144.30000000000001</v>
      </c>
      <c r="L2212" s="4">
        <v>21.6</v>
      </c>
      <c r="M2212">
        <v>13</v>
      </c>
      <c r="N2212" t="s">
        <v>54</v>
      </c>
      <c r="O2212">
        <v>3</v>
      </c>
      <c r="P2212" s="4">
        <v>2609.1999999999998</v>
      </c>
      <c r="Q2212" t="s">
        <v>42</v>
      </c>
      <c r="R2212">
        <v>0</v>
      </c>
      <c r="S2212" t="s">
        <v>44</v>
      </c>
      <c r="T2212">
        <v>0</v>
      </c>
      <c r="U2212">
        <v>0</v>
      </c>
      <c r="V2212" t="s">
        <v>32</v>
      </c>
      <c r="W2212" t="s">
        <v>49</v>
      </c>
      <c r="X2212" s="4">
        <v>7.9</v>
      </c>
      <c r="Y2212">
        <v>8</v>
      </c>
      <c r="Z2212" s="5">
        <v>129.03</v>
      </c>
    </row>
    <row r="2213" spans="1:26">
      <c r="A2213">
        <v>2212</v>
      </c>
      <c r="B2213">
        <v>730</v>
      </c>
      <c r="C2213" s="2">
        <v>46372</v>
      </c>
      <c r="D2213" t="s">
        <v>52</v>
      </c>
      <c r="E2213">
        <v>12</v>
      </c>
      <c r="F2213" s="3">
        <v>9.84</v>
      </c>
      <c r="G2213" t="s">
        <v>27</v>
      </c>
      <c r="H2213">
        <v>13</v>
      </c>
      <c r="I2213" t="s">
        <v>28</v>
      </c>
      <c r="J2213" s="4">
        <v>68.7</v>
      </c>
      <c r="K2213" s="4">
        <v>141.69999999999999</v>
      </c>
      <c r="L2213" s="4">
        <v>21.1</v>
      </c>
      <c r="M2213">
        <v>12</v>
      </c>
      <c r="N2213" t="s">
        <v>54</v>
      </c>
      <c r="O2213">
        <v>3</v>
      </c>
      <c r="P2213" s="4">
        <v>2609.1999999999998</v>
      </c>
      <c r="Q2213" t="s">
        <v>42</v>
      </c>
      <c r="R2213">
        <v>0</v>
      </c>
      <c r="S2213" t="s">
        <v>44</v>
      </c>
      <c r="T2213">
        <v>0</v>
      </c>
      <c r="U2213">
        <v>0</v>
      </c>
      <c r="V2213" t="s">
        <v>32</v>
      </c>
      <c r="W2213" t="s">
        <v>49</v>
      </c>
      <c r="X2213" s="4">
        <v>9.5</v>
      </c>
      <c r="Y2213">
        <v>5</v>
      </c>
      <c r="Z2213" s="5">
        <v>178.31</v>
      </c>
    </row>
    <row r="2214" spans="1:26">
      <c r="A2214">
        <v>2213</v>
      </c>
      <c r="B2214">
        <v>730</v>
      </c>
      <c r="C2214" s="2">
        <v>46372</v>
      </c>
      <c r="D2214" t="s">
        <v>52</v>
      </c>
      <c r="E2214">
        <v>12</v>
      </c>
      <c r="F2214" s="3">
        <v>9.77</v>
      </c>
      <c r="G2214" t="s">
        <v>27</v>
      </c>
      <c r="H2214">
        <v>45</v>
      </c>
      <c r="I2214" t="s">
        <v>28</v>
      </c>
      <c r="J2214" s="4">
        <v>65.099999999999994</v>
      </c>
      <c r="K2214" s="4">
        <v>158.1</v>
      </c>
      <c r="L2214" s="4">
        <v>26.1</v>
      </c>
      <c r="M2214">
        <v>12</v>
      </c>
      <c r="N2214" t="s">
        <v>54</v>
      </c>
      <c r="O2214">
        <v>3</v>
      </c>
      <c r="P2214" s="4">
        <v>2609.1999999999998</v>
      </c>
      <c r="Q2214" t="s">
        <v>42</v>
      </c>
      <c r="R2214">
        <v>0</v>
      </c>
      <c r="S2214" t="s">
        <v>44</v>
      </c>
      <c r="T2214">
        <v>0</v>
      </c>
      <c r="U2214">
        <v>0</v>
      </c>
      <c r="V2214" t="s">
        <v>32</v>
      </c>
      <c r="W2214" t="s">
        <v>49</v>
      </c>
      <c r="X2214" s="4">
        <v>10.3</v>
      </c>
      <c r="Y2214">
        <v>5</v>
      </c>
      <c r="Z2214" s="5">
        <v>199.53</v>
      </c>
    </row>
    <row r="2215" spans="1:26">
      <c r="A2215">
        <v>2214</v>
      </c>
      <c r="B2215">
        <v>731</v>
      </c>
      <c r="C2215" s="2">
        <v>46024</v>
      </c>
      <c r="D2215" t="s">
        <v>26</v>
      </c>
      <c r="E2215">
        <v>1</v>
      </c>
      <c r="F2215" s="3">
        <v>13.14</v>
      </c>
      <c r="G2215" t="s">
        <v>36</v>
      </c>
      <c r="H2215">
        <v>48</v>
      </c>
      <c r="I2215" t="s">
        <v>34</v>
      </c>
      <c r="J2215" s="4">
        <v>63.7</v>
      </c>
      <c r="K2215" s="4">
        <v>128.5</v>
      </c>
      <c r="L2215" s="4">
        <v>22.1</v>
      </c>
      <c r="M2215">
        <v>18</v>
      </c>
      <c r="N2215" t="s">
        <v>54</v>
      </c>
      <c r="O2215">
        <v>1</v>
      </c>
      <c r="P2215" s="4">
        <v>2794.6</v>
      </c>
      <c r="Q2215" t="s">
        <v>48</v>
      </c>
      <c r="R2215">
        <v>1</v>
      </c>
      <c r="S2215" t="s">
        <v>31</v>
      </c>
      <c r="T2215">
        <v>0</v>
      </c>
      <c r="U2215">
        <v>1</v>
      </c>
      <c r="V2215" t="s">
        <v>32</v>
      </c>
      <c r="W2215" t="s">
        <v>39</v>
      </c>
      <c r="X2215" s="4">
        <v>9.1</v>
      </c>
      <c r="Y2215">
        <v>5</v>
      </c>
      <c r="Z2215" s="5">
        <v>260.75</v>
      </c>
    </row>
    <row r="2216" spans="1:26">
      <c r="A2216">
        <v>2215</v>
      </c>
      <c r="B2216">
        <v>732</v>
      </c>
      <c r="C2216" s="2">
        <v>46296</v>
      </c>
      <c r="D2216" t="s">
        <v>55</v>
      </c>
      <c r="E2216">
        <v>10</v>
      </c>
      <c r="F2216" s="3">
        <v>10.62</v>
      </c>
      <c r="G2216" t="s">
        <v>27</v>
      </c>
      <c r="H2216">
        <v>32</v>
      </c>
      <c r="I2216" t="s">
        <v>34</v>
      </c>
      <c r="J2216" s="4">
        <v>62.8</v>
      </c>
      <c r="K2216" s="4">
        <v>132.5</v>
      </c>
      <c r="L2216" s="4">
        <v>23.8</v>
      </c>
      <c r="M2216">
        <v>14</v>
      </c>
      <c r="N2216" t="s">
        <v>47</v>
      </c>
      <c r="O2216">
        <v>3</v>
      </c>
      <c r="P2216" s="4">
        <v>150.30000000000001</v>
      </c>
      <c r="Q2216" t="s">
        <v>42</v>
      </c>
      <c r="R2216">
        <v>0</v>
      </c>
      <c r="S2216" t="s">
        <v>44</v>
      </c>
      <c r="T2216">
        <v>1</v>
      </c>
      <c r="U2216">
        <v>0</v>
      </c>
      <c r="V2216" t="s">
        <v>32</v>
      </c>
      <c r="W2216" t="s">
        <v>49</v>
      </c>
      <c r="X2216" s="4">
        <v>10.6</v>
      </c>
      <c r="Y2216">
        <v>13</v>
      </c>
      <c r="Z2216" s="5">
        <v>375.45</v>
      </c>
    </row>
    <row r="2217" spans="1:26">
      <c r="A2217">
        <v>2216</v>
      </c>
      <c r="B2217">
        <v>732</v>
      </c>
      <c r="C2217" s="2">
        <v>46296</v>
      </c>
      <c r="D2217" t="s">
        <v>55</v>
      </c>
      <c r="E2217">
        <v>10</v>
      </c>
      <c r="F2217" s="3">
        <v>10.56</v>
      </c>
      <c r="G2217" t="s">
        <v>27</v>
      </c>
      <c r="H2217">
        <v>14</v>
      </c>
      <c r="I2217" t="s">
        <v>34</v>
      </c>
      <c r="J2217" s="4">
        <v>70</v>
      </c>
      <c r="K2217" s="4">
        <v>130.9</v>
      </c>
      <c r="L2217" s="4">
        <v>18.600000000000001</v>
      </c>
      <c r="M2217">
        <v>10</v>
      </c>
      <c r="N2217" t="s">
        <v>47</v>
      </c>
      <c r="O2217">
        <v>3</v>
      </c>
      <c r="P2217" s="4">
        <v>150.30000000000001</v>
      </c>
      <c r="Q2217" t="s">
        <v>42</v>
      </c>
      <c r="R2217">
        <v>0</v>
      </c>
      <c r="S2217" t="s">
        <v>44</v>
      </c>
      <c r="T2217">
        <v>1</v>
      </c>
      <c r="U2217">
        <v>0</v>
      </c>
      <c r="V2217" t="s">
        <v>32</v>
      </c>
      <c r="W2217" t="s">
        <v>49</v>
      </c>
      <c r="X2217" s="4">
        <v>10.6</v>
      </c>
      <c r="Y2217">
        <v>6</v>
      </c>
      <c r="Z2217" s="5">
        <v>166.9</v>
      </c>
    </row>
    <row r="2218" spans="1:26">
      <c r="A2218">
        <v>2217</v>
      </c>
      <c r="B2218">
        <v>732</v>
      </c>
      <c r="C2218" s="2">
        <v>46296</v>
      </c>
      <c r="D2218" t="s">
        <v>55</v>
      </c>
      <c r="E2218">
        <v>10</v>
      </c>
      <c r="F2218" s="3">
        <v>10.4</v>
      </c>
      <c r="G2218" t="s">
        <v>27</v>
      </c>
      <c r="H2218">
        <v>37</v>
      </c>
      <c r="I2218" t="s">
        <v>34</v>
      </c>
      <c r="J2218" s="4">
        <v>63.8</v>
      </c>
      <c r="K2218" s="4">
        <v>159.30000000000001</v>
      </c>
      <c r="L2218" s="4">
        <v>27.5</v>
      </c>
      <c r="M2218">
        <v>14</v>
      </c>
      <c r="N2218" t="s">
        <v>47</v>
      </c>
      <c r="O2218">
        <v>3</v>
      </c>
      <c r="P2218" s="4">
        <v>150.30000000000001</v>
      </c>
      <c r="Q2218" t="s">
        <v>42</v>
      </c>
      <c r="R2218">
        <v>0</v>
      </c>
      <c r="S2218" t="s">
        <v>44</v>
      </c>
      <c r="T2218">
        <v>1</v>
      </c>
      <c r="U2218">
        <v>0</v>
      </c>
      <c r="V2218" t="s">
        <v>32</v>
      </c>
      <c r="W2218" t="s">
        <v>49</v>
      </c>
      <c r="X2218" s="4">
        <v>6.8</v>
      </c>
      <c r="Y2218">
        <v>3</v>
      </c>
      <c r="Z2218" s="5">
        <v>156.11000000000001</v>
      </c>
    </row>
    <row r="2219" spans="1:26">
      <c r="A2219">
        <v>2218</v>
      </c>
      <c r="B2219">
        <v>733</v>
      </c>
      <c r="C2219" s="2">
        <v>46240</v>
      </c>
      <c r="D2219" t="s">
        <v>55</v>
      </c>
      <c r="E2219">
        <v>8</v>
      </c>
      <c r="F2219" s="3">
        <v>10.39</v>
      </c>
      <c r="G2219" t="s">
        <v>27</v>
      </c>
      <c r="H2219">
        <v>22</v>
      </c>
      <c r="I2219" t="s">
        <v>28</v>
      </c>
      <c r="J2219" s="4">
        <v>65.2</v>
      </c>
      <c r="K2219" s="4">
        <v>168.8</v>
      </c>
      <c r="L2219" s="4">
        <v>27.8</v>
      </c>
      <c r="M2219">
        <v>16</v>
      </c>
      <c r="N2219" t="s">
        <v>47</v>
      </c>
      <c r="O2219">
        <v>2</v>
      </c>
      <c r="P2219" s="4">
        <v>53.5</v>
      </c>
      <c r="Q2219" t="s">
        <v>42</v>
      </c>
      <c r="R2219">
        <v>0</v>
      </c>
      <c r="S2219" t="s">
        <v>44</v>
      </c>
      <c r="T2219">
        <v>1</v>
      </c>
      <c r="U2219">
        <v>0</v>
      </c>
      <c r="V2219" t="s">
        <v>64</v>
      </c>
      <c r="W2219" t="s">
        <v>39</v>
      </c>
      <c r="X2219" s="4">
        <v>6.4</v>
      </c>
      <c r="Y2219">
        <v>10</v>
      </c>
      <c r="Z2219" s="5">
        <v>175.48</v>
      </c>
    </row>
    <row r="2220" spans="1:26">
      <c r="A2220">
        <v>2219</v>
      </c>
      <c r="B2220">
        <v>733</v>
      </c>
      <c r="C2220" s="2">
        <v>46240</v>
      </c>
      <c r="D2220" t="s">
        <v>55</v>
      </c>
      <c r="E2220">
        <v>8</v>
      </c>
      <c r="F2220" s="3">
        <v>10.28</v>
      </c>
      <c r="G2220" t="s">
        <v>27</v>
      </c>
      <c r="H2220">
        <v>57</v>
      </c>
      <c r="I2220" t="s">
        <v>34</v>
      </c>
      <c r="J2220" s="4">
        <v>63.5</v>
      </c>
      <c r="K2220" s="4">
        <v>114</v>
      </c>
      <c r="L2220" s="4">
        <v>19.7</v>
      </c>
      <c r="M2220">
        <v>17</v>
      </c>
      <c r="N2220" t="s">
        <v>47</v>
      </c>
      <c r="O2220">
        <v>2</v>
      </c>
      <c r="P2220" s="4">
        <v>53.5</v>
      </c>
      <c r="Q2220" t="s">
        <v>42</v>
      </c>
      <c r="R2220">
        <v>0</v>
      </c>
      <c r="S2220" t="s">
        <v>44</v>
      </c>
      <c r="T2220">
        <v>1</v>
      </c>
      <c r="U2220">
        <v>0</v>
      </c>
      <c r="V2220" t="s">
        <v>64</v>
      </c>
      <c r="W2220" t="s">
        <v>39</v>
      </c>
      <c r="X2220" s="4">
        <v>7.6</v>
      </c>
      <c r="Y2220">
        <v>13</v>
      </c>
      <c r="Z2220" s="5">
        <v>212.53</v>
      </c>
    </row>
    <row r="2221" spans="1:26">
      <c r="A2221">
        <v>2220</v>
      </c>
      <c r="B2221">
        <v>734</v>
      </c>
      <c r="C2221" s="2">
        <v>46059</v>
      </c>
      <c r="D2221" t="s">
        <v>26</v>
      </c>
      <c r="E2221">
        <v>2</v>
      </c>
      <c r="F2221" s="3">
        <v>10.69</v>
      </c>
      <c r="G2221" t="s">
        <v>27</v>
      </c>
      <c r="H2221">
        <v>40</v>
      </c>
      <c r="I2221" t="s">
        <v>28</v>
      </c>
      <c r="J2221" s="4">
        <v>69.099999999999994</v>
      </c>
      <c r="K2221" s="4">
        <v>127</v>
      </c>
      <c r="L2221" s="4">
        <v>18.600000000000001</v>
      </c>
      <c r="M2221">
        <v>13</v>
      </c>
      <c r="N2221" t="s">
        <v>47</v>
      </c>
      <c r="O2221">
        <v>4</v>
      </c>
      <c r="P2221" s="4">
        <v>156</v>
      </c>
      <c r="Q2221" t="s">
        <v>30</v>
      </c>
      <c r="R2221">
        <v>0</v>
      </c>
      <c r="S2221" t="s">
        <v>31</v>
      </c>
      <c r="T2221">
        <v>0</v>
      </c>
      <c r="U2221">
        <v>0</v>
      </c>
      <c r="V2221" t="s">
        <v>32</v>
      </c>
      <c r="W2221" t="s">
        <v>49</v>
      </c>
      <c r="X2221" s="4">
        <v>10.199999999999999</v>
      </c>
      <c r="Y2221">
        <v>8</v>
      </c>
      <c r="Z2221" s="5">
        <v>325.18</v>
      </c>
    </row>
    <row r="2222" spans="1:26">
      <c r="A2222">
        <v>2221</v>
      </c>
      <c r="B2222">
        <v>734</v>
      </c>
      <c r="C2222" s="2">
        <v>46059</v>
      </c>
      <c r="D2222" t="s">
        <v>26</v>
      </c>
      <c r="E2222">
        <v>2</v>
      </c>
      <c r="F2222" s="3">
        <v>10.69</v>
      </c>
      <c r="G2222" t="s">
        <v>27</v>
      </c>
      <c r="H2222">
        <v>37</v>
      </c>
      <c r="I2222" t="s">
        <v>28</v>
      </c>
      <c r="J2222" s="4">
        <v>66.099999999999994</v>
      </c>
      <c r="K2222" s="4">
        <v>145.6</v>
      </c>
      <c r="L2222" s="4">
        <v>23.6</v>
      </c>
      <c r="M2222">
        <v>10</v>
      </c>
      <c r="N2222" t="s">
        <v>47</v>
      </c>
      <c r="O2222">
        <v>4</v>
      </c>
      <c r="P2222" s="4">
        <v>156</v>
      </c>
      <c r="Q2222" t="s">
        <v>30</v>
      </c>
      <c r="R2222">
        <v>0</v>
      </c>
      <c r="S2222" t="s">
        <v>31</v>
      </c>
      <c r="T2222">
        <v>0</v>
      </c>
      <c r="U2222">
        <v>0</v>
      </c>
      <c r="V2222" t="s">
        <v>32</v>
      </c>
      <c r="W2222" t="s">
        <v>49</v>
      </c>
      <c r="X2222" s="4">
        <v>7.9</v>
      </c>
      <c r="Y2222">
        <v>8</v>
      </c>
      <c r="Z2222" s="5">
        <v>122.12</v>
      </c>
    </row>
    <row r="2223" spans="1:26">
      <c r="A2223">
        <v>2222</v>
      </c>
      <c r="B2223">
        <v>734</v>
      </c>
      <c r="C2223" s="2">
        <v>46059</v>
      </c>
      <c r="D2223" t="s">
        <v>26</v>
      </c>
      <c r="E2223">
        <v>2</v>
      </c>
      <c r="F2223" s="3">
        <v>10.46</v>
      </c>
      <c r="G2223" t="s">
        <v>27</v>
      </c>
      <c r="H2223">
        <v>70</v>
      </c>
      <c r="I2223" t="s">
        <v>28</v>
      </c>
      <c r="J2223" s="4">
        <v>72.7</v>
      </c>
      <c r="K2223" s="4">
        <v>155</v>
      </c>
      <c r="L2223" s="4">
        <v>20.2</v>
      </c>
      <c r="M2223">
        <v>13</v>
      </c>
      <c r="N2223" t="s">
        <v>47</v>
      </c>
      <c r="O2223">
        <v>4</v>
      </c>
      <c r="P2223" s="4">
        <v>156</v>
      </c>
      <c r="Q2223" t="s">
        <v>30</v>
      </c>
      <c r="R2223">
        <v>0</v>
      </c>
      <c r="S2223" t="s">
        <v>31</v>
      </c>
      <c r="T2223">
        <v>0</v>
      </c>
      <c r="U2223">
        <v>0</v>
      </c>
      <c r="V2223" t="s">
        <v>32</v>
      </c>
      <c r="W2223" t="s">
        <v>49</v>
      </c>
      <c r="X2223" s="4">
        <v>5.7</v>
      </c>
      <c r="Y2223">
        <v>8</v>
      </c>
      <c r="Z2223" s="5">
        <v>236.76</v>
      </c>
    </row>
    <row r="2224" spans="1:26">
      <c r="A2224">
        <v>2223</v>
      </c>
      <c r="B2224">
        <v>734</v>
      </c>
      <c r="C2224" s="2">
        <v>46059</v>
      </c>
      <c r="D2224" t="s">
        <v>26</v>
      </c>
      <c r="E2224">
        <v>2</v>
      </c>
      <c r="F2224" s="3">
        <v>10.73</v>
      </c>
      <c r="G2224" t="s">
        <v>27</v>
      </c>
      <c r="H2224">
        <v>85</v>
      </c>
      <c r="I2224" t="s">
        <v>28</v>
      </c>
      <c r="J2224" s="4">
        <v>72.2</v>
      </c>
      <c r="K2224" s="4">
        <v>208.4</v>
      </c>
      <c r="L2224" s="4">
        <v>28.2</v>
      </c>
      <c r="M2224">
        <v>15</v>
      </c>
      <c r="N2224" t="s">
        <v>47</v>
      </c>
      <c r="O2224">
        <v>4</v>
      </c>
      <c r="P2224" s="4">
        <v>156</v>
      </c>
      <c r="Q2224" t="s">
        <v>30</v>
      </c>
      <c r="R2224">
        <v>0</v>
      </c>
      <c r="S2224" t="s">
        <v>31</v>
      </c>
      <c r="T2224">
        <v>0</v>
      </c>
      <c r="U2224">
        <v>0</v>
      </c>
      <c r="V2224" t="s">
        <v>32</v>
      </c>
      <c r="W2224" t="s">
        <v>49</v>
      </c>
      <c r="X2224" s="4">
        <v>7.8</v>
      </c>
      <c r="Y2224">
        <v>8</v>
      </c>
      <c r="Z2224" s="5">
        <v>166.14</v>
      </c>
    </row>
    <row r="2225" spans="1:26">
      <c r="A2225">
        <v>2224</v>
      </c>
      <c r="B2225">
        <v>735</v>
      </c>
      <c r="C2225" s="2">
        <v>46283</v>
      </c>
      <c r="D2225" t="s">
        <v>26</v>
      </c>
      <c r="E2225">
        <v>9</v>
      </c>
      <c r="F2225" s="3">
        <v>12.62</v>
      </c>
      <c r="G2225" t="s">
        <v>36</v>
      </c>
      <c r="H2225">
        <v>26</v>
      </c>
      <c r="I2225" t="s">
        <v>28</v>
      </c>
      <c r="J2225" s="4">
        <v>73.400000000000006</v>
      </c>
      <c r="K2225" s="4">
        <v>213.7</v>
      </c>
      <c r="L2225" s="4">
        <v>27.9</v>
      </c>
      <c r="M2225">
        <v>17</v>
      </c>
      <c r="N2225" t="s">
        <v>29</v>
      </c>
      <c r="O2225">
        <v>4</v>
      </c>
      <c r="P2225" s="4">
        <v>2267.9</v>
      </c>
      <c r="Q2225" t="s">
        <v>48</v>
      </c>
      <c r="R2225">
        <v>0</v>
      </c>
      <c r="S2225" t="s">
        <v>44</v>
      </c>
      <c r="T2225">
        <v>1</v>
      </c>
      <c r="U2225">
        <v>0</v>
      </c>
      <c r="V2225" t="s">
        <v>32</v>
      </c>
      <c r="W2225" t="s">
        <v>43</v>
      </c>
      <c r="X2225" s="4">
        <v>7.7</v>
      </c>
      <c r="Y2225">
        <v>12</v>
      </c>
      <c r="Z2225" s="5">
        <v>284.02</v>
      </c>
    </row>
    <row r="2226" spans="1:26">
      <c r="A2226">
        <v>2225</v>
      </c>
      <c r="B2226">
        <v>735</v>
      </c>
      <c r="C2226" s="2">
        <v>46283</v>
      </c>
      <c r="D2226" t="s">
        <v>26</v>
      </c>
      <c r="E2226">
        <v>9</v>
      </c>
      <c r="F2226" s="3">
        <v>12.45</v>
      </c>
      <c r="G2226" t="s">
        <v>36</v>
      </c>
      <c r="H2226">
        <v>78</v>
      </c>
      <c r="I2226" t="s">
        <v>34</v>
      </c>
      <c r="J2226" s="4">
        <v>64.5</v>
      </c>
      <c r="K2226" s="4">
        <v>178.1</v>
      </c>
      <c r="L2226" s="4">
        <v>29.9</v>
      </c>
      <c r="M2226">
        <v>19</v>
      </c>
      <c r="N2226" t="s">
        <v>29</v>
      </c>
      <c r="O2226">
        <v>4</v>
      </c>
      <c r="P2226" s="4">
        <v>2267.9</v>
      </c>
      <c r="Q2226" t="s">
        <v>48</v>
      </c>
      <c r="R2226">
        <v>0</v>
      </c>
      <c r="S2226" t="s">
        <v>44</v>
      </c>
      <c r="T2226">
        <v>1</v>
      </c>
      <c r="U2226">
        <v>0</v>
      </c>
      <c r="V2226" t="s">
        <v>32</v>
      </c>
      <c r="W2226" t="s">
        <v>43</v>
      </c>
      <c r="X2226" s="4">
        <v>7.4</v>
      </c>
      <c r="Y2226">
        <v>12</v>
      </c>
      <c r="Z2226" s="5">
        <v>217.97</v>
      </c>
    </row>
    <row r="2227" spans="1:26">
      <c r="A2227">
        <v>2226</v>
      </c>
      <c r="B2227">
        <v>735</v>
      </c>
      <c r="C2227" s="2">
        <v>46283</v>
      </c>
      <c r="D2227" t="s">
        <v>26</v>
      </c>
      <c r="E2227">
        <v>9</v>
      </c>
      <c r="F2227" s="3">
        <v>12.59</v>
      </c>
      <c r="G2227" t="s">
        <v>36</v>
      </c>
      <c r="H2227">
        <v>37</v>
      </c>
      <c r="I2227" t="s">
        <v>28</v>
      </c>
      <c r="J2227" s="4">
        <v>71.8</v>
      </c>
      <c r="K2227" s="4">
        <v>160.9</v>
      </c>
      <c r="L2227" s="4">
        <v>22</v>
      </c>
      <c r="M2227">
        <v>17</v>
      </c>
      <c r="N2227" t="s">
        <v>29</v>
      </c>
      <c r="O2227">
        <v>4</v>
      </c>
      <c r="P2227" s="4">
        <v>2267.9</v>
      </c>
      <c r="Q2227" t="s">
        <v>48</v>
      </c>
      <c r="R2227">
        <v>0</v>
      </c>
      <c r="S2227" t="s">
        <v>44</v>
      </c>
      <c r="T2227">
        <v>1</v>
      </c>
      <c r="U2227">
        <v>0</v>
      </c>
      <c r="V2227" t="s">
        <v>32</v>
      </c>
      <c r="W2227" t="s">
        <v>43</v>
      </c>
      <c r="X2227" s="4">
        <v>5.0999999999999996</v>
      </c>
      <c r="Y2227">
        <v>7</v>
      </c>
      <c r="Z2227" s="5">
        <v>147.19999999999999</v>
      </c>
    </row>
    <row r="2228" spans="1:26">
      <c r="A2228">
        <v>2227</v>
      </c>
      <c r="B2228">
        <v>735</v>
      </c>
      <c r="C2228" s="2">
        <v>46283</v>
      </c>
      <c r="D2228" t="s">
        <v>26</v>
      </c>
      <c r="E2228">
        <v>9</v>
      </c>
      <c r="F2228" s="3">
        <v>12.49</v>
      </c>
      <c r="G2228" t="s">
        <v>36</v>
      </c>
      <c r="H2228">
        <v>5</v>
      </c>
      <c r="I2228" t="s">
        <v>28</v>
      </c>
      <c r="J2228" s="4">
        <v>58.2</v>
      </c>
      <c r="K2228" s="4">
        <v>86.8</v>
      </c>
      <c r="L2228" s="4">
        <v>17.8</v>
      </c>
      <c r="M2228">
        <v>13</v>
      </c>
      <c r="N2228" t="s">
        <v>29</v>
      </c>
      <c r="O2228">
        <v>4</v>
      </c>
      <c r="P2228" s="4">
        <v>2267.9</v>
      </c>
      <c r="Q2228" t="s">
        <v>48</v>
      </c>
      <c r="R2228">
        <v>0</v>
      </c>
      <c r="S2228" t="s">
        <v>44</v>
      </c>
      <c r="T2228">
        <v>1</v>
      </c>
      <c r="U2228">
        <v>0</v>
      </c>
      <c r="V2228" t="s">
        <v>32</v>
      </c>
      <c r="W2228" t="s">
        <v>43</v>
      </c>
      <c r="X2228" s="4">
        <v>8.1</v>
      </c>
      <c r="Y2228">
        <v>10</v>
      </c>
      <c r="Z2228" s="5">
        <v>258.13</v>
      </c>
    </row>
    <row r="2229" spans="1:26">
      <c r="A2229">
        <v>2228</v>
      </c>
      <c r="B2229">
        <v>736</v>
      </c>
      <c r="C2229" s="2">
        <v>46273</v>
      </c>
      <c r="D2229" t="s">
        <v>35</v>
      </c>
      <c r="E2229">
        <v>9</v>
      </c>
      <c r="F2229" s="3">
        <v>10.77</v>
      </c>
      <c r="G2229" t="s">
        <v>27</v>
      </c>
      <c r="H2229">
        <v>55</v>
      </c>
      <c r="I2229" t="s">
        <v>28</v>
      </c>
      <c r="J2229" s="4">
        <v>72.2</v>
      </c>
      <c r="K2229" s="4">
        <v>170</v>
      </c>
      <c r="L2229" s="4">
        <v>23</v>
      </c>
      <c r="M2229">
        <v>15</v>
      </c>
      <c r="N2229" t="s">
        <v>53</v>
      </c>
      <c r="O2229">
        <v>3</v>
      </c>
      <c r="P2229" s="4">
        <v>1029.5999999999999</v>
      </c>
      <c r="Q2229" t="s">
        <v>48</v>
      </c>
      <c r="R2229">
        <v>0</v>
      </c>
      <c r="S2229" t="s">
        <v>31</v>
      </c>
      <c r="T2229">
        <v>1</v>
      </c>
      <c r="U2229">
        <v>0</v>
      </c>
      <c r="V2229" t="s">
        <v>32</v>
      </c>
      <c r="W2229" t="s">
        <v>39</v>
      </c>
      <c r="X2229" s="4">
        <v>6.4</v>
      </c>
      <c r="Y2229">
        <v>9</v>
      </c>
      <c r="Z2229" s="5">
        <v>348.42</v>
      </c>
    </row>
    <row r="2230" spans="1:26">
      <c r="A2230">
        <v>2229</v>
      </c>
      <c r="B2230">
        <v>736</v>
      </c>
      <c r="C2230" s="2">
        <v>46273</v>
      </c>
      <c r="D2230" t="s">
        <v>35</v>
      </c>
      <c r="E2230">
        <v>9</v>
      </c>
      <c r="F2230" s="3">
        <v>10.9</v>
      </c>
      <c r="G2230" t="s">
        <v>27</v>
      </c>
      <c r="H2230">
        <v>54</v>
      </c>
      <c r="I2230" t="s">
        <v>34</v>
      </c>
      <c r="J2230" s="4">
        <v>63.6</v>
      </c>
      <c r="K2230" s="4">
        <v>173.1</v>
      </c>
      <c r="L2230" s="4">
        <v>29.9</v>
      </c>
      <c r="M2230">
        <v>19</v>
      </c>
      <c r="N2230" t="s">
        <v>53</v>
      </c>
      <c r="O2230">
        <v>3</v>
      </c>
      <c r="P2230" s="4">
        <v>1029.5999999999999</v>
      </c>
      <c r="Q2230" t="s">
        <v>48</v>
      </c>
      <c r="R2230">
        <v>0</v>
      </c>
      <c r="S2230" t="s">
        <v>31</v>
      </c>
      <c r="T2230">
        <v>1</v>
      </c>
      <c r="U2230">
        <v>0</v>
      </c>
      <c r="V2230" t="s">
        <v>32</v>
      </c>
      <c r="W2230" t="s">
        <v>39</v>
      </c>
      <c r="X2230" s="4">
        <v>8.3000000000000007</v>
      </c>
      <c r="Y2230">
        <v>10</v>
      </c>
      <c r="Z2230" s="5">
        <v>171.44</v>
      </c>
    </row>
    <row r="2231" spans="1:26">
      <c r="A2231">
        <v>2230</v>
      </c>
      <c r="B2231">
        <v>736</v>
      </c>
      <c r="C2231" s="2">
        <v>46273</v>
      </c>
      <c r="D2231" t="s">
        <v>35</v>
      </c>
      <c r="E2231">
        <v>9</v>
      </c>
      <c r="F2231" s="3">
        <v>11.14</v>
      </c>
      <c r="G2231" t="s">
        <v>36</v>
      </c>
      <c r="H2231">
        <v>51</v>
      </c>
      <c r="I2231" t="s">
        <v>28</v>
      </c>
      <c r="J2231" s="4">
        <v>70.8</v>
      </c>
      <c r="K2231" s="4">
        <v>204.3</v>
      </c>
      <c r="L2231" s="4">
        <v>28.4</v>
      </c>
      <c r="M2231">
        <v>21</v>
      </c>
      <c r="N2231" t="s">
        <v>53</v>
      </c>
      <c r="O2231">
        <v>3</v>
      </c>
      <c r="P2231" s="4">
        <v>1029.5999999999999</v>
      </c>
      <c r="Q2231" t="s">
        <v>48</v>
      </c>
      <c r="R2231">
        <v>0</v>
      </c>
      <c r="S2231" t="s">
        <v>31</v>
      </c>
      <c r="T2231">
        <v>1</v>
      </c>
      <c r="U2231">
        <v>0</v>
      </c>
      <c r="V2231" t="s">
        <v>32</v>
      </c>
      <c r="W2231" t="s">
        <v>39</v>
      </c>
      <c r="X2231" s="4">
        <v>7.5</v>
      </c>
      <c r="Y2231">
        <v>6</v>
      </c>
      <c r="Z2231" s="5">
        <v>289.93</v>
      </c>
    </row>
    <row r="2232" spans="1:26">
      <c r="A2232">
        <v>2231</v>
      </c>
      <c r="B2232">
        <v>737</v>
      </c>
      <c r="C2232" s="2">
        <v>46115</v>
      </c>
      <c r="D2232" t="s">
        <v>26</v>
      </c>
      <c r="E2232">
        <v>4</v>
      </c>
      <c r="F2232" s="3">
        <v>10.82</v>
      </c>
      <c r="G2232" t="s">
        <v>27</v>
      </c>
      <c r="H2232">
        <v>12</v>
      </c>
      <c r="I2232" t="s">
        <v>28</v>
      </c>
      <c r="J2232" s="4">
        <v>70</v>
      </c>
      <c r="K2232" s="4">
        <v>153.69999999999999</v>
      </c>
      <c r="L2232" s="4">
        <v>22</v>
      </c>
      <c r="M2232">
        <v>13</v>
      </c>
      <c r="N2232" t="s">
        <v>47</v>
      </c>
      <c r="O2232">
        <v>3</v>
      </c>
      <c r="P2232" s="4">
        <v>2.5</v>
      </c>
      <c r="Q2232" t="s">
        <v>42</v>
      </c>
      <c r="R2232">
        <v>1</v>
      </c>
      <c r="S2232" t="s">
        <v>44</v>
      </c>
      <c r="T2232">
        <v>1</v>
      </c>
      <c r="U2232">
        <v>0</v>
      </c>
      <c r="V2232" t="s">
        <v>45</v>
      </c>
      <c r="W2232" t="s">
        <v>39</v>
      </c>
      <c r="X2232" s="4">
        <v>8.1999999999999993</v>
      </c>
      <c r="Y2232">
        <v>9</v>
      </c>
      <c r="Z2232" s="5">
        <v>213.64</v>
      </c>
    </row>
    <row r="2233" spans="1:26">
      <c r="A2233">
        <v>2232</v>
      </c>
      <c r="B2233">
        <v>737</v>
      </c>
      <c r="C2233" s="2">
        <v>46115</v>
      </c>
      <c r="D2233" t="s">
        <v>26</v>
      </c>
      <c r="E2233">
        <v>4</v>
      </c>
      <c r="F2233" s="3">
        <v>10.65</v>
      </c>
      <c r="G2233" t="s">
        <v>27</v>
      </c>
      <c r="H2233">
        <v>70</v>
      </c>
      <c r="I2233" t="s">
        <v>51</v>
      </c>
      <c r="J2233" s="4">
        <v>67.599999999999994</v>
      </c>
      <c r="K2233" s="4">
        <v>182</v>
      </c>
      <c r="L2233" s="4">
        <v>28</v>
      </c>
      <c r="M2233">
        <v>18</v>
      </c>
      <c r="N2233" t="s">
        <v>47</v>
      </c>
      <c r="O2233">
        <v>3</v>
      </c>
      <c r="P2233" s="4">
        <v>2.5</v>
      </c>
      <c r="Q2233" t="s">
        <v>42</v>
      </c>
      <c r="R2233">
        <v>1</v>
      </c>
      <c r="S2233" t="s">
        <v>44</v>
      </c>
      <c r="T2233">
        <v>1</v>
      </c>
      <c r="U2233">
        <v>0</v>
      </c>
      <c r="V2233" t="s">
        <v>45</v>
      </c>
      <c r="W2233" t="s">
        <v>39</v>
      </c>
      <c r="X2233" s="4">
        <v>9.6</v>
      </c>
      <c r="Y2233">
        <v>10</v>
      </c>
      <c r="Z2233" s="5">
        <v>300.18</v>
      </c>
    </row>
    <row r="2234" spans="1:26">
      <c r="A2234">
        <v>2233</v>
      </c>
      <c r="B2234">
        <v>737</v>
      </c>
      <c r="C2234" s="2">
        <v>46115</v>
      </c>
      <c r="D2234" t="s">
        <v>26</v>
      </c>
      <c r="E2234">
        <v>4</v>
      </c>
      <c r="F2234" s="3">
        <v>10.77</v>
      </c>
      <c r="G2234" t="s">
        <v>27</v>
      </c>
      <c r="H2234">
        <v>61</v>
      </c>
      <c r="I2234" t="s">
        <v>28</v>
      </c>
      <c r="J2234" s="4">
        <v>74.900000000000006</v>
      </c>
      <c r="K2234" s="4">
        <v>239</v>
      </c>
      <c r="L2234" s="4">
        <v>29.9</v>
      </c>
      <c r="M2234">
        <v>15</v>
      </c>
      <c r="N2234" t="s">
        <v>47</v>
      </c>
      <c r="O2234">
        <v>3</v>
      </c>
      <c r="P2234" s="4">
        <v>2.5</v>
      </c>
      <c r="Q2234" t="s">
        <v>42</v>
      </c>
      <c r="R2234">
        <v>1</v>
      </c>
      <c r="S2234" t="s">
        <v>44</v>
      </c>
      <c r="T2234">
        <v>1</v>
      </c>
      <c r="U2234">
        <v>0</v>
      </c>
      <c r="V2234" t="s">
        <v>45</v>
      </c>
      <c r="W2234" t="s">
        <v>39</v>
      </c>
      <c r="X2234" s="4">
        <v>8.3000000000000007</v>
      </c>
      <c r="Y2234">
        <v>5</v>
      </c>
      <c r="Z2234" s="5">
        <v>221.03</v>
      </c>
    </row>
    <row r="2235" spans="1:26">
      <c r="A2235">
        <v>2234</v>
      </c>
      <c r="B2235">
        <v>738</v>
      </c>
      <c r="C2235" s="2">
        <v>46233</v>
      </c>
      <c r="D2235" t="s">
        <v>55</v>
      </c>
      <c r="E2235">
        <v>7</v>
      </c>
      <c r="F2235" s="3">
        <v>8.99</v>
      </c>
      <c r="G2235" t="s">
        <v>27</v>
      </c>
      <c r="H2235">
        <v>64</v>
      </c>
      <c r="I2235" t="s">
        <v>34</v>
      </c>
      <c r="J2235" s="4">
        <v>63.1</v>
      </c>
      <c r="K2235" s="4">
        <v>146.1</v>
      </c>
      <c r="L2235" s="4">
        <v>25.7</v>
      </c>
      <c r="M2235">
        <v>13</v>
      </c>
      <c r="N2235" t="s">
        <v>47</v>
      </c>
      <c r="O2235">
        <v>2</v>
      </c>
      <c r="P2235" s="4">
        <v>66.8</v>
      </c>
      <c r="Q2235" t="s">
        <v>42</v>
      </c>
      <c r="R2235">
        <v>0</v>
      </c>
      <c r="S2235" t="s">
        <v>31</v>
      </c>
      <c r="T2235">
        <v>1</v>
      </c>
      <c r="U2235">
        <v>0</v>
      </c>
      <c r="V2235" t="s">
        <v>45</v>
      </c>
      <c r="W2235" t="s">
        <v>57</v>
      </c>
      <c r="X2235" s="4">
        <v>8.9</v>
      </c>
      <c r="Y2235">
        <v>7</v>
      </c>
      <c r="Z2235" s="5">
        <v>135.51</v>
      </c>
    </row>
    <row r="2236" spans="1:26">
      <c r="A2236">
        <v>2235</v>
      </c>
      <c r="B2236">
        <v>738</v>
      </c>
      <c r="C2236" s="2">
        <v>46233</v>
      </c>
      <c r="D2236" t="s">
        <v>55</v>
      </c>
      <c r="E2236">
        <v>7</v>
      </c>
      <c r="F2236" s="3">
        <v>9.06</v>
      </c>
      <c r="G2236" t="s">
        <v>27</v>
      </c>
      <c r="H2236">
        <v>43</v>
      </c>
      <c r="I2236" t="s">
        <v>28</v>
      </c>
      <c r="J2236" s="4">
        <v>66.7</v>
      </c>
      <c r="K2236" s="4">
        <v>176.8</v>
      </c>
      <c r="L2236" s="4">
        <v>27.8</v>
      </c>
      <c r="M2236">
        <v>14</v>
      </c>
      <c r="N2236" t="s">
        <v>47</v>
      </c>
      <c r="O2236">
        <v>2</v>
      </c>
      <c r="P2236" s="4">
        <v>66.8</v>
      </c>
      <c r="Q2236" t="s">
        <v>42</v>
      </c>
      <c r="R2236">
        <v>0</v>
      </c>
      <c r="S2236" t="s">
        <v>31</v>
      </c>
      <c r="T2236">
        <v>1</v>
      </c>
      <c r="U2236">
        <v>0</v>
      </c>
      <c r="V2236" t="s">
        <v>45</v>
      </c>
      <c r="W2236" t="s">
        <v>57</v>
      </c>
      <c r="X2236" s="4">
        <v>7</v>
      </c>
      <c r="Y2236">
        <v>9</v>
      </c>
      <c r="Z2236" s="5">
        <v>218.54</v>
      </c>
    </row>
    <row r="2237" spans="1:26">
      <c r="A2237">
        <v>2236</v>
      </c>
      <c r="B2237">
        <v>739</v>
      </c>
      <c r="C2237" s="2">
        <v>46055</v>
      </c>
      <c r="D2237" t="s">
        <v>46</v>
      </c>
      <c r="E2237">
        <v>2</v>
      </c>
      <c r="F2237" s="3">
        <v>12.07</v>
      </c>
      <c r="G2237" t="s">
        <v>36</v>
      </c>
      <c r="H2237">
        <v>23</v>
      </c>
      <c r="I2237" t="s">
        <v>28</v>
      </c>
      <c r="J2237" s="4">
        <v>68.400000000000006</v>
      </c>
      <c r="K2237" s="4">
        <v>140.4</v>
      </c>
      <c r="L2237" s="4">
        <v>21.1</v>
      </c>
      <c r="M2237">
        <v>14</v>
      </c>
      <c r="N2237" t="s">
        <v>29</v>
      </c>
      <c r="O2237">
        <v>5</v>
      </c>
      <c r="P2237" s="4">
        <v>2418.3000000000002</v>
      </c>
      <c r="Q2237" t="s">
        <v>42</v>
      </c>
      <c r="R2237">
        <v>1</v>
      </c>
      <c r="S2237" t="s">
        <v>44</v>
      </c>
      <c r="T2237">
        <v>1</v>
      </c>
      <c r="U2237">
        <v>0</v>
      </c>
      <c r="V2237" t="s">
        <v>32</v>
      </c>
      <c r="W2237" t="s">
        <v>39</v>
      </c>
      <c r="X2237" s="4">
        <v>8</v>
      </c>
      <c r="Y2237">
        <v>0</v>
      </c>
      <c r="Z2237" s="5">
        <v>250.59</v>
      </c>
    </row>
    <row r="2238" spans="1:26">
      <c r="A2238">
        <v>2237</v>
      </c>
      <c r="B2238">
        <v>739</v>
      </c>
      <c r="C2238" s="2">
        <v>46055</v>
      </c>
      <c r="D2238" t="s">
        <v>46</v>
      </c>
      <c r="E2238">
        <v>2</v>
      </c>
      <c r="F2238" s="3">
        <v>12.06</v>
      </c>
      <c r="G2238" t="s">
        <v>36</v>
      </c>
      <c r="H2238">
        <v>53</v>
      </c>
      <c r="I2238" t="s">
        <v>28</v>
      </c>
      <c r="J2238" s="4">
        <v>63</v>
      </c>
      <c r="K2238" s="4">
        <v>142.4</v>
      </c>
      <c r="L2238" s="4">
        <v>25.3</v>
      </c>
      <c r="M2238">
        <v>16</v>
      </c>
      <c r="N2238" t="s">
        <v>29</v>
      </c>
      <c r="O2238">
        <v>5</v>
      </c>
      <c r="P2238" s="4">
        <v>2418.3000000000002</v>
      </c>
      <c r="Q2238" t="s">
        <v>42</v>
      </c>
      <c r="R2238">
        <v>1</v>
      </c>
      <c r="S2238" t="s">
        <v>44</v>
      </c>
      <c r="T2238">
        <v>1</v>
      </c>
      <c r="U2238">
        <v>0</v>
      </c>
      <c r="V2238" t="s">
        <v>32</v>
      </c>
      <c r="W2238" t="s">
        <v>39</v>
      </c>
      <c r="X2238" s="4">
        <v>8.5</v>
      </c>
      <c r="Y2238">
        <v>11</v>
      </c>
      <c r="Z2238" s="5">
        <v>312.04000000000002</v>
      </c>
    </row>
    <row r="2239" spans="1:26">
      <c r="A2239">
        <v>2238</v>
      </c>
      <c r="B2239">
        <v>739</v>
      </c>
      <c r="C2239" s="2">
        <v>46055</v>
      </c>
      <c r="D2239" t="s">
        <v>46</v>
      </c>
      <c r="E2239">
        <v>2</v>
      </c>
      <c r="F2239" s="3">
        <v>12.08</v>
      </c>
      <c r="G2239" t="s">
        <v>36</v>
      </c>
      <c r="H2239">
        <v>36</v>
      </c>
      <c r="I2239" t="s">
        <v>28</v>
      </c>
      <c r="J2239" s="4">
        <v>71.8</v>
      </c>
      <c r="K2239" s="4">
        <v>143.30000000000001</v>
      </c>
      <c r="L2239" s="4">
        <v>19.3</v>
      </c>
      <c r="M2239">
        <v>13</v>
      </c>
      <c r="N2239" t="s">
        <v>29</v>
      </c>
      <c r="O2239">
        <v>5</v>
      </c>
      <c r="P2239" s="4">
        <v>2418.3000000000002</v>
      </c>
      <c r="Q2239" t="s">
        <v>42</v>
      </c>
      <c r="R2239">
        <v>1</v>
      </c>
      <c r="S2239" t="s">
        <v>44</v>
      </c>
      <c r="T2239">
        <v>1</v>
      </c>
      <c r="U2239">
        <v>0</v>
      </c>
      <c r="V2239" t="s">
        <v>32</v>
      </c>
      <c r="W2239" t="s">
        <v>39</v>
      </c>
      <c r="X2239" s="4">
        <v>4.5999999999999996</v>
      </c>
      <c r="Y2239">
        <v>6</v>
      </c>
      <c r="Z2239" s="5">
        <v>138.4</v>
      </c>
    </row>
    <row r="2240" spans="1:26">
      <c r="A2240">
        <v>2239</v>
      </c>
      <c r="B2240">
        <v>739</v>
      </c>
      <c r="C2240" s="2">
        <v>46055</v>
      </c>
      <c r="D2240" t="s">
        <v>46</v>
      </c>
      <c r="E2240">
        <v>2</v>
      </c>
      <c r="F2240" s="3">
        <v>12.26</v>
      </c>
      <c r="G2240" t="s">
        <v>36</v>
      </c>
      <c r="H2240">
        <v>69</v>
      </c>
      <c r="I2240" t="s">
        <v>28</v>
      </c>
      <c r="J2240" s="4">
        <v>66.8</v>
      </c>
      <c r="K2240" s="4">
        <v>186.5</v>
      </c>
      <c r="L2240" s="4">
        <v>29.4</v>
      </c>
      <c r="M2240">
        <v>17</v>
      </c>
      <c r="N2240" t="s">
        <v>29</v>
      </c>
      <c r="O2240">
        <v>5</v>
      </c>
      <c r="P2240" s="4">
        <v>2418.3000000000002</v>
      </c>
      <c r="Q2240" t="s">
        <v>42</v>
      </c>
      <c r="R2240">
        <v>1</v>
      </c>
      <c r="S2240" t="s">
        <v>44</v>
      </c>
      <c r="T2240">
        <v>1</v>
      </c>
      <c r="U2240">
        <v>0</v>
      </c>
      <c r="V2240" t="s">
        <v>32</v>
      </c>
      <c r="W2240" t="s">
        <v>39</v>
      </c>
      <c r="X2240" s="4">
        <v>5.5</v>
      </c>
      <c r="Y2240">
        <v>6</v>
      </c>
      <c r="Z2240" s="5">
        <v>159.86000000000001</v>
      </c>
    </row>
    <row r="2241" spans="1:26">
      <c r="A2241">
        <v>2240</v>
      </c>
      <c r="B2241">
        <v>739</v>
      </c>
      <c r="C2241" s="2">
        <v>46055</v>
      </c>
      <c r="D2241" t="s">
        <v>46</v>
      </c>
      <c r="E2241">
        <v>2</v>
      </c>
      <c r="F2241" s="3">
        <v>12.04</v>
      </c>
      <c r="G2241" t="s">
        <v>36</v>
      </c>
      <c r="H2241">
        <v>66</v>
      </c>
      <c r="I2241" t="s">
        <v>28</v>
      </c>
      <c r="J2241" s="4">
        <v>66.900000000000006</v>
      </c>
      <c r="K2241" s="4">
        <v>210.2</v>
      </c>
      <c r="L2241" s="4">
        <v>33</v>
      </c>
      <c r="M2241">
        <v>12</v>
      </c>
      <c r="N2241" t="s">
        <v>29</v>
      </c>
      <c r="O2241">
        <v>5</v>
      </c>
      <c r="P2241" s="4">
        <v>2418.3000000000002</v>
      </c>
      <c r="Q2241" t="s">
        <v>42</v>
      </c>
      <c r="R2241">
        <v>1</v>
      </c>
      <c r="S2241" t="s">
        <v>44</v>
      </c>
      <c r="T2241">
        <v>1</v>
      </c>
      <c r="U2241">
        <v>0</v>
      </c>
      <c r="V2241" t="s">
        <v>32</v>
      </c>
      <c r="W2241" t="s">
        <v>39</v>
      </c>
      <c r="X2241" s="4">
        <v>8.1</v>
      </c>
      <c r="Y2241">
        <v>10</v>
      </c>
      <c r="Z2241" s="5">
        <v>168.78</v>
      </c>
    </row>
    <row r="2242" spans="1:26">
      <c r="A2242">
        <v>2241</v>
      </c>
      <c r="B2242">
        <v>740</v>
      </c>
      <c r="C2242" s="2">
        <v>46034</v>
      </c>
      <c r="D2242" t="s">
        <v>46</v>
      </c>
      <c r="E2242">
        <v>1</v>
      </c>
      <c r="F2242" s="3">
        <v>8.42</v>
      </c>
      <c r="G2242" t="s">
        <v>27</v>
      </c>
      <c r="H2242">
        <v>59</v>
      </c>
      <c r="I2242" t="s">
        <v>34</v>
      </c>
      <c r="J2242" s="4">
        <v>60.9</v>
      </c>
      <c r="K2242" s="4">
        <v>145.1</v>
      </c>
      <c r="L2242" s="4">
        <v>27.3</v>
      </c>
      <c r="M2242">
        <v>15</v>
      </c>
      <c r="N2242" t="s">
        <v>53</v>
      </c>
      <c r="O2242">
        <v>3</v>
      </c>
      <c r="P2242" s="4">
        <v>736.5</v>
      </c>
      <c r="Q2242" t="s">
        <v>48</v>
      </c>
      <c r="R2242">
        <v>1</v>
      </c>
      <c r="S2242" t="s">
        <v>44</v>
      </c>
      <c r="T2242">
        <v>0</v>
      </c>
      <c r="U2242">
        <v>0</v>
      </c>
      <c r="V2242" t="s">
        <v>32</v>
      </c>
      <c r="W2242" t="s">
        <v>57</v>
      </c>
      <c r="X2242" s="4">
        <v>9.1</v>
      </c>
      <c r="Y2242">
        <v>6</v>
      </c>
      <c r="Z2242" s="5">
        <v>242.25</v>
      </c>
    </row>
    <row r="2243" spans="1:26">
      <c r="A2243">
        <v>2242</v>
      </c>
      <c r="B2243">
        <v>740</v>
      </c>
      <c r="C2243" s="2">
        <v>46034</v>
      </c>
      <c r="D2243" t="s">
        <v>46</v>
      </c>
      <c r="E2243">
        <v>1</v>
      </c>
      <c r="F2243" s="3">
        <v>8.44</v>
      </c>
      <c r="G2243" t="s">
        <v>27</v>
      </c>
      <c r="H2243">
        <v>23</v>
      </c>
      <c r="I2243" t="s">
        <v>34</v>
      </c>
      <c r="J2243" s="4">
        <v>62.4</v>
      </c>
      <c r="K2243" s="4">
        <v>146.19999999999999</v>
      </c>
      <c r="L2243" s="4">
        <v>26.4</v>
      </c>
      <c r="M2243">
        <v>18</v>
      </c>
      <c r="N2243" t="s">
        <v>53</v>
      </c>
      <c r="O2243">
        <v>3</v>
      </c>
      <c r="P2243" s="4">
        <v>736.5</v>
      </c>
      <c r="Q2243" t="s">
        <v>48</v>
      </c>
      <c r="R2243">
        <v>1</v>
      </c>
      <c r="S2243" t="s">
        <v>44</v>
      </c>
      <c r="T2243">
        <v>0</v>
      </c>
      <c r="U2243">
        <v>0</v>
      </c>
      <c r="V2243" t="s">
        <v>32</v>
      </c>
      <c r="W2243" t="s">
        <v>57</v>
      </c>
      <c r="X2243" s="4">
        <v>6.9</v>
      </c>
      <c r="Y2243">
        <v>9</v>
      </c>
      <c r="Z2243" s="5">
        <v>286.85000000000002</v>
      </c>
    </row>
    <row r="2244" spans="1:26">
      <c r="A2244">
        <v>2243</v>
      </c>
      <c r="B2244">
        <v>740</v>
      </c>
      <c r="C2244" s="2">
        <v>46034</v>
      </c>
      <c r="D2244" t="s">
        <v>46</v>
      </c>
      <c r="E2244">
        <v>1</v>
      </c>
      <c r="F2244" s="3">
        <v>8.51</v>
      </c>
      <c r="G2244" t="s">
        <v>27</v>
      </c>
      <c r="H2244">
        <v>63</v>
      </c>
      <c r="I2244" t="s">
        <v>34</v>
      </c>
      <c r="J2244" s="4">
        <v>66.3</v>
      </c>
      <c r="K2244" s="4">
        <v>167.1</v>
      </c>
      <c r="L2244" s="4">
        <v>26.8</v>
      </c>
      <c r="M2244">
        <v>19</v>
      </c>
      <c r="N2244" t="s">
        <v>53</v>
      </c>
      <c r="O2244">
        <v>3</v>
      </c>
      <c r="P2244" s="4">
        <v>736.5</v>
      </c>
      <c r="Q2244" t="s">
        <v>48</v>
      </c>
      <c r="R2244">
        <v>1</v>
      </c>
      <c r="S2244" t="s">
        <v>44</v>
      </c>
      <c r="T2244">
        <v>0</v>
      </c>
      <c r="U2244">
        <v>0</v>
      </c>
      <c r="V2244" t="s">
        <v>32</v>
      </c>
      <c r="W2244" t="s">
        <v>57</v>
      </c>
      <c r="X2244" s="4">
        <v>8</v>
      </c>
      <c r="Y2244">
        <v>5</v>
      </c>
      <c r="Z2244" s="5">
        <v>217.66</v>
      </c>
    </row>
    <row r="2245" spans="1:26">
      <c r="A2245">
        <v>2244</v>
      </c>
      <c r="B2245">
        <v>741</v>
      </c>
      <c r="C2245" s="2">
        <v>46314</v>
      </c>
      <c r="D2245" t="s">
        <v>46</v>
      </c>
      <c r="E2245">
        <v>10</v>
      </c>
      <c r="F2245" s="3">
        <v>10.220000000000001</v>
      </c>
      <c r="G2245" t="s">
        <v>27</v>
      </c>
      <c r="H2245">
        <v>31</v>
      </c>
      <c r="I2245" t="s">
        <v>28</v>
      </c>
      <c r="J2245" s="4">
        <v>65.5</v>
      </c>
      <c r="K2245" s="4">
        <v>108.4</v>
      </c>
      <c r="L2245" s="4">
        <v>17.8</v>
      </c>
      <c r="M2245">
        <v>15</v>
      </c>
      <c r="N2245" t="s">
        <v>69</v>
      </c>
      <c r="O2245">
        <v>5</v>
      </c>
      <c r="P2245" s="4">
        <v>2306.1</v>
      </c>
      <c r="Q2245" t="s">
        <v>42</v>
      </c>
      <c r="R2245">
        <v>0</v>
      </c>
      <c r="S2245" t="s">
        <v>44</v>
      </c>
      <c r="T2245">
        <v>0</v>
      </c>
      <c r="U2245">
        <v>0</v>
      </c>
      <c r="V2245" t="s">
        <v>32</v>
      </c>
      <c r="W2245" t="s">
        <v>49</v>
      </c>
      <c r="X2245" s="4">
        <v>8.4</v>
      </c>
      <c r="Y2245">
        <v>8</v>
      </c>
      <c r="Z2245" s="5">
        <v>235.39</v>
      </c>
    </row>
    <row r="2246" spans="1:26">
      <c r="A2246">
        <v>2245</v>
      </c>
      <c r="B2246">
        <v>741</v>
      </c>
      <c r="C2246" s="2">
        <v>46314</v>
      </c>
      <c r="D2246" t="s">
        <v>46</v>
      </c>
      <c r="E2246">
        <v>10</v>
      </c>
      <c r="F2246" s="3">
        <v>9.89</v>
      </c>
      <c r="G2246" t="s">
        <v>27</v>
      </c>
      <c r="H2246">
        <v>63</v>
      </c>
      <c r="I2246" t="s">
        <v>28</v>
      </c>
      <c r="J2246" s="4">
        <v>69.599999999999994</v>
      </c>
      <c r="K2246" s="4">
        <v>228.5</v>
      </c>
      <c r="L2246" s="4">
        <v>33.4</v>
      </c>
      <c r="M2246">
        <v>15</v>
      </c>
      <c r="N2246" t="s">
        <v>69</v>
      </c>
      <c r="O2246">
        <v>5</v>
      </c>
      <c r="P2246" s="4">
        <v>2306.1</v>
      </c>
      <c r="Q2246" t="s">
        <v>42</v>
      </c>
      <c r="R2246">
        <v>0</v>
      </c>
      <c r="S2246" t="s">
        <v>44</v>
      </c>
      <c r="T2246">
        <v>0</v>
      </c>
      <c r="U2246">
        <v>0</v>
      </c>
      <c r="V2246" t="s">
        <v>32</v>
      </c>
      <c r="W2246" t="s">
        <v>49</v>
      </c>
      <c r="X2246" s="4">
        <v>10.3</v>
      </c>
      <c r="Y2246">
        <v>4</v>
      </c>
      <c r="Z2246" s="5">
        <v>138.94</v>
      </c>
    </row>
    <row r="2247" spans="1:26">
      <c r="A2247">
        <v>2246</v>
      </c>
      <c r="B2247">
        <v>741</v>
      </c>
      <c r="C2247" s="2">
        <v>46314</v>
      </c>
      <c r="D2247" t="s">
        <v>46</v>
      </c>
      <c r="E2247">
        <v>10</v>
      </c>
      <c r="F2247" s="3">
        <v>10.039999999999999</v>
      </c>
      <c r="G2247" t="s">
        <v>27</v>
      </c>
      <c r="H2247">
        <v>48</v>
      </c>
      <c r="I2247" t="s">
        <v>28</v>
      </c>
      <c r="J2247" s="4">
        <v>66.599999999999994</v>
      </c>
      <c r="K2247" s="4">
        <v>239.6</v>
      </c>
      <c r="L2247" s="4">
        <v>38.1</v>
      </c>
      <c r="M2247">
        <v>14</v>
      </c>
      <c r="N2247" t="s">
        <v>69</v>
      </c>
      <c r="O2247">
        <v>5</v>
      </c>
      <c r="P2247" s="4">
        <v>2306.1</v>
      </c>
      <c r="Q2247" t="s">
        <v>42</v>
      </c>
      <c r="R2247">
        <v>0</v>
      </c>
      <c r="S2247" t="s">
        <v>44</v>
      </c>
      <c r="T2247">
        <v>0</v>
      </c>
      <c r="U2247">
        <v>0</v>
      </c>
      <c r="V2247" t="s">
        <v>32</v>
      </c>
      <c r="W2247" t="s">
        <v>49</v>
      </c>
      <c r="X2247" s="4">
        <v>7.7</v>
      </c>
      <c r="Y2247">
        <v>9</v>
      </c>
      <c r="Z2247" s="5">
        <v>166.03</v>
      </c>
    </row>
    <row r="2248" spans="1:26">
      <c r="A2248">
        <v>2247</v>
      </c>
      <c r="B2248">
        <v>741</v>
      </c>
      <c r="C2248" s="2">
        <v>46314</v>
      </c>
      <c r="D2248" t="s">
        <v>46</v>
      </c>
      <c r="E2248">
        <v>10</v>
      </c>
      <c r="F2248" s="3">
        <v>9.9499999999999993</v>
      </c>
      <c r="G2248" t="s">
        <v>27</v>
      </c>
      <c r="H2248">
        <v>18</v>
      </c>
      <c r="I2248" t="s">
        <v>28</v>
      </c>
      <c r="J2248" s="4">
        <v>64.2</v>
      </c>
      <c r="K2248" s="4">
        <v>139.19999999999999</v>
      </c>
      <c r="L2248" s="4">
        <v>23.9</v>
      </c>
      <c r="M2248">
        <v>13</v>
      </c>
      <c r="N2248" t="s">
        <v>69</v>
      </c>
      <c r="O2248">
        <v>5</v>
      </c>
      <c r="P2248" s="4">
        <v>2306.1</v>
      </c>
      <c r="Q2248" t="s">
        <v>42</v>
      </c>
      <c r="R2248">
        <v>0</v>
      </c>
      <c r="S2248" t="s">
        <v>44</v>
      </c>
      <c r="T2248">
        <v>0</v>
      </c>
      <c r="U2248">
        <v>0</v>
      </c>
      <c r="V2248" t="s">
        <v>32</v>
      </c>
      <c r="W2248" t="s">
        <v>49</v>
      </c>
      <c r="X2248" s="4">
        <v>7</v>
      </c>
      <c r="Y2248">
        <v>4</v>
      </c>
      <c r="Z2248" s="5">
        <v>156.34</v>
      </c>
    </row>
    <row r="2249" spans="1:26">
      <c r="A2249">
        <v>2248</v>
      </c>
      <c r="B2249">
        <v>741</v>
      </c>
      <c r="C2249" s="2">
        <v>46314</v>
      </c>
      <c r="D2249" t="s">
        <v>46</v>
      </c>
      <c r="E2249">
        <v>10</v>
      </c>
      <c r="F2249" s="3">
        <v>9.86</v>
      </c>
      <c r="G2249" t="s">
        <v>27</v>
      </c>
      <c r="H2249">
        <v>3</v>
      </c>
      <c r="I2249" t="s">
        <v>28</v>
      </c>
      <c r="J2249" s="4">
        <v>55</v>
      </c>
      <c r="K2249" s="4">
        <v>85.6</v>
      </c>
      <c r="L2249" s="4">
        <v>19.899999999999999</v>
      </c>
      <c r="M2249">
        <v>12</v>
      </c>
      <c r="N2249" t="s">
        <v>69</v>
      </c>
      <c r="O2249">
        <v>5</v>
      </c>
      <c r="P2249" s="4">
        <v>2306.1</v>
      </c>
      <c r="Q2249" t="s">
        <v>42</v>
      </c>
      <c r="R2249">
        <v>0</v>
      </c>
      <c r="S2249" t="s">
        <v>44</v>
      </c>
      <c r="T2249">
        <v>0</v>
      </c>
      <c r="U2249">
        <v>0</v>
      </c>
      <c r="V2249" t="s">
        <v>32</v>
      </c>
      <c r="W2249" t="s">
        <v>49</v>
      </c>
      <c r="X2249" s="4">
        <v>8.1999999999999993</v>
      </c>
      <c r="Y2249">
        <v>13</v>
      </c>
      <c r="Z2249" s="5">
        <v>134.09</v>
      </c>
    </row>
    <row r="2250" spans="1:26">
      <c r="A2250">
        <v>2249</v>
      </c>
      <c r="B2250">
        <v>742</v>
      </c>
      <c r="C2250" s="2">
        <v>46131</v>
      </c>
      <c r="D2250" t="s">
        <v>58</v>
      </c>
      <c r="E2250">
        <v>4</v>
      </c>
      <c r="F2250" s="3">
        <v>12.48</v>
      </c>
      <c r="G2250" t="s">
        <v>36</v>
      </c>
      <c r="H2250">
        <v>5</v>
      </c>
      <c r="I2250" t="s">
        <v>28</v>
      </c>
      <c r="J2250" s="4">
        <v>51.9</v>
      </c>
      <c r="K2250" s="4">
        <v>85.9</v>
      </c>
      <c r="L2250" s="4">
        <v>22.7</v>
      </c>
      <c r="M2250">
        <v>11</v>
      </c>
      <c r="N2250" t="s">
        <v>53</v>
      </c>
      <c r="O2250">
        <v>3</v>
      </c>
      <c r="P2250" s="4">
        <v>723.6</v>
      </c>
      <c r="Q2250" t="s">
        <v>30</v>
      </c>
      <c r="R2250">
        <v>1</v>
      </c>
      <c r="S2250" t="s">
        <v>44</v>
      </c>
      <c r="T2250">
        <v>0</v>
      </c>
      <c r="U2250">
        <v>0</v>
      </c>
      <c r="V2250" t="s">
        <v>32</v>
      </c>
      <c r="W2250" t="s">
        <v>49</v>
      </c>
      <c r="X2250" s="4">
        <v>6.4</v>
      </c>
      <c r="Y2250">
        <v>9</v>
      </c>
      <c r="Z2250" s="5">
        <v>233.57</v>
      </c>
    </row>
    <row r="2251" spans="1:26">
      <c r="A2251">
        <v>2250</v>
      </c>
      <c r="B2251">
        <v>742</v>
      </c>
      <c r="C2251" s="2">
        <v>46131</v>
      </c>
      <c r="D2251" t="s">
        <v>58</v>
      </c>
      <c r="E2251">
        <v>4</v>
      </c>
      <c r="F2251" s="3">
        <v>12.51</v>
      </c>
      <c r="G2251" t="s">
        <v>36</v>
      </c>
      <c r="H2251">
        <v>37</v>
      </c>
      <c r="I2251" t="s">
        <v>28</v>
      </c>
      <c r="J2251" s="4">
        <v>66.900000000000006</v>
      </c>
      <c r="K2251" s="4">
        <v>219.5</v>
      </c>
      <c r="L2251" s="4">
        <v>34.4</v>
      </c>
      <c r="M2251">
        <v>16</v>
      </c>
      <c r="N2251" t="s">
        <v>53</v>
      </c>
      <c r="O2251">
        <v>3</v>
      </c>
      <c r="P2251" s="4">
        <v>723.6</v>
      </c>
      <c r="Q2251" t="s">
        <v>30</v>
      </c>
      <c r="R2251">
        <v>1</v>
      </c>
      <c r="S2251" t="s">
        <v>44</v>
      </c>
      <c r="T2251">
        <v>0</v>
      </c>
      <c r="U2251">
        <v>0</v>
      </c>
      <c r="V2251" t="s">
        <v>32</v>
      </c>
      <c r="W2251" t="s">
        <v>49</v>
      </c>
      <c r="X2251" s="4">
        <v>8.8000000000000007</v>
      </c>
      <c r="Y2251">
        <v>8</v>
      </c>
      <c r="Z2251" s="5">
        <v>272.24</v>
      </c>
    </row>
    <row r="2252" spans="1:26">
      <c r="A2252">
        <v>2251</v>
      </c>
      <c r="B2252">
        <v>742</v>
      </c>
      <c r="C2252" s="2">
        <v>46131</v>
      </c>
      <c r="D2252" t="s">
        <v>58</v>
      </c>
      <c r="E2252">
        <v>4</v>
      </c>
      <c r="F2252" s="3">
        <v>12.67</v>
      </c>
      <c r="G2252" t="s">
        <v>36</v>
      </c>
      <c r="H2252">
        <v>36</v>
      </c>
      <c r="I2252" t="s">
        <v>34</v>
      </c>
      <c r="J2252" s="4">
        <v>62.5</v>
      </c>
      <c r="K2252" s="4">
        <v>144.5</v>
      </c>
      <c r="L2252" s="4">
        <v>26.1</v>
      </c>
      <c r="M2252">
        <v>14</v>
      </c>
      <c r="N2252" t="s">
        <v>53</v>
      </c>
      <c r="O2252">
        <v>3</v>
      </c>
      <c r="P2252" s="4">
        <v>723.6</v>
      </c>
      <c r="Q2252" t="s">
        <v>30</v>
      </c>
      <c r="R2252">
        <v>1</v>
      </c>
      <c r="S2252" t="s">
        <v>44</v>
      </c>
      <c r="T2252">
        <v>0</v>
      </c>
      <c r="U2252">
        <v>0</v>
      </c>
      <c r="V2252" t="s">
        <v>32</v>
      </c>
      <c r="W2252" t="s">
        <v>49</v>
      </c>
      <c r="X2252" s="4">
        <v>6.8</v>
      </c>
      <c r="Y2252">
        <v>9</v>
      </c>
      <c r="Z2252" s="5">
        <v>246.31</v>
      </c>
    </row>
    <row r="2253" spans="1:26">
      <c r="A2253">
        <v>2252</v>
      </c>
      <c r="B2253">
        <v>743</v>
      </c>
      <c r="C2253" s="2">
        <v>46068</v>
      </c>
      <c r="D2253" t="s">
        <v>58</v>
      </c>
      <c r="E2253">
        <v>2</v>
      </c>
      <c r="F2253" s="3">
        <v>11.17</v>
      </c>
      <c r="G2253" t="s">
        <v>36</v>
      </c>
      <c r="H2253">
        <v>6</v>
      </c>
      <c r="I2253" t="s">
        <v>34</v>
      </c>
      <c r="J2253" s="4">
        <v>62.8</v>
      </c>
      <c r="K2253" s="4">
        <v>91.2</v>
      </c>
      <c r="L2253" s="4">
        <v>16.100000000000001</v>
      </c>
      <c r="M2253">
        <v>14</v>
      </c>
      <c r="N2253" t="s">
        <v>47</v>
      </c>
      <c r="O2253">
        <v>4</v>
      </c>
      <c r="P2253" s="4">
        <v>2</v>
      </c>
      <c r="Q2253" t="s">
        <v>48</v>
      </c>
      <c r="R2253">
        <v>0</v>
      </c>
      <c r="S2253" t="s">
        <v>31</v>
      </c>
      <c r="T2253">
        <v>1</v>
      </c>
      <c r="U2253">
        <v>1</v>
      </c>
      <c r="V2253" t="s">
        <v>32</v>
      </c>
      <c r="W2253" t="s">
        <v>33</v>
      </c>
      <c r="X2253" s="4">
        <v>6.3</v>
      </c>
      <c r="Y2253">
        <v>8</v>
      </c>
      <c r="Z2253" s="5">
        <v>219.51</v>
      </c>
    </row>
    <row r="2254" spans="1:26">
      <c r="A2254">
        <v>2253</v>
      </c>
      <c r="B2254">
        <v>743</v>
      </c>
      <c r="C2254" s="2">
        <v>46068</v>
      </c>
      <c r="D2254" t="s">
        <v>58</v>
      </c>
      <c r="E2254">
        <v>2</v>
      </c>
      <c r="F2254" s="3">
        <v>10.96</v>
      </c>
      <c r="G2254" t="s">
        <v>27</v>
      </c>
      <c r="H2254">
        <v>38</v>
      </c>
      <c r="I2254" t="s">
        <v>34</v>
      </c>
      <c r="J2254" s="4">
        <v>62.2</v>
      </c>
      <c r="K2254" s="4">
        <v>138.1</v>
      </c>
      <c r="L2254" s="4">
        <v>25.1</v>
      </c>
      <c r="M2254">
        <v>18</v>
      </c>
      <c r="N2254" t="s">
        <v>47</v>
      </c>
      <c r="O2254">
        <v>4</v>
      </c>
      <c r="P2254" s="4">
        <v>2</v>
      </c>
      <c r="Q2254" t="s">
        <v>48</v>
      </c>
      <c r="R2254">
        <v>0</v>
      </c>
      <c r="S2254" t="s">
        <v>31</v>
      </c>
      <c r="T2254">
        <v>1</v>
      </c>
      <c r="U2254">
        <v>1</v>
      </c>
      <c r="V2254" t="s">
        <v>32</v>
      </c>
      <c r="W2254" t="s">
        <v>33</v>
      </c>
      <c r="X2254" s="4">
        <v>8.6</v>
      </c>
      <c r="Y2254">
        <v>5</v>
      </c>
      <c r="Z2254" s="5">
        <v>294.87</v>
      </c>
    </row>
    <row r="2255" spans="1:26">
      <c r="A2255">
        <v>2254</v>
      </c>
      <c r="B2255">
        <v>743</v>
      </c>
      <c r="C2255" s="2">
        <v>46068</v>
      </c>
      <c r="D2255" t="s">
        <v>58</v>
      </c>
      <c r="E2255">
        <v>2</v>
      </c>
      <c r="F2255" s="3">
        <v>10.94</v>
      </c>
      <c r="G2255" t="s">
        <v>27</v>
      </c>
      <c r="H2255">
        <v>66</v>
      </c>
      <c r="I2255" t="s">
        <v>34</v>
      </c>
      <c r="J2255" s="4">
        <v>68.599999999999994</v>
      </c>
      <c r="K2255" s="4">
        <v>185.1</v>
      </c>
      <c r="L2255" s="4">
        <v>27.3</v>
      </c>
      <c r="M2255">
        <v>19</v>
      </c>
      <c r="N2255" t="s">
        <v>47</v>
      </c>
      <c r="O2255">
        <v>4</v>
      </c>
      <c r="P2255" s="4">
        <v>2</v>
      </c>
      <c r="Q2255" t="s">
        <v>48</v>
      </c>
      <c r="R2255">
        <v>0</v>
      </c>
      <c r="S2255" t="s">
        <v>31</v>
      </c>
      <c r="T2255">
        <v>1</v>
      </c>
      <c r="U2255">
        <v>1</v>
      </c>
      <c r="V2255" t="s">
        <v>32</v>
      </c>
      <c r="W2255" t="s">
        <v>33</v>
      </c>
      <c r="X2255" s="4">
        <v>9.3000000000000007</v>
      </c>
      <c r="Y2255">
        <v>11</v>
      </c>
      <c r="Z2255" s="5">
        <v>231.53</v>
      </c>
    </row>
    <row r="2256" spans="1:26">
      <c r="A2256">
        <v>2255</v>
      </c>
      <c r="B2256">
        <v>743</v>
      </c>
      <c r="C2256" s="2">
        <v>46068</v>
      </c>
      <c r="D2256" t="s">
        <v>58</v>
      </c>
      <c r="E2256">
        <v>2</v>
      </c>
      <c r="F2256" s="3">
        <v>11.08</v>
      </c>
      <c r="G2256" t="s">
        <v>36</v>
      </c>
      <c r="H2256">
        <v>68</v>
      </c>
      <c r="I2256" t="s">
        <v>34</v>
      </c>
      <c r="J2256" s="4">
        <v>65.8</v>
      </c>
      <c r="K2256" s="4">
        <v>125.9</v>
      </c>
      <c r="L2256" s="4">
        <v>20.6</v>
      </c>
      <c r="M2256">
        <v>18</v>
      </c>
      <c r="N2256" t="s">
        <v>47</v>
      </c>
      <c r="O2256">
        <v>4</v>
      </c>
      <c r="P2256" s="4">
        <v>2</v>
      </c>
      <c r="Q2256" t="s">
        <v>48</v>
      </c>
      <c r="R2256">
        <v>0</v>
      </c>
      <c r="S2256" t="s">
        <v>31</v>
      </c>
      <c r="T2256">
        <v>1</v>
      </c>
      <c r="U2256">
        <v>1</v>
      </c>
      <c r="V2256" t="s">
        <v>32</v>
      </c>
      <c r="W2256" t="s">
        <v>33</v>
      </c>
      <c r="X2256" s="4">
        <v>7.4</v>
      </c>
      <c r="Y2256">
        <v>7</v>
      </c>
      <c r="Z2256" s="5">
        <v>388.45</v>
      </c>
    </row>
    <row r="2257" spans="1:26">
      <c r="A2257">
        <v>2256</v>
      </c>
      <c r="B2257">
        <v>744</v>
      </c>
      <c r="C2257" s="2">
        <v>46101</v>
      </c>
      <c r="D2257" t="s">
        <v>26</v>
      </c>
      <c r="E2257">
        <v>3</v>
      </c>
      <c r="F2257" s="3">
        <v>11.35</v>
      </c>
      <c r="G2257" t="s">
        <v>36</v>
      </c>
      <c r="H2257">
        <v>65</v>
      </c>
      <c r="I2257" t="s">
        <v>34</v>
      </c>
      <c r="J2257" s="4">
        <v>64</v>
      </c>
      <c r="K2257" s="4">
        <v>175.2</v>
      </c>
      <c r="L2257" s="4">
        <v>30.2</v>
      </c>
      <c r="M2257">
        <v>17</v>
      </c>
      <c r="N2257" t="s">
        <v>53</v>
      </c>
      <c r="O2257">
        <v>4</v>
      </c>
      <c r="P2257" s="4">
        <v>969.4</v>
      </c>
      <c r="Q2257" t="s">
        <v>42</v>
      </c>
      <c r="R2257">
        <v>1</v>
      </c>
      <c r="S2257" t="s">
        <v>38</v>
      </c>
      <c r="T2257">
        <v>1</v>
      </c>
      <c r="U2257">
        <v>0</v>
      </c>
      <c r="V2257" t="s">
        <v>32</v>
      </c>
      <c r="W2257" t="s">
        <v>39</v>
      </c>
      <c r="X2257" s="4">
        <v>6.4</v>
      </c>
      <c r="Y2257">
        <v>4</v>
      </c>
      <c r="Z2257" s="5">
        <v>110.64</v>
      </c>
    </row>
    <row r="2258" spans="1:26">
      <c r="A2258">
        <v>2257</v>
      </c>
      <c r="B2258">
        <v>744</v>
      </c>
      <c r="C2258" s="2">
        <v>46101</v>
      </c>
      <c r="D2258" t="s">
        <v>26</v>
      </c>
      <c r="E2258">
        <v>3</v>
      </c>
      <c r="F2258" s="3">
        <v>11.18</v>
      </c>
      <c r="G2258" t="s">
        <v>36</v>
      </c>
      <c r="H2258">
        <v>38</v>
      </c>
      <c r="I2258" t="s">
        <v>28</v>
      </c>
      <c r="J2258" s="4">
        <v>68</v>
      </c>
      <c r="K2258" s="4">
        <v>175</v>
      </c>
      <c r="L2258" s="4">
        <v>26.6</v>
      </c>
      <c r="M2258">
        <v>16</v>
      </c>
      <c r="N2258" t="s">
        <v>53</v>
      </c>
      <c r="O2258">
        <v>4</v>
      </c>
      <c r="P2258" s="4">
        <v>969.4</v>
      </c>
      <c r="Q2258" t="s">
        <v>42</v>
      </c>
      <c r="R2258">
        <v>1</v>
      </c>
      <c r="S2258" t="s">
        <v>38</v>
      </c>
      <c r="T2258">
        <v>1</v>
      </c>
      <c r="U2258">
        <v>0</v>
      </c>
      <c r="V2258" t="s">
        <v>32</v>
      </c>
      <c r="W2258" t="s">
        <v>39</v>
      </c>
      <c r="X2258" s="4">
        <v>8.9</v>
      </c>
      <c r="Y2258">
        <v>5</v>
      </c>
      <c r="Z2258" s="5">
        <v>142.9</v>
      </c>
    </row>
    <row r="2259" spans="1:26">
      <c r="A2259">
        <v>2258</v>
      </c>
      <c r="B2259">
        <v>744</v>
      </c>
      <c r="C2259" s="2">
        <v>46101</v>
      </c>
      <c r="D2259" t="s">
        <v>26</v>
      </c>
      <c r="E2259">
        <v>3</v>
      </c>
      <c r="F2259" s="3">
        <v>11.32</v>
      </c>
      <c r="G2259" t="s">
        <v>36</v>
      </c>
      <c r="H2259">
        <v>27</v>
      </c>
      <c r="I2259" t="s">
        <v>28</v>
      </c>
      <c r="J2259" s="4">
        <v>66</v>
      </c>
      <c r="K2259" s="4">
        <v>137.1</v>
      </c>
      <c r="L2259" s="4">
        <v>21.9</v>
      </c>
      <c r="M2259">
        <v>11</v>
      </c>
      <c r="N2259" t="s">
        <v>53</v>
      </c>
      <c r="O2259">
        <v>4</v>
      </c>
      <c r="P2259" s="4">
        <v>969.4</v>
      </c>
      <c r="Q2259" t="s">
        <v>42</v>
      </c>
      <c r="R2259">
        <v>1</v>
      </c>
      <c r="S2259" t="s">
        <v>38</v>
      </c>
      <c r="T2259">
        <v>1</v>
      </c>
      <c r="U2259">
        <v>0</v>
      </c>
      <c r="V2259" t="s">
        <v>32</v>
      </c>
      <c r="W2259" t="s">
        <v>39</v>
      </c>
      <c r="X2259" s="4">
        <v>7.4</v>
      </c>
      <c r="Y2259">
        <v>4</v>
      </c>
      <c r="Z2259" s="5">
        <v>90.59</v>
      </c>
    </row>
    <row r="2260" spans="1:26">
      <c r="A2260">
        <v>2259</v>
      </c>
      <c r="B2260">
        <v>744</v>
      </c>
      <c r="C2260" s="2">
        <v>46101</v>
      </c>
      <c r="D2260" t="s">
        <v>26</v>
      </c>
      <c r="E2260">
        <v>3</v>
      </c>
      <c r="F2260" s="3">
        <v>11.43</v>
      </c>
      <c r="G2260" t="s">
        <v>36</v>
      </c>
      <c r="H2260">
        <v>36</v>
      </c>
      <c r="I2260" t="s">
        <v>34</v>
      </c>
      <c r="J2260" s="4">
        <v>69.599999999999994</v>
      </c>
      <c r="K2260" s="4">
        <v>171.4</v>
      </c>
      <c r="L2260" s="4">
        <v>24.9</v>
      </c>
      <c r="M2260">
        <v>14</v>
      </c>
      <c r="N2260" t="s">
        <v>53</v>
      </c>
      <c r="O2260">
        <v>4</v>
      </c>
      <c r="P2260" s="4">
        <v>969.4</v>
      </c>
      <c r="Q2260" t="s">
        <v>42</v>
      </c>
      <c r="R2260">
        <v>1</v>
      </c>
      <c r="S2260" t="s">
        <v>38</v>
      </c>
      <c r="T2260">
        <v>1</v>
      </c>
      <c r="U2260">
        <v>0</v>
      </c>
      <c r="V2260" t="s">
        <v>32</v>
      </c>
      <c r="W2260" t="s">
        <v>39</v>
      </c>
      <c r="X2260" s="4">
        <v>6.3</v>
      </c>
      <c r="Y2260">
        <v>12</v>
      </c>
      <c r="Z2260" s="5">
        <v>152.88</v>
      </c>
    </row>
    <row r="2261" spans="1:26">
      <c r="A2261">
        <v>2260</v>
      </c>
      <c r="B2261">
        <v>745</v>
      </c>
      <c r="C2261" s="2">
        <v>46260</v>
      </c>
      <c r="D2261" t="s">
        <v>52</v>
      </c>
      <c r="E2261">
        <v>8</v>
      </c>
      <c r="F2261" s="3">
        <v>11.05</v>
      </c>
      <c r="G2261" t="s">
        <v>36</v>
      </c>
      <c r="H2261">
        <v>33</v>
      </c>
      <c r="I2261" t="s">
        <v>51</v>
      </c>
      <c r="J2261" s="4">
        <v>73</v>
      </c>
      <c r="K2261" s="4">
        <v>186.8</v>
      </c>
      <c r="L2261" s="4">
        <v>24.6</v>
      </c>
      <c r="M2261">
        <v>13</v>
      </c>
      <c r="N2261" t="s">
        <v>37</v>
      </c>
      <c r="O2261">
        <v>3</v>
      </c>
      <c r="P2261" s="4">
        <v>455.8</v>
      </c>
      <c r="Q2261" t="s">
        <v>42</v>
      </c>
      <c r="R2261">
        <v>1</v>
      </c>
      <c r="S2261" t="s">
        <v>31</v>
      </c>
      <c r="T2261">
        <v>1</v>
      </c>
      <c r="U2261">
        <v>0</v>
      </c>
      <c r="V2261" t="s">
        <v>64</v>
      </c>
      <c r="W2261" t="s">
        <v>49</v>
      </c>
      <c r="X2261" s="4">
        <v>9.5</v>
      </c>
      <c r="Y2261">
        <v>5</v>
      </c>
      <c r="Z2261" s="5">
        <v>240.14</v>
      </c>
    </row>
    <row r="2262" spans="1:26">
      <c r="A2262">
        <v>2261</v>
      </c>
      <c r="B2262">
        <v>745</v>
      </c>
      <c r="C2262" s="2">
        <v>46260</v>
      </c>
      <c r="D2262" t="s">
        <v>52</v>
      </c>
      <c r="E2262">
        <v>8</v>
      </c>
      <c r="F2262" s="3">
        <v>10.96</v>
      </c>
      <c r="G2262" t="s">
        <v>27</v>
      </c>
      <c r="H2262">
        <v>3</v>
      </c>
      <c r="I2262" t="s">
        <v>28</v>
      </c>
      <c r="J2262" s="4">
        <v>54.9</v>
      </c>
      <c r="K2262" s="4">
        <v>77.5</v>
      </c>
      <c r="L2262" s="4">
        <v>18.100000000000001</v>
      </c>
      <c r="M2262">
        <v>17</v>
      </c>
      <c r="N2262" t="s">
        <v>37</v>
      </c>
      <c r="O2262">
        <v>3</v>
      </c>
      <c r="P2262" s="4">
        <v>455.8</v>
      </c>
      <c r="Q2262" t="s">
        <v>42</v>
      </c>
      <c r="R2262">
        <v>1</v>
      </c>
      <c r="S2262" t="s">
        <v>31</v>
      </c>
      <c r="T2262">
        <v>1</v>
      </c>
      <c r="U2262">
        <v>0</v>
      </c>
      <c r="V2262" t="s">
        <v>64</v>
      </c>
      <c r="W2262" t="s">
        <v>49</v>
      </c>
      <c r="X2262" s="4">
        <v>8.3000000000000007</v>
      </c>
      <c r="Y2262">
        <v>10</v>
      </c>
      <c r="Z2262" s="5">
        <v>193.32</v>
      </c>
    </row>
    <row r="2263" spans="1:26">
      <c r="A2263">
        <v>2262</v>
      </c>
      <c r="B2263">
        <v>745</v>
      </c>
      <c r="C2263" s="2">
        <v>46260</v>
      </c>
      <c r="D2263" t="s">
        <v>52</v>
      </c>
      <c r="E2263">
        <v>8</v>
      </c>
      <c r="F2263" s="3">
        <v>10.88</v>
      </c>
      <c r="G2263" t="s">
        <v>27</v>
      </c>
      <c r="H2263">
        <v>23</v>
      </c>
      <c r="I2263" t="s">
        <v>28</v>
      </c>
      <c r="J2263" s="4">
        <v>67.599999999999994</v>
      </c>
      <c r="K2263" s="4">
        <v>137.19999999999999</v>
      </c>
      <c r="L2263" s="4">
        <v>21</v>
      </c>
      <c r="M2263">
        <v>12</v>
      </c>
      <c r="N2263" t="s">
        <v>37</v>
      </c>
      <c r="O2263">
        <v>3</v>
      </c>
      <c r="P2263" s="4">
        <v>455.8</v>
      </c>
      <c r="Q2263" t="s">
        <v>42</v>
      </c>
      <c r="R2263">
        <v>1</v>
      </c>
      <c r="S2263" t="s">
        <v>31</v>
      </c>
      <c r="T2263">
        <v>1</v>
      </c>
      <c r="U2263">
        <v>0</v>
      </c>
      <c r="V2263" t="s">
        <v>64</v>
      </c>
      <c r="W2263" t="s">
        <v>49</v>
      </c>
      <c r="X2263" s="4">
        <v>8.1</v>
      </c>
      <c r="Y2263">
        <v>10</v>
      </c>
      <c r="Z2263" s="5">
        <v>129.38999999999999</v>
      </c>
    </row>
    <row r="2264" spans="1:26">
      <c r="A2264">
        <v>2263</v>
      </c>
      <c r="B2264">
        <v>746</v>
      </c>
      <c r="C2264" s="2">
        <v>46231</v>
      </c>
      <c r="D2264" t="s">
        <v>35</v>
      </c>
      <c r="E2264">
        <v>7</v>
      </c>
      <c r="F2264" s="3">
        <v>11.79</v>
      </c>
      <c r="G2264" t="s">
        <v>36</v>
      </c>
      <c r="H2264">
        <v>47</v>
      </c>
      <c r="I2264" t="s">
        <v>34</v>
      </c>
      <c r="J2264" s="4">
        <v>64.099999999999994</v>
      </c>
      <c r="K2264" s="4">
        <v>166.5</v>
      </c>
      <c r="L2264" s="4">
        <v>28.5</v>
      </c>
      <c r="M2264">
        <v>15</v>
      </c>
      <c r="N2264" t="s">
        <v>37</v>
      </c>
      <c r="O2264">
        <v>3</v>
      </c>
      <c r="P2264" s="4">
        <v>878.6</v>
      </c>
      <c r="Q2264" t="s">
        <v>48</v>
      </c>
      <c r="R2264">
        <v>0</v>
      </c>
      <c r="S2264" t="s">
        <v>38</v>
      </c>
      <c r="T2264">
        <v>1</v>
      </c>
      <c r="U2264">
        <v>0</v>
      </c>
      <c r="V2264" t="s">
        <v>32</v>
      </c>
      <c r="W2264" t="s">
        <v>57</v>
      </c>
      <c r="X2264" s="4">
        <v>9.3000000000000007</v>
      </c>
      <c r="Y2264">
        <v>9</v>
      </c>
      <c r="Z2264" s="5">
        <v>190.6</v>
      </c>
    </row>
    <row r="2265" spans="1:26">
      <c r="A2265">
        <v>2264</v>
      </c>
      <c r="B2265">
        <v>746</v>
      </c>
      <c r="C2265" s="2">
        <v>46231</v>
      </c>
      <c r="D2265" t="s">
        <v>35</v>
      </c>
      <c r="E2265">
        <v>7</v>
      </c>
      <c r="F2265" s="3">
        <v>11.9</v>
      </c>
      <c r="G2265" t="s">
        <v>36</v>
      </c>
      <c r="H2265">
        <v>33</v>
      </c>
      <c r="I2265" t="s">
        <v>28</v>
      </c>
      <c r="J2265" s="4">
        <v>68.2</v>
      </c>
      <c r="K2265" s="4">
        <v>188.1</v>
      </c>
      <c r="L2265" s="4">
        <v>28.2</v>
      </c>
      <c r="M2265">
        <v>17</v>
      </c>
      <c r="N2265" t="s">
        <v>37</v>
      </c>
      <c r="O2265">
        <v>3</v>
      </c>
      <c r="P2265" s="4">
        <v>878.6</v>
      </c>
      <c r="Q2265" t="s">
        <v>48</v>
      </c>
      <c r="R2265">
        <v>0</v>
      </c>
      <c r="S2265" t="s">
        <v>38</v>
      </c>
      <c r="T2265">
        <v>1</v>
      </c>
      <c r="U2265">
        <v>0</v>
      </c>
      <c r="V2265" t="s">
        <v>32</v>
      </c>
      <c r="W2265" t="s">
        <v>57</v>
      </c>
      <c r="X2265" s="4">
        <v>8.3000000000000007</v>
      </c>
      <c r="Y2265">
        <v>11</v>
      </c>
      <c r="Z2265" s="5">
        <v>315.54000000000002</v>
      </c>
    </row>
    <row r="2266" spans="1:26">
      <c r="A2266">
        <v>2265</v>
      </c>
      <c r="B2266">
        <v>746</v>
      </c>
      <c r="C2266" s="2">
        <v>46231</v>
      </c>
      <c r="D2266" t="s">
        <v>35</v>
      </c>
      <c r="E2266">
        <v>7</v>
      </c>
      <c r="F2266" s="3">
        <v>11.77</v>
      </c>
      <c r="G2266" t="s">
        <v>36</v>
      </c>
      <c r="H2266">
        <v>74</v>
      </c>
      <c r="I2266" t="s">
        <v>28</v>
      </c>
      <c r="J2266" s="4">
        <v>69.900000000000006</v>
      </c>
      <c r="K2266" s="4">
        <v>194.3</v>
      </c>
      <c r="L2266" s="4">
        <v>27.7</v>
      </c>
      <c r="M2266">
        <v>20</v>
      </c>
      <c r="N2266" t="s">
        <v>37</v>
      </c>
      <c r="O2266">
        <v>3</v>
      </c>
      <c r="P2266" s="4">
        <v>878.6</v>
      </c>
      <c r="Q2266" t="s">
        <v>48</v>
      </c>
      <c r="R2266">
        <v>0</v>
      </c>
      <c r="S2266" t="s">
        <v>38</v>
      </c>
      <c r="T2266">
        <v>1</v>
      </c>
      <c r="U2266">
        <v>0</v>
      </c>
      <c r="V2266" t="s">
        <v>32</v>
      </c>
      <c r="W2266" t="s">
        <v>57</v>
      </c>
      <c r="X2266" s="4">
        <v>8.3000000000000007</v>
      </c>
      <c r="Y2266">
        <v>13</v>
      </c>
      <c r="Z2266" s="5">
        <v>176.19</v>
      </c>
    </row>
    <row r="2267" spans="1:26">
      <c r="A2267">
        <v>2266</v>
      </c>
      <c r="B2267">
        <v>747</v>
      </c>
      <c r="C2267" s="2">
        <v>46054</v>
      </c>
      <c r="D2267" t="s">
        <v>58</v>
      </c>
      <c r="E2267">
        <v>2</v>
      </c>
      <c r="F2267" s="3">
        <v>9.9499999999999993</v>
      </c>
      <c r="G2267" t="s">
        <v>27</v>
      </c>
      <c r="H2267">
        <v>51</v>
      </c>
      <c r="I2267" t="s">
        <v>28</v>
      </c>
      <c r="J2267" s="4">
        <v>71.2</v>
      </c>
      <c r="K2267" s="4">
        <v>208.2</v>
      </c>
      <c r="L2267" s="4">
        <v>29</v>
      </c>
      <c r="M2267">
        <v>16</v>
      </c>
      <c r="N2267" t="s">
        <v>61</v>
      </c>
      <c r="O2267">
        <v>2</v>
      </c>
      <c r="P2267" s="4">
        <v>1038.4000000000001</v>
      </c>
      <c r="Q2267" t="s">
        <v>48</v>
      </c>
      <c r="R2267">
        <v>0</v>
      </c>
      <c r="S2267" t="s">
        <v>44</v>
      </c>
      <c r="T2267">
        <v>0</v>
      </c>
      <c r="U2267">
        <v>1</v>
      </c>
      <c r="V2267" t="s">
        <v>64</v>
      </c>
      <c r="W2267" t="s">
        <v>33</v>
      </c>
      <c r="X2267" s="4">
        <v>8.3000000000000007</v>
      </c>
      <c r="Y2267">
        <v>10</v>
      </c>
      <c r="Z2267" s="5">
        <v>305.14999999999998</v>
      </c>
    </row>
    <row r="2268" spans="1:26">
      <c r="A2268">
        <v>2267</v>
      </c>
      <c r="B2268">
        <v>747</v>
      </c>
      <c r="C2268" s="2">
        <v>46054</v>
      </c>
      <c r="D2268" t="s">
        <v>58</v>
      </c>
      <c r="E2268">
        <v>2</v>
      </c>
      <c r="F2268" s="3">
        <v>9.7899999999999991</v>
      </c>
      <c r="G2268" t="s">
        <v>27</v>
      </c>
      <c r="H2268">
        <v>47</v>
      </c>
      <c r="I2268" t="s">
        <v>34</v>
      </c>
      <c r="J2268" s="4">
        <v>61.3</v>
      </c>
      <c r="K2268" s="4">
        <v>143.30000000000001</v>
      </c>
      <c r="L2268" s="4">
        <v>26.9</v>
      </c>
      <c r="M2268">
        <v>18</v>
      </c>
      <c r="N2268" t="s">
        <v>61</v>
      </c>
      <c r="O2268">
        <v>2</v>
      </c>
      <c r="P2268" s="4">
        <v>1038.4000000000001</v>
      </c>
      <c r="Q2268" t="s">
        <v>48</v>
      </c>
      <c r="R2268">
        <v>0</v>
      </c>
      <c r="S2268" t="s">
        <v>44</v>
      </c>
      <c r="T2268">
        <v>0</v>
      </c>
      <c r="U2268">
        <v>1</v>
      </c>
      <c r="V2268" t="s">
        <v>64</v>
      </c>
      <c r="W2268" t="s">
        <v>33</v>
      </c>
      <c r="X2268" s="4">
        <v>9.1999999999999993</v>
      </c>
      <c r="Y2268">
        <v>10</v>
      </c>
      <c r="Z2268" s="5">
        <v>328.04</v>
      </c>
    </row>
    <row r="2269" spans="1:26">
      <c r="A2269">
        <v>2268</v>
      </c>
      <c r="B2269">
        <v>748</v>
      </c>
      <c r="C2269" s="2">
        <v>46176</v>
      </c>
      <c r="D2269" t="s">
        <v>52</v>
      </c>
      <c r="E2269">
        <v>6</v>
      </c>
      <c r="F2269" s="3">
        <v>10.63</v>
      </c>
      <c r="G2269" t="s">
        <v>27</v>
      </c>
      <c r="H2269">
        <v>29</v>
      </c>
      <c r="I2269" t="s">
        <v>34</v>
      </c>
      <c r="J2269" s="4">
        <v>65.400000000000006</v>
      </c>
      <c r="K2269" s="4">
        <v>112.5</v>
      </c>
      <c r="L2269" s="4">
        <v>18.5</v>
      </c>
      <c r="M2269">
        <v>13</v>
      </c>
      <c r="N2269" t="s">
        <v>47</v>
      </c>
      <c r="O2269">
        <v>4</v>
      </c>
      <c r="P2269" s="4">
        <v>2</v>
      </c>
      <c r="Q2269" t="s">
        <v>42</v>
      </c>
      <c r="R2269">
        <v>1</v>
      </c>
      <c r="S2269" t="s">
        <v>44</v>
      </c>
      <c r="T2269">
        <v>0</v>
      </c>
      <c r="U2269">
        <v>0</v>
      </c>
      <c r="V2269" t="s">
        <v>32</v>
      </c>
      <c r="W2269" t="s">
        <v>39</v>
      </c>
      <c r="X2269" s="4">
        <v>7.3</v>
      </c>
      <c r="Y2269">
        <v>3</v>
      </c>
      <c r="Z2269" s="5">
        <v>123.79</v>
      </c>
    </row>
    <row r="2270" spans="1:26">
      <c r="A2270">
        <v>2269</v>
      </c>
      <c r="B2270">
        <v>748</v>
      </c>
      <c r="C2270" s="2">
        <v>46176</v>
      </c>
      <c r="D2270" t="s">
        <v>52</v>
      </c>
      <c r="E2270">
        <v>6</v>
      </c>
      <c r="F2270" s="3">
        <v>10.41</v>
      </c>
      <c r="G2270" t="s">
        <v>27</v>
      </c>
      <c r="H2270">
        <v>18</v>
      </c>
      <c r="I2270" t="s">
        <v>28</v>
      </c>
      <c r="J2270" s="4">
        <v>63.4</v>
      </c>
      <c r="K2270" s="4">
        <v>211.4</v>
      </c>
      <c r="L2270" s="4">
        <v>36.9</v>
      </c>
      <c r="M2270">
        <v>12</v>
      </c>
      <c r="N2270" t="s">
        <v>47</v>
      </c>
      <c r="O2270">
        <v>4</v>
      </c>
      <c r="P2270" s="4">
        <v>2</v>
      </c>
      <c r="Q2270" t="s">
        <v>42</v>
      </c>
      <c r="R2270">
        <v>1</v>
      </c>
      <c r="S2270" t="s">
        <v>44</v>
      </c>
      <c r="T2270">
        <v>0</v>
      </c>
      <c r="U2270">
        <v>0</v>
      </c>
      <c r="V2270" t="s">
        <v>32</v>
      </c>
      <c r="W2270" t="s">
        <v>39</v>
      </c>
      <c r="X2270" s="4">
        <v>11.2</v>
      </c>
      <c r="Y2270">
        <v>10</v>
      </c>
      <c r="Z2270" s="5">
        <v>216.58</v>
      </c>
    </row>
    <row r="2271" spans="1:26">
      <c r="A2271">
        <v>2270</v>
      </c>
      <c r="B2271">
        <v>748</v>
      </c>
      <c r="C2271" s="2">
        <v>46176</v>
      </c>
      <c r="D2271" t="s">
        <v>52</v>
      </c>
      <c r="E2271">
        <v>6</v>
      </c>
      <c r="F2271" s="3">
        <v>10.49</v>
      </c>
      <c r="G2271" t="s">
        <v>27</v>
      </c>
      <c r="H2271">
        <v>28</v>
      </c>
      <c r="I2271" t="s">
        <v>28</v>
      </c>
      <c r="J2271" s="4">
        <v>72.099999999999994</v>
      </c>
      <c r="K2271" s="4">
        <v>214.4</v>
      </c>
      <c r="L2271" s="4">
        <v>28.9</v>
      </c>
      <c r="M2271">
        <v>16</v>
      </c>
      <c r="N2271" t="s">
        <v>47</v>
      </c>
      <c r="O2271">
        <v>4</v>
      </c>
      <c r="P2271" s="4">
        <v>2</v>
      </c>
      <c r="Q2271" t="s">
        <v>42</v>
      </c>
      <c r="R2271">
        <v>1</v>
      </c>
      <c r="S2271" t="s">
        <v>44</v>
      </c>
      <c r="T2271">
        <v>0</v>
      </c>
      <c r="U2271">
        <v>0</v>
      </c>
      <c r="V2271" t="s">
        <v>32</v>
      </c>
      <c r="W2271" t="s">
        <v>39</v>
      </c>
      <c r="X2271" s="4">
        <v>9.5</v>
      </c>
      <c r="Y2271">
        <v>7</v>
      </c>
      <c r="Z2271" s="5">
        <v>328.85</v>
      </c>
    </row>
    <row r="2272" spans="1:26">
      <c r="A2272">
        <v>2271</v>
      </c>
      <c r="B2272">
        <v>748</v>
      </c>
      <c r="C2272" s="2">
        <v>46176</v>
      </c>
      <c r="D2272" t="s">
        <v>52</v>
      </c>
      <c r="E2272">
        <v>6</v>
      </c>
      <c r="F2272" s="3">
        <v>10.35</v>
      </c>
      <c r="G2272" t="s">
        <v>27</v>
      </c>
      <c r="H2272">
        <v>17</v>
      </c>
      <c r="I2272" t="s">
        <v>34</v>
      </c>
      <c r="J2272" s="4">
        <v>70</v>
      </c>
      <c r="K2272" s="4">
        <v>117.3</v>
      </c>
      <c r="L2272" s="4">
        <v>16.899999999999999</v>
      </c>
      <c r="M2272">
        <v>13</v>
      </c>
      <c r="N2272" t="s">
        <v>47</v>
      </c>
      <c r="O2272">
        <v>4</v>
      </c>
      <c r="P2272" s="4">
        <v>2</v>
      </c>
      <c r="Q2272" t="s">
        <v>42</v>
      </c>
      <c r="R2272">
        <v>1</v>
      </c>
      <c r="S2272" t="s">
        <v>44</v>
      </c>
      <c r="T2272">
        <v>0</v>
      </c>
      <c r="U2272">
        <v>0</v>
      </c>
      <c r="V2272" t="s">
        <v>32</v>
      </c>
      <c r="W2272" t="s">
        <v>39</v>
      </c>
      <c r="X2272" s="4">
        <v>8.6999999999999993</v>
      </c>
      <c r="Y2272">
        <v>7</v>
      </c>
      <c r="Z2272" s="5">
        <v>171.74</v>
      </c>
    </row>
    <row r="2273" spans="1:26">
      <c r="A2273">
        <v>2272</v>
      </c>
      <c r="B2273">
        <v>749</v>
      </c>
      <c r="C2273" s="2">
        <v>46164</v>
      </c>
      <c r="D2273" t="s">
        <v>26</v>
      </c>
      <c r="E2273">
        <v>5</v>
      </c>
      <c r="F2273" s="3">
        <v>10.46</v>
      </c>
      <c r="G2273" t="s">
        <v>27</v>
      </c>
      <c r="H2273">
        <v>71</v>
      </c>
      <c r="I2273" t="s">
        <v>34</v>
      </c>
      <c r="J2273" s="4">
        <v>66.8</v>
      </c>
      <c r="K2273" s="4">
        <v>192.8</v>
      </c>
      <c r="L2273" s="4">
        <v>30.7</v>
      </c>
      <c r="M2273">
        <v>15</v>
      </c>
      <c r="N2273" t="s">
        <v>47</v>
      </c>
      <c r="O2273">
        <v>2</v>
      </c>
      <c r="P2273" s="4">
        <v>93.3</v>
      </c>
      <c r="Q2273" t="s">
        <v>42</v>
      </c>
      <c r="R2273">
        <v>1</v>
      </c>
      <c r="S2273" t="s">
        <v>44</v>
      </c>
      <c r="T2273">
        <v>0</v>
      </c>
      <c r="U2273">
        <v>0</v>
      </c>
      <c r="V2273" t="s">
        <v>32</v>
      </c>
      <c r="W2273" t="s">
        <v>57</v>
      </c>
      <c r="X2273" s="4">
        <v>12.2</v>
      </c>
      <c r="Y2273">
        <v>11</v>
      </c>
      <c r="Z2273" s="5">
        <v>456.58</v>
      </c>
    </row>
    <row r="2274" spans="1:26">
      <c r="A2274">
        <v>2273</v>
      </c>
      <c r="B2274">
        <v>749</v>
      </c>
      <c r="C2274" s="2">
        <v>46164</v>
      </c>
      <c r="D2274" t="s">
        <v>26</v>
      </c>
      <c r="E2274">
        <v>5</v>
      </c>
      <c r="F2274" s="3">
        <v>10.119999999999999</v>
      </c>
      <c r="G2274" t="s">
        <v>27</v>
      </c>
      <c r="H2274">
        <v>9</v>
      </c>
      <c r="I2274" t="s">
        <v>28</v>
      </c>
      <c r="J2274" s="4">
        <v>61.1</v>
      </c>
      <c r="K2274" s="4">
        <v>66.3</v>
      </c>
      <c r="L2274" s="4">
        <v>12.4</v>
      </c>
      <c r="M2274">
        <v>12</v>
      </c>
      <c r="N2274" t="s">
        <v>47</v>
      </c>
      <c r="O2274">
        <v>2</v>
      </c>
      <c r="P2274" s="4">
        <v>93.3</v>
      </c>
      <c r="Q2274" t="s">
        <v>42</v>
      </c>
      <c r="R2274">
        <v>1</v>
      </c>
      <c r="S2274" t="s">
        <v>44</v>
      </c>
      <c r="T2274">
        <v>0</v>
      </c>
      <c r="U2274">
        <v>0</v>
      </c>
      <c r="V2274" t="s">
        <v>32</v>
      </c>
      <c r="W2274" t="s">
        <v>57</v>
      </c>
      <c r="X2274" s="4">
        <v>8.8000000000000007</v>
      </c>
      <c r="Y2274">
        <v>4</v>
      </c>
      <c r="Z2274" s="5">
        <v>171.55</v>
      </c>
    </row>
    <row r="2275" spans="1:26">
      <c r="A2275">
        <v>2274</v>
      </c>
      <c r="B2275">
        <v>750</v>
      </c>
      <c r="C2275" s="2">
        <v>46261</v>
      </c>
      <c r="D2275" t="s">
        <v>55</v>
      </c>
      <c r="E2275">
        <v>8</v>
      </c>
      <c r="F2275" s="3">
        <v>9.92</v>
      </c>
      <c r="G2275" t="s">
        <v>27</v>
      </c>
      <c r="H2275">
        <v>38</v>
      </c>
      <c r="I2275" t="s">
        <v>28</v>
      </c>
      <c r="J2275" s="4">
        <v>69.3</v>
      </c>
      <c r="K2275" s="4">
        <v>171.2</v>
      </c>
      <c r="L2275" s="4">
        <v>25</v>
      </c>
      <c r="M2275">
        <v>16</v>
      </c>
      <c r="N2275" t="s">
        <v>50</v>
      </c>
      <c r="O2275">
        <v>4</v>
      </c>
      <c r="P2275" s="4">
        <v>192.8</v>
      </c>
      <c r="Q2275" t="s">
        <v>48</v>
      </c>
      <c r="R2275">
        <v>1</v>
      </c>
      <c r="S2275" t="s">
        <v>44</v>
      </c>
      <c r="T2275">
        <v>0</v>
      </c>
      <c r="U2275">
        <v>0</v>
      </c>
      <c r="V2275" t="s">
        <v>32</v>
      </c>
      <c r="W2275" t="s">
        <v>39</v>
      </c>
      <c r="X2275" s="4">
        <v>6.2</v>
      </c>
      <c r="Y2275">
        <v>10</v>
      </c>
      <c r="Z2275" s="5">
        <v>248.81</v>
      </c>
    </row>
    <row r="2276" spans="1:26">
      <c r="A2276">
        <v>2275</v>
      </c>
      <c r="B2276">
        <v>750</v>
      </c>
      <c r="C2276" s="2">
        <v>46261</v>
      </c>
      <c r="D2276" t="s">
        <v>55</v>
      </c>
      <c r="E2276">
        <v>8</v>
      </c>
      <c r="F2276" s="3">
        <v>10.039999999999999</v>
      </c>
      <c r="G2276" t="s">
        <v>27</v>
      </c>
      <c r="H2276">
        <v>42</v>
      </c>
      <c r="I2276" t="s">
        <v>34</v>
      </c>
      <c r="J2276" s="4">
        <v>61.9</v>
      </c>
      <c r="K2276" s="4">
        <v>127.1</v>
      </c>
      <c r="L2276" s="4">
        <v>23.5</v>
      </c>
      <c r="M2276">
        <v>18</v>
      </c>
      <c r="N2276" t="s">
        <v>50</v>
      </c>
      <c r="O2276">
        <v>4</v>
      </c>
      <c r="P2276" s="4">
        <v>192.8</v>
      </c>
      <c r="Q2276" t="s">
        <v>48</v>
      </c>
      <c r="R2276">
        <v>1</v>
      </c>
      <c r="S2276" t="s">
        <v>44</v>
      </c>
      <c r="T2276">
        <v>0</v>
      </c>
      <c r="U2276">
        <v>0</v>
      </c>
      <c r="V2276" t="s">
        <v>32</v>
      </c>
      <c r="W2276" t="s">
        <v>39</v>
      </c>
      <c r="X2276" s="4">
        <v>7.3</v>
      </c>
      <c r="Y2276">
        <v>6</v>
      </c>
      <c r="Z2276" s="5">
        <v>261.47000000000003</v>
      </c>
    </row>
    <row r="2277" spans="1:26">
      <c r="A2277">
        <v>2276</v>
      </c>
      <c r="B2277">
        <v>750</v>
      </c>
      <c r="C2277" s="2">
        <v>46261</v>
      </c>
      <c r="D2277" t="s">
        <v>55</v>
      </c>
      <c r="E2277">
        <v>8</v>
      </c>
      <c r="F2277" s="3">
        <v>10.07</v>
      </c>
      <c r="G2277" t="s">
        <v>27</v>
      </c>
      <c r="H2277">
        <v>38</v>
      </c>
      <c r="I2277" t="s">
        <v>34</v>
      </c>
      <c r="J2277" s="4">
        <v>64.7</v>
      </c>
      <c r="K2277" s="4">
        <v>155.19999999999999</v>
      </c>
      <c r="L2277" s="4">
        <v>26.1</v>
      </c>
      <c r="M2277">
        <v>15</v>
      </c>
      <c r="N2277" t="s">
        <v>50</v>
      </c>
      <c r="O2277">
        <v>4</v>
      </c>
      <c r="P2277" s="4">
        <v>192.8</v>
      </c>
      <c r="Q2277" t="s">
        <v>48</v>
      </c>
      <c r="R2277">
        <v>1</v>
      </c>
      <c r="S2277" t="s">
        <v>44</v>
      </c>
      <c r="T2277">
        <v>0</v>
      </c>
      <c r="U2277">
        <v>0</v>
      </c>
      <c r="V2277" t="s">
        <v>32</v>
      </c>
      <c r="W2277" t="s">
        <v>39</v>
      </c>
      <c r="X2277" s="4">
        <v>10.6</v>
      </c>
      <c r="Y2277">
        <v>8</v>
      </c>
      <c r="Z2277" s="5">
        <v>266.81</v>
      </c>
    </row>
    <row r="2278" spans="1:26">
      <c r="A2278">
        <v>2277</v>
      </c>
      <c r="B2278">
        <v>750</v>
      </c>
      <c r="C2278" s="2">
        <v>46261</v>
      </c>
      <c r="D2278" t="s">
        <v>55</v>
      </c>
      <c r="E2278">
        <v>8</v>
      </c>
      <c r="F2278" s="3">
        <v>10.23</v>
      </c>
      <c r="G2278" t="s">
        <v>27</v>
      </c>
      <c r="H2278">
        <v>56</v>
      </c>
      <c r="I2278" t="s">
        <v>28</v>
      </c>
      <c r="J2278" s="4">
        <v>68.400000000000006</v>
      </c>
      <c r="K2278" s="4">
        <v>169</v>
      </c>
      <c r="L2278" s="4">
        <v>25.3</v>
      </c>
      <c r="M2278">
        <v>18</v>
      </c>
      <c r="N2278" t="s">
        <v>50</v>
      </c>
      <c r="O2278">
        <v>4</v>
      </c>
      <c r="P2278" s="4">
        <v>192.8</v>
      </c>
      <c r="Q2278" t="s">
        <v>48</v>
      </c>
      <c r="R2278">
        <v>1</v>
      </c>
      <c r="S2278" t="s">
        <v>44</v>
      </c>
      <c r="T2278">
        <v>0</v>
      </c>
      <c r="U2278">
        <v>0</v>
      </c>
      <c r="V2278" t="s">
        <v>32</v>
      </c>
      <c r="W2278" t="s">
        <v>39</v>
      </c>
      <c r="X2278" s="4">
        <v>11.4</v>
      </c>
      <c r="Y2278">
        <v>5</v>
      </c>
      <c r="Z2278" s="5">
        <v>192.54</v>
      </c>
    </row>
    <row r="2279" spans="1:26">
      <c r="A2279">
        <v>2278</v>
      </c>
      <c r="B2279">
        <v>751</v>
      </c>
      <c r="C2279" s="2">
        <v>46071</v>
      </c>
      <c r="D2279" t="s">
        <v>52</v>
      </c>
      <c r="E2279">
        <v>2</v>
      </c>
      <c r="F2279" s="3">
        <v>10.5</v>
      </c>
      <c r="G2279" t="s">
        <v>27</v>
      </c>
      <c r="H2279">
        <v>61</v>
      </c>
      <c r="I2279" t="s">
        <v>28</v>
      </c>
      <c r="J2279" s="4">
        <v>73.099999999999994</v>
      </c>
      <c r="K2279" s="4">
        <v>187.3</v>
      </c>
      <c r="L2279" s="4">
        <v>24.7</v>
      </c>
      <c r="M2279">
        <v>16</v>
      </c>
      <c r="N2279" t="s">
        <v>37</v>
      </c>
      <c r="O2279">
        <v>2</v>
      </c>
      <c r="P2279" s="4">
        <v>1492.2</v>
      </c>
      <c r="Q2279" t="s">
        <v>48</v>
      </c>
      <c r="R2279">
        <v>1</v>
      </c>
      <c r="S2279" t="s">
        <v>44</v>
      </c>
      <c r="T2279">
        <v>0</v>
      </c>
      <c r="U2279">
        <v>0</v>
      </c>
      <c r="V2279" t="s">
        <v>32</v>
      </c>
      <c r="W2279" t="s">
        <v>43</v>
      </c>
      <c r="X2279" s="4">
        <v>8.1999999999999993</v>
      </c>
      <c r="Y2279">
        <v>10</v>
      </c>
      <c r="Z2279" s="5">
        <v>363.03</v>
      </c>
    </row>
    <row r="2280" spans="1:26">
      <c r="A2280">
        <v>2279</v>
      </c>
      <c r="B2280">
        <v>751</v>
      </c>
      <c r="C2280" s="2">
        <v>46071</v>
      </c>
      <c r="D2280" t="s">
        <v>52</v>
      </c>
      <c r="E2280">
        <v>2</v>
      </c>
      <c r="F2280" s="3">
        <v>10.51</v>
      </c>
      <c r="G2280" t="s">
        <v>27</v>
      </c>
      <c r="H2280">
        <v>18</v>
      </c>
      <c r="I2280" t="s">
        <v>34</v>
      </c>
      <c r="J2280" s="4">
        <v>66.599999999999994</v>
      </c>
      <c r="K2280" s="4">
        <v>160.6</v>
      </c>
      <c r="L2280" s="4">
        <v>25.6</v>
      </c>
      <c r="M2280">
        <v>14</v>
      </c>
      <c r="N2280" t="s">
        <v>37</v>
      </c>
      <c r="O2280">
        <v>2</v>
      </c>
      <c r="P2280" s="4">
        <v>1492.2</v>
      </c>
      <c r="Q2280" t="s">
        <v>48</v>
      </c>
      <c r="R2280">
        <v>1</v>
      </c>
      <c r="S2280" t="s">
        <v>44</v>
      </c>
      <c r="T2280">
        <v>0</v>
      </c>
      <c r="U2280">
        <v>0</v>
      </c>
      <c r="V2280" t="s">
        <v>32</v>
      </c>
      <c r="W2280" t="s">
        <v>43</v>
      </c>
      <c r="X2280" s="4">
        <v>4.5</v>
      </c>
      <c r="Y2280">
        <v>3</v>
      </c>
      <c r="Z2280" s="5">
        <v>230.21</v>
      </c>
    </row>
    <row r="2281" spans="1:26">
      <c r="A2281">
        <v>2280</v>
      </c>
      <c r="B2281">
        <v>752</v>
      </c>
      <c r="C2281" s="2">
        <v>46373</v>
      </c>
      <c r="D2281" t="s">
        <v>55</v>
      </c>
      <c r="E2281">
        <v>12</v>
      </c>
      <c r="F2281" s="3">
        <v>10.57</v>
      </c>
      <c r="G2281" t="s">
        <v>27</v>
      </c>
      <c r="H2281">
        <v>24</v>
      </c>
      <c r="I2281" t="s">
        <v>34</v>
      </c>
      <c r="J2281" s="4">
        <v>68.7</v>
      </c>
      <c r="K2281" s="4">
        <v>174.9</v>
      </c>
      <c r="L2281" s="4">
        <v>26.3</v>
      </c>
      <c r="M2281">
        <v>14</v>
      </c>
      <c r="N2281" t="s">
        <v>47</v>
      </c>
      <c r="O2281">
        <v>3</v>
      </c>
      <c r="P2281" s="4">
        <v>95.6</v>
      </c>
      <c r="Q2281" t="s">
        <v>42</v>
      </c>
      <c r="R2281">
        <v>0</v>
      </c>
      <c r="S2281" t="s">
        <v>44</v>
      </c>
      <c r="T2281">
        <v>1</v>
      </c>
      <c r="U2281">
        <v>0</v>
      </c>
      <c r="V2281" t="s">
        <v>45</v>
      </c>
      <c r="W2281" t="s">
        <v>39</v>
      </c>
      <c r="X2281" s="4">
        <v>7.3</v>
      </c>
      <c r="Y2281">
        <v>6</v>
      </c>
      <c r="Z2281" s="5">
        <v>164.83</v>
      </c>
    </row>
    <row r="2282" spans="1:26">
      <c r="A2282">
        <v>2281</v>
      </c>
      <c r="B2282">
        <v>752</v>
      </c>
      <c r="C2282" s="2">
        <v>46373</v>
      </c>
      <c r="D2282" t="s">
        <v>55</v>
      </c>
      <c r="E2282">
        <v>12</v>
      </c>
      <c r="F2282" s="3">
        <v>10.58</v>
      </c>
      <c r="G2282" t="s">
        <v>27</v>
      </c>
      <c r="H2282">
        <v>63</v>
      </c>
      <c r="I2282" t="s">
        <v>34</v>
      </c>
      <c r="J2282" s="4">
        <v>64.3</v>
      </c>
      <c r="K2282" s="4">
        <v>125.7</v>
      </c>
      <c r="L2282" s="4">
        <v>21.7</v>
      </c>
      <c r="M2282">
        <v>14</v>
      </c>
      <c r="N2282" t="s">
        <v>47</v>
      </c>
      <c r="O2282">
        <v>3</v>
      </c>
      <c r="P2282" s="4">
        <v>95.6</v>
      </c>
      <c r="Q2282" t="s">
        <v>42</v>
      </c>
      <c r="R2282">
        <v>0</v>
      </c>
      <c r="S2282" t="s">
        <v>44</v>
      </c>
      <c r="T2282">
        <v>1</v>
      </c>
      <c r="U2282">
        <v>0</v>
      </c>
      <c r="V2282" t="s">
        <v>45</v>
      </c>
      <c r="W2282" t="s">
        <v>39</v>
      </c>
      <c r="X2282" s="4">
        <v>10.199999999999999</v>
      </c>
      <c r="Y2282">
        <v>13</v>
      </c>
      <c r="Z2282" s="5">
        <v>329.11</v>
      </c>
    </row>
    <row r="2283" spans="1:26">
      <c r="A2283">
        <v>2282</v>
      </c>
      <c r="B2283">
        <v>752</v>
      </c>
      <c r="C2283" s="2">
        <v>46373</v>
      </c>
      <c r="D2283" t="s">
        <v>55</v>
      </c>
      <c r="E2283">
        <v>12</v>
      </c>
      <c r="F2283" s="3">
        <v>10.67</v>
      </c>
      <c r="G2283" t="s">
        <v>27</v>
      </c>
      <c r="H2283">
        <v>51</v>
      </c>
      <c r="I2283" t="s">
        <v>34</v>
      </c>
      <c r="J2283" s="4">
        <v>63.6</v>
      </c>
      <c r="K2283" s="4">
        <v>149.6</v>
      </c>
      <c r="L2283" s="4">
        <v>26.3</v>
      </c>
      <c r="M2283">
        <v>15</v>
      </c>
      <c r="N2283" t="s">
        <v>47</v>
      </c>
      <c r="O2283">
        <v>3</v>
      </c>
      <c r="P2283" s="4">
        <v>95.6</v>
      </c>
      <c r="Q2283" t="s">
        <v>42</v>
      </c>
      <c r="R2283">
        <v>0</v>
      </c>
      <c r="S2283" t="s">
        <v>44</v>
      </c>
      <c r="T2283">
        <v>1</v>
      </c>
      <c r="U2283">
        <v>0</v>
      </c>
      <c r="V2283" t="s">
        <v>45</v>
      </c>
      <c r="W2283" t="s">
        <v>39</v>
      </c>
      <c r="X2283" s="4">
        <v>10.6</v>
      </c>
      <c r="Y2283">
        <v>7</v>
      </c>
      <c r="Z2283" s="5">
        <v>223.03</v>
      </c>
    </row>
    <row r="2284" spans="1:26">
      <c r="A2284">
        <v>2283</v>
      </c>
      <c r="B2284">
        <v>753</v>
      </c>
      <c r="C2284" s="2">
        <v>46379</v>
      </c>
      <c r="D2284" t="s">
        <v>52</v>
      </c>
      <c r="E2284">
        <v>12</v>
      </c>
      <c r="F2284" s="3">
        <v>9.52</v>
      </c>
      <c r="G2284" t="s">
        <v>27</v>
      </c>
      <c r="H2284">
        <v>31</v>
      </c>
      <c r="I2284" t="s">
        <v>34</v>
      </c>
      <c r="J2284" s="4">
        <v>65.2</v>
      </c>
      <c r="K2284" s="4">
        <v>162</v>
      </c>
      <c r="L2284" s="4">
        <v>26.7</v>
      </c>
      <c r="M2284">
        <v>17</v>
      </c>
      <c r="N2284" t="s">
        <v>47</v>
      </c>
      <c r="O2284">
        <v>1</v>
      </c>
      <c r="P2284" s="4">
        <v>2</v>
      </c>
      <c r="Q2284" t="s">
        <v>48</v>
      </c>
      <c r="R2284">
        <v>0</v>
      </c>
      <c r="S2284" t="s">
        <v>31</v>
      </c>
      <c r="T2284">
        <v>0</v>
      </c>
      <c r="U2284">
        <v>0</v>
      </c>
      <c r="V2284" t="s">
        <v>32</v>
      </c>
      <c r="W2284" t="s">
        <v>39</v>
      </c>
      <c r="X2284" s="4">
        <v>11.3</v>
      </c>
      <c r="Y2284">
        <v>8</v>
      </c>
      <c r="Z2284" s="5">
        <v>224.63</v>
      </c>
    </row>
    <row r="2285" spans="1:26">
      <c r="A2285">
        <v>2284</v>
      </c>
      <c r="B2285">
        <v>754</v>
      </c>
      <c r="C2285" s="2">
        <v>46221</v>
      </c>
      <c r="D2285" t="s">
        <v>40</v>
      </c>
      <c r="E2285">
        <v>7</v>
      </c>
      <c r="F2285" s="3">
        <v>10.54</v>
      </c>
      <c r="G2285" t="s">
        <v>27</v>
      </c>
      <c r="H2285">
        <v>59</v>
      </c>
      <c r="I2285" t="s">
        <v>28</v>
      </c>
      <c r="J2285" s="4">
        <v>70.099999999999994</v>
      </c>
      <c r="K2285" s="4">
        <v>177.5</v>
      </c>
      <c r="L2285" s="4">
        <v>25.6</v>
      </c>
      <c r="M2285">
        <v>15</v>
      </c>
      <c r="N2285" t="s">
        <v>60</v>
      </c>
      <c r="O2285">
        <v>3</v>
      </c>
      <c r="P2285" s="4">
        <v>1616.2</v>
      </c>
      <c r="Q2285" t="s">
        <v>42</v>
      </c>
      <c r="R2285">
        <v>0</v>
      </c>
      <c r="S2285" t="s">
        <v>38</v>
      </c>
      <c r="T2285">
        <v>0</v>
      </c>
      <c r="U2285">
        <v>1</v>
      </c>
      <c r="V2285" t="s">
        <v>32</v>
      </c>
      <c r="W2285" t="s">
        <v>33</v>
      </c>
      <c r="X2285" s="4">
        <v>5.9</v>
      </c>
      <c r="Y2285">
        <v>4</v>
      </c>
      <c r="Z2285" s="5">
        <v>109.77</v>
      </c>
    </row>
    <row r="2286" spans="1:26">
      <c r="A2286">
        <v>2285</v>
      </c>
      <c r="B2286">
        <v>754</v>
      </c>
      <c r="C2286" s="2">
        <v>46221</v>
      </c>
      <c r="D2286" t="s">
        <v>40</v>
      </c>
      <c r="E2286">
        <v>7</v>
      </c>
      <c r="F2286" s="3">
        <v>10.55</v>
      </c>
      <c r="G2286" t="s">
        <v>27</v>
      </c>
      <c r="H2286">
        <v>77</v>
      </c>
      <c r="I2286" t="s">
        <v>34</v>
      </c>
      <c r="J2286" s="4">
        <v>61.7</v>
      </c>
      <c r="K2286" s="4">
        <v>119.7</v>
      </c>
      <c r="L2286" s="4">
        <v>22.1</v>
      </c>
      <c r="M2286">
        <v>13</v>
      </c>
      <c r="N2286" t="s">
        <v>60</v>
      </c>
      <c r="O2286">
        <v>3</v>
      </c>
      <c r="P2286" s="4">
        <v>1616.2</v>
      </c>
      <c r="Q2286" t="s">
        <v>42</v>
      </c>
      <c r="R2286">
        <v>0</v>
      </c>
      <c r="S2286" t="s">
        <v>38</v>
      </c>
      <c r="T2286">
        <v>0</v>
      </c>
      <c r="U2286">
        <v>1</v>
      </c>
      <c r="V2286" t="s">
        <v>32</v>
      </c>
      <c r="W2286" t="s">
        <v>33</v>
      </c>
      <c r="X2286" s="4">
        <v>13.2</v>
      </c>
      <c r="Y2286">
        <v>10</v>
      </c>
      <c r="Z2286" s="5">
        <v>266.93</v>
      </c>
    </row>
    <row r="2287" spans="1:26">
      <c r="A2287">
        <v>2286</v>
      </c>
      <c r="B2287">
        <v>754</v>
      </c>
      <c r="C2287" s="2">
        <v>46221</v>
      </c>
      <c r="D2287" t="s">
        <v>40</v>
      </c>
      <c r="E2287">
        <v>7</v>
      </c>
      <c r="F2287" s="3">
        <v>10.4</v>
      </c>
      <c r="G2287" t="s">
        <v>27</v>
      </c>
      <c r="H2287">
        <v>14</v>
      </c>
      <c r="I2287" t="s">
        <v>34</v>
      </c>
      <c r="J2287" s="4">
        <v>68.5</v>
      </c>
      <c r="K2287" s="4">
        <v>146.80000000000001</v>
      </c>
      <c r="L2287" s="4">
        <v>22</v>
      </c>
      <c r="M2287">
        <v>13</v>
      </c>
      <c r="N2287" t="s">
        <v>60</v>
      </c>
      <c r="O2287">
        <v>3</v>
      </c>
      <c r="P2287" s="4">
        <v>1616.2</v>
      </c>
      <c r="Q2287" t="s">
        <v>42</v>
      </c>
      <c r="R2287">
        <v>0</v>
      </c>
      <c r="S2287" t="s">
        <v>38</v>
      </c>
      <c r="T2287">
        <v>0</v>
      </c>
      <c r="U2287">
        <v>1</v>
      </c>
      <c r="V2287" t="s">
        <v>32</v>
      </c>
      <c r="W2287" t="s">
        <v>33</v>
      </c>
      <c r="X2287" s="4">
        <v>8.5</v>
      </c>
      <c r="Y2287">
        <v>13</v>
      </c>
      <c r="Z2287" s="5">
        <v>264.52999999999997</v>
      </c>
    </row>
    <row r="2288" spans="1:26">
      <c r="A2288">
        <v>2287</v>
      </c>
      <c r="B2288">
        <v>755</v>
      </c>
      <c r="C2288" s="2">
        <v>46352</v>
      </c>
      <c r="D2288" t="s">
        <v>55</v>
      </c>
      <c r="E2288">
        <v>11</v>
      </c>
      <c r="F2288" s="3">
        <v>9.33</v>
      </c>
      <c r="G2288" t="s">
        <v>27</v>
      </c>
      <c r="H2288">
        <v>41</v>
      </c>
      <c r="I2288" t="s">
        <v>51</v>
      </c>
      <c r="J2288" s="4">
        <v>65.5</v>
      </c>
      <c r="K2288" s="4">
        <v>155</v>
      </c>
      <c r="L2288" s="4">
        <v>25.4</v>
      </c>
      <c r="M2288">
        <v>16</v>
      </c>
      <c r="N2288" t="s">
        <v>56</v>
      </c>
      <c r="O2288">
        <v>5</v>
      </c>
      <c r="P2288" s="4">
        <v>290.2</v>
      </c>
      <c r="Q2288" t="s">
        <v>42</v>
      </c>
      <c r="R2288">
        <v>0</v>
      </c>
      <c r="S2288" t="s">
        <v>44</v>
      </c>
      <c r="T2288">
        <v>0</v>
      </c>
      <c r="U2288">
        <v>0</v>
      </c>
      <c r="V2288" t="s">
        <v>32</v>
      </c>
      <c r="W2288" t="s">
        <v>43</v>
      </c>
      <c r="X2288" s="4">
        <v>10.1</v>
      </c>
      <c r="Y2288">
        <v>6</v>
      </c>
      <c r="Z2288" s="5">
        <v>217.49</v>
      </c>
    </row>
    <row r="2289" spans="1:26">
      <c r="A2289">
        <v>2288</v>
      </c>
      <c r="B2289">
        <v>755</v>
      </c>
      <c r="C2289" s="2">
        <v>46352</v>
      </c>
      <c r="D2289" t="s">
        <v>55</v>
      </c>
      <c r="E2289">
        <v>11</v>
      </c>
      <c r="F2289" s="3">
        <v>9.3800000000000008</v>
      </c>
      <c r="G2289" t="s">
        <v>27</v>
      </c>
      <c r="H2289">
        <v>9</v>
      </c>
      <c r="I2289" t="s">
        <v>28</v>
      </c>
      <c r="J2289" s="4">
        <v>64.8</v>
      </c>
      <c r="K2289" s="4">
        <v>89.7</v>
      </c>
      <c r="L2289" s="4">
        <v>15</v>
      </c>
      <c r="M2289">
        <v>13</v>
      </c>
      <c r="N2289" t="s">
        <v>56</v>
      </c>
      <c r="O2289">
        <v>5</v>
      </c>
      <c r="P2289" s="4">
        <v>290.2</v>
      </c>
      <c r="Q2289" t="s">
        <v>42</v>
      </c>
      <c r="R2289">
        <v>0</v>
      </c>
      <c r="S2289" t="s">
        <v>44</v>
      </c>
      <c r="T2289">
        <v>0</v>
      </c>
      <c r="U2289">
        <v>0</v>
      </c>
      <c r="V2289" t="s">
        <v>32</v>
      </c>
      <c r="W2289" t="s">
        <v>43</v>
      </c>
      <c r="X2289" s="4">
        <v>7.9</v>
      </c>
      <c r="Y2289">
        <v>1</v>
      </c>
      <c r="Z2289" s="5">
        <v>123.37</v>
      </c>
    </row>
    <row r="2290" spans="1:26">
      <c r="A2290">
        <v>2289</v>
      </c>
      <c r="B2290">
        <v>755</v>
      </c>
      <c r="C2290" s="2">
        <v>46352</v>
      </c>
      <c r="D2290" t="s">
        <v>55</v>
      </c>
      <c r="E2290">
        <v>11</v>
      </c>
      <c r="F2290" s="3">
        <v>9.2799999999999994</v>
      </c>
      <c r="G2290" t="s">
        <v>27</v>
      </c>
      <c r="H2290">
        <v>54</v>
      </c>
      <c r="I2290" t="s">
        <v>28</v>
      </c>
      <c r="J2290" s="4">
        <v>68.3</v>
      </c>
      <c r="K2290" s="4">
        <v>200.7</v>
      </c>
      <c r="L2290" s="4">
        <v>30.3</v>
      </c>
      <c r="M2290">
        <v>13</v>
      </c>
      <c r="N2290" t="s">
        <v>56</v>
      </c>
      <c r="O2290">
        <v>5</v>
      </c>
      <c r="P2290" s="4">
        <v>290.2</v>
      </c>
      <c r="Q2290" t="s">
        <v>42</v>
      </c>
      <c r="R2290">
        <v>0</v>
      </c>
      <c r="S2290" t="s">
        <v>44</v>
      </c>
      <c r="T2290">
        <v>0</v>
      </c>
      <c r="U2290">
        <v>0</v>
      </c>
      <c r="V2290" t="s">
        <v>32</v>
      </c>
      <c r="W2290" t="s">
        <v>43</v>
      </c>
      <c r="X2290" s="4">
        <v>6.2</v>
      </c>
      <c r="Y2290">
        <v>8</v>
      </c>
      <c r="Z2290" s="5">
        <v>178.53</v>
      </c>
    </row>
    <row r="2291" spans="1:26">
      <c r="A2291">
        <v>2290</v>
      </c>
      <c r="B2291">
        <v>755</v>
      </c>
      <c r="C2291" s="2">
        <v>46352</v>
      </c>
      <c r="D2291" t="s">
        <v>55</v>
      </c>
      <c r="E2291">
        <v>11</v>
      </c>
      <c r="F2291" s="3">
        <v>9.01</v>
      </c>
      <c r="G2291" t="s">
        <v>27</v>
      </c>
      <c r="H2291">
        <v>39</v>
      </c>
      <c r="I2291" t="s">
        <v>34</v>
      </c>
      <c r="J2291" s="4">
        <v>62.6</v>
      </c>
      <c r="K2291" s="4">
        <v>103.9</v>
      </c>
      <c r="L2291" s="4">
        <v>18.7</v>
      </c>
      <c r="M2291">
        <v>16</v>
      </c>
      <c r="N2291" t="s">
        <v>56</v>
      </c>
      <c r="O2291">
        <v>5</v>
      </c>
      <c r="P2291" s="4">
        <v>290.2</v>
      </c>
      <c r="Q2291" t="s">
        <v>42</v>
      </c>
      <c r="R2291">
        <v>0</v>
      </c>
      <c r="S2291" t="s">
        <v>44</v>
      </c>
      <c r="T2291">
        <v>0</v>
      </c>
      <c r="U2291">
        <v>0</v>
      </c>
      <c r="V2291" t="s">
        <v>32</v>
      </c>
      <c r="W2291" t="s">
        <v>43</v>
      </c>
      <c r="X2291" s="4">
        <v>8.1</v>
      </c>
      <c r="Y2291">
        <v>10</v>
      </c>
      <c r="Z2291" s="5">
        <v>189.68</v>
      </c>
    </row>
    <row r="2292" spans="1:26">
      <c r="A2292">
        <v>2291</v>
      </c>
      <c r="B2292">
        <v>755</v>
      </c>
      <c r="C2292" s="2">
        <v>46352</v>
      </c>
      <c r="D2292" t="s">
        <v>55</v>
      </c>
      <c r="E2292">
        <v>11</v>
      </c>
      <c r="F2292" s="3">
        <v>9.07</v>
      </c>
      <c r="G2292" t="s">
        <v>27</v>
      </c>
      <c r="H2292">
        <v>6</v>
      </c>
      <c r="I2292" t="s">
        <v>28</v>
      </c>
      <c r="J2292" s="4">
        <v>57.8</v>
      </c>
      <c r="K2292" s="4">
        <v>89.5</v>
      </c>
      <c r="L2292" s="4">
        <v>18.899999999999999</v>
      </c>
      <c r="M2292">
        <v>13</v>
      </c>
      <c r="N2292" t="s">
        <v>56</v>
      </c>
      <c r="O2292">
        <v>5</v>
      </c>
      <c r="P2292" s="4">
        <v>290.2</v>
      </c>
      <c r="Q2292" t="s">
        <v>42</v>
      </c>
      <c r="R2292">
        <v>0</v>
      </c>
      <c r="S2292" t="s">
        <v>44</v>
      </c>
      <c r="T2292">
        <v>0</v>
      </c>
      <c r="U2292">
        <v>0</v>
      </c>
      <c r="V2292" t="s">
        <v>32</v>
      </c>
      <c r="W2292" t="s">
        <v>43</v>
      </c>
      <c r="X2292" s="4">
        <v>8.3000000000000007</v>
      </c>
      <c r="Y2292">
        <v>8</v>
      </c>
      <c r="Z2292" s="5">
        <v>178.38</v>
      </c>
    </row>
    <row r="2293" spans="1:26">
      <c r="A2293">
        <v>2292</v>
      </c>
      <c r="B2293">
        <v>756</v>
      </c>
      <c r="C2293" s="2">
        <v>46110</v>
      </c>
      <c r="D2293" t="s">
        <v>58</v>
      </c>
      <c r="E2293">
        <v>3</v>
      </c>
      <c r="F2293" s="3">
        <v>7.13</v>
      </c>
      <c r="G2293" t="s">
        <v>27</v>
      </c>
      <c r="H2293">
        <v>76</v>
      </c>
      <c r="I2293" t="s">
        <v>34</v>
      </c>
      <c r="J2293" s="4">
        <v>63.3</v>
      </c>
      <c r="K2293" s="4">
        <v>108</v>
      </c>
      <c r="L2293" s="4">
        <v>18.8</v>
      </c>
      <c r="M2293">
        <v>19</v>
      </c>
      <c r="N2293" t="s">
        <v>50</v>
      </c>
      <c r="O2293">
        <v>1</v>
      </c>
      <c r="P2293" s="4">
        <v>542.29999999999995</v>
      </c>
      <c r="Q2293" t="s">
        <v>48</v>
      </c>
      <c r="R2293">
        <v>1</v>
      </c>
      <c r="S2293" t="s">
        <v>44</v>
      </c>
      <c r="T2293">
        <v>1</v>
      </c>
      <c r="U2293">
        <v>0</v>
      </c>
      <c r="V2293" t="s">
        <v>32</v>
      </c>
      <c r="W2293" t="s">
        <v>57</v>
      </c>
      <c r="X2293" s="4">
        <v>10</v>
      </c>
      <c r="Y2293">
        <v>10</v>
      </c>
      <c r="Z2293" s="5">
        <v>268.64999999999998</v>
      </c>
    </row>
    <row r="2294" spans="1:26">
      <c r="A2294">
        <v>2293</v>
      </c>
      <c r="B2294">
        <v>757</v>
      </c>
      <c r="C2294" s="2">
        <v>46248</v>
      </c>
      <c r="D2294" t="s">
        <v>26</v>
      </c>
      <c r="E2294">
        <v>8</v>
      </c>
      <c r="F2294" s="3">
        <v>8.5399999999999991</v>
      </c>
      <c r="G2294" t="s">
        <v>27</v>
      </c>
      <c r="H2294">
        <v>28</v>
      </c>
      <c r="I2294" t="s">
        <v>28</v>
      </c>
      <c r="J2294" s="4">
        <v>67.099999999999994</v>
      </c>
      <c r="K2294" s="4">
        <v>160.4</v>
      </c>
      <c r="L2294" s="4">
        <v>24.9</v>
      </c>
      <c r="M2294">
        <v>17</v>
      </c>
      <c r="N2294" t="s">
        <v>53</v>
      </c>
      <c r="O2294">
        <v>4</v>
      </c>
      <c r="P2294" s="4">
        <v>787.7</v>
      </c>
      <c r="Q2294" t="s">
        <v>42</v>
      </c>
      <c r="R2294">
        <v>1</v>
      </c>
      <c r="S2294" t="s">
        <v>31</v>
      </c>
      <c r="T2294">
        <v>1</v>
      </c>
      <c r="U2294">
        <v>0</v>
      </c>
      <c r="V2294" t="s">
        <v>64</v>
      </c>
      <c r="W2294" t="s">
        <v>49</v>
      </c>
      <c r="X2294" s="4">
        <v>8.6999999999999993</v>
      </c>
      <c r="Y2294">
        <v>10</v>
      </c>
      <c r="Z2294" s="5">
        <v>213.97</v>
      </c>
    </row>
    <row r="2295" spans="1:26">
      <c r="A2295">
        <v>2294</v>
      </c>
      <c r="B2295">
        <v>757</v>
      </c>
      <c r="C2295" s="2">
        <v>46248</v>
      </c>
      <c r="D2295" t="s">
        <v>26</v>
      </c>
      <c r="E2295">
        <v>8</v>
      </c>
      <c r="F2295" s="3">
        <v>8.65</v>
      </c>
      <c r="G2295" t="s">
        <v>27</v>
      </c>
      <c r="H2295">
        <v>40</v>
      </c>
      <c r="I2295" t="s">
        <v>34</v>
      </c>
      <c r="J2295" s="4">
        <v>65.599999999999994</v>
      </c>
      <c r="K2295" s="4">
        <v>182.9</v>
      </c>
      <c r="L2295" s="4">
        <v>29.7</v>
      </c>
      <c r="M2295">
        <v>16</v>
      </c>
      <c r="N2295" t="s">
        <v>53</v>
      </c>
      <c r="O2295">
        <v>4</v>
      </c>
      <c r="P2295" s="4">
        <v>787.7</v>
      </c>
      <c r="Q2295" t="s">
        <v>42</v>
      </c>
      <c r="R2295">
        <v>1</v>
      </c>
      <c r="S2295" t="s">
        <v>31</v>
      </c>
      <c r="T2295">
        <v>1</v>
      </c>
      <c r="U2295">
        <v>0</v>
      </c>
      <c r="V2295" t="s">
        <v>64</v>
      </c>
      <c r="W2295" t="s">
        <v>49</v>
      </c>
      <c r="X2295" s="4">
        <v>8.1</v>
      </c>
      <c r="Y2295">
        <v>4</v>
      </c>
      <c r="Z2295" s="5">
        <v>237.64</v>
      </c>
    </row>
    <row r="2296" spans="1:26">
      <c r="A2296">
        <v>2295</v>
      </c>
      <c r="B2296">
        <v>757</v>
      </c>
      <c r="C2296" s="2">
        <v>46248</v>
      </c>
      <c r="D2296" t="s">
        <v>26</v>
      </c>
      <c r="E2296">
        <v>8</v>
      </c>
      <c r="F2296" s="3">
        <v>8.65</v>
      </c>
      <c r="G2296" t="s">
        <v>27</v>
      </c>
      <c r="H2296">
        <v>55</v>
      </c>
      <c r="I2296" t="s">
        <v>34</v>
      </c>
      <c r="J2296" s="4">
        <v>66.599999999999994</v>
      </c>
      <c r="K2296" s="4">
        <v>156.19999999999999</v>
      </c>
      <c r="L2296" s="4">
        <v>24.7</v>
      </c>
      <c r="M2296">
        <v>17</v>
      </c>
      <c r="N2296" t="s">
        <v>53</v>
      </c>
      <c r="O2296">
        <v>4</v>
      </c>
      <c r="P2296" s="4">
        <v>787.7</v>
      </c>
      <c r="Q2296" t="s">
        <v>42</v>
      </c>
      <c r="R2296">
        <v>1</v>
      </c>
      <c r="S2296" t="s">
        <v>31</v>
      </c>
      <c r="T2296">
        <v>1</v>
      </c>
      <c r="U2296">
        <v>0</v>
      </c>
      <c r="V2296" t="s">
        <v>64</v>
      </c>
      <c r="W2296" t="s">
        <v>49</v>
      </c>
      <c r="X2296" s="4">
        <v>9.9</v>
      </c>
      <c r="Y2296">
        <v>5</v>
      </c>
      <c r="Z2296" s="5">
        <v>315.76</v>
      </c>
    </row>
    <row r="2297" spans="1:26">
      <c r="A2297">
        <v>2296</v>
      </c>
      <c r="B2297">
        <v>757</v>
      </c>
      <c r="C2297" s="2">
        <v>46248</v>
      </c>
      <c r="D2297" t="s">
        <v>26</v>
      </c>
      <c r="E2297">
        <v>8</v>
      </c>
      <c r="F2297" s="3">
        <v>8.5399999999999991</v>
      </c>
      <c r="G2297" t="s">
        <v>27</v>
      </c>
      <c r="H2297">
        <v>58</v>
      </c>
      <c r="I2297" t="s">
        <v>34</v>
      </c>
      <c r="J2297" s="4">
        <v>63.6</v>
      </c>
      <c r="K2297" s="4">
        <v>118.9</v>
      </c>
      <c r="L2297" s="4">
        <v>20.7</v>
      </c>
      <c r="M2297">
        <v>22</v>
      </c>
      <c r="N2297" t="s">
        <v>53</v>
      </c>
      <c r="O2297">
        <v>4</v>
      </c>
      <c r="P2297" s="4">
        <v>787.7</v>
      </c>
      <c r="Q2297" t="s">
        <v>42</v>
      </c>
      <c r="R2297">
        <v>1</v>
      </c>
      <c r="S2297" t="s">
        <v>31</v>
      </c>
      <c r="T2297">
        <v>1</v>
      </c>
      <c r="U2297">
        <v>0</v>
      </c>
      <c r="V2297" t="s">
        <v>64</v>
      </c>
      <c r="W2297" t="s">
        <v>49</v>
      </c>
      <c r="X2297" s="4">
        <v>9.6999999999999993</v>
      </c>
      <c r="Y2297">
        <v>14</v>
      </c>
      <c r="Z2297" s="5">
        <v>188.6</v>
      </c>
    </row>
    <row r="2298" spans="1:26">
      <c r="A2298">
        <v>2297</v>
      </c>
      <c r="B2298">
        <v>758</v>
      </c>
      <c r="C2298" s="2">
        <v>46243</v>
      </c>
      <c r="D2298" t="s">
        <v>58</v>
      </c>
      <c r="E2298">
        <v>8</v>
      </c>
      <c r="F2298" s="3">
        <v>11.28</v>
      </c>
      <c r="G2298" t="s">
        <v>36</v>
      </c>
      <c r="H2298">
        <v>36</v>
      </c>
      <c r="I2298" t="s">
        <v>34</v>
      </c>
      <c r="J2298" s="4">
        <v>67.900000000000006</v>
      </c>
      <c r="K2298" s="4">
        <v>164.2</v>
      </c>
      <c r="L2298" s="4">
        <v>24.9</v>
      </c>
      <c r="M2298">
        <v>16</v>
      </c>
      <c r="N2298" t="s">
        <v>50</v>
      </c>
      <c r="O2298">
        <v>3</v>
      </c>
      <c r="P2298" s="4">
        <v>367</v>
      </c>
      <c r="Q2298" t="s">
        <v>48</v>
      </c>
      <c r="R2298">
        <v>1</v>
      </c>
      <c r="S2298" t="s">
        <v>31</v>
      </c>
      <c r="T2298">
        <v>1</v>
      </c>
      <c r="U2298">
        <v>1</v>
      </c>
      <c r="V2298" t="s">
        <v>32</v>
      </c>
      <c r="W2298" t="s">
        <v>33</v>
      </c>
      <c r="X2298" s="4">
        <v>9.6</v>
      </c>
      <c r="Y2298">
        <v>4</v>
      </c>
      <c r="Z2298" s="5">
        <v>348.26</v>
      </c>
    </row>
    <row r="2299" spans="1:26">
      <c r="A2299">
        <v>2298</v>
      </c>
      <c r="B2299">
        <v>758</v>
      </c>
      <c r="C2299" s="2">
        <v>46243</v>
      </c>
      <c r="D2299" t="s">
        <v>58</v>
      </c>
      <c r="E2299">
        <v>8</v>
      </c>
      <c r="F2299" s="3">
        <v>11.2</v>
      </c>
      <c r="G2299" t="s">
        <v>36</v>
      </c>
      <c r="H2299">
        <v>33</v>
      </c>
      <c r="I2299" t="s">
        <v>28</v>
      </c>
      <c r="J2299" s="4">
        <v>71.2</v>
      </c>
      <c r="K2299" s="4">
        <v>195.4</v>
      </c>
      <c r="L2299" s="4">
        <v>26.9</v>
      </c>
      <c r="M2299">
        <v>18</v>
      </c>
      <c r="N2299" t="s">
        <v>50</v>
      </c>
      <c r="O2299">
        <v>3</v>
      </c>
      <c r="P2299" s="4">
        <v>367</v>
      </c>
      <c r="Q2299" t="s">
        <v>48</v>
      </c>
      <c r="R2299">
        <v>1</v>
      </c>
      <c r="S2299" t="s">
        <v>31</v>
      </c>
      <c r="T2299">
        <v>1</v>
      </c>
      <c r="U2299">
        <v>1</v>
      </c>
      <c r="V2299" t="s">
        <v>32</v>
      </c>
      <c r="W2299" t="s">
        <v>33</v>
      </c>
      <c r="X2299" s="4">
        <v>8.3000000000000007</v>
      </c>
      <c r="Y2299">
        <v>8</v>
      </c>
      <c r="Z2299" s="5">
        <v>205.24</v>
      </c>
    </row>
    <row r="2300" spans="1:26">
      <c r="A2300">
        <v>2299</v>
      </c>
      <c r="B2300">
        <v>758</v>
      </c>
      <c r="C2300" s="2">
        <v>46243</v>
      </c>
      <c r="D2300" t="s">
        <v>58</v>
      </c>
      <c r="E2300">
        <v>8</v>
      </c>
      <c r="F2300" s="3">
        <v>11.37</v>
      </c>
      <c r="G2300" t="s">
        <v>36</v>
      </c>
      <c r="H2300">
        <v>57</v>
      </c>
      <c r="I2300" t="s">
        <v>34</v>
      </c>
      <c r="J2300" s="4">
        <v>59.1</v>
      </c>
      <c r="K2300" s="4">
        <v>117.6</v>
      </c>
      <c r="L2300" s="4">
        <v>23.6</v>
      </c>
      <c r="M2300">
        <v>19</v>
      </c>
      <c r="N2300" t="s">
        <v>50</v>
      </c>
      <c r="O2300">
        <v>3</v>
      </c>
      <c r="P2300" s="4">
        <v>367</v>
      </c>
      <c r="Q2300" t="s">
        <v>48</v>
      </c>
      <c r="R2300">
        <v>1</v>
      </c>
      <c r="S2300" t="s">
        <v>31</v>
      </c>
      <c r="T2300">
        <v>1</v>
      </c>
      <c r="U2300">
        <v>1</v>
      </c>
      <c r="V2300" t="s">
        <v>32</v>
      </c>
      <c r="W2300" t="s">
        <v>33</v>
      </c>
      <c r="X2300" s="4">
        <v>9.1999999999999993</v>
      </c>
      <c r="Y2300">
        <v>18</v>
      </c>
      <c r="Z2300" s="5">
        <v>394.5</v>
      </c>
    </row>
    <row r="2301" spans="1:26">
      <c r="A2301">
        <v>2300</v>
      </c>
      <c r="B2301">
        <v>759</v>
      </c>
      <c r="C2301" s="2">
        <v>46138</v>
      </c>
      <c r="D2301" t="s">
        <v>58</v>
      </c>
      <c r="E2301">
        <v>4</v>
      </c>
      <c r="F2301" s="3">
        <v>12.6</v>
      </c>
      <c r="G2301" t="s">
        <v>36</v>
      </c>
      <c r="H2301">
        <v>45</v>
      </c>
      <c r="I2301" t="s">
        <v>34</v>
      </c>
      <c r="J2301" s="4">
        <v>62.5</v>
      </c>
      <c r="K2301" s="4">
        <v>133.80000000000001</v>
      </c>
      <c r="L2301" s="4">
        <v>24.1</v>
      </c>
      <c r="M2301">
        <v>17</v>
      </c>
      <c r="N2301" t="s">
        <v>53</v>
      </c>
      <c r="O2301">
        <v>2</v>
      </c>
      <c r="P2301" s="4">
        <v>778.1</v>
      </c>
      <c r="Q2301" t="s">
        <v>42</v>
      </c>
      <c r="R2301">
        <v>1</v>
      </c>
      <c r="S2301" t="s">
        <v>38</v>
      </c>
      <c r="T2301">
        <v>1</v>
      </c>
      <c r="U2301">
        <v>0</v>
      </c>
      <c r="V2301" t="s">
        <v>32</v>
      </c>
      <c r="W2301" t="s">
        <v>43</v>
      </c>
      <c r="X2301" s="4">
        <v>8.1999999999999993</v>
      </c>
      <c r="Y2301">
        <v>7</v>
      </c>
      <c r="Z2301" s="5">
        <v>160.13999999999999</v>
      </c>
    </row>
    <row r="2302" spans="1:26">
      <c r="A2302">
        <v>2301</v>
      </c>
      <c r="B2302">
        <v>759</v>
      </c>
      <c r="C2302" s="2">
        <v>46138</v>
      </c>
      <c r="D2302" t="s">
        <v>58</v>
      </c>
      <c r="E2302">
        <v>4</v>
      </c>
      <c r="F2302" s="3">
        <v>12.32</v>
      </c>
      <c r="G2302" t="s">
        <v>36</v>
      </c>
      <c r="H2302">
        <v>66</v>
      </c>
      <c r="I2302" t="s">
        <v>28</v>
      </c>
      <c r="J2302" s="4">
        <v>67.599999999999994</v>
      </c>
      <c r="K2302" s="4">
        <v>172.7</v>
      </c>
      <c r="L2302" s="4">
        <v>26.4</v>
      </c>
      <c r="M2302">
        <v>15</v>
      </c>
      <c r="N2302" t="s">
        <v>53</v>
      </c>
      <c r="O2302">
        <v>2</v>
      </c>
      <c r="P2302" s="4">
        <v>778.1</v>
      </c>
      <c r="Q2302" t="s">
        <v>42</v>
      </c>
      <c r="R2302">
        <v>1</v>
      </c>
      <c r="S2302" t="s">
        <v>38</v>
      </c>
      <c r="T2302">
        <v>1</v>
      </c>
      <c r="U2302">
        <v>0</v>
      </c>
      <c r="V2302" t="s">
        <v>32</v>
      </c>
      <c r="W2302" t="s">
        <v>43</v>
      </c>
      <c r="X2302" s="4">
        <v>7.6</v>
      </c>
      <c r="Y2302">
        <v>6</v>
      </c>
      <c r="Z2302" s="5">
        <v>219.92</v>
      </c>
    </row>
    <row r="2303" spans="1:26">
      <c r="A2303">
        <v>2302</v>
      </c>
      <c r="B2303">
        <v>760</v>
      </c>
      <c r="C2303" s="2">
        <v>46162</v>
      </c>
      <c r="D2303" t="s">
        <v>52</v>
      </c>
      <c r="E2303">
        <v>5</v>
      </c>
      <c r="F2303" s="3">
        <v>10.039999999999999</v>
      </c>
      <c r="G2303" t="s">
        <v>27</v>
      </c>
      <c r="H2303">
        <v>70</v>
      </c>
      <c r="I2303" t="s">
        <v>51</v>
      </c>
      <c r="J2303" s="4">
        <v>59.5</v>
      </c>
      <c r="K2303" s="4">
        <v>95.5</v>
      </c>
      <c r="L2303" s="4">
        <v>19.100000000000001</v>
      </c>
      <c r="M2303">
        <v>18</v>
      </c>
      <c r="N2303" t="s">
        <v>63</v>
      </c>
      <c r="O2303">
        <v>2</v>
      </c>
      <c r="P2303" s="4">
        <v>1903.2</v>
      </c>
      <c r="Q2303" t="s">
        <v>42</v>
      </c>
      <c r="R2303">
        <v>1</v>
      </c>
      <c r="S2303" t="s">
        <v>31</v>
      </c>
      <c r="T2303">
        <v>0</v>
      </c>
      <c r="U2303">
        <v>0</v>
      </c>
      <c r="V2303" t="s">
        <v>32</v>
      </c>
      <c r="W2303" t="s">
        <v>57</v>
      </c>
      <c r="X2303" s="4">
        <v>9.3000000000000007</v>
      </c>
      <c r="Y2303">
        <v>7</v>
      </c>
      <c r="Z2303" s="5">
        <v>170.4</v>
      </c>
    </row>
    <row r="2304" spans="1:26">
      <c r="A2304">
        <v>2303</v>
      </c>
      <c r="B2304">
        <v>760</v>
      </c>
      <c r="C2304" s="2">
        <v>46162</v>
      </c>
      <c r="D2304" t="s">
        <v>52</v>
      </c>
      <c r="E2304">
        <v>5</v>
      </c>
      <c r="F2304" s="3">
        <v>10.27</v>
      </c>
      <c r="G2304" t="s">
        <v>27</v>
      </c>
      <c r="H2304">
        <v>41</v>
      </c>
      <c r="I2304" t="s">
        <v>34</v>
      </c>
      <c r="J2304" s="4">
        <v>63.8</v>
      </c>
      <c r="K2304" s="4">
        <v>109</v>
      </c>
      <c r="L2304" s="4">
        <v>19</v>
      </c>
      <c r="M2304">
        <v>17</v>
      </c>
      <c r="N2304" t="s">
        <v>63</v>
      </c>
      <c r="O2304">
        <v>2</v>
      </c>
      <c r="P2304" s="4">
        <v>1903.2</v>
      </c>
      <c r="Q2304" t="s">
        <v>42</v>
      </c>
      <c r="R2304">
        <v>1</v>
      </c>
      <c r="S2304" t="s">
        <v>31</v>
      </c>
      <c r="T2304">
        <v>0</v>
      </c>
      <c r="U2304">
        <v>0</v>
      </c>
      <c r="V2304" t="s">
        <v>32</v>
      </c>
      <c r="W2304" t="s">
        <v>57</v>
      </c>
      <c r="X2304" s="4">
        <v>10.5</v>
      </c>
      <c r="Y2304">
        <v>14</v>
      </c>
      <c r="Z2304" s="5">
        <v>384.87</v>
      </c>
    </row>
    <row r="2305" spans="1:26">
      <c r="A2305">
        <v>2304</v>
      </c>
      <c r="B2305">
        <v>761</v>
      </c>
      <c r="C2305" s="2">
        <v>46210</v>
      </c>
      <c r="D2305" t="s">
        <v>35</v>
      </c>
      <c r="E2305">
        <v>7</v>
      </c>
      <c r="F2305" s="3">
        <v>9.57</v>
      </c>
      <c r="G2305" t="s">
        <v>27</v>
      </c>
      <c r="H2305">
        <v>27</v>
      </c>
      <c r="I2305" t="s">
        <v>28</v>
      </c>
      <c r="J2305" s="4">
        <v>69.900000000000006</v>
      </c>
      <c r="K2305" s="4">
        <v>147.30000000000001</v>
      </c>
      <c r="L2305" s="4">
        <v>21.3</v>
      </c>
      <c r="M2305">
        <v>14</v>
      </c>
      <c r="N2305" t="s">
        <v>54</v>
      </c>
      <c r="O2305">
        <v>5</v>
      </c>
      <c r="P2305" s="4">
        <v>2568.6999999999998</v>
      </c>
      <c r="Q2305" t="s">
        <v>30</v>
      </c>
      <c r="R2305">
        <v>1</v>
      </c>
      <c r="S2305" t="s">
        <v>38</v>
      </c>
      <c r="T2305">
        <v>0</v>
      </c>
      <c r="U2305">
        <v>0</v>
      </c>
      <c r="V2305" t="s">
        <v>45</v>
      </c>
      <c r="W2305" t="s">
        <v>39</v>
      </c>
      <c r="X2305" s="4">
        <v>8</v>
      </c>
      <c r="Y2305">
        <v>10</v>
      </c>
      <c r="Z2305" s="5">
        <v>219.49</v>
      </c>
    </row>
    <row r="2306" spans="1:26">
      <c r="A2306">
        <v>2305</v>
      </c>
      <c r="B2306">
        <v>761</v>
      </c>
      <c r="C2306" s="2">
        <v>46210</v>
      </c>
      <c r="D2306" t="s">
        <v>35</v>
      </c>
      <c r="E2306">
        <v>7</v>
      </c>
      <c r="F2306" s="3">
        <v>9.51</v>
      </c>
      <c r="G2306" t="s">
        <v>27</v>
      </c>
      <c r="H2306">
        <v>62</v>
      </c>
      <c r="I2306" t="s">
        <v>28</v>
      </c>
      <c r="J2306" s="4">
        <v>67.7</v>
      </c>
      <c r="K2306" s="4">
        <v>156.5</v>
      </c>
      <c r="L2306" s="4">
        <v>24.2</v>
      </c>
      <c r="M2306">
        <v>17</v>
      </c>
      <c r="N2306" t="s">
        <v>54</v>
      </c>
      <c r="O2306">
        <v>5</v>
      </c>
      <c r="P2306" s="4">
        <v>2568.6999999999998</v>
      </c>
      <c r="Q2306" t="s">
        <v>30</v>
      </c>
      <c r="R2306">
        <v>1</v>
      </c>
      <c r="S2306" t="s">
        <v>38</v>
      </c>
      <c r="T2306">
        <v>0</v>
      </c>
      <c r="U2306">
        <v>0</v>
      </c>
      <c r="V2306" t="s">
        <v>45</v>
      </c>
      <c r="W2306" t="s">
        <v>39</v>
      </c>
      <c r="X2306" s="4">
        <v>7.5</v>
      </c>
      <c r="Y2306">
        <v>9</v>
      </c>
      <c r="Z2306" s="5">
        <v>311.38</v>
      </c>
    </row>
    <row r="2307" spans="1:26">
      <c r="A2307">
        <v>2306</v>
      </c>
      <c r="B2307">
        <v>761</v>
      </c>
      <c r="C2307" s="2">
        <v>46210</v>
      </c>
      <c r="D2307" t="s">
        <v>35</v>
      </c>
      <c r="E2307">
        <v>7</v>
      </c>
      <c r="F2307" s="3">
        <v>9.66</v>
      </c>
      <c r="G2307" t="s">
        <v>27</v>
      </c>
      <c r="H2307">
        <v>50</v>
      </c>
      <c r="I2307" t="s">
        <v>34</v>
      </c>
      <c r="J2307" s="4">
        <v>67.099999999999994</v>
      </c>
      <c r="K2307" s="4">
        <v>135.19999999999999</v>
      </c>
      <c r="L2307" s="4">
        <v>21</v>
      </c>
      <c r="M2307">
        <v>15</v>
      </c>
      <c r="N2307" t="s">
        <v>54</v>
      </c>
      <c r="O2307">
        <v>5</v>
      </c>
      <c r="P2307" s="4">
        <v>2568.6999999999998</v>
      </c>
      <c r="Q2307" t="s">
        <v>30</v>
      </c>
      <c r="R2307">
        <v>1</v>
      </c>
      <c r="S2307" t="s">
        <v>38</v>
      </c>
      <c r="T2307">
        <v>0</v>
      </c>
      <c r="U2307">
        <v>0</v>
      </c>
      <c r="V2307" t="s">
        <v>45</v>
      </c>
      <c r="W2307" t="s">
        <v>39</v>
      </c>
      <c r="X2307" s="4">
        <v>10.5</v>
      </c>
      <c r="Y2307">
        <v>9</v>
      </c>
      <c r="Z2307" s="5">
        <v>323.32</v>
      </c>
    </row>
    <row r="2308" spans="1:26">
      <c r="A2308">
        <v>2307</v>
      </c>
      <c r="B2308">
        <v>761</v>
      </c>
      <c r="C2308" s="2">
        <v>46210</v>
      </c>
      <c r="D2308" t="s">
        <v>35</v>
      </c>
      <c r="E2308">
        <v>7</v>
      </c>
      <c r="F2308" s="3">
        <v>9.64</v>
      </c>
      <c r="G2308" t="s">
        <v>27</v>
      </c>
      <c r="H2308">
        <v>51</v>
      </c>
      <c r="I2308" t="s">
        <v>34</v>
      </c>
      <c r="J2308" s="4">
        <v>61.6</v>
      </c>
      <c r="K2308" s="4">
        <v>123</v>
      </c>
      <c r="L2308" s="4">
        <v>23</v>
      </c>
      <c r="M2308">
        <v>13</v>
      </c>
      <c r="N2308" t="s">
        <v>54</v>
      </c>
      <c r="O2308">
        <v>5</v>
      </c>
      <c r="P2308" s="4">
        <v>2568.6999999999998</v>
      </c>
      <c r="Q2308" t="s">
        <v>30</v>
      </c>
      <c r="R2308">
        <v>1</v>
      </c>
      <c r="S2308" t="s">
        <v>38</v>
      </c>
      <c r="T2308">
        <v>0</v>
      </c>
      <c r="U2308">
        <v>0</v>
      </c>
      <c r="V2308" t="s">
        <v>45</v>
      </c>
      <c r="W2308" t="s">
        <v>39</v>
      </c>
      <c r="X2308" s="4">
        <v>9.3000000000000007</v>
      </c>
      <c r="Y2308">
        <v>9</v>
      </c>
      <c r="Z2308" s="5">
        <v>373.49</v>
      </c>
    </row>
    <row r="2309" spans="1:26">
      <c r="A2309">
        <v>2308</v>
      </c>
      <c r="B2309">
        <v>761</v>
      </c>
      <c r="C2309" s="2">
        <v>46210</v>
      </c>
      <c r="D2309" t="s">
        <v>35</v>
      </c>
      <c r="E2309">
        <v>7</v>
      </c>
      <c r="F2309" s="3">
        <v>9.67</v>
      </c>
      <c r="G2309" t="s">
        <v>27</v>
      </c>
      <c r="H2309">
        <v>41</v>
      </c>
      <c r="I2309" t="s">
        <v>34</v>
      </c>
      <c r="J2309" s="4">
        <v>64.900000000000006</v>
      </c>
      <c r="K2309" s="4">
        <v>145.9</v>
      </c>
      <c r="L2309" s="4">
        <v>24.6</v>
      </c>
      <c r="M2309">
        <v>13</v>
      </c>
      <c r="N2309" t="s">
        <v>54</v>
      </c>
      <c r="O2309">
        <v>5</v>
      </c>
      <c r="P2309" s="4">
        <v>2568.6999999999998</v>
      </c>
      <c r="Q2309" t="s">
        <v>30</v>
      </c>
      <c r="R2309">
        <v>1</v>
      </c>
      <c r="S2309" t="s">
        <v>38</v>
      </c>
      <c r="T2309">
        <v>0</v>
      </c>
      <c r="U2309">
        <v>0</v>
      </c>
      <c r="V2309" t="s">
        <v>45</v>
      </c>
      <c r="W2309" t="s">
        <v>39</v>
      </c>
      <c r="X2309" s="4">
        <v>12</v>
      </c>
      <c r="Y2309">
        <v>12</v>
      </c>
      <c r="Z2309" s="5">
        <v>187.51</v>
      </c>
    </row>
    <row r="2310" spans="1:26">
      <c r="A2310">
        <v>2309</v>
      </c>
      <c r="B2310">
        <v>762</v>
      </c>
      <c r="C2310" s="2">
        <v>46327</v>
      </c>
      <c r="D2310" t="s">
        <v>58</v>
      </c>
      <c r="E2310">
        <v>11</v>
      </c>
      <c r="F2310" s="3">
        <v>12.45</v>
      </c>
      <c r="G2310" t="s">
        <v>36</v>
      </c>
      <c r="H2310">
        <v>55</v>
      </c>
      <c r="I2310" t="s">
        <v>28</v>
      </c>
      <c r="J2310" s="4">
        <v>71.400000000000006</v>
      </c>
      <c r="K2310" s="4">
        <v>193.3</v>
      </c>
      <c r="L2310" s="4">
        <v>26.5</v>
      </c>
      <c r="M2310">
        <v>18</v>
      </c>
      <c r="N2310" t="s">
        <v>47</v>
      </c>
      <c r="O2310">
        <v>6</v>
      </c>
      <c r="P2310" s="4">
        <v>78.099999999999994</v>
      </c>
      <c r="Q2310" t="s">
        <v>48</v>
      </c>
      <c r="R2310">
        <v>0</v>
      </c>
      <c r="S2310" t="s">
        <v>38</v>
      </c>
      <c r="T2310">
        <v>0</v>
      </c>
      <c r="U2310">
        <v>0</v>
      </c>
      <c r="V2310" t="s">
        <v>64</v>
      </c>
      <c r="W2310" t="s">
        <v>49</v>
      </c>
      <c r="X2310" s="4">
        <v>7.1</v>
      </c>
      <c r="Y2310">
        <v>5</v>
      </c>
      <c r="Z2310" s="5">
        <v>265.02999999999997</v>
      </c>
    </row>
    <row r="2311" spans="1:26">
      <c r="A2311">
        <v>2310</v>
      </c>
      <c r="B2311">
        <v>762</v>
      </c>
      <c r="C2311" s="2">
        <v>46327</v>
      </c>
      <c r="D2311" t="s">
        <v>58</v>
      </c>
      <c r="E2311">
        <v>11</v>
      </c>
      <c r="F2311" s="3">
        <v>12.6</v>
      </c>
      <c r="G2311" t="s">
        <v>36</v>
      </c>
      <c r="H2311">
        <v>15</v>
      </c>
      <c r="I2311" t="s">
        <v>34</v>
      </c>
      <c r="J2311" s="4">
        <v>69</v>
      </c>
      <c r="K2311" s="4">
        <v>136.9</v>
      </c>
      <c r="L2311" s="4">
        <v>20.5</v>
      </c>
      <c r="M2311">
        <v>16</v>
      </c>
      <c r="N2311" t="s">
        <v>47</v>
      </c>
      <c r="O2311">
        <v>6</v>
      </c>
      <c r="P2311" s="4">
        <v>78.099999999999994</v>
      </c>
      <c r="Q2311" t="s">
        <v>48</v>
      </c>
      <c r="R2311">
        <v>0</v>
      </c>
      <c r="S2311" t="s">
        <v>38</v>
      </c>
      <c r="T2311">
        <v>0</v>
      </c>
      <c r="U2311">
        <v>0</v>
      </c>
      <c r="V2311" t="s">
        <v>64</v>
      </c>
      <c r="W2311" t="s">
        <v>49</v>
      </c>
      <c r="X2311" s="4">
        <v>8.9</v>
      </c>
      <c r="Y2311">
        <v>6</v>
      </c>
      <c r="Z2311" s="5">
        <v>168.55</v>
      </c>
    </row>
    <row r="2312" spans="1:26">
      <c r="A2312">
        <v>2311</v>
      </c>
      <c r="B2312">
        <v>762</v>
      </c>
      <c r="C2312" s="2">
        <v>46327</v>
      </c>
      <c r="D2312" t="s">
        <v>58</v>
      </c>
      <c r="E2312">
        <v>11</v>
      </c>
      <c r="F2312" s="3">
        <v>12.49</v>
      </c>
      <c r="G2312" t="s">
        <v>36</v>
      </c>
      <c r="H2312">
        <v>21</v>
      </c>
      <c r="I2312" t="s">
        <v>28</v>
      </c>
      <c r="J2312" s="4">
        <v>74.400000000000006</v>
      </c>
      <c r="K2312" s="4">
        <v>248.8</v>
      </c>
      <c r="L2312" s="4">
        <v>31.6</v>
      </c>
      <c r="M2312">
        <v>13</v>
      </c>
      <c r="N2312" t="s">
        <v>47</v>
      </c>
      <c r="O2312">
        <v>6</v>
      </c>
      <c r="P2312" s="4">
        <v>78.099999999999994</v>
      </c>
      <c r="Q2312" t="s">
        <v>48</v>
      </c>
      <c r="R2312">
        <v>0</v>
      </c>
      <c r="S2312" t="s">
        <v>38</v>
      </c>
      <c r="T2312">
        <v>0</v>
      </c>
      <c r="U2312">
        <v>0</v>
      </c>
      <c r="V2312" t="s">
        <v>64</v>
      </c>
      <c r="W2312" t="s">
        <v>49</v>
      </c>
      <c r="X2312" s="4">
        <v>7.6</v>
      </c>
      <c r="Y2312">
        <v>12</v>
      </c>
      <c r="Z2312" s="5">
        <v>147.13999999999999</v>
      </c>
    </row>
    <row r="2313" spans="1:26">
      <c r="A2313">
        <v>2312</v>
      </c>
      <c r="B2313">
        <v>762</v>
      </c>
      <c r="C2313" s="2">
        <v>46327</v>
      </c>
      <c r="D2313" t="s">
        <v>58</v>
      </c>
      <c r="E2313">
        <v>11</v>
      </c>
      <c r="F2313" s="3">
        <v>12.22</v>
      </c>
      <c r="G2313" t="s">
        <v>36</v>
      </c>
      <c r="H2313">
        <v>56</v>
      </c>
      <c r="I2313" t="s">
        <v>28</v>
      </c>
      <c r="J2313" s="4">
        <v>67.5</v>
      </c>
      <c r="K2313" s="4">
        <v>183.1</v>
      </c>
      <c r="L2313" s="4">
        <v>28.3</v>
      </c>
      <c r="M2313">
        <v>17</v>
      </c>
      <c r="N2313" t="s">
        <v>47</v>
      </c>
      <c r="O2313">
        <v>6</v>
      </c>
      <c r="P2313" s="4">
        <v>78.099999999999994</v>
      </c>
      <c r="Q2313" t="s">
        <v>48</v>
      </c>
      <c r="R2313">
        <v>0</v>
      </c>
      <c r="S2313" t="s">
        <v>38</v>
      </c>
      <c r="T2313">
        <v>0</v>
      </c>
      <c r="U2313">
        <v>0</v>
      </c>
      <c r="V2313" t="s">
        <v>64</v>
      </c>
      <c r="W2313" t="s">
        <v>49</v>
      </c>
      <c r="X2313" s="4">
        <v>8.5</v>
      </c>
      <c r="Y2313">
        <v>12</v>
      </c>
      <c r="Z2313" s="5">
        <v>148.32</v>
      </c>
    </row>
    <row r="2314" spans="1:26">
      <c r="A2314">
        <v>2313</v>
      </c>
      <c r="B2314">
        <v>762</v>
      </c>
      <c r="C2314" s="2">
        <v>46327</v>
      </c>
      <c r="D2314" t="s">
        <v>58</v>
      </c>
      <c r="E2314">
        <v>11</v>
      </c>
      <c r="F2314" s="3">
        <v>12.63</v>
      </c>
      <c r="G2314" t="s">
        <v>36</v>
      </c>
      <c r="H2314">
        <v>78</v>
      </c>
      <c r="I2314" t="s">
        <v>28</v>
      </c>
      <c r="J2314" s="4">
        <v>71.599999999999994</v>
      </c>
      <c r="K2314" s="4">
        <v>220.7</v>
      </c>
      <c r="L2314" s="4">
        <v>30.5</v>
      </c>
      <c r="M2314">
        <v>18</v>
      </c>
      <c r="N2314" t="s">
        <v>47</v>
      </c>
      <c r="O2314">
        <v>6</v>
      </c>
      <c r="P2314" s="4">
        <v>78.099999999999994</v>
      </c>
      <c r="Q2314" t="s">
        <v>48</v>
      </c>
      <c r="R2314">
        <v>0</v>
      </c>
      <c r="S2314" t="s">
        <v>38</v>
      </c>
      <c r="T2314">
        <v>0</v>
      </c>
      <c r="U2314">
        <v>0</v>
      </c>
      <c r="V2314" t="s">
        <v>64</v>
      </c>
      <c r="W2314" t="s">
        <v>49</v>
      </c>
      <c r="X2314" s="4">
        <v>7.6</v>
      </c>
      <c r="Y2314">
        <v>9</v>
      </c>
      <c r="Z2314" s="5">
        <v>174.38</v>
      </c>
    </row>
    <row r="2315" spans="1:26">
      <c r="A2315">
        <v>2314</v>
      </c>
      <c r="B2315">
        <v>762</v>
      </c>
      <c r="C2315" s="2">
        <v>46327</v>
      </c>
      <c r="D2315" t="s">
        <v>58</v>
      </c>
      <c r="E2315">
        <v>11</v>
      </c>
      <c r="F2315" s="3">
        <v>12.3</v>
      </c>
      <c r="G2315" t="s">
        <v>36</v>
      </c>
      <c r="H2315">
        <v>56</v>
      </c>
      <c r="I2315" t="s">
        <v>28</v>
      </c>
      <c r="J2315" s="4">
        <v>69.099999999999994</v>
      </c>
      <c r="K2315" s="4">
        <v>170.9</v>
      </c>
      <c r="L2315" s="4">
        <v>25.1</v>
      </c>
      <c r="M2315">
        <v>19</v>
      </c>
      <c r="N2315" t="s">
        <v>47</v>
      </c>
      <c r="O2315">
        <v>6</v>
      </c>
      <c r="P2315" s="4">
        <v>78.099999999999994</v>
      </c>
      <c r="Q2315" t="s">
        <v>48</v>
      </c>
      <c r="R2315">
        <v>0</v>
      </c>
      <c r="S2315" t="s">
        <v>38</v>
      </c>
      <c r="T2315">
        <v>0</v>
      </c>
      <c r="U2315">
        <v>0</v>
      </c>
      <c r="V2315" t="s">
        <v>64</v>
      </c>
      <c r="W2315" t="s">
        <v>49</v>
      </c>
      <c r="X2315" s="4">
        <v>4.5999999999999996</v>
      </c>
      <c r="Y2315">
        <v>7</v>
      </c>
      <c r="Z2315" s="5">
        <v>150.68</v>
      </c>
    </row>
    <row r="2316" spans="1:26">
      <c r="A2316">
        <v>2315</v>
      </c>
      <c r="B2316">
        <v>763</v>
      </c>
      <c r="C2316" s="2">
        <v>46120</v>
      </c>
      <c r="D2316" t="s">
        <v>52</v>
      </c>
      <c r="E2316">
        <v>4</v>
      </c>
      <c r="F2316" s="3">
        <v>8.83</v>
      </c>
      <c r="G2316" t="s">
        <v>27</v>
      </c>
      <c r="H2316">
        <v>62</v>
      </c>
      <c r="I2316" t="s">
        <v>34</v>
      </c>
      <c r="J2316" s="4">
        <v>63.2</v>
      </c>
      <c r="K2316" s="4">
        <v>119.7</v>
      </c>
      <c r="L2316" s="4">
        <v>20.9</v>
      </c>
      <c r="M2316">
        <v>16</v>
      </c>
      <c r="N2316" t="s">
        <v>47</v>
      </c>
      <c r="O2316">
        <v>3</v>
      </c>
      <c r="P2316" s="4">
        <v>128.5</v>
      </c>
      <c r="Q2316" t="s">
        <v>48</v>
      </c>
      <c r="R2316">
        <v>0</v>
      </c>
      <c r="S2316" t="s">
        <v>44</v>
      </c>
      <c r="T2316">
        <v>0</v>
      </c>
      <c r="U2316">
        <v>1</v>
      </c>
      <c r="V2316" t="s">
        <v>32</v>
      </c>
      <c r="W2316" t="s">
        <v>43</v>
      </c>
      <c r="X2316" s="4">
        <v>10.3</v>
      </c>
      <c r="Y2316">
        <v>7</v>
      </c>
      <c r="Z2316" s="5">
        <v>160.5</v>
      </c>
    </row>
    <row r="2317" spans="1:26">
      <c r="A2317">
        <v>2316</v>
      </c>
      <c r="B2317">
        <v>763</v>
      </c>
      <c r="C2317" s="2">
        <v>46120</v>
      </c>
      <c r="D2317" t="s">
        <v>52</v>
      </c>
      <c r="E2317">
        <v>4</v>
      </c>
      <c r="F2317" s="3">
        <v>8.6999999999999993</v>
      </c>
      <c r="G2317" t="s">
        <v>27</v>
      </c>
      <c r="H2317">
        <v>57</v>
      </c>
      <c r="I2317" t="s">
        <v>28</v>
      </c>
      <c r="J2317" s="4">
        <v>64.8</v>
      </c>
      <c r="K2317" s="4">
        <v>163.69999999999999</v>
      </c>
      <c r="L2317" s="4">
        <v>27.5</v>
      </c>
      <c r="M2317">
        <v>16</v>
      </c>
      <c r="N2317" t="s">
        <v>47</v>
      </c>
      <c r="O2317">
        <v>3</v>
      </c>
      <c r="P2317" s="4">
        <v>128.5</v>
      </c>
      <c r="Q2317" t="s">
        <v>48</v>
      </c>
      <c r="R2317">
        <v>0</v>
      </c>
      <c r="S2317" t="s">
        <v>44</v>
      </c>
      <c r="T2317">
        <v>0</v>
      </c>
      <c r="U2317">
        <v>1</v>
      </c>
      <c r="V2317" t="s">
        <v>32</v>
      </c>
      <c r="W2317" t="s">
        <v>43</v>
      </c>
      <c r="X2317" s="4">
        <v>9.3000000000000007</v>
      </c>
      <c r="Y2317">
        <v>8</v>
      </c>
      <c r="Z2317" s="5">
        <v>295.8</v>
      </c>
    </row>
    <row r="2318" spans="1:26">
      <c r="A2318">
        <v>2317</v>
      </c>
      <c r="B2318">
        <v>763</v>
      </c>
      <c r="C2318" s="2">
        <v>46120</v>
      </c>
      <c r="D2318" t="s">
        <v>52</v>
      </c>
      <c r="E2318">
        <v>4</v>
      </c>
      <c r="F2318" s="3">
        <v>8.58</v>
      </c>
      <c r="G2318" t="s">
        <v>27</v>
      </c>
      <c r="H2318">
        <v>53</v>
      </c>
      <c r="I2318" t="s">
        <v>28</v>
      </c>
      <c r="J2318" s="4">
        <v>74.400000000000006</v>
      </c>
      <c r="K2318" s="4">
        <v>169.8</v>
      </c>
      <c r="L2318" s="4">
        <v>21.6</v>
      </c>
      <c r="M2318">
        <v>16</v>
      </c>
      <c r="N2318" t="s">
        <v>47</v>
      </c>
      <c r="O2318">
        <v>3</v>
      </c>
      <c r="P2318" s="4">
        <v>128.5</v>
      </c>
      <c r="Q2318" t="s">
        <v>48</v>
      </c>
      <c r="R2318">
        <v>0</v>
      </c>
      <c r="S2318" t="s">
        <v>44</v>
      </c>
      <c r="T2318">
        <v>0</v>
      </c>
      <c r="U2318">
        <v>1</v>
      </c>
      <c r="V2318" t="s">
        <v>32</v>
      </c>
      <c r="W2318" t="s">
        <v>43</v>
      </c>
      <c r="X2318" s="4">
        <v>8.4</v>
      </c>
      <c r="Y2318">
        <v>10</v>
      </c>
      <c r="Z2318" s="5">
        <v>303.94</v>
      </c>
    </row>
    <row r="2319" spans="1:26">
      <c r="A2319">
        <v>2318</v>
      </c>
      <c r="B2319">
        <v>764</v>
      </c>
      <c r="C2319" s="2">
        <v>46254</v>
      </c>
      <c r="D2319" t="s">
        <v>55</v>
      </c>
      <c r="E2319">
        <v>8</v>
      </c>
      <c r="F2319" s="3">
        <v>11.56</v>
      </c>
      <c r="G2319" t="s">
        <v>36</v>
      </c>
      <c r="H2319">
        <v>54</v>
      </c>
      <c r="I2319" t="s">
        <v>34</v>
      </c>
      <c r="J2319" s="4">
        <v>63.3</v>
      </c>
      <c r="K2319" s="4">
        <v>113.4</v>
      </c>
      <c r="L2319" s="4">
        <v>19.8</v>
      </c>
      <c r="M2319">
        <v>17</v>
      </c>
      <c r="N2319" t="s">
        <v>47</v>
      </c>
      <c r="O2319">
        <v>3</v>
      </c>
      <c r="P2319" s="4">
        <v>57.2</v>
      </c>
      <c r="Q2319" t="s">
        <v>30</v>
      </c>
      <c r="R2319">
        <v>0</v>
      </c>
      <c r="S2319" t="s">
        <v>38</v>
      </c>
      <c r="T2319">
        <v>1</v>
      </c>
      <c r="U2319">
        <v>0</v>
      </c>
      <c r="V2319" t="s">
        <v>32</v>
      </c>
      <c r="W2319" t="s">
        <v>43</v>
      </c>
      <c r="X2319" s="4">
        <v>8.3000000000000007</v>
      </c>
      <c r="Y2319">
        <v>8</v>
      </c>
      <c r="Z2319" s="5">
        <v>186.32</v>
      </c>
    </row>
    <row r="2320" spans="1:26">
      <c r="A2320">
        <v>2319</v>
      </c>
      <c r="B2320">
        <v>764</v>
      </c>
      <c r="C2320" s="2">
        <v>46254</v>
      </c>
      <c r="D2320" t="s">
        <v>55</v>
      </c>
      <c r="E2320">
        <v>8</v>
      </c>
      <c r="F2320" s="3">
        <v>11.16</v>
      </c>
      <c r="G2320" t="s">
        <v>36</v>
      </c>
      <c r="H2320">
        <v>56</v>
      </c>
      <c r="I2320" t="s">
        <v>28</v>
      </c>
      <c r="J2320" s="4">
        <v>70</v>
      </c>
      <c r="K2320" s="4">
        <v>213.1</v>
      </c>
      <c r="L2320" s="4">
        <v>30.4</v>
      </c>
      <c r="M2320">
        <v>18</v>
      </c>
      <c r="N2320" t="s">
        <v>47</v>
      </c>
      <c r="O2320">
        <v>3</v>
      </c>
      <c r="P2320" s="4">
        <v>57.2</v>
      </c>
      <c r="Q2320" t="s">
        <v>30</v>
      </c>
      <c r="R2320">
        <v>0</v>
      </c>
      <c r="S2320" t="s">
        <v>38</v>
      </c>
      <c r="T2320">
        <v>1</v>
      </c>
      <c r="U2320">
        <v>0</v>
      </c>
      <c r="V2320" t="s">
        <v>32</v>
      </c>
      <c r="W2320" t="s">
        <v>43</v>
      </c>
      <c r="X2320" s="4">
        <v>5.9</v>
      </c>
      <c r="Y2320">
        <v>4</v>
      </c>
      <c r="Z2320" s="5">
        <v>91.67</v>
      </c>
    </row>
    <row r="2321" spans="1:26">
      <c r="A2321">
        <v>2320</v>
      </c>
      <c r="B2321">
        <v>764</v>
      </c>
      <c r="C2321" s="2">
        <v>46254</v>
      </c>
      <c r="D2321" t="s">
        <v>55</v>
      </c>
      <c r="E2321">
        <v>8</v>
      </c>
      <c r="F2321" s="3">
        <v>11.29</v>
      </c>
      <c r="G2321" t="s">
        <v>36</v>
      </c>
      <c r="H2321">
        <v>70</v>
      </c>
      <c r="I2321" t="s">
        <v>34</v>
      </c>
      <c r="J2321" s="4">
        <v>61.6</v>
      </c>
      <c r="K2321" s="4">
        <v>135.5</v>
      </c>
      <c r="L2321" s="4">
        <v>24.8</v>
      </c>
      <c r="M2321">
        <v>11</v>
      </c>
      <c r="N2321" t="s">
        <v>47</v>
      </c>
      <c r="O2321">
        <v>3</v>
      </c>
      <c r="P2321" s="4">
        <v>57.2</v>
      </c>
      <c r="Q2321" t="s">
        <v>30</v>
      </c>
      <c r="R2321">
        <v>0</v>
      </c>
      <c r="S2321" t="s">
        <v>38</v>
      </c>
      <c r="T2321">
        <v>1</v>
      </c>
      <c r="U2321">
        <v>0</v>
      </c>
      <c r="V2321" t="s">
        <v>32</v>
      </c>
      <c r="W2321" t="s">
        <v>43</v>
      </c>
      <c r="X2321" s="4">
        <v>8.3000000000000007</v>
      </c>
      <c r="Y2321">
        <v>8</v>
      </c>
      <c r="Z2321" s="5">
        <v>261.32</v>
      </c>
    </row>
    <row r="2322" spans="1:26">
      <c r="A2322">
        <v>2321</v>
      </c>
      <c r="B2322">
        <v>765</v>
      </c>
      <c r="C2322" s="2">
        <v>46131</v>
      </c>
      <c r="D2322" t="s">
        <v>58</v>
      </c>
      <c r="E2322">
        <v>4</v>
      </c>
      <c r="F2322" s="3">
        <v>13.7</v>
      </c>
      <c r="G2322" t="s">
        <v>36</v>
      </c>
      <c r="H2322">
        <v>32</v>
      </c>
      <c r="I2322" t="s">
        <v>34</v>
      </c>
      <c r="J2322" s="4">
        <v>65.7</v>
      </c>
      <c r="K2322" s="4">
        <v>151.1</v>
      </c>
      <c r="L2322" s="4">
        <v>24.5</v>
      </c>
      <c r="M2322">
        <v>12</v>
      </c>
      <c r="N2322" t="s">
        <v>47</v>
      </c>
      <c r="O2322">
        <v>1</v>
      </c>
      <c r="P2322" s="4">
        <v>49.4</v>
      </c>
      <c r="Q2322" t="s">
        <v>30</v>
      </c>
      <c r="R2322">
        <v>1</v>
      </c>
      <c r="S2322" t="s">
        <v>44</v>
      </c>
      <c r="T2322">
        <v>0</v>
      </c>
      <c r="U2322">
        <v>0</v>
      </c>
      <c r="V2322" t="s">
        <v>32</v>
      </c>
      <c r="W2322" t="s">
        <v>49</v>
      </c>
      <c r="X2322" s="4">
        <v>8</v>
      </c>
      <c r="Y2322">
        <v>6</v>
      </c>
      <c r="Z2322" s="5">
        <v>250.96</v>
      </c>
    </row>
    <row r="2323" spans="1:26">
      <c r="A2323">
        <v>2322</v>
      </c>
      <c r="B2323">
        <v>766</v>
      </c>
      <c r="C2323" s="2">
        <v>46318</v>
      </c>
      <c r="D2323" t="s">
        <v>26</v>
      </c>
      <c r="E2323">
        <v>10</v>
      </c>
      <c r="F2323" s="3">
        <v>11.37</v>
      </c>
      <c r="G2323" t="s">
        <v>36</v>
      </c>
      <c r="H2323">
        <v>59</v>
      </c>
      <c r="I2323" t="s">
        <v>34</v>
      </c>
      <c r="J2323" s="4">
        <v>66.599999999999994</v>
      </c>
      <c r="K2323" s="4">
        <v>139.1</v>
      </c>
      <c r="L2323" s="4">
        <v>22.1</v>
      </c>
      <c r="M2323">
        <v>17</v>
      </c>
      <c r="N2323" t="s">
        <v>65</v>
      </c>
      <c r="O2323">
        <v>2</v>
      </c>
      <c r="P2323" s="4">
        <v>2020.7</v>
      </c>
      <c r="Q2323" t="s">
        <v>48</v>
      </c>
      <c r="R2323">
        <v>0</v>
      </c>
      <c r="S2323" t="s">
        <v>44</v>
      </c>
      <c r="T2323">
        <v>1</v>
      </c>
      <c r="U2323">
        <v>0</v>
      </c>
      <c r="V2323" t="s">
        <v>32</v>
      </c>
      <c r="W2323" t="s">
        <v>49</v>
      </c>
      <c r="X2323" s="4">
        <v>8.5</v>
      </c>
      <c r="Y2323">
        <v>10</v>
      </c>
      <c r="Z2323" s="5">
        <v>376.83</v>
      </c>
    </row>
    <row r="2324" spans="1:26">
      <c r="A2324">
        <v>2323</v>
      </c>
      <c r="B2324">
        <v>766</v>
      </c>
      <c r="C2324" s="2">
        <v>46318</v>
      </c>
      <c r="D2324" t="s">
        <v>26</v>
      </c>
      <c r="E2324">
        <v>10</v>
      </c>
      <c r="F2324" s="3">
        <v>11.41</v>
      </c>
      <c r="G2324" t="s">
        <v>36</v>
      </c>
      <c r="H2324">
        <v>85</v>
      </c>
      <c r="I2324" t="s">
        <v>28</v>
      </c>
      <c r="J2324" s="4">
        <v>70.2</v>
      </c>
      <c r="K2324" s="4">
        <v>193.9</v>
      </c>
      <c r="L2324" s="4">
        <v>27.9</v>
      </c>
      <c r="M2324">
        <v>18</v>
      </c>
      <c r="N2324" t="s">
        <v>65</v>
      </c>
      <c r="O2324">
        <v>2</v>
      </c>
      <c r="P2324" s="4">
        <v>2020.7</v>
      </c>
      <c r="Q2324" t="s">
        <v>48</v>
      </c>
      <c r="R2324">
        <v>0</v>
      </c>
      <c r="S2324" t="s">
        <v>44</v>
      </c>
      <c r="T2324">
        <v>1</v>
      </c>
      <c r="U2324">
        <v>0</v>
      </c>
      <c r="V2324" t="s">
        <v>32</v>
      </c>
      <c r="W2324" t="s">
        <v>49</v>
      </c>
      <c r="X2324" s="4">
        <v>9.1</v>
      </c>
      <c r="Y2324">
        <v>12</v>
      </c>
      <c r="Z2324" s="5">
        <v>257.05</v>
      </c>
    </row>
    <row r="2325" spans="1:26">
      <c r="A2325">
        <v>2324</v>
      </c>
      <c r="B2325">
        <v>767</v>
      </c>
      <c r="C2325" s="2">
        <v>46202</v>
      </c>
      <c r="D2325" t="s">
        <v>46</v>
      </c>
      <c r="E2325">
        <v>6</v>
      </c>
      <c r="F2325" s="3">
        <v>12.06</v>
      </c>
      <c r="G2325" t="s">
        <v>36</v>
      </c>
      <c r="H2325">
        <v>40</v>
      </c>
      <c r="I2325" t="s">
        <v>34</v>
      </c>
      <c r="J2325" s="4">
        <v>67.2</v>
      </c>
      <c r="K2325" s="4">
        <v>156.69999999999999</v>
      </c>
      <c r="L2325" s="4">
        <v>24.4</v>
      </c>
      <c r="M2325">
        <v>12</v>
      </c>
      <c r="N2325" t="s">
        <v>56</v>
      </c>
      <c r="O2325">
        <v>3</v>
      </c>
      <c r="P2325" s="4">
        <v>25.5</v>
      </c>
      <c r="Q2325" t="s">
        <v>30</v>
      </c>
      <c r="R2325">
        <v>1</v>
      </c>
      <c r="S2325" t="s">
        <v>31</v>
      </c>
      <c r="T2325">
        <v>1</v>
      </c>
      <c r="U2325">
        <v>0</v>
      </c>
      <c r="V2325" t="s">
        <v>32</v>
      </c>
      <c r="W2325" t="s">
        <v>39</v>
      </c>
      <c r="X2325" s="4">
        <v>7.6</v>
      </c>
      <c r="Y2325">
        <v>4</v>
      </c>
      <c r="Z2325" s="5">
        <v>148.16999999999999</v>
      </c>
    </row>
    <row r="2326" spans="1:26">
      <c r="A2326">
        <v>2325</v>
      </c>
      <c r="B2326">
        <v>767</v>
      </c>
      <c r="C2326" s="2">
        <v>46202</v>
      </c>
      <c r="D2326" t="s">
        <v>46</v>
      </c>
      <c r="E2326">
        <v>6</v>
      </c>
      <c r="F2326" s="3">
        <v>11.95</v>
      </c>
      <c r="G2326" t="s">
        <v>36</v>
      </c>
      <c r="H2326">
        <v>48</v>
      </c>
      <c r="I2326" t="s">
        <v>34</v>
      </c>
      <c r="J2326" s="4">
        <v>66.2</v>
      </c>
      <c r="K2326" s="4">
        <v>154</v>
      </c>
      <c r="L2326" s="4">
        <v>24.9</v>
      </c>
      <c r="M2326">
        <v>12</v>
      </c>
      <c r="N2326" t="s">
        <v>56</v>
      </c>
      <c r="O2326">
        <v>3</v>
      </c>
      <c r="P2326" s="4">
        <v>25.5</v>
      </c>
      <c r="Q2326" t="s">
        <v>30</v>
      </c>
      <c r="R2326">
        <v>1</v>
      </c>
      <c r="S2326" t="s">
        <v>31</v>
      </c>
      <c r="T2326">
        <v>1</v>
      </c>
      <c r="U2326">
        <v>0</v>
      </c>
      <c r="V2326" t="s">
        <v>32</v>
      </c>
      <c r="W2326" t="s">
        <v>39</v>
      </c>
      <c r="X2326" s="4">
        <v>6.6</v>
      </c>
      <c r="Y2326">
        <v>5</v>
      </c>
      <c r="Z2326" s="5">
        <v>190.47</v>
      </c>
    </row>
    <row r="2327" spans="1:26">
      <c r="A2327">
        <v>2326</v>
      </c>
      <c r="B2327">
        <v>767</v>
      </c>
      <c r="C2327" s="2">
        <v>46202</v>
      </c>
      <c r="D2327" t="s">
        <v>46</v>
      </c>
      <c r="E2327">
        <v>6</v>
      </c>
      <c r="F2327" s="3">
        <v>12.1</v>
      </c>
      <c r="G2327" t="s">
        <v>36</v>
      </c>
      <c r="H2327">
        <v>18</v>
      </c>
      <c r="I2327" t="s">
        <v>28</v>
      </c>
      <c r="J2327" s="4">
        <v>62.6</v>
      </c>
      <c r="K2327" s="4">
        <v>177.2</v>
      </c>
      <c r="L2327" s="4">
        <v>32</v>
      </c>
      <c r="M2327">
        <v>14</v>
      </c>
      <c r="N2327" t="s">
        <v>56</v>
      </c>
      <c r="O2327">
        <v>3</v>
      </c>
      <c r="P2327" s="4">
        <v>25.5</v>
      </c>
      <c r="Q2327" t="s">
        <v>30</v>
      </c>
      <c r="R2327">
        <v>1</v>
      </c>
      <c r="S2327" t="s">
        <v>31</v>
      </c>
      <c r="T2327">
        <v>1</v>
      </c>
      <c r="U2327">
        <v>0</v>
      </c>
      <c r="V2327" t="s">
        <v>32</v>
      </c>
      <c r="W2327" t="s">
        <v>39</v>
      </c>
      <c r="X2327" s="4">
        <v>9.1</v>
      </c>
      <c r="Y2327">
        <v>13</v>
      </c>
      <c r="Z2327" s="5">
        <v>193.46</v>
      </c>
    </row>
    <row r="2328" spans="1:26">
      <c r="A2328">
        <v>2327</v>
      </c>
      <c r="B2328">
        <v>768</v>
      </c>
      <c r="C2328" s="2">
        <v>46356</v>
      </c>
      <c r="D2328" t="s">
        <v>46</v>
      </c>
      <c r="E2328">
        <v>11</v>
      </c>
      <c r="F2328" s="3">
        <v>11.27</v>
      </c>
      <c r="G2328" t="s">
        <v>36</v>
      </c>
      <c r="H2328">
        <v>24</v>
      </c>
      <c r="I2328" t="s">
        <v>34</v>
      </c>
      <c r="J2328" s="4">
        <v>62.5</v>
      </c>
      <c r="K2328" s="4">
        <v>132</v>
      </c>
      <c r="L2328" s="4">
        <v>24</v>
      </c>
      <c r="M2328">
        <v>10</v>
      </c>
      <c r="N2328" t="s">
        <v>47</v>
      </c>
      <c r="O2328">
        <v>5</v>
      </c>
      <c r="P2328" s="4">
        <v>212.4</v>
      </c>
      <c r="Q2328" t="s">
        <v>30</v>
      </c>
      <c r="R2328">
        <v>1</v>
      </c>
      <c r="S2328" t="s">
        <v>31</v>
      </c>
      <c r="T2328">
        <v>0</v>
      </c>
      <c r="U2328">
        <v>0</v>
      </c>
      <c r="V2328" t="s">
        <v>32</v>
      </c>
      <c r="W2328" t="s">
        <v>43</v>
      </c>
      <c r="X2328" s="4">
        <v>9.5</v>
      </c>
      <c r="Y2328">
        <v>2</v>
      </c>
      <c r="Z2328" s="5">
        <v>145.99</v>
      </c>
    </row>
    <row r="2329" spans="1:26">
      <c r="A2329">
        <v>2328</v>
      </c>
      <c r="B2329">
        <v>768</v>
      </c>
      <c r="C2329" s="2">
        <v>46356</v>
      </c>
      <c r="D2329" t="s">
        <v>46</v>
      </c>
      <c r="E2329">
        <v>11</v>
      </c>
      <c r="F2329" s="3">
        <v>11.21</v>
      </c>
      <c r="G2329" t="s">
        <v>36</v>
      </c>
      <c r="H2329">
        <v>28</v>
      </c>
      <c r="I2329" t="s">
        <v>28</v>
      </c>
      <c r="J2329" s="4">
        <v>69.400000000000006</v>
      </c>
      <c r="K2329" s="4">
        <v>153.69999999999999</v>
      </c>
      <c r="L2329" s="4">
        <v>22.4</v>
      </c>
      <c r="M2329">
        <v>12</v>
      </c>
      <c r="N2329" t="s">
        <v>47</v>
      </c>
      <c r="O2329">
        <v>5</v>
      </c>
      <c r="P2329" s="4">
        <v>212.4</v>
      </c>
      <c r="Q2329" t="s">
        <v>30</v>
      </c>
      <c r="R2329">
        <v>1</v>
      </c>
      <c r="S2329" t="s">
        <v>31</v>
      </c>
      <c r="T2329">
        <v>0</v>
      </c>
      <c r="U2329">
        <v>0</v>
      </c>
      <c r="V2329" t="s">
        <v>32</v>
      </c>
      <c r="W2329" t="s">
        <v>43</v>
      </c>
      <c r="X2329" s="4">
        <v>9</v>
      </c>
      <c r="Y2329">
        <v>6</v>
      </c>
      <c r="Z2329" s="5">
        <v>249.75</v>
      </c>
    </row>
    <row r="2330" spans="1:26">
      <c r="A2330">
        <v>2329</v>
      </c>
      <c r="B2330">
        <v>768</v>
      </c>
      <c r="C2330" s="2">
        <v>46356</v>
      </c>
      <c r="D2330" t="s">
        <v>46</v>
      </c>
      <c r="E2330">
        <v>11</v>
      </c>
      <c r="F2330" s="3">
        <v>11.12</v>
      </c>
      <c r="G2330" t="s">
        <v>36</v>
      </c>
      <c r="H2330">
        <v>6</v>
      </c>
      <c r="I2330" t="s">
        <v>28</v>
      </c>
      <c r="J2330" s="4">
        <v>53</v>
      </c>
      <c r="K2330" s="4">
        <v>81.900000000000006</v>
      </c>
      <c r="L2330" s="4">
        <v>20.2</v>
      </c>
      <c r="M2330">
        <v>12</v>
      </c>
      <c r="N2330" t="s">
        <v>47</v>
      </c>
      <c r="O2330">
        <v>5</v>
      </c>
      <c r="P2330" s="4">
        <v>212.4</v>
      </c>
      <c r="Q2330" t="s">
        <v>30</v>
      </c>
      <c r="R2330">
        <v>1</v>
      </c>
      <c r="S2330" t="s">
        <v>31</v>
      </c>
      <c r="T2330">
        <v>0</v>
      </c>
      <c r="U2330">
        <v>0</v>
      </c>
      <c r="V2330" t="s">
        <v>32</v>
      </c>
      <c r="W2330" t="s">
        <v>43</v>
      </c>
      <c r="X2330" s="4">
        <v>9.6</v>
      </c>
      <c r="Y2330">
        <v>6</v>
      </c>
      <c r="Z2330" s="5">
        <v>349.12</v>
      </c>
    </row>
    <row r="2331" spans="1:26">
      <c r="A2331">
        <v>2330</v>
      </c>
      <c r="B2331">
        <v>768</v>
      </c>
      <c r="C2331" s="2">
        <v>46356</v>
      </c>
      <c r="D2331" t="s">
        <v>46</v>
      </c>
      <c r="E2331">
        <v>11</v>
      </c>
      <c r="F2331" s="3">
        <v>11.15</v>
      </c>
      <c r="G2331" t="s">
        <v>36</v>
      </c>
      <c r="H2331">
        <v>48</v>
      </c>
      <c r="I2331" t="s">
        <v>34</v>
      </c>
      <c r="J2331" s="4">
        <v>67.8</v>
      </c>
      <c r="K2331" s="4">
        <v>140.69999999999999</v>
      </c>
      <c r="L2331" s="4">
        <v>21.7</v>
      </c>
      <c r="M2331">
        <v>13</v>
      </c>
      <c r="N2331" t="s">
        <v>47</v>
      </c>
      <c r="O2331">
        <v>5</v>
      </c>
      <c r="P2331" s="4">
        <v>212.4</v>
      </c>
      <c r="Q2331" t="s">
        <v>30</v>
      </c>
      <c r="R2331">
        <v>1</v>
      </c>
      <c r="S2331" t="s">
        <v>31</v>
      </c>
      <c r="T2331">
        <v>0</v>
      </c>
      <c r="U2331">
        <v>0</v>
      </c>
      <c r="V2331" t="s">
        <v>32</v>
      </c>
      <c r="W2331" t="s">
        <v>43</v>
      </c>
      <c r="X2331" s="4">
        <v>9.1</v>
      </c>
      <c r="Y2331">
        <v>8</v>
      </c>
      <c r="Z2331" s="5">
        <v>225.11</v>
      </c>
    </row>
    <row r="2332" spans="1:26">
      <c r="A2332">
        <v>2331</v>
      </c>
      <c r="B2332">
        <v>768</v>
      </c>
      <c r="C2332" s="2">
        <v>46356</v>
      </c>
      <c r="D2332" t="s">
        <v>46</v>
      </c>
      <c r="E2332">
        <v>11</v>
      </c>
      <c r="F2332" s="3">
        <v>11.2</v>
      </c>
      <c r="G2332" t="s">
        <v>36</v>
      </c>
      <c r="H2332">
        <v>24</v>
      </c>
      <c r="I2332" t="s">
        <v>34</v>
      </c>
      <c r="J2332" s="4">
        <v>58.9</v>
      </c>
      <c r="K2332" s="4">
        <v>163</v>
      </c>
      <c r="L2332" s="4">
        <v>33.1</v>
      </c>
      <c r="M2332">
        <v>14</v>
      </c>
      <c r="N2332" t="s">
        <v>47</v>
      </c>
      <c r="O2332">
        <v>5</v>
      </c>
      <c r="P2332" s="4">
        <v>212.4</v>
      </c>
      <c r="Q2332" t="s">
        <v>30</v>
      </c>
      <c r="R2332">
        <v>1</v>
      </c>
      <c r="S2332" t="s">
        <v>31</v>
      </c>
      <c r="T2332">
        <v>0</v>
      </c>
      <c r="U2332">
        <v>0</v>
      </c>
      <c r="V2332" t="s">
        <v>32</v>
      </c>
      <c r="W2332" t="s">
        <v>43</v>
      </c>
      <c r="X2332" s="4">
        <v>8.9</v>
      </c>
      <c r="Y2332">
        <v>13</v>
      </c>
      <c r="Z2332" s="5">
        <v>200.66</v>
      </c>
    </row>
    <row r="2333" spans="1:26">
      <c r="A2333">
        <v>2332</v>
      </c>
      <c r="B2333">
        <v>769</v>
      </c>
      <c r="C2333" s="2">
        <v>46222</v>
      </c>
      <c r="D2333" t="s">
        <v>58</v>
      </c>
      <c r="E2333">
        <v>7</v>
      </c>
      <c r="F2333" s="3">
        <v>11.34</v>
      </c>
      <c r="G2333" t="s">
        <v>36</v>
      </c>
      <c r="H2333">
        <v>4</v>
      </c>
      <c r="I2333" t="s">
        <v>34</v>
      </c>
      <c r="J2333" s="4">
        <v>54.2</v>
      </c>
      <c r="K2333" s="4">
        <v>59.2</v>
      </c>
      <c r="L2333" s="4">
        <v>14.1</v>
      </c>
      <c r="M2333">
        <v>9</v>
      </c>
      <c r="N2333" t="s">
        <v>63</v>
      </c>
      <c r="O2333">
        <v>4</v>
      </c>
      <c r="P2333" s="4">
        <v>1887.2</v>
      </c>
      <c r="Q2333" t="s">
        <v>30</v>
      </c>
      <c r="R2333">
        <v>1</v>
      </c>
      <c r="S2333" t="s">
        <v>44</v>
      </c>
      <c r="T2333">
        <v>0</v>
      </c>
      <c r="U2333">
        <v>0</v>
      </c>
      <c r="V2333" t="s">
        <v>32</v>
      </c>
      <c r="W2333" t="s">
        <v>43</v>
      </c>
      <c r="X2333" s="4">
        <v>7.2</v>
      </c>
      <c r="Y2333">
        <v>6</v>
      </c>
      <c r="Z2333" s="5">
        <v>170.15</v>
      </c>
    </row>
    <row r="2334" spans="1:26">
      <c r="A2334">
        <v>2333</v>
      </c>
      <c r="B2334">
        <v>769</v>
      </c>
      <c r="C2334" s="2">
        <v>46222</v>
      </c>
      <c r="D2334" t="s">
        <v>58</v>
      </c>
      <c r="E2334">
        <v>7</v>
      </c>
      <c r="F2334" s="3">
        <v>11.13</v>
      </c>
      <c r="G2334" t="s">
        <v>36</v>
      </c>
      <c r="H2334">
        <v>49</v>
      </c>
      <c r="I2334" t="s">
        <v>34</v>
      </c>
      <c r="J2334" s="4">
        <v>61.5</v>
      </c>
      <c r="K2334" s="4">
        <v>95.9</v>
      </c>
      <c r="L2334" s="4">
        <v>17.7</v>
      </c>
      <c r="M2334">
        <v>12</v>
      </c>
      <c r="N2334" t="s">
        <v>63</v>
      </c>
      <c r="O2334">
        <v>4</v>
      </c>
      <c r="P2334" s="4">
        <v>1887.2</v>
      </c>
      <c r="Q2334" t="s">
        <v>30</v>
      </c>
      <c r="R2334">
        <v>1</v>
      </c>
      <c r="S2334" t="s">
        <v>44</v>
      </c>
      <c r="T2334">
        <v>0</v>
      </c>
      <c r="U2334">
        <v>0</v>
      </c>
      <c r="V2334" t="s">
        <v>32</v>
      </c>
      <c r="W2334" t="s">
        <v>43</v>
      </c>
      <c r="X2334" s="4">
        <v>8.6999999999999993</v>
      </c>
      <c r="Y2334">
        <v>5</v>
      </c>
      <c r="Z2334" s="5">
        <v>183.85</v>
      </c>
    </row>
    <row r="2335" spans="1:26">
      <c r="A2335">
        <v>2334</v>
      </c>
      <c r="B2335">
        <v>769</v>
      </c>
      <c r="C2335" s="2">
        <v>46222</v>
      </c>
      <c r="D2335" t="s">
        <v>58</v>
      </c>
      <c r="E2335">
        <v>7</v>
      </c>
      <c r="F2335" s="3">
        <v>11.23</v>
      </c>
      <c r="G2335" t="s">
        <v>36</v>
      </c>
      <c r="H2335">
        <v>50</v>
      </c>
      <c r="I2335" t="s">
        <v>34</v>
      </c>
      <c r="J2335" s="4">
        <v>68.400000000000006</v>
      </c>
      <c r="K2335" s="4">
        <v>224.2</v>
      </c>
      <c r="L2335" s="4">
        <v>33.700000000000003</v>
      </c>
      <c r="M2335">
        <v>17</v>
      </c>
      <c r="N2335" t="s">
        <v>63</v>
      </c>
      <c r="O2335">
        <v>4</v>
      </c>
      <c r="P2335" s="4">
        <v>1887.2</v>
      </c>
      <c r="Q2335" t="s">
        <v>30</v>
      </c>
      <c r="R2335">
        <v>1</v>
      </c>
      <c r="S2335" t="s">
        <v>44</v>
      </c>
      <c r="T2335">
        <v>0</v>
      </c>
      <c r="U2335">
        <v>0</v>
      </c>
      <c r="V2335" t="s">
        <v>32</v>
      </c>
      <c r="W2335" t="s">
        <v>43</v>
      </c>
      <c r="X2335" s="4">
        <v>10.3</v>
      </c>
      <c r="Y2335">
        <v>10</v>
      </c>
      <c r="Z2335" s="5">
        <v>231.36</v>
      </c>
    </row>
    <row r="2336" spans="1:26">
      <c r="A2336">
        <v>2335</v>
      </c>
      <c r="B2336">
        <v>769</v>
      </c>
      <c r="C2336" s="2">
        <v>46222</v>
      </c>
      <c r="D2336" t="s">
        <v>58</v>
      </c>
      <c r="E2336">
        <v>7</v>
      </c>
      <c r="F2336" s="3">
        <v>11.23</v>
      </c>
      <c r="G2336" t="s">
        <v>36</v>
      </c>
      <c r="H2336">
        <v>25</v>
      </c>
      <c r="I2336" t="s">
        <v>34</v>
      </c>
      <c r="J2336" s="4">
        <v>62</v>
      </c>
      <c r="K2336" s="4">
        <v>133.30000000000001</v>
      </c>
      <c r="L2336" s="4">
        <v>24.5</v>
      </c>
      <c r="M2336">
        <v>12</v>
      </c>
      <c r="N2336" t="s">
        <v>63</v>
      </c>
      <c r="O2336">
        <v>4</v>
      </c>
      <c r="P2336" s="4">
        <v>1887.2</v>
      </c>
      <c r="Q2336" t="s">
        <v>30</v>
      </c>
      <c r="R2336">
        <v>1</v>
      </c>
      <c r="S2336" t="s">
        <v>44</v>
      </c>
      <c r="T2336">
        <v>0</v>
      </c>
      <c r="U2336">
        <v>0</v>
      </c>
      <c r="V2336" t="s">
        <v>32</v>
      </c>
      <c r="W2336" t="s">
        <v>43</v>
      </c>
      <c r="X2336" s="4">
        <v>8.5</v>
      </c>
      <c r="Y2336">
        <v>9</v>
      </c>
      <c r="Z2336" s="5">
        <v>297.87</v>
      </c>
    </row>
    <row r="2337" spans="1:26">
      <c r="A2337">
        <v>2336</v>
      </c>
      <c r="B2337">
        <v>770</v>
      </c>
      <c r="C2337" s="2">
        <v>46162</v>
      </c>
      <c r="D2337" t="s">
        <v>52</v>
      </c>
      <c r="E2337">
        <v>5</v>
      </c>
      <c r="F2337" s="3">
        <v>12.43</v>
      </c>
      <c r="G2337" t="s">
        <v>36</v>
      </c>
      <c r="H2337">
        <v>40</v>
      </c>
      <c r="I2337" t="s">
        <v>28</v>
      </c>
      <c r="J2337" s="4">
        <v>69.099999999999994</v>
      </c>
      <c r="K2337" s="4">
        <v>175.2</v>
      </c>
      <c r="L2337" s="4">
        <v>25.8</v>
      </c>
      <c r="M2337">
        <v>15</v>
      </c>
      <c r="N2337" t="s">
        <v>47</v>
      </c>
      <c r="O2337">
        <v>5</v>
      </c>
      <c r="P2337" s="4">
        <v>146.19999999999999</v>
      </c>
      <c r="Q2337" t="s">
        <v>48</v>
      </c>
      <c r="R2337">
        <v>1</v>
      </c>
      <c r="S2337" t="s">
        <v>31</v>
      </c>
      <c r="T2337">
        <v>1</v>
      </c>
      <c r="U2337">
        <v>0</v>
      </c>
      <c r="V2337" t="s">
        <v>32</v>
      </c>
      <c r="W2337" t="s">
        <v>43</v>
      </c>
      <c r="X2337" s="4">
        <v>7.5</v>
      </c>
      <c r="Y2337">
        <v>10</v>
      </c>
      <c r="Z2337" s="5">
        <v>226.65</v>
      </c>
    </row>
    <row r="2338" spans="1:26">
      <c r="A2338">
        <v>2337</v>
      </c>
      <c r="B2338">
        <v>770</v>
      </c>
      <c r="C2338" s="2">
        <v>46162</v>
      </c>
      <c r="D2338" t="s">
        <v>52</v>
      </c>
      <c r="E2338">
        <v>5</v>
      </c>
      <c r="F2338" s="3">
        <v>12.58</v>
      </c>
      <c r="G2338" t="s">
        <v>36</v>
      </c>
      <c r="H2338">
        <v>6</v>
      </c>
      <c r="I2338" t="s">
        <v>28</v>
      </c>
      <c r="J2338" s="4">
        <v>52.5</v>
      </c>
      <c r="K2338" s="4">
        <v>74.900000000000006</v>
      </c>
      <c r="L2338" s="4">
        <v>18.899999999999999</v>
      </c>
      <c r="M2338">
        <v>14</v>
      </c>
      <c r="N2338" t="s">
        <v>47</v>
      </c>
      <c r="O2338">
        <v>5</v>
      </c>
      <c r="P2338" s="4">
        <v>146.19999999999999</v>
      </c>
      <c r="Q2338" t="s">
        <v>48</v>
      </c>
      <c r="R2338">
        <v>1</v>
      </c>
      <c r="S2338" t="s">
        <v>31</v>
      </c>
      <c r="T2338">
        <v>1</v>
      </c>
      <c r="U2338">
        <v>0</v>
      </c>
      <c r="V2338" t="s">
        <v>32</v>
      </c>
      <c r="W2338" t="s">
        <v>43</v>
      </c>
      <c r="X2338" s="4">
        <v>9</v>
      </c>
      <c r="Y2338">
        <v>8</v>
      </c>
      <c r="Z2338" s="5">
        <v>305.86</v>
      </c>
    </row>
    <row r="2339" spans="1:26">
      <c r="A2339">
        <v>2338</v>
      </c>
      <c r="B2339">
        <v>770</v>
      </c>
      <c r="C2339" s="2">
        <v>46162</v>
      </c>
      <c r="D2339" t="s">
        <v>52</v>
      </c>
      <c r="E2339">
        <v>5</v>
      </c>
      <c r="F2339" s="3">
        <v>12.42</v>
      </c>
      <c r="G2339" t="s">
        <v>36</v>
      </c>
      <c r="H2339">
        <v>68</v>
      </c>
      <c r="I2339" t="s">
        <v>28</v>
      </c>
      <c r="J2339" s="4">
        <v>77.5</v>
      </c>
      <c r="K2339" s="4">
        <v>215.7</v>
      </c>
      <c r="L2339" s="4">
        <v>25.1</v>
      </c>
      <c r="M2339">
        <v>18</v>
      </c>
      <c r="N2339" t="s">
        <v>47</v>
      </c>
      <c r="O2339">
        <v>5</v>
      </c>
      <c r="P2339" s="4">
        <v>146.19999999999999</v>
      </c>
      <c r="Q2339" t="s">
        <v>48</v>
      </c>
      <c r="R2339">
        <v>1</v>
      </c>
      <c r="S2339" t="s">
        <v>31</v>
      </c>
      <c r="T2339">
        <v>1</v>
      </c>
      <c r="U2339">
        <v>0</v>
      </c>
      <c r="V2339" t="s">
        <v>32</v>
      </c>
      <c r="W2339" t="s">
        <v>43</v>
      </c>
      <c r="X2339" s="4">
        <v>9.4</v>
      </c>
      <c r="Y2339">
        <v>7</v>
      </c>
      <c r="Z2339" s="5">
        <v>202.41</v>
      </c>
    </row>
    <row r="2340" spans="1:26">
      <c r="A2340">
        <v>2339</v>
      </c>
      <c r="B2340">
        <v>770</v>
      </c>
      <c r="C2340" s="2">
        <v>46162</v>
      </c>
      <c r="D2340" t="s">
        <v>52</v>
      </c>
      <c r="E2340">
        <v>5</v>
      </c>
      <c r="F2340" s="3">
        <v>12.38</v>
      </c>
      <c r="G2340" t="s">
        <v>36</v>
      </c>
      <c r="H2340">
        <v>57</v>
      </c>
      <c r="I2340" t="s">
        <v>28</v>
      </c>
      <c r="J2340" s="4">
        <v>68.5</v>
      </c>
      <c r="K2340" s="4">
        <v>162.5</v>
      </c>
      <c r="L2340" s="4">
        <v>24.2</v>
      </c>
      <c r="M2340">
        <v>17</v>
      </c>
      <c r="N2340" t="s">
        <v>47</v>
      </c>
      <c r="O2340">
        <v>5</v>
      </c>
      <c r="P2340" s="4">
        <v>146.19999999999999</v>
      </c>
      <c r="Q2340" t="s">
        <v>48</v>
      </c>
      <c r="R2340">
        <v>1</v>
      </c>
      <c r="S2340" t="s">
        <v>31</v>
      </c>
      <c r="T2340">
        <v>1</v>
      </c>
      <c r="U2340">
        <v>0</v>
      </c>
      <c r="V2340" t="s">
        <v>32</v>
      </c>
      <c r="W2340" t="s">
        <v>43</v>
      </c>
      <c r="X2340" s="4">
        <v>10.4</v>
      </c>
      <c r="Y2340">
        <v>11</v>
      </c>
      <c r="Z2340" s="5">
        <v>243.97</v>
      </c>
    </row>
    <row r="2341" spans="1:26">
      <c r="A2341">
        <v>2340</v>
      </c>
      <c r="B2341">
        <v>770</v>
      </c>
      <c r="C2341" s="2">
        <v>46162</v>
      </c>
      <c r="D2341" t="s">
        <v>52</v>
      </c>
      <c r="E2341">
        <v>5</v>
      </c>
      <c r="F2341" s="3">
        <v>12.41</v>
      </c>
      <c r="G2341" t="s">
        <v>36</v>
      </c>
      <c r="H2341">
        <v>32</v>
      </c>
      <c r="I2341" t="s">
        <v>28</v>
      </c>
      <c r="J2341" s="4">
        <v>72.900000000000006</v>
      </c>
      <c r="K2341" s="4">
        <v>245.6</v>
      </c>
      <c r="L2341" s="4">
        <v>32.4</v>
      </c>
      <c r="M2341">
        <v>16</v>
      </c>
      <c r="N2341" t="s">
        <v>47</v>
      </c>
      <c r="O2341">
        <v>5</v>
      </c>
      <c r="P2341" s="4">
        <v>146.19999999999999</v>
      </c>
      <c r="Q2341" t="s">
        <v>48</v>
      </c>
      <c r="R2341">
        <v>1</v>
      </c>
      <c r="S2341" t="s">
        <v>31</v>
      </c>
      <c r="T2341">
        <v>1</v>
      </c>
      <c r="U2341">
        <v>0</v>
      </c>
      <c r="V2341" t="s">
        <v>32</v>
      </c>
      <c r="W2341" t="s">
        <v>43</v>
      </c>
      <c r="X2341" s="4">
        <v>11.4</v>
      </c>
      <c r="Y2341">
        <v>8</v>
      </c>
      <c r="Z2341" s="5">
        <v>469.04</v>
      </c>
    </row>
    <row r="2342" spans="1:26">
      <c r="A2342">
        <v>2341</v>
      </c>
      <c r="B2342">
        <v>771</v>
      </c>
      <c r="C2342" s="2">
        <v>46117</v>
      </c>
      <c r="D2342" t="s">
        <v>58</v>
      </c>
      <c r="E2342">
        <v>4</v>
      </c>
      <c r="F2342" s="3">
        <v>11.12</v>
      </c>
      <c r="G2342" t="s">
        <v>36</v>
      </c>
      <c r="H2342">
        <v>8</v>
      </c>
      <c r="I2342" t="s">
        <v>34</v>
      </c>
      <c r="J2342" s="4">
        <v>64.099999999999994</v>
      </c>
      <c r="K2342" s="4">
        <v>88.1</v>
      </c>
      <c r="L2342" s="4">
        <v>14.9</v>
      </c>
      <c r="M2342">
        <v>15</v>
      </c>
      <c r="N2342" t="s">
        <v>56</v>
      </c>
      <c r="O2342">
        <v>2</v>
      </c>
      <c r="P2342" s="4">
        <v>236.5</v>
      </c>
      <c r="Q2342" t="s">
        <v>48</v>
      </c>
      <c r="R2342">
        <v>0</v>
      </c>
      <c r="S2342" t="s">
        <v>44</v>
      </c>
      <c r="T2342">
        <v>0</v>
      </c>
      <c r="U2342">
        <v>0</v>
      </c>
      <c r="V2342" t="s">
        <v>32</v>
      </c>
      <c r="W2342" t="s">
        <v>39</v>
      </c>
      <c r="X2342" s="4">
        <v>5.8</v>
      </c>
      <c r="Y2342">
        <v>6</v>
      </c>
      <c r="Z2342" s="5">
        <v>209.09</v>
      </c>
    </row>
    <row r="2343" spans="1:26">
      <c r="A2343">
        <v>2342</v>
      </c>
      <c r="B2343">
        <v>771</v>
      </c>
      <c r="C2343" s="2">
        <v>46117</v>
      </c>
      <c r="D2343" t="s">
        <v>58</v>
      </c>
      <c r="E2343">
        <v>4</v>
      </c>
      <c r="F2343" s="3">
        <v>10.83</v>
      </c>
      <c r="G2343" t="s">
        <v>27</v>
      </c>
      <c r="H2343">
        <v>34</v>
      </c>
      <c r="I2343" t="s">
        <v>34</v>
      </c>
      <c r="J2343" s="4">
        <v>61.7</v>
      </c>
      <c r="K2343" s="4">
        <v>147.5</v>
      </c>
      <c r="L2343" s="4">
        <v>27.4</v>
      </c>
      <c r="M2343">
        <v>18</v>
      </c>
      <c r="N2343" t="s">
        <v>56</v>
      </c>
      <c r="O2343">
        <v>2</v>
      </c>
      <c r="P2343" s="4">
        <v>236.5</v>
      </c>
      <c r="Q2343" t="s">
        <v>48</v>
      </c>
      <c r="R2343">
        <v>0</v>
      </c>
      <c r="S2343" t="s">
        <v>44</v>
      </c>
      <c r="T2343">
        <v>0</v>
      </c>
      <c r="U2343">
        <v>0</v>
      </c>
      <c r="V2343" t="s">
        <v>32</v>
      </c>
      <c r="W2343" t="s">
        <v>39</v>
      </c>
      <c r="X2343" s="4">
        <v>7.6</v>
      </c>
      <c r="Y2343">
        <v>8</v>
      </c>
      <c r="Z2343" s="5">
        <v>222.08</v>
      </c>
    </row>
    <row r="2344" spans="1:26">
      <c r="A2344">
        <v>2343</v>
      </c>
      <c r="B2344">
        <v>772</v>
      </c>
      <c r="C2344" s="2">
        <v>46133</v>
      </c>
      <c r="D2344" t="s">
        <v>35</v>
      </c>
      <c r="E2344">
        <v>4</v>
      </c>
      <c r="F2344" s="3">
        <v>9.06</v>
      </c>
      <c r="G2344" t="s">
        <v>27</v>
      </c>
      <c r="H2344">
        <v>39</v>
      </c>
      <c r="I2344" t="s">
        <v>34</v>
      </c>
      <c r="J2344" s="4">
        <v>68.400000000000006</v>
      </c>
      <c r="K2344" s="4">
        <v>200.1</v>
      </c>
      <c r="L2344" s="4">
        <v>30.1</v>
      </c>
      <c r="M2344">
        <v>18</v>
      </c>
      <c r="N2344" t="s">
        <v>29</v>
      </c>
      <c r="O2344">
        <v>2</v>
      </c>
      <c r="P2344" s="4">
        <v>1845.2</v>
      </c>
      <c r="Q2344" t="s">
        <v>48</v>
      </c>
      <c r="R2344">
        <v>1</v>
      </c>
      <c r="S2344" t="s">
        <v>31</v>
      </c>
      <c r="T2344">
        <v>1</v>
      </c>
      <c r="U2344">
        <v>1</v>
      </c>
      <c r="V2344" t="s">
        <v>32</v>
      </c>
      <c r="W2344" t="s">
        <v>33</v>
      </c>
      <c r="X2344" s="4">
        <v>10.7</v>
      </c>
      <c r="Y2344">
        <v>11</v>
      </c>
      <c r="Z2344" s="5">
        <v>155.69999999999999</v>
      </c>
    </row>
    <row r="2345" spans="1:26">
      <c r="A2345">
        <v>2344</v>
      </c>
      <c r="B2345">
        <v>772</v>
      </c>
      <c r="C2345" s="2">
        <v>46133</v>
      </c>
      <c r="D2345" t="s">
        <v>35</v>
      </c>
      <c r="E2345">
        <v>4</v>
      </c>
      <c r="F2345" s="3">
        <v>8.9499999999999993</v>
      </c>
      <c r="G2345" t="s">
        <v>27</v>
      </c>
      <c r="H2345">
        <v>50</v>
      </c>
      <c r="I2345" t="s">
        <v>28</v>
      </c>
      <c r="J2345" s="4">
        <v>62.9</v>
      </c>
      <c r="K2345" s="4">
        <v>97.2</v>
      </c>
      <c r="L2345" s="4">
        <v>17.399999999999999</v>
      </c>
      <c r="M2345">
        <v>21</v>
      </c>
      <c r="N2345" t="s">
        <v>29</v>
      </c>
      <c r="O2345">
        <v>2</v>
      </c>
      <c r="P2345" s="4">
        <v>1845.2</v>
      </c>
      <c r="Q2345" t="s">
        <v>48</v>
      </c>
      <c r="R2345">
        <v>1</v>
      </c>
      <c r="S2345" t="s">
        <v>31</v>
      </c>
      <c r="T2345">
        <v>1</v>
      </c>
      <c r="U2345">
        <v>1</v>
      </c>
      <c r="V2345" t="s">
        <v>32</v>
      </c>
      <c r="W2345" t="s">
        <v>33</v>
      </c>
      <c r="X2345" s="4">
        <v>7</v>
      </c>
      <c r="Y2345">
        <v>11</v>
      </c>
      <c r="Z2345" s="5">
        <v>327.83</v>
      </c>
    </row>
    <row r="2346" spans="1:26">
      <c r="A2346">
        <v>2345</v>
      </c>
      <c r="B2346">
        <v>773</v>
      </c>
      <c r="C2346" s="2">
        <v>46229</v>
      </c>
      <c r="D2346" t="s">
        <v>58</v>
      </c>
      <c r="E2346">
        <v>7</v>
      </c>
      <c r="F2346" s="3">
        <v>9.69</v>
      </c>
      <c r="G2346" t="s">
        <v>27</v>
      </c>
      <c r="H2346">
        <v>48</v>
      </c>
      <c r="I2346" t="s">
        <v>28</v>
      </c>
      <c r="J2346" s="4">
        <v>67</v>
      </c>
      <c r="K2346" s="4">
        <v>154.80000000000001</v>
      </c>
      <c r="L2346" s="4">
        <v>24.1</v>
      </c>
      <c r="M2346">
        <v>11</v>
      </c>
      <c r="N2346" t="s">
        <v>66</v>
      </c>
      <c r="O2346">
        <v>5</v>
      </c>
      <c r="P2346" s="4">
        <v>744.5</v>
      </c>
      <c r="Q2346" t="s">
        <v>42</v>
      </c>
      <c r="R2346">
        <v>0</v>
      </c>
      <c r="S2346" t="s">
        <v>44</v>
      </c>
      <c r="T2346">
        <v>1</v>
      </c>
      <c r="U2346">
        <v>0</v>
      </c>
      <c r="V2346" t="s">
        <v>45</v>
      </c>
      <c r="W2346" t="s">
        <v>43</v>
      </c>
      <c r="X2346" s="4">
        <v>7.2</v>
      </c>
      <c r="Y2346">
        <v>7</v>
      </c>
      <c r="Z2346" s="5">
        <v>146.12</v>
      </c>
    </row>
    <row r="2347" spans="1:26">
      <c r="A2347">
        <v>2346</v>
      </c>
      <c r="B2347">
        <v>773</v>
      </c>
      <c r="C2347" s="2">
        <v>46229</v>
      </c>
      <c r="D2347" t="s">
        <v>58</v>
      </c>
      <c r="E2347">
        <v>7</v>
      </c>
      <c r="F2347" s="3">
        <v>9.86</v>
      </c>
      <c r="G2347" t="s">
        <v>27</v>
      </c>
      <c r="H2347">
        <v>33</v>
      </c>
      <c r="I2347" t="s">
        <v>28</v>
      </c>
      <c r="J2347" s="4">
        <v>70.900000000000006</v>
      </c>
      <c r="K2347" s="4">
        <v>157.80000000000001</v>
      </c>
      <c r="L2347" s="4">
        <v>22.1</v>
      </c>
      <c r="M2347">
        <v>15</v>
      </c>
      <c r="N2347" t="s">
        <v>66</v>
      </c>
      <c r="O2347">
        <v>5</v>
      </c>
      <c r="P2347" s="4">
        <v>744.5</v>
      </c>
      <c r="Q2347" t="s">
        <v>42</v>
      </c>
      <c r="R2347">
        <v>0</v>
      </c>
      <c r="S2347" t="s">
        <v>44</v>
      </c>
      <c r="T2347">
        <v>1</v>
      </c>
      <c r="U2347">
        <v>0</v>
      </c>
      <c r="V2347" t="s">
        <v>45</v>
      </c>
      <c r="W2347" t="s">
        <v>43</v>
      </c>
      <c r="X2347" s="4">
        <v>9.5</v>
      </c>
      <c r="Y2347">
        <v>9</v>
      </c>
      <c r="Z2347" s="5">
        <v>142.46</v>
      </c>
    </row>
    <row r="2348" spans="1:26">
      <c r="A2348">
        <v>2347</v>
      </c>
      <c r="B2348">
        <v>773</v>
      </c>
      <c r="C2348" s="2">
        <v>46229</v>
      </c>
      <c r="D2348" t="s">
        <v>58</v>
      </c>
      <c r="E2348">
        <v>7</v>
      </c>
      <c r="F2348" s="3">
        <v>10.210000000000001</v>
      </c>
      <c r="G2348" t="s">
        <v>27</v>
      </c>
      <c r="H2348">
        <v>30</v>
      </c>
      <c r="I2348" t="s">
        <v>28</v>
      </c>
      <c r="J2348" s="4">
        <v>73.2</v>
      </c>
      <c r="K2348" s="4">
        <v>161.19999999999999</v>
      </c>
      <c r="L2348" s="4">
        <v>20.9</v>
      </c>
      <c r="M2348">
        <v>12</v>
      </c>
      <c r="N2348" t="s">
        <v>66</v>
      </c>
      <c r="O2348">
        <v>5</v>
      </c>
      <c r="P2348" s="4">
        <v>744.5</v>
      </c>
      <c r="Q2348" t="s">
        <v>42</v>
      </c>
      <c r="R2348">
        <v>0</v>
      </c>
      <c r="S2348" t="s">
        <v>44</v>
      </c>
      <c r="T2348">
        <v>1</v>
      </c>
      <c r="U2348">
        <v>0</v>
      </c>
      <c r="V2348" t="s">
        <v>45</v>
      </c>
      <c r="W2348" t="s">
        <v>43</v>
      </c>
      <c r="X2348" s="4">
        <v>6.2</v>
      </c>
      <c r="Y2348">
        <v>5</v>
      </c>
      <c r="Z2348" s="5">
        <v>262.63</v>
      </c>
    </row>
    <row r="2349" spans="1:26">
      <c r="A2349">
        <v>2348</v>
      </c>
      <c r="B2349">
        <v>773</v>
      </c>
      <c r="C2349" s="2">
        <v>46229</v>
      </c>
      <c r="D2349" t="s">
        <v>58</v>
      </c>
      <c r="E2349">
        <v>7</v>
      </c>
      <c r="F2349" s="3">
        <v>10.130000000000001</v>
      </c>
      <c r="G2349" t="s">
        <v>27</v>
      </c>
      <c r="H2349">
        <v>68</v>
      </c>
      <c r="I2349" t="s">
        <v>28</v>
      </c>
      <c r="J2349" s="4">
        <v>70.3</v>
      </c>
      <c r="K2349" s="4">
        <v>184.8</v>
      </c>
      <c r="L2349" s="4">
        <v>26</v>
      </c>
      <c r="M2349">
        <v>18</v>
      </c>
      <c r="N2349" t="s">
        <v>66</v>
      </c>
      <c r="O2349">
        <v>5</v>
      </c>
      <c r="P2349" s="4">
        <v>744.5</v>
      </c>
      <c r="Q2349" t="s">
        <v>42</v>
      </c>
      <c r="R2349">
        <v>0</v>
      </c>
      <c r="S2349" t="s">
        <v>44</v>
      </c>
      <c r="T2349">
        <v>1</v>
      </c>
      <c r="U2349">
        <v>0</v>
      </c>
      <c r="V2349" t="s">
        <v>45</v>
      </c>
      <c r="W2349" t="s">
        <v>43</v>
      </c>
      <c r="X2349" s="4">
        <v>6.4</v>
      </c>
      <c r="Y2349">
        <v>6</v>
      </c>
      <c r="Z2349" s="5">
        <v>190.99</v>
      </c>
    </row>
    <row r="2350" spans="1:26">
      <c r="A2350">
        <v>2349</v>
      </c>
      <c r="B2350">
        <v>773</v>
      </c>
      <c r="C2350" s="2">
        <v>46229</v>
      </c>
      <c r="D2350" t="s">
        <v>58</v>
      </c>
      <c r="E2350">
        <v>7</v>
      </c>
      <c r="F2350" s="3">
        <v>10.15</v>
      </c>
      <c r="G2350" t="s">
        <v>27</v>
      </c>
      <c r="H2350">
        <v>61</v>
      </c>
      <c r="I2350" t="s">
        <v>28</v>
      </c>
      <c r="J2350" s="4">
        <v>67.5</v>
      </c>
      <c r="K2350" s="4">
        <v>161.30000000000001</v>
      </c>
      <c r="L2350" s="4">
        <v>25.1</v>
      </c>
      <c r="M2350">
        <v>18</v>
      </c>
      <c r="N2350" t="s">
        <v>66</v>
      </c>
      <c r="O2350">
        <v>5</v>
      </c>
      <c r="P2350" s="4">
        <v>744.5</v>
      </c>
      <c r="Q2350" t="s">
        <v>42</v>
      </c>
      <c r="R2350">
        <v>0</v>
      </c>
      <c r="S2350" t="s">
        <v>44</v>
      </c>
      <c r="T2350">
        <v>1</v>
      </c>
      <c r="U2350">
        <v>0</v>
      </c>
      <c r="V2350" t="s">
        <v>45</v>
      </c>
      <c r="W2350" t="s">
        <v>43</v>
      </c>
      <c r="X2350" s="4">
        <v>8.3000000000000007</v>
      </c>
      <c r="Y2350">
        <v>6</v>
      </c>
      <c r="Z2350" s="5">
        <v>170.71</v>
      </c>
    </row>
    <row r="2351" spans="1:26">
      <c r="A2351">
        <v>2350</v>
      </c>
      <c r="B2351">
        <v>774</v>
      </c>
      <c r="C2351" s="2">
        <v>46341</v>
      </c>
      <c r="D2351" t="s">
        <v>58</v>
      </c>
      <c r="E2351">
        <v>11</v>
      </c>
      <c r="F2351" s="3">
        <v>9.1199999999999992</v>
      </c>
      <c r="G2351" t="s">
        <v>27</v>
      </c>
      <c r="H2351">
        <v>38</v>
      </c>
      <c r="I2351" t="s">
        <v>34</v>
      </c>
      <c r="J2351" s="4">
        <v>60</v>
      </c>
      <c r="K2351" s="4">
        <v>165</v>
      </c>
      <c r="L2351" s="4">
        <v>32.200000000000003</v>
      </c>
      <c r="M2351">
        <v>12</v>
      </c>
      <c r="N2351" t="s">
        <v>60</v>
      </c>
      <c r="O2351">
        <v>3</v>
      </c>
      <c r="P2351" s="4">
        <v>1337.1</v>
      </c>
      <c r="Q2351" t="s">
        <v>42</v>
      </c>
      <c r="R2351">
        <v>1</v>
      </c>
      <c r="S2351" t="s">
        <v>31</v>
      </c>
      <c r="T2351">
        <v>1</v>
      </c>
      <c r="U2351">
        <v>0</v>
      </c>
      <c r="V2351" t="s">
        <v>32</v>
      </c>
      <c r="W2351" t="s">
        <v>49</v>
      </c>
      <c r="X2351" s="4">
        <v>10.199999999999999</v>
      </c>
      <c r="Y2351">
        <v>10</v>
      </c>
      <c r="Z2351" s="5">
        <v>476.45</v>
      </c>
    </row>
    <row r="2352" spans="1:26">
      <c r="A2352">
        <v>2351</v>
      </c>
      <c r="B2352">
        <v>774</v>
      </c>
      <c r="C2352" s="2">
        <v>46341</v>
      </c>
      <c r="D2352" t="s">
        <v>58</v>
      </c>
      <c r="E2352">
        <v>11</v>
      </c>
      <c r="F2352" s="3">
        <v>9.08</v>
      </c>
      <c r="G2352" t="s">
        <v>27</v>
      </c>
      <c r="H2352">
        <v>41</v>
      </c>
      <c r="I2352" t="s">
        <v>28</v>
      </c>
      <c r="J2352" s="4">
        <v>72.599999999999994</v>
      </c>
      <c r="K2352" s="4">
        <v>230.1</v>
      </c>
      <c r="L2352" s="4">
        <v>30.5</v>
      </c>
      <c r="M2352">
        <v>16</v>
      </c>
      <c r="N2352" t="s">
        <v>60</v>
      </c>
      <c r="O2352">
        <v>3</v>
      </c>
      <c r="P2352" s="4">
        <v>1337.1</v>
      </c>
      <c r="Q2352" t="s">
        <v>42</v>
      </c>
      <c r="R2352">
        <v>1</v>
      </c>
      <c r="S2352" t="s">
        <v>31</v>
      </c>
      <c r="T2352">
        <v>1</v>
      </c>
      <c r="U2352">
        <v>0</v>
      </c>
      <c r="V2352" t="s">
        <v>32</v>
      </c>
      <c r="W2352" t="s">
        <v>49</v>
      </c>
      <c r="X2352" s="4">
        <v>7.5</v>
      </c>
      <c r="Y2352">
        <v>8</v>
      </c>
      <c r="Z2352" s="5">
        <v>173.53</v>
      </c>
    </row>
    <row r="2353" spans="1:26">
      <c r="A2353">
        <v>2352</v>
      </c>
      <c r="B2353">
        <v>774</v>
      </c>
      <c r="C2353" s="2">
        <v>46341</v>
      </c>
      <c r="D2353" t="s">
        <v>58</v>
      </c>
      <c r="E2353">
        <v>11</v>
      </c>
      <c r="F2353" s="3">
        <v>8.9600000000000009</v>
      </c>
      <c r="G2353" t="s">
        <v>27</v>
      </c>
      <c r="H2353">
        <v>65</v>
      </c>
      <c r="I2353" t="s">
        <v>34</v>
      </c>
      <c r="J2353" s="4">
        <v>65.3</v>
      </c>
      <c r="K2353" s="4">
        <v>211.2</v>
      </c>
      <c r="L2353" s="4">
        <v>34.9</v>
      </c>
      <c r="M2353">
        <v>17</v>
      </c>
      <c r="N2353" t="s">
        <v>60</v>
      </c>
      <c r="O2353">
        <v>3</v>
      </c>
      <c r="P2353" s="4">
        <v>1337.1</v>
      </c>
      <c r="Q2353" t="s">
        <v>42</v>
      </c>
      <c r="R2353">
        <v>1</v>
      </c>
      <c r="S2353" t="s">
        <v>31</v>
      </c>
      <c r="T2353">
        <v>1</v>
      </c>
      <c r="U2353">
        <v>0</v>
      </c>
      <c r="V2353" t="s">
        <v>32</v>
      </c>
      <c r="W2353" t="s">
        <v>49</v>
      </c>
      <c r="X2353" s="4">
        <v>6.7</v>
      </c>
      <c r="Y2353">
        <v>7</v>
      </c>
      <c r="Z2353" s="5">
        <v>178.47</v>
      </c>
    </row>
    <row r="2354" spans="1:26">
      <c r="A2354">
        <v>2353</v>
      </c>
      <c r="B2354">
        <v>775</v>
      </c>
      <c r="C2354" s="2">
        <v>46381</v>
      </c>
      <c r="D2354" t="s">
        <v>26</v>
      </c>
      <c r="E2354">
        <v>12</v>
      </c>
      <c r="F2354" s="3">
        <v>10.029999999999999</v>
      </c>
      <c r="G2354" t="s">
        <v>27</v>
      </c>
      <c r="H2354">
        <v>57</v>
      </c>
      <c r="I2354" t="s">
        <v>34</v>
      </c>
      <c r="J2354" s="4">
        <v>66.8</v>
      </c>
      <c r="K2354" s="4">
        <v>166.5</v>
      </c>
      <c r="L2354" s="4">
        <v>26.4</v>
      </c>
      <c r="M2354">
        <v>19</v>
      </c>
      <c r="N2354" t="s">
        <v>66</v>
      </c>
      <c r="O2354">
        <v>3</v>
      </c>
      <c r="P2354" s="4">
        <v>721.8</v>
      </c>
      <c r="Q2354" t="s">
        <v>48</v>
      </c>
      <c r="R2354">
        <v>1</v>
      </c>
      <c r="S2354" t="s">
        <v>44</v>
      </c>
      <c r="T2354">
        <v>1</v>
      </c>
      <c r="U2354">
        <v>0</v>
      </c>
      <c r="V2354" t="s">
        <v>32</v>
      </c>
      <c r="W2354" t="s">
        <v>39</v>
      </c>
      <c r="X2354" s="4">
        <v>9.1999999999999993</v>
      </c>
      <c r="Y2354">
        <v>14</v>
      </c>
      <c r="Z2354" s="5">
        <v>384.99</v>
      </c>
    </row>
    <row r="2355" spans="1:26">
      <c r="A2355">
        <v>2354</v>
      </c>
      <c r="B2355">
        <v>775</v>
      </c>
      <c r="C2355" s="2">
        <v>46381</v>
      </c>
      <c r="D2355" t="s">
        <v>26</v>
      </c>
      <c r="E2355">
        <v>12</v>
      </c>
      <c r="F2355" s="3">
        <v>10.34</v>
      </c>
      <c r="G2355" t="s">
        <v>27</v>
      </c>
      <c r="H2355">
        <v>28</v>
      </c>
      <c r="I2355" t="s">
        <v>28</v>
      </c>
      <c r="J2355" s="4">
        <v>72.400000000000006</v>
      </c>
      <c r="K2355" s="4">
        <v>210</v>
      </c>
      <c r="L2355" s="4">
        <v>28.1</v>
      </c>
      <c r="M2355">
        <v>12</v>
      </c>
      <c r="N2355" t="s">
        <v>66</v>
      </c>
      <c r="O2355">
        <v>3</v>
      </c>
      <c r="P2355" s="4">
        <v>721.8</v>
      </c>
      <c r="Q2355" t="s">
        <v>48</v>
      </c>
      <c r="R2355">
        <v>1</v>
      </c>
      <c r="S2355" t="s">
        <v>44</v>
      </c>
      <c r="T2355">
        <v>1</v>
      </c>
      <c r="U2355">
        <v>0</v>
      </c>
      <c r="V2355" t="s">
        <v>32</v>
      </c>
      <c r="W2355" t="s">
        <v>39</v>
      </c>
      <c r="X2355" s="4">
        <v>11.8</v>
      </c>
      <c r="Y2355">
        <v>12</v>
      </c>
      <c r="Z2355" s="5">
        <v>343.63</v>
      </c>
    </row>
    <row r="2356" spans="1:26">
      <c r="A2356">
        <v>2355</v>
      </c>
      <c r="B2356">
        <v>775</v>
      </c>
      <c r="C2356" s="2">
        <v>46381</v>
      </c>
      <c r="D2356" t="s">
        <v>26</v>
      </c>
      <c r="E2356">
        <v>12</v>
      </c>
      <c r="F2356" s="3">
        <v>10.09</v>
      </c>
      <c r="G2356" t="s">
        <v>27</v>
      </c>
      <c r="H2356">
        <v>6</v>
      </c>
      <c r="I2356" t="s">
        <v>28</v>
      </c>
      <c r="J2356" s="4">
        <v>59.5</v>
      </c>
      <c r="K2356" s="4">
        <v>108.1</v>
      </c>
      <c r="L2356" s="4">
        <v>21.3</v>
      </c>
      <c r="M2356">
        <v>16</v>
      </c>
      <c r="N2356" t="s">
        <v>66</v>
      </c>
      <c r="O2356">
        <v>3</v>
      </c>
      <c r="P2356" s="4">
        <v>721.8</v>
      </c>
      <c r="Q2356" t="s">
        <v>48</v>
      </c>
      <c r="R2356">
        <v>1</v>
      </c>
      <c r="S2356" t="s">
        <v>44</v>
      </c>
      <c r="T2356">
        <v>1</v>
      </c>
      <c r="U2356">
        <v>0</v>
      </c>
      <c r="V2356" t="s">
        <v>32</v>
      </c>
      <c r="W2356" t="s">
        <v>39</v>
      </c>
      <c r="X2356" s="4">
        <v>5.3</v>
      </c>
      <c r="Y2356">
        <v>9</v>
      </c>
      <c r="Z2356" s="5">
        <v>363.44</v>
      </c>
    </row>
    <row r="2357" spans="1:26">
      <c r="A2357">
        <v>2356</v>
      </c>
      <c r="B2357">
        <v>776</v>
      </c>
      <c r="C2357" s="2">
        <v>46160</v>
      </c>
      <c r="D2357" t="s">
        <v>46</v>
      </c>
      <c r="E2357">
        <v>5</v>
      </c>
      <c r="F2357" s="3">
        <v>12.46</v>
      </c>
      <c r="G2357" t="s">
        <v>36</v>
      </c>
      <c r="H2357">
        <v>26</v>
      </c>
      <c r="I2357" t="s">
        <v>34</v>
      </c>
      <c r="J2357" s="4">
        <v>63.2</v>
      </c>
      <c r="K2357" s="4">
        <v>156.69999999999999</v>
      </c>
      <c r="L2357" s="4">
        <v>27.7</v>
      </c>
      <c r="M2357">
        <v>18</v>
      </c>
      <c r="N2357" t="s">
        <v>47</v>
      </c>
      <c r="O2357">
        <v>5</v>
      </c>
      <c r="P2357" s="4">
        <v>116.3</v>
      </c>
      <c r="Q2357" t="s">
        <v>48</v>
      </c>
      <c r="R2357">
        <v>0</v>
      </c>
      <c r="S2357" t="s">
        <v>31</v>
      </c>
      <c r="T2357">
        <v>0</v>
      </c>
      <c r="U2357">
        <v>0</v>
      </c>
      <c r="V2357" t="s">
        <v>32</v>
      </c>
      <c r="W2357" t="s">
        <v>49</v>
      </c>
      <c r="X2357" s="4">
        <v>9</v>
      </c>
      <c r="Y2357">
        <v>7</v>
      </c>
      <c r="Z2357" s="5">
        <v>170.03</v>
      </c>
    </row>
    <row r="2358" spans="1:26">
      <c r="A2358">
        <v>2357</v>
      </c>
      <c r="B2358">
        <v>776</v>
      </c>
      <c r="C2358" s="2">
        <v>46160</v>
      </c>
      <c r="D2358" t="s">
        <v>46</v>
      </c>
      <c r="E2358">
        <v>5</v>
      </c>
      <c r="F2358" s="3">
        <v>12.29</v>
      </c>
      <c r="G2358" t="s">
        <v>36</v>
      </c>
      <c r="H2358">
        <v>50</v>
      </c>
      <c r="I2358" t="s">
        <v>34</v>
      </c>
      <c r="J2358" s="4">
        <v>68.2</v>
      </c>
      <c r="K2358" s="4">
        <v>213.2</v>
      </c>
      <c r="L2358" s="4">
        <v>32.1</v>
      </c>
      <c r="M2358">
        <v>18</v>
      </c>
      <c r="N2358" t="s">
        <v>47</v>
      </c>
      <c r="O2358">
        <v>5</v>
      </c>
      <c r="P2358" s="4">
        <v>116.3</v>
      </c>
      <c r="Q2358" t="s">
        <v>48</v>
      </c>
      <c r="R2358">
        <v>0</v>
      </c>
      <c r="S2358" t="s">
        <v>31</v>
      </c>
      <c r="T2358">
        <v>0</v>
      </c>
      <c r="U2358">
        <v>0</v>
      </c>
      <c r="V2358" t="s">
        <v>32</v>
      </c>
      <c r="W2358" t="s">
        <v>49</v>
      </c>
      <c r="X2358" s="4">
        <v>7.1</v>
      </c>
      <c r="Y2358">
        <v>10</v>
      </c>
      <c r="Z2358" s="5">
        <v>134.76</v>
      </c>
    </row>
    <row r="2359" spans="1:26">
      <c r="A2359">
        <v>2358</v>
      </c>
      <c r="B2359">
        <v>776</v>
      </c>
      <c r="C2359" s="2">
        <v>46160</v>
      </c>
      <c r="D2359" t="s">
        <v>46</v>
      </c>
      <c r="E2359">
        <v>5</v>
      </c>
      <c r="F2359" s="3">
        <v>12.47</v>
      </c>
      <c r="G2359" t="s">
        <v>36</v>
      </c>
      <c r="H2359">
        <v>7</v>
      </c>
      <c r="I2359" t="s">
        <v>28</v>
      </c>
      <c r="J2359" s="4">
        <v>62.4</v>
      </c>
      <c r="K2359" s="4">
        <v>106.5</v>
      </c>
      <c r="L2359" s="4">
        <v>18.8</v>
      </c>
      <c r="M2359">
        <v>13</v>
      </c>
      <c r="N2359" t="s">
        <v>47</v>
      </c>
      <c r="O2359">
        <v>5</v>
      </c>
      <c r="P2359" s="4">
        <v>116.3</v>
      </c>
      <c r="Q2359" t="s">
        <v>48</v>
      </c>
      <c r="R2359">
        <v>0</v>
      </c>
      <c r="S2359" t="s">
        <v>31</v>
      </c>
      <c r="T2359">
        <v>0</v>
      </c>
      <c r="U2359">
        <v>0</v>
      </c>
      <c r="V2359" t="s">
        <v>32</v>
      </c>
      <c r="W2359" t="s">
        <v>49</v>
      </c>
      <c r="X2359" s="4">
        <v>9.4</v>
      </c>
      <c r="Y2359">
        <v>7</v>
      </c>
      <c r="Z2359" s="5">
        <v>426.59</v>
      </c>
    </row>
    <row r="2360" spans="1:26">
      <c r="A2360">
        <v>2359</v>
      </c>
      <c r="B2360">
        <v>776</v>
      </c>
      <c r="C2360" s="2">
        <v>46160</v>
      </c>
      <c r="D2360" t="s">
        <v>46</v>
      </c>
      <c r="E2360">
        <v>5</v>
      </c>
      <c r="F2360" s="3">
        <v>12.31</v>
      </c>
      <c r="G2360" t="s">
        <v>36</v>
      </c>
      <c r="H2360">
        <v>64</v>
      </c>
      <c r="I2360" t="s">
        <v>28</v>
      </c>
      <c r="J2360" s="4">
        <v>70.900000000000006</v>
      </c>
      <c r="K2360" s="4">
        <v>188</v>
      </c>
      <c r="L2360" s="4">
        <v>26.4</v>
      </c>
      <c r="M2360">
        <v>19</v>
      </c>
      <c r="N2360" t="s">
        <v>47</v>
      </c>
      <c r="O2360">
        <v>5</v>
      </c>
      <c r="P2360" s="4">
        <v>116.3</v>
      </c>
      <c r="Q2360" t="s">
        <v>48</v>
      </c>
      <c r="R2360">
        <v>0</v>
      </c>
      <c r="S2360" t="s">
        <v>31</v>
      </c>
      <c r="T2360">
        <v>0</v>
      </c>
      <c r="U2360">
        <v>0</v>
      </c>
      <c r="V2360" t="s">
        <v>32</v>
      </c>
      <c r="W2360" t="s">
        <v>49</v>
      </c>
      <c r="X2360" s="4">
        <v>8.1999999999999993</v>
      </c>
      <c r="Y2360">
        <v>6</v>
      </c>
      <c r="Z2360" s="5">
        <v>199.53</v>
      </c>
    </row>
    <row r="2361" spans="1:26">
      <c r="A2361">
        <v>2360</v>
      </c>
      <c r="B2361">
        <v>776</v>
      </c>
      <c r="C2361" s="2">
        <v>46160</v>
      </c>
      <c r="D2361" t="s">
        <v>46</v>
      </c>
      <c r="E2361">
        <v>5</v>
      </c>
      <c r="F2361" s="3">
        <v>12.42</v>
      </c>
      <c r="G2361" t="s">
        <v>36</v>
      </c>
      <c r="H2361">
        <v>29</v>
      </c>
      <c r="I2361" t="s">
        <v>28</v>
      </c>
      <c r="J2361" s="4">
        <v>66.400000000000006</v>
      </c>
      <c r="K2361" s="4">
        <v>147.6</v>
      </c>
      <c r="L2361" s="4">
        <v>23.4</v>
      </c>
      <c r="M2361">
        <v>16</v>
      </c>
      <c r="N2361" t="s">
        <v>47</v>
      </c>
      <c r="O2361">
        <v>5</v>
      </c>
      <c r="P2361" s="4">
        <v>116.3</v>
      </c>
      <c r="Q2361" t="s">
        <v>48</v>
      </c>
      <c r="R2361">
        <v>0</v>
      </c>
      <c r="S2361" t="s">
        <v>31</v>
      </c>
      <c r="T2361">
        <v>0</v>
      </c>
      <c r="U2361">
        <v>0</v>
      </c>
      <c r="V2361" t="s">
        <v>32</v>
      </c>
      <c r="W2361" t="s">
        <v>49</v>
      </c>
      <c r="X2361" s="4">
        <v>3.8</v>
      </c>
      <c r="Y2361">
        <v>2</v>
      </c>
      <c r="Z2361" s="5">
        <v>257.67</v>
      </c>
    </row>
    <row r="2362" spans="1:26">
      <c r="A2362">
        <v>2361</v>
      </c>
      <c r="B2362">
        <v>777</v>
      </c>
      <c r="C2362" s="2">
        <v>46125</v>
      </c>
      <c r="D2362" t="s">
        <v>46</v>
      </c>
      <c r="E2362">
        <v>4</v>
      </c>
      <c r="F2362" s="3">
        <v>9.7899999999999991</v>
      </c>
      <c r="G2362" t="s">
        <v>27</v>
      </c>
      <c r="H2362">
        <v>42</v>
      </c>
      <c r="I2362" t="s">
        <v>34</v>
      </c>
      <c r="J2362" s="4">
        <v>61.7</v>
      </c>
      <c r="K2362" s="4">
        <v>126.5</v>
      </c>
      <c r="L2362" s="4">
        <v>23.5</v>
      </c>
      <c r="M2362">
        <v>14</v>
      </c>
      <c r="N2362" t="s">
        <v>29</v>
      </c>
      <c r="O2362">
        <v>4</v>
      </c>
      <c r="P2362" s="4">
        <v>1622.9</v>
      </c>
      <c r="Q2362" t="s">
        <v>42</v>
      </c>
      <c r="R2362">
        <v>1</v>
      </c>
      <c r="S2362" t="s">
        <v>44</v>
      </c>
      <c r="T2362">
        <v>1</v>
      </c>
      <c r="U2362">
        <v>0</v>
      </c>
      <c r="V2362" t="s">
        <v>32</v>
      </c>
      <c r="W2362" t="s">
        <v>39</v>
      </c>
      <c r="X2362" s="4">
        <v>9.9</v>
      </c>
      <c r="Y2362">
        <v>5</v>
      </c>
      <c r="Z2362" s="5">
        <v>189.1</v>
      </c>
    </row>
    <row r="2363" spans="1:26">
      <c r="A2363">
        <v>2362</v>
      </c>
      <c r="B2363">
        <v>777</v>
      </c>
      <c r="C2363" s="2">
        <v>46125</v>
      </c>
      <c r="D2363" t="s">
        <v>46</v>
      </c>
      <c r="E2363">
        <v>4</v>
      </c>
      <c r="F2363" s="3">
        <v>9.5500000000000007</v>
      </c>
      <c r="G2363" t="s">
        <v>27</v>
      </c>
      <c r="H2363">
        <v>57</v>
      </c>
      <c r="I2363" t="s">
        <v>28</v>
      </c>
      <c r="J2363" s="4">
        <v>66.3</v>
      </c>
      <c r="K2363" s="4">
        <v>119.9</v>
      </c>
      <c r="L2363" s="4">
        <v>19.2</v>
      </c>
      <c r="M2363">
        <v>17</v>
      </c>
      <c r="N2363" t="s">
        <v>29</v>
      </c>
      <c r="O2363">
        <v>4</v>
      </c>
      <c r="P2363" s="4">
        <v>1622.9</v>
      </c>
      <c r="Q2363" t="s">
        <v>42</v>
      </c>
      <c r="R2363">
        <v>1</v>
      </c>
      <c r="S2363" t="s">
        <v>44</v>
      </c>
      <c r="T2363">
        <v>1</v>
      </c>
      <c r="U2363">
        <v>0</v>
      </c>
      <c r="V2363" t="s">
        <v>32</v>
      </c>
      <c r="W2363" t="s">
        <v>39</v>
      </c>
      <c r="X2363" s="4">
        <v>7.2</v>
      </c>
      <c r="Y2363">
        <v>5</v>
      </c>
      <c r="Z2363" s="5">
        <v>315.19</v>
      </c>
    </row>
    <row r="2364" spans="1:26">
      <c r="A2364">
        <v>2363</v>
      </c>
      <c r="B2364">
        <v>777</v>
      </c>
      <c r="C2364" s="2">
        <v>46125</v>
      </c>
      <c r="D2364" t="s">
        <v>46</v>
      </c>
      <c r="E2364">
        <v>4</v>
      </c>
      <c r="F2364" s="3">
        <v>9.49</v>
      </c>
      <c r="G2364" t="s">
        <v>27</v>
      </c>
      <c r="H2364">
        <v>35</v>
      </c>
      <c r="I2364" t="s">
        <v>28</v>
      </c>
      <c r="J2364" s="4">
        <v>71.099999999999994</v>
      </c>
      <c r="K2364" s="4">
        <v>225.4</v>
      </c>
      <c r="L2364" s="4">
        <v>31.4</v>
      </c>
      <c r="M2364">
        <v>15</v>
      </c>
      <c r="N2364" t="s">
        <v>29</v>
      </c>
      <c r="O2364">
        <v>4</v>
      </c>
      <c r="P2364" s="4">
        <v>1622.9</v>
      </c>
      <c r="Q2364" t="s">
        <v>42</v>
      </c>
      <c r="R2364">
        <v>1</v>
      </c>
      <c r="S2364" t="s">
        <v>44</v>
      </c>
      <c r="T2364">
        <v>1</v>
      </c>
      <c r="U2364">
        <v>0</v>
      </c>
      <c r="V2364" t="s">
        <v>32</v>
      </c>
      <c r="W2364" t="s">
        <v>39</v>
      </c>
      <c r="X2364" s="4">
        <v>9.6999999999999993</v>
      </c>
      <c r="Y2364">
        <v>9</v>
      </c>
      <c r="Z2364" s="5">
        <v>350.59</v>
      </c>
    </row>
    <row r="2365" spans="1:26">
      <c r="A2365">
        <v>2364</v>
      </c>
      <c r="B2365">
        <v>777</v>
      </c>
      <c r="C2365" s="2">
        <v>46125</v>
      </c>
      <c r="D2365" t="s">
        <v>46</v>
      </c>
      <c r="E2365">
        <v>4</v>
      </c>
      <c r="F2365" s="3">
        <v>9.4600000000000009</v>
      </c>
      <c r="G2365" t="s">
        <v>27</v>
      </c>
      <c r="H2365">
        <v>35</v>
      </c>
      <c r="I2365" t="s">
        <v>28</v>
      </c>
      <c r="J2365" s="4">
        <v>70.900000000000006</v>
      </c>
      <c r="K2365" s="4">
        <v>174.7</v>
      </c>
      <c r="L2365" s="4">
        <v>24.5</v>
      </c>
      <c r="M2365">
        <v>15</v>
      </c>
      <c r="N2365" t="s">
        <v>29</v>
      </c>
      <c r="O2365">
        <v>4</v>
      </c>
      <c r="P2365" s="4">
        <v>1622.9</v>
      </c>
      <c r="Q2365" t="s">
        <v>42</v>
      </c>
      <c r="R2365">
        <v>1</v>
      </c>
      <c r="S2365" t="s">
        <v>44</v>
      </c>
      <c r="T2365">
        <v>1</v>
      </c>
      <c r="U2365">
        <v>0</v>
      </c>
      <c r="V2365" t="s">
        <v>32</v>
      </c>
      <c r="W2365" t="s">
        <v>39</v>
      </c>
      <c r="X2365" s="4">
        <v>7.4</v>
      </c>
      <c r="Y2365">
        <v>4</v>
      </c>
      <c r="Z2365" s="5">
        <v>277.81</v>
      </c>
    </row>
    <row r="2366" spans="1:26">
      <c r="A2366">
        <v>2365</v>
      </c>
      <c r="B2366">
        <v>778</v>
      </c>
      <c r="C2366" s="2">
        <v>46320</v>
      </c>
      <c r="D2366" t="s">
        <v>58</v>
      </c>
      <c r="E2366">
        <v>10</v>
      </c>
      <c r="F2366" s="3">
        <v>11.65</v>
      </c>
      <c r="G2366" t="s">
        <v>36</v>
      </c>
      <c r="H2366">
        <v>39</v>
      </c>
      <c r="I2366" t="s">
        <v>34</v>
      </c>
      <c r="J2366" s="4">
        <v>64.8</v>
      </c>
      <c r="K2366" s="4">
        <v>148.80000000000001</v>
      </c>
      <c r="L2366" s="4">
        <v>25</v>
      </c>
      <c r="M2366">
        <v>13</v>
      </c>
      <c r="N2366" t="s">
        <v>47</v>
      </c>
      <c r="O2366">
        <v>2</v>
      </c>
      <c r="P2366" s="4">
        <v>74.2</v>
      </c>
      <c r="Q2366" t="s">
        <v>42</v>
      </c>
      <c r="R2366">
        <v>0</v>
      </c>
      <c r="S2366" t="s">
        <v>38</v>
      </c>
      <c r="T2366">
        <v>0</v>
      </c>
      <c r="U2366">
        <v>0</v>
      </c>
      <c r="V2366" t="s">
        <v>32</v>
      </c>
      <c r="W2366" t="s">
        <v>39</v>
      </c>
      <c r="X2366" s="4">
        <v>7.1</v>
      </c>
      <c r="Y2366">
        <v>10</v>
      </c>
      <c r="Z2366" s="5">
        <v>190.21</v>
      </c>
    </row>
    <row r="2367" spans="1:26">
      <c r="A2367">
        <v>2366</v>
      </c>
      <c r="B2367">
        <v>778</v>
      </c>
      <c r="C2367" s="2">
        <v>46320</v>
      </c>
      <c r="D2367" t="s">
        <v>58</v>
      </c>
      <c r="E2367">
        <v>10</v>
      </c>
      <c r="F2367" s="3">
        <v>11.58</v>
      </c>
      <c r="G2367" t="s">
        <v>36</v>
      </c>
      <c r="H2367">
        <v>78</v>
      </c>
      <c r="I2367" t="s">
        <v>34</v>
      </c>
      <c r="J2367" s="4">
        <v>66.3</v>
      </c>
      <c r="K2367" s="4">
        <v>183.8</v>
      </c>
      <c r="L2367" s="4">
        <v>29.4</v>
      </c>
      <c r="M2367">
        <v>15</v>
      </c>
      <c r="N2367" t="s">
        <v>47</v>
      </c>
      <c r="O2367">
        <v>2</v>
      </c>
      <c r="P2367" s="4">
        <v>74.2</v>
      </c>
      <c r="Q2367" t="s">
        <v>42</v>
      </c>
      <c r="R2367">
        <v>0</v>
      </c>
      <c r="S2367" t="s">
        <v>38</v>
      </c>
      <c r="T2367">
        <v>0</v>
      </c>
      <c r="U2367">
        <v>0</v>
      </c>
      <c r="V2367" t="s">
        <v>32</v>
      </c>
      <c r="W2367" t="s">
        <v>39</v>
      </c>
      <c r="X2367" s="4">
        <v>6.4</v>
      </c>
      <c r="Y2367">
        <v>6</v>
      </c>
      <c r="Z2367" s="5">
        <v>188.61</v>
      </c>
    </row>
    <row r="2368" spans="1:26">
      <c r="A2368">
        <v>2367</v>
      </c>
      <c r="B2368">
        <v>779</v>
      </c>
      <c r="C2368" s="2">
        <v>46188</v>
      </c>
      <c r="D2368" t="s">
        <v>46</v>
      </c>
      <c r="E2368">
        <v>6</v>
      </c>
      <c r="F2368" s="3">
        <v>9.25</v>
      </c>
      <c r="G2368" t="s">
        <v>27</v>
      </c>
      <c r="H2368">
        <v>11</v>
      </c>
      <c r="I2368" t="s">
        <v>28</v>
      </c>
      <c r="J2368" s="4">
        <v>67.3</v>
      </c>
      <c r="K2368" s="4">
        <v>130.9</v>
      </c>
      <c r="L2368" s="4">
        <v>20.100000000000001</v>
      </c>
      <c r="M2368">
        <v>13</v>
      </c>
      <c r="N2368" t="s">
        <v>63</v>
      </c>
      <c r="O2368">
        <v>6</v>
      </c>
      <c r="P2368" s="4">
        <v>1732.4</v>
      </c>
      <c r="Q2368" t="s">
        <v>42</v>
      </c>
      <c r="R2368">
        <v>1</v>
      </c>
      <c r="S2368" t="s">
        <v>38</v>
      </c>
      <c r="T2368">
        <v>1</v>
      </c>
      <c r="U2368">
        <v>0</v>
      </c>
      <c r="V2368" t="s">
        <v>32</v>
      </c>
      <c r="W2368" t="s">
        <v>39</v>
      </c>
      <c r="X2368" s="4">
        <v>7.6</v>
      </c>
      <c r="Y2368">
        <v>12</v>
      </c>
      <c r="Z2368" s="5">
        <v>237.01</v>
      </c>
    </row>
    <row r="2369" spans="1:26">
      <c r="A2369">
        <v>2368</v>
      </c>
      <c r="B2369">
        <v>779</v>
      </c>
      <c r="C2369" s="2">
        <v>46188</v>
      </c>
      <c r="D2369" t="s">
        <v>46</v>
      </c>
      <c r="E2369">
        <v>6</v>
      </c>
      <c r="F2369" s="3">
        <v>9.6199999999999992</v>
      </c>
      <c r="G2369" t="s">
        <v>27</v>
      </c>
      <c r="H2369">
        <v>18</v>
      </c>
      <c r="I2369" t="s">
        <v>28</v>
      </c>
      <c r="J2369" s="4">
        <v>71</v>
      </c>
      <c r="K2369" s="4">
        <v>171.4</v>
      </c>
      <c r="L2369" s="4">
        <v>24.1</v>
      </c>
      <c r="M2369">
        <v>13</v>
      </c>
      <c r="N2369" t="s">
        <v>63</v>
      </c>
      <c r="O2369">
        <v>6</v>
      </c>
      <c r="P2369" s="4">
        <v>1732.4</v>
      </c>
      <c r="Q2369" t="s">
        <v>42</v>
      </c>
      <c r="R2369">
        <v>1</v>
      </c>
      <c r="S2369" t="s">
        <v>38</v>
      </c>
      <c r="T2369">
        <v>1</v>
      </c>
      <c r="U2369">
        <v>0</v>
      </c>
      <c r="V2369" t="s">
        <v>32</v>
      </c>
      <c r="W2369" t="s">
        <v>39</v>
      </c>
      <c r="X2369" s="4">
        <v>10.6</v>
      </c>
      <c r="Y2369">
        <v>8</v>
      </c>
      <c r="Z2369" s="5">
        <v>262.05</v>
      </c>
    </row>
    <row r="2370" spans="1:26">
      <c r="A2370">
        <v>2369</v>
      </c>
      <c r="B2370">
        <v>779</v>
      </c>
      <c r="C2370" s="2">
        <v>46188</v>
      </c>
      <c r="D2370" t="s">
        <v>46</v>
      </c>
      <c r="E2370">
        <v>6</v>
      </c>
      <c r="F2370" s="3">
        <v>9.66</v>
      </c>
      <c r="G2370" t="s">
        <v>27</v>
      </c>
      <c r="H2370">
        <v>57</v>
      </c>
      <c r="I2370" t="s">
        <v>34</v>
      </c>
      <c r="J2370" s="4">
        <v>63.6</v>
      </c>
      <c r="K2370" s="4">
        <v>131.80000000000001</v>
      </c>
      <c r="L2370" s="4">
        <v>22.9</v>
      </c>
      <c r="M2370">
        <v>16</v>
      </c>
      <c r="N2370" t="s">
        <v>63</v>
      </c>
      <c r="O2370">
        <v>6</v>
      </c>
      <c r="P2370" s="4">
        <v>1732.4</v>
      </c>
      <c r="Q2370" t="s">
        <v>42</v>
      </c>
      <c r="R2370">
        <v>1</v>
      </c>
      <c r="S2370" t="s">
        <v>38</v>
      </c>
      <c r="T2370">
        <v>1</v>
      </c>
      <c r="U2370">
        <v>0</v>
      </c>
      <c r="V2370" t="s">
        <v>32</v>
      </c>
      <c r="W2370" t="s">
        <v>39</v>
      </c>
      <c r="X2370" s="4">
        <v>7.6</v>
      </c>
      <c r="Y2370">
        <v>4</v>
      </c>
      <c r="Z2370" s="5">
        <v>160.38</v>
      </c>
    </row>
    <row r="2371" spans="1:26">
      <c r="A2371">
        <v>2370</v>
      </c>
      <c r="B2371">
        <v>779</v>
      </c>
      <c r="C2371" s="2">
        <v>46188</v>
      </c>
      <c r="D2371" t="s">
        <v>46</v>
      </c>
      <c r="E2371">
        <v>6</v>
      </c>
      <c r="F2371" s="3">
        <v>9.49</v>
      </c>
      <c r="G2371" t="s">
        <v>27</v>
      </c>
      <c r="H2371">
        <v>56</v>
      </c>
      <c r="I2371" t="s">
        <v>34</v>
      </c>
      <c r="J2371" s="4">
        <v>63.3</v>
      </c>
      <c r="K2371" s="4">
        <v>140.9</v>
      </c>
      <c r="L2371" s="4">
        <v>24.7</v>
      </c>
      <c r="M2371">
        <v>15</v>
      </c>
      <c r="N2371" t="s">
        <v>63</v>
      </c>
      <c r="O2371">
        <v>6</v>
      </c>
      <c r="P2371" s="4">
        <v>1732.4</v>
      </c>
      <c r="Q2371" t="s">
        <v>42</v>
      </c>
      <c r="R2371">
        <v>1</v>
      </c>
      <c r="S2371" t="s">
        <v>38</v>
      </c>
      <c r="T2371">
        <v>1</v>
      </c>
      <c r="U2371">
        <v>0</v>
      </c>
      <c r="V2371" t="s">
        <v>32</v>
      </c>
      <c r="W2371" t="s">
        <v>39</v>
      </c>
      <c r="X2371" s="4">
        <v>10</v>
      </c>
      <c r="Y2371">
        <v>12</v>
      </c>
      <c r="Z2371" s="5">
        <v>432.62</v>
      </c>
    </row>
    <row r="2372" spans="1:26">
      <c r="A2372">
        <v>2371</v>
      </c>
      <c r="B2372">
        <v>779</v>
      </c>
      <c r="C2372" s="2">
        <v>46188</v>
      </c>
      <c r="D2372" t="s">
        <v>46</v>
      </c>
      <c r="E2372">
        <v>6</v>
      </c>
      <c r="F2372" s="3">
        <v>9.68</v>
      </c>
      <c r="G2372" t="s">
        <v>27</v>
      </c>
      <c r="H2372">
        <v>52</v>
      </c>
      <c r="I2372" t="s">
        <v>34</v>
      </c>
      <c r="J2372" s="4">
        <v>60.9</v>
      </c>
      <c r="K2372" s="4">
        <v>115.4</v>
      </c>
      <c r="L2372" s="4">
        <v>22</v>
      </c>
      <c r="M2372">
        <v>12</v>
      </c>
      <c r="N2372" t="s">
        <v>63</v>
      </c>
      <c r="O2372">
        <v>6</v>
      </c>
      <c r="P2372" s="4">
        <v>1732.4</v>
      </c>
      <c r="Q2372" t="s">
        <v>42</v>
      </c>
      <c r="R2372">
        <v>1</v>
      </c>
      <c r="S2372" t="s">
        <v>38</v>
      </c>
      <c r="T2372">
        <v>1</v>
      </c>
      <c r="U2372">
        <v>0</v>
      </c>
      <c r="V2372" t="s">
        <v>32</v>
      </c>
      <c r="W2372" t="s">
        <v>39</v>
      </c>
      <c r="X2372" s="4">
        <v>9.4</v>
      </c>
      <c r="Y2372">
        <v>12</v>
      </c>
      <c r="Z2372" s="5">
        <v>178.27</v>
      </c>
    </row>
    <row r="2373" spans="1:26">
      <c r="A2373">
        <v>2372</v>
      </c>
      <c r="B2373">
        <v>779</v>
      </c>
      <c r="C2373" s="2">
        <v>46188</v>
      </c>
      <c r="D2373" t="s">
        <v>46</v>
      </c>
      <c r="E2373">
        <v>6</v>
      </c>
      <c r="F2373" s="3">
        <v>9.4499999999999993</v>
      </c>
      <c r="G2373" t="s">
        <v>27</v>
      </c>
      <c r="H2373">
        <v>8</v>
      </c>
      <c r="I2373" t="s">
        <v>28</v>
      </c>
      <c r="J2373" s="4">
        <v>66.3</v>
      </c>
      <c r="K2373" s="4">
        <v>107.8</v>
      </c>
      <c r="L2373" s="4">
        <v>17.3</v>
      </c>
      <c r="M2373">
        <v>11</v>
      </c>
      <c r="N2373" t="s">
        <v>63</v>
      </c>
      <c r="O2373">
        <v>6</v>
      </c>
      <c r="P2373" s="4">
        <v>1732.4</v>
      </c>
      <c r="Q2373" t="s">
        <v>42</v>
      </c>
      <c r="R2373">
        <v>1</v>
      </c>
      <c r="S2373" t="s">
        <v>38</v>
      </c>
      <c r="T2373">
        <v>1</v>
      </c>
      <c r="U2373">
        <v>0</v>
      </c>
      <c r="V2373" t="s">
        <v>32</v>
      </c>
      <c r="W2373" t="s">
        <v>39</v>
      </c>
      <c r="X2373" s="4">
        <v>4.5</v>
      </c>
      <c r="Y2373">
        <v>8</v>
      </c>
      <c r="Z2373" s="5">
        <v>150.83000000000001</v>
      </c>
    </row>
    <row r="2374" spans="1:26">
      <c r="A2374">
        <v>2373</v>
      </c>
      <c r="B2374">
        <v>780</v>
      </c>
      <c r="C2374" s="2">
        <v>46228</v>
      </c>
      <c r="D2374" t="s">
        <v>40</v>
      </c>
      <c r="E2374">
        <v>7</v>
      </c>
      <c r="F2374" s="3">
        <v>10.36</v>
      </c>
      <c r="G2374" t="s">
        <v>27</v>
      </c>
      <c r="H2374">
        <v>17</v>
      </c>
      <c r="I2374" t="s">
        <v>34</v>
      </c>
      <c r="J2374" s="4">
        <v>70</v>
      </c>
      <c r="K2374" s="4">
        <v>156.9</v>
      </c>
      <c r="L2374" s="4">
        <v>22.6</v>
      </c>
      <c r="M2374">
        <v>16</v>
      </c>
      <c r="N2374" t="s">
        <v>59</v>
      </c>
      <c r="O2374">
        <v>4</v>
      </c>
      <c r="P2374" s="4">
        <v>843.8</v>
      </c>
      <c r="Q2374" t="s">
        <v>48</v>
      </c>
      <c r="R2374">
        <v>1</v>
      </c>
      <c r="S2374" t="s">
        <v>31</v>
      </c>
      <c r="T2374">
        <v>0</v>
      </c>
      <c r="U2374">
        <v>1</v>
      </c>
      <c r="V2374" t="s">
        <v>32</v>
      </c>
      <c r="W2374" t="s">
        <v>33</v>
      </c>
      <c r="X2374" s="4">
        <v>11</v>
      </c>
      <c r="Y2374">
        <v>5</v>
      </c>
      <c r="Z2374" s="5">
        <v>375.73</v>
      </c>
    </row>
    <row r="2375" spans="1:26">
      <c r="A2375">
        <v>2374</v>
      </c>
      <c r="B2375">
        <v>780</v>
      </c>
      <c r="C2375" s="2">
        <v>46228</v>
      </c>
      <c r="D2375" t="s">
        <v>40</v>
      </c>
      <c r="E2375">
        <v>7</v>
      </c>
      <c r="F2375" s="3">
        <v>10.37</v>
      </c>
      <c r="G2375" t="s">
        <v>27</v>
      </c>
      <c r="H2375">
        <v>63</v>
      </c>
      <c r="I2375" t="s">
        <v>28</v>
      </c>
      <c r="J2375" s="4">
        <v>65.8</v>
      </c>
      <c r="K2375" s="4">
        <v>126.7</v>
      </c>
      <c r="L2375" s="4">
        <v>20.6</v>
      </c>
      <c r="M2375">
        <v>19</v>
      </c>
      <c r="N2375" t="s">
        <v>59</v>
      </c>
      <c r="O2375">
        <v>4</v>
      </c>
      <c r="P2375" s="4">
        <v>843.8</v>
      </c>
      <c r="Q2375" t="s">
        <v>48</v>
      </c>
      <c r="R2375">
        <v>1</v>
      </c>
      <c r="S2375" t="s">
        <v>31</v>
      </c>
      <c r="T2375">
        <v>0</v>
      </c>
      <c r="U2375">
        <v>1</v>
      </c>
      <c r="V2375" t="s">
        <v>32</v>
      </c>
      <c r="W2375" t="s">
        <v>33</v>
      </c>
      <c r="X2375" s="4">
        <v>9.4</v>
      </c>
      <c r="Y2375">
        <v>10</v>
      </c>
      <c r="Z2375" s="5">
        <v>295.13</v>
      </c>
    </row>
    <row r="2376" spans="1:26">
      <c r="A2376">
        <v>2375</v>
      </c>
      <c r="B2376">
        <v>780</v>
      </c>
      <c r="C2376" s="2">
        <v>46228</v>
      </c>
      <c r="D2376" t="s">
        <v>40</v>
      </c>
      <c r="E2376">
        <v>7</v>
      </c>
      <c r="F2376" s="3">
        <v>10.44</v>
      </c>
      <c r="G2376" t="s">
        <v>27</v>
      </c>
      <c r="H2376">
        <v>48</v>
      </c>
      <c r="I2376" t="s">
        <v>28</v>
      </c>
      <c r="J2376" s="4">
        <v>72</v>
      </c>
      <c r="K2376" s="4">
        <v>133.9</v>
      </c>
      <c r="L2376" s="4">
        <v>18.3</v>
      </c>
      <c r="M2376">
        <v>13</v>
      </c>
      <c r="N2376" t="s">
        <v>59</v>
      </c>
      <c r="O2376">
        <v>4</v>
      </c>
      <c r="P2376" s="4">
        <v>843.8</v>
      </c>
      <c r="Q2376" t="s">
        <v>48</v>
      </c>
      <c r="R2376">
        <v>1</v>
      </c>
      <c r="S2376" t="s">
        <v>31</v>
      </c>
      <c r="T2376">
        <v>0</v>
      </c>
      <c r="U2376">
        <v>1</v>
      </c>
      <c r="V2376" t="s">
        <v>32</v>
      </c>
      <c r="W2376" t="s">
        <v>33</v>
      </c>
      <c r="X2376" s="4">
        <v>8.6999999999999993</v>
      </c>
      <c r="Y2376">
        <v>5</v>
      </c>
      <c r="Z2376" s="5">
        <v>168.76</v>
      </c>
    </row>
    <row r="2377" spans="1:26">
      <c r="A2377">
        <v>2376</v>
      </c>
      <c r="B2377">
        <v>780</v>
      </c>
      <c r="C2377" s="2">
        <v>46228</v>
      </c>
      <c r="D2377" t="s">
        <v>40</v>
      </c>
      <c r="E2377">
        <v>7</v>
      </c>
      <c r="F2377" s="3">
        <v>10.41</v>
      </c>
      <c r="G2377" t="s">
        <v>27</v>
      </c>
      <c r="H2377">
        <v>28</v>
      </c>
      <c r="I2377" t="s">
        <v>34</v>
      </c>
      <c r="J2377" s="4">
        <v>63.2</v>
      </c>
      <c r="K2377" s="4">
        <v>188.7</v>
      </c>
      <c r="L2377" s="4">
        <v>33.299999999999997</v>
      </c>
      <c r="M2377">
        <v>17</v>
      </c>
      <c r="N2377" t="s">
        <v>59</v>
      </c>
      <c r="O2377">
        <v>4</v>
      </c>
      <c r="P2377" s="4">
        <v>843.8</v>
      </c>
      <c r="Q2377" t="s">
        <v>48</v>
      </c>
      <c r="R2377">
        <v>1</v>
      </c>
      <c r="S2377" t="s">
        <v>31</v>
      </c>
      <c r="T2377">
        <v>0</v>
      </c>
      <c r="U2377">
        <v>1</v>
      </c>
      <c r="V2377" t="s">
        <v>32</v>
      </c>
      <c r="W2377" t="s">
        <v>33</v>
      </c>
      <c r="X2377" s="4">
        <v>6.3</v>
      </c>
      <c r="Y2377">
        <v>5</v>
      </c>
      <c r="Z2377" s="5">
        <v>216.99</v>
      </c>
    </row>
    <row r="2378" spans="1:26">
      <c r="A2378">
        <v>2377</v>
      </c>
      <c r="B2378">
        <v>781</v>
      </c>
      <c r="C2378" s="2">
        <v>46126</v>
      </c>
      <c r="D2378" t="s">
        <v>35</v>
      </c>
      <c r="E2378">
        <v>4</v>
      </c>
      <c r="F2378" s="3">
        <v>14.47</v>
      </c>
      <c r="G2378" t="s">
        <v>36</v>
      </c>
      <c r="H2378">
        <v>42</v>
      </c>
      <c r="I2378" t="s">
        <v>34</v>
      </c>
      <c r="J2378" s="4">
        <v>70</v>
      </c>
      <c r="K2378" s="4">
        <v>163.19999999999999</v>
      </c>
      <c r="L2378" s="4">
        <v>23.5</v>
      </c>
      <c r="M2378">
        <v>13</v>
      </c>
      <c r="N2378" t="s">
        <v>29</v>
      </c>
      <c r="O2378">
        <v>2</v>
      </c>
      <c r="P2378" s="4">
        <v>2152.1999999999998</v>
      </c>
      <c r="Q2378" t="s">
        <v>42</v>
      </c>
      <c r="R2378">
        <v>0</v>
      </c>
      <c r="S2378" t="s">
        <v>44</v>
      </c>
      <c r="T2378">
        <v>0</v>
      </c>
      <c r="U2378">
        <v>0</v>
      </c>
      <c r="V2378" t="s">
        <v>45</v>
      </c>
      <c r="W2378" t="s">
        <v>43</v>
      </c>
      <c r="X2378" s="4">
        <v>5.8</v>
      </c>
      <c r="Y2378">
        <v>11</v>
      </c>
      <c r="Z2378" s="5">
        <v>248.44</v>
      </c>
    </row>
    <row r="2379" spans="1:26">
      <c r="A2379">
        <v>2378</v>
      </c>
      <c r="B2379">
        <v>781</v>
      </c>
      <c r="C2379" s="2">
        <v>46126</v>
      </c>
      <c r="D2379" t="s">
        <v>35</v>
      </c>
      <c r="E2379">
        <v>4</v>
      </c>
      <c r="F2379" s="3">
        <v>14.4</v>
      </c>
      <c r="G2379" t="s">
        <v>36</v>
      </c>
      <c r="H2379">
        <v>65</v>
      </c>
      <c r="I2379" t="s">
        <v>34</v>
      </c>
      <c r="J2379" s="4">
        <v>63.3</v>
      </c>
      <c r="K2379" s="4">
        <v>134.4</v>
      </c>
      <c r="L2379" s="4">
        <v>23.5</v>
      </c>
      <c r="M2379">
        <v>17</v>
      </c>
      <c r="N2379" t="s">
        <v>29</v>
      </c>
      <c r="O2379">
        <v>2</v>
      </c>
      <c r="P2379" s="4">
        <v>2152.1999999999998</v>
      </c>
      <c r="Q2379" t="s">
        <v>42</v>
      </c>
      <c r="R2379">
        <v>0</v>
      </c>
      <c r="S2379" t="s">
        <v>44</v>
      </c>
      <c r="T2379">
        <v>0</v>
      </c>
      <c r="U2379">
        <v>0</v>
      </c>
      <c r="V2379" t="s">
        <v>45</v>
      </c>
      <c r="W2379" t="s">
        <v>43</v>
      </c>
      <c r="X2379" s="4">
        <v>7.2</v>
      </c>
      <c r="Y2379">
        <v>8</v>
      </c>
      <c r="Z2379" s="5">
        <v>136.94999999999999</v>
      </c>
    </row>
    <row r="2380" spans="1:26">
      <c r="A2380">
        <v>2379</v>
      </c>
      <c r="B2380">
        <v>782</v>
      </c>
      <c r="C2380" s="2">
        <v>46309</v>
      </c>
      <c r="D2380" t="s">
        <v>52</v>
      </c>
      <c r="E2380">
        <v>10</v>
      </c>
      <c r="F2380" s="3">
        <v>8.19</v>
      </c>
      <c r="G2380" t="s">
        <v>27</v>
      </c>
      <c r="H2380">
        <v>64</v>
      </c>
      <c r="I2380" t="s">
        <v>34</v>
      </c>
      <c r="J2380" s="4">
        <v>58.8</v>
      </c>
      <c r="K2380" s="4">
        <v>143.80000000000001</v>
      </c>
      <c r="L2380" s="4">
        <v>29.3</v>
      </c>
      <c r="M2380">
        <v>19</v>
      </c>
      <c r="N2380" t="s">
        <v>61</v>
      </c>
      <c r="O2380">
        <v>5</v>
      </c>
      <c r="P2380" s="4">
        <v>1005.6</v>
      </c>
      <c r="Q2380" t="s">
        <v>48</v>
      </c>
      <c r="R2380">
        <v>1</v>
      </c>
      <c r="S2380" t="s">
        <v>44</v>
      </c>
      <c r="T2380">
        <v>0</v>
      </c>
      <c r="U2380">
        <v>1</v>
      </c>
      <c r="V2380" t="s">
        <v>45</v>
      </c>
      <c r="W2380" t="s">
        <v>43</v>
      </c>
      <c r="X2380" s="4">
        <v>13.7</v>
      </c>
      <c r="Y2380">
        <v>16</v>
      </c>
      <c r="Z2380" s="5">
        <v>313.23</v>
      </c>
    </row>
    <row r="2381" spans="1:26">
      <c r="A2381">
        <v>2380</v>
      </c>
      <c r="B2381">
        <v>782</v>
      </c>
      <c r="C2381" s="2">
        <v>46309</v>
      </c>
      <c r="D2381" t="s">
        <v>52</v>
      </c>
      <c r="E2381">
        <v>10</v>
      </c>
      <c r="F2381" s="3">
        <v>8.32</v>
      </c>
      <c r="G2381" t="s">
        <v>27</v>
      </c>
      <c r="H2381">
        <v>23</v>
      </c>
      <c r="I2381" t="s">
        <v>34</v>
      </c>
      <c r="J2381" s="4">
        <v>62.3</v>
      </c>
      <c r="K2381" s="4">
        <v>140.6</v>
      </c>
      <c r="L2381" s="4">
        <v>25.5</v>
      </c>
      <c r="M2381">
        <v>16</v>
      </c>
      <c r="N2381" t="s">
        <v>61</v>
      </c>
      <c r="O2381">
        <v>5</v>
      </c>
      <c r="P2381" s="4">
        <v>1005.6</v>
      </c>
      <c r="Q2381" t="s">
        <v>48</v>
      </c>
      <c r="R2381">
        <v>1</v>
      </c>
      <c r="S2381" t="s">
        <v>44</v>
      </c>
      <c r="T2381">
        <v>0</v>
      </c>
      <c r="U2381">
        <v>1</v>
      </c>
      <c r="V2381" t="s">
        <v>45</v>
      </c>
      <c r="W2381" t="s">
        <v>43</v>
      </c>
      <c r="X2381" s="4">
        <v>10.6</v>
      </c>
      <c r="Y2381">
        <v>9</v>
      </c>
      <c r="Z2381" s="5">
        <v>215.79</v>
      </c>
    </row>
    <row r="2382" spans="1:26">
      <c r="A2382">
        <v>2381</v>
      </c>
      <c r="B2382">
        <v>782</v>
      </c>
      <c r="C2382" s="2">
        <v>46309</v>
      </c>
      <c r="D2382" t="s">
        <v>52</v>
      </c>
      <c r="E2382">
        <v>10</v>
      </c>
      <c r="F2382" s="3">
        <v>8.27</v>
      </c>
      <c r="G2382" t="s">
        <v>27</v>
      </c>
      <c r="H2382">
        <v>24</v>
      </c>
      <c r="I2382" t="s">
        <v>34</v>
      </c>
      <c r="J2382" s="4">
        <v>65.900000000000006</v>
      </c>
      <c r="K2382" s="4">
        <v>162.80000000000001</v>
      </c>
      <c r="L2382" s="4">
        <v>26.4</v>
      </c>
      <c r="M2382">
        <v>15</v>
      </c>
      <c r="N2382" t="s">
        <v>61</v>
      </c>
      <c r="O2382">
        <v>5</v>
      </c>
      <c r="P2382" s="4">
        <v>1005.6</v>
      </c>
      <c r="Q2382" t="s">
        <v>48</v>
      </c>
      <c r="R2382">
        <v>1</v>
      </c>
      <c r="S2382" t="s">
        <v>44</v>
      </c>
      <c r="T2382">
        <v>0</v>
      </c>
      <c r="U2382">
        <v>1</v>
      </c>
      <c r="V2382" t="s">
        <v>45</v>
      </c>
      <c r="W2382" t="s">
        <v>43</v>
      </c>
      <c r="X2382" s="4">
        <v>11.9</v>
      </c>
      <c r="Y2382">
        <v>8</v>
      </c>
      <c r="Z2382" s="5">
        <v>306.73</v>
      </c>
    </row>
    <row r="2383" spans="1:26">
      <c r="A2383">
        <v>2382</v>
      </c>
      <c r="B2383">
        <v>782</v>
      </c>
      <c r="C2383" s="2">
        <v>46309</v>
      </c>
      <c r="D2383" t="s">
        <v>52</v>
      </c>
      <c r="E2383">
        <v>10</v>
      </c>
      <c r="F2383" s="3">
        <v>8.3800000000000008</v>
      </c>
      <c r="G2383" t="s">
        <v>27</v>
      </c>
      <c r="H2383">
        <v>57</v>
      </c>
      <c r="I2383" t="s">
        <v>28</v>
      </c>
      <c r="J2383" s="4">
        <v>66.400000000000006</v>
      </c>
      <c r="K2383" s="4">
        <v>134</v>
      </c>
      <c r="L2383" s="4">
        <v>21.4</v>
      </c>
      <c r="M2383">
        <v>18</v>
      </c>
      <c r="N2383" t="s">
        <v>61</v>
      </c>
      <c r="O2383">
        <v>5</v>
      </c>
      <c r="P2383" s="4">
        <v>1005.6</v>
      </c>
      <c r="Q2383" t="s">
        <v>48</v>
      </c>
      <c r="R2383">
        <v>1</v>
      </c>
      <c r="S2383" t="s">
        <v>44</v>
      </c>
      <c r="T2383">
        <v>0</v>
      </c>
      <c r="U2383">
        <v>1</v>
      </c>
      <c r="V2383" t="s">
        <v>45</v>
      </c>
      <c r="W2383" t="s">
        <v>43</v>
      </c>
      <c r="X2383" s="4">
        <v>9.9</v>
      </c>
      <c r="Y2383">
        <v>10</v>
      </c>
      <c r="Z2383" s="5">
        <v>262.61</v>
      </c>
    </row>
    <row r="2384" spans="1:26">
      <c r="A2384">
        <v>2383</v>
      </c>
      <c r="B2384">
        <v>782</v>
      </c>
      <c r="C2384" s="2">
        <v>46309</v>
      </c>
      <c r="D2384" t="s">
        <v>52</v>
      </c>
      <c r="E2384">
        <v>10</v>
      </c>
      <c r="F2384" s="3">
        <v>8.2100000000000009</v>
      </c>
      <c r="G2384" t="s">
        <v>27</v>
      </c>
      <c r="H2384">
        <v>52</v>
      </c>
      <c r="I2384" t="s">
        <v>34</v>
      </c>
      <c r="J2384" s="4">
        <v>61.3</v>
      </c>
      <c r="K2384" s="4">
        <v>143.1</v>
      </c>
      <c r="L2384" s="4">
        <v>26.7</v>
      </c>
      <c r="M2384">
        <v>19</v>
      </c>
      <c r="N2384" t="s">
        <v>61</v>
      </c>
      <c r="O2384">
        <v>5</v>
      </c>
      <c r="P2384" s="4">
        <v>1005.6</v>
      </c>
      <c r="Q2384" t="s">
        <v>48</v>
      </c>
      <c r="R2384">
        <v>1</v>
      </c>
      <c r="S2384" t="s">
        <v>44</v>
      </c>
      <c r="T2384">
        <v>0</v>
      </c>
      <c r="U2384">
        <v>1</v>
      </c>
      <c r="V2384" t="s">
        <v>45</v>
      </c>
      <c r="W2384" t="s">
        <v>43</v>
      </c>
      <c r="X2384" s="4">
        <v>11.6</v>
      </c>
      <c r="Y2384">
        <v>10</v>
      </c>
      <c r="Z2384" s="5">
        <v>305.08999999999997</v>
      </c>
    </row>
    <row r="2385" spans="1:26">
      <c r="A2385">
        <v>2384</v>
      </c>
      <c r="B2385">
        <v>783</v>
      </c>
      <c r="C2385" s="2">
        <v>46235</v>
      </c>
      <c r="D2385" t="s">
        <v>40</v>
      </c>
      <c r="E2385">
        <v>8</v>
      </c>
      <c r="F2385" s="3">
        <v>10.92</v>
      </c>
      <c r="G2385" t="s">
        <v>27</v>
      </c>
      <c r="H2385">
        <v>51</v>
      </c>
      <c r="I2385" t="s">
        <v>28</v>
      </c>
      <c r="J2385" s="4">
        <v>67.599999999999994</v>
      </c>
      <c r="K2385" s="4">
        <v>214.4</v>
      </c>
      <c r="L2385" s="4">
        <v>32.799999999999997</v>
      </c>
      <c r="M2385">
        <v>15</v>
      </c>
      <c r="N2385" t="s">
        <v>47</v>
      </c>
      <c r="O2385">
        <v>3</v>
      </c>
      <c r="P2385" s="4">
        <v>62.1</v>
      </c>
      <c r="Q2385" t="s">
        <v>48</v>
      </c>
      <c r="R2385">
        <v>0</v>
      </c>
      <c r="S2385" t="s">
        <v>38</v>
      </c>
      <c r="T2385">
        <v>0</v>
      </c>
      <c r="U2385">
        <v>1</v>
      </c>
      <c r="V2385" t="s">
        <v>32</v>
      </c>
      <c r="W2385" t="s">
        <v>33</v>
      </c>
      <c r="X2385" s="4">
        <v>10.5</v>
      </c>
      <c r="Y2385">
        <v>9</v>
      </c>
      <c r="Z2385" s="5">
        <v>196.5</v>
      </c>
    </row>
    <row r="2386" spans="1:26">
      <c r="A2386">
        <v>2385</v>
      </c>
      <c r="B2386">
        <v>783</v>
      </c>
      <c r="C2386" s="2">
        <v>46235</v>
      </c>
      <c r="D2386" t="s">
        <v>40</v>
      </c>
      <c r="E2386">
        <v>8</v>
      </c>
      <c r="F2386" s="3">
        <v>10.66</v>
      </c>
      <c r="G2386" t="s">
        <v>27</v>
      </c>
      <c r="H2386">
        <v>58</v>
      </c>
      <c r="I2386" t="s">
        <v>34</v>
      </c>
      <c r="J2386" s="4">
        <v>69.099999999999994</v>
      </c>
      <c r="K2386" s="4">
        <v>175.5</v>
      </c>
      <c r="L2386" s="4">
        <v>25.9</v>
      </c>
      <c r="M2386">
        <v>18</v>
      </c>
      <c r="N2386" t="s">
        <v>47</v>
      </c>
      <c r="O2386">
        <v>3</v>
      </c>
      <c r="P2386" s="4">
        <v>62.1</v>
      </c>
      <c r="Q2386" t="s">
        <v>48</v>
      </c>
      <c r="R2386">
        <v>0</v>
      </c>
      <c r="S2386" t="s">
        <v>38</v>
      </c>
      <c r="T2386">
        <v>0</v>
      </c>
      <c r="U2386">
        <v>1</v>
      </c>
      <c r="V2386" t="s">
        <v>32</v>
      </c>
      <c r="W2386" t="s">
        <v>33</v>
      </c>
      <c r="X2386" s="4">
        <v>5.7</v>
      </c>
      <c r="Y2386">
        <v>4</v>
      </c>
      <c r="Z2386" s="5">
        <v>210.1</v>
      </c>
    </row>
    <row r="2387" spans="1:26">
      <c r="A2387">
        <v>2386</v>
      </c>
      <c r="B2387">
        <v>783</v>
      </c>
      <c r="C2387" s="2">
        <v>46235</v>
      </c>
      <c r="D2387" t="s">
        <v>40</v>
      </c>
      <c r="E2387">
        <v>8</v>
      </c>
      <c r="F2387" s="3">
        <v>10.79</v>
      </c>
      <c r="G2387" t="s">
        <v>27</v>
      </c>
      <c r="H2387">
        <v>15</v>
      </c>
      <c r="I2387" t="s">
        <v>28</v>
      </c>
      <c r="J2387" s="4">
        <v>70</v>
      </c>
      <c r="K2387" s="4">
        <v>173.5</v>
      </c>
      <c r="L2387" s="4">
        <v>24.8</v>
      </c>
      <c r="M2387">
        <v>18</v>
      </c>
      <c r="N2387" t="s">
        <v>47</v>
      </c>
      <c r="O2387">
        <v>3</v>
      </c>
      <c r="P2387" s="4">
        <v>62.1</v>
      </c>
      <c r="Q2387" t="s">
        <v>48</v>
      </c>
      <c r="R2387">
        <v>0</v>
      </c>
      <c r="S2387" t="s">
        <v>38</v>
      </c>
      <c r="T2387">
        <v>0</v>
      </c>
      <c r="U2387">
        <v>1</v>
      </c>
      <c r="V2387" t="s">
        <v>32</v>
      </c>
      <c r="W2387" t="s">
        <v>33</v>
      </c>
      <c r="X2387" s="4">
        <v>9.8000000000000007</v>
      </c>
      <c r="Y2387">
        <v>2</v>
      </c>
      <c r="Z2387" s="5">
        <v>298.47000000000003</v>
      </c>
    </row>
    <row r="2388" spans="1:26">
      <c r="A2388">
        <v>2387</v>
      </c>
      <c r="B2388">
        <v>784</v>
      </c>
      <c r="C2388" s="2">
        <v>46189</v>
      </c>
      <c r="D2388" t="s">
        <v>35</v>
      </c>
      <c r="E2388">
        <v>6</v>
      </c>
      <c r="F2388" s="3">
        <v>8.9700000000000006</v>
      </c>
      <c r="G2388" t="s">
        <v>27</v>
      </c>
      <c r="H2388">
        <v>22</v>
      </c>
      <c r="I2388" t="s">
        <v>34</v>
      </c>
      <c r="J2388" s="4">
        <v>67.599999999999994</v>
      </c>
      <c r="K2388" s="4">
        <v>172.5</v>
      </c>
      <c r="L2388" s="4">
        <v>26.7</v>
      </c>
      <c r="M2388">
        <v>14</v>
      </c>
      <c r="N2388" t="s">
        <v>29</v>
      </c>
      <c r="O2388">
        <v>3</v>
      </c>
      <c r="P2388" s="4">
        <v>1804.7</v>
      </c>
      <c r="Q2388" t="s">
        <v>42</v>
      </c>
      <c r="R2388">
        <v>1</v>
      </c>
      <c r="S2388" t="s">
        <v>44</v>
      </c>
      <c r="T2388">
        <v>1</v>
      </c>
      <c r="U2388">
        <v>1</v>
      </c>
      <c r="V2388" t="s">
        <v>32</v>
      </c>
      <c r="W2388" t="s">
        <v>33</v>
      </c>
      <c r="X2388" s="4">
        <v>12.6</v>
      </c>
      <c r="Y2388">
        <v>11</v>
      </c>
      <c r="Z2388" s="5">
        <v>347.74</v>
      </c>
    </row>
    <row r="2389" spans="1:26">
      <c r="A2389">
        <v>2388</v>
      </c>
      <c r="B2389">
        <v>784</v>
      </c>
      <c r="C2389" s="2">
        <v>46189</v>
      </c>
      <c r="D2389" t="s">
        <v>35</v>
      </c>
      <c r="E2389">
        <v>6</v>
      </c>
      <c r="F2389" s="3">
        <v>9.1300000000000008</v>
      </c>
      <c r="G2389" t="s">
        <v>27</v>
      </c>
      <c r="H2389">
        <v>22</v>
      </c>
      <c r="I2389" t="s">
        <v>34</v>
      </c>
      <c r="J2389" s="4">
        <v>66.7</v>
      </c>
      <c r="K2389" s="4">
        <v>159.5</v>
      </c>
      <c r="L2389" s="4">
        <v>25.1</v>
      </c>
      <c r="M2389">
        <v>14</v>
      </c>
      <c r="N2389" t="s">
        <v>29</v>
      </c>
      <c r="O2389">
        <v>3</v>
      </c>
      <c r="P2389" s="4">
        <v>1804.7</v>
      </c>
      <c r="Q2389" t="s">
        <v>42</v>
      </c>
      <c r="R2389">
        <v>1</v>
      </c>
      <c r="S2389" t="s">
        <v>44</v>
      </c>
      <c r="T2389">
        <v>1</v>
      </c>
      <c r="U2389">
        <v>1</v>
      </c>
      <c r="V2389" t="s">
        <v>32</v>
      </c>
      <c r="W2389" t="s">
        <v>33</v>
      </c>
      <c r="X2389" s="4">
        <v>9.6</v>
      </c>
      <c r="Y2389">
        <v>16</v>
      </c>
      <c r="Z2389" s="5">
        <v>216.6</v>
      </c>
    </row>
    <row r="2390" spans="1:26">
      <c r="A2390">
        <v>2389</v>
      </c>
      <c r="B2390">
        <v>784</v>
      </c>
      <c r="C2390" s="2">
        <v>46189</v>
      </c>
      <c r="D2390" t="s">
        <v>35</v>
      </c>
      <c r="E2390">
        <v>6</v>
      </c>
      <c r="F2390" s="3">
        <v>9.07</v>
      </c>
      <c r="G2390" t="s">
        <v>27</v>
      </c>
      <c r="H2390">
        <v>25</v>
      </c>
      <c r="I2390" t="s">
        <v>34</v>
      </c>
      <c r="J2390" s="4">
        <v>71.599999999999994</v>
      </c>
      <c r="K2390" s="4">
        <v>163.4</v>
      </c>
      <c r="L2390" s="4">
        <v>22.5</v>
      </c>
      <c r="M2390">
        <v>18</v>
      </c>
      <c r="N2390" t="s">
        <v>29</v>
      </c>
      <c r="O2390">
        <v>3</v>
      </c>
      <c r="P2390" s="4">
        <v>1804.7</v>
      </c>
      <c r="Q2390" t="s">
        <v>42</v>
      </c>
      <c r="R2390">
        <v>1</v>
      </c>
      <c r="S2390" t="s">
        <v>44</v>
      </c>
      <c r="T2390">
        <v>1</v>
      </c>
      <c r="U2390">
        <v>1</v>
      </c>
      <c r="V2390" t="s">
        <v>32</v>
      </c>
      <c r="W2390" t="s">
        <v>33</v>
      </c>
      <c r="X2390" s="4">
        <v>9.4</v>
      </c>
      <c r="Y2390">
        <v>3</v>
      </c>
      <c r="Z2390" s="5">
        <v>280.95999999999998</v>
      </c>
    </row>
    <row r="2391" spans="1:26">
      <c r="A2391">
        <v>2390</v>
      </c>
      <c r="B2391">
        <v>785</v>
      </c>
      <c r="C2391" s="2">
        <v>46222</v>
      </c>
      <c r="D2391" t="s">
        <v>58</v>
      </c>
      <c r="E2391">
        <v>7</v>
      </c>
      <c r="F2391" s="3">
        <v>9.48</v>
      </c>
      <c r="G2391" t="s">
        <v>27</v>
      </c>
      <c r="H2391">
        <v>19</v>
      </c>
      <c r="I2391" t="s">
        <v>34</v>
      </c>
      <c r="J2391" s="4">
        <v>59.3</v>
      </c>
      <c r="K2391" s="4">
        <v>144.19999999999999</v>
      </c>
      <c r="L2391" s="4">
        <v>28.7</v>
      </c>
      <c r="M2391">
        <v>9</v>
      </c>
      <c r="N2391" t="s">
        <v>37</v>
      </c>
      <c r="O2391">
        <v>1</v>
      </c>
      <c r="P2391" s="4">
        <v>1555</v>
      </c>
      <c r="Q2391" t="s">
        <v>30</v>
      </c>
      <c r="R2391">
        <v>1</v>
      </c>
      <c r="S2391" t="s">
        <v>31</v>
      </c>
      <c r="T2391">
        <v>1</v>
      </c>
      <c r="U2391">
        <v>0</v>
      </c>
      <c r="V2391" t="s">
        <v>32</v>
      </c>
      <c r="W2391" t="s">
        <v>49</v>
      </c>
      <c r="X2391" s="4">
        <v>8.1999999999999993</v>
      </c>
      <c r="Y2391">
        <v>11</v>
      </c>
      <c r="Z2391" s="5">
        <v>437.5</v>
      </c>
    </row>
    <row r="2392" spans="1:26">
      <c r="A2392">
        <v>2391</v>
      </c>
      <c r="B2392">
        <v>786</v>
      </c>
      <c r="C2392" s="2">
        <v>46202</v>
      </c>
      <c r="D2392" t="s">
        <v>46</v>
      </c>
      <c r="E2392">
        <v>6</v>
      </c>
      <c r="F2392" s="3">
        <v>9.23</v>
      </c>
      <c r="G2392" t="s">
        <v>27</v>
      </c>
      <c r="H2392">
        <v>14</v>
      </c>
      <c r="I2392" t="s">
        <v>28</v>
      </c>
      <c r="J2392" s="4">
        <v>70</v>
      </c>
      <c r="K2392" s="4">
        <v>128.30000000000001</v>
      </c>
      <c r="L2392" s="4">
        <v>18.100000000000001</v>
      </c>
      <c r="M2392">
        <v>18</v>
      </c>
      <c r="N2392" t="s">
        <v>47</v>
      </c>
      <c r="O2392">
        <v>3</v>
      </c>
      <c r="P2392" s="4">
        <v>89.3</v>
      </c>
      <c r="Q2392" t="s">
        <v>48</v>
      </c>
      <c r="R2392">
        <v>1</v>
      </c>
      <c r="S2392" t="s">
        <v>44</v>
      </c>
      <c r="T2392">
        <v>1</v>
      </c>
      <c r="U2392">
        <v>0</v>
      </c>
      <c r="V2392" t="s">
        <v>45</v>
      </c>
      <c r="W2392" t="s">
        <v>43</v>
      </c>
      <c r="X2392" s="4">
        <v>9.5</v>
      </c>
      <c r="Y2392">
        <v>9</v>
      </c>
      <c r="Z2392" s="5">
        <v>244.3</v>
      </c>
    </row>
    <row r="2393" spans="1:26">
      <c r="A2393">
        <v>2392</v>
      </c>
      <c r="B2393">
        <v>786</v>
      </c>
      <c r="C2393" s="2">
        <v>46202</v>
      </c>
      <c r="D2393" t="s">
        <v>46</v>
      </c>
      <c r="E2393">
        <v>6</v>
      </c>
      <c r="F2393" s="3">
        <v>9.14</v>
      </c>
      <c r="G2393" t="s">
        <v>27</v>
      </c>
      <c r="H2393">
        <v>74</v>
      </c>
      <c r="I2393" t="s">
        <v>34</v>
      </c>
      <c r="J2393" s="4">
        <v>66.599999999999994</v>
      </c>
      <c r="K2393" s="4">
        <v>205.1</v>
      </c>
      <c r="L2393" s="4">
        <v>32.799999999999997</v>
      </c>
      <c r="M2393">
        <v>18</v>
      </c>
      <c r="N2393" t="s">
        <v>47</v>
      </c>
      <c r="O2393">
        <v>3</v>
      </c>
      <c r="P2393" s="4">
        <v>89.3</v>
      </c>
      <c r="Q2393" t="s">
        <v>48</v>
      </c>
      <c r="R2393">
        <v>1</v>
      </c>
      <c r="S2393" t="s">
        <v>44</v>
      </c>
      <c r="T2393">
        <v>1</v>
      </c>
      <c r="U2393">
        <v>0</v>
      </c>
      <c r="V2393" t="s">
        <v>45</v>
      </c>
      <c r="W2393" t="s">
        <v>43</v>
      </c>
      <c r="X2393" s="4">
        <v>8.1</v>
      </c>
      <c r="Y2393">
        <v>6</v>
      </c>
      <c r="Z2393" s="5">
        <v>268.10000000000002</v>
      </c>
    </row>
    <row r="2394" spans="1:26">
      <c r="A2394">
        <v>2393</v>
      </c>
      <c r="B2394">
        <v>786</v>
      </c>
      <c r="C2394" s="2">
        <v>46202</v>
      </c>
      <c r="D2394" t="s">
        <v>46</v>
      </c>
      <c r="E2394">
        <v>6</v>
      </c>
      <c r="F2394" s="3">
        <v>9.08</v>
      </c>
      <c r="G2394" t="s">
        <v>27</v>
      </c>
      <c r="H2394">
        <v>46</v>
      </c>
      <c r="I2394" t="s">
        <v>28</v>
      </c>
      <c r="J2394" s="4">
        <v>74.900000000000006</v>
      </c>
      <c r="K2394" s="4">
        <v>235.4</v>
      </c>
      <c r="L2394" s="4">
        <v>29.4</v>
      </c>
      <c r="M2394">
        <v>17</v>
      </c>
      <c r="N2394" t="s">
        <v>47</v>
      </c>
      <c r="O2394">
        <v>3</v>
      </c>
      <c r="P2394" s="4">
        <v>89.3</v>
      </c>
      <c r="Q2394" t="s">
        <v>48</v>
      </c>
      <c r="R2394">
        <v>1</v>
      </c>
      <c r="S2394" t="s">
        <v>44</v>
      </c>
      <c r="T2394">
        <v>1</v>
      </c>
      <c r="U2394">
        <v>0</v>
      </c>
      <c r="V2394" t="s">
        <v>45</v>
      </c>
      <c r="W2394" t="s">
        <v>43</v>
      </c>
      <c r="X2394" s="4">
        <v>7.2</v>
      </c>
      <c r="Y2394">
        <v>9</v>
      </c>
      <c r="Z2394" s="5">
        <v>154.57</v>
      </c>
    </row>
    <row r="2395" spans="1:26">
      <c r="A2395">
        <v>2394</v>
      </c>
      <c r="B2395">
        <v>787</v>
      </c>
      <c r="C2395" s="2">
        <v>46286</v>
      </c>
      <c r="D2395" t="s">
        <v>46</v>
      </c>
      <c r="E2395">
        <v>9</v>
      </c>
      <c r="F2395" s="3">
        <v>11.36</v>
      </c>
      <c r="G2395" t="s">
        <v>36</v>
      </c>
      <c r="H2395">
        <v>8</v>
      </c>
      <c r="I2395" t="s">
        <v>28</v>
      </c>
      <c r="J2395" s="4">
        <v>62.9</v>
      </c>
      <c r="K2395" s="4">
        <v>101.5</v>
      </c>
      <c r="L2395" s="4">
        <v>18.100000000000001</v>
      </c>
      <c r="M2395">
        <v>15</v>
      </c>
      <c r="N2395" t="s">
        <v>56</v>
      </c>
      <c r="O2395">
        <v>4</v>
      </c>
      <c r="P2395" s="4">
        <v>248.6</v>
      </c>
      <c r="Q2395" t="s">
        <v>48</v>
      </c>
      <c r="R2395">
        <v>0</v>
      </c>
      <c r="S2395" t="s">
        <v>31</v>
      </c>
      <c r="T2395">
        <v>1</v>
      </c>
      <c r="U2395">
        <v>0</v>
      </c>
      <c r="V2395" t="s">
        <v>32</v>
      </c>
      <c r="W2395" t="s">
        <v>39</v>
      </c>
      <c r="X2395" s="4">
        <v>8.1999999999999993</v>
      </c>
      <c r="Y2395">
        <v>9</v>
      </c>
      <c r="Z2395" s="5">
        <v>240.17</v>
      </c>
    </row>
    <row r="2396" spans="1:26">
      <c r="A2396">
        <v>2395</v>
      </c>
      <c r="B2396">
        <v>787</v>
      </c>
      <c r="C2396" s="2">
        <v>46286</v>
      </c>
      <c r="D2396" t="s">
        <v>46</v>
      </c>
      <c r="E2396">
        <v>9</v>
      </c>
      <c r="F2396" s="3">
        <v>11.26</v>
      </c>
      <c r="G2396" t="s">
        <v>36</v>
      </c>
      <c r="H2396">
        <v>35</v>
      </c>
      <c r="I2396" t="s">
        <v>34</v>
      </c>
      <c r="J2396" s="4">
        <v>63.8</v>
      </c>
      <c r="K2396" s="4">
        <v>150.80000000000001</v>
      </c>
      <c r="L2396" s="4">
        <v>25.8</v>
      </c>
      <c r="M2396">
        <v>15</v>
      </c>
      <c r="N2396" t="s">
        <v>56</v>
      </c>
      <c r="O2396">
        <v>4</v>
      </c>
      <c r="P2396" s="4">
        <v>248.6</v>
      </c>
      <c r="Q2396" t="s">
        <v>48</v>
      </c>
      <c r="R2396">
        <v>0</v>
      </c>
      <c r="S2396" t="s">
        <v>31</v>
      </c>
      <c r="T2396">
        <v>1</v>
      </c>
      <c r="U2396">
        <v>0</v>
      </c>
      <c r="V2396" t="s">
        <v>32</v>
      </c>
      <c r="W2396" t="s">
        <v>39</v>
      </c>
      <c r="X2396" s="4">
        <v>10.8</v>
      </c>
      <c r="Y2396">
        <v>7</v>
      </c>
      <c r="Z2396" s="5">
        <v>276.64999999999998</v>
      </c>
    </row>
    <row r="2397" spans="1:26">
      <c r="A2397">
        <v>2396</v>
      </c>
      <c r="B2397">
        <v>787</v>
      </c>
      <c r="C2397" s="2">
        <v>46286</v>
      </c>
      <c r="D2397" t="s">
        <v>46</v>
      </c>
      <c r="E2397">
        <v>9</v>
      </c>
      <c r="F2397" s="3">
        <v>11.26</v>
      </c>
      <c r="G2397" t="s">
        <v>36</v>
      </c>
      <c r="H2397">
        <v>31</v>
      </c>
      <c r="I2397" t="s">
        <v>34</v>
      </c>
      <c r="J2397" s="4">
        <v>65.2</v>
      </c>
      <c r="K2397" s="4">
        <v>169.4</v>
      </c>
      <c r="L2397" s="4">
        <v>28.1</v>
      </c>
      <c r="M2397">
        <v>18</v>
      </c>
      <c r="N2397" t="s">
        <v>56</v>
      </c>
      <c r="O2397">
        <v>4</v>
      </c>
      <c r="P2397" s="4">
        <v>248.6</v>
      </c>
      <c r="Q2397" t="s">
        <v>48</v>
      </c>
      <c r="R2397">
        <v>0</v>
      </c>
      <c r="S2397" t="s">
        <v>31</v>
      </c>
      <c r="T2397">
        <v>1</v>
      </c>
      <c r="U2397">
        <v>0</v>
      </c>
      <c r="V2397" t="s">
        <v>32</v>
      </c>
      <c r="W2397" t="s">
        <v>39</v>
      </c>
      <c r="X2397" s="4">
        <v>8.6</v>
      </c>
      <c r="Y2397">
        <v>5</v>
      </c>
      <c r="Z2397" s="5">
        <v>290.85000000000002</v>
      </c>
    </row>
    <row r="2398" spans="1:26">
      <c r="A2398">
        <v>2397</v>
      </c>
      <c r="B2398">
        <v>787</v>
      </c>
      <c r="C2398" s="2">
        <v>46286</v>
      </c>
      <c r="D2398" t="s">
        <v>46</v>
      </c>
      <c r="E2398">
        <v>9</v>
      </c>
      <c r="F2398" s="3">
        <v>11.25</v>
      </c>
      <c r="G2398" t="s">
        <v>36</v>
      </c>
      <c r="H2398">
        <v>72</v>
      </c>
      <c r="I2398" t="s">
        <v>34</v>
      </c>
      <c r="J2398" s="4">
        <v>62.1</v>
      </c>
      <c r="K2398" s="4">
        <v>169.3</v>
      </c>
      <c r="L2398" s="4">
        <v>30.6</v>
      </c>
      <c r="M2398">
        <v>19</v>
      </c>
      <c r="N2398" t="s">
        <v>56</v>
      </c>
      <c r="O2398">
        <v>4</v>
      </c>
      <c r="P2398" s="4">
        <v>248.6</v>
      </c>
      <c r="Q2398" t="s">
        <v>48</v>
      </c>
      <c r="R2398">
        <v>0</v>
      </c>
      <c r="S2398" t="s">
        <v>31</v>
      </c>
      <c r="T2398">
        <v>1</v>
      </c>
      <c r="U2398">
        <v>0</v>
      </c>
      <c r="V2398" t="s">
        <v>32</v>
      </c>
      <c r="W2398" t="s">
        <v>39</v>
      </c>
      <c r="X2398" s="4">
        <v>10.1</v>
      </c>
      <c r="Y2398">
        <v>13</v>
      </c>
      <c r="Z2398" s="5">
        <v>187.05</v>
      </c>
    </row>
    <row r="2399" spans="1:26">
      <c r="A2399">
        <v>2398</v>
      </c>
      <c r="B2399">
        <v>788</v>
      </c>
      <c r="C2399" s="2">
        <v>46328</v>
      </c>
      <c r="D2399" t="s">
        <v>46</v>
      </c>
      <c r="E2399">
        <v>11</v>
      </c>
      <c r="F2399" s="3">
        <v>10.41</v>
      </c>
      <c r="G2399" t="s">
        <v>27</v>
      </c>
      <c r="H2399">
        <v>10</v>
      </c>
      <c r="I2399" t="s">
        <v>34</v>
      </c>
      <c r="J2399" s="4">
        <v>70</v>
      </c>
      <c r="K2399" s="4">
        <v>126</v>
      </c>
      <c r="L2399" s="4">
        <v>18.3</v>
      </c>
      <c r="M2399">
        <v>17</v>
      </c>
      <c r="N2399" t="s">
        <v>50</v>
      </c>
      <c r="O2399">
        <v>2</v>
      </c>
      <c r="P2399" s="4">
        <v>212.3</v>
      </c>
      <c r="Q2399" t="s">
        <v>42</v>
      </c>
      <c r="R2399">
        <v>1</v>
      </c>
      <c r="S2399" t="s">
        <v>44</v>
      </c>
      <c r="T2399">
        <v>0</v>
      </c>
      <c r="U2399">
        <v>0</v>
      </c>
      <c r="V2399" t="s">
        <v>32</v>
      </c>
      <c r="W2399" t="s">
        <v>39</v>
      </c>
      <c r="X2399" s="4">
        <v>8.9</v>
      </c>
      <c r="Y2399">
        <v>6</v>
      </c>
      <c r="Z2399" s="5">
        <v>366.19</v>
      </c>
    </row>
    <row r="2400" spans="1:26">
      <c r="A2400">
        <v>2399</v>
      </c>
      <c r="B2400">
        <v>788</v>
      </c>
      <c r="C2400" s="2">
        <v>46328</v>
      </c>
      <c r="D2400" t="s">
        <v>46</v>
      </c>
      <c r="E2400">
        <v>11</v>
      </c>
      <c r="F2400" s="3">
        <v>10.31</v>
      </c>
      <c r="G2400" t="s">
        <v>27</v>
      </c>
      <c r="H2400">
        <v>52</v>
      </c>
      <c r="I2400" t="s">
        <v>28</v>
      </c>
      <c r="J2400" s="4">
        <v>70.900000000000006</v>
      </c>
      <c r="K2400" s="4">
        <v>189.7</v>
      </c>
      <c r="L2400" s="4">
        <v>26.2</v>
      </c>
      <c r="M2400">
        <v>15</v>
      </c>
      <c r="N2400" t="s">
        <v>50</v>
      </c>
      <c r="O2400">
        <v>2</v>
      </c>
      <c r="P2400" s="4">
        <v>212.3</v>
      </c>
      <c r="Q2400" t="s">
        <v>42</v>
      </c>
      <c r="R2400">
        <v>1</v>
      </c>
      <c r="S2400" t="s">
        <v>44</v>
      </c>
      <c r="T2400">
        <v>0</v>
      </c>
      <c r="U2400">
        <v>0</v>
      </c>
      <c r="V2400" t="s">
        <v>32</v>
      </c>
      <c r="W2400" t="s">
        <v>39</v>
      </c>
      <c r="X2400" s="4">
        <v>6.3</v>
      </c>
      <c r="Y2400">
        <v>6</v>
      </c>
      <c r="Z2400" s="5">
        <v>120.82</v>
      </c>
    </row>
    <row r="2401" spans="1:26">
      <c r="A2401">
        <v>2400</v>
      </c>
      <c r="B2401">
        <v>789</v>
      </c>
      <c r="C2401" s="2">
        <v>46163</v>
      </c>
      <c r="D2401" t="s">
        <v>55</v>
      </c>
      <c r="E2401">
        <v>5</v>
      </c>
      <c r="F2401" s="3">
        <v>9.2100000000000009</v>
      </c>
      <c r="G2401" t="s">
        <v>27</v>
      </c>
      <c r="H2401">
        <v>9</v>
      </c>
      <c r="I2401" t="s">
        <v>28</v>
      </c>
      <c r="J2401" s="4">
        <v>60.9</v>
      </c>
      <c r="K2401" s="4">
        <v>109.1</v>
      </c>
      <c r="L2401" s="4">
        <v>20.5</v>
      </c>
      <c r="M2401">
        <v>9</v>
      </c>
      <c r="N2401" t="s">
        <v>50</v>
      </c>
      <c r="O2401">
        <v>2</v>
      </c>
      <c r="P2401" s="4">
        <v>345.9</v>
      </c>
      <c r="Q2401" t="s">
        <v>30</v>
      </c>
      <c r="R2401">
        <v>1</v>
      </c>
      <c r="S2401" t="s">
        <v>38</v>
      </c>
      <c r="T2401">
        <v>0</v>
      </c>
      <c r="U2401">
        <v>0</v>
      </c>
      <c r="V2401" t="s">
        <v>32</v>
      </c>
      <c r="W2401" t="s">
        <v>57</v>
      </c>
      <c r="X2401" s="4">
        <v>9.8000000000000007</v>
      </c>
      <c r="Y2401">
        <v>8</v>
      </c>
      <c r="Z2401" s="5">
        <v>110.1</v>
      </c>
    </row>
    <row r="2402" spans="1:26">
      <c r="A2402">
        <v>2401</v>
      </c>
      <c r="B2402">
        <v>789</v>
      </c>
      <c r="C2402" s="2">
        <v>46163</v>
      </c>
      <c r="D2402" t="s">
        <v>55</v>
      </c>
      <c r="E2402">
        <v>5</v>
      </c>
      <c r="F2402" s="3">
        <v>9.19</v>
      </c>
      <c r="G2402" t="s">
        <v>27</v>
      </c>
      <c r="H2402">
        <v>18</v>
      </c>
      <c r="I2402" t="s">
        <v>34</v>
      </c>
      <c r="J2402" s="4">
        <v>62.4</v>
      </c>
      <c r="K2402" s="4">
        <v>150.1</v>
      </c>
      <c r="L2402" s="4">
        <v>27.1</v>
      </c>
      <c r="M2402">
        <v>14</v>
      </c>
      <c r="N2402" t="s">
        <v>50</v>
      </c>
      <c r="O2402">
        <v>2</v>
      </c>
      <c r="P2402" s="4">
        <v>345.9</v>
      </c>
      <c r="Q2402" t="s">
        <v>30</v>
      </c>
      <c r="R2402">
        <v>1</v>
      </c>
      <c r="S2402" t="s">
        <v>38</v>
      </c>
      <c r="T2402">
        <v>0</v>
      </c>
      <c r="U2402">
        <v>0</v>
      </c>
      <c r="V2402" t="s">
        <v>32</v>
      </c>
      <c r="W2402" t="s">
        <v>57</v>
      </c>
      <c r="X2402" s="4">
        <v>6.5</v>
      </c>
      <c r="Y2402">
        <v>6</v>
      </c>
      <c r="Z2402" s="5">
        <v>185.21</v>
      </c>
    </row>
    <row r="2403" spans="1:26">
      <c r="A2403">
        <v>2402</v>
      </c>
      <c r="B2403">
        <v>790</v>
      </c>
      <c r="C2403" s="2">
        <v>46098</v>
      </c>
      <c r="D2403" t="s">
        <v>35</v>
      </c>
      <c r="E2403">
        <v>3</v>
      </c>
      <c r="F2403" s="3">
        <v>10.220000000000001</v>
      </c>
      <c r="G2403" t="s">
        <v>27</v>
      </c>
      <c r="H2403">
        <v>22</v>
      </c>
      <c r="I2403" t="s">
        <v>28</v>
      </c>
      <c r="J2403" s="4">
        <v>68.599999999999994</v>
      </c>
      <c r="K2403" s="4">
        <v>140.4</v>
      </c>
      <c r="L2403" s="4">
        <v>21</v>
      </c>
      <c r="M2403">
        <v>15</v>
      </c>
      <c r="N2403" t="s">
        <v>66</v>
      </c>
      <c r="O2403">
        <v>4</v>
      </c>
      <c r="P2403" s="4">
        <v>645.70000000000005</v>
      </c>
      <c r="Q2403" t="s">
        <v>42</v>
      </c>
      <c r="R2403">
        <v>0</v>
      </c>
      <c r="S2403" t="s">
        <v>44</v>
      </c>
      <c r="T2403">
        <v>0</v>
      </c>
      <c r="U2403">
        <v>0</v>
      </c>
      <c r="V2403" t="s">
        <v>32</v>
      </c>
      <c r="W2403" t="s">
        <v>49</v>
      </c>
      <c r="X2403" s="4">
        <v>7.2</v>
      </c>
      <c r="Y2403">
        <v>7</v>
      </c>
      <c r="Z2403" s="5">
        <v>170.22</v>
      </c>
    </row>
    <row r="2404" spans="1:26">
      <c r="A2404">
        <v>2403</v>
      </c>
      <c r="B2404">
        <v>790</v>
      </c>
      <c r="C2404" s="2">
        <v>46098</v>
      </c>
      <c r="D2404" t="s">
        <v>35</v>
      </c>
      <c r="E2404">
        <v>3</v>
      </c>
      <c r="F2404" s="3">
        <v>10.17</v>
      </c>
      <c r="G2404" t="s">
        <v>27</v>
      </c>
      <c r="H2404">
        <v>47</v>
      </c>
      <c r="I2404" t="s">
        <v>34</v>
      </c>
      <c r="J2404" s="4">
        <v>62.1</v>
      </c>
      <c r="K2404" s="4">
        <v>148</v>
      </c>
      <c r="L2404" s="4">
        <v>26.9</v>
      </c>
      <c r="M2404">
        <v>18</v>
      </c>
      <c r="N2404" t="s">
        <v>66</v>
      </c>
      <c r="O2404">
        <v>4</v>
      </c>
      <c r="P2404" s="4">
        <v>645.70000000000005</v>
      </c>
      <c r="Q2404" t="s">
        <v>42</v>
      </c>
      <c r="R2404">
        <v>0</v>
      </c>
      <c r="S2404" t="s">
        <v>44</v>
      </c>
      <c r="T2404">
        <v>0</v>
      </c>
      <c r="U2404">
        <v>0</v>
      </c>
      <c r="V2404" t="s">
        <v>32</v>
      </c>
      <c r="W2404" t="s">
        <v>49</v>
      </c>
      <c r="X2404" s="4">
        <v>8.3000000000000007</v>
      </c>
      <c r="Y2404">
        <v>13</v>
      </c>
      <c r="Z2404" s="5">
        <v>172.58</v>
      </c>
    </row>
    <row r="2405" spans="1:26">
      <c r="A2405">
        <v>2404</v>
      </c>
      <c r="B2405">
        <v>790</v>
      </c>
      <c r="C2405" s="2">
        <v>46098</v>
      </c>
      <c r="D2405" t="s">
        <v>35</v>
      </c>
      <c r="E2405">
        <v>3</v>
      </c>
      <c r="F2405" s="3">
        <v>10.25</v>
      </c>
      <c r="G2405" t="s">
        <v>27</v>
      </c>
      <c r="H2405">
        <v>63</v>
      </c>
      <c r="I2405" t="s">
        <v>34</v>
      </c>
      <c r="J2405" s="4">
        <v>61.4</v>
      </c>
      <c r="K2405" s="4">
        <v>150.1</v>
      </c>
      <c r="L2405" s="4">
        <v>28.1</v>
      </c>
      <c r="M2405">
        <v>17</v>
      </c>
      <c r="N2405" t="s">
        <v>66</v>
      </c>
      <c r="O2405">
        <v>4</v>
      </c>
      <c r="P2405" s="4">
        <v>645.70000000000005</v>
      </c>
      <c r="Q2405" t="s">
        <v>42</v>
      </c>
      <c r="R2405">
        <v>0</v>
      </c>
      <c r="S2405" t="s">
        <v>44</v>
      </c>
      <c r="T2405">
        <v>0</v>
      </c>
      <c r="U2405">
        <v>0</v>
      </c>
      <c r="V2405" t="s">
        <v>32</v>
      </c>
      <c r="W2405" t="s">
        <v>49</v>
      </c>
      <c r="X2405" s="4">
        <v>7.2</v>
      </c>
      <c r="Y2405">
        <v>6</v>
      </c>
      <c r="Z2405" s="5">
        <v>167.78</v>
      </c>
    </row>
    <row r="2406" spans="1:26">
      <c r="A2406">
        <v>2405</v>
      </c>
      <c r="B2406">
        <v>790</v>
      </c>
      <c r="C2406" s="2">
        <v>46098</v>
      </c>
      <c r="D2406" t="s">
        <v>35</v>
      </c>
      <c r="E2406">
        <v>3</v>
      </c>
      <c r="F2406" s="3">
        <v>10.17</v>
      </c>
      <c r="G2406" t="s">
        <v>27</v>
      </c>
      <c r="H2406">
        <v>15</v>
      </c>
      <c r="I2406" t="s">
        <v>34</v>
      </c>
      <c r="J2406" s="4">
        <v>70</v>
      </c>
      <c r="K2406" s="4">
        <v>141.4</v>
      </c>
      <c r="L2406" s="4">
        <v>20</v>
      </c>
      <c r="M2406">
        <v>17</v>
      </c>
      <c r="N2406" t="s">
        <v>66</v>
      </c>
      <c r="O2406">
        <v>4</v>
      </c>
      <c r="P2406" s="4">
        <v>645.70000000000005</v>
      </c>
      <c r="Q2406" t="s">
        <v>42</v>
      </c>
      <c r="R2406">
        <v>0</v>
      </c>
      <c r="S2406" t="s">
        <v>44</v>
      </c>
      <c r="T2406">
        <v>0</v>
      </c>
      <c r="U2406">
        <v>0</v>
      </c>
      <c r="V2406" t="s">
        <v>32</v>
      </c>
      <c r="W2406" t="s">
        <v>49</v>
      </c>
      <c r="X2406" s="4">
        <v>9.6999999999999993</v>
      </c>
      <c r="Y2406">
        <v>1</v>
      </c>
      <c r="Z2406" s="5">
        <v>172.37</v>
      </c>
    </row>
    <row r="2407" spans="1:26">
      <c r="A2407">
        <v>2406</v>
      </c>
      <c r="B2407">
        <v>791</v>
      </c>
      <c r="C2407" s="2">
        <v>46224</v>
      </c>
      <c r="D2407" t="s">
        <v>35</v>
      </c>
      <c r="E2407">
        <v>7</v>
      </c>
      <c r="F2407" s="3">
        <v>9.99</v>
      </c>
      <c r="G2407" t="s">
        <v>27</v>
      </c>
      <c r="H2407">
        <v>41</v>
      </c>
      <c r="I2407" t="s">
        <v>34</v>
      </c>
      <c r="J2407" s="4">
        <v>62.6</v>
      </c>
      <c r="K2407" s="4">
        <v>136.1</v>
      </c>
      <c r="L2407" s="4">
        <v>24.4</v>
      </c>
      <c r="M2407">
        <v>18</v>
      </c>
      <c r="N2407" t="s">
        <v>60</v>
      </c>
      <c r="O2407">
        <v>4</v>
      </c>
      <c r="P2407" s="4">
        <v>1820.3</v>
      </c>
      <c r="Q2407" t="s">
        <v>48</v>
      </c>
      <c r="R2407">
        <v>0</v>
      </c>
      <c r="S2407" t="s">
        <v>38</v>
      </c>
      <c r="T2407">
        <v>1</v>
      </c>
      <c r="U2407">
        <v>1</v>
      </c>
      <c r="V2407" t="s">
        <v>32</v>
      </c>
      <c r="W2407" t="s">
        <v>33</v>
      </c>
      <c r="X2407" s="4">
        <v>12</v>
      </c>
      <c r="Y2407">
        <v>13</v>
      </c>
      <c r="Z2407" s="5">
        <v>204.59</v>
      </c>
    </row>
    <row r="2408" spans="1:26">
      <c r="A2408">
        <v>2407</v>
      </c>
      <c r="B2408">
        <v>791</v>
      </c>
      <c r="C2408" s="2">
        <v>46224</v>
      </c>
      <c r="D2408" t="s">
        <v>35</v>
      </c>
      <c r="E2408">
        <v>7</v>
      </c>
      <c r="F2408" s="3">
        <v>9.91</v>
      </c>
      <c r="G2408" t="s">
        <v>27</v>
      </c>
      <c r="H2408">
        <v>42</v>
      </c>
      <c r="I2408" t="s">
        <v>28</v>
      </c>
      <c r="J2408" s="4">
        <v>66</v>
      </c>
      <c r="K2408" s="4">
        <v>176.7</v>
      </c>
      <c r="L2408" s="4">
        <v>28.5</v>
      </c>
      <c r="M2408">
        <v>15</v>
      </c>
      <c r="N2408" t="s">
        <v>60</v>
      </c>
      <c r="O2408">
        <v>4</v>
      </c>
      <c r="P2408" s="4">
        <v>1820.3</v>
      </c>
      <c r="Q2408" t="s">
        <v>48</v>
      </c>
      <c r="R2408">
        <v>0</v>
      </c>
      <c r="S2408" t="s">
        <v>38</v>
      </c>
      <c r="T2408">
        <v>1</v>
      </c>
      <c r="U2408">
        <v>1</v>
      </c>
      <c r="V2408" t="s">
        <v>32</v>
      </c>
      <c r="W2408" t="s">
        <v>33</v>
      </c>
      <c r="X2408" s="4">
        <v>8.5</v>
      </c>
      <c r="Y2408">
        <v>10</v>
      </c>
      <c r="Z2408" s="5">
        <v>220.75</v>
      </c>
    </row>
    <row r="2409" spans="1:26">
      <c r="A2409">
        <v>2408</v>
      </c>
      <c r="B2409">
        <v>791</v>
      </c>
      <c r="C2409" s="2">
        <v>46224</v>
      </c>
      <c r="D2409" t="s">
        <v>35</v>
      </c>
      <c r="E2409">
        <v>7</v>
      </c>
      <c r="F2409" s="3">
        <v>9.73</v>
      </c>
      <c r="G2409" t="s">
        <v>27</v>
      </c>
      <c r="H2409">
        <v>73</v>
      </c>
      <c r="I2409" t="s">
        <v>28</v>
      </c>
      <c r="J2409" s="4">
        <v>73.7</v>
      </c>
      <c r="K2409" s="4">
        <v>210.7</v>
      </c>
      <c r="L2409" s="4">
        <v>26.9</v>
      </c>
      <c r="M2409">
        <v>17</v>
      </c>
      <c r="N2409" t="s">
        <v>60</v>
      </c>
      <c r="O2409">
        <v>4</v>
      </c>
      <c r="P2409" s="4">
        <v>1820.3</v>
      </c>
      <c r="Q2409" t="s">
        <v>48</v>
      </c>
      <c r="R2409">
        <v>0</v>
      </c>
      <c r="S2409" t="s">
        <v>38</v>
      </c>
      <c r="T2409">
        <v>1</v>
      </c>
      <c r="U2409">
        <v>1</v>
      </c>
      <c r="V2409" t="s">
        <v>32</v>
      </c>
      <c r="W2409" t="s">
        <v>33</v>
      </c>
      <c r="X2409" s="4">
        <v>7.5</v>
      </c>
      <c r="Y2409">
        <v>5</v>
      </c>
      <c r="Z2409" s="5">
        <v>298.97000000000003</v>
      </c>
    </row>
    <row r="2410" spans="1:26">
      <c r="A2410">
        <v>2409</v>
      </c>
      <c r="B2410">
        <v>791</v>
      </c>
      <c r="C2410" s="2">
        <v>46224</v>
      </c>
      <c r="D2410" t="s">
        <v>35</v>
      </c>
      <c r="E2410">
        <v>7</v>
      </c>
      <c r="F2410" s="3">
        <v>9.9700000000000006</v>
      </c>
      <c r="G2410" t="s">
        <v>27</v>
      </c>
      <c r="H2410">
        <v>29</v>
      </c>
      <c r="I2410" t="s">
        <v>34</v>
      </c>
      <c r="J2410" s="4">
        <v>63.4</v>
      </c>
      <c r="K2410" s="4">
        <v>145</v>
      </c>
      <c r="L2410" s="4">
        <v>25.6</v>
      </c>
      <c r="M2410">
        <v>17</v>
      </c>
      <c r="N2410" t="s">
        <v>60</v>
      </c>
      <c r="O2410">
        <v>4</v>
      </c>
      <c r="P2410" s="4">
        <v>1820.3</v>
      </c>
      <c r="Q2410" t="s">
        <v>48</v>
      </c>
      <c r="R2410">
        <v>0</v>
      </c>
      <c r="S2410" t="s">
        <v>38</v>
      </c>
      <c r="T2410">
        <v>1</v>
      </c>
      <c r="U2410">
        <v>1</v>
      </c>
      <c r="V2410" t="s">
        <v>32</v>
      </c>
      <c r="W2410" t="s">
        <v>33</v>
      </c>
      <c r="X2410" s="4">
        <v>8.3000000000000007</v>
      </c>
      <c r="Y2410">
        <v>0</v>
      </c>
      <c r="Z2410" s="5">
        <v>262.52</v>
      </c>
    </row>
    <row r="2411" spans="1:26">
      <c r="A2411">
        <v>2410</v>
      </c>
      <c r="B2411">
        <v>792</v>
      </c>
      <c r="C2411" s="2">
        <v>46322</v>
      </c>
      <c r="D2411" t="s">
        <v>35</v>
      </c>
      <c r="E2411">
        <v>10</v>
      </c>
      <c r="F2411" s="3">
        <v>8</v>
      </c>
      <c r="G2411" t="s">
        <v>27</v>
      </c>
      <c r="H2411">
        <v>24</v>
      </c>
      <c r="I2411" t="s">
        <v>28</v>
      </c>
      <c r="J2411" s="4">
        <v>67.5</v>
      </c>
      <c r="K2411" s="4">
        <v>198.7</v>
      </c>
      <c r="L2411" s="4">
        <v>30.7</v>
      </c>
      <c r="M2411">
        <v>15</v>
      </c>
      <c r="N2411" t="s">
        <v>56</v>
      </c>
      <c r="O2411">
        <v>2</v>
      </c>
      <c r="P2411" s="4">
        <v>341</v>
      </c>
      <c r="Q2411" t="s">
        <v>42</v>
      </c>
      <c r="R2411">
        <v>1</v>
      </c>
      <c r="S2411" t="s">
        <v>38</v>
      </c>
      <c r="T2411">
        <v>0</v>
      </c>
      <c r="U2411">
        <v>0</v>
      </c>
      <c r="V2411" t="s">
        <v>32</v>
      </c>
      <c r="W2411" t="s">
        <v>49</v>
      </c>
      <c r="X2411" s="4">
        <v>7.2</v>
      </c>
      <c r="Y2411">
        <v>7</v>
      </c>
      <c r="Z2411" s="5">
        <v>215.11</v>
      </c>
    </row>
    <row r="2412" spans="1:26">
      <c r="A2412">
        <v>2411</v>
      </c>
      <c r="B2412">
        <v>792</v>
      </c>
      <c r="C2412" s="2">
        <v>46322</v>
      </c>
      <c r="D2412" t="s">
        <v>35</v>
      </c>
      <c r="E2412">
        <v>10</v>
      </c>
      <c r="F2412" s="3">
        <v>8.17</v>
      </c>
      <c r="G2412" t="s">
        <v>27</v>
      </c>
      <c r="H2412">
        <v>55</v>
      </c>
      <c r="I2412" t="s">
        <v>28</v>
      </c>
      <c r="J2412" s="4">
        <v>68.400000000000006</v>
      </c>
      <c r="K2412" s="4">
        <v>196.6</v>
      </c>
      <c r="L2412" s="4">
        <v>29.8</v>
      </c>
      <c r="M2412">
        <v>15</v>
      </c>
      <c r="N2412" t="s">
        <v>56</v>
      </c>
      <c r="O2412">
        <v>2</v>
      </c>
      <c r="P2412" s="4">
        <v>341</v>
      </c>
      <c r="Q2412" t="s">
        <v>42</v>
      </c>
      <c r="R2412">
        <v>1</v>
      </c>
      <c r="S2412" t="s">
        <v>38</v>
      </c>
      <c r="T2412">
        <v>0</v>
      </c>
      <c r="U2412">
        <v>0</v>
      </c>
      <c r="V2412" t="s">
        <v>32</v>
      </c>
      <c r="W2412" t="s">
        <v>49</v>
      </c>
      <c r="X2412" s="4">
        <v>10</v>
      </c>
      <c r="Y2412">
        <v>13</v>
      </c>
      <c r="Z2412" s="5">
        <v>234.35</v>
      </c>
    </row>
    <row r="2413" spans="1:26">
      <c r="A2413">
        <v>2412</v>
      </c>
      <c r="B2413">
        <v>793</v>
      </c>
      <c r="C2413" s="2">
        <v>46339</v>
      </c>
      <c r="D2413" t="s">
        <v>26</v>
      </c>
      <c r="E2413">
        <v>11</v>
      </c>
      <c r="F2413" s="3">
        <v>9.69</v>
      </c>
      <c r="G2413" t="s">
        <v>27</v>
      </c>
      <c r="H2413">
        <v>64</v>
      </c>
      <c r="I2413" t="s">
        <v>34</v>
      </c>
      <c r="J2413" s="4">
        <v>67.099999999999994</v>
      </c>
      <c r="K2413" s="4">
        <v>129.1</v>
      </c>
      <c r="L2413" s="4">
        <v>20.100000000000001</v>
      </c>
      <c r="M2413">
        <v>17</v>
      </c>
      <c r="N2413" t="s">
        <v>56</v>
      </c>
      <c r="O2413">
        <v>3</v>
      </c>
      <c r="P2413" s="4">
        <v>257.3</v>
      </c>
      <c r="Q2413" t="s">
        <v>48</v>
      </c>
      <c r="R2413">
        <v>0</v>
      </c>
      <c r="S2413" t="s">
        <v>44</v>
      </c>
      <c r="T2413">
        <v>1</v>
      </c>
      <c r="U2413">
        <v>1</v>
      </c>
      <c r="V2413" t="s">
        <v>64</v>
      </c>
      <c r="W2413" t="s">
        <v>33</v>
      </c>
      <c r="X2413" s="4">
        <v>9.8000000000000007</v>
      </c>
      <c r="Y2413">
        <v>12</v>
      </c>
      <c r="Z2413" s="5">
        <v>315.25</v>
      </c>
    </row>
    <row r="2414" spans="1:26">
      <c r="A2414">
        <v>2413</v>
      </c>
      <c r="B2414">
        <v>793</v>
      </c>
      <c r="C2414" s="2">
        <v>46339</v>
      </c>
      <c r="D2414" t="s">
        <v>26</v>
      </c>
      <c r="E2414">
        <v>11</v>
      </c>
      <c r="F2414" s="3">
        <v>9.66</v>
      </c>
      <c r="G2414" t="s">
        <v>27</v>
      </c>
      <c r="H2414">
        <v>68</v>
      </c>
      <c r="I2414" t="s">
        <v>34</v>
      </c>
      <c r="J2414" s="4">
        <v>67.2</v>
      </c>
      <c r="K2414" s="4">
        <v>149.69999999999999</v>
      </c>
      <c r="L2414" s="4">
        <v>23.2</v>
      </c>
      <c r="M2414">
        <v>18</v>
      </c>
      <c r="N2414" t="s">
        <v>56</v>
      </c>
      <c r="O2414">
        <v>3</v>
      </c>
      <c r="P2414" s="4">
        <v>257.3</v>
      </c>
      <c r="Q2414" t="s">
        <v>48</v>
      </c>
      <c r="R2414">
        <v>0</v>
      </c>
      <c r="S2414" t="s">
        <v>44</v>
      </c>
      <c r="T2414">
        <v>1</v>
      </c>
      <c r="U2414">
        <v>1</v>
      </c>
      <c r="V2414" t="s">
        <v>64</v>
      </c>
      <c r="W2414" t="s">
        <v>33</v>
      </c>
      <c r="X2414" s="4">
        <v>8.9</v>
      </c>
      <c r="Y2414">
        <v>13</v>
      </c>
      <c r="Z2414" s="5">
        <v>170.51</v>
      </c>
    </row>
    <row r="2415" spans="1:26">
      <c r="A2415">
        <v>2414</v>
      </c>
      <c r="B2415">
        <v>793</v>
      </c>
      <c r="C2415" s="2">
        <v>46339</v>
      </c>
      <c r="D2415" t="s">
        <v>26</v>
      </c>
      <c r="E2415">
        <v>11</v>
      </c>
      <c r="F2415" s="3">
        <v>9.94</v>
      </c>
      <c r="G2415" t="s">
        <v>27</v>
      </c>
      <c r="H2415">
        <v>27</v>
      </c>
      <c r="I2415" t="s">
        <v>34</v>
      </c>
      <c r="J2415" s="4">
        <v>65.7</v>
      </c>
      <c r="K2415" s="4">
        <v>123.4</v>
      </c>
      <c r="L2415" s="4">
        <v>20.2</v>
      </c>
      <c r="M2415">
        <v>16</v>
      </c>
      <c r="N2415" t="s">
        <v>56</v>
      </c>
      <c r="O2415">
        <v>3</v>
      </c>
      <c r="P2415" s="4">
        <v>257.3</v>
      </c>
      <c r="Q2415" t="s">
        <v>48</v>
      </c>
      <c r="R2415">
        <v>0</v>
      </c>
      <c r="S2415" t="s">
        <v>44</v>
      </c>
      <c r="T2415">
        <v>1</v>
      </c>
      <c r="U2415">
        <v>1</v>
      </c>
      <c r="V2415" t="s">
        <v>64</v>
      </c>
      <c r="W2415" t="s">
        <v>33</v>
      </c>
      <c r="X2415" s="4">
        <v>8</v>
      </c>
      <c r="Y2415">
        <v>14</v>
      </c>
      <c r="Z2415" s="5">
        <v>195.18</v>
      </c>
    </row>
    <row r="2416" spans="1:26">
      <c r="A2416">
        <v>2415</v>
      </c>
      <c r="B2416">
        <v>794</v>
      </c>
      <c r="C2416" s="2">
        <v>46032</v>
      </c>
      <c r="D2416" t="s">
        <v>40</v>
      </c>
      <c r="E2416">
        <v>1</v>
      </c>
      <c r="F2416" s="3">
        <v>11.26</v>
      </c>
      <c r="G2416" t="s">
        <v>36</v>
      </c>
      <c r="H2416">
        <v>50</v>
      </c>
      <c r="I2416" t="s">
        <v>34</v>
      </c>
      <c r="J2416" s="4">
        <v>60.8</v>
      </c>
      <c r="K2416" s="4">
        <v>168.7</v>
      </c>
      <c r="L2416" s="4">
        <v>32.200000000000003</v>
      </c>
      <c r="M2416">
        <v>16</v>
      </c>
      <c r="N2416" t="s">
        <v>56</v>
      </c>
      <c r="O2416">
        <v>6</v>
      </c>
      <c r="P2416" s="4">
        <v>221.8</v>
      </c>
      <c r="Q2416" t="s">
        <v>30</v>
      </c>
      <c r="R2416">
        <v>0</v>
      </c>
      <c r="S2416" t="s">
        <v>44</v>
      </c>
      <c r="T2416">
        <v>0</v>
      </c>
      <c r="U2416">
        <v>0</v>
      </c>
      <c r="V2416" t="s">
        <v>32</v>
      </c>
      <c r="W2416" t="s">
        <v>43</v>
      </c>
      <c r="X2416" s="4">
        <v>7.4</v>
      </c>
      <c r="Y2416">
        <v>4</v>
      </c>
      <c r="Z2416" s="5">
        <v>98.86</v>
      </c>
    </row>
    <row r="2417" spans="1:26">
      <c r="A2417">
        <v>2416</v>
      </c>
      <c r="B2417">
        <v>794</v>
      </c>
      <c r="C2417" s="2">
        <v>46032</v>
      </c>
      <c r="D2417" t="s">
        <v>40</v>
      </c>
      <c r="E2417">
        <v>1</v>
      </c>
      <c r="F2417" s="3">
        <v>11.58</v>
      </c>
      <c r="G2417" t="s">
        <v>36</v>
      </c>
      <c r="H2417">
        <v>56</v>
      </c>
      <c r="I2417" t="s">
        <v>28</v>
      </c>
      <c r="J2417" s="4">
        <v>73</v>
      </c>
      <c r="K2417" s="4">
        <v>219.2</v>
      </c>
      <c r="L2417" s="4">
        <v>28.9</v>
      </c>
      <c r="M2417">
        <v>15</v>
      </c>
      <c r="N2417" t="s">
        <v>56</v>
      </c>
      <c r="O2417">
        <v>6</v>
      </c>
      <c r="P2417" s="4">
        <v>221.8</v>
      </c>
      <c r="Q2417" t="s">
        <v>30</v>
      </c>
      <c r="R2417">
        <v>0</v>
      </c>
      <c r="S2417" t="s">
        <v>44</v>
      </c>
      <c r="T2417">
        <v>0</v>
      </c>
      <c r="U2417">
        <v>0</v>
      </c>
      <c r="V2417" t="s">
        <v>32</v>
      </c>
      <c r="W2417" t="s">
        <v>43</v>
      </c>
      <c r="X2417" s="4">
        <v>5.8</v>
      </c>
      <c r="Y2417">
        <v>5</v>
      </c>
      <c r="Z2417" s="5">
        <v>78.290000000000006</v>
      </c>
    </row>
    <row r="2418" spans="1:26">
      <c r="A2418">
        <v>2417</v>
      </c>
      <c r="B2418">
        <v>794</v>
      </c>
      <c r="C2418" s="2">
        <v>46032</v>
      </c>
      <c r="D2418" t="s">
        <v>40</v>
      </c>
      <c r="E2418">
        <v>1</v>
      </c>
      <c r="F2418" s="3">
        <v>11.33</v>
      </c>
      <c r="G2418" t="s">
        <v>36</v>
      </c>
      <c r="H2418">
        <v>45</v>
      </c>
      <c r="I2418" t="s">
        <v>28</v>
      </c>
      <c r="J2418" s="4">
        <v>70.900000000000006</v>
      </c>
      <c r="K2418" s="4">
        <v>218.1</v>
      </c>
      <c r="L2418" s="4">
        <v>30.5</v>
      </c>
      <c r="M2418">
        <v>12</v>
      </c>
      <c r="N2418" t="s">
        <v>56</v>
      </c>
      <c r="O2418">
        <v>6</v>
      </c>
      <c r="P2418" s="4">
        <v>221.8</v>
      </c>
      <c r="Q2418" t="s">
        <v>30</v>
      </c>
      <c r="R2418">
        <v>0</v>
      </c>
      <c r="S2418" t="s">
        <v>44</v>
      </c>
      <c r="T2418">
        <v>0</v>
      </c>
      <c r="U2418">
        <v>0</v>
      </c>
      <c r="V2418" t="s">
        <v>32</v>
      </c>
      <c r="W2418" t="s">
        <v>43</v>
      </c>
      <c r="X2418" s="4">
        <v>7.8</v>
      </c>
      <c r="Y2418">
        <v>5</v>
      </c>
      <c r="Z2418" s="5">
        <v>131.57</v>
      </c>
    </row>
    <row r="2419" spans="1:26">
      <c r="A2419">
        <v>2418</v>
      </c>
      <c r="B2419">
        <v>794</v>
      </c>
      <c r="C2419" s="2">
        <v>46032</v>
      </c>
      <c r="D2419" t="s">
        <v>40</v>
      </c>
      <c r="E2419">
        <v>1</v>
      </c>
      <c r="F2419" s="3">
        <v>11.47</v>
      </c>
      <c r="G2419" t="s">
        <v>36</v>
      </c>
      <c r="H2419">
        <v>40</v>
      </c>
      <c r="I2419" t="s">
        <v>34</v>
      </c>
      <c r="J2419" s="4">
        <v>67.5</v>
      </c>
      <c r="K2419" s="4">
        <v>184.4</v>
      </c>
      <c r="L2419" s="4">
        <v>28.3</v>
      </c>
      <c r="M2419">
        <v>11</v>
      </c>
      <c r="N2419" t="s">
        <v>56</v>
      </c>
      <c r="O2419">
        <v>6</v>
      </c>
      <c r="P2419" s="4">
        <v>221.8</v>
      </c>
      <c r="Q2419" t="s">
        <v>30</v>
      </c>
      <c r="R2419">
        <v>0</v>
      </c>
      <c r="S2419" t="s">
        <v>44</v>
      </c>
      <c r="T2419">
        <v>0</v>
      </c>
      <c r="U2419">
        <v>0</v>
      </c>
      <c r="V2419" t="s">
        <v>32</v>
      </c>
      <c r="W2419" t="s">
        <v>43</v>
      </c>
      <c r="X2419" s="4">
        <v>6.9</v>
      </c>
      <c r="Y2419">
        <v>6</v>
      </c>
      <c r="Z2419" s="5">
        <v>111.65</v>
      </c>
    </row>
    <row r="2420" spans="1:26">
      <c r="A2420">
        <v>2419</v>
      </c>
      <c r="B2420">
        <v>794</v>
      </c>
      <c r="C2420" s="2">
        <v>46032</v>
      </c>
      <c r="D2420" t="s">
        <v>40</v>
      </c>
      <c r="E2420">
        <v>1</v>
      </c>
      <c r="F2420" s="3">
        <v>11.31</v>
      </c>
      <c r="G2420" t="s">
        <v>36</v>
      </c>
      <c r="H2420">
        <v>12</v>
      </c>
      <c r="I2420" t="s">
        <v>28</v>
      </c>
      <c r="J2420" s="4">
        <v>66.8</v>
      </c>
      <c r="K2420" s="4">
        <v>154.6</v>
      </c>
      <c r="L2420" s="4">
        <v>24.5</v>
      </c>
      <c r="M2420">
        <v>8</v>
      </c>
      <c r="N2420" t="s">
        <v>56</v>
      </c>
      <c r="O2420">
        <v>6</v>
      </c>
      <c r="P2420" s="4">
        <v>221.8</v>
      </c>
      <c r="Q2420" t="s">
        <v>30</v>
      </c>
      <c r="R2420">
        <v>0</v>
      </c>
      <c r="S2420" t="s">
        <v>44</v>
      </c>
      <c r="T2420">
        <v>0</v>
      </c>
      <c r="U2420">
        <v>0</v>
      </c>
      <c r="V2420" t="s">
        <v>32</v>
      </c>
      <c r="W2420" t="s">
        <v>43</v>
      </c>
      <c r="X2420" s="4">
        <v>4.9000000000000004</v>
      </c>
      <c r="Y2420">
        <v>6</v>
      </c>
      <c r="Z2420" s="5">
        <v>94.8</v>
      </c>
    </row>
    <row r="2421" spans="1:26">
      <c r="A2421">
        <v>2420</v>
      </c>
      <c r="B2421">
        <v>794</v>
      </c>
      <c r="C2421" s="2">
        <v>46032</v>
      </c>
      <c r="D2421" t="s">
        <v>40</v>
      </c>
      <c r="E2421">
        <v>1</v>
      </c>
      <c r="F2421" s="3">
        <v>11.45</v>
      </c>
      <c r="G2421" t="s">
        <v>36</v>
      </c>
      <c r="H2421">
        <v>40</v>
      </c>
      <c r="I2421" t="s">
        <v>34</v>
      </c>
      <c r="J2421" s="4">
        <v>60.5</v>
      </c>
      <c r="K2421" s="4">
        <v>134.5</v>
      </c>
      <c r="L2421" s="4">
        <v>25.7</v>
      </c>
      <c r="M2421">
        <v>14</v>
      </c>
      <c r="N2421" t="s">
        <v>56</v>
      </c>
      <c r="O2421">
        <v>6</v>
      </c>
      <c r="P2421" s="4">
        <v>221.8</v>
      </c>
      <c r="Q2421" t="s">
        <v>30</v>
      </c>
      <c r="R2421">
        <v>0</v>
      </c>
      <c r="S2421" t="s">
        <v>44</v>
      </c>
      <c r="T2421">
        <v>0</v>
      </c>
      <c r="U2421">
        <v>0</v>
      </c>
      <c r="V2421" t="s">
        <v>32</v>
      </c>
      <c r="W2421" t="s">
        <v>43</v>
      </c>
      <c r="X2421" s="4">
        <v>7.4</v>
      </c>
      <c r="Y2421">
        <v>9</v>
      </c>
      <c r="Z2421" s="5">
        <v>247.41</v>
      </c>
    </row>
    <row r="2422" spans="1:26">
      <c r="A2422">
        <v>2421</v>
      </c>
      <c r="B2422">
        <v>795</v>
      </c>
      <c r="C2422" s="2">
        <v>46285</v>
      </c>
      <c r="D2422" t="s">
        <v>58</v>
      </c>
      <c r="E2422">
        <v>9</v>
      </c>
      <c r="F2422" s="3">
        <v>11.98</v>
      </c>
      <c r="G2422" t="s">
        <v>36</v>
      </c>
      <c r="H2422">
        <v>5</v>
      </c>
      <c r="I2422" t="s">
        <v>28</v>
      </c>
      <c r="J2422" s="4">
        <v>54.1</v>
      </c>
      <c r="K2422" s="4">
        <v>59.4</v>
      </c>
      <c r="L2422" s="4">
        <v>14.3</v>
      </c>
      <c r="M2422">
        <v>10</v>
      </c>
      <c r="N2422" t="s">
        <v>41</v>
      </c>
      <c r="O2422">
        <v>2</v>
      </c>
      <c r="P2422" s="4">
        <v>2806.2</v>
      </c>
      <c r="Q2422" t="s">
        <v>42</v>
      </c>
      <c r="R2422">
        <v>0</v>
      </c>
      <c r="S2422" t="s">
        <v>44</v>
      </c>
      <c r="T2422">
        <v>0</v>
      </c>
      <c r="U2422">
        <v>0</v>
      </c>
      <c r="V2422" t="s">
        <v>32</v>
      </c>
      <c r="W2422" t="s">
        <v>43</v>
      </c>
      <c r="X2422" s="4">
        <v>8.1</v>
      </c>
      <c r="Y2422">
        <v>9</v>
      </c>
      <c r="Z2422" s="5">
        <v>234.93</v>
      </c>
    </row>
    <row r="2423" spans="1:26">
      <c r="A2423">
        <v>2422</v>
      </c>
      <c r="B2423">
        <v>795</v>
      </c>
      <c r="C2423" s="2">
        <v>46285</v>
      </c>
      <c r="D2423" t="s">
        <v>58</v>
      </c>
      <c r="E2423">
        <v>9</v>
      </c>
      <c r="F2423" s="3">
        <v>12.06</v>
      </c>
      <c r="G2423" t="s">
        <v>36</v>
      </c>
      <c r="H2423">
        <v>49</v>
      </c>
      <c r="I2423" t="s">
        <v>34</v>
      </c>
      <c r="J2423" s="4">
        <v>61.7</v>
      </c>
      <c r="K2423" s="4">
        <v>148.19999999999999</v>
      </c>
      <c r="L2423" s="4">
        <v>27</v>
      </c>
      <c r="M2423">
        <v>17</v>
      </c>
      <c r="N2423" t="s">
        <v>41</v>
      </c>
      <c r="O2423">
        <v>2</v>
      </c>
      <c r="P2423" s="4">
        <v>2806.2</v>
      </c>
      <c r="Q2423" t="s">
        <v>42</v>
      </c>
      <c r="R2423">
        <v>0</v>
      </c>
      <c r="S2423" t="s">
        <v>44</v>
      </c>
      <c r="T2423">
        <v>0</v>
      </c>
      <c r="U2423">
        <v>0</v>
      </c>
      <c r="V2423" t="s">
        <v>32</v>
      </c>
      <c r="W2423" t="s">
        <v>43</v>
      </c>
      <c r="X2423" s="4">
        <v>10.3</v>
      </c>
      <c r="Y2423">
        <v>11</v>
      </c>
      <c r="Z2423" s="5">
        <v>323.86</v>
      </c>
    </row>
    <row r="2424" spans="1:26">
      <c r="A2424">
        <v>2423</v>
      </c>
      <c r="B2424">
        <v>796</v>
      </c>
      <c r="C2424" s="2">
        <v>46202</v>
      </c>
      <c r="D2424" t="s">
        <v>46</v>
      </c>
      <c r="E2424">
        <v>6</v>
      </c>
      <c r="F2424" s="3">
        <v>11.27</v>
      </c>
      <c r="G2424" t="s">
        <v>36</v>
      </c>
      <c r="H2424">
        <v>22</v>
      </c>
      <c r="I2424" t="s">
        <v>34</v>
      </c>
      <c r="J2424" s="4">
        <v>59.8</v>
      </c>
      <c r="K2424" s="4">
        <v>85.3</v>
      </c>
      <c r="L2424" s="4">
        <v>16.8</v>
      </c>
      <c r="M2424">
        <v>15</v>
      </c>
      <c r="N2424" t="s">
        <v>47</v>
      </c>
      <c r="O2424">
        <v>4</v>
      </c>
      <c r="P2424" s="4">
        <v>165.8</v>
      </c>
      <c r="Q2424" t="s">
        <v>42</v>
      </c>
      <c r="R2424">
        <v>0</v>
      </c>
      <c r="S2424" t="s">
        <v>38</v>
      </c>
      <c r="T2424">
        <v>0</v>
      </c>
      <c r="U2424">
        <v>0</v>
      </c>
      <c r="V2424" t="s">
        <v>32</v>
      </c>
      <c r="W2424" t="s">
        <v>39</v>
      </c>
      <c r="X2424" s="4">
        <v>7.1</v>
      </c>
      <c r="Y2424">
        <v>14</v>
      </c>
      <c r="Z2424" s="5">
        <v>315.86</v>
      </c>
    </row>
    <row r="2425" spans="1:26">
      <c r="A2425">
        <v>2424</v>
      </c>
      <c r="B2425">
        <v>796</v>
      </c>
      <c r="C2425" s="2">
        <v>46202</v>
      </c>
      <c r="D2425" t="s">
        <v>46</v>
      </c>
      <c r="E2425">
        <v>6</v>
      </c>
      <c r="F2425" s="3">
        <v>11.15</v>
      </c>
      <c r="G2425" t="s">
        <v>36</v>
      </c>
      <c r="H2425">
        <v>73</v>
      </c>
      <c r="I2425" t="s">
        <v>34</v>
      </c>
      <c r="J2425" s="4">
        <v>66.099999999999994</v>
      </c>
      <c r="K2425" s="4">
        <v>96.1</v>
      </c>
      <c r="L2425" s="4">
        <v>15.3</v>
      </c>
      <c r="M2425">
        <v>14</v>
      </c>
      <c r="N2425" t="s">
        <v>47</v>
      </c>
      <c r="O2425">
        <v>4</v>
      </c>
      <c r="P2425" s="4">
        <v>165.8</v>
      </c>
      <c r="Q2425" t="s">
        <v>42</v>
      </c>
      <c r="R2425">
        <v>0</v>
      </c>
      <c r="S2425" t="s">
        <v>38</v>
      </c>
      <c r="T2425">
        <v>0</v>
      </c>
      <c r="U2425">
        <v>0</v>
      </c>
      <c r="V2425" t="s">
        <v>32</v>
      </c>
      <c r="W2425" t="s">
        <v>39</v>
      </c>
      <c r="X2425" s="4">
        <v>9.6999999999999993</v>
      </c>
      <c r="Y2425">
        <v>6</v>
      </c>
      <c r="Z2425" s="5">
        <v>184.54</v>
      </c>
    </row>
    <row r="2426" spans="1:26">
      <c r="A2426">
        <v>2425</v>
      </c>
      <c r="B2426">
        <v>796</v>
      </c>
      <c r="C2426" s="2">
        <v>46202</v>
      </c>
      <c r="D2426" t="s">
        <v>46</v>
      </c>
      <c r="E2426">
        <v>6</v>
      </c>
      <c r="F2426" s="3">
        <v>11.39</v>
      </c>
      <c r="G2426" t="s">
        <v>36</v>
      </c>
      <c r="H2426">
        <v>18</v>
      </c>
      <c r="I2426" t="s">
        <v>34</v>
      </c>
      <c r="J2426" s="4">
        <v>68.7</v>
      </c>
      <c r="K2426" s="4">
        <v>158</v>
      </c>
      <c r="L2426" s="4">
        <v>23.4</v>
      </c>
      <c r="M2426">
        <v>13</v>
      </c>
      <c r="N2426" t="s">
        <v>47</v>
      </c>
      <c r="O2426">
        <v>4</v>
      </c>
      <c r="P2426" s="4">
        <v>165.8</v>
      </c>
      <c r="Q2426" t="s">
        <v>42</v>
      </c>
      <c r="R2426">
        <v>0</v>
      </c>
      <c r="S2426" t="s">
        <v>38</v>
      </c>
      <c r="T2426">
        <v>0</v>
      </c>
      <c r="U2426">
        <v>0</v>
      </c>
      <c r="V2426" t="s">
        <v>32</v>
      </c>
      <c r="W2426" t="s">
        <v>39</v>
      </c>
      <c r="X2426" s="4">
        <v>7.7</v>
      </c>
      <c r="Y2426">
        <v>12</v>
      </c>
      <c r="Z2426" s="5">
        <v>144.47999999999999</v>
      </c>
    </row>
    <row r="2427" spans="1:26">
      <c r="A2427">
        <v>2426</v>
      </c>
      <c r="B2427">
        <v>796</v>
      </c>
      <c r="C2427" s="2">
        <v>46202</v>
      </c>
      <c r="D2427" t="s">
        <v>46</v>
      </c>
      <c r="E2427">
        <v>6</v>
      </c>
      <c r="F2427" s="3">
        <v>11.22</v>
      </c>
      <c r="G2427" t="s">
        <v>36</v>
      </c>
      <c r="H2427">
        <v>35</v>
      </c>
      <c r="I2427" t="s">
        <v>28</v>
      </c>
      <c r="J2427" s="4">
        <v>70.2</v>
      </c>
      <c r="K2427" s="4">
        <v>218</v>
      </c>
      <c r="L2427" s="4">
        <v>31.1</v>
      </c>
      <c r="M2427">
        <v>14</v>
      </c>
      <c r="N2427" t="s">
        <v>47</v>
      </c>
      <c r="O2427">
        <v>4</v>
      </c>
      <c r="P2427" s="4">
        <v>165.8</v>
      </c>
      <c r="Q2427" t="s">
        <v>42</v>
      </c>
      <c r="R2427">
        <v>0</v>
      </c>
      <c r="S2427" t="s">
        <v>38</v>
      </c>
      <c r="T2427">
        <v>0</v>
      </c>
      <c r="U2427">
        <v>0</v>
      </c>
      <c r="V2427" t="s">
        <v>32</v>
      </c>
      <c r="W2427" t="s">
        <v>39</v>
      </c>
      <c r="X2427" s="4">
        <v>8.1</v>
      </c>
      <c r="Y2427">
        <v>7</v>
      </c>
      <c r="Z2427" s="5">
        <v>280.85000000000002</v>
      </c>
    </row>
    <row r="2428" spans="1:26">
      <c r="A2428">
        <v>2427</v>
      </c>
      <c r="B2428">
        <v>797</v>
      </c>
      <c r="C2428" s="2">
        <v>46182</v>
      </c>
      <c r="D2428" t="s">
        <v>35</v>
      </c>
      <c r="E2428">
        <v>6</v>
      </c>
      <c r="F2428" s="3">
        <v>9.25</v>
      </c>
      <c r="G2428" t="s">
        <v>27</v>
      </c>
      <c r="H2428">
        <v>55</v>
      </c>
      <c r="I2428" t="s">
        <v>34</v>
      </c>
      <c r="J2428" s="4">
        <v>66.3</v>
      </c>
      <c r="K2428" s="4">
        <v>136.5</v>
      </c>
      <c r="L2428" s="4">
        <v>21.8</v>
      </c>
      <c r="M2428">
        <v>14</v>
      </c>
      <c r="N2428" t="s">
        <v>47</v>
      </c>
      <c r="O2428">
        <v>3</v>
      </c>
      <c r="P2428" s="4">
        <v>124.6</v>
      </c>
      <c r="Q2428" t="s">
        <v>30</v>
      </c>
      <c r="R2428">
        <v>0</v>
      </c>
      <c r="S2428" t="s">
        <v>44</v>
      </c>
      <c r="T2428">
        <v>1</v>
      </c>
      <c r="U2428">
        <v>0</v>
      </c>
      <c r="V2428" t="s">
        <v>32</v>
      </c>
      <c r="W2428" t="s">
        <v>49</v>
      </c>
      <c r="X2428" s="4">
        <v>6.3</v>
      </c>
      <c r="Y2428">
        <v>4</v>
      </c>
      <c r="Z2428" s="5">
        <v>126.63</v>
      </c>
    </row>
    <row r="2429" spans="1:26">
      <c r="A2429">
        <v>2428</v>
      </c>
      <c r="B2429">
        <v>797</v>
      </c>
      <c r="C2429" s="2">
        <v>46182</v>
      </c>
      <c r="D2429" t="s">
        <v>35</v>
      </c>
      <c r="E2429">
        <v>6</v>
      </c>
      <c r="F2429" s="3">
        <v>9.42</v>
      </c>
      <c r="G2429" t="s">
        <v>27</v>
      </c>
      <c r="H2429">
        <v>38</v>
      </c>
      <c r="I2429" t="s">
        <v>34</v>
      </c>
      <c r="J2429" s="4">
        <v>69.2</v>
      </c>
      <c r="K2429" s="4">
        <v>220</v>
      </c>
      <c r="L2429" s="4">
        <v>32.200000000000003</v>
      </c>
      <c r="M2429">
        <v>15</v>
      </c>
      <c r="N2429" t="s">
        <v>47</v>
      </c>
      <c r="O2429">
        <v>3</v>
      </c>
      <c r="P2429" s="4">
        <v>124.6</v>
      </c>
      <c r="Q2429" t="s">
        <v>30</v>
      </c>
      <c r="R2429">
        <v>0</v>
      </c>
      <c r="S2429" t="s">
        <v>44</v>
      </c>
      <c r="T2429">
        <v>1</v>
      </c>
      <c r="U2429">
        <v>0</v>
      </c>
      <c r="V2429" t="s">
        <v>32</v>
      </c>
      <c r="W2429" t="s">
        <v>49</v>
      </c>
      <c r="X2429" s="4">
        <v>7.3</v>
      </c>
      <c r="Y2429">
        <v>13</v>
      </c>
      <c r="Z2429" s="5">
        <v>302.01</v>
      </c>
    </row>
    <row r="2430" spans="1:26">
      <c r="A2430">
        <v>2429</v>
      </c>
      <c r="B2430">
        <v>797</v>
      </c>
      <c r="C2430" s="2">
        <v>46182</v>
      </c>
      <c r="D2430" t="s">
        <v>35</v>
      </c>
      <c r="E2430">
        <v>6</v>
      </c>
      <c r="F2430" s="3">
        <v>9.11</v>
      </c>
      <c r="G2430" t="s">
        <v>27</v>
      </c>
      <c r="H2430">
        <v>27</v>
      </c>
      <c r="I2430" t="s">
        <v>34</v>
      </c>
      <c r="J2430" s="4">
        <v>65.7</v>
      </c>
      <c r="K2430" s="4">
        <v>147.5</v>
      </c>
      <c r="L2430" s="4">
        <v>24.1</v>
      </c>
      <c r="M2430">
        <v>10</v>
      </c>
      <c r="N2430" t="s">
        <v>47</v>
      </c>
      <c r="O2430">
        <v>3</v>
      </c>
      <c r="P2430" s="4">
        <v>124.6</v>
      </c>
      <c r="Q2430" t="s">
        <v>30</v>
      </c>
      <c r="R2430">
        <v>0</v>
      </c>
      <c r="S2430" t="s">
        <v>44</v>
      </c>
      <c r="T2430">
        <v>1</v>
      </c>
      <c r="U2430">
        <v>0</v>
      </c>
      <c r="V2430" t="s">
        <v>32</v>
      </c>
      <c r="W2430" t="s">
        <v>49</v>
      </c>
      <c r="X2430" s="4">
        <v>7.5</v>
      </c>
      <c r="Y2430">
        <v>9</v>
      </c>
      <c r="Z2430" s="5">
        <v>186.61</v>
      </c>
    </row>
    <row r="2431" spans="1:26">
      <c r="A2431">
        <v>2430</v>
      </c>
      <c r="B2431">
        <v>798</v>
      </c>
      <c r="C2431" s="2">
        <v>46196</v>
      </c>
      <c r="D2431" t="s">
        <v>35</v>
      </c>
      <c r="E2431">
        <v>6</v>
      </c>
      <c r="F2431" s="3">
        <v>12.48</v>
      </c>
      <c r="G2431" t="s">
        <v>36</v>
      </c>
      <c r="H2431">
        <v>6</v>
      </c>
      <c r="I2431" t="s">
        <v>34</v>
      </c>
      <c r="J2431" s="4">
        <v>54.2</v>
      </c>
      <c r="K2431" s="4">
        <v>76.5</v>
      </c>
      <c r="L2431" s="4">
        <v>18.399999999999999</v>
      </c>
      <c r="M2431">
        <v>11</v>
      </c>
      <c r="N2431" t="s">
        <v>66</v>
      </c>
      <c r="O2431">
        <v>1</v>
      </c>
      <c r="P2431" s="4">
        <v>586.6</v>
      </c>
      <c r="Q2431" t="s">
        <v>30</v>
      </c>
      <c r="R2431">
        <v>0</v>
      </c>
      <c r="S2431" t="s">
        <v>44</v>
      </c>
      <c r="T2431">
        <v>1</v>
      </c>
      <c r="U2431">
        <v>0</v>
      </c>
      <c r="V2431" t="s">
        <v>32</v>
      </c>
      <c r="W2431" t="s">
        <v>57</v>
      </c>
      <c r="X2431" s="4">
        <v>5.4</v>
      </c>
      <c r="Y2431">
        <v>7</v>
      </c>
      <c r="Z2431" s="5">
        <v>126.75</v>
      </c>
    </row>
    <row r="2432" spans="1:26">
      <c r="A2432">
        <v>2431</v>
      </c>
      <c r="B2432">
        <v>799</v>
      </c>
      <c r="C2432" s="2">
        <v>46220</v>
      </c>
      <c r="D2432" t="s">
        <v>26</v>
      </c>
      <c r="E2432">
        <v>7</v>
      </c>
      <c r="F2432" s="3">
        <v>7</v>
      </c>
      <c r="G2432" t="s">
        <v>27</v>
      </c>
      <c r="H2432">
        <v>27</v>
      </c>
      <c r="I2432" t="s">
        <v>34</v>
      </c>
      <c r="J2432" s="4">
        <v>67.2</v>
      </c>
      <c r="K2432" s="4">
        <v>189</v>
      </c>
      <c r="L2432" s="4">
        <v>29.2</v>
      </c>
      <c r="M2432">
        <v>15</v>
      </c>
      <c r="N2432" t="s">
        <v>61</v>
      </c>
      <c r="O2432">
        <v>5</v>
      </c>
      <c r="P2432" s="4">
        <v>1971.6</v>
      </c>
      <c r="Q2432" t="s">
        <v>48</v>
      </c>
      <c r="R2432">
        <v>0</v>
      </c>
      <c r="S2432" t="s">
        <v>44</v>
      </c>
      <c r="T2432">
        <v>0</v>
      </c>
      <c r="U2432">
        <v>0</v>
      </c>
      <c r="V2432" t="s">
        <v>45</v>
      </c>
      <c r="W2432" t="s">
        <v>57</v>
      </c>
      <c r="X2432" s="4">
        <v>8</v>
      </c>
      <c r="Y2432">
        <v>8</v>
      </c>
      <c r="Z2432" s="5">
        <v>315.58</v>
      </c>
    </row>
    <row r="2433" spans="1:26">
      <c r="A2433">
        <v>2432</v>
      </c>
      <c r="B2433">
        <v>799</v>
      </c>
      <c r="C2433" s="2">
        <v>46220</v>
      </c>
      <c r="D2433" t="s">
        <v>26</v>
      </c>
      <c r="E2433">
        <v>7</v>
      </c>
      <c r="F2433" s="3">
        <v>7</v>
      </c>
      <c r="G2433" t="s">
        <v>27</v>
      </c>
      <c r="H2433">
        <v>51</v>
      </c>
      <c r="I2433" t="s">
        <v>28</v>
      </c>
      <c r="J2433" s="4">
        <v>68.2</v>
      </c>
      <c r="K2433" s="4">
        <v>152.5</v>
      </c>
      <c r="L2433" s="4">
        <v>23.1</v>
      </c>
      <c r="M2433">
        <v>20</v>
      </c>
      <c r="N2433" t="s">
        <v>61</v>
      </c>
      <c r="O2433">
        <v>5</v>
      </c>
      <c r="P2433" s="4">
        <v>1971.6</v>
      </c>
      <c r="Q2433" t="s">
        <v>48</v>
      </c>
      <c r="R2433">
        <v>0</v>
      </c>
      <c r="S2433" t="s">
        <v>44</v>
      </c>
      <c r="T2433">
        <v>0</v>
      </c>
      <c r="U2433">
        <v>0</v>
      </c>
      <c r="V2433" t="s">
        <v>45</v>
      </c>
      <c r="W2433" t="s">
        <v>57</v>
      </c>
      <c r="X2433" s="4">
        <v>9.1999999999999993</v>
      </c>
      <c r="Y2433">
        <v>7</v>
      </c>
      <c r="Z2433" s="5">
        <v>234.57</v>
      </c>
    </row>
    <row r="2434" spans="1:26">
      <c r="A2434">
        <v>2433</v>
      </c>
      <c r="B2434">
        <v>799</v>
      </c>
      <c r="C2434" s="2">
        <v>46220</v>
      </c>
      <c r="D2434" t="s">
        <v>26</v>
      </c>
      <c r="E2434">
        <v>7</v>
      </c>
      <c r="F2434" s="3">
        <v>7.05</v>
      </c>
      <c r="G2434" t="s">
        <v>27</v>
      </c>
      <c r="H2434">
        <v>37</v>
      </c>
      <c r="I2434" t="s">
        <v>34</v>
      </c>
      <c r="J2434" s="4">
        <v>58.5</v>
      </c>
      <c r="K2434" s="4">
        <v>135.30000000000001</v>
      </c>
      <c r="L2434" s="4">
        <v>27.8</v>
      </c>
      <c r="M2434">
        <v>18</v>
      </c>
      <c r="N2434" t="s">
        <v>61</v>
      </c>
      <c r="O2434">
        <v>5</v>
      </c>
      <c r="P2434" s="4">
        <v>1971.6</v>
      </c>
      <c r="Q2434" t="s">
        <v>48</v>
      </c>
      <c r="R2434">
        <v>0</v>
      </c>
      <c r="S2434" t="s">
        <v>44</v>
      </c>
      <c r="T2434">
        <v>0</v>
      </c>
      <c r="U2434">
        <v>0</v>
      </c>
      <c r="V2434" t="s">
        <v>45</v>
      </c>
      <c r="W2434" t="s">
        <v>57</v>
      </c>
      <c r="X2434" s="4">
        <v>11.4</v>
      </c>
      <c r="Y2434">
        <v>10</v>
      </c>
      <c r="Z2434" s="5">
        <v>253.48</v>
      </c>
    </row>
    <row r="2435" spans="1:26">
      <c r="A2435">
        <v>2434</v>
      </c>
      <c r="B2435">
        <v>799</v>
      </c>
      <c r="C2435" s="2">
        <v>46220</v>
      </c>
      <c r="D2435" t="s">
        <v>26</v>
      </c>
      <c r="E2435">
        <v>7</v>
      </c>
      <c r="F2435" s="3">
        <v>7.06</v>
      </c>
      <c r="G2435" t="s">
        <v>27</v>
      </c>
      <c r="H2435">
        <v>10</v>
      </c>
      <c r="I2435" t="s">
        <v>34</v>
      </c>
      <c r="J2435" s="4">
        <v>63.8</v>
      </c>
      <c r="K2435" s="4">
        <v>95.2</v>
      </c>
      <c r="L2435" s="4">
        <v>16.399999999999999</v>
      </c>
      <c r="M2435">
        <v>13</v>
      </c>
      <c r="N2435" t="s">
        <v>61</v>
      </c>
      <c r="O2435">
        <v>5</v>
      </c>
      <c r="P2435" s="4">
        <v>1971.6</v>
      </c>
      <c r="Q2435" t="s">
        <v>48</v>
      </c>
      <c r="R2435">
        <v>0</v>
      </c>
      <c r="S2435" t="s">
        <v>44</v>
      </c>
      <c r="T2435">
        <v>0</v>
      </c>
      <c r="U2435">
        <v>0</v>
      </c>
      <c r="V2435" t="s">
        <v>45</v>
      </c>
      <c r="W2435" t="s">
        <v>57</v>
      </c>
      <c r="X2435" s="4">
        <v>8.5</v>
      </c>
      <c r="Y2435">
        <v>7</v>
      </c>
      <c r="Z2435" s="5">
        <v>135.96</v>
      </c>
    </row>
    <row r="2436" spans="1:26">
      <c r="A2436">
        <v>2435</v>
      </c>
      <c r="B2436">
        <v>799</v>
      </c>
      <c r="C2436" s="2">
        <v>46220</v>
      </c>
      <c r="D2436" t="s">
        <v>26</v>
      </c>
      <c r="E2436">
        <v>7</v>
      </c>
      <c r="F2436" s="3">
        <v>7</v>
      </c>
      <c r="G2436" t="s">
        <v>27</v>
      </c>
      <c r="H2436">
        <v>30</v>
      </c>
      <c r="I2436" t="s">
        <v>28</v>
      </c>
      <c r="J2436" s="4">
        <v>71.2</v>
      </c>
      <c r="K2436" s="4">
        <v>198.6</v>
      </c>
      <c r="L2436" s="4">
        <v>27.3</v>
      </c>
      <c r="M2436">
        <v>17</v>
      </c>
      <c r="N2436" t="s">
        <v>61</v>
      </c>
      <c r="O2436">
        <v>5</v>
      </c>
      <c r="P2436" s="4">
        <v>1971.6</v>
      </c>
      <c r="Q2436" t="s">
        <v>48</v>
      </c>
      <c r="R2436">
        <v>0</v>
      </c>
      <c r="S2436" t="s">
        <v>44</v>
      </c>
      <c r="T2436">
        <v>0</v>
      </c>
      <c r="U2436">
        <v>0</v>
      </c>
      <c r="V2436" t="s">
        <v>45</v>
      </c>
      <c r="W2436" t="s">
        <v>57</v>
      </c>
      <c r="X2436" s="4">
        <v>8</v>
      </c>
      <c r="Y2436">
        <v>6</v>
      </c>
      <c r="Z2436" s="5">
        <v>223.42</v>
      </c>
    </row>
    <row r="2437" spans="1:26">
      <c r="A2437">
        <v>2436</v>
      </c>
      <c r="B2437">
        <v>800</v>
      </c>
      <c r="C2437" s="2">
        <v>46263</v>
      </c>
      <c r="D2437" t="s">
        <v>40</v>
      </c>
      <c r="E2437">
        <v>8</v>
      </c>
      <c r="F2437" s="3">
        <v>7.29</v>
      </c>
      <c r="G2437" t="s">
        <v>27</v>
      </c>
      <c r="H2437">
        <v>48</v>
      </c>
      <c r="I2437" t="s">
        <v>28</v>
      </c>
      <c r="J2437" s="4">
        <v>70.8</v>
      </c>
      <c r="K2437" s="4">
        <v>157.6</v>
      </c>
      <c r="L2437" s="4">
        <v>22</v>
      </c>
      <c r="M2437">
        <v>15</v>
      </c>
      <c r="N2437" t="s">
        <v>47</v>
      </c>
      <c r="O2437">
        <v>2</v>
      </c>
      <c r="P2437" s="4">
        <v>90.7</v>
      </c>
      <c r="Q2437" t="s">
        <v>30</v>
      </c>
      <c r="R2437">
        <v>0</v>
      </c>
      <c r="S2437" t="s">
        <v>31</v>
      </c>
      <c r="T2437">
        <v>0</v>
      </c>
      <c r="U2437">
        <v>0</v>
      </c>
      <c r="V2437" t="s">
        <v>32</v>
      </c>
      <c r="W2437" t="s">
        <v>39</v>
      </c>
      <c r="X2437" s="4">
        <v>10.7</v>
      </c>
      <c r="Y2437">
        <v>1</v>
      </c>
      <c r="Z2437" s="5">
        <v>156.84</v>
      </c>
    </row>
    <row r="2438" spans="1:26">
      <c r="A2438">
        <v>2437</v>
      </c>
      <c r="B2438">
        <v>800</v>
      </c>
      <c r="C2438" s="2">
        <v>46263</v>
      </c>
      <c r="D2438" t="s">
        <v>40</v>
      </c>
      <c r="E2438">
        <v>8</v>
      </c>
      <c r="F2438" s="3">
        <v>7.39</v>
      </c>
      <c r="G2438" t="s">
        <v>27</v>
      </c>
      <c r="H2438">
        <v>62</v>
      </c>
      <c r="I2438" t="s">
        <v>34</v>
      </c>
      <c r="J2438" s="4">
        <v>65</v>
      </c>
      <c r="K2438" s="4">
        <v>170.6</v>
      </c>
      <c r="L2438" s="4">
        <v>28.5</v>
      </c>
      <c r="M2438">
        <v>14</v>
      </c>
      <c r="N2438" t="s">
        <v>47</v>
      </c>
      <c r="O2438">
        <v>2</v>
      </c>
      <c r="P2438" s="4">
        <v>90.7</v>
      </c>
      <c r="Q2438" t="s">
        <v>30</v>
      </c>
      <c r="R2438">
        <v>0</v>
      </c>
      <c r="S2438" t="s">
        <v>31</v>
      </c>
      <c r="T2438">
        <v>0</v>
      </c>
      <c r="U2438">
        <v>0</v>
      </c>
      <c r="V2438" t="s">
        <v>32</v>
      </c>
      <c r="W2438" t="s">
        <v>39</v>
      </c>
      <c r="X2438" s="4">
        <v>7.3</v>
      </c>
      <c r="Y2438">
        <v>4</v>
      </c>
      <c r="Z2438" s="5">
        <v>143.85</v>
      </c>
    </row>
    <row r="2439" spans="1:26">
      <c r="A2439">
        <v>2438</v>
      </c>
      <c r="B2439">
        <v>801</v>
      </c>
      <c r="C2439" s="2">
        <v>46347</v>
      </c>
      <c r="D2439" t="s">
        <v>40</v>
      </c>
      <c r="E2439">
        <v>11</v>
      </c>
      <c r="F2439" s="3">
        <v>8.73</v>
      </c>
      <c r="G2439" t="s">
        <v>27</v>
      </c>
      <c r="H2439">
        <v>67</v>
      </c>
      <c r="I2439" t="s">
        <v>34</v>
      </c>
      <c r="J2439" s="4">
        <v>66</v>
      </c>
      <c r="K2439" s="4">
        <v>171.5</v>
      </c>
      <c r="L2439" s="4">
        <v>27.6</v>
      </c>
      <c r="M2439">
        <v>18</v>
      </c>
      <c r="N2439" t="s">
        <v>47</v>
      </c>
      <c r="O2439">
        <v>4</v>
      </c>
      <c r="P2439" s="4">
        <v>95.2</v>
      </c>
      <c r="Q2439" t="s">
        <v>42</v>
      </c>
      <c r="R2439">
        <v>1</v>
      </c>
      <c r="S2439" t="s">
        <v>31</v>
      </c>
      <c r="T2439">
        <v>1</v>
      </c>
      <c r="U2439">
        <v>0</v>
      </c>
      <c r="V2439" t="s">
        <v>32</v>
      </c>
      <c r="W2439" t="s">
        <v>43</v>
      </c>
      <c r="X2439" s="4">
        <v>10</v>
      </c>
      <c r="Y2439">
        <v>9</v>
      </c>
      <c r="Z2439" s="5">
        <v>623.41999999999996</v>
      </c>
    </row>
    <row r="2440" spans="1:26">
      <c r="A2440">
        <v>2439</v>
      </c>
      <c r="B2440">
        <v>801</v>
      </c>
      <c r="C2440" s="2">
        <v>46347</v>
      </c>
      <c r="D2440" t="s">
        <v>40</v>
      </c>
      <c r="E2440">
        <v>11</v>
      </c>
      <c r="F2440" s="3">
        <v>8.61</v>
      </c>
      <c r="G2440" t="s">
        <v>27</v>
      </c>
      <c r="H2440">
        <v>18</v>
      </c>
      <c r="I2440" t="s">
        <v>28</v>
      </c>
      <c r="J2440" s="4">
        <v>62.8</v>
      </c>
      <c r="K2440" s="4">
        <v>165.2</v>
      </c>
      <c r="L2440" s="4">
        <v>29.5</v>
      </c>
      <c r="M2440">
        <v>11</v>
      </c>
      <c r="N2440" t="s">
        <v>47</v>
      </c>
      <c r="O2440">
        <v>4</v>
      </c>
      <c r="P2440" s="4">
        <v>95.2</v>
      </c>
      <c r="Q2440" t="s">
        <v>42</v>
      </c>
      <c r="R2440">
        <v>1</v>
      </c>
      <c r="S2440" t="s">
        <v>31</v>
      </c>
      <c r="T2440">
        <v>1</v>
      </c>
      <c r="U2440">
        <v>0</v>
      </c>
      <c r="V2440" t="s">
        <v>32</v>
      </c>
      <c r="W2440" t="s">
        <v>43</v>
      </c>
      <c r="X2440" s="4">
        <v>8.1999999999999993</v>
      </c>
      <c r="Y2440">
        <v>6</v>
      </c>
      <c r="Z2440" s="5">
        <v>210.07</v>
      </c>
    </row>
    <row r="2441" spans="1:26">
      <c r="A2441">
        <v>2440</v>
      </c>
      <c r="B2441">
        <v>801</v>
      </c>
      <c r="C2441" s="2">
        <v>46347</v>
      </c>
      <c r="D2441" t="s">
        <v>40</v>
      </c>
      <c r="E2441">
        <v>11</v>
      </c>
      <c r="F2441" s="3">
        <v>8.84</v>
      </c>
      <c r="G2441" t="s">
        <v>27</v>
      </c>
      <c r="H2441">
        <v>63</v>
      </c>
      <c r="I2441" t="s">
        <v>28</v>
      </c>
      <c r="J2441" s="4">
        <v>69</v>
      </c>
      <c r="K2441" s="4">
        <v>162.1</v>
      </c>
      <c r="L2441" s="4">
        <v>23.9</v>
      </c>
      <c r="M2441">
        <v>19</v>
      </c>
      <c r="N2441" t="s">
        <v>47</v>
      </c>
      <c r="O2441">
        <v>4</v>
      </c>
      <c r="P2441" s="4">
        <v>95.2</v>
      </c>
      <c r="Q2441" t="s">
        <v>42</v>
      </c>
      <c r="R2441">
        <v>1</v>
      </c>
      <c r="S2441" t="s">
        <v>31</v>
      </c>
      <c r="T2441">
        <v>1</v>
      </c>
      <c r="U2441">
        <v>0</v>
      </c>
      <c r="V2441" t="s">
        <v>32</v>
      </c>
      <c r="W2441" t="s">
        <v>43</v>
      </c>
      <c r="X2441" s="4">
        <v>7.9</v>
      </c>
      <c r="Y2441">
        <v>9</v>
      </c>
      <c r="Z2441" s="5">
        <v>218.01</v>
      </c>
    </row>
    <row r="2442" spans="1:26">
      <c r="A2442">
        <v>2441</v>
      </c>
      <c r="B2442">
        <v>801</v>
      </c>
      <c r="C2442" s="2">
        <v>46347</v>
      </c>
      <c r="D2442" t="s">
        <v>40</v>
      </c>
      <c r="E2442">
        <v>11</v>
      </c>
      <c r="F2442" s="3">
        <v>8.7200000000000006</v>
      </c>
      <c r="G2442" t="s">
        <v>27</v>
      </c>
      <c r="H2442">
        <v>60</v>
      </c>
      <c r="I2442" t="s">
        <v>28</v>
      </c>
      <c r="J2442" s="4">
        <v>72.5</v>
      </c>
      <c r="K2442" s="4">
        <v>178.8</v>
      </c>
      <c r="L2442" s="4">
        <v>23.8</v>
      </c>
      <c r="M2442">
        <v>14</v>
      </c>
      <c r="N2442" t="s">
        <v>47</v>
      </c>
      <c r="O2442">
        <v>4</v>
      </c>
      <c r="P2442" s="4">
        <v>95.2</v>
      </c>
      <c r="Q2442" t="s">
        <v>42</v>
      </c>
      <c r="R2442">
        <v>1</v>
      </c>
      <c r="S2442" t="s">
        <v>31</v>
      </c>
      <c r="T2442">
        <v>1</v>
      </c>
      <c r="U2442">
        <v>0</v>
      </c>
      <c r="V2442" t="s">
        <v>32</v>
      </c>
      <c r="W2442" t="s">
        <v>43</v>
      </c>
      <c r="X2442" s="4">
        <v>9.6</v>
      </c>
      <c r="Y2442">
        <v>16</v>
      </c>
      <c r="Z2442" s="5">
        <v>318.76</v>
      </c>
    </row>
    <row r="2443" spans="1:26">
      <c r="A2443">
        <v>2442</v>
      </c>
      <c r="B2443">
        <v>802</v>
      </c>
      <c r="C2443" s="2">
        <v>46208</v>
      </c>
      <c r="D2443" t="s">
        <v>58</v>
      </c>
      <c r="E2443">
        <v>7</v>
      </c>
      <c r="F2443" s="3">
        <v>8.56</v>
      </c>
      <c r="G2443" t="s">
        <v>27</v>
      </c>
      <c r="H2443">
        <v>53</v>
      </c>
      <c r="I2443" t="s">
        <v>28</v>
      </c>
      <c r="J2443" s="4">
        <v>66.5</v>
      </c>
      <c r="K2443" s="4">
        <v>114</v>
      </c>
      <c r="L2443" s="4">
        <v>18.100000000000001</v>
      </c>
      <c r="M2443">
        <v>11</v>
      </c>
      <c r="N2443" t="s">
        <v>66</v>
      </c>
      <c r="O2443">
        <v>4</v>
      </c>
      <c r="P2443" s="4">
        <v>757.2</v>
      </c>
      <c r="Q2443" t="s">
        <v>30</v>
      </c>
      <c r="R2443">
        <v>0</v>
      </c>
      <c r="S2443" t="s">
        <v>44</v>
      </c>
      <c r="T2443">
        <v>0</v>
      </c>
      <c r="U2443">
        <v>0</v>
      </c>
      <c r="V2443" t="s">
        <v>32</v>
      </c>
      <c r="W2443" t="s">
        <v>39</v>
      </c>
      <c r="X2443" s="4">
        <v>10.4</v>
      </c>
      <c r="Y2443">
        <v>9</v>
      </c>
      <c r="Z2443" s="5">
        <v>188.85</v>
      </c>
    </row>
    <row r="2444" spans="1:26">
      <c r="A2444">
        <v>2443</v>
      </c>
      <c r="B2444">
        <v>802</v>
      </c>
      <c r="C2444" s="2">
        <v>46208</v>
      </c>
      <c r="D2444" t="s">
        <v>58</v>
      </c>
      <c r="E2444">
        <v>7</v>
      </c>
      <c r="F2444" s="3">
        <v>8.56</v>
      </c>
      <c r="G2444" t="s">
        <v>27</v>
      </c>
      <c r="H2444">
        <v>18</v>
      </c>
      <c r="I2444" t="s">
        <v>28</v>
      </c>
      <c r="J2444" s="4">
        <v>65</v>
      </c>
      <c r="K2444" s="4">
        <v>173.4</v>
      </c>
      <c r="L2444" s="4">
        <v>28.8</v>
      </c>
      <c r="M2444">
        <v>7</v>
      </c>
      <c r="N2444" t="s">
        <v>66</v>
      </c>
      <c r="O2444">
        <v>4</v>
      </c>
      <c r="P2444" s="4">
        <v>757.2</v>
      </c>
      <c r="Q2444" t="s">
        <v>30</v>
      </c>
      <c r="R2444">
        <v>0</v>
      </c>
      <c r="S2444" t="s">
        <v>44</v>
      </c>
      <c r="T2444">
        <v>0</v>
      </c>
      <c r="U2444">
        <v>0</v>
      </c>
      <c r="V2444" t="s">
        <v>32</v>
      </c>
      <c r="W2444" t="s">
        <v>39</v>
      </c>
      <c r="X2444" s="4">
        <v>6.3</v>
      </c>
      <c r="Y2444">
        <v>4</v>
      </c>
      <c r="Z2444" s="5">
        <v>176.67</v>
      </c>
    </row>
    <row r="2445" spans="1:26">
      <c r="A2445">
        <v>2444</v>
      </c>
      <c r="B2445">
        <v>802</v>
      </c>
      <c r="C2445" s="2">
        <v>46208</v>
      </c>
      <c r="D2445" t="s">
        <v>58</v>
      </c>
      <c r="E2445">
        <v>7</v>
      </c>
      <c r="F2445" s="3">
        <v>8.4499999999999993</v>
      </c>
      <c r="G2445" t="s">
        <v>27</v>
      </c>
      <c r="H2445">
        <v>51</v>
      </c>
      <c r="I2445" t="s">
        <v>28</v>
      </c>
      <c r="J2445" s="4">
        <v>67.8</v>
      </c>
      <c r="K2445" s="4">
        <v>153.5</v>
      </c>
      <c r="L2445" s="4">
        <v>23.4</v>
      </c>
      <c r="M2445">
        <v>11</v>
      </c>
      <c r="N2445" t="s">
        <v>66</v>
      </c>
      <c r="O2445">
        <v>4</v>
      </c>
      <c r="P2445" s="4">
        <v>757.2</v>
      </c>
      <c r="Q2445" t="s">
        <v>30</v>
      </c>
      <c r="R2445">
        <v>0</v>
      </c>
      <c r="S2445" t="s">
        <v>44</v>
      </c>
      <c r="T2445">
        <v>0</v>
      </c>
      <c r="U2445">
        <v>0</v>
      </c>
      <c r="V2445" t="s">
        <v>32</v>
      </c>
      <c r="W2445" t="s">
        <v>39</v>
      </c>
      <c r="X2445" s="4">
        <v>4.5</v>
      </c>
      <c r="Y2445">
        <v>6</v>
      </c>
      <c r="Z2445" s="5">
        <v>118.27</v>
      </c>
    </row>
    <row r="2446" spans="1:26">
      <c r="A2446">
        <v>2445</v>
      </c>
      <c r="B2446">
        <v>802</v>
      </c>
      <c r="C2446" s="2">
        <v>46208</v>
      </c>
      <c r="D2446" t="s">
        <v>58</v>
      </c>
      <c r="E2446">
        <v>7</v>
      </c>
      <c r="F2446" s="3">
        <v>8.34</v>
      </c>
      <c r="G2446" t="s">
        <v>27</v>
      </c>
      <c r="H2446">
        <v>63</v>
      </c>
      <c r="I2446" t="s">
        <v>28</v>
      </c>
      <c r="J2446" s="4">
        <v>66.2</v>
      </c>
      <c r="K2446" s="4">
        <v>179.2</v>
      </c>
      <c r="L2446" s="4">
        <v>28.6</v>
      </c>
      <c r="M2446">
        <v>12</v>
      </c>
      <c r="N2446" t="s">
        <v>66</v>
      </c>
      <c r="O2446">
        <v>4</v>
      </c>
      <c r="P2446" s="4">
        <v>757.2</v>
      </c>
      <c r="Q2446" t="s">
        <v>30</v>
      </c>
      <c r="R2446">
        <v>0</v>
      </c>
      <c r="S2446" t="s">
        <v>44</v>
      </c>
      <c r="T2446">
        <v>0</v>
      </c>
      <c r="U2446">
        <v>0</v>
      </c>
      <c r="V2446" t="s">
        <v>32</v>
      </c>
      <c r="W2446" t="s">
        <v>39</v>
      </c>
      <c r="X2446" s="4">
        <v>8.6</v>
      </c>
      <c r="Y2446">
        <v>11</v>
      </c>
      <c r="Z2446" s="5">
        <v>238.32</v>
      </c>
    </row>
    <row r="2447" spans="1:26">
      <c r="A2447">
        <v>2446</v>
      </c>
      <c r="B2447">
        <v>803</v>
      </c>
      <c r="C2447" s="2">
        <v>46141</v>
      </c>
      <c r="D2447" t="s">
        <v>52</v>
      </c>
      <c r="E2447">
        <v>4</v>
      </c>
      <c r="F2447" s="3">
        <v>10.11</v>
      </c>
      <c r="G2447" t="s">
        <v>27</v>
      </c>
      <c r="H2447">
        <v>51</v>
      </c>
      <c r="I2447" t="s">
        <v>28</v>
      </c>
      <c r="J2447" s="4">
        <v>69.7</v>
      </c>
      <c r="K2447" s="4">
        <v>171.9</v>
      </c>
      <c r="L2447" s="4">
        <v>25</v>
      </c>
      <c r="M2447">
        <v>15</v>
      </c>
      <c r="N2447" t="s">
        <v>69</v>
      </c>
      <c r="O2447">
        <v>4</v>
      </c>
      <c r="P2447" s="4">
        <v>1542.7</v>
      </c>
      <c r="Q2447" t="s">
        <v>42</v>
      </c>
      <c r="R2447">
        <v>1</v>
      </c>
      <c r="S2447" t="s">
        <v>38</v>
      </c>
      <c r="T2447">
        <v>0</v>
      </c>
      <c r="U2447">
        <v>0</v>
      </c>
      <c r="V2447" t="s">
        <v>32</v>
      </c>
      <c r="W2447" t="s">
        <v>49</v>
      </c>
      <c r="X2447" s="4">
        <v>9.4</v>
      </c>
      <c r="Y2447">
        <v>10</v>
      </c>
      <c r="Z2447" s="5">
        <v>255.35</v>
      </c>
    </row>
    <row r="2448" spans="1:26">
      <c r="A2448">
        <v>2447</v>
      </c>
      <c r="B2448">
        <v>803</v>
      </c>
      <c r="C2448" s="2">
        <v>46141</v>
      </c>
      <c r="D2448" t="s">
        <v>52</v>
      </c>
      <c r="E2448">
        <v>4</v>
      </c>
      <c r="F2448" s="3">
        <v>10.14</v>
      </c>
      <c r="G2448" t="s">
        <v>27</v>
      </c>
      <c r="H2448">
        <v>18</v>
      </c>
      <c r="I2448" t="s">
        <v>34</v>
      </c>
      <c r="J2448" s="4">
        <v>64.900000000000006</v>
      </c>
      <c r="K2448" s="4">
        <v>192.5</v>
      </c>
      <c r="L2448" s="4">
        <v>32.1</v>
      </c>
      <c r="M2448">
        <v>9</v>
      </c>
      <c r="N2448" t="s">
        <v>69</v>
      </c>
      <c r="O2448">
        <v>4</v>
      </c>
      <c r="P2448" s="4">
        <v>1542.7</v>
      </c>
      <c r="Q2448" t="s">
        <v>42</v>
      </c>
      <c r="R2448">
        <v>1</v>
      </c>
      <c r="S2448" t="s">
        <v>38</v>
      </c>
      <c r="T2448">
        <v>0</v>
      </c>
      <c r="U2448">
        <v>0</v>
      </c>
      <c r="V2448" t="s">
        <v>32</v>
      </c>
      <c r="W2448" t="s">
        <v>49</v>
      </c>
      <c r="X2448" s="4">
        <v>9</v>
      </c>
      <c r="Y2448">
        <v>5</v>
      </c>
      <c r="Z2448" s="5">
        <v>320.54000000000002</v>
      </c>
    </row>
    <row r="2449" spans="1:26">
      <c r="A2449">
        <v>2448</v>
      </c>
      <c r="B2449">
        <v>803</v>
      </c>
      <c r="C2449" s="2">
        <v>46141</v>
      </c>
      <c r="D2449" t="s">
        <v>52</v>
      </c>
      <c r="E2449">
        <v>4</v>
      </c>
      <c r="F2449" s="3">
        <v>10.28</v>
      </c>
      <c r="G2449" t="s">
        <v>27</v>
      </c>
      <c r="H2449">
        <v>74</v>
      </c>
      <c r="I2449" t="s">
        <v>28</v>
      </c>
      <c r="J2449" s="4">
        <v>69.7</v>
      </c>
      <c r="K2449" s="4">
        <v>210.4</v>
      </c>
      <c r="L2449" s="4">
        <v>30.3</v>
      </c>
      <c r="M2449">
        <v>21</v>
      </c>
      <c r="N2449" t="s">
        <v>69</v>
      </c>
      <c r="O2449">
        <v>4</v>
      </c>
      <c r="P2449" s="4">
        <v>1542.7</v>
      </c>
      <c r="Q2449" t="s">
        <v>42</v>
      </c>
      <c r="R2449">
        <v>1</v>
      </c>
      <c r="S2449" t="s">
        <v>38</v>
      </c>
      <c r="T2449">
        <v>0</v>
      </c>
      <c r="U2449">
        <v>0</v>
      </c>
      <c r="V2449" t="s">
        <v>32</v>
      </c>
      <c r="W2449" t="s">
        <v>49</v>
      </c>
      <c r="X2449" s="4">
        <v>10.7</v>
      </c>
      <c r="Y2449">
        <v>6</v>
      </c>
      <c r="Z2449" s="5">
        <v>191.99</v>
      </c>
    </row>
    <row r="2450" spans="1:26">
      <c r="A2450">
        <v>2449</v>
      </c>
      <c r="B2450">
        <v>803</v>
      </c>
      <c r="C2450" s="2">
        <v>46141</v>
      </c>
      <c r="D2450" t="s">
        <v>52</v>
      </c>
      <c r="E2450">
        <v>4</v>
      </c>
      <c r="F2450" s="3">
        <v>10.17</v>
      </c>
      <c r="G2450" t="s">
        <v>27</v>
      </c>
      <c r="H2450">
        <v>60</v>
      </c>
      <c r="I2450" t="s">
        <v>28</v>
      </c>
      <c r="J2450" s="4">
        <v>73.099999999999994</v>
      </c>
      <c r="K2450" s="4">
        <v>154.80000000000001</v>
      </c>
      <c r="L2450" s="4">
        <v>20.3</v>
      </c>
      <c r="M2450">
        <v>21</v>
      </c>
      <c r="N2450" t="s">
        <v>69</v>
      </c>
      <c r="O2450">
        <v>4</v>
      </c>
      <c r="P2450" s="4">
        <v>1542.7</v>
      </c>
      <c r="Q2450" t="s">
        <v>42</v>
      </c>
      <c r="R2450">
        <v>1</v>
      </c>
      <c r="S2450" t="s">
        <v>38</v>
      </c>
      <c r="T2450">
        <v>0</v>
      </c>
      <c r="U2450">
        <v>0</v>
      </c>
      <c r="V2450" t="s">
        <v>32</v>
      </c>
      <c r="W2450" t="s">
        <v>49</v>
      </c>
      <c r="X2450" s="4">
        <v>9.1999999999999993</v>
      </c>
      <c r="Y2450">
        <v>3</v>
      </c>
      <c r="Z2450" s="5">
        <v>162.78</v>
      </c>
    </row>
    <row r="2451" spans="1:26">
      <c r="A2451">
        <v>2450</v>
      </c>
      <c r="B2451">
        <v>804</v>
      </c>
      <c r="C2451" s="2">
        <v>46061</v>
      </c>
      <c r="D2451" t="s">
        <v>58</v>
      </c>
      <c r="E2451">
        <v>2</v>
      </c>
      <c r="F2451" s="3">
        <v>12.16</v>
      </c>
      <c r="G2451" t="s">
        <v>36</v>
      </c>
      <c r="H2451">
        <v>5</v>
      </c>
      <c r="I2451" t="s">
        <v>34</v>
      </c>
      <c r="J2451" s="4">
        <v>53.3</v>
      </c>
      <c r="K2451" s="4">
        <v>70.7</v>
      </c>
      <c r="L2451" s="4">
        <v>17.8</v>
      </c>
      <c r="M2451">
        <v>11</v>
      </c>
      <c r="N2451" t="s">
        <v>47</v>
      </c>
      <c r="O2451">
        <v>2</v>
      </c>
      <c r="P2451" s="4">
        <v>2</v>
      </c>
      <c r="Q2451" t="s">
        <v>42</v>
      </c>
      <c r="R2451">
        <v>1</v>
      </c>
      <c r="S2451" t="s">
        <v>31</v>
      </c>
      <c r="T2451">
        <v>1</v>
      </c>
      <c r="U2451">
        <v>1</v>
      </c>
      <c r="V2451" t="s">
        <v>45</v>
      </c>
      <c r="W2451" t="s">
        <v>39</v>
      </c>
      <c r="X2451" s="4">
        <v>9.6</v>
      </c>
      <c r="Y2451">
        <v>8</v>
      </c>
      <c r="Z2451" s="5">
        <v>189.25</v>
      </c>
    </row>
    <row r="2452" spans="1:26">
      <c r="A2452">
        <v>2451</v>
      </c>
      <c r="B2452">
        <v>804</v>
      </c>
      <c r="C2452" s="2">
        <v>46061</v>
      </c>
      <c r="D2452" t="s">
        <v>58</v>
      </c>
      <c r="E2452">
        <v>2</v>
      </c>
      <c r="F2452" s="3">
        <v>12.24</v>
      </c>
      <c r="G2452" t="s">
        <v>36</v>
      </c>
      <c r="H2452">
        <v>11</v>
      </c>
      <c r="I2452" t="s">
        <v>28</v>
      </c>
      <c r="J2452" s="4">
        <v>70</v>
      </c>
      <c r="K2452" s="4">
        <v>121.8</v>
      </c>
      <c r="L2452" s="4">
        <v>17.3</v>
      </c>
      <c r="M2452">
        <v>12</v>
      </c>
      <c r="N2452" t="s">
        <v>47</v>
      </c>
      <c r="O2452">
        <v>2</v>
      </c>
      <c r="P2452" s="4">
        <v>2</v>
      </c>
      <c r="Q2452" t="s">
        <v>42</v>
      </c>
      <c r="R2452">
        <v>1</v>
      </c>
      <c r="S2452" t="s">
        <v>31</v>
      </c>
      <c r="T2452">
        <v>1</v>
      </c>
      <c r="U2452">
        <v>1</v>
      </c>
      <c r="V2452" t="s">
        <v>45</v>
      </c>
      <c r="W2452" t="s">
        <v>39</v>
      </c>
      <c r="X2452" s="4">
        <v>7.2</v>
      </c>
      <c r="Y2452">
        <v>10</v>
      </c>
      <c r="Z2452" s="5">
        <v>240.53</v>
      </c>
    </row>
    <row r="2453" spans="1:26">
      <c r="A2453">
        <v>2452</v>
      </c>
      <c r="B2453">
        <v>805</v>
      </c>
      <c r="C2453" s="2">
        <v>46047</v>
      </c>
      <c r="D2453" t="s">
        <v>58</v>
      </c>
      <c r="E2453">
        <v>1</v>
      </c>
      <c r="F2453" s="3">
        <v>9.82</v>
      </c>
      <c r="G2453" t="s">
        <v>27</v>
      </c>
      <c r="H2453">
        <v>6</v>
      </c>
      <c r="I2453" t="s">
        <v>34</v>
      </c>
      <c r="J2453" s="4">
        <v>60.5</v>
      </c>
      <c r="K2453" s="4">
        <v>121.3</v>
      </c>
      <c r="L2453" s="4">
        <v>23.6</v>
      </c>
      <c r="M2453">
        <v>14</v>
      </c>
      <c r="N2453" t="s">
        <v>59</v>
      </c>
      <c r="O2453">
        <v>4</v>
      </c>
      <c r="P2453" s="4">
        <v>766.9</v>
      </c>
      <c r="Q2453" t="s">
        <v>48</v>
      </c>
      <c r="R2453">
        <v>1</v>
      </c>
      <c r="S2453" t="s">
        <v>38</v>
      </c>
      <c r="T2453">
        <v>0</v>
      </c>
      <c r="U2453">
        <v>0</v>
      </c>
      <c r="V2453" t="s">
        <v>32</v>
      </c>
      <c r="W2453" t="s">
        <v>39</v>
      </c>
      <c r="X2453" s="4">
        <v>13.6</v>
      </c>
      <c r="Y2453">
        <v>9</v>
      </c>
      <c r="Z2453" s="5">
        <v>338.41</v>
      </c>
    </row>
    <row r="2454" spans="1:26">
      <c r="A2454">
        <v>2453</v>
      </c>
      <c r="B2454">
        <v>805</v>
      </c>
      <c r="C2454" s="2">
        <v>46047</v>
      </c>
      <c r="D2454" t="s">
        <v>58</v>
      </c>
      <c r="E2454">
        <v>1</v>
      </c>
      <c r="F2454" s="3">
        <v>9.77</v>
      </c>
      <c r="G2454" t="s">
        <v>27</v>
      </c>
      <c r="H2454">
        <v>44</v>
      </c>
      <c r="I2454" t="s">
        <v>34</v>
      </c>
      <c r="J2454" s="4">
        <v>60.9</v>
      </c>
      <c r="K2454" s="4">
        <v>150</v>
      </c>
      <c r="L2454" s="4">
        <v>28.7</v>
      </c>
      <c r="M2454">
        <v>16</v>
      </c>
      <c r="N2454" t="s">
        <v>59</v>
      </c>
      <c r="O2454">
        <v>4</v>
      </c>
      <c r="P2454" s="4">
        <v>766.9</v>
      </c>
      <c r="Q2454" t="s">
        <v>48</v>
      </c>
      <c r="R2454">
        <v>1</v>
      </c>
      <c r="S2454" t="s">
        <v>38</v>
      </c>
      <c r="T2454">
        <v>0</v>
      </c>
      <c r="U2454">
        <v>0</v>
      </c>
      <c r="V2454" t="s">
        <v>32</v>
      </c>
      <c r="W2454" t="s">
        <v>39</v>
      </c>
      <c r="X2454" s="4">
        <v>10.9</v>
      </c>
      <c r="Y2454">
        <v>4</v>
      </c>
      <c r="Z2454" s="5">
        <v>258.08</v>
      </c>
    </row>
    <row r="2455" spans="1:26">
      <c r="A2455">
        <v>2454</v>
      </c>
      <c r="B2455">
        <v>805</v>
      </c>
      <c r="C2455" s="2">
        <v>46047</v>
      </c>
      <c r="D2455" t="s">
        <v>58</v>
      </c>
      <c r="E2455">
        <v>1</v>
      </c>
      <c r="F2455" s="3">
        <v>9.64</v>
      </c>
      <c r="G2455" t="s">
        <v>27</v>
      </c>
      <c r="H2455">
        <v>54</v>
      </c>
      <c r="I2455" t="s">
        <v>28</v>
      </c>
      <c r="J2455" s="4">
        <v>66.099999999999994</v>
      </c>
      <c r="K2455" s="4">
        <v>135.69999999999999</v>
      </c>
      <c r="L2455" s="4">
        <v>22</v>
      </c>
      <c r="M2455">
        <v>16</v>
      </c>
      <c r="N2455" t="s">
        <v>59</v>
      </c>
      <c r="O2455">
        <v>4</v>
      </c>
      <c r="P2455" s="4">
        <v>766.9</v>
      </c>
      <c r="Q2455" t="s">
        <v>48</v>
      </c>
      <c r="R2455">
        <v>1</v>
      </c>
      <c r="S2455" t="s">
        <v>38</v>
      </c>
      <c r="T2455">
        <v>0</v>
      </c>
      <c r="U2455">
        <v>0</v>
      </c>
      <c r="V2455" t="s">
        <v>32</v>
      </c>
      <c r="W2455" t="s">
        <v>39</v>
      </c>
      <c r="X2455" s="4">
        <v>10</v>
      </c>
      <c r="Y2455">
        <v>9</v>
      </c>
      <c r="Z2455" s="5">
        <v>261.14</v>
      </c>
    </row>
    <row r="2456" spans="1:26">
      <c r="A2456">
        <v>2455</v>
      </c>
      <c r="B2456">
        <v>805</v>
      </c>
      <c r="C2456" s="2">
        <v>46047</v>
      </c>
      <c r="D2456" t="s">
        <v>58</v>
      </c>
      <c r="E2456">
        <v>1</v>
      </c>
      <c r="F2456" s="3">
        <v>9.67</v>
      </c>
      <c r="G2456" t="s">
        <v>27</v>
      </c>
      <c r="H2456">
        <v>36</v>
      </c>
      <c r="I2456" t="s">
        <v>28</v>
      </c>
      <c r="J2456" s="4">
        <v>70.099999999999994</v>
      </c>
      <c r="K2456" s="4">
        <v>160.9</v>
      </c>
      <c r="L2456" s="4">
        <v>23.2</v>
      </c>
      <c r="M2456">
        <v>17</v>
      </c>
      <c r="N2456" t="s">
        <v>59</v>
      </c>
      <c r="O2456">
        <v>4</v>
      </c>
      <c r="P2456" s="4">
        <v>766.9</v>
      </c>
      <c r="Q2456" t="s">
        <v>48</v>
      </c>
      <c r="R2456">
        <v>1</v>
      </c>
      <c r="S2456" t="s">
        <v>38</v>
      </c>
      <c r="T2456">
        <v>0</v>
      </c>
      <c r="U2456">
        <v>0</v>
      </c>
      <c r="V2456" t="s">
        <v>32</v>
      </c>
      <c r="W2456" t="s">
        <v>39</v>
      </c>
      <c r="X2456" s="4">
        <v>9.4</v>
      </c>
      <c r="Y2456">
        <v>4</v>
      </c>
      <c r="Z2456" s="5">
        <v>214.59</v>
      </c>
    </row>
    <row r="2457" spans="1:26">
      <c r="A2457">
        <v>2456</v>
      </c>
      <c r="B2457">
        <v>806</v>
      </c>
      <c r="C2457" s="2">
        <v>46119</v>
      </c>
      <c r="D2457" t="s">
        <v>35</v>
      </c>
      <c r="E2457">
        <v>4</v>
      </c>
      <c r="F2457" s="3">
        <v>10.73</v>
      </c>
      <c r="G2457" t="s">
        <v>27</v>
      </c>
      <c r="H2457">
        <v>47</v>
      </c>
      <c r="I2457" t="s">
        <v>34</v>
      </c>
      <c r="J2457" s="4">
        <v>65.099999999999994</v>
      </c>
      <c r="K2457" s="4">
        <v>140.80000000000001</v>
      </c>
      <c r="L2457" s="4">
        <v>23.2</v>
      </c>
      <c r="M2457">
        <v>13</v>
      </c>
      <c r="N2457" t="s">
        <v>56</v>
      </c>
      <c r="O2457">
        <v>3</v>
      </c>
      <c r="P2457" s="4">
        <v>351</v>
      </c>
      <c r="Q2457" t="s">
        <v>30</v>
      </c>
      <c r="R2457">
        <v>0</v>
      </c>
      <c r="S2457" t="s">
        <v>44</v>
      </c>
      <c r="T2457">
        <v>1</v>
      </c>
      <c r="U2457">
        <v>0</v>
      </c>
      <c r="V2457" t="s">
        <v>32</v>
      </c>
      <c r="W2457" t="s">
        <v>57</v>
      </c>
      <c r="X2457" s="4">
        <v>7.3</v>
      </c>
      <c r="Y2457">
        <v>11</v>
      </c>
      <c r="Z2457" s="5">
        <v>119.59</v>
      </c>
    </row>
    <row r="2458" spans="1:26">
      <c r="A2458">
        <v>2457</v>
      </c>
      <c r="B2458">
        <v>806</v>
      </c>
      <c r="C2458" s="2">
        <v>46119</v>
      </c>
      <c r="D2458" t="s">
        <v>35</v>
      </c>
      <c r="E2458">
        <v>4</v>
      </c>
      <c r="F2458" s="3">
        <v>10.81</v>
      </c>
      <c r="G2458" t="s">
        <v>27</v>
      </c>
      <c r="H2458">
        <v>8</v>
      </c>
      <c r="I2458" t="s">
        <v>34</v>
      </c>
      <c r="J2458" s="4">
        <v>60.2</v>
      </c>
      <c r="K2458" s="4">
        <v>96.1</v>
      </c>
      <c r="L2458" s="4">
        <v>18.7</v>
      </c>
      <c r="M2458">
        <v>12</v>
      </c>
      <c r="N2458" t="s">
        <v>56</v>
      </c>
      <c r="O2458">
        <v>3</v>
      </c>
      <c r="P2458" s="4">
        <v>351</v>
      </c>
      <c r="Q2458" t="s">
        <v>30</v>
      </c>
      <c r="R2458">
        <v>0</v>
      </c>
      <c r="S2458" t="s">
        <v>44</v>
      </c>
      <c r="T2458">
        <v>1</v>
      </c>
      <c r="U2458">
        <v>0</v>
      </c>
      <c r="V2458" t="s">
        <v>32</v>
      </c>
      <c r="W2458" t="s">
        <v>57</v>
      </c>
      <c r="X2458" s="4">
        <v>9.3000000000000007</v>
      </c>
      <c r="Y2458">
        <v>5</v>
      </c>
      <c r="Z2458" s="5">
        <v>169.35</v>
      </c>
    </row>
    <row r="2459" spans="1:26">
      <c r="A2459">
        <v>2458</v>
      </c>
      <c r="B2459">
        <v>806</v>
      </c>
      <c r="C2459" s="2">
        <v>46119</v>
      </c>
      <c r="D2459" t="s">
        <v>35</v>
      </c>
      <c r="E2459">
        <v>4</v>
      </c>
      <c r="F2459" s="3">
        <v>11.01</v>
      </c>
      <c r="G2459" t="s">
        <v>36</v>
      </c>
      <c r="H2459">
        <v>26</v>
      </c>
      <c r="I2459" t="s">
        <v>34</v>
      </c>
      <c r="J2459" s="4">
        <v>61.3</v>
      </c>
      <c r="K2459" s="4">
        <v>155</v>
      </c>
      <c r="L2459" s="4">
        <v>29.3</v>
      </c>
      <c r="M2459">
        <v>13</v>
      </c>
      <c r="N2459" t="s">
        <v>56</v>
      </c>
      <c r="O2459">
        <v>3</v>
      </c>
      <c r="P2459" s="4">
        <v>351</v>
      </c>
      <c r="Q2459" t="s">
        <v>30</v>
      </c>
      <c r="R2459">
        <v>0</v>
      </c>
      <c r="S2459" t="s">
        <v>44</v>
      </c>
      <c r="T2459">
        <v>1</v>
      </c>
      <c r="U2459">
        <v>0</v>
      </c>
      <c r="V2459" t="s">
        <v>32</v>
      </c>
      <c r="W2459" t="s">
        <v>57</v>
      </c>
      <c r="X2459" s="4">
        <v>5.7</v>
      </c>
      <c r="Y2459">
        <v>7</v>
      </c>
      <c r="Z2459" s="5">
        <v>88.98</v>
      </c>
    </row>
    <row r="2460" spans="1:26">
      <c r="A2460">
        <v>2459</v>
      </c>
      <c r="B2460">
        <v>807</v>
      </c>
      <c r="C2460" s="2">
        <v>46081</v>
      </c>
      <c r="D2460" t="s">
        <v>40</v>
      </c>
      <c r="E2460">
        <v>2</v>
      </c>
      <c r="F2460" s="3">
        <v>9.0399999999999991</v>
      </c>
      <c r="G2460" t="s">
        <v>27</v>
      </c>
      <c r="H2460">
        <v>17</v>
      </c>
      <c r="I2460" t="s">
        <v>28</v>
      </c>
      <c r="J2460" s="4">
        <v>69.5</v>
      </c>
      <c r="K2460" s="4">
        <v>126</v>
      </c>
      <c r="L2460" s="4">
        <v>18.3</v>
      </c>
      <c r="M2460">
        <v>14</v>
      </c>
      <c r="N2460" t="s">
        <v>56</v>
      </c>
      <c r="O2460">
        <v>2</v>
      </c>
      <c r="P2460" s="4">
        <v>192.3</v>
      </c>
      <c r="Q2460" t="s">
        <v>48</v>
      </c>
      <c r="R2460">
        <v>1</v>
      </c>
      <c r="S2460" t="s">
        <v>44</v>
      </c>
      <c r="T2460">
        <v>0</v>
      </c>
      <c r="U2460">
        <v>0</v>
      </c>
      <c r="V2460" t="s">
        <v>64</v>
      </c>
      <c r="W2460" t="s">
        <v>43</v>
      </c>
      <c r="X2460" s="4">
        <v>10.4</v>
      </c>
      <c r="Y2460">
        <v>12</v>
      </c>
      <c r="Z2460" s="5">
        <v>256.74</v>
      </c>
    </row>
    <row r="2461" spans="1:26">
      <c r="A2461">
        <v>2460</v>
      </c>
      <c r="B2461">
        <v>807</v>
      </c>
      <c r="C2461" s="2">
        <v>46081</v>
      </c>
      <c r="D2461" t="s">
        <v>40</v>
      </c>
      <c r="E2461">
        <v>2</v>
      </c>
      <c r="F2461" s="3">
        <v>8.98</v>
      </c>
      <c r="G2461" t="s">
        <v>27</v>
      </c>
      <c r="H2461">
        <v>7</v>
      </c>
      <c r="I2461" t="s">
        <v>28</v>
      </c>
      <c r="J2461" s="4">
        <v>63.6</v>
      </c>
      <c r="K2461" s="4">
        <v>82.1</v>
      </c>
      <c r="L2461" s="4">
        <v>14.1</v>
      </c>
      <c r="M2461">
        <v>16</v>
      </c>
      <c r="N2461" t="s">
        <v>56</v>
      </c>
      <c r="O2461">
        <v>2</v>
      </c>
      <c r="P2461" s="4">
        <v>192.3</v>
      </c>
      <c r="Q2461" t="s">
        <v>48</v>
      </c>
      <c r="R2461">
        <v>1</v>
      </c>
      <c r="S2461" t="s">
        <v>44</v>
      </c>
      <c r="T2461">
        <v>0</v>
      </c>
      <c r="U2461">
        <v>0</v>
      </c>
      <c r="V2461" t="s">
        <v>64</v>
      </c>
      <c r="W2461" t="s">
        <v>43</v>
      </c>
      <c r="X2461" s="4">
        <v>6.1</v>
      </c>
      <c r="Y2461">
        <v>6</v>
      </c>
      <c r="Z2461" s="5">
        <v>285.33999999999997</v>
      </c>
    </row>
    <row r="2462" spans="1:26">
      <c r="A2462">
        <v>2461</v>
      </c>
      <c r="B2462">
        <v>808</v>
      </c>
      <c r="C2462" s="2">
        <v>46137</v>
      </c>
      <c r="D2462" t="s">
        <v>40</v>
      </c>
      <c r="E2462">
        <v>4</v>
      </c>
      <c r="F2462" s="3">
        <v>7.66</v>
      </c>
      <c r="G2462" t="s">
        <v>27</v>
      </c>
      <c r="H2462">
        <v>10</v>
      </c>
      <c r="I2462" t="s">
        <v>28</v>
      </c>
      <c r="J2462" s="4">
        <v>67</v>
      </c>
      <c r="K2462" s="4">
        <v>121.7</v>
      </c>
      <c r="L2462" s="4">
        <v>18.8</v>
      </c>
      <c r="M2462">
        <v>14</v>
      </c>
      <c r="N2462" t="s">
        <v>56</v>
      </c>
      <c r="O2462">
        <v>4</v>
      </c>
      <c r="P2462" s="4">
        <v>307.5</v>
      </c>
      <c r="Q2462" t="s">
        <v>48</v>
      </c>
      <c r="R2462">
        <v>0</v>
      </c>
      <c r="S2462" t="s">
        <v>44</v>
      </c>
      <c r="T2462">
        <v>1</v>
      </c>
      <c r="U2462">
        <v>1</v>
      </c>
      <c r="V2462" t="s">
        <v>32</v>
      </c>
      <c r="W2462" t="s">
        <v>39</v>
      </c>
      <c r="X2462" s="4">
        <v>12.3</v>
      </c>
      <c r="Y2462">
        <v>11</v>
      </c>
      <c r="Z2462" s="5">
        <v>318.83999999999997</v>
      </c>
    </row>
    <row r="2463" spans="1:26">
      <c r="A2463">
        <v>2462</v>
      </c>
      <c r="B2463">
        <v>808</v>
      </c>
      <c r="C2463" s="2">
        <v>46137</v>
      </c>
      <c r="D2463" t="s">
        <v>40</v>
      </c>
      <c r="E2463">
        <v>4</v>
      </c>
      <c r="F2463" s="3">
        <v>7.8</v>
      </c>
      <c r="G2463" t="s">
        <v>27</v>
      </c>
      <c r="H2463">
        <v>18</v>
      </c>
      <c r="I2463" t="s">
        <v>34</v>
      </c>
      <c r="J2463" s="4">
        <v>69</v>
      </c>
      <c r="K2463" s="4">
        <v>188.8</v>
      </c>
      <c r="L2463" s="4">
        <v>27.8</v>
      </c>
      <c r="M2463">
        <v>19</v>
      </c>
      <c r="N2463" t="s">
        <v>56</v>
      </c>
      <c r="O2463">
        <v>4</v>
      </c>
      <c r="P2463" s="4">
        <v>307.5</v>
      </c>
      <c r="Q2463" t="s">
        <v>48</v>
      </c>
      <c r="R2463">
        <v>0</v>
      </c>
      <c r="S2463" t="s">
        <v>44</v>
      </c>
      <c r="T2463">
        <v>1</v>
      </c>
      <c r="U2463">
        <v>1</v>
      </c>
      <c r="V2463" t="s">
        <v>32</v>
      </c>
      <c r="W2463" t="s">
        <v>39</v>
      </c>
      <c r="X2463" s="4">
        <v>8</v>
      </c>
      <c r="Y2463">
        <v>10</v>
      </c>
      <c r="Z2463" s="5">
        <v>247.46</v>
      </c>
    </row>
    <row r="2464" spans="1:26">
      <c r="A2464">
        <v>2463</v>
      </c>
      <c r="B2464">
        <v>808</v>
      </c>
      <c r="C2464" s="2">
        <v>46137</v>
      </c>
      <c r="D2464" t="s">
        <v>40</v>
      </c>
      <c r="E2464">
        <v>4</v>
      </c>
      <c r="F2464" s="3">
        <v>7.79</v>
      </c>
      <c r="G2464" t="s">
        <v>27</v>
      </c>
      <c r="H2464">
        <v>37</v>
      </c>
      <c r="I2464" t="s">
        <v>34</v>
      </c>
      <c r="J2464" s="4">
        <v>63.4</v>
      </c>
      <c r="K2464" s="4">
        <v>137.69999999999999</v>
      </c>
      <c r="L2464" s="4">
        <v>24.1</v>
      </c>
      <c r="M2464">
        <v>16</v>
      </c>
      <c r="N2464" t="s">
        <v>56</v>
      </c>
      <c r="O2464">
        <v>4</v>
      </c>
      <c r="P2464" s="4">
        <v>307.5</v>
      </c>
      <c r="Q2464" t="s">
        <v>48</v>
      </c>
      <c r="R2464">
        <v>0</v>
      </c>
      <c r="S2464" t="s">
        <v>44</v>
      </c>
      <c r="T2464">
        <v>1</v>
      </c>
      <c r="U2464">
        <v>1</v>
      </c>
      <c r="V2464" t="s">
        <v>32</v>
      </c>
      <c r="W2464" t="s">
        <v>39</v>
      </c>
      <c r="X2464" s="4">
        <v>7.4</v>
      </c>
      <c r="Y2464">
        <v>3</v>
      </c>
      <c r="Z2464" s="5">
        <v>166.8</v>
      </c>
    </row>
    <row r="2465" spans="1:26">
      <c r="A2465">
        <v>2464</v>
      </c>
      <c r="B2465">
        <v>808</v>
      </c>
      <c r="C2465" s="2">
        <v>46137</v>
      </c>
      <c r="D2465" t="s">
        <v>40</v>
      </c>
      <c r="E2465">
        <v>4</v>
      </c>
      <c r="F2465" s="3">
        <v>7.72</v>
      </c>
      <c r="G2465" t="s">
        <v>27</v>
      </c>
      <c r="H2465">
        <v>71</v>
      </c>
      <c r="I2465" t="s">
        <v>34</v>
      </c>
      <c r="J2465" s="4">
        <v>58</v>
      </c>
      <c r="K2465" s="4">
        <v>138.80000000000001</v>
      </c>
      <c r="L2465" s="4">
        <v>28.9</v>
      </c>
      <c r="M2465">
        <v>19</v>
      </c>
      <c r="N2465" t="s">
        <v>56</v>
      </c>
      <c r="O2465">
        <v>4</v>
      </c>
      <c r="P2465" s="4">
        <v>307.5</v>
      </c>
      <c r="Q2465" t="s">
        <v>48</v>
      </c>
      <c r="R2465">
        <v>0</v>
      </c>
      <c r="S2465" t="s">
        <v>44</v>
      </c>
      <c r="T2465">
        <v>1</v>
      </c>
      <c r="U2465">
        <v>1</v>
      </c>
      <c r="V2465" t="s">
        <v>32</v>
      </c>
      <c r="W2465" t="s">
        <v>39</v>
      </c>
      <c r="X2465" s="4">
        <v>9.6</v>
      </c>
      <c r="Y2465">
        <v>14</v>
      </c>
      <c r="Z2465" s="5">
        <v>305.11</v>
      </c>
    </row>
    <row r="2466" spans="1:26">
      <c r="A2466">
        <v>2465</v>
      </c>
      <c r="B2466">
        <v>809</v>
      </c>
      <c r="C2466" s="2">
        <v>46338</v>
      </c>
      <c r="D2466" t="s">
        <v>55</v>
      </c>
      <c r="E2466">
        <v>11</v>
      </c>
      <c r="F2466" s="3">
        <v>12.29</v>
      </c>
      <c r="G2466" t="s">
        <v>36</v>
      </c>
      <c r="H2466">
        <v>62</v>
      </c>
      <c r="I2466" t="s">
        <v>28</v>
      </c>
      <c r="J2466" s="4">
        <v>72.7</v>
      </c>
      <c r="K2466" s="4">
        <v>188.2</v>
      </c>
      <c r="L2466" s="4">
        <v>25.2</v>
      </c>
      <c r="M2466">
        <v>15</v>
      </c>
      <c r="N2466" t="s">
        <v>61</v>
      </c>
      <c r="O2466">
        <v>4</v>
      </c>
      <c r="P2466" s="4">
        <v>998.3</v>
      </c>
      <c r="Q2466" t="s">
        <v>30</v>
      </c>
      <c r="R2466">
        <v>1</v>
      </c>
      <c r="S2466" t="s">
        <v>44</v>
      </c>
      <c r="T2466">
        <v>0</v>
      </c>
      <c r="U2466">
        <v>0</v>
      </c>
      <c r="V2466" t="s">
        <v>32</v>
      </c>
      <c r="W2466" t="s">
        <v>39</v>
      </c>
      <c r="X2466" s="4">
        <v>8.1999999999999993</v>
      </c>
      <c r="Y2466">
        <v>7</v>
      </c>
      <c r="Z2466" s="5">
        <v>130.51</v>
      </c>
    </row>
    <row r="2467" spans="1:26">
      <c r="A2467">
        <v>2466</v>
      </c>
      <c r="B2467">
        <v>809</v>
      </c>
      <c r="C2467" s="2">
        <v>46338</v>
      </c>
      <c r="D2467" t="s">
        <v>55</v>
      </c>
      <c r="E2467">
        <v>11</v>
      </c>
      <c r="F2467" s="3">
        <v>12.31</v>
      </c>
      <c r="G2467" t="s">
        <v>36</v>
      </c>
      <c r="H2467">
        <v>17</v>
      </c>
      <c r="I2467" t="s">
        <v>28</v>
      </c>
      <c r="J2467" s="4">
        <v>69.8</v>
      </c>
      <c r="K2467" s="4">
        <v>143.4</v>
      </c>
      <c r="L2467" s="4">
        <v>20.9</v>
      </c>
      <c r="M2467">
        <v>11</v>
      </c>
      <c r="N2467" t="s">
        <v>61</v>
      </c>
      <c r="O2467">
        <v>4</v>
      </c>
      <c r="P2467" s="4">
        <v>998.3</v>
      </c>
      <c r="Q2467" t="s">
        <v>30</v>
      </c>
      <c r="R2467">
        <v>1</v>
      </c>
      <c r="S2467" t="s">
        <v>44</v>
      </c>
      <c r="T2467">
        <v>0</v>
      </c>
      <c r="U2467">
        <v>0</v>
      </c>
      <c r="V2467" t="s">
        <v>32</v>
      </c>
      <c r="W2467" t="s">
        <v>39</v>
      </c>
      <c r="X2467" s="4">
        <v>5.7</v>
      </c>
      <c r="Y2467">
        <v>8</v>
      </c>
      <c r="Z2467" s="5">
        <v>120.8</v>
      </c>
    </row>
    <row r="2468" spans="1:26">
      <c r="A2468">
        <v>2467</v>
      </c>
      <c r="B2468">
        <v>809</v>
      </c>
      <c r="C2468" s="2">
        <v>46338</v>
      </c>
      <c r="D2468" t="s">
        <v>55</v>
      </c>
      <c r="E2468">
        <v>11</v>
      </c>
      <c r="F2468" s="3">
        <v>12.5</v>
      </c>
      <c r="G2468" t="s">
        <v>36</v>
      </c>
      <c r="H2468">
        <v>45</v>
      </c>
      <c r="I2468" t="s">
        <v>28</v>
      </c>
      <c r="J2468" s="4">
        <v>73.599999999999994</v>
      </c>
      <c r="K2468" s="4">
        <v>198</v>
      </c>
      <c r="L2468" s="4">
        <v>25.7</v>
      </c>
      <c r="M2468">
        <v>13</v>
      </c>
      <c r="N2468" t="s">
        <v>61</v>
      </c>
      <c r="O2468">
        <v>4</v>
      </c>
      <c r="P2468" s="4">
        <v>998.3</v>
      </c>
      <c r="Q2468" t="s">
        <v>30</v>
      </c>
      <c r="R2468">
        <v>1</v>
      </c>
      <c r="S2468" t="s">
        <v>44</v>
      </c>
      <c r="T2468">
        <v>0</v>
      </c>
      <c r="U2468">
        <v>0</v>
      </c>
      <c r="V2468" t="s">
        <v>32</v>
      </c>
      <c r="W2468" t="s">
        <v>39</v>
      </c>
      <c r="X2468" s="4">
        <v>9.6</v>
      </c>
      <c r="Y2468">
        <v>9</v>
      </c>
      <c r="Z2468" s="5">
        <v>297.12</v>
      </c>
    </row>
    <row r="2469" spans="1:26">
      <c r="A2469">
        <v>2468</v>
      </c>
      <c r="B2469">
        <v>809</v>
      </c>
      <c r="C2469" s="2">
        <v>46338</v>
      </c>
      <c r="D2469" t="s">
        <v>55</v>
      </c>
      <c r="E2469">
        <v>11</v>
      </c>
      <c r="F2469" s="3">
        <v>12.19</v>
      </c>
      <c r="G2469" t="s">
        <v>36</v>
      </c>
      <c r="H2469">
        <v>54</v>
      </c>
      <c r="I2469" t="s">
        <v>34</v>
      </c>
      <c r="J2469" s="4">
        <v>67.8</v>
      </c>
      <c r="K2469" s="4">
        <v>197.9</v>
      </c>
      <c r="L2469" s="4">
        <v>30.3</v>
      </c>
      <c r="M2469">
        <v>9</v>
      </c>
      <c r="N2469" t="s">
        <v>61</v>
      </c>
      <c r="O2469">
        <v>4</v>
      </c>
      <c r="P2469" s="4">
        <v>998.3</v>
      </c>
      <c r="Q2469" t="s">
        <v>30</v>
      </c>
      <c r="R2469">
        <v>1</v>
      </c>
      <c r="S2469" t="s">
        <v>44</v>
      </c>
      <c r="T2469">
        <v>0</v>
      </c>
      <c r="U2469">
        <v>0</v>
      </c>
      <c r="V2469" t="s">
        <v>32</v>
      </c>
      <c r="W2469" t="s">
        <v>39</v>
      </c>
      <c r="X2469" s="4">
        <v>5.0999999999999996</v>
      </c>
      <c r="Y2469">
        <v>6</v>
      </c>
      <c r="Z2469" s="5">
        <v>251.47</v>
      </c>
    </row>
    <row r="2470" spans="1:26">
      <c r="A2470">
        <v>2469</v>
      </c>
      <c r="B2470">
        <v>810</v>
      </c>
      <c r="C2470" s="2">
        <v>46303</v>
      </c>
      <c r="D2470" t="s">
        <v>55</v>
      </c>
      <c r="E2470">
        <v>10</v>
      </c>
      <c r="F2470" s="3">
        <v>11.23</v>
      </c>
      <c r="G2470" t="s">
        <v>36</v>
      </c>
      <c r="H2470">
        <v>54</v>
      </c>
      <c r="I2470" t="s">
        <v>28</v>
      </c>
      <c r="J2470" s="4">
        <v>68.900000000000006</v>
      </c>
      <c r="K2470" s="4">
        <v>191.3</v>
      </c>
      <c r="L2470" s="4">
        <v>28.3</v>
      </c>
      <c r="M2470">
        <v>16</v>
      </c>
      <c r="N2470" t="s">
        <v>60</v>
      </c>
      <c r="O2470">
        <v>2</v>
      </c>
      <c r="P2470" s="4">
        <v>2209.1999999999998</v>
      </c>
      <c r="Q2470" t="s">
        <v>42</v>
      </c>
      <c r="R2470">
        <v>0</v>
      </c>
      <c r="S2470" t="s">
        <v>31</v>
      </c>
      <c r="T2470">
        <v>0</v>
      </c>
      <c r="U2470">
        <v>1</v>
      </c>
      <c r="V2470" t="s">
        <v>64</v>
      </c>
      <c r="W2470" t="s">
        <v>43</v>
      </c>
      <c r="X2470" s="4">
        <v>7.6</v>
      </c>
      <c r="Y2470">
        <v>7</v>
      </c>
      <c r="Z2470" s="5">
        <v>177.05</v>
      </c>
    </row>
    <row r="2471" spans="1:26">
      <c r="A2471">
        <v>2470</v>
      </c>
      <c r="B2471">
        <v>810</v>
      </c>
      <c r="C2471" s="2">
        <v>46303</v>
      </c>
      <c r="D2471" t="s">
        <v>55</v>
      </c>
      <c r="E2471">
        <v>10</v>
      </c>
      <c r="F2471" s="3">
        <v>10.92</v>
      </c>
      <c r="G2471" t="s">
        <v>27</v>
      </c>
      <c r="H2471">
        <v>7</v>
      </c>
      <c r="I2471" t="s">
        <v>28</v>
      </c>
      <c r="J2471" s="4">
        <v>58.5</v>
      </c>
      <c r="K2471" s="4">
        <v>73.8</v>
      </c>
      <c r="L2471" s="4">
        <v>15.3</v>
      </c>
      <c r="M2471">
        <v>13</v>
      </c>
      <c r="N2471" t="s">
        <v>60</v>
      </c>
      <c r="O2471">
        <v>2</v>
      </c>
      <c r="P2471" s="4">
        <v>2209.1999999999998</v>
      </c>
      <c r="Q2471" t="s">
        <v>42</v>
      </c>
      <c r="R2471">
        <v>0</v>
      </c>
      <c r="S2471" t="s">
        <v>31</v>
      </c>
      <c r="T2471">
        <v>0</v>
      </c>
      <c r="U2471">
        <v>1</v>
      </c>
      <c r="V2471" t="s">
        <v>64</v>
      </c>
      <c r="W2471" t="s">
        <v>43</v>
      </c>
      <c r="X2471" s="4">
        <v>8.4</v>
      </c>
      <c r="Y2471">
        <v>9</v>
      </c>
      <c r="Z2471" s="5">
        <v>229.78</v>
      </c>
    </row>
    <row r="2472" spans="1:26">
      <c r="A2472">
        <v>2471</v>
      </c>
      <c r="B2472">
        <v>811</v>
      </c>
      <c r="C2472" s="2">
        <v>46178</v>
      </c>
      <c r="D2472" t="s">
        <v>26</v>
      </c>
      <c r="E2472">
        <v>6</v>
      </c>
      <c r="F2472" s="3">
        <v>13.8</v>
      </c>
      <c r="G2472" t="s">
        <v>36</v>
      </c>
      <c r="H2472">
        <v>33</v>
      </c>
      <c r="I2472" t="s">
        <v>34</v>
      </c>
      <c r="J2472" s="4">
        <v>63.6</v>
      </c>
      <c r="K2472" s="4">
        <v>160.1</v>
      </c>
      <c r="L2472" s="4">
        <v>27.9</v>
      </c>
      <c r="M2472">
        <v>14</v>
      </c>
      <c r="N2472" t="s">
        <v>50</v>
      </c>
      <c r="O2472">
        <v>4</v>
      </c>
      <c r="P2472" s="4">
        <v>424.2</v>
      </c>
      <c r="Q2472" t="s">
        <v>42</v>
      </c>
      <c r="R2472">
        <v>0</v>
      </c>
      <c r="S2472" t="s">
        <v>44</v>
      </c>
      <c r="T2472">
        <v>0</v>
      </c>
      <c r="U2472">
        <v>0</v>
      </c>
      <c r="V2472" t="s">
        <v>32</v>
      </c>
      <c r="W2472" t="s">
        <v>39</v>
      </c>
      <c r="X2472" s="4">
        <v>7.2</v>
      </c>
      <c r="Y2472">
        <v>9</v>
      </c>
      <c r="Z2472" s="5">
        <v>246.33</v>
      </c>
    </row>
    <row r="2473" spans="1:26">
      <c r="A2473">
        <v>2472</v>
      </c>
      <c r="B2473">
        <v>811</v>
      </c>
      <c r="C2473" s="2">
        <v>46178</v>
      </c>
      <c r="D2473" t="s">
        <v>26</v>
      </c>
      <c r="E2473">
        <v>6</v>
      </c>
      <c r="F2473" s="3">
        <v>13.49</v>
      </c>
      <c r="G2473" t="s">
        <v>36</v>
      </c>
      <c r="H2473">
        <v>23</v>
      </c>
      <c r="I2473" t="s">
        <v>34</v>
      </c>
      <c r="J2473" s="4">
        <v>66.400000000000006</v>
      </c>
      <c r="K2473" s="4">
        <v>150.80000000000001</v>
      </c>
      <c r="L2473" s="4">
        <v>24</v>
      </c>
      <c r="M2473">
        <v>12</v>
      </c>
      <c r="N2473" t="s">
        <v>50</v>
      </c>
      <c r="O2473">
        <v>4</v>
      </c>
      <c r="P2473" s="4">
        <v>424.2</v>
      </c>
      <c r="Q2473" t="s">
        <v>42</v>
      </c>
      <c r="R2473">
        <v>0</v>
      </c>
      <c r="S2473" t="s">
        <v>44</v>
      </c>
      <c r="T2473">
        <v>0</v>
      </c>
      <c r="U2473">
        <v>0</v>
      </c>
      <c r="V2473" t="s">
        <v>32</v>
      </c>
      <c r="W2473" t="s">
        <v>39</v>
      </c>
      <c r="X2473" s="4">
        <v>4.9000000000000004</v>
      </c>
      <c r="Y2473">
        <v>1</v>
      </c>
      <c r="Z2473" s="5">
        <v>51.84</v>
      </c>
    </row>
    <row r="2474" spans="1:26">
      <c r="A2474">
        <v>2473</v>
      </c>
      <c r="B2474">
        <v>811</v>
      </c>
      <c r="C2474" s="2">
        <v>46178</v>
      </c>
      <c r="D2474" t="s">
        <v>26</v>
      </c>
      <c r="E2474">
        <v>6</v>
      </c>
      <c r="F2474" s="3">
        <v>13.67</v>
      </c>
      <c r="G2474" t="s">
        <v>36</v>
      </c>
      <c r="H2474">
        <v>62</v>
      </c>
      <c r="I2474" t="s">
        <v>34</v>
      </c>
      <c r="J2474" s="4">
        <v>65.5</v>
      </c>
      <c r="K2474" s="4">
        <v>139.80000000000001</v>
      </c>
      <c r="L2474" s="4">
        <v>23</v>
      </c>
      <c r="M2474">
        <v>15</v>
      </c>
      <c r="N2474" t="s">
        <v>50</v>
      </c>
      <c r="O2474">
        <v>4</v>
      </c>
      <c r="P2474" s="4">
        <v>424.2</v>
      </c>
      <c r="Q2474" t="s">
        <v>42</v>
      </c>
      <c r="R2474">
        <v>0</v>
      </c>
      <c r="S2474" t="s">
        <v>44</v>
      </c>
      <c r="T2474">
        <v>0</v>
      </c>
      <c r="U2474">
        <v>0</v>
      </c>
      <c r="V2474" t="s">
        <v>32</v>
      </c>
      <c r="W2474" t="s">
        <v>39</v>
      </c>
      <c r="X2474" s="4">
        <v>6</v>
      </c>
      <c r="Y2474">
        <v>7</v>
      </c>
      <c r="Z2474" s="5">
        <v>134.66999999999999</v>
      </c>
    </row>
    <row r="2475" spans="1:26">
      <c r="A2475">
        <v>2474</v>
      </c>
      <c r="B2475">
        <v>811</v>
      </c>
      <c r="C2475" s="2">
        <v>46178</v>
      </c>
      <c r="D2475" t="s">
        <v>26</v>
      </c>
      <c r="E2475">
        <v>6</v>
      </c>
      <c r="F2475" s="3">
        <v>13.71</v>
      </c>
      <c r="G2475" t="s">
        <v>36</v>
      </c>
      <c r="H2475">
        <v>61</v>
      </c>
      <c r="I2475" t="s">
        <v>34</v>
      </c>
      <c r="J2475" s="4">
        <v>69.900000000000006</v>
      </c>
      <c r="K2475" s="4">
        <v>185.7</v>
      </c>
      <c r="L2475" s="4">
        <v>26.6</v>
      </c>
      <c r="M2475">
        <v>18</v>
      </c>
      <c r="N2475" t="s">
        <v>50</v>
      </c>
      <c r="O2475">
        <v>4</v>
      </c>
      <c r="P2475" s="4">
        <v>424.2</v>
      </c>
      <c r="Q2475" t="s">
        <v>42</v>
      </c>
      <c r="R2475">
        <v>0</v>
      </c>
      <c r="S2475" t="s">
        <v>44</v>
      </c>
      <c r="T2475">
        <v>0</v>
      </c>
      <c r="U2475">
        <v>0</v>
      </c>
      <c r="V2475" t="s">
        <v>32</v>
      </c>
      <c r="W2475" t="s">
        <v>39</v>
      </c>
      <c r="X2475" s="4">
        <v>5</v>
      </c>
      <c r="Y2475">
        <v>7</v>
      </c>
      <c r="Z2475" s="5">
        <v>158.78</v>
      </c>
    </row>
    <row r="2476" spans="1:26">
      <c r="A2476">
        <v>2475</v>
      </c>
      <c r="B2476">
        <v>812</v>
      </c>
      <c r="C2476" s="2">
        <v>46168</v>
      </c>
      <c r="D2476" t="s">
        <v>35</v>
      </c>
      <c r="E2476">
        <v>5</v>
      </c>
      <c r="F2476" s="3">
        <v>11.05</v>
      </c>
      <c r="G2476" t="s">
        <v>36</v>
      </c>
      <c r="H2476">
        <v>4</v>
      </c>
      <c r="I2476" t="s">
        <v>28</v>
      </c>
      <c r="J2476" s="4">
        <v>54.5</v>
      </c>
      <c r="K2476" s="4">
        <v>98.4</v>
      </c>
      <c r="L2476" s="4">
        <v>23.5</v>
      </c>
      <c r="M2476">
        <v>8</v>
      </c>
      <c r="N2476" t="s">
        <v>60</v>
      </c>
      <c r="O2476">
        <v>2</v>
      </c>
      <c r="P2476" s="4">
        <v>1766.3</v>
      </c>
      <c r="Q2476" t="s">
        <v>30</v>
      </c>
      <c r="R2476">
        <v>0</v>
      </c>
      <c r="S2476" t="s">
        <v>38</v>
      </c>
      <c r="T2476">
        <v>0</v>
      </c>
      <c r="U2476">
        <v>1</v>
      </c>
      <c r="V2476" t="s">
        <v>32</v>
      </c>
      <c r="W2476" t="s">
        <v>33</v>
      </c>
      <c r="X2476" s="4">
        <v>9.3000000000000007</v>
      </c>
      <c r="Y2476">
        <v>7</v>
      </c>
      <c r="Z2476" s="5">
        <v>158.38</v>
      </c>
    </row>
    <row r="2477" spans="1:26">
      <c r="A2477">
        <v>2476</v>
      </c>
      <c r="B2477">
        <v>812</v>
      </c>
      <c r="C2477" s="2">
        <v>46168</v>
      </c>
      <c r="D2477" t="s">
        <v>35</v>
      </c>
      <c r="E2477">
        <v>5</v>
      </c>
      <c r="F2477" s="3">
        <v>10.78</v>
      </c>
      <c r="G2477" t="s">
        <v>27</v>
      </c>
      <c r="H2477">
        <v>45</v>
      </c>
      <c r="I2477" t="s">
        <v>34</v>
      </c>
      <c r="J2477" s="4">
        <v>67</v>
      </c>
      <c r="K2477" s="4">
        <v>199.2</v>
      </c>
      <c r="L2477" s="4">
        <v>31.2</v>
      </c>
      <c r="M2477">
        <v>13</v>
      </c>
      <c r="N2477" t="s">
        <v>60</v>
      </c>
      <c r="O2477">
        <v>2</v>
      </c>
      <c r="P2477" s="4">
        <v>1766.3</v>
      </c>
      <c r="Q2477" t="s">
        <v>30</v>
      </c>
      <c r="R2477">
        <v>0</v>
      </c>
      <c r="S2477" t="s">
        <v>38</v>
      </c>
      <c r="T2477">
        <v>0</v>
      </c>
      <c r="U2477">
        <v>1</v>
      </c>
      <c r="V2477" t="s">
        <v>32</v>
      </c>
      <c r="W2477" t="s">
        <v>33</v>
      </c>
      <c r="X2477" s="4">
        <v>11.9</v>
      </c>
      <c r="Y2477">
        <v>11</v>
      </c>
      <c r="Z2477" s="5">
        <v>311.45999999999998</v>
      </c>
    </row>
    <row r="2478" spans="1:26">
      <c r="A2478">
        <v>2477</v>
      </c>
      <c r="B2478">
        <v>813</v>
      </c>
      <c r="C2478" s="2">
        <v>46074</v>
      </c>
      <c r="D2478" t="s">
        <v>40</v>
      </c>
      <c r="E2478">
        <v>2</v>
      </c>
      <c r="F2478" s="3">
        <v>10.73</v>
      </c>
      <c r="G2478" t="s">
        <v>27</v>
      </c>
      <c r="H2478">
        <v>33</v>
      </c>
      <c r="I2478" t="s">
        <v>34</v>
      </c>
      <c r="J2478" s="4">
        <v>66</v>
      </c>
      <c r="K2478" s="4">
        <v>203.5</v>
      </c>
      <c r="L2478" s="4">
        <v>32.799999999999997</v>
      </c>
      <c r="M2478">
        <v>13</v>
      </c>
      <c r="N2478" t="s">
        <v>65</v>
      </c>
      <c r="O2478">
        <v>5</v>
      </c>
      <c r="P2478" s="4">
        <v>2216.5</v>
      </c>
      <c r="Q2478" t="s">
        <v>42</v>
      </c>
      <c r="R2478">
        <v>1</v>
      </c>
      <c r="S2478" t="s">
        <v>44</v>
      </c>
      <c r="T2478">
        <v>0</v>
      </c>
      <c r="U2478">
        <v>0</v>
      </c>
      <c r="V2478" t="s">
        <v>32</v>
      </c>
      <c r="W2478" t="s">
        <v>39</v>
      </c>
      <c r="X2478" s="4">
        <v>9.4</v>
      </c>
      <c r="Y2478">
        <v>13</v>
      </c>
      <c r="Z2478" s="5">
        <v>170.18</v>
      </c>
    </row>
    <row r="2479" spans="1:26">
      <c r="A2479">
        <v>2478</v>
      </c>
      <c r="B2479">
        <v>813</v>
      </c>
      <c r="C2479" s="2">
        <v>46074</v>
      </c>
      <c r="D2479" t="s">
        <v>40</v>
      </c>
      <c r="E2479">
        <v>2</v>
      </c>
      <c r="F2479" s="3">
        <v>10.85</v>
      </c>
      <c r="G2479" t="s">
        <v>27</v>
      </c>
      <c r="H2479">
        <v>31</v>
      </c>
      <c r="I2479" t="s">
        <v>34</v>
      </c>
      <c r="J2479" s="4">
        <v>67.8</v>
      </c>
      <c r="K2479" s="4">
        <v>181.7</v>
      </c>
      <c r="L2479" s="4">
        <v>27.9</v>
      </c>
      <c r="M2479">
        <v>18</v>
      </c>
      <c r="N2479" t="s">
        <v>65</v>
      </c>
      <c r="O2479">
        <v>5</v>
      </c>
      <c r="P2479" s="4">
        <v>2216.5</v>
      </c>
      <c r="Q2479" t="s">
        <v>42</v>
      </c>
      <c r="R2479">
        <v>1</v>
      </c>
      <c r="S2479" t="s">
        <v>44</v>
      </c>
      <c r="T2479">
        <v>0</v>
      </c>
      <c r="U2479">
        <v>0</v>
      </c>
      <c r="V2479" t="s">
        <v>32</v>
      </c>
      <c r="W2479" t="s">
        <v>39</v>
      </c>
      <c r="X2479" s="4">
        <v>7.5</v>
      </c>
      <c r="Y2479">
        <v>6</v>
      </c>
      <c r="Z2479" s="5">
        <v>206.28</v>
      </c>
    </row>
    <row r="2480" spans="1:26">
      <c r="A2480">
        <v>2479</v>
      </c>
      <c r="B2480">
        <v>813</v>
      </c>
      <c r="C2480" s="2">
        <v>46074</v>
      </c>
      <c r="D2480" t="s">
        <v>40</v>
      </c>
      <c r="E2480">
        <v>2</v>
      </c>
      <c r="F2480" s="3">
        <v>10.7</v>
      </c>
      <c r="G2480" t="s">
        <v>27</v>
      </c>
      <c r="H2480">
        <v>43</v>
      </c>
      <c r="I2480" t="s">
        <v>28</v>
      </c>
      <c r="J2480" s="4">
        <v>69.8</v>
      </c>
      <c r="K2480" s="4">
        <v>133.6</v>
      </c>
      <c r="L2480" s="4">
        <v>19.100000000000001</v>
      </c>
      <c r="M2480">
        <v>18</v>
      </c>
      <c r="N2480" t="s">
        <v>65</v>
      </c>
      <c r="O2480">
        <v>5</v>
      </c>
      <c r="P2480" s="4">
        <v>2216.5</v>
      </c>
      <c r="Q2480" t="s">
        <v>42</v>
      </c>
      <c r="R2480">
        <v>1</v>
      </c>
      <c r="S2480" t="s">
        <v>44</v>
      </c>
      <c r="T2480">
        <v>0</v>
      </c>
      <c r="U2480">
        <v>0</v>
      </c>
      <c r="V2480" t="s">
        <v>32</v>
      </c>
      <c r="W2480" t="s">
        <v>39</v>
      </c>
      <c r="X2480" s="4">
        <v>7.8</v>
      </c>
      <c r="Y2480">
        <v>7</v>
      </c>
      <c r="Z2480" s="5">
        <v>159.4</v>
      </c>
    </row>
    <row r="2481" spans="1:26">
      <c r="A2481">
        <v>2480</v>
      </c>
      <c r="B2481">
        <v>813</v>
      </c>
      <c r="C2481" s="2">
        <v>46074</v>
      </c>
      <c r="D2481" t="s">
        <v>40</v>
      </c>
      <c r="E2481">
        <v>2</v>
      </c>
      <c r="F2481" s="3">
        <v>10.83</v>
      </c>
      <c r="G2481" t="s">
        <v>27</v>
      </c>
      <c r="H2481">
        <v>7</v>
      </c>
      <c r="I2481" t="s">
        <v>28</v>
      </c>
      <c r="J2481" s="4">
        <v>59.1</v>
      </c>
      <c r="K2481" s="4">
        <v>104.1</v>
      </c>
      <c r="L2481" s="4">
        <v>21</v>
      </c>
      <c r="M2481">
        <v>10</v>
      </c>
      <c r="N2481" t="s">
        <v>65</v>
      </c>
      <c r="O2481">
        <v>5</v>
      </c>
      <c r="P2481" s="4">
        <v>2216.5</v>
      </c>
      <c r="Q2481" t="s">
        <v>42</v>
      </c>
      <c r="R2481">
        <v>1</v>
      </c>
      <c r="S2481" t="s">
        <v>44</v>
      </c>
      <c r="T2481">
        <v>0</v>
      </c>
      <c r="U2481">
        <v>0</v>
      </c>
      <c r="V2481" t="s">
        <v>32</v>
      </c>
      <c r="W2481" t="s">
        <v>39</v>
      </c>
      <c r="X2481" s="4">
        <v>8.1999999999999993</v>
      </c>
      <c r="Y2481">
        <v>7</v>
      </c>
      <c r="Z2481" s="5">
        <v>273</v>
      </c>
    </row>
    <row r="2482" spans="1:26">
      <c r="A2482">
        <v>2481</v>
      </c>
      <c r="B2482">
        <v>813</v>
      </c>
      <c r="C2482" s="2">
        <v>46074</v>
      </c>
      <c r="D2482" t="s">
        <v>40</v>
      </c>
      <c r="E2482">
        <v>2</v>
      </c>
      <c r="F2482" s="3">
        <v>10.48</v>
      </c>
      <c r="G2482" t="s">
        <v>27</v>
      </c>
      <c r="H2482">
        <v>25</v>
      </c>
      <c r="I2482" t="s">
        <v>34</v>
      </c>
      <c r="J2482" s="4">
        <v>62.7</v>
      </c>
      <c r="K2482" s="4">
        <v>128</v>
      </c>
      <c r="L2482" s="4">
        <v>22.6</v>
      </c>
      <c r="M2482">
        <v>17</v>
      </c>
      <c r="N2482" t="s">
        <v>65</v>
      </c>
      <c r="O2482">
        <v>5</v>
      </c>
      <c r="P2482" s="4">
        <v>2216.5</v>
      </c>
      <c r="Q2482" t="s">
        <v>42</v>
      </c>
      <c r="R2482">
        <v>1</v>
      </c>
      <c r="S2482" t="s">
        <v>44</v>
      </c>
      <c r="T2482">
        <v>0</v>
      </c>
      <c r="U2482">
        <v>0</v>
      </c>
      <c r="V2482" t="s">
        <v>32</v>
      </c>
      <c r="W2482" t="s">
        <v>39</v>
      </c>
      <c r="X2482" s="4">
        <v>10.4</v>
      </c>
      <c r="Y2482">
        <v>11</v>
      </c>
      <c r="Z2482" s="5">
        <v>237.65</v>
      </c>
    </row>
    <row r="2483" spans="1:26">
      <c r="A2483">
        <v>2482</v>
      </c>
      <c r="B2483">
        <v>814</v>
      </c>
      <c r="C2483" s="2">
        <v>46129</v>
      </c>
      <c r="D2483" t="s">
        <v>26</v>
      </c>
      <c r="E2483">
        <v>4</v>
      </c>
      <c r="F2483" s="3">
        <v>10.46</v>
      </c>
      <c r="G2483" t="s">
        <v>27</v>
      </c>
      <c r="H2483">
        <v>52</v>
      </c>
      <c r="I2483" t="s">
        <v>28</v>
      </c>
      <c r="J2483" s="4">
        <v>72.7</v>
      </c>
      <c r="K2483" s="4">
        <v>199</v>
      </c>
      <c r="L2483" s="4">
        <v>26.3</v>
      </c>
      <c r="M2483">
        <v>15</v>
      </c>
      <c r="N2483" t="s">
        <v>47</v>
      </c>
      <c r="O2483">
        <v>3</v>
      </c>
      <c r="P2483" s="4">
        <v>42.5</v>
      </c>
      <c r="Q2483" t="s">
        <v>42</v>
      </c>
      <c r="R2483">
        <v>0</v>
      </c>
      <c r="S2483" t="s">
        <v>44</v>
      </c>
      <c r="T2483">
        <v>0</v>
      </c>
      <c r="U2483">
        <v>0</v>
      </c>
      <c r="V2483" t="s">
        <v>32</v>
      </c>
      <c r="W2483" t="s">
        <v>49</v>
      </c>
      <c r="X2483" s="4">
        <v>7.3</v>
      </c>
      <c r="Y2483">
        <v>8</v>
      </c>
      <c r="Z2483" s="5">
        <v>134.06</v>
      </c>
    </row>
    <row r="2484" spans="1:26">
      <c r="A2484">
        <v>2483</v>
      </c>
      <c r="B2484">
        <v>814</v>
      </c>
      <c r="C2484" s="2">
        <v>46129</v>
      </c>
      <c r="D2484" t="s">
        <v>26</v>
      </c>
      <c r="E2484">
        <v>4</v>
      </c>
      <c r="F2484" s="3">
        <v>10.25</v>
      </c>
      <c r="G2484" t="s">
        <v>27</v>
      </c>
      <c r="H2484">
        <v>47</v>
      </c>
      <c r="I2484" t="s">
        <v>34</v>
      </c>
      <c r="J2484" s="4">
        <v>66.5</v>
      </c>
      <c r="K2484" s="4">
        <v>145.9</v>
      </c>
      <c r="L2484" s="4">
        <v>23.2</v>
      </c>
      <c r="M2484">
        <v>17</v>
      </c>
      <c r="N2484" t="s">
        <v>47</v>
      </c>
      <c r="O2484">
        <v>3</v>
      </c>
      <c r="P2484" s="4">
        <v>42.5</v>
      </c>
      <c r="Q2484" t="s">
        <v>42</v>
      </c>
      <c r="R2484">
        <v>0</v>
      </c>
      <c r="S2484" t="s">
        <v>44</v>
      </c>
      <c r="T2484">
        <v>0</v>
      </c>
      <c r="U2484">
        <v>0</v>
      </c>
      <c r="V2484" t="s">
        <v>32</v>
      </c>
      <c r="W2484" t="s">
        <v>49</v>
      </c>
      <c r="X2484" s="4">
        <v>7.9</v>
      </c>
      <c r="Y2484">
        <v>10</v>
      </c>
      <c r="Z2484" s="5">
        <v>168.18</v>
      </c>
    </row>
    <row r="2485" spans="1:26">
      <c r="A2485">
        <v>2484</v>
      </c>
      <c r="B2485">
        <v>814</v>
      </c>
      <c r="C2485" s="2">
        <v>46129</v>
      </c>
      <c r="D2485" t="s">
        <v>26</v>
      </c>
      <c r="E2485">
        <v>4</v>
      </c>
      <c r="F2485" s="3">
        <v>10.52</v>
      </c>
      <c r="G2485" t="s">
        <v>27</v>
      </c>
      <c r="H2485">
        <v>10</v>
      </c>
      <c r="I2485" t="s">
        <v>34</v>
      </c>
      <c r="J2485" s="4">
        <v>62.1</v>
      </c>
      <c r="K2485" s="4">
        <v>106.7</v>
      </c>
      <c r="L2485" s="4">
        <v>19.600000000000001</v>
      </c>
      <c r="M2485">
        <v>14</v>
      </c>
      <c r="N2485" t="s">
        <v>47</v>
      </c>
      <c r="O2485">
        <v>3</v>
      </c>
      <c r="P2485" s="4">
        <v>42.5</v>
      </c>
      <c r="Q2485" t="s">
        <v>42</v>
      </c>
      <c r="R2485">
        <v>0</v>
      </c>
      <c r="S2485" t="s">
        <v>44</v>
      </c>
      <c r="T2485">
        <v>0</v>
      </c>
      <c r="U2485">
        <v>0</v>
      </c>
      <c r="V2485" t="s">
        <v>32</v>
      </c>
      <c r="W2485" t="s">
        <v>49</v>
      </c>
      <c r="X2485" s="4">
        <v>6</v>
      </c>
      <c r="Y2485">
        <v>5</v>
      </c>
      <c r="Z2485" s="5">
        <v>127.34</v>
      </c>
    </row>
    <row r="2486" spans="1:26">
      <c r="A2486">
        <v>2485</v>
      </c>
      <c r="B2486">
        <v>815</v>
      </c>
      <c r="C2486" s="2">
        <v>46095</v>
      </c>
      <c r="D2486" t="s">
        <v>40</v>
      </c>
      <c r="E2486">
        <v>3</v>
      </c>
      <c r="F2486" s="3">
        <v>9.5</v>
      </c>
      <c r="G2486" t="s">
        <v>27</v>
      </c>
      <c r="H2486">
        <v>11</v>
      </c>
      <c r="I2486" t="s">
        <v>34</v>
      </c>
      <c r="J2486" s="4">
        <v>65.599999999999994</v>
      </c>
      <c r="K2486" s="4">
        <v>133.9</v>
      </c>
      <c r="L2486" s="4">
        <v>21.9</v>
      </c>
      <c r="M2486">
        <v>15</v>
      </c>
      <c r="N2486" t="s">
        <v>47</v>
      </c>
      <c r="O2486">
        <v>1</v>
      </c>
      <c r="P2486" s="4">
        <v>85.3</v>
      </c>
      <c r="Q2486" t="s">
        <v>30</v>
      </c>
      <c r="R2486">
        <v>0</v>
      </c>
      <c r="S2486" t="s">
        <v>44</v>
      </c>
      <c r="T2486">
        <v>0</v>
      </c>
      <c r="U2486">
        <v>0</v>
      </c>
      <c r="V2486" t="s">
        <v>32</v>
      </c>
      <c r="W2486" t="s">
        <v>43</v>
      </c>
      <c r="X2486" s="4">
        <v>6.7</v>
      </c>
      <c r="Y2486">
        <v>5</v>
      </c>
      <c r="Z2486" s="5">
        <v>182.94</v>
      </c>
    </row>
    <row r="2487" spans="1:26">
      <c r="A2487">
        <v>2486</v>
      </c>
      <c r="B2487">
        <v>816</v>
      </c>
      <c r="C2487" s="2">
        <v>46361</v>
      </c>
      <c r="D2487" t="s">
        <v>40</v>
      </c>
      <c r="E2487">
        <v>12</v>
      </c>
      <c r="F2487" s="3">
        <v>10.38</v>
      </c>
      <c r="G2487" t="s">
        <v>27</v>
      </c>
      <c r="H2487">
        <v>18</v>
      </c>
      <c r="I2487" t="s">
        <v>28</v>
      </c>
      <c r="J2487" s="4">
        <v>76.5</v>
      </c>
      <c r="K2487" s="4">
        <v>245.5</v>
      </c>
      <c r="L2487" s="4">
        <v>29.7</v>
      </c>
      <c r="M2487">
        <v>13</v>
      </c>
      <c r="N2487" t="s">
        <v>47</v>
      </c>
      <c r="O2487">
        <v>1</v>
      </c>
      <c r="P2487" s="4">
        <v>112.4</v>
      </c>
      <c r="Q2487" t="s">
        <v>48</v>
      </c>
      <c r="R2487">
        <v>0</v>
      </c>
      <c r="S2487" t="s">
        <v>44</v>
      </c>
      <c r="T2487">
        <v>1</v>
      </c>
      <c r="U2487">
        <v>0</v>
      </c>
      <c r="V2487" t="s">
        <v>32</v>
      </c>
      <c r="W2487" t="s">
        <v>43</v>
      </c>
      <c r="X2487" s="4">
        <v>10.1</v>
      </c>
      <c r="Y2487">
        <v>7</v>
      </c>
      <c r="Z2487" s="5">
        <v>294.19</v>
      </c>
    </row>
    <row r="2488" spans="1:26">
      <c r="A2488">
        <v>2487</v>
      </c>
      <c r="B2488">
        <v>817</v>
      </c>
      <c r="C2488" s="2">
        <v>46043</v>
      </c>
      <c r="D2488" t="s">
        <v>52</v>
      </c>
      <c r="E2488">
        <v>1</v>
      </c>
      <c r="F2488" s="3">
        <v>9.57</v>
      </c>
      <c r="G2488" t="s">
        <v>27</v>
      </c>
      <c r="H2488">
        <v>59</v>
      </c>
      <c r="I2488" t="s">
        <v>28</v>
      </c>
      <c r="J2488" s="4">
        <v>65.7</v>
      </c>
      <c r="K2488" s="4">
        <v>193.7</v>
      </c>
      <c r="L2488" s="4">
        <v>31.7</v>
      </c>
      <c r="M2488">
        <v>14</v>
      </c>
      <c r="N2488" t="s">
        <v>47</v>
      </c>
      <c r="O2488">
        <v>3</v>
      </c>
      <c r="P2488" s="4">
        <v>4.9000000000000004</v>
      </c>
      <c r="Q2488" t="s">
        <v>42</v>
      </c>
      <c r="R2488">
        <v>0</v>
      </c>
      <c r="S2488" t="s">
        <v>44</v>
      </c>
      <c r="T2488">
        <v>0</v>
      </c>
      <c r="U2488">
        <v>0</v>
      </c>
      <c r="V2488" t="s">
        <v>32</v>
      </c>
      <c r="W2488" t="s">
        <v>57</v>
      </c>
      <c r="X2488" s="4">
        <v>8.9</v>
      </c>
      <c r="Y2488">
        <v>11</v>
      </c>
      <c r="Z2488" s="5">
        <v>183.49</v>
      </c>
    </row>
    <row r="2489" spans="1:26">
      <c r="A2489">
        <v>2488</v>
      </c>
      <c r="B2489">
        <v>817</v>
      </c>
      <c r="C2489" s="2">
        <v>46043</v>
      </c>
      <c r="D2489" t="s">
        <v>52</v>
      </c>
      <c r="E2489">
        <v>1</v>
      </c>
      <c r="F2489" s="3">
        <v>9.83</v>
      </c>
      <c r="G2489" t="s">
        <v>27</v>
      </c>
      <c r="H2489">
        <v>40</v>
      </c>
      <c r="I2489" t="s">
        <v>28</v>
      </c>
      <c r="J2489" s="4">
        <v>72.099999999999994</v>
      </c>
      <c r="K2489" s="4">
        <v>197.8</v>
      </c>
      <c r="L2489" s="4">
        <v>26.9</v>
      </c>
      <c r="M2489">
        <v>14</v>
      </c>
      <c r="N2489" t="s">
        <v>47</v>
      </c>
      <c r="O2489">
        <v>3</v>
      </c>
      <c r="P2489" s="4">
        <v>4.9000000000000004</v>
      </c>
      <c r="Q2489" t="s">
        <v>42</v>
      </c>
      <c r="R2489">
        <v>0</v>
      </c>
      <c r="S2489" t="s">
        <v>44</v>
      </c>
      <c r="T2489">
        <v>0</v>
      </c>
      <c r="U2489">
        <v>0</v>
      </c>
      <c r="V2489" t="s">
        <v>32</v>
      </c>
      <c r="W2489" t="s">
        <v>57</v>
      </c>
      <c r="X2489" s="4">
        <v>6.2</v>
      </c>
      <c r="Y2489">
        <v>9</v>
      </c>
      <c r="Z2489" s="5">
        <v>139.28</v>
      </c>
    </row>
    <row r="2490" spans="1:26">
      <c r="A2490">
        <v>2489</v>
      </c>
      <c r="B2490">
        <v>817</v>
      </c>
      <c r="C2490" s="2">
        <v>46043</v>
      </c>
      <c r="D2490" t="s">
        <v>52</v>
      </c>
      <c r="E2490">
        <v>1</v>
      </c>
      <c r="F2490" s="3">
        <v>9.89</v>
      </c>
      <c r="G2490" t="s">
        <v>27</v>
      </c>
      <c r="H2490">
        <v>44</v>
      </c>
      <c r="I2490" t="s">
        <v>34</v>
      </c>
      <c r="J2490" s="4">
        <v>61</v>
      </c>
      <c r="K2490" s="4">
        <v>126.8</v>
      </c>
      <c r="L2490" s="4">
        <v>23.9</v>
      </c>
      <c r="M2490">
        <v>16</v>
      </c>
      <c r="N2490" t="s">
        <v>47</v>
      </c>
      <c r="O2490">
        <v>3</v>
      </c>
      <c r="P2490" s="4">
        <v>4.9000000000000004</v>
      </c>
      <c r="Q2490" t="s">
        <v>42</v>
      </c>
      <c r="R2490">
        <v>0</v>
      </c>
      <c r="S2490" t="s">
        <v>44</v>
      </c>
      <c r="T2490">
        <v>0</v>
      </c>
      <c r="U2490">
        <v>0</v>
      </c>
      <c r="V2490" t="s">
        <v>32</v>
      </c>
      <c r="W2490" t="s">
        <v>57</v>
      </c>
      <c r="X2490" s="4">
        <v>11.6</v>
      </c>
      <c r="Y2490">
        <v>9</v>
      </c>
      <c r="Z2490" s="5">
        <v>230.86</v>
      </c>
    </row>
    <row r="2491" spans="1:26">
      <c r="A2491">
        <v>2490</v>
      </c>
      <c r="B2491">
        <v>818</v>
      </c>
      <c r="C2491" s="2">
        <v>46269</v>
      </c>
      <c r="D2491" t="s">
        <v>26</v>
      </c>
      <c r="E2491">
        <v>9</v>
      </c>
      <c r="F2491" s="3">
        <v>13.64</v>
      </c>
      <c r="G2491" t="s">
        <v>36</v>
      </c>
      <c r="H2491">
        <v>63</v>
      </c>
      <c r="I2491" t="s">
        <v>28</v>
      </c>
      <c r="J2491" s="4">
        <v>75.3</v>
      </c>
      <c r="K2491" s="4">
        <v>229.5</v>
      </c>
      <c r="L2491" s="4">
        <v>28.6</v>
      </c>
      <c r="M2491">
        <v>15</v>
      </c>
      <c r="N2491" t="s">
        <v>47</v>
      </c>
      <c r="O2491">
        <v>3</v>
      </c>
      <c r="P2491" s="4">
        <v>90</v>
      </c>
      <c r="Q2491" t="s">
        <v>30</v>
      </c>
      <c r="R2491">
        <v>0</v>
      </c>
      <c r="S2491" t="s">
        <v>44</v>
      </c>
      <c r="T2491">
        <v>0</v>
      </c>
      <c r="U2491">
        <v>0</v>
      </c>
      <c r="V2491" t="s">
        <v>32</v>
      </c>
      <c r="W2491" t="s">
        <v>49</v>
      </c>
      <c r="X2491" s="4">
        <v>8.6</v>
      </c>
      <c r="Y2491">
        <v>10</v>
      </c>
      <c r="Z2491" s="5">
        <v>145.88999999999999</v>
      </c>
    </row>
    <row r="2492" spans="1:26">
      <c r="A2492">
        <v>2491</v>
      </c>
      <c r="B2492">
        <v>818</v>
      </c>
      <c r="C2492" s="2">
        <v>46269</v>
      </c>
      <c r="D2492" t="s">
        <v>26</v>
      </c>
      <c r="E2492">
        <v>9</v>
      </c>
      <c r="F2492" s="3">
        <v>13.52</v>
      </c>
      <c r="G2492" t="s">
        <v>36</v>
      </c>
      <c r="H2492">
        <v>9</v>
      </c>
      <c r="I2492" t="s">
        <v>28</v>
      </c>
      <c r="J2492" s="4">
        <v>56.8</v>
      </c>
      <c r="K2492" s="4">
        <v>85.3</v>
      </c>
      <c r="L2492" s="4">
        <v>18.8</v>
      </c>
      <c r="M2492">
        <v>14</v>
      </c>
      <c r="N2492" t="s">
        <v>47</v>
      </c>
      <c r="O2492">
        <v>3</v>
      </c>
      <c r="P2492" s="4">
        <v>90</v>
      </c>
      <c r="Q2492" t="s">
        <v>30</v>
      </c>
      <c r="R2492">
        <v>0</v>
      </c>
      <c r="S2492" t="s">
        <v>44</v>
      </c>
      <c r="T2492">
        <v>0</v>
      </c>
      <c r="U2492">
        <v>0</v>
      </c>
      <c r="V2492" t="s">
        <v>32</v>
      </c>
      <c r="W2492" t="s">
        <v>49</v>
      </c>
      <c r="X2492" s="4">
        <v>6.7</v>
      </c>
      <c r="Y2492">
        <v>7</v>
      </c>
      <c r="Z2492" s="5">
        <v>118.69</v>
      </c>
    </row>
    <row r="2493" spans="1:26">
      <c r="A2493">
        <v>2492</v>
      </c>
      <c r="B2493">
        <v>818</v>
      </c>
      <c r="C2493" s="2">
        <v>46269</v>
      </c>
      <c r="D2493" t="s">
        <v>26</v>
      </c>
      <c r="E2493">
        <v>9</v>
      </c>
      <c r="F2493" s="3">
        <v>13.61</v>
      </c>
      <c r="G2493" t="s">
        <v>36</v>
      </c>
      <c r="H2493">
        <v>35</v>
      </c>
      <c r="I2493" t="s">
        <v>34</v>
      </c>
      <c r="J2493" s="4">
        <v>62.7</v>
      </c>
      <c r="K2493" s="4">
        <v>180.9</v>
      </c>
      <c r="L2493" s="4">
        <v>32.4</v>
      </c>
      <c r="M2493">
        <v>12</v>
      </c>
      <c r="N2493" t="s">
        <v>47</v>
      </c>
      <c r="O2493">
        <v>3</v>
      </c>
      <c r="P2493" s="4">
        <v>90</v>
      </c>
      <c r="Q2493" t="s">
        <v>30</v>
      </c>
      <c r="R2493">
        <v>0</v>
      </c>
      <c r="S2493" t="s">
        <v>44</v>
      </c>
      <c r="T2493">
        <v>0</v>
      </c>
      <c r="U2493">
        <v>0</v>
      </c>
      <c r="V2493" t="s">
        <v>32</v>
      </c>
      <c r="W2493" t="s">
        <v>49</v>
      </c>
      <c r="X2493" s="4">
        <v>7</v>
      </c>
      <c r="Y2493">
        <v>8</v>
      </c>
      <c r="Z2493" s="5">
        <v>87.88</v>
      </c>
    </row>
    <row r="2494" spans="1:26">
      <c r="A2494">
        <v>2493</v>
      </c>
      <c r="B2494">
        <v>819</v>
      </c>
      <c r="C2494" s="2">
        <v>46086</v>
      </c>
      <c r="D2494" t="s">
        <v>55</v>
      </c>
      <c r="E2494">
        <v>3</v>
      </c>
      <c r="F2494" s="3">
        <v>11.68</v>
      </c>
      <c r="G2494" t="s">
        <v>36</v>
      </c>
      <c r="H2494">
        <v>42</v>
      </c>
      <c r="I2494" t="s">
        <v>34</v>
      </c>
      <c r="J2494" s="4">
        <v>64.8</v>
      </c>
      <c r="K2494" s="4">
        <v>158.6</v>
      </c>
      <c r="L2494" s="4">
        <v>26.7</v>
      </c>
      <c r="M2494">
        <v>15</v>
      </c>
      <c r="N2494" t="s">
        <v>65</v>
      </c>
      <c r="O2494">
        <v>4</v>
      </c>
      <c r="P2494" s="4">
        <v>1655.1</v>
      </c>
      <c r="Q2494" t="s">
        <v>42</v>
      </c>
      <c r="R2494">
        <v>1</v>
      </c>
      <c r="S2494" t="s">
        <v>31</v>
      </c>
      <c r="T2494">
        <v>0</v>
      </c>
      <c r="U2494">
        <v>1</v>
      </c>
      <c r="V2494" t="s">
        <v>32</v>
      </c>
      <c r="W2494" t="s">
        <v>33</v>
      </c>
      <c r="X2494" s="4">
        <v>6.9</v>
      </c>
      <c r="Y2494">
        <v>10</v>
      </c>
      <c r="Z2494" s="5">
        <v>194.32</v>
      </c>
    </row>
    <row r="2495" spans="1:26">
      <c r="A2495">
        <v>2494</v>
      </c>
      <c r="B2495">
        <v>819</v>
      </c>
      <c r="C2495" s="2">
        <v>46086</v>
      </c>
      <c r="D2495" t="s">
        <v>55</v>
      </c>
      <c r="E2495">
        <v>3</v>
      </c>
      <c r="F2495" s="3">
        <v>11.84</v>
      </c>
      <c r="G2495" t="s">
        <v>36</v>
      </c>
      <c r="H2495">
        <v>36</v>
      </c>
      <c r="I2495" t="s">
        <v>34</v>
      </c>
      <c r="J2495" s="4">
        <v>67.2</v>
      </c>
      <c r="K2495" s="4">
        <v>193.1</v>
      </c>
      <c r="L2495" s="4">
        <v>30.1</v>
      </c>
      <c r="M2495">
        <v>13</v>
      </c>
      <c r="N2495" t="s">
        <v>65</v>
      </c>
      <c r="O2495">
        <v>4</v>
      </c>
      <c r="P2495" s="4">
        <v>1655.1</v>
      </c>
      <c r="Q2495" t="s">
        <v>42</v>
      </c>
      <c r="R2495">
        <v>1</v>
      </c>
      <c r="S2495" t="s">
        <v>31</v>
      </c>
      <c r="T2495">
        <v>0</v>
      </c>
      <c r="U2495">
        <v>1</v>
      </c>
      <c r="V2495" t="s">
        <v>32</v>
      </c>
      <c r="W2495" t="s">
        <v>33</v>
      </c>
      <c r="X2495" s="4">
        <v>9.4</v>
      </c>
      <c r="Y2495">
        <v>13</v>
      </c>
      <c r="Z2495" s="5">
        <v>317.23</v>
      </c>
    </row>
    <row r="2496" spans="1:26">
      <c r="A2496">
        <v>2495</v>
      </c>
      <c r="B2496">
        <v>819</v>
      </c>
      <c r="C2496" s="2">
        <v>46086</v>
      </c>
      <c r="D2496" t="s">
        <v>55</v>
      </c>
      <c r="E2496">
        <v>3</v>
      </c>
      <c r="F2496" s="3">
        <v>11.63</v>
      </c>
      <c r="G2496" t="s">
        <v>36</v>
      </c>
      <c r="H2496">
        <v>20</v>
      </c>
      <c r="I2496" t="s">
        <v>28</v>
      </c>
      <c r="J2496" s="4">
        <v>67.599999999999994</v>
      </c>
      <c r="K2496" s="4">
        <v>142.6</v>
      </c>
      <c r="L2496" s="4">
        <v>21.9</v>
      </c>
      <c r="M2496">
        <v>13</v>
      </c>
      <c r="N2496" t="s">
        <v>65</v>
      </c>
      <c r="O2496">
        <v>4</v>
      </c>
      <c r="P2496" s="4">
        <v>1655.1</v>
      </c>
      <c r="Q2496" t="s">
        <v>42</v>
      </c>
      <c r="R2496">
        <v>1</v>
      </c>
      <c r="S2496" t="s">
        <v>31</v>
      </c>
      <c r="T2496">
        <v>0</v>
      </c>
      <c r="U2496">
        <v>1</v>
      </c>
      <c r="V2496" t="s">
        <v>32</v>
      </c>
      <c r="W2496" t="s">
        <v>33</v>
      </c>
      <c r="X2496" s="4">
        <v>9.1999999999999993</v>
      </c>
      <c r="Y2496">
        <v>9</v>
      </c>
      <c r="Z2496" s="5">
        <v>234.63</v>
      </c>
    </row>
    <row r="2497" spans="1:26">
      <c r="A2497">
        <v>2496</v>
      </c>
      <c r="B2497">
        <v>819</v>
      </c>
      <c r="C2497" s="2">
        <v>46086</v>
      </c>
      <c r="D2497" t="s">
        <v>55</v>
      </c>
      <c r="E2497">
        <v>3</v>
      </c>
      <c r="F2497" s="3">
        <v>11.92</v>
      </c>
      <c r="G2497" t="s">
        <v>36</v>
      </c>
      <c r="H2497">
        <v>43</v>
      </c>
      <c r="I2497" t="s">
        <v>34</v>
      </c>
      <c r="J2497" s="4">
        <v>62.7</v>
      </c>
      <c r="K2497" s="4">
        <v>179.6</v>
      </c>
      <c r="L2497" s="4">
        <v>32.1</v>
      </c>
      <c r="M2497">
        <v>11</v>
      </c>
      <c r="N2497" t="s">
        <v>65</v>
      </c>
      <c r="O2497">
        <v>4</v>
      </c>
      <c r="P2497" s="4">
        <v>1655.1</v>
      </c>
      <c r="Q2497" t="s">
        <v>42</v>
      </c>
      <c r="R2497">
        <v>1</v>
      </c>
      <c r="S2497" t="s">
        <v>31</v>
      </c>
      <c r="T2497">
        <v>0</v>
      </c>
      <c r="U2497">
        <v>1</v>
      </c>
      <c r="V2497" t="s">
        <v>32</v>
      </c>
      <c r="W2497" t="s">
        <v>33</v>
      </c>
      <c r="X2497" s="4">
        <v>11.5</v>
      </c>
      <c r="Y2497">
        <v>9</v>
      </c>
      <c r="Z2497" s="5">
        <v>292.12</v>
      </c>
    </row>
    <row r="2498" spans="1:26">
      <c r="A2498">
        <v>2497</v>
      </c>
      <c r="B2498">
        <v>820</v>
      </c>
      <c r="C2498" s="2">
        <v>46168</v>
      </c>
      <c r="D2498" t="s">
        <v>35</v>
      </c>
      <c r="E2498">
        <v>5</v>
      </c>
      <c r="F2498" s="3">
        <v>7.76</v>
      </c>
      <c r="G2498" t="s">
        <v>27</v>
      </c>
      <c r="H2498">
        <v>4</v>
      </c>
      <c r="I2498" t="s">
        <v>28</v>
      </c>
      <c r="J2498" s="4">
        <v>53</v>
      </c>
      <c r="K2498" s="4">
        <v>69.7</v>
      </c>
      <c r="L2498" s="4">
        <v>17.399999999999999</v>
      </c>
      <c r="M2498">
        <v>15</v>
      </c>
      <c r="N2498" t="s">
        <v>67</v>
      </c>
      <c r="O2498">
        <v>2</v>
      </c>
      <c r="P2498" s="4">
        <v>1183.2</v>
      </c>
      <c r="Q2498" t="s">
        <v>48</v>
      </c>
      <c r="R2498">
        <v>1</v>
      </c>
      <c r="S2498" t="s">
        <v>31</v>
      </c>
      <c r="T2498">
        <v>0</v>
      </c>
      <c r="U2498">
        <v>1</v>
      </c>
      <c r="V2498" t="s">
        <v>32</v>
      </c>
      <c r="W2498" t="s">
        <v>33</v>
      </c>
      <c r="X2498" s="4">
        <v>7.8</v>
      </c>
      <c r="Y2498">
        <v>7</v>
      </c>
      <c r="Z2498" s="5">
        <v>274.77999999999997</v>
      </c>
    </row>
    <row r="2499" spans="1:26">
      <c r="A2499">
        <v>2498</v>
      </c>
      <c r="B2499">
        <v>820</v>
      </c>
      <c r="C2499" s="2">
        <v>46168</v>
      </c>
      <c r="D2499" t="s">
        <v>35</v>
      </c>
      <c r="E2499">
        <v>5</v>
      </c>
      <c r="F2499" s="3">
        <v>7.78</v>
      </c>
      <c r="G2499" t="s">
        <v>27</v>
      </c>
      <c r="H2499">
        <v>10</v>
      </c>
      <c r="I2499" t="s">
        <v>34</v>
      </c>
      <c r="J2499" s="4">
        <v>67</v>
      </c>
      <c r="K2499" s="4">
        <v>141.1</v>
      </c>
      <c r="L2499" s="4">
        <v>22.1</v>
      </c>
      <c r="M2499">
        <v>10</v>
      </c>
      <c r="N2499" t="s">
        <v>67</v>
      </c>
      <c r="O2499">
        <v>2</v>
      </c>
      <c r="P2499" s="4">
        <v>1183.2</v>
      </c>
      <c r="Q2499" t="s">
        <v>48</v>
      </c>
      <c r="R2499">
        <v>1</v>
      </c>
      <c r="S2499" t="s">
        <v>31</v>
      </c>
      <c r="T2499">
        <v>0</v>
      </c>
      <c r="U2499">
        <v>1</v>
      </c>
      <c r="V2499" t="s">
        <v>32</v>
      </c>
      <c r="W2499" t="s">
        <v>33</v>
      </c>
      <c r="X2499" s="4">
        <v>9.3000000000000007</v>
      </c>
      <c r="Y2499">
        <v>6</v>
      </c>
      <c r="Z2499" s="5">
        <v>280.06</v>
      </c>
    </row>
    <row r="2500" spans="1:26">
      <c r="A2500">
        <v>2499</v>
      </c>
      <c r="B2500">
        <v>821</v>
      </c>
      <c r="C2500" s="2">
        <v>46034</v>
      </c>
      <c r="D2500" t="s">
        <v>46</v>
      </c>
      <c r="E2500">
        <v>1</v>
      </c>
      <c r="F2500" s="3">
        <v>8.92</v>
      </c>
      <c r="G2500" t="s">
        <v>27</v>
      </c>
      <c r="H2500">
        <v>39</v>
      </c>
      <c r="I2500" t="s">
        <v>28</v>
      </c>
      <c r="J2500" s="4">
        <v>70.5</v>
      </c>
      <c r="K2500" s="4">
        <v>179.8</v>
      </c>
      <c r="L2500" s="4">
        <v>25.4</v>
      </c>
      <c r="M2500">
        <v>14</v>
      </c>
      <c r="N2500" t="s">
        <v>47</v>
      </c>
      <c r="O2500">
        <v>2</v>
      </c>
      <c r="P2500" s="4">
        <v>136.9</v>
      </c>
      <c r="Q2500" t="s">
        <v>42</v>
      </c>
      <c r="R2500">
        <v>0</v>
      </c>
      <c r="S2500" t="s">
        <v>44</v>
      </c>
      <c r="T2500">
        <v>0</v>
      </c>
      <c r="U2500">
        <v>0</v>
      </c>
      <c r="V2500" t="s">
        <v>45</v>
      </c>
      <c r="W2500" t="s">
        <v>39</v>
      </c>
      <c r="X2500" s="4">
        <v>9.1</v>
      </c>
      <c r="Y2500">
        <v>5</v>
      </c>
      <c r="Z2500" s="5">
        <v>112.39</v>
      </c>
    </row>
    <row r="2501" spans="1:26">
      <c r="A2501">
        <v>2500</v>
      </c>
      <c r="B2501">
        <v>821</v>
      </c>
      <c r="C2501" s="2">
        <v>46034</v>
      </c>
      <c r="D2501" t="s">
        <v>46</v>
      </c>
      <c r="E2501">
        <v>1</v>
      </c>
      <c r="F2501" s="3">
        <v>9.2200000000000006</v>
      </c>
      <c r="G2501" t="s">
        <v>27</v>
      </c>
      <c r="H2501">
        <v>30</v>
      </c>
      <c r="I2501" t="s">
        <v>28</v>
      </c>
      <c r="J2501" s="4">
        <v>67.3</v>
      </c>
      <c r="K2501" s="4">
        <v>158</v>
      </c>
      <c r="L2501" s="4">
        <v>24.6</v>
      </c>
      <c r="M2501">
        <v>15</v>
      </c>
      <c r="N2501" t="s">
        <v>47</v>
      </c>
      <c r="O2501">
        <v>2</v>
      </c>
      <c r="P2501" s="4">
        <v>136.9</v>
      </c>
      <c r="Q2501" t="s">
        <v>42</v>
      </c>
      <c r="R2501">
        <v>0</v>
      </c>
      <c r="S2501" t="s">
        <v>44</v>
      </c>
      <c r="T2501">
        <v>0</v>
      </c>
      <c r="U2501">
        <v>0</v>
      </c>
      <c r="V2501" t="s">
        <v>45</v>
      </c>
      <c r="W2501" t="s">
        <v>39</v>
      </c>
      <c r="X2501" s="4">
        <v>9.1999999999999993</v>
      </c>
      <c r="Y2501">
        <v>8</v>
      </c>
      <c r="Z2501" s="5">
        <v>211.32</v>
      </c>
    </row>
    <row r="2502" spans="1:26">
      <c r="A2502">
        <v>2501</v>
      </c>
      <c r="B2502">
        <v>822</v>
      </c>
      <c r="C2502" s="2">
        <v>46346</v>
      </c>
      <c r="D2502" t="s">
        <v>26</v>
      </c>
      <c r="E2502">
        <v>11</v>
      </c>
      <c r="F2502" s="3">
        <v>11.27</v>
      </c>
      <c r="G2502" t="s">
        <v>36</v>
      </c>
      <c r="H2502">
        <v>9</v>
      </c>
      <c r="I2502" t="s">
        <v>34</v>
      </c>
      <c r="J2502" s="4">
        <v>69.5</v>
      </c>
      <c r="K2502" s="4">
        <v>116.9</v>
      </c>
      <c r="L2502" s="4">
        <v>17.100000000000001</v>
      </c>
      <c r="M2502">
        <v>13</v>
      </c>
      <c r="N2502" t="s">
        <v>65</v>
      </c>
      <c r="O2502">
        <v>5</v>
      </c>
      <c r="P2502" s="4">
        <v>2533.1999999999998</v>
      </c>
      <c r="Q2502" t="s">
        <v>42</v>
      </c>
      <c r="R2502">
        <v>0</v>
      </c>
      <c r="S2502" t="s">
        <v>38</v>
      </c>
      <c r="T2502">
        <v>0</v>
      </c>
      <c r="U2502">
        <v>1</v>
      </c>
      <c r="V2502" t="s">
        <v>32</v>
      </c>
      <c r="W2502" t="s">
        <v>39</v>
      </c>
      <c r="X2502" s="4">
        <v>8.1999999999999993</v>
      </c>
      <c r="Y2502">
        <v>10</v>
      </c>
      <c r="Z2502" s="5">
        <v>196.56</v>
      </c>
    </row>
    <row r="2503" spans="1:26">
      <c r="A2503">
        <v>2502</v>
      </c>
      <c r="B2503">
        <v>822</v>
      </c>
      <c r="C2503" s="2">
        <v>46346</v>
      </c>
      <c r="D2503" t="s">
        <v>26</v>
      </c>
      <c r="E2503">
        <v>11</v>
      </c>
      <c r="F2503" s="3">
        <v>11.14</v>
      </c>
      <c r="G2503" t="s">
        <v>36</v>
      </c>
      <c r="H2503">
        <v>56</v>
      </c>
      <c r="I2503" t="s">
        <v>28</v>
      </c>
      <c r="J2503" s="4">
        <v>67.099999999999994</v>
      </c>
      <c r="K2503" s="4">
        <v>175.7</v>
      </c>
      <c r="L2503" s="4">
        <v>27.4</v>
      </c>
      <c r="M2503">
        <v>17</v>
      </c>
      <c r="N2503" t="s">
        <v>65</v>
      </c>
      <c r="O2503">
        <v>5</v>
      </c>
      <c r="P2503" s="4">
        <v>2533.1999999999998</v>
      </c>
      <c r="Q2503" t="s">
        <v>42</v>
      </c>
      <c r="R2503">
        <v>0</v>
      </c>
      <c r="S2503" t="s">
        <v>38</v>
      </c>
      <c r="T2503">
        <v>0</v>
      </c>
      <c r="U2503">
        <v>1</v>
      </c>
      <c r="V2503" t="s">
        <v>32</v>
      </c>
      <c r="W2503" t="s">
        <v>39</v>
      </c>
      <c r="X2503" s="4">
        <v>10.1</v>
      </c>
      <c r="Y2503">
        <v>1</v>
      </c>
      <c r="Z2503" s="5">
        <v>157.18</v>
      </c>
    </row>
    <row r="2504" spans="1:26">
      <c r="A2504">
        <v>2503</v>
      </c>
      <c r="B2504">
        <v>822</v>
      </c>
      <c r="C2504" s="2">
        <v>46346</v>
      </c>
      <c r="D2504" t="s">
        <v>26</v>
      </c>
      <c r="E2504">
        <v>11</v>
      </c>
      <c r="F2504" s="3">
        <v>11.21</v>
      </c>
      <c r="G2504" t="s">
        <v>36</v>
      </c>
      <c r="H2504">
        <v>31</v>
      </c>
      <c r="I2504" t="s">
        <v>28</v>
      </c>
      <c r="J2504" s="4">
        <v>73.3</v>
      </c>
      <c r="K2504" s="4">
        <v>177.3</v>
      </c>
      <c r="L2504" s="4">
        <v>23.2</v>
      </c>
      <c r="M2504">
        <v>17</v>
      </c>
      <c r="N2504" t="s">
        <v>65</v>
      </c>
      <c r="O2504">
        <v>5</v>
      </c>
      <c r="P2504" s="4">
        <v>2533.1999999999998</v>
      </c>
      <c r="Q2504" t="s">
        <v>42</v>
      </c>
      <c r="R2504">
        <v>0</v>
      </c>
      <c r="S2504" t="s">
        <v>38</v>
      </c>
      <c r="T2504">
        <v>0</v>
      </c>
      <c r="U2504">
        <v>1</v>
      </c>
      <c r="V2504" t="s">
        <v>32</v>
      </c>
      <c r="W2504" t="s">
        <v>39</v>
      </c>
      <c r="X2504" s="4">
        <v>7</v>
      </c>
      <c r="Y2504">
        <v>7</v>
      </c>
      <c r="Z2504" s="5">
        <v>201.77</v>
      </c>
    </row>
    <row r="2505" spans="1:26">
      <c r="A2505">
        <v>2504</v>
      </c>
      <c r="B2505">
        <v>822</v>
      </c>
      <c r="C2505" s="2">
        <v>46346</v>
      </c>
      <c r="D2505" t="s">
        <v>26</v>
      </c>
      <c r="E2505">
        <v>11</v>
      </c>
      <c r="F2505" s="3">
        <v>11.29</v>
      </c>
      <c r="G2505" t="s">
        <v>36</v>
      </c>
      <c r="H2505">
        <v>71</v>
      </c>
      <c r="I2505" t="s">
        <v>34</v>
      </c>
      <c r="J2505" s="4">
        <v>63.8</v>
      </c>
      <c r="K2505" s="4">
        <v>141.4</v>
      </c>
      <c r="L2505" s="4">
        <v>24.4</v>
      </c>
      <c r="M2505">
        <v>17</v>
      </c>
      <c r="N2505" t="s">
        <v>65</v>
      </c>
      <c r="O2505">
        <v>5</v>
      </c>
      <c r="P2505" s="4">
        <v>2533.1999999999998</v>
      </c>
      <c r="Q2505" t="s">
        <v>42</v>
      </c>
      <c r="R2505">
        <v>0</v>
      </c>
      <c r="S2505" t="s">
        <v>38</v>
      </c>
      <c r="T2505">
        <v>0</v>
      </c>
      <c r="U2505">
        <v>1</v>
      </c>
      <c r="V2505" t="s">
        <v>32</v>
      </c>
      <c r="W2505" t="s">
        <v>39</v>
      </c>
      <c r="X2505" s="4">
        <v>8.1</v>
      </c>
      <c r="Y2505">
        <v>5</v>
      </c>
      <c r="Z2505" s="5">
        <v>231.92</v>
      </c>
    </row>
    <row r="2506" spans="1:26">
      <c r="A2506">
        <v>2505</v>
      </c>
      <c r="B2506">
        <v>822</v>
      </c>
      <c r="C2506" s="2">
        <v>46346</v>
      </c>
      <c r="D2506" t="s">
        <v>26</v>
      </c>
      <c r="E2506">
        <v>11</v>
      </c>
      <c r="F2506" s="3">
        <v>11.34</v>
      </c>
      <c r="G2506" t="s">
        <v>36</v>
      </c>
      <c r="H2506">
        <v>53</v>
      </c>
      <c r="I2506" t="s">
        <v>28</v>
      </c>
      <c r="J2506" s="4">
        <v>70.099999999999994</v>
      </c>
      <c r="K2506" s="4">
        <v>248.2</v>
      </c>
      <c r="L2506" s="4">
        <v>35.5</v>
      </c>
      <c r="M2506">
        <v>16</v>
      </c>
      <c r="N2506" t="s">
        <v>65</v>
      </c>
      <c r="O2506">
        <v>5</v>
      </c>
      <c r="P2506" s="4">
        <v>2533.1999999999998</v>
      </c>
      <c r="Q2506" t="s">
        <v>42</v>
      </c>
      <c r="R2506">
        <v>0</v>
      </c>
      <c r="S2506" t="s">
        <v>38</v>
      </c>
      <c r="T2506">
        <v>0</v>
      </c>
      <c r="U2506">
        <v>1</v>
      </c>
      <c r="V2506" t="s">
        <v>32</v>
      </c>
      <c r="W2506" t="s">
        <v>39</v>
      </c>
      <c r="X2506" s="4">
        <v>8</v>
      </c>
      <c r="Y2506">
        <v>8</v>
      </c>
      <c r="Z2506" s="5">
        <v>263.3</v>
      </c>
    </row>
    <row r="2507" spans="1:26">
      <c r="A2507">
        <v>2506</v>
      </c>
      <c r="B2507">
        <v>823</v>
      </c>
      <c r="C2507" s="2">
        <v>46188</v>
      </c>
      <c r="D2507" t="s">
        <v>46</v>
      </c>
      <c r="E2507">
        <v>6</v>
      </c>
      <c r="F2507" s="3">
        <v>9.7899999999999991</v>
      </c>
      <c r="G2507" t="s">
        <v>27</v>
      </c>
      <c r="H2507">
        <v>38</v>
      </c>
      <c r="I2507" t="s">
        <v>28</v>
      </c>
      <c r="J2507" s="4">
        <v>73.5</v>
      </c>
      <c r="K2507" s="4">
        <v>200.9</v>
      </c>
      <c r="L2507" s="4">
        <v>26.3</v>
      </c>
      <c r="M2507">
        <v>18</v>
      </c>
      <c r="N2507" t="s">
        <v>60</v>
      </c>
      <c r="O2507">
        <v>3</v>
      </c>
      <c r="P2507" s="4">
        <v>1569.9</v>
      </c>
      <c r="Q2507" t="s">
        <v>42</v>
      </c>
      <c r="R2507">
        <v>1</v>
      </c>
      <c r="S2507" t="s">
        <v>44</v>
      </c>
      <c r="T2507">
        <v>0</v>
      </c>
      <c r="U2507">
        <v>0</v>
      </c>
      <c r="V2507" t="s">
        <v>32</v>
      </c>
      <c r="W2507" t="s">
        <v>49</v>
      </c>
      <c r="X2507" s="4">
        <v>5.7</v>
      </c>
      <c r="Y2507">
        <v>4</v>
      </c>
      <c r="Z2507" s="5">
        <v>247.98</v>
      </c>
    </row>
    <row r="2508" spans="1:26">
      <c r="A2508">
        <v>2507</v>
      </c>
      <c r="B2508">
        <v>823</v>
      </c>
      <c r="C2508" s="2">
        <v>46188</v>
      </c>
      <c r="D2508" t="s">
        <v>46</v>
      </c>
      <c r="E2508">
        <v>6</v>
      </c>
      <c r="F2508" s="3">
        <v>9.9600000000000009</v>
      </c>
      <c r="G2508" t="s">
        <v>27</v>
      </c>
      <c r="H2508">
        <v>9</v>
      </c>
      <c r="I2508" t="s">
        <v>51</v>
      </c>
      <c r="J2508" s="4">
        <v>60.7</v>
      </c>
      <c r="K2508" s="4">
        <v>130.80000000000001</v>
      </c>
      <c r="L2508" s="4">
        <v>25.3</v>
      </c>
      <c r="M2508">
        <v>12</v>
      </c>
      <c r="N2508" t="s">
        <v>60</v>
      </c>
      <c r="O2508">
        <v>3</v>
      </c>
      <c r="P2508" s="4">
        <v>1569.9</v>
      </c>
      <c r="Q2508" t="s">
        <v>42</v>
      </c>
      <c r="R2508">
        <v>1</v>
      </c>
      <c r="S2508" t="s">
        <v>44</v>
      </c>
      <c r="T2508">
        <v>0</v>
      </c>
      <c r="U2508">
        <v>0</v>
      </c>
      <c r="V2508" t="s">
        <v>32</v>
      </c>
      <c r="W2508" t="s">
        <v>49</v>
      </c>
      <c r="X2508" s="4">
        <v>6.2</v>
      </c>
      <c r="Y2508">
        <v>6</v>
      </c>
      <c r="Z2508" s="5">
        <v>220.27</v>
      </c>
    </row>
    <row r="2509" spans="1:26">
      <c r="A2509">
        <v>2508</v>
      </c>
      <c r="B2509">
        <v>823</v>
      </c>
      <c r="C2509" s="2">
        <v>46188</v>
      </c>
      <c r="D2509" t="s">
        <v>46</v>
      </c>
      <c r="E2509">
        <v>6</v>
      </c>
      <c r="F2509" s="3">
        <v>9.81</v>
      </c>
      <c r="G2509" t="s">
        <v>27</v>
      </c>
      <c r="H2509">
        <v>37</v>
      </c>
      <c r="I2509" t="s">
        <v>28</v>
      </c>
      <c r="J2509" s="4">
        <v>70.7</v>
      </c>
      <c r="K2509" s="4">
        <v>172.2</v>
      </c>
      <c r="L2509" s="4">
        <v>24.5</v>
      </c>
      <c r="M2509">
        <v>17</v>
      </c>
      <c r="N2509" t="s">
        <v>60</v>
      </c>
      <c r="O2509">
        <v>3</v>
      </c>
      <c r="P2509" s="4">
        <v>1569.9</v>
      </c>
      <c r="Q2509" t="s">
        <v>42</v>
      </c>
      <c r="R2509">
        <v>1</v>
      </c>
      <c r="S2509" t="s">
        <v>44</v>
      </c>
      <c r="T2509">
        <v>0</v>
      </c>
      <c r="U2509">
        <v>0</v>
      </c>
      <c r="V2509" t="s">
        <v>32</v>
      </c>
      <c r="W2509" t="s">
        <v>49</v>
      </c>
      <c r="X2509" s="4">
        <v>9.1999999999999993</v>
      </c>
      <c r="Y2509">
        <v>14</v>
      </c>
      <c r="Z2509" s="5">
        <v>228.36</v>
      </c>
    </row>
    <row r="2510" spans="1:26">
      <c r="A2510">
        <v>2509</v>
      </c>
      <c r="B2510">
        <v>824</v>
      </c>
      <c r="C2510" s="2">
        <v>46200</v>
      </c>
      <c r="D2510" t="s">
        <v>40</v>
      </c>
      <c r="E2510">
        <v>6</v>
      </c>
      <c r="F2510" s="3">
        <v>11.82</v>
      </c>
      <c r="G2510" t="s">
        <v>36</v>
      </c>
      <c r="H2510">
        <v>47</v>
      </c>
      <c r="I2510" t="s">
        <v>34</v>
      </c>
      <c r="J2510" s="4">
        <v>64.400000000000006</v>
      </c>
      <c r="K2510" s="4">
        <v>160.80000000000001</v>
      </c>
      <c r="L2510" s="4">
        <v>27.3</v>
      </c>
      <c r="M2510">
        <v>13</v>
      </c>
      <c r="N2510" t="s">
        <v>47</v>
      </c>
      <c r="O2510">
        <v>1</v>
      </c>
      <c r="P2510" s="4">
        <v>115.2</v>
      </c>
      <c r="Q2510" t="s">
        <v>42</v>
      </c>
      <c r="R2510">
        <v>0</v>
      </c>
      <c r="S2510" t="s">
        <v>44</v>
      </c>
      <c r="T2510">
        <v>0</v>
      </c>
      <c r="U2510">
        <v>0</v>
      </c>
      <c r="V2510" t="s">
        <v>32</v>
      </c>
      <c r="W2510" t="s">
        <v>57</v>
      </c>
      <c r="X2510" s="4">
        <v>9.5</v>
      </c>
      <c r="Y2510">
        <v>6</v>
      </c>
      <c r="Z2510" s="5">
        <v>213.85</v>
      </c>
    </row>
    <row r="2511" spans="1:26">
      <c r="A2511">
        <v>2510</v>
      </c>
      <c r="B2511">
        <v>825</v>
      </c>
      <c r="C2511" s="2">
        <v>46189</v>
      </c>
      <c r="D2511" t="s">
        <v>35</v>
      </c>
      <c r="E2511">
        <v>6</v>
      </c>
      <c r="F2511" s="3">
        <v>9.92</v>
      </c>
      <c r="G2511" t="s">
        <v>27</v>
      </c>
      <c r="H2511">
        <v>43</v>
      </c>
      <c r="I2511" t="s">
        <v>34</v>
      </c>
      <c r="J2511" s="4">
        <v>61</v>
      </c>
      <c r="K2511" s="4">
        <v>129.69999999999999</v>
      </c>
      <c r="L2511" s="4">
        <v>24.5</v>
      </c>
      <c r="M2511">
        <v>17</v>
      </c>
      <c r="N2511" t="s">
        <v>47</v>
      </c>
      <c r="O2511">
        <v>4</v>
      </c>
      <c r="P2511" s="4">
        <v>35.5</v>
      </c>
      <c r="Q2511" t="s">
        <v>42</v>
      </c>
      <c r="R2511">
        <v>1</v>
      </c>
      <c r="S2511" t="s">
        <v>38</v>
      </c>
      <c r="T2511">
        <v>1</v>
      </c>
      <c r="U2511">
        <v>0</v>
      </c>
      <c r="V2511" t="s">
        <v>32</v>
      </c>
      <c r="W2511" t="s">
        <v>39</v>
      </c>
      <c r="X2511" s="4">
        <v>7.1</v>
      </c>
      <c r="Y2511">
        <v>4</v>
      </c>
      <c r="Z2511" s="5">
        <v>159.96</v>
      </c>
    </row>
    <row r="2512" spans="1:26">
      <c r="A2512">
        <v>2511</v>
      </c>
      <c r="B2512">
        <v>825</v>
      </c>
      <c r="C2512" s="2">
        <v>46189</v>
      </c>
      <c r="D2512" t="s">
        <v>35</v>
      </c>
      <c r="E2512">
        <v>6</v>
      </c>
      <c r="F2512" s="3">
        <v>10.02</v>
      </c>
      <c r="G2512" t="s">
        <v>27</v>
      </c>
      <c r="H2512">
        <v>13</v>
      </c>
      <c r="I2512" t="s">
        <v>28</v>
      </c>
      <c r="J2512" s="4">
        <v>70</v>
      </c>
      <c r="K2512" s="4">
        <v>149.9</v>
      </c>
      <c r="L2512" s="4">
        <v>21.3</v>
      </c>
      <c r="M2512">
        <v>16</v>
      </c>
      <c r="N2512" t="s">
        <v>47</v>
      </c>
      <c r="O2512">
        <v>4</v>
      </c>
      <c r="P2512" s="4">
        <v>35.5</v>
      </c>
      <c r="Q2512" t="s">
        <v>42</v>
      </c>
      <c r="R2512">
        <v>1</v>
      </c>
      <c r="S2512" t="s">
        <v>38</v>
      </c>
      <c r="T2512">
        <v>1</v>
      </c>
      <c r="U2512">
        <v>0</v>
      </c>
      <c r="V2512" t="s">
        <v>32</v>
      </c>
      <c r="W2512" t="s">
        <v>39</v>
      </c>
      <c r="X2512" s="4">
        <v>8.3000000000000007</v>
      </c>
      <c r="Y2512">
        <v>6</v>
      </c>
      <c r="Z2512" s="5">
        <v>113.5</v>
      </c>
    </row>
    <row r="2513" spans="1:26">
      <c r="A2513">
        <v>2512</v>
      </c>
      <c r="B2513">
        <v>825</v>
      </c>
      <c r="C2513" s="2">
        <v>46189</v>
      </c>
      <c r="D2513" t="s">
        <v>35</v>
      </c>
      <c r="E2513">
        <v>6</v>
      </c>
      <c r="F2513" s="3">
        <v>10.09</v>
      </c>
      <c r="G2513" t="s">
        <v>27</v>
      </c>
      <c r="H2513">
        <v>51</v>
      </c>
      <c r="I2513" t="s">
        <v>34</v>
      </c>
      <c r="J2513" s="4">
        <v>64.8</v>
      </c>
      <c r="K2513" s="4">
        <v>150.19999999999999</v>
      </c>
      <c r="L2513" s="4">
        <v>25.2</v>
      </c>
      <c r="M2513">
        <v>14</v>
      </c>
      <c r="N2513" t="s">
        <v>47</v>
      </c>
      <c r="O2513">
        <v>4</v>
      </c>
      <c r="P2513" s="4">
        <v>35.5</v>
      </c>
      <c r="Q2513" t="s">
        <v>42</v>
      </c>
      <c r="R2513">
        <v>1</v>
      </c>
      <c r="S2513" t="s">
        <v>38</v>
      </c>
      <c r="T2513">
        <v>1</v>
      </c>
      <c r="U2513">
        <v>0</v>
      </c>
      <c r="V2513" t="s">
        <v>32</v>
      </c>
      <c r="W2513" t="s">
        <v>39</v>
      </c>
      <c r="X2513" s="4">
        <v>8.6999999999999993</v>
      </c>
      <c r="Y2513">
        <v>11</v>
      </c>
      <c r="Z2513" s="5">
        <v>227.06</v>
      </c>
    </row>
    <row r="2514" spans="1:26">
      <c r="A2514">
        <v>2513</v>
      </c>
      <c r="B2514">
        <v>825</v>
      </c>
      <c r="C2514" s="2">
        <v>46189</v>
      </c>
      <c r="D2514" t="s">
        <v>35</v>
      </c>
      <c r="E2514">
        <v>6</v>
      </c>
      <c r="F2514" s="3">
        <v>10.220000000000001</v>
      </c>
      <c r="G2514" t="s">
        <v>27</v>
      </c>
      <c r="H2514">
        <v>35</v>
      </c>
      <c r="I2514" t="s">
        <v>34</v>
      </c>
      <c r="J2514" s="4">
        <v>71.8</v>
      </c>
      <c r="K2514" s="4">
        <v>200.6</v>
      </c>
      <c r="L2514" s="4">
        <v>27.5</v>
      </c>
      <c r="M2514">
        <v>19</v>
      </c>
      <c r="N2514" t="s">
        <v>47</v>
      </c>
      <c r="O2514">
        <v>4</v>
      </c>
      <c r="P2514" s="4">
        <v>35.5</v>
      </c>
      <c r="Q2514" t="s">
        <v>42</v>
      </c>
      <c r="R2514">
        <v>1</v>
      </c>
      <c r="S2514" t="s">
        <v>38</v>
      </c>
      <c r="T2514">
        <v>1</v>
      </c>
      <c r="U2514">
        <v>0</v>
      </c>
      <c r="V2514" t="s">
        <v>32</v>
      </c>
      <c r="W2514" t="s">
        <v>39</v>
      </c>
      <c r="X2514" s="4">
        <v>9.8000000000000007</v>
      </c>
      <c r="Y2514">
        <v>14</v>
      </c>
      <c r="Z2514" s="5">
        <v>237.83</v>
      </c>
    </row>
    <row r="2515" spans="1:26">
      <c r="A2515">
        <v>2514</v>
      </c>
      <c r="B2515">
        <v>826</v>
      </c>
      <c r="C2515" s="2">
        <v>46087</v>
      </c>
      <c r="D2515" t="s">
        <v>26</v>
      </c>
      <c r="E2515">
        <v>3</v>
      </c>
      <c r="F2515" s="3">
        <v>9.25</v>
      </c>
      <c r="G2515" t="s">
        <v>27</v>
      </c>
      <c r="H2515">
        <v>6</v>
      </c>
      <c r="I2515" t="s">
        <v>34</v>
      </c>
      <c r="J2515" s="4">
        <v>57.1</v>
      </c>
      <c r="K2515" s="4">
        <v>114.8</v>
      </c>
      <c r="L2515" s="4">
        <v>24.6</v>
      </c>
      <c r="M2515">
        <v>11</v>
      </c>
      <c r="N2515" t="s">
        <v>47</v>
      </c>
      <c r="O2515">
        <v>1</v>
      </c>
      <c r="P2515" s="4">
        <v>81.599999999999994</v>
      </c>
      <c r="Q2515" t="s">
        <v>30</v>
      </c>
      <c r="R2515">
        <v>0</v>
      </c>
      <c r="S2515" t="s">
        <v>44</v>
      </c>
      <c r="T2515">
        <v>0</v>
      </c>
      <c r="U2515">
        <v>0</v>
      </c>
      <c r="V2515" t="s">
        <v>32</v>
      </c>
      <c r="W2515" t="s">
        <v>39</v>
      </c>
      <c r="X2515" s="4">
        <v>9</v>
      </c>
      <c r="Y2515">
        <v>7</v>
      </c>
      <c r="Z2515" s="5">
        <v>132.66999999999999</v>
      </c>
    </row>
    <row r="2516" spans="1:26">
      <c r="A2516">
        <v>2515</v>
      </c>
      <c r="B2516">
        <v>827</v>
      </c>
      <c r="C2516" s="2">
        <v>46144</v>
      </c>
      <c r="D2516" t="s">
        <v>40</v>
      </c>
      <c r="E2516">
        <v>5</v>
      </c>
      <c r="F2516" s="3">
        <v>10.71</v>
      </c>
      <c r="G2516" t="s">
        <v>27</v>
      </c>
      <c r="H2516">
        <v>41</v>
      </c>
      <c r="I2516" t="s">
        <v>34</v>
      </c>
      <c r="J2516" s="4">
        <v>64</v>
      </c>
      <c r="K2516" s="4">
        <v>156.69999999999999</v>
      </c>
      <c r="L2516" s="4">
        <v>26.9</v>
      </c>
      <c r="M2516">
        <v>17</v>
      </c>
      <c r="N2516" t="s">
        <v>47</v>
      </c>
      <c r="O2516">
        <v>4</v>
      </c>
      <c r="P2516" s="4">
        <v>46.6</v>
      </c>
      <c r="Q2516" t="s">
        <v>48</v>
      </c>
      <c r="R2516">
        <v>1</v>
      </c>
      <c r="S2516" t="s">
        <v>44</v>
      </c>
      <c r="T2516">
        <v>1</v>
      </c>
      <c r="U2516">
        <v>1</v>
      </c>
      <c r="V2516" t="s">
        <v>32</v>
      </c>
      <c r="W2516" t="s">
        <v>33</v>
      </c>
      <c r="X2516" s="4">
        <v>11.9</v>
      </c>
      <c r="Y2516">
        <v>12</v>
      </c>
      <c r="Z2516" s="5">
        <v>468.61</v>
      </c>
    </row>
    <row r="2517" spans="1:26">
      <c r="A2517">
        <v>2516</v>
      </c>
      <c r="B2517">
        <v>827</v>
      </c>
      <c r="C2517" s="2">
        <v>46144</v>
      </c>
      <c r="D2517" t="s">
        <v>40</v>
      </c>
      <c r="E2517">
        <v>5</v>
      </c>
      <c r="F2517" s="3">
        <v>10.85</v>
      </c>
      <c r="G2517" t="s">
        <v>27</v>
      </c>
      <c r="H2517">
        <v>18</v>
      </c>
      <c r="I2517" t="s">
        <v>34</v>
      </c>
      <c r="J2517" s="4">
        <v>63.1</v>
      </c>
      <c r="K2517" s="4">
        <v>139.30000000000001</v>
      </c>
      <c r="L2517" s="4">
        <v>24.7</v>
      </c>
      <c r="M2517">
        <v>15</v>
      </c>
      <c r="N2517" t="s">
        <v>47</v>
      </c>
      <c r="O2517">
        <v>4</v>
      </c>
      <c r="P2517" s="4">
        <v>46.6</v>
      </c>
      <c r="Q2517" t="s">
        <v>48</v>
      </c>
      <c r="R2517">
        <v>1</v>
      </c>
      <c r="S2517" t="s">
        <v>44</v>
      </c>
      <c r="T2517">
        <v>1</v>
      </c>
      <c r="U2517">
        <v>1</v>
      </c>
      <c r="V2517" t="s">
        <v>32</v>
      </c>
      <c r="W2517" t="s">
        <v>33</v>
      </c>
      <c r="X2517" s="4">
        <v>8.6</v>
      </c>
      <c r="Y2517">
        <v>14</v>
      </c>
      <c r="Z2517" s="5">
        <v>362.08</v>
      </c>
    </row>
    <row r="2518" spans="1:26">
      <c r="A2518">
        <v>2517</v>
      </c>
      <c r="B2518">
        <v>827</v>
      </c>
      <c r="C2518" s="2">
        <v>46144</v>
      </c>
      <c r="D2518" t="s">
        <v>40</v>
      </c>
      <c r="E2518">
        <v>5</v>
      </c>
      <c r="F2518" s="3">
        <v>10.52</v>
      </c>
      <c r="G2518" t="s">
        <v>27</v>
      </c>
      <c r="H2518">
        <v>38</v>
      </c>
      <c r="I2518" t="s">
        <v>28</v>
      </c>
      <c r="J2518" s="4">
        <v>69.8</v>
      </c>
      <c r="K2518" s="4">
        <v>179</v>
      </c>
      <c r="L2518" s="4">
        <v>26.1</v>
      </c>
      <c r="M2518">
        <v>17</v>
      </c>
      <c r="N2518" t="s">
        <v>47</v>
      </c>
      <c r="O2518">
        <v>4</v>
      </c>
      <c r="P2518" s="4">
        <v>46.6</v>
      </c>
      <c r="Q2518" t="s">
        <v>48</v>
      </c>
      <c r="R2518">
        <v>1</v>
      </c>
      <c r="S2518" t="s">
        <v>44</v>
      </c>
      <c r="T2518">
        <v>1</v>
      </c>
      <c r="U2518">
        <v>1</v>
      </c>
      <c r="V2518" t="s">
        <v>32</v>
      </c>
      <c r="W2518" t="s">
        <v>33</v>
      </c>
      <c r="X2518" s="4">
        <v>8.5</v>
      </c>
      <c r="Y2518">
        <v>3</v>
      </c>
      <c r="Z2518" s="5">
        <v>371.23</v>
      </c>
    </row>
    <row r="2519" spans="1:26">
      <c r="A2519">
        <v>2518</v>
      </c>
      <c r="B2519">
        <v>827</v>
      </c>
      <c r="C2519" s="2">
        <v>46144</v>
      </c>
      <c r="D2519" t="s">
        <v>40</v>
      </c>
      <c r="E2519">
        <v>5</v>
      </c>
      <c r="F2519" s="3">
        <v>10.79</v>
      </c>
      <c r="G2519" t="s">
        <v>27</v>
      </c>
      <c r="H2519">
        <v>52</v>
      </c>
      <c r="I2519" t="s">
        <v>28</v>
      </c>
      <c r="J2519" s="4">
        <v>68.5</v>
      </c>
      <c r="K2519" s="4">
        <v>142.80000000000001</v>
      </c>
      <c r="L2519" s="4">
        <v>21.4</v>
      </c>
      <c r="M2519">
        <v>17</v>
      </c>
      <c r="N2519" t="s">
        <v>47</v>
      </c>
      <c r="O2519">
        <v>4</v>
      </c>
      <c r="P2519" s="4">
        <v>46.6</v>
      </c>
      <c r="Q2519" t="s">
        <v>48</v>
      </c>
      <c r="R2519">
        <v>1</v>
      </c>
      <c r="S2519" t="s">
        <v>44</v>
      </c>
      <c r="T2519">
        <v>1</v>
      </c>
      <c r="U2519">
        <v>1</v>
      </c>
      <c r="V2519" t="s">
        <v>32</v>
      </c>
      <c r="W2519" t="s">
        <v>33</v>
      </c>
      <c r="X2519" s="4">
        <v>6.9</v>
      </c>
      <c r="Y2519">
        <v>11</v>
      </c>
      <c r="Z2519" s="5">
        <v>224.85</v>
      </c>
    </row>
    <row r="2520" spans="1:26">
      <c r="A2520">
        <v>2519</v>
      </c>
      <c r="B2520">
        <v>828</v>
      </c>
      <c r="C2520" s="2">
        <v>46146</v>
      </c>
      <c r="D2520" t="s">
        <v>46</v>
      </c>
      <c r="E2520">
        <v>5</v>
      </c>
      <c r="F2520" s="3">
        <v>13.4</v>
      </c>
      <c r="G2520" t="s">
        <v>36</v>
      </c>
      <c r="H2520">
        <v>7</v>
      </c>
      <c r="I2520" t="s">
        <v>28</v>
      </c>
      <c r="J2520" s="4">
        <v>70</v>
      </c>
      <c r="K2520" s="4">
        <v>110.2</v>
      </c>
      <c r="L2520" s="4">
        <v>15.9</v>
      </c>
      <c r="M2520">
        <v>13</v>
      </c>
      <c r="N2520" t="s">
        <v>37</v>
      </c>
      <c r="O2520">
        <v>1</v>
      </c>
      <c r="P2520" s="4">
        <v>1216.8</v>
      </c>
      <c r="Q2520" t="s">
        <v>42</v>
      </c>
      <c r="R2520">
        <v>0</v>
      </c>
      <c r="S2520" t="s">
        <v>44</v>
      </c>
      <c r="T2520">
        <v>0</v>
      </c>
      <c r="U2520">
        <v>0</v>
      </c>
      <c r="V2520" t="s">
        <v>32</v>
      </c>
      <c r="W2520" t="s">
        <v>49</v>
      </c>
      <c r="X2520" s="4">
        <v>5.8</v>
      </c>
      <c r="Y2520">
        <v>8</v>
      </c>
      <c r="Z2520" s="5">
        <v>151.22</v>
      </c>
    </row>
    <row r="2521" spans="1:26">
      <c r="A2521">
        <v>2520</v>
      </c>
      <c r="B2521">
        <v>829</v>
      </c>
      <c r="C2521" s="2">
        <v>46342</v>
      </c>
      <c r="D2521" t="s">
        <v>46</v>
      </c>
      <c r="E2521">
        <v>11</v>
      </c>
      <c r="F2521" s="3">
        <v>10.01</v>
      </c>
      <c r="G2521" t="s">
        <v>27</v>
      </c>
      <c r="H2521">
        <v>29</v>
      </c>
      <c r="I2521" t="s">
        <v>34</v>
      </c>
      <c r="J2521" s="4">
        <v>62.8</v>
      </c>
      <c r="K2521" s="4">
        <v>144</v>
      </c>
      <c r="L2521" s="4">
        <v>25.7</v>
      </c>
      <c r="M2521">
        <v>13</v>
      </c>
      <c r="N2521" t="s">
        <v>60</v>
      </c>
      <c r="O2521">
        <v>2</v>
      </c>
      <c r="P2521" s="4">
        <v>1788.5</v>
      </c>
      <c r="Q2521" t="s">
        <v>30</v>
      </c>
      <c r="R2521">
        <v>1</v>
      </c>
      <c r="S2521" t="s">
        <v>44</v>
      </c>
      <c r="T2521">
        <v>0</v>
      </c>
      <c r="U2521">
        <v>0</v>
      </c>
      <c r="V2521" t="s">
        <v>32</v>
      </c>
      <c r="W2521" t="s">
        <v>39</v>
      </c>
      <c r="X2521" s="4">
        <v>6.4</v>
      </c>
      <c r="Y2521">
        <v>8</v>
      </c>
      <c r="Z2521" s="5">
        <v>146.85</v>
      </c>
    </row>
    <row r="2522" spans="1:26">
      <c r="A2522">
        <v>2521</v>
      </c>
      <c r="B2522">
        <v>829</v>
      </c>
      <c r="C2522" s="2">
        <v>46342</v>
      </c>
      <c r="D2522" t="s">
        <v>46</v>
      </c>
      <c r="E2522">
        <v>11</v>
      </c>
      <c r="F2522" s="3">
        <v>10</v>
      </c>
      <c r="G2522" t="s">
        <v>27</v>
      </c>
      <c r="H2522">
        <v>49</v>
      </c>
      <c r="I2522" t="s">
        <v>28</v>
      </c>
      <c r="J2522" s="4">
        <v>64.900000000000006</v>
      </c>
      <c r="K2522" s="4">
        <v>113.5</v>
      </c>
      <c r="L2522" s="4">
        <v>19.100000000000001</v>
      </c>
      <c r="M2522">
        <v>14</v>
      </c>
      <c r="N2522" t="s">
        <v>60</v>
      </c>
      <c r="O2522">
        <v>2</v>
      </c>
      <c r="P2522" s="4">
        <v>1788.5</v>
      </c>
      <c r="Q2522" t="s">
        <v>30</v>
      </c>
      <c r="R2522">
        <v>1</v>
      </c>
      <c r="S2522" t="s">
        <v>44</v>
      </c>
      <c r="T2522">
        <v>0</v>
      </c>
      <c r="U2522">
        <v>0</v>
      </c>
      <c r="V2522" t="s">
        <v>32</v>
      </c>
      <c r="W2522" t="s">
        <v>39</v>
      </c>
      <c r="X2522" s="4">
        <v>9.5</v>
      </c>
      <c r="Y2522">
        <v>6</v>
      </c>
      <c r="Z2522" s="5">
        <v>155.61000000000001</v>
      </c>
    </row>
    <row r="2523" spans="1:26">
      <c r="A2523">
        <v>2522</v>
      </c>
      <c r="B2523">
        <v>830</v>
      </c>
      <c r="C2523" s="2">
        <v>46356</v>
      </c>
      <c r="D2523" t="s">
        <v>46</v>
      </c>
      <c r="E2523">
        <v>11</v>
      </c>
      <c r="F2523" s="3">
        <v>10.99</v>
      </c>
      <c r="G2523" t="s">
        <v>27</v>
      </c>
      <c r="H2523">
        <v>69</v>
      </c>
      <c r="I2523" t="s">
        <v>28</v>
      </c>
      <c r="J2523" s="4">
        <v>71.400000000000006</v>
      </c>
      <c r="K2523" s="4">
        <v>206.5</v>
      </c>
      <c r="L2523" s="4">
        <v>28.5</v>
      </c>
      <c r="M2523">
        <v>13</v>
      </c>
      <c r="N2523" t="s">
        <v>47</v>
      </c>
      <c r="O2523">
        <v>2</v>
      </c>
      <c r="P2523" s="4">
        <v>51.5</v>
      </c>
      <c r="Q2523" t="s">
        <v>30</v>
      </c>
      <c r="R2523">
        <v>0</v>
      </c>
      <c r="S2523" t="s">
        <v>31</v>
      </c>
      <c r="T2523">
        <v>0</v>
      </c>
      <c r="U2523">
        <v>0</v>
      </c>
      <c r="V2523" t="s">
        <v>32</v>
      </c>
      <c r="W2523" t="s">
        <v>43</v>
      </c>
      <c r="X2523" s="4">
        <v>8.1999999999999993</v>
      </c>
      <c r="Y2523">
        <v>4</v>
      </c>
      <c r="Z2523" s="5">
        <v>160.77000000000001</v>
      </c>
    </row>
    <row r="2524" spans="1:26">
      <c r="A2524">
        <v>2523</v>
      </c>
      <c r="B2524">
        <v>830</v>
      </c>
      <c r="C2524" s="2">
        <v>46356</v>
      </c>
      <c r="D2524" t="s">
        <v>46</v>
      </c>
      <c r="E2524">
        <v>11</v>
      </c>
      <c r="F2524" s="3">
        <v>11.02</v>
      </c>
      <c r="G2524" t="s">
        <v>36</v>
      </c>
      <c r="H2524">
        <v>8</v>
      </c>
      <c r="I2524" t="s">
        <v>34</v>
      </c>
      <c r="J2524" s="4">
        <v>55.2</v>
      </c>
      <c r="K2524" s="4">
        <v>91.6</v>
      </c>
      <c r="L2524" s="4">
        <v>21.2</v>
      </c>
      <c r="M2524">
        <v>12</v>
      </c>
      <c r="N2524" t="s">
        <v>47</v>
      </c>
      <c r="O2524">
        <v>2</v>
      </c>
      <c r="P2524" s="4">
        <v>51.5</v>
      </c>
      <c r="Q2524" t="s">
        <v>30</v>
      </c>
      <c r="R2524">
        <v>0</v>
      </c>
      <c r="S2524" t="s">
        <v>31</v>
      </c>
      <c r="T2524">
        <v>0</v>
      </c>
      <c r="U2524">
        <v>0</v>
      </c>
      <c r="V2524" t="s">
        <v>32</v>
      </c>
      <c r="W2524" t="s">
        <v>43</v>
      </c>
      <c r="X2524" s="4">
        <v>6</v>
      </c>
      <c r="Y2524">
        <v>7</v>
      </c>
      <c r="Z2524" s="5">
        <v>156.31</v>
      </c>
    </row>
    <row r="2525" spans="1:26">
      <c r="A2525">
        <v>2524</v>
      </c>
      <c r="B2525">
        <v>831</v>
      </c>
      <c r="C2525" s="2">
        <v>46071</v>
      </c>
      <c r="D2525" t="s">
        <v>52</v>
      </c>
      <c r="E2525">
        <v>2</v>
      </c>
      <c r="F2525" s="3">
        <v>7.51</v>
      </c>
      <c r="G2525" t="s">
        <v>27</v>
      </c>
      <c r="H2525">
        <v>53</v>
      </c>
      <c r="I2525" t="s">
        <v>34</v>
      </c>
      <c r="J2525" s="4">
        <v>60.4</v>
      </c>
      <c r="K2525" s="4">
        <v>181.7</v>
      </c>
      <c r="L2525" s="4">
        <v>34.6</v>
      </c>
      <c r="M2525">
        <v>15</v>
      </c>
      <c r="N2525" t="s">
        <v>56</v>
      </c>
      <c r="O2525">
        <v>3</v>
      </c>
      <c r="P2525" s="4">
        <v>422.2</v>
      </c>
      <c r="Q2525" t="s">
        <v>42</v>
      </c>
      <c r="R2525">
        <v>0</v>
      </c>
      <c r="S2525" t="s">
        <v>44</v>
      </c>
      <c r="T2525">
        <v>0</v>
      </c>
      <c r="U2525">
        <v>0</v>
      </c>
      <c r="V2525" t="s">
        <v>32</v>
      </c>
      <c r="W2525" t="s">
        <v>43</v>
      </c>
      <c r="X2525" s="4">
        <v>7.2</v>
      </c>
      <c r="Y2525">
        <v>6</v>
      </c>
      <c r="Z2525" s="5">
        <v>120.97</v>
      </c>
    </row>
    <row r="2526" spans="1:26">
      <c r="A2526">
        <v>2525</v>
      </c>
      <c r="B2526">
        <v>831</v>
      </c>
      <c r="C2526" s="2">
        <v>46071</v>
      </c>
      <c r="D2526" t="s">
        <v>52</v>
      </c>
      <c r="E2526">
        <v>2</v>
      </c>
      <c r="F2526" s="3">
        <v>7.48</v>
      </c>
      <c r="G2526" t="s">
        <v>27</v>
      </c>
      <c r="H2526">
        <v>38</v>
      </c>
      <c r="I2526" t="s">
        <v>28</v>
      </c>
      <c r="J2526" s="4">
        <v>71.2</v>
      </c>
      <c r="K2526" s="4">
        <v>201.1</v>
      </c>
      <c r="L2526" s="4">
        <v>27.7</v>
      </c>
      <c r="M2526">
        <v>15</v>
      </c>
      <c r="N2526" t="s">
        <v>56</v>
      </c>
      <c r="O2526">
        <v>3</v>
      </c>
      <c r="P2526" s="4">
        <v>422.2</v>
      </c>
      <c r="Q2526" t="s">
        <v>42</v>
      </c>
      <c r="R2526">
        <v>0</v>
      </c>
      <c r="S2526" t="s">
        <v>44</v>
      </c>
      <c r="T2526">
        <v>0</v>
      </c>
      <c r="U2526">
        <v>0</v>
      </c>
      <c r="V2526" t="s">
        <v>32</v>
      </c>
      <c r="W2526" t="s">
        <v>43</v>
      </c>
      <c r="X2526" s="4">
        <v>8.5</v>
      </c>
      <c r="Y2526">
        <v>7</v>
      </c>
      <c r="Z2526" s="5">
        <v>165.41</v>
      </c>
    </row>
    <row r="2527" spans="1:26">
      <c r="A2527">
        <v>2526</v>
      </c>
      <c r="B2527">
        <v>831</v>
      </c>
      <c r="C2527" s="2">
        <v>46071</v>
      </c>
      <c r="D2527" t="s">
        <v>52</v>
      </c>
      <c r="E2527">
        <v>2</v>
      </c>
      <c r="F2527" s="3">
        <v>7.74</v>
      </c>
      <c r="G2527" t="s">
        <v>27</v>
      </c>
      <c r="H2527">
        <v>77</v>
      </c>
      <c r="I2527" t="s">
        <v>34</v>
      </c>
      <c r="J2527" s="4">
        <v>68.5</v>
      </c>
      <c r="K2527" s="4">
        <v>204.7</v>
      </c>
      <c r="L2527" s="4">
        <v>30.5</v>
      </c>
      <c r="M2527">
        <v>18</v>
      </c>
      <c r="N2527" t="s">
        <v>56</v>
      </c>
      <c r="O2527">
        <v>3</v>
      </c>
      <c r="P2527" s="4">
        <v>422.2</v>
      </c>
      <c r="Q2527" t="s">
        <v>42</v>
      </c>
      <c r="R2527">
        <v>0</v>
      </c>
      <c r="S2527" t="s">
        <v>44</v>
      </c>
      <c r="T2527">
        <v>0</v>
      </c>
      <c r="U2527">
        <v>0</v>
      </c>
      <c r="V2527" t="s">
        <v>32</v>
      </c>
      <c r="W2527" t="s">
        <v>43</v>
      </c>
      <c r="X2527" s="4">
        <v>9.1999999999999993</v>
      </c>
      <c r="Y2527">
        <v>7</v>
      </c>
      <c r="Z2527" s="5">
        <v>303.63</v>
      </c>
    </row>
    <row r="2528" spans="1:26">
      <c r="A2528">
        <v>2527</v>
      </c>
      <c r="B2528">
        <v>832</v>
      </c>
      <c r="C2528" s="2">
        <v>46371</v>
      </c>
      <c r="D2528" t="s">
        <v>35</v>
      </c>
      <c r="E2528">
        <v>12</v>
      </c>
      <c r="F2528" s="3">
        <v>10.99</v>
      </c>
      <c r="G2528" t="s">
        <v>27</v>
      </c>
      <c r="H2528">
        <v>63</v>
      </c>
      <c r="I2528" t="s">
        <v>28</v>
      </c>
      <c r="J2528" s="4">
        <v>69.900000000000006</v>
      </c>
      <c r="K2528" s="4">
        <v>199.6</v>
      </c>
      <c r="L2528" s="4">
        <v>28.9</v>
      </c>
      <c r="M2528">
        <v>18</v>
      </c>
      <c r="N2528" t="s">
        <v>60</v>
      </c>
      <c r="O2528">
        <v>2</v>
      </c>
      <c r="P2528" s="4">
        <v>1149.0999999999999</v>
      </c>
      <c r="Q2528" t="s">
        <v>42</v>
      </c>
      <c r="R2528">
        <v>1</v>
      </c>
      <c r="S2528" t="s">
        <v>44</v>
      </c>
      <c r="T2528">
        <v>0</v>
      </c>
      <c r="U2528">
        <v>0</v>
      </c>
      <c r="V2528" t="s">
        <v>32</v>
      </c>
      <c r="W2528" t="s">
        <v>39</v>
      </c>
      <c r="X2528" s="4">
        <v>5.9</v>
      </c>
      <c r="Y2528">
        <v>4</v>
      </c>
      <c r="Z2528" s="5">
        <v>131.52000000000001</v>
      </c>
    </row>
    <row r="2529" spans="1:26">
      <c r="A2529">
        <v>2528</v>
      </c>
      <c r="B2529">
        <v>832</v>
      </c>
      <c r="C2529" s="2">
        <v>46371</v>
      </c>
      <c r="D2529" t="s">
        <v>35</v>
      </c>
      <c r="E2529">
        <v>12</v>
      </c>
      <c r="F2529" s="3">
        <v>11.21</v>
      </c>
      <c r="G2529" t="s">
        <v>36</v>
      </c>
      <c r="H2529">
        <v>34</v>
      </c>
      <c r="I2529" t="s">
        <v>28</v>
      </c>
      <c r="J2529" s="4">
        <v>68.5</v>
      </c>
      <c r="K2529" s="4">
        <v>229.4</v>
      </c>
      <c r="L2529" s="4">
        <v>34.5</v>
      </c>
      <c r="M2529">
        <v>15</v>
      </c>
      <c r="N2529" t="s">
        <v>60</v>
      </c>
      <c r="O2529">
        <v>2</v>
      </c>
      <c r="P2529" s="4">
        <v>1149.0999999999999</v>
      </c>
      <c r="Q2529" t="s">
        <v>42</v>
      </c>
      <c r="R2529">
        <v>1</v>
      </c>
      <c r="S2529" t="s">
        <v>44</v>
      </c>
      <c r="T2529">
        <v>0</v>
      </c>
      <c r="U2529">
        <v>0</v>
      </c>
      <c r="V2529" t="s">
        <v>32</v>
      </c>
      <c r="W2529" t="s">
        <v>39</v>
      </c>
      <c r="X2529" s="4">
        <v>9.9</v>
      </c>
      <c r="Y2529">
        <v>7</v>
      </c>
      <c r="Z2529" s="5">
        <v>289.08999999999997</v>
      </c>
    </row>
    <row r="2530" spans="1:26">
      <c r="A2530">
        <v>2529</v>
      </c>
      <c r="B2530">
        <v>833</v>
      </c>
      <c r="C2530" s="2">
        <v>46164</v>
      </c>
      <c r="D2530" t="s">
        <v>26</v>
      </c>
      <c r="E2530">
        <v>5</v>
      </c>
      <c r="F2530" s="3">
        <v>9.44</v>
      </c>
      <c r="G2530" t="s">
        <v>27</v>
      </c>
      <c r="H2530">
        <v>49</v>
      </c>
      <c r="I2530" t="s">
        <v>34</v>
      </c>
      <c r="J2530" s="4">
        <v>64</v>
      </c>
      <c r="K2530" s="4">
        <v>107.1</v>
      </c>
      <c r="L2530" s="4">
        <v>18.399999999999999</v>
      </c>
      <c r="M2530">
        <v>15</v>
      </c>
      <c r="N2530" t="s">
        <v>47</v>
      </c>
      <c r="O2530">
        <v>3</v>
      </c>
      <c r="P2530" s="4">
        <v>75.599999999999994</v>
      </c>
      <c r="Q2530" t="s">
        <v>30</v>
      </c>
      <c r="R2530">
        <v>1</v>
      </c>
      <c r="S2530" t="s">
        <v>38</v>
      </c>
      <c r="T2530">
        <v>1</v>
      </c>
      <c r="U2530">
        <v>1</v>
      </c>
      <c r="V2530" t="s">
        <v>45</v>
      </c>
      <c r="W2530" t="s">
        <v>33</v>
      </c>
      <c r="X2530" s="4">
        <v>12</v>
      </c>
      <c r="Y2530">
        <v>15</v>
      </c>
      <c r="Z2530" s="5">
        <v>296.02</v>
      </c>
    </row>
    <row r="2531" spans="1:26">
      <c r="A2531">
        <v>2530</v>
      </c>
      <c r="B2531">
        <v>833</v>
      </c>
      <c r="C2531" s="2">
        <v>46164</v>
      </c>
      <c r="D2531" t="s">
        <v>26</v>
      </c>
      <c r="E2531">
        <v>5</v>
      </c>
      <c r="F2531" s="3">
        <v>9.5500000000000007</v>
      </c>
      <c r="G2531" t="s">
        <v>27</v>
      </c>
      <c r="H2531">
        <v>63</v>
      </c>
      <c r="I2531" t="s">
        <v>34</v>
      </c>
      <c r="J2531" s="4">
        <v>61.8</v>
      </c>
      <c r="K2531" s="4">
        <v>166.2</v>
      </c>
      <c r="L2531" s="4">
        <v>30.3</v>
      </c>
      <c r="M2531">
        <v>12</v>
      </c>
      <c r="N2531" t="s">
        <v>47</v>
      </c>
      <c r="O2531">
        <v>3</v>
      </c>
      <c r="P2531" s="4">
        <v>75.599999999999994</v>
      </c>
      <c r="Q2531" t="s">
        <v>30</v>
      </c>
      <c r="R2531">
        <v>1</v>
      </c>
      <c r="S2531" t="s">
        <v>38</v>
      </c>
      <c r="T2531">
        <v>1</v>
      </c>
      <c r="U2531">
        <v>1</v>
      </c>
      <c r="V2531" t="s">
        <v>45</v>
      </c>
      <c r="W2531" t="s">
        <v>33</v>
      </c>
      <c r="X2531" s="4">
        <v>11.1</v>
      </c>
      <c r="Y2531">
        <v>17</v>
      </c>
      <c r="Z2531" s="5">
        <v>173.8</v>
      </c>
    </row>
    <row r="2532" spans="1:26">
      <c r="A2532">
        <v>2531</v>
      </c>
      <c r="B2532">
        <v>833</v>
      </c>
      <c r="C2532" s="2">
        <v>46164</v>
      </c>
      <c r="D2532" t="s">
        <v>26</v>
      </c>
      <c r="E2532">
        <v>5</v>
      </c>
      <c r="F2532" s="3">
        <v>9.5500000000000007</v>
      </c>
      <c r="G2532" t="s">
        <v>27</v>
      </c>
      <c r="H2532">
        <v>48</v>
      </c>
      <c r="I2532" t="s">
        <v>34</v>
      </c>
      <c r="J2532" s="4">
        <v>65.599999999999994</v>
      </c>
      <c r="K2532" s="4">
        <v>137.5</v>
      </c>
      <c r="L2532" s="4">
        <v>22.4</v>
      </c>
      <c r="M2532">
        <v>16</v>
      </c>
      <c r="N2532" t="s">
        <v>47</v>
      </c>
      <c r="O2532">
        <v>3</v>
      </c>
      <c r="P2532" s="4">
        <v>75.599999999999994</v>
      </c>
      <c r="Q2532" t="s">
        <v>30</v>
      </c>
      <c r="R2532">
        <v>1</v>
      </c>
      <c r="S2532" t="s">
        <v>38</v>
      </c>
      <c r="T2532">
        <v>1</v>
      </c>
      <c r="U2532">
        <v>1</v>
      </c>
      <c r="V2532" t="s">
        <v>45</v>
      </c>
      <c r="W2532" t="s">
        <v>33</v>
      </c>
      <c r="X2532" s="4">
        <v>9.4</v>
      </c>
      <c r="Y2532">
        <v>9</v>
      </c>
      <c r="Z2532" s="5">
        <v>239.63</v>
      </c>
    </row>
    <row r="2533" spans="1:26">
      <c r="A2533">
        <v>2532</v>
      </c>
      <c r="B2533">
        <v>834</v>
      </c>
      <c r="C2533" s="2">
        <v>46186</v>
      </c>
      <c r="D2533" t="s">
        <v>40</v>
      </c>
      <c r="E2533">
        <v>6</v>
      </c>
      <c r="F2533" s="3">
        <v>10.62</v>
      </c>
      <c r="G2533" t="s">
        <v>27</v>
      </c>
      <c r="H2533">
        <v>31</v>
      </c>
      <c r="I2533" t="s">
        <v>28</v>
      </c>
      <c r="J2533" s="4">
        <v>71.5</v>
      </c>
      <c r="K2533" s="4">
        <v>212.4</v>
      </c>
      <c r="L2533" s="4">
        <v>29.3</v>
      </c>
      <c r="M2533">
        <v>14</v>
      </c>
      <c r="N2533" t="s">
        <v>47</v>
      </c>
      <c r="O2533">
        <v>2</v>
      </c>
      <c r="P2533" s="4">
        <v>104.7</v>
      </c>
      <c r="Q2533" t="s">
        <v>48</v>
      </c>
      <c r="R2533">
        <v>0</v>
      </c>
      <c r="S2533" t="s">
        <v>44</v>
      </c>
      <c r="T2533">
        <v>0</v>
      </c>
      <c r="U2533">
        <v>1</v>
      </c>
      <c r="V2533" t="s">
        <v>32</v>
      </c>
      <c r="W2533" t="s">
        <v>33</v>
      </c>
      <c r="X2533" s="4">
        <v>9.6</v>
      </c>
      <c r="Y2533">
        <v>5</v>
      </c>
      <c r="Z2533" s="5">
        <v>229.37</v>
      </c>
    </row>
    <row r="2534" spans="1:26">
      <c r="A2534">
        <v>2533</v>
      </c>
      <c r="B2534">
        <v>834</v>
      </c>
      <c r="C2534" s="2">
        <v>46186</v>
      </c>
      <c r="D2534" t="s">
        <v>40</v>
      </c>
      <c r="E2534">
        <v>6</v>
      </c>
      <c r="F2534" s="3">
        <v>10.47</v>
      </c>
      <c r="G2534" t="s">
        <v>27</v>
      </c>
      <c r="H2534">
        <v>40</v>
      </c>
      <c r="I2534" t="s">
        <v>34</v>
      </c>
      <c r="J2534" s="4">
        <v>66.400000000000006</v>
      </c>
      <c r="K2534" s="4">
        <v>183.6</v>
      </c>
      <c r="L2534" s="4">
        <v>29.1</v>
      </c>
      <c r="M2534">
        <v>17</v>
      </c>
      <c r="N2534" t="s">
        <v>47</v>
      </c>
      <c r="O2534">
        <v>2</v>
      </c>
      <c r="P2534" s="4">
        <v>104.7</v>
      </c>
      <c r="Q2534" t="s">
        <v>48</v>
      </c>
      <c r="R2534">
        <v>0</v>
      </c>
      <c r="S2534" t="s">
        <v>44</v>
      </c>
      <c r="T2534">
        <v>0</v>
      </c>
      <c r="U2534">
        <v>1</v>
      </c>
      <c r="V2534" t="s">
        <v>32</v>
      </c>
      <c r="W2534" t="s">
        <v>33</v>
      </c>
      <c r="X2534" s="4">
        <v>7.9</v>
      </c>
      <c r="Y2534">
        <v>2</v>
      </c>
      <c r="Z2534" s="5">
        <v>219.56</v>
      </c>
    </row>
    <row r="2535" spans="1:26">
      <c r="A2535">
        <v>2534</v>
      </c>
      <c r="B2535">
        <v>835</v>
      </c>
      <c r="C2535" s="2">
        <v>46092</v>
      </c>
      <c r="D2535" t="s">
        <v>52</v>
      </c>
      <c r="E2535">
        <v>3</v>
      </c>
      <c r="F2535" s="3">
        <v>8.56</v>
      </c>
      <c r="G2535" t="s">
        <v>27</v>
      </c>
      <c r="H2535">
        <v>19</v>
      </c>
      <c r="I2535" t="s">
        <v>34</v>
      </c>
      <c r="J2535" s="4">
        <v>65.400000000000006</v>
      </c>
      <c r="K2535" s="4">
        <v>124.1</v>
      </c>
      <c r="L2535" s="4">
        <v>20.3</v>
      </c>
      <c r="M2535">
        <v>14</v>
      </c>
      <c r="N2535" t="s">
        <v>41</v>
      </c>
      <c r="O2535">
        <v>4</v>
      </c>
      <c r="P2535" s="4">
        <v>2718</v>
      </c>
      <c r="Q2535" t="s">
        <v>48</v>
      </c>
      <c r="R2535">
        <v>1</v>
      </c>
      <c r="S2535" t="s">
        <v>31</v>
      </c>
      <c r="T2535">
        <v>1</v>
      </c>
      <c r="U2535">
        <v>0</v>
      </c>
      <c r="V2535" t="s">
        <v>45</v>
      </c>
      <c r="W2535" t="s">
        <v>57</v>
      </c>
      <c r="X2535" s="4">
        <v>6.5</v>
      </c>
      <c r="Y2535">
        <v>5</v>
      </c>
      <c r="Z2535" s="5">
        <v>175.2</v>
      </c>
    </row>
    <row r="2536" spans="1:26">
      <c r="A2536">
        <v>2535</v>
      </c>
      <c r="B2536">
        <v>835</v>
      </c>
      <c r="C2536" s="2">
        <v>46092</v>
      </c>
      <c r="D2536" t="s">
        <v>52</v>
      </c>
      <c r="E2536">
        <v>3</v>
      </c>
      <c r="F2536" s="3">
        <v>8.6999999999999993</v>
      </c>
      <c r="G2536" t="s">
        <v>27</v>
      </c>
      <c r="H2536">
        <v>55</v>
      </c>
      <c r="I2536" t="s">
        <v>34</v>
      </c>
      <c r="J2536" s="4">
        <v>65.900000000000006</v>
      </c>
      <c r="K2536" s="4">
        <v>192.2</v>
      </c>
      <c r="L2536" s="4">
        <v>31.2</v>
      </c>
      <c r="M2536">
        <v>17</v>
      </c>
      <c r="N2536" t="s">
        <v>41</v>
      </c>
      <c r="O2536">
        <v>4</v>
      </c>
      <c r="P2536" s="4">
        <v>2718</v>
      </c>
      <c r="Q2536" t="s">
        <v>48</v>
      </c>
      <c r="R2536">
        <v>1</v>
      </c>
      <c r="S2536" t="s">
        <v>31</v>
      </c>
      <c r="T2536">
        <v>1</v>
      </c>
      <c r="U2536">
        <v>0</v>
      </c>
      <c r="V2536" t="s">
        <v>45</v>
      </c>
      <c r="W2536" t="s">
        <v>57</v>
      </c>
      <c r="X2536" s="4">
        <v>8.4</v>
      </c>
      <c r="Y2536">
        <v>5</v>
      </c>
      <c r="Z2536" s="5">
        <v>202.3</v>
      </c>
    </row>
    <row r="2537" spans="1:26">
      <c r="A2537">
        <v>2536</v>
      </c>
      <c r="B2537">
        <v>835</v>
      </c>
      <c r="C2537" s="2">
        <v>46092</v>
      </c>
      <c r="D2537" t="s">
        <v>52</v>
      </c>
      <c r="E2537">
        <v>3</v>
      </c>
      <c r="F2537" s="3">
        <v>8.44</v>
      </c>
      <c r="G2537" t="s">
        <v>27</v>
      </c>
      <c r="H2537">
        <v>64</v>
      </c>
      <c r="I2537" t="s">
        <v>34</v>
      </c>
      <c r="J2537" s="4">
        <v>59.6</v>
      </c>
      <c r="K2537" s="4">
        <v>124.1</v>
      </c>
      <c r="L2537" s="4">
        <v>24.6</v>
      </c>
      <c r="M2537">
        <v>16</v>
      </c>
      <c r="N2537" t="s">
        <v>41</v>
      </c>
      <c r="O2537">
        <v>4</v>
      </c>
      <c r="P2537" s="4">
        <v>2718</v>
      </c>
      <c r="Q2537" t="s">
        <v>48</v>
      </c>
      <c r="R2537">
        <v>1</v>
      </c>
      <c r="S2537" t="s">
        <v>31</v>
      </c>
      <c r="T2537">
        <v>1</v>
      </c>
      <c r="U2537">
        <v>0</v>
      </c>
      <c r="V2537" t="s">
        <v>45</v>
      </c>
      <c r="W2537" t="s">
        <v>57</v>
      </c>
      <c r="X2537" s="4">
        <v>8.1999999999999993</v>
      </c>
      <c r="Y2537">
        <v>9</v>
      </c>
      <c r="Z2537" s="5">
        <v>127.6</v>
      </c>
    </row>
    <row r="2538" spans="1:26">
      <c r="A2538">
        <v>2537</v>
      </c>
      <c r="B2538">
        <v>835</v>
      </c>
      <c r="C2538" s="2">
        <v>46092</v>
      </c>
      <c r="D2538" t="s">
        <v>52</v>
      </c>
      <c r="E2538">
        <v>3</v>
      </c>
      <c r="F2538" s="3">
        <v>8.5399999999999991</v>
      </c>
      <c r="G2538" t="s">
        <v>27</v>
      </c>
      <c r="H2538">
        <v>43</v>
      </c>
      <c r="I2538" t="s">
        <v>28</v>
      </c>
      <c r="J2538" s="4">
        <v>64.900000000000006</v>
      </c>
      <c r="K2538" s="4">
        <v>172.9</v>
      </c>
      <c r="L2538" s="4">
        <v>28.9</v>
      </c>
      <c r="M2538">
        <v>16</v>
      </c>
      <c r="N2538" t="s">
        <v>41</v>
      </c>
      <c r="O2538">
        <v>4</v>
      </c>
      <c r="P2538" s="4">
        <v>2718</v>
      </c>
      <c r="Q2538" t="s">
        <v>48</v>
      </c>
      <c r="R2538">
        <v>1</v>
      </c>
      <c r="S2538" t="s">
        <v>31</v>
      </c>
      <c r="T2538">
        <v>1</v>
      </c>
      <c r="U2538">
        <v>0</v>
      </c>
      <c r="V2538" t="s">
        <v>45</v>
      </c>
      <c r="W2538" t="s">
        <v>57</v>
      </c>
      <c r="X2538" s="4">
        <v>8.6999999999999993</v>
      </c>
      <c r="Y2538">
        <v>9</v>
      </c>
      <c r="Z2538" s="5">
        <v>213.37</v>
      </c>
    </row>
    <row r="2539" spans="1:26">
      <c r="A2539">
        <v>2538</v>
      </c>
      <c r="B2539">
        <v>836</v>
      </c>
      <c r="C2539" s="2">
        <v>46380</v>
      </c>
      <c r="D2539" t="s">
        <v>55</v>
      </c>
      <c r="E2539">
        <v>12</v>
      </c>
      <c r="F2539" s="3">
        <v>9.0399999999999991</v>
      </c>
      <c r="G2539" t="s">
        <v>27</v>
      </c>
      <c r="H2539">
        <v>49</v>
      </c>
      <c r="I2539" t="s">
        <v>34</v>
      </c>
      <c r="J2539" s="4">
        <v>65.599999999999994</v>
      </c>
      <c r="K2539" s="4">
        <v>169.4</v>
      </c>
      <c r="L2539" s="4">
        <v>27.7</v>
      </c>
      <c r="M2539">
        <v>15</v>
      </c>
      <c r="N2539" t="s">
        <v>56</v>
      </c>
      <c r="O2539">
        <v>6</v>
      </c>
      <c r="P2539" s="4">
        <v>175.4</v>
      </c>
      <c r="Q2539" t="s">
        <v>30</v>
      </c>
      <c r="R2539">
        <v>1</v>
      </c>
      <c r="S2539" t="s">
        <v>31</v>
      </c>
      <c r="T2539">
        <v>0</v>
      </c>
      <c r="U2539">
        <v>0</v>
      </c>
      <c r="V2539" t="s">
        <v>32</v>
      </c>
      <c r="W2539" t="s">
        <v>49</v>
      </c>
      <c r="X2539" s="4">
        <v>7.6</v>
      </c>
      <c r="Y2539">
        <v>3</v>
      </c>
      <c r="Z2539" s="5">
        <v>113.82</v>
      </c>
    </row>
    <row r="2540" spans="1:26">
      <c r="A2540">
        <v>2539</v>
      </c>
      <c r="B2540">
        <v>836</v>
      </c>
      <c r="C2540" s="2">
        <v>46380</v>
      </c>
      <c r="D2540" t="s">
        <v>55</v>
      </c>
      <c r="E2540">
        <v>12</v>
      </c>
      <c r="F2540" s="3">
        <v>9.11</v>
      </c>
      <c r="G2540" t="s">
        <v>27</v>
      </c>
      <c r="H2540">
        <v>12</v>
      </c>
      <c r="I2540" t="s">
        <v>34</v>
      </c>
      <c r="J2540" s="4">
        <v>62.6</v>
      </c>
      <c r="K2540" s="4">
        <v>105.5</v>
      </c>
      <c r="L2540" s="4">
        <v>19.2</v>
      </c>
      <c r="M2540">
        <v>8</v>
      </c>
      <c r="N2540" t="s">
        <v>56</v>
      </c>
      <c r="O2540">
        <v>6</v>
      </c>
      <c r="P2540" s="4">
        <v>175.4</v>
      </c>
      <c r="Q2540" t="s">
        <v>30</v>
      </c>
      <c r="R2540">
        <v>1</v>
      </c>
      <c r="S2540" t="s">
        <v>31</v>
      </c>
      <c r="T2540">
        <v>0</v>
      </c>
      <c r="U2540">
        <v>0</v>
      </c>
      <c r="V2540" t="s">
        <v>32</v>
      </c>
      <c r="W2540" t="s">
        <v>49</v>
      </c>
      <c r="X2540" s="4">
        <v>6.3</v>
      </c>
      <c r="Y2540">
        <v>8</v>
      </c>
      <c r="Z2540" s="5">
        <v>144.58000000000001</v>
      </c>
    </row>
    <row r="2541" spans="1:26">
      <c r="A2541">
        <v>2540</v>
      </c>
      <c r="B2541">
        <v>836</v>
      </c>
      <c r="C2541" s="2">
        <v>46380</v>
      </c>
      <c r="D2541" t="s">
        <v>55</v>
      </c>
      <c r="E2541">
        <v>12</v>
      </c>
      <c r="F2541" s="3">
        <v>9.17</v>
      </c>
      <c r="G2541" t="s">
        <v>27</v>
      </c>
      <c r="H2541">
        <v>17</v>
      </c>
      <c r="I2541" t="s">
        <v>34</v>
      </c>
      <c r="J2541" s="4">
        <v>70</v>
      </c>
      <c r="K2541" s="4">
        <v>180.8</v>
      </c>
      <c r="L2541" s="4">
        <v>26.2</v>
      </c>
      <c r="M2541">
        <v>14</v>
      </c>
      <c r="N2541" t="s">
        <v>56</v>
      </c>
      <c r="O2541">
        <v>6</v>
      </c>
      <c r="P2541" s="4">
        <v>175.4</v>
      </c>
      <c r="Q2541" t="s">
        <v>30</v>
      </c>
      <c r="R2541">
        <v>1</v>
      </c>
      <c r="S2541" t="s">
        <v>31</v>
      </c>
      <c r="T2541">
        <v>0</v>
      </c>
      <c r="U2541">
        <v>0</v>
      </c>
      <c r="V2541" t="s">
        <v>32</v>
      </c>
      <c r="W2541" t="s">
        <v>49</v>
      </c>
      <c r="X2541" s="4">
        <v>10</v>
      </c>
      <c r="Y2541">
        <v>10</v>
      </c>
      <c r="Z2541" s="5">
        <v>230.31</v>
      </c>
    </row>
    <row r="2542" spans="1:26">
      <c r="A2542">
        <v>2541</v>
      </c>
      <c r="B2542">
        <v>836</v>
      </c>
      <c r="C2542" s="2">
        <v>46380</v>
      </c>
      <c r="D2542" t="s">
        <v>55</v>
      </c>
      <c r="E2542">
        <v>12</v>
      </c>
      <c r="F2542" s="3">
        <v>9.1</v>
      </c>
      <c r="G2542" t="s">
        <v>27</v>
      </c>
      <c r="H2542">
        <v>11</v>
      </c>
      <c r="I2542" t="s">
        <v>28</v>
      </c>
      <c r="J2542" s="4">
        <v>66.3</v>
      </c>
      <c r="K2542" s="4">
        <v>130.6</v>
      </c>
      <c r="L2542" s="4">
        <v>20.8</v>
      </c>
      <c r="M2542">
        <v>13</v>
      </c>
      <c r="N2542" t="s">
        <v>56</v>
      </c>
      <c r="O2542">
        <v>6</v>
      </c>
      <c r="P2542" s="4">
        <v>175.4</v>
      </c>
      <c r="Q2542" t="s">
        <v>30</v>
      </c>
      <c r="R2542">
        <v>1</v>
      </c>
      <c r="S2542" t="s">
        <v>31</v>
      </c>
      <c r="T2542">
        <v>0</v>
      </c>
      <c r="U2542">
        <v>0</v>
      </c>
      <c r="V2542" t="s">
        <v>32</v>
      </c>
      <c r="W2542" t="s">
        <v>49</v>
      </c>
      <c r="X2542" s="4">
        <v>9.5</v>
      </c>
      <c r="Y2542">
        <v>5</v>
      </c>
      <c r="Z2542" s="5">
        <v>118.88</v>
      </c>
    </row>
    <row r="2543" spans="1:26">
      <c r="A2543">
        <v>2542</v>
      </c>
      <c r="B2543">
        <v>836</v>
      </c>
      <c r="C2543" s="2">
        <v>46380</v>
      </c>
      <c r="D2543" t="s">
        <v>55</v>
      </c>
      <c r="E2543">
        <v>12</v>
      </c>
      <c r="F2543" s="3">
        <v>9.27</v>
      </c>
      <c r="G2543" t="s">
        <v>27</v>
      </c>
      <c r="H2543">
        <v>50</v>
      </c>
      <c r="I2543" t="s">
        <v>28</v>
      </c>
      <c r="J2543" s="4">
        <v>70.599999999999994</v>
      </c>
      <c r="K2543" s="4">
        <v>160.69999999999999</v>
      </c>
      <c r="L2543" s="4">
        <v>22.4</v>
      </c>
      <c r="M2543">
        <v>12</v>
      </c>
      <c r="N2543" t="s">
        <v>56</v>
      </c>
      <c r="O2543">
        <v>6</v>
      </c>
      <c r="P2543" s="4">
        <v>175.4</v>
      </c>
      <c r="Q2543" t="s">
        <v>30</v>
      </c>
      <c r="R2543">
        <v>1</v>
      </c>
      <c r="S2543" t="s">
        <v>31</v>
      </c>
      <c r="T2543">
        <v>0</v>
      </c>
      <c r="U2543">
        <v>0</v>
      </c>
      <c r="V2543" t="s">
        <v>32</v>
      </c>
      <c r="W2543" t="s">
        <v>49</v>
      </c>
      <c r="X2543" s="4">
        <v>7.9</v>
      </c>
      <c r="Y2543">
        <v>8</v>
      </c>
      <c r="Z2543" s="5">
        <v>168.2</v>
      </c>
    </row>
    <row r="2544" spans="1:26">
      <c r="A2544">
        <v>2543</v>
      </c>
      <c r="B2544">
        <v>836</v>
      </c>
      <c r="C2544" s="2">
        <v>46380</v>
      </c>
      <c r="D2544" t="s">
        <v>55</v>
      </c>
      <c r="E2544">
        <v>12</v>
      </c>
      <c r="F2544" s="3">
        <v>9.07</v>
      </c>
      <c r="G2544" t="s">
        <v>27</v>
      </c>
      <c r="H2544">
        <v>38</v>
      </c>
      <c r="I2544" t="s">
        <v>51</v>
      </c>
      <c r="J2544" s="4">
        <v>65.900000000000006</v>
      </c>
      <c r="K2544" s="4">
        <v>197.1</v>
      </c>
      <c r="L2544" s="4">
        <v>32.1</v>
      </c>
      <c r="M2544">
        <v>15</v>
      </c>
      <c r="N2544" t="s">
        <v>56</v>
      </c>
      <c r="O2544">
        <v>6</v>
      </c>
      <c r="P2544" s="4">
        <v>175.4</v>
      </c>
      <c r="Q2544" t="s">
        <v>30</v>
      </c>
      <c r="R2544">
        <v>1</v>
      </c>
      <c r="S2544" t="s">
        <v>31</v>
      </c>
      <c r="T2544">
        <v>0</v>
      </c>
      <c r="U2544">
        <v>0</v>
      </c>
      <c r="V2544" t="s">
        <v>32</v>
      </c>
      <c r="W2544" t="s">
        <v>49</v>
      </c>
      <c r="X2544" s="4">
        <v>8.1</v>
      </c>
      <c r="Y2544">
        <v>9</v>
      </c>
      <c r="Z2544" s="5">
        <v>206.28</v>
      </c>
    </row>
    <row r="2545" spans="1:26">
      <c r="A2545">
        <v>2544</v>
      </c>
      <c r="B2545">
        <v>837</v>
      </c>
      <c r="C2545" s="2">
        <v>46192</v>
      </c>
      <c r="D2545" t="s">
        <v>26</v>
      </c>
      <c r="E2545">
        <v>6</v>
      </c>
      <c r="F2545" s="3">
        <v>10.36</v>
      </c>
      <c r="G2545" t="s">
        <v>27</v>
      </c>
      <c r="H2545">
        <v>51</v>
      </c>
      <c r="I2545" t="s">
        <v>34</v>
      </c>
      <c r="J2545" s="4">
        <v>65</v>
      </c>
      <c r="K2545" s="4">
        <v>152.69999999999999</v>
      </c>
      <c r="L2545" s="4">
        <v>25.6</v>
      </c>
      <c r="M2545">
        <v>16</v>
      </c>
      <c r="N2545" t="s">
        <v>50</v>
      </c>
      <c r="O2545">
        <v>5</v>
      </c>
      <c r="P2545" s="4">
        <v>363.6</v>
      </c>
      <c r="Q2545" t="s">
        <v>42</v>
      </c>
      <c r="R2545">
        <v>1</v>
      </c>
      <c r="S2545" t="s">
        <v>31</v>
      </c>
      <c r="T2545">
        <v>1</v>
      </c>
      <c r="U2545">
        <v>1</v>
      </c>
      <c r="V2545" t="s">
        <v>32</v>
      </c>
      <c r="W2545" t="s">
        <v>43</v>
      </c>
      <c r="X2545" s="4">
        <v>9.1999999999999993</v>
      </c>
      <c r="Y2545">
        <v>14</v>
      </c>
      <c r="Z2545" s="5">
        <v>223.55</v>
      </c>
    </row>
    <row r="2546" spans="1:26">
      <c r="A2546">
        <v>2545</v>
      </c>
      <c r="B2546">
        <v>837</v>
      </c>
      <c r="C2546" s="2">
        <v>46192</v>
      </c>
      <c r="D2546" t="s">
        <v>26</v>
      </c>
      <c r="E2546">
        <v>6</v>
      </c>
      <c r="F2546" s="3">
        <v>10.31</v>
      </c>
      <c r="G2546" t="s">
        <v>27</v>
      </c>
      <c r="H2546">
        <v>31</v>
      </c>
      <c r="I2546" t="s">
        <v>34</v>
      </c>
      <c r="J2546" s="4">
        <v>65.400000000000006</v>
      </c>
      <c r="K2546" s="4">
        <v>113.7</v>
      </c>
      <c r="L2546" s="4">
        <v>19.2</v>
      </c>
      <c r="M2546">
        <v>15</v>
      </c>
      <c r="N2546" t="s">
        <v>50</v>
      </c>
      <c r="O2546">
        <v>5</v>
      </c>
      <c r="P2546" s="4">
        <v>363.6</v>
      </c>
      <c r="Q2546" t="s">
        <v>42</v>
      </c>
      <c r="R2546">
        <v>1</v>
      </c>
      <c r="S2546" t="s">
        <v>31</v>
      </c>
      <c r="T2546">
        <v>1</v>
      </c>
      <c r="U2546">
        <v>1</v>
      </c>
      <c r="V2546" t="s">
        <v>32</v>
      </c>
      <c r="W2546" t="s">
        <v>43</v>
      </c>
      <c r="X2546" s="4">
        <v>11.7</v>
      </c>
      <c r="Y2546">
        <v>9</v>
      </c>
      <c r="Z2546" s="5">
        <v>380.51</v>
      </c>
    </row>
    <row r="2547" spans="1:26">
      <c r="A2547">
        <v>2546</v>
      </c>
      <c r="B2547">
        <v>837</v>
      </c>
      <c r="C2547" s="2">
        <v>46192</v>
      </c>
      <c r="D2547" t="s">
        <v>26</v>
      </c>
      <c r="E2547">
        <v>6</v>
      </c>
      <c r="F2547" s="3">
        <v>10.49</v>
      </c>
      <c r="G2547" t="s">
        <v>27</v>
      </c>
      <c r="H2547">
        <v>43</v>
      </c>
      <c r="I2547" t="s">
        <v>34</v>
      </c>
      <c r="J2547" s="4">
        <v>58.5</v>
      </c>
      <c r="K2547" s="4">
        <v>133.6</v>
      </c>
      <c r="L2547" s="4">
        <v>27.5</v>
      </c>
      <c r="M2547">
        <v>17</v>
      </c>
      <c r="N2547" t="s">
        <v>50</v>
      </c>
      <c r="O2547">
        <v>5</v>
      </c>
      <c r="P2547" s="4">
        <v>363.6</v>
      </c>
      <c r="Q2547" t="s">
        <v>42</v>
      </c>
      <c r="R2547">
        <v>1</v>
      </c>
      <c r="S2547" t="s">
        <v>31</v>
      </c>
      <c r="T2547">
        <v>1</v>
      </c>
      <c r="U2547">
        <v>1</v>
      </c>
      <c r="V2547" t="s">
        <v>32</v>
      </c>
      <c r="W2547" t="s">
        <v>43</v>
      </c>
      <c r="X2547" s="4">
        <v>10.199999999999999</v>
      </c>
      <c r="Y2547">
        <v>11</v>
      </c>
      <c r="Z2547" s="5">
        <v>207.74</v>
      </c>
    </row>
    <row r="2548" spans="1:26">
      <c r="A2548">
        <v>2547</v>
      </c>
      <c r="B2548">
        <v>837</v>
      </c>
      <c r="C2548" s="2">
        <v>46192</v>
      </c>
      <c r="D2548" t="s">
        <v>26</v>
      </c>
      <c r="E2548">
        <v>6</v>
      </c>
      <c r="F2548" s="3">
        <v>10.63</v>
      </c>
      <c r="G2548" t="s">
        <v>27</v>
      </c>
      <c r="H2548">
        <v>7</v>
      </c>
      <c r="I2548" t="s">
        <v>34</v>
      </c>
      <c r="J2548" s="4">
        <v>64.5</v>
      </c>
      <c r="K2548" s="4">
        <v>161</v>
      </c>
      <c r="L2548" s="4">
        <v>27.4</v>
      </c>
      <c r="M2548">
        <v>14</v>
      </c>
      <c r="N2548" t="s">
        <v>50</v>
      </c>
      <c r="O2548">
        <v>5</v>
      </c>
      <c r="P2548" s="4">
        <v>363.6</v>
      </c>
      <c r="Q2548" t="s">
        <v>42</v>
      </c>
      <c r="R2548">
        <v>1</v>
      </c>
      <c r="S2548" t="s">
        <v>31</v>
      </c>
      <c r="T2548">
        <v>1</v>
      </c>
      <c r="U2548">
        <v>1</v>
      </c>
      <c r="V2548" t="s">
        <v>32</v>
      </c>
      <c r="W2548" t="s">
        <v>43</v>
      </c>
      <c r="X2548" s="4">
        <v>9.4</v>
      </c>
      <c r="Y2548">
        <v>6</v>
      </c>
      <c r="Z2548" s="5">
        <v>194.88</v>
      </c>
    </row>
    <row r="2549" spans="1:26">
      <c r="A2549">
        <v>2548</v>
      </c>
      <c r="B2549">
        <v>837</v>
      </c>
      <c r="C2549" s="2">
        <v>46192</v>
      </c>
      <c r="D2549" t="s">
        <v>26</v>
      </c>
      <c r="E2549">
        <v>6</v>
      </c>
      <c r="F2549" s="3">
        <v>10.36</v>
      </c>
      <c r="G2549" t="s">
        <v>27</v>
      </c>
      <c r="H2549">
        <v>28</v>
      </c>
      <c r="I2549" t="s">
        <v>34</v>
      </c>
      <c r="J2549" s="4">
        <v>63</v>
      </c>
      <c r="K2549" s="4">
        <v>109.6</v>
      </c>
      <c r="L2549" s="4">
        <v>19.8</v>
      </c>
      <c r="M2549">
        <v>16</v>
      </c>
      <c r="N2549" t="s">
        <v>50</v>
      </c>
      <c r="O2549">
        <v>5</v>
      </c>
      <c r="P2549" s="4">
        <v>363.6</v>
      </c>
      <c r="Q2549" t="s">
        <v>42</v>
      </c>
      <c r="R2549">
        <v>1</v>
      </c>
      <c r="S2549" t="s">
        <v>31</v>
      </c>
      <c r="T2549">
        <v>1</v>
      </c>
      <c r="U2549">
        <v>1</v>
      </c>
      <c r="V2549" t="s">
        <v>32</v>
      </c>
      <c r="W2549" t="s">
        <v>43</v>
      </c>
      <c r="X2549" s="4">
        <v>13</v>
      </c>
      <c r="Y2549">
        <v>14</v>
      </c>
      <c r="Z2549" s="5">
        <v>550.51</v>
      </c>
    </row>
    <row r="2550" spans="1:26">
      <c r="A2550">
        <v>2549</v>
      </c>
      <c r="B2550">
        <v>838</v>
      </c>
      <c r="C2550" s="2">
        <v>46155</v>
      </c>
      <c r="D2550" t="s">
        <v>52</v>
      </c>
      <c r="E2550">
        <v>5</v>
      </c>
      <c r="F2550" s="3">
        <v>12</v>
      </c>
      <c r="G2550" t="s">
        <v>36</v>
      </c>
      <c r="H2550">
        <v>12</v>
      </c>
      <c r="I2550" t="s">
        <v>34</v>
      </c>
      <c r="J2550" s="4">
        <v>67.2</v>
      </c>
      <c r="K2550" s="4">
        <v>111.4</v>
      </c>
      <c r="L2550" s="4">
        <v>17.3</v>
      </c>
      <c r="M2550">
        <v>14</v>
      </c>
      <c r="N2550" t="s">
        <v>47</v>
      </c>
      <c r="O2550">
        <v>4</v>
      </c>
      <c r="P2550" s="4">
        <v>252.9</v>
      </c>
      <c r="Q2550" t="s">
        <v>42</v>
      </c>
      <c r="R2550">
        <v>1</v>
      </c>
      <c r="S2550" t="s">
        <v>38</v>
      </c>
      <c r="T2550">
        <v>0</v>
      </c>
      <c r="U2550">
        <v>1</v>
      </c>
      <c r="V2550" t="s">
        <v>45</v>
      </c>
      <c r="W2550" t="s">
        <v>33</v>
      </c>
      <c r="X2550" s="4">
        <v>7.1</v>
      </c>
      <c r="Y2550">
        <v>9</v>
      </c>
      <c r="Z2550" s="5">
        <v>305.7</v>
      </c>
    </row>
    <row r="2551" spans="1:26">
      <c r="A2551">
        <v>2550</v>
      </c>
      <c r="B2551">
        <v>838</v>
      </c>
      <c r="C2551" s="2">
        <v>46155</v>
      </c>
      <c r="D2551" t="s">
        <v>52</v>
      </c>
      <c r="E2551">
        <v>5</v>
      </c>
      <c r="F2551" s="3">
        <v>11.94</v>
      </c>
      <c r="G2551" t="s">
        <v>36</v>
      </c>
      <c r="H2551">
        <v>44</v>
      </c>
      <c r="I2551" t="s">
        <v>28</v>
      </c>
      <c r="J2551" s="4">
        <v>69.3</v>
      </c>
      <c r="K2551" s="4">
        <v>130.6</v>
      </c>
      <c r="L2551" s="4">
        <v>19.600000000000001</v>
      </c>
      <c r="M2551">
        <v>18</v>
      </c>
      <c r="N2551" t="s">
        <v>47</v>
      </c>
      <c r="O2551">
        <v>4</v>
      </c>
      <c r="P2551" s="4">
        <v>252.9</v>
      </c>
      <c r="Q2551" t="s">
        <v>42</v>
      </c>
      <c r="R2551">
        <v>1</v>
      </c>
      <c r="S2551" t="s">
        <v>38</v>
      </c>
      <c r="T2551">
        <v>0</v>
      </c>
      <c r="U2551">
        <v>1</v>
      </c>
      <c r="V2551" t="s">
        <v>45</v>
      </c>
      <c r="W2551" t="s">
        <v>33</v>
      </c>
      <c r="X2551" s="4">
        <v>10.1</v>
      </c>
      <c r="Y2551">
        <v>9</v>
      </c>
      <c r="Z2551" s="5">
        <v>259.68</v>
      </c>
    </row>
    <row r="2552" spans="1:26">
      <c r="A2552">
        <v>2551</v>
      </c>
      <c r="B2552">
        <v>838</v>
      </c>
      <c r="C2552" s="2">
        <v>46155</v>
      </c>
      <c r="D2552" t="s">
        <v>52</v>
      </c>
      <c r="E2552">
        <v>5</v>
      </c>
      <c r="F2552" s="3">
        <v>11.95</v>
      </c>
      <c r="G2552" t="s">
        <v>36</v>
      </c>
      <c r="H2552">
        <v>13</v>
      </c>
      <c r="I2552" t="s">
        <v>28</v>
      </c>
      <c r="J2552" s="4">
        <v>70</v>
      </c>
      <c r="K2552" s="4">
        <v>154.4</v>
      </c>
      <c r="L2552" s="4">
        <v>22.3</v>
      </c>
      <c r="M2552">
        <v>11</v>
      </c>
      <c r="N2552" t="s">
        <v>47</v>
      </c>
      <c r="O2552">
        <v>4</v>
      </c>
      <c r="P2552" s="4">
        <v>252.9</v>
      </c>
      <c r="Q2552" t="s">
        <v>42</v>
      </c>
      <c r="R2552">
        <v>1</v>
      </c>
      <c r="S2552" t="s">
        <v>38</v>
      </c>
      <c r="T2552">
        <v>0</v>
      </c>
      <c r="U2552">
        <v>1</v>
      </c>
      <c r="V2552" t="s">
        <v>45</v>
      </c>
      <c r="W2552" t="s">
        <v>33</v>
      </c>
      <c r="X2552" s="4">
        <v>10.6</v>
      </c>
      <c r="Y2552">
        <v>11</v>
      </c>
      <c r="Z2552" s="5">
        <v>468.42</v>
      </c>
    </row>
    <row r="2553" spans="1:26">
      <c r="A2553">
        <v>2552</v>
      </c>
      <c r="B2553">
        <v>838</v>
      </c>
      <c r="C2553" s="2">
        <v>46155</v>
      </c>
      <c r="D2553" t="s">
        <v>52</v>
      </c>
      <c r="E2553">
        <v>5</v>
      </c>
      <c r="F2553" s="3">
        <v>11.93</v>
      </c>
      <c r="G2553" t="s">
        <v>36</v>
      </c>
      <c r="H2553">
        <v>35</v>
      </c>
      <c r="I2553" t="s">
        <v>34</v>
      </c>
      <c r="J2553" s="4">
        <v>62.5</v>
      </c>
      <c r="K2553" s="4">
        <v>168.2</v>
      </c>
      <c r="L2553" s="4">
        <v>30.2</v>
      </c>
      <c r="M2553">
        <v>15</v>
      </c>
      <c r="N2553" t="s">
        <v>47</v>
      </c>
      <c r="O2553">
        <v>4</v>
      </c>
      <c r="P2553" s="4">
        <v>252.9</v>
      </c>
      <c r="Q2553" t="s">
        <v>42</v>
      </c>
      <c r="R2553">
        <v>1</v>
      </c>
      <c r="S2553" t="s">
        <v>38</v>
      </c>
      <c r="T2553">
        <v>0</v>
      </c>
      <c r="U2553">
        <v>1</v>
      </c>
      <c r="V2553" t="s">
        <v>45</v>
      </c>
      <c r="W2553" t="s">
        <v>33</v>
      </c>
      <c r="X2553" s="4">
        <v>10.5</v>
      </c>
      <c r="Y2553">
        <v>15</v>
      </c>
      <c r="Z2553" s="5">
        <v>382.42</v>
      </c>
    </row>
    <row r="2554" spans="1:26">
      <c r="A2554">
        <v>2553</v>
      </c>
      <c r="B2554">
        <v>839</v>
      </c>
      <c r="C2554" s="2">
        <v>46342</v>
      </c>
      <c r="D2554" t="s">
        <v>46</v>
      </c>
      <c r="E2554">
        <v>11</v>
      </c>
      <c r="F2554" s="3">
        <v>15.33</v>
      </c>
      <c r="G2554" t="s">
        <v>68</v>
      </c>
      <c r="H2554">
        <v>68</v>
      </c>
      <c r="I2554" t="s">
        <v>34</v>
      </c>
      <c r="J2554" s="4">
        <v>68.2</v>
      </c>
      <c r="K2554" s="4">
        <v>166.5</v>
      </c>
      <c r="L2554" s="4">
        <v>25.2</v>
      </c>
      <c r="M2554">
        <v>16</v>
      </c>
      <c r="N2554" t="s">
        <v>56</v>
      </c>
      <c r="O2554">
        <v>2</v>
      </c>
      <c r="P2554" s="4">
        <v>402.1</v>
      </c>
      <c r="Q2554" t="s">
        <v>48</v>
      </c>
      <c r="R2554">
        <v>0</v>
      </c>
      <c r="S2554" t="s">
        <v>44</v>
      </c>
      <c r="T2554">
        <v>0</v>
      </c>
      <c r="U2554">
        <v>0</v>
      </c>
      <c r="V2554" t="s">
        <v>32</v>
      </c>
      <c r="W2554" t="s">
        <v>39</v>
      </c>
      <c r="X2554" s="4">
        <v>7.5</v>
      </c>
      <c r="Y2554">
        <v>6</v>
      </c>
      <c r="Z2554" s="5">
        <v>281.82</v>
      </c>
    </row>
    <row r="2555" spans="1:26">
      <c r="A2555">
        <v>2554</v>
      </c>
      <c r="B2555">
        <v>839</v>
      </c>
      <c r="C2555" s="2">
        <v>46342</v>
      </c>
      <c r="D2555" t="s">
        <v>46</v>
      </c>
      <c r="E2555">
        <v>11</v>
      </c>
      <c r="F2555" s="3">
        <v>15.13</v>
      </c>
      <c r="G2555" t="s">
        <v>68</v>
      </c>
      <c r="H2555">
        <v>53</v>
      </c>
      <c r="I2555" t="s">
        <v>28</v>
      </c>
      <c r="J2555" s="4">
        <v>70.400000000000006</v>
      </c>
      <c r="K2555" s="4">
        <v>159.1</v>
      </c>
      <c r="L2555" s="4">
        <v>22.6</v>
      </c>
      <c r="M2555">
        <v>16</v>
      </c>
      <c r="N2555" t="s">
        <v>56</v>
      </c>
      <c r="O2555">
        <v>2</v>
      </c>
      <c r="P2555" s="4">
        <v>402.1</v>
      </c>
      <c r="Q2555" t="s">
        <v>48</v>
      </c>
      <c r="R2555">
        <v>0</v>
      </c>
      <c r="S2555" t="s">
        <v>44</v>
      </c>
      <c r="T2555">
        <v>0</v>
      </c>
      <c r="U2555">
        <v>0</v>
      </c>
      <c r="V2555" t="s">
        <v>32</v>
      </c>
      <c r="W2555" t="s">
        <v>39</v>
      </c>
      <c r="X2555" s="4">
        <v>6</v>
      </c>
      <c r="Y2555">
        <v>7</v>
      </c>
      <c r="Z2555" s="5">
        <v>354.69</v>
      </c>
    </row>
    <row r="2556" spans="1:26">
      <c r="A2556">
        <v>2555</v>
      </c>
      <c r="B2556">
        <v>840</v>
      </c>
      <c r="C2556" s="2">
        <v>46323</v>
      </c>
      <c r="D2556" t="s">
        <v>52</v>
      </c>
      <c r="E2556">
        <v>10</v>
      </c>
      <c r="F2556" s="3">
        <v>9.52</v>
      </c>
      <c r="G2556" t="s">
        <v>27</v>
      </c>
      <c r="H2556">
        <v>38</v>
      </c>
      <c r="I2556" t="s">
        <v>34</v>
      </c>
      <c r="J2556" s="4">
        <v>64.400000000000006</v>
      </c>
      <c r="K2556" s="4">
        <v>184.2</v>
      </c>
      <c r="L2556" s="4">
        <v>30.8</v>
      </c>
      <c r="M2556">
        <v>18</v>
      </c>
      <c r="N2556" t="s">
        <v>37</v>
      </c>
      <c r="O2556">
        <v>5</v>
      </c>
      <c r="P2556" s="4">
        <v>1389.5</v>
      </c>
      <c r="Q2556" t="s">
        <v>42</v>
      </c>
      <c r="R2556">
        <v>1</v>
      </c>
      <c r="S2556" t="s">
        <v>31</v>
      </c>
      <c r="T2556">
        <v>0</v>
      </c>
      <c r="U2556">
        <v>1</v>
      </c>
      <c r="V2556" t="s">
        <v>64</v>
      </c>
      <c r="W2556" t="s">
        <v>39</v>
      </c>
      <c r="X2556" s="4">
        <v>9.5</v>
      </c>
      <c r="Y2556">
        <v>14</v>
      </c>
      <c r="Z2556" s="5">
        <v>324.77999999999997</v>
      </c>
    </row>
    <row r="2557" spans="1:26">
      <c r="A2557">
        <v>2556</v>
      </c>
      <c r="B2557">
        <v>840</v>
      </c>
      <c r="C2557" s="2">
        <v>46323</v>
      </c>
      <c r="D2557" t="s">
        <v>52</v>
      </c>
      <c r="E2557">
        <v>10</v>
      </c>
      <c r="F2557" s="3">
        <v>9.58</v>
      </c>
      <c r="G2557" t="s">
        <v>27</v>
      </c>
      <c r="H2557">
        <v>68</v>
      </c>
      <c r="I2557" t="s">
        <v>34</v>
      </c>
      <c r="J2557" s="4">
        <v>57.5</v>
      </c>
      <c r="K2557" s="4">
        <v>102.8</v>
      </c>
      <c r="L2557" s="4">
        <v>21.8</v>
      </c>
      <c r="M2557">
        <v>14</v>
      </c>
      <c r="N2557" t="s">
        <v>37</v>
      </c>
      <c r="O2557">
        <v>5</v>
      </c>
      <c r="P2557" s="4">
        <v>1389.5</v>
      </c>
      <c r="Q2557" t="s">
        <v>42</v>
      </c>
      <c r="R2557">
        <v>1</v>
      </c>
      <c r="S2557" t="s">
        <v>31</v>
      </c>
      <c r="T2557">
        <v>0</v>
      </c>
      <c r="U2557">
        <v>1</v>
      </c>
      <c r="V2557" t="s">
        <v>64</v>
      </c>
      <c r="W2557" t="s">
        <v>39</v>
      </c>
      <c r="X2557" s="4">
        <v>8.9</v>
      </c>
      <c r="Y2557">
        <v>12</v>
      </c>
      <c r="Z2557" s="5">
        <v>323.63</v>
      </c>
    </row>
    <row r="2558" spans="1:26">
      <c r="A2558">
        <v>2557</v>
      </c>
      <c r="B2558">
        <v>840</v>
      </c>
      <c r="C2558" s="2">
        <v>46323</v>
      </c>
      <c r="D2558" t="s">
        <v>52</v>
      </c>
      <c r="E2558">
        <v>10</v>
      </c>
      <c r="F2558" s="3">
        <v>9.77</v>
      </c>
      <c r="G2558" t="s">
        <v>27</v>
      </c>
      <c r="H2558">
        <v>46</v>
      </c>
      <c r="I2558" t="s">
        <v>34</v>
      </c>
      <c r="J2558" s="4">
        <v>63.1</v>
      </c>
      <c r="K2558" s="4">
        <v>139.6</v>
      </c>
      <c r="L2558" s="4">
        <v>24.6</v>
      </c>
      <c r="M2558">
        <v>17</v>
      </c>
      <c r="N2558" t="s">
        <v>37</v>
      </c>
      <c r="O2558">
        <v>5</v>
      </c>
      <c r="P2558" s="4">
        <v>1389.5</v>
      </c>
      <c r="Q2558" t="s">
        <v>42</v>
      </c>
      <c r="R2558">
        <v>1</v>
      </c>
      <c r="S2558" t="s">
        <v>31</v>
      </c>
      <c r="T2558">
        <v>0</v>
      </c>
      <c r="U2558">
        <v>1</v>
      </c>
      <c r="V2558" t="s">
        <v>64</v>
      </c>
      <c r="W2558" t="s">
        <v>39</v>
      </c>
      <c r="X2558" s="4">
        <v>9.6</v>
      </c>
      <c r="Y2558">
        <v>9</v>
      </c>
      <c r="Z2558" s="5">
        <v>243.51</v>
      </c>
    </row>
    <row r="2559" spans="1:26">
      <c r="A2559">
        <v>2558</v>
      </c>
      <c r="B2559">
        <v>840</v>
      </c>
      <c r="C2559" s="2">
        <v>46323</v>
      </c>
      <c r="D2559" t="s">
        <v>52</v>
      </c>
      <c r="E2559">
        <v>10</v>
      </c>
      <c r="F2559" s="3">
        <v>9.6199999999999992</v>
      </c>
      <c r="G2559" t="s">
        <v>27</v>
      </c>
      <c r="H2559">
        <v>62</v>
      </c>
      <c r="I2559" t="s">
        <v>34</v>
      </c>
      <c r="J2559" s="4">
        <v>60.9</v>
      </c>
      <c r="K2559" s="4">
        <v>164.7</v>
      </c>
      <c r="L2559" s="4">
        <v>31.1</v>
      </c>
      <c r="M2559">
        <v>14</v>
      </c>
      <c r="N2559" t="s">
        <v>37</v>
      </c>
      <c r="O2559">
        <v>5</v>
      </c>
      <c r="P2559" s="4">
        <v>1389.5</v>
      </c>
      <c r="Q2559" t="s">
        <v>42</v>
      </c>
      <c r="R2559">
        <v>1</v>
      </c>
      <c r="S2559" t="s">
        <v>31</v>
      </c>
      <c r="T2559">
        <v>0</v>
      </c>
      <c r="U2559">
        <v>1</v>
      </c>
      <c r="V2559" t="s">
        <v>64</v>
      </c>
      <c r="W2559" t="s">
        <v>39</v>
      </c>
      <c r="X2559" s="4">
        <v>8.4</v>
      </c>
      <c r="Y2559">
        <v>5</v>
      </c>
      <c r="Z2559" s="5">
        <v>256.8</v>
      </c>
    </row>
    <row r="2560" spans="1:26">
      <c r="A2560">
        <v>2559</v>
      </c>
      <c r="B2560">
        <v>840</v>
      </c>
      <c r="C2560" s="2">
        <v>46323</v>
      </c>
      <c r="D2560" t="s">
        <v>52</v>
      </c>
      <c r="E2560">
        <v>10</v>
      </c>
      <c r="F2560" s="3">
        <v>9.76</v>
      </c>
      <c r="G2560" t="s">
        <v>27</v>
      </c>
      <c r="H2560">
        <v>22</v>
      </c>
      <c r="I2560" t="s">
        <v>34</v>
      </c>
      <c r="J2560" s="4">
        <v>61.7</v>
      </c>
      <c r="K2560" s="4">
        <v>147.80000000000001</v>
      </c>
      <c r="L2560" s="4">
        <v>27.3</v>
      </c>
      <c r="M2560">
        <v>16</v>
      </c>
      <c r="N2560" t="s">
        <v>37</v>
      </c>
      <c r="O2560">
        <v>5</v>
      </c>
      <c r="P2560" s="4">
        <v>1389.5</v>
      </c>
      <c r="Q2560" t="s">
        <v>42</v>
      </c>
      <c r="R2560">
        <v>1</v>
      </c>
      <c r="S2560" t="s">
        <v>31</v>
      </c>
      <c r="T2560">
        <v>0</v>
      </c>
      <c r="U2560">
        <v>1</v>
      </c>
      <c r="V2560" t="s">
        <v>64</v>
      </c>
      <c r="W2560" t="s">
        <v>39</v>
      </c>
      <c r="X2560" s="4">
        <v>7.1</v>
      </c>
      <c r="Y2560">
        <v>4</v>
      </c>
      <c r="Z2560" s="5">
        <v>256.23</v>
      </c>
    </row>
    <row r="2561" spans="1:26">
      <c r="A2561">
        <v>2560</v>
      </c>
      <c r="B2561">
        <v>841</v>
      </c>
      <c r="C2561" s="2">
        <v>46028</v>
      </c>
      <c r="D2561" t="s">
        <v>35</v>
      </c>
      <c r="E2561">
        <v>1</v>
      </c>
      <c r="F2561" s="3">
        <v>10.029999999999999</v>
      </c>
      <c r="G2561" t="s">
        <v>27</v>
      </c>
      <c r="H2561">
        <v>40</v>
      </c>
      <c r="I2561" t="s">
        <v>28</v>
      </c>
      <c r="J2561" s="4">
        <v>68.2</v>
      </c>
      <c r="K2561" s="4">
        <v>95.1</v>
      </c>
      <c r="L2561" s="4">
        <v>14.4</v>
      </c>
      <c r="M2561">
        <v>14</v>
      </c>
      <c r="N2561" t="s">
        <v>66</v>
      </c>
      <c r="O2561">
        <v>5</v>
      </c>
      <c r="P2561" s="4">
        <v>661</v>
      </c>
      <c r="Q2561" t="s">
        <v>42</v>
      </c>
      <c r="R2561">
        <v>0</v>
      </c>
      <c r="S2561" t="s">
        <v>31</v>
      </c>
      <c r="T2561">
        <v>1</v>
      </c>
      <c r="U2561">
        <v>0</v>
      </c>
      <c r="V2561" t="s">
        <v>32</v>
      </c>
      <c r="W2561" t="s">
        <v>43</v>
      </c>
      <c r="X2561" s="4">
        <v>8.6999999999999993</v>
      </c>
      <c r="Y2561">
        <v>18</v>
      </c>
      <c r="Z2561" s="5">
        <v>266.8</v>
      </c>
    </row>
    <row r="2562" spans="1:26">
      <c r="A2562">
        <v>2561</v>
      </c>
      <c r="B2562">
        <v>841</v>
      </c>
      <c r="C2562" s="2">
        <v>46028</v>
      </c>
      <c r="D2562" t="s">
        <v>35</v>
      </c>
      <c r="E2562">
        <v>1</v>
      </c>
      <c r="F2562" s="3">
        <v>10.039999999999999</v>
      </c>
      <c r="G2562" t="s">
        <v>27</v>
      </c>
      <c r="H2562">
        <v>28</v>
      </c>
      <c r="I2562" t="s">
        <v>28</v>
      </c>
      <c r="J2562" s="4">
        <v>68.099999999999994</v>
      </c>
      <c r="K2562" s="4">
        <v>148.19999999999999</v>
      </c>
      <c r="L2562" s="4">
        <v>22.2</v>
      </c>
      <c r="M2562">
        <v>17</v>
      </c>
      <c r="N2562" t="s">
        <v>66</v>
      </c>
      <c r="O2562">
        <v>5</v>
      </c>
      <c r="P2562" s="4">
        <v>661</v>
      </c>
      <c r="Q2562" t="s">
        <v>42</v>
      </c>
      <c r="R2562">
        <v>0</v>
      </c>
      <c r="S2562" t="s">
        <v>31</v>
      </c>
      <c r="T2562">
        <v>1</v>
      </c>
      <c r="U2562">
        <v>0</v>
      </c>
      <c r="V2562" t="s">
        <v>32</v>
      </c>
      <c r="W2562" t="s">
        <v>43</v>
      </c>
      <c r="X2562" s="4">
        <v>3.5</v>
      </c>
      <c r="Y2562">
        <v>6</v>
      </c>
      <c r="Z2562" s="5">
        <v>136.94999999999999</v>
      </c>
    </row>
    <row r="2563" spans="1:26">
      <c r="A2563">
        <v>2562</v>
      </c>
      <c r="B2563">
        <v>841</v>
      </c>
      <c r="C2563" s="2">
        <v>46028</v>
      </c>
      <c r="D2563" t="s">
        <v>35</v>
      </c>
      <c r="E2563">
        <v>1</v>
      </c>
      <c r="F2563" s="3">
        <v>10.15</v>
      </c>
      <c r="G2563" t="s">
        <v>27</v>
      </c>
      <c r="H2563">
        <v>11</v>
      </c>
      <c r="I2563" t="s">
        <v>34</v>
      </c>
      <c r="J2563" s="4">
        <v>63.6</v>
      </c>
      <c r="K2563" s="4">
        <v>123.4</v>
      </c>
      <c r="L2563" s="4">
        <v>21.5</v>
      </c>
      <c r="M2563">
        <v>15</v>
      </c>
      <c r="N2563" t="s">
        <v>66</v>
      </c>
      <c r="O2563">
        <v>5</v>
      </c>
      <c r="P2563" s="4">
        <v>661</v>
      </c>
      <c r="Q2563" t="s">
        <v>42</v>
      </c>
      <c r="R2563">
        <v>0</v>
      </c>
      <c r="S2563" t="s">
        <v>31</v>
      </c>
      <c r="T2563">
        <v>1</v>
      </c>
      <c r="U2563">
        <v>0</v>
      </c>
      <c r="V2563" t="s">
        <v>32</v>
      </c>
      <c r="W2563" t="s">
        <v>43</v>
      </c>
      <c r="X2563" s="4">
        <v>9.5</v>
      </c>
      <c r="Y2563">
        <v>11</v>
      </c>
      <c r="Z2563" s="5">
        <v>201.92</v>
      </c>
    </row>
    <row r="2564" spans="1:26">
      <c r="A2564">
        <v>2563</v>
      </c>
      <c r="B2564">
        <v>841</v>
      </c>
      <c r="C2564" s="2">
        <v>46028</v>
      </c>
      <c r="D2564" t="s">
        <v>35</v>
      </c>
      <c r="E2564">
        <v>1</v>
      </c>
      <c r="F2564" s="3">
        <v>10.23</v>
      </c>
      <c r="G2564" t="s">
        <v>27</v>
      </c>
      <c r="H2564">
        <v>32</v>
      </c>
      <c r="I2564" t="s">
        <v>34</v>
      </c>
      <c r="J2564" s="4">
        <v>64.5</v>
      </c>
      <c r="K2564" s="4">
        <v>113.8</v>
      </c>
      <c r="L2564" s="4">
        <v>19.100000000000001</v>
      </c>
      <c r="M2564">
        <v>16</v>
      </c>
      <c r="N2564" t="s">
        <v>66</v>
      </c>
      <c r="O2564">
        <v>5</v>
      </c>
      <c r="P2564" s="4">
        <v>661</v>
      </c>
      <c r="Q2564" t="s">
        <v>42</v>
      </c>
      <c r="R2564">
        <v>0</v>
      </c>
      <c r="S2564" t="s">
        <v>31</v>
      </c>
      <c r="T2564">
        <v>1</v>
      </c>
      <c r="U2564">
        <v>0</v>
      </c>
      <c r="V2564" t="s">
        <v>32</v>
      </c>
      <c r="W2564" t="s">
        <v>43</v>
      </c>
      <c r="X2564" s="4">
        <v>8</v>
      </c>
      <c r="Y2564">
        <v>14</v>
      </c>
      <c r="Z2564" s="5">
        <v>299.48</v>
      </c>
    </row>
    <row r="2565" spans="1:26">
      <c r="A2565">
        <v>2564</v>
      </c>
      <c r="B2565">
        <v>841</v>
      </c>
      <c r="C2565" s="2">
        <v>46028</v>
      </c>
      <c r="D2565" t="s">
        <v>35</v>
      </c>
      <c r="E2565">
        <v>1</v>
      </c>
      <c r="F2565" s="3">
        <v>10.08</v>
      </c>
      <c r="G2565" t="s">
        <v>27</v>
      </c>
      <c r="H2565">
        <v>35</v>
      </c>
      <c r="I2565" t="s">
        <v>34</v>
      </c>
      <c r="J2565" s="4">
        <v>61.7</v>
      </c>
      <c r="K2565" s="4">
        <v>135.30000000000001</v>
      </c>
      <c r="L2565" s="4">
        <v>24.9</v>
      </c>
      <c r="M2565">
        <v>18</v>
      </c>
      <c r="N2565" t="s">
        <v>66</v>
      </c>
      <c r="O2565">
        <v>5</v>
      </c>
      <c r="P2565" s="4">
        <v>661</v>
      </c>
      <c r="Q2565" t="s">
        <v>42</v>
      </c>
      <c r="R2565">
        <v>0</v>
      </c>
      <c r="S2565" t="s">
        <v>31</v>
      </c>
      <c r="T2565">
        <v>1</v>
      </c>
      <c r="U2565">
        <v>0</v>
      </c>
      <c r="V2565" t="s">
        <v>32</v>
      </c>
      <c r="W2565" t="s">
        <v>43</v>
      </c>
      <c r="X2565" s="4">
        <v>8.3000000000000007</v>
      </c>
      <c r="Y2565">
        <v>8</v>
      </c>
      <c r="Z2565" s="5">
        <v>230.2</v>
      </c>
    </row>
    <row r="2566" spans="1:26">
      <c r="A2566">
        <v>2565</v>
      </c>
      <c r="B2566">
        <v>842</v>
      </c>
      <c r="C2566" s="2">
        <v>46277</v>
      </c>
      <c r="D2566" t="s">
        <v>40</v>
      </c>
      <c r="E2566">
        <v>9</v>
      </c>
      <c r="F2566" s="3">
        <v>9.15</v>
      </c>
      <c r="G2566" t="s">
        <v>27</v>
      </c>
      <c r="H2566">
        <v>66</v>
      </c>
      <c r="I2566" t="s">
        <v>28</v>
      </c>
      <c r="J2566" s="4">
        <v>72.2</v>
      </c>
      <c r="K2566" s="4">
        <v>183.6</v>
      </c>
      <c r="L2566" s="4">
        <v>24.7</v>
      </c>
      <c r="M2566">
        <v>14</v>
      </c>
      <c r="N2566" t="s">
        <v>59</v>
      </c>
      <c r="O2566">
        <v>2</v>
      </c>
      <c r="P2566" s="4">
        <v>794.5</v>
      </c>
      <c r="Q2566" t="s">
        <v>42</v>
      </c>
      <c r="R2566">
        <v>1</v>
      </c>
      <c r="S2566" t="s">
        <v>44</v>
      </c>
      <c r="T2566">
        <v>0</v>
      </c>
      <c r="U2566">
        <v>0</v>
      </c>
      <c r="V2566" t="s">
        <v>32</v>
      </c>
      <c r="W2566" t="s">
        <v>39</v>
      </c>
      <c r="X2566" s="4">
        <v>9.5</v>
      </c>
      <c r="Y2566">
        <v>3</v>
      </c>
      <c r="Z2566" s="5">
        <v>243.5</v>
      </c>
    </row>
    <row r="2567" spans="1:26">
      <c r="A2567">
        <v>2566</v>
      </c>
      <c r="B2567">
        <v>842</v>
      </c>
      <c r="C2567" s="2">
        <v>46277</v>
      </c>
      <c r="D2567" t="s">
        <v>40</v>
      </c>
      <c r="E2567">
        <v>9</v>
      </c>
      <c r="F2567" s="3">
        <v>9.15</v>
      </c>
      <c r="G2567" t="s">
        <v>27</v>
      </c>
      <c r="H2567">
        <v>23</v>
      </c>
      <c r="I2567" t="s">
        <v>28</v>
      </c>
      <c r="J2567" s="4">
        <v>67.400000000000006</v>
      </c>
      <c r="K2567" s="4">
        <v>160.9</v>
      </c>
      <c r="L2567" s="4">
        <v>24.8</v>
      </c>
      <c r="M2567">
        <v>15</v>
      </c>
      <c r="N2567" t="s">
        <v>59</v>
      </c>
      <c r="O2567">
        <v>2</v>
      </c>
      <c r="P2567" s="4">
        <v>794.5</v>
      </c>
      <c r="Q2567" t="s">
        <v>42</v>
      </c>
      <c r="R2567">
        <v>1</v>
      </c>
      <c r="S2567" t="s">
        <v>44</v>
      </c>
      <c r="T2567">
        <v>0</v>
      </c>
      <c r="U2567">
        <v>0</v>
      </c>
      <c r="V2567" t="s">
        <v>32</v>
      </c>
      <c r="W2567" t="s">
        <v>39</v>
      </c>
      <c r="X2567" s="4">
        <v>9.6999999999999993</v>
      </c>
      <c r="Y2567">
        <v>9</v>
      </c>
      <c r="Z2567" s="5">
        <v>320.16000000000003</v>
      </c>
    </row>
    <row r="2568" spans="1:26">
      <c r="A2568">
        <v>2567</v>
      </c>
      <c r="B2568">
        <v>843</v>
      </c>
      <c r="C2568" s="2">
        <v>46364</v>
      </c>
      <c r="D2568" t="s">
        <v>35</v>
      </c>
      <c r="E2568">
        <v>12</v>
      </c>
      <c r="F2568" s="3">
        <v>10.57</v>
      </c>
      <c r="G2568" t="s">
        <v>27</v>
      </c>
      <c r="H2568">
        <v>6</v>
      </c>
      <c r="I2568" t="s">
        <v>51</v>
      </c>
      <c r="J2568" s="4">
        <v>56.9</v>
      </c>
      <c r="K2568" s="4">
        <v>78.2</v>
      </c>
      <c r="L2568" s="4">
        <v>16.8</v>
      </c>
      <c r="M2568">
        <v>10</v>
      </c>
      <c r="N2568" t="s">
        <v>47</v>
      </c>
      <c r="O2568">
        <v>1</v>
      </c>
      <c r="P2568" s="4">
        <v>81.400000000000006</v>
      </c>
      <c r="Q2568" t="s">
        <v>42</v>
      </c>
      <c r="R2568">
        <v>1</v>
      </c>
      <c r="S2568" t="s">
        <v>44</v>
      </c>
      <c r="T2568">
        <v>0</v>
      </c>
      <c r="U2568">
        <v>1</v>
      </c>
      <c r="V2568" t="s">
        <v>32</v>
      </c>
      <c r="W2568" t="s">
        <v>33</v>
      </c>
      <c r="X2568" s="4">
        <v>6.6</v>
      </c>
      <c r="Y2568">
        <v>2</v>
      </c>
      <c r="Z2568" s="5">
        <v>221.38</v>
      </c>
    </row>
    <row r="2569" spans="1:26">
      <c r="A2569">
        <v>2568</v>
      </c>
      <c r="B2569">
        <v>844</v>
      </c>
      <c r="C2569" s="2">
        <v>46139</v>
      </c>
      <c r="D2569" t="s">
        <v>46</v>
      </c>
      <c r="E2569">
        <v>4</v>
      </c>
      <c r="F2569" s="3">
        <v>9.5</v>
      </c>
      <c r="G2569" t="s">
        <v>27</v>
      </c>
      <c r="H2569">
        <v>32</v>
      </c>
      <c r="I2569" t="s">
        <v>34</v>
      </c>
      <c r="J2569" s="4">
        <v>66.8</v>
      </c>
      <c r="K2569" s="4">
        <v>148</v>
      </c>
      <c r="L2569" s="4">
        <v>23.4</v>
      </c>
      <c r="M2569">
        <v>18</v>
      </c>
      <c r="N2569" t="s">
        <v>50</v>
      </c>
      <c r="O2569">
        <v>5</v>
      </c>
      <c r="P2569" s="4">
        <v>345.2</v>
      </c>
      <c r="Q2569" t="s">
        <v>42</v>
      </c>
      <c r="R2569">
        <v>1</v>
      </c>
      <c r="S2569" t="s">
        <v>44</v>
      </c>
      <c r="T2569">
        <v>0</v>
      </c>
      <c r="U2569">
        <v>0</v>
      </c>
      <c r="V2569" t="s">
        <v>32</v>
      </c>
      <c r="W2569" t="s">
        <v>43</v>
      </c>
      <c r="X2569" s="4">
        <v>11.2</v>
      </c>
      <c r="Y2569">
        <v>11</v>
      </c>
      <c r="Z2569" s="5">
        <v>179.29</v>
      </c>
    </row>
    <row r="2570" spans="1:26">
      <c r="A2570">
        <v>2569</v>
      </c>
      <c r="B2570">
        <v>844</v>
      </c>
      <c r="C2570" s="2">
        <v>46139</v>
      </c>
      <c r="D2570" t="s">
        <v>46</v>
      </c>
      <c r="E2570">
        <v>4</v>
      </c>
      <c r="F2570" s="3">
        <v>9.61</v>
      </c>
      <c r="G2570" t="s">
        <v>27</v>
      </c>
      <c r="H2570">
        <v>37</v>
      </c>
      <c r="I2570" t="s">
        <v>28</v>
      </c>
      <c r="J2570" s="4">
        <v>64.599999999999994</v>
      </c>
      <c r="K2570" s="4">
        <v>146</v>
      </c>
      <c r="L2570" s="4">
        <v>24.4</v>
      </c>
      <c r="M2570">
        <v>10</v>
      </c>
      <c r="N2570" t="s">
        <v>50</v>
      </c>
      <c r="O2570">
        <v>5</v>
      </c>
      <c r="P2570" s="4">
        <v>345.2</v>
      </c>
      <c r="Q2570" t="s">
        <v>42</v>
      </c>
      <c r="R2570">
        <v>1</v>
      </c>
      <c r="S2570" t="s">
        <v>44</v>
      </c>
      <c r="T2570">
        <v>0</v>
      </c>
      <c r="U2570">
        <v>0</v>
      </c>
      <c r="V2570" t="s">
        <v>32</v>
      </c>
      <c r="W2570" t="s">
        <v>43</v>
      </c>
      <c r="X2570" s="4">
        <v>7.6</v>
      </c>
      <c r="Y2570">
        <v>10</v>
      </c>
      <c r="Z2570" s="5">
        <v>179.97</v>
      </c>
    </row>
    <row r="2571" spans="1:26">
      <c r="A2571">
        <v>2570</v>
      </c>
      <c r="B2571">
        <v>844</v>
      </c>
      <c r="C2571" s="2">
        <v>46139</v>
      </c>
      <c r="D2571" t="s">
        <v>46</v>
      </c>
      <c r="E2571">
        <v>4</v>
      </c>
      <c r="F2571" s="3">
        <v>9.52</v>
      </c>
      <c r="G2571" t="s">
        <v>27</v>
      </c>
      <c r="H2571">
        <v>4</v>
      </c>
      <c r="I2571" t="s">
        <v>34</v>
      </c>
      <c r="J2571" s="4">
        <v>57.7</v>
      </c>
      <c r="K2571" s="4">
        <v>102.3</v>
      </c>
      <c r="L2571" s="4">
        <v>21.6</v>
      </c>
      <c r="M2571">
        <v>14</v>
      </c>
      <c r="N2571" t="s">
        <v>50</v>
      </c>
      <c r="O2571">
        <v>5</v>
      </c>
      <c r="P2571" s="4">
        <v>345.2</v>
      </c>
      <c r="Q2571" t="s">
        <v>42</v>
      </c>
      <c r="R2571">
        <v>1</v>
      </c>
      <c r="S2571" t="s">
        <v>44</v>
      </c>
      <c r="T2571">
        <v>0</v>
      </c>
      <c r="U2571">
        <v>0</v>
      </c>
      <c r="V2571" t="s">
        <v>32</v>
      </c>
      <c r="W2571" t="s">
        <v>43</v>
      </c>
      <c r="X2571" s="4">
        <v>10.1</v>
      </c>
      <c r="Y2571">
        <v>13</v>
      </c>
      <c r="Z2571" s="5">
        <v>420.02</v>
      </c>
    </row>
    <row r="2572" spans="1:26">
      <c r="A2572">
        <v>2571</v>
      </c>
      <c r="B2572">
        <v>844</v>
      </c>
      <c r="C2572" s="2">
        <v>46139</v>
      </c>
      <c r="D2572" t="s">
        <v>46</v>
      </c>
      <c r="E2572">
        <v>4</v>
      </c>
      <c r="F2572" s="3">
        <v>9.3699999999999992</v>
      </c>
      <c r="G2572" t="s">
        <v>27</v>
      </c>
      <c r="H2572">
        <v>17</v>
      </c>
      <c r="I2572" t="s">
        <v>34</v>
      </c>
      <c r="J2572" s="4">
        <v>70</v>
      </c>
      <c r="K2572" s="4">
        <v>142.1</v>
      </c>
      <c r="L2572" s="4">
        <v>20.5</v>
      </c>
      <c r="M2572">
        <v>13</v>
      </c>
      <c r="N2572" t="s">
        <v>50</v>
      </c>
      <c r="O2572">
        <v>5</v>
      </c>
      <c r="P2572" s="4">
        <v>345.2</v>
      </c>
      <c r="Q2572" t="s">
        <v>42</v>
      </c>
      <c r="R2572">
        <v>1</v>
      </c>
      <c r="S2572" t="s">
        <v>44</v>
      </c>
      <c r="T2572">
        <v>0</v>
      </c>
      <c r="U2572">
        <v>0</v>
      </c>
      <c r="V2572" t="s">
        <v>32</v>
      </c>
      <c r="W2572" t="s">
        <v>43</v>
      </c>
      <c r="X2572" s="4">
        <v>11.2</v>
      </c>
      <c r="Y2572">
        <v>12</v>
      </c>
      <c r="Z2572" s="5">
        <v>147.51</v>
      </c>
    </row>
    <row r="2573" spans="1:26">
      <c r="A2573">
        <v>2572</v>
      </c>
      <c r="B2573">
        <v>844</v>
      </c>
      <c r="C2573" s="2">
        <v>46139</v>
      </c>
      <c r="D2573" t="s">
        <v>46</v>
      </c>
      <c r="E2573">
        <v>4</v>
      </c>
      <c r="F2573" s="3">
        <v>9.57</v>
      </c>
      <c r="G2573" t="s">
        <v>27</v>
      </c>
      <c r="H2573">
        <v>21</v>
      </c>
      <c r="I2573" t="s">
        <v>28</v>
      </c>
      <c r="J2573" s="4">
        <v>64.099999999999994</v>
      </c>
      <c r="K2573" s="4">
        <v>156</v>
      </c>
      <c r="L2573" s="4">
        <v>26.6</v>
      </c>
      <c r="M2573">
        <v>12</v>
      </c>
      <c r="N2573" t="s">
        <v>50</v>
      </c>
      <c r="O2573">
        <v>5</v>
      </c>
      <c r="P2573" s="4">
        <v>345.2</v>
      </c>
      <c r="Q2573" t="s">
        <v>42</v>
      </c>
      <c r="R2573">
        <v>1</v>
      </c>
      <c r="S2573" t="s">
        <v>44</v>
      </c>
      <c r="T2573">
        <v>0</v>
      </c>
      <c r="U2573">
        <v>0</v>
      </c>
      <c r="V2573" t="s">
        <v>32</v>
      </c>
      <c r="W2573" t="s">
        <v>43</v>
      </c>
      <c r="X2573" s="4">
        <v>6.4</v>
      </c>
      <c r="Y2573">
        <v>9</v>
      </c>
      <c r="Z2573" s="5">
        <v>241.31</v>
      </c>
    </row>
    <row r="2574" spans="1:26">
      <c r="A2574">
        <v>2573</v>
      </c>
      <c r="B2574">
        <v>845</v>
      </c>
      <c r="C2574" s="2">
        <v>46063</v>
      </c>
      <c r="D2574" t="s">
        <v>35</v>
      </c>
      <c r="E2574">
        <v>2</v>
      </c>
      <c r="F2574" s="3">
        <v>12.28</v>
      </c>
      <c r="G2574" t="s">
        <v>36</v>
      </c>
      <c r="H2574">
        <v>34</v>
      </c>
      <c r="I2574" t="s">
        <v>34</v>
      </c>
      <c r="J2574" s="4">
        <v>62.9</v>
      </c>
      <c r="K2574" s="4">
        <v>165.3</v>
      </c>
      <c r="L2574" s="4">
        <v>29.4</v>
      </c>
      <c r="M2574">
        <v>16</v>
      </c>
      <c r="N2574" t="s">
        <v>47</v>
      </c>
      <c r="O2574">
        <v>2</v>
      </c>
      <c r="P2574" s="4">
        <v>72.3</v>
      </c>
      <c r="Q2574" t="s">
        <v>48</v>
      </c>
      <c r="R2574">
        <v>0</v>
      </c>
      <c r="S2574" t="s">
        <v>44</v>
      </c>
      <c r="T2574">
        <v>0</v>
      </c>
      <c r="U2574">
        <v>1</v>
      </c>
      <c r="V2574" t="s">
        <v>32</v>
      </c>
      <c r="W2574" t="s">
        <v>39</v>
      </c>
      <c r="X2574" s="4">
        <v>8.1</v>
      </c>
      <c r="Y2574">
        <v>11</v>
      </c>
      <c r="Z2574" s="5">
        <v>216.35</v>
      </c>
    </row>
    <row r="2575" spans="1:26">
      <c r="A2575">
        <v>2574</v>
      </c>
      <c r="B2575">
        <v>845</v>
      </c>
      <c r="C2575" s="2">
        <v>46063</v>
      </c>
      <c r="D2575" t="s">
        <v>35</v>
      </c>
      <c r="E2575">
        <v>2</v>
      </c>
      <c r="F2575" s="3">
        <v>12.21</v>
      </c>
      <c r="G2575" t="s">
        <v>36</v>
      </c>
      <c r="H2575">
        <v>54</v>
      </c>
      <c r="I2575" t="s">
        <v>34</v>
      </c>
      <c r="J2575" s="4">
        <v>61.2</v>
      </c>
      <c r="K2575" s="4">
        <v>170.6</v>
      </c>
      <c r="L2575" s="4">
        <v>32.200000000000003</v>
      </c>
      <c r="M2575">
        <v>18</v>
      </c>
      <c r="N2575" t="s">
        <v>47</v>
      </c>
      <c r="O2575">
        <v>2</v>
      </c>
      <c r="P2575" s="4">
        <v>72.3</v>
      </c>
      <c r="Q2575" t="s">
        <v>48</v>
      </c>
      <c r="R2575">
        <v>0</v>
      </c>
      <c r="S2575" t="s">
        <v>44</v>
      </c>
      <c r="T2575">
        <v>0</v>
      </c>
      <c r="U2575">
        <v>1</v>
      </c>
      <c r="V2575" t="s">
        <v>32</v>
      </c>
      <c r="W2575" t="s">
        <v>39</v>
      </c>
      <c r="X2575" s="4">
        <v>8.4</v>
      </c>
      <c r="Y2575">
        <v>1</v>
      </c>
      <c r="Z2575" s="5">
        <v>252.53</v>
      </c>
    </row>
    <row r="2576" spans="1:26">
      <c r="A2576">
        <v>2575</v>
      </c>
      <c r="B2576">
        <v>846</v>
      </c>
      <c r="C2576" s="2">
        <v>46154</v>
      </c>
      <c r="D2576" t="s">
        <v>35</v>
      </c>
      <c r="E2576">
        <v>5</v>
      </c>
      <c r="F2576" s="3">
        <v>7.9</v>
      </c>
      <c r="G2576" t="s">
        <v>27</v>
      </c>
      <c r="H2576">
        <v>37</v>
      </c>
      <c r="I2576" t="s">
        <v>34</v>
      </c>
      <c r="J2576" s="4">
        <v>60.9</v>
      </c>
      <c r="K2576" s="4">
        <v>138</v>
      </c>
      <c r="L2576" s="4">
        <v>26.1</v>
      </c>
      <c r="M2576">
        <v>16</v>
      </c>
      <c r="N2576" t="s">
        <v>56</v>
      </c>
      <c r="O2576">
        <v>1</v>
      </c>
      <c r="P2576" s="4">
        <v>264.5</v>
      </c>
      <c r="Q2576" t="s">
        <v>42</v>
      </c>
      <c r="R2576">
        <v>0</v>
      </c>
      <c r="S2576" t="s">
        <v>31</v>
      </c>
      <c r="T2576">
        <v>0</v>
      </c>
      <c r="U2576">
        <v>0</v>
      </c>
      <c r="V2576" t="s">
        <v>32</v>
      </c>
      <c r="W2576" t="s">
        <v>39</v>
      </c>
      <c r="X2576" s="4">
        <v>9.5</v>
      </c>
      <c r="Y2576">
        <v>8</v>
      </c>
      <c r="Z2576" s="5">
        <v>242.91</v>
      </c>
    </row>
    <row r="2577" spans="1:26">
      <c r="A2577">
        <v>2576</v>
      </c>
      <c r="B2577">
        <v>847</v>
      </c>
      <c r="C2577" s="2">
        <v>46244</v>
      </c>
      <c r="D2577" t="s">
        <v>46</v>
      </c>
      <c r="E2577">
        <v>8</v>
      </c>
      <c r="F2577" s="3">
        <v>10.38</v>
      </c>
      <c r="G2577" t="s">
        <v>27</v>
      </c>
      <c r="H2577">
        <v>38</v>
      </c>
      <c r="I2577" t="s">
        <v>28</v>
      </c>
      <c r="J2577" s="4">
        <v>70.2</v>
      </c>
      <c r="K2577" s="4">
        <v>139.1</v>
      </c>
      <c r="L2577" s="4">
        <v>19.899999999999999</v>
      </c>
      <c r="M2577">
        <v>20</v>
      </c>
      <c r="N2577" t="s">
        <v>47</v>
      </c>
      <c r="O2577">
        <v>1</v>
      </c>
      <c r="P2577" s="4">
        <v>85.6</v>
      </c>
      <c r="Q2577" t="s">
        <v>42</v>
      </c>
      <c r="R2577">
        <v>0</v>
      </c>
      <c r="S2577" t="s">
        <v>44</v>
      </c>
      <c r="T2577">
        <v>0</v>
      </c>
      <c r="U2577">
        <v>0</v>
      </c>
      <c r="V2577" t="s">
        <v>45</v>
      </c>
      <c r="W2577" t="s">
        <v>43</v>
      </c>
      <c r="X2577" s="4">
        <v>4.5999999999999996</v>
      </c>
      <c r="Y2577">
        <v>6</v>
      </c>
      <c r="Z2577" s="5">
        <v>155.07</v>
      </c>
    </row>
    <row r="2578" spans="1:26">
      <c r="A2578">
        <v>2577</v>
      </c>
      <c r="B2578">
        <v>848</v>
      </c>
      <c r="C2578" s="2">
        <v>46119</v>
      </c>
      <c r="D2578" t="s">
        <v>35</v>
      </c>
      <c r="E2578">
        <v>4</v>
      </c>
      <c r="F2578" s="3">
        <v>9.89</v>
      </c>
      <c r="G2578" t="s">
        <v>27</v>
      </c>
      <c r="H2578">
        <v>40</v>
      </c>
      <c r="I2578" t="s">
        <v>28</v>
      </c>
      <c r="J2578" s="4">
        <v>63.6</v>
      </c>
      <c r="K2578" s="4">
        <v>140.6</v>
      </c>
      <c r="L2578" s="4">
        <v>24.4</v>
      </c>
      <c r="M2578">
        <v>14</v>
      </c>
      <c r="N2578" t="s">
        <v>47</v>
      </c>
      <c r="O2578">
        <v>2</v>
      </c>
      <c r="P2578" s="4">
        <v>50.4</v>
      </c>
      <c r="Q2578" t="s">
        <v>30</v>
      </c>
      <c r="R2578">
        <v>0</v>
      </c>
      <c r="S2578" t="s">
        <v>31</v>
      </c>
      <c r="T2578">
        <v>0</v>
      </c>
      <c r="U2578">
        <v>0</v>
      </c>
      <c r="V2578" t="s">
        <v>45</v>
      </c>
      <c r="W2578" t="s">
        <v>43</v>
      </c>
      <c r="X2578" s="4">
        <v>7.7</v>
      </c>
      <c r="Y2578">
        <v>10</v>
      </c>
      <c r="Z2578" s="5">
        <v>169.03</v>
      </c>
    </row>
    <row r="2579" spans="1:26">
      <c r="A2579">
        <v>2578</v>
      </c>
      <c r="B2579">
        <v>848</v>
      </c>
      <c r="C2579" s="2">
        <v>46119</v>
      </c>
      <c r="D2579" t="s">
        <v>35</v>
      </c>
      <c r="E2579">
        <v>4</v>
      </c>
      <c r="F2579" s="3">
        <v>9.77</v>
      </c>
      <c r="G2579" t="s">
        <v>27</v>
      </c>
      <c r="H2579">
        <v>56</v>
      </c>
      <c r="I2579" t="s">
        <v>34</v>
      </c>
      <c r="J2579" s="4">
        <v>64.400000000000006</v>
      </c>
      <c r="K2579" s="4">
        <v>207.2</v>
      </c>
      <c r="L2579" s="4">
        <v>35.4</v>
      </c>
      <c r="M2579">
        <v>16</v>
      </c>
      <c r="N2579" t="s">
        <v>47</v>
      </c>
      <c r="O2579">
        <v>2</v>
      </c>
      <c r="P2579" s="4">
        <v>50.4</v>
      </c>
      <c r="Q2579" t="s">
        <v>30</v>
      </c>
      <c r="R2579">
        <v>0</v>
      </c>
      <c r="S2579" t="s">
        <v>31</v>
      </c>
      <c r="T2579">
        <v>0</v>
      </c>
      <c r="U2579">
        <v>0</v>
      </c>
      <c r="V2579" t="s">
        <v>45</v>
      </c>
      <c r="W2579" t="s">
        <v>43</v>
      </c>
      <c r="X2579" s="4">
        <v>8.1</v>
      </c>
      <c r="Y2579">
        <v>8</v>
      </c>
      <c r="Z2579" s="5">
        <v>251.6</v>
      </c>
    </row>
    <row r="2580" spans="1:26">
      <c r="A2580">
        <v>2579</v>
      </c>
      <c r="B2580">
        <v>849</v>
      </c>
      <c r="C2580" s="2">
        <v>46371</v>
      </c>
      <c r="D2580" t="s">
        <v>35</v>
      </c>
      <c r="E2580">
        <v>12</v>
      </c>
      <c r="F2580" s="3">
        <v>9.82</v>
      </c>
      <c r="G2580" t="s">
        <v>27</v>
      </c>
      <c r="H2580">
        <v>56</v>
      </c>
      <c r="I2580" t="s">
        <v>34</v>
      </c>
      <c r="J2580" s="4">
        <v>60.5</v>
      </c>
      <c r="K2580" s="4">
        <v>143.80000000000001</v>
      </c>
      <c r="L2580" s="4">
        <v>27.2</v>
      </c>
      <c r="M2580">
        <v>17</v>
      </c>
      <c r="N2580" t="s">
        <v>60</v>
      </c>
      <c r="O2580">
        <v>3</v>
      </c>
      <c r="P2580" s="4">
        <v>1078.7</v>
      </c>
      <c r="Q2580" t="s">
        <v>48</v>
      </c>
      <c r="R2580">
        <v>0</v>
      </c>
      <c r="S2580" t="s">
        <v>44</v>
      </c>
      <c r="T2580">
        <v>0</v>
      </c>
      <c r="U2580">
        <v>1</v>
      </c>
      <c r="V2580" t="s">
        <v>32</v>
      </c>
      <c r="W2580" t="s">
        <v>33</v>
      </c>
      <c r="X2580" s="4">
        <v>9.1</v>
      </c>
      <c r="Y2580">
        <v>5</v>
      </c>
      <c r="Z2580" s="5">
        <v>233.94</v>
      </c>
    </row>
    <row r="2581" spans="1:26">
      <c r="A2581">
        <v>2580</v>
      </c>
      <c r="B2581">
        <v>849</v>
      </c>
      <c r="C2581" s="2">
        <v>46371</v>
      </c>
      <c r="D2581" t="s">
        <v>35</v>
      </c>
      <c r="E2581">
        <v>12</v>
      </c>
      <c r="F2581" s="3">
        <v>9.68</v>
      </c>
      <c r="G2581" t="s">
        <v>27</v>
      </c>
      <c r="H2581">
        <v>10</v>
      </c>
      <c r="I2581" t="s">
        <v>34</v>
      </c>
      <c r="J2581" s="4">
        <v>60.8</v>
      </c>
      <c r="K2581" s="4">
        <v>124.7</v>
      </c>
      <c r="L2581" s="4">
        <v>23.9</v>
      </c>
      <c r="M2581">
        <v>16</v>
      </c>
      <c r="N2581" t="s">
        <v>60</v>
      </c>
      <c r="O2581">
        <v>3</v>
      </c>
      <c r="P2581" s="4">
        <v>1078.7</v>
      </c>
      <c r="Q2581" t="s">
        <v>48</v>
      </c>
      <c r="R2581">
        <v>0</v>
      </c>
      <c r="S2581" t="s">
        <v>44</v>
      </c>
      <c r="T2581">
        <v>0</v>
      </c>
      <c r="U2581">
        <v>1</v>
      </c>
      <c r="V2581" t="s">
        <v>32</v>
      </c>
      <c r="W2581" t="s">
        <v>33</v>
      </c>
      <c r="X2581" s="4">
        <v>8.8000000000000007</v>
      </c>
      <c r="Y2581">
        <v>8</v>
      </c>
      <c r="Z2581" s="5">
        <v>387.34</v>
      </c>
    </row>
    <row r="2582" spans="1:26">
      <c r="A2582">
        <v>2581</v>
      </c>
      <c r="B2582">
        <v>849</v>
      </c>
      <c r="C2582" s="2">
        <v>46371</v>
      </c>
      <c r="D2582" t="s">
        <v>35</v>
      </c>
      <c r="E2582">
        <v>12</v>
      </c>
      <c r="F2582" s="3">
        <v>9.64</v>
      </c>
      <c r="G2582" t="s">
        <v>27</v>
      </c>
      <c r="H2582">
        <v>30</v>
      </c>
      <c r="I2582" t="s">
        <v>34</v>
      </c>
      <c r="J2582" s="4">
        <v>64.2</v>
      </c>
      <c r="K2582" s="4">
        <v>157.80000000000001</v>
      </c>
      <c r="L2582" s="4">
        <v>27</v>
      </c>
      <c r="M2582">
        <v>16</v>
      </c>
      <c r="N2582" t="s">
        <v>60</v>
      </c>
      <c r="O2582">
        <v>3</v>
      </c>
      <c r="P2582" s="4">
        <v>1078.7</v>
      </c>
      <c r="Q2582" t="s">
        <v>48</v>
      </c>
      <c r="R2582">
        <v>0</v>
      </c>
      <c r="S2582" t="s">
        <v>44</v>
      </c>
      <c r="T2582">
        <v>0</v>
      </c>
      <c r="U2582">
        <v>1</v>
      </c>
      <c r="V2582" t="s">
        <v>32</v>
      </c>
      <c r="W2582" t="s">
        <v>33</v>
      </c>
      <c r="X2582" s="4">
        <v>11.9</v>
      </c>
      <c r="Y2582">
        <v>13</v>
      </c>
      <c r="Z2582" s="5">
        <v>307.95999999999998</v>
      </c>
    </row>
    <row r="2583" spans="1:26">
      <c r="A2583">
        <v>2582</v>
      </c>
      <c r="B2583">
        <v>850</v>
      </c>
      <c r="C2583" s="2">
        <v>46239</v>
      </c>
      <c r="D2583" t="s">
        <v>52</v>
      </c>
      <c r="E2583">
        <v>8</v>
      </c>
      <c r="F2583" s="3">
        <v>11.26</v>
      </c>
      <c r="G2583" t="s">
        <v>36</v>
      </c>
      <c r="H2583">
        <v>29</v>
      </c>
      <c r="I2583" t="s">
        <v>28</v>
      </c>
      <c r="J2583" s="4">
        <v>64.2</v>
      </c>
      <c r="K2583" s="4">
        <v>133.6</v>
      </c>
      <c r="L2583" s="4">
        <v>22.9</v>
      </c>
      <c r="M2583">
        <v>16</v>
      </c>
      <c r="N2583" t="s">
        <v>47</v>
      </c>
      <c r="O2583">
        <v>6</v>
      </c>
      <c r="P2583" s="4">
        <v>18.8</v>
      </c>
      <c r="Q2583" t="s">
        <v>42</v>
      </c>
      <c r="R2583">
        <v>0</v>
      </c>
      <c r="S2583" t="s">
        <v>31</v>
      </c>
      <c r="T2583">
        <v>0</v>
      </c>
      <c r="U2583">
        <v>0</v>
      </c>
      <c r="V2583" t="s">
        <v>32</v>
      </c>
      <c r="W2583" t="s">
        <v>39</v>
      </c>
      <c r="X2583" s="4">
        <v>6.4</v>
      </c>
      <c r="Y2583">
        <v>9</v>
      </c>
      <c r="Z2583" s="5">
        <v>178.56</v>
      </c>
    </row>
    <row r="2584" spans="1:26">
      <c r="A2584">
        <v>2583</v>
      </c>
      <c r="B2584">
        <v>850</v>
      </c>
      <c r="C2584" s="2">
        <v>46239</v>
      </c>
      <c r="D2584" t="s">
        <v>52</v>
      </c>
      <c r="E2584">
        <v>8</v>
      </c>
      <c r="F2584" s="3">
        <v>11.3</v>
      </c>
      <c r="G2584" t="s">
        <v>36</v>
      </c>
      <c r="H2584">
        <v>18</v>
      </c>
      <c r="I2584" t="s">
        <v>28</v>
      </c>
      <c r="J2584" s="4">
        <v>71.099999999999994</v>
      </c>
      <c r="K2584" s="4">
        <v>181.5</v>
      </c>
      <c r="L2584" s="4">
        <v>25.3</v>
      </c>
      <c r="M2584">
        <v>10</v>
      </c>
      <c r="N2584" t="s">
        <v>47</v>
      </c>
      <c r="O2584">
        <v>6</v>
      </c>
      <c r="P2584" s="4">
        <v>18.8</v>
      </c>
      <c r="Q2584" t="s">
        <v>42</v>
      </c>
      <c r="R2584">
        <v>0</v>
      </c>
      <c r="S2584" t="s">
        <v>31</v>
      </c>
      <c r="T2584">
        <v>0</v>
      </c>
      <c r="U2584">
        <v>0</v>
      </c>
      <c r="V2584" t="s">
        <v>32</v>
      </c>
      <c r="W2584" t="s">
        <v>39</v>
      </c>
      <c r="X2584" s="4">
        <v>8.4</v>
      </c>
      <c r="Y2584">
        <v>10</v>
      </c>
      <c r="Z2584" s="5">
        <v>221.86</v>
      </c>
    </row>
    <row r="2585" spans="1:26">
      <c r="A2585">
        <v>2584</v>
      </c>
      <c r="B2585">
        <v>850</v>
      </c>
      <c r="C2585" s="2">
        <v>46239</v>
      </c>
      <c r="D2585" t="s">
        <v>52</v>
      </c>
      <c r="E2585">
        <v>8</v>
      </c>
      <c r="F2585" s="3">
        <v>11.44</v>
      </c>
      <c r="G2585" t="s">
        <v>36</v>
      </c>
      <c r="H2585">
        <v>49</v>
      </c>
      <c r="I2585" t="s">
        <v>28</v>
      </c>
      <c r="J2585" s="4">
        <v>70.5</v>
      </c>
      <c r="K2585" s="4">
        <v>153.5</v>
      </c>
      <c r="L2585" s="4">
        <v>21.6</v>
      </c>
      <c r="M2585">
        <v>20</v>
      </c>
      <c r="N2585" t="s">
        <v>47</v>
      </c>
      <c r="O2585">
        <v>6</v>
      </c>
      <c r="P2585" s="4">
        <v>18.8</v>
      </c>
      <c r="Q2585" t="s">
        <v>42</v>
      </c>
      <c r="R2585">
        <v>0</v>
      </c>
      <c r="S2585" t="s">
        <v>31</v>
      </c>
      <c r="T2585">
        <v>0</v>
      </c>
      <c r="U2585">
        <v>0</v>
      </c>
      <c r="V2585" t="s">
        <v>32</v>
      </c>
      <c r="W2585" t="s">
        <v>39</v>
      </c>
      <c r="X2585" s="4">
        <v>9</v>
      </c>
      <c r="Y2585">
        <v>13</v>
      </c>
      <c r="Z2585" s="5">
        <v>172.33</v>
      </c>
    </row>
    <row r="2586" spans="1:26">
      <c r="A2586">
        <v>2585</v>
      </c>
      <c r="B2586">
        <v>850</v>
      </c>
      <c r="C2586" s="2">
        <v>46239</v>
      </c>
      <c r="D2586" t="s">
        <v>52</v>
      </c>
      <c r="E2586">
        <v>8</v>
      </c>
      <c r="F2586" s="3">
        <v>11.31</v>
      </c>
      <c r="G2586" t="s">
        <v>36</v>
      </c>
      <c r="H2586">
        <v>10</v>
      </c>
      <c r="I2586" t="s">
        <v>28</v>
      </c>
      <c r="J2586" s="4">
        <v>65.3</v>
      </c>
      <c r="K2586" s="4">
        <v>156.5</v>
      </c>
      <c r="L2586" s="4">
        <v>25.6</v>
      </c>
      <c r="M2586">
        <v>12</v>
      </c>
      <c r="N2586" t="s">
        <v>47</v>
      </c>
      <c r="O2586">
        <v>6</v>
      </c>
      <c r="P2586" s="4">
        <v>18.8</v>
      </c>
      <c r="Q2586" t="s">
        <v>42</v>
      </c>
      <c r="R2586">
        <v>0</v>
      </c>
      <c r="S2586" t="s">
        <v>31</v>
      </c>
      <c r="T2586">
        <v>0</v>
      </c>
      <c r="U2586">
        <v>0</v>
      </c>
      <c r="V2586" t="s">
        <v>32</v>
      </c>
      <c r="W2586" t="s">
        <v>39</v>
      </c>
      <c r="X2586" s="4">
        <v>8.1999999999999993</v>
      </c>
      <c r="Y2586">
        <v>11</v>
      </c>
      <c r="Z2586" s="5">
        <v>220.76</v>
      </c>
    </row>
    <row r="2587" spans="1:26">
      <c r="A2587">
        <v>2586</v>
      </c>
      <c r="B2587">
        <v>850</v>
      </c>
      <c r="C2587" s="2">
        <v>46239</v>
      </c>
      <c r="D2587" t="s">
        <v>52</v>
      </c>
      <c r="E2587">
        <v>8</v>
      </c>
      <c r="F2587" s="3">
        <v>11.41</v>
      </c>
      <c r="G2587" t="s">
        <v>36</v>
      </c>
      <c r="H2587">
        <v>67</v>
      </c>
      <c r="I2587" t="s">
        <v>34</v>
      </c>
      <c r="J2587" s="4">
        <v>65.599999999999994</v>
      </c>
      <c r="K2587" s="4">
        <v>120.9</v>
      </c>
      <c r="L2587" s="4">
        <v>19.5</v>
      </c>
      <c r="M2587">
        <v>16</v>
      </c>
      <c r="N2587" t="s">
        <v>47</v>
      </c>
      <c r="O2587">
        <v>6</v>
      </c>
      <c r="P2587" s="4">
        <v>18.8</v>
      </c>
      <c r="Q2587" t="s">
        <v>42</v>
      </c>
      <c r="R2587">
        <v>0</v>
      </c>
      <c r="S2587" t="s">
        <v>31</v>
      </c>
      <c r="T2587">
        <v>0</v>
      </c>
      <c r="U2587">
        <v>0</v>
      </c>
      <c r="V2587" t="s">
        <v>32</v>
      </c>
      <c r="W2587" t="s">
        <v>39</v>
      </c>
      <c r="X2587" s="4">
        <v>8.5</v>
      </c>
      <c r="Y2587">
        <v>6</v>
      </c>
      <c r="Z2587" s="5">
        <v>187.41</v>
      </c>
    </row>
    <row r="2588" spans="1:26">
      <c r="A2588">
        <v>2587</v>
      </c>
      <c r="B2588">
        <v>850</v>
      </c>
      <c r="C2588" s="2">
        <v>46239</v>
      </c>
      <c r="D2588" t="s">
        <v>52</v>
      </c>
      <c r="E2588">
        <v>8</v>
      </c>
      <c r="F2588" s="3">
        <v>11.3</v>
      </c>
      <c r="G2588" t="s">
        <v>36</v>
      </c>
      <c r="H2588">
        <v>21</v>
      </c>
      <c r="I2588" t="s">
        <v>28</v>
      </c>
      <c r="J2588" s="4">
        <v>72.5</v>
      </c>
      <c r="K2588" s="4">
        <v>173.7</v>
      </c>
      <c r="L2588" s="4">
        <v>23.2</v>
      </c>
      <c r="M2588">
        <v>17</v>
      </c>
      <c r="N2588" t="s">
        <v>47</v>
      </c>
      <c r="O2588">
        <v>6</v>
      </c>
      <c r="P2588" s="4">
        <v>18.8</v>
      </c>
      <c r="Q2588" t="s">
        <v>42</v>
      </c>
      <c r="R2588">
        <v>0</v>
      </c>
      <c r="S2588" t="s">
        <v>31</v>
      </c>
      <c r="T2588">
        <v>0</v>
      </c>
      <c r="U2588">
        <v>0</v>
      </c>
      <c r="V2588" t="s">
        <v>32</v>
      </c>
      <c r="W2588" t="s">
        <v>39</v>
      </c>
      <c r="X2588" s="4">
        <v>8</v>
      </c>
      <c r="Y2588">
        <v>7</v>
      </c>
      <c r="Z2588" s="5">
        <v>181.69</v>
      </c>
    </row>
    <row r="2589" spans="1:26">
      <c r="A2589">
        <v>2588</v>
      </c>
      <c r="B2589">
        <v>851</v>
      </c>
      <c r="C2589" s="2">
        <v>46332</v>
      </c>
      <c r="D2589" t="s">
        <v>26</v>
      </c>
      <c r="E2589">
        <v>11</v>
      </c>
      <c r="F2589" s="3">
        <v>10.33</v>
      </c>
      <c r="G2589" t="s">
        <v>27</v>
      </c>
      <c r="H2589">
        <v>53</v>
      </c>
      <c r="I2589" t="s">
        <v>28</v>
      </c>
      <c r="J2589" s="4">
        <v>66.7</v>
      </c>
      <c r="K2589" s="4">
        <v>194.4</v>
      </c>
      <c r="L2589" s="4">
        <v>30.8</v>
      </c>
      <c r="M2589">
        <v>18</v>
      </c>
      <c r="N2589" t="s">
        <v>47</v>
      </c>
      <c r="O2589">
        <v>4</v>
      </c>
      <c r="P2589" s="4">
        <v>97.1</v>
      </c>
      <c r="Q2589" t="s">
        <v>48</v>
      </c>
      <c r="R2589">
        <v>1</v>
      </c>
      <c r="S2589" t="s">
        <v>44</v>
      </c>
      <c r="T2589">
        <v>0</v>
      </c>
      <c r="U2589">
        <v>0</v>
      </c>
      <c r="V2589" t="s">
        <v>32</v>
      </c>
      <c r="W2589" t="s">
        <v>57</v>
      </c>
      <c r="X2589" s="4">
        <v>8.8000000000000007</v>
      </c>
      <c r="Y2589">
        <v>6</v>
      </c>
      <c r="Z2589" s="5">
        <v>337.52</v>
      </c>
    </row>
    <row r="2590" spans="1:26">
      <c r="A2590">
        <v>2589</v>
      </c>
      <c r="B2590">
        <v>851</v>
      </c>
      <c r="C2590" s="2">
        <v>46332</v>
      </c>
      <c r="D2590" t="s">
        <v>26</v>
      </c>
      <c r="E2590">
        <v>11</v>
      </c>
      <c r="F2590" s="3">
        <v>9.76</v>
      </c>
      <c r="G2590" t="s">
        <v>27</v>
      </c>
      <c r="H2590">
        <v>43</v>
      </c>
      <c r="I2590" t="s">
        <v>28</v>
      </c>
      <c r="J2590" s="4">
        <v>76.8</v>
      </c>
      <c r="K2590" s="4">
        <v>227.3</v>
      </c>
      <c r="L2590" s="4">
        <v>27.1</v>
      </c>
      <c r="M2590">
        <v>14</v>
      </c>
      <c r="N2590" t="s">
        <v>47</v>
      </c>
      <c r="O2590">
        <v>4</v>
      </c>
      <c r="P2590" s="4">
        <v>97.1</v>
      </c>
      <c r="Q2590" t="s">
        <v>48</v>
      </c>
      <c r="R2590">
        <v>1</v>
      </c>
      <c r="S2590" t="s">
        <v>44</v>
      </c>
      <c r="T2590">
        <v>0</v>
      </c>
      <c r="U2590">
        <v>0</v>
      </c>
      <c r="V2590" t="s">
        <v>32</v>
      </c>
      <c r="W2590" t="s">
        <v>57</v>
      </c>
      <c r="X2590" s="4">
        <v>8.6</v>
      </c>
      <c r="Y2590">
        <v>8</v>
      </c>
      <c r="Z2590" s="5">
        <v>302.77999999999997</v>
      </c>
    </row>
    <row r="2591" spans="1:26">
      <c r="A2591">
        <v>2590</v>
      </c>
      <c r="B2591">
        <v>851</v>
      </c>
      <c r="C2591" s="2">
        <v>46332</v>
      </c>
      <c r="D2591" t="s">
        <v>26</v>
      </c>
      <c r="E2591">
        <v>11</v>
      </c>
      <c r="F2591" s="3">
        <v>10.09</v>
      </c>
      <c r="G2591" t="s">
        <v>27</v>
      </c>
      <c r="H2591">
        <v>46</v>
      </c>
      <c r="I2591" t="s">
        <v>28</v>
      </c>
      <c r="J2591" s="4">
        <v>68.8</v>
      </c>
      <c r="K2591" s="4">
        <v>191.6</v>
      </c>
      <c r="L2591" s="4">
        <v>28.3</v>
      </c>
      <c r="M2591">
        <v>21</v>
      </c>
      <c r="N2591" t="s">
        <v>47</v>
      </c>
      <c r="O2591">
        <v>4</v>
      </c>
      <c r="P2591" s="4">
        <v>97.1</v>
      </c>
      <c r="Q2591" t="s">
        <v>48</v>
      </c>
      <c r="R2591">
        <v>1</v>
      </c>
      <c r="S2591" t="s">
        <v>44</v>
      </c>
      <c r="T2591">
        <v>0</v>
      </c>
      <c r="U2591">
        <v>0</v>
      </c>
      <c r="V2591" t="s">
        <v>32</v>
      </c>
      <c r="W2591" t="s">
        <v>57</v>
      </c>
      <c r="X2591" s="4">
        <v>5.7</v>
      </c>
      <c r="Y2591">
        <v>4</v>
      </c>
      <c r="Z2591" s="5">
        <v>202.12</v>
      </c>
    </row>
    <row r="2592" spans="1:26">
      <c r="A2592">
        <v>2591</v>
      </c>
      <c r="B2592">
        <v>851</v>
      </c>
      <c r="C2592" s="2">
        <v>46332</v>
      </c>
      <c r="D2592" t="s">
        <v>26</v>
      </c>
      <c r="E2592">
        <v>11</v>
      </c>
      <c r="F2592" s="3">
        <v>9.8800000000000008</v>
      </c>
      <c r="G2592" t="s">
        <v>27</v>
      </c>
      <c r="H2592">
        <v>43</v>
      </c>
      <c r="I2592" t="s">
        <v>34</v>
      </c>
      <c r="J2592" s="4">
        <v>65.3</v>
      </c>
      <c r="K2592" s="4">
        <v>158.80000000000001</v>
      </c>
      <c r="L2592" s="4">
        <v>26.3</v>
      </c>
      <c r="M2592">
        <v>17</v>
      </c>
      <c r="N2592" t="s">
        <v>47</v>
      </c>
      <c r="O2592">
        <v>4</v>
      </c>
      <c r="P2592" s="4">
        <v>97.1</v>
      </c>
      <c r="Q2592" t="s">
        <v>48</v>
      </c>
      <c r="R2592">
        <v>1</v>
      </c>
      <c r="S2592" t="s">
        <v>44</v>
      </c>
      <c r="T2592">
        <v>0</v>
      </c>
      <c r="U2592">
        <v>0</v>
      </c>
      <c r="V2592" t="s">
        <v>32</v>
      </c>
      <c r="W2592" t="s">
        <v>57</v>
      </c>
      <c r="X2592" s="4">
        <v>9.4</v>
      </c>
      <c r="Y2592">
        <v>10</v>
      </c>
      <c r="Z2592" s="5">
        <v>131.84</v>
      </c>
    </row>
    <row r="2593" spans="1:26">
      <c r="A2593">
        <v>2592</v>
      </c>
      <c r="B2593">
        <v>852</v>
      </c>
      <c r="C2593" s="2">
        <v>46146</v>
      </c>
      <c r="D2593" t="s">
        <v>46</v>
      </c>
      <c r="E2593">
        <v>5</v>
      </c>
      <c r="F2593" s="3">
        <v>9.89</v>
      </c>
      <c r="G2593" t="s">
        <v>27</v>
      </c>
      <c r="H2593">
        <v>54</v>
      </c>
      <c r="I2593" t="s">
        <v>28</v>
      </c>
      <c r="J2593" s="4">
        <v>68.599999999999994</v>
      </c>
      <c r="K2593" s="4">
        <v>177.6</v>
      </c>
      <c r="L2593" s="4">
        <v>26.4</v>
      </c>
      <c r="M2593">
        <v>17</v>
      </c>
      <c r="N2593" t="s">
        <v>54</v>
      </c>
      <c r="O2593">
        <v>4</v>
      </c>
      <c r="P2593" s="4">
        <v>1666.2</v>
      </c>
      <c r="Q2593" t="s">
        <v>42</v>
      </c>
      <c r="R2593">
        <v>1</v>
      </c>
      <c r="S2593" t="s">
        <v>38</v>
      </c>
      <c r="T2593">
        <v>1</v>
      </c>
      <c r="U2593">
        <v>0</v>
      </c>
      <c r="V2593" t="s">
        <v>32</v>
      </c>
      <c r="W2593" t="s">
        <v>49</v>
      </c>
      <c r="X2593" s="4">
        <v>6.9</v>
      </c>
      <c r="Y2593">
        <v>5</v>
      </c>
      <c r="Z2593" s="5">
        <v>158.71</v>
      </c>
    </row>
    <row r="2594" spans="1:26">
      <c r="A2594">
        <v>2593</v>
      </c>
      <c r="B2594">
        <v>852</v>
      </c>
      <c r="C2594" s="2">
        <v>46146</v>
      </c>
      <c r="D2594" t="s">
        <v>46</v>
      </c>
      <c r="E2594">
        <v>5</v>
      </c>
      <c r="F2594" s="3">
        <v>9.9700000000000006</v>
      </c>
      <c r="G2594" t="s">
        <v>27</v>
      </c>
      <c r="H2594">
        <v>28</v>
      </c>
      <c r="I2594" t="s">
        <v>34</v>
      </c>
      <c r="J2594" s="4">
        <v>63.3</v>
      </c>
      <c r="K2594" s="4">
        <v>131.9</v>
      </c>
      <c r="L2594" s="4">
        <v>23.1</v>
      </c>
      <c r="M2594">
        <v>14</v>
      </c>
      <c r="N2594" t="s">
        <v>54</v>
      </c>
      <c r="O2594">
        <v>4</v>
      </c>
      <c r="P2594" s="4">
        <v>1666.2</v>
      </c>
      <c r="Q2594" t="s">
        <v>42</v>
      </c>
      <c r="R2594">
        <v>1</v>
      </c>
      <c r="S2594" t="s">
        <v>38</v>
      </c>
      <c r="T2594">
        <v>1</v>
      </c>
      <c r="U2594">
        <v>0</v>
      </c>
      <c r="V2594" t="s">
        <v>32</v>
      </c>
      <c r="W2594" t="s">
        <v>49</v>
      </c>
      <c r="X2594" s="4">
        <v>11.4</v>
      </c>
      <c r="Y2594">
        <v>10</v>
      </c>
      <c r="Z2594" s="5">
        <v>140.26</v>
      </c>
    </row>
    <row r="2595" spans="1:26">
      <c r="A2595">
        <v>2594</v>
      </c>
      <c r="B2595">
        <v>852</v>
      </c>
      <c r="C2595" s="2">
        <v>46146</v>
      </c>
      <c r="D2595" t="s">
        <v>46</v>
      </c>
      <c r="E2595">
        <v>5</v>
      </c>
      <c r="F2595" s="3">
        <v>9.93</v>
      </c>
      <c r="G2595" t="s">
        <v>27</v>
      </c>
      <c r="H2595">
        <v>39</v>
      </c>
      <c r="I2595" t="s">
        <v>28</v>
      </c>
      <c r="J2595" s="4">
        <v>69.5</v>
      </c>
      <c r="K2595" s="4">
        <v>201.8</v>
      </c>
      <c r="L2595" s="4">
        <v>29.6</v>
      </c>
      <c r="M2595">
        <v>14</v>
      </c>
      <c r="N2595" t="s">
        <v>54</v>
      </c>
      <c r="O2595">
        <v>4</v>
      </c>
      <c r="P2595" s="4">
        <v>1666.2</v>
      </c>
      <c r="Q2595" t="s">
        <v>42</v>
      </c>
      <c r="R2595">
        <v>1</v>
      </c>
      <c r="S2595" t="s">
        <v>38</v>
      </c>
      <c r="T2595">
        <v>1</v>
      </c>
      <c r="U2595">
        <v>0</v>
      </c>
      <c r="V2595" t="s">
        <v>32</v>
      </c>
      <c r="W2595" t="s">
        <v>49</v>
      </c>
      <c r="X2595" s="4">
        <v>10</v>
      </c>
      <c r="Y2595">
        <v>7</v>
      </c>
      <c r="Z2595" s="5">
        <v>339.09</v>
      </c>
    </row>
    <row r="2596" spans="1:26">
      <c r="A2596">
        <v>2595</v>
      </c>
      <c r="B2596">
        <v>852</v>
      </c>
      <c r="C2596" s="2">
        <v>46146</v>
      </c>
      <c r="D2596" t="s">
        <v>46</v>
      </c>
      <c r="E2596">
        <v>5</v>
      </c>
      <c r="F2596" s="3">
        <v>9.91</v>
      </c>
      <c r="G2596" t="s">
        <v>27</v>
      </c>
      <c r="H2596">
        <v>47</v>
      </c>
      <c r="I2596" t="s">
        <v>28</v>
      </c>
      <c r="J2596" s="4">
        <v>74.2</v>
      </c>
      <c r="K2596" s="4">
        <v>137.9</v>
      </c>
      <c r="L2596" s="4">
        <v>17.600000000000001</v>
      </c>
      <c r="M2596">
        <v>13</v>
      </c>
      <c r="N2596" t="s">
        <v>54</v>
      </c>
      <c r="O2596">
        <v>4</v>
      </c>
      <c r="P2596" s="4">
        <v>1666.2</v>
      </c>
      <c r="Q2596" t="s">
        <v>42</v>
      </c>
      <c r="R2596">
        <v>1</v>
      </c>
      <c r="S2596" t="s">
        <v>38</v>
      </c>
      <c r="T2596">
        <v>1</v>
      </c>
      <c r="U2596">
        <v>0</v>
      </c>
      <c r="V2596" t="s">
        <v>32</v>
      </c>
      <c r="W2596" t="s">
        <v>49</v>
      </c>
      <c r="X2596" s="4">
        <v>7</v>
      </c>
      <c r="Y2596">
        <v>7</v>
      </c>
      <c r="Z2596" s="5">
        <v>136.78</v>
      </c>
    </row>
    <row r="2597" spans="1:26">
      <c r="A2597">
        <v>2596</v>
      </c>
      <c r="B2597">
        <v>853</v>
      </c>
      <c r="C2597" s="2">
        <v>46174</v>
      </c>
      <c r="D2597" t="s">
        <v>46</v>
      </c>
      <c r="E2597">
        <v>6</v>
      </c>
      <c r="F2597" s="3">
        <v>10.89</v>
      </c>
      <c r="G2597" t="s">
        <v>27</v>
      </c>
      <c r="H2597">
        <v>56</v>
      </c>
      <c r="I2597" t="s">
        <v>34</v>
      </c>
      <c r="J2597" s="4">
        <v>61.2</v>
      </c>
      <c r="K2597" s="4">
        <v>127.1</v>
      </c>
      <c r="L2597" s="4">
        <v>24</v>
      </c>
      <c r="M2597">
        <v>16</v>
      </c>
      <c r="N2597" t="s">
        <v>47</v>
      </c>
      <c r="O2597">
        <v>3</v>
      </c>
      <c r="P2597" s="4">
        <v>40.5</v>
      </c>
      <c r="Q2597" t="s">
        <v>42</v>
      </c>
      <c r="R2597">
        <v>1</v>
      </c>
      <c r="S2597" t="s">
        <v>38</v>
      </c>
      <c r="T2597">
        <v>0</v>
      </c>
      <c r="U2597">
        <v>0</v>
      </c>
      <c r="V2597" t="s">
        <v>32</v>
      </c>
      <c r="W2597" t="s">
        <v>39</v>
      </c>
      <c r="X2597" s="4">
        <v>9.4</v>
      </c>
      <c r="Y2597">
        <v>6</v>
      </c>
      <c r="Z2597" s="5">
        <v>283.79000000000002</v>
      </c>
    </row>
    <row r="2598" spans="1:26">
      <c r="A2598">
        <v>2597</v>
      </c>
      <c r="B2598">
        <v>853</v>
      </c>
      <c r="C2598" s="2">
        <v>46174</v>
      </c>
      <c r="D2598" t="s">
        <v>46</v>
      </c>
      <c r="E2598">
        <v>6</v>
      </c>
      <c r="F2598" s="3">
        <v>10.66</v>
      </c>
      <c r="G2598" t="s">
        <v>27</v>
      </c>
      <c r="H2598">
        <v>78</v>
      </c>
      <c r="I2598" t="s">
        <v>28</v>
      </c>
      <c r="J2598" s="4">
        <v>73.599999999999994</v>
      </c>
      <c r="K2598" s="4">
        <v>155.6</v>
      </c>
      <c r="L2598" s="4">
        <v>20.3</v>
      </c>
      <c r="M2598">
        <v>16</v>
      </c>
      <c r="N2598" t="s">
        <v>47</v>
      </c>
      <c r="O2598">
        <v>3</v>
      </c>
      <c r="P2598" s="4">
        <v>40.5</v>
      </c>
      <c r="Q2598" t="s">
        <v>42</v>
      </c>
      <c r="R2598">
        <v>1</v>
      </c>
      <c r="S2598" t="s">
        <v>38</v>
      </c>
      <c r="T2598">
        <v>0</v>
      </c>
      <c r="U2598">
        <v>0</v>
      </c>
      <c r="V2598" t="s">
        <v>32</v>
      </c>
      <c r="W2598" t="s">
        <v>39</v>
      </c>
      <c r="X2598" s="4">
        <v>4.5999999999999996</v>
      </c>
      <c r="Y2598">
        <v>6</v>
      </c>
      <c r="Z2598" s="5">
        <v>122.62</v>
      </c>
    </row>
    <row r="2599" spans="1:26">
      <c r="A2599">
        <v>2598</v>
      </c>
      <c r="B2599">
        <v>853</v>
      </c>
      <c r="C2599" s="2">
        <v>46174</v>
      </c>
      <c r="D2599" t="s">
        <v>46</v>
      </c>
      <c r="E2599">
        <v>6</v>
      </c>
      <c r="F2599" s="3">
        <v>10.75</v>
      </c>
      <c r="G2599" t="s">
        <v>27</v>
      </c>
      <c r="H2599">
        <v>47</v>
      </c>
      <c r="I2599" t="s">
        <v>28</v>
      </c>
      <c r="J2599" s="4">
        <v>66.8</v>
      </c>
      <c r="K2599" s="4">
        <v>192</v>
      </c>
      <c r="L2599" s="4">
        <v>30.1</v>
      </c>
      <c r="M2599">
        <v>14</v>
      </c>
      <c r="N2599" t="s">
        <v>47</v>
      </c>
      <c r="O2599">
        <v>3</v>
      </c>
      <c r="P2599" s="4">
        <v>40.5</v>
      </c>
      <c r="Q2599" t="s">
        <v>42</v>
      </c>
      <c r="R2599">
        <v>1</v>
      </c>
      <c r="S2599" t="s">
        <v>38</v>
      </c>
      <c r="T2599">
        <v>0</v>
      </c>
      <c r="U2599">
        <v>0</v>
      </c>
      <c r="V2599" t="s">
        <v>32</v>
      </c>
      <c r="W2599" t="s">
        <v>39</v>
      </c>
      <c r="X2599" s="4">
        <v>9.8000000000000007</v>
      </c>
      <c r="Y2599">
        <v>8</v>
      </c>
      <c r="Z2599" s="5">
        <v>318.57</v>
      </c>
    </row>
    <row r="2600" spans="1:26">
      <c r="A2600">
        <v>2599</v>
      </c>
      <c r="B2600">
        <v>854</v>
      </c>
      <c r="C2600" s="2">
        <v>46076</v>
      </c>
      <c r="D2600" t="s">
        <v>46</v>
      </c>
      <c r="E2600">
        <v>2</v>
      </c>
      <c r="F2600" s="3">
        <v>9.9700000000000006</v>
      </c>
      <c r="G2600" t="s">
        <v>27</v>
      </c>
      <c r="H2600">
        <v>49</v>
      </c>
      <c r="I2600" t="s">
        <v>34</v>
      </c>
      <c r="J2600" s="4">
        <v>66.400000000000006</v>
      </c>
      <c r="K2600" s="4">
        <v>148.69999999999999</v>
      </c>
      <c r="L2600" s="4">
        <v>23.9</v>
      </c>
      <c r="M2600">
        <v>12</v>
      </c>
      <c r="N2600" t="s">
        <v>41</v>
      </c>
      <c r="O2600">
        <v>2</v>
      </c>
      <c r="P2600" s="4">
        <v>2483.9</v>
      </c>
      <c r="Q2600" t="s">
        <v>42</v>
      </c>
      <c r="R2600">
        <v>0</v>
      </c>
      <c r="S2600" t="s">
        <v>44</v>
      </c>
      <c r="T2600">
        <v>1</v>
      </c>
      <c r="U2600">
        <v>0</v>
      </c>
      <c r="V2600" t="s">
        <v>32</v>
      </c>
      <c r="W2600" t="s">
        <v>43</v>
      </c>
      <c r="X2600" s="4">
        <v>9.9</v>
      </c>
      <c r="Y2600">
        <v>6</v>
      </c>
      <c r="Z2600" s="5">
        <v>231.87</v>
      </c>
    </row>
    <row r="2601" spans="1:26">
      <c r="A2601">
        <v>2600</v>
      </c>
      <c r="B2601">
        <v>854</v>
      </c>
      <c r="C2601" s="2">
        <v>46076</v>
      </c>
      <c r="D2601" t="s">
        <v>46</v>
      </c>
      <c r="E2601">
        <v>2</v>
      </c>
      <c r="F2601" s="3">
        <v>10.06</v>
      </c>
      <c r="G2601" t="s">
        <v>27</v>
      </c>
      <c r="H2601">
        <v>27</v>
      </c>
      <c r="I2601" t="s">
        <v>28</v>
      </c>
      <c r="J2601" s="4">
        <v>70.5</v>
      </c>
      <c r="K2601" s="4">
        <v>215.8</v>
      </c>
      <c r="L2601" s="4">
        <v>30.6</v>
      </c>
      <c r="M2601">
        <v>17</v>
      </c>
      <c r="N2601" t="s">
        <v>41</v>
      </c>
      <c r="O2601">
        <v>2</v>
      </c>
      <c r="P2601" s="4">
        <v>2483.9</v>
      </c>
      <c r="Q2601" t="s">
        <v>42</v>
      </c>
      <c r="R2601">
        <v>0</v>
      </c>
      <c r="S2601" t="s">
        <v>44</v>
      </c>
      <c r="T2601">
        <v>1</v>
      </c>
      <c r="U2601">
        <v>0</v>
      </c>
      <c r="V2601" t="s">
        <v>32</v>
      </c>
      <c r="W2601" t="s">
        <v>43</v>
      </c>
      <c r="X2601" s="4">
        <v>6.9</v>
      </c>
      <c r="Y2601">
        <v>13</v>
      </c>
      <c r="Z2601" s="5">
        <v>303.08999999999997</v>
      </c>
    </row>
    <row r="2602" spans="1:26">
      <c r="A2602">
        <v>2601</v>
      </c>
      <c r="B2602">
        <v>855</v>
      </c>
      <c r="C2602" s="2">
        <v>46264</v>
      </c>
      <c r="D2602" t="s">
        <v>58</v>
      </c>
      <c r="E2602">
        <v>8</v>
      </c>
      <c r="F2602" s="3">
        <v>14.04</v>
      </c>
      <c r="G2602" t="s">
        <v>36</v>
      </c>
      <c r="H2602">
        <v>48</v>
      </c>
      <c r="I2602" t="s">
        <v>28</v>
      </c>
      <c r="J2602" s="4">
        <v>69.5</v>
      </c>
      <c r="K2602" s="4">
        <v>173.2</v>
      </c>
      <c r="L2602" s="4">
        <v>25.2</v>
      </c>
      <c r="M2602">
        <v>14</v>
      </c>
      <c r="N2602" t="s">
        <v>47</v>
      </c>
      <c r="O2602">
        <v>1</v>
      </c>
      <c r="P2602" s="4">
        <v>87</v>
      </c>
      <c r="Q2602" t="s">
        <v>30</v>
      </c>
      <c r="R2602">
        <v>0</v>
      </c>
      <c r="S2602" t="s">
        <v>31</v>
      </c>
      <c r="T2602">
        <v>0</v>
      </c>
      <c r="U2602">
        <v>0</v>
      </c>
      <c r="V2602" t="s">
        <v>32</v>
      </c>
      <c r="W2602" t="s">
        <v>39</v>
      </c>
      <c r="X2602" s="4">
        <v>8.1999999999999993</v>
      </c>
      <c r="Y2602">
        <v>10</v>
      </c>
      <c r="Z2602" s="5">
        <v>168.68</v>
      </c>
    </row>
    <row r="2603" spans="1:26">
      <c r="A2603">
        <v>2602</v>
      </c>
      <c r="B2603">
        <v>856</v>
      </c>
      <c r="C2603" s="2">
        <v>46061</v>
      </c>
      <c r="D2603" t="s">
        <v>58</v>
      </c>
      <c r="E2603">
        <v>2</v>
      </c>
      <c r="F2603" s="3">
        <v>10.56</v>
      </c>
      <c r="G2603" t="s">
        <v>27</v>
      </c>
      <c r="H2603">
        <v>63</v>
      </c>
      <c r="I2603" t="s">
        <v>34</v>
      </c>
      <c r="J2603" s="4">
        <v>62.1</v>
      </c>
      <c r="K2603" s="4">
        <v>106.3</v>
      </c>
      <c r="L2603" s="4">
        <v>19.600000000000001</v>
      </c>
      <c r="M2603">
        <v>15</v>
      </c>
      <c r="N2603" t="s">
        <v>65</v>
      </c>
      <c r="O2603">
        <v>1</v>
      </c>
      <c r="P2603" s="4">
        <v>2379.3000000000002</v>
      </c>
      <c r="Q2603" t="s">
        <v>42</v>
      </c>
      <c r="R2603">
        <v>1</v>
      </c>
      <c r="S2603" t="s">
        <v>44</v>
      </c>
      <c r="T2603">
        <v>0</v>
      </c>
      <c r="U2603">
        <v>0</v>
      </c>
      <c r="V2603" t="s">
        <v>32</v>
      </c>
      <c r="W2603" t="s">
        <v>49</v>
      </c>
      <c r="X2603" s="4">
        <v>8.1</v>
      </c>
      <c r="Y2603">
        <v>5</v>
      </c>
      <c r="Z2603" s="5">
        <v>229.35</v>
      </c>
    </row>
    <row r="2604" spans="1:26">
      <c r="A2604">
        <v>2603</v>
      </c>
      <c r="B2604">
        <v>857</v>
      </c>
      <c r="C2604" s="2">
        <v>46330</v>
      </c>
      <c r="D2604" t="s">
        <v>52</v>
      </c>
      <c r="E2604">
        <v>11</v>
      </c>
      <c r="F2604" s="3">
        <v>8.4700000000000006</v>
      </c>
      <c r="G2604" t="s">
        <v>27</v>
      </c>
      <c r="H2604">
        <v>10</v>
      </c>
      <c r="I2604" t="s">
        <v>51</v>
      </c>
      <c r="J2604" s="4">
        <v>67.2</v>
      </c>
      <c r="K2604" s="4">
        <v>130.4</v>
      </c>
      <c r="L2604" s="4">
        <v>20.399999999999999</v>
      </c>
      <c r="M2604">
        <v>14</v>
      </c>
      <c r="N2604" t="s">
        <v>50</v>
      </c>
      <c r="O2604">
        <v>6</v>
      </c>
      <c r="P2604" s="4">
        <v>277.3</v>
      </c>
      <c r="Q2604" t="s">
        <v>42</v>
      </c>
      <c r="R2604">
        <v>1</v>
      </c>
      <c r="S2604" t="s">
        <v>44</v>
      </c>
      <c r="T2604">
        <v>0</v>
      </c>
      <c r="U2604">
        <v>0</v>
      </c>
      <c r="V2604" t="s">
        <v>32</v>
      </c>
      <c r="W2604" t="s">
        <v>39</v>
      </c>
      <c r="X2604" s="4">
        <v>6.2</v>
      </c>
      <c r="Y2604">
        <v>9</v>
      </c>
      <c r="Z2604" s="5">
        <v>169.83</v>
      </c>
    </row>
    <row r="2605" spans="1:26">
      <c r="A2605">
        <v>2604</v>
      </c>
      <c r="B2605">
        <v>857</v>
      </c>
      <c r="C2605" s="2">
        <v>46330</v>
      </c>
      <c r="D2605" t="s">
        <v>52</v>
      </c>
      <c r="E2605">
        <v>11</v>
      </c>
      <c r="F2605" s="3">
        <v>8.57</v>
      </c>
      <c r="G2605" t="s">
        <v>27</v>
      </c>
      <c r="H2605">
        <v>41</v>
      </c>
      <c r="I2605" t="s">
        <v>28</v>
      </c>
      <c r="J2605" s="4">
        <v>69.7</v>
      </c>
      <c r="K2605" s="4">
        <v>162.9</v>
      </c>
      <c r="L2605" s="4">
        <v>23.4</v>
      </c>
      <c r="M2605">
        <v>16</v>
      </c>
      <c r="N2605" t="s">
        <v>50</v>
      </c>
      <c r="O2605">
        <v>6</v>
      </c>
      <c r="P2605" s="4">
        <v>277.3</v>
      </c>
      <c r="Q2605" t="s">
        <v>42</v>
      </c>
      <c r="R2605">
        <v>1</v>
      </c>
      <c r="S2605" t="s">
        <v>44</v>
      </c>
      <c r="T2605">
        <v>0</v>
      </c>
      <c r="U2605">
        <v>0</v>
      </c>
      <c r="V2605" t="s">
        <v>32</v>
      </c>
      <c r="W2605" t="s">
        <v>39</v>
      </c>
      <c r="X2605" s="4">
        <v>6.3</v>
      </c>
      <c r="Y2605">
        <v>8</v>
      </c>
      <c r="Z2605" s="5">
        <v>185.55</v>
      </c>
    </row>
    <row r="2606" spans="1:26">
      <c r="A2606">
        <v>2605</v>
      </c>
      <c r="B2606">
        <v>857</v>
      </c>
      <c r="C2606" s="2">
        <v>46330</v>
      </c>
      <c r="D2606" t="s">
        <v>52</v>
      </c>
      <c r="E2606">
        <v>11</v>
      </c>
      <c r="F2606" s="3">
        <v>8.56</v>
      </c>
      <c r="G2606" t="s">
        <v>27</v>
      </c>
      <c r="H2606">
        <v>30</v>
      </c>
      <c r="I2606" t="s">
        <v>34</v>
      </c>
      <c r="J2606" s="4">
        <v>67.900000000000006</v>
      </c>
      <c r="K2606" s="4">
        <v>219.3</v>
      </c>
      <c r="L2606" s="4">
        <v>33.5</v>
      </c>
      <c r="M2606">
        <v>17</v>
      </c>
      <c r="N2606" t="s">
        <v>50</v>
      </c>
      <c r="O2606">
        <v>6</v>
      </c>
      <c r="P2606" s="4">
        <v>277.3</v>
      </c>
      <c r="Q2606" t="s">
        <v>42</v>
      </c>
      <c r="R2606">
        <v>1</v>
      </c>
      <c r="S2606" t="s">
        <v>44</v>
      </c>
      <c r="T2606">
        <v>0</v>
      </c>
      <c r="U2606">
        <v>0</v>
      </c>
      <c r="V2606" t="s">
        <v>32</v>
      </c>
      <c r="W2606" t="s">
        <v>39</v>
      </c>
      <c r="X2606" s="4">
        <v>7.4</v>
      </c>
      <c r="Y2606">
        <v>10</v>
      </c>
      <c r="Z2606" s="5">
        <v>193.6</v>
      </c>
    </row>
    <row r="2607" spans="1:26">
      <c r="A2607">
        <v>2606</v>
      </c>
      <c r="B2607">
        <v>857</v>
      </c>
      <c r="C2607" s="2">
        <v>46330</v>
      </c>
      <c r="D2607" t="s">
        <v>52</v>
      </c>
      <c r="E2607">
        <v>11</v>
      </c>
      <c r="F2607" s="3">
        <v>8.6999999999999993</v>
      </c>
      <c r="G2607" t="s">
        <v>27</v>
      </c>
      <c r="H2607">
        <v>3</v>
      </c>
      <c r="I2607" t="s">
        <v>28</v>
      </c>
      <c r="J2607" s="4">
        <v>54.5</v>
      </c>
      <c r="K2607" s="4">
        <v>101.3</v>
      </c>
      <c r="L2607" s="4">
        <v>24.2</v>
      </c>
      <c r="M2607">
        <v>12</v>
      </c>
      <c r="N2607" t="s">
        <v>50</v>
      </c>
      <c r="O2607">
        <v>6</v>
      </c>
      <c r="P2607" s="4">
        <v>277.3</v>
      </c>
      <c r="Q2607" t="s">
        <v>42</v>
      </c>
      <c r="R2607">
        <v>1</v>
      </c>
      <c r="S2607" t="s">
        <v>44</v>
      </c>
      <c r="T2607">
        <v>0</v>
      </c>
      <c r="U2607">
        <v>0</v>
      </c>
      <c r="V2607" t="s">
        <v>32</v>
      </c>
      <c r="W2607" t="s">
        <v>39</v>
      </c>
      <c r="X2607" s="4">
        <v>7.6</v>
      </c>
      <c r="Y2607">
        <v>9</v>
      </c>
      <c r="Z2607" s="5">
        <v>129.57</v>
      </c>
    </row>
    <row r="2608" spans="1:26">
      <c r="A2608">
        <v>2607</v>
      </c>
      <c r="B2608">
        <v>857</v>
      </c>
      <c r="C2608" s="2">
        <v>46330</v>
      </c>
      <c r="D2608" t="s">
        <v>52</v>
      </c>
      <c r="E2608">
        <v>11</v>
      </c>
      <c r="F2608" s="3">
        <v>8.6999999999999993</v>
      </c>
      <c r="G2608" t="s">
        <v>27</v>
      </c>
      <c r="H2608">
        <v>66</v>
      </c>
      <c r="I2608" t="s">
        <v>28</v>
      </c>
      <c r="J2608" s="4">
        <v>61.6</v>
      </c>
      <c r="K2608" s="4">
        <v>99.7</v>
      </c>
      <c r="L2608" s="4">
        <v>18.600000000000001</v>
      </c>
      <c r="M2608">
        <v>15</v>
      </c>
      <c r="N2608" t="s">
        <v>50</v>
      </c>
      <c r="O2608">
        <v>6</v>
      </c>
      <c r="P2608" s="4">
        <v>277.3</v>
      </c>
      <c r="Q2608" t="s">
        <v>42</v>
      </c>
      <c r="R2608">
        <v>1</v>
      </c>
      <c r="S2608" t="s">
        <v>44</v>
      </c>
      <c r="T2608">
        <v>0</v>
      </c>
      <c r="U2608">
        <v>0</v>
      </c>
      <c r="V2608" t="s">
        <v>32</v>
      </c>
      <c r="W2608" t="s">
        <v>39</v>
      </c>
      <c r="X2608" s="4">
        <v>10.9</v>
      </c>
      <c r="Y2608">
        <v>5</v>
      </c>
      <c r="Z2608" s="5">
        <v>190.56</v>
      </c>
    </row>
    <row r="2609" spans="1:26">
      <c r="A2609">
        <v>2608</v>
      </c>
      <c r="B2609">
        <v>857</v>
      </c>
      <c r="C2609" s="2">
        <v>46330</v>
      </c>
      <c r="D2609" t="s">
        <v>52</v>
      </c>
      <c r="E2609">
        <v>11</v>
      </c>
      <c r="F2609" s="3">
        <v>8.66</v>
      </c>
      <c r="G2609" t="s">
        <v>27</v>
      </c>
      <c r="H2609">
        <v>60</v>
      </c>
      <c r="I2609" t="s">
        <v>28</v>
      </c>
      <c r="J2609" s="4">
        <v>70.400000000000006</v>
      </c>
      <c r="K2609" s="4">
        <v>185.6</v>
      </c>
      <c r="L2609" s="4">
        <v>26.1</v>
      </c>
      <c r="M2609">
        <v>17</v>
      </c>
      <c r="N2609" t="s">
        <v>50</v>
      </c>
      <c r="O2609">
        <v>6</v>
      </c>
      <c r="P2609" s="4">
        <v>277.3</v>
      </c>
      <c r="Q2609" t="s">
        <v>42</v>
      </c>
      <c r="R2609">
        <v>1</v>
      </c>
      <c r="S2609" t="s">
        <v>44</v>
      </c>
      <c r="T2609">
        <v>0</v>
      </c>
      <c r="U2609">
        <v>0</v>
      </c>
      <c r="V2609" t="s">
        <v>32</v>
      </c>
      <c r="W2609" t="s">
        <v>39</v>
      </c>
      <c r="X2609" s="4">
        <v>8.5</v>
      </c>
      <c r="Y2609">
        <v>8</v>
      </c>
      <c r="Z2609" s="5">
        <v>89.03</v>
      </c>
    </row>
    <row r="2610" spans="1:26">
      <c r="A2610">
        <v>2609</v>
      </c>
      <c r="B2610">
        <v>858</v>
      </c>
      <c r="C2610" s="2">
        <v>46154</v>
      </c>
      <c r="D2610" t="s">
        <v>35</v>
      </c>
      <c r="E2610">
        <v>5</v>
      </c>
      <c r="F2610" s="3">
        <v>11.32</v>
      </c>
      <c r="G2610" t="s">
        <v>36</v>
      </c>
      <c r="H2610">
        <v>49</v>
      </c>
      <c r="I2610" t="s">
        <v>34</v>
      </c>
      <c r="J2610" s="4">
        <v>62.5</v>
      </c>
      <c r="K2610" s="4">
        <v>168.1</v>
      </c>
      <c r="L2610" s="4">
        <v>30.5</v>
      </c>
      <c r="M2610">
        <v>16</v>
      </c>
      <c r="N2610" t="s">
        <v>59</v>
      </c>
      <c r="O2610">
        <v>5</v>
      </c>
      <c r="P2610" s="4">
        <v>667.8</v>
      </c>
      <c r="Q2610" t="s">
        <v>42</v>
      </c>
      <c r="R2610">
        <v>1</v>
      </c>
      <c r="S2610" t="s">
        <v>38</v>
      </c>
      <c r="T2610">
        <v>1</v>
      </c>
      <c r="U2610">
        <v>0</v>
      </c>
      <c r="V2610" t="s">
        <v>45</v>
      </c>
      <c r="W2610" t="s">
        <v>39</v>
      </c>
      <c r="X2610" s="4">
        <v>9</v>
      </c>
      <c r="Y2610">
        <v>8</v>
      </c>
      <c r="Z2610" s="5">
        <v>157.57</v>
      </c>
    </row>
    <row r="2611" spans="1:26">
      <c r="A2611">
        <v>2610</v>
      </c>
      <c r="B2611">
        <v>858</v>
      </c>
      <c r="C2611" s="2">
        <v>46154</v>
      </c>
      <c r="D2611" t="s">
        <v>35</v>
      </c>
      <c r="E2611">
        <v>5</v>
      </c>
      <c r="F2611" s="3">
        <v>11.4</v>
      </c>
      <c r="G2611" t="s">
        <v>36</v>
      </c>
      <c r="H2611">
        <v>67</v>
      </c>
      <c r="I2611" t="s">
        <v>28</v>
      </c>
      <c r="J2611" s="4">
        <v>60.7</v>
      </c>
      <c r="K2611" s="4">
        <v>110</v>
      </c>
      <c r="L2611" s="4">
        <v>21.2</v>
      </c>
      <c r="M2611">
        <v>18</v>
      </c>
      <c r="N2611" t="s">
        <v>59</v>
      </c>
      <c r="O2611">
        <v>5</v>
      </c>
      <c r="P2611" s="4">
        <v>667.8</v>
      </c>
      <c r="Q2611" t="s">
        <v>42</v>
      </c>
      <c r="R2611">
        <v>1</v>
      </c>
      <c r="S2611" t="s">
        <v>38</v>
      </c>
      <c r="T2611">
        <v>1</v>
      </c>
      <c r="U2611">
        <v>0</v>
      </c>
      <c r="V2611" t="s">
        <v>45</v>
      </c>
      <c r="W2611" t="s">
        <v>39</v>
      </c>
      <c r="X2611" s="4">
        <v>9.6</v>
      </c>
      <c r="Y2611">
        <v>2</v>
      </c>
      <c r="Z2611" s="5">
        <v>228.56</v>
      </c>
    </row>
    <row r="2612" spans="1:26">
      <c r="A2612">
        <v>2611</v>
      </c>
      <c r="B2612">
        <v>858</v>
      </c>
      <c r="C2612" s="2">
        <v>46154</v>
      </c>
      <c r="D2612" t="s">
        <v>35</v>
      </c>
      <c r="E2612">
        <v>5</v>
      </c>
      <c r="F2612" s="3">
        <v>11.41</v>
      </c>
      <c r="G2612" t="s">
        <v>36</v>
      </c>
      <c r="H2612">
        <v>62</v>
      </c>
      <c r="I2612" t="s">
        <v>28</v>
      </c>
      <c r="J2612" s="4">
        <v>72.099999999999994</v>
      </c>
      <c r="K2612" s="4">
        <v>167</v>
      </c>
      <c r="L2612" s="4">
        <v>22.6</v>
      </c>
      <c r="M2612">
        <v>21</v>
      </c>
      <c r="N2612" t="s">
        <v>59</v>
      </c>
      <c r="O2612">
        <v>5</v>
      </c>
      <c r="P2612" s="4">
        <v>667.8</v>
      </c>
      <c r="Q2612" t="s">
        <v>42</v>
      </c>
      <c r="R2612">
        <v>1</v>
      </c>
      <c r="S2612" t="s">
        <v>38</v>
      </c>
      <c r="T2612">
        <v>1</v>
      </c>
      <c r="U2612">
        <v>0</v>
      </c>
      <c r="V2612" t="s">
        <v>45</v>
      </c>
      <c r="W2612" t="s">
        <v>39</v>
      </c>
      <c r="X2612" s="4">
        <v>9</v>
      </c>
      <c r="Y2612">
        <v>13</v>
      </c>
      <c r="Z2612" s="5">
        <v>238.39</v>
      </c>
    </row>
    <row r="2613" spans="1:26">
      <c r="A2613">
        <v>2612</v>
      </c>
      <c r="B2613">
        <v>858</v>
      </c>
      <c r="C2613" s="2">
        <v>46154</v>
      </c>
      <c r="D2613" t="s">
        <v>35</v>
      </c>
      <c r="E2613">
        <v>5</v>
      </c>
      <c r="F2613" s="3">
        <v>11.07</v>
      </c>
      <c r="G2613" t="s">
        <v>36</v>
      </c>
      <c r="H2613">
        <v>35</v>
      </c>
      <c r="I2613" t="s">
        <v>34</v>
      </c>
      <c r="J2613" s="4">
        <v>61.8</v>
      </c>
      <c r="K2613" s="4">
        <v>138.9</v>
      </c>
      <c r="L2613" s="4">
        <v>25.7</v>
      </c>
      <c r="M2613">
        <v>14</v>
      </c>
      <c r="N2613" t="s">
        <v>59</v>
      </c>
      <c r="O2613">
        <v>5</v>
      </c>
      <c r="P2613" s="4">
        <v>667.8</v>
      </c>
      <c r="Q2613" t="s">
        <v>42</v>
      </c>
      <c r="R2613">
        <v>1</v>
      </c>
      <c r="S2613" t="s">
        <v>38</v>
      </c>
      <c r="T2613">
        <v>1</v>
      </c>
      <c r="U2613">
        <v>0</v>
      </c>
      <c r="V2613" t="s">
        <v>45</v>
      </c>
      <c r="W2613" t="s">
        <v>39</v>
      </c>
      <c r="X2613" s="4">
        <v>7.2</v>
      </c>
      <c r="Y2613">
        <v>12</v>
      </c>
      <c r="Z2613" s="5">
        <v>150.27000000000001</v>
      </c>
    </row>
    <row r="2614" spans="1:26">
      <c r="A2614">
        <v>2613</v>
      </c>
      <c r="B2614">
        <v>858</v>
      </c>
      <c r="C2614" s="2">
        <v>46154</v>
      </c>
      <c r="D2614" t="s">
        <v>35</v>
      </c>
      <c r="E2614">
        <v>5</v>
      </c>
      <c r="F2614" s="3">
        <v>11.48</v>
      </c>
      <c r="G2614" t="s">
        <v>36</v>
      </c>
      <c r="H2614">
        <v>43</v>
      </c>
      <c r="I2614" t="s">
        <v>34</v>
      </c>
      <c r="J2614" s="4">
        <v>63.1</v>
      </c>
      <c r="K2614" s="4">
        <v>118.1</v>
      </c>
      <c r="L2614" s="4">
        <v>20.6</v>
      </c>
      <c r="M2614">
        <v>16</v>
      </c>
      <c r="N2614" t="s">
        <v>59</v>
      </c>
      <c r="O2614">
        <v>5</v>
      </c>
      <c r="P2614" s="4">
        <v>667.8</v>
      </c>
      <c r="Q2614" t="s">
        <v>42</v>
      </c>
      <c r="R2614">
        <v>1</v>
      </c>
      <c r="S2614" t="s">
        <v>38</v>
      </c>
      <c r="T2614">
        <v>1</v>
      </c>
      <c r="U2614">
        <v>0</v>
      </c>
      <c r="V2614" t="s">
        <v>45</v>
      </c>
      <c r="W2614" t="s">
        <v>39</v>
      </c>
      <c r="X2614" s="4">
        <v>8.4</v>
      </c>
      <c r="Y2614">
        <v>6</v>
      </c>
      <c r="Z2614" s="5">
        <v>216.98</v>
      </c>
    </row>
    <row r="2615" spans="1:26">
      <c r="A2615">
        <v>2614</v>
      </c>
      <c r="B2615">
        <v>859</v>
      </c>
      <c r="C2615" s="2">
        <v>46276</v>
      </c>
      <c r="D2615" t="s">
        <v>26</v>
      </c>
      <c r="E2615">
        <v>9</v>
      </c>
      <c r="F2615" s="3">
        <v>11.33</v>
      </c>
      <c r="G2615" t="s">
        <v>36</v>
      </c>
      <c r="H2615">
        <v>12</v>
      </c>
      <c r="I2615" t="s">
        <v>28</v>
      </c>
      <c r="J2615" s="4">
        <v>63.6</v>
      </c>
      <c r="K2615" s="4">
        <v>128.4</v>
      </c>
      <c r="L2615" s="4">
        <v>22.4</v>
      </c>
      <c r="M2615">
        <v>12</v>
      </c>
      <c r="N2615" t="s">
        <v>47</v>
      </c>
      <c r="O2615">
        <v>2</v>
      </c>
      <c r="P2615" s="4">
        <v>49.7</v>
      </c>
      <c r="Q2615" t="s">
        <v>30</v>
      </c>
      <c r="R2615">
        <v>0</v>
      </c>
      <c r="S2615" t="s">
        <v>38</v>
      </c>
      <c r="T2615">
        <v>1</v>
      </c>
      <c r="U2615">
        <v>0</v>
      </c>
      <c r="V2615" t="s">
        <v>32</v>
      </c>
      <c r="W2615" t="s">
        <v>49</v>
      </c>
      <c r="X2615" s="4">
        <v>8.1999999999999993</v>
      </c>
      <c r="Y2615">
        <v>2</v>
      </c>
      <c r="Z2615" s="5">
        <v>176.53</v>
      </c>
    </row>
    <row r="2616" spans="1:26">
      <c r="A2616">
        <v>2615</v>
      </c>
      <c r="B2616">
        <v>859</v>
      </c>
      <c r="C2616" s="2">
        <v>46276</v>
      </c>
      <c r="D2616" t="s">
        <v>26</v>
      </c>
      <c r="E2616">
        <v>9</v>
      </c>
      <c r="F2616" s="3">
        <v>11.44</v>
      </c>
      <c r="G2616" t="s">
        <v>36</v>
      </c>
      <c r="H2616">
        <v>59</v>
      </c>
      <c r="I2616" t="s">
        <v>28</v>
      </c>
      <c r="J2616" s="4">
        <v>68.5</v>
      </c>
      <c r="K2616" s="4">
        <v>116.7</v>
      </c>
      <c r="L2616" s="4">
        <v>17.2</v>
      </c>
      <c r="M2616">
        <v>12</v>
      </c>
      <c r="N2616" t="s">
        <v>47</v>
      </c>
      <c r="O2616">
        <v>2</v>
      </c>
      <c r="P2616" s="4">
        <v>49.7</v>
      </c>
      <c r="Q2616" t="s">
        <v>30</v>
      </c>
      <c r="R2616">
        <v>0</v>
      </c>
      <c r="S2616" t="s">
        <v>38</v>
      </c>
      <c r="T2616">
        <v>1</v>
      </c>
      <c r="U2616">
        <v>0</v>
      </c>
      <c r="V2616" t="s">
        <v>32</v>
      </c>
      <c r="W2616" t="s">
        <v>49</v>
      </c>
      <c r="X2616" s="4">
        <v>10.3</v>
      </c>
      <c r="Y2616">
        <v>8</v>
      </c>
      <c r="Z2616" s="5">
        <v>237.33</v>
      </c>
    </row>
    <row r="2617" spans="1:26">
      <c r="A2617">
        <v>2616</v>
      </c>
      <c r="B2617">
        <v>860</v>
      </c>
      <c r="C2617" s="2">
        <v>46058</v>
      </c>
      <c r="D2617" t="s">
        <v>55</v>
      </c>
      <c r="E2617">
        <v>2</v>
      </c>
      <c r="F2617" s="3">
        <v>10.73</v>
      </c>
      <c r="G2617" t="s">
        <v>27</v>
      </c>
      <c r="H2617">
        <v>59</v>
      </c>
      <c r="I2617" t="s">
        <v>34</v>
      </c>
      <c r="J2617" s="4">
        <v>65.5</v>
      </c>
      <c r="K2617" s="4">
        <v>147.9</v>
      </c>
      <c r="L2617" s="4">
        <v>24.5</v>
      </c>
      <c r="M2617">
        <v>15</v>
      </c>
      <c r="N2617" t="s">
        <v>47</v>
      </c>
      <c r="O2617">
        <v>3</v>
      </c>
      <c r="P2617" s="4">
        <v>100</v>
      </c>
      <c r="Q2617" t="s">
        <v>42</v>
      </c>
      <c r="R2617">
        <v>0</v>
      </c>
      <c r="S2617" t="s">
        <v>31</v>
      </c>
      <c r="T2617">
        <v>1</v>
      </c>
      <c r="U2617">
        <v>0</v>
      </c>
      <c r="V2617" t="s">
        <v>45</v>
      </c>
      <c r="W2617" t="s">
        <v>43</v>
      </c>
      <c r="X2617" s="4">
        <v>8.1999999999999993</v>
      </c>
      <c r="Y2617">
        <v>14</v>
      </c>
      <c r="Z2617" s="5">
        <v>157.57</v>
      </c>
    </row>
    <row r="2618" spans="1:26">
      <c r="A2618">
        <v>2617</v>
      </c>
      <c r="B2618">
        <v>860</v>
      </c>
      <c r="C2618" s="2">
        <v>46058</v>
      </c>
      <c r="D2618" t="s">
        <v>55</v>
      </c>
      <c r="E2618">
        <v>2</v>
      </c>
      <c r="F2618" s="3">
        <v>10.8</v>
      </c>
      <c r="G2618" t="s">
        <v>27</v>
      </c>
      <c r="H2618">
        <v>53</v>
      </c>
      <c r="I2618" t="s">
        <v>28</v>
      </c>
      <c r="J2618" s="4">
        <v>70.900000000000006</v>
      </c>
      <c r="K2618" s="4">
        <v>151.4</v>
      </c>
      <c r="L2618" s="4">
        <v>21</v>
      </c>
      <c r="M2618">
        <v>19</v>
      </c>
      <c r="N2618" t="s">
        <v>47</v>
      </c>
      <c r="O2618">
        <v>3</v>
      </c>
      <c r="P2618" s="4">
        <v>100</v>
      </c>
      <c r="Q2618" t="s">
        <v>42</v>
      </c>
      <c r="R2618">
        <v>0</v>
      </c>
      <c r="S2618" t="s">
        <v>31</v>
      </c>
      <c r="T2618">
        <v>1</v>
      </c>
      <c r="U2618">
        <v>0</v>
      </c>
      <c r="V2618" t="s">
        <v>45</v>
      </c>
      <c r="W2618" t="s">
        <v>43</v>
      </c>
      <c r="X2618" s="4">
        <v>8.6999999999999993</v>
      </c>
      <c r="Y2618">
        <v>9</v>
      </c>
      <c r="Z2618" s="5">
        <v>287.87</v>
      </c>
    </row>
    <row r="2619" spans="1:26">
      <c r="A2619">
        <v>2618</v>
      </c>
      <c r="B2619">
        <v>860</v>
      </c>
      <c r="C2619" s="2">
        <v>46058</v>
      </c>
      <c r="D2619" t="s">
        <v>55</v>
      </c>
      <c r="E2619">
        <v>2</v>
      </c>
      <c r="F2619" s="3">
        <v>10.8</v>
      </c>
      <c r="G2619" t="s">
        <v>27</v>
      </c>
      <c r="H2619">
        <v>18</v>
      </c>
      <c r="I2619" t="s">
        <v>28</v>
      </c>
      <c r="J2619" s="4">
        <v>64.8</v>
      </c>
      <c r="K2619" s="4">
        <v>179.3</v>
      </c>
      <c r="L2619" s="4">
        <v>30.1</v>
      </c>
      <c r="M2619">
        <v>12</v>
      </c>
      <c r="N2619" t="s">
        <v>47</v>
      </c>
      <c r="O2619">
        <v>3</v>
      </c>
      <c r="P2619" s="4">
        <v>100</v>
      </c>
      <c r="Q2619" t="s">
        <v>42</v>
      </c>
      <c r="R2619">
        <v>0</v>
      </c>
      <c r="S2619" t="s">
        <v>31</v>
      </c>
      <c r="T2619">
        <v>1</v>
      </c>
      <c r="U2619">
        <v>0</v>
      </c>
      <c r="V2619" t="s">
        <v>45</v>
      </c>
      <c r="W2619" t="s">
        <v>43</v>
      </c>
      <c r="X2619" s="4">
        <v>11</v>
      </c>
      <c r="Y2619">
        <v>18</v>
      </c>
      <c r="Z2619" s="5">
        <v>227.67</v>
      </c>
    </row>
    <row r="2620" spans="1:26">
      <c r="A2620">
        <v>2619</v>
      </c>
      <c r="B2620">
        <v>861</v>
      </c>
      <c r="C2620" s="2">
        <v>46034</v>
      </c>
      <c r="D2620" t="s">
        <v>46</v>
      </c>
      <c r="E2620">
        <v>1</v>
      </c>
      <c r="F2620" s="3">
        <v>9.9600000000000009</v>
      </c>
      <c r="G2620" t="s">
        <v>27</v>
      </c>
      <c r="H2620">
        <v>52</v>
      </c>
      <c r="I2620" t="s">
        <v>34</v>
      </c>
      <c r="J2620" s="4">
        <v>65.5</v>
      </c>
      <c r="K2620" s="4">
        <v>179.5</v>
      </c>
      <c r="L2620" s="4">
        <v>29.5</v>
      </c>
      <c r="M2620">
        <v>16</v>
      </c>
      <c r="N2620" t="s">
        <v>47</v>
      </c>
      <c r="O2620">
        <v>4</v>
      </c>
      <c r="P2620" s="4">
        <v>124.2</v>
      </c>
      <c r="Q2620" t="s">
        <v>30</v>
      </c>
      <c r="R2620">
        <v>1</v>
      </c>
      <c r="S2620" t="s">
        <v>44</v>
      </c>
      <c r="T2620">
        <v>0</v>
      </c>
      <c r="U2620">
        <v>0</v>
      </c>
      <c r="V2620" t="s">
        <v>32</v>
      </c>
      <c r="W2620" t="s">
        <v>49</v>
      </c>
      <c r="X2620" s="4">
        <v>8.8000000000000007</v>
      </c>
      <c r="Y2620">
        <v>6</v>
      </c>
      <c r="Z2620" s="5">
        <v>206.69</v>
      </c>
    </row>
    <row r="2621" spans="1:26">
      <c r="A2621">
        <v>2620</v>
      </c>
      <c r="B2621">
        <v>861</v>
      </c>
      <c r="C2621" s="2">
        <v>46034</v>
      </c>
      <c r="D2621" t="s">
        <v>46</v>
      </c>
      <c r="E2621">
        <v>1</v>
      </c>
      <c r="F2621" s="3">
        <v>10.02</v>
      </c>
      <c r="G2621" t="s">
        <v>27</v>
      </c>
      <c r="H2621">
        <v>59</v>
      </c>
      <c r="I2621" t="s">
        <v>34</v>
      </c>
      <c r="J2621" s="4">
        <v>62.4</v>
      </c>
      <c r="K2621" s="4">
        <v>134</v>
      </c>
      <c r="L2621" s="4">
        <v>24</v>
      </c>
      <c r="M2621">
        <v>14</v>
      </c>
      <c r="N2621" t="s">
        <v>47</v>
      </c>
      <c r="O2621">
        <v>4</v>
      </c>
      <c r="P2621" s="4">
        <v>124.2</v>
      </c>
      <c r="Q2621" t="s">
        <v>30</v>
      </c>
      <c r="R2621">
        <v>1</v>
      </c>
      <c r="S2621" t="s">
        <v>44</v>
      </c>
      <c r="T2621">
        <v>0</v>
      </c>
      <c r="U2621">
        <v>0</v>
      </c>
      <c r="V2621" t="s">
        <v>32</v>
      </c>
      <c r="W2621" t="s">
        <v>49</v>
      </c>
      <c r="X2621" s="4">
        <v>6.2</v>
      </c>
      <c r="Y2621">
        <v>8</v>
      </c>
      <c r="Z2621" s="5">
        <v>175.04</v>
      </c>
    </row>
    <row r="2622" spans="1:26">
      <c r="A2622">
        <v>2621</v>
      </c>
      <c r="B2622">
        <v>861</v>
      </c>
      <c r="C2622" s="2">
        <v>46034</v>
      </c>
      <c r="D2622" t="s">
        <v>46</v>
      </c>
      <c r="E2622">
        <v>1</v>
      </c>
      <c r="F2622" s="3">
        <v>10.050000000000001</v>
      </c>
      <c r="G2622" t="s">
        <v>27</v>
      </c>
      <c r="H2622">
        <v>54</v>
      </c>
      <c r="I2622" t="s">
        <v>34</v>
      </c>
      <c r="J2622" s="4">
        <v>67</v>
      </c>
      <c r="K2622" s="4">
        <v>198.6</v>
      </c>
      <c r="L2622" s="4">
        <v>30.9</v>
      </c>
      <c r="M2622">
        <v>15</v>
      </c>
      <c r="N2622" t="s">
        <v>47</v>
      </c>
      <c r="O2622">
        <v>4</v>
      </c>
      <c r="P2622" s="4">
        <v>124.2</v>
      </c>
      <c r="Q2622" t="s">
        <v>30</v>
      </c>
      <c r="R2622">
        <v>1</v>
      </c>
      <c r="S2622" t="s">
        <v>44</v>
      </c>
      <c r="T2622">
        <v>0</v>
      </c>
      <c r="U2622">
        <v>0</v>
      </c>
      <c r="V2622" t="s">
        <v>32</v>
      </c>
      <c r="W2622" t="s">
        <v>49</v>
      </c>
      <c r="X2622" s="4">
        <v>10.6</v>
      </c>
      <c r="Y2622">
        <v>14</v>
      </c>
      <c r="Z2622" s="5">
        <v>350.07</v>
      </c>
    </row>
    <row r="2623" spans="1:26">
      <c r="A2623">
        <v>2622</v>
      </c>
      <c r="B2623">
        <v>861</v>
      </c>
      <c r="C2623" s="2">
        <v>46034</v>
      </c>
      <c r="D2623" t="s">
        <v>46</v>
      </c>
      <c r="E2623">
        <v>1</v>
      </c>
      <c r="F2623" s="3">
        <v>10.02</v>
      </c>
      <c r="G2623" t="s">
        <v>27</v>
      </c>
      <c r="H2623">
        <v>34</v>
      </c>
      <c r="I2623" t="s">
        <v>28</v>
      </c>
      <c r="J2623" s="4">
        <v>75.2</v>
      </c>
      <c r="K2623" s="4">
        <v>202.5</v>
      </c>
      <c r="L2623" s="4">
        <v>25.1</v>
      </c>
      <c r="M2623">
        <v>12</v>
      </c>
      <c r="N2623" t="s">
        <v>47</v>
      </c>
      <c r="O2623">
        <v>4</v>
      </c>
      <c r="P2623" s="4">
        <v>124.2</v>
      </c>
      <c r="Q2623" t="s">
        <v>30</v>
      </c>
      <c r="R2623">
        <v>1</v>
      </c>
      <c r="S2623" t="s">
        <v>44</v>
      </c>
      <c r="T2623">
        <v>0</v>
      </c>
      <c r="U2623">
        <v>0</v>
      </c>
      <c r="V2623" t="s">
        <v>32</v>
      </c>
      <c r="W2623" t="s">
        <v>49</v>
      </c>
      <c r="X2623" s="4">
        <v>6.2</v>
      </c>
      <c r="Y2623">
        <v>5</v>
      </c>
      <c r="Z2623" s="5">
        <v>303.74</v>
      </c>
    </row>
    <row r="2624" spans="1:26">
      <c r="A2624">
        <v>2623</v>
      </c>
      <c r="B2624">
        <v>862</v>
      </c>
      <c r="C2624" s="2">
        <v>46248</v>
      </c>
      <c r="D2624" t="s">
        <v>26</v>
      </c>
      <c r="E2624">
        <v>8</v>
      </c>
      <c r="F2624" s="3">
        <v>10.31</v>
      </c>
      <c r="G2624" t="s">
        <v>27</v>
      </c>
      <c r="H2624">
        <v>54</v>
      </c>
      <c r="I2624" t="s">
        <v>28</v>
      </c>
      <c r="J2624" s="4">
        <v>63.5</v>
      </c>
      <c r="K2624" s="4">
        <v>165.8</v>
      </c>
      <c r="L2624" s="4">
        <v>28.8</v>
      </c>
      <c r="M2624">
        <v>14</v>
      </c>
      <c r="N2624" t="s">
        <v>66</v>
      </c>
      <c r="O2624">
        <v>4</v>
      </c>
      <c r="P2624" s="4">
        <v>915</v>
      </c>
      <c r="Q2624" t="s">
        <v>42</v>
      </c>
      <c r="R2624">
        <v>0</v>
      </c>
      <c r="S2624" t="s">
        <v>44</v>
      </c>
      <c r="T2624">
        <v>0</v>
      </c>
      <c r="U2624">
        <v>1</v>
      </c>
      <c r="V2624" t="s">
        <v>32</v>
      </c>
      <c r="W2624" t="s">
        <v>33</v>
      </c>
      <c r="X2624" s="4">
        <v>8.1999999999999993</v>
      </c>
      <c r="Y2624">
        <v>10</v>
      </c>
      <c r="Z2624" s="5">
        <v>199.24</v>
      </c>
    </row>
    <row r="2625" spans="1:26">
      <c r="A2625">
        <v>2624</v>
      </c>
      <c r="B2625">
        <v>862</v>
      </c>
      <c r="C2625" s="2">
        <v>46248</v>
      </c>
      <c r="D2625" t="s">
        <v>26</v>
      </c>
      <c r="E2625">
        <v>8</v>
      </c>
      <c r="F2625" s="3">
        <v>10.199999999999999</v>
      </c>
      <c r="G2625" t="s">
        <v>27</v>
      </c>
      <c r="H2625">
        <v>18</v>
      </c>
      <c r="I2625" t="s">
        <v>34</v>
      </c>
      <c r="J2625" s="4">
        <v>61.3</v>
      </c>
      <c r="K2625" s="4">
        <v>116.1</v>
      </c>
      <c r="L2625" s="4">
        <v>21.8</v>
      </c>
      <c r="M2625">
        <v>12</v>
      </c>
      <c r="N2625" t="s">
        <v>66</v>
      </c>
      <c r="O2625">
        <v>4</v>
      </c>
      <c r="P2625" s="4">
        <v>915</v>
      </c>
      <c r="Q2625" t="s">
        <v>42</v>
      </c>
      <c r="R2625">
        <v>0</v>
      </c>
      <c r="S2625" t="s">
        <v>44</v>
      </c>
      <c r="T2625">
        <v>0</v>
      </c>
      <c r="U2625">
        <v>1</v>
      </c>
      <c r="V2625" t="s">
        <v>32</v>
      </c>
      <c r="W2625" t="s">
        <v>33</v>
      </c>
      <c r="X2625" s="4">
        <v>7.5</v>
      </c>
      <c r="Y2625">
        <v>5</v>
      </c>
      <c r="Z2625" s="5">
        <v>186.73</v>
      </c>
    </row>
    <row r="2626" spans="1:26">
      <c r="A2626">
        <v>2625</v>
      </c>
      <c r="B2626">
        <v>862</v>
      </c>
      <c r="C2626" s="2">
        <v>46248</v>
      </c>
      <c r="D2626" t="s">
        <v>26</v>
      </c>
      <c r="E2626">
        <v>8</v>
      </c>
      <c r="F2626" s="3">
        <v>9.98</v>
      </c>
      <c r="G2626" t="s">
        <v>27</v>
      </c>
      <c r="H2626">
        <v>55</v>
      </c>
      <c r="I2626" t="s">
        <v>34</v>
      </c>
      <c r="J2626" s="4">
        <v>67.400000000000006</v>
      </c>
      <c r="K2626" s="4">
        <v>164.8</v>
      </c>
      <c r="L2626" s="4">
        <v>25.9</v>
      </c>
      <c r="M2626">
        <v>15</v>
      </c>
      <c r="N2626" t="s">
        <v>66</v>
      </c>
      <c r="O2626">
        <v>4</v>
      </c>
      <c r="P2626" s="4">
        <v>915</v>
      </c>
      <c r="Q2626" t="s">
        <v>42</v>
      </c>
      <c r="R2626">
        <v>0</v>
      </c>
      <c r="S2626" t="s">
        <v>44</v>
      </c>
      <c r="T2626">
        <v>0</v>
      </c>
      <c r="U2626">
        <v>1</v>
      </c>
      <c r="V2626" t="s">
        <v>32</v>
      </c>
      <c r="W2626" t="s">
        <v>33</v>
      </c>
      <c r="X2626" s="4">
        <v>10</v>
      </c>
      <c r="Y2626">
        <v>10</v>
      </c>
      <c r="Z2626" s="5">
        <v>267.5</v>
      </c>
    </row>
    <row r="2627" spans="1:26">
      <c r="A2627">
        <v>2626</v>
      </c>
      <c r="B2627">
        <v>862</v>
      </c>
      <c r="C2627" s="2">
        <v>46248</v>
      </c>
      <c r="D2627" t="s">
        <v>26</v>
      </c>
      <c r="E2627">
        <v>8</v>
      </c>
      <c r="F2627" s="3">
        <v>10.3</v>
      </c>
      <c r="G2627" t="s">
        <v>27</v>
      </c>
      <c r="H2627">
        <v>18</v>
      </c>
      <c r="I2627" t="s">
        <v>28</v>
      </c>
      <c r="J2627" s="4">
        <v>69.5</v>
      </c>
      <c r="K2627" s="4">
        <v>190.1</v>
      </c>
      <c r="L2627" s="4">
        <v>27.6</v>
      </c>
      <c r="M2627">
        <v>13</v>
      </c>
      <c r="N2627" t="s">
        <v>66</v>
      </c>
      <c r="O2627">
        <v>4</v>
      </c>
      <c r="P2627" s="4">
        <v>915</v>
      </c>
      <c r="Q2627" t="s">
        <v>42</v>
      </c>
      <c r="R2627">
        <v>0</v>
      </c>
      <c r="S2627" t="s">
        <v>44</v>
      </c>
      <c r="T2627">
        <v>0</v>
      </c>
      <c r="U2627">
        <v>1</v>
      </c>
      <c r="V2627" t="s">
        <v>32</v>
      </c>
      <c r="W2627" t="s">
        <v>33</v>
      </c>
      <c r="X2627" s="4">
        <v>6</v>
      </c>
      <c r="Y2627">
        <v>5</v>
      </c>
      <c r="Z2627" s="5">
        <v>159.52000000000001</v>
      </c>
    </row>
    <row r="2628" spans="1:26">
      <c r="A2628">
        <v>2627</v>
      </c>
      <c r="B2628">
        <v>863</v>
      </c>
      <c r="C2628" s="2">
        <v>46326</v>
      </c>
      <c r="D2628" t="s">
        <v>40</v>
      </c>
      <c r="E2628">
        <v>10</v>
      </c>
      <c r="F2628" s="3">
        <v>11.29</v>
      </c>
      <c r="G2628" t="s">
        <v>36</v>
      </c>
      <c r="H2628">
        <v>60</v>
      </c>
      <c r="I2628" t="s">
        <v>28</v>
      </c>
      <c r="J2628" s="4">
        <v>67.3</v>
      </c>
      <c r="K2628" s="4">
        <v>207.6</v>
      </c>
      <c r="L2628" s="4">
        <v>32.200000000000003</v>
      </c>
      <c r="M2628">
        <v>11</v>
      </c>
      <c r="N2628" t="s">
        <v>66</v>
      </c>
      <c r="O2628">
        <v>5</v>
      </c>
      <c r="P2628" s="4">
        <v>844.8</v>
      </c>
      <c r="Q2628" t="s">
        <v>30</v>
      </c>
      <c r="R2628">
        <v>0</v>
      </c>
      <c r="S2628" t="s">
        <v>31</v>
      </c>
      <c r="T2628">
        <v>0</v>
      </c>
      <c r="U2628">
        <v>0</v>
      </c>
      <c r="V2628" t="s">
        <v>32</v>
      </c>
      <c r="W2628" t="s">
        <v>39</v>
      </c>
      <c r="X2628" s="4">
        <v>8.4</v>
      </c>
      <c r="Y2628">
        <v>7</v>
      </c>
      <c r="Z2628" s="5">
        <v>190.81</v>
      </c>
    </row>
    <row r="2629" spans="1:26">
      <c r="A2629">
        <v>2628</v>
      </c>
      <c r="B2629">
        <v>863</v>
      </c>
      <c r="C2629" s="2">
        <v>46326</v>
      </c>
      <c r="D2629" t="s">
        <v>40</v>
      </c>
      <c r="E2629">
        <v>10</v>
      </c>
      <c r="F2629" s="3">
        <v>11.59</v>
      </c>
      <c r="G2629" t="s">
        <v>36</v>
      </c>
      <c r="H2629">
        <v>30</v>
      </c>
      <c r="I2629" t="s">
        <v>34</v>
      </c>
      <c r="J2629" s="4">
        <v>69.599999999999994</v>
      </c>
      <c r="K2629" s="4">
        <v>170.8</v>
      </c>
      <c r="L2629" s="4">
        <v>24.7</v>
      </c>
      <c r="M2629">
        <v>14</v>
      </c>
      <c r="N2629" t="s">
        <v>66</v>
      </c>
      <c r="O2629">
        <v>5</v>
      </c>
      <c r="P2629" s="4">
        <v>844.8</v>
      </c>
      <c r="Q2629" t="s">
        <v>30</v>
      </c>
      <c r="R2629">
        <v>0</v>
      </c>
      <c r="S2629" t="s">
        <v>31</v>
      </c>
      <c r="T2629">
        <v>0</v>
      </c>
      <c r="U2629">
        <v>0</v>
      </c>
      <c r="V2629" t="s">
        <v>32</v>
      </c>
      <c r="W2629" t="s">
        <v>39</v>
      </c>
      <c r="X2629" s="4">
        <v>5.3</v>
      </c>
      <c r="Y2629">
        <v>5</v>
      </c>
      <c r="Z2629" s="5">
        <v>99.41</v>
      </c>
    </row>
    <row r="2630" spans="1:26">
      <c r="A2630">
        <v>2629</v>
      </c>
      <c r="B2630">
        <v>863</v>
      </c>
      <c r="C2630" s="2">
        <v>46326</v>
      </c>
      <c r="D2630" t="s">
        <v>40</v>
      </c>
      <c r="E2630">
        <v>10</v>
      </c>
      <c r="F2630" s="3">
        <v>11.19</v>
      </c>
      <c r="G2630" t="s">
        <v>36</v>
      </c>
      <c r="H2630">
        <v>55</v>
      </c>
      <c r="I2630" t="s">
        <v>28</v>
      </c>
      <c r="J2630" s="4">
        <v>69.8</v>
      </c>
      <c r="K2630" s="4">
        <v>212.9</v>
      </c>
      <c r="L2630" s="4">
        <v>30.6</v>
      </c>
      <c r="M2630">
        <v>11</v>
      </c>
      <c r="N2630" t="s">
        <v>66</v>
      </c>
      <c r="O2630">
        <v>5</v>
      </c>
      <c r="P2630" s="4">
        <v>844.8</v>
      </c>
      <c r="Q2630" t="s">
        <v>30</v>
      </c>
      <c r="R2630">
        <v>0</v>
      </c>
      <c r="S2630" t="s">
        <v>31</v>
      </c>
      <c r="T2630">
        <v>0</v>
      </c>
      <c r="U2630">
        <v>0</v>
      </c>
      <c r="V2630" t="s">
        <v>32</v>
      </c>
      <c r="W2630" t="s">
        <v>39</v>
      </c>
      <c r="X2630" s="4">
        <v>5.8</v>
      </c>
      <c r="Y2630">
        <v>6</v>
      </c>
      <c r="Z2630" s="5">
        <v>129.04</v>
      </c>
    </row>
    <row r="2631" spans="1:26">
      <c r="A2631">
        <v>2630</v>
      </c>
      <c r="B2631">
        <v>863</v>
      </c>
      <c r="C2631" s="2">
        <v>46326</v>
      </c>
      <c r="D2631" t="s">
        <v>40</v>
      </c>
      <c r="E2631">
        <v>10</v>
      </c>
      <c r="F2631" s="3">
        <v>11.43</v>
      </c>
      <c r="G2631" t="s">
        <v>36</v>
      </c>
      <c r="H2631">
        <v>49</v>
      </c>
      <c r="I2631" t="s">
        <v>28</v>
      </c>
      <c r="J2631" s="4">
        <v>66.900000000000006</v>
      </c>
      <c r="K2631" s="4">
        <v>149.9</v>
      </c>
      <c r="L2631" s="4">
        <v>23.6</v>
      </c>
      <c r="M2631">
        <v>11</v>
      </c>
      <c r="N2631" t="s">
        <v>66</v>
      </c>
      <c r="O2631">
        <v>5</v>
      </c>
      <c r="P2631" s="4">
        <v>844.8</v>
      </c>
      <c r="Q2631" t="s">
        <v>30</v>
      </c>
      <c r="R2631">
        <v>0</v>
      </c>
      <c r="S2631" t="s">
        <v>31</v>
      </c>
      <c r="T2631">
        <v>0</v>
      </c>
      <c r="U2631">
        <v>0</v>
      </c>
      <c r="V2631" t="s">
        <v>32</v>
      </c>
      <c r="W2631" t="s">
        <v>39</v>
      </c>
      <c r="X2631" s="4">
        <v>7.9</v>
      </c>
      <c r="Y2631">
        <v>7</v>
      </c>
      <c r="Z2631" s="5">
        <v>145.47</v>
      </c>
    </row>
    <row r="2632" spans="1:26">
      <c r="A2632">
        <v>2631</v>
      </c>
      <c r="B2632">
        <v>863</v>
      </c>
      <c r="C2632" s="2">
        <v>46326</v>
      </c>
      <c r="D2632" t="s">
        <v>40</v>
      </c>
      <c r="E2632">
        <v>10</v>
      </c>
      <c r="F2632" s="3">
        <v>11.37</v>
      </c>
      <c r="G2632" t="s">
        <v>36</v>
      </c>
      <c r="H2632">
        <v>26</v>
      </c>
      <c r="I2632" t="s">
        <v>34</v>
      </c>
      <c r="J2632" s="4">
        <v>62.7</v>
      </c>
      <c r="K2632" s="4">
        <v>143.4</v>
      </c>
      <c r="L2632" s="4">
        <v>25.2</v>
      </c>
      <c r="M2632">
        <v>14</v>
      </c>
      <c r="N2632" t="s">
        <v>66</v>
      </c>
      <c r="O2632">
        <v>5</v>
      </c>
      <c r="P2632" s="4">
        <v>844.8</v>
      </c>
      <c r="Q2632" t="s">
        <v>30</v>
      </c>
      <c r="R2632">
        <v>0</v>
      </c>
      <c r="S2632" t="s">
        <v>31</v>
      </c>
      <c r="T2632">
        <v>0</v>
      </c>
      <c r="U2632">
        <v>0</v>
      </c>
      <c r="V2632" t="s">
        <v>32</v>
      </c>
      <c r="W2632" t="s">
        <v>39</v>
      </c>
      <c r="X2632" s="4">
        <v>9.6999999999999993</v>
      </c>
      <c r="Y2632">
        <v>11</v>
      </c>
      <c r="Z2632" s="5">
        <v>210.24</v>
      </c>
    </row>
    <row r="2633" spans="1:26">
      <c r="A2633">
        <v>2632</v>
      </c>
      <c r="B2633">
        <v>864</v>
      </c>
      <c r="C2633" s="2">
        <v>46231</v>
      </c>
      <c r="D2633" t="s">
        <v>35</v>
      </c>
      <c r="E2633">
        <v>7</v>
      </c>
      <c r="F2633" s="3">
        <v>9.99</v>
      </c>
      <c r="G2633" t="s">
        <v>27</v>
      </c>
      <c r="H2633">
        <v>55</v>
      </c>
      <c r="I2633" t="s">
        <v>34</v>
      </c>
      <c r="J2633" s="4">
        <v>59</v>
      </c>
      <c r="K2633" s="4">
        <v>97.1</v>
      </c>
      <c r="L2633" s="4">
        <v>19.5</v>
      </c>
      <c r="M2633">
        <v>15</v>
      </c>
      <c r="N2633" t="s">
        <v>47</v>
      </c>
      <c r="O2633">
        <v>5</v>
      </c>
      <c r="P2633" s="4">
        <v>4.5999999999999996</v>
      </c>
      <c r="Q2633" t="s">
        <v>42</v>
      </c>
      <c r="R2633">
        <v>1</v>
      </c>
      <c r="S2633" t="s">
        <v>44</v>
      </c>
      <c r="T2633">
        <v>0</v>
      </c>
      <c r="U2633">
        <v>0</v>
      </c>
      <c r="V2633" t="s">
        <v>32</v>
      </c>
      <c r="W2633" t="s">
        <v>49</v>
      </c>
      <c r="X2633" s="4">
        <v>8.6</v>
      </c>
      <c r="Y2633">
        <v>7</v>
      </c>
      <c r="Z2633" s="5">
        <v>252.64</v>
      </c>
    </row>
    <row r="2634" spans="1:26">
      <c r="A2634">
        <v>2633</v>
      </c>
      <c r="B2634">
        <v>864</v>
      </c>
      <c r="C2634" s="2">
        <v>46231</v>
      </c>
      <c r="D2634" t="s">
        <v>35</v>
      </c>
      <c r="E2634">
        <v>7</v>
      </c>
      <c r="F2634" s="3">
        <v>10.050000000000001</v>
      </c>
      <c r="G2634" t="s">
        <v>27</v>
      </c>
      <c r="H2634">
        <v>46</v>
      </c>
      <c r="I2634" t="s">
        <v>28</v>
      </c>
      <c r="J2634" s="4">
        <v>67.400000000000006</v>
      </c>
      <c r="K2634" s="4">
        <v>152.1</v>
      </c>
      <c r="L2634" s="4">
        <v>23.7</v>
      </c>
      <c r="M2634">
        <v>18</v>
      </c>
      <c r="N2634" t="s">
        <v>47</v>
      </c>
      <c r="O2634">
        <v>5</v>
      </c>
      <c r="P2634" s="4">
        <v>4.5999999999999996</v>
      </c>
      <c r="Q2634" t="s">
        <v>42</v>
      </c>
      <c r="R2634">
        <v>1</v>
      </c>
      <c r="S2634" t="s">
        <v>44</v>
      </c>
      <c r="T2634">
        <v>0</v>
      </c>
      <c r="U2634">
        <v>0</v>
      </c>
      <c r="V2634" t="s">
        <v>32</v>
      </c>
      <c r="W2634" t="s">
        <v>49</v>
      </c>
      <c r="X2634" s="4">
        <v>9.9</v>
      </c>
      <c r="Y2634">
        <v>8</v>
      </c>
      <c r="Z2634" s="5">
        <v>259.63</v>
      </c>
    </row>
    <row r="2635" spans="1:26">
      <c r="A2635">
        <v>2634</v>
      </c>
      <c r="B2635">
        <v>864</v>
      </c>
      <c r="C2635" s="2">
        <v>46231</v>
      </c>
      <c r="D2635" t="s">
        <v>35</v>
      </c>
      <c r="E2635">
        <v>7</v>
      </c>
      <c r="F2635" s="3">
        <v>9.8699999999999992</v>
      </c>
      <c r="G2635" t="s">
        <v>27</v>
      </c>
      <c r="H2635">
        <v>3</v>
      </c>
      <c r="I2635" t="s">
        <v>28</v>
      </c>
      <c r="J2635" s="4">
        <v>48.7</v>
      </c>
      <c r="K2635" s="4">
        <v>47.3</v>
      </c>
      <c r="L2635" s="4">
        <v>14.2</v>
      </c>
      <c r="M2635">
        <v>15</v>
      </c>
      <c r="N2635" t="s">
        <v>47</v>
      </c>
      <c r="O2635">
        <v>5</v>
      </c>
      <c r="P2635" s="4">
        <v>4.5999999999999996</v>
      </c>
      <c r="Q2635" t="s">
        <v>42</v>
      </c>
      <c r="R2635">
        <v>1</v>
      </c>
      <c r="S2635" t="s">
        <v>44</v>
      </c>
      <c r="T2635">
        <v>0</v>
      </c>
      <c r="U2635">
        <v>0</v>
      </c>
      <c r="V2635" t="s">
        <v>32</v>
      </c>
      <c r="W2635" t="s">
        <v>49</v>
      </c>
      <c r="X2635" s="4">
        <v>10.1</v>
      </c>
      <c r="Y2635">
        <v>8</v>
      </c>
      <c r="Z2635" s="5">
        <v>264.64999999999998</v>
      </c>
    </row>
    <row r="2636" spans="1:26">
      <c r="A2636">
        <v>2635</v>
      </c>
      <c r="B2636">
        <v>864</v>
      </c>
      <c r="C2636" s="2">
        <v>46231</v>
      </c>
      <c r="D2636" t="s">
        <v>35</v>
      </c>
      <c r="E2636">
        <v>7</v>
      </c>
      <c r="F2636" s="3">
        <v>9.91</v>
      </c>
      <c r="G2636" t="s">
        <v>27</v>
      </c>
      <c r="H2636">
        <v>64</v>
      </c>
      <c r="I2636" t="s">
        <v>28</v>
      </c>
      <c r="J2636" s="4">
        <v>69.8</v>
      </c>
      <c r="K2636" s="4">
        <v>169.3</v>
      </c>
      <c r="L2636" s="4">
        <v>24.5</v>
      </c>
      <c r="M2636">
        <v>18</v>
      </c>
      <c r="N2636" t="s">
        <v>47</v>
      </c>
      <c r="O2636">
        <v>5</v>
      </c>
      <c r="P2636" s="4">
        <v>4.5999999999999996</v>
      </c>
      <c r="Q2636" t="s">
        <v>42</v>
      </c>
      <c r="R2636">
        <v>1</v>
      </c>
      <c r="S2636" t="s">
        <v>44</v>
      </c>
      <c r="T2636">
        <v>0</v>
      </c>
      <c r="U2636">
        <v>0</v>
      </c>
      <c r="V2636" t="s">
        <v>32</v>
      </c>
      <c r="W2636" t="s">
        <v>49</v>
      </c>
      <c r="X2636" s="4">
        <v>10.1</v>
      </c>
      <c r="Y2636">
        <v>12</v>
      </c>
      <c r="Z2636" s="5">
        <v>240.66</v>
      </c>
    </row>
    <row r="2637" spans="1:26">
      <c r="A2637">
        <v>2636</v>
      </c>
      <c r="B2637">
        <v>864</v>
      </c>
      <c r="C2637" s="2">
        <v>46231</v>
      </c>
      <c r="D2637" t="s">
        <v>35</v>
      </c>
      <c r="E2637">
        <v>7</v>
      </c>
      <c r="F2637" s="3">
        <v>10.08</v>
      </c>
      <c r="G2637" t="s">
        <v>27</v>
      </c>
      <c r="H2637">
        <v>70</v>
      </c>
      <c r="I2637" t="s">
        <v>34</v>
      </c>
      <c r="J2637" s="4">
        <v>61.4</v>
      </c>
      <c r="K2637" s="4">
        <v>200.6</v>
      </c>
      <c r="L2637" s="4">
        <v>37.9</v>
      </c>
      <c r="M2637">
        <v>20</v>
      </c>
      <c r="N2637" t="s">
        <v>47</v>
      </c>
      <c r="O2637">
        <v>5</v>
      </c>
      <c r="P2637" s="4">
        <v>4.5999999999999996</v>
      </c>
      <c r="Q2637" t="s">
        <v>42</v>
      </c>
      <c r="R2637">
        <v>1</v>
      </c>
      <c r="S2637" t="s">
        <v>44</v>
      </c>
      <c r="T2637">
        <v>0</v>
      </c>
      <c r="U2637">
        <v>0</v>
      </c>
      <c r="V2637" t="s">
        <v>32</v>
      </c>
      <c r="W2637" t="s">
        <v>49</v>
      </c>
      <c r="X2637" s="4">
        <v>10.7</v>
      </c>
      <c r="Y2637">
        <v>4</v>
      </c>
      <c r="Z2637" s="5">
        <v>240.88</v>
      </c>
    </row>
    <row r="2638" spans="1:26">
      <c r="A2638">
        <v>2637</v>
      </c>
      <c r="B2638">
        <v>865</v>
      </c>
      <c r="C2638" s="2">
        <v>46253</v>
      </c>
      <c r="D2638" t="s">
        <v>52</v>
      </c>
      <c r="E2638">
        <v>8</v>
      </c>
      <c r="F2638" s="3">
        <v>11.25</v>
      </c>
      <c r="G2638" t="s">
        <v>36</v>
      </c>
      <c r="H2638">
        <v>24</v>
      </c>
      <c r="I2638" t="s">
        <v>34</v>
      </c>
      <c r="J2638" s="4">
        <v>63.9</v>
      </c>
      <c r="K2638" s="4">
        <v>153.1</v>
      </c>
      <c r="L2638" s="4">
        <v>26.3</v>
      </c>
      <c r="M2638">
        <v>11</v>
      </c>
      <c r="N2638" t="s">
        <v>47</v>
      </c>
      <c r="O2638">
        <v>3</v>
      </c>
      <c r="P2638" s="4">
        <v>2</v>
      </c>
      <c r="Q2638" t="s">
        <v>30</v>
      </c>
      <c r="R2638">
        <v>1</v>
      </c>
      <c r="S2638" t="s">
        <v>31</v>
      </c>
      <c r="T2638">
        <v>0</v>
      </c>
      <c r="U2638">
        <v>0</v>
      </c>
      <c r="V2638" t="s">
        <v>32</v>
      </c>
      <c r="W2638" t="s">
        <v>43</v>
      </c>
      <c r="X2638" s="4">
        <v>10.1</v>
      </c>
      <c r="Y2638">
        <v>6</v>
      </c>
      <c r="Z2638" s="5">
        <v>191.55</v>
      </c>
    </row>
    <row r="2639" spans="1:26">
      <c r="A2639">
        <v>2638</v>
      </c>
      <c r="B2639">
        <v>865</v>
      </c>
      <c r="C2639" s="2">
        <v>46253</v>
      </c>
      <c r="D2639" t="s">
        <v>52</v>
      </c>
      <c r="E2639">
        <v>8</v>
      </c>
      <c r="F2639" s="3">
        <v>11.52</v>
      </c>
      <c r="G2639" t="s">
        <v>36</v>
      </c>
      <c r="H2639">
        <v>63</v>
      </c>
      <c r="I2639" t="s">
        <v>34</v>
      </c>
      <c r="J2639" s="4">
        <v>64.599999999999994</v>
      </c>
      <c r="K2639" s="4">
        <v>135.19999999999999</v>
      </c>
      <c r="L2639" s="4">
        <v>22.8</v>
      </c>
      <c r="M2639">
        <v>17</v>
      </c>
      <c r="N2639" t="s">
        <v>47</v>
      </c>
      <c r="O2639">
        <v>3</v>
      </c>
      <c r="P2639" s="4">
        <v>2</v>
      </c>
      <c r="Q2639" t="s">
        <v>30</v>
      </c>
      <c r="R2639">
        <v>1</v>
      </c>
      <c r="S2639" t="s">
        <v>31</v>
      </c>
      <c r="T2639">
        <v>0</v>
      </c>
      <c r="U2639">
        <v>0</v>
      </c>
      <c r="V2639" t="s">
        <v>32</v>
      </c>
      <c r="W2639" t="s">
        <v>43</v>
      </c>
      <c r="X2639" s="4">
        <v>5.7</v>
      </c>
      <c r="Y2639">
        <v>8</v>
      </c>
      <c r="Z2639" s="5">
        <v>269.20999999999998</v>
      </c>
    </row>
    <row r="2640" spans="1:26">
      <c r="A2640">
        <v>2639</v>
      </c>
      <c r="B2640">
        <v>865</v>
      </c>
      <c r="C2640" s="2">
        <v>46253</v>
      </c>
      <c r="D2640" t="s">
        <v>52</v>
      </c>
      <c r="E2640">
        <v>8</v>
      </c>
      <c r="F2640" s="3">
        <v>11.42</v>
      </c>
      <c r="G2640" t="s">
        <v>36</v>
      </c>
      <c r="H2640">
        <v>49</v>
      </c>
      <c r="I2640" t="s">
        <v>34</v>
      </c>
      <c r="J2640" s="4">
        <v>62.4</v>
      </c>
      <c r="K2640" s="4">
        <v>157.9</v>
      </c>
      <c r="L2640" s="4">
        <v>28.5</v>
      </c>
      <c r="M2640">
        <v>11</v>
      </c>
      <c r="N2640" t="s">
        <v>47</v>
      </c>
      <c r="O2640">
        <v>3</v>
      </c>
      <c r="P2640" s="4">
        <v>2</v>
      </c>
      <c r="Q2640" t="s">
        <v>30</v>
      </c>
      <c r="R2640">
        <v>1</v>
      </c>
      <c r="S2640" t="s">
        <v>31</v>
      </c>
      <c r="T2640">
        <v>0</v>
      </c>
      <c r="U2640">
        <v>0</v>
      </c>
      <c r="V2640" t="s">
        <v>32</v>
      </c>
      <c r="W2640" t="s">
        <v>43</v>
      </c>
      <c r="X2640" s="4">
        <v>8.1</v>
      </c>
      <c r="Y2640">
        <v>10</v>
      </c>
      <c r="Z2640" s="5">
        <v>191.99</v>
      </c>
    </row>
    <row r="2641" spans="1:26">
      <c r="A2641">
        <v>2640</v>
      </c>
      <c r="B2641">
        <v>866</v>
      </c>
      <c r="C2641" s="2">
        <v>46314</v>
      </c>
      <c r="D2641" t="s">
        <v>46</v>
      </c>
      <c r="E2641">
        <v>10</v>
      </c>
      <c r="F2641" s="3">
        <v>12.28</v>
      </c>
      <c r="G2641" t="s">
        <v>36</v>
      </c>
      <c r="H2641">
        <v>51</v>
      </c>
      <c r="I2641" t="s">
        <v>34</v>
      </c>
      <c r="J2641" s="4">
        <v>65.2</v>
      </c>
      <c r="K2641" s="4">
        <v>151.19999999999999</v>
      </c>
      <c r="L2641" s="4">
        <v>24.9</v>
      </c>
      <c r="M2641">
        <v>18</v>
      </c>
      <c r="N2641" t="s">
        <v>37</v>
      </c>
      <c r="O2641">
        <v>4</v>
      </c>
      <c r="P2641" s="4">
        <v>1071.5</v>
      </c>
      <c r="Q2641" t="s">
        <v>48</v>
      </c>
      <c r="R2641">
        <v>1</v>
      </c>
      <c r="S2641" t="s">
        <v>44</v>
      </c>
      <c r="T2641">
        <v>1</v>
      </c>
      <c r="U2641">
        <v>1</v>
      </c>
      <c r="V2641" t="s">
        <v>32</v>
      </c>
      <c r="W2641" t="s">
        <v>49</v>
      </c>
      <c r="X2641" s="4">
        <v>9.9</v>
      </c>
      <c r="Y2641">
        <v>7</v>
      </c>
      <c r="Z2641" s="5">
        <v>217.6</v>
      </c>
    </row>
    <row r="2642" spans="1:26">
      <c r="A2642">
        <v>2641</v>
      </c>
      <c r="B2642">
        <v>866</v>
      </c>
      <c r="C2642" s="2">
        <v>46314</v>
      </c>
      <c r="D2642" t="s">
        <v>46</v>
      </c>
      <c r="E2642">
        <v>10</v>
      </c>
      <c r="F2642" s="3">
        <v>12.28</v>
      </c>
      <c r="G2642" t="s">
        <v>36</v>
      </c>
      <c r="H2642">
        <v>36</v>
      </c>
      <c r="I2642" t="s">
        <v>34</v>
      </c>
      <c r="J2642" s="4">
        <v>67.599999999999994</v>
      </c>
      <c r="K2642" s="4">
        <v>139.69999999999999</v>
      </c>
      <c r="L2642" s="4">
        <v>21.5</v>
      </c>
      <c r="M2642">
        <v>20</v>
      </c>
      <c r="N2642" t="s">
        <v>37</v>
      </c>
      <c r="O2642">
        <v>4</v>
      </c>
      <c r="P2642" s="4">
        <v>1071.5</v>
      </c>
      <c r="Q2642" t="s">
        <v>48</v>
      </c>
      <c r="R2642">
        <v>1</v>
      </c>
      <c r="S2642" t="s">
        <v>44</v>
      </c>
      <c r="T2642">
        <v>1</v>
      </c>
      <c r="U2642">
        <v>1</v>
      </c>
      <c r="V2642" t="s">
        <v>32</v>
      </c>
      <c r="W2642" t="s">
        <v>49</v>
      </c>
      <c r="X2642" s="4">
        <v>9.6999999999999993</v>
      </c>
      <c r="Y2642">
        <v>13</v>
      </c>
      <c r="Z2642" s="5">
        <v>650</v>
      </c>
    </row>
    <row r="2643" spans="1:26">
      <c r="A2643">
        <v>2642</v>
      </c>
      <c r="B2643">
        <v>866</v>
      </c>
      <c r="C2643" s="2">
        <v>46314</v>
      </c>
      <c r="D2643" t="s">
        <v>46</v>
      </c>
      <c r="E2643">
        <v>10</v>
      </c>
      <c r="F2643" s="3">
        <v>12.35</v>
      </c>
      <c r="G2643" t="s">
        <v>36</v>
      </c>
      <c r="H2643">
        <v>18</v>
      </c>
      <c r="I2643" t="s">
        <v>34</v>
      </c>
      <c r="J2643" s="4">
        <v>65.2</v>
      </c>
      <c r="K2643" s="4">
        <v>188.2</v>
      </c>
      <c r="L2643" s="4">
        <v>30.9</v>
      </c>
      <c r="M2643">
        <v>16</v>
      </c>
      <c r="N2643" t="s">
        <v>37</v>
      </c>
      <c r="O2643">
        <v>4</v>
      </c>
      <c r="P2643" s="4">
        <v>1071.5</v>
      </c>
      <c r="Q2643" t="s">
        <v>48</v>
      </c>
      <c r="R2643">
        <v>1</v>
      </c>
      <c r="S2643" t="s">
        <v>44</v>
      </c>
      <c r="T2643">
        <v>1</v>
      </c>
      <c r="U2643">
        <v>1</v>
      </c>
      <c r="V2643" t="s">
        <v>32</v>
      </c>
      <c r="W2643" t="s">
        <v>49</v>
      </c>
      <c r="X2643" s="4">
        <v>8.6999999999999993</v>
      </c>
      <c r="Y2643">
        <v>10</v>
      </c>
      <c r="Z2643" s="5">
        <v>424.55</v>
      </c>
    </row>
    <row r="2644" spans="1:26">
      <c r="A2644">
        <v>2643</v>
      </c>
      <c r="B2644">
        <v>866</v>
      </c>
      <c r="C2644" s="2">
        <v>46314</v>
      </c>
      <c r="D2644" t="s">
        <v>46</v>
      </c>
      <c r="E2644">
        <v>10</v>
      </c>
      <c r="F2644" s="3">
        <v>12.25</v>
      </c>
      <c r="G2644" t="s">
        <v>36</v>
      </c>
      <c r="H2644">
        <v>28</v>
      </c>
      <c r="I2644" t="s">
        <v>28</v>
      </c>
      <c r="J2644" s="4">
        <v>70.3</v>
      </c>
      <c r="K2644" s="4">
        <v>191.7</v>
      </c>
      <c r="L2644" s="4">
        <v>27.4</v>
      </c>
      <c r="M2644">
        <v>16</v>
      </c>
      <c r="N2644" t="s">
        <v>37</v>
      </c>
      <c r="O2644">
        <v>4</v>
      </c>
      <c r="P2644" s="4">
        <v>1071.5</v>
      </c>
      <c r="Q2644" t="s">
        <v>48</v>
      </c>
      <c r="R2644">
        <v>1</v>
      </c>
      <c r="S2644" t="s">
        <v>44</v>
      </c>
      <c r="T2644">
        <v>1</v>
      </c>
      <c r="U2644">
        <v>1</v>
      </c>
      <c r="V2644" t="s">
        <v>32</v>
      </c>
      <c r="W2644" t="s">
        <v>49</v>
      </c>
      <c r="X2644" s="4">
        <v>11.6</v>
      </c>
      <c r="Y2644">
        <v>15</v>
      </c>
      <c r="Z2644" s="5">
        <v>471.8</v>
      </c>
    </row>
    <row r="2645" spans="1:26">
      <c r="A2645">
        <v>2644</v>
      </c>
      <c r="B2645">
        <v>867</v>
      </c>
      <c r="C2645" s="2">
        <v>46294</v>
      </c>
      <c r="D2645" t="s">
        <v>35</v>
      </c>
      <c r="E2645">
        <v>9</v>
      </c>
      <c r="F2645" s="3">
        <v>10.59</v>
      </c>
      <c r="G2645" t="s">
        <v>27</v>
      </c>
      <c r="H2645">
        <v>59</v>
      </c>
      <c r="I2645" t="s">
        <v>28</v>
      </c>
      <c r="J2645" s="4">
        <v>69</v>
      </c>
      <c r="K2645" s="4">
        <v>158.9</v>
      </c>
      <c r="L2645" s="4">
        <v>23.4</v>
      </c>
      <c r="M2645">
        <v>20</v>
      </c>
      <c r="N2645" t="s">
        <v>61</v>
      </c>
      <c r="O2645">
        <v>2</v>
      </c>
      <c r="P2645" s="4">
        <v>1729.3</v>
      </c>
      <c r="Q2645" t="s">
        <v>42</v>
      </c>
      <c r="R2645">
        <v>1</v>
      </c>
      <c r="S2645" t="s">
        <v>31</v>
      </c>
      <c r="T2645">
        <v>0</v>
      </c>
      <c r="U2645">
        <v>0</v>
      </c>
      <c r="V2645" t="s">
        <v>32</v>
      </c>
      <c r="W2645" t="s">
        <v>43</v>
      </c>
      <c r="X2645" s="4">
        <v>8.9</v>
      </c>
      <c r="Y2645">
        <v>9</v>
      </c>
      <c r="Z2645" s="5">
        <v>150.74</v>
      </c>
    </row>
    <row r="2646" spans="1:26">
      <c r="A2646">
        <v>2645</v>
      </c>
      <c r="B2646">
        <v>867</v>
      </c>
      <c r="C2646" s="2">
        <v>46294</v>
      </c>
      <c r="D2646" t="s">
        <v>35</v>
      </c>
      <c r="E2646">
        <v>9</v>
      </c>
      <c r="F2646" s="3">
        <v>10.67</v>
      </c>
      <c r="G2646" t="s">
        <v>27</v>
      </c>
      <c r="H2646">
        <v>41</v>
      </c>
      <c r="I2646" t="s">
        <v>28</v>
      </c>
      <c r="J2646" s="4">
        <v>72.8</v>
      </c>
      <c r="K2646" s="4">
        <v>219.4</v>
      </c>
      <c r="L2646" s="4">
        <v>29.2</v>
      </c>
      <c r="M2646">
        <v>11</v>
      </c>
      <c r="N2646" t="s">
        <v>61</v>
      </c>
      <c r="O2646">
        <v>2</v>
      </c>
      <c r="P2646" s="4">
        <v>1729.3</v>
      </c>
      <c r="Q2646" t="s">
        <v>42</v>
      </c>
      <c r="R2646">
        <v>1</v>
      </c>
      <c r="S2646" t="s">
        <v>31</v>
      </c>
      <c r="T2646">
        <v>0</v>
      </c>
      <c r="U2646">
        <v>0</v>
      </c>
      <c r="V2646" t="s">
        <v>32</v>
      </c>
      <c r="W2646" t="s">
        <v>43</v>
      </c>
      <c r="X2646" s="4">
        <v>10.6</v>
      </c>
      <c r="Y2646">
        <v>5</v>
      </c>
      <c r="Z2646" s="5">
        <v>158.16999999999999</v>
      </c>
    </row>
    <row r="2647" spans="1:26">
      <c r="A2647">
        <v>2646</v>
      </c>
      <c r="B2647">
        <v>868</v>
      </c>
      <c r="C2647" s="2">
        <v>46131</v>
      </c>
      <c r="D2647" t="s">
        <v>58</v>
      </c>
      <c r="E2647">
        <v>4</v>
      </c>
      <c r="F2647" s="3">
        <v>10</v>
      </c>
      <c r="G2647" t="s">
        <v>27</v>
      </c>
      <c r="H2647">
        <v>32</v>
      </c>
      <c r="I2647" t="s">
        <v>34</v>
      </c>
      <c r="J2647" s="4">
        <v>63.2</v>
      </c>
      <c r="K2647" s="4">
        <v>145.6</v>
      </c>
      <c r="L2647" s="4">
        <v>25.4</v>
      </c>
      <c r="M2647">
        <v>15</v>
      </c>
      <c r="N2647" t="s">
        <v>66</v>
      </c>
      <c r="O2647">
        <v>1</v>
      </c>
      <c r="P2647" s="4">
        <v>779.3</v>
      </c>
      <c r="Q2647" t="s">
        <v>42</v>
      </c>
      <c r="R2647">
        <v>1</v>
      </c>
      <c r="S2647" t="s">
        <v>38</v>
      </c>
      <c r="T2647">
        <v>0</v>
      </c>
      <c r="U2647">
        <v>0</v>
      </c>
      <c r="V2647" t="s">
        <v>32</v>
      </c>
      <c r="W2647" t="s">
        <v>49</v>
      </c>
      <c r="X2647" s="4">
        <v>9.4</v>
      </c>
      <c r="Y2647">
        <v>7</v>
      </c>
      <c r="Z2647" s="5">
        <v>242.21</v>
      </c>
    </row>
    <row r="2648" spans="1:26">
      <c r="A2648">
        <v>2647</v>
      </c>
      <c r="B2648">
        <v>869</v>
      </c>
      <c r="C2648" s="2">
        <v>46197</v>
      </c>
      <c r="D2648" t="s">
        <v>52</v>
      </c>
      <c r="E2648">
        <v>6</v>
      </c>
      <c r="F2648" s="3">
        <v>9.24</v>
      </c>
      <c r="G2648" t="s">
        <v>27</v>
      </c>
      <c r="H2648">
        <v>28</v>
      </c>
      <c r="I2648" t="s">
        <v>34</v>
      </c>
      <c r="J2648" s="4">
        <v>62.5</v>
      </c>
      <c r="K2648" s="4">
        <v>164.5</v>
      </c>
      <c r="L2648" s="4">
        <v>29.6</v>
      </c>
      <c r="M2648">
        <v>13</v>
      </c>
      <c r="N2648" t="s">
        <v>60</v>
      </c>
      <c r="O2648">
        <v>3</v>
      </c>
      <c r="P2648" s="4">
        <v>1773.4</v>
      </c>
      <c r="Q2648" t="s">
        <v>42</v>
      </c>
      <c r="R2648">
        <v>1</v>
      </c>
      <c r="S2648" t="s">
        <v>31</v>
      </c>
      <c r="T2648">
        <v>1</v>
      </c>
      <c r="U2648">
        <v>0</v>
      </c>
      <c r="V2648" t="s">
        <v>32</v>
      </c>
      <c r="W2648" t="s">
        <v>43</v>
      </c>
      <c r="X2648" s="4">
        <v>8.5</v>
      </c>
      <c r="Y2648">
        <v>3</v>
      </c>
      <c r="Z2648" s="5">
        <v>160.03</v>
      </c>
    </row>
    <row r="2649" spans="1:26">
      <c r="A2649">
        <v>2648</v>
      </c>
      <c r="B2649">
        <v>869</v>
      </c>
      <c r="C2649" s="2">
        <v>46197</v>
      </c>
      <c r="D2649" t="s">
        <v>52</v>
      </c>
      <c r="E2649">
        <v>6</v>
      </c>
      <c r="F2649" s="3">
        <v>9.26</v>
      </c>
      <c r="G2649" t="s">
        <v>27</v>
      </c>
      <c r="H2649">
        <v>54</v>
      </c>
      <c r="I2649" t="s">
        <v>34</v>
      </c>
      <c r="J2649" s="4">
        <v>60.7</v>
      </c>
      <c r="K2649" s="4">
        <v>156.80000000000001</v>
      </c>
      <c r="L2649" s="4">
        <v>29.9</v>
      </c>
      <c r="M2649">
        <v>20</v>
      </c>
      <c r="N2649" t="s">
        <v>60</v>
      </c>
      <c r="O2649">
        <v>3</v>
      </c>
      <c r="P2649" s="4">
        <v>1773.4</v>
      </c>
      <c r="Q2649" t="s">
        <v>42</v>
      </c>
      <c r="R2649">
        <v>1</v>
      </c>
      <c r="S2649" t="s">
        <v>31</v>
      </c>
      <c r="T2649">
        <v>1</v>
      </c>
      <c r="U2649">
        <v>0</v>
      </c>
      <c r="V2649" t="s">
        <v>32</v>
      </c>
      <c r="W2649" t="s">
        <v>43</v>
      </c>
      <c r="X2649" s="4">
        <v>7.6</v>
      </c>
      <c r="Y2649">
        <v>9</v>
      </c>
      <c r="Z2649" s="5">
        <v>147.41</v>
      </c>
    </row>
    <row r="2650" spans="1:26">
      <c r="A2650">
        <v>2649</v>
      </c>
      <c r="B2650">
        <v>869</v>
      </c>
      <c r="C2650" s="2">
        <v>46197</v>
      </c>
      <c r="D2650" t="s">
        <v>52</v>
      </c>
      <c r="E2650">
        <v>6</v>
      </c>
      <c r="F2650" s="3">
        <v>9.2799999999999994</v>
      </c>
      <c r="G2650" t="s">
        <v>27</v>
      </c>
      <c r="H2650">
        <v>63</v>
      </c>
      <c r="I2650" t="s">
        <v>28</v>
      </c>
      <c r="J2650" s="4">
        <v>70.7</v>
      </c>
      <c r="K2650" s="4">
        <v>186.9</v>
      </c>
      <c r="L2650" s="4">
        <v>26.4</v>
      </c>
      <c r="M2650">
        <v>13</v>
      </c>
      <c r="N2650" t="s">
        <v>60</v>
      </c>
      <c r="O2650">
        <v>3</v>
      </c>
      <c r="P2650" s="4">
        <v>1773.4</v>
      </c>
      <c r="Q2650" t="s">
        <v>42</v>
      </c>
      <c r="R2650">
        <v>1</v>
      </c>
      <c r="S2650" t="s">
        <v>31</v>
      </c>
      <c r="T2650">
        <v>1</v>
      </c>
      <c r="U2650">
        <v>0</v>
      </c>
      <c r="V2650" t="s">
        <v>32</v>
      </c>
      <c r="W2650" t="s">
        <v>43</v>
      </c>
      <c r="X2650" s="4">
        <v>8.9</v>
      </c>
      <c r="Y2650">
        <v>7</v>
      </c>
      <c r="Z2650" s="5">
        <v>137.5</v>
      </c>
    </row>
    <row r="2651" spans="1:26">
      <c r="A2651">
        <v>2650</v>
      </c>
      <c r="B2651">
        <v>870</v>
      </c>
      <c r="C2651" s="2">
        <v>46285</v>
      </c>
      <c r="D2651" t="s">
        <v>58</v>
      </c>
      <c r="E2651">
        <v>9</v>
      </c>
      <c r="F2651" s="3">
        <v>12.06</v>
      </c>
      <c r="G2651" t="s">
        <v>36</v>
      </c>
      <c r="H2651">
        <v>59</v>
      </c>
      <c r="I2651" t="s">
        <v>28</v>
      </c>
      <c r="J2651" s="4">
        <v>71.400000000000006</v>
      </c>
      <c r="K2651" s="4">
        <v>249.3</v>
      </c>
      <c r="L2651" s="4">
        <v>34.6</v>
      </c>
      <c r="M2651">
        <v>16</v>
      </c>
      <c r="N2651" t="s">
        <v>59</v>
      </c>
      <c r="O2651">
        <v>2</v>
      </c>
      <c r="P2651" s="4">
        <v>709.6</v>
      </c>
      <c r="Q2651" t="s">
        <v>42</v>
      </c>
      <c r="R2651">
        <v>0</v>
      </c>
      <c r="S2651" t="s">
        <v>44</v>
      </c>
      <c r="T2651">
        <v>1</v>
      </c>
      <c r="U2651">
        <v>0</v>
      </c>
      <c r="V2651" t="s">
        <v>32</v>
      </c>
      <c r="W2651" t="s">
        <v>43</v>
      </c>
      <c r="X2651" s="4">
        <v>9.8000000000000007</v>
      </c>
      <c r="Y2651">
        <v>9</v>
      </c>
      <c r="Z2651" s="5">
        <v>149.13</v>
      </c>
    </row>
    <row r="2652" spans="1:26">
      <c r="A2652">
        <v>2651</v>
      </c>
      <c r="B2652">
        <v>870</v>
      </c>
      <c r="C2652" s="2">
        <v>46285</v>
      </c>
      <c r="D2652" t="s">
        <v>58</v>
      </c>
      <c r="E2652">
        <v>9</v>
      </c>
      <c r="F2652" s="3">
        <v>12.27</v>
      </c>
      <c r="G2652" t="s">
        <v>36</v>
      </c>
      <c r="H2652">
        <v>26</v>
      </c>
      <c r="I2652" t="s">
        <v>34</v>
      </c>
      <c r="J2652" s="4">
        <v>58.5</v>
      </c>
      <c r="K2652" s="4">
        <v>128.9</v>
      </c>
      <c r="L2652" s="4">
        <v>26.4</v>
      </c>
      <c r="M2652">
        <v>11</v>
      </c>
      <c r="N2652" t="s">
        <v>59</v>
      </c>
      <c r="O2652">
        <v>2</v>
      </c>
      <c r="P2652" s="4">
        <v>709.6</v>
      </c>
      <c r="Q2652" t="s">
        <v>42</v>
      </c>
      <c r="R2652">
        <v>0</v>
      </c>
      <c r="S2652" t="s">
        <v>44</v>
      </c>
      <c r="T2652">
        <v>1</v>
      </c>
      <c r="U2652">
        <v>0</v>
      </c>
      <c r="V2652" t="s">
        <v>32</v>
      </c>
      <c r="W2652" t="s">
        <v>43</v>
      </c>
      <c r="X2652" s="4">
        <v>11.7</v>
      </c>
      <c r="Y2652">
        <v>18</v>
      </c>
      <c r="Z2652" s="5">
        <v>455.32</v>
      </c>
    </row>
    <row r="2653" spans="1:26">
      <c r="A2653">
        <v>2652</v>
      </c>
      <c r="B2653">
        <v>871</v>
      </c>
      <c r="C2653" s="2">
        <v>46348</v>
      </c>
      <c r="D2653" t="s">
        <v>58</v>
      </c>
      <c r="E2653">
        <v>11</v>
      </c>
      <c r="F2653" s="3">
        <v>9.6199999999999992</v>
      </c>
      <c r="G2653" t="s">
        <v>27</v>
      </c>
      <c r="H2653">
        <v>47</v>
      </c>
      <c r="I2653" t="s">
        <v>34</v>
      </c>
      <c r="J2653" s="4">
        <v>56</v>
      </c>
      <c r="K2653" s="4">
        <v>127.8</v>
      </c>
      <c r="L2653" s="4">
        <v>28.5</v>
      </c>
      <c r="M2653">
        <v>14</v>
      </c>
      <c r="N2653" t="s">
        <v>50</v>
      </c>
      <c r="O2653">
        <v>4</v>
      </c>
      <c r="P2653" s="4">
        <v>539.70000000000005</v>
      </c>
      <c r="Q2653" t="s">
        <v>42</v>
      </c>
      <c r="R2653">
        <v>1</v>
      </c>
      <c r="S2653" t="s">
        <v>44</v>
      </c>
      <c r="T2653">
        <v>0</v>
      </c>
      <c r="U2653">
        <v>1</v>
      </c>
      <c r="V2653" t="s">
        <v>32</v>
      </c>
      <c r="W2653" t="s">
        <v>33</v>
      </c>
      <c r="X2653" s="4">
        <v>8.1</v>
      </c>
      <c r="Y2653">
        <v>7</v>
      </c>
      <c r="Z2653" s="5">
        <v>216.69</v>
      </c>
    </row>
    <row r="2654" spans="1:26">
      <c r="A2654">
        <v>2653</v>
      </c>
      <c r="B2654">
        <v>871</v>
      </c>
      <c r="C2654" s="2">
        <v>46348</v>
      </c>
      <c r="D2654" t="s">
        <v>58</v>
      </c>
      <c r="E2654">
        <v>11</v>
      </c>
      <c r="F2654" s="3">
        <v>9.4700000000000006</v>
      </c>
      <c r="G2654" t="s">
        <v>27</v>
      </c>
      <c r="H2654">
        <v>39</v>
      </c>
      <c r="I2654" t="s">
        <v>28</v>
      </c>
      <c r="J2654" s="4">
        <v>70</v>
      </c>
      <c r="K2654" s="4">
        <v>161.6</v>
      </c>
      <c r="L2654" s="4">
        <v>23.4</v>
      </c>
      <c r="M2654">
        <v>14</v>
      </c>
      <c r="N2654" t="s">
        <v>50</v>
      </c>
      <c r="O2654">
        <v>4</v>
      </c>
      <c r="P2654" s="4">
        <v>539.70000000000005</v>
      </c>
      <c r="Q2654" t="s">
        <v>42</v>
      </c>
      <c r="R2654">
        <v>1</v>
      </c>
      <c r="S2654" t="s">
        <v>44</v>
      </c>
      <c r="T2654">
        <v>0</v>
      </c>
      <c r="U2654">
        <v>1</v>
      </c>
      <c r="V2654" t="s">
        <v>32</v>
      </c>
      <c r="W2654" t="s">
        <v>33</v>
      </c>
      <c r="X2654" s="4">
        <v>7.3</v>
      </c>
      <c r="Y2654">
        <v>5</v>
      </c>
      <c r="Z2654" s="5">
        <v>228.04</v>
      </c>
    </row>
    <row r="2655" spans="1:26">
      <c r="A2655">
        <v>2654</v>
      </c>
      <c r="B2655">
        <v>871</v>
      </c>
      <c r="C2655" s="2">
        <v>46348</v>
      </c>
      <c r="D2655" t="s">
        <v>58</v>
      </c>
      <c r="E2655">
        <v>11</v>
      </c>
      <c r="F2655" s="3">
        <v>9.2899999999999991</v>
      </c>
      <c r="G2655" t="s">
        <v>27</v>
      </c>
      <c r="H2655">
        <v>56</v>
      </c>
      <c r="I2655" t="s">
        <v>34</v>
      </c>
      <c r="J2655" s="4">
        <v>61.9</v>
      </c>
      <c r="K2655" s="4">
        <v>134.9</v>
      </c>
      <c r="L2655" s="4">
        <v>24.6</v>
      </c>
      <c r="M2655">
        <v>15</v>
      </c>
      <c r="N2655" t="s">
        <v>50</v>
      </c>
      <c r="O2655">
        <v>4</v>
      </c>
      <c r="P2655" s="4">
        <v>539.70000000000005</v>
      </c>
      <c r="Q2655" t="s">
        <v>42</v>
      </c>
      <c r="R2655">
        <v>1</v>
      </c>
      <c r="S2655" t="s">
        <v>44</v>
      </c>
      <c r="T2655">
        <v>0</v>
      </c>
      <c r="U2655">
        <v>1</v>
      </c>
      <c r="V2655" t="s">
        <v>32</v>
      </c>
      <c r="W2655" t="s">
        <v>33</v>
      </c>
      <c r="X2655" s="4">
        <v>9.6999999999999993</v>
      </c>
      <c r="Y2655">
        <v>13</v>
      </c>
      <c r="Z2655" s="5">
        <v>251.48</v>
      </c>
    </row>
    <row r="2656" spans="1:26">
      <c r="A2656">
        <v>2655</v>
      </c>
      <c r="B2656">
        <v>871</v>
      </c>
      <c r="C2656" s="2">
        <v>46348</v>
      </c>
      <c r="D2656" t="s">
        <v>58</v>
      </c>
      <c r="E2656">
        <v>11</v>
      </c>
      <c r="F2656" s="3">
        <v>9.48</v>
      </c>
      <c r="G2656" t="s">
        <v>27</v>
      </c>
      <c r="H2656">
        <v>77</v>
      </c>
      <c r="I2656" t="s">
        <v>28</v>
      </c>
      <c r="J2656" s="4">
        <v>65.400000000000006</v>
      </c>
      <c r="K2656" s="4">
        <v>156.4</v>
      </c>
      <c r="L2656" s="4">
        <v>25.7</v>
      </c>
      <c r="M2656">
        <v>15</v>
      </c>
      <c r="N2656" t="s">
        <v>50</v>
      </c>
      <c r="O2656">
        <v>4</v>
      </c>
      <c r="P2656" s="4">
        <v>539.70000000000005</v>
      </c>
      <c r="Q2656" t="s">
        <v>42</v>
      </c>
      <c r="R2656">
        <v>1</v>
      </c>
      <c r="S2656" t="s">
        <v>44</v>
      </c>
      <c r="T2656">
        <v>0</v>
      </c>
      <c r="U2656">
        <v>1</v>
      </c>
      <c r="V2656" t="s">
        <v>32</v>
      </c>
      <c r="W2656" t="s">
        <v>33</v>
      </c>
      <c r="X2656" s="4">
        <v>9.4</v>
      </c>
      <c r="Y2656">
        <v>10</v>
      </c>
      <c r="Z2656" s="5">
        <v>250.73</v>
      </c>
    </row>
    <row r="2657" spans="1:26">
      <c r="A2657">
        <v>2656</v>
      </c>
      <c r="B2657">
        <v>872</v>
      </c>
      <c r="C2657" s="2">
        <v>46057</v>
      </c>
      <c r="D2657" t="s">
        <v>52</v>
      </c>
      <c r="E2657">
        <v>2</v>
      </c>
      <c r="F2657" s="3">
        <v>11.49</v>
      </c>
      <c r="G2657" t="s">
        <v>36</v>
      </c>
      <c r="H2657">
        <v>35</v>
      </c>
      <c r="I2657" t="s">
        <v>28</v>
      </c>
      <c r="J2657" s="4">
        <v>67.2</v>
      </c>
      <c r="K2657" s="4">
        <v>171.3</v>
      </c>
      <c r="L2657" s="4">
        <v>26.7</v>
      </c>
      <c r="M2657">
        <v>16</v>
      </c>
      <c r="N2657" t="s">
        <v>50</v>
      </c>
      <c r="O2657">
        <v>3</v>
      </c>
      <c r="P2657" s="4">
        <v>358.6</v>
      </c>
      <c r="Q2657" t="s">
        <v>42</v>
      </c>
      <c r="R2657">
        <v>1</v>
      </c>
      <c r="S2657" t="s">
        <v>31</v>
      </c>
      <c r="T2657">
        <v>0</v>
      </c>
      <c r="U2657">
        <v>0</v>
      </c>
      <c r="V2657" t="s">
        <v>45</v>
      </c>
      <c r="W2657" t="s">
        <v>43</v>
      </c>
      <c r="X2657" s="4">
        <v>8</v>
      </c>
      <c r="Y2657">
        <v>14</v>
      </c>
      <c r="Z2657" s="5">
        <v>244.21</v>
      </c>
    </row>
    <row r="2658" spans="1:26">
      <c r="A2658">
        <v>2657</v>
      </c>
      <c r="B2658">
        <v>872</v>
      </c>
      <c r="C2658" s="2">
        <v>46057</v>
      </c>
      <c r="D2658" t="s">
        <v>52</v>
      </c>
      <c r="E2658">
        <v>2</v>
      </c>
      <c r="F2658" s="3">
        <v>11.44</v>
      </c>
      <c r="G2658" t="s">
        <v>36</v>
      </c>
      <c r="H2658">
        <v>68</v>
      </c>
      <c r="I2658" t="s">
        <v>28</v>
      </c>
      <c r="J2658" s="4">
        <v>75.2</v>
      </c>
      <c r="K2658" s="4">
        <v>212.3</v>
      </c>
      <c r="L2658" s="4">
        <v>26.2</v>
      </c>
      <c r="M2658">
        <v>18</v>
      </c>
      <c r="N2658" t="s">
        <v>50</v>
      </c>
      <c r="O2658">
        <v>3</v>
      </c>
      <c r="P2658" s="4">
        <v>358.6</v>
      </c>
      <c r="Q2658" t="s">
        <v>42</v>
      </c>
      <c r="R2658">
        <v>1</v>
      </c>
      <c r="S2658" t="s">
        <v>31</v>
      </c>
      <c r="T2658">
        <v>0</v>
      </c>
      <c r="U2658">
        <v>0</v>
      </c>
      <c r="V2658" t="s">
        <v>45</v>
      </c>
      <c r="W2658" t="s">
        <v>43</v>
      </c>
      <c r="X2658" s="4">
        <v>7.4</v>
      </c>
      <c r="Y2658">
        <v>3</v>
      </c>
      <c r="Z2658" s="5">
        <v>172.36</v>
      </c>
    </row>
    <row r="2659" spans="1:26">
      <c r="A2659">
        <v>2658</v>
      </c>
      <c r="B2659">
        <v>872</v>
      </c>
      <c r="C2659" s="2">
        <v>46057</v>
      </c>
      <c r="D2659" t="s">
        <v>52</v>
      </c>
      <c r="E2659">
        <v>2</v>
      </c>
      <c r="F2659" s="3">
        <v>11.18</v>
      </c>
      <c r="G2659" t="s">
        <v>36</v>
      </c>
      <c r="H2659">
        <v>8</v>
      </c>
      <c r="I2659" t="s">
        <v>28</v>
      </c>
      <c r="J2659" s="4">
        <v>56.5</v>
      </c>
      <c r="K2659" s="4">
        <v>65.3</v>
      </c>
      <c r="L2659" s="4">
        <v>14.3</v>
      </c>
      <c r="M2659">
        <v>16</v>
      </c>
      <c r="N2659" t="s">
        <v>50</v>
      </c>
      <c r="O2659">
        <v>3</v>
      </c>
      <c r="P2659" s="4">
        <v>358.6</v>
      </c>
      <c r="Q2659" t="s">
        <v>42</v>
      </c>
      <c r="R2659">
        <v>1</v>
      </c>
      <c r="S2659" t="s">
        <v>31</v>
      </c>
      <c r="T2659">
        <v>0</v>
      </c>
      <c r="U2659">
        <v>0</v>
      </c>
      <c r="V2659" t="s">
        <v>45</v>
      </c>
      <c r="W2659" t="s">
        <v>43</v>
      </c>
      <c r="X2659" s="4">
        <v>9.1</v>
      </c>
      <c r="Y2659">
        <v>12</v>
      </c>
      <c r="Z2659" s="5">
        <v>229.64</v>
      </c>
    </row>
    <row r="2660" spans="1:26">
      <c r="A2660">
        <v>2659</v>
      </c>
      <c r="B2660">
        <v>873</v>
      </c>
      <c r="C2660" s="2">
        <v>46214</v>
      </c>
      <c r="D2660" t="s">
        <v>40</v>
      </c>
      <c r="E2660">
        <v>7</v>
      </c>
      <c r="F2660" s="3">
        <v>12.93</v>
      </c>
      <c r="G2660" t="s">
        <v>36</v>
      </c>
      <c r="H2660">
        <v>3</v>
      </c>
      <c r="I2660" t="s">
        <v>34</v>
      </c>
      <c r="J2660" s="4">
        <v>51.6</v>
      </c>
      <c r="K2660" s="4">
        <v>64.8</v>
      </c>
      <c r="L2660" s="4">
        <v>17.100000000000001</v>
      </c>
      <c r="M2660">
        <v>16</v>
      </c>
      <c r="N2660" t="s">
        <v>56</v>
      </c>
      <c r="O2660">
        <v>4</v>
      </c>
      <c r="P2660" s="4">
        <v>277.60000000000002</v>
      </c>
      <c r="Q2660" t="s">
        <v>42</v>
      </c>
      <c r="R2660">
        <v>1</v>
      </c>
      <c r="S2660" t="s">
        <v>31</v>
      </c>
      <c r="T2660">
        <v>0</v>
      </c>
      <c r="U2660">
        <v>0</v>
      </c>
      <c r="V2660" t="s">
        <v>32</v>
      </c>
      <c r="W2660" t="s">
        <v>43</v>
      </c>
      <c r="X2660" s="4">
        <v>8.3000000000000007</v>
      </c>
      <c r="Y2660">
        <v>7</v>
      </c>
      <c r="Z2660" s="5">
        <v>242.54</v>
      </c>
    </row>
    <row r="2661" spans="1:26">
      <c r="A2661">
        <v>2660</v>
      </c>
      <c r="B2661">
        <v>873</v>
      </c>
      <c r="C2661" s="2">
        <v>46214</v>
      </c>
      <c r="D2661" t="s">
        <v>40</v>
      </c>
      <c r="E2661">
        <v>7</v>
      </c>
      <c r="F2661" s="3">
        <v>12.93</v>
      </c>
      <c r="G2661" t="s">
        <v>36</v>
      </c>
      <c r="H2661">
        <v>31</v>
      </c>
      <c r="I2661" t="s">
        <v>34</v>
      </c>
      <c r="J2661" s="4">
        <v>61.3</v>
      </c>
      <c r="K2661" s="4">
        <v>141.80000000000001</v>
      </c>
      <c r="L2661" s="4">
        <v>26.4</v>
      </c>
      <c r="M2661">
        <v>15</v>
      </c>
      <c r="N2661" t="s">
        <v>56</v>
      </c>
      <c r="O2661">
        <v>4</v>
      </c>
      <c r="P2661" s="4">
        <v>277.60000000000002</v>
      </c>
      <c r="Q2661" t="s">
        <v>42</v>
      </c>
      <c r="R2661">
        <v>1</v>
      </c>
      <c r="S2661" t="s">
        <v>31</v>
      </c>
      <c r="T2661">
        <v>0</v>
      </c>
      <c r="U2661">
        <v>0</v>
      </c>
      <c r="V2661" t="s">
        <v>32</v>
      </c>
      <c r="W2661" t="s">
        <v>43</v>
      </c>
      <c r="X2661" s="4">
        <v>8.6</v>
      </c>
      <c r="Y2661">
        <v>6</v>
      </c>
      <c r="Z2661" s="5">
        <v>174.52</v>
      </c>
    </row>
    <row r="2662" spans="1:26">
      <c r="A2662">
        <v>2661</v>
      </c>
      <c r="B2662">
        <v>873</v>
      </c>
      <c r="C2662" s="2">
        <v>46214</v>
      </c>
      <c r="D2662" t="s">
        <v>40</v>
      </c>
      <c r="E2662">
        <v>7</v>
      </c>
      <c r="F2662" s="3">
        <v>12.82</v>
      </c>
      <c r="G2662" t="s">
        <v>36</v>
      </c>
      <c r="H2662">
        <v>34</v>
      </c>
      <c r="I2662" t="s">
        <v>34</v>
      </c>
      <c r="J2662" s="4">
        <v>60.9</v>
      </c>
      <c r="K2662" s="4">
        <v>128</v>
      </c>
      <c r="L2662" s="4">
        <v>24.3</v>
      </c>
      <c r="M2662">
        <v>12</v>
      </c>
      <c r="N2662" t="s">
        <v>56</v>
      </c>
      <c r="O2662">
        <v>4</v>
      </c>
      <c r="P2662" s="4">
        <v>277.60000000000002</v>
      </c>
      <c r="Q2662" t="s">
        <v>42</v>
      </c>
      <c r="R2662">
        <v>1</v>
      </c>
      <c r="S2662" t="s">
        <v>31</v>
      </c>
      <c r="T2662">
        <v>0</v>
      </c>
      <c r="U2662">
        <v>0</v>
      </c>
      <c r="V2662" t="s">
        <v>32</v>
      </c>
      <c r="W2662" t="s">
        <v>43</v>
      </c>
      <c r="X2662" s="4">
        <v>11.2</v>
      </c>
      <c r="Y2662">
        <v>10</v>
      </c>
      <c r="Z2662" s="5">
        <v>311.17</v>
      </c>
    </row>
    <row r="2663" spans="1:26">
      <c r="A2663">
        <v>2662</v>
      </c>
      <c r="B2663">
        <v>873</v>
      </c>
      <c r="C2663" s="2">
        <v>46214</v>
      </c>
      <c r="D2663" t="s">
        <v>40</v>
      </c>
      <c r="E2663">
        <v>7</v>
      </c>
      <c r="F2663" s="3">
        <v>12.9</v>
      </c>
      <c r="G2663" t="s">
        <v>36</v>
      </c>
      <c r="H2663">
        <v>66</v>
      </c>
      <c r="I2663" t="s">
        <v>28</v>
      </c>
      <c r="J2663" s="4">
        <v>69.900000000000006</v>
      </c>
      <c r="K2663" s="4">
        <v>177.8</v>
      </c>
      <c r="L2663" s="4">
        <v>25.5</v>
      </c>
      <c r="M2663">
        <v>13</v>
      </c>
      <c r="N2663" t="s">
        <v>56</v>
      </c>
      <c r="O2663">
        <v>4</v>
      </c>
      <c r="P2663" s="4">
        <v>277.60000000000002</v>
      </c>
      <c r="Q2663" t="s">
        <v>42</v>
      </c>
      <c r="R2663">
        <v>1</v>
      </c>
      <c r="S2663" t="s">
        <v>31</v>
      </c>
      <c r="T2663">
        <v>0</v>
      </c>
      <c r="U2663">
        <v>0</v>
      </c>
      <c r="V2663" t="s">
        <v>32</v>
      </c>
      <c r="W2663" t="s">
        <v>43</v>
      </c>
      <c r="X2663" s="4">
        <v>7.3</v>
      </c>
      <c r="Y2663">
        <v>3</v>
      </c>
      <c r="Z2663" s="5">
        <v>183.72</v>
      </c>
    </row>
    <row r="2664" spans="1:26">
      <c r="A2664">
        <v>2663</v>
      </c>
      <c r="B2664">
        <v>874</v>
      </c>
      <c r="C2664" s="2">
        <v>46034</v>
      </c>
      <c r="D2664" t="s">
        <v>46</v>
      </c>
      <c r="E2664">
        <v>1</v>
      </c>
      <c r="F2664" s="3">
        <v>11.53</v>
      </c>
      <c r="G2664" t="s">
        <v>36</v>
      </c>
      <c r="H2664">
        <v>33</v>
      </c>
      <c r="I2664" t="s">
        <v>28</v>
      </c>
      <c r="J2664" s="4">
        <v>70.3</v>
      </c>
      <c r="K2664" s="4">
        <v>183.3</v>
      </c>
      <c r="L2664" s="4">
        <v>26.2</v>
      </c>
      <c r="M2664">
        <v>13</v>
      </c>
      <c r="N2664" t="s">
        <v>41</v>
      </c>
      <c r="O2664">
        <v>3</v>
      </c>
      <c r="P2664" s="4">
        <v>4299.3</v>
      </c>
      <c r="Q2664" t="s">
        <v>42</v>
      </c>
      <c r="R2664">
        <v>1</v>
      </c>
      <c r="S2664" t="s">
        <v>38</v>
      </c>
      <c r="T2664">
        <v>1</v>
      </c>
      <c r="U2664">
        <v>0</v>
      </c>
      <c r="V2664" t="s">
        <v>45</v>
      </c>
      <c r="W2664" t="s">
        <v>43</v>
      </c>
      <c r="X2664" s="4">
        <v>6.8</v>
      </c>
      <c r="Y2664">
        <v>7</v>
      </c>
      <c r="Z2664" s="5">
        <v>184.02</v>
      </c>
    </row>
    <row r="2665" spans="1:26">
      <c r="A2665">
        <v>2664</v>
      </c>
      <c r="B2665">
        <v>874</v>
      </c>
      <c r="C2665" s="2">
        <v>46034</v>
      </c>
      <c r="D2665" t="s">
        <v>46</v>
      </c>
      <c r="E2665">
        <v>1</v>
      </c>
      <c r="F2665" s="3">
        <v>11.2</v>
      </c>
      <c r="G2665" t="s">
        <v>36</v>
      </c>
      <c r="H2665">
        <v>31</v>
      </c>
      <c r="I2665" t="s">
        <v>34</v>
      </c>
      <c r="J2665" s="4">
        <v>69.099999999999994</v>
      </c>
      <c r="K2665" s="4">
        <v>168.5</v>
      </c>
      <c r="L2665" s="4">
        <v>24.6</v>
      </c>
      <c r="M2665">
        <v>12</v>
      </c>
      <c r="N2665" t="s">
        <v>41</v>
      </c>
      <c r="O2665">
        <v>3</v>
      </c>
      <c r="P2665" s="4">
        <v>4299.3</v>
      </c>
      <c r="Q2665" t="s">
        <v>42</v>
      </c>
      <c r="R2665">
        <v>1</v>
      </c>
      <c r="S2665" t="s">
        <v>38</v>
      </c>
      <c r="T2665">
        <v>1</v>
      </c>
      <c r="U2665">
        <v>0</v>
      </c>
      <c r="V2665" t="s">
        <v>45</v>
      </c>
      <c r="W2665" t="s">
        <v>43</v>
      </c>
      <c r="X2665" s="4">
        <v>10.6</v>
      </c>
      <c r="Y2665">
        <v>13</v>
      </c>
      <c r="Z2665" s="5">
        <v>344.24</v>
      </c>
    </row>
    <row r="2666" spans="1:26">
      <c r="A2666">
        <v>2665</v>
      </c>
      <c r="B2666">
        <v>874</v>
      </c>
      <c r="C2666" s="2">
        <v>46034</v>
      </c>
      <c r="D2666" t="s">
        <v>46</v>
      </c>
      <c r="E2666">
        <v>1</v>
      </c>
      <c r="F2666" s="3">
        <v>11.32</v>
      </c>
      <c r="G2666" t="s">
        <v>36</v>
      </c>
      <c r="H2666">
        <v>30</v>
      </c>
      <c r="I2666" t="s">
        <v>28</v>
      </c>
      <c r="J2666" s="4">
        <v>70.900000000000006</v>
      </c>
      <c r="K2666" s="4">
        <v>183.9</v>
      </c>
      <c r="L2666" s="4">
        <v>25.6</v>
      </c>
      <c r="M2666">
        <v>10</v>
      </c>
      <c r="N2666" t="s">
        <v>41</v>
      </c>
      <c r="O2666">
        <v>3</v>
      </c>
      <c r="P2666" s="4">
        <v>4299.3</v>
      </c>
      <c r="Q2666" t="s">
        <v>42</v>
      </c>
      <c r="R2666">
        <v>1</v>
      </c>
      <c r="S2666" t="s">
        <v>38</v>
      </c>
      <c r="T2666">
        <v>1</v>
      </c>
      <c r="U2666">
        <v>0</v>
      </c>
      <c r="V2666" t="s">
        <v>45</v>
      </c>
      <c r="W2666" t="s">
        <v>43</v>
      </c>
      <c r="X2666" s="4">
        <v>8.8000000000000007</v>
      </c>
      <c r="Y2666">
        <v>7</v>
      </c>
      <c r="Z2666" s="5">
        <v>221.85</v>
      </c>
    </row>
    <row r="2667" spans="1:26">
      <c r="A2667">
        <v>2666</v>
      </c>
      <c r="B2667">
        <v>875</v>
      </c>
      <c r="C2667" s="2">
        <v>46293</v>
      </c>
      <c r="D2667" t="s">
        <v>46</v>
      </c>
      <c r="E2667">
        <v>9</v>
      </c>
      <c r="F2667" s="3">
        <v>10.32</v>
      </c>
      <c r="G2667" t="s">
        <v>27</v>
      </c>
      <c r="H2667">
        <v>38</v>
      </c>
      <c r="I2667" t="s">
        <v>34</v>
      </c>
      <c r="J2667" s="4">
        <v>62.9</v>
      </c>
      <c r="K2667" s="4">
        <v>153</v>
      </c>
      <c r="L2667" s="4">
        <v>27.3</v>
      </c>
      <c r="M2667">
        <v>13</v>
      </c>
      <c r="N2667" t="s">
        <v>47</v>
      </c>
      <c r="O2667">
        <v>2</v>
      </c>
      <c r="P2667" s="4">
        <v>17.600000000000001</v>
      </c>
      <c r="Q2667" t="s">
        <v>30</v>
      </c>
      <c r="R2667">
        <v>0</v>
      </c>
      <c r="S2667" t="s">
        <v>44</v>
      </c>
      <c r="T2667">
        <v>0</v>
      </c>
      <c r="U2667">
        <v>1</v>
      </c>
      <c r="V2667" t="s">
        <v>45</v>
      </c>
      <c r="W2667" t="s">
        <v>43</v>
      </c>
      <c r="X2667" s="4">
        <v>6.1</v>
      </c>
      <c r="Y2667">
        <v>4</v>
      </c>
      <c r="Z2667" s="5">
        <v>119.1</v>
      </c>
    </row>
    <row r="2668" spans="1:26">
      <c r="A2668">
        <v>2667</v>
      </c>
      <c r="B2668">
        <v>875</v>
      </c>
      <c r="C2668" s="2">
        <v>46293</v>
      </c>
      <c r="D2668" t="s">
        <v>46</v>
      </c>
      <c r="E2668">
        <v>9</v>
      </c>
      <c r="F2668" s="3">
        <v>10.32</v>
      </c>
      <c r="G2668" t="s">
        <v>27</v>
      </c>
      <c r="H2668">
        <v>46</v>
      </c>
      <c r="I2668" t="s">
        <v>28</v>
      </c>
      <c r="J2668" s="4">
        <v>68.5</v>
      </c>
      <c r="K2668" s="4">
        <v>130.1</v>
      </c>
      <c r="L2668" s="4">
        <v>19.600000000000001</v>
      </c>
      <c r="M2668">
        <v>17</v>
      </c>
      <c r="N2668" t="s">
        <v>47</v>
      </c>
      <c r="O2668">
        <v>2</v>
      </c>
      <c r="P2668" s="4">
        <v>17.600000000000001</v>
      </c>
      <c r="Q2668" t="s">
        <v>30</v>
      </c>
      <c r="R2668">
        <v>0</v>
      </c>
      <c r="S2668" t="s">
        <v>44</v>
      </c>
      <c r="T2668">
        <v>0</v>
      </c>
      <c r="U2668">
        <v>1</v>
      </c>
      <c r="V2668" t="s">
        <v>45</v>
      </c>
      <c r="W2668" t="s">
        <v>43</v>
      </c>
      <c r="X2668" s="4">
        <v>10.7</v>
      </c>
      <c r="Y2668">
        <v>6</v>
      </c>
      <c r="Z2668" s="5">
        <v>293.33</v>
      </c>
    </row>
    <row r="2669" spans="1:26">
      <c r="A2669">
        <v>2668</v>
      </c>
      <c r="B2669">
        <v>876</v>
      </c>
      <c r="C2669" s="2">
        <v>46256</v>
      </c>
      <c r="D2669" t="s">
        <v>40</v>
      </c>
      <c r="E2669">
        <v>8</v>
      </c>
      <c r="F2669" s="3">
        <v>11.01</v>
      </c>
      <c r="G2669" t="s">
        <v>36</v>
      </c>
      <c r="H2669">
        <v>24</v>
      </c>
      <c r="I2669" t="s">
        <v>34</v>
      </c>
      <c r="J2669" s="4">
        <v>61</v>
      </c>
      <c r="K2669" s="4">
        <v>109.2</v>
      </c>
      <c r="L2669" s="4">
        <v>20.7</v>
      </c>
      <c r="M2669">
        <v>14</v>
      </c>
      <c r="N2669" t="s">
        <v>47</v>
      </c>
      <c r="O2669">
        <v>6</v>
      </c>
      <c r="P2669" s="4">
        <v>2</v>
      </c>
      <c r="Q2669" t="s">
        <v>42</v>
      </c>
      <c r="R2669">
        <v>0</v>
      </c>
      <c r="S2669" t="s">
        <v>44</v>
      </c>
      <c r="T2669">
        <v>0</v>
      </c>
      <c r="U2669">
        <v>0</v>
      </c>
      <c r="V2669" t="s">
        <v>32</v>
      </c>
      <c r="W2669" t="s">
        <v>57</v>
      </c>
      <c r="X2669" s="4">
        <v>7.3</v>
      </c>
      <c r="Y2669">
        <v>4</v>
      </c>
      <c r="Z2669" s="5">
        <v>207.09</v>
      </c>
    </row>
    <row r="2670" spans="1:26">
      <c r="A2670">
        <v>2669</v>
      </c>
      <c r="B2670">
        <v>876</v>
      </c>
      <c r="C2670" s="2">
        <v>46256</v>
      </c>
      <c r="D2670" t="s">
        <v>40</v>
      </c>
      <c r="E2670">
        <v>8</v>
      </c>
      <c r="F2670" s="3">
        <v>11.17</v>
      </c>
      <c r="G2670" t="s">
        <v>36</v>
      </c>
      <c r="H2670">
        <v>61</v>
      </c>
      <c r="I2670" t="s">
        <v>28</v>
      </c>
      <c r="J2670" s="4">
        <v>67.599999999999994</v>
      </c>
      <c r="K2670" s="4">
        <v>205.3</v>
      </c>
      <c r="L2670" s="4">
        <v>31.6</v>
      </c>
      <c r="M2670">
        <v>15</v>
      </c>
      <c r="N2670" t="s">
        <v>47</v>
      </c>
      <c r="O2670">
        <v>6</v>
      </c>
      <c r="P2670" s="4">
        <v>2</v>
      </c>
      <c r="Q2670" t="s">
        <v>42</v>
      </c>
      <c r="R2670">
        <v>0</v>
      </c>
      <c r="S2670" t="s">
        <v>44</v>
      </c>
      <c r="T2670">
        <v>0</v>
      </c>
      <c r="U2670">
        <v>0</v>
      </c>
      <c r="V2670" t="s">
        <v>32</v>
      </c>
      <c r="W2670" t="s">
        <v>57</v>
      </c>
      <c r="X2670" s="4">
        <v>6.7</v>
      </c>
      <c r="Y2670">
        <v>5</v>
      </c>
      <c r="Z2670" s="5">
        <v>148.4</v>
      </c>
    </row>
    <row r="2671" spans="1:26">
      <c r="A2671">
        <v>2670</v>
      </c>
      <c r="B2671">
        <v>876</v>
      </c>
      <c r="C2671" s="2">
        <v>46256</v>
      </c>
      <c r="D2671" t="s">
        <v>40</v>
      </c>
      <c r="E2671">
        <v>8</v>
      </c>
      <c r="F2671" s="3">
        <v>10.93</v>
      </c>
      <c r="G2671" t="s">
        <v>27</v>
      </c>
      <c r="H2671">
        <v>47</v>
      </c>
      <c r="I2671" t="s">
        <v>34</v>
      </c>
      <c r="J2671" s="4">
        <v>66.2</v>
      </c>
      <c r="K2671" s="4">
        <v>145</v>
      </c>
      <c r="L2671" s="4">
        <v>23.2</v>
      </c>
      <c r="M2671">
        <v>17</v>
      </c>
      <c r="N2671" t="s">
        <v>47</v>
      </c>
      <c r="O2671">
        <v>6</v>
      </c>
      <c r="P2671" s="4">
        <v>2</v>
      </c>
      <c r="Q2671" t="s">
        <v>42</v>
      </c>
      <c r="R2671">
        <v>0</v>
      </c>
      <c r="S2671" t="s">
        <v>44</v>
      </c>
      <c r="T2671">
        <v>0</v>
      </c>
      <c r="U2671">
        <v>0</v>
      </c>
      <c r="V2671" t="s">
        <v>32</v>
      </c>
      <c r="W2671" t="s">
        <v>57</v>
      </c>
      <c r="X2671" s="4">
        <v>8.5</v>
      </c>
      <c r="Y2671">
        <v>3</v>
      </c>
      <c r="Z2671" s="5">
        <v>158.44</v>
      </c>
    </row>
    <row r="2672" spans="1:26">
      <c r="A2672">
        <v>2671</v>
      </c>
      <c r="B2672">
        <v>876</v>
      </c>
      <c r="C2672" s="2">
        <v>46256</v>
      </c>
      <c r="D2672" t="s">
        <v>40</v>
      </c>
      <c r="E2672">
        <v>8</v>
      </c>
      <c r="F2672" s="3">
        <v>10.95</v>
      </c>
      <c r="G2672" t="s">
        <v>27</v>
      </c>
      <c r="H2672">
        <v>4</v>
      </c>
      <c r="I2672" t="s">
        <v>51</v>
      </c>
      <c r="J2672" s="4">
        <v>51.6</v>
      </c>
      <c r="K2672" s="4">
        <v>81.5</v>
      </c>
      <c r="L2672" s="4">
        <v>21.4</v>
      </c>
      <c r="M2672">
        <v>13</v>
      </c>
      <c r="N2672" t="s">
        <v>47</v>
      </c>
      <c r="O2672">
        <v>6</v>
      </c>
      <c r="P2672" s="4">
        <v>2</v>
      </c>
      <c r="Q2672" t="s">
        <v>42</v>
      </c>
      <c r="R2672">
        <v>0</v>
      </c>
      <c r="S2672" t="s">
        <v>44</v>
      </c>
      <c r="T2672">
        <v>0</v>
      </c>
      <c r="U2672">
        <v>0</v>
      </c>
      <c r="V2672" t="s">
        <v>32</v>
      </c>
      <c r="W2672" t="s">
        <v>57</v>
      </c>
      <c r="X2672" s="4">
        <v>7.4</v>
      </c>
      <c r="Y2672">
        <v>6</v>
      </c>
      <c r="Z2672" s="5">
        <v>145.88999999999999</v>
      </c>
    </row>
    <row r="2673" spans="1:26">
      <c r="A2673">
        <v>2672</v>
      </c>
      <c r="B2673">
        <v>876</v>
      </c>
      <c r="C2673" s="2">
        <v>46256</v>
      </c>
      <c r="D2673" t="s">
        <v>40</v>
      </c>
      <c r="E2673">
        <v>8</v>
      </c>
      <c r="F2673" s="3">
        <v>10.83</v>
      </c>
      <c r="G2673" t="s">
        <v>27</v>
      </c>
      <c r="H2673">
        <v>28</v>
      </c>
      <c r="I2673" t="s">
        <v>28</v>
      </c>
      <c r="J2673" s="4">
        <v>69.8</v>
      </c>
      <c r="K2673" s="4">
        <v>173.8</v>
      </c>
      <c r="L2673" s="4">
        <v>25.2</v>
      </c>
      <c r="M2673">
        <v>15</v>
      </c>
      <c r="N2673" t="s">
        <v>47</v>
      </c>
      <c r="O2673">
        <v>6</v>
      </c>
      <c r="P2673" s="4">
        <v>2</v>
      </c>
      <c r="Q2673" t="s">
        <v>42</v>
      </c>
      <c r="R2673">
        <v>0</v>
      </c>
      <c r="S2673" t="s">
        <v>44</v>
      </c>
      <c r="T2673">
        <v>0</v>
      </c>
      <c r="U2673">
        <v>0</v>
      </c>
      <c r="V2673" t="s">
        <v>32</v>
      </c>
      <c r="W2673" t="s">
        <v>57</v>
      </c>
      <c r="X2673" s="4">
        <v>8.1999999999999993</v>
      </c>
      <c r="Y2673">
        <v>13</v>
      </c>
      <c r="Z2673" s="5">
        <v>232.34</v>
      </c>
    </row>
    <row r="2674" spans="1:26">
      <c r="A2674">
        <v>2673</v>
      </c>
      <c r="B2674">
        <v>876</v>
      </c>
      <c r="C2674" s="2">
        <v>46256</v>
      </c>
      <c r="D2674" t="s">
        <v>40</v>
      </c>
      <c r="E2674">
        <v>8</v>
      </c>
      <c r="F2674" s="3">
        <v>10.77</v>
      </c>
      <c r="G2674" t="s">
        <v>27</v>
      </c>
      <c r="H2674">
        <v>9</v>
      </c>
      <c r="I2674" t="s">
        <v>34</v>
      </c>
      <c r="J2674" s="4">
        <v>65.599999999999994</v>
      </c>
      <c r="K2674" s="4">
        <v>109.7</v>
      </c>
      <c r="L2674" s="4">
        <v>17.899999999999999</v>
      </c>
      <c r="M2674">
        <v>14</v>
      </c>
      <c r="N2674" t="s">
        <v>47</v>
      </c>
      <c r="O2674">
        <v>6</v>
      </c>
      <c r="P2674" s="4">
        <v>2</v>
      </c>
      <c r="Q2674" t="s">
        <v>42</v>
      </c>
      <c r="R2674">
        <v>0</v>
      </c>
      <c r="S2674" t="s">
        <v>44</v>
      </c>
      <c r="T2674">
        <v>0</v>
      </c>
      <c r="U2674">
        <v>0</v>
      </c>
      <c r="V2674" t="s">
        <v>32</v>
      </c>
      <c r="W2674" t="s">
        <v>57</v>
      </c>
      <c r="X2674" s="4">
        <v>5.3</v>
      </c>
      <c r="Y2674">
        <v>4</v>
      </c>
      <c r="Z2674" s="5">
        <v>107.45</v>
      </c>
    </row>
    <row r="2675" spans="1:26">
      <c r="A2675">
        <v>2674</v>
      </c>
      <c r="B2675">
        <v>877</v>
      </c>
      <c r="C2675" s="2">
        <v>46039</v>
      </c>
      <c r="D2675" t="s">
        <v>40</v>
      </c>
      <c r="E2675">
        <v>1</v>
      </c>
      <c r="F2675" s="3">
        <v>8.69</v>
      </c>
      <c r="G2675" t="s">
        <v>27</v>
      </c>
      <c r="H2675">
        <v>40</v>
      </c>
      <c r="I2675" t="s">
        <v>34</v>
      </c>
      <c r="J2675" s="4">
        <v>63.3</v>
      </c>
      <c r="K2675" s="4">
        <v>139.6</v>
      </c>
      <c r="L2675" s="4">
        <v>24.3</v>
      </c>
      <c r="M2675">
        <v>17</v>
      </c>
      <c r="N2675" t="s">
        <v>61</v>
      </c>
      <c r="O2675">
        <v>1</v>
      </c>
      <c r="P2675" s="4">
        <v>1674</v>
      </c>
      <c r="Q2675" t="s">
        <v>42</v>
      </c>
      <c r="R2675">
        <v>0</v>
      </c>
      <c r="S2675" t="s">
        <v>44</v>
      </c>
      <c r="T2675">
        <v>0</v>
      </c>
      <c r="U2675">
        <v>0</v>
      </c>
      <c r="V2675" t="s">
        <v>32</v>
      </c>
      <c r="W2675" t="s">
        <v>39</v>
      </c>
      <c r="X2675" s="4">
        <v>9.6999999999999993</v>
      </c>
      <c r="Y2675">
        <v>11</v>
      </c>
      <c r="Z2675" s="5">
        <v>223.96</v>
      </c>
    </row>
    <row r="2676" spans="1:26">
      <c r="A2676">
        <v>2675</v>
      </c>
      <c r="B2676">
        <v>878</v>
      </c>
      <c r="C2676" s="2">
        <v>46326</v>
      </c>
      <c r="D2676" t="s">
        <v>40</v>
      </c>
      <c r="E2676">
        <v>10</v>
      </c>
      <c r="F2676" s="3">
        <v>12.27</v>
      </c>
      <c r="G2676" t="s">
        <v>36</v>
      </c>
      <c r="H2676">
        <v>67</v>
      </c>
      <c r="I2676" t="s">
        <v>34</v>
      </c>
      <c r="J2676" s="4">
        <v>65.099999999999994</v>
      </c>
      <c r="K2676" s="4">
        <v>172.1</v>
      </c>
      <c r="L2676" s="4">
        <v>28.5</v>
      </c>
      <c r="M2676">
        <v>14</v>
      </c>
      <c r="N2676" t="s">
        <v>60</v>
      </c>
      <c r="O2676">
        <v>2</v>
      </c>
      <c r="P2676" s="4">
        <v>1011.3</v>
      </c>
      <c r="Q2676" t="s">
        <v>30</v>
      </c>
      <c r="R2676">
        <v>1</v>
      </c>
      <c r="S2676" t="s">
        <v>31</v>
      </c>
      <c r="T2676">
        <v>0</v>
      </c>
      <c r="U2676">
        <v>0</v>
      </c>
      <c r="V2676" t="s">
        <v>32</v>
      </c>
      <c r="W2676" t="s">
        <v>49</v>
      </c>
      <c r="X2676" s="4">
        <v>8.8000000000000007</v>
      </c>
      <c r="Y2676">
        <v>11</v>
      </c>
      <c r="Z2676" s="5">
        <v>274.55</v>
      </c>
    </row>
    <row r="2677" spans="1:26">
      <c r="A2677">
        <v>2676</v>
      </c>
      <c r="B2677">
        <v>878</v>
      </c>
      <c r="C2677" s="2">
        <v>46326</v>
      </c>
      <c r="D2677" t="s">
        <v>40</v>
      </c>
      <c r="E2677">
        <v>10</v>
      </c>
      <c r="F2677" s="3">
        <v>12.18</v>
      </c>
      <c r="G2677" t="s">
        <v>36</v>
      </c>
      <c r="H2677">
        <v>24</v>
      </c>
      <c r="I2677" t="s">
        <v>28</v>
      </c>
      <c r="J2677" s="4">
        <v>69</v>
      </c>
      <c r="K2677" s="4">
        <v>176.1</v>
      </c>
      <c r="L2677" s="4">
        <v>26</v>
      </c>
      <c r="M2677">
        <v>13</v>
      </c>
      <c r="N2677" t="s">
        <v>60</v>
      </c>
      <c r="O2677">
        <v>2</v>
      </c>
      <c r="P2677" s="4">
        <v>1011.3</v>
      </c>
      <c r="Q2677" t="s">
        <v>30</v>
      </c>
      <c r="R2677">
        <v>1</v>
      </c>
      <c r="S2677" t="s">
        <v>31</v>
      </c>
      <c r="T2677">
        <v>0</v>
      </c>
      <c r="U2677">
        <v>0</v>
      </c>
      <c r="V2677" t="s">
        <v>32</v>
      </c>
      <c r="W2677" t="s">
        <v>49</v>
      </c>
      <c r="X2677" s="4">
        <v>9.6999999999999993</v>
      </c>
      <c r="Y2677">
        <v>8</v>
      </c>
      <c r="Z2677" s="5">
        <v>187.81</v>
      </c>
    </row>
    <row r="2678" spans="1:26">
      <c r="A2678">
        <v>2677</v>
      </c>
      <c r="B2678">
        <v>879</v>
      </c>
      <c r="C2678" s="2">
        <v>46359</v>
      </c>
      <c r="D2678" t="s">
        <v>55</v>
      </c>
      <c r="E2678">
        <v>12</v>
      </c>
      <c r="F2678" s="3">
        <v>10.85</v>
      </c>
      <c r="G2678" t="s">
        <v>27</v>
      </c>
      <c r="H2678">
        <v>29</v>
      </c>
      <c r="I2678" t="s">
        <v>28</v>
      </c>
      <c r="J2678" s="4">
        <v>69.5</v>
      </c>
      <c r="K2678" s="4">
        <v>176.2</v>
      </c>
      <c r="L2678" s="4">
        <v>25.9</v>
      </c>
      <c r="M2678">
        <v>13</v>
      </c>
      <c r="N2678" t="s">
        <v>61</v>
      </c>
      <c r="O2678">
        <v>4</v>
      </c>
      <c r="P2678" s="4">
        <v>891.8</v>
      </c>
      <c r="Q2678" t="s">
        <v>42</v>
      </c>
      <c r="R2678">
        <v>1</v>
      </c>
      <c r="S2678" t="s">
        <v>44</v>
      </c>
      <c r="T2678">
        <v>0</v>
      </c>
      <c r="U2678">
        <v>0</v>
      </c>
      <c r="V2678" t="s">
        <v>32</v>
      </c>
      <c r="W2678" t="s">
        <v>39</v>
      </c>
      <c r="X2678" s="4">
        <v>7.7</v>
      </c>
      <c r="Y2678">
        <v>8</v>
      </c>
      <c r="Z2678" s="5">
        <v>261.08999999999997</v>
      </c>
    </row>
    <row r="2679" spans="1:26">
      <c r="A2679">
        <v>2678</v>
      </c>
      <c r="B2679">
        <v>879</v>
      </c>
      <c r="C2679" s="2">
        <v>46359</v>
      </c>
      <c r="D2679" t="s">
        <v>55</v>
      </c>
      <c r="E2679">
        <v>12</v>
      </c>
      <c r="F2679" s="3">
        <v>10.74</v>
      </c>
      <c r="G2679" t="s">
        <v>27</v>
      </c>
      <c r="H2679">
        <v>34</v>
      </c>
      <c r="I2679" t="s">
        <v>34</v>
      </c>
      <c r="J2679" s="4">
        <v>65.099999999999994</v>
      </c>
      <c r="K2679" s="4">
        <v>174.1</v>
      </c>
      <c r="L2679" s="4">
        <v>28.7</v>
      </c>
      <c r="M2679">
        <v>13</v>
      </c>
      <c r="N2679" t="s">
        <v>61</v>
      </c>
      <c r="O2679">
        <v>4</v>
      </c>
      <c r="P2679" s="4">
        <v>891.8</v>
      </c>
      <c r="Q2679" t="s">
        <v>42</v>
      </c>
      <c r="R2679">
        <v>1</v>
      </c>
      <c r="S2679" t="s">
        <v>44</v>
      </c>
      <c r="T2679">
        <v>0</v>
      </c>
      <c r="U2679">
        <v>0</v>
      </c>
      <c r="V2679" t="s">
        <v>32</v>
      </c>
      <c r="W2679" t="s">
        <v>39</v>
      </c>
      <c r="X2679" s="4">
        <v>7.4</v>
      </c>
      <c r="Y2679">
        <v>9</v>
      </c>
      <c r="Z2679" s="5">
        <v>232.74</v>
      </c>
    </row>
    <row r="2680" spans="1:26">
      <c r="A2680">
        <v>2679</v>
      </c>
      <c r="B2680">
        <v>879</v>
      </c>
      <c r="C2680" s="2">
        <v>46359</v>
      </c>
      <c r="D2680" t="s">
        <v>55</v>
      </c>
      <c r="E2680">
        <v>12</v>
      </c>
      <c r="F2680" s="3">
        <v>10.87</v>
      </c>
      <c r="G2680" t="s">
        <v>27</v>
      </c>
      <c r="H2680">
        <v>13</v>
      </c>
      <c r="I2680" t="s">
        <v>28</v>
      </c>
      <c r="J2680" s="4">
        <v>70</v>
      </c>
      <c r="K2680" s="4">
        <v>136.4</v>
      </c>
      <c r="L2680" s="4">
        <v>19.5</v>
      </c>
      <c r="M2680">
        <v>14</v>
      </c>
      <c r="N2680" t="s">
        <v>61</v>
      </c>
      <c r="O2680">
        <v>4</v>
      </c>
      <c r="P2680" s="4">
        <v>891.8</v>
      </c>
      <c r="Q2680" t="s">
        <v>42</v>
      </c>
      <c r="R2680">
        <v>1</v>
      </c>
      <c r="S2680" t="s">
        <v>44</v>
      </c>
      <c r="T2680">
        <v>0</v>
      </c>
      <c r="U2680">
        <v>0</v>
      </c>
      <c r="V2680" t="s">
        <v>32</v>
      </c>
      <c r="W2680" t="s">
        <v>39</v>
      </c>
      <c r="X2680" s="4">
        <v>10.6</v>
      </c>
      <c r="Y2680">
        <v>16</v>
      </c>
      <c r="Z2680" s="5">
        <v>318.52999999999997</v>
      </c>
    </row>
    <row r="2681" spans="1:26">
      <c r="A2681">
        <v>2680</v>
      </c>
      <c r="B2681">
        <v>879</v>
      </c>
      <c r="C2681" s="2">
        <v>46359</v>
      </c>
      <c r="D2681" t="s">
        <v>55</v>
      </c>
      <c r="E2681">
        <v>12</v>
      </c>
      <c r="F2681" s="3">
        <v>10.87</v>
      </c>
      <c r="G2681" t="s">
        <v>27</v>
      </c>
      <c r="H2681">
        <v>25</v>
      </c>
      <c r="I2681" t="s">
        <v>34</v>
      </c>
      <c r="J2681" s="4">
        <v>62.2</v>
      </c>
      <c r="K2681" s="4">
        <v>137.80000000000001</v>
      </c>
      <c r="L2681" s="4">
        <v>24.8</v>
      </c>
      <c r="M2681">
        <v>14</v>
      </c>
      <c r="N2681" t="s">
        <v>61</v>
      </c>
      <c r="O2681">
        <v>4</v>
      </c>
      <c r="P2681" s="4">
        <v>891.8</v>
      </c>
      <c r="Q2681" t="s">
        <v>42</v>
      </c>
      <c r="R2681">
        <v>1</v>
      </c>
      <c r="S2681" t="s">
        <v>44</v>
      </c>
      <c r="T2681">
        <v>0</v>
      </c>
      <c r="U2681">
        <v>0</v>
      </c>
      <c r="V2681" t="s">
        <v>32</v>
      </c>
      <c r="W2681" t="s">
        <v>39</v>
      </c>
      <c r="X2681" s="4">
        <v>8.6999999999999993</v>
      </c>
      <c r="Y2681">
        <v>8</v>
      </c>
      <c r="Z2681" s="5">
        <v>344.17</v>
      </c>
    </row>
    <row r="2682" spans="1:26">
      <c r="A2682">
        <v>2681</v>
      </c>
      <c r="B2682">
        <v>880</v>
      </c>
      <c r="C2682" s="2">
        <v>46241</v>
      </c>
      <c r="D2682" t="s">
        <v>26</v>
      </c>
      <c r="E2682">
        <v>8</v>
      </c>
      <c r="F2682" s="3">
        <v>7.82</v>
      </c>
      <c r="G2682" t="s">
        <v>27</v>
      </c>
      <c r="H2682">
        <v>18</v>
      </c>
      <c r="I2682" t="s">
        <v>28</v>
      </c>
      <c r="J2682" s="4">
        <v>74.599999999999994</v>
      </c>
      <c r="K2682" s="4">
        <v>209.6</v>
      </c>
      <c r="L2682" s="4">
        <v>26.5</v>
      </c>
      <c r="M2682">
        <v>14</v>
      </c>
      <c r="N2682" t="s">
        <v>66</v>
      </c>
      <c r="O2682">
        <v>5</v>
      </c>
      <c r="P2682" s="4">
        <v>566.79999999999995</v>
      </c>
      <c r="Q2682" t="s">
        <v>42</v>
      </c>
      <c r="R2682">
        <v>1</v>
      </c>
      <c r="S2682" t="s">
        <v>44</v>
      </c>
      <c r="T2682">
        <v>1</v>
      </c>
      <c r="U2682">
        <v>0</v>
      </c>
      <c r="V2682" t="s">
        <v>32</v>
      </c>
      <c r="W2682" t="s">
        <v>39</v>
      </c>
      <c r="X2682" s="4">
        <v>9</v>
      </c>
      <c r="Y2682">
        <v>11</v>
      </c>
      <c r="Z2682" s="5">
        <v>276.18</v>
      </c>
    </row>
    <row r="2683" spans="1:26">
      <c r="A2683">
        <v>2682</v>
      </c>
      <c r="B2683">
        <v>880</v>
      </c>
      <c r="C2683" s="2">
        <v>46241</v>
      </c>
      <c r="D2683" t="s">
        <v>26</v>
      </c>
      <c r="E2683">
        <v>8</v>
      </c>
      <c r="F2683" s="3">
        <v>7.58</v>
      </c>
      <c r="G2683" t="s">
        <v>27</v>
      </c>
      <c r="H2683">
        <v>29</v>
      </c>
      <c r="I2683" t="s">
        <v>28</v>
      </c>
      <c r="J2683" s="4">
        <v>75.099999999999994</v>
      </c>
      <c r="K2683" s="4">
        <v>173.3</v>
      </c>
      <c r="L2683" s="4">
        <v>21.6</v>
      </c>
      <c r="M2683">
        <v>10</v>
      </c>
      <c r="N2683" t="s">
        <v>66</v>
      </c>
      <c r="O2683">
        <v>5</v>
      </c>
      <c r="P2683" s="4">
        <v>566.79999999999995</v>
      </c>
      <c r="Q2683" t="s">
        <v>42</v>
      </c>
      <c r="R2683">
        <v>1</v>
      </c>
      <c r="S2683" t="s">
        <v>44</v>
      </c>
      <c r="T2683">
        <v>1</v>
      </c>
      <c r="U2683">
        <v>0</v>
      </c>
      <c r="V2683" t="s">
        <v>32</v>
      </c>
      <c r="W2683" t="s">
        <v>39</v>
      </c>
      <c r="X2683" s="4">
        <v>7.2</v>
      </c>
      <c r="Y2683">
        <v>15</v>
      </c>
      <c r="Z2683" s="5">
        <v>293.31</v>
      </c>
    </row>
    <row r="2684" spans="1:26">
      <c r="A2684">
        <v>2683</v>
      </c>
      <c r="B2684">
        <v>880</v>
      </c>
      <c r="C2684" s="2">
        <v>46241</v>
      </c>
      <c r="D2684" t="s">
        <v>26</v>
      </c>
      <c r="E2684">
        <v>8</v>
      </c>
      <c r="F2684" s="3">
        <v>7.63</v>
      </c>
      <c r="G2684" t="s">
        <v>27</v>
      </c>
      <c r="H2684">
        <v>52</v>
      </c>
      <c r="I2684" t="s">
        <v>34</v>
      </c>
      <c r="J2684" s="4">
        <v>64.3</v>
      </c>
      <c r="K2684" s="4">
        <v>128</v>
      </c>
      <c r="L2684" s="4">
        <v>21.6</v>
      </c>
      <c r="M2684">
        <v>14</v>
      </c>
      <c r="N2684" t="s">
        <v>66</v>
      </c>
      <c r="O2684">
        <v>5</v>
      </c>
      <c r="P2684" s="4">
        <v>566.79999999999995</v>
      </c>
      <c r="Q2684" t="s">
        <v>42</v>
      </c>
      <c r="R2684">
        <v>1</v>
      </c>
      <c r="S2684" t="s">
        <v>44</v>
      </c>
      <c r="T2684">
        <v>1</v>
      </c>
      <c r="U2684">
        <v>0</v>
      </c>
      <c r="V2684" t="s">
        <v>32</v>
      </c>
      <c r="W2684" t="s">
        <v>39</v>
      </c>
      <c r="X2684" s="4">
        <v>9.6999999999999993</v>
      </c>
      <c r="Y2684">
        <v>12</v>
      </c>
      <c r="Z2684" s="5">
        <v>278.37</v>
      </c>
    </row>
    <row r="2685" spans="1:26">
      <c r="A2685">
        <v>2684</v>
      </c>
      <c r="B2685">
        <v>880</v>
      </c>
      <c r="C2685" s="2">
        <v>46241</v>
      </c>
      <c r="D2685" t="s">
        <v>26</v>
      </c>
      <c r="E2685">
        <v>8</v>
      </c>
      <c r="F2685" s="3">
        <v>7.69</v>
      </c>
      <c r="G2685" t="s">
        <v>27</v>
      </c>
      <c r="H2685">
        <v>42</v>
      </c>
      <c r="I2685" t="s">
        <v>34</v>
      </c>
      <c r="J2685" s="4">
        <v>57.7</v>
      </c>
      <c r="K2685" s="4">
        <v>129.1</v>
      </c>
      <c r="L2685" s="4">
        <v>27.2</v>
      </c>
      <c r="M2685">
        <v>15</v>
      </c>
      <c r="N2685" t="s">
        <v>66</v>
      </c>
      <c r="O2685">
        <v>5</v>
      </c>
      <c r="P2685" s="4">
        <v>566.79999999999995</v>
      </c>
      <c r="Q2685" t="s">
        <v>42</v>
      </c>
      <c r="R2685">
        <v>1</v>
      </c>
      <c r="S2685" t="s">
        <v>44</v>
      </c>
      <c r="T2685">
        <v>1</v>
      </c>
      <c r="U2685">
        <v>0</v>
      </c>
      <c r="V2685" t="s">
        <v>32</v>
      </c>
      <c r="W2685" t="s">
        <v>39</v>
      </c>
      <c r="X2685" s="4">
        <v>10.1</v>
      </c>
      <c r="Y2685">
        <v>9</v>
      </c>
      <c r="Z2685" s="5">
        <v>174.64</v>
      </c>
    </row>
    <row r="2686" spans="1:26">
      <c r="A2686">
        <v>2685</v>
      </c>
      <c r="B2686">
        <v>880</v>
      </c>
      <c r="C2686" s="2">
        <v>46241</v>
      </c>
      <c r="D2686" t="s">
        <v>26</v>
      </c>
      <c r="E2686">
        <v>8</v>
      </c>
      <c r="F2686" s="3">
        <v>7.5</v>
      </c>
      <c r="G2686" t="s">
        <v>27</v>
      </c>
      <c r="H2686">
        <v>40</v>
      </c>
      <c r="I2686" t="s">
        <v>28</v>
      </c>
      <c r="J2686" s="4">
        <v>67.5</v>
      </c>
      <c r="K2686" s="4">
        <v>136.69999999999999</v>
      </c>
      <c r="L2686" s="4">
        <v>21.1</v>
      </c>
      <c r="M2686">
        <v>16</v>
      </c>
      <c r="N2686" t="s">
        <v>66</v>
      </c>
      <c r="O2686">
        <v>5</v>
      </c>
      <c r="P2686" s="4">
        <v>566.79999999999995</v>
      </c>
      <c r="Q2686" t="s">
        <v>42</v>
      </c>
      <c r="R2686">
        <v>1</v>
      </c>
      <c r="S2686" t="s">
        <v>44</v>
      </c>
      <c r="T2686">
        <v>1</v>
      </c>
      <c r="U2686">
        <v>0</v>
      </c>
      <c r="V2686" t="s">
        <v>32</v>
      </c>
      <c r="W2686" t="s">
        <v>39</v>
      </c>
      <c r="X2686" s="4">
        <v>7.8</v>
      </c>
      <c r="Y2686">
        <v>10</v>
      </c>
      <c r="Z2686" s="5">
        <v>173.04</v>
      </c>
    </row>
    <row r="2687" spans="1:26">
      <c r="A2687">
        <v>2686</v>
      </c>
      <c r="B2687">
        <v>881</v>
      </c>
      <c r="C2687" s="2">
        <v>46030</v>
      </c>
      <c r="D2687" t="s">
        <v>55</v>
      </c>
      <c r="E2687">
        <v>1</v>
      </c>
      <c r="F2687" s="3">
        <v>12.23</v>
      </c>
      <c r="G2687" t="s">
        <v>36</v>
      </c>
      <c r="H2687">
        <v>53</v>
      </c>
      <c r="I2687" t="s">
        <v>28</v>
      </c>
      <c r="J2687" s="4">
        <v>69.599999999999994</v>
      </c>
      <c r="K2687" s="4">
        <v>157.69999999999999</v>
      </c>
      <c r="L2687" s="4">
        <v>22.7</v>
      </c>
      <c r="M2687">
        <v>19</v>
      </c>
      <c r="N2687" t="s">
        <v>29</v>
      </c>
      <c r="O2687">
        <v>1</v>
      </c>
      <c r="P2687" s="4">
        <v>2289.1999999999998</v>
      </c>
      <c r="Q2687" t="s">
        <v>30</v>
      </c>
      <c r="R2687">
        <v>1</v>
      </c>
      <c r="S2687" t="s">
        <v>31</v>
      </c>
      <c r="T2687">
        <v>0</v>
      </c>
      <c r="U2687">
        <v>1</v>
      </c>
      <c r="V2687" t="s">
        <v>32</v>
      </c>
      <c r="W2687" t="s">
        <v>43</v>
      </c>
      <c r="X2687" s="4">
        <v>8.6999999999999993</v>
      </c>
      <c r="Y2687">
        <v>12</v>
      </c>
      <c r="Z2687" s="5">
        <v>400.94</v>
      </c>
    </row>
    <row r="2688" spans="1:26">
      <c r="A2688">
        <v>2687</v>
      </c>
      <c r="B2688">
        <v>882</v>
      </c>
      <c r="C2688" s="2">
        <v>46218</v>
      </c>
      <c r="D2688" t="s">
        <v>52</v>
      </c>
      <c r="E2688">
        <v>7</v>
      </c>
      <c r="F2688" s="3">
        <v>11.48</v>
      </c>
      <c r="G2688" t="s">
        <v>36</v>
      </c>
      <c r="H2688">
        <v>58</v>
      </c>
      <c r="I2688" t="s">
        <v>34</v>
      </c>
      <c r="J2688" s="4">
        <v>67</v>
      </c>
      <c r="K2688" s="4">
        <v>152.30000000000001</v>
      </c>
      <c r="L2688" s="4">
        <v>23.9</v>
      </c>
      <c r="M2688">
        <v>15</v>
      </c>
      <c r="N2688" t="s">
        <v>47</v>
      </c>
      <c r="O2688">
        <v>1</v>
      </c>
      <c r="P2688" s="4">
        <v>85</v>
      </c>
      <c r="Q2688" t="s">
        <v>42</v>
      </c>
      <c r="R2688">
        <v>0</v>
      </c>
      <c r="S2688" t="s">
        <v>44</v>
      </c>
      <c r="T2688">
        <v>0</v>
      </c>
      <c r="U2688">
        <v>1</v>
      </c>
      <c r="V2688" t="s">
        <v>32</v>
      </c>
      <c r="W2688" t="s">
        <v>33</v>
      </c>
      <c r="X2688" s="4">
        <v>10.1</v>
      </c>
      <c r="Y2688">
        <v>10</v>
      </c>
      <c r="Z2688" s="5">
        <v>200.17</v>
      </c>
    </row>
    <row r="2689" spans="1:26">
      <c r="A2689">
        <v>2688</v>
      </c>
      <c r="B2689">
        <v>883</v>
      </c>
      <c r="C2689" s="2">
        <v>46060</v>
      </c>
      <c r="D2689" t="s">
        <v>40</v>
      </c>
      <c r="E2689">
        <v>2</v>
      </c>
      <c r="F2689" s="3">
        <v>10.57</v>
      </c>
      <c r="G2689" t="s">
        <v>27</v>
      </c>
      <c r="H2689">
        <v>49</v>
      </c>
      <c r="I2689" t="s">
        <v>34</v>
      </c>
      <c r="J2689" s="4">
        <v>61.8</v>
      </c>
      <c r="K2689" s="4">
        <v>170.2</v>
      </c>
      <c r="L2689" s="4">
        <v>31.2</v>
      </c>
      <c r="M2689">
        <v>13</v>
      </c>
      <c r="N2689" t="s">
        <v>47</v>
      </c>
      <c r="O2689">
        <v>5</v>
      </c>
      <c r="P2689" s="4">
        <v>40.6</v>
      </c>
      <c r="Q2689" t="s">
        <v>42</v>
      </c>
      <c r="R2689">
        <v>0</v>
      </c>
      <c r="S2689" t="s">
        <v>44</v>
      </c>
      <c r="T2689">
        <v>1</v>
      </c>
      <c r="U2689">
        <v>0</v>
      </c>
      <c r="V2689" t="s">
        <v>32</v>
      </c>
      <c r="W2689" t="s">
        <v>39</v>
      </c>
      <c r="X2689" s="4">
        <v>7.2</v>
      </c>
      <c r="Y2689">
        <v>4</v>
      </c>
      <c r="Z2689" s="5">
        <v>171.37</v>
      </c>
    </row>
    <row r="2690" spans="1:26">
      <c r="A2690">
        <v>2689</v>
      </c>
      <c r="B2690">
        <v>883</v>
      </c>
      <c r="C2690" s="2">
        <v>46060</v>
      </c>
      <c r="D2690" t="s">
        <v>40</v>
      </c>
      <c r="E2690">
        <v>2</v>
      </c>
      <c r="F2690" s="3">
        <v>10.46</v>
      </c>
      <c r="G2690" t="s">
        <v>27</v>
      </c>
      <c r="H2690">
        <v>10</v>
      </c>
      <c r="I2690" t="s">
        <v>28</v>
      </c>
      <c r="J2690" s="4">
        <v>67.900000000000006</v>
      </c>
      <c r="K2690" s="4">
        <v>125</v>
      </c>
      <c r="L2690" s="4">
        <v>18.899999999999999</v>
      </c>
      <c r="M2690">
        <v>13</v>
      </c>
      <c r="N2690" t="s">
        <v>47</v>
      </c>
      <c r="O2690">
        <v>5</v>
      </c>
      <c r="P2690" s="4">
        <v>40.6</v>
      </c>
      <c r="Q2690" t="s">
        <v>42</v>
      </c>
      <c r="R2690">
        <v>0</v>
      </c>
      <c r="S2690" t="s">
        <v>44</v>
      </c>
      <c r="T2690">
        <v>1</v>
      </c>
      <c r="U2690">
        <v>0</v>
      </c>
      <c r="V2690" t="s">
        <v>32</v>
      </c>
      <c r="W2690" t="s">
        <v>39</v>
      </c>
      <c r="X2690" s="4">
        <v>8.3000000000000007</v>
      </c>
      <c r="Y2690">
        <v>11</v>
      </c>
      <c r="Z2690" s="5">
        <v>374.81</v>
      </c>
    </row>
    <row r="2691" spans="1:26">
      <c r="A2691">
        <v>2690</v>
      </c>
      <c r="B2691">
        <v>883</v>
      </c>
      <c r="C2691" s="2">
        <v>46060</v>
      </c>
      <c r="D2691" t="s">
        <v>40</v>
      </c>
      <c r="E2691">
        <v>2</v>
      </c>
      <c r="F2691" s="3">
        <v>10.4</v>
      </c>
      <c r="G2691" t="s">
        <v>27</v>
      </c>
      <c r="H2691">
        <v>43</v>
      </c>
      <c r="I2691" t="s">
        <v>34</v>
      </c>
      <c r="J2691" s="4">
        <v>64.5</v>
      </c>
      <c r="K2691" s="4">
        <v>197.2</v>
      </c>
      <c r="L2691" s="4">
        <v>33.4</v>
      </c>
      <c r="M2691">
        <v>13</v>
      </c>
      <c r="N2691" t="s">
        <v>47</v>
      </c>
      <c r="O2691">
        <v>5</v>
      </c>
      <c r="P2691" s="4">
        <v>40.6</v>
      </c>
      <c r="Q2691" t="s">
        <v>42</v>
      </c>
      <c r="R2691">
        <v>0</v>
      </c>
      <c r="S2691" t="s">
        <v>44</v>
      </c>
      <c r="T2691">
        <v>1</v>
      </c>
      <c r="U2691">
        <v>0</v>
      </c>
      <c r="V2691" t="s">
        <v>32</v>
      </c>
      <c r="W2691" t="s">
        <v>39</v>
      </c>
      <c r="X2691" s="4">
        <v>8.6</v>
      </c>
      <c r="Y2691">
        <v>6</v>
      </c>
      <c r="Z2691" s="5">
        <v>386.21</v>
      </c>
    </row>
    <row r="2692" spans="1:26">
      <c r="A2692">
        <v>2691</v>
      </c>
      <c r="B2692">
        <v>883</v>
      </c>
      <c r="C2692" s="2">
        <v>46060</v>
      </c>
      <c r="D2692" t="s">
        <v>40</v>
      </c>
      <c r="E2692">
        <v>2</v>
      </c>
      <c r="F2692" s="3">
        <v>10.37</v>
      </c>
      <c r="G2692" t="s">
        <v>27</v>
      </c>
      <c r="H2692">
        <v>65</v>
      </c>
      <c r="I2692" t="s">
        <v>34</v>
      </c>
      <c r="J2692" s="4">
        <v>63.3</v>
      </c>
      <c r="K2692" s="4">
        <v>148.6</v>
      </c>
      <c r="L2692" s="4">
        <v>26</v>
      </c>
      <c r="M2692">
        <v>16</v>
      </c>
      <c r="N2692" t="s">
        <v>47</v>
      </c>
      <c r="O2692">
        <v>5</v>
      </c>
      <c r="P2692" s="4">
        <v>40.6</v>
      </c>
      <c r="Q2692" t="s">
        <v>42</v>
      </c>
      <c r="R2692">
        <v>0</v>
      </c>
      <c r="S2692" t="s">
        <v>44</v>
      </c>
      <c r="T2692">
        <v>1</v>
      </c>
      <c r="U2692">
        <v>0</v>
      </c>
      <c r="V2692" t="s">
        <v>32</v>
      </c>
      <c r="W2692" t="s">
        <v>39</v>
      </c>
      <c r="X2692" s="4">
        <v>7.3</v>
      </c>
      <c r="Y2692">
        <v>9</v>
      </c>
      <c r="Z2692" s="5">
        <v>242.67</v>
      </c>
    </row>
    <row r="2693" spans="1:26">
      <c r="A2693">
        <v>2692</v>
      </c>
      <c r="B2693">
        <v>883</v>
      </c>
      <c r="C2693" s="2">
        <v>46060</v>
      </c>
      <c r="D2693" t="s">
        <v>40</v>
      </c>
      <c r="E2693">
        <v>2</v>
      </c>
      <c r="F2693" s="3">
        <v>10.32</v>
      </c>
      <c r="G2693" t="s">
        <v>27</v>
      </c>
      <c r="H2693">
        <v>59</v>
      </c>
      <c r="I2693" t="s">
        <v>34</v>
      </c>
      <c r="J2693" s="4">
        <v>64.8</v>
      </c>
      <c r="K2693" s="4">
        <v>166</v>
      </c>
      <c r="L2693" s="4">
        <v>27.7</v>
      </c>
      <c r="M2693">
        <v>16</v>
      </c>
      <c r="N2693" t="s">
        <v>47</v>
      </c>
      <c r="O2693">
        <v>5</v>
      </c>
      <c r="P2693" s="4">
        <v>40.6</v>
      </c>
      <c r="Q2693" t="s">
        <v>42</v>
      </c>
      <c r="R2693">
        <v>0</v>
      </c>
      <c r="S2693" t="s">
        <v>44</v>
      </c>
      <c r="T2693">
        <v>1</v>
      </c>
      <c r="U2693">
        <v>0</v>
      </c>
      <c r="V2693" t="s">
        <v>32</v>
      </c>
      <c r="W2693" t="s">
        <v>39</v>
      </c>
      <c r="X2693" s="4">
        <v>5.9</v>
      </c>
      <c r="Y2693">
        <v>13</v>
      </c>
      <c r="Z2693" s="5">
        <v>287.32</v>
      </c>
    </row>
    <row r="2694" spans="1:26">
      <c r="A2694">
        <v>2693</v>
      </c>
      <c r="B2694">
        <v>884</v>
      </c>
      <c r="C2694" s="2">
        <v>46051</v>
      </c>
      <c r="D2694" t="s">
        <v>55</v>
      </c>
      <c r="E2694">
        <v>1</v>
      </c>
      <c r="F2694" s="3">
        <v>9.6199999999999992</v>
      </c>
      <c r="G2694" t="s">
        <v>27</v>
      </c>
      <c r="H2694">
        <v>30</v>
      </c>
      <c r="I2694" t="s">
        <v>34</v>
      </c>
      <c r="J2694" s="4">
        <v>69.400000000000006</v>
      </c>
      <c r="K2694" s="4">
        <v>151.1</v>
      </c>
      <c r="L2694" s="4">
        <v>22</v>
      </c>
      <c r="M2694">
        <v>17</v>
      </c>
      <c r="N2694" t="s">
        <v>62</v>
      </c>
      <c r="O2694">
        <v>4</v>
      </c>
      <c r="P2694" s="4">
        <v>2248.1</v>
      </c>
      <c r="Q2694" t="s">
        <v>48</v>
      </c>
      <c r="R2694">
        <v>1</v>
      </c>
      <c r="S2694" t="s">
        <v>38</v>
      </c>
      <c r="T2694">
        <v>0</v>
      </c>
      <c r="U2694">
        <v>1</v>
      </c>
      <c r="V2694" t="s">
        <v>32</v>
      </c>
      <c r="W2694" t="s">
        <v>33</v>
      </c>
      <c r="X2694" s="4">
        <v>8.6</v>
      </c>
      <c r="Y2694">
        <v>9</v>
      </c>
      <c r="Z2694" s="5">
        <v>306.54000000000002</v>
      </c>
    </row>
    <row r="2695" spans="1:26">
      <c r="A2695">
        <v>2694</v>
      </c>
      <c r="B2695">
        <v>884</v>
      </c>
      <c r="C2695" s="2">
        <v>46051</v>
      </c>
      <c r="D2695" t="s">
        <v>55</v>
      </c>
      <c r="E2695">
        <v>1</v>
      </c>
      <c r="F2695" s="3">
        <v>9.18</v>
      </c>
      <c r="G2695" t="s">
        <v>27</v>
      </c>
      <c r="H2695">
        <v>42</v>
      </c>
      <c r="I2695" t="s">
        <v>34</v>
      </c>
      <c r="J2695" s="4">
        <v>66</v>
      </c>
      <c r="K2695" s="4">
        <v>131.5</v>
      </c>
      <c r="L2695" s="4">
        <v>21.2</v>
      </c>
      <c r="M2695">
        <v>15</v>
      </c>
      <c r="N2695" t="s">
        <v>62</v>
      </c>
      <c r="O2695">
        <v>4</v>
      </c>
      <c r="P2695" s="4">
        <v>2248.1</v>
      </c>
      <c r="Q2695" t="s">
        <v>48</v>
      </c>
      <c r="R2695">
        <v>1</v>
      </c>
      <c r="S2695" t="s">
        <v>38</v>
      </c>
      <c r="T2695">
        <v>0</v>
      </c>
      <c r="U2695">
        <v>1</v>
      </c>
      <c r="V2695" t="s">
        <v>32</v>
      </c>
      <c r="W2695" t="s">
        <v>33</v>
      </c>
      <c r="X2695" s="4">
        <v>10.3</v>
      </c>
      <c r="Y2695">
        <v>11</v>
      </c>
      <c r="Z2695" s="5">
        <v>191.01</v>
      </c>
    </row>
    <row r="2696" spans="1:26">
      <c r="A2696">
        <v>2695</v>
      </c>
      <c r="B2696">
        <v>884</v>
      </c>
      <c r="C2696" s="2">
        <v>46051</v>
      </c>
      <c r="D2696" t="s">
        <v>55</v>
      </c>
      <c r="E2696">
        <v>1</v>
      </c>
      <c r="F2696" s="3">
        <v>9.49</v>
      </c>
      <c r="G2696" t="s">
        <v>27</v>
      </c>
      <c r="H2696">
        <v>49</v>
      </c>
      <c r="I2696" t="s">
        <v>34</v>
      </c>
      <c r="J2696" s="4">
        <v>64.3</v>
      </c>
      <c r="K2696" s="4">
        <v>161.1</v>
      </c>
      <c r="L2696" s="4">
        <v>27.2</v>
      </c>
      <c r="M2696">
        <v>17</v>
      </c>
      <c r="N2696" t="s">
        <v>62</v>
      </c>
      <c r="O2696">
        <v>4</v>
      </c>
      <c r="P2696" s="4">
        <v>2248.1</v>
      </c>
      <c r="Q2696" t="s">
        <v>48</v>
      </c>
      <c r="R2696">
        <v>1</v>
      </c>
      <c r="S2696" t="s">
        <v>38</v>
      </c>
      <c r="T2696">
        <v>0</v>
      </c>
      <c r="U2696">
        <v>1</v>
      </c>
      <c r="V2696" t="s">
        <v>32</v>
      </c>
      <c r="W2696" t="s">
        <v>33</v>
      </c>
      <c r="X2696" s="4">
        <v>11.8</v>
      </c>
      <c r="Y2696">
        <v>11</v>
      </c>
      <c r="Z2696" s="5">
        <v>375.22</v>
      </c>
    </row>
    <row r="2697" spans="1:26">
      <c r="A2697">
        <v>2696</v>
      </c>
      <c r="B2697">
        <v>884</v>
      </c>
      <c r="C2697" s="2">
        <v>46051</v>
      </c>
      <c r="D2697" t="s">
        <v>55</v>
      </c>
      <c r="E2697">
        <v>1</v>
      </c>
      <c r="F2697" s="3">
        <v>9.6300000000000008</v>
      </c>
      <c r="G2697" t="s">
        <v>27</v>
      </c>
      <c r="H2697">
        <v>71</v>
      </c>
      <c r="I2697" t="s">
        <v>28</v>
      </c>
      <c r="J2697" s="4">
        <v>69.7</v>
      </c>
      <c r="K2697" s="4">
        <v>154.30000000000001</v>
      </c>
      <c r="L2697" s="4">
        <v>22.5</v>
      </c>
      <c r="M2697">
        <v>17</v>
      </c>
      <c r="N2697" t="s">
        <v>62</v>
      </c>
      <c r="O2697">
        <v>4</v>
      </c>
      <c r="P2697" s="4">
        <v>2248.1</v>
      </c>
      <c r="Q2697" t="s">
        <v>48</v>
      </c>
      <c r="R2697">
        <v>1</v>
      </c>
      <c r="S2697" t="s">
        <v>38</v>
      </c>
      <c r="T2697">
        <v>0</v>
      </c>
      <c r="U2697">
        <v>1</v>
      </c>
      <c r="V2697" t="s">
        <v>32</v>
      </c>
      <c r="W2697" t="s">
        <v>33</v>
      </c>
      <c r="X2697" s="4">
        <v>11.6</v>
      </c>
      <c r="Y2697">
        <v>14</v>
      </c>
      <c r="Z2697" s="5">
        <v>367.5</v>
      </c>
    </row>
    <row r="2698" spans="1:26">
      <c r="A2698">
        <v>2697</v>
      </c>
      <c r="B2698">
        <v>885</v>
      </c>
      <c r="C2698" s="2">
        <v>46204</v>
      </c>
      <c r="D2698" t="s">
        <v>52</v>
      </c>
      <c r="E2698">
        <v>7</v>
      </c>
      <c r="F2698" s="3">
        <v>11.16</v>
      </c>
      <c r="G2698" t="s">
        <v>36</v>
      </c>
      <c r="H2698">
        <v>44</v>
      </c>
      <c r="I2698" t="s">
        <v>34</v>
      </c>
      <c r="J2698" s="4">
        <v>63.3</v>
      </c>
      <c r="K2698" s="4">
        <v>147.5</v>
      </c>
      <c r="L2698" s="4">
        <v>25.7</v>
      </c>
      <c r="M2698">
        <v>18</v>
      </c>
      <c r="N2698" t="s">
        <v>59</v>
      </c>
      <c r="O2698">
        <v>1</v>
      </c>
      <c r="P2698" s="4">
        <v>959.4</v>
      </c>
      <c r="Q2698" t="s">
        <v>48</v>
      </c>
      <c r="R2698">
        <v>0</v>
      </c>
      <c r="S2698" t="s">
        <v>38</v>
      </c>
      <c r="T2698">
        <v>1</v>
      </c>
      <c r="U2698">
        <v>1</v>
      </c>
      <c r="V2698" t="s">
        <v>45</v>
      </c>
      <c r="W2698" t="s">
        <v>43</v>
      </c>
      <c r="X2698" s="4">
        <v>7.2</v>
      </c>
      <c r="Y2698">
        <v>9</v>
      </c>
      <c r="Z2698" s="5">
        <v>228.56</v>
      </c>
    </row>
    <row r="2699" spans="1:26">
      <c r="A2699">
        <v>2698</v>
      </c>
      <c r="B2699">
        <v>886</v>
      </c>
      <c r="C2699" s="2">
        <v>46293</v>
      </c>
      <c r="D2699" t="s">
        <v>46</v>
      </c>
      <c r="E2699">
        <v>9</v>
      </c>
      <c r="F2699" s="3">
        <v>11.41</v>
      </c>
      <c r="G2699" t="s">
        <v>36</v>
      </c>
      <c r="H2699">
        <v>28</v>
      </c>
      <c r="I2699" t="s">
        <v>28</v>
      </c>
      <c r="J2699" s="4">
        <v>68.3</v>
      </c>
      <c r="K2699" s="4">
        <v>162.80000000000001</v>
      </c>
      <c r="L2699" s="4">
        <v>24.6</v>
      </c>
      <c r="M2699">
        <v>17</v>
      </c>
      <c r="N2699" t="s">
        <v>47</v>
      </c>
      <c r="O2699">
        <v>3</v>
      </c>
      <c r="P2699" s="4">
        <v>74.599999999999994</v>
      </c>
      <c r="Q2699" t="s">
        <v>42</v>
      </c>
      <c r="R2699">
        <v>0</v>
      </c>
      <c r="S2699" t="s">
        <v>31</v>
      </c>
      <c r="T2699">
        <v>0</v>
      </c>
      <c r="U2699">
        <v>0</v>
      </c>
      <c r="V2699" t="s">
        <v>32</v>
      </c>
      <c r="W2699" t="s">
        <v>57</v>
      </c>
      <c r="X2699" s="4">
        <v>8.6999999999999993</v>
      </c>
      <c r="Y2699">
        <v>8</v>
      </c>
      <c r="Z2699" s="5">
        <v>230.85</v>
      </c>
    </row>
    <row r="2700" spans="1:26">
      <c r="A2700">
        <v>2699</v>
      </c>
      <c r="B2700">
        <v>886</v>
      </c>
      <c r="C2700" s="2">
        <v>46293</v>
      </c>
      <c r="D2700" t="s">
        <v>46</v>
      </c>
      <c r="E2700">
        <v>9</v>
      </c>
      <c r="F2700" s="3">
        <v>11.32</v>
      </c>
      <c r="G2700" t="s">
        <v>36</v>
      </c>
      <c r="H2700">
        <v>46</v>
      </c>
      <c r="I2700" t="s">
        <v>28</v>
      </c>
      <c r="J2700" s="4">
        <v>68.8</v>
      </c>
      <c r="K2700" s="4">
        <v>149.5</v>
      </c>
      <c r="L2700" s="4">
        <v>22</v>
      </c>
      <c r="M2700">
        <v>15</v>
      </c>
      <c r="N2700" t="s">
        <v>47</v>
      </c>
      <c r="O2700">
        <v>3</v>
      </c>
      <c r="P2700" s="4">
        <v>74.599999999999994</v>
      </c>
      <c r="Q2700" t="s">
        <v>42</v>
      </c>
      <c r="R2700">
        <v>0</v>
      </c>
      <c r="S2700" t="s">
        <v>31</v>
      </c>
      <c r="T2700">
        <v>0</v>
      </c>
      <c r="U2700">
        <v>0</v>
      </c>
      <c r="V2700" t="s">
        <v>32</v>
      </c>
      <c r="W2700" t="s">
        <v>57</v>
      </c>
      <c r="X2700" s="4">
        <v>6.8</v>
      </c>
      <c r="Y2700">
        <v>5</v>
      </c>
      <c r="Z2700" s="5">
        <v>262.26</v>
      </c>
    </row>
    <row r="2701" spans="1:26">
      <c r="A2701">
        <v>2700</v>
      </c>
      <c r="B2701">
        <v>886</v>
      </c>
      <c r="C2701" s="2">
        <v>46293</v>
      </c>
      <c r="D2701" t="s">
        <v>46</v>
      </c>
      <c r="E2701">
        <v>9</v>
      </c>
      <c r="F2701" s="3">
        <v>11.35</v>
      </c>
      <c r="G2701" t="s">
        <v>36</v>
      </c>
      <c r="H2701">
        <v>37</v>
      </c>
      <c r="I2701" t="s">
        <v>28</v>
      </c>
      <c r="J2701" s="4">
        <v>70.7</v>
      </c>
      <c r="K2701" s="4">
        <v>182.2</v>
      </c>
      <c r="L2701" s="4">
        <v>25.5</v>
      </c>
      <c r="M2701">
        <v>15</v>
      </c>
      <c r="N2701" t="s">
        <v>47</v>
      </c>
      <c r="O2701">
        <v>3</v>
      </c>
      <c r="P2701" s="4">
        <v>74.599999999999994</v>
      </c>
      <c r="Q2701" t="s">
        <v>42</v>
      </c>
      <c r="R2701">
        <v>0</v>
      </c>
      <c r="S2701" t="s">
        <v>31</v>
      </c>
      <c r="T2701">
        <v>0</v>
      </c>
      <c r="U2701">
        <v>0</v>
      </c>
      <c r="V2701" t="s">
        <v>32</v>
      </c>
      <c r="W2701" t="s">
        <v>57</v>
      </c>
      <c r="X2701" s="4">
        <v>10</v>
      </c>
      <c r="Y2701">
        <v>14</v>
      </c>
      <c r="Z2701" s="5">
        <v>277.04000000000002</v>
      </c>
    </row>
    <row r="2702" spans="1:26">
      <c r="A2702">
        <v>2701</v>
      </c>
      <c r="B2702">
        <v>887</v>
      </c>
      <c r="C2702" s="2">
        <v>46120</v>
      </c>
      <c r="D2702" t="s">
        <v>52</v>
      </c>
      <c r="E2702">
        <v>4</v>
      </c>
      <c r="F2702" s="3">
        <v>8.76</v>
      </c>
      <c r="G2702" t="s">
        <v>27</v>
      </c>
      <c r="H2702">
        <v>62</v>
      </c>
      <c r="I2702" t="s">
        <v>28</v>
      </c>
      <c r="J2702" s="4">
        <v>70.3</v>
      </c>
      <c r="K2702" s="4">
        <v>223.7</v>
      </c>
      <c r="L2702" s="4">
        <v>31.5</v>
      </c>
      <c r="M2702">
        <v>14</v>
      </c>
      <c r="N2702" t="s">
        <v>41</v>
      </c>
      <c r="O2702">
        <v>3</v>
      </c>
      <c r="P2702" s="4">
        <v>2987</v>
      </c>
      <c r="Q2702" t="s">
        <v>30</v>
      </c>
      <c r="R2702">
        <v>1</v>
      </c>
      <c r="S2702" t="s">
        <v>44</v>
      </c>
      <c r="T2702">
        <v>0</v>
      </c>
      <c r="U2702">
        <v>1</v>
      </c>
      <c r="V2702" t="s">
        <v>32</v>
      </c>
      <c r="W2702" t="s">
        <v>49</v>
      </c>
      <c r="X2702" s="4">
        <v>6.1</v>
      </c>
      <c r="Y2702">
        <v>5</v>
      </c>
      <c r="Z2702" s="5">
        <v>155.97999999999999</v>
      </c>
    </row>
    <row r="2703" spans="1:26">
      <c r="A2703">
        <v>2702</v>
      </c>
      <c r="B2703">
        <v>887</v>
      </c>
      <c r="C2703" s="2">
        <v>46120</v>
      </c>
      <c r="D2703" t="s">
        <v>52</v>
      </c>
      <c r="E2703">
        <v>4</v>
      </c>
      <c r="F2703" s="3">
        <v>8.86</v>
      </c>
      <c r="G2703" t="s">
        <v>27</v>
      </c>
      <c r="H2703">
        <v>67</v>
      </c>
      <c r="I2703" t="s">
        <v>28</v>
      </c>
      <c r="J2703" s="4">
        <v>69.099999999999994</v>
      </c>
      <c r="K2703" s="4">
        <v>182.2</v>
      </c>
      <c r="L2703" s="4">
        <v>26.9</v>
      </c>
      <c r="M2703">
        <v>16</v>
      </c>
      <c r="N2703" t="s">
        <v>41</v>
      </c>
      <c r="O2703">
        <v>3</v>
      </c>
      <c r="P2703" s="4">
        <v>2987</v>
      </c>
      <c r="Q2703" t="s">
        <v>30</v>
      </c>
      <c r="R2703">
        <v>1</v>
      </c>
      <c r="S2703" t="s">
        <v>44</v>
      </c>
      <c r="T2703">
        <v>0</v>
      </c>
      <c r="U2703">
        <v>1</v>
      </c>
      <c r="V2703" t="s">
        <v>32</v>
      </c>
      <c r="W2703" t="s">
        <v>49</v>
      </c>
      <c r="X2703" s="4">
        <v>9.9</v>
      </c>
      <c r="Y2703">
        <v>8</v>
      </c>
      <c r="Z2703" s="5">
        <v>228.38</v>
      </c>
    </row>
    <row r="2704" spans="1:26">
      <c r="A2704">
        <v>2703</v>
      </c>
      <c r="B2704">
        <v>887</v>
      </c>
      <c r="C2704" s="2">
        <v>46120</v>
      </c>
      <c r="D2704" t="s">
        <v>52</v>
      </c>
      <c r="E2704">
        <v>4</v>
      </c>
      <c r="F2704" s="3">
        <v>8.86</v>
      </c>
      <c r="G2704" t="s">
        <v>27</v>
      </c>
      <c r="H2704">
        <v>37</v>
      </c>
      <c r="I2704" t="s">
        <v>28</v>
      </c>
      <c r="J2704" s="4">
        <v>72.5</v>
      </c>
      <c r="K2704" s="4">
        <v>141.69999999999999</v>
      </c>
      <c r="L2704" s="4">
        <v>19</v>
      </c>
      <c r="M2704">
        <v>10</v>
      </c>
      <c r="N2704" t="s">
        <v>41</v>
      </c>
      <c r="O2704">
        <v>3</v>
      </c>
      <c r="P2704" s="4">
        <v>2987</v>
      </c>
      <c r="Q2704" t="s">
        <v>30</v>
      </c>
      <c r="R2704">
        <v>1</v>
      </c>
      <c r="S2704" t="s">
        <v>44</v>
      </c>
      <c r="T2704">
        <v>0</v>
      </c>
      <c r="U2704">
        <v>1</v>
      </c>
      <c r="V2704" t="s">
        <v>32</v>
      </c>
      <c r="W2704" t="s">
        <v>49</v>
      </c>
      <c r="X2704" s="4">
        <v>6.8</v>
      </c>
      <c r="Y2704">
        <v>10</v>
      </c>
      <c r="Z2704" s="5">
        <v>228.92</v>
      </c>
    </row>
    <row r="2705" spans="1:26">
      <c r="A2705">
        <v>2704</v>
      </c>
      <c r="B2705">
        <v>888</v>
      </c>
      <c r="C2705" s="2">
        <v>46285</v>
      </c>
      <c r="D2705" t="s">
        <v>58</v>
      </c>
      <c r="E2705">
        <v>9</v>
      </c>
      <c r="F2705" s="3">
        <v>10.89</v>
      </c>
      <c r="G2705" t="s">
        <v>27</v>
      </c>
      <c r="H2705">
        <v>16</v>
      </c>
      <c r="I2705" t="s">
        <v>34</v>
      </c>
      <c r="J2705" s="4">
        <v>70</v>
      </c>
      <c r="K2705" s="4">
        <v>159</v>
      </c>
      <c r="L2705" s="4">
        <v>22.6</v>
      </c>
      <c r="M2705">
        <v>11</v>
      </c>
      <c r="N2705" t="s">
        <v>56</v>
      </c>
      <c r="O2705">
        <v>4</v>
      </c>
      <c r="P2705" s="4">
        <v>320.8</v>
      </c>
      <c r="Q2705" t="s">
        <v>30</v>
      </c>
      <c r="R2705">
        <v>0</v>
      </c>
      <c r="S2705" t="s">
        <v>44</v>
      </c>
      <c r="T2705">
        <v>0</v>
      </c>
      <c r="U2705">
        <v>0</v>
      </c>
      <c r="V2705" t="s">
        <v>32</v>
      </c>
      <c r="W2705" t="s">
        <v>49</v>
      </c>
      <c r="X2705" s="4">
        <v>4.5</v>
      </c>
      <c r="Y2705">
        <v>6</v>
      </c>
      <c r="Z2705" s="5">
        <v>162.13</v>
      </c>
    </row>
    <row r="2706" spans="1:26">
      <c r="A2706">
        <v>2705</v>
      </c>
      <c r="B2706">
        <v>888</v>
      </c>
      <c r="C2706" s="2">
        <v>46285</v>
      </c>
      <c r="D2706" t="s">
        <v>58</v>
      </c>
      <c r="E2706">
        <v>9</v>
      </c>
      <c r="F2706" s="3">
        <v>10.76</v>
      </c>
      <c r="G2706" t="s">
        <v>27</v>
      </c>
      <c r="H2706">
        <v>62</v>
      </c>
      <c r="I2706" t="s">
        <v>34</v>
      </c>
      <c r="J2706" s="4">
        <v>61.8</v>
      </c>
      <c r="K2706" s="4">
        <v>92.6</v>
      </c>
      <c r="L2706" s="4">
        <v>17</v>
      </c>
      <c r="M2706">
        <v>14</v>
      </c>
      <c r="N2706" t="s">
        <v>56</v>
      </c>
      <c r="O2706">
        <v>4</v>
      </c>
      <c r="P2706" s="4">
        <v>320.8</v>
      </c>
      <c r="Q2706" t="s">
        <v>30</v>
      </c>
      <c r="R2706">
        <v>0</v>
      </c>
      <c r="S2706" t="s">
        <v>44</v>
      </c>
      <c r="T2706">
        <v>0</v>
      </c>
      <c r="U2706">
        <v>0</v>
      </c>
      <c r="V2706" t="s">
        <v>32</v>
      </c>
      <c r="W2706" t="s">
        <v>49</v>
      </c>
      <c r="X2706" s="4">
        <v>9</v>
      </c>
      <c r="Y2706">
        <v>12</v>
      </c>
      <c r="Z2706" s="5">
        <v>157.74</v>
      </c>
    </row>
    <row r="2707" spans="1:26">
      <c r="A2707">
        <v>2706</v>
      </c>
      <c r="B2707">
        <v>888</v>
      </c>
      <c r="C2707" s="2">
        <v>46285</v>
      </c>
      <c r="D2707" t="s">
        <v>58</v>
      </c>
      <c r="E2707">
        <v>9</v>
      </c>
      <c r="F2707" s="3">
        <v>10.8</v>
      </c>
      <c r="G2707" t="s">
        <v>27</v>
      </c>
      <c r="H2707">
        <v>75</v>
      </c>
      <c r="I2707" t="s">
        <v>34</v>
      </c>
      <c r="J2707" s="4">
        <v>66.5</v>
      </c>
      <c r="K2707" s="4">
        <v>149.4</v>
      </c>
      <c r="L2707" s="4">
        <v>23.7</v>
      </c>
      <c r="M2707">
        <v>11</v>
      </c>
      <c r="N2707" t="s">
        <v>56</v>
      </c>
      <c r="O2707">
        <v>4</v>
      </c>
      <c r="P2707" s="4">
        <v>320.8</v>
      </c>
      <c r="Q2707" t="s">
        <v>30</v>
      </c>
      <c r="R2707">
        <v>0</v>
      </c>
      <c r="S2707" t="s">
        <v>44</v>
      </c>
      <c r="T2707">
        <v>0</v>
      </c>
      <c r="U2707">
        <v>0</v>
      </c>
      <c r="V2707" t="s">
        <v>32</v>
      </c>
      <c r="W2707" t="s">
        <v>49</v>
      </c>
      <c r="X2707" s="4">
        <v>8.1999999999999993</v>
      </c>
      <c r="Y2707">
        <v>7</v>
      </c>
      <c r="Z2707" s="5">
        <v>151.78</v>
      </c>
    </row>
    <row r="2708" spans="1:26">
      <c r="A2708">
        <v>2707</v>
      </c>
      <c r="B2708">
        <v>888</v>
      </c>
      <c r="C2708" s="2">
        <v>46285</v>
      </c>
      <c r="D2708" t="s">
        <v>58</v>
      </c>
      <c r="E2708">
        <v>9</v>
      </c>
      <c r="F2708" s="3">
        <v>10.81</v>
      </c>
      <c r="G2708" t="s">
        <v>27</v>
      </c>
      <c r="H2708">
        <v>36</v>
      </c>
      <c r="I2708" t="s">
        <v>34</v>
      </c>
      <c r="J2708" s="4">
        <v>60.9</v>
      </c>
      <c r="K2708" s="4">
        <v>155.69999999999999</v>
      </c>
      <c r="L2708" s="4">
        <v>29.6</v>
      </c>
      <c r="M2708">
        <v>16</v>
      </c>
      <c r="N2708" t="s">
        <v>56</v>
      </c>
      <c r="O2708">
        <v>4</v>
      </c>
      <c r="P2708" s="4">
        <v>320.8</v>
      </c>
      <c r="Q2708" t="s">
        <v>30</v>
      </c>
      <c r="R2708">
        <v>0</v>
      </c>
      <c r="S2708" t="s">
        <v>44</v>
      </c>
      <c r="T2708">
        <v>0</v>
      </c>
      <c r="U2708">
        <v>0</v>
      </c>
      <c r="V2708" t="s">
        <v>32</v>
      </c>
      <c r="W2708" t="s">
        <v>49</v>
      </c>
      <c r="X2708" s="4">
        <v>4.4000000000000004</v>
      </c>
      <c r="Y2708">
        <v>4</v>
      </c>
      <c r="Z2708" s="5">
        <v>77.3</v>
      </c>
    </row>
    <row r="2709" spans="1:26">
      <c r="A2709">
        <v>2708</v>
      </c>
      <c r="B2709">
        <v>889</v>
      </c>
      <c r="C2709" s="2">
        <v>46293</v>
      </c>
      <c r="D2709" t="s">
        <v>46</v>
      </c>
      <c r="E2709">
        <v>9</v>
      </c>
      <c r="F2709" s="3">
        <v>11.64</v>
      </c>
      <c r="G2709" t="s">
        <v>36</v>
      </c>
      <c r="H2709">
        <v>13</v>
      </c>
      <c r="I2709" t="s">
        <v>34</v>
      </c>
      <c r="J2709" s="4">
        <v>70</v>
      </c>
      <c r="K2709" s="4">
        <v>128.69999999999999</v>
      </c>
      <c r="L2709" s="4">
        <v>18.5</v>
      </c>
      <c r="M2709">
        <v>11</v>
      </c>
      <c r="N2709" t="s">
        <v>29</v>
      </c>
      <c r="O2709">
        <v>5</v>
      </c>
      <c r="P2709" s="4">
        <v>1818.5</v>
      </c>
      <c r="Q2709" t="s">
        <v>30</v>
      </c>
      <c r="R2709">
        <v>1</v>
      </c>
      <c r="S2709" t="s">
        <v>44</v>
      </c>
      <c r="T2709">
        <v>1</v>
      </c>
      <c r="U2709">
        <v>0</v>
      </c>
      <c r="V2709" t="s">
        <v>32</v>
      </c>
      <c r="W2709" t="s">
        <v>39</v>
      </c>
      <c r="X2709" s="4">
        <v>7.4</v>
      </c>
      <c r="Y2709">
        <v>11</v>
      </c>
      <c r="Z2709" s="5">
        <v>362.37</v>
      </c>
    </row>
    <row r="2710" spans="1:26">
      <c r="A2710">
        <v>2709</v>
      </c>
      <c r="B2710">
        <v>889</v>
      </c>
      <c r="C2710" s="2">
        <v>46293</v>
      </c>
      <c r="D2710" t="s">
        <v>46</v>
      </c>
      <c r="E2710">
        <v>9</v>
      </c>
      <c r="F2710" s="3">
        <v>11.37</v>
      </c>
      <c r="G2710" t="s">
        <v>36</v>
      </c>
      <c r="H2710">
        <v>3</v>
      </c>
      <c r="I2710" t="s">
        <v>34</v>
      </c>
      <c r="J2710" s="4">
        <v>52.7</v>
      </c>
      <c r="K2710" s="4">
        <v>73.900000000000006</v>
      </c>
      <c r="L2710" s="4">
        <v>18.7</v>
      </c>
      <c r="M2710">
        <v>12</v>
      </c>
      <c r="N2710" t="s">
        <v>29</v>
      </c>
      <c r="O2710">
        <v>5</v>
      </c>
      <c r="P2710" s="4">
        <v>1818.5</v>
      </c>
      <c r="Q2710" t="s">
        <v>30</v>
      </c>
      <c r="R2710">
        <v>1</v>
      </c>
      <c r="S2710" t="s">
        <v>44</v>
      </c>
      <c r="T2710">
        <v>1</v>
      </c>
      <c r="U2710">
        <v>0</v>
      </c>
      <c r="V2710" t="s">
        <v>32</v>
      </c>
      <c r="W2710" t="s">
        <v>39</v>
      </c>
      <c r="X2710" s="4">
        <v>10.5</v>
      </c>
      <c r="Y2710">
        <v>11</v>
      </c>
      <c r="Z2710" s="5">
        <v>254.47</v>
      </c>
    </row>
    <row r="2711" spans="1:26">
      <c r="A2711">
        <v>2710</v>
      </c>
      <c r="B2711">
        <v>889</v>
      </c>
      <c r="C2711" s="2">
        <v>46293</v>
      </c>
      <c r="D2711" t="s">
        <v>46</v>
      </c>
      <c r="E2711">
        <v>9</v>
      </c>
      <c r="F2711" s="3">
        <v>11.55</v>
      </c>
      <c r="G2711" t="s">
        <v>36</v>
      </c>
      <c r="H2711">
        <v>45</v>
      </c>
      <c r="I2711" t="s">
        <v>34</v>
      </c>
      <c r="J2711" s="4">
        <v>66.900000000000006</v>
      </c>
      <c r="K2711" s="4">
        <v>174.1</v>
      </c>
      <c r="L2711" s="4">
        <v>27.4</v>
      </c>
      <c r="M2711">
        <v>15</v>
      </c>
      <c r="N2711" t="s">
        <v>29</v>
      </c>
      <c r="O2711">
        <v>5</v>
      </c>
      <c r="P2711" s="4">
        <v>1818.5</v>
      </c>
      <c r="Q2711" t="s">
        <v>30</v>
      </c>
      <c r="R2711">
        <v>1</v>
      </c>
      <c r="S2711" t="s">
        <v>44</v>
      </c>
      <c r="T2711">
        <v>1</v>
      </c>
      <c r="U2711">
        <v>0</v>
      </c>
      <c r="V2711" t="s">
        <v>32</v>
      </c>
      <c r="W2711" t="s">
        <v>39</v>
      </c>
      <c r="X2711" s="4">
        <v>6.7</v>
      </c>
      <c r="Y2711">
        <v>5</v>
      </c>
      <c r="Z2711" s="5">
        <v>154.75</v>
      </c>
    </row>
    <row r="2712" spans="1:26">
      <c r="A2712">
        <v>2711</v>
      </c>
      <c r="B2712">
        <v>889</v>
      </c>
      <c r="C2712" s="2">
        <v>46293</v>
      </c>
      <c r="D2712" t="s">
        <v>46</v>
      </c>
      <c r="E2712">
        <v>9</v>
      </c>
      <c r="F2712" s="3">
        <v>11.48</v>
      </c>
      <c r="G2712" t="s">
        <v>36</v>
      </c>
      <c r="H2712">
        <v>3</v>
      </c>
      <c r="I2712" t="s">
        <v>28</v>
      </c>
      <c r="J2712" s="4">
        <v>47.8</v>
      </c>
      <c r="K2712" s="4">
        <v>78.3</v>
      </c>
      <c r="L2712" s="4">
        <v>23.9</v>
      </c>
      <c r="M2712">
        <v>7</v>
      </c>
      <c r="N2712" t="s">
        <v>29</v>
      </c>
      <c r="O2712">
        <v>5</v>
      </c>
      <c r="P2712" s="4">
        <v>1818.5</v>
      </c>
      <c r="Q2712" t="s">
        <v>30</v>
      </c>
      <c r="R2712">
        <v>1</v>
      </c>
      <c r="S2712" t="s">
        <v>44</v>
      </c>
      <c r="T2712">
        <v>1</v>
      </c>
      <c r="U2712">
        <v>0</v>
      </c>
      <c r="V2712" t="s">
        <v>32</v>
      </c>
      <c r="W2712" t="s">
        <v>39</v>
      </c>
      <c r="X2712" s="4">
        <v>8.6999999999999993</v>
      </c>
      <c r="Y2712">
        <v>11</v>
      </c>
      <c r="Z2712" s="5">
        <v>266.8</v>
      </c>
    </row>
    <row r="2713" spans="1:26">
      <c r="A2713">
        <v>2712</v>
      </c>
      <c r="B2713">
        <v>889</v>
      </c>
      <c r="C2713" s="2">
        <v>46293</v>
      </c>
      <c r="D2713" t="s">
        <v>46</v>
      </c>
      <c r="E2713">
        <v>9</v>
      </c>
      <c r="F2713" s="3">
        <v>11.44</v>
      </c>
      <c r="G2713" t="s">
        <v>36</v>
      </c>
      <c r="H2713">
        <v>18</v>
      </c>
      <c r="I2713" t="s">
        <v>34</v>
      </c>
      <c r="J2713" s="4">
        <v>64.400000000000006</v>
      </c>
      <c r="K2713" s="4">
        <v>111.8</v>
      </c>
      <c r="L2713" s="4">
        <v>19</v>
      </c>
      <c r="M2713">
        <v>11</v>
      </c>
      <c r="N2713" t="s">
        <v>29</v>
      </c>
      <c r="O2713">
        <v>5</v>
      </c>
      <c r="P2713" s="4">
        <v>1818.5</v>
      </c>
      <c r="Q2713" t="s">
        <v>30</v>
      </c>
      <c r="R2713">
        <v>1</v>
      </c>
      <c r="S2713" t="s">
        <v>44</v>
      </c>
      <c r="T2713">
        <v>1</v>
      </c>
      <c r="U2713">
        <v>0</v>
      </c>
      <c r="V2713" t="s">
        <v>32</v>
      </c>
      <c r="W2713" t="s">
        <v>39</v>
      </c>
      <c r="X2713" s="4">
        <v>6.5</v>
      </c>
      <c r="Y2713">
        <v>7</v>
      </c>
      <c r="Z2713" s="5">
        <v>187.04</v>
      </c>
    </row>
    <row r="2714" spans="1:26">
      <c r="A2714">
        <v>2713</v>
      </c>
      <c r="B2714">
        <v>890</v>
      </c>
      <c r="C2714" s="2">
        <v>46141</v>
      </c>
      <c r="D2714" t="s">
        <v>52</v>
      </c>
      <c r="E2714">
        <v>4</v>
      </c>
      <c r="F2714" s="3">
        <v>7.78</v>
      </c>
      <c r="G2714" t="s">
        <v>27</v>
      </c>
      <c r="H2714">
        <v>9</v>
      </c>
      <c r="I2714" t="s">
        <v>28</v>
      </c>
      <c r="J2714" s="4">
        <v>70</v>
      </c>
      <c r="K2714" s="4">
        <v>144</v>
      </c>
      <c r="L2714" s="4">
        <v>20.8</v>
      </c>
      <c r="M2714">
        <v>12</v>
      </c>
      <c r="N2714" t="s">
        <v>47</v>
      </c>
      <c r="O2714">
        <v>2</v>
      </c>
      <c r="P2714" s="4">
        <v>144.19999999999999</v>
      </c>
      <c r="Q2714" t="s">
        <v>42</v>
      </c>
      <c r="R2714">
        <v>1</v>
      </c>
      <c r="S2714" t="s">
        <v>44</v>
      </c>
      <c r="T2714">
        <v>0</v>
      </c>
      <c r="U2714">
        <v>0</v>
      </c>
      <c r="V2714" t="s">
        <v>32</v>
      </c>
      <c r="W2714" t="s">
        <v>39</v>
      </c>
      <c r="X2714" s="4">
        <v>10.6</v>
      </c>
      <c r="Y2714">
        <v>8</v>
      </c>
      <c r="Z2714" s="5">
        <v>222.16</v>
      </c>
    </row>
    <row r="2715" spans="1:26">
      <c r="A2715">
        <v>2714</v>
      </c>
      <c r="B2715">
        <v>890</v>
      </c>
      <c r="C2715" s="2">
        <v>46141</v>
      </c>
      <c r="D2715" t="s">
        <v>52</v>
      </c>
      <c r="E2715">
        <v>4</v>
      </c>
      <c r="F2715" s="3">
        <v>7.76</v>
      </c>
      <c r="G2715" t="s">
        <v>27</v>
      </c>
      <c r="H2715">
        <v>50</v>
      </c>
      <c r="I2715" t="s">
        <v>34</v>
      </c>
      <c r="J2715" s="4">
        <v>68</v>
      </c>
      <c r="K2715" s="4">
        <v>101.1</v>
      </c>
      <c r="L2715" s="4">
        <v>15.5</v>
      </c>
      <c r="M2715">
        <v>14</v>
      </c>
      <c r="N2715" t="s">
        <v>47</v>
      </c>
      <c r="O2715">
        <v>2</v>
      </c>
      <c r="P2715" s="4">
        <v>144.19999999999999</v>
      </c>
      <c r="Q2715" t="s">
        <v>42</v>
      </c>
      <c r="R2715">
        <v>1</v>
      </c>
      <c r="S2715" t="s">
        <v>44</v>
      </c>
      <c r="T2715">
        <v>0</v>
      </c>
      <c r="U2715">
        <v>0</v>
      </c>
      <c r="V2715" t="s">
        <v>32</v>
      </c>
      <c r="W2715" t="s">
        <v>39</v>
      </c>
      <c r="X2715" s="4">
        <v>9.3000000000000007</v>
      </c>
      <c r="Y2715">
        <v>11</v>
      </c>
      <c r="Z2715" s="5">
        <v>213</v>
      </c>
    </row>
    <row r="2716" spans="1:26">
      <c r="A2716">
        <v>2715</v>
      </c>
      <c r="B2716">
        <v>891</v>
      </c>
      <c r="C2716" s="2">
        <v>46049</v>
      </c>
      <c r="D2716" t="s">
        <v>35</v>
      </c>
      <c r="E2716">
        <v>1</v>
      </c>
      <c r="F2716" s="3">
        <v>11.58</v>
      </c>
      <c r="G2716" t="s">
        <v>36</v>
      </c>
      <c r="H2716">
        <v>32</v>
      </c>
      <c r="I2716" t="s">
        <v>28</v>
      </c>
      <c r="J2716" s="4">
        <v>66.900000000000006</v>
      </c>
      <c r="K2716" s="4">
        <v>150.19999999999999</v>
      </c>
      <c r="L2716" s="4">
        <v>23.9</v>
      </c>
      <c r="M2716">
        <v>12</v>
      </c>
      <c r="N2716" t="s">
        <v>56</v>
      </c>
      <c r="O2716">
        <v>4</v>
      </c>
      <c r="P2716" s="4">
        <v>244.6</v>
      </c>
      <c r="Q2716" t="s">
        <v>30</v>
      </c>
      <c r="R2716">
        <v>1</v>
      </c>
      <c r="S2716" t="s">
        <v>31</v>
      </c>
      <c r="T2716">
        <v>0</v>
      </c>
      <c r="U2716">
        <v>0</v>
      </c>
      <c r="V2716" t="s">
        <v>45</v>
      </c>
      <c r="W2716" t="s">
        <v>57</v>
      </c>
      <c r="X2716" s="4">
        <v>8.8000000000000007</v>
      </c>
      <c r="Y2716">
        <v>10</v>
      </c>
      <c r="Z2716" s="5">
        <v>315.72000000000003</v>
      </c>
    </row>
    <row r="2717" spans="1:26">
      <c r="A2717">
        <v>2716</v>
      </c>
      <c r="B2717">
        <v>891</v>
      </c>
      <c r="C2717" s="2">
        <v>46049</v>
      </c>
      <c r="D2717" t="s">
        <v>35</v>
      </c>
      <c r="E2717">
        <v>1</v>
      </c>
      <c r="F2717" s="3">
        <v>11.33</v>
      </c>
      <c r="G2717" t="s">
        <v>36</v>
      </c>
      <c r="H2717">
        <v>69</v>
      </c>
      <c r="I2717" t="s">
        <v>28</v>
      </c>
      <c r="J2717" s="4">
        <v>70.900000000000006</v>
      </c>
      <c r="K2717" s="4">
        <v>173.2</v>
      </c>
      <c r="L2717" s="4">
        <v>24.4</v>
      </c>
      <c r="M2717">
        <v>15</v>
      </c>
      <c r="N2717" t="s">
        <v>56</v>
      </c>
      <c r="O2717">
        <v>4</v>
      </c>
      <c r="P2717" s="4">
        <v>244.6</v>
      </c>
      <c r="Q2717" t="s">
        <v>30</v>
      </c>
      <c r="R2717">
        <v>1</v>
      </c>
      <c r="S2717" t="s">
        <v>31</v>
      </c>
      <c r="T2717">
        <v>0</v>
      </c>
      <c r="U2717">
        <v>0</v>
      </c>
      <c r="V2717" t="s">
        <v>45</v>
      </c>
      <c r="W2717" t="s">
        <v>57</v>
      </c>
      <c r="X2717" s="4">
        <v>7.7</v>
      </c>
      <c r="Y2717">
        <v>8</v>
      </c>
      <c r="Z2717" s="5">
        <v>166.12</v>
      </c>
    </row>
    <row r="2718" spans="1:26">
      <c r="A2718">
        <v>2717</v>
      </c>
      <c r="B2718">
        <v>891</v>
      </c>
      <c r="C2718" s="2">
        <v>46049</v>
      </c>
      <c r="D2718" t="s">
        <v>35</v>
      </c>
      <c r="E2718">
        <v>1</v>
      </c>
      <c r="F2718" s="3">
        <v>11.72</v>
      </c>
      <c r="G2718" t="s">
        <v>36</v>
      </c>
      <c r="H2718">
        <v>54</v>
      </c>
      <c r="I2718" t="s">
        <v>28</v>
      </c>
      <c r="J2718" s="4">
        <v>71.400000000000006</v>
      </c>
      <c r="K2718" s="4">
        <v>158.5</v>
      </c>
      <c r="L2718" s="4">
        <v>21.6</v>
      </c>
      <c r="M2718">
        <v>12</v>
      </c>
      <c r="N2718" t="s">
        <v>56</v>
      </c>
      <c r="O2718">
        <v>4</v>
      </c>
      <c r="P2718" s="4">
        <v>244.6</v>
      </c>
      <c r="Q2718" t="s">
        <v>30</v>
      </c>
      <c r="R2718">
        <v>1</v>
      </c>
      <c r="S2718" t="s">
        <v>31</v>
      </c>
      <c r="T2718">
        <v>0</v>
      </c>
      <c r="U2718">
        <v>0</v>
      </c>
      <c r="V2718" t="s">
        <v>45</v>
      </c>
      <c r="W2718" t="s">
        <v>57</v>
      </c>
      <c r="X2718" s="4">
        <v>7.6</v>
      </c>
      <c r="Y2718">
        <v>4</v>
      </c>
      <c r="Z2718" s="5">
        <v>73.400000000000006</v>
      </c>
    </row>
    <row r="2719" spans="1:26">
      <c r="A2719">
        <v>2718</v>
      </c>
      <c r="B2719">
        <v>891</v>
      </c>
      <c r="C2719" s="2">
        <v>46049</v>
      </c>
      <c r="D2719" t="s">
        <v>35</v>
      </c>
      <c r="E2719">
        <v>1</v>
      </c>
      <c r="F2719" s="3">
        <v>11.43</v>
      </c>
      <c r="G2719" t="s">
        <v>36</v>
      </c>
      <c r="H2719">
        <v>35</v>
      </c>
      <c r="I2719" t="s">
        <v>28</v>
      </c>
      <c r="J2719" s="4">
        <v>67.900000000000006</v>
      </c>
      <c r="K2719" s="4">
        <v>138.5</v>
      </c>
      <c r="L2719" s="4">
        <v>21.2</v>
      </c>
      <c r="M2719">
        <v>10</v>
      </c>
      <c r="N2719" t="s">
        <v>56</v>
      </c>
      <c r="O2719">
        <v>4</v>
      </c>
      <c r="P2719" s="4">
        <v>244.6</v>
      </c>
      <c r="Q2719" t="s">
        <v>30</v>
      </c>
      <c r="R2719">
        <v>1</v>
      </c>
      <c r="S2719" t="s">
        <v>31</v>
      </c>
      <c r="T2719">
        <v>0</v>
      </c>
      <c r="U2719">
        <v>0</v>
      </c>
      <c r="V2719" t="s">
        <v>45</v>
      </c>
      <c r="W2719" t="s">
        <v>57</v>
      </c>
      <c r="X2719" s="4">
        <v>10.6</v>
      </c>
      <c r="Y2719">
        <v>12</v>
      </c>
      <c r="Z2719" s="5">
        <v>280.67</v>
      </c>
    </row>
    <row r="2720" spans="1:26">
      <c r="A2720">
        <v>2719</v>
      </c>
      <c r="B2720">
        <v>892</v>
      </c>
      <c r="C2720" s="2">
        <v>46365</v>
      </c>
      <c r="D2720" t="s">
        <v>52</v>
      </c>
      <c r="E2720">
        <v>12</v>
      </c>
      <c r="F2720" s="3">
        <v>7.33</v>
      </c>
      <c r="G2720" t="s">
        <v>27</v>
      </c>
      <c r="H2720">
        <v>30</v>
      </c>
      <c r="I2720" t="s">
        <v>28</v>
      </c>
      <c r="J2720" s="4">
        <v>74.5</v>
      </c>
      <c r="K2720" s="4">
        <v>152.4</v>
      </c>
      <c r="L2720" s="4">
        <v>19.3</v>
      </c>
      <c r="M2720">
        <v>15</v>
      </c>
      <c r="N2720" t="s">
        <v>47</v>
      </c>
      <c r="O2720">
        <v>1</v>
      </c>
      <c r="P2720" s="4">
        <v>28.4</v>
      </c>
      <c r="Q2720" t="s">
        <v>42</v>
      </c>
      <c r="R2720">
        <v>0</v>
      </c>
      <c r="S2720" t="s">
        <v>44</v>
      </c>
      <c r="T2720">
        <v>1</v>
      </c>
      <c r="U2720">
        <v>0</v>
      </c>
      <c r="V2720" t="s">
        <v>32</v>
      </c>
      <c r="W2720" t="s">
        <v>49</v>
      </c>
      <c r="X2720" s="4">
        <v>8.6</v>
      </c>
      <c r="Y2720">
        <v>9</v>
      </c>
      <c r="Z2720" s="5">
        <v>214.63</v>
      </c>
    </row>
    <row r="2721" spans="1:26">
      <c r="A2721">
        <v>2720</v>
      </c>
      <c r="B2721">
        <v>893</v>
      </c>
      <c r="C2721" s="2">
        <v>46023</v>
      </c>
      <c r="D2721" t="s">
        <v>55</v>
      </c>
      <c r="E2721">
        <v>1</v>
      </c>
      <c r="F2721" s="3">
        <v>10.33</v>
      </c>
      <c r="G2721" t="s">
        <v>27</v>
      </c>
      <c r="H2721">
        <v>57</v>
      </c>
      <c r="I2721" t="s">
        <v>28</v>
      </c>
      <c r="J2721" s="4">
        <v>65.2</v>
      </c>
      <c r="K2721" s="4">
        <v>156.6</v>
      </c>
      <c r="L2721" s="4">
        <v>25.9</v>
      </c>
      <c r="M2721">
        <v>14</v>
      </c>
      <c r="N2721" t="s">
        <v>47</v>
      </c>
      <c r="O2721">
        <v>3</v>
      </c>
      <c r="P2721" s="4">
        <v>164.4</v>
      </c>
      <c r="Q2721" t="s">
        <v>42</v>
      </c>
      <c r="R2721">
        <v>0</v>
      </c>
      <c r="S2721" t="s">
        <v>38</v>
      </c>
      <c r="T2721">
        <v>1</v>
      </c>
      <c r="U2721">
        <v>0</v>
      </c>
      <c r="V2721" t="s">
        <v>32</v>
      </c>
      <c r="W2721" t="s">
        <v>49</v>
      </c>
      <c r="X2721" s="4">
        <v>7.4</v>
      </c>
      <c r="Y2721">
        <v>9</v>
      </c>
      <c r="Z2721" s="5">
        <v>261.68</v>
      </c>
    </row>
    <row r="2722" spans="1:26">
      <c r="A2722">
        <v>2721</v>
      </c>
      <c r="B2722">
        <v>893</v>
      </c>
      <c r="C2722" s="2">
        <v>46023</v>
      </c>
      <c r="D2722" t="s">
        <v>55</v>
      </c>
      <c r="E2722">
        <v>1</v>
      </c>
      <c r="F2722" s="3">
        <v>10.14</v>
      </c>
      <c r="G2722" t="s">
        <v>27</v>
      </c>
      <c r="H2722">
        <v>32</v>
      </c>
      <c r="I2722" t="s">
        <v>28</v>
      </c>
      <c r="J2722" s="4">
        <v>68</v>
      </c>
      <c r="K2722" s="4">
        <v>142.30000000000001</v>
      </c>
      <c r="L2722" s="4">
        <v>21.5</v>
      </c>
      <c r="M2722">
        <v>18</v>
      </c>
      <c r="N2722" t="s">
        <v>47</v>
      </c>
      <c r="O2722">
        <v>3</v>
      </c>
      <c r="P2722" s="4">
        <v>164.4</v>
      </c>
      <c r="Q2722" t="s">
        <v>42</v>
      </c>
      <c r="R2722">
        <v>0</v>
      </c>
      <c r="S2722" t="s">
        <v>38</v>
      </c>
      <c r="T2722">
        <v>1</v>
      </c>
      <c r="U2722">
        <v>0</v>
      </c>
      <c r="V2722" t="s">
        <v>32</v>
      </c>
      <c r="W2722" t="s">
        <v>49</v>
      </c>
      <c r="X2722" s="4">
        <v>6.9</v>
      </c>
      <c r="Y2722">
        <v>14</v>
      </c>
      <c r="Z2722" s="5">
        <v>255.72</v>
      </c>
    </row>
    <row r="2723" spans="1:26">
      <c r="A2723">
        <v>2722</v>
      </c>
      <c r="B2723">
        <v>893</v>
      </c>
      <c r="C2723" s="2">
        <v>46023</v>
      </c>
      <c r="D2723" t="s">
        <v>55</v>
      </c>
      <c r="E2723">
        <v>1</v>
      </c>
      <c r="F2723" s="3">
        <v>10.17</v>
      </c>
      <c r="G2723" t="s">
        <v>27</v>
      </c>
      <c r="H2723">
        <v>41</v>
      </c>
      <c r="I2723" t="s">
        <v>28</v>
      </c>
      <c r="J2723" s="4">
        <v>73.7</v>
      </c>
      <c r="K2723" s="4">
        <v>244.4</v>
      </c>
      <c r="L2723" s="4">
        <v>31.5</v>
      </c>
      <c r="M2723">
        <v>19</v>
      </c>
      <c r="N2723" t="s">
        <v>47</v>
      </c>
      <c r="O2723">
        <v>3</v>
      </c>
      <c r="P2723" s="4">
        <v>164.4</v>
      </c>
      <c r="Q2723" t="s">
        <v>42</v>
      </c>
      <c r="R2723">
        <v>0</v>
      </c>
      <c r="S2723" t="s">
        <v>38</v>
      </c>
      <c r="T2723">
        <v>1</v>
      </c>
      <c r="U2723">
        <v>0</v>
      </c>
      <c r="V2723" t="s">
        <v>32</v>
      </c>
      <c r="W2723" t="s">
        <v>49</v>
      </c>
      <c r="X2723" s="4">
        <v>5.9</v>
      </c>
      <c r="Y2723">
        <v>13</v>
      </c>
      <c r="Z2723" s="5">
        <v>178.34</v>
      </c>
    </row>
    <row r="2724" spans="1:26">
      <c r="A2724">
        <v>2723</v>
      </c>
      <c r="B2724">
        <v>894</v>
      </c>
      <c r="C2724" s="2">
        <v>46154</v>
      </c>
      <c r="D2724" t="s">
        <v>35</v>
      </c>
      <c r="E2724">
        <v>5</v>
      </c>
      <c r="F2724" s="3">
        <v>10.48</v>
      </c>
      <c r="G2724" t="s">
        <v>27</v>
      </c>
      <c r="H2724">
        <v>6</v>
      </c>
      <c r="I2724" t="s">
        <v>28</v>
      </c>
      <c r="J2724" s="4">
        <v>58.9</v>
      </c>
      <c r="K2724" s="4">
        <v>109.2</v>
      </c>
      <c r="L2724" s="4">
        <v>22.2</v>
      </c>
      <c r="M2724">
        <v>18</v>
      </c>
      <c r="N2724" t="s">
        <v>47</v>
      </c>
      <c r="O2724">
        <v>2</v>
      </c>
      <c r="P2724" s="4">
        <v>53.6</v>
      </c>
      <c r="Q2724" t="s">
        <v>42</v>
      </c>
      <c r="R2724">
        <v>1</v>
      </c>
      <c r="S2724" t="s">
        <v>44</v>
      </c>
      <c r="T2724">
        <v>0</v>
      </c>
      <c r="U2724">
        <v>0</v>
      </c>
      <c r="V2724" t="s">
        <v>32</v>
      </c>
      <c r="W2724" t="s">
        <v>43</v>
      </c>
      <c r="X2724" s="4">
        <v>9.1999999999999993</v>
      </c>
      <c r="Y2724">
        <v>6</v>
      </c>
      <c r="Z2724" s="5">
        <v>220.74</v>
      </c>
    </row>
    <row r="2725" spans="1:26">
      <c r="A2725">
        <v>2724</v>
      </c>
      <c r="B2725">
        <v>894</v>
      </c>
      <c r="C2725" s="2">
        <v>46154</v>
      </c>
      <c r="D2725" t="s">
        <v>35</v>
      </c>
      <c r="E2725">
        <v>5</v>
      </c>
      <c r="F2725" s="3">
        <v>10.3</v>
      </c>
      <c r="G2725" t="s">
        <v>27</v>
      </c>
      <c r="H2725">
        <v>44</v>
      </c>
      <c r="I2725" t="s">
        <v>28</v>
      </c>
      <c r="J2725" s="4">
        <v>67.599999999999994</v>
      </c>
      <c r="K2725" s="4">
        <v>152.80000000000001</v>
      </c>
      <c r="L2725" s="4">
        <v>23.8</v>
      </c>
      <c r="M2725">
        <v>19</v>
      </c>
      <c r="N2725" t="s">
        <v>47</v>
      </c>
      <c r="O2725">
        <v>2</v>
      </c>
      <c r="P2725" s="4">
        <v>53.6</v>
      </c>
      <c r="Q2725" t="s">
        <v>42</v>
      </c>
      <c r="R2725">
        <v>1</v>
      </c>
      <c r="S2725" t="s">
        <v>44</v>
      </c>
      <c r="T2725">
        <v>0</v>
      </c>
      <c r="U2725">
        <v>0</v>
      </c>
      <c r="V2725" t="s">
        <v>32</v>
      </c>
      <c r="W2725" t="s">
        <v>43</v>
      </c>
      <c r="X2725" s="4">
        <v>9.5</v>
      </c>
      <c r="Y2725">
        <v>9</v>
      </c>
      <c r="Z2725" s="5">
        <v>153.28</v>
      </c>
    </row>
    <row r="2726" spans="1:26">
      <c r="A2726">
        <v>2725</v>
      </c>
      <c r="B2726">
        <v>895</v>
      </c>
      <c r="C2726" s="2">
        <v>46110</v>
      </c>
      <c r="D2726" t="s">
        <v>58</v>
      </c>
      <c r="E2726">
        <v>3</v>
      </c>
      <c r="F2726" s="3">
        <v>10.050000000000001</v>
      </c>
      <c r="G2726" t="s">
        <v>27</v>
      </c>
      <c r="H2726">
        <v>55</v>
      </c>
      <c r="I2726" t="s">
        <v>28</v>
      </c>
      <c r="J2726" s="4">
        <v>69.7</v>
      </c>
      <c r="K2726" s="4">
        <v>190.1</v>
      </c>
      <c r="L2726" s="4">
        <v>27.4</v>
      </c>
      <c r="M2726">
        <v>19</v>
      </c>
      <c r="N2726" t="s">
        <v>66</v>
      </c>
      <c r="O2726">
        <v>3</v>
      </c>
      <c r="P2726" s="4">
        <v>319.2</v>
      </c>
      <c r="Q2726" t="s">
        <v>48</v>
      </c>
      <c r="R2726">
        <v>0</v>
      </c>
      <c r="S2726" t="s">
        <v>44</v>
      </c>
      <c r="T2726">
        <v>1</v>
      </c>
      <c r="U2726">
        <v>0</v>
      </c>
      <c r="V2726" t="s">
        <v>32</v>
      </c>
      <c r="W2726" t="s">
        <v>39</v>
      </c>
      <c r="X2726" s="4">
        <v>8.9</v>
      </c>
      <c r="Y2726">
        <v>13</v>
      </c>
      <c r="Z2726" s="5">
        <v>268.58</v>
      </c>
    </row>
    <row r="2727" spans="1:26">
      <c r="A2727">
        <v>2726</v>
      </c>
      <c r="B2727">
        <v>895</v>
      </c>
      <c r="C2727" s="2">
        <v>46110</v>
      </c>
      <c r="D2727" t="s">
        <v>58</v>
      </c>
      <c r="E2727">
        <v>3</v>
      </c>
      <c r="F2727" s="3">
        <v>10.18</v>
      </c>
      <c r="G2727" t="s">
        <v>27</v>
      </c>
      <c r="H2727">
        <v>26</v>
      </c>
      <c r="I2727" t="s">
        <v>28</v>
      </c>
      <c r="J2727" s="4">
        <v>70.2</v>
      </c>
      <c r="K2727" s="4">
        <v>214.4</v>
      </c>
      <c r="L2727" s="4">
        <v>30.2</v>
      </c>
      <c r="M2727">
        <v>12</v>
      </c>
      <c r="N2727" t="s">
        <v>66</v>
      </c>
      <c r="O2727">
        <v>3</v>
      </c>
      <c r="P2727" s="4">
        <v>319.2</v>
      </c>
      <c r="Q2727" t="s">
        <v>48</v>
      </c>
      <c r="R2727">
        <v>0</v>
      </c>
      <c r="S2727" t="s">
        <v>44</v>
      </c>
      <c r="T2727">
        <v>1</v>
      </c>
      <c r="U2727">
        <v>0</v>
      </c>
      <c r="V2727" t="s">
        <v>32</v>
      </c>
      <c r="W2727" t="s">
        <v>39</v>
      </c>
      <c r="X2727" s="4">
        <v>9.9</v>
      </c>
      <c r="Y2727">
        <v>9</v>
      </c>
      <c r="Z2727" s="5">
        <v>215.74</v>
      </c>
    </row>
    <row r="2728" spans="1:26">
      <c r="A2728">
        <v>2727</v>
      </c>
      <c r="B2728">
        <v>895</v>
      </c>
      <c r="C2728" s="2">
        <v>46110</v>
      </c>
      <c r="D2728" t="s">
        <v>58</v>
      </c>
      <c r="E2728">
        <v>3</v>
      </c>
      <c r="F2728" s="3">
        <v>10.08</v>
      </c>
      <c r="G2728" t="s">
        <v>27</v>
      </c>
      <c r="H2728">
        <v>45</v>
      </c>
      <c r="I2728" t="s">
        <v>28</v>
      </c>
      <c r="J2728" s="4">
        <v>63.3</v>
      </c>
      <c r="K2728" s="4">
        <v>149.19999999999999</v>
      </c>
      <c r="L2728" s="4">
        <v>26.4</v>
      </c>
      <c r="M2728">
        <v>18</v>
      </c>
      <c r="N2728" t="s">
        <v>66</v>
      </c>
      <c r="O2728">
        <v>3</v>
      </c>
      <c r="P2728" s="4">
        <v>319.2</v>
      </c>
      <c r="Q2728" t="s">
        <v>48</v>
      </c>
      <c r="R2728">
        <v>0</v>
      </c>
      <c r="S2728" t="s">
        <v>44</v>
      </c>
      <c r="T2728">
        <v>1</v>
      </c>
      <c r="U2728">
        <v>0</v>
      </c>
      <c r="V2728" t="s">
        <v>32</v>
      </c>
      <c r="W2728" t="s">
        <v>39</v>
      </c>
      <c r="X2728" s="4">
        <v>7.3</v>
      </c>
      <c r="Y2728">
        <v>11</v>
      </c>
      <c r="Z2728" s="5">
        <v>573.38</v>
      </c>
    </row>
    <row r="2729" spans="1:26">
      <c r="A2729">
        <v>2728</v>
      </c>
      <c r="B2729">
        <v>896</v>
      </c>
      <c r="C2729" s="2">
        <v>46278</v>
      </c>
      <c r="D2729" t="s">
        <v>58</v>
      </c>
      <c r="E2729">
        <v>9</v>
      </c>
      <c r="F2729" s="3">
        <v>8.9700000000000006</v>
      </c>
      <c r="G2729" t="s">
        <v>27</v>
      </c>
      <c r="H2729">
        <v>41</v>
      </c>
      <c r="I2729" t="s">
        <v>28</v>
      </c>
      <c r="J2729" s="4">
        <v>71.2</v>
      </c>
      <c r="K2729" s="4">
        <v>221.9</v>
      </c>
      <c r="L2729" s="4">
        <v>30.7</v>
      </c>
      <c r="M2729">
        <v>11</v>
      </c>
      <c r="N2729" t="s">
        <v>47</v>
      </c>
      <c r="O2729">
        <v>4</v>
      </c>
      <c r="P2729" s="4">
        <v>112.9</v>
      </c>
      <c r="Q2729" t="s">
        <v>30</v>
      </c>
      <c r="R2729">
        <v>1</v>
      </c>
      <c r="S2729" t="s">
        <v>38</v>
      </c>
      <c r="T2729">
        <v>0</v>
      </c>
      <c r="U2729">
        <v>0</v>
      </c>
      <c r="V2729" t="s">
        <v>32</v>
      </c>
      <c r="W2729" t="s">
        <v>43</v>
      </c>
      <c r="X2729" s="4">
        <v>8.8000000000000007</v>
      </c>
      <c r="Y2729">
        <v>12</v>
      </c>
      <c r="Z2729" s="5">
        <v>154.5</v>
      </c>
    </row>
    <row r="2730" spans="1:26">
      <c r="A2730">
        <v>2729</v>
      </c>
      <c r="B2730">
        <v>896</v>
      </c>
      <c r="C2730" s="2">
        <v>46278</v>
      </c>
      <c r="D2730" t="s">
        <v>58</v>
      </c>
      <c r="E2730">
        <v>9</v>
      </c>
      <c r="F2730" s="3">
        <v>9.15</v>
      </c>
      <c r="G2730" t="s">
        <v>27</v>
      </c>
      <c r="H2730">
        <v>3</v>
      </c>
      <c r="I2730" t="s">
        <v>34</v>
      </c>
      <c r="J2730" s="4">
        <v>48.3</v>
      </c>
      <c r="K2730" s="4">
        <v>58</v>
      </c>
      <c r="L2730" s="4">
        <v>17.399999999999999</v>
      </c>
      <c r="M2730">
        <v>15</v>
      </c>
      <c r="N2730" t="s">
        <v>47</v>
      </c>
      <c r="O2730">
        <v>4</v>
      </c>
      <c r="P2730" s="4">
        <v>112.9</v>
      </c>
      <c r="Q2730" t="s">
        <v>30</v>
      </c>
      <c r="R2730">
        <v>1</v>
      </c>
      <c r="S2730" t="s">
        <v>38</v>
      </c>
      <c r="T2730">
        <v>0</v>
      </c>
      <c r="U2730">
        <v>0</v>
      </c>
      <c r="V2730" t="s">
        <v>32</v>
      </c>
      <c r="W2730" t="s">
        <v>43</v>
      </c>
      <c r="X2730" s="4">
        <v>12.1</v>
      </c>
      <c r="Y2730">
        <v>11</v>
      </c>
      <c r="Z2730" s="5">
        <v>282.3</v>
      </c>
    </row>
    <row r="2731" spans="1:26">
      <c r="A2731">
        <v>2730</v>
      </c>
      <c r="B2731">
        <v>896</v>
      </c>
      <c r="C2731" s="2">
        <v>46278</v>
      </c>
      <c r="D2731" t="s">
        <v>58</v>
      </c>
      <c r="E2731">
        <v>9</v>
      </c>
      <c r="F2731" s="3">
        <v>9.2200000000000006</v>
      </c>
      <c r="G2731" t="s">
        <v>27</v>
      </c>
      <c r="H2731">
        <v>57</v>
      </c>
      <c r="I2731" t="s">
        <v>28</v>
      </c>
      <c r="J2731" s="4">
        <v>71.5</v>
      </c>
      <c r="K2731" s="4">
        <v>185.6</v>
      </c>
      <c r="L2731" s="4">
        <v>25.5</v>
      </c>
      <c r="M2731">
        <v>13</v>
      </c>
      <c r="N2731" t="s">
        <v>47</v>
      </c>
      <c r="O2731">
        <v>4</v>
      </c>
      <c r="P2731" s="4">
        <v>112.9</v>
      </c>
      <c r="Q2731" t="s">
        <v>30</v>
      </c>
      <c r="R2731">
        <v>1</v>
      </c>
      <c r="S2731" t="s">
        <v>38</v>
      </c>
      <c r="T2731">
        <v>0</v>
      </c>
      <c r="U2731">
        <v>0</v>
      </c>
      <c r="V2731" t="s">
        <v>32</v>
      </c>
      <c r="W2731" t="s">
        <v>43</v>
      </c>
      <c r="X2731" s="4">
        <v>8.1999999999999993</v>
      </c>
      <c r="Y2731">
        <v>5</v>
      </c>
      <c r="Z2731" s="5">
        <v>126.86</v>
      </c>
    </row>
    <row r="2732" spans="1:26">
      <c r="A2732">
        <v>2731</v>
      </c>
      <c r="B2732">
        <v>896</v>
      </c>
      <c r="C2732" s="2">
        <v>46278</v>
      </c>
      <c r="D2732" t="s">
        <v>58</v>
      </c>
      <c r="E2732">
        <v>9</v>
      </c>
      <c r="F2732" s="3">
        <v>9.33</v>
      </c>
      <c r="G2732" t="s">
        <v>27</v>
      </c>
      <c r="H2732">
        <v>58</v>
      </c>
      <c r="I2732" t="s">
        <v>34</v>
      </c>
      <c r="J2732" s="4">
        <v>61</v>
      </c>
      <c r="K2732" s="4">
        <v>153.5</v>
      </c>
      <c r="L2732" s="4">
        <v>29.1</v>
      </c>
      <c r="M2732">
        <v>14</v>
      </c>
      <c r="N2732" t="s">
        <v>47</v>
      </c>
      <c r="O2732">
        <v>4</v>
      </c>
      <c r="P2732" s="4">
        <v>112.9</v>
      </c>
      <c r="Q2732" t="s">
        <v>30</v>
      </c>
      <c r="R2732">
        <v>1</v>
      </c>
      <c r="S2732" t="s">
        <v>38</v>
      </c>
      <c r="T2732">
        <v>0</v>
      </c>
      <c r="U2732">
        <v>0</v>
      </c>
      <c r="V2732" t="s">
        <v>32</v>
      </c>
      <c r="W2732" t="s">
        <v>43</v>
      </c>
      <c r="X2732" s="4">
        <v>8.3000000000000007</v>
      </c>
      <c r="Y2732">
        <v>4</v>
      </c>
      <c r="Z2732" s="5">
        <v>167.2</v>
      </c>
    </row>
    <row r="2733" spans="1:26">
      <c r="A2733">
        <v>2732</v>
      </c>
      <c r="B2733">
        <v>897</v>
      </c>
      <c r="C2733" s="2">
        <v>46321</v>
      </c>
      <c r="D2733" t="s">
        <v>46</v>
      </c>
      <c r="E2733">
        <v>10</v>
      </c>
      <c r="F2733" s="3">
        <v>9.92</v>
      </c>
      <c r="G2733" t="s">
        <v>27</v>
      </c>
      <c r="H2733">
        <v>20</v>
      </c>
      <c r="I2733" t="s">
        <v>28</v>
      </c>
      <c r="J2733" s="4">
        <v>66.3</v>
      </c>
      <c r="K2733" s="4">
        <v>152.69999999999999</v>
      </c>
      <c r="L2733" s="4">
        <v>24.2</v>
      </c>
      <c r="M2733">
        <v>12</v>
      </c>
      <c r="N2733" t="s">
        <v>47</v>
      </c>
      <c r="O2733">
        <v>1</v>
      </c>
      <c r="P2733" s="4">
        <v>127.6</v>
      </c>
      <c r="Q2733" t="s">
        <v>42</v>
      </c>
      <c r="R2733">
        <v>1</v>
      </c>
      <c r="S2733" t="s">
        <v>31</v>
      </c>
      <c r="T2733">
        <v>0</v>
      </c>
      <c r="U2733">
        <v>0</v>
      </c>
      <c r="V2733" t="s">
        <v>45</v>
      </c>
      <c r="W2733" t="s">
        <v>49</v>
      </c>
      <c r="X2733" s="4">
        <v>8.3000000000000007</v>
      </c>
      <c r="Y2733">
        <v>9</v>
      </c>
      <c r="Z2733" s="5">
        <v>197.15</v>
      </c>
    </row>
    <row r="2734" spans="1:26">
      <c r="A2734">
        <v>2733</v>
      </c>
      <c r="B2734">
        <v>898</v>
      </c>
      <c r="C2734" s="2">
        <v>46062</v>
      </c>
      <c r="D2734" t="s">
        <v>46</v>
      </c>
      <c r="E2734">
        <v>2</v>
      </c>
      <c r="F2734" s="3">
        <v>11.79</v>
      </c>
      <c r="G2734" t="s">
        <v>36</v>
      </c>
      <c r="H2734">
        <v>40</v>
      </c>
      <c r="I2734" t="s">
        <v>34</v>
      </c>
      <c r="J2734" s="4">
        <v>64.900000000000006</v>
      </c>
      <c r="K2734" s="4">
        <v>182.8</v>
      </c>
      <c r="L2734" s="4">
        <v>30.6</v>
      </c>
      <c r="M2734">
        <v>14</v>
      </c>
      <c r="N2734" t="s">
        <v>60</v>
      </c>
      <c r="O2734">
        <v>1</v>
      </c>
      <c r="P2734" s="4">
        <v>1878.9</v>
      </c>
      <c r="Q2734" t="s">
        <v>42</v>
      </c>
      <c r="R2734">
        <v>1</v>
      </c>
      <c r="S2734" t="s">
        <v>44</v>
      </c>
      <c r="T2734">
        <v>0</v>
      </c>
      <c r="U2734">
        <v>0</v>
      </c>
      <c r="V2734" t="s">
        <v>32</v>
      </c>
      <c r="W2734" t="s">
        <v>57</v>
      </c>
      <c r="X2734" s="4">
        <v>7.9</v>
      </c>
      <c r="Y2734">
        <v>7</v>
      </c>
      <c r="Z2734" s="5">
        <v>198.72</v>
      </c>
    </row>
    <row r="2735" spans="1:26">
      <c r="A2735">
        <v>2734</v>
      </c>
      <c r="B2735">
        <v>899</v>
      </c>
      <c r="C2735" s="2">
        <v>46312</v>
      </c>
      <c r="D2735" t="s">
        <v>40</v>
      </c>
      <c r="E2735">
        <v>10</v>
      </c>
      <c r="F2735" s="3">
        <v>9.19</v>
      </c>
      <c r="G2735" t="s">
        <v>27</v>
      </c>
      <c r="H2735">
        <v>43</v>
      </c>
      <c r="I2735" t="s">
        <v>34</v>
      </c>
      <c r="J2735" s="4">
        <v>58.6</v>
      </c>
      <c r="K2735" s="4">
        <v>117.3</v>
      </c>
      <c r="L2735" s="4">
        <v>24.3</v>
      </c>
      <c r="M2735">
        <v>20</v>
      </c>
      <c r="N2735" t="s">
        <v>47</v>
      </c>
      <c r="O2735">
        <v>3</v>
      </c>
      <c r="P2735" s="4">
        <v>2</v>
      </c>
      <c r="Q2735" t="s">
        <v>48</v>
      </c>
      <c r="R2735">
        <v>1</v>
      </c>
      <c r="S2735" t="s">
        <v>31</v>
      </c>
      <c r="T2735">
        <v>0</v>
      </c>
      <c r="U2735">
        <v>0</v>
      </c>
      <c r="V2735" t="s">
        <v>32</v>
      </c>
      <c r="W2735" t="s">
        <v>39</v>
      </c>
      <c r="X2735" s="4">
        <v>8.5</v>
      </c>
      <c r="Y2735">
        <v>4</v>
      </c>
      <c r="Z2735" s="5">
        <v>235.68</v>
      </c>
    </row>
    <row r="2736" spans="1:26">
      <c r="A2736">
        <v>2735</v>
      </c>
      <c r="B2736">
        <v>899</v>
      </c>
      <c r="C2736" s="2">
        <v>46312</v>
      </c>
      <c r="D2736" t="s">
        <v>40</v>
      </c>
      <c r="E2736">
        <v>10</v>
      </c>
      <c r="F2736" s="3">
        <v>9.36</v>
      </c>
      <c r="G2736" t="s">
        <v>27</v>
      </c>
      <c r="H2736">
        <v>63</v>
      </c>
      <c r="I2736" t="s">
        <v>34</v>
      </c>
      <c r="J2736" s="4">
        <v>61.7</v>
      </c>
      <c r="K2736" s="4">
        <v>138.6</v>
      </c>
      <c r="L2736" s="4">
        <v>25.4</v>
      </c>
      <c r="M2736">
        <v>20</v>
      </c>
      <c r="N2736" t="s">
        <v>47</v>
      </c>
      <c r="O2736">
        <v>3</v>
      </c>
      <c r="P2736" s="4">
        <v>2</v>
      </c>
      <c r="Q2736" t="s">
        <v>48</v>
      </c>
      <c r="R2736">
        <v>1</v>
      </c>
      <c r="S2736" t="s">
        <v>31</v>
      </c>
      <c r="T2736">
        <v>0</v>
      </c>
      <c r="U2736">
        <v>0</v>
      </c>
      <c r="V2736" t="s">
        <v>32</v>
      </c>
      <c r="W2736" t="s">
        <v>39</v>
      </c>
      <c r="X2736" s="4">
        <v>6.7</v>
      </c>
      <c r="Y2736">
        <v>6</v>
      </c>
      <c r="Z2736" s="5">
        <v>253.17</v>
      </c>
    </row>
    <row r="2737" spans="1:26">
      <c r="A2737">
        <v>2736</v>
      </c>
      <c r="B2737">
        <v>899</v>
      </c>
      <c r="C2737" s="2">
        <v>46312</v>
      </c>
      <c r="D2737" t="s">
        <v>40</v>
      </c>
      <c r="E2737">
        <v>10</v>
      </c>
      <c r="F2737" s="3">
        <v>9.44</v>
      </c>
      <c r="G2737" t="s">
        <v>27</v>
      </c>
      <c r="H2737">
        <v>42</v>
      </c>
      <c r="I2737" t="s">
        <v>28</v>
      </c>
      <c r="J2737" s="4">
        <v>67.7</v>
      </c>
      <c r="K2737" s="4">
        <v>172.3</v>
      </c>
      <c r="L2737" s="4">
        <v>26.2</v>
      </c>
      <c r="M2737">
        <v>16</v>
      </c>
      <c r="N2737" t="s">
        <v>47</v>
      </c>
      <c r="O2737">
        <v>3</v>
      </c>
      <c r="P2737" s="4">
        <v>2</v>
      </c>
      <c r="Q2737" t="s">
        <v>48</v>
      </c>
      <c r="R2737">
        <v>1</v>
      </c>
      <c r="S2737" t="s">
        <v>31</v>
      </c>
      <c r="T2737">
        <v>0</v>
      </c>
      <c r="U2737">
        <v>0</v>
      </c>
      <c r="V2737" t="s">
        <v>32</v>
      </c>
      <c r="W2737" t="s">
        <v>39</v>
      </c>
      <c r="X2737" s="4">
        <v>7.5</v>
      </c>
      <c r="Y2737">
        <v>7</v>
      </c>
      <c r="Z2737" s="5">
        <v>197.71</v>
      </c>
    </row>
    <row r="2738" spans="1:26">
      <c r="A2738">
        <v>2737</v>
      </c>
      <c r="B2738">
        <v>900</v>
      </c>
      <c r="C2738" s="2">
        <v>46386</v>
      </c>
      <c r="D2738" t="s">
        <v>52</v>
      </c>
      <c r="E2738">
        <v>12</v>
      </c>
      <c r="F2738" s="3">
        <v>10.63</v>
      </c>
      <c r="G2738" t="s">
        <v>27</v>
      </c>
      <c r="H2738">
        <v>29</v>
      </c>
      <c r="I2738" t="s">
        <v>28</v>
      </c>
      <c r="J2738" s="4">
        <v>66.900000000000006</v>
      </c>
      <c r="K2738" s="4">
        <v>170.7</v>
      </c>
      <c r="L2738" s="4">
        <v>26.9</v>
      </c>
      <c r="M2738">
        <v>14</v>
      </c>
      <c r="N2738" t="s">
        <v>56</v>
      </c>
      <c r="O2738">
        <v>4</v>
      </c>
      <c r="P2738" s="4">
        <v>283.8</v>
      </c>
      <c r="Q2738" t="s">
        <v>48</v>
      </c>
      <c r="R2738">
        <v>1</v>
      </c>
      <c r="S2738" t="s">
        <v>44</v>
      </c>
      <c r="T2738">
        <v>0</v>
      </c>
      <c r="U2738">
        <v>0</v>
      </c>
      <c r="V2738" t="s">
        <v>32</v>
      </c>
      <c r="W2738" t="s">
        <v>39</v>
      </c>
      <c r="X2738" s="4">
        <v>5.0999999999999996</v>
      </c>
      <c r="Y2738">
        <v>2</v>
      </c>
      <c r="Z2738" s="5">
        <v>232.05</v>
      </c>
    </row>
    <row r="2739" spans="1:26">
      <c r="A2739">
        <v>2738</v>
      </c>
      <c r="B2739">
        <v>900</v>
      </c>
      <c r="C2739" s="2">
        <v>46386</v>
      </c>
      <c r="D2739" t="s">
        <v>52</v>
      </c>
      <c r="E2739">
        <v>12</v>
      </c>
      <c r="F2739" s="3">
        <v>10.67</v>
      </c>
      <c r="G2739" t="s">
        <v>27</v>
      </c>
      <c r="H2739">
        <v>65</v>
      </c>
      <c r="I2739" t="s">
        <v>28</v>
      </c>
      <c r="J2739" s="4">
        <v>70.599999999999994</v>
      </c>
      <c r="K2739" s="4">
        <v>173.9</v>
      </c>
      <c r="L2739" s="4">
        <v>24.5</v>
      </c>
      <c r="M2739">
        <v>20</v>
      </c>
      <c r="N2739" t="s">
        <v>56</v>
      </c>
      <c r="O2739">
        <v>4</v>
      </c>
      <c r="P2739" s="4">
        <v>283.8</v>
      </c>
      <c r="Q2739" t="s">
        <v>48</v>
      </c>
      <c r="R2739">
        <v>1</v>
      </c>
      <c r="S2739" t="s">
        <v>44</v>
      </c>
      <c r="T2739">
        <v>0</v>
      </c>
      <c r="U2739">
        <v>0</v>
      </c>
      <c r="V2739" t="s">
        <v>32</v>
      </c>
      <c r="W2739" t="s">
        <v>39</v>
      </c>
      <c r="X2739" s="4">
        <v>7.1</v>
      </c>
      <c r="Y2739">
        <v>6</v>
      </c>
      <c r="Z2739" s="5">
        <v>267.8</v>
      </c>
    </row>
    <row r="2740" spans="1:26">
      <c r="A2740">
        <v>2739</v>
      </c>
      <c r="B2740">
        <v>900</v>
      </c>
      <c r="C2740" s="2">
        <v>46386</v>
      </c>
      <c r="D2740" t="s">
        <v>52</v>
      </c>
      <c r="E2740">
        <v>12</v>
      </c>
      <c r="F2740" s="3">
        <v>10.59</v>
      </c>
      <c r="G2740" t="s">
        <v>27</v>
      </c>
      <c r="H2740">
        <v>65</v>
      </c>
      <c r="I2740" t="s">
        <v>28</v>
      </c>
      <c r="J2740" s="4">
        <v>68.2</v>
      </c>
      <c r="K2740" s="4">
        <v>194.1</v>
      </c>
      <c r="L2740" s="4">
        <v>29.4</v>
      </c>
      <c r="M2740">
        <v>19</v>
      </c>
      <c r="N2740" t="s">
        <v>56</v>
      </c>
      <c r="O2740">
        <v>4</v>
      </c>
      <c r="P2740" s="4">
        <v>283.8</v>
      </c>
      <c r="Q2740" t="s">
        <v>48</v>
      </c>
      <c r="R2740">
        <v>1</v>
      </c>
      <c r="S2740" t="s">
        <v>44</v>
      </c>
      <c r="T2740">
        <v>0</v>
      </c>
      <c r="U2740">
        <v>0</v>
      </c>
      <c r="V2740" t="s">
        <v>32</v>
      </c>
      <c r="W2740" t="s">
        <v>39</v>
      </c>
      <c r="X2740" s="4">
        <v>8.6</v>
      </c>
      <c r="Y2740">
        <v>7</v>
      </c>
      <c r="Z2740" s="5">
        <v>238.74</v>
      </c>
    </row>
    <row r="2741" spans="1:26">
      <c r="A2741">
        <v>2740</v>
      </c>
      <c r="B2741">
        <v>900</v>
      </c>
      <c r="C2741" s="2">
        <v>46386</v>
      </c>
      <c r="D2741" t="s">
        <v>52</v>
      </c>
      <c r="E2741">
        <v>12</v>
      </c>
      <c r="F2741" s="3">
        <v>10.75</v>
      </c>
      <c r="G2741" t="s">
        <v>27</v>
      </c>
      <c r="H2741">
        <v>64</v>
      </c>
      <c r="I2741" t="s">
        <v>28</v>
      </c>
      <c r="J2741" s="4">
        <v>71.599999999999994</v>
      </c>
      <c r="K2741" s="4">
        <v>219.5</v>
      </c>
      <c r="L2741" s="4">
        <v>30.1</v>
      </c>
      <c r="M2741">
        <v>20</v>
      </c>
      <c r="N2741" t="s">
        <v>56</v>
      </c>
      <c r="O2741">
        <v>4</v>
      </c>
      <c r="P2741" s="4">
        <v>283.8</v>
      </c>
      <c r="Q2741" t="s">
        <v>48</v>
      </c>
      <c r="R2741">
        <v>1</v>
      </c>
      <c r="S2741" t="s">
        <v>44</v>
      </c>
      <c r="T2741">
        <v>0</v>
      </c>
      <c r="U2741">
        <v>0</v>
      </c>
      <c r="V2741" t="s">
        <v>32</v>
      </c>
      <c r="W2741" t="s">
        <v>39</v>
      </c>
      <c r="X2741" s="4">
        <v>7.2</v>
      </c>
      <c r="Y2741">
        <v>9</v>
      </c>
      <c r="Z2741" s="5">
        <v>258.31</v>
      </c>
    </row>
    <row r="2742" spans="1:26">
      <c r="A2742">
        <v>2741</v>
      </c>
      <c r="B2742">
        <v>901</v>
      </c>
      <c r="C2742" s="2">
        <v>46036</v>
      </c>
      <c r="D2742" t="s">
        <v>52</v>
      </c>
      <c r="E2742">
        <v>1</v>
      </c>
      <c r="F2742" s="3">
        <v>9.76</v>
      </c>
      <c r="G2742" t="s">
        <v>27</v>
      </c>
      <c r="H2742">
        <v>18</v>
      </c>
      <c r="I2742" t="s">
        <v>28</v>
      </c>
      <c r="J2742" s="4">
        <v>69.5</v>
      </c>
      <c r="K2742" s="4">
        <v>198.8</v>
      </c>
      <c r="L2742" s="4">
        <v>28.8</v>
      </c>
      <c r="M2742">
        <v>15</v>
      </c>
      <c r="N2742" t="s">
        <v>47</v>
      </c>
      <c r="O2742">
        <v>1</v>
      </c>
      <c r="P2742" s="4">
        <v>80.400000000000006</v>
      </c>
      <c r="Q2742" t="s">
        <v>48</v>
      </c>
      <c r="R2742">
        <v>0</v>
      </c>
      <c r="S2742" t="s">
        <v>44</v>
      </c>
      <c r="T2742">
        <v>1</v>
      </c>
      <c r="U2742">
        <v>0</v>
      </c>
      <c r="V2742" t="s">
        <v>32</v>
      </c>
      <c r="W2742" t="s">
        <v>43</v>
      </c>
      <c r="X2742" s="4">
        <v>7.6</v>
      </c>
      <c r="Y2742">
        <v>12</v>
      </c>
      <c r="Z2742" s="5">
        <v>351.99</v>
      </c>
    </row>
    <row r="2743" spans="1:26">
      <c r="A2743">
        <v>2742</v>
      </c>
      <c r="B2743">
        <v>902</v>
      </c>
      <c r="C2743" s="2">
        <v>46134</v>
      </c>
      <c r="D2743" t="s">
        <v>52</v>
      </c>
      <c r="E2743">
        <v>4</v>
      </c>
      <c r="F2743" s="3">
        <v>9.66</v>
      </c>
      <c r="G2743" t="s">
        <v>27</v>
      </c>
      <c r="H2743">
        <v>38</v>
      </c>
      <c r="I2743" t="s">
        <v>34</v>
      </c>
      <c r="J2743" s="4">
        <v>61.8</v>
      </c>
      <c r="K2743" s="4">
        <v>154.9</v>
      </c>
      <c r="L2743" s="4">
        <v>28.5</v>
      </c>
      <c r="M2743">
        <v>20</v>
      </c>
      <c r="N2743" t="s">
        <v>47</v>
      </c>
      <c r="O2743">
        <v>3</v>
      </c>
      <c r="P2743" s="4">
        <v>81.400000000000006</v>
      </c>
      <c r="Q2743" t="s">
        <v>48</v>
      </c>
      <c r="R2743">
        <v>0</v>
      </c>
      <c r="S2743" t="s">
        <v>44</v>
      </c>
      <c r="T2743">
        <v>1</v>
      </c>
      <c r="U2743">
        <v>0</v>
      </c>
      <c r="V2743" t="s">
        <v>32</v>
      </c>
      <c r="W2743" t="s">
        <v>49</v>
      </c>
      <c r="X2743" s="4">
        <v>7.7</v>
      </c>
      <c r="Y2743">
        <v>9</v>
      </c>
      <c r="Z2743" s="5">
        <v>346.79</v>
      </c>
    </row>
    <row r="2744" spans="1:26">
      <c r="A2744">
        <v>2743</v>
      </c>
      <c r="B2744">
        <v>902</v>
      </c>
      <c r="C2744" s="2">
        <v>46134</v>
      </c>
      <c r="D2744" t="s">
        <v>52</v>
      </c>
      <c r="E2744">
        <v>4</v>
      </c>
      <c r="F2744" s="3">
        <v>10.16</v>
      </c>
      <c r="G2744" t="s">
        <v>27</v>
      </c>
      <c r="H2744">
        <v>69</v>
      </c>
      <c r="I2744" t="s">
        <v>28</v>
      </c>
      <c r="J2744" s="4">
        <v>72.099999999999994</v>
      </c>
      <c r="K2744" s="4">
        <v>148.80000000000001</v>
      </c>
      <c r="L2744" s="4">
        <v>20.3</v>
      </c>
      <c r="M2744">
        <v>17</v>
      </c>
      <c r="N2744" t="s">
        <v>47</v>
      </c>
      <c r="O2744">
        <v>3</v>
      </c>
      <c r="P2744" s="4">
        <v>81.400000000000006</v>
      </c>
      <c r="Q2744" t="s">
        <v>48</v>
      </c>
      <c r="R2744">
        <v>0</v>
      </c>
      <c r="S2744" t="s">
        <v>44</v>
      </c>
      <c r="T2744">
        <v>1</v>
      </c>
      <c r="U2744">
        <v>0</v>
      </c>
      <c r="V2744" t="s">
        <v>32</v>
      </c>
      <c r="W2744" t="s">
        <v>49</v>
      </c>
      <c r="X2744" s="4">
        <v>9</v>
      </c>
      <c r="Y2744">
        <v>6</v>
      </c>
      <c r="Z2744" s="5">
        <v>241.03</v>
      </c>
    </row>
    <row r="2745" spans="1:26">
      <c r="A2745">
        <v>2744</v>
      </c>
      <c r="B2745">
        <v>902</v>
      </c>
      <c r="C2745" s="2">
        <v>46134</v>
      </c>
      <c r="D2745" t="s">
        <v>52</v>
      </c>
      <c r="E2745">
        <v>4</v>
      </c>
      <c r="F2745" s="3">
        <v>9.9600000000000009</v>
      </c>
      <c r="G2745" t="s">
        <v>27</v>
      </c>
      <c r="H2745">
        <v>6</v>
      </c>
      <c r="I2745" t="s">
        <v>28</v>
      </c>
      <c r="J2745" s="4">
        <v>59.2</v>
      </c>
      <c r="K2745" s="4">
        <v>134.5</v>
      </c>
      <c r="L2745" s="4">
        <v>27</v>
      </c>
      <c r="M2745">
        <v>12</v>
      </c>
      <c r="N2745" t="s">
        <v>47</v>
      </c>
      <c r="O2745">
        <v>3</v>
      </c>
      <c r="P2745" s="4">
        <v>81.400000000000006</v>
      </c>
      <c r="Q2745" t="s">
        <v>48</v>
      </c>
      <c r="R2745">
        <v>0</v>
      </c>
      <c r="S2745" t="s">
        <v>44</v>
      </c>
      <c r="T2745">
        <v>1</v>
      </c>
      <c r="U2745">
        <v>0</v>
      </c>
      <c r="V2745" t="s">
        <v>32</v>
      </c>
      <c r="W2745" t="s">
        <v>49</v>
      </c>
      <c r="X2745" s="4">
        <v>8.6</v>
      </c>
      <c r="Y2745">
        <v>5</v>
      </c>
      <c r="Z2745" s="5">
        <v>239.55</v>
      </c>
    </row>
    <row r="2746" spans="1:26">
      <c r="A2746">
        <v>2745</v>
      </c>
      <c r="B2746">
        <v>903</v>
      </c>
      <c r="C2746" s="2">
        <v>46143</v>
      </c>
      <c r="D2746" t="s">
        <v>26</v>
      </c>
      <c r="E2746">
        <v>5</v>
      </c>
      <c r="F2746" s="3">
        <v>12.2</v>
      </c>
      <c r="G2746" t="s">
        <v>36</v>
      </c>
      <c r="H2746">
        <v>30</v>
      </c>
      <c r="I2746" t="s">
        <v>28</v>
      </c>
      <c r="J2746" s="4">
        <v>74.099999999999994</v>
      </c>
      <c r="K2746" s="4">
        <v>205.5</v>
      </c>
      <c r="L2746" s="4">
        <v>26.2</v>
      </c>
      <c r="M2746">
        <v>10</v>
      </c>
      <c r="N2746" t="s">
        <v>60</v>
      </c>
      <c r="O2746">
        <v>3</v>
      </c>
      <c r="P2746" s="4">
        <v>893.4</v>
      </c>
      <c r="Q2746" t="s">
        <v>30</v>
      </c>
      <c r="R2746">
        <v>0</v>
      </c>
      <c r="S2746" t="s">
        <v>44</v>
      </c>
      <c r="T2746">
        <v>1</v>
      </c>
      <c r="U2746">
        <v>0</v>
      </c>
      <c r="V2746" t="s">
        <v>32</v>
      </c>
      <c r="W2746" t="s">
        <v>49</v>
      </c>
      <c r="X2746" s="4">
        <v>8.4</v>
      </c>
      <c r="Y2746">
        <v>10</v>
      </c>
      <c r="Z2746" s="5">
        <v>172.54</v>
      </c>
    </row>
    <row r="2747" spans="1:26">
      <c r="A2747">
        <v>2746</v>
      </c>
      <c r="B2747">
        <v>903</v>
      </c>
      <c r="C2747" s="2">
        <v>46143</v>
      </c>
      <c r="D2747" t="s">
        <v>26</v>
      </c>
      <c r="E2747">
        <v>5</v>
      </c>
      <c r="F2747" s="3">
        <v>12.54</v>
      </c>
      <c r="G2747" t="s">
        <v>36</v>
      </c>
      <c r="H2747">
        <v>10</v>
      </c>
      <c r="I2747" t="s">
        <v>34</v>
      </c>
      <c r="J2747" s="4">
        <v>64.599999999999994</v>
      </c>
      <c r="K2747" s="4">
        <v>89.5</v>
      </c>
      <c r="L2747" s="4">
        <v>15.3</v>
      </c>
      <c r="M2747">
        <v>12</v>
      </c>
      <c r="N2747" t="s">
        <v>60</v>
      </c>
      <c r="O2747">
        <v>3</v>
      </c>
      <c r="P2747" s="4">
        <v>893.4</v>
      </c>
      <c r="Q2747" t="s">
        <v>30</v>
      </c>
      <c r="R2747">
        <v>0</v>
      </c>
      <c r="S2747" t="s">
        <v>44</v>
      </c>
      <c r="T2747">
        <v>1</v>
      </c>
      <c r="U2747">
        <v>0</v>
      </c>
      <c r="V2747" t="s">
        <v>32</v>
      </c>
      <c r="W2747" t="s">
        <v>49</v>
      </c>
      <c r="X2747" s="4">
        <v>8.1</v>
      </c>
      <c r="Y2747">
        <v>8</v>
      </c>
      <c r="Z2747" s="5">
        <v>220.02</v>
      </c>
    </row>
    <row r="2748" spans="1:26">
      <c r="A2748">
        <v>2747</v>
      </c>
      <c r="B2748">
        <v>903</v>
      </c>
      <c r="C2748" s="2">
        <v>46143</v>
      </c>
      <c r="D2748" t="s">
        <v>26</v>
      </c>
      <c r="E2748">
        <v>5</v>
      </c>
      <c r="F2748" s="3">
        <v>12.23</v>
      </c>
      <c r="G2748" t="s">
        <v>36</v>
      </c>
      <c r="H2748">
        <v>42</v>
      </c>
      <c r="I2748" t="s">
        <v>28</v>
      </c>
      <c r="J2748" s="4">
        <v>64.7</v>
      </c>
      <c r="K2748" s="4">
        <v>172.3</v>
      </c>
      <c r="L2748" s="4">
        <v>29</v>
      </c>
      <c r="M2748">
        <v>14</v>
      </c>
      <c r="N2748" t="s">
        <v>60</v>
      </c>
      <c r="O2748">
        <v>3</v>
      </c>
      <c r="P2748" s="4">
        <v>893.4</v>
      </c>
      <c r="Q2748" t="s">
        <v>30</v>
      </c>
      <c r="R2748">
        <v>0</v>
      </c>
      <c r="S2748" t="s">
        <v>44</v>
      </c>
      <c r="T2748">
        <v>1</v>
      </c>
      <c r="U2748">
        <v>0</v>
      </c>
      <c r="V2748" t="s">
        <v>32</v>
      </c>
      <c r="W2748" t="s">
        <v>49</v>
      </c>
      <c r="X2748" s="4">
        <v>11.5</v>
      </c>
      <c r="Y2748">
        <v>9</v>
      </c>
      <c r="Z2748" s="5">
        <v>204.74</v>
      </c>
    </row>
    <row r="2749" spans="1:26">
      <c r="A2749">
        <v>2748</v>
      </c>
      <c r="B2749">
        <v>904</v>
      </c>
      <c r="C2749" s="2">
        <v>46237</v>
      </c>
      <c r="D2749" t="s">
        <v>46</v>
      </c>
      <c r="E2749">
        <v>8</v>
      </c>
      <c r="F2749" s="3">
        <v>8.9600000000000009</v>
      </c>
      <c r="G2749" t="s">
        <v>27</v>
      </c>
      <c r="H2749">
        <v>58</v>
      </c>
      <c r="I2749" t="s">
        <v>34</v>
      </c>
      <c r="J2749" s="4">
        <v>61.1</v>
      </c>
      <c r="K2749" s="4">
        <v>154.69999999999999</v>
      </c>
      <c r="L2749" s="4">
        <v>29.1</v>
      </c>
      <c r="M2749">
        <v>13</v>
      </c>
      <c r="N2749" t="s">
        <v>61</v>
      </c>
      <c r="O2749">
        <v>4</v>
      </c>
      <c r="P2749" s="4">
        <v>1070.4000000000001</v>
      </c>
      <c r="Q2749" t="s">
        <v>30</v>
      </c>
      <c r="R2749">
        <v>1</v>
      </c>
      <c r="S2749" t="s">
        <v>44</v>
      </c>
      <c r="T2749">
        <v>0</v>
      </c>
      <c r="U2749">
        <v>0</v>
      </c>
      <c r="V2749" t="s">
        <v>32</v>
      </c>
      <c r="W2749" t="s">
        <v>49</v>
      </c>
      <c r="X2749" s="4">
        <v>7.2</v>
      </c>
      <c r="Y2749">
        <v>8</v>
      </c>
      <c r="Z2749" s="5">
        <v>187.79</v>
      </c>
    </row>
    <row r="2750" spans="1:26">
      <c r="A2750">
        <v>2749</v>
      </c>
      <c r="B2750">
        <v>904</v>
      </c>
      <c r="C2750" s="2">
        <v>46237</v>
      </c>
      <c r="D2750" t="s">
        <v>46</v>
      </c>
      <c r="E2750">
        <v>8</v>
      </c>
      <c r="F2750" s="3">
        <v>9.23</v>
      </c>
      <c r="G2750" t="s">
        <v>27</v>
      </c>
      <c r="H2750">
        <v>69</v>
      </c>
      <c r="I2750" t="s">
        <v>34</v>
      </c>
      <c r="J2750" s="4">
        <v>64.099999999999994</v>
      </c>
      <c r="K2750" s="4">
        <v>82.8</v>
      </c>
      <c r="L2750" s="4">
        <v>14.2</v>
      </c>
      <c r="M2750">
        <v>15</v>
      </c>
      <c r="N2750" t="s">
        <v>61</v>
      </c>
      <c r="O2750">
        <v>4</v>
      </c>
      <c r="P2750" s="4">
        <v>1070.4000000000001</v>
      </c>
      <c r="Q2750" t="s">
        <v>30</v>
      </c>
      <c r="R2750">
        <v>1</v>
      </c>
      <c r="S2750" t="s">
        <v>44</v>
      </c>
      <c r="T2750">
        <v>0</v>
      </c>
      <c r="U2750">
        <v>0</v>
      </c>
      <c r="V2750" t="s">
        <v>32</v>
      </c>
      <c r="W2750" t="s">
        <v>49</v>
      </c>
      <c r="X2750" s="4">
        <v>6.6</v>
      </c>
      <c r="Y2750">
        <v>8</v>
      </c>
      <c r="Z2750" s="5">
        <v>138.29</v>
      </c>
    </row>
    <row r="2751" spans="1:26">
      <c r="A2751">
        <v>2750</v>
      </c>
      <c r="B2751">
        <v>904</v>
      </c>
      <c r="C2751" s="2">
        <v>46237</v>
      </c>
      <c r="D2751" t="s">
        <v>46</v>
      </c>
      <c r="E2751">
        <v>8</v>
      </c>
      <c r="F2751" s="3">
        <v>8.99</v>
      </c>
      <c r="G2751" t="s">
        <v>27</v>
      </c>
      <c r="H2751">
        <v>18</v>
      </c>
      <c r="I2751" t="s">
        <v>34</v>
      </c>
      <c r="J2751" s="4">
        <v>65.3</v>
      </c>
      <c r="K2751" s="4">
        <v>200</v>
      </c>
      <c r="L2751" s="4">
        <v>33</v>
      </c>
      <c r="M2751">
        <v>7</v>
      </c>
      <c r="N2751" t="s">
        <v>61</v>
      </c>
      <c r="O2751">
        <v>4</v>
      </c>
      <c r="P2751" s="4">
        <v>1070.4000000000001</v>
      </c>
      <c r="Q2751" t="s">
        <v>30</v>
      </c>
      <c r="R2751">
        <v>1</v>
      </c>
      <c r="S2751" t="s">
        <v>44</v>
      </c>
      <c r="T2751">
        <v>0</v>
      </c>
      <c r="U2751">
        <v>0</v>
      </c>
      <c r="V2751" t="s">
        <v>32</v>
      </c>
      <c r="W2751" t="s">
        <v>49</v>
      </c>
      <c r="X2751" s="4">
        <v>9.1999999999999993</v>
      </c>
      <c r="Y2751">
        <v>4</v>
      </c>
      <c r="Z2751" s="5">
        <v>119.65</v>
      </c>
    </row>
    <row r="2752" spans="1:26">
      <c r="A2752">
        <v>2751</v>
      </c>
      <c r="B2752">
        <v>904</v>
      </c>
      <c r="C2752" s="2">
        <v>46237</v>
      </c>
      <c r="D2752" t="s">
        <v>46</v>
      </c>
      <c r="E2752">
        <v>8</v>
      </c>
      <c r="F2752" s="3">
        <v>9.01</v>
      </c>
      <c r="G2752" t="s">
        <v>27</v>
      </c>
      <c r="H2752">
        <v>63</v>
      </c>
      <c r="I2752" t="s">
        <v>34</v>
      </c>
      <c r="J2752" s="4">
        <v>66.099999999999994</v>
      </c>
      <c r="K2752" s="4">
        <v>171.9</v>
      </c>
      <c r="L2752" s="4">
        <v>27.6</v>
      </c>
      <c r="M2752">
        <v>15</v>
      </c>
      <c r="N2752" t="s">
        <v>61</v>
      </c>
      <c r="O2752">
        <v>4</v>
      </c>
      <c r="P2752" s="4">
        <v>1070.4000000000001</v>
      </c>
      <c r="Q2752" t="s">
        <v>30</v>
      </c>
      <c r="R2752">
        <v>1</v>
      </c>
      <c r="S2752" t="s">
        <v>44</v>
      </c>
      <c r="T2752">
        <v>0</v>
      </c>
      <c r="U2752">
        <v>0</v>
      </c>
      <c r="V2752" t="s">
        <v>32</v>
      </c>
      <c r="W2752" t="s">
        <v>49</v>
      </c>
      <c r="X2752" s="4">
        <v>3.6</v>
      </c>
      <c r="Y2752">
        <v>4</v>
      </c>
      <c r="Z2752" s="5">
        <v>126.6</v>
      </c>
    </row>
    <row r="2753" spans="1:26">
      <c r="A2753">
        <v>2752</v>
      </c>
      <c r="B2753">
        <v>905</v>
      </c>
      <c r="C2753" s="2">
        <v>46207</v>
      </c>
      <c r="D2753" t="s">
        <v>40</v>
      </c>
      <c r="E2753">
        <v>7</v>
      </c>
      <c r="F2753" s="3">
        <v>10.99</v>
      </c>
      <c r="G2753" t="s">
        <v>27</v>
      </c>
      <c r="H2753">
        <v>60</v>
      </c>
      <c r="I2753" t="s">
        <v>28</v>
      </c>
      <c r="J2753" s="4">
        <v>66.400000000000006</v>
      </c>
      <c r="K2753" s="4">
        <v>149.6</v>
      </c>
      <c r="L2753" s="4">
        <v>24</v>
      </c>
      <c r="M2753">
        <v>18</v>
      </c>
      <c r="N2753" t="s">
        <v>59</v>
      </c>
      <c r="O2753">
        <v>2</v>
      </c>
      <c r="P2753" s="4">
        <v>1088.4000000000001</v>
      </c>
      <c r="Q2753" t="s">
        <v>48</v>
      </c>
      <c r="R2753">
        <v>0</v>
      </c>
      <c r="S2753" t="s">
        <v>44</v>
      </c>
      <c r="T2753">
        <v>1</v>
      </c>
      <c r="U2753">
        <v>1</v>
      </c>
      <c r="V2753" t="s">
        <v>32</v>
      </c>
      <c r="W2753" t="s">
        <v>33</v>
      </c>
      <c r="X2753" s="4">
        <v>5.5</v>
      </c>
      <c r="Y2753">
        <v>8</v>
      </c>
      <c r="Z2753" s="5">
        <v>176.03</v>
      </c>
    </row>
    <row r="2754" spans="1:26">
      <c r="A2754">
        <v>2753</v>
      </c>
      <c r="B2754">
        <v>905</v>
      </c>
      <c r="C2754" s="2">
        <v>46207</v>
      </c>
      <c r="D2754" t="s">
        <v>40</v>
      </c>
      <c r="E2754">
        <v>7</v>
      </c>
      <c r="F2754" s="3">
        <v>11.11</v>
      </c>
      <c r="G2754" t="s">
        <v>36</v>
      </c>
      <c r="H2754">
        <v>68</v>
      </c>
      <c r="I2754" t="s">
        <v>34</v>
      </c>
      <c r="J2754" s="4">
        <v>64.7</v>
      </c>
      <c r="K2754" s="4">
        <v>227.5</v>
      </c>
      <c r="L2754" s="4">
        <v>38.5</v>
      </c>
      <c r="M2754">
        <v>19</v>
      </c>
      <c r="N2754" t="s">
        <v>59</v>
      </c>
      <c r="O2754">
        <v>2</v>
      </c>
      <c r="P2754" s="4">
        <v>1088.4000000000001</v>
      </c>
      <c r="Q2754" t="s">
        <v>48</v>
      </c>
      <c r="R2754">
        <v>0</v>
      </c>
      <c r="S2754" t="s">
        <v>44</v>
      </c>
      <c r="T2754">
        <v>1</v>
      </c>
      <c r="U2754">
        <v>1</v>
      </c>
      <c r="V2754" t="s">
        <v>32</v>
      </c>
      <c r="W2754" t="s">
        <v>33</v>
      </c>
      <c r="X2754" s="4">
        <v>8.1</v>
      </c>
      <c r="Y2754">
        <v>5</v>
      </c>
      <c r="Z2754" s="5">
        <v>279.85000000000002</v>
      </c>
    </row>
    <row r="2755" spans="1:26">
      <c r="A2755">
        <v>2754</v>
      </c>
      <c r="B2755">
        <v>906</v>
      </c>
      <c r="C2755" s="2">
        <v>46148</v>
      </c>
      <c r="D2755" t="s">
        <v>52</v>
      </c>
      <c r="E2755">
        <v>5</v>
      </c>
      <c r="F2755" s="3">
        <v>9.4600000000000009</v>
      </c>
      <c r="G2755" t="s">
        <v>27</v>
      </c>
      <c r="H2755">
        <v>61</v>
      </c>
      <c r="I2755" t="s">
        <v>28</v>
      </c>
      <c r="J2755" s="4">
        <v>65.8</v>
      </c>
      <c r="K2755" s="4">
        <v>210</v>
      </c>
      <c r="L2755" s="4">
        <v>34.299999999999997</v>
      </c>
      <c r="M2755">
        <v>20</v>
      </c>
      <c r="N2755" t="s">
        <v>50</v>
      </c>
      <c r="O2755">
        <v>2</v>
      </c>
      <c r="P2755" s="4">
        <v>331.2</v>
      </c>
      <c r="Q2755" t="s">
        <v>48</v>
      </c>
      <c r="R2755">
        <v>1</v>
      </c>
      <c r="S2755" t="s">
        <v>38</v>
      </c>
      <c r="T2755">
        <v>1</v>
      </c>
      <c r="U2755">
        <v>1</v>
      </c>
      <c r="V2755" t="s">
        <v>64</v>
      </c>
      <c r="W2755" t="s">
        <v>33</v>
      </c>
      <c r="X2755" s="4">
        <v>9.5</v>
      </c>
      <c r="Y2755">
        <v>9</v>
      </c>
      <c r="Z2755" s="5">
        <v>500.81</v>
      </c>
    </row>
    <row r="2756" spans="1:26">
      <c r="A2756">
        <v>2755</v>
      </c>
      <c r="B2756">
        <v>906</v>
      </c>
      <c r="C2756" s="2">
        <v>46148</v>
      </c>
      <c r="D2756" t="s">
        <v>52</v>
      </c>
      <c r="E2756">
        <v>5</v>
      </c>
      <c r="F2756" s="3">
        <v>9.64</v>
      </c>
      <c r="G2756" t="s">
        <v>27</v>
      </c>
      <c r="H2756">
        <v>54</v>
      </c>
      <c r="I2756" t="s">
        <v>28</v>
      </c>
      <c r="J2756" s="4">
        <v>71.400000000000006</v>
      </c>
      <c r="K2756" s="4">
        <v>246</v>
      </c>
      <c r="L2756" s="4">
        <v>33.6</v>
      </c>
      <c r="M2756">
        <v>20</v>
      </c>
      <c r="N2756" t="s">
        <v>50</v>
      </c>
      <c r="O2756">
        <v>2</v>
      </c>
      <c r="P2756" s="4">
        <v>331.2</v>
      </c>
      <c r="Q2756" t="s">
        <v>48</v>
      </c>
      <c r="R2756">
        <v>1</v>
      </c>
      <c r="S2756" t="s">
        <v>38</v>
      </c>
      <c r="T2756">
        <v>1</v>
      </c>
      <c r="U2756">
        <v>1</v>
      </c>
      <c r="V2756" t="s">
        <v>64</v>
      </c>
      <c r="W2756" t="s">
        <v>33</v>
      </c>
      <c r="X2756" s="4">
        <v>8.6999999999999993</v>
      </c>
      <c r="Y2756">
        <v>12</v>
      </c>
      <c r="Z2756" s="5">
        <v>468.01</v>
      </c>
    </row>
    <row r="2757" spans="1:26">
      <c r="A2757">
        <v>2756</v>
      </c>
      <c r="B2757">
        <v>907</v>
      </c>
      <c r="C2757" s="2">
        <v>46212</v>
      </c>
      <c r="D2757" t="s">
        <v>55</v>
      </c>
      <c r="E2757">
        <v>7</v>
      </c>
      <c r="F2757" s="3">
        <v>9.75</v>
      </c>
      <c r="G2757" t="s">
        <v>27</v>
      </c>
      <c r="H2757">
        <v>55</v>
      </c>
      <c r="I2757" t="s">
        <v>28</v>
      </c>
      <c r="J2757" s="4">
        <v>67.900000000000006</v>
      </c>
      <c r="K2757" s="4">
        <v>183.7</v>
      </c>
      <c r="L2757" s="4">
        <v>28.3</v>
      </c>
      <c r="M2757">
        <v>16</v>
      </c>
      <c r="N2757" t="s">
        <v>66</v>
      </c>
      <c r="O2757">
        <v>1</v>
      </c>
      <c r="P2757" s="4">
        <v>874.4</v>
      </c>
      <c r="Q2757" t="s">
        <v>42</v>
      </c>
      <c r="R2757">
        <v>1</v>
      </c>
      <c r="S2757" t="s">
        <v>44</v>
      </c>
      <c r="T2757">
        <v>0</v>
      </c>
      <c r="U2757">
        <v>0</v>
      </c>
      <c r="V2757" t="s">
        <v>32</v>
      </c>
      <c r="W2757" t="s">
        <v>39</v>
      </c>
      <c r="X2757" s="4">
        <v>7.3</v>
      </c>
      <c r="Y2757">
        <v>9</v>
      </c>
      <c r="Z2757" s="5">
        <v>139.94999999999999</v>
      </c>
    </row>
    <row r="2758" spans="1:26">
      <c r="A2758">
        <v>2757</v>
      </c>
      <c r="B2758">
        <v>908</v>
      </c>
      <c r="C2758" s="2">
        <v>46068</v>
      </c>
      <c r="D2758" t="s">
        <v>58</v>
      </c>
      <c r="E2758">
        <v>2</v>
      </c>
      <c r="F2758" s="3">
        <v>13.53</v>
      </c>
      <c r="G2758" t="s">
        <v>36</v>
      </c>
      <c r="H2758">
        <v>9</v>
      </c>
      <c r="I2758" t="s">
        <v>28</v>
      </c>
      <c r="J2758" s="4">
        <v>60.4</v>
      </c>
      <c r="K2758" s="4">
        <v>93.9</v>
      </c>
      <c r="L2758" s="4">
        <v>18.100000000000001</v>
      </c>
      <c r="M2758">
        <v>18</v>
      </c>
      <c r="N2758" t="s">
        <v>54</v>
      </c>
      <c r="O2758">
        <v>6</v>
      </c>
      <c r="P2758" s="4">
        <v>2127.3000000000002</v>
      </c>
      <c r="Q2758" t="s">
        <v>48</v>
      </c>
      <c r="R2758">
        <v>1</v>
      </c>
      <c r="S2758" t="s">
        <v>44</v>
      </c>
      <c r="T2758">
        <v>0</v>
      </c>
      <c r="U2758">
        <v>0</v>
      </c>
      <c r="V2758" t="s">
        <v>32</v>
      </c>
      <c r="W2758" t="s">
        <v>43</v>
      </c>
      <c r="X2758" s="4">
        <v>6.8</v>
      </c>
      <c r="Y2758">
        <v>5</v>
      </c>
      <c r="Z2758" s="5">
        <v>241.03</v>
      </c>
    </row>
    <row r="2759" spans="1:26">
      <c r="A2759">
        <v>2758</v>
      </c>
      <c r="B2759">
        <v>908</v>
      </c>
      <c r="C2759" s="2">
        <v>46068</v>
      </c>
      <c r="D2759" t="s">
        <v>58</v>
      </c>
      <c r="E2759">
        <v>2</v>
      </c>
      <c r="F2759" s="3">
        <v>13.19</v>
      </c>
      <c r="G2759" t="s">
        <v>36</v>
      </c>
      <c r="H2759">
        <v>52</v>
      </c>
      <c r="I2759" t="s">
        <v>28</v>
      </c>
      <c r="J2759" s="4">
        <v>71.400000000000006</v>
      </c>
      <c r="K2759" s="4">
        <v>161.6</v>
      </c>
      <c r="L2759" s="4">
        <v>22.5</v>
      </c>
      <c r="M2759">
        <v>14</v>
      </c>
      <c r="N2759" t="s">
        <v>54</v>
      </c>
      <c r="O2759">
        <v>6</v>
      </c>
      <c r="P2759" s="4">
        <v>2127.3000000000002</v>
      </c>
      <c r="Q2759" t="s">
        <v>48</v>
      </c>
      <c r="R2759">
        <v>1</v>
      </c>
      <c r="S2759" t="s">
        <v>44</v>
      </c>
      <c r="T2759">
        <v>0</v>
      </c>
      <c r="U2759">
        <v>0</v>
      </c>
      <c r="V2759" t="s">
        <v>32</v>
      </c>
      <c r="W2759" t="s">
        <v>43</v>
      </c>
      <c r="X2759" s="4">
        <v>6.2</v>
      </c>
      <c r="Y2759">
        <v>7</v>
      </c>
      <c r="Z2759" s="5">
        <v>178.49</v>
      </c>
    </row>
    <row r="2760" spans="1:26">
      <c r="A2760">
        <v>2759</v>
      </c>
      <c r="B2760">
        <v>908</v>
      </c>
      <c r="C2760" s="2">
        <v>46068</v>
      </c>
      <c r="D2760" t="s">
        <v>58</v>
      </c>
      <c r="E2760">
        <v>2</v>
      </c>
      <c r="F2760" s="3">
        <v>13.48</v>
      </c>
      <c r="G2760" t="s">
        <v>36</v>
      </c>
      <c r="H2760">
        <v>7</v>
      </c>
      <c r="I2760" t="s">
        <v>34</v>
      </c>
      <c r="J2760" s="4">
        <v>57.9</v>
      </c>
      <c r="K2760" s="4">
        <v>91.6</v>
      </c>
      <c r="L2760" s="4">
        <v>19.3</v>
      </c>
      <c r="M2760">
        <v>13</v>
      </c>
      <c r="N2760" t="s">
        <v>54</v>
      </c>
      <c r="O2760">
        <v>6</v>
      </c>
      <c r="P2760" s="4">
        <v>2127.3000000000002</v>
      </c>
      <c r="Q2760" t="s">
        <v>48</v>
      </c>
      <c r="R2760">
        <v>1</v>
      </c>
      <c r="S2760" t="s">
        <v>44</v>
      </c>
      <c r="T2760">
        <v>0</v>
      </c>
      <c r="U2760">
        <v>0</v>
      </c>
      <c r="V2760" t="s">
        <v>32</v>
      </c>
      <c r="W2760" t="s">
        <v>43</v>
      </c>
      <c r="X2760" s="4">
        <v>7.3</v>
      </c>
      <c r="Y2760">
        <v>5</v>
      </c>
      <c r="Z2760" s="5">
        <v>163.91</v>
      </c>
    </row>
    <row r="2761" spans="1:26">
      <c r="A2761">
        <v>2760</v>
      </c>
      <c r="B2761">
        <v>908</v>
      </c>
      <c r="C2761" s="2">
        <v>46068</v>
      </c>
      <c r="D2761" t="s">
        <v>58</v>
      </c>
      <c r="E2761">
        <v>2</v>
      </c>
      <c r="F2761" s="3">
        <v>13.32</v>
      </c>
      <c r="G2761" t="s">
        <v>36</v>
      </c>
      <c r="H2761">
        <v>68</v>
      </c>
      <c r="I2761" t="s">
        <v>34</v>
      </c>
      <c r="J2761" s="4">
        <v>66.400000000000006</v>
      </c>
      <c r="K2761" s="4">
        <v>178.6</v>
      </c>
      <c r="L2761" s="4">
        <v>28.6</v>
      </c>
      <c r="M2761">
        <v>18</v>
      </c>
      <c r="N2761" t="s">
        <v>54</v>
      </c>
      <c r="O2761">
        <v>6</v>
      </c>
      <c r="P2761" s="4">
        <v>2127.3000000000002</v>
      </c>
      <c r="Q2761" t="s">
        <v>48</v>
      </c>
      <c r="R2761">
        <v>1</v>
      </c>
      <c r="S2761" t="s">
        <v>44</v>
      </c>
      <c r="T2761">
        <v>0</v>
      </c>
      <c r="U2761">
        <v>0</v>
      </c>
      <c r="V2761" t="s">
        <v>32</v>
      </c>
      <c r="W2761" t="s">
        <v>43</v>
      </c>
      <c r="X2761" s="4">
        <v>7.9</v>
      </c>
      <c r="Y2761">
        <v>3</v>
      </c>
      <c r="Z2761" s="5">
        <v>349.16</v>
      </c>
    </row>
    <row r="2762" spans="1:26">
      <c r="A2762">
        <v>2761</v>
      </c>
      <c r="B2762">
        <v>908</v>
      </c>
      <c r="C2762" s="2">
        <v>46068</v>
      </c>
      <c r="D2762" t="s">
        <v>58</v>
      </c>
      <c r="E2762">
        <v>2</v>
      </c>
      <c r="F2762" s="3">
        <v>13.16</v>
      </c>
      <c r="G2762" t="s">
        <v>36</v>
      </c>
      <c r="H2762">
        <v>7</v>
      </c>
      <c r="I2762" t="s">
        <v>28</v>
      </c>
      <c r="J2762" s="4">
        <v>59.8</v>
      </c>
      <c r="K2762" s="4">
        <v>80.8</v>
      </c>
      <c r="L2762" s="4">
        <v>15.7</v>
      </c>
      <c r="M2762">
        <v>14</v>
      </c>
      <c r="N2762" t="s">
        <v>54</v>
      </c>
      <c r="O2762">
        <v>6</v>
      </c>
      <c r="P2762" s="4">
        <v>2127.3000000000002</v>
      </c>
      <c r="Q2762" t="s">
        <v>48</v>
      </c>
      <c r="R2762">
        <v>1</v>
      </c>
      <c r="S2762" t="s">
        <v>44</v>
      </c>
      <c r="T2762">
        <v>0</v>
      </c>
      <c r="U2762">
        <v>0</v>
      </c>
      <c r="V2762" t="s">
        <v>32</v>
      </c>
      <c r="W2762" t="s">
        <v>43</v>
      </c>
      <c r="X2762" s="4">
        <v>9.1</v>
      </c>
      <c r="Y2762">
        <v>7</v>
      </c>
      <c r="Z2762" s="5">
        <v>219.36</v>
      </c>
    </row>
    <row r="2763" spans="1:26">
      <c r="A2763">
        <v>2762</v>
      </c>
      <c r="B2763">
        <v>908</v>
      </c>
      <c r="C2763" s="2">
        <v>46068</v>
      </c>
      <c r="D2763" t="s">
        <v>58</v>
      </c>
      <c r="E2763">
        <v>2</v>
      </c>
      <c r="F2763" s="3">
        <v>13.37</v>
      </c>
      <c r="G2763" t="s">
        <v>36</v>
      </c>
      <c r="H2763">
        <v>32</v>
      </c>
      <c r="I2763" t="s">
        <v>28</v>
      </c>
      <c r="J2763" s="4">
        <v>63.7</v>
      </c>
      <c r="K2763" s="4">
        <v>161.6</v>
      </c>
      <c r="L2763" s="4">
        <v>27.7</v>
      </c>
      <c r="M2763">
        <v>14</v>
      </c>
      <c r="N2763" t="s">
        <v>54</v>
      </c>
      <c r="O2763">
        <v>6</v>
      </c>
      <c r="P2763" s="4">
        <v>2127.3000000000002</v>
      </c>
      <c r="Q2763" t="s">
        <v>48</v>
      </c>
      <c r="R2763">
        <v>1</v>
      </c>
      <c r="S2763" t="s">
        <v>44</v>
      </c>
      <c r="T2763">
        <v>0</v>
      </c>
      <c r="U2763">
        <v>0</v>
      </c>
      <c r="V2763" t="s">
        <v>32</v>
      </c>
      <c r="W2763" t="s">
        <v>43</v>
      </c>
      <c r="X2763" s="4">
        <v>8.9</v>
      </c>
      <c r="Y2763">
        <v>7</v>
      </c>
      <c r="Z2763" s="5">
        <v>198.34</v>
      </c>
    </row>
    <row r="2764" spans="1:26">
      <c r="A2764">
        <v>2763</v>
      </c>
      <c r="B2764">
        <v>909</v>
      </c>
      <c r="C2764" s="2">
        <v>46093</v>
      </c>
      <c r="D2764" t="s">
        <v>55</v>
      </c>
      <c r="E2764">
        <v>3</v>
      </c>
      <c r="F2764" s="3">
        <v>13.25</v>
      </c>
      <c r="G2764" t="s">
        <v>36</v>
      </c>
      <c r="H2764">
        <v>44</v>
      </c>
      <c r="I2764" t="s">
        <v>28</v>
      </c>
      <c r="J2764" s="4">
        <v>69.7</v>
      </c>
      <c r="K2764" s="4">
        <v>214</v>
      </c>
      <c r="L2764" s="4">
        <v>31.1</v>
      </c>
      <c r="M2764">
        <v>14</v>
      </c>
      <c r="N2764" t="s">
        <v>29</v>
      </c>
      <c r="O2764">
        <v>2</v>
      </c>
      <c r="P2764" s="4">
        <v>2301.1</v>
      </c>
      <c r="Q2764" t="s">
        <v>42</v>
      </c>
      <c r="R2764">
        <v>1</v>
      </c>
      <c r="S2764" t="s">
        <v>44</v>
      </c>
      <c r="T2764">
        <v>0</v>
      </c>
      <c r="U2764">
        <v>0</v>
      </c>
      <c r="V2764" t="s">
        <v>32</v>
      </c>
      <c r="W2764" t="s">
        <v>39</v>
      </c>
      <c r="X2764" s="4">
        <v>10.1</v>
      </c>
      <c r="Y2764">
        <v>9</v>
      </c>
      <c r="Z2764" s="5">
        <v>304.44</v>
      </c>
    </row>
    <row r="2765" spans="1:26">
      <c r="A2765">
        <v>2764</v>
      </c>
      <c r="B2765">
        <v>909</v>
      </c>
      <c r="C2765" s="2">
        <v>46093</v>
      </c>
      <c r="D2765" t="s">
        <v>55</v>
      </c>
      <c r="E2765">
        <v>3</v>
      </c>
      <c r="F2765" s="3">
        <v>13.15</v>
      </c>
      <c r="G2765" t="s">
        <v>36</v>
      </c>
      <c r="H2765">
        <v>52</v>
      </c>
      <c r="I2765" t="s">
        <v>28</v>
      </c>
      <c r="J2765" s="4">
        <v>67.5</v>
      </c>
      <c r="K2765" s="4">
        <v>195.6</v>
      </c>
      <c r="L2765" s="4">
        <v>30.2</v>
      </c>
      <c r="M2765">
        <v>16</v>
      </c>
      <c r="N2765" t="s">
        <v>29</v>
      </c>
      <c r="O2765">
        <v>2</v>
      </c>
      <c r="P2765" s="4">
        <v>2301.1</v>
      </c>
      <c r="Q2765" t="s">
        <v>42</v>
      </c>
      <c r="R2765">
        <v>1</v>
      </c>
      <c r="S2765" t="s">
        <v>44</v>
      </c>
      <c r="T2765">
        <v>0</v>
      </c>
      <c r="U2765">
        <v>0</v>
      </c>
      <c r="V2765" t="s">
        <v>32</v>
      </c>
      <c r="W2765" t="s">
        <v>39</v>
      </c>
      <c r="X2765" s="4">
        <v>5.9</v>
      </c>
      <c r="Y2765">
        <v>12</v>
      </c>
      <c r="Z2765" s="5">
        <v>265.20999999999998</v>
      </c>
    </row>
    <row r="2766" spans="1:26">
      <c r="A2766">
        <v>2765</v>
      </c>
      <c r="B2766">
        <v>910</v>
      </c>
      <c r="C2766" s="2">
        <v>46290</v>
      </c>
      <c r="D2766" t="s">
        <v>26</v>
      </c>
      <c r="E2766">
        <v>9</v>
      </c>
      <c r="F2766" s="3">
        <v>14.71</v>
      </c>
      <c r="G2766" t="s">
        <v>36</v>
      </c>
      <c r="H2766">
        <v>64</v>
      </c>
      <c r="I2766" t="s">
        <v>28</v>
      </c>
      <c r="J2766" s="4">
        <v>69.900000000000006</v>
      </c>
      <c r="K2766" s="4">
        <v>175.6</v>
      </c>
      <c r="L2766" s="4">
        <v>25.5</v>
      </c>
      <c r="M2766">
        <v>15</v>
      </c>
      <c r="N2766" t="s">
        <v>61</v>
      </c>
      <c r="O2766">
        <v>3</v>
      </c>
      <c r="P2766" s="4">
        <v>1399.8</v>
      </c>
      <c r="Q2766" t="s">
        <v>42</v>
      </c>
      <c r="R2766">
        <v>1</v>
      </c>
      <c r="S2766" t="s">
        <v>44</v>
      </c>
      <c r="T2766">
        <v>0</v>
      </c>
      <c r="U2766">
        <v>0</v>
      </c>
      <c r="V2766" t="s">
        <v>32</v>
      </c>
      <c r="W2766" t="s">
        <v>43</v>
      </c>
      <c r="X2766" s="4">
        <v>8.1999999999999993</v>
      </c>
      <c r="Y2766">
        <v>6</v>
      </c>
      <c r="Z2766" s="5">
        <v>214.46</v>
      </c>
    </row>
    <row r="2767" spans="1:26">
      <c r="A2767">
        <v>2766</v>
      </c>
      <c r="B2767">
        <v>910</v>
      </c>
      <c r="C2767" s="2">
        <v>46290</v>
      </c>
      <c r="D2767" t="s">
        <v>26</v>
      </c>
      <c r="E2767">
        <v>9</v>
      </c>
      <c r="F2767" s="3">
        <v>14.58</v>
      </c>
      <c r="G2767" t="s">
        <v>36</v>
      </c>
      <c r="H2767">
        <v>32</v>
      </c>
      <c r="I2767" t="s">
        <v>34</v>
      </c>
      <c r="J2767" s="4">
        <v>65</v>
      </c>
      <c r="K2767" s="4">
        <v>132.4</v>
      </c>
      <c r="L2767" s="4">
        <v>22</v>
      </c>
      <c r="M2767">
        <v>16</v>
      </c>
      <c r="N2767" t="s">
        <v>61</v>
      </c>
      <c r="O2767">
        <v>3</v>
      </c>
      <c r="P2767" s="4">
        <v>1399.8</v>
      </c>
      <c r="Q2767" t="s">
        <v>42</v>
      </c>
      <c r="R2767">
        <v>1</v>
      </c>
      <c r="S2767" t="s">
        <v>44</v>
      </c>
      <c r="T2767">
        <v>0</v>
      </c>
      <c r="U2767">
        <v>0</v>
      </c>
      <c r="V2767" t="s">
        <v>32</v>
      </c>
      <c r="W2767" t="s">
        <v>43</v>
      </c>
      <c r="X2767" s="4">
        <v>6.9</v>
      </c>
      <c r="Y2767">
        <v>9</v>
      </c>
      <c r="Z2767" s="5">
        <v>182.34</v>
      </c>
    </row>
    <row r="2768" spans="1:26">
      <c r="A2768">
        <v>2767</v>
      </c>
      <c r="B2768">
        <v>910</v>
      </c>
      <c r="C2768" s="2">
        <v>46290</v>
      </c>
      <c r="D2768" t="s">
        <v>26</v>
      </c>
      <c r="E2768">
        <v>9</v>
      </c>
      <c r="F2768" s="3">
        <v>14.78</v>
      </c>
      <c r="G2768" t="s">
        <v>36</v>
      </c>
      <c r="H2768">
        <v>12</v>
      </c>
      <c r="I2768" t="s">
        <v>34</v>
      </c>
      <c r="J2768" s="4">
        <v>62.4</v>
      </c>
      <c r="K2768" s="4">
        <v>137.4</v>
      </c>
      <c r="L2768" s="4">
        <v>24.9</v>
      </c>
      <c r="M2768">
        <v>13</v>
      </c>
      <c r="N2768" t="s">
        <v>61</v>
      </c>
      <c r="O2768">
        <v>3</v>
      </c>
      <c r="P2768" s="4">
        <v>1399.8</v>
      </c>
      <c r="Q2768" t="s">
        <v>42</v>
      </c>
      <c r="R2768">
        <v>1</v>
      </c>
      <c r="S2768" t="s">
        <v>44</v>
      </c>
      <c r="T2768">
        <v>0</v>
      </c>
      <c r="U2768">
        <v>0</v>
      </c>
      <c r="V2768" t="s">
        <v>32</v>
      </c>
      <c r="W2768" t="s">
        <v>43</v>
      </c>
      <c r="X2768" s="4">
        <v>7.8</v>
      </c>
      <c r="Y2768">
        <v>9</v>
      </c>
      <c r="Z2768" s="5">
        <v>232.12</v>
      </c>
    </row>
    <row r="2769" spans="1:26">
      <c r="A2769">
        <v>2768</v>
      </c>
      <c r="B2769">
        <v>911</v>
      </c>
      <c r="C2769" s="2">
        <v>46384</v>
      </c>
      <c r="D2769" t="s">
        <v>46</v>
      </c>
      <c r="E2769">
        <v>12</v>
      </c>
      <c r="F2769" s="3">
        <v>10.75</v>
      </c>
      <c r="G2769" t="s">
        <v>27</v>
      </c>
      <c r="H2769">
        <v>3</v>
      </c>
      <c r="I2769" t="s">
        <v>28</v>
      </c>
      <c r="J2769" s="4">
        <v>53.1</v>
      </c>
      <c r="K2769" s="4">
        <v>103.4</v>
      </c>
      <c r="L2769" s="4">
        <v>25.6</v>
      </c>
      <c r="M2769">
        <v>11</v>
      </c>
      <c r="N2769" t="s">
        <v>47</v>
      </c>
      <c r="O2769">
        <v>5</v>
      </c>
      <c r="P2769" s="4">
        <v>56.8</v>
      </c>
      <c r="Q2769" t="s">
        <v>42</v>
      </c>
      <c r="R2769">
        <v>0</v>
      </c>
      <c r="S2769" t="s">
        <v>44</v>
      </c>
      <c r="T2769">
        <v>0</v>
      </c>
      <c r="U2769">
        <v>0</v>
      </c>
      <c r="V2769" t="s">
        <v>32</v>
      </c>
      <c r="W2769" t="s">
        <v>39</v>
      </c>
      <c r="X2769" s="4">
        <v>7.5</v>
      </c>
      <c r="Y2769">
        <v>5</v>
      </c>
      <c r="Z2769" s="5">
        <v>199.92</v>
      </c>
    </row>
    <row r="2770" spans="1:26">
      <c r="A2770">
        <v>2769</v>
      </c>
      <c r="B2770">
        <v>911</v>
      </c>
      <c r="C2770" s="2">
        <v>46384</v>
      </c>
      <c r="D2770" t="s">
        <v>46</v>
      </c>
      <c r="E2770">
        <v>12</v>
      </c>
      <c r="F2770" s="3">
        <v>10.9</v>
      </c>
      <c r="G2770" t="s">
        <v>27</v>
      </c>
      <c r="H2770">
        <v>53</v>
      </c>
      <c r="I2770" t="s">
        <v>34</v>
      </c>
      <c r="J2770" s="4">
        <v>68.8</v>
      </c>
      <c r="K2770" s="4">
        <v>95.4</v>
      </c>
      <c r="L2770" s="4">
        <v>13.9</v>
      </c>
      <c r="M2770">
        <v>19</v>
      </c>
      <c r="N2770" t="s">
        <v>47</v>
      </c>
      <c r="O2770">
        <v>5</v>
      </c>
      <c r="P2770" s="4">
        <v>56.8</v>
      </c>
      <c r="Q2770" t="s">
        <v>42</v>
      </c>
      <c r="R2770">
        <v>0</v>
      </c>
      <c r="S2770" t="s">
        <v>44</v>
      </c>
      <c r="T2770">
        <v>0</v>
      </c>
      <c r="U2770">
        <v>0</v>
      </c>
      <c r="V2770" t="s">
        <v>32</v>
      </c>
      <c r="W2770" t="s">
        <v>39</v>
      </c>
      <c r="X2770" s="4">
        <v>9.6999999999999993</v>
      </c>
      <c r="Y2770">
        <v>9</v>
      </c>
      <c r="Z2770" s="5">
        <v>204.77</v>
      </c>
    </row>
    <row r="2771" spans="1:26">
      <c r="A2771">
        <v>2770</v>
      </c>
      <c r="B2771">
        <v>911</v>
      </c>
      <c r="C2771" s="2">
        <v>46384</v>
      </c>
      <c r="D2771" t="s">
        <v>46</v>
      </c>
      <c r="E2771">
        <v>12</v>
      </c>
      <c r="F2771" s="3">
        <v>11.05</v>
      </c>
      <c r="G2771" t="s">
        <v>36</v>
      </c>
      <c r="H2771">
        <v>39</v>
      </c>
      <c r="I2771" t="s">
        <v>34</v>
      </c>
      <c r="J2771" s="4">
        <v>66.2</v>
      </c>
      <c r="K2771" s="4">
        <v>135.19999999999999</v>
      </c>
      <c r="L2771" s="4">
        <v>21.7</v>
      </c>
      <c r="M2771">
        <v>16</v>
      </c>
      <c r="N2771" t="s">
        <v>47</v>
      </c>
      <c r="O2771">
        <v>5</v>
      </c>
      <c r="P2771" s="4">
        <v>56.8</v>
      </c>
      <c r="Q2771" t="s">
        <v>42</v>
      </c>
      <c r="R2771">
        <v>0</v>
      </c>
      <c r="S2771" t="s">
        <v>44</v>
      </c>
      <c r="T2771">
        <v>0</v>
      </c>
      <c r="U2771">
        <v>0</v>
      </c>
      <c r="V2771" t="s">
        <v>32</v>
      </c>
      <c r="W2771" t="s">
        <v>39</v>
      </c>
      <c r="X2771" s="4">
        <v>6.9</v>
      </c>
      <c r="Y2771">
        <v>6</v>
      </c>
      <c r="Z2771" s="5">
        <v>127.37</v>
      </c>
    </row>
    <row r="2772" spans="1:26">
      <c r="A2772">
        <v>2771</v>
      </c>
      <c r="B2772">
        <v>911</v>
      </c>
      <c r="C2772" s="2">
        <v>46384</v>
      </c>
      <c r="D2772" t="s">
        <v>46</v>
      </c>
      <c r="E2772">
        <v>12</v>
      </c>
      <c r="F2772" s="3">
        <v>10.68</v>
      </c>
      <c r="G2772" t="s">
        <v>27</v>
      </c>
      <c r="H2772">
        <v>34</v>
      </c>
      <c r="I2772" t="s">
        <v>28</v>
      </c>
      <c r="J2772" s="4">
        <v>68.099999999999994</v>
      </c>
      <c r="K2772" s="4">
        <v>160.9</v>
      </c>
      <c r="L2772" s="4">
        <v>24.4</v>
      </c>
      <c r="M2772">
        <v>15</v>
      </c>
      <c r="N2772" t="s">
        <v>47</v>
      </c>
      <c r="O2772">
        <v>5</v>
      </c>
      <c r="P2772" s="4">
        <v>56.8</v>
      </c>
      <c r="Q2772" t="s">
        <v>42</v>
      </c>
      <c r="R2772">
        <v>0</v>
      </c>
      <c r="S2772" t="s">
        <v>44</v>
      </c>
      <c r="T2772">
        <v>0</v>
      </c>
      <c r="U2772">
        <v>0</v>
      </c>
      <c r="V2772" t="s">
        <v>32</v>
      </c>
      <c r="W2772" t="s">
        <v>39</v>
      </c>
      <c r="X2772" s="4">
        <v>7.4</v>
      </c>
      <c r="Y2772">
        <v>7</v>
      </c>
      <c r="Z2772" s="5">
        <v>212.84</v>
      </c>
    </row>
    <row r="2773" spans="1:26">
      <c r="A2773">
        <v>2772</v>
      </c>
      <c r="B2773">
        <v>911</v>
      </c>
      <c r="C2773" s="2">
        <v>46384</v>
      </c>
      <c r="D2773" t="s">
        <v>46</v>
      </c>
      <c r="E2773">
        <v>12</v>
      </c>
      <c r="F2773" s="3">
        <v>10.78</v>
      </c>
      <c r="G2773" t="s">
        <v>27</v>
      </c>
      <c r="H2773">
        <v>12</v>
      </c>
      <c r="I2773" t="s">
        <v>28</v>
      </c>
      <c r="J2773" s="4">
        <v>62.1</v>
      </c>
      <c r="K2773" s="4">
        <v>122.9</v>
      </c>
      <c r="L2773" s="4">
        <v>22.3</v>
      </c>
      <c r="M2773">
        <v>13</v>
      </c>
      <c r="N2773" t="s">
        <v>47</v>
      </c>
      <c r="O2773">
        <v>5</v>
      </c>
      <c r="P2773" s="4">
        <v>56.8</v>
      </c>
      <c r="Q2773" t="s">
        <v>42</v>
      </c>
      <c r="R2773">
        <v>0</v>
      </c>
      <c r="S2773" t="s">
        <v>44</v>
      </c>
      <c r="T2773">
        <v>0</v>
      </c>
      <c r="U2773">
        <v>0</v>
      </c>
      <c r="V2773" t="s">
        <v>32</v>
      </c>
      <c r="W2773" t="s">
        <v>39</v>
      </c>
      <c r="X2773" s="4">
        <v>9.5</v>
      </c>
      <c r="Y2773">
        <v>9</v>
      </c>
      <c r="Z2773" s="5">
        <v>242.92</v>
      </c>
    </row>
    <row r="2774" spans="1:26">
      <c r="A2774">
        <v>2773</v>
      </c>
      <c r="B2774">
        <v>912</v>
      </c>
      <c r="C2774" s="2">
        <v>46044</v>
      </c>
      <c r="D2774" t="s">
        <v>55</v>
      </c>
      <c r="E2774">
        <v>1</v>
      </c>
      <c r="F2774" s="3">
        <v>9.9600000000000009</v>
      </c>
      <c r="G2774" t="s">
        <v>27</v>
      </c>
      <c r="H2774">
        <v>55</v>
      </c>
      <c r="I2774" t="s">
        <v>34</v>
      </c>
      <c r="J2774" s="4">
        <v>63.9</v>
      </c>
      <c r="K2774" s="4">
        <v>160.4</v>
      </c>
      <c r="L2774" s="4">
        <v>27.7</v>
      </c>
      <c r="M2774">
        <v>16</v>
      </c>
      <c r="N2774" t="s">
        <v>47</v>
      </c>
      <c r="O2774">
        <v>4</v>
      </c>
      <c r="P2774" s="4">
        <v>194.8</v>
      </c>
      <c r="Q2774" t="s">
        <v>42</v>
      </c>
      <c r="R2774">
        <v>0</v>
      </c>
      <c r="S2774" t="s">
        <v>38</v>
      </c>
      <c r="T2774">
        <v>0</v>
      </c>
      <c r="U2774">
        <v>0</v>
      </c>
      <c r="V2774" t="s">
        <v>32</v>
      </c>
      <c r="W2774" t="s">
        <v>49</v>
      </c>
      <c r="X2774" s="4">
        <v>7.9</v>
      </c>
      <c r="Y2774">
        <v>11</v>
      </c>
      <c r="Z2774" s="5">
        <v>212.01</v>
      </c>
    </row>
    <row r="2775" spans="1:26">
      <c r="A2775">
        <v>2774</v>
      </c>
      <c r="B2775">
        <v>912</v>
      </c>
      <c r="C2775" s="2">
        <v>46044</v>
      </c>
      <c r="D2775" t="s">
        <v>55</v>
      </c>
      <c r="E2775">
        <v>1</v>
      </c>
      <c r="F2775" s="3">
        <v>9.42</v>
      </c>
      <c r="G2775" t="s">
        <v>27</v>
      </c>
      <c r="H2775">
        <v>25</v>
      </c>
      <c r="I2775" t="s">
        <v>34</v>
      </c>
      <c r="J2775" s="4">
        <v>65.599999999999994</v>
      </c>
      <c r="K2775" s="4">
        <v>161.9</v>
      </c>
      <c r="L2775" s="4">
        <v>26.6</v>
      </c>
      <c r="M2775">
        <v>13</v>
      </c>
      <c r="N2775" t="s">
        <v>47</v>
      </c>
      <c r="O2775">
        <v>4</v>
      </c>
      <c r="P2775" s="4">
        <v>194.8</v>
      </c>
      <c r="Q2775" t="s">
        <v>42</v>
      </c>
      <c r="R2775">
        <v>0</v>
      </c>
      <c r="S2775" t="s">
        <v>38</v>
      </c>
      <c r="T2775">
        <v>0</v>
      </c>
      <c r="U2775">
        <v>0</v>
      </c>
      <c r="V2775" t="s">
        <v>32</v>
      </c>
      <c r="W2775" t="s">
        <v>49</v>
      </c>
      <c r="X2775" s="4">
        <v>4.7</v>
      </c>
      <c r="Y2775">
        <v>4</v>
      </c>
      <c r="Z2775" s="5">
        <v>110.16</v>
      </c>
    </row>
    <row r="2776" spans="1:26">
      <c r="A2776">
        <v>2775</v>
      </c>
      <c r="B2776">
        <v>912</v>
      </c>
      <c r="C2776" s="2">
        <v>46044</v>
      </c>
      <c r="D2776" t="s">
        <v>55</v>
      </c>
      <c r="E2776">
        <v>1</v>
      </c>
      <c r="F2776" s="3">
        <v>9.67</v>
      </c>
      <c r="G2776" t="s">
        <v>27</v>
      </c>
      <c r="H2776">
        <v>38</v>
      </c>
      <c r="I2776" t="s">
        <v>34</v>
      </c>
      <c r="J2776" s="4">
        <v>57.4</v>
      </c>
      <c r="K2776" s="4">
        <v>106.6</v>
      </c>
      <c r="L2776" s="4">
        <v>22.7</v>
      </c>
      <c r="M2776">
        <v>16</v>
      </c>
      <c r="N2776" t="s">
        <v>47</v>
      </c>
      <c r="O2776">
        <v>4</v>
      </c>
      <c r="P2776" s="4">
        <v>194.8</v>
      </c>
      <c r="Q2776" t="s">
        <v>42</v>
      </c>
      <c r="R2776">
        <v>0</v>
      </c>
      <c r="S2776" t="s">
        <v>38</v>
      </c>
      <c r="T2776">
        <v>0</v>
      </c>
      <c r="U2776">
        <v>0</v>
      </c>
      <c r="V2776" t="s">
        <v>32</v>
      </c>
      <c r="W2776" t="s">
        <v>49</v>
      </c>
      <c r="X2776" s="4">
        <v>11</v>
      </c>
      <c r="Y2776">
        <v>7</v>
      </c>
      <c r="Z2776" s="5">
        <v>279.45999999999998</v>
      </c>
    </row>
    <row r="2777" spans="1:26">
      <c r="A2777">
        <v>2776</v>
      </c>
      <c r="B2777">
        <v>912</v>
      </c>
      <c r="C2777" s="2">
        <v>46044</v>
      </c>
      <c r="D2777" t="s">
        <v>55</v>
      </c>
      <c r="E2777">
        <v>1</v>
      </c>
      <c r="F2777" s="3">
        <v>9.6999999999999993</v>
      </c>
      <c r="G2777" t="s">
        <v>27</v>
      </c>
      <c r="H2777">
        <v>20</v>
      </c>
      <c r="I2777" t="s">
        <v>34</v>
      </c>
      <c r="J2777" s="4">
        <v>66.7</v>
      </c>
      <c r="K2777" s="4">
        <v>138.69999999999999</v>
      </c>
      <c r="L2777" s="4">
        <v>22</v>
      </c>
      <c r="M2777">
        <v>10</v>
      </c>
      <c r="N2777" t="s">
        <v>47</v>
      </c>
      <c r="O2777">
        <v>4</v>
      </c>
      <c r="P2777" s="4">
        <v>194.8</v>
      </c>
      <c r="Q2777" t="s">
        <v>42</v>
      </c>
      <c r="R2777">
        <v>0</v>
      </c>
      <c r="S2777" t="s">
        <v>38</v>
      </c>
      <c r="T2777">
        <v>0</v>
      </c>
      <c r="U2777">
        <v>0</v>
      </c>
      <c r="V2777" t="s">
        <v>32</v>
      </c>
      <c r="W2777" t="s">
        <v>49</v>
      </c>
      <c r="X2777" s="4">
        <v>9.4</v>
      </c>
      <c r="Y2777">
        <v>11</v>
      </c>
      <c r="Z2777" s="5">
        <v>194.36</v>
      </c>
    </row>
    <row r="2778" spans="1:26">
      <c r="A2778">
        <v>2777</v>
      </c>
      <c r="B2778">
        <v>913</v>
      </c>
      <c r="C2778" s="2">
        <v>46094</v>
      </c>
      <c r="D2778" t="s">
        <v>26</v>
      </c>
      <c r="E2778">
        <v>3</v>
      </c>
      <c r="F2778" s="3">
        <v>12.64</v>
      </c>
      <c r="G2778" t="s">
        <v>36</v>
      </c>
      <c r="H2778">
        <v>60</v>
      </c>
      <c r="I2778" t="s">
        <v>28</v>
      </c>
      <c r="J2778" s="4">
        <v>70</v>
      </c>
      <c r="K2778" s="4">
        <v>192.2</v>
      </c>
      <c r="L2778" s="4">
        <v>27.8</v>
      </c>
      <c r="M2778">
        <v>11</v>
      </c>
      <c r="N2778" t="s">
        <v>54</v>
      </c>
      <c r="O2778">
        <v>4</v>
      </c>
      <c r="P2778" s="4">
        <v>1757.9</v>
      </c>
      <c r="Q2778" t="s">
        <v>30</v>
      </c>
      <c r="R2778">
        <v>0</v>
      </c>
      <c r="S2778" t="s">
        <v>44</v>
      </c>
      <c r="T2778">
        <v>0</v>
      </c>
      <c r="U2778">
        <v>0</v>
      </c>
      <c r="V2778" t="s">
        <v>32</v>
      </c>
      <c r="W2778" t="s">
        <v>39</v>
      </c>
      <c r="X2778" s="4">
        <v>8.1</v>
      </c>
      <c r="Y2778">
        <v>7</v>
      </c>
      <c r="Z2778" s="5">
        <v>186.35</v>
      </c>
    </row>
    <row r="2779" spans="1:26">
      <c r="A2779">
        <v>2778</v>
      </c>
      <c r="B2779">
        <v>913</v>
      </c>
      <c r="C2779" s="2">
        <v>46094</v>
      </c>
      <c r="D2779" t="s">
        <v>26</v>
      </c>
      <c r="E2779">
        <v>3</v>
      </c>
      <c r="F2779" s="3">
        <v>12.64</v>
      </c>
      <c r="G2779" t="s">
        <v>36</v>
      </c>
      <c r="H2779">
        <v>34</v>
      </c>
      <c r="I2779" t="s">
        <v>28</v>
      </c>
      <c r="J2779" s="4">
        <v>68.2</v>
      </c>
      <c r="K2779" s="4">
        <v>192.3</v>
      </c>
      <c r="L2779" s="4">
        <v>28.9</v>
      </c>
      <c r="M2779">
        <v>15</v>
      </c>
      <c r="N2779" t="s">
        <v>54</v>
      </c>
      <c r="O2779">
        <v>4</v>
      </c>
      <c r="P2779" s="4">
        <v>1757.9</v>
      </c>
      <c r="Q2779" t="s">
        <v>30</v>
      </c>
      <c r="R2779">
        <v>0</v>
      </c>
      <c r="S2779" t="s">
        <v>44</v>
      </c>
      <c r="T2779">
        <v>0</v>
      </c>
      <c r="U2779">
        <v>0</v>
      </c>
      <c r="V2779" t="s">
        <v>32</v>
      </c>
      <c r="W2779" t="s">
        <v>39</v>
      </c>
      <c r="X2779" s="4">
        <v>9</v>
      </c>
      <c r="Y2779">
        <v>9</v>
      </c>
      <c r="Z2779" s="5">
        <v>145.66</v>
      </c>
    </row>
    <row r="2780" spans="1:26">
      <c r="A2780">
        <v>2779</v>
      </c>
      <c r="B2780">
        <v>913</v>
      </c>
      <c r="C2780" s="2">
        <v>46094</v>
      </c>
      <c r="D2780" t="s">
        <v>26</v>
      </c>
      <c r="E2780">
        <v>3</v>
      </c>
      <c r="F2780" s="3">
        <v>12.47</v>
      </c>
      <c r="G2780" t="s">
        <v>36</v>
      </c>
      <c r="H2780">
        <v>65</v>
      </c>
      <c r="I2780" t="s">
        <v>34</v>
      </c>
      <c r="J2780" s="4">
        <v>60.5</v>
      </c>
      <c r="K2780" s="4">
        <v>133.30000000000001</v>
      </c>
      <c r="L2780" s="4">
        <v>25.5</v>
      </c>
      <c r="M2780">
        <v>12</v>
      </c>
      <c r="N2780" t="s">
        <v>54</v>
      </c>
      <c r="O2780">
        <v>4</v>
      </c>
      <c r="P2780" s="4">
        <v>1757.9</v>
      </c>
      <c r="Q2780" t="s">
        <v>30</v>
      </c>
      <c r="R2780">
        <v>0</v>
      </c>
      <c r="S2780" t="s">
        <v>44</v>
      </c>
      <c r="T2780">
        <v>0</v>
      </c>
      <c r="U2780">
        <v>0</v>
      </c>
      <c r="V2780" t="s">
        <v>32</v>
      </c>
      <c r="W2780" t="s">
        <v>39</v>
      </c>
      <c r="X2780" s="4">
        <v>5.3</v>
      </c>
      <c r="Y2780">
        <v>6</v>
      </c>
      <c r="Z2780" s="5">
        <v>110.35</v>
      </c>
    </row>
    <row r="2781" spans="1:26">
      <c r="A2781">
        <v>2780</v>
      </c>
      <c r="B2781">
        <v>913</v>
      </c>
      <c r="C2781" s="2">
        <v>46094</v>
      </c>
      <c r="D2781" t="s">
        <v>26</v>
      </c>
      <c r="E2781">
        <v>3</v>
      </c>
      <c r="F2781" s="3">
        <v>12.37</v>
      </c>
      <c r="G2781" t="s">
        <v>36</v>
      </c>
      <c r="H2781">
        <v>65</v>
      </c>
      <c r="I2781" t="s">
        <v>28</v>
      </c>
      <c r="J2781" s="4">
        <v>67</v>
      </c>
      <c r="K2781" s="4">
        <v>185.7</v>
      </c>
      <c r="L2781" s="4">
        <v>28.9</v>
      </c>
      <c r="M2781">
        <v>13</v>
      </c>
      <c r="N2781" t="s">
        <v>54</v>
      </c>
      <c r="O2781">
        <v>4</v>
      </c>
      <c r="P2781" s="4">
        <v>1757.9</v>
      </c>
      <c r="Q2781" t="s">
        <v>30</v>
      </c>
      <c r="R2781">
        <v>0</v>
      </c>
      <c r="S2781" t="s">
        <v>44</v>
      </c>
      <c r="T2781">
        <v>0</v>
      </c>
      <c r="U2781">
        <v>0</v>
      </c>
      <c r="V2781" t="s">
        <v>32</v>
      </c>
      <c r="W2781" t="s">
        <v>39</v>
      </c>
      <c r="X2781" s="4">
        <v>7.6</v>
      </c>
      <c r="Y2781">
        <v>7</v>
      </c>
      <c r="Z2781" s="5">
        <v>118.5</v>
      </c>
    </row>
    <row r="2782" spans="1:26">
      <c r="A2782">
        <v>2781</v>
      </c>
      <c r="B2782">
        <v>914</v>
      </c>
      <c r="C2782" s="2">
        <v>46122</v>
      </c>
      <c r="D2782" t="s">
        <v>26</v>
      </c>
      <c r="E2782">
        <v>4</v>
      </c>
      <c r="F2782" s="3">
        <v>10.16</v>
      </c>
      <c r="G2782" t="s">
        <v>27</v>
      </c>
      <c r="H2782">
        <v>51</v>
      </c>
      <c r="I2782" t="s">
        <v>28</v>
      </c>
      <c r="J2782" s="4">
        <v>69.2</v>
      </c>
      <c r="K2782" s="4">
        <v>177.8</v>
      </c>
      <c r="L2782" s="4">
        <v>25.9</v>
      </c>
      <c r="M2782">
        <v>14</v>
      </c>
      <c r="N2782" t="s">
        <v>29</v>
      </c>
      <c r="O2782">
        <v>4</v>
      </c>
      <c r="P2782" s="4">
        <v>2167.8000000000002</v>
      </c>
      <c r="Q2782" t="s">
        <v>48</v>
      </c>
      <c r="R2782">
        <v>0</v>
      </c>
      <c r="S2782" t="s">
        <v>44</v>
      </c>
      <c r="T2782">
        <v>0</v>
      </c>
      <c r="U2782">
        <v>0</v>
      </c>
      <c r="V2782" t="s">
        <v>32</v>
      </c>
      <c r="W2782" t="s">
        <v>39</v>
      </c>
      <c r="X2782" s="4">
        <v>6.3</v>
      </c>
      <c r="Y2782">
        <v>7</v>
      </c>
      <c r="Z2782" s="5">
        <v>210.88</v>
      </c>
    </row>
    <row r="2783" spans="1:26">
      <c r="A2783">
        <v>2782</v>
      </c>
      <c r="B2783">
        <v>914</v>
      </c>
      <c r="C2783" s="2">
        <v>46122</v>
      </c>
      <c r="D2783" t="s">
        <v>26</v>
      </c>
      <c r="E2783">
        <v>4</v>
      </c>
      <c r="F2783" s="3">
        <v>10.33</v>
      </c>
      <c r="G2783" t="s">
        <v>27</v>
      </c>
      <c r="H2783">
        <v>29</v>
      </c>
      <c r="I2783" t="s">
        <v>34</v>
      </c>
      <c r="J2783" s="4">
        <v>68.3</v>
      </c>
      <c r="K2783" s="4">
        <v>164.9</v>
      </c>
      <c r="L2783" s="4">
        <v>24.8</v>
      </c>
      <c r="M2783">
        <v>15</v>
      </c>
      <c r="N2783" t="s">
        <v>29</v>
      </c>
      <c r="O2783">
        <v>4</v>
      </c>
      <c r="P2783" s="4">
        <v>2167.8000000000002</v>
      </c>
      <c r="Q2783" t="s">
        <v>48</v>
      </c>
      <c r="R2783">
        <v>0</v>
      </c>
      <c r="S2783" t="s">
        <v>44</v>
      </c>
      <c r="T2783">
        <v>0</v>
      </c>
      <c r="U2783">
        <v>0</v>
      </c>
      <c r="V2783" t="s">
        <v>32</v>
      </c>
      <c r="W2783" t="s">
        <v>39</v>
      </c>
      <c r="X2783" s="4">
        <v>7.2</v>
      </c>
      <c r="Y2783">
        <v>10</v>
      </c>
      <c r="Z2783" s="5">
        <v>316.88</v>
      </c>
    </row>
    <row r="2784" spans="1:26">
      <c r="A2784">
        <v>2783</v>
      </c>
      <c r="B2784">
        <v>914</v>
      </c>
      <c r="C2784" s="2">
        <v>46122</v>
      </c>
      <c r="D2784" t="s">
        <v>26</v>
      </c>
      <c r="E2784">
        <v>4</v>
      </c>
      <c r="F2784" s="3">
        <v>10.41</v>
      </c>
      <c r="G2784" t="s">
        <v>27</v>
      </c>
      <c r="H2784">
        <v>20</v>
      </c>
      <c r="I2784" t="s">
        <v>34</v>
      </c>
      <c r="J2784" s="4">
        <v>61.8</v>
      </c>
      <c r="K2784" s="4">
        <v>172.5</v>
      </c>
      <c r="L2784" s="4">
        <v>32</v>
      </c>
      <c r="M2784">
        <v>12</v>
      </c>
      <c r="N2784" t="s">
        <v>29</v>
      </c>
      <c r="O2784">
        <v>4</v>
      </c>
      <c r="P2784" s="4">
        <v>2167.8000000000002</v>
      </c>
      <c r="Q2784" t="s">
        <v>48</v>
      </c>
      <c r="R2784">
        <v>0</v>
      </c>
      <c r="S2784" t="s">
        <v>44</v>
      </c>
      <c r="T2784">
        <v>0</v>
      </c>
      <c r="U2784">
        <v>0</v>
      </c>
      <c r="V2784" t="s">
        <v>32</v>
      </c>
      <c r="W2784" t="s">
        <v>39</v>
      </c>
      <c r="X2784" s="4">
        <v>7</v>
      </c>
      <c r="Y2784">
        <v>6</v>
      </c>
      <c r="Z2784" s="5">
        <v>168.81</v>
      </c>
    </row>
    <row r="2785" spans="1:26">
      <c r="A2785">
        <v>2784</v>
      </c>
      <c r="B2785">
        <v>914</v>
      </c>
      <c r="C2785" s="2">
        <v>46122</v>
      </c>
      <c r="D2785" t="s">
        <v>26</v>
      </c>
      <c r="E2785">
        <v>4</v>
      </c>
      <c r="F2785" s="3">
        <v>10.33</v>
      </c>
      <c r="G2785" t="s">
        <v>27</v>
      </c>
      <c r="H2785">
        <v>53</v>
      </c>
      <c r="I2785" t="s">
        <v>28</v>
      </c>
      <c r="J2785" s="4">
        <v>65</v>
      </c>
      <c r="K2785" s="4">
        <v>193.2</v>
      </c>
      <c r="L2785" s="4">
        <v>32.1</v>
      </c>
      <c r="M2785">
        <v>17</v>
      </c>
      <c r="N2785" t="s">
        <v>29</v>
      </c>
      <c r="O2785">
        <v>4</v>
      </c>
      <c r="P2785" s="4">
        <v>2167.8000000000002</v>
      </c>
      <c r="Q2785" t="s">
        <v>48</v>
      </c>
      <c r="R2785">
        <v>0</v>
      </c>
      <c r="S2785" t="s">
        <v>44</v>
      </c>
      <c r="T2785">
        <v>0</v>
      </c>
      <c r="U2785">
        <v>0</v>
      </c>
      <c r="V2785" t="s">
        <v>32</v>
      </c>
      <c r="W2785" t="s">
        <v>39</v>
      </c>
      <c r="X2785" s="4">
        <v>8.4</v>
      </c>
      <c r="Y2785">
        <v>7</v>
      </c>
      <c r="Z2785" s="5">
        <v>232.14</v>
      </c>
    </row>
    <row r="2786" spans="1:26">
      <c r="A2786">
        <v>2785</v>
      </c>
      <c r="B2786">
        <v>915</v>
      </c>
      <c r="C2786" s="2">
        <v>46273</v>
      </c>
      <c r="D2786" t="s">
        <v>35</v>
      </c>
      <c r="E2786">
        <v>9</v>
      </c>
      <c r="F2786" s="3">
        <v>10.32</v>
      </c>
      <c r="G2786" t="s">
        <v>27</v>
      </c>
      <c r="H2786">
        <v>48</v>
      </c>
      <c r="I2786" t="s">
        <v>34</v>
      </c>
      <c r="J2786" s="4">
        <v>61.8</v>
      </c>
      <c r="K2786" s="4">
        <v>121.6</v>
      </c>
      <c r="L2786" s="4">
        <v>22.5</v>
      </c>
      <c r="M2786">
        <v>14</v>
      </c>
      <c r="N2786" t="s">
        <v>29</v>
      </c>
      <c r="O2786">
        <v>1</v>
      </c>
      <c r="P2786" s="4">
        <v>1823</v>
      </c>
      <c r="Q2786" t="s">
        <v>48</v>
      </c>
      <c r="R2786">
        <v>0</v>
      </c>
      <c r="S2786" t="s">
        <v>44</v>
      </c>
      <c r="T2786">
        <v>1</v>
      </c>
      <c r="U2786">
        <v>1</v>
      </c>
      <c r="V2786" t="s">
        <v>32</v>
      </c>
      <c r="W2786" t="s">
        <v>33</v>
      </c>
      <c r="X2786" s="4">
        <v>9.3000000000000007</v>
      </c>
      <c r="Y2786">
        <v>11</v>
      </c>
      <c r="Z2786" s="5">
        <v>350.25</v>
      </c>
    </row>
    <row r="2787" spans="1:26">
      <c r="A2787">
        <v>2786</v>
      </c>
      <c r="B2787">
        <v>916</v>
      </c>
      <c r="C2787" s="2">
        <v>46137</v>
      </c>
      <c r="D2787" t="s">
        <v>40</v>
      </c>
      <c r="E2787">
        <v>4</v>
      </c>
      <c r="F2787" s="3">
        <v>9.6</v>
      </c>
      <c r="G2787" t="s">
        <v>27</v>
      </c>
      <c r="H2787">
        <v>8</v>
      </c>
      <c r="I2787" t="s">
        <v>28</v>
      </c>
      <c r="J2787" s="4">
        <v>65.599999999999994</v>
      </c>
      <c r="K2787" s="4">
        <v>119.4</v>
      </c>
      <c r="L2787" s="4">
        <v>19.600000000000001</v>
      </c>
      <c r="M2787">
        <v>12</v>
      </c>
      <c r="N2787" t="s">
        <v>54</v>
      </c>
      <c r="O2787">
        <v>6</v>
      </c>
      <c r="P2787" s="4">
        <v>2413.9</v>
      </c>
      <c r="Q2787" t="s">
        <v>48</v>
      </c>
      <c r="R2787">
        <v>1</v>
      </c>
      <c r="S2787" t="s">
        <v>44</v>
      </c>
      <c r="T2787">
        <v>0</v>
      </c>
      <c r="U2787">
        <v>1</v>
      </c>
      <c r="V2787" t="s">
        <v>32</v>
      </c>
      <c r="W2787" t="s">
        <v>43</v>
      </c>
      <c r="X2787" s="4">
        <v>9.1999999999999993</v>
      </c>
      <c r="Y2787">
        <v>11</v>
      </c>
      <c r="Z2787" s="5">
        <v>224.65</v>
      </c>
    </row>
    <row r="2788" spans="1:26">
      <c r="A2788">
        <v>2787</v>
      </c>
      <c r="B2788">
        <v>916</v>
      </c>
      <c r="C2788" s="2">
        <v>46137</v>
      </c>
      <c r="D2788" t="s">
        <v>40</v>
      </c>
      <c r="E2788">
        <v>4</v>
      </c>
      <c r="F2788" s="3">
        <v>9.39</v>
      </c>
      <c r="G2788" t="s">
        <v>27</v>
      </c>
      <c r="H2788">
        <v>18</v>
      </c>
      <c r="I2788" t="s">
        <v>34</v>
      </c>
      <c r="J2788" s="4">
        <v>61.3</v>
      </c>
      <c r="K2788" s="4">
        <v>141.4</v>
      </c>
      <c r="L2788" s="4">
        <v>26.3</v>
      </c>
      <c r="M2788">
        <v>14</v>
      </c>
      <c r="N2788" t="s">
        <v>54</v>
      </c>
      <c r="O2788">
        <v>6</v>
      </c>
      <c r="P2788" s="4">
        <v>2413.9</v>
      </c>
      <c r="Q2788" t="s">
        <v>48</v>
      </c>
      <c r="R2788">
        <v>1</v>
      </c>
      <c r="S2788" t="s">
        <v>44</v>
      </c>
      <c r="T2788">
        <v>0</v>
      </c>
      <c r="U2788">
        <v>1</v>
      </c>
      <c r="V2788" t="s">
        <v>32</v>
      </c>
      <c r="W2788" t="s">
        <v>43</v>
      </c>
      <c r="X2788" s="4">
        <v>9</v>
      </c>
      <c r="Y2788">
        <v>10</v>
      </c>
      <c r="Z2788" s="5">
        <v>255.94</v>
      </c>
    </row>
    <row r="2789" spans="1:26">
      <c r="A2789">
        <v>2788</v>
      </c>
      <c r="B2789">
        <v>916</v>
      </c>
      <c r="C2789" s="2">
        <v>46137</v>
      </c>
      <c r="D2789" t="s">
        <v>40</v>
      </c>
      <c r="E2789">
        <v>4</v>
      </c>
      <c r="F2789" s="3">
        <v>9.65</v>
      </c>
      <c r="G2789" t="s">
        <v>27</v>
      </c>
      <c r="H2789">
        <v>38</v>
      </c>
      <c r="I2789" t="s">
        <v>34</v>
      </c>
      <c r="J2789" s="4">
        <v>61.8</v>
      </c>
      <c r="K2789" s="4">
        <v>143.30000000000001</v>
      </c>
      <c r="L2789" s="4">
        <v>26.4</v>
      </c>
      <c r="M2789">
        <v>15</v>
      </c>
      <c r="N2789" t="s">
        <v>54</v>
      </c>
      <c r="O2789">
        <v>6</v>
      </c>
      <c r="P2789" s="4">
        <v>2413.9</v>
      </c>
      <c r="Q2789" t="s">
        <v>48</v>
      </c>
      <c r="R2789">
        <v>1</v>
      </c>
      <c r="S2789" t="s">
        <v>44</v>
      </c>
      <c r="T2789">
        <v>0</v>
      </c>
      <c r="U2789">
        <v>1</v>
      </c>
      <c r="V2789" t="s">
        <v>32</v>
      </c>
      <c r="W2789" t="s">
        <v>43</v>
      </c>
      <c r="X2789" s="4">
        <v>7.8</v>
      </c>
      <c r="Y2789">
        <v>10</v>
      </c>
      <c r="Z2789" s="5">
        <v>475.36</v>
      </c>
    </row>
    <row r="2790" spans="1:26">
      <c r="A2790">
        <v>2789</v>
      </c>
      <c r="B2790">
        <v>916</v>
      </c>
      <c r="C2790" s="2">
        <v>46137</v>
      </c>
      <c r="D2790" t="s">
        <v>40</v>
      </c>
      <c r="E2790">
        <v>4</v>
      </c>
      <c r="F2790" s="3">
        <v>9.44</v>
      </c>
      <c r="G2790" t="s">
        <v>27</v>
      </c>
      <c r="H2790">
        <v>53</v>
      </c>
      <c r="I2790" t="s">
        <v>34</v>
      </c>
      <c r="J2790" s="4">
        <v>58.8</v>
      </c>
      <c r="K2790" s="4">
        <v>125.5</v>
      </c>
      <c r="L2790" s="4">
        <v>25.4</v>
      </c>
      <c r="M2790">
        <v>15</v>
      </c>
      <c r="N2790" t="s">
        <v>54</v>
      </c>
      <c r="O2790">
        <v>6</v>
      </c>
      <c r="P2790" s="4">
        <v>2413.9</v>
      </c>
      <c r="Q2790" t="s">
        <v>48</v>
      </c>
      <c r="R2790">
        <v>1</v>
      </c>
      <c r="S2790" t="s">
        <v>44</v>
      </c>
      <c r="T2790">
        <v>0</v>
      </c>
      <c r="U2790">
        <v>1</v>
      </c>
      <c r="V2790" t="s">
        <v>32</v>
      </c>
      <c r="W2790" t="s">
        <v>43</v>
      </c>
      <c r="X2790" s="4">
        <v>8.8000000000000007</v>
      </c>
      <c r="Y2790">
        <v>9</v>
      </c>
      <c r="Z2790" s="5">
        <v>261.91000000000003</v>
      </c>
    </row>
    <row r="2791" spans="1:26">
      <c r="A2791">
        <v>2790</v>
      </c>
      <c r="B2791">
        <v>916</v>
      </c>
      <c r="C2791" s="2">
        <v>46137</v>
      </c>
      <c r="D2791" t="s">
        <v>40</v>
      </c>
      <c r="E2791">
        <v>4</v>
      </c>
      <c r="F2791" s="3">
        <v>9.36</v>
      </c>
      <c r="G2791" t="s">
        <v>27</v>
      </c>
      <c r="H2791">
        <v>53</v>
      </c>
      <c r="I2791" t="s">
        <v>34</v>
      </c>
      <c r="J2791" s="4">
        <v>68.2</v>
      </c>
      <c r="K2791" s="4">
        <v>193.6</v>
      </c>
      <c r="L2791" s="4">
        <v>29.5</v>
      </c>
      <c r="M2791">
        <v>17</v>
      </c>
      <c r="N2791" t="s">
        <v>54</v>
      </c>
      <c r="O2791">
        <v>6</v>
      </c>
      <c r="P2791" s="4">
        <v>2413.9</v>
      </c>
      <c r="Q2791" t="s">
        <v>48</v>
      </c>
      <c r="R2791">
        <v>1</v>
      </c>
      <c r="S2791" t="s">
        <v>44</v>
      </c>
      <c r="T2791">
        <v>0</v>
      </c>
      <c r="U2791">
        <v>1</v>
      </c>
      <c r="V2791" t="s">
        <v>32</v>
      </c>
      <c r="W2791" t="s">
        <v>43</v>
      </c>
      <c r="X2791" s="4">
        <v>5.2</v>
      </c>
      <c r="Y2791">
        <v>6</v>
      </c>
      <c r="Z2791" s="5">
        <v>317.77</v>
      </c>
    </row>
    <row r="2792" spans="1:26">
      <c r="A2792">
        <v>2791</v>
      </c>
      <c r="B2792">
        <v>916</v>
      </c>
      <c r="C2792" s="2">
        <v>46137</v>
      </c>
      <c r="D2792" t="s">
        <v>40</v>
      </c>
      <c r="E2792">
        <v>4</v>
      </c>
      <c r="F2792" s="3">
        <v>9.33</v>
      </c>
      <c r="G2792" t="s">
        <v>27</v>
      </c>
      <c r="H2792">
        <v>14</v>
      </c>
      <c r="I2792" t="s">
        <v>28</v>
      </c>
      <c r="J2792" s="4">
        <v>70</v>
      </c>
      <c r="K2792" s="4">
        <v>158.4</v>
      </c>
      <c r="L2792" s="4">
        <v>22.6</v>
      </c>
      <c r="M2792">
        <v>12</v>
      </c>
      <c r="N2792" t="s">
        <v>54</v>
      </c>
      <c r="O2792">
        <v>6</v>
      </c>
      <c r="P2792" s="4">
        <v>2413.9</v>
      </c>
      <c r="Q2792" t="s">
        <v>48</v>
      </c>
      <c r="R2792">
        <v>1</v>
      </c>
      <c r="S2792" t="s">
        <v>44</v>
      </c>
      <c r="T2792">
        <v>0</v>
      </c>
      <c r="U2792">
        <v>1</v>
      </c>
      <c r="V2792" t="s">
        <v>32</v>
      </c>
      <c r="W2792" t="s">
        <v>43</v>
      </c>
      <c r="X2792" s="4">
        <v>5.9</v>
      </c>
      <c r="Y2792">
        <v>3</v>
      </c>
      <c r="Z2792" s="5">
        <v>204.85</v>
      </c>
    </row>
    <row r="2793" spans="1:26">
      <c r="A2793">
        <v>2792</v>
      </c>
      <c r="B2793">
        <v>917</v>
      </c>
      <c r="C2793" s="2">
        <v>46091</v>
      </c>
      <c r="D2793" t="s">
        <v>35</v>
      </c>
      <c r="E2793">
        <v>3</v>
      </c>
      <c r="F2793" s="3">
        <v>13.07</v>
      </c>
      <c r="G2793" t="s">
        <v>36</v>
      </c>
      <c r="H2793">
        <v>53</v>
      </c>
      <c r="I2793" t="s">
        <v>34</v>
      </c>
      <c r="J2793" s="4">
        <v>63.7</v>
      </c>
      <c r="K2793" s="4">
        <v>138.1</v>
      </c>
      <c r="L2793" s="4">
        <v>24</v>
      </c>
      <c r="M2793">
        <v>15</v>
      </c>
      <c r="N2793" t="s">
        <v>47</v>
      </c>
      <c r="O2793">
        <v>2</v>
      </c>
      <c r="P2793" s="4">
        <v>72.900000000000006</v>
      </c>
      <c r="Q2793" t="s">
        <v>42</v>
      </c>
      <c r="R2793">
        <v>1</v>
      </c>
      <c r="S2793" t="s">
        <v>31</v>
      </c>
      <c r="T2793">
        <v>1</v>
      </c>
      <c r="U2793">
        <v>0</v>
      </c>
      <c r="V2793" t="s">
        <v>32</v>
      </c>
      <c r="W2793" t="s">
        <v>43</v>
      </c>
      <c r="X2793" s="4">
        <v>8</v>
      </c>
      <c r="Y2793">
        <v>6</v>
      </c>
      <c r="Z2793" s="5">
        <v>220.03</v>
      </c>
    </row>
    <row r="2794" spans="1:26">
      <c r="A2794">
        <v>2793</v>
      </c>
      <c r="B2794">
        <v>917</v>
      </c>
      <c r="C2794" s="2">
        <v>46091</v>
      </c>
      <c r="D2794" t="s">
        <v>35</v>
      </c>
      <c r="E2794">
        <v>3</v>
      </c>
      <c r="F2794" s="3">
        <v>13.06</v>
      </c>
      <c r="G2794" t="s">
        <v>36</v>
      </c>
      <c r="H2794">
        <v>57</v>
      </c>
      <c r="I2794" t="s">
        <v>34</v>
      </c>
      <c r="J2794" s="4">
        <v>63.6</v>
      </c>
      <c r="K2794" s="4">
        <v>134.1</v>
      </c>
      <c r="L2794" s="4">
        <v>23.4</v>
      </c>
      <c r="M2794">
        <v>16</v>
      </c>
      <c r="N2794" t="s">
        <v>47</v>
      </c>
      <c r="O2794">
        <v>2</v>
      </c>
      <c r="P2794" s="4">
        <v>72.900000000000006</v>
      </c>
      <c r="Q2794" t="s">
        <v>42</v>
      </c>
      <c r="R2794">
        <v>1</v>
      </c>
      <c r="S2794" t="s">
        <v>31</v>
      </c>
      <c r="T2794">
        <v>1</v>
      </c>
      <c r="U2794">
        <v>0</v>
      </c>
      <c r="V2794" t="s">
        <v>32</v>
      </c>
      <c r="W2794" t="s">
        <v>43</v>
      </c>
      <c r="X2794" s="4">
        <v>8.3000000000000007</v>
      </c>
      <c r="Y2794">
        <v>8</v>
      </c>
      <c r="Z2794" s="5">
        <v>295.99</v>
      </c>
    </row>
    <row r="2795" spans="1:26">
      <c r="A2795">
        <v>2794</v>
      </c>
      <c r="B2795">
        <v>918</v>
      </c>
      <c r="C2795" s="2">
        <v>46042</v>
      </c>
      <c r="D2795" t="s">
        <v>35</v>
      </c>
      <c r="E2795">
        <v>1</v>
      </c>
      <c r="F2795" s="3">
        <v>12.41</v>
      </c>
      <c r="G2795" t="s">
        <v>36</v>
      </c>
      <c r="H2795">
        <v>11</v>
      </c>
      <c r="I2795" t="s">
        <v>28</v>
      </c>
      <c r="J2795" s="4">
        <v>64.5</v>
      </c>
      <c r="K2795" s="4">
        <v>101.9</v>
      </c>
      <c r="L2795" s="4">
        <v>17.2</v>
      </c>
      <c r="M2795">
        <v>13</v>
      </c>
      <c r="N2795" t="s">
        <v>60</v>
      </c>
      <c r="O2795">
        <v>3</v>
      </c>
      <c r="P2795" s="4">
        <v>1418.6</v>
      </c>
      <c r="Q2795" t="s">
        <v>30</v>
      </c>
      <c r="R2795">
        <v>1</v>
      </c>
      <c r="S2795" t="s">
        <v>31</v>
      </c>
      <c r="T2795">
        <v>0</v>
      </c>
      <c r="U2795">
        <v>0</v>
      </c>
      <c r="V2795" t="s">
        <v>32</v>
      </c>
      <c r="W2795" t="s">
        <v>39</v>
      </c>
      <c r="X2795" s="4">
        <v>9.4</v>
      </c>
      <c r="Y2795">
        <v>4</v>
      </c>
      <c r="Z2795" s="5">
        <v>124.42</v>
      </c>
    </row>
    <row r="2796" spans="1:26">
      <c r="A2796">
        <v>2795</v>
      </c>
      <c r="B2796">
        <v>918</v>
      </c>
      <c r="C2796" s="2">
        <v>46042</v>
      </c>
      <c r="D2796" t="s">
        <v>35</v>
      </c>
      <c r="E2796">
        <v>1</v>
      </c>
      <c r="F2796" s="3">
        <v>12.49</v>
      </c>
      <c r="G2796" t="s">
        <v>36</v>
      </c>
      <c r="H2796">
        <v>27</v>
      </c>
      <c r="I2796" t="s">
        <v>34</v>
      </c>
      <c r="J2796" s="4">
        <v>65.099999999999994</v>
      </c>
      <c r="K2796" s="4">
        <v>179.3</v>
      </c>
      <c r="L2796" s="4">
        <v>29.6</v>
      </c>
      <c r="M2796">
        <v>12</v>
      </c>
      <c r="N2796" t="s">
        <v>60</v>
      </c>
      <c r="O2796">
        <v>3</v>
      </c>
      <c r="P2796" s="4">
        <v>1418.6</v>
      </c>
      <c r="Q2796" t="s">
        <v>30</v>
      </c>
      <c r="R2796">
        <v>1</v>
      </c>
      <c r="S2796" t="s">
        <v>31</v>
      </c>
      <c r="T2796">
        <v>0</v>
      </c>
      <c r="U2796">
        <v>0</v>
      </c>
      <c r="V2796" t="s">
        <v>32</v>
      </c>
      <c r="W2796" t="s">
        <v>39</v>
      </c>
      <c r="X2796" s="4">
        <v>7.9</v>
      </c>
      <c r="Y2796">
        <v>10</v>
      </c>
      <c r="Z2796" s="5">
        <v>196.07</v>
      </c>
    </row>
    <row r="2797" spans="1:26">
      <c r="A2797">
        <v>2796</v>
      </c>
      <c r="B2797">
        <v>918</v>
      </c>
      <c r="C2797" s="2">
        <v>46042</v>
      </c>
      <c r="D2797" t="s">
        <v>35</v>
      </c>
      <c r="E2797">
        <v>1</v>
      </c>
      <c r="F2797" s="3">
        <v>12.51</v>
      </c>
      <c r="G2797" t="s">
        <v>36</v>
      </c>
      <c r="H2797">
        <v>13</v>
      </c>
      <c r="I2797" t="s">
        <v>28</v>
      </c>
      <c r="J2797" s="4">
        <v>65.3</v>
      </c>
      <c r="K2797" s="4">
        <v>108.8</v>
      </c>
      <c r="L2797" s="4">
        <v>18.100000000000001</v>
      </c>
      <c r="M2797">
        <v>11</v>
      </c>
      <c r="N2797" t="s">
        <v>60</v>
      </c>
      <c r="O2797">
        <v>3</v>
      </c>
      <c r="P2797" s="4">
        <v>1418.6</v>
      </c>
      <c r="Q2797" t="s">
        <v>30</v>
      </c>
      <c r="R2797">
        <v>1</v>
      </c>
      <c r="S2797" t="s">
        <v>31</v>
      </c>
      <c r="T2797">
        <v>0</v>
      </c>
      <c r="U2797">
        <v>0</v>
      </c>
      <c r="V2797" t="s">
        <v>32</v>
      </c>
      <c r="W2797" t="s">
        <v>39</v>
      </c>
      <c r="X2797" s="4">
        <v>7.7</v>
      </c>
      <c r="Y2797">
        <v>7</v>
      </c>
      <c r="Z2797" s="5">
        <v>155.32</v>
      </c>
    </row>
    <row r="2798" spans="1:26">
      <c r="A2798">
        <v>2797</v>
      </c>
      <c r="B2798">
        <v>919</v>
      </c>
      <c r="C2798" s="2">
        <v>46024</v>
      </c>
      <c r="D2798" t="s">
        <v>26</v>
      </c>
      <c r="E2798">
        <v>1</v>
      </c>
      <c r="F2798" s="3">
        <v>11.93</v>
      </c>
      <c r="G2798" t="s">
        <v>36</v>
      </c>
      <c r="H2798">
        <v>37</v>
      </c>
      <c r="I2798" t="s">
        <v>28</v>
      </c>
      <c r="J2798" s="4">
        <v>67.400000000000006</v>
      </c>
      <c r="K2798" s="4">
        <v>188.9</v>
      </c>
      <c r="L2798" s="4">
        <v>28.9</v>
      </c>
      <c r="M2798">
        <v>13</v>
      </c>
      <c r="N2798" t="s">
        <v>66</v>
      </c>
      <c r="O2798">
        <v>3</v>
      </c>
      <c r="P2798" s="4">
        <v>656.9</v>
      </c>
      <c r="Q2798" t="s">
        <v>42</v>
      </c>
      <c r="R2798">
        <v>1</v>
      </c>
      <c r="S2798" t="s">
        <v>44</v>
      </c>
      <c r="T2798">
        <v>0</v>
      </c>
      <c r="U2798">
        <v>1</v>
      </c>
      <c r="V2798" t="s">
        <v>64</v>
      </c>
      <c r="W2798" t="s">
        <v>33</v>
      </c>
      <c r="X2798" s="4">
        <v>10</v>
      </c>
      <c r="Y2798">
        <v>4</v>
      </c>
      <c r="Z2798" s="5">
        <v>260.52999999999997</v>
      </c>
    </row>
    <row r="2799" spans="1:26">
      <c r="A2799">
        <v>2798</v>
      </c>
      <c r="B2799">
        <v>919</v>
      </c>
      <c r="C2799" s="2">
        <v>46024</v>
      </c>
      <c r="D2799" t="s">
        <v>26</v>
      </c>
      <c r="E2799">
        <v>1</v>
      </c>
      <c r="F2799" s="3">
        <v>11.67</v>
      </c>
      <c r="G2799" t="s">
        <v>36</v>
      </c>
      <c r="H2799">
        <v>54</v>
      </c>
      <c r="I2799" t="s">
        <v>28</v>
      </c>
      <c r="J2799" s="4">
        <v>69.2</v>
      </c>
      <c r="K2799" s="4">
        <v>177.6</v>
      </c>
      <c r="L2799" s="4">
        <v>26.1</v>
      </c>
      <c r="M2799">
        <v>13</v>
      </c>
      <c r="N2799" t="s">
        <v>66</v>
      </c>
      <c r="O2799">
        <v>3</v>
      </c>
      <c r="P2799" s="4">
        <v>656.9</v>
      </c>
      <c r="Q2799" t="s">
        <v>42</v>
      </c>
      <c r="R2799">
        <v>1</v>
      </c>
      <c r="S2799" t="s">
        <v>44</v>
      </c>
      <c r="T2799">
        <v>0</v>
      </c>
      <c r="U2799">
        <v>1</v>
      </c>
      <c r="V2799" t="s">
        <v>64</v>
      </c>
      <c r="W2799" t="s">
        <v>33</v>
      </c>
      <c r="X2799" s="4">
        <v>11.5</v>
      </c>
      <c r="Y2799">
        <v>3</v>
      </c>
      <c r="Z2799" s="5">
        <v>273.51</v>
      </c>
    </row>
    <row r="2800" spans="1:26">
      <c r="A2800">
        <v>2799</v>
      </c>
      <c r="B2800">
        <v>919</v>
      </c>
      <c r="C2800" s="2">
        <v>46024</v>
      </c>
      <c r="D2800" t="s">
        <v>26</v>
      </c>
      <c r="E2800">
        <v>1</v>
      </c>
      <c r="F2800" s="3">
        <v>11.64</v>
      </c>
      <c r="G2800" t="s">
        <v>36</v>
      </c>
      <c r="H2800">
        <v>40</v>
      </c>
      <c r="I2800" t="s">
        <v>28</v>
      </c>
      <c r="J2800" s="4">
        <v>68.5</v>
      </c>
      <c r="K2800" s="4">
        <v>210.8</v>
      </c>
      <c r="L2800" s="4">
        <v>31.4</v>
      </c>
      <c r="M2800">
        <v>16</v>
      </c>
      <c r="N2800" t="s">
        <v>66</v>
      </c>
      <c r="O2800">
        <v>3</v>
      </c>
      <c r="P2800" s="4">
        <v>656.9</v>
      </c>
      <c r="Q2800" t="s">
        <v>42</v>
      </c>
      <c r="R2800">
        <v>1</v>
      </c>
      <c r="S2800" t="s">
        <v>44</v>
      </c>
      <c r="T2800">
        <v>0</v>
      </c>
      <c r="U2800">
        <v>1</v>
      </c>
      <c r="V2800" t="s">
        <v>64</v>
      </c>
      <c r="W2800" t="s">
        <v>33</v>
      </c>
      <c r="X2800" s="4">
        <v>8.8000000000000007</v>
      </c>
      <c r="Y2800">
        <v>8</v>
      </c>
      <c r="Z2800" s="5">
        <v>246.05</v>
      </c>
    </row>
    <row r="2801" spans="1:26">
      <c r="A2801">
        <v>2800</v>
      </c>
      <c r="B2801">
        <v>920</v>
      </c>
      <c r="C2801" s="2">
        <v>46037</v>
      </c>
      <c r="D2801" t="s">
        <v>55</v>
      </c>
      <c r="E2801">
        <v>1</v>
      </c>
      <c r="F2801" s="3">
        <v>13.02</v>
      </c>
      <c r="G2801" t="s">
        <v>36</v>
      </c>
      <c r="H2801">
        <v>62</v>
      </c>
      <c r="I2801" t="s">
        <v>28</v>
      </c>
      <c r="J2801" s="4">
        <v>67.900000000000006</v>
      </c>
      <c r="K2801" s="4">
        <v>188.7</v>
      </c>
      <c r="L2801" s="4">
        <v>28.7</v>
      </c>
      <c r="M2801">
        <v>19</v>
      </c>
      <c r="N2801" t="s">
        <v>50</v>
      </c>
      <c r="O2801">
        <v>3</v>
      </c>
      <c r="P2801" s="4">
        <v>384.5</v>
      </c>
      <c r="Q2801" t="s">
        <v>42</v>
      </c>
      <c r="R2801">
        <v>1</v>
      </c>
      <c r="S2801" t="s">
        <v>44</v>
      </c>
      <c r="T2801">
        <v>0</v>
      </c>
      <c r="U2801">
        <v>0</v>
      </c>
      <c r="V2801" t="s">
        <v>32</v>
      </c>
      <c r="W2801" t="s">
        <v>39</v>
      </c>
      <c r="X2801" s="4">
        <v>7.9</v>
      </c>
      <c r="Y2801">
        <v>8</v>
      </c>
      <c r="Z2801" s="5">
        <v>125.92</v>
      </c>
    </row>
    <row r="2802" spans="1:26">
      <c r="A2802">
        <v>2801</v>
      </c>
      <c r="B2802">
        <v>920</v>
      </c>
      <c r="C2802" s="2">
        <v>46037</v>
      </c>
      <c r="D2802" t="s">
        <v>55</v>
      </c>
      <c r="E2802">
        <v>1</v>
      </c>
      <c r="F2802" s="3">
        <v>13</v>
      </c>
      <c r="G2802" t="s">
        <v>36</v>
      </c>
      <c r="H2802">
        <v>44</v>
      </c>
      <c r="I2802" t="s">
        <v>34</v>
      </c>
      <c r="J2802" s="4">
        <v>63.1</v>
      </c>
      <c r="K2802" s="4">
        <v>174.9</v>
      </c>
      <c r="L2802" s="4">
        <v>30.8</v>
      </c>
      <c r="M2802">
        <v>14</v>
      </c>
      <c r="N2802" t="s">
        <v>50</v>
      </c>
      <c r="O2802">
        <v>3</v>
      </c>
      <c r="P2802" s="4">
        <v>384.5</v>
      </c>
      <c r="Q2802" t="s">
        <v>42</v>
      </c>
      <c r="R2802">
        <v>1</v>
      </c>
      <c r="S2802" t="s">
        <v>44</v>
      </c>
      <c r="T2802">
        <v>0</v>
      </c>
      <c r="U2802">
        <v>0</v>
      </c>
      <c r="V2802" t="s">
        <v>32</v>
      </c>
      <c r="W2802" t="s">
        <v>39</v>
      </c>
      <c r="X2802" s="4">
        <v>6.4</v>
      </c>
      <c r="Y2802">
        <v>11</v>
      </c>
      <c r="Z2802" s="5">
        <v>197.8</v>
      </c>
    </row>
    <row r="2803" spans="1:26">
      <c r="A2803">
        <v>2802</v>
      </c>
      <c r="B2803">
        <v>920</v>
      </c>
      <c r="C2803" s="2">
        <v>46037</v>
      </c>
      <c r="D2803" t="s">
        <v>55</v>
      </c>
      <c r="E2803">
        <v>1</v>
      </c>
      <c r="F2803" s="3">
        <v>13.02</v>
      </c>
      <c r="G2803" t="s">
        <v>36</v>
      </c>
      <c r="H2803">
        <v>72</v>
      </c>
      <c r="I2803" t="s">
        <v>28</v>
      </c>
      <c r="J2803" s="4">
        <v>65.3</v>
      </c>
      <c r="K2803" s="4">
        <v>186.1</v>
      </c>
      <c r="L2803" s="4">
        <v>30.8</v>
      </c>
      <c r="M2803">
        <v>16</v>
      </c>
      <c r="N2803" t="s">
        <v>50</v>
      </c>
      <c r="O2803">
        <v>3</v>
      </c>
      <c r="P2803" s="4">
        <v>384.5</v>
      </c>
      <c r="Q2803" t="s">
        <v>42</v>
      </c>
      <c r="R2803">
        <v>1</v>
      </c>
      <c r="S2803" t="s">
        <v>44</v>
      </c>
      <c r="T2803">
        <v>0</v>
      </c>
      <c r="U2803">
        <v>0</v>
      </c>
      <c r="V2803" t="s">
        <v>32</v>
      </c>
      <c r="W2803" t="s">
        <v>39</v>
      </c>
      <c r="X2803" s="4">
        <v>8.3000000000000007</v>
      </c>
      <c r="Y2803">
        <v>7</v>
      </c>
      <c r="Z2803" s="5">
        <v>187.34</v>
      </c>
    </row>
    <row r="2804" spans="1:26">
      <c r="A2804">
        <v>2803</v>
      </c>
      <c r="B2804">
        <v>921</v>
      </c>
      <c r="C2804" s="2">
        <v>46173</v>
      </c>
      <c r="D2804" t="s">
        <v>58</v>
      </c>
      <c r="E2804">
        <v>5</v>
      </c>
      <c r="F2804" s="3">
        <v>9.99</v>
      </c>
      <c r="G2804" t="s">
        <v>27</v>
      </c>
      <c r="H2804">
        <v>45</v>
      </c>
      <c r="I2804" t="s">
        <v>34</v>
      </c>
      <c r="J2804" s="4">
        <v>70.599999999999994</v>
      </c>
      <c r="K2804" s="4">
        <v>174.9</v>
      </c>
      <c r="L2804" s="4">
        <v>24.5</v>
      </c>
      <c r="M2804">
        <v>16</v>
      </c>
      <c r="N2804" t="s">
        <v>50</v>
      </c>
      <c r="O2804">
        <v>2</v>
      </c>
      <c r="P2804" s="4">
        <v>408.1</v>
      </c>
      <c r="Q2804" t="s">
        <v>48</v>
      </c>
      <c r="R2804">
        <v>1</v>
      </c>
      <c r="S2804" t="s">
        <v>44</v>
      </c>
      <c r="T2804">
        <v>0</v>
      </c>
      <c r="U2804">
        <v>0</v>
      </c>
      <c r="V2804" t="s">
        <v>32</v>
      </c>
      <c r="W2804" t="s">
        <v>39</v>
      </c>
      <c r="X2804" s="4">
        <v>6.8</v>
      </c>
      <c r="Y2804">
        <v>5</v>
      </c>
      <c r="Z2804" s="5">
        <v>202.73</v>
      </c>
    </row>
    <row r="2805" spans="1:26">
      <c r="A2805">
        <v>2804</v>
      </c>
      <c r="B2805">
        <v>921</v>
      </c>
      <c r="C2805" s="2">
        <v>46173</v>
      </c>
      <c r="D2805" t="s">
        <v>58</v>
      </c>
      <c r="E2805">
        <v>5</v>
      </c>
      <c r="F2805" s="3">
        <v>9.9700000000000006</v>
      </c>
      <c r="G2805" t="s">
        <v>27</v>
      </c>
      <c r="H2805">
        <v>37</v>
      </c>
      <c r="I2805" t="s">
        <v>34</v>
      </c>
      <c r="J2805" s="4">
        <v>67.5</v>
      </c>
      <c r="K2805" s="4">
        <v>136.5</v>
      </c>
      <c r="L2805" s="4">
        <v>21.1</v>
      </c>
      <c r="M2805">
        <v>18</v>
      </c>
      <c r="N2805" t="s">
        <v>50</v>
      </c>
      <c r="O2805">
        <v>2</v>
      </c>
      <c r="P2805" s="4">
        <v>408.1</v>
      </c>
      <c r="Q2805" t="s">
        <v>48</v>
      </c>
      <c r="R2805">
        <v>1</v>
      </c>
      <c r="S2805" t="s">
        <v>44</v>
      </c>
      <c r="T2805">
        <v>0</v>
      </c>
      <c r="U2805">
        <v>0</v>
      </c>
      <c r="V2805" t="s">
        <v>32</v>
      </c>
      <c r="W2805" t="s">
        <v>39</v>
      </c>
      <c r="X2805" s="4">
        <v>10.1</v>
      </c>
      <c r="Y2805">
        <v>7</v>
      </c>
      <c r="Z2805" s="5">
        <v>414.11</v>
      </c>
    </row>
    <row r="2806" spans="1:26">
      <c r="A2806">
        <v>2805</v>
      </c>
      <c r="B2806">
        <v>922</v>
      </c>
      <c r="C2806" s="2">
        <v>46142</v>
      </c>
      <c r="D2806" t="s">
        <v>55</v>
      </c>
      <c r="E2806">
        <v>4</v>
      </c>
      <c r="F2806" s="3">
        <v>10.67</v>
      </c>
      <c r="G2806" t="s">
        <v>27</v>
      </c>
      <c r="H2806">
        <v>64</v>
      </c>
      <c r="I2806" t="s">
        <v>28</v>
      </c>
      <c r="J2806" s="4">
        <v>68.599999999999994</v>
      </c>
      <c r="K2806" s="4">
        <v>178.9</v>
      </c>
      <c r="L2806" s="4">
        <v>26.6</v>
      </c>
      <c r="M2806">
        <v>19</v>
      </c>
      <c r="N2806" t="s">
        <v>47</v>
      </c>
      <c r="O2806">
        <v>2</v>
      </c>
      <c r="P2806" s="4">
        <v>28.9</v>
      </c>
      <c r="Q2806" t="s">
        <v>42</v>
      </c>
      <c r="R2806">
        <v>1</v>
      </c>
      <c r="S2806" t="s">
        <v>44</v>
      </c>
      <c r="T2806">
        <v>0</v>
      </c>
      <c r="U2806">
        <v>0</v>
      </c>
      <c r="V2806" t="s">
        <v>45</v>
      </c>
      <c r="W2806" t="s">
        <v>49</v>
      </c>
      <c r="X2806" s="4">
        <v>6.1</v>
      </c>
      <c r="Y2806">
        <v>6</v>
      </c>
      <c r="Z2806" s="5">
        <v>233.97</v>
      </c>
    </row>
    <row r="2807" spans="1:26">
      <c r="A2807">
        <v>2806</v>
      </c>
      <c r="B2807">
        <v>922</v>
      </c>
      <c r="C2807" s="2">
        <v>46142</v>
      </c>
      <c r="D2807" t="s">
        <v>55</v>
      </c>
      <c r="E2807">
        <v>4</v>
      </c>
      <c r="F2807" s="3">
        <v>10.54</v>
      </c>
      <c r="G2807" t="s">
        <v>27</v>
      </c>
      <c r="H2807">
        <v>71</v>
      </c>
      <c r="I2807" t="s">
        <v>28</v>
      </c>
      <c r="J2807" s="4">
        <v>70.7</v>
      </c>
      <c r="K2807" s="4">
        <v>188.5</v>
      </c>
      <c r="L2807" s="4">
        <v>26.7</v>
      </c>
      <c r="M2807">
        <v>17</v>
      </c>
      <c r="N2807" t="s">
        <v>47</v>
      </c>
      <c r="O2807">
        <v>2</v>
      </c>
      <c r="P2807" s="4">
        <v>28.9</v>
      </c>
      <c r="Q2807" t="s">
        <v>42</v>
      </c>
      <c r="R2807">
        <v>1</v>
      </c>
      <c r="S2807" t="s">
        <v>44</v>
      </c>
      <c r="T2807">
        <v>0</v>
      </c>
      <c r="U2807">
        <v>0</v>
      </c>
      <c r="V2807" t="s">
        <v>45</v>
      </c>
      <c r="W2807" t="s">
        <v>49</v>
      </c>
      <c r="X2807" s="4">
        <v>5</v>
      </c>
      <c r="Y2807">
        <v>5</v>
      </c>
      <c r="Z2807" s="5">
        <v>119.08</v>
      </c>
    </row>
    <row r="2808" spans="1:26">
      <c r="A2808">
        <v>2807</v>
      </c>
      <c r="B2808">
        <v>923</v>
      </c>
      <c r="C2808" s="2">
        <v>46071</v>
      </c>
      <c r="D2808" t="s">
        <v>52</v>
      </c>
      <c r="E2808">
        <v>2</v>
      </c>
      <c r="F2808" s="3">
        <v>11.27</v>
      </c>
      <c r="G2808" t="s">
        <v>36</v>
      </c>
      <c r="H2808">
        <v>61</v>
      </c>
      <c r="I2808" t="s">
        <v>34</v>
      </c>
      <c r="J2808" s="4">
        <v>57.3</v>
      </c>
      <c r="K2808" s="4">
        <v>113.2</v>
      </c>
      <c r="L2808" s="4">
        <v>24.1</v>
      </c>
      <c r="M2808">
        <v>17</v>
      </c>
      <c r="N2808" t="s">
        <v>47</v>
      </c>
      <c r="O2808">
        <v>4</v>
      </c>
      <c r="P2808" s="4">
        <v>67.3</v>
      </c>
      <c r="Q2808" t="s">
        <v>42</v>
      </c>
      <c r="R2808">
        <v>0</v>
      </c>
      <c r="S2808" t="s">
        <v>44</v>
      </c>
      <c r="T2808">
        <v>0</v>
      </c>
      <c r="U2808">
        <v>0</v>
      </c>
      <c r="V2808" t="s">
        <v>32</v>
      </c>
      <c r="W2808" t="s">
        <v>49</v>
      </c>
      <c r="X2808" s="4">
        <v>7.9</v>
      </c>
      <c r="Y2808">
        <v>5</v>
      </c>
      <c r="Z2808" s="5">
        <v>221.78</v>
      </c>
    </row>
    <row r="2809" spans="1:26">
      <c r="A2809">
        <v>2808</v>
      </c>
      <c r="B2809">
        <v>923</v>
      </c>
      <c r="C2809" s="2">
        <v>46071</v>
      </c>
      <c r="D2809" t="s">
        <v>52</v>
      </c>
      <c r="E2809">
        <v>2</v>
      </c>
      <c r="F2809" s="3">
        <v>10.98</v>
      </c>
      <c r="G2809" t="s">
        <v>27</v>
      </c>
      <c r="H2809">
        <v>29</v>
      </c>
      <c r="I2809" t="s">
        <v>34</v>
      </c>
      <c r="J2809" s="4">
        <v>64.5</v>
      </c>
      <c r="K2809" s="4">
        <v>144.4</v>
      </c>
      <c r="L2809" s="4">
        <v>24.4</v>
      </c>
      <c r="M2809">
        <v>16</v>
      </c>
      <c r="N2809" t="s">
        <v>47</v>
      </c>
      <c r="O2809">
        <v>4</v>
      </c>
      <c r="P2809" s="4">
        <v>67.3</v>
      </c>
      <c r="Q2809" t="s">
        <v>42</v>
      </c>
      <c r="R2809">
        <v>0</v>
      </c>
      <c r="S2809" t="s">
        <v>44</v>
      </c>
      <c r="T2809">
        <v>0</v>
      </c>
      <c r="U2809">
        <v>0</v>
      </c>
      <c r="V2809" t="s">
        <v>32</v>
      </c>
      <c r="W2809" t="s">
        <v>49</v>
      </c>
      <c r="X2809" s="4">
        <v>5.3</v>
      </c>
      <c r="Y2809">
        <v>4</v>
      </c>
      <c r="Z2809" s="5">
        <v>155.19</v>
      </c>
    </row>
    <row r="2810" spans="1:26">
      <c r="A2810">
        <v>2809</v>
      </c>
      <c r="B2810">
        <v>923</v>
      </c>
      <c r="C2810" s="2">
        <v>46071</v>
      </c>
      <c r="D2810" t="s">
        <v>52</v>
      </c>
      <c r="E2810">
        <v>2</v>
      </c>
      <c r="F2810" s="3">
        <v>11.06</v>
      </c>
      <c r="G2810" t="s">
        <v>36</v>
      </c>
      <c r="H2810">
        <v>61</v>
      </c>
      <c r="I2810" t="s">
        <v>34</v>
      </c>
      <c r="J2810" s="4">
        <v>63.5</v>
      </c>
      <c r="K2810" s="4">
        <v>131.80000000000001</v>
      </c>
      <c r="L2810" s="4">
        <v>23</v>
      </c>
      <c r="M2810">
        <v>17</v>
      </c>
      <c r="N2810" t="s">
        <v>47</v>
      </c>
      <c r="O2810">
        <v>4</v>
      </c>
      <c r="P2810" s="4">
        <v>67.3</v>
      </c>
      <c r="Q2810" t="s">
        <v>42</v>
      </c>
      <c r="R2810">
        <v>0</v>
      </c>
      <c r="S2810" t="s">
        <v>44</v>
      </c>
      <c r="T2810">
        <v>0</v>
      </c>
      <c r="U2810">
        <v>0</v>
      </c>
      <c r="V2810" t="s">
        <v>32</v>
      </c>
      <c r="W2810" t="s">
        <v>49</v>
      </c>
      <c r="X2810" s="4">
        <v>6.5</v>
      </c>
      <c r="Y2810">
        <v>6</v>
      </c>
      <c r="Z2810" s="5">
        <v>157.02000000000001</v>
      </c>
    </row>
    <row r="2811" spans="1:26">
      <c r="A2811">
        <v>2810</v>
      </c>
      <c r="B2811">
        <v>923</v>
      </c>
      <c r="C2811" s="2">
        <v>46071</v>
      </c>
      <c r="D2811" t="s">
        <v>52</v>
      </c>
      <c r="E2811">
        <v>2</v>
      </c>
      <c r="F2811" s="3">
        <v>10.97</v>
      </c>
      <c r="G2811" t="s">
        <v>27</v>
      </c>
      <c r="H2811">
        <v>45</v>
      </c>
      <c r="I2811" t="s">
        <v>34</v>
      </c>
      <c r="J2811" s="4">
        <v>60.8</v>
      </c>
      <c r="K2811" s="4">
        <v>155.9</v>
      </c>
      <c r="L2811" s="4">
        <v>29.7</v>
      </c>
      <c r="M2811">
        <v>19</v>
      </c>
      <c r="N2811" t="s">
        <v>47</v>
      </c>
      <c r="O2811">
        <v>4</v>
      </c>
      <c r="P2811" s="4">
        <v>67.3</v>
      </c>
      <c r="Q2811" t="s">
        <v>42</v>
      </c>
      <c r="R2811">
        <v>0</v>
      </c>
      <c r="S2811" t="s">
        <v>44</v>
      </c>
      <c r="T2811">
        <v>0</v>
      </c>
      <c r="U2811">
        <v>0</v>
      </c>
      <c r="V2811" t="s">
        <v>32</v>
      </c>
      <c r="W2811" t="s">
        <v>49</v>
      </c>
      <c r="X2811" s="4">
        <v>6.8</v>
      </c>
      <c r="Y2811">
        <v>11</v>
      </c>
      <c r="Z2811" s="5">
        <v>130.08000000000001</v>
      </c>
    </row>
    <row r="2812" spans="1:26">
      <c r="A2812">
        <v>2811</v>
      </c>
      <c r="B2812">
        <v>924</v>
      </c>
      <c r="C2812" s="2">
        <v>46062</v>
      </c>
      <c r="D2812" t="s">
        <v>46</v>
      </c>
      <c r="E2812">
        <v>2</v>
      </c>
      <c r="F2812" s="3">
        <v>8.99</v>
      </c>
      <c r="G2812" t="s">
        <v>27</v>
      </c>
      <c r="H2812">
        <v>46</v>
      </c>
      <c r="I2812" t="s">
        <v>34</v>
      </c>
      <c r="J2812" s="4">
        <v>64.5</v>
      </c>
      <c r="K2812" s="4">
        <v>211.1</v>
      </c>
      <c r="L2812" s="4">
        <v>35.5</v>
      </c>
      <c r="M2812">
        <v>17</v>
      </c>
      <c r="N2812" t="s">
        <v>59</v>
      </c>
      <c r="O2812">
        <v>3</v>
      </c>
      <c r="P2812" s="4">
        <v>791.6</v>
      </c>
      <c r="Q2812" t="s">
        <v>48</v>
      </c>
      <c r="R2812">
        <v>1</v>
      </c>
      <c r="S2812" t="s">
        <v>31</v>
      </c>
      <c r="T2812">
        <v>1</v>
      </c>
      <c r="U2812">
        <v>0</v>
      </c>
      <c r="V2812" t="s">
        <v>64</v>
      </c>
      <c r="W2812" t="s">
        <v>39</v>
      </c>
      <c r="X2812" s="4">
        <v>11.9</v>
      </c>
      <c r="Y2812">
        <v>13</v>
      </c>
      <c r="Z2812" s="5">
        <v>387.91</v>
      </c>
    </row>
    <row r="2813" spans="1:26">
      <c r="A2813">
        <v>2812</v>
      </c>
      <c r="B2813">
        <v>924</v>
      </c>
      <c r="C2813" s="2">
        <v>46062</v>
      </c>
      <c r="D2813" t="s">
        <v>46</v>
      </c>
      <c r="E2813">
        <v>2</v>
      </c>
      <c r="F2813" s="3">
        <v>8.68</v>
      </c>
      <c r="G2813" t="s">
        <v>27</v>
      </c>
      <c r="H2813">
        <v>38</v>
      </c>
      <c r="I2813" t="s">
        <v>34</v>
      </c>
      <c r="J2813" s="4">
        <v>65.3</v>
      </c>
      <c r="K2813" s="4">
        <v>164.3</v>
      </c>
      <c r="L2813" s="4">
        <v>27.2</v>
      </c>
      <c r="M2813">
        <v>14</v>
      </c>
      <c r="N2813" t="s">
        <v>59</v>
      </c>
      <c r="O2813">
        <v>3</v>
      </c>
      <c r="P2813" s="4">
        <v>791.6</v>
      </c>
      <c r="Q2813" t="s">
        <v>48</v>
      </c>
      <c r="R2813">
        <v>1</v>
      </c>
      <c r="S2813" t="s">
        <v>31</v>
      </c>
      <c r="T2813">
        <v>1</v>
      </c>
      <c r="U2813">
        <v>0</v>
      </c>
      <c r="V2813" t="s">
        <v>64</v>
      </c>
      <c r="W2813" t="s">
        <v>39</v>
      </c>
      <c r="X2813" s="4">
        <v>9.6</v>
      </c>
      <c r="Y2813">
        <v>10</v>
      </c>
      <c r="Z2813" s="5">
        <v>206.18</v>
      </c>
    </row>
    <row r="2814" spans="1:26">
      <c r="A2814">
        <v>2813</v>
      </c>
      <c r="B2814">
        <v>924</v>
      </c>
      <c r="C2814" s="2">
        <v>46062</v>
      </c>
      <c r="D2814" t="s">
        <v>46</v>
      </c>
      <c r="E2814">
        <v>2</v>
      </c>
      <c r="F2814" s="3">
        <v>8.85</v>
      </c>
      <c r="G2814" t="s">
        <v>27</v>
      </c>
      <c r="H2814">
        <v>41</v>
      </c>
      <c r="I2814" t="s">
        <v>28</v>
      </c>
      <c r="J2814" s="4">
        <v>68.5</v>
      </c>
      <c r="K2814" s="4">
        <v>168.1</v>
      </c>
      <c r="L2814" s="4">
        <v>25.2</v>
      </c>
      <c r="M2814">
        <v>18</v>
      </c>
      <c r="N2814" t="s">
        <v>59</v>
      </c>
      <c r="O2814">
        <v>3</v>
      </c>
      <c r="P2814" s="4">
        <v>791.6</v>
      </c>
      <c r="Q2814" t="s">
        <v>48</v>
      </c>
      <c r="R2814">
        <v>1</v>
      </c>
      <c r="S2814" t="s">
        <v>31</v>
      </c>
      <c r="T2814">
        <v>1</v>
      </c>
      <c r="U2814">
        <v>0</v>
      </c>
      <c r="V2814" t="s">
        <v>64</v>
      </c>
      <c r="W2814" t="s">
        <v>39</v>
      </c>
      <c r="X2814" s="4">
        <v>11.3</v>
      </c>
      <c r="Y2814">
        <v>9</v>
      </c>
      <c r="Z2814" s="5">
        <v>266.8</v>
      </c>
    </row>
    <row r="2815" spans="1:26">
      <c r="A2815">
        <v>2814</v>
      </c>
      <c r="B2815">
        <v>925</v>
      </c>
      <c r="C2815" s="2">
        <v>46275</v>
      </c>
      <c r="D2815" t="s">
        <v>55</v>
      </c>
      <c r="E2815">
        <v>9</v>
      </c>
      <c r="F2815" s="3">
        <v>9.56</v>
      </c>
      <c r="G2815" t="s">
        <v>27</v>
      </c>
      <c r="H2815">
        <v>54</v>
      </c>
      <c r="I2815" t="s">
        <v>28</v>
      </c>
      <c r="J2815" s="4">
        <v>73.400000000000006</v>
      </c>
      <c r="K2815" s="4">
        <v>238.4</v>
      </c>
      <c r="L2815" s="4">
        <v>31.1</v>
      </c>
      <c r="M2815">
        <v>14</v>
      </c>
      <c r="N2815" t="s">
        <v>47</v>
      </c>
      <c r="O2815">
        <v>3</v>
      </c>
      <c r="P2815" s="4">
        <v>197.5</v>
      </c>
      <c r="Q2815" t="s">
        <v>30</v>
      </c>
      <c r="R2815">
        <v>0</v>
      </c>
      <c r="S2815" t="s">
        <v>31</v>
      </c>
      <c r="T2815">
        <v>1</v>
      </c>
      <c r="U2815">
        <v>0</v>
      </c>
      <c r="V2815" t="s">
        <v>32</v>
      </c>
      <c r="W2815" t="s">
        <v>39</v>
      </c>
      <c r="X2815" s="4">
        <v>9.1999999999999993</v>
      </c>
      <c r="Y2815">
        <v>7</v>
      </c>
      <c r="Z2815" s="5">
        <v>207.84</v>
      </c>
    </row>
    <row r="2816" spans="1:26">
      <c r="A2816">
        <v>2815</v>
      </c>
      <c r="B2816">
        <v>925</v>
      </c>
      <c r="C2816" s="2">
        <v>46275</v>
      </c>
      <c r="D2816" t="s">
        <v>55</v>
      </c>
      <c r="E2816">
        <v>9</v>
      </c>
      <c r="F2816" s="3">
        <v>9.4700000000000006</v>
      </c>
      <c r="G2816" t="s">
        <v>27</v>
      </c>
      <c r="H2816">
        <v>30</v>
      </c>
      <c r="I2816" t="s">
        <v>28</v>
      </c>
      <c r="J2816" s="4">
        <v>61.3</v>
      </c>
      <c r="K2816" s="4">
        <v>113.9</v>
      </c>
      <c r="L2816" s="4">
        <v>21.5</v>
      </c>
      <c r="M2816">
        <v>11</v>
      </c>
      <c r="N2816" t="s">
        <v>47</v>
      </c>
      <c r="O2816">
        <v>3</v>
      </c>
      <c r="P2816" s="4">
        <v>197.5</v>
      </c>
      <c r="Q2816" t="s">
        <v>30</v>
      </c>
      <c r="R2816">
        <v>0</v>
      </c>
      <c r="S2816" t="s">
        <v>31</v>
      </c>
      <c r="T2816">
        <v>1</v>
      </c>
      <c r="U2816">
        <v>0</v>
      </c>
      <c r="V2816" t="s">
        <v>32</v>
      </c>
      <c r="W2816" t="s">
        <v>39</v>
      </c>
      <c r="X2816" s="4">
        <v>5.8</v>
      </c>
      <c r="Y2816">
        <v>8</v>
      </c>
      <c r="Z2816" s="5">
        <v>120.99</v>
      </c>
    </row>
    <row r="2817" spans="1:26">
      <c r="A2817">
        <v>2816</v>
      </c>
      <c r="B2817">
        <v>925</v>
      </c>
      <c r="C2817" s="2">
        <v>46275</v>
      </c>
      <c r="D2817" t="s">
        <v>55</v>
      </c>
      <c r="E2817">
        <v>9</v>
      </c>
      <c r="F2817" s="3">
        <v>9.69</v>
      </c>
      <c r="G2817" t="s">
        <v>27</v>
      </c>
      <c r="H2817">
        <v>7</v>
      </c>
      <c r="I2817" t="s">
        <v>34</v>
      </c>
      <c r="J2817" s="4">
        <v>58.5</v>
      </c>
      <c r="K2817" s="4">
        <v>93.6</v>
      </c>
      <c r="L2817" s="4">
        <v>19</v>
      </c>
      <c r="M2817">
        <v>12</v>
      </c>
      <c r="N2817" t="s">
        <v>47</v>
      </c>
      <c r="O2817">
        <v>3</v>
      </c>
      <c r="P2817" s="4">
        <v>197.5</v>
      </c>
      <c r="Q2817" t="s">
        <v>30</v>
      </c>
      <c r="R2817">
        <v>0</v>
      </c>
      <c r="S2817" t="s">
        <v>31</v>
      </c>
      <c r="T2817">
        <v>1</v>
      </c>
      <c r="U2817">
        <v>0</v>
      </c>
      <c r="V2817" t="s">
        <v>32</v>
      </c>
      <c r="W2817" t="s">
        <v>39</v>
      </c>
      <c r="X2817" s="4">
        <v>7.2</v>
      </c>
      <c r="Y2817">
        <v>10</v>
      </c>
      <c r="Z2817" s="5">
        <v>173.94</v>
      </c>
    </row>
    <row r="2818" spans="1:26">
      <c r="A2818">
        <v>2817</v>
      </c>
      <c r="B2818">
        <v>926</v>
      </c>
      <c r="C2818" s="2">
        <v>46278</v>
      </c>
      <c r="D2818" t="s">
        <v>58</v>
      </c>
      <c r="E2818">
        <v>9</v>
      </c>
      <c r="F2818" s="3">
        <v>9.76</v>
      </c>
      <c r="G2818" t="s">
        <v>27</v>
      </c>
      <c r="H2818">
        <v>61</v>
      </c>
      <c r="I2818" t="s">
        <v>28</v>
      </c>
      <c r="J2818" s="4">
        <v>73.2</v>
      </c>
      <c r="K2818" s="4">
        <v>234.7</v>
      </c>
      <c r="L2818" s="4">
        <v>30.8</v>
      </c>
      <c r="M2818">
        <v>16</v>
      </c>
      <c r="N2818" t="s">
        <v>59</v>
      </c>
      <c r="O2818">
        <v>4</v>
      </c>
      <c r="P2818" s="4">
        <v>1204.2</v>
      </c>
      <c r="Q2818" t="s">
        <v>30</v>
      </c>
      <c r="R2818">
        <v>1</v>
      </c>
      <c r="S2818" t="s">
        <v>31</v>
      </c>
      <c r="T2818">
        <v>0</v>
      </c>
      <c r="U2818">
        <v>0</v>
      </c>
      <c r="V2818" t="s">
        <v>45</v>
      </c>
      <c r="W2818" t="s">
        <v>49</v>
      </c>
      <c r="X2818" s="4">
        <v>9.5</v>
      </c>
      <c r="Y2818">
        <v>9</v>
      </c>
      <c r="Z2818" s="5">
        <v>185.4</v>
      </c>
    </row>
    <row r="2819" spans="1:26">
      <c r="A2819">
        <v>2818</v>
      </c>
      <c r="B2819">
        <v>926</v>
      </c>
      <c r="C2819" s="2">
        <v>46278</v>
      </c>
      <c r="D2819" t="s">
        <v>58</v>
      </c>
      <c r="E2819">
        <v>9</v>
      </c>
      <c r="F2819" s="3">
        <v>9.64</v>
      </c>
      <c r="G2819" t="s">
        <v>27</v>
      </c>
      <c r="H2819">
        <v>67</v>
      </c>
      <c r="I2819" t="s">
        <v>28</v>
      </c>
      <c r="J2819" s="4">
        <v>72.400000000000006</v>
      </c>
      <c r="K2819" s="4">
        <v>164.8</v>
      </c>
      <c r="L2819" s="4">
        <v>22.3</v>
      </c>
      <c r="M2819">
        <v>17</v>
      </c>
      <c r="N2819" t="s">
        <v>59</v>
      </c>
      <c r="O2819">
        <v>4</v>
      </c>
      <c r="P2819" s="4">
        <v>1204.2</v>
      </c>
      <c r="Q2819" t="s">
        <v>30</v>
      </c>
      <c r="R2819">
        <v>1</v>
      </c>
      <c r="S2819" t="s">
        <v>31</v>
      </c>
      <c r="T2819">
        <v>0</v>
      </c>
      <c r="U2819">
        <v>0</v>
      </c>
      <c r="V2819" t="s">
        <v>45</v>
      </c>
      <c r="W2819" t="s">
        <v>49</v>
      </c>
      <c r="X2819" s="4">
        <v>8</v>
      </c>
      <c r="Y2819">
        <v>5</v>
      </c>
      <c r="Z2819" s="5">
        <v>259.86</v>
      </c>
    </row>
    <row r="2820" spans="1:26">
      <c r="A2820">
        <v>2819</v>
      </c>
      <c r="B2820">
        <v>926</v>
      </c>
      <c r="C2820" s="2">
        <v>46278</v>
      </c>
      <c r="D2820" t="s">
        <v>58</v>
      </c>
      <c r="E2820">
        <v>9</v>
      </c>
      <c r="F2820" s="3">
        <v>9.77</v>
      </c>
      <c r="G2820" t="s">
        <v>27</v>
      </c>
      <c r="H2820">
        <v>34</v>
      </c>
      <c r="I2820" t="s">
        <v>28</v>
      </c>
      <c r="J2820" s="4">
        <v>71.400000000000006</v>
      </c>
      <c r="K2820" s="4">
        <v>203.6</v>
      </c>
      <c r="L2820" s="4">
        <v>28</v>
      </c>
      <c r="M2820">
        <v>12</v>
      </c>
      <c r="N2820" t="s">
        <v>59</v>
      </c>
      <c r="O2820">
        <v>4</v>
      </c>
      <c r="P2820" s="4">
        <v>1204.2</v>
      </c>
      <c r="Q2820" t="s">
        <v>30</v>
      </c>
      <c r="R2820">
        <v>1</v>
      </c>
      <c r="S2820" t="s">
        <v>31</v>
      </c>
      <c r="T2820">
        <v>0</v>
      </c>
      <c r="U2820">
        <v>0</v>
      </c>
      <c r="V2820" t="s">
        <v>45</v>
      </c>
      <c r="W2820" t="s">
        <v>49</v>
      </c>
      <c r="X2820" s="4">
        <v>7.9</v>
      </c>
      <c r="Y2820">
        <v>7</v>
      </c>
      <c r="Z2820" s="5">
        <v>255.95</v>
      </c>
    </row>
    <row r="2821" spans="1:26">
      <c r="A2821">
        <v>2820</v>
      </c>
      <c r="B2821">
        <v>926</v>
      </c>
      <c r="C2821" s="2">
        <v>46278</v>
      </c>
      <c r="D2821" t="s">
        <v>58</v>
      </c>
      <c r="E2821">
        <v>9</v>
      </c>
      <c r="F2821" s="3">
        <v>9.5399999999999991</v>
      </c>
      <c r="G2821" t="s">
        <v>27</v>
      </c>
      <c r="H2821">
        <v>12</v>
      </c>
      <c r="I2821" t="s">
        <v>34</v>
      </c>
      <c r="J2821" s="4">
        <v>66</v>
      </c>
      <c r="K2821" s="4">
        <v>161.30000000000001</v>
      </c>
      <c r="L2821" s="4">
        <v>26</v>
      </c>
      <c r="M2821">
        <v>11</v>
      </c>
      <c r="N2821" t="s">
        <v>59</v>
      </c>
      <c r="O2821">
        <v>4</v>
      </c>
      <c r="P2821" s="4">
        <v>1204.2</v>
      </c>
      <c r="Q2821" t="s">
        <v>30</v>
      </c>
      <c r="R2821">
        <v>1</v>
      </c>
      <c r="S2821" t="s">
        <v>31</v>
      </c>
      <c r="T2821">
        <v>0</v>
      </c>
      <c r="U2821">
        <v>0</v>
      </c>
      <c r="V2821" t="s">
        <v>45</v>
      </c>
      <c r="W2821" t="s">
        <v>49</v>
      </c>
      <c r="X2821" s="4">
        <v>8.9</v>
      </c>
      <c r="Y2821">
        <v>11</v>
      </c>
      <c r="Z2821" s="5">
        <v>254.34</v>
      </c>
    </row>
    <row r="2822" spans="1:26">
      <c r="A2822">
        <v>2821</v>
      </c>
      <c r="B2822">
        <v>927</v>
      </c>
      <c r="C2822" s="2">
        <v>46259</v>
      </c>
      <c r="D2822" t="s">
        <v>35</v>
      </c>
      <c r="E2822">
        <v>8</v>
      </c>
      <c r="F2822" s="3">
        <v>9.82</v>
      </c>
      <c r="G2822" t="s">
        <v>27</v>
      </c>
      <c r="H2822">
        <v>5</v>
      </c>
      <c r="I2822" t="s">
        <v>34</v>
      </c>
      <c r="J2822" s="4">
        <v>56.1</v>
      </c>
      <c r="K2822" s="4">
        <v>70.2</v>
      </c>
      <c r="L2822" s="4">
        <v>15.6</v>
      </c>
      <c r="M2822">
        <v>12</v>
      </c>
      <c r="N2822" t="s">
        <v>41</v>
      </c>
      <c r="O2822">
        <v>3</v>
      </c>
      <c r="P2822" s="4">
        <v>2479.6999999999998</v>
      </c>
      <c r="Q2822" t="s">
        <v>42</v>
      </c>
      <c r="R2822">
        <v>1</v>
      </c>
      <c r="S2822" t="s">
        <v>31</v>
      </c>
      <c r="T2822">
        <v>1</v>
      </c>
      <c r="U2822">
        <v>1</v>
      </c>
      <c r="V2822" t="s">
        <v>32</v>
      </c>
      <c r="W2822" t="s">
        <v>33</v>
      </c>
      <c r="X2822" s="4">
        <v>8.5</v>
      </c>
      <c r="Y2822">
        <v>16</v>
      </c>
      <c r="Z2822" s="5">
        <v>374.96</v>
      </c>
    </row>
    <row r="2823" spans="1:26">
      <c r="A2823">
        <v>2822</v>
      </c>
      <c r="B2823">
        <v>927</v>
      </c>
      <c r="C2823" s="2">
        <v>46259</v>
      </c>
      <c r="D2823" t="s">
        <v>35</v>
      </c>
      <c r="E2823">
        <v>8</v>
      </c>
      <c r="F2823" s="3">
        <v>9.84</v>
      </c>
      <c r="G2823" t="s">
        <v>27</v>
      </c>
      <c r="H2823">
        <v>28</v>
      </c>
      <c r="I2823" t="s">
        <v>28</v>
      </c>
      <c r="J2823" s="4">
        <v>65.7</v>
      </c>
      <c r="K2823" s="4">
        <v>191.5</v>
      </c>
      <c r="L2823" s="4">
        <v>31.2</v>
      </c>
      <c r="M2823">
        <v>15</v>
      </c>
      <c r="N2823" t="s">
        <v>41</v>
      </c>
      <c r="O2823">
        <v>3</v>
      </c>
      <c r="P2823" s="4">
        <v>2479.6999999999998</v>
      </c>
      <c r="Q2823" t="s">
        <v>42</v>
      </c>
      <c r="R2823">
        <v>1</v>
      </c>
      <c r="S2823" t="s">
        <v>31</v>
      </c>
      <c r="T2823">
        <v>1</v>
      </c>
      <c r="U2823">
        <v>1</v>
      </c>
      <c r="V2823" t="s">
        <v>32</v>
      </c>
      <c r="W2823" t="s">
        <v>33</v>
      </c>
      <c r="X2823" s="4">
        <v>13.3</v>
      </c>
      <c r="Y2823">
        <v>16</v>
      </c>
      <c r="Z2823" s="5">
        <v>398.1</v>
      </c>
    </row>
    <row r="2824" spans="1:26">
      <c r="A2824">
        <v>2823</v>
      </c>
      <c r="B2824">
        <v>927</v>
      </c>
      <c r="C2824" s="2">
        <v>46259</v>
      </c>
      <c r="D2824" t="s">
        <v>35</v>
      </c>
      <c r="E2824">
        <v>8</v>
      </c>
      <c r="F2824" s="3">
        <v>10.1</v>
      </c>
      <c r="G2824" t="s">
        <v>27</v>
      </c>
      <c r="H2824">
        <v>31</v>
      </c>
      <c r="I2824" t="s">
        <v>28</v>
      </c>
      <c r="J2824" s="4">
        <v>66</v>
      </c>
      <c r="K2824" s="4">
        <v>174.7</v>
      </c>
      <c r="L2824" s="4">
        <v>28.6</v>
      </c>
      <c r="M2824">
        <v>15</v>
      </c>
      <c r="N2824" t="s">
        <v>41</v>
      </c>
      <c r="O2824">
        <v>3</v>
      </c>
      <c r="P2824" s="4">
        <v>2479.6999999999998</v>
      </c>
      <c r="Q2824" t="s">
        <v>42</v>
      </c>
      <c r="R2824">
        <v>1</v>
      </c>
      <c r="S2824" t="s">
        <v>31</v>
      </c>
      <c r="T2824">
        <v>1</v>
      </c>
      <c r="U2824">
        <v>1</v>
      </c>
      <c r="V2824" t="s">
        <v>32</v>
      </c>
      <c r="W2824" t="s">
        <v>33</v>
      </c>
      <c r="X2824" s="4">
        <v>8.1999999999999993</v>
      </c>
      <c r="Y2824">
        <v>6</v>
      </c>
      <c r="Z2824" s="5">
        <v>155.66999999999999</v>
      </c>
    </row>
    <row r="2825" spans="1:26">
      <c r="A2825">
        <v>2824</v>
      </c>
      <c r="B2825">
        <v>928</v>
      </c>
      <c r="C2825" s="2">
        <v>46318</v>
      </c>
      <c r="D2825" t="s">
        <v>26</v>
      </c>
      <c r="E2825">
        <v>10</v>
      </c>
      <c r="F2825" s="3">
        <v>9.0500000000000007</v>
      </c>
      <c r="G2825" t="s">
        <v>27</v>
      </c>
      <c r="H2825">
        <v>42</v>
      </c>
      <c r="I2825" t="s">
        <v>28</v>
      </c>
      <c r="J2825" s="4">
        <v>73.400000000000006</v>
      </c>
      <c r="K2825" s="4">
        <v>190</v>
      </c>
      <c r="L2825" s="4">
        <v>24.8</v>
      </c>
      <c r="M2825">
        <v>15</v>
      </c>
      <c r="N2825" t="s">
        <v>56</v>
      </c>
      <c r="O2825">
        <v>6</v>
      </c>
      <c r="P2825" s="4">
        <v>253</v>
      </c>
      <c r="Q2825" t="s">
        <v>42</v>
      </c>
      <c r="R2825">
        <v>0</v>
      </c>
      <c r="S2825" t="s">
        <v>38</v>
      </c>
      <c r="T2825">
        <v>0</v>
      </c>
      <c r="U2825">
        <v>0</v>
      </c>
      <c r="V2825" t="s">
        <v>32</v>
      </c>
      <c r="W2825" t="s">
        <v>49</v>
      </c>
      <c r="X2825" s="4">
        <v>5.7</v>
      </c>
      <c r="Y2825">
        <v>6</v>
      </c>
      <c r="Z2825" s="5">
        <v>108.56</v>
      </c>
    </row>
    <row r="2826" spans="1:26">
      <c r="A2826">
        <v>2825</v>
      </c>
      <c r="B2826">
        <v>928</v>
      </c>
      <c r="C2826" s="2">
        <v>46318</v>
      </c>
      <c r="D2826" t="s">
        <v>26</v>
      </c>
      <c r="E2826">
        <v>10</v>
      </c>
      <c r="F2826" s="3">
        <v>9.41</v>
      </c>
      <c r="G2826" t="s">
        <v>27</v>
      </c>
      <c r="H2826">
        <v>57</v>
      </c>
      <c r="I2826" t="s">
        <v>28</v>
      </c>
      <c r="J2826" s="4">
        <v>68.900000000000006</v>
      </c>
      <c r="K2826" s="4">
        <v>210.7</v>
      </c>
      <c r="L2826" s="4">
        <v>31.1</v>
      </c>
      <c r="M2826">
        <v>15</v>
      </c>
      <c r="N2826" t="s">
        <v>56</v>
      </c>
      <c r="O2826">
        <v>6</v>
      </c>
      <c r="P2826" s="4">
        <v>253</v>
      </c>
      <c r="Q2826" t="s">
        <v>42</v>
      </c>
      <c r="R2826">
        <v>0</v>
      </c>
      <c r="S2826" t="s">
        <v>38</v>
      </c>
      <c r="T2826">
        <v>0</v>
      </c>
      <c r="U2826">
        <v>0</v>
      </c>
      <c r="V2826" t="s">
        <v>32</v>
      </c>
      <c r="W2826" t="s">
        <v>49</v>
      </c>
      <c r="X2826" s="4">
        <v>9.6999999999999993</v>
      </c>
      <c r="Y2826">
        <v>7</v>
      </c>
      <c r="Z2826" s="5">
        <v>151.30000000000001</v>
      </c>
    </row>
    <row r="2827" spans="1:26">
      <c r="A2827">
        <v>2826</v>
      </c>
      <c r="B2827">
        <v>928</v>
      </c>
      <c r="C2827" s="2">
        <v>46318</v>
      </c>
      <c r="D2827" t="s">
        <v>26</v>
      </c>
      <c r="E2827">
        <v>10</v>
      </c>
      <c r="F2827" s="3">
        <v>8.98</v>
      </c>
      <c r="G2827" t="s">
        <v>27</v>
      </c>
      <c r="H2827">
        <v>76</v>
      </c>
      <c r="I2827" t="s">
        <v>51</v>
      </c>
      <c r="J2827" s="4">
        <v>66.2</v>
      </c>
      <c r="K2827" s="4">
        <v>170</v>
      </c>
      <c r="L2827" s="4">
        <v>27.5</v>
      </c>
      <c r="M2827">
        <v>18</v>
      </c>
      <c r="N2827" t="s">
        <v>56</v>
      </c>
      <c r="O2827">
        <v>6</v>
      </c>
      <c r="P2827" s="4">
        <v>253</v>
      </c>
      <c r="Q2827" t="s">
        <v>42</v>
      </c>
      <c r="R2827">
        <v>0</v>
      </c>
      <c r="S2827" t="s">
        <v>38</v>
      </c>
      <c r="T2827">
        <v>0</v>
      </c>
      <c r="U2827">
        <v>0</v>
      </c>
      <c r="V2827" t="s">
        <v>32</v>
      </c>
      <c r="W2827" t="s">
        <v>49</v>
      </c>
      <c r="X2827" s="4">
        <v>7.7</v>
      </c>
      <c r="Y2827">
        <v>12</v>
      </c>
      <c r="Z2827" s="5">
        <v>189.11</v>
      </c>
    </row>
    <row r="2828" spans="1:26">
      <c r="A2828">
        <v>2827</v>
      </c>
      <c r="B2828">
        <v>928</v>
      </c>
      <c r="C2828" s="2">
        <v>46318</v>
      </c>
      <c r="D2828" t="s">
        <v>26</v>
      </c>
      <c r="E2828">
        <v>10</v>
      </c>
      <c r="F2828" s="3">
        <v>9.18</v>
      </c>
      <c r="G2828" t="s">
        <v>27</v>
      </c>
      <c r="H2828">
        <v>76</v>
      </c>
      <c r="I2828" t="s">
        <v>28</v>
      </c>
      <c r="J2828" s="4">
        <v>72.5</v>
      </c>
      <c r="K2828" s="4">
        <v>209.3</v>
      </c>
      <c r="L2828" s="4">
        <v>27.9</v>
      </c>
      <c r="M2828">
        <v>17</v>
      </c>
      <c r="N2828" t="s">
        <v>56</v>
      </c>
      <c r="O2828">
        <v>6</v>
      </c>
      <c r="P2828" s="4">
        <v>253</v>
      </c>
      <c r="Q2828" t="s">
        <v>42</v>
      </c>
      <c r="R2828">
        <v>0</v>
      </c>
      <c r="S2828" t="s">
        <v>38</v>
      </c>
      <c r="T2828">
        <v>0</v>
      </c>
      <c r="U2828">
        <v>0</v>
      </c>
      <c r="V2828" t="s">
        <v>32</v>
      </c>
      <c r="W2828" t="s">
        <v>49</v>
      </c>
      <c r="X2828" s="4">
        <v>5.8</v>
      </c>
      <c r="Y2828">
        <v>8</v>
      </c>
      <c r="Z2828" s="5">
        <v>229.58</v>
      </c>
    </row>
    <row r="2829" spans="1:26">
      <c r="A2829">
        <v>2828</v>
      </c>
      <c r="B2829">
        <v>928</v>
      </c>
      <c r="C2829" s="2">
        <v>46318</v>
      </c>
      <c r="D2829" t="s">
        <v>26</v>
      </c>
      <c r="E2829">
        <v>10</v>
      </c>
      <c r="F2829" s="3">
        <v>9.27</v>
      </c>
      <c r="G2829" t="s">
        <v>27</v>
      </c>
      <c r="H2829">
        <v>40</v>
      </c>
      <c r="I2829" t="s">
        <v>34</v>
      </c>
      <c r="J2829" s="4">
        <v>71.8</v>
      </c>
      <c r="K2829" s="4">
        <v>164.2</v>
      </c>
      <c r="L2829" s="4">
        <v>22.3</v>
      </c>
      <c r="M2829">
        <v>14</v>
      </c>
      <c r="N2829" t="s">
        <v>56</v>
      </c>
      <c r="O2829">
        <v>6</v>
      </c>
      <c r="P2829" s="4">
        <v>253</v>
      </c>
      <c r="Q2829" t="s">
        <v>42</v>
      </c>
      <c r="R2829">
        <v>0</v>
      </c>
      <c r="S2829" t="s">
        <v>38</v>
      </c>
      <c r="T2829">
        <v>0</v>
      </c>
      <c r="U2829">
        <v>0</v>
      </c>
      <c r="V2829" t="s">
        <v>32</v>
      </c>
      <c r="W2829" t="s">
        <v>49</v>
      </c>
      <c r="X2829" s="4">
        <v>10.7</v>
      </c>
      <c r="Y2829">
        <v>11</v>
      </c>
      <c r="Z2829" s="5">
        <v>240.95</v>
      </c>
    </row>
    <row r="2830" spans="1:26">
      <c r="A2830">
        <v>2829</v>
      </c>
      <c r="B2830">
        <v>928</v>
      </c>
      <c r="C2830" s="2">
        <v>46318</v>
      </c>
      <c r="D2830" t="s">
        <v>26</v>
      </c>
      <c r="E2830">
        <v>10</v>
      </c>
      <c r="F2830" s="3">
        <v>9.27</v>
      </c>
      <c r="G2830" t="s">
        <v>27</v>
      </c>
      <c r="H2830">
        <v>29</v>
      </c>
      <c r="I2830" t="s">
        <v>34</v>
      </c>
      <c r="J2830" s="4">
        <v>65.8</v>
      </c>
      <c r="K2830" s="4">
        <v>149</v>
      </c>
      <c r="L2830" s="4">
        <v>24.1</v>
      </c>
      <c r="M2830">
        <v>18</v>
      </c>
      <c r="N2830" t="s">
        <v>56</v>
      </c>
      <c r="O2830">
        <v>6</v>
      </c>
      <c r="P2830" s="4">
        <v>253</v>
      </c>
      <c r="Q2830" t="s">
        <v>42</v>
      </c>
      <c r="R2830">
        <v>0</v>
      </c>
      <c r="S2830" t="s">
        <v>38</v>
      </c>
      <c r="T2830">
        <v>0</v>
      </c>
      <c r="U2830">
        <v>0</v>
      </c>
      <c r="V2830" t="s">
        <v>32</v>
      </c>
      <c r="W2830" t="s">
        <v>49</v>
      </c>
      <c r="X2830" s="4">
        <v>7.8</v>
      </c>
      <c r="Y2830">
        <v>9</v>
      </c>
      <c r="Z2830" s="5">
        <v>171.67</v>
      </c>
    </row>
    <row r="2831" spans="1:26">
      <c r="A2831">
        <v>2830</v>
      </c>
      <c r="B2831">
        <v>929</v>
      </c>
      <c r="C2831" s="2">
        <v>46077</v>
      </c>
      <c r="D2831" t="s">
        <v>35</v>
      </c>
      <c r="E2831">
        <v>2</v>
      </c>
      <c r="F2831" s="3">
        <v>12.37</v>
      </c>
      <c r="G2831" t="s">
        <v>36</v>
      </c>
      <c r="H2831">
        <v>6</v>
      </c>
      <c r="I2831" t="s">
        <v>28</v>
      </c>
      <c r="J2831" s="4">
        <v>63.5</v>
      </c>
      <c r="K2831" s="4">
        <v>114.7</v>
      </c>
      <c r="L2831" s="4">
        <v>19.8</v>
      </c>
      <c r="M2831">
        <v>15</v>
      </c>
      <c r="N2831" t="s">
        <v>56</v>
      </c>
      <c r="O2831">
        <v>3</v>
      </c>
      <c r="P2831" s="4">
        <v>218.9</v>
      </c>
      <c r="Q2831" t="s">
        <v>48</v>
      </c>
      <c r="R2831">
        <v>0</v>
      </c>
      <c r="S2831" t="s">
        <v>44</v>
      </c>
      <c r="T2831">
        <v>1</v>
      </c>
      <c r="U2831">
        <v>0</v>
      </c>
      <c r="V2831" t="s">
        <v>32</v>
      </c>
      <c r="W2831" t="s">
        <v>49</v>
      </c>
      <c r="X2831" s="4">
        <v>6.8</v>
      </c>
      <c r="Y2831">
        <v>8</v>
      </c>
      <c r="Z2831" s="5">
        <v>271.85000000000002</v>
      </c>
    </row>
    <row r="2832" spans="1:26">
      <c r="A2832">
        <v>2831</v>
      </c>
      <c r="B2832">
        <v>929</v>
      </c>
      <c r="C2832" s="2">
        <v>46077</v>
      </c>
      <c r="D2832" t="s">
        <v>35</v>
      </c>
      <c r="E2832">
        <v>2</v>
      </c>
      <c r="F2832" s="3">
        <v>12.52</v>
      </c>
      <c r="G2832" t="s">
        <v>36</v>
      </c>
      <c r="H2832">
        <v>70</v>
      </c>
      <c r="I2832" t="s">
        <v>34</v>
      </c>
      <c r="J2832" s="4">
        <v>63.1</v>
      </c>
      <c r="K2832" s="4">
        <v>131.30000000000001</v>
      </c>
      <c r="L2832" s="4">
        <v>23.3</v>
      </c>
      <c r="M2832">
        <v>17</v>
      </c>
      <c r="N2832" t="s">
        <v>56</v>
      </c>
      <c r="O2832">
        <v>3</v>
      </c>
      <c r="P2832" s="4">
        <v>218.9</v>
      </c>
      <c r="Q2832" t="s">
        <v>48</v>
      </c>
      <c r="R2832">
        <v>0</v>
      </c>
      <c r="S2832" t="s">
        <v>44</v>
      </c>
      <c r="T2832">
        <v>1</v>
      </c>
      <c r="U2832">
        <v>0</v>
      </c>
      <c r="V2832" t="s">
        <v>32</v>
      </c>
      <c r="W2832" t="s">
        <v>49</v>
      </c>
      <c r="X2832" s="4">
        <v>7.7</v>
      </c>
      <c r="Y2832">
        <v>8</v>
      </c>
      <c r="Z2832" s="5">
        <v>286.33999999999997</v>
      </c>
    </row>
    <row r="2833" spans="1:26">
      <c r="A2833">
        <v>2832</v>
      </c>
      <c r="B2833">
        <v>929</v>
      </c>
      <c r="C2833" s="2">
        <v>46077</v>
      </c>
      <c r="D2833" t="s">
        <v>35</v>
      </c>
      <c r="E2833">
        <v>2</v>
      </c>
      <c r="F2833" s="3">
        <v>12.47</v>
      </c>
      <c r="G2833" t="s">
        <v>36</v>
      </c>
      <c r="H2833">
        <v>51</v>
      </c>
      <c r="I2833" t="s">
        <v>28</v>
      </c>
      <c r="J2833" s="4">
        <v>69.7</v>
      </c>
      <c r="K2833" s="4">
        <v>151.30000000000001</v>
      </c>
      <c r="L2833" s="4">
        <v>22.1</v>
      </c>
      <c r="M2833">
        <v>16</v>
      </c>
      <c r="N2833" t="s">
        <v>56</v>
      </c>
      <c r="O2833">
        <v>3</v>
      </c>
      <c r="P2833" s="4">
        <v>218.9</v>
      </c>
      <c r="Q2833" t="s">
        <v>48</v>
      </c>
      <c r="R2833">
        <v>0</v>
      </c>
      <c r="S2833" t="s">
        <v>44</v>
      </c>
      <c r="T2833">
        <v>1</v>
      </c>
      <c r="U2833">
        <v>0</v>
      </c>
      <c r="V2833" t="s">
        <v>32</v>
      </c>
      <c r="W2833" t="s">
        <v>49</v>
      </c>
      <c r="X2833" s="4">
        <v>9.3000000000000007</v>
      </c>
      <c r="Y2833">
        <v>5</v>
      </c>
      <c r="Z2833" s="5">
        <v>299.36</v>
      </c>
    </row>
    <row r="2834" spans="1:26">
      <c r="A2834">
        <v>2833</v>
      </c>
      <c r="B2834">
        <v>930</v>
      </c>
      <c r="C2834" s="2">
        <v>46102</v>
      </c>
      <c r="D2834" t="s">
        <v>40</v>
      </c>
      <c r="E2834">
        <v>3</v>
      </c>
      <c r="F2834" s="3">
        <v>10.67</v>
      </c>
      <c r="G2834" t="s">
        <v>27</v>
      </c>
      <c r="H2834">
        <v>26</v>
      </c>
      <c r="I2834" t="s">
        <v>34</v>
      </c>
      <c r="J2834" s="4">
        <v>69.7</v>
      </c>
      <c r="K2834" s="4">
        <v>153.6</v>
      </c>
      <c r="L2834" s="4">
        <v>22.2</v>
      </c>
      <c r="M2834">
        <v>11</v>
      </c>
      <c r="N2834" t="s">
        <v>50</v>
      </c>
      <c r="O2834">
        <v>2</v>
      </c>
      <c r="P2834" s="4">
        <v>281</v>
      </c>
      <c r="Q2834" t="s">
        <v>30</v>
      </c>
      <c r="R2834">
        <v>1</v>
      </c>
      <c r="S2834" t="s">
        <v>31</v>
      </c>
      <c r="T2834">
        <v>0</v>
      </c>
      <c r="U2834">
        <v>0</v>
      </c>
      <c r="V2834" t="s">
        <v>32</v>
      </c>
      <c r="W2834" t="s">
        <v>39</v>
      </c>
      <c r="X2834" s="4">
        <v>4.9000000000000004</v>
      </c>
      <c r="Y2834">
        <v>3</v>
      </c>
      <c r="Z2834" s="5">
        <v>201.62</v>
      </c>
    </row>
    <row r="2835" spans="1:26">
      <c r="A2835">
        <v>2834</v>
      </c>
      <c r="B2835">
        <v>930</v>
      </c>
      <c r="C2835" s="2">
        <v>46102</v>
      </c>
      <c r="D2835" t="s">
        <v>40</v>
      </c>
      <c r="E2835">
        <v>3</v>
      </c>
      <c r="F2835" s="3">
        <v>10.71</v>
      </c>
      <c r="G2835" t="s">
        <v>27</v>
      </c>
      <c r="H2835">
        <v>31</v>
      </c>
      <c r="I2835" t="s">
        <v>28</v>
      </c>
      <c r="J2835" s="4">
        <v>68.3</v>
      </c>
      <c r="K2835" s="4">
        <v>151</v>
      </c>
      <c r="L2835" s="4">
        <v>22.7</v>
      </c>
      <c r="M2835">
        <v>13</v>
      </c>
      <c r="N2835" t="s">
        <v>50</v>
      </c>
      <c r="O2835">
        <v>2</v>
      </c>
      <c r="P2835" s="4">
        <v>281</v>
      </c>
      <c r="Q2835" t="s">
        <v>30</v>
      </c>
      <c r="R2835">
        <v>1</v>
      </c>
      <c r="S2835" t="s">
        <v>31</v>
      </c>
      <c r="T2835">
        <v>0</v>
      </c>
      <c r="U2835">
        <v>0</v>
      </c>
      <c r="V2835" t="s">
        <v>32</v>
      </c>
      <c r="W2835" t="s">
        <v>39</v>
      </c>
      <c r="X2835" s="4">
        <v>8.6</v>
      </c>
      <c r="Y2835">
        <v>6</v>
      </c>
      <c r="Z2835" s="5">
        <v>300.79000000000002</v>
      </c>
    </row>
    <row r="2836" spans="1:26">
      <c r="A2836">
        <v>2835</v>
      </c>
      <c r="B2836">
        <v>931</v>
      </c>
      <c r="C2836" s="2">
        <v>46304</v>
      </c>
      <c r="D2836" t="s">
        <v>26</v>
      </c>
      <c r="E2836">
        <v>10</v>
      </c>
      <c r="F2836" s="3">
        <v>8.69</v>
      </c>
      <c r="G2836" t="s">
        <v>27</v>
      </c>
      <c r="H2836">
        <v>61</v>
      </c>
      <c r="I2836" t="s">
        <v>34</v>
      </c>
      <c r="J2836" s="4">
        <v>62.6</v>
      </c>
      <c r="K2836" s="4">
        <v>135.69999999999999</v>
      </c>
      <c r="L2836" s="4">
        <v>24.4</v>
      </c>
      <c r="M2836">
        <v>21</v>
      </c>
      <c r="N2836" t="s">
        <v>56</v>
      </c>
      <c r="O2836">
        <v>4</v>
      </c>
      <c r="P2836" s="4">
        <v>309.39999999999998</v>
      </c>
      <c r="Q2836" t="s">
        <v>48</v>
      </c>
      <c r="R2836">
        <v>0</v>
      </c>
      <c r="S2836" t="s">
        <v>38</v>
      </c>
      <c r="T2836">
        <v>0</v>
      </c>
      <c r="U2836">
        <v>0</v>
      </c>
      <c r="V2836" t="s">
        <v>32</v>
      </c>
      <c r="W2836" t="s">
        <v>39</v>
      </c>
      <c r="X2836" s="4">
        <v>8.6999999999999993</v>
      </c>
      <c r="Y2836">
        <v>14</v>
      </c>
      <c r="Z2836" s="5">
        <v>183.29</v>
      </c>
    </row>
    <row r="2837" spans="1:26">
      <c r="A2837">
        <v>2836</v>
      </c>
      <c r="B2837">
        <v>931</v>
      </c>
      <c r="C2837" s="2">
        <v>46304</v>
      </c>
      <c r="D2837" t="s">
        <v>26</v>
      </c>
      <c r="E2837">
        <v>10</v>
      </c>
      <c r="F2837" s="3">
        <v>8.66</v>
      </c>
      <c r="G2837" t="s">
        <v>27</v>
      </c>
      <c r="H2837">
        <v>44</v>
      </c>
      <c r="I2837" t="s">
        <v>28</v>
      </c>
      <c r="J2837" s="4">
        <v>75.7</v>
      </c>
      <c r="K2837" s="4">
        <v>209.3</v>
      </c>
      <c r="L2837" s="4">
        <v>25.8</v>
      </c>
      <c r="M2837">
        <v>17</v>
      </c>
      <c r="N2837" t="s">
        <v>56</v>
      </c>
      <c r="O2837">
        <v>4</v>
      </c>
      <c r="P2837" s="4">
        <v>309.39999999999998</v>
      </c>
      <c r="Q2837" t="s">
        <v>48</v>
      </c>
      <c r="R2837">
        <v>0</v>
      </c>
      <c r="S2837" t="s">
        <v>38</v>
      </c>
      <c r="T2837">
        <v>0</v>
      </c>
      <c r="U2837">
        <v>0</v>
      </c>
      <c r="V2837" t="s">
        <v>32</v>
      </c>
      <c r="W2837" t="s">
        <v>39</v>
      </c>
      <c r="X2837" s="4">
        <v>12.9</v>
      </c>
      <c r="Y2837">
        <v>13</v>
      </c>
      <c r="Z2837" s="5">
        <v>450.39</v>
      </c>
    </row>
    <row r="2838" spans="1:26">
      <c r="A2838">
        <v>2837</v>
      </c>
      <c r="B2838">
        <v>931</v>
      </c>
      <c r="C2838" s="2">
        <v>46304</v>
      </c>
      <c r="D2838" t="s">
        <v>26</v>
      </c>
      <c r="E2838">
        <v>10</v>
      </c>
      <c r="F2838" s="3">
        <v>8.6</v>
      </c>
      <c r="G2838" t="s">
        <v>27</v>
      </c>
      <c r="H2838">
        <v>58</v>
      </c>
      <c r="I2838" t="s">
        <v>28</v>
      </c>
      <c r="J2838" s="4">
        <v>68.7</v>
      </c>
      <c r="K2838" s="4">
        <v>221.7</v>
      </c>
      <c r="L2838" s="4">
        <v>33.1</v>
      </c>
      <c r="M2838">
        <v>18</v>
      </c>
      <c r="N2838" t="s">
        <v>56</v>
      </c>
      <c r="O2838">
        <v>4</v>
      </c>
      <c r="P2838" s="4">
        <v>309.39999999999998</v>
      </c>
      <c r="Q2838" t="s">
        <v>48</v>
      </c>
      <c r="R2838">
        <v>0</v>
      </c>
      <c r="S2838" t="s">
        <v>38</v>
      </c>
      <c r="T2838">
        <v>0</v>
      </c>
      <c r="U2838">
        <v>0</v>
      </c>
      <c r="V2838" t="s">
        <v>32</v>
      </c>
      <c r="W2838" t="s">
        <v>39</v>
      </c>
      <c r="X2838" s="4">
        <v>6</v>
      </c>
      <c r="Y2838">
        <v>6</v>
      </c>
      <c r="Z2838" s="5">
        <v>145.88</v>
      </c>
    </row>
    <row r="2839" spans="1:26">
      <c r="A2839">
        <v>2838</v>
      </c>
      <c r="B2839">
        <v>931</v>
      </c>
      <c r="C2839" s="2">
        <v>46304</v>
      </c>
      <c r="D2839" t="s">
        <v>26</v>
      </c>
      <c r="E2839">
        <v>10</v>
      </c>
      <c r="F2839" s="3">
        <v>8.6199999999999992</v>
      </c>
      <c r="G2839" t="s">
        <v>27</v>
      </c>
      <c r="H2839">
        <v>50</v>
      </c>
      <c r="I2839" t="s">
        <v>34</v>
      </c>
      <c r="J2839" s="4">
        <v>66.400000000000006</v>
      </c>
      <c r="K2839" s="4">
        <v>156.5</v>
      </c>
      <c r="L2839" s="4">
        <v>24.8</v>
      </c>
      <c r="M2839">
        <v>16</v>
      </c>
      <c r="N2839" t="s">
        <v>56</v>
      </c>
      <c r="O2839">
        <v>4</v>
      </c>
      <c r="P2839" s="4">
        <v>309.39999999999998</v>
      </c>
      <c r="Q2839" t="s">
        <v>48</v>
      </c>
      <c r="R2839">
        <v>0</v>
      </c>
      <c r="S2839" t="s">
        <v>38</v>
      </c>
      <c r="T2839">
        <v>0</v>
      </c>
      <c r="U2839">
        <v>0</v>
      </c>
      <c r="V2839" t="s">
        <v>32</v>
      </c>
      <c r="W2839" t="s">
        <v>39</v>
      </c>
      <c r="X2839" s="4">
        <v>9.4</v>
      </c>
      <c r="Y2839">
        <v>10</v>
      </c>
      <c r="Z2839" s="5">
        <v>226.13</v>
      </c>
    </row>
    <row r="2840" spans="1:26">
      <c r="A2840">
        <v>2839</v>
      </c>
      <c r="B2840">
        <v>932</v>
      </c>
      <c r="C2840" s="2">
        <v>46115</v>
      </c>
      <c r="D2840" t="s">
        <v>26</v>
      </c>
      <c r="E2840">
        <v>4</v>
      </c>
      <c r="F2840" s="3">
        <v>10.47</v>
      </c>
      <c r="G2840" t="s">
        <v>27</v>
      </c>
      <c r="H2840">
        <v>55</v>
      </c>
      <c r="I2840" t="s">
        <v>28</v>
      </c>
      <c r="J2840" s="4">
        <v>70.5</v>
      </c>
      <c r="K2840" s="4">
        <v>140.5</v>
      </c>
      <c r="L2840" s="4">
        <v>19.899999999999999</v>
      </c>
      <c r="M2840">
        <v>17</v>
      </c>
      <c r="N2840" t="s">
        <v>59</v>
      </c>
      <c r="O2840">
        <v>3</v>
      </c>
      <c r="P2840" s="4">
        <v>861.2</v>
      </c>
      <c r="Q2840" t="s">
        <v>48</v>
      </c>
      <c r="R2840">
        <v>1</v>
      </c>
      <c r="S2840" t="s">
        <v>31</v>
      </c>
      <c r="T2840">
        <v>0</v>
      </c>
      <c r="U2840">
        <v>0</v>
      </c>
      <c r="V2840" t="s">
        <v>32</v>
      </c>
      <c r="W2840" t="s">
        <v>57</v>
      </c>
      <c r="X2840" s="4">
        <v>9.3000000000000007</v>
      </c>
      <c r="Y2840">
        <v>7</v>
      </c>
      <c r="Z2840" s="5">
        <v>344.19</v>
      </c>
    </row>
    <row r="2841" spans="1:26">
      <c r="A2841">
        <v>2840</v>
      </c>
      <c r="B2841">
        <v>932</v>
      </c>
      <c r="C2841" s="2">
        <v>46115</v>
      </c>
      <c r="D2841" t="s">
        <v>26</v>
      </c>
      <c r="E2841">
        <v>4</v>
      </c>
      <c r="F2841" s="3">
        <v>10.61</v>
      </c>
      <c r="G2841" t="s">
        <v>27</v>
      </c>
      <c r="H2841">
        <v>42</v>
      </c>
      <c r="I2841" t="s">
        <v>34</v>
      </c>
      <c r="J2841" s="4">
        <v>64.8</v>
      </c>
      <c r="K2841" s="4">
        <v>112.7</v>
      </c>
      <c r="L2841" s="4">
        <v>19.100000000000001</v>
      </c>
      <c r="M2841">
        <v>15</v>
      </c>
      <c r="N2841" t="s">
        <v>59</v>
      </c>
      <c r="O2841">
        <v>3</v>
      </c>
      <c r="P2841" s="4">
        <v>861.2</v>
      </c>
      <c r="Q2841" t="s">
        <v>48</v>
      </c>
      <c r="R2841">
        <v>1</v>
      </c>
      <c r="S2841" t="s">
        <v>31</v>
      </c>
      <c r="T2841">
        <v>0</v>
      </c>
      <c r="U2841">
        <v>0</v>
      </c>
      <c r="V2841" t="s">
        <v>32</v>
      </c>
      <c r="W2841" t="s">
        <v>57</v>
      </c>
      <c r="X2841" s="4">
        <v>10.5</v>
      </c>
      <c r="Y2841">
        <v>8</v>
      </c>
      <c r="Z2841" s="5">
        <v>275.60000000000002</v>
      </c>
    </row>
    <row r="2842" spans="1:26">
      <c r="A2842">
        <v>2841</v>
      </c>
      <c r="B2842">
        <v>932</v>
      </c>
      <c r="C2842" s="2">
        <v>46115</v>
      </c>
      <c r="D2842" t="s">
        <v>26</v>
      </c>
      <c r="E2842">
        <v>4</v>
      </c>
      <c r="F2842" s="3">
        <v>10.38</v>
      </c>
      <c r="G2842" t="s">
        <v>27</v>
      </c>
      <c r="H2842">
        <v>46</v>
      </c>
      <c r="I2842" t="s">
        <v>34</v>
      </c>
      <c r="J2842" s="4">
        <v>64.5</v>
      </c>
      <c r="K2842" s="4">
        <v>201.2</v>
      </c>
      <c r="L2842" s="4">
        <v>34</v>
      </c>
      <c r="M2842">
        <v>16</v>
      </c>
      <c r="N2842" t="s">
        <v>59</v>
      </c>
      <c r="O2842">
        <v>3</v>
      </c>
      <c r="P2842" s="4">
        <v>861.2</v>
      </c>
      <c r="Q2842" t="s">
        <v>48</v>
      </c>
      <c r="R2842">
        <v>1</v>
      </c>
      <c r="S2842" t="s">
        <v>31</v>
      </c>
      <c r="T2842">
        <v>0</v>
      </c>
      <c r="U2842">
        <v>0</v>
      </c>
      <c r="V2842" t="s">
        <v>32</v>
      </c>
      <c r="W2842" t="s">
        <v>57</v>
      </c>
      <c r="X2842" s="4">
        <v>10.8</v>
      </c>
      <c r="Y2842">
        <v>6</v>
      </c>
      <c r="Z2842" s="5">
        <v>267.77999999999997</v>
      </c>
    </row>
    <row r="2843" spans="1:26">
      <c r="A2843">
        <v>2842</v>
      </c>
      <c r="B2843">
        <v>933</v>
      </c>
      <c r="C2843" s="2">
        <v>46287</v>
      </c>
      <c r="D2843" t="s">
        <v>35</v>
      </c>
      <c r="E2843">
        <v>9</v>
      </c>
      <c r="F2843" s="3">
        <v>10.84</v>
      </c>
      <c r="G2843" t="s">
        <v>27</v>
      </c>
      <c r="H2843">
        <v>19</v>
      </c>
      <c r="I2843" t="s">
        <v>34</v>
      </c>
      <c r="J2843" s="4">
        <v>64.099999999999994</v>
      </c>
      <c r="K2843" s="4">
        <v>133.80000000000001</v>
      </c>
      <c r="L2843" s="4">
        <v>22.8</v>
      </c>
      <c r="M2843">
        <v>12</v>
      </c>
      <c r="N2843" t="s">
        <v>54</v>
      </c>
      <c r="O2843">
        <v>2</v>
      </c>
      <c r="P2843" s="4">
        <v>1722.8</v>
      </c>
      <c r="Q2843" t="s">
        <v>42</v>
      </c>
      <c r="R2843">
        <v>1</v>
      </c>
      <c r="S2843" t="s">
        <v>44</v>
      </c>
      <c r="T2843">
        <v>1</v>
      </c>
      <c r="U2843">
        <v>0</v>
      </c>
      <c r="V2843" t="s">
        <v>32</v>
      </c>
      <c r="W2843" t="s">
        <v>43</v>
      </c>
      <c r="X2843" s="4">
        <v>8.3000000000000007</v>
      </c>
      <c r="Y2843">
        <v>13</v>
      </c>
      <c r="Z2843" s="5">
        <v>304.42</v>
      </c>
    </row>
    <row r="2844" spans="1:26">
      <c r="A2844">
        <v>2843</v>
      </c>
      <c r="B2844">
        <v>933</v>
      </c>
      <c r="C2844" s="2">
        <v>46287</v>
      </c>
      <c r="D2844" t="s">
        <v>35</v>
      </c>
      <c r="E2844">
        <v>9</v>
      </c>
      <c r="F2844" s="3">
        <v>10.96</v>
      </c>
      <c r="G2844" t="s">
        <v>27</v>
      </c>
      <c r="H2844">
        <v>24</v>
      </c>
      <c r="I2844" t="s">
        <v>28</v>
      </c>
      <c r="J2844" s="4">
        <v>66.2</v>
      </c>
      <c r="K2844" s="4">
        <v>152</v>
      </c>
      <c r="L2844" s="4">
        <v>24.4</v>
      </c>
      <c r="M2844">
        <v>13</v>
      </c>
      <c r="N2844" t="s">
        <v>54</v>
      </c>
      <c r="O2844">
        <v>2</v>
      </c>
      <c r="P2844" s="4">
        <v>1722.8</v>
      </c>
      <c r="Q2844" t="s">
        <v>42</v>
      </c>
      <c r="R2844">
        <v>1</v>
      </c>
      <c r="S2844" t="s">
        <v>44</v>
      </c>
      <c r="T2844">
        <v>1</v>
      </c>
      <c r="U2844">
        <v>0</v>
      </c>
      <c r="V2844" t="s">
        <v>32</v>
      </c>
      <c r="W2844" t="s">
        <v>43</v>
      </c>
      <c r="X2844" s="4">
        <v>9.1</v>
      </c>
      <c r="Y2844">
        <v>6</v>
      </c>
      <c r="Z2844" s="5">
        <v>172.2</v>
      </c>
    </row>
    <row r="2845" spans="1:26">
      <c r="A2845">
        <v>2844</v>
      </c>
      <c r="B2845">
        <v>934</v>
      </c>
      <c r="C2845" s="2">
        <v>46139</v>
      </c>
      <c r="D2845" t="s">
        <v>46</v>
      </c>
      <c r="E2845">
        <v>4</v>
      </c>
      <c r="F2845" s="3">
        <v>11.53</v>
      </c>
      <c r="G2845" t="s">
        <v>36</v>
      </c>
      <c r="H2845">
        <v>44</v>
      </c>
      <c r="I2845" t="s">
        <v>28</v>
      </c>
      <c r="J2845" s="4">
        <v>67.8</v>
      </c>
      <c r="K2845" s="4">
        <v>156.1</v>
      </c>
      <c r="L2845" s="4">
        <v>23.9</v>
      </c>
      <c r="M2845">
        <v>14</v>
      </c>
      <c r="N2845" t="s">
        <v>47</v>
      </c>
      <c r="O2845">
        <v>2</v>
      </c>
      <c r="P2845" s="4">
        <v>62.1</v>
      </c>
      <c r="Q2845" t="s">
        <v>48</v>
      </c>
      <c r="R2845">
        <v>0</v>
      </c>
      <c r="S2845" t="s">
        <v>44</v>
      </c>
      <c r="T2845">
        <v>0</v>
      </c>
      <c r="U2845">
        <v>0</v>
      </c>
      <c r="V2845" t="s">
        <v>32</v>
      </c>
      <c r="W2845" t="s">
        <v>39</v>
      </c>
      <c r="X2845" s="4">
        <v>6.7</v>
      </c>
      <c r="Y2845">
        <v>5</v>
      </c>
      <c r="Z2845" s="5">
        <v>129.56</v>
      </c>
    </row>
    <row r="2846" spans="1:26">
      <c r="A2846">
        <v>2845</v>
      </c>
      <c r="B2846">
        <v>934</v>
      </c>
      <c r="C2846" s="2">
        <v>46139</v>
      </c>
      <c r="D2846" t="s">
        <v>46</v>
      </c>
      <c r="E2846">
        <v>4</v>
      </c>
      <c r="F2846" s="3">
        <v>11.44</v>
      </c>
      <c r="G2846" t="s">
        <v>36</v>
      </c>
      <c r="H2846">
        <v>36</v>
      </c>
      <c r="I2846" t="s">
        <v>34</v>
      </c>
      <c r="J2846" s="4">
        <v>67.3</v>
      </c>
      <c r="K2846" s="4">
        <v>83.9</v>
      </c>
      <c r="L2846" s="4">
        <v>12.8</v>
      </c>
      <c r="M2846">
        <v>19</v>
      </c>
      <c r="N2846" t="s">
        <v>47</v>
      </c>
      <c r="O2846">
        <v>2</v>
      </c>
      <c r="P2846" s="4">
        <v>62.1</v>
      </c>
      <c r="Q2846" t="s">
        <v>48</v>
      </c>
      <c r="R2846">
        <v>0</v>
      </c>
      <c r="S2846" t="s">
        <v>44</v>
      </c>
      <c r="T2846">
        <v>0</v>
      </c>
      <c r="U2846">
        <v>0</v>
      </c>
      <c r="V2846" t="s">
        <v>32</v>
      </c>
      <c r="W2846" t="s">
        <v>39</v>
      </c>
      <c r="X2846" s="4">
        <v>4.3</v>
      </c>
      <c r="Y2846">
        <v>5</v>
      </c>
      <c r="Z2846" s="5">
        <v>132.26</v>
      </c>
    </row>
    <row r="2847" spans="1:26">
      <c r="A2847">
        <v>2846</v>
      </c>
      <c r="B2847">
        <v>935</v>
      </c>
      <c r="C2847" s="2">
        <v>46150</v>
      </c>
      <c r="D2847" t="s">
        <v>26</v>
      </c>
      <c r="E2847">
        <v>5</v>
      </c>
      <c r="F2847" s="3">
        <v>14.61</v>
      </c>
      <c r="G2847" t="s">
        <v>36</v>
      </c>
      <c r="H2847">
        <v>38</v>
      </c>
      <c r="I2847" t="s">
        <v>28</v>
      </c>
      <c r="J2847" s="4">
        <v>74.599999999999994</v>
      </c>
      <c r="K2847" s="4">
        <v>240.8</v>
      </c>
      <c r="L2847" s="4">
        <v>30.4</v>
      </c>
      <c r="M2847">
        <v>12</v>
      </c>
      <c r="N2847" t="s">
        <v>56</v>
      </c>
      <c r="O2847">
        <v>2</v>
      </c>
      <c r="P2847" s="4">
        <v>234.4</v>
      </c>
      <c r="Q2847" t="s">
        <v>42</v>
      </c>
      <c r="R2847">
        <v>0</v>
      </c>
      <c r="S2847" t="s">
        <v>38</v>
      </c>
      <c r="T2847">
        <v>1</v>
      </c>
      <c r="U2847">
        <v>0</v>
      </c>
      <c r="V2847" t="s">
        <v>32</v>
      </c>
      <c r="W2847" t="s">
        <v>57</v>
      </c>
      <c r="X2847" s="4">
        <v>5.9</v>
      </c>
      <c r="Y2847">
        <v>8</v>
      </c>
      <c r="Z2847" s="5">
        <v>141.84</v>
      </c>
    </row>
    <row r="2848" spans="1:26">
      <c r="A2848">
        <v>2847</v>
      </c>
      <c r="B2848">
        <v>935</v>
      </c>
      <c r="C2848" s="2">
        <v>46150</v>
      </c>
      <c r="D2848" t="s">
        <v>26</v>
      </c>
      <c r="E2848">
        <v>5</v>
      </c>
      <c r="F2848" s="3">
        <v>14.66</v>
      </c>
      <c r="G2848" t="s">
        <v>36</v>
      </c>
      <c r="H2848">
        <v>20</v>
      </c>
      <c r="I2848" t="s">
        <v>28</v>
      </c>
      <c r="J2848" s="4">
        <v>66.900000000000006</v>
      </c>
      <c r="K2848" s="4">
        <v>198.4</v>
      </c>
      <c r="L2848" s="4">
        <v>31.3</v>
      </c>
      <c r="M2848">
        <v>14</v>
      </c>
      <c r="N2848" t="s">
        <v>56</v>
      </c>
      <c r="O2848">
        <v>2</v>
      </c>
      <c r="P2848" s="4">
        <v>234.4</v>
      </c>
      <c r="Q2848" t="s">
        <v>42</v>
      </c>
      <c r="R2848">
        <v>0</v>
      </c>
      <c r="S2848" t="s">
        <v>38</v>
      </c>
      <c r="T2848">
        <v>1</v>
      </c>
      <c r="U2848">
        <v>0</v>
      </c>
      <c r="V2848" t="s">
        <v>32</v>
      </c>
      <c r="W2848" t="s">
        <v>57</v>
      </c>
      <c r="X2848" s="4">
        <v>8.4</v>
      </c>
      <c r="Y2848">
        <v>9</v>
      </c>
      <c r="Z2848" s="5">
        <v>172.91</v>
      </c>
    </row>
    <row r="2849" spans="1:26">
      <c r="A2849">
        <v>2848</v>
      </c>
      <c r="B2849">
        <v>936</v>
      </c>
      <c r="C2849" s="2">
        <v>46182</v>
      </c>
      <c r="D2849" t="s">
        <v>35</v>
      </c>
      <c r="E2849">
        <v>6</v>
      </c>
      <c r="F2849" s="3">
        <v>7.6</v>
      </c>
      <c r="G2849" t="s">
        <v>27</v>
      </c>
      <c r="H2849">
        <v>42</v>
      </c>
      <c r="I2849" t="s">
        <v>34</v>
      </c>
      <c r="J2849" s="4">
        <v>62.8</v>
      </c>
      <c r="K2849" s="4">
        <v>116.6</v>
      </c>
      <c r="L2849" s="4">
        <v>20.7</v>
      </c>
      <c r="M2849">
        <v>18</v>
      </c>
      <c r="N2849" t="s">
        <v>50</v>
      </c>
      <c r="O2849">
        <v>4</v>
      </c>
      <c r="P2849" s="4">
        <v>303.8</v>
      </c>
      <c r="Q2849" t="s">
        <v>48</v>
      </c>
      <c r="R2849">
        <v>1</v>
      </c>
      <c r="S2849" t="s">
        <v>44</v>
      </c>
      <c r="T2849">
        <v>0</v>
      </c>
      <c r="U2849">
        <v>1</v>
      </c>
      <c r="V2849" t="s">
        <v>32</v>
      </c>
      <c r="W2849" t="s">
        <v>43</v>
      </c>
      <c r="X2849" s="4">
        <v>10</v>
      </c>
      <c r="Y2849">
        <v>8</v>
      </c>
      <c r="Z2849" s="5">
        <v>408.25</v>
      </c>
    </row>
    <row r="2850" spans="1:26">
      <c r="A2850">
        <v>2849</v>
      </c>
      <c r="B2850">
        <v>936</v>
      </c>
      <c r="C2850" s="2">
        <v>46182</v>
      </c>
      <c r="D2850" t="s">
        <v>35</v>
      </c>
      <c r="E2850">
        <v>6</v>
      </c>
      <c r="F2850" s="3">
        <v>7.92</v>
      </c>
      <c r="G2850" t="s">
        <v>27</v>
      </c>
      <c r="H2850">
        <v>18</v>
      </c>
      <c r="I2850" t="s">
        <v>28</v>
      </c>
      <c r="J2850" s="4">
        <v>67</v>
      </c>
      <c r="K2850" s="4">
        <v>176.7</v>
      </c>
      <c r="L2850" s="4">
        <v>28</v>
      </c>
      <c r="M2850">
        <v>12</v>
      </c>
      <c r="N2850" t="s">
        <v>50</v>
      </c>
      <c r="O2850">
        <v>4</v>
      </c>
      <c r="P2850" s="4">
        <v>303.8</v>
      </c>
      <c r="Q2850" t="s">
        <v>48</v>
      </c>
      <c r="R2850">
        <v>1</v>
      </c>
      <c r="S2850" t="s">
        <v>44</v>
      </c>
      <c r="T2850">
        <v>0</v>
      </c>
      <c r="U2850">
        <v>1</v>
      </c>
      <c r="V2850" t="s">
        <v>32</v>
      </c>
      <c r="W2850" t="s">
        <v>43</v>
      </c>
      <c r="X2850" s="4">
        <v>11</v>
      </c>
      <c r="Y2850">
        <v>8</v>
      </c>
      <c r="Z2850" s="5">
        <v>262.64999999999998</v>
      </c>
    </row>
    <row r="2851" spans="1:26">
      <c r="A2851">
        <v>2850</v>
      </c>
      <c r="B2851">
        <v>936</v>
      </c>
      <c r="C2851" s="2">
        <v>46182</v>
      </c>
      <c r="D2851" t="s">
        <v>35</v>
      </c>
      <c r="E2851">
        <v>6</v>
      </c>
      <c r="F2851" s="3">
        <v>7.86</v>
      </c>
      <c r="G2851" t="s">
        <v>27</v>
      </c>
      <c r="H2851">
        <v>9</v>
      </c>
      <c r="I2851" t="s">
        <v>28</v>
      </c>
      <c r="J2851" s="4">
        <v>62.3</v>
      </c>
      <c r="K2851" s="4">
        <v>119.4</v>
      </c>
      <c r="L2851" s="4">
        <v>21.7</v>
      </c>
      <c r="M2851">
        <v>13</v>
      </c>
      <c r="N2851" t="s">
        <v>50</v>
      </c>
      <c r="O2851">
        <v>4</v>
      </c>
      <c r="P2851" s="4">
        <v>303.8</v>
      </c>
      <c r="Q2851" t="s">
        <v>48</v>
      </c>
      <c r="R2851">
        <v>1</v>
      </c>
      <c r="S2851" t="s">
        <v>44</v>
      </c>
      <c r="T2851">
        <v>0</v>
      </c>
      <c r="U2851">
        <v>1</v>
      </c>
      <c r="V2851" t="s">
        <v>32</v>
      </c>
      <c r="W2851" t="s">
        <v>43</v>
      </c>
      <c r="X2851" s="4">
        <v>9.5</v>
      </c>
      <c r="Y2851">
        <v>8</v>
      </c>
      <c r="Z2851" s="5">
        <v>346.98</v>
      </c>
    </row>
    <row r="2852" spans="1:26">
      <c r="A2852">
        <v>2851</v>
      </c>
      <c r="B2852">
        <v>936</v>
      </c>
      <c r="C2852" s="2">
        <v>46182</v>
      </c>
      <c r="D2852" t="s">
        <v>35</v>
      </c>
      <c r="E2852">
        <v>6</v>
      </c>
      <c r="F2852" s="3">
        <v>7.89</v>
      </c>
      <c r="G2852" t="s">
        <v>27</v>
      </c>
      <c r="H2852">
        <v>41</v>
      </c>
      <c r="I2852" t="s">
        <v>34</v>
      </c>
      <c r="J2852" s="4">
        <v>64.099999999999994</v>
      </c>
      <c r="K2852" s="4">
        <v>160.6</v>
      </c>
      <c r="L2852" s="4">
        <v>27.6</v>
      </c>
      <c r="M2852">
        <v>19</v>
      </c>
      <c r="N2852" t="s">
        <v>50</v>
      </c>
      <c r="O2852">
        <v>4</v>
      </c>
      <c r="P2852" s="4">
        <v>303.8</v>
      </c>
      <c r="Q2852" t="s">
        <v>48</v>
      </c>
      <c r="R2852">
        <v>1</v>
      </c>
      <c r="S2852" t="s">
        <v>44</v>
      </c>
      <c r="T2852">
        <v>0</v>
      </c>
      <c r="U2852">
        <v>1</v>
      </c>
      <c r="V2852" t="s">
        <v>32</v>
      </c>
      <c r="W2852" t="s">
        <v>43</v>
      </c>
      <c r="X2852" s="4">
        <v>11.2</v>
      </c>
      <c r="Y2852">
        <v>16</v>
      </c>
      <c r="Z2852" s="5">
        <v>495.18</v>
      </c>
    </row>
    <row r="2853" spans="1:26">
      <c r="A2853">
        <v>2852</v>
      </c>
      <c r="B2853">
        <v>937</v>
      </c>
      <c r="C2853" s="2">
        <v>46155</v>
      </c>
      <c r="D2853" t="s">
        <v>52</v>
      </c>
      <c r="E2853">
        <v>5</v>
      </c>
      <c r="F2853" s="3">
        <v>11.07</v>
      </c>
      <c r="G2853" t="s">
        <v>36</v>
      </c>
      <c r="H2853">
        <v>26</v>
      </c>
      <c r="I2853" t="s">
        <v>34</v>
      </c>
      <c r="J2853" s="4">
        <v>61.4</v>
      </c>
      <c r="K2853" s="4">
        <v>139.80000000000001</v>
      </c>
      <c r="L2853" s="4">
        <v>26</v>
      </c>
      <c r="M2853">
        <v>12</v>
      </c>
      <c r="N2853" t="s">
        <v>47</v>
      </c>
      <c r="O2853">
        <v>4</v>
      </c>
      <c r="P2853" s="4">
        <v>50</v>
      </c>
      <c r="Q2853" t="s">
        <v>30</v>
      </c>
      <c r="R2853">
        <v>0</v>
      </c>
      <c r="S2853" t="s">
        <v>44</v>
      </c>
      <c r="T2853">
        <v>1</v>
      </c>
      <c r="U2853">
        <v>0</v>
      </c>
      <c r="V2853" t="s">
        <v>32</v>
      </c>
      <c r="W2853" t="s">
        <v>39</v>
      </c>
      <c r="X2853" s="4">
        <v>6.7</v>
      </c>
      <c r="Y2853">
        <v>7</v>
      </c>
      <c r="Z2853" s="5">
        <v>159.66999999999999</v>
      </c>
    </row>
    <row r="2854" spans="1:26">
      <c r="A2854">
        <v>2853</v>
      </c>
      <c r="B2854">
        <v>937</v>
      </c>
      <c r="C2854" s="2">
        <v>46155</v>
      </c>
      <c r="D2854" t="s">
        <v>52</v>
      </c>
      <c r="E2854">
        <v>5</v>
      </c>
      <c r="F2854" s="3">
        <v>11.36</v>
      </c>
      <c r="G2854" t="s">
        <v>36</v>
      </c>
      <c r="H2854">
        <v>53</v>
      </c>
      <c r="I2854" t="s">
        <v>28</v>
      </c>
      <c r="J2854" s="4">
        <v>62.2</v>
      </c>
      <c r="K2854" s="4">
        <v>167.8</v>
      </c>
      <c r="L2854" s="4">
        <v>30.4</v>
      </c>
      <c r="M2854">
        <v>14</v>
      </c>
      <c r="N2854" t="s">
        <v>47</v>
      </c>
      <c r="O2854">
        <v>4</v>
      </c>
      <c r="P2854" s="4">
        <v>50</v>
      </c>
      <c r="Q2854" t="s">
        <v>30</v>
      </c>
      <c r="R2854">
        <v>0</v>
      </c>
      <c r="S2854" t="s">
        <v>44</v>
      </c>
      <c r="T2854">
        <v>1</v>
      </c>
      <c r="U2854">
        <v>0</v>
      </c>
      <c r="V2854" t="s">
        <v>32</v>
      </c>
      <c r="W2854" t="s">
        <v>39</v>
      </c>
      <c r="X2854" s="4">
        <v>6.9</v>
      </c>
      <c r="Y2854">
        <v>5</v>
      </c>
      <c r="Z2854" s="5">
        <v>148.03</v>
      </c>
    </row>
    <row r="2855" spans="1:26">
      <c r="A2855">
        <v>2854</v>
      </c>
      <c r="B2855">
        <v>937</v>
      </c>
      <c r="C2855" s="2">
        <v>46155</v>
      </c>
      <c r="D2855" t="s">
        <v>52</v>
      </c>
      <c r="E2855">
        <v>5</v>
      </c>
      <c r="F2855" s="3">
        <v>11.3</v>
      </c>
      <c r="G2855" t="s">
        <v>36</v>
      </c>
      <c r="H2855">
        <v>8</v>
      </c>
      <c r="I2855" t="s">
        <v>28</v>
      </c>
      <c r="J2855" s="4">
        <v>62</v>
      </c>
      <c r="K2855" s="4">
        <v>113.6</v>
      </c>
      <c r="L2855" s="4">
        <v>20.9</v>
      </c>
      <c r="M2855">
        <v>11</v>
      </c>
      <c r="N2855" t="s">
        <v>47</v>
      </c>
      <c r="O2855">
        <v>4</v>
      </c>
      <c r="P2855" s="4">
        <v>50</v>
      </c>
      <c r="Q2855" t="s">
        <v>30</v>
      </c>
      <c r="R2855">
        <v>0</v>
      </c>
      <c r="S2855" t="s">
        <v>44</v>
      </c>
      <c r="T2855">
        <v>1</v>
      </c>
      <c r="U2855">
        <v>0</v>
      </c>
      <c r="V2855" t="s">
        <v>32</v>
      </c>
      <c r="W2855" t="s">
        <v>39</v>
      </c>
      <c r="X2855" s="4">
        <v>7.4</v>
      </c>
      <c r="Y2855">
        <v>12</v>
      </c>
      <c r="Z2855" s="5">
        <v>254.81</v>
      </c>
    </row>
    <row r="2856" spans="1:26">
      <c r="A2856">
        <v>2855</v>
      </c>
      <c r="B2856">
        <v>937</v>
      </c>
      <c r="C2856" s="2">
        <v>46155</v>
      </c>
      <c r="D2856" t="s">
        <v>52</v>
      </c>
      <c r="E2856">
        <v>5</v>
      </c>
      <c r="F2856" s="3">
        <v>11.35</v>
      </c>
      <c r="G2856" t="s">
        <v>36</v>
      </c>
      <c r="H2856">
        <v>18</v>
      </c>
      <c r="I2856" t="s">
        <v>34</v>
      </c>
      <c r="J2856" s="4">
        <v>65.599999999999994</v>
      </c>
      <c r="K2856" s="4">
        <v>189.3</v>
      </c>
      <c r="L2856" s="4">
        <v>30.8</v>
      </c>
      <c r="M2856">
        <v>12</v>
      </c>
      <c r="N2856" t="s">
        <v>47</v>
      </c>
      <c r="O2856">
        <v>4</v>
      </c>
      <c r="P2856" s="4">
        <v>50</v>
      </c>
      <c r="Q2856" t="s">
        <v>30</v>
      </c>
      <c r="R2856">
        <v>0</v>
      </c>
      <c r="S2856" t="s">
        <v>44</v>
      </c>
      <c r="T2856">
        <v>1</v>
      </c>
      <c r="U2856">
        <v>0</v>
      </c>
      <c r="V2856" t="s">
        <v>32</v>
      </c>
      <c r="W2856" t="s">
        <v>39</v>
      </c>
      <c r="X2856" s="4">
        <v>7.5</v>
      </c>
      <c r="Y2856">
        <v>11</v>
      </c>
      <c r="Z2856" s="5">
        <v>143.69999999999999</v>
      </c>
    </row>
    <row r="2857" spans="1:26">
      <c r="A2857">
        <v>2856</v>
      </c>
      <c r="B2857">
        <v>938</v>
      </c>
      <c r="C2857" s="2">
        <v>46125</v>
      </c>
      <c r="D2857" t="s">
        <v>46</v>
      </c>
      <c r="E2857">
        <v>4</v>
      </c>
      <c r="F2857" s="3">
        <v>11.6</v>
      </c>
      <c r="G2857" t="s">
        <v>36</v>
      </c>
      <c r="H2857">
        <v>56</v>
      </c>
      <c r="I2857" t="s">
        <v>28</v>
      </c>
      <c r="J2857" s="4">
        <v>70.400000000000006</v>
      </c>
      <c r="K2857" s="4">
        <v>207.7</v>
      </c>
      <c r="L2857" s="4">
        <v>29.5</v>
      </c>
      <c r="M2857">
        <v>16</v>
      </c>
      <c r="N2857" t="s">
        <v>47</v>
      </c>
      <c r="O2857">
        <v>3</v>
      </c>
      <c r="P2857" s="4">
        <v>74.7</v>
      </c>
      <c r="Q2857" t="s">
        <v>42</v>
      </c>
      <c r="R2857">
        <v>0</v>
      </c>
      <c r="S2857" t="s">
        <v>44</v>
      </c>
      <c r="T2857">
        <v>0</v>
      </c>
      <c r="U2857">
        <v>0</v>
      </c>
      <c r="V2857" t="s">
        <v>32</v>
      </c>
      <c r="W2857" t="s">
        <v>57</v>
      </c>
      <c r="X2857" s="4">
        <v>5.0999999999999996</v>
      </c>
      <c r="Y2857">
        <v>3</v>
      </c>
      <c r="Z2857" s="5">
        <v>158.13</v>
      </c>
    </row>
    <row r="2858" spans="1:26">
      <c r="A2858">
        <v>2857</v>
      </c>
      <c r="B2858">
        <v>938</v>
      </c>
      <c r="C2858" s="2">
        <v>46125</v>
      </c>
      <c r="D2858" t="s">
        <v>46</v>
      </c>
      <c r="E2858">
        <v>4</v>
      </c>
      <c r="F2858" s="3">
        <v>11.81</v>
      </c>
      <c r="G2858" t="s">
        <v>36</v>
      </c>
      <c r="H2858">
        <v>47</v>
      </c>
      <c r="I2858" t="s">
        <v>34</v>
      </c>
      <c r="J2858" s="4">
        <v>70.599999999999994</v>
      </c>
      <c r="K2858" s="4">
        <v>204.7</v>
      </c>
      <c r="L2858" s="4">
        <v>28.9</v>
      </c>
      <c r="M2858">
        <v>15</v>
      </c>
      <c r="N2858" t="s">
        <v>47</v>
      </c>
      <c r="O2858">
        <v>3</v>
      </c>
      <c r="P2858" s="4">
        <v>74.7</v>
      </c>
      <c r="Q2858" t="s">
        <v>42</v>
      </c>
      <c r="R2858">
        <v>0</v>
      </c>
      <c r="S2858" t="s">
        <v>44</v>
      </c>
      <c r="T2858">
        <v>0</v>
      </c>
      <c r="U2858">
        <v>0</v>
      </c>
      <c r="V2858" t="s">
        <v>32</v>
      </c>
      <c r="W2858" t="s">
        <v>57</v>
      </c>
      <c r="X2858" s="4">
        <v>7.7</v>
      </c>
      <c r="Y2858">
        <v>8</v>
      </c>
      <c r="Z2858" s="5">
        <v>96.51</v>
      </c>
    </row>
    <row r="2859" spans="1:26">
      <c r="A2859">
        <v>2858</v>
      </c>
      <c r="B2859">
        <v>938</v>
      </c>
      <c r="C2859" s="2">
        <v>46125</v>
      </c>
      <c r="D2859" t="s">
        <v>46</v>
      </c>
      <c r="E2859">
        <v>4</v>
      </c>
      <c r="F2859" s="3">
        <v>11.68</v>
      </c>
      <c r="G2859" t="s">
        <v>36</v>
      </c>
      <c r="H2859">
        <v>18</v>
      </c>
      <c r="I2859" t="s">
        <v>28</v>
      </c>
      <c r="J2859" s="4">
        <v>70.099999999999994</v>
      </c>
      <c r="K2859" s="4">
        <v>170.5</v>
      </c>
      <c r="L2859" s="4">
        <v>24.2</v>
      </c>
      <c r="M2859">
        <v>13</v>
      </c>
      <c r="N2859" t="s">
        <v>47</v>
      </c>
      <c r="O2859">
        <v>3</v>
      </c>
      <c r="P2859" s="4">
        <v>74.7</v>
      </c>
      <c r="Q2859" t="s">
        <v>42</v>
      </c>
      <c r="R2859">
        <v>0</v>
      </c>
      <c r="S2859" t="s">
        <v>44</v>
      </c>
      <c r="T2859">
        <v>0</v>
      </c>
      <c r="U2859">
        <v>0</v>
      </c>
      <c r="V2859" t="s">
        <v>32</v>
      </c>
      <c r="W2859" t="s">
        <v>57</v>
      </c>
      <c r="X2859" s="4">
        <v>9.8000000000000007</v>
      </c>
      <c r="Y2859">
        <v>8</v>
      </c>
      <c r="Z2859" s="5">
        <v>329.37</v>
      </c>
    </row>
    <row r="2860" spans="1:26">
      <c r="A2860">
        <v>2859</v>
      </c>
      <c r="B2860">
        <v>939</v>
      </c>
      <c r="C2860" s="2">
        <v>46357</v>
      </c>
      <c r="D2860" t="s">
        <v>35</v>
      </c>
      <c r="E2860">
        <v>12</v>
      </c>
      <c r="F2860" s="3">
        <v>13.42</v>
      </c>
      <c r="G2860" t="s">
        <v>36</v>
      </c>
      <c r="H2860">
        <v>24</v>
      </c>
      <c r="I2860" t="s">
        <v>34</v>
      </c>
      <c r="J2860" s="4">
        <v>62</v>
      </c>
      <c r="K2860" s="4">
        <v>120</v>
      </c>
      <c r="L2860" s="4">
        <v>22.1</v>
      </c>
      <c r="M2860">
        <v>15</v>
      </c>
      <c r="N2860" t="s">
        <v>41</v>
      </c>
      <c r="O2860">
        <v>5</v>
      </c>
      <c r="P2860" s="4">
        <v>2615.6999999999998</v>
      </c>
      <c r="Q2860" t="s">
        <v>42</v>
      </c>
      <c r="R2860">
        <v>1</v>
      </c>
      <c r="S2860" t="s">
        <v>44</v>
      </c>
      <c r="T2860">
        <v>1</v>
      </c>
      <c r="U2860">
        <v>1</v>
      </c>
      <c r="V2860" t="s">
        <v>32</v>
      </c>
      <c r="W2860" t="s">
        <v>33</v>
      </c>
      <c r="X2860" s="4">
        <v>7.9</v>
      </c>
      <c r="Y2860">
        <v>11</v>
      </c>
      <c r="Z2860" s="5">
        <v>322.18</v>
      </c>
    </row>
    <row r="2861" spans="1:26">
      <c r="A2861">
        <v>2860</v>
      </c>
      <c r="B2861">
        <v>939</v>
      </c>
      <c r="C2861" s="2">
        <v>46357</v>
      </c>
      <c r="D2861" t="s">
        <v>35</v>
      </c>
      <c r="E2861">
        <v>12</v>
      </c>
      <c r="F2861" s="3">
        <v>13.31</v>
      </c>
      <c r="G2861" t="s">
        <v>36</v>
      </c>
      <c r="H2861">
        <v>22</v>
      </c>
      <c r="I2861" t="s">
        <v>34</v>
      </c>
      <c r="J2861" s="4">
        <v>67.3</v>
      </c>
      <c r="K2861" s="4">
        <v>194.5</v>
      </c>
      <c r="L2861" s="4">
        <v>30.3</v>
      </c>
      <c r="M2861">
        <v>14</v>
      </c>
      <c r="N2861" t="s">
        <v>41</v>
      </c>
      <c r="O2861">
        <v>5</v>
      </c>
      <c r="P2861" s="4">
        <v>2615.6999999999998</v>
      </c>
      <c r="Q2861" t="s">
        <v>42</v>
      </c>
      <c r="R2861">
        <v>1</v>
      </c>
      <c r="S2861" t="s">
        <v>44</v>
      </c>
      <c r="T2861">
        <v>1</v>
      </c>
      <c r="U2861">
        <v>1</v>
      </c>
      <c r="V2861" t="s">
        <v>32</v>
      </c>
      <c r="W2861" t="s">
        <v>33</v>
      </c>
      <c r="X2861" s="4">
        <v>10.1</v>
      </c>
      <c r="Y2861">
        <v>14</v>
      </c>
      <c r="Z2861" s="5">
        <v>212.84</v>
      </c>
    </row>
    <row r="2862" spans="1:26">
      <c r="A2862">
        <v>2861</v>
      </c>
      <c r="B2862">
        <v>939</v>
      </c>
      <c r="C2862" s="2">
        <v>46357</v>
      </c>
      <c r="D2862" t="s">
        <v>35</v>
      </c>
      <c r="E2862">
        <v>12</v>
      </c>
      <c r="F2862" s="3">
        <v>13.45</v>
      </c>
      <c r="G2862" t="s">
        <v>36</v>
      </c>
      <c r="H2862">
        <v>15</v>
      </c>
      <c r="I2862" t="s">
        <v>28</v>
      </c>
      <c r="J2862" s="4">
        <v>70</v>
      </c>
      <c r="K2862" s="4">
        <v>137.19999999999999</v>
      </c>
      <c r="L2862" s="4">
        <v>19.600000000000001</v>
      </c>
      <c r="M2862">
        <v>12</v>
      </c>
      <c r="N2862" t="s">
        <v>41</v>
      </c>
      <c r="O2862">
        <v>5</v>
      </c>
      <c r="P2862" s="4">
        <v>2615.6999999999998</v>
      </c>
      <c r="Q2862" t="s">
        <v>42</v>
      </c>
      <c r="R2862">
        <v>1</v>
      </c>
      <c r="S2862" t="s">
        <v>44</v>
      </c>
      <c r="T2862">
        <v>1</v>
      </c>
      <c r="U2862">
        <v>1</v>
      </c>
      <c r="V2862" t="s">
        <v>32</v>
      </c>
      <c r="W2862" t="s">
        <v>33</v>
      </c>
      <c r="X2862" s="4">
        <v>10.199999999999999</v>
      </c>
      <c r="Y2862">
        <v>17</v>
      </c>
      <c r="Z2862" s="5">
        <v>419.44</v>
      </c>
    </row>
    <row r="2863" spans="1:26">
      <c r="A2863">
        <v>2862</v>
      </c>
      <c r="B2863">
        <v>939</v>
      </c>
      <c r="C2863" s="2">
        <v>46357</v>
      </c>
      <c r="D2863" t="s">
        <v>35</v>
      </c>
      <c r="E2863">
        <v>12</v>
      </c>
      <c r="F2863" s="3">
        <v>13.22</v>
      </c>
      <c r="G2863" t="s">
        <v>36</v>
      </c>
      <c r="H2863">
        <v>58</v>
      </c>
      <c r="I2863" t="s">
        <v>28</v>
      </c>
      <c r="J2863" s="4">
        <v>75.099999999999994</v>
      </c>
      <c r="K2863" s="4">
        <v>220.8</v>
      </c>
      <c r="L2863" s="4">
        <v>27.3</v>
      </c>
      <c r="M2863">
        <v>13</v>
      </c>
      <c r="N2863" t="s">
        <v>41</v>
      </c>
      <c r="O2863">
        <v>5</v>
      </c>
      <c r="P2863" s="4">
        <v>2615.6999999999998</v>
      </c>
      <c r="Q2863" t="s">
        <v>42</v>
      </c>
      <c r="R2863">
        <v>1</v>
      </c>
      <c r="S2863" t="s">
        <v>44</v>
      </c>
      <c r="T2863">
        <v>1</v>
      </c>
      <c r="U2863">
        <v>1</v>
      </c>
      <c r="V2863" t="s">
        <v>32</v>
      </c>
      <c r="W2863" t="s">
        <v>33</v>
      </c>
      <c r="X2863" s="4">
        <v>10.4</v>
      </c>
      <c r="Y2863">
        <v>9</v>
      </c>
      <c r="Z2863" s="5">
        <v>483.94</v>
      </c>
    </row>
    <row r="2864" spans="1:26">
      <c r="A2864">
        <v>2863</v>
      </c>
      <c r="B2864">
        <v>939</v>
      </c>
      <c r="C2864" s="2">
        <v>46357</v>
      </c>
      <c r="D2864" t="s">
        <v>35</v>
      </c>
      <c r="E2864">
        <v>12</v>
      </c>
      <c r="F2864" s="3">
        <v>13.28</v>
      </c>
      <c r="G2864" t="s">
        <v>36</v>
      </c>
      <c r="H2864">
        <v>37</v>
      </c>
      <c r="I2864" t="s">
        <v>34</v>
      </c>
      <c r="J2864" s="4">
        <v>68.099999999999994</v>
      </c>
      <c r="K2864" s="4">
        <v>168.4</v>
      </c>
      <c r="L2864" s="4">
        <v>25.4</v>
      </c>
      <c r="M2864">
        <v>16</v>
      </c>
      <c r="N2864" t="s">
        <v>41</v>
      </c>
      <c r="O2864">
        <v>5</v>
      </c>
      <c r="P2864" s="4">
        <v>2615.6999999999998</v>
      </c>
      <c r="Q2864" t="s">
        <v>42</v>
      </c>
      <c r="R2864">
        <v>1</v>
      </c>
      <c r="S2864" t="s">
        <v>44</v>
      </c>
      <c r="T2864">
        <v>1</v>
      </c>
      <c r="U2864">
        <v>1</v>
      </c>
      <c r="V2864" t="s">
        <v>32</v>
      </c>
      <c r="W2864" t="s">
        <v>33</v>
      </c>
      <c r="X2864" s="4">
        <v>7.7</v>
      </c>
      <c r="Y2864">
        <v>6</v>
      </c>
      <c r="Z2864" s="5">
        <v>198.61</v>
      </c>
    </row>
    <row r="2865" spans="1:26">
      <c r="A2865">
        <v>2864</v>
      </c>
      <c r="B2865">
        <v>940</v>
      </c>
      <c r="C2865" s="2">
        <v>46035</v>
      </c>
      <c r="D2865" t="s">
        <v>35</v>
      </c>
      <c r="E2865">
        <v>1</v>
      </c>
      <c r="F2865" s="3">
        <v>11.63</v>
      </c>
      <c r="G2865" t="s">
        <v>36</v>
      </c>
      <c r="H2865">
        <v>31</v>
      </c>
      <c r="I2865" t="s">
        <v>34</v>
      </c>
      <c r="J2865" s="4">
        <v>65.900000000000006</v>
      </c>
      <c r="K2865" s="4">
        <v>168.2</v>
      </c>
      <c r="L2865" s="4">
        <v>27.1</v>
      </c>
      <c r="M2865">
        <v>15</v>
      </c>
      <c r="N2865" t="s">
        <v>47</v>
      </c>
      <c r="O2865">
        <v>6</v>
      </c>
      <c r="P2865" s="4">
        <v>73.099999999999994</v>
      </c>
      <c r="Q2865" t="s">
        <v>42</v>
      </c>
      <c r="R2865">
        <v>0</v>
      </c>
      <c r="S2865" t="s">
        <v>44</v>
      </c>
      <c r="T2865">
        <v>0</v>
      </c>
      <c r="U2865">
        <v>0</v>
      </c>
      <c r="V2865" t="s">
        <v>32</v>
      </c>
      <c r="W2865" t="s">
        <v>39</v>
      </c>
      <c r="X2865" s="4">
        <v>7.5</v>
      </c>
      <c r="Y2865">
        <v>2</v>
      </c>
      <c r="Z2865" s="5">
        <v>125.16</v>
      </c>
    </row>
    <row r="2866" spans="1:26">
      <c r="A2866">
        <v>2865</v>
      </c>
      <c r="B2866">
        <v>940</v>
      </c>
      <c r="C2866" s="2">
        <v>46035</v>
      </c>
      <c r="D2866" t="s">
        <v>35</v>
      </c>
      <c r="E2866">
        <v>1</v>
      </c>
      <c r="F2866" s="3">
        <v>11.79</v>
      </c>
      <c r="G2866" t="s">
        <v>36</v>
      </c>
      <c r="H2866">
        <v>45</v>
      </c>
      <c r="I2866" t="s">
        <v>34</v>
      </c>
      <c r="J2866" s="4">
        <v>64.7</v>
      </c>
      <c r="K2866" s="4">
        <v>198</v>
      </c>
      <c r="L2866" s="4">
        <v>33.4</v>
      </c>
      <c r="M2866">
        <v>18</v>
      </c>
      <c r="N2866" t="s">
        <v>47</v>
      </c>
      <c r="O2866">
        <v>6</v>
      </c>
      <c r="P2866" s="4">
        <v>73.099999999999994</v>
      </c>
      <c r="Q2866" t="s">
        <v>42</v>
      </c>
      <c r="R2866">
        <v>0</v>
      </c>
      <c r="S2866" t="s">
        <v>44</v>
      </c>
      <c r="T2866">
        <v>0</v>
      </c>
      <c r="U2866">
        <v>0</v>
      </c>
      <c r="V2866" t="s">
        <v>32</v>
      </c>
      <c r="W2866" t="s">
        <v>39</v>
      </c>
      <c r="X2866" s="4">
        <v>6</v>
      </c>
      <c r="Y2866">
        <v>3</v>
      </c>
      <c r="Z2866" s="5">
        <v>153.51</v>
      </c>
    </row>
    <row r="2867" spans="1:26">
      <c r="A2867">
        <v>2866</v>
      </c>
      <c r="B2867">
        <v>940</v>
      </c>
      <c r="C2867" s="2">
        <v>46035</v>
      </c>
      <c r="D2867" t="s">
        <v>35</v>
      </c>
      <c r="E2867">
        <v>1</v>
      </c>
      <c r="F2867" s="3">
        <v>11.69</v>
      </c>
      <c r="G2867" t="s">
        <v>36</v>
      </c>
      <c r="H2867">
        <v>73</v>
      </c>
      <c r="I2867" t="s">
        <v>34</v>
      </c>
      <c r="J2867" s="4">
        <v>63.6</v>
      </c>
      <c r="K2867" s="4">
        <v>152.4</v>
      </c>
      <c r="L2867" s="4">
        <v>26.5</v>
      </c>
      <c r="M2867">
        <v>18</v>
      </c>
      <c r="N2867" t="s">
        <v>47</v>
      </c>
      <c r="O2867">
        <v>6</v>
      </c>
      <c r="P2867" s="4">
        <v>73.099999999999994</v>
      </c>
      <c r="Q2867" t="s">
        <v>42</v>
      </c>
      <c r="R2867">
        <v>0</v>
      </c>
      <c r="S2867" t="s">
        <v>44</v>
      </c>
      <c r="T2867">
        <v>0</v>
      </c>
      <c r="U2867">
        <v>0</v>
      </c>
      <c r="V2867" t="s">
        <v>32</v>
      </c>
      <c r="W2867" t="s">
        <v>39</v>
      </c>
      <c r="X2867" s="4">
        <v>9.1</v>
      </c>
      <c r="Y2867">
        <v>9</v>
      </c>
      <c r="Z2867" s="5">
        <v>170.08</v>
      </c>
    </row>
    <row r="2868" spans="1:26">
      <c r="A2868">
        <v>2867</v>
      </c>
      <c r="B2868">
        <v>940</v>
      </c>
      <c r="C2868" s="2">
        <v>46035</v>
      </c>
      <c r="D2868" t="s">
        <v>35</v>
      </c>
      <c r="E2868">
        <v>1</v>
      </c>
      <c r="F2868" s="3">
        <v>11.63</v>
      </c>
      <c r="G2868" t="s">
        <v>36</v>
      </c>
      <c r="H2868">
        <v>58</v>
      </c>
      <c r="I2868" t="s">
        <v>28</v>
      </c>
      <c r="J2868" s="4">
        <v>70.099999999999994</v>
      </c>
      <c r="K2868" s="4">
        <v>156.5</v>
      </c>
      <c r="L2868" s="4">
        <v>22.4</v>
      </c>
      <c r="M2868">
        <v>18</v>
      </c>
      <c r="N2868" t="s">
        <v>47</v>
      </c>
      <c r="O2868">
        <v>6</v>
      </c>
      <c r="P2868" s="4">
        <v>73.099999999999994</v>
      </c>
      <c r="Q2868" t="s">
        <v>42</v>
      </c>
      <c r="R2868">
        <v>0</v>
      </c>
      <c r="S2868" t="s">
        <v>44</v>
      </c>
      <c r="T2868">
        <v>0</v>
      </c>
      <c r="U2868">
        <v>0</v>
      </c>
      <c r="V2868" t="s">
        <v>32</v>
      </c>
      <c r="W2868" t="s">
        <v>39</v>
      </c>
      <c r="X2868" s="4">
        <v>6.4</v>
      </c>
      <c r="Y2868">
        <v>8</v>
      </c>
      <c r="Z2868" s="5">
        <v>166.08</v>
      </c>
    </row>
    <row r="2869" spans="1:26">
      <c r="A2869">
        <v>2868</v>
      </c>
      <c r="B2869">
        <v>940</v>
      </c>
      <c r="C2869" s="2">
        <v>46035</v>
      </c>
      <c r="D2869" t="s">
        <v>35</v>
      </c>
      <c r="E2869">
        <v>1</v>
      </c>
      <c r="F2869" s="3">
        <v>11.62</v>
      </c>
      <c r="G2869" t="s">
        <v>36</v>
      </c>
      <c r="H2869">
        <v>62</v>
      </c>
      <c r="I2869" t="s">
        <v>34</v>
      </c>
      <c r="J2869" s="4">
        <v>59.9</v>
      </c>
      <c r="K2869" s="4">
        <v>104.6</v>
      </c>
      <c r="L2869" s="4">
        <v>20.399999999999999</v>
      </c>
      <c r="M2869">
        <v>15</v>
      </c>
      <c r="N2869" t="s">
        <v>47</v>
      </c>
      <c r="O2869">
        <v>6</v>
      </c>
      <c r="P2869" s="4">
        <v>73.099999999999994</v>
      </c>
      <c r="Q2869" t="s">
        <v>42</v>
      </c>
      <c r="R2869">
        <v>0</v>
      </c>
      <c r="S2869" t="s">
        <v>44</v>
      </c>
      <c r="T2869">
        <v>0</v>
      </c>
      <c r="U2869">
        <v>0</v>
      </c>
      <c r="V2869" t="s">
        <v>32</v>
      </c>
      <c r="W2869" t="s">
        <v>39</v>
      </c>
      <c r="X2869" s="4">
        <v>6.6</v>
      </c>
      <c r="Y2869">
        <v>4</v>
      </c>
      <c r="Z2869" s="5">
        <v>104.4</v>
      </c>
    </row>
    <row r="2870" spans="1:26">
      <c r="A2870">
        <v>2869</v>
      </c>
      <c r="B2870">
        <v>940</v>
      </c>
      <c r="C2870" s="2">
        <v>46035</v>
      </c>
      <c r="D2870" t="s">
        <v>35</v>
      </c>
      <c r="E2870">
        <v>1</v>
      </c>
      <c r="F2870" s="3">
        <v>11.74</v>
      </c>
      <c r="G2870" t="s">
        <v>36</v>
      </c>
      <c r="H2870">
        <v>62</v>
      </c>
      <c r="I2870" t="s">
        <v>34</v>
      </c>
      <c r="J2870" s="4">
        <v>61.3</v>
      </c>
      <c r="K2870" s="4">
        <v>173.4</v>
      </c>
      <c r="L2870" s="4">
        <v>32.700000000000003</v>
      </c>
      <c r="M2870">
        <v>15</v>
      </c>
      <c r="N2870" t="s">
        <v>47</v>
      </c>
      <c r="O2870">
        <v>6</v>
      </c>
      <c r="P2870" s="4">
        <v>73.099999999999994</v>
      </c>
      <c r="Q2870" t="s">
        <v>42</v>
      </c>
      <c r="R2870">
        <v>0</v>
      </c>
      <c r="S2870" t="s">
        <v>44</v>
      </c>
      <c r="T2870">
        <v>0</v>
      </c>
      <c r="U2870">
        <v>0</v>
      </c>
      <c r="V2870" t="s">
        <v>32</v>
      </c>
      <c r="W2870" t="s">
        <v>39</v>
      </c>
      <c r="X2870" s="4">
        <v>8.8000000000000007</v>
      </c>
      <c r="Y2870">
        <v>13</v>
      </c>
      <c r="Z2870" s="5">
        <v>308.85000000000002</v>
      </c>
    </row>
    <row r="2871" spans="1:26">
      <c r="A2871">
        <v>2870</v>
      </c>
      <c r="B2871">
        <v>941</v>
      </c>
      <c r="C2871" s="2">
        <v>46095</v>
      </c>
      <c r="D2871" t="s">
        <v>40</v>
      </c>
      <c r="E2871">
        <v>3</v>
      </c>
      <c r="F2871" s="3">
        <v>10.039999999999999</v>
      </c>
      <c r="G2871" t="s">
        <v>27</v>
      </c>
      <c r="H2871">
        <v>48</v>
      </c>
      <c r="I2871" t="s">
        <v>34</v>
      </c>
      <c r="J2871" s="4">
        <v>68</v>
      </c>
      <c r="K2871" s="4">
        <v>164.5</v>
      </c>
      <c r="L2871" s="4">
        <v>25</v>
      </c>
      <c r="M2871">
        <v>13</v>
      </c>
      <c r="N2871" t="s">
        <v>47</v>
      </c>
      <c r="O2871">
        <v>3</v>
      </c>
      <c r="P2871" s="4">
        <v>60.8</v>
      </c>
      <c r="Q2871" t="s">
        <v>30</v>
      </c>
      <c r="R2871">
        <v>0</v>
      </c>
      <c r="S2871" t="s">
        <v>44</v>
      </c>
      <c r="T2871">
        <v>0</v>
      </c>
      <c r="U2871">
        <v>0</v>
      </c>
      <c r="V2871" t="s">
        <v>45</v>
      </c>
      <c r="W2871" t="s">
        <v>49</v>
      </c>
      <c r="X2871" s="4">
        <v>6.7</v>
      </c>
      <c r="Y2871">
        <v>6</v>
      </c>
      <c r="Z2871" s="5">
        <v>137.78</v>
      </c>
    </row>
    <row r="2872" spans="1:26">
      <c r="A2872">
        <v>2871</v>
      </c>
      <c r="B2872">
        <v>941</v>
      </c>
      <c r="C2872" s="2">
        <v>46095</v>
      </c>
      <c r="D2872" t="s">
        <v>40</v>
      </c>
      <c r="E2872">
        <v>3</v>
      </c>
      <c r="F2872" s="3">
        <v>10.02</v>
      </c>
      <c r="G2872" t="s">
        <v>27</v>
      </c>
      <c r="H2872">
        <v>43</v>
      </c>
      <c r="I2872" t="s">
        <v>34</v>
      </c>
      <c r="J2872" s="4">
        <v>65.5</v>
      </c>
      <c r="K2872" s="4">
        <v>151.6</v>
      </c>
      <c r="L2872" s="4">
        <v>25</v>
      </c>
      <c r="M2872">
        <v>16</v>
      </c>
      <c r="N2872" t="s">
        <v>47</v>
      </c>
      <c r="O2872">
        <v>3</v>
      </c>
      <c r="P2872" s="4">
        <v>60.8</v>
      </c>
      <c r="Q2872" t="s">
        <v>30</v>
      </c>
      <c r="R2872">
        <v>0</v>
      </c>
      <c r="S2872" t="s">
        <v>44</v>
      </c>
      <c r="T2872">
        <v>0</v>
      </c>
      <c r="U2872">
        <v>0</v>
      </c>
      <c r="V2872" t="s">
        <v>45</v>
      </c>
      <c r="W2872" t="s">
        <v>49</v>
      </c>
      <c r="X2872" s="4">
        <v>7</v>
      </c>
      <c r="Y2872">
        <v>5</v>
      </c>
      <c r="Z2872" s="5">
        <v>106.9</v>
      </c>
    </row>
    <row r="2873" spans="1:26">
      <c r="A2873">
        <v>2872</v>
      </c>
      <c r="B2873">
        <v>941</v>
      </c>
      <c r="C2873" s="2">
        <v>46095</v>
      </c>
      <c r="D2873" t="s">
        <v>40</v>
      </c>
      <c r="E2873">
        <v>3</v>
      </c>
      <c r="F2873" s="3">
        <v>9.9499999999999993</v>
      </c>
      <c r="G2873" t="s">
        <v>27</v>
      </c>
      <c r="H2873">
        <v>59</v>
      </c>
      <c r="I2873" t="s">
        <v>34</v>
      </c>
      <c r="J2873" s="4">
        <v>66.099999999999994</v>
      </c>
      <c r="K2873" s="4">
        <v>175.9</v>
      </c>
      <c r="L2873" s="4">
        <v>28.2</v>
      </c>
      <c r="M2873">
        <v>10</v>
      </c>
      <c r="N2873" t="s">
        <v>47</v>
      </c>
      <c r="O2873">
        <v>3</v>
      </c>
      <c r="P2873" s="4">
        <v>60.8</v>
      </c>
      <c r="Q2873" t="s">
        <v>30</v>
      </c>
      <c r="R2873">
        <v>0</v>
      </c>
      <c r="S2873" t="s">
        <v>44</v>
      </c>
      <c r="T2873">
        <v>0</v>
      </c>
      <c r="U2873">
        <v>0</v>
      </c>
      <c r="V2873" t="s">
        <v>45</v>
      </c>
      <c r="W2873" t="s">
        <v>49</v>
      </c>
      <c r="X2873" s="4">
        <v>6.9</v>
      </c>
      <c r="Y2873">
        <v>6</v>
      </c>
      <c r="Z2873" s="5">
        <v>154.86000000000001</v>
      </c>
    </row>
    <row r="2874" spans="1:26">
      <c r="A2874">
        <v>2873</v>
      </c>
      <c r="B2874">
        <v>942</v>
      </c>
      <c r="C2874" s="2">
        <v>46249</v>
      </c>
      <c r="D2874" t="s">
        <v>40</v>
      </c>
      <c r="E2874">
        <v>8</v>
      </c>
      <c r="F2874" s="3">
        <v>13.44</v>
      </c>
      <c r="G2874" t="s">
        <v>36</v>
      </c>
      <c r="H2874">
        <v>8</v>
      </c>
      <c r="I2874" t="s">
        <v>34</v>
      </c>
      <c r="J2874" s="4">
        <v>61.7</v>
      </c>
      <c r="K2874" s="4">
        <v>76.099999999999994</v>
      </c>
      <c r="L2874" s="4">
        <v>14.2</v>
      </c>
      <c r="M2874">
        <v>11</v>
      </c>
      <c r="N2874" t="s">
        <v>47</v>
      </c>
      <c r="O2874">
        <v>4</v>
      </c>
      <c r="P2874" s="4">
        <v>85.6</v>
      </c>
      <c r="Q2874" t="s">
        <v>30</v>
      </c>
      <c r="R2874">
        <v>0</v>
      </c>
      <c r="S2874" t="s">
        <v>31</v>
      </c>
      <c r="T2874">
        <v>1</v>
      </c>
      <c r="U2874">
        <v>0</v>
      </c>
      <c r="V2874" t="s">
        <v>32</v>
      </c>
      <c r="W2874" t="s">
        <v>49</v>
      </c>
      <c r="X2874" s="4">
        <v>7.2</v>
      </c>
      <c r="Y2874">
        <v>8</v>
      </c>
      <c r="Z2874" s="5">
        <v>255.91</v>
      </c>
    </row>
    <row r="2875" spans="1:26">
      <c r="A2875">
        <v>2874</v>
      </c>
      <c r="B2875">
        <v>942</v>
      </c>
      <c r="C2875" s="2">
        <v>46249</v>
      </c>
      <c r="D2875" t="s">
        <v>40</v>
      </c>
      <c r="E2875">
        <v>8</v>
      </c>
      <c r="F2875" s="3">
        <v>13.3</v>
      </c>
      <c r="G2875" t="s">
        <v>36</v>
      </c>
      <c r="H2875">
        <v>18</v>
      </c>
      <c r="I2875" t="s">
        <v>28</v>
      </c>
      <c r="J2875" s="4">
        <v>66</v>
      </c>
      <c r="K2875" s="4">
        <v>186.1</v>
      </c>
      <c r="L2875" s="4">
        <v>30.2</v>
      </c>
      <c r="M2875">
        <v>11</v>
      </c>
      <c r="N2875" t="s">
        <v>47</v>
      </c>
      <c r="O2875">
        <v>4</v>
      </c>
      <c r="P2875" s="4">
        <v>85.6</v>
      </c>
      <c r="Q2875" t="s">
        <v>30</v>
      </c>
      <c r="R2875">
        <v>0</v>
      </c>
      <c r="S2875" t="s">
        <v>31</v>
      </c>
      <c r="T2875">
        <v>1</v>
      </c>
      <c r="U2875">
        <v>0</v>
      </c>
      <c r="V2875" t="s">
        <v>32</v>
      </c>
      <c r="W2875" t="s">
        <v>49</v>
      </c>
      <c r="X2875" s="4">
        <v>9.1</v>
      </c>
      <c r="Y2875">
        <v>6</v>
      </c>
      <c r="Z2875" s="5">
        <v>232.56</v>
      </c>
    </row>
    <row r="2876" spans="1:26">
      <c r="A2876">
        <v>2875</v>
      </c>
      <c r="B2876">
        <v>942</v>
      </c>
      <c r="C2876" s="2">
        <v>46249</v>
      </c>
      <c r="D2876" t="s">
        <v>40</v>
      </c>
      <c r="E2876">
        <v>8</v>
      </c>
      <c r="F2876" s="3">
        <v>13.35</v>
      </c>
      <c r="G2876" t="s">
        <v>36</v>
      </c>
      <c r="H2876">
        <v>29</v>
      </c>
      <c r="I2876" t="s">
        <v>28</v>
      </c>
      <c r="J2876" s="4">
        <v>69.2</v>
      </c>
      <c r="K2876" s="4">
        <v>203.2</v>
      </c>
      <c r="L2876" s="4">
        <v>29.8</v>
      </c>
      <c r="M2876">
        <v>11</v>
      </c>
      <c r="N2876" t="s">
        <v>47</v>
      </c>
      <c r="O2876">
        <v>4</v>
      </c>
      <c r="P2876" s="4">
        <v>85.6</v>
      </c>
      <c r="Q2876" t="s">
        <v>30</v>
      </c>
      <c r="R2876">
        <v>0</v>
      </c>
      <c r="S2876" t="s">
        <v>31</v>
      </c>
      <c r="T2876">
        <v>1</v>
      </c>
      <c r="U2876">
        <v>0</v>
      </c>
      <c r="V2876" t="s">
        <v>32</v>
      </c>
      <c r="W2876" t="s">
        <v>49</v>
      </c>
      <c r="X2876" s="4">
        <v>8.9</v>
      </c>
      <c r="Y2876">
        <v>13</v>
      </c>
      <c r="Z2876" s="5">
        <v>199.77</v>
      </c>
    </row>
    <row r="2877" spans="1:26">
      <c r="A2877">
        <v>2876</v>
      </c>
      <c r="B2877">
        <v>942</v>
      </c>
      <c r="C2877" s="2">
        <v>46249</v>
      </c>
      <c r="D2877" t="s">
        <v>40</v>
      </c>
      <c r="E2877">
        <v>8</v>
      </c>
      <c r="F2877" s="3">
        <v>13.37</v>
      </c>
      <c r="G2877" t="s">
        <v>36</v>
      </c>
      <c r="H2877">
        <v>69</v>
      </c>
      <c r="I2877" t="s">
        <v>34</v>
      </c>
      <c r="J2877" s="4">
        <v>57.2</v>
      </c>
      <c r="K2877" s="4">
        <v>106.1</v>
      </c>
      <c r="L2877" s="4">
        <v>22.7</v>
      </c>
      <c r="M2877">
        <v>9</v>
      </c>
      <c r="N2877" t="s">
        <v>47</v>
      </c>
      <c r="O2877">
        <v>4</v>
      </c>
      <c r="P2877" s="4">
        <v>85.6</v>
      </c>
      <c r="Q2877" t="s">
        <v>30</v>
      </c>
      <c r="R2877">
        <v>0</v>
      </c>
      <c r="S2877" t="s">
        <v>31</v>
      </c>
      <c r="T2877">
        <v>1</v>
      </c>
      <c r="U2877">
        <v>0</v>
      </c>
      <c r="V2877" t="s">
        <v>32</v>
      </c>
      <c r="W2877" t="s">
        <v>49</v>
      </c>
      <c r="X2877" s="4">
        <v>5.5</v>
      </c>
      <c r="Y2877">
        <v>6</v>
      </c>
      <c r="Z2877" s="5">
        <v>104.05</v>
      </c>
    </row>
    <row r="2878" spans="1:26">
      <c r="A2878">
        <v>2877</v>
      </c>
      <c r="B2878">
        <v>943</v>
      </c>
      <c r="C2878" s="2">
        <v>46146</v>
      </c>
      <c r="D2878" t="s">
        <v>46</v>
      </c>
      <c r="E2878">
        <v>5</v>
      </c>
      <c r="F2878" s="3">
        <v>10.41</v>
      </c>
      <c r="G2878" t="s">
        <v>27</v>
      </c>
      <c r="H2878">
        <v>51</v>
      </c>
      <c r="I2878" t="s">
        <v>28</v>
      </c>
      <c r="J2878" s="4">
        <v>75.099999999999994</v>
      </c>
      <c r="K2878" s="4">
        <v>170.5</v>
      </c>
      <c r="L2878" s="4">
        <v>21.4</v>
      </c>
      <c r="M2878">
        <v>15</v>
      </c>
      <c r="N2878" t="s">
        <v>65</v>
      </c>
      <c r="O2878">
        <v>2</v>
      </c>
      <c r="P2878" s="4">
        <v>2131.6</v>
      </c>
      <c r="Q2878" t="s">
        <v>42</v>
      </c>
      <c r="R2878">
        <v>0</v>
      </c>
      <c r="S2878" t="s">
        <v>31</v>
      </c>
      <c r="T2878">
        <v>1</v>
      </c>
      <c r="U2878">
        <v>0</v>
      </c>
      <c r="V2878" t="s">
        <v>32</v>
      </c>
      <c r="W2878" t="s">
        <v>39</v>
      </c>
      <c r="X2878" s="4">
        <v>6.5</v>
      </c>
      <c r="Y2878">
        <v>5</v>
      </c>
      <c r="Z2878" s="5">
        <v>136.36000000000001</v>
      </c>
    </row>
    <row r="2879" spans="1:26">
      <c r="A2879">
        <v>2878</v>
      </c>
      <c r="B2879">
        <v>943</v>
      </c>
      <c r="C2879" s="2">
        <v>46146</v>
      </c>
      <c r="D2879" t="s">
        <v>46</v>
      </c>
      <c r="E2879">
        <v>5</v>
      </c>
      <c r="F2879" s="3">
        <v>10.46</v>
      </c>
      <c r="G2879" t="s">
        <v>27</v>
      </c>
      <c r="H2879">
        <v>9</v>
      </c>
      <c r="I2879" t="s">
        <v>28</v>
      </c>
      <c r="J2879" s="4">
        <v>70</v>
      </c>
      <c r="K2879" s="4">
        <v>114.6</v>
      </c>
      <c r="L2879" s="4">
        <v>16.600000000000001</v>
      </c>
      <c r="M2879">
        <v>14</v>
      </c>
      <c r="N2879" t="s">
        <v>65</v>
      </c>
      <c r="O2879">
        <v>2</v>
      </c>
      <c r="P2879" s="4">
        <v>2131.6</v>
      </c>
      <c r="Q2879" t="s">
        <v>42</v>
      </c>
      <c r="R2879">
        <v>0</v>
      </c>
      <c r="S2879" t="s">
        <v>31</v>
      </c>
      <c r="T2879">
        <v>1</v>
      </c>
      <c r="U2879">
        <v>0</v>
      </c>
      <c r="V2879" t="s">
        <v>32</v>
      </c>
      <c r="W2879" t="s">
        <v>39</v>
      </c>
      <c r="X2879" s="4">
        <v>7.4</v>
      </c>
      <c r="Y2879">
        <v>9</v>
      </c>
      <c r="Z2879" s="5">
        <v>216.47</v>
      </c>
    </row>
    <row r="2880" spans="1:26">
      <c r="A2880">
        <v>2879</v>
      </c>
      <c r="B2880">
        <v>944</v>
      </c>
      <c r="C2880" s="2">
        <v>46153</v>
      </c>
      <c r="D2880" t="s">
        <v>46</v>
      </c>
      <c r="E2880">
        <v>5</v>
      </c>
      <c r="F2880" s="3">
        <v>10.11</v>
      </c>
      <c r="G2880" t="s">
        <v>27</v>
      </c>
      <c r="H2880">
        <v>61</v>
      </c>
      <c r="I2880" t="s">
        <v>28</v>
      </c>
      <c r="J2880" s="4">
        <v>70.2</v>
      </c>
      <c r="K2880" s="4">
        <v>179.5</v>
      </c>
      <c r="L2880" s="4">
        <v>25.8</v>
      </c>
      <c r="M2880">
        <v>14</v>
      </c>
      <c r="N2880" t="s">
        <v>54</v>
      </c>
      <c r="O2880">
        <v>2</v>
      </c>
      <c r="P2880" s="4">
        <v>2298.9</v>
      </c>
      <c r="Q2880" t="s">
        <v>30</v>
      </c>
      <c r="R2880">
        <v>1</v>
      </c>
      <c r="S2880" t="s">
        <v>31</v>
      </c>
      <c r="T2880">
        <v>0</v>
      </c>
      <c r="U2880">
        <v>1</v>
      </c>
      <c r="V2880" t="s">
        <v>32</v>
      </c>
      <c r="W2880" t="s">
        <v>33</v>
      </c>
      <c r="X2880" s="4">
        <v>9.4</v>
      </c>
      <c r="Y2880">
        <v>5</v>
      </c>
      <c r="Z2880" s="5">
        <v>121.22</v>
      </c>
    </row>
    <row r="2881" spans="1:26">
      <c r="A2881">
        <v>2880</v>
      </c>
      <c r="B2881">
        <v>944</v>
      </c>
      <c r="C2881" s="2">
        <v>46153</v>
      </c>
      <c r="D2881" t="s">
        <v>46</v>
      </c>
      <c r="E2881">
        <v>5</v>
      </c>
      <c r="F2881" s="3">
        <v>10.029999999999999</v>
      </c>
      <c r="G2881" t="s">
        <v>27</v>
      </c>
      <c r="H2881">
        <v>58</v>
      </c>
      <c r="I2881" t="s">
        <v>34</v>
      </c>
      <c r="J2881" s="4">
        <v>66.099999999999994</v>
      </c>
      <c r="K2881" s="4">
        <v>118.7</v>
      </c>
      <c r="L2881" s="4">
        <v>19.399999999999999</v>
      </c>
      <c r="M2881">
        <v>15</v>
      </c>
      <c r="N2881" t="s">
        <v>54</v>
      </c>
      <c r="O2881">
        <v>2</v>
      </c>
      <c r="P2881" s="4">
        <v>2298.9</v>
      </c>
      <c r="Q2881" t="s">
        <v>30</v>
      </c>
      <c r="R2881">
        <v>1</v>
      </c>
      <c r="S2881" t="s">
        <v>31</v>
      </c>
      <c r="T2881">
        <v>0</v>
      </c>
      <c r="U2881">
        <v>1</v>
      </c>
      <c r="V2881" t="s">
        <v>32</v>
      </c>
      <c r="W2881" t="s">
        <v>33</v>
      </c>
      <c r="X2881" s="4">
        <v>12.8</v>
      </c>
      <c r="Y2881">
        <v>13</v>
      </c>
      <c r="Z2881" s="5">
        <v>395.94</v>
      </c>
    </row>
    <row r="2882" spans="1:26">
      <c r="A2882">
        <v>2881</v>
      </c>
      <c r="B2882">
        <v>945</v>
      </c>
      <c r="C2882" s="2">
        <v>46289</v>
      </c>
      <c r="D2882" t="s">
        <v>55</v>
      </c>
      <c r="E2882">
        <v>9</v>
      </c>
      <c r="F2882" s="3">
        <v>10.79</v>
      </c>
      <c r="G2882" t="s">
        <v>27</v>
      </c>
      <c r="H2882">
        <v>11</v>
      </c>
      <c r="I2882" t="s">
        <v>34</v>
      </c>
      <c r="J2882" s="4">
        <v>63.7</v>
      </c>
      <c r="K2882" s="4">
        <v>114.6</v>
      </c>
      <c r="L2882" s="4">
        <v>20.100000000000001</v>
      </c>
      <c r="M2882">
        <v>12</v>
      </c>
      <c r="N2882" t="s">
        <v>47</v>
      </c>
      <c r="O2882">
        <v>3</v>
      </c>
      <c r="P2882" s="4">
        <v>46.7</v>
      </c>
      <c r="Q2882" t="s">
        <v>42</v>
      </c>
      <c r="R2882">
        <v>1</v>
      </c>
      <c r="S2882" t="s">
        <v>44</v>
      </c>
      <c r="T2882">
        <v>1</v>
      </c>
      <c r="U2882">
        <v>0</v>
      </c>
      <c r="V2882" t="s">
        <v>32</v>
      </c>
      <c r="W2882" t="s">
        <v>39</v>
      </c>
      <c r="X2882" s="4">
        <v>8</v>
      </c>
      <c r="Y2882">
        <v>8</v>
      </c>
      <c r="Z2882" s="5">
        <v>351.03</v>
      </c>
    </row>
    <row r="2883" spans="1:26">
      <c r="A2883">
        <v>2882</v>
      </c>
      <c r="B2883">
        <v>945</v>
      </c>
      <c r="C2883" s="2">
        <v>46289</v>
      </c>
      <c r="D2883" t="s">
        <v>55</v>
      </c>
      <c r="E2883">
        <v>9</v>
      </c>
      <c r="F2883" s="3">
        <v>10.73</v>
      </c>
      <c r="G2883" t="s">
        <v>27</v>
      </c>
      <c r="H2883">
        <v>31</v>
      </c>
      <c r="I2883" t="s">
        <v>28</v>
      </c>
      <c r="J2883" s="4">
        <v>69.099999999999994</v>
      </c>
      <c r="K2883" s="4">
        <v>246.4</v>
      </c>
      <c r="L2883" s="4">
        <v>36.1</v>
      </c>
      <c r="M2883">
        <v>15</v>
      </c>
      <c r="N2883" t="s">
        <v>47</v>
      </c>
      <c r="O2883">
        <v>3</v>
      </c>
      <c r="P2883" s="4">
        <v>46.7</v>
      </c>
      <c r="Q2883" t="s">
        <v>42</v>
      </c>
      <c r="R2883">
        <v>1</v>
      </c>
      <c r="S2883" t="s">
        <v>44</v>
      </c>
      <c r="T2883">
        <v>1</v>
      </c>
      <c r="U2883">
        <v>0</v>
      </c>
      <c r="V2883" t="s">
        <v>32</v>
      </c>
      <c r="W2883" t="s">
        <v>39</v>
      </c>
      <c r="X2883" s="4">
        <v>8.9</v>
      </c>
      <c r="Y2883">
        <v>13</v>
      </c>
      <c r="Z2883" s="5">
        <v>255.48</v>
      </c>
    </row>
    <row r="2884" spans="1:26">
      <c r="A2884">
        <v>2883</v>
      </c>
      <c r="B2884">
        <v>945</v>
      </c>
      <c r="C2884" s="2">
        <v>46289</v>
      </c>
      <c r="D2884" t="s">
        <v>55</v>
      </c>
      <c r="E2884">
        <v>9</v>
      </c>
      <c r="F2884" s="3">
        <v>10.77</v>
      </c>
      <c r="G2884" t="s">
        <v>27</v>
      </c>
      <c r="H2884">
        <v>75</v>
      </c>
      <c r="I2884" t="s">
        <v>34</v>
      </c>
      <c r="J2884" s="4">
        <v>66.7</v>
      </c>
      <c r="K2884" s="4">
        <v>150.30000000000001</v>
      </c>
      <c r="L2884" s="4">
        <v>23.9</v>
      </c>
      <c r="M2884">
        <v>17</v>
      </c>
      <c r="N2884" t="s">
        <v>47</v>
      </c>
      <c r="O2884">
        <v>3</v>
      </c>
      <c r="P2884" s="4">
        <v>46.7</v>
      </c>
      <c r="Q2884" t="s">
        <v>42</v>
      </c>
      <c r="R2884">
        <v>1</v>
      </c>
      <c r="S2884" t="s">
        <v>44</v>
      </c>
      <c r="T2884">
        <v>1</v>
      </c>
      <c r="U2884">
        <v>0</v>
      </c>
      <c r="V2884" t="s">
        <v>32</v>
      </c>
      <c r="W2884" t="s">
        <v>39</v>
      </c>
      <c r="X2884" s="4">
        <v>8.4</v>
      </c>
      <c r="Y2884">
        <v>12</v>
      </c>
      <c r="Z2884" s="5">
        <v>351.39</v>
      </c>
    </row>
    <row r="2885" spans="1:26">
      <c r="A2885">
        <v>2884</v>
      </c>
      <c r="B2885">
        <v>946</v>
      </c>
      <c r="C2885" s="2">
        <v>46078</v>
      </c>
      <c r="D2885" t="s">
        <v>52</v>
      </c>
      <c r="E2885">
        <v>2</v>
      </c>
      <c r="F2885" s="3">
        <v>11.68</v>
      </c>
      <c r="G2885" t="s">
        <v>36</v>
      </c>
      <c r="H2885">
        <v>10</v>
      </c>
      <c r="I2885" t="s">
        <v>34</v>
      </c>
      <c r="J2885" s="4">
        <v>61.9</v>
      </c>
      <c r="K2885" s="4">
        <v>83.6</v>
      </c>
      <c r="L2885" s="4">
        <v>14.8</v>
      </c>
      <c r="M2885">
        <v>13</v>
      </c>
      <c r="N2885" t="s">
        <v>61</v>
      </c>
      <c r="O2885">
        <v>2</v>
      </c>
      <c r="P2885" s="4">
        <v>1521.8</v>
      </c>
      <c r="Q2885" t="s">
        <v>42</v>
      </c>
      <c r="R2885">
        <v>1</v>
      </c>
      <c r="S2885" t="s">
        <v>44</v>
      </c>
      <c r="T2885">
        <v>0</v>
      </c>
      <c r="U2885">
        <v>0</v>
      </c>
      <c r="V2885" t="s">
        <v>32</v>
      </c>
      <c r="W2885" t="s">
        <v>43</v>
      </c>
      <c r="X2885" s="4">
        <v>9.8000000000000007</v>
      </c>
      <c r="Y2885">
        <v>10</v>
      </c>
      <c r="Z2885" s="5">
        <v>402.49</v>
      </c>
    </row>
    <row r="2886" spans="1:26">
      <c r="A2886">
        <v>2885</v>
      </c>
      <c r="B2886">
        <v>946</v>
      </c>
      <c r="C2886" s="2">
        <v>46078</v>
      </c>
      <c r="D2886" t="s">
        <v>52</v>
      </c>
      <c r="E2886">
        <v>2</v>
      </c>
      <c r="F2886" s="3">
        <v>11.66</v>
      </c>
      <c r="G2886" t="s">
        <v>36</v>
      </c>
      <c r="H2886">
        <v>7</v>
      </c>
      <c r="I2886" t="s">
        <v>34</v>
      </c>
      <c r="J2886" s="4">
        <v>55.4</v>
      </c>
      <c r="K2886" s="4">
        <v>84.6</v>
      </c>
      <c r="L2886" s="4">
        <v>19.399999999999999</v>
      </c>
      <c r="M2886">
        <v>14</v>
      </c>
      <c r="N2886" t="s">
        <v>61</v>
      </c>
      <c r="O2886">
        <v>2</v>
      </c>
      <c r="P2886" s="4">
        <v>1521.8</v>
      </c>
      <c r="Q2886" t="s">
        <v>42</v>
      </c>
      <c r="R2886">
        <v>1</v>
      </c>
      <c r="S2886" t="s">
        <v>44</v>
      </c>
      <c r="T2886">
        <v>0</v>
      </c>
      <c r="U2886">
        <v>0</v>
      </c>
      <c r="V2886" t="s">
        <v>32</v>
      </c>
      <c r="W2886" t="s">
        <v>43</v>
      </c>
      <c r="X2886" s="4">
        <v>5.6</v>
      </c>
      <c r="Y2886">
        <v>6</v>
      </c>
      <c r="Z2886" s="5">
        <v>104.96</v>
      </c>
    </row>
    <row r="2887" spans="1:26">
      <c r="A2887">
        <v>2886</v>
      </c>
      <c r="B2887">
        <v>947</v>
      </c>
      <c r="C2887" s="2">
        <v>46372</v>
      </c>
      <c r="D2887" t="s">
        <v>52</v>
      </c>
      <c r="E2887">
        <v>12</v>
      </c>
      <c r="F2887" s="3">
        <v>9.16</v>
      </c>
      <c r="G2887" t="s">
        <v>27</v>
      </c>
      <c r="H2887">
        <v>66</v>
      </c>
      <c r="I2887" t="s">
        <v>28</v>
      </c>
      <c r="J2887" s="4">
        <v>67.599999999999994</v>
      </c>
      <c r="K2887" s="4">
        <v>186.2</v>
      </c>
      <c r="L2887" s="4">
        <v>28.6</v>
      </c>
      <c r="M2887">
        <v>14</v>
      </c>
      <c r="N2887" t="s">
        <v>61</v>
      </c>
      <c r="O2887">
        <v>2</v>
      </c>
      <c r="P2887" s="4">
        <v>964.9</v>
      </c>
      <c r="Q2887" t="s">
        <v>48</v>
      </c>
      <c r="R2887">
        <v>1</v>
      </c>
      <c r="S2887" t="s">
        <v>44</v>
      </c>
      <c r="T2887">
        <v>0</v>
      </c>
      <c r="U2887">
        <v>0</v>
      </c>
      <c r="V2887" t="s">
        <v>45</v>
      </c>
      <c r="W2887" t="s">
        <v>49</v>
      </c>
      <c r="X2887" s="4">
        <v>8.8000000000000007</v>
      </c>
      <c r="Y2887">
        <v>6</v>
      </c>
      <c r="Z2887" s="5">
        <v>211.18</v>
      </c>
    </row>
    <row r="2888" spans="1:26">
      <c r="A2888">
        <v>2887</v>
      </c>
      <c r="B2888">
        <v>947</v>
      </c>
      <c r="C2888" s="2">
        <v>46372</v>
      </c>
      <c r="D2888" t="s">
        <v>52</v>
      </c>
      <c r="E2888">
        <v>12</v>
      </c>
      <c r="F2888" s="3">
        <v>9.3000000000000007</v>
      </c>
      <c r="G2888" t="s">
        <v>27</v>
      </c>
      <c r="H2888">
        <v>18</v>
      </c>
      <c r="I2888" t="s">
        <v>28</v>
      </c>
      <c r="J2888" s="4">
        <v>71.7</v>
      </c>
      <c r="K2888" s="4">
        <v>190.7</v>
      </c>
      <c r="L2888" s="4">
        <v>26</v>
      </c>
      <c r="M2888">
        <v>16</v>
      </c>
      <c r="N2888" t="s">
        <v>61</v>
      </c>
      <c r="O2888">
        <v>2</v>
      </c>
      <c r="P2888" s="4">
        <v>964.9</v>
      </c>
      <c r="Q2888" t="s">
        <v>48</v>
      </c>
      <c r="R2888">
        <v>1</v>
      </c>
      <c r="S2888" t="s">
        <v>44</v>
      </c>
      <c r="T2888">
        <v>0</v>
      </c>
      <c r="U2888">
        <v>0</v>
      </c>
      <c r="V2888" t="s">
        <v>45</v>
      </c>
      <c r="W2888" t="s">
        <v>49</v>
      </c>
      <c r="X2888" s="4">
        <v>6.3</v>
      </c>
      <c r="Y2888">
        <v>7</v>
      </c>
      <c r="Z2888" s="5">
        <v>228.51</v>
      </c>
    </row>
    <row r="2889" spans="1:26">
      <c r="A2889">
        <v>2888</v>
      </c>
      <c r="B2889">
        <v>948</v>
      </c>
      <c r="C2889" s="2">
        <v>46101</v>
      </c>
      <c r="D2889" t="s">
        <v>26</v>
      </c>
      <c r="E2889">
        <v>3</v>
      </c>
      <c r="F2889" s="3">
        <v>10.029999999999999</v>
      </c>
      <c r="G2889" t="s">
        <v>27</v>
      </c>
      <c r="H2889">
        <v>77</v>
      </c>
      <c r="I2889" t="s">
        <v>34</v>
      </c>
      <c r="J2889" s="4">
        <v>60.4</v>
      </c>
      <c r="K2889" s="4">
        <v>147.69999999999999</v>
      </c>
      <c r="L2889" s="4">
        <v>28.3</v>
      </c>
      <c r="M2889">
        <v>17</v>
      </c>
      <c r="N2889" t="s">
        <v>41</v>
      </c>
      <c r="O2889">
        <v>3</v>
      </c>
      <c r="P2889" s="4">
        <v>2925.2</v>
      </c>
      <c r="Q2889" t="s">
        <v>48</v>
      </c>
      <c r="R2889">
        <v>1</v>
      </c>
      <c r="S2889" t="s">
        <v>44</v>
      </c>
      <c r="T2889">
        <v>1</v>
      </c>
      <c r="U2889">
        <v>0</v>
      </c>
      <c r="V2889" t="s">
        <v>32</v>
      </c>
      <c r="W2889" t="s">
        <v>49</v>
      </c>
      <c r="X2889" s="4">
        <v>11.2</v>
      </c>
      <c r="Y2889">
        <v>8</v>
      </c>
      <c r="Z2889" s="5">
        <v>201.66</v>
      </c>
    </row>
    <row r="2890" spans="1:26">
      <c r="A2890">
        <v>2889</v>
      </c>
      <c r="B2890">
        <v>948</v>
      </c>
      <c r="C2890" s="2">
        <v>46101</v>
      </c>
      <c r="D2890" t="s">
        <v>26</v>
      </c>
      <c r="E2890">
        <v>3</v>
      </c>
      <c r="F2890" s="3">
        <v>10.18</v>
      </c>
      <c r="G2890" t="s">
        <v>27</v>
      </c>
      <c r="H2890">
        <v>28</v>
      </c>
      <c r="I2890" t="s">
        <v>28</v>
      </c>
      <c r="J2890" s="4">
        <v>69.7</v>
      </c>
      <c r="K2890" s="4">
        <v>194.6</v>
      </c>
      <c r="L2890" s="4">
        <v>28.1</v>
      </c>
      <c r="M2890">
        <v>15</v>
      </c>
      <c r="N2890" t="s">
        <v>41</v>
      </c>
      <c r="O2890">
        <v>3</v>
      </c>
      <c r="P2890" s="4">
        <v>2925.2</v>
      </c>
      <c r="Q2890" t="s">
        <v>48</v>
      </c>
      <c r="R2890">
        <v>1</v>
      </c>
      <c r="S2890" t="s">
        <v>44</v>
      </c>
      <c r="T2890">
        <v>1</v>
      </c>
      <c r="U2890">
        <v>0</v>
      </c>
      <c r="V2890" t="s">
        <v>32</v>
      </c>
      <c r="W2890" t="s">
        <v>49</v>
      </c>
      <c r="X2890" s="4">
        <v>8.3000000000000007</v>
      </c>
      <c r="Y2890">
        <v>7</v>
      </c>
      <c r="Z2890" s="5">
        <v>265.17</v>
      </c>
    </row>
    <row r="2891" spans="1:26">
      <c r="A2891">
        <v>2890</v>
      </c>
      <c r="B2891">
        <v>948</v>
      </c>
      <c r="C2891" s="2">
        <v>46101</v>
      </c>
      <c r="D2891" t="s">
        <v>26</v>
      </c>
      <c r="E2891">
        <v>3</v>
      </c>
      <c r="F2891" s="3">
        <v>9.93</v>
      </c>
      <c r="G2891" t="s">
        <v>27</v>
      </c>
      <c r="H2891">
        <v>65</v>
      </c>
      <c r="I2891" t="s">
        <v>34</v>
      </c>
      <c r="J2891" s="4">
        <v>63.2</v>
      </c>
      <c r="K2891" s="4">
        <v>195.1</v>
      </c>
      <c r="L2891" s="4">
        <v>34.4</v>
      </c>
      <c r="M2891">
        <v>16</v>
      </c>
      <c r="N2891" t="s">
        <v>41</v>
      </c>
      <c r="O2891">
        <v>3</v>
      </c>
      <c r="P2891" s="4">
        <v>2925.2</v>
      </c>
      <c r="Q2891" t="s">
        <v>48</v>
      </c>
      <c r="R2891">
        <v>1</v>
      </c>
      <c r="S2891" t="s">
        <v>44</v>
      </c>
      <c r="T2891">
        <v>1</v>
      </c>
      <c r="U2891">
        <v>0</v>
      </c>
      <c r="V2891" t="s">
        <v>32</v>
      </c>
      <c r="W2891" t="s">
        <v>49</v>
      </c>
      <c r="X2891" s="4">
        <v>8</v>
      </c>
      <c r="Y2891">
        <v>10</v>
      </c>
      <c r="Z2891" s="5">
        <v>246.15</v>
      </c>
    </row>
    <row r="2892" spans="1:26">
      <c r="A2892">
        <v>2891</v>
      </c>
      <c r="B2892">
        <v>949</v>
      </c>
      <c r="C2892" s="2">
        <v>46120</v>
      </c>
      <c r="D2892" t="s">
        <v>52</v>
      </c>
      <c r="E2892">
        <v>4</v>
      </c>
      <c r="F2892" s="3">
        <v>9.17</v>
      </c>
      <c r="G2892" t="s">
        <v>27</v>
      </c>
      <c r="H2892">
        <v>65</v>
      </c>
      <c r="I2892" t="s">
        <v>34</v>
      </c>
      <c r="J2892" s="4">
        <v>62.3</v>
      </c>
      <c r="K2892" s="4">
        <v>160.80000000000001</v>
      </c>
      <c r="L2892" s="4">
        <v>29</v>
      </c>
      <c r="M2892">
        <v>14</v>
      </c>
      <c r="N2892" t="s">
        <v>56</v>
      </c>
      <c r="O2892">
        <v>4</v>
      </c>
      <c r="P2892" s="4">
        <v>266.5</v>
      </c>
      <c r="Q2892" t="s">
        <v>30</v>
      </c>
      <c r="R2892">
        <v>0</v>
      </c>
      <c r="S2892" t="s">
        <v>38</v>
      </c>
      <c r="T2892">
        <v>1</v>
      </c>
      <c r="U2892">
        <v>1</v>
      </c>
      <c r="V2892" t="s">
        <v>32</v>
      </c>
      <c r="W2892" t="s">
        <v>39</v>
      </c>
      <c r="X2892" s="4">
        <v>10.1</v>
      </c>
      <c r="Y2892">
        <v>7</v>
      </c>
      <c r="Z2892" s="5">
        <v>155.75</v>
      </c>
    </row>
    <row r="2893" spans="1:26">
      <c r="A2893">
        <v>2892</v>
      </c>
      <c r="B2893">
        <v>949</v>
      </c>
      <c r="C2893" s="2">
        <v>46120</v>
      </c>
      <c r="D2893" t="s">
        <v>52</v>
      </c>
      <c r="E2893">
        <v>4</v>
      </c>
      <c r="F2893" s="3">
        <v>9.33</v>
      </c>
      <c r="G2893" t="s">
        <v>27</v>
      </c>
      <c r="H2893">
        <v>27</v>
      </c>
      <c r="I2893" t="s">
        <v>28</v>
      </c>
      <c r="J2893" s="4">
        <v>67.099999999999994</v>
      </c>
      <c r="K2893" s="4">
        <v>225.7</v>
      </c>
      <c r="L2893" s="4">
        <v>35.200000000000003</v>
      </c>
      <c r="M2893">
        <v>14</v>
      </c>
      <c r="N2893" t="s">
        <v>56</v>
      </c>
      <c r="O2893">
        <v>4</v>
      </c>
      <c r="P2893" s="4">
        <v>266.5</v>
      </c>
      <c r="Q2893" t="s">
        <v>30</v>
      </c>
      <c r="R2893">
        <v>0</v>
      </c>
      <c r="S2893" t="s">
        <v>38</v>
      </c>
      <c r="T2893">
        <v>1</v>
      </c>
      <c r="U2893">
        <v>1</v>
      </c>
      <c r="V2893" t="s">
        <v>32</v>
      </c>
      <c r="W2893" t="s">
        <v>39</v>
      </c>
      <c r="X2893" s="4">
        <v>10.3</v>
      </c>
      <c r="Y2893">
        <v>12</v>
      </c>
      <c r="Z2893" s="5">
        <v>356.36</v>
      </c>
    </row>
    <row r="2894" spans="1:26">
      <c r="A2894">
        <v>2893</v>
      </c>
      <c r="B2894">
        <v>949</v>
      </c>
      <c r="C2894" s="2">
        <v>46120</v>
      </c>
      <c r="D2894" t="s">
        <v>52</v>
      </c>
      <c r="E2894">
        <v>4</v>
      </c>
      <c r="F2894" s="3">
        <v>9.24</v>
      </c>
      <c r="G2894" t="s">
        <v>27</v>
      </c>
      <c r="H2894">
        <v>77</v>
      </c>
      <c r="I2894" t="s">
        <v>34</v>
      </c>
      <c r="J2894" s="4">
        <v>63.8</v>
      </c>
      <c r="K2894" s="4">
        <v>126.6</v>
      </c>
      <c r="L2894" s="4">
        <v>21.8</v>
      </c>
      <c r="M2894">
        <v>16</v>
      </c>
      <c r="N2894" t="s">
        <v>56</v>
      </c>
      <c r="O2894">
        <v>4</v>
      </c>
      <c r="P2894" s="4">
        <v>266.5</v>
      </c>
      <c r="Q2894" t="s">
        <v>30</v>
      </c>
      <c r="R2894">
        <v>0</v>
      </c>
      <c r="S2894" t="s">
        <v>38</v>
      </c>
      <c r="T2894">
        <v>1</v>
      </c>
      <c r="U2894">
        <v>1</v>
      </c>
      <c r="V2894" t="s">
        <v>32</v>
      </c>
      <c r="W2894" t="s">
        <v>39</v>
      </c>
      <c r="X2894" s="4">
        <v>11.2</v>
      </c>
      <c r="Y2894">
        <v>6</v>
      </c>
      <c r="Z2894" s="5">
        <v>132.84</v>
      </c>
    </row>
    <row r="2895" spans="1:26">
      <c r="A2895">
        <v>2894</v>
      </c>
      <c r="B2895">
        <v>949</v>
      </c>
      <c r="C2895" s="2">
        <v>46120</v>
      </c>
      <c r="D2895" t="s">
        <v>52</v>
      </c>
      <c r="E2895">
        <v>4</v>
      </c>
      <c r="F2895" s="3">
        <v>9.4</v>
      </c>
      <c r="G2895" t="s">
        <v>27</v>
      </c>
      <c r="H2895">
        <v>41</v>
      </c>
      <c r="I2895" t="s">
        <v>28</v>
      </c>
      <c r="J2895" s="4">
        <v>68.7</v>
      </c>
      <c r="K2895" s="4">
        <v>159.4</v>
      </c>
      <c r="L2895" s="4">
        <v>23.5</v>
      </c>
      <c r="M2895">
        <v>15</v>
      </c>
      <c r="N2895" t="s">
        <v>56</v>
      </c>
      <c r="O2895">
        <v>4</v>
      </c>
      <c r="P2895" s="4">
        <v>266.5</v>
      </c>
      <c r="Q2895" t="s">
        <v>30</v>
      </c>
      <c r="R2895">
        <v>0</v>
      </c>
      <c r="S2895" t="s">
        <v>38</v>
      </c>
      <c r="T2895">
        <v>1</v>
      </c>
      <c r="U2895">
        <v>1</v>
      </c>
      <c r="V2895" t="s">
        <v>32</v>
      </c>
      <c r="W2895" t="s">
        <v>39</v>
      </c>
      <c r="X2895" s="4">
        <v>8.6</v>
      </c>
      <c r="Y2895">
        <v>11</v>
      </c>
      <c r="Z2895" s="5">
        <v>420.34</v>
      </c>
    </row>
    <row r="2896" spans="1:26">
      <c r="A2896">
        <v>2895</v>
      </c>
      <c r="B2896">
        <v>950</v>
      </c>
      <c r="C2896" s="2">
        <v>46234</v>
      </c>
      <c r="D2896" t="s">
        <v>26</v>
      </c>
      <c r="E2896">
        <v>7</v>
      </c>
      <c r="F2896" s="3">
        <v>9.26</v>
      </c>
      <c r="G2896" t="s">
        <v>27</v>
      </c>
      <c r="H2896">
        <v>32</v>
      </c>
      <c r="I2896" t="s">
        <v>28</v>
      </c>
      <c r="J2896" s="4">
        <v>69.5</v>
      </c>
      <c r="K2896" s="4">
        <v>166.2</v>
      </c>
      <c r="L2896" s="4">
        <v>24.2</v>
      </c>
      <c r="M2896">
        <v>10</v>
      </c>
      <c r="N2896" t="s">
        <v>50</v>
      </c>
      <c r="O2896">
        <v>5</v>
      </c>
      <c r="P2896" s="4">
        <v>166.8</v>
      </c>
      <c r="Q2896" t="s">
        <v>30</v>
      </c>
      <c r="R2896">
        <v>1</v>
      </c>
      <c r="S2896" t="s">
        <v>38</v>
      </c>
      <c r="T2896">
        <v>0</v>
      </c>
      <c r="U2896">
        <v>1</v>
      </c>
      <c r="V2896" t="s">
        <v>32</v>
      </c>
      <c r="W2896" t="s">
        <v>33</v>
      </c>
      <c r="X2896" s="4">
        <v>10.7</v>
      </c>
      <c r="Y2896">
        <v>12</v>
      </c>
      <c r="Z2896" s="5">
        <v>424.86</v>
      </c>
    </row>
    <row r="2897" spans="1:26">
      <c r="A2897">
        <v>2896</v>
      </c>
      <c r="B2897">
        <v>950</v>
      </c>
      <c r="C2897" s="2">
        <v>46234</v>
      </c>
      <c r="D2897" t="s">
        <v>26</v>
      </c>
      <c r="E2897">
        <v>7</v>
      </c>
      <c r="F2897" s="3">
        <v>9.17</v>
      </c>
      <c r="G2897" t="s">
        <v>27</v>
      </c>
      <c r="H2897">
        <v>11</v>
      </c>
      <c r="I2897" t="s">
        <v>34</v>
      </c>
      <c r="J2897" s="4">
        <v>65.900000000000006</v>
      </c>
      <c r="K2897" s="4">
        <v>83</v>
      </c>
      <c r="L2897" s="4">
        <v>13.6</v>
      </c>
      <c r="M2897">
        <v>10</v>
      </c>
      <c r="N2897" t="s">
        <v>50</v>
      </c>
      <c r="O2897">
        <v>5</v>
      </c>
      <c r="P2897" s="4">
        <v>166.8</v>
      </c>
      <c r="Q2897" t="s">
        <v>30</v>
      </c>
      <c r="R2897">
        <v>1</v>
      </c>
      <c r="S2897" t="s">
        <v>38</v>
      </c>
      <c r="T2897">
        <v>0</v>
      </c>
      <c r="U2897">
        <v>1</v>
      </c>
      <c r="V2897" t="s">
        <v>32</v>
      </c>
      <c r="W2897" t="s">
        <v>33</v>
      </c>
      <c r="X2897" s="4">
        <v>9.3000000000000007</v>
      </c>
      <c r="Y2897">
        <v>10</v>
      </c>
      <c r="Z2897" s="5">
        <v>242.01</v>
      </c>
    </row>
    <row r="2898" spans="1:26">
      <c r="A2898">
        <v>2897</v>
      </c>
      <c r="B2898">
        <v>950</v>
      </c>
      <c r="C2898" s="2">
        <v>46234</v>
      </c>
      <c r="D2898" t="s">
        <v>26</v>
      </c>
      <c r="E2898">
        <v>7</v>
      </c>
      <c r="F2898" s="3">
        <v>9.15</v>
      </c>
      <c r="G2898" t="s">
        <v>27</v>
      </c>
      <c r="H2898">
        <v>62</v>
      </c>
      <c r="I2898" t="s">
        <v>34</v>
      </c>
      <c r="J2898" s="4">
        <v>68.3</v>
      </c>
      <c r="K2898" s="4">
        <v>168.6</v>
      </c>
      <c r="L2898" s="4">
        <v>25.4</v>
      </c>
      <c r="M2898">
        <v>14</v>
      </c>
      <c r="N2898" t="s">
        <v>50</v>
      </c>
      <c r="O2898">
        <v>5</v>
      </c>
      <c r="P2898" s="4">
        <v>166.8</v>
      </c>
      <c r="Q2898" t="s">
        <v>30</v>
      </c>
      <c r="R2898">
        <v>1</v>
      </c>
      <c r="S2898" t="s">
        <v>38</v>
      </c>
      <c r="T2898">
        <v>0</v>
      </c>
      <c r="U2898">
        <v>1</v>
      </c>
      <c r="V2898" t="s">
        <v>32</v>
      </c>
      <c r="W2898" t="s">
        <v>33</v>
      </c>
      <c r="X2898" s="4">
        <v>10</v>
      </c>
      <c r="Y2898">
        <v>10</v>
      </c>
      <c r="Z2898" s="5">
        <v>398.7</v>
      </c>
    </row>
    <row r="2899" spans="1:26">
      <c r="A2899">
        <v>2898</v>
      </c>
      <c r="B2899">
        <v>950</v>
      </c>
      <c r="C2899" s="2">
        <v>46234</v>
      </c>
      <c r="D2899" t="s">
        <v>26</v>
      </c>
      <c r="E2899">
        <v>7</v>
      </c>
      <c r="F2899" s="3">
        <v>9.1199999999999992</v>
      </c>
      <c r="G2899" t="s">
        <v>27</v>
      </c>
      <c r="H2899">
        <v>69</v>
      </c>
      <c r="I2899" t="s">
        <v>28</v>
      </c>
      <c r="J2899" s="4">
        <v>67.3</v>
      </c>
      <c r="K2899" s="4">
        <v>190.5</v>
      </c>
      <c r="L2899" s="4">
        <v>29.4</v>
      </c>
      <c r="M2899">
        <v>15</v>
      </c>
      <c r="N2899" t="s">
        <v>50</v>
      </c>
      <c r="O2899">
        <v>5</v>
      </c>
      <c r="P2899" s="4">
        <v>166.8</v>
      </c>
      <c r="Q2899" t="s">
        <v>30</v>
      </c>
      <c r="R2899">
        <v>1</v>
      </c>
      <c r="S2899" t="s">
        <v>38</v>
      </c>
      <c r="T2899">
        <v>0</v>
      </c>
      <c r="U2899">
        <v>1</v>
      </c>
      <c r="V2899" t="s">
        <v>32</v>
      </c>
      <c r="W2899" t="s">
        <v>33</v>
      </c>
      <c r="X2899" s="4">
        <v>9.6</v>
      </c>
      <c r="Y2899">
        <v>5</v>
      </c>
      <c r="Z2899" s="5">
        <v>239.73</v>
      </c>
    </row>
    <row r="2900" spans="1:26">
      <c r="A2900">
        <v>2899</v>
      </c>
      <c r="B2900">
        <v>950</v>
      </c>
      <c r="C2900" s="2">
        <v>46234</v>
      </c>
      <c r="D2900" t="s">
        <v>26</v>
      </c>
      <c r="E2900">
        <v>7</v>
      </c>
      <c r="F2900" s="3">
        <v>9.35</v>
      </c>
      <c r="G2900" t="s">
        <v>27</v>
      </c>
      <c r="H2900">
        <v>24</v>
      </c>
      <c r="I2900" t="s">
        <v>34</v>
      </c>
      <c r="J2900" s="4">
        <v>62.2</v>
      </c>
      <c r="K2900" s="4">
        <v>142.69999999999999</v>
      </c>
      <c r="L2900" s="4">
        <v>25.9</v>
      </c>
      <c r="M2900">
        <v>11</v>
      </c>
      <c r="N2900" t="s">
        <v>50</v>
      </c>
      <c r="O2900">
        <v>5</v>
      </c>
      <c r="P2900" s="4">
        <v>166.8</v>
      </c>
      <c r="Q2900" t="s">
        <v>30</v>
      </c>
      <c r="R2900">
        <v>1</v>
      </c>
      <c r="S2900" t="s">
        <v>38</v>
      </c>
      <c r="T2900">
        <v>0</v>
      </c>
      <c r="U2900">
        <v>1</v>
      </c>
      <c r="V2900" t="s">
        <v>32</v>
      </c>
      <c r="W2900" t="s">
        <v>33</v>
      </c>
      <c r="X2900" s="4">
        <v>11.5</v>
      </c>
      <c r="Y2900">
        <v>9</v>
      </c>
      <c r="Z2900" s="5">
        <v>291.54000000000002</v>
      </c>
    </row>
    <row r="2901" spans="1:26">
      <c r="A2901">
        <v>2900</v>
      </c>
      <c r="B2901">
        <v>951</v>
      </c>
      <c r="C2901" s="2">
        <v>46285</v>
      </c>
      <c r="D2901" t="s">
        <v>58</v>
      </c>
      <c r="E2901">
        <v>9</v>
      </c>
      <c r="F2901" s="3">
        <v>11.99</v>
      </c>
      <c r="G2901" t="s">
        <v>36</v>
      </c>
      <c r="H2901">
        <v>29</v>
      </c>
      <c r="I2901" t="s">
        <v>34</v>
      </c>
      <c r="J2901" s="4">
        <v>68.5</v>
      </c>
      <c r="K2901" s="4">
        <v>161.4</v>
      </c>
      <c r="L2901" s="4">
        <v>24.1</v>
      </c>
      <c r="M2901">
        <v>10</v>
      </c>
      <c r="N2901" t="s">
        <v>29</v>
      </c>
      <c r="O2901">
        <v>4</v>
      </c>
      <c r="P2901" s="4">
        <v>1861.9</v>
      </c>
      <c r="Q2901" t="s">
        <v>30</v>
      </c>
      <c r="R2901">
        <v>1</v>
      </c>
      <c r="S2901" t="s">
        <v>38</v>
      </c>
      <c r="T2901">
        <v>1</v>
      </c>
      <c r="U2901">
        <v>0</v>
      </c>
      <c r="V2901" t="s">
        <v>45</v>
      </c>
      <c r="W2901" t="s">
        <v>49</v>
      </c>
      <c r="X2901" s="4">
        <v>9.6999999999999993</v>
      </c>
      <c r="Y2901">
        <v>6</v>
      </c>
      <c r="Z2901" s="5">
        <v>204.02</v>
      </c>
    </row>
    <row r="2902" spans="1:26">
      <c r="A2902">
        <v>2901</v>
      </c>
      <c r="B2902">
        <v>951</v>
      </c>
      <c r="C2902" s="2">
        <v>46285</v>
      </c>
      <c r="D2902" t="s">
        <v>58</v>
      </c>
      <c r="E2902">
        <v>9</v>
      </c>
      <c r="F2902" s="3">
        <v>11.54</v>
      </c>
      <c r="G2902" t="s">
        <v>36</v>
      </c>
      <c r="H2902">
        <v>68</v>
      </c>
      <c r="I2902" t="s">
        <v>28</v>
      </c>
      <c r="J2902" s="4">
        <v>65.099999999999994</v>
      </c>
      <c r="K2902" s="4">
        <v>147.19999999999999</v>
      </c>
      <c r="L2902" s="4">
        <v>24.2</v>
      </c>
      <c r="M2902">
        <v>16</v>
      </c>
      <c r="N2902" t="s">
        <v>29</v>
      </c>
      <c r="O2902">
        <v>4</v>
      </c>
      <c r="P2902" s="4">
        <v>1861.9</v>
      </c>
      <c r="Q2902" t="s">
        <v>30</v>
      </c>
      <c r="R2902">
        <v>1</v>
      </c>
      <c r="S2902" t="s">
        <v>38</v>
      </c>
      <c r="T2902">
        <v>1</v>
      </c>
      <c r="U2902">
        <v>0</v>
      </c>
      <c r="V2902" t="s">
        <v>45</v>
      </c>
      <c r="W2902" t="s">
        <v>49</v>
      </c>
      <c r="X2902" s="4">
        <v>11.2</v>
      </c>
      <c r="Y2902">
        <v>10</v>
      </c>
      <c r="Z2902" s="5">
        <v>297.31</v>
      </c>
    </row>
    <row r="2903" spans="1:26">
      <c r="A2903">
        <v>2902</v>
      </c>
      <c r="B2903">
        <v>951</v>
      </c>
      <c r="C2903" s="2">
        <v>46285</v>
      </c>
      <c r="D2903" t="s">
        <v>58</v>
      </c>
      <c r="E2903">
        <v>9</v>
      </c>
      <c r="F2903" s="3">
        <v>11.75</v>
      </c>
      <c r="G2903" t="s">
        <v>36</v>
      </c>
      <c r="H2903">
        <v>47</v>
      </c>
      <c r="I2903" t="s">
        <v>34</v>
      </c>
      <c r="J2903" s="4">
        <v>59.7</v>
      </c>
      <c r="K2903" s="4">
        <v>156.80000000000001</v>
      </c>
      <c r="L2903" s="4">
        <v>31.1</v>
      </c>
      <c r="M2903">
        <v>13</v>
      </c>
      <c r="N2903" t="s">
        <v>29</v>
      </c>
      <c r="O2903">
        <v>4</v>
      </c>
      <c r="P2903" s="4">
        <v>1861.9</v>
      </c>
      <c r="Q2903" t="s">
        <v>30</v>
      </c>
      <c r="R2903">
        <v>1</v>
      </c>
      <c r="S2903" t="s">
        <v>38</v>
      </c>
      <c r="T2903">
        <v>1</v>
      </c>
      <c r="U2903">
        <v>0</v>
      </c>
      <c r="V2903" t="s">
        <v>45</v>
      </c>
      <c r="W2903" t="s">
        <v>49</v>
      </c>
      <c r="X2903" s="4">
        <v>10.199999999999999</v>
      </c>
      <c r="Y2903">
        <v>14</v>
      </c>
      <c r="Z2903" s="5">
        <v>266.56</v>
      </c>
    </row>
    <row r="2904" spans="1:26">
      <c r="A2904">
        <v>2903</v>
      </c>
      <c r="B2904">
        <v>951</v>
      </c>
      <c r="C2904" s="2">
        <v>46285</v>
      </c>
      <c r="D2904" t="s">
        <v>58</v>
      </c>
      <c r="E2904">
        <v>9</v>
      </c>
      <c r="F2904" s="3">
        <v>11.78</v>
      </c>
      <c r="G2904" t="s">
        <v>36</v>
      </c>
      <c r="H2904">
        <v>19</v>
      </c>
      <c r="I2904" t="s">
        <v>28</v>
      </c>
      <c r="J2904" s="4">
        <v>77.5</v>
      </c>
      <c r="K2904" s="4">
        <v>238.8</v>
      </c>
      <c r="L2904" s="4">
        <v>28</v>
      </c>
      <c r="M2904">
        <v>9</v>
      </c>
      <c r="N2904" t="s">
        <v>29</v>
      </c>
      <c r="O2904">
        <v>4</v>
      </c>
      <c r="P2904" s="4">
        <v>1861.9</v>
      </c>
      <c r="Q2904" t="s">
        <v>30</v>
      </c>
      <c r="R2904">
        <v>1</v>
      </c>
      <c r="S2904" t="s">
        <v>38</v>
      </c>
      <c r="T2904">
        <v>1</v>
      </c>
      <c r="U2904">
        <v>0</v>
      </c>
      <c r="V2904" t="s">
        <v>45</v>
      </c>
      <c r="W2904" t="s">
        <v>49</v>
      </c>
      <c r="X2904" s="4">
        <v>11.1</v>
      </c>
      <c r="Y2904">
        <v>12</v>
      </c>
      <c r="Z2904" s="5">
        <v>223.03</v>
      </c>
    </row>
    <row r="2905" spans="1:26">
      <c r="A2905">
        <v>2904</v>
      </c>
      <c r="B2905">
        <v>952</v>
      </c>
      <c r="C2905" s="2">
        <v>46201</v>
      </c>
      <c r="D2905" t="s">
        <v>58</v>
      </c>
      <c r="E2905">
        <v>6</v>
      </c>
      <c r="F2905" s="3">
        <v>7.98</v>
      </c>
      <c r="G2905" t="s">
        <v>27</v>
      </c>
      <c r="H2905">
        <v>43</v>
      </c>
      <c r="I2905" t="s">
        <v>34</v>
      </c>
      <c r="J2905" s="4">
        <v>61.5</v>
      </c>
      <c r="K2905" s="4">
        <v>150.6</v>
      </c>
      <c r="L2905" s="4">
        <v>28.1</v>
      </c>
      <c r="M2905">
        <v>16</v>
      </c>
      <c r="N2905" t="s">
        <v>47</v>
      </c>
      <c r="O2905">
        <v>3</v>
      </c>
      <c r="P2905" s="4">
        <v>163</v>
      </c>
      <c r="Q2905" t="s">
        <v>42</v>
      </c>
      <c r="R2905">
        <v>1</v>
      </c>
      <c r="S2905" t="s">
        <v>31</v>
      </c>
      <c r="T2905">
        <v>1</v>
      </c>
      <c r="U2905">
        <v>0</v>
      </c>
      <c r="V2905" t="s">
        <v>32</v>
      </c>
      <c r="W2905" t="s">
        <v>39</v>
      </c>
      <c r="X2905" s="4">
        <v>10.8</v>
      </c>
      <c r="Y2905">
        <v>12</v>
      </c>
      <c r="Z2905" s="5">
        <v>317.58999999999997</v>
      </c>
    </row>
    <row r="2906" spans="1:26">
      <c r="A2906">
        <v>2905</v>
      </c>
      <c r="B2906">
        <v>952</v>
      </c>
      <c r="C2906" s="2">
        <v>46201</v>
      </c>
      <c r="D2906" t="s">
        <v>58</v>
      </c>
      <c r="E2906">
        <v>6</v>
      </c>
      <c r="F2906" s="3">
        <v>7.78</v>
      </c>
      <c r="G2906" t="s">
        <v>27</v>
      </c>
      <c r="H2906">
        <v>73</v>
      </c>
      <c r="I2906" t="s">
        <v>28</v>
      </c>
      <c r="J2906" s="4">
        <v>63.9</v>
      </c>
      <c r="K2906" s="4">
        <v>155</v>
      </c>
      <c r="L2906" s="4">
        <v>26.6</v>
      </c>
      <c r="M2906">
        <v>15</v>
      </c>
      <c r="N2906" t="s">
        <v>47</v>
      </c>
      <c r="O2906">
        <v>3</v>
      </c>
      <c r="P2906" s="4">
        <v>163</v>
      </c>
      <c r="Q2906" t="s">
        <v>42</v>
      </c>
      <c r="R2906">
        <v>1</v>
      </c>
      <c r="S2906" t="s">
        <v>31</v>
      </c>
      <c r="T2906">
        <v>1</v>
      </c>
      <c r="U2906">
        <v>0</v>
      </c>
      <c r="V2906" t="s">
        <v>32</v>
      </c>
      <c r="W2906" t="s">
        <v>39</v>
      </c>
      <c r="X2906" s="4">
        <v>10.9</v>
      </c>
      <c r="Y2906">
        <v>5</v>
      </c>
      <c r="Z2906" s="5">
        <v>164.71</v>
      </c>
    </row>
    <row r="2907" spans="1:26">
      <c r="A2907">
        <v>2906</v>
      </c>
      <c r="B2907">
        <v>952</v>
      </c>
      <c r="C2907" s="2">
        <v>46201</v>
      </c>
      <c r="D2907" t="s">
        <v>58</v>
      </c>
      <c r="E2907">
        <v>6</v>
      </c>
      <c r="F2907" s="3">
        <v>7.77</v>
      </c>
      <c r="G2907" t="s">
        <v>27</v>
      </c>
      <c r="H2907">
        <v>45</v>
      </c>
      <c r="I2907" t="s">
        <v>34</v>
      </c>
      <c r="J2907" s="4">
        <v>62.6</v>
      </c>
      <c r="K2907" s="4">
        <v>128.1</v>
      </c>
      <c r="L2907" s="4">
        <v>23</v>
      </c>
      <c r="M2907">
        <v>20</v>
      </c>
      <c r="N2907" t="s">
        <v>47</v>
      </c>
      <c r="O2907">
        <v>3</v>
      </c>
      <c r="P2907" s="4">
        <v>163</v>
      </c>
      <c r="Q2907" t="s">
        <v>42</v>
      </c>
      <c r="R2907">
        <v>1</v>
      </c>
      <c r="S2907" t="s">
        <v>31</v>
      </c>
      <c r="T2907">
        <v>1</v>
      </c>
      <c r="U2907">
        <v>0</v>
      </c>
      <c r="V2907" t="s">
        <v>32</v>
      </c>
      <c r="W2907" t="s">
        <v>39</v>
      </c>
      <c r="X2907" s="4">
        <v>6.9</v>
      </c>
      <c r="Y2907">
        <v>8</v>
      </c>
      <c r="Z2907" s="5">
        <v>140.81</v>
      </c>
    </row>
    <row r="2908" spans="1:26">
      <c r="A2908">
        <v>2907</v>
      </c>
      <c r="B2908">
        <v>953</v>
      </c>
      <c r="C2908" s="2">
        <v>46164</v>
      </c>
      <c r="D2908" t="s">
        <v>26</v>
      </c>
      <c r="E2908">
        <v>5</v>
      </c>
      <c r="F2908" s="3">
        <v>10.32</v>
      </c>
      <c r="G2908" t="s">
        <v>27</v>
      </c>
      <c r="H2908">
        <v>7</v>
      </c>
      <c r="I2908" t="s">
        <v>28</v>
      </c>
      <c r="J2908" s="4">
        <v>58.3</v>
      </c>
      <c r="K2908" s="4">
        <v>83.6</v>
      </c>
      <c r="L2908" s="4">
        <v>17.399999999999999</v>
      </c>
      <c r="M2908">
        <v>15</v>
      </c>
      <c r="N2908" t="s">
        <v>50</v>
      </c>
      <c r="O2908">
        <v>5</v>
      </c>
      <c r="P2908" s="4">
        <v>381</v>
      </c>
      <c r="Q2908" t="s">
        <v>30</v>
      </c>
      <c r="R2908">
        <v>0</v>
      </c>
      <c r="S2908" t="s">
        <v>31</v>
      </c>
      <c r="T2908">
        <v>0</v>
      </c>
      <c r="U2908">
        <v>0</v>
      </c>
      <c r="V2908" t="s">
        <v>32</v>
      </c>
      <c r="W2908" t="s">
        <v>39</v>
      </c>
      <c r="X2908" s="4">
        <v>5.4</v>
      </c>
      <c r="Y2908">
        <v>8</v>
      </c>
      <c r="Z2908" s="5">
        <v>133.6</v>
      </c>
    </row>
    <row r="2909" spans="1:26">
      <c r="A2909">
        <v>2908</v>
      </c>
      <c r="B2909">
        <v>953</v>
      </c>
      <c r="C2909" s="2">
        <v>46164</v>
      </c>
      <c r="D2909" t="s">
        <v>26</v>
      </c>
      <c r="E2909">
        <v>5</v>
      </c>
      <c r="F2909" s="3">
        <v>10.199999999999999</v>
      </c>
      <c r="G2909" t="s">
        <v>27</v>
      </c>
      <c r="H2909">
        <v>51</v>
      </c>
      <c r="I2909" t="s">
        <v>34</v>
      </c>
      <c r="J2909" s="4">
        <v>62.2</v>
      </c>
      <c r="K2909" s="4">
        <v>136.69999999999999</v>
      </c>
      <c r="L2909" s="4">
        <v>24.5</v>
      </c>
      <c r="M2909">
        <v>16</v>
      </c>
      <c r="N2909" t="s">
        <v>50</v>
      </c>
      <c r="O2909">
        <v>5</v>
      </c>
      <c r="P2909" s="4">
        <v>381</v>
      </c>
      <c r="Q2909" t="s">
        <v>30</v>
      </c>
      <c r="R2909">
        <v>0</v>
      </c>
      <c r="S2909" t="s">
        <v>31</v>
      </c>
      <c r="T2909">
        <v>0</v>
      </c>
      <c r="U2909">
        <v>0</v>
      </c>
      <c r="V2909" t="s">
        <v>32</v>
      </c>
      <c r="W2909" t="s">
        <v>39</v>
      </c>
      <c r="X2909" s="4">
        <v>9</v>
      </c>
      <c r="Y2909">
        <v>5</v>
      </c>
      <c r="Z2909" s="5">
        <v>138.28</v>
      </c>
    </row>
    <row r="2910" spans="1:26">
      <c r="A2910">
        <v>2909</v>
      </c>
      <c r="B2910">
        <v>953</v>
      </c>
      <c r="C2910" s="2">
        <v>46164</v>
      </c>
      <c r="D2910" t="s">
        <v>26</v>
      </c>
      <c r="E2910">
        <v>5</v>
      </c>
      <c r="F2910" s="3">
        <v>10.09</v>
      </c>
      <c r="G2910" t="s">
        <v>27</v>
      </c>
      <c r="H2910">
        <v>5</v>
      </c>
      <c r="I2910" t="s">
        <v>28</v>
      </c>
      <c r="J2910" s="4">
        <v>61</v>
      </c>
      <c r="K2910" s="4">
        <v>107.2</v>
      </c>
      <c r="L2910" s="4">
        <v>20.100000000000001</v>
      </c>
      <c r="M2910">
        <v>10</v>
      </c>
      <c r="N2910" t="s">
        <v>50</v>
      </c>
      <c r="O2910">
        <v>5</v>
      </c>
      <c r="P2910" s="4">
        <v>381</v>
      </c>
      <c r="Q2910" t="s">
        <v>30</v>
      </c>
      <c r="R2910">
        <v>0</v>
      </c>
      <c r="S2910" t="s">
        <v>31</v>
      </c>
      <c r="T2910">
        <v>0</v>
      </c>
      <c r="U2910">
        <v>0</v>
      </c>
      <c r="V2910" t="s">
        <v>32</v>
      </c>
      <c r="W2910" t="s">
        <v>39</v>
      </c>
      <c r="X2910" s="4">
        <v>9.6</v>
      </c>
      <c r="Y2910">
        <v>12</v>
      </c>
      <c r="Z2910" s="5">
        <v>240.83</v>
      </c>
    </row>
    <row r="2911" spans="1:26">
      <c r="A2911">
        <v>2910</v>
      </c>
      <c r="B2911">
        <v>953</v>
      </c>
      <c r="C2911" s="2">
        <v>46164</v>
      </c>
      <c r="D2911" t="s">
        <v>26</v>
      </c>
      <c r="E2911">
        <v>5</v>
      </c>
      <c r="F2911" s="3">
        <v>10.35</v>
      </c>
      <c r="G2911" t="s">
        <v>27</v>
      </c>
      <c r="H2911">
        <v>9</v>
      </c>
      <c r="I2911" t="s">
        <v>34</v>
      </c>
      <c r="J2911" s="4">
        <v>63.4</v>
      </c>
      <c r="K2911" s="4">
        <v>95</v>
      </c>
      <c r="L2911" s="4">
        <v>16.600000000000001</v>
      </c>
      <c r="M2911">
        <v>13</v>
      </c>
      <c r="N2911" t="s">
        <v>50</v>
      </c>
      <c r="O2911">
        <v>5</v>
      </c>
      <c r="P2911" s="4">
        <v>381</v>
      </c>
      <c r="Q2911" t="s">
        <v>30</v>
      </c>
      <c r="R2911">
        <v>0</v>
      </c>
      <c r="S2911" t="s">
        <v>31</v>
      </c>
      <c r="T2911">
        <v>0</v>
      </c>
      <c r="U2911">
        <v>0</v>
      </c>
      <c r="V2911" t="s">
        <v>32</v>
      </c>
      <c r="W2911" t="s">
        <v>39</v>
      </c>
      <c r="X2911" s="4">
        <v>9.6</v>
      </c>
      <c r="Y2911">
        <v>8</v>
      </c>
      <c r="Z2911" s="5">
        <v>220.67</v>
      </c>
    </row>
    <row r="2912" spans="1:26">
      <c r="A2912">
        <v>2911</v>
      </c>
      <c r="B2912">
        <v>953</v>
      </c>
      <c r="C2912" s="2">
        <v>46164</v>
      </c>
      <c r="D2912" t="s">
        <v>26</v>
      </c>
      <c r="E2912">
        <v>5</v>
      </c>
      <c r="F2912" s="3">
        <v>10.34</v>
      </c>
      <c r="G2912" t="s">
        <v>27</v>
      </c>
      <c r="H2912">
        <v>27</v>
      </c>
      <c r="I2912" t="s">
        <v>28</v>
      </c>
      <c r="J2912" s="4">
        <v>69.2</v>
      </c>
      <c r="K2912" s="4">
        <v>174</v>
      </c>
      <c r="L2912" s="4">
        <v>25.5</v>
      </c>
      <c r="M2912">
        <v>12</v>
      </c>
      <c r="N2912" t="s">
        <v>50</v>
      </c>
      <c r="O2912">
        <v>5</v>
      </c>
      <c r="P2912" s="4">
        <v>381</v>
      </c>
      <c r="Q2912" t="s">
        <v>30</v>
      </c>
      <c r="R2912">
        <v>0</v>
      </c>
      <c r="S2912" t="s">
        <v>31</v>
      </c>
      <c r="T2912">
        <v>0</v>
      </c>
      <c r="U2912">
        <v>0</v>
      </c>
      <c r="V2912" t="s">
        <v>32</v>
      </c>
      <c r="W2912" t="s">
        <v>39</v>
      </c>
      <c r="X2912" s="4">
        <v>8.8000000000000007</v>
      </c>
      <c r="Y2912">
        <v>6</v>
      </c>
      <c r="Z2912" s="5">
        <v>88.11</v>
      </c>
    </row>
    <row r="2913" spans="1:26">
      <c r="A2913">
        <v>2912</v>
      </c>
      <c r="B2913">
        <v>954</v>
      </c>
      <c r="C2913" s="2">
        <v>46217</v>
      </c>
      <c r="D2913" t="s">
        <v>35</v>
      </c>
      <c r="E2913">
        <v>7</v>
      </c>
      <c r="F2913" s="3">
        <v>7.9</v>
      </c>
      <c r="G2913" t="s">
        <v>27</v>
      </c>
      <c r="H2913">
        <v>35</v>
      </c>
      <c r="I2913" t="s">
        <v>34</v>
      </c>
      <c r="J2913" s="4">
        <v>68.3</v>
      </c>
      <c r="K2913" s="4">
        <v>181.4</v>
      </c>
      <c r="L2913" s="4">
        <v>27.3</v>
      </c>
      <c r="M2913">
        <v>16</v>
      </c>
      <c r="N2913" t="s">
        <v>47</v>
      </c>
      <c r="O2913">
        <v>3</v>
      </c>
      <c r="P2913" s="4">
        <v>113.9</v>
      </c>
      <c r="Q2913" t="s">
        <v>42</v>
      </c>
      <c r="R2913">
        <v>0</v>
      </c>
      <c r="S2913" t="s">
        <v>31</v>
      </c>
      <c r="T2913">
        <v>0</v>
      </c>
      <c r="U2913">
        <v>0</v>
      </c>
      <c r="V2913" t="s">
        <v>32</v>
      </c>
      <c r="W2913" t="s">
        <v>49</v>
      </c>
      <c r="X2913" s="4">
        <v>8.5</v>
      </c>
      <c r="Y2913">
        <v>11</v>
      </c>
      <c r="Z2913" s="5">
        <v>313.86</v>
      </c>
    </row>
    <row r="2914" spans="1:26">
      <c r="A2914">
        <v>2913</v>
      </c>
      <c r="B2914">
        <v>954</v>
      </c>
      <c r="C2914" s="2">
        <v>46217</v>
      </c>
      <c r="D2914" t="s">
        <v>35</v>
      </c>
      <c r="E2914">
        <v>7</v>
      </c>
      <c r="F2914" s="3">
        <v>7.68</v>
      </c>
      <c r="G2914" t="s">
        <v>27</v>
      </c>
      <c r="H2914">
        <v>50</v>
      </c>
      <c r="I2914" t="s">
        <v>28</v>
      </c>
      <c r="J2914" s="4">
        <v>73.5</v>
      </c>
      <c r="K2914" s="4">
        <v>161.9</v>
      </c>
      <c r="L2914" s="4">
        <v>21</v>
      </c>
      <c r="M2914">
        <v>19</v>
      </c>
      <c r="N2914" t="s">
        <v>47</v>
      </c>
      <c r="O2914">
        <v>3</v>
      </c>
      <c r="P2914" s="4">
        <v>113.9</v>
      </c>
      <c r="Q2914" t="s">
        <v>42</v>
      </c>
      <c r="R2914">
        <v>0</v>
      </c>
      <c r="S2914" t="s">
        <v>31</v>
      </c>
      <c r="T2914">
        <v>0</v>
      </c>
      <c r="U2914">
        <v>0</v>
      </c>
      <c r="V2914" t="s">
        <v>32</v>
      </c>
      <c r="W2914" t="s">
        <v>49</v>
      </c>
      <c r="X2914" s="4">
        <v>7.6</v>
      </c>
      <c r="Y2914">
        <v>8</v>
      </c>
      <c r="Z2914" s="5">
        <v>177.77</v>
      </c>
    </row>
    <row r="2915" spans="1:26">
      <c r="A2915">
        <v>2914</v>
      </c>
      <c r="B2915">
        <v>954</v>
      </c>
      <c r="C2915" s="2">
        <v>46217</v>
      </c>
      <c r="D2915" t="s">
        <v>35</v>
      </c>
      <c r="E2915">
        <v>7</v>
      </c>
      <c r="F2915" s="3">
        <v>7.87</v>
      </c>
      <c r="G2915" t="s">
        <v>27</v>
      </c>
      <c r="H2915">
        <v>34</v>
      </c>
      <c r="I2915" t="s">
        <v>34</v>
      </c>
      <c r="J2915" s="4">
        <v>63.5</v>
      </c>
      <c r="K2915" s="4">
        <v>137.9</v>
      </c>
      <c r="L2915" s="4">
        <v>24</v>
      </c>
      <c r="M2915">
        <v>18</v>
      </c>
      <c r="N2915" t="s">
        <v>47</v>
      </c>
      <c r="O2915">
        <v>3</v>
      </c>
      <c r="P2915" s="4">
        <v>113.9</v>
      </c>
      <c r="Q2915" t="s">
        <v>42</v>
      </c>
      <c r="R2915">
        <v>0</v>
      </c>
      <c r="S2915" t="s">
        <v>31</v>
      </c>
      <c r="T2915">
        <v>0</v>
      </c>
      <c r="U2915">
        <v>0</v>
      </c>
      <c r="V2915" t="s">
        <v>32</v>
      </c>
      <c r="W2915" t="s">
        <v>49</v>
      </c>
      <c r="X2915" s="4">
        <v>8.4</v>
      </c>
      <c r="Y2915">
        <v>7</v>
      </c>
      <c r="Z2915" s="5">
        <v>167.16</v>
      </c>
    </row>
    <row r="2916" spans="1:26">
      <c r="A2916">
        <v>2915</v>
      </c>
      <c r="B2916">
        <v>955</v>
      </c>
      <c r="C2916" s="2">
        <v>46333</v>
      </c>
      <c r="D2916" t="s">
        <v>40</v>
      </c>
      <c r="E2916">
        <v>11</v>
      </c>
      <c r="F2916" s="3">
        <v>11.63</v>
      </c>
      <c r="G2916" t="s">
        <v>36</v>
      </c>
      <c r="H2916">
        <v>57</v>
      </c>
      <c r="I2916" t="s">
        <v>28</v>
      </c>
      <c r="J2916" s="4">
        <v>63</v>
      </c>
      <c r="K2916" s="4">
        <v>168</v>
      </c>
      <c r="L2916" s="4">
        <v>29.8</v>
      </c>
      <c r="M2916">
        <v>17</v>
      </c>
      <c r="N2916" t="s">
        <v>37</v>
      </c>
      <c r="O2916">
        <v>3</v>
      </c>
      <c r="P2916" s="4">
        <v>1203</v>
      </c>
      <c r="Q2916" t="s">
        <v>48</v>
      </c>
      <c r="R2916">
        <v>1</v>
      </c>
      <c r="S2916" t="s">
        <v>44</v>
      </c>
      <c r="T2916">
        <v>0</v>
      </c>
      <c r="U2916">
        <v>1</v>
      </c>
      <c r="V2916" t="s">
        <v>32</v>
      </c>
      <c r="W2916" t="s">
        <v>33</v>
      </c>
      <c r="X2916" s="4">
        <v>7.2</v>
      </c>
      <c r="Y2916">
        <v>6</v>
      </c>
      <c r="Z2916" s="5">
        <v>262.58999999999997</v>
      </c>
    </row>
    <row r="2917" spans="1:26">
      <c r="A2917">
        <v>2916</v>
      </c>
      <c r="B2917">
        <v>955</v>
      </c>
      <c r="C2917" s="2">
        <v>46333</v>
      </c>
      <c r="D2917" t="s">
        <v>40</v>
      </c>
      <c r="E2917">
        <v>11</v>
      </c>
      <c r="F2917" s="3">
        <v>11.5</v>
      </c>
      <c r="G2917" t="s">
        <v>36</v>
      </c>
      <c r="H2917">
        <v>58</v>
      </c>
      <c r="I2917" t="s">
        <v>28</v>
      </c>
      <c r="J2917" s="4">
        <v>68.2</v>
      </c>
      <c r="K2917" s="4">
        <v>155.1</v>
      </c>
      <c r="L2917" s="4">
        <v>23.4</v>
      </c>
      <c r="M2917">
        <v>15</v>
      </c>
      <c r="N2917" t="s">
        <v>37</v>
      </c>
      <c r="O2917">
        <v>3</v>
      </c>
      <c r="P2917" s="4">
        <v>1203</v>
      </c>
      <c r="Q2917" t="s">
        <v>48</v>
      </c>
      <c r="R2917">
        <v>1</v>
      </c>
      <c r="S2917" t="s">
        <v>44</v>
      </c>
      <c r="T2917">
        <v>0</v>
      </c>
      <c r="U2917">
        <v>1</v>
      </c>
      <c r="V2917" t="s">
        <v>32</v>
      </c>
      <c r="W2917" t="s">
        <v>33</v>
      </c>
      <c r="X2917" s="4">
        <v>6</v>
      </c>
      <c r="Y2917">
        <v>6</v>
      </c>
      <c r="Z2917" s="5">
        <v>228.3</v>
      </c>
    </row>
    <row r="2918" spans="1:26">
      <c r="A2918">
        <v>2917</v>
      </c>
      <c r="B2918">
        <v>955</v>
      </c>
      <c r="C2918" s="2">
        <v>46333</v>
      </c>
      <c r="D2918" t="s">
        <v>40</v>
      </c>
      <c r="E2918">
        <v>11</v>
      </c>
      <c r="F2918" s="3">
        <v>11.55</v>
      </c>
      <c r="G2918" t="s">
        <v>36</v>
      </c>
      <c r="H2918">
        <v>28</v>
      </c>
      <c r="I2918" t="s">
        <v>34</v>
      </c>
      <c r="J2918" s="4">
        <v>63.7</v>
      </c>
      <c r="K2918" s="4">
        <v>158.69999999999999</v>
      </c>
      <c r="L2918" s="4">
        <v>27.5</v>
      </c>
      <c r="M2918">
        <v>18</v>
      </c>
      <c r="N2918" t="s">
        <v>37</v>
      </c>
      <c r="O2918">
        <v>3</v>
      </c>
      <c r="P2918" s="4">
        <v>1203</v>
      </c>
      <c r="Q2918" t="s">
        <v>48</v>
      </c>
      <c r="R2918">
        <v>1</v>
      </c>
      <c r="S2918" t="s">
        <v>44</v>
      </c>
      <c r="T2918">
        <v>0</v>
      </c>
      <c r="U2918">
        <v>1</v>
      </c>
      <c r="V2918" t="s">
        <v>32</v>
      </c>
      <c r="W2918" t="s">
        <v>33</v>
      </c>
      <c r="X2918" s="4">
        <v>9.3000000000000007</v>
      </c>
      <c r="Y2918">
        <v>9</v>
      </c>
      <c r="Z2918" s="5">
        <v>450.39</v>
      </c>
    </row>
    <row r="2919" spans="1:26">
      <c r="A2919">
        <v>2918</v>
      </c>
      <c r="B2919">
        <v>956</v>
      </c>
      <c r="C2919" s="2">
        <v>46263</v>
      </c>
      <c r="D2919" t="s">
        <v>40</v>
      </c>
      <c r="E2919">
        <v>8</v>
      </c>
      <c r="F2919" s="3">
        <v>10.08</v>
      </c>
      <c r="G2919" t="s">
        <v>27</v>
      </c>
      <c r="H2919">
        <v>20</v>
      </c>
      <c r="I2919" t="s">
        <v>34</v>
      </c>
      <c r="J2919" s="4">
        <v>64.5</v>
      </c>
      <c r="K2919" s="4">
        <v>132.30000000000001</v>
      </c>
      <c r="L2919" s="4">
        <v>22</v>
      </c>
      <c r="M2919">
        <v>12</v>
      </c>
      <c r="N2919" t="s">
        <v>50</v>
      </c>
      <c r="O2919">
        <v>2</v>
      </c>
      <c r="P2919" s="4">
        <v>409.6</v>
      </c>
      <c r="Q2919" t="s">
        <v>42</v>
      </c>
      <c r="R2919">
        <v>1</v>
      </c>
      <c r="S2919" t="s">
        <v>44</v>
      </c>
      <c r="T2919">
        <v>0</v>
      </c>
      <c r="U2919">
        <v>0</v>
      </c>
      <c r="V2919" t="s">
        <v>32</v>
      </c>
      <c r="W2919" t="s">
        <v>49</v>
      </c>
      <c r="X2919" s="4">
        <v>6.3</v>
      </c>
      <c r="Y2919">
        <v>6</v>
      </c>
      <c r="Z2919" s="5">
        <v>129.72999999999999</v>
      </c>
    </row>
    <row r="2920" spans="1:26">
      <c r="A2920">
        <v>2919</v>
      </c>
      <c r="B2920">
        <v>956</v>
      </c>
      <c r="C2920" s="2">
        <v>46263</v>
      </c>
      <c r="D2920" t="s">
        <v>40</v>
      </c>
      <c r="E2920">
        <v>8</v>
      </c>
      <c r="F2920" s="3">
        <v>9.8000000000000007</v>
      </c>
      <c r="G2920" t="s">
        <v>27</v>
      </c>
      <c r="H2920">
        <v>7</v>
      </c>
      <c r="I2920" t="s">
        <v>34</v>
      </c>
      <c r="J2920" s="4">
        <v>64.3</v>
      </c>
      <c r="K2920" s="4">
        <v>89.1</v>
      </c>
      <c r="L2920" s="4">
        <v>15.1</v>
      </c>
      <c r="M2920">
        <v>13</v>
      </c>
      <c r="N2920" t="s">
        <v>50</v>
      </c>
      <c r="O2920">
        <v>2</v>
      </c>
      <c r="P2920" s="4">
        <v>409.6</v>
      </c>
      <c r="Q2920" t="s">
        <v>42</v>
      </c>
      <c r="R2920">
        <v>1</v>
      </c>
      <c r="S2920" t="s">
        <v>44</v>
      </c>
      <c r="T2920">
        <v>0</v>
      </c>
      <c r="U2920">
        <v>0</v>
      </c>
      <c r="V2920" t="s">
        <v>32</v>
      </c>
      <c r="W2920" t="s">
        <v>49</v>
      </c>
      <c r="X2920" s="4">
        <v>8.5</v>
      </c>
      <c r="Y2920">
        <v>7</v>
      </c>
      <c r="Z2920" s="5">
        <v>221.97</v>
      </c>
    </row>
    <row r="2921" spans="1:26">
      <c r="A2921">
        <v>2920</v>
      </c>
      <c r="B2921">
        <v>957</v>
      </c>
      <c r="C2921" s="2">
        <v>46363</v>
      </c>
      <c r="D2921" t="s">
        <v>46</v>
      </c>
      <c r="E2921">
        <v>12</v>
      </c>
      <c r="F2921" s="3">
        <v>11.8</v>
      </c>
      <c r="G2921" t="s">
        <v>36</v>
      </c>
      <c r="H2921">
        <v>26</v>
      </c>
      <c r="I2921" t="s">
        <v>34</v>
      </c>
      <c r="J2921" s="4">
        <v>66.2</v>
      </c>
      <c r="K2921" s="4">
        <v>156.6</v>
      </c>
      <c r="L2921" s="4">
        <v>25.3</v>
      </c>
      <c r="M2921">
        <v>15</v>
      </c>
      <c r="N2921" t="s">
        <v>47</v>
      </c>
      <c r="O2921">
        <v>3</v>
      </c>
      <c r="P2921" s="4">
        <v>72.3</v>
      </c>
      <c r="Q2921" t="s">
        <v>42</v>
      </c>
      <c r="R2921">
        <v>0</v>
      </c>
      <c r="S2921" t="s">
        <v>38</v>
      </c>
      <c r="T2921">
        <v>0</v>
      </c>
      <c r="U2921">
        <v>0</v>
      </c>
      <c r="V2921" t="s">
        <v>32</v>
      </c>
      <c r="W2921" t="s">
        <v>57</v>
      </c>
      <c r="X2921" s="4">
        <v>7.3</v>
      </c>
      <c r="Y2921">
        <v>3</v>
      </c>
      <c r="Z2921" s="5">
        <v>115.24</v>
      </c>
    </row>
    <row r="2922" spans="1:26">
      <c r="A2922">
        <v>2921</v>
      </c>
      <c r="B2922">
        <v>957</v>
      </c>
      <c r="C2922" s="2">
        <v>46363</v>
      </c>
      <c r="D2922" t="s">
        <v>46</v>
      </c>
      <c r="E2922">
        <v>12</v>
      </c>
      <c r="F2922" s="3">
        <v>11.52</v>
      </c>
      <c r="G2922" t="s">
        <v>36</v>
      </c>
      <c r="H2922">
        <v>73</v>
      </c>
      <c r="I2922" t="s">
        <v>34</v>
      </c>
      <c r="J2922" s="4">
        <v>63.9</v>
      </c>
      <c r="K2922" s="4">
        <v>165.5</v>
      </c>
      <c r="L2922" s="4">
        <v>28.3</v>
      </c>
      <c r="M2922">
        <v>17</v>
      </c>
      <c r="N2922" t="s">
        <v>47</v>
      </c>
      <c r="O2922">
        <v>3</v>
      </c>
      <c r="P2922" s="4">
        <v>72.3</v>
      </c>
      <c r="Q2922" t="s">
        <v>42</v>
      </c>
      <c r="R2922">
        <v>0</v>
      </c>
      <c r="S2922" t="s">
        <v>38</v>
      </c>
      <c r="T2922">
        <v>0</v>
      </c>
      <c r="U2922">
        <v>0</v>
      </c>
      <c r="V2922" t="s">
        <v>32</v>
      </c>
      <c r="W2922" t="s">
        <v>57</v>
      </c>
      <c r="X2922" s="4">
        <v>8.4</v>
      </c>
      <c r="Y2922">
        <v>7</v>
      </c>
      <c r="Z2922" s="5">
        <v>220.62</v>
      </c>
    </row>
    <row r="2923" spans="1:26">
      <c r="A2923">
        <v>2922</v>
      </c>
      <c r="B2923">
        <v>957</v>
      </c>
      <c r="C2923" s="2">
        <v>46363</v>
      </c>
      <c r="D2923" t="s">
        <v>46</v>
      </c>
      <c r="E2923">
        <v>12</v>
      </c>
      <c r="F2923" s="3">
        <v>11.65</v>
      </c>
      <c r="G2923" t="s">
        <v>36</v>
      </c>
      <c r="H2923">
        <v>65</v>
      </c>
      <c r="I2923" t="s">
        <v>34</v>
      </c>
      <c r="J2923" s="4">
        <v>59.1</v>
      </c>
      <c r="K2923" s="4">
        <v>96.3</v>
      </c>
      <c r="L2923" s="4">
        <v>19.5</v>
      </c>
      <c r="M2923">
        <v>17</v>
      </c>
      <c r="N2923" t="s">
        <v>47</v>
      </c>
      <c r="O2923">
        <v>3</v>
      </c>
      <c r="P2923" s="4">
        <v>72.3</v>
      </c>
      <c r="Q2923" t="s">
        <v>42</v>
      </c>
      <c r="R2923">
        <v>0</v>
      </c>
      <c r="S2923" t="s">
        <v>38</v>
      </c>
      <c r="T2923">
        <v>0</v>
      </c>
      <c r="U2923">
        <v>0</v>
      </c>
      <c r="V2923" t="s">
        <v>32</v>
      </c>
      <c r="W2923" t="s">
        <v>57</v>
      </c>
      <c r="X2923" s="4">
        <v>7.4</v>
      </c>
      <c r="Y2923">
        <v>1</v>
      </c>
      <c r="Z2923" s="5">
        <v>123.57</v>
      </c>
    </row>
    <row r="2924" spans="1:26">
      <c r="A2924">
        <v>2923</v>
      </c>
      <c r="B2924">
        <v>958</v>
      </c>
      <c r="C2924" s="2">
        <v>46353</v>
      </c>
      <c r="D2924" t="s">
        <v>26</v>
      </c>
      <c r="E2924">
        <v>11</v>
      </c>
      <c r="F2924" s="3">
        <v>7.93</v>
      </c>
      <c r="G2924" t="s">
        <v>27</v>
      </c>
      <c r="H2924">
        <v>73</v>
      </c>
      <c r="I2924" t="s">
        <v>34</v>
      </c>
      <c r="J2924" s="4">
        <v>64.2</v>
      </c>
      <c r="K2924" s="4">
        <v>146.5</v>
      </c>
      <c r="L2924" s="4">
        <v>25</v>
      </c>
      <c r="M2924">
        <v>18</v>
      </c>
      <c r="N2924" t="s">
        <v>56</v>
      </c>
      <c r="O2924">
        <v>1</v>
      </c>
      <c r="P2924" s="4">
        <v>251.4</v>
      </c>
      <c r="Q2924" t="s">
        <v>48</v>
      </c>
      <c r="R2924">
        <v>0</v>
      </c>
      <c r="S2924" t="s">
        <v>44</v>
      </c>
      <c r="T2924">
        <v>0</v>
      </c>
      <c r="U2924">
        <v>1</v>
      </c>
      <c r="V2924" t="s">
        <v>45</v>
      </c>
      <c r="W2924" t="s">
        <v>39</v>
      </c>
      <c r="X2924" s="4">
        <v>9.5</v>
      </c>
      <c r="Y2924">
        <v>9</v>
      </c>
      <c r="Z2924" s="5">
        <v>264.92</v>
      </c>
    </row>
    <row r="2925" spans="1:26">
      <c r="A2925">
        <v>2924</v>
      </c>
      <c r="B2925">
        <v>959</v>
      </c>
      <c r="C2925" s="2">
        <v>46276</v>
      </c>
      <c r="D2925" t="s">
        <v>26</v>
      </c>
      <c r="E2925">
        <v>9</v>
      </c>
      <c r="F2925" s="3">
        <v>8.17</v>
      </c>
      <c r="G2925" t="s">
        <v>27</v>
      </c>
      <c r="H2925">
        <v>51</v>
      </c>
      <c r="I2925" t="s">
        <v>34</v>
      </c>
      <c r="J2925" s="4">
        <v>65.8</v>
      </c>
      <c r="K2925" s="4">
        <v>179.2</v>
      </c>
      <c r="L2925" s="4">
        <v>28.8</v>
      </c>
      <c r="M2925">
        <v>15</v>
      </c>
      <c r="N2925" t="s">
        <v>53</v>
      </c>
      <c r="O2925">
        <v>1</v>
      </c>
      <c r="P2925" s="4">
        <v>1283.3</v>
      </c>
      <c r="Q2925" t="s">
        <v>42</v>
      </c>
      <c r="R2925">
        <v>1</v>
      </c>
      <c r="S2925" t="s">
        <v>31</v>
      </c>
      <c r="T2925">
        <v>1</v>
      </c>
      <c r="U2925">
        <v>0</v>
      </c>
      <c r="V2925" t="s">
        <v>32</v>
      </c>
      <c r="W2925" t="s">
        <v>39</v>
      </c>
      <c r="X2925" s="4">
        <v>8.1</v>
      </c>
      <c r="Y2925">
        <v>10</v>
      </c>
      <c r="Z2925" s="5">
        <v>245.92</v>
      </c>
    </row>
    <row r="2926" spans="1:26">
      <c r="A2926">
        <v>2925</v>
      </c>
      <c r="B2926">
        <v>960</v>
      </c>
      <c r="C2926" s="2">
        <v>46214</v>
      </c>
      <c r="D2926" t="s">
        <v>40</v>
      </c>
      <c r="E2926">
        <v>7</v>
      </c>
      <c r="F2926" s="3">
        <v>12.59</v>
      </c>
      <c r="G2926" t="s">
        <v>36</v>
      </c>
      <c r="H2926">
        <v>3</v>
      </c>
      <c r="I2926" t="s">
        <v>28</v>
      </c>
      <c r="J2926" s="4">
        <v>60</v>
      </c>
      <c r="K2926" s="4">
        <v>93.6</v>
      </c>
      <c r="L2926" s="4">
        <v>18.2</v>
      </c>
      <c r="M2926">
        <v>17</v>
      </c>
      <c r="N2926" t="s">
        <v>61</v>
      </c>
      <c r="O2926">
        <v>2</v>
      </c>
      <c r="P2926" s="4">
        <v>1491.7</v>
      </c>
      <c r="Q2926" t="s">
        <v>48</v>
      </c>
      <c r="R2926">
        <v>1</v>
      </c>
      <c r="S2926" t="s">
        <v>38</v>
      </c>
      <c r="T2926">
        <v>1</v>
      </c>
      <c r="U2926">
        <v>1</v>
      </c>
      <c r="V2926" t="s">
        <v>32</v>
      </c>
      <c r="W2926" t="s">
        <v>33</v>
      </c>
      <c r="X2926" s="4">
        <v>9.9</v>
      </c>
      <c r="Y2926">
        <v>9</v>
      </c>
      <c r="Z2926" s="5">
        <v>650</v>
      </c>
    </row>
    <row r="2927" spans="1:26">
      <c r="A2927">
        <v>2926</v>
      </c>
      <c r="B2927">
        <v>960</v>
      </c>
      <c r="C2927" s="2">
        <v>46214</v>
      </c>
      <c r="D2927" t="s">
        <v>40</v>
      </c>
      <c r="E2927">
        <v>7</v>
      </c>
      <c r="F2927" s="3">
        <v>12.64</v>
      </c>
      <c r="G2927" t="s">
        <v>36</v>
      </c>
      <c r="H2927">
        <v>18</v>
      </c>
      <c r="I2927" t="s">
        <v>34</v>
      </c>
      <c r="J2927" s="4">
        <v>62.4</v>
      </c>
      <c r="K2927" s="4">
        <v>118.2</v>
      </c>
      <c r="L2927" s="4">
        <v>21.6</v>
      </c>
      <c r="M2927">
        <v>14</v>
      </c>
      <c r="N2927" t="s">
        <v>61</v>
      </c>
      <c r="O2927">
        <v>2</v>
      </c>
      <c r="P2927" s="4">
        <v>1491.7</v>
      </c>
      <c r="Q2927" t="s">
        <v>48</v>
      </c>
      <c r="R2927">
        <v>1</v>
      </c>
      <c r="S2927" t="s">
        <v>38</v>
      </c>
      <c r="T2927">
        <v>1</v>
      </c>
      <c r="U2927">
        <v>1</v>
      </c>
      <c r="V2927" t="s">
        <v>32</v>
      </c>
      <c r="W2927" t="s">
        <v>33</v>
      </c>
      <c r="X2927" s="4">
        <v>8.9</v>
      </c>
      <c r="Y2927">
        <v>9</v>
      </c>
      <c r="Z2927" s="5">
        <v>368.56</v>
      </c>
    </row>
    <row r="2928" spans="1:26">
      <c r="A2928">
        <v>2927</v>
      </c>
      <c r="B2928">
        <v>961</v>
      </c>
      <c r="C2928" s="2">
        <v>46216</v>
      </c>
      <c r="D2928" t="s">
        <v>46</v>
      </c>
      <c r="E2928">
        <v>7</v>
      </c>
      <c r="F2928" s="3">
        <v>8.7100000000000009</v>
      </c>
      <c r="G2928" t="s">
        <v>27</v>
      </c>
      <c r="H2928">
        <v>57</v>
      </c>
      <c r="I2928" t="s">
        <v>34</v>
      </c>
      <c r="J2928" s="4">
        <v>70.5</v>
      </c>
      <c r="K2928" s="4">
        <v>182.5</v>
      </c>
      <c r="L2928" s="4">
        <v>26.1</v>
      </c>
      <c r="M2928">
        <v>9</v>
      </c>
      <c r="N2928" t="s">
        <v>37</v>
      </c>
      <c r="O2928">
        <v>3</v>
      </c>
      <c r="P2928" s="4">
        <v>836.1</v>
      </c>
      <c r="Q2928" t="s">
        <v>30</v>
      </c>
      <c r="R2928">
        <v>1</v>
      </c>
      <c r="S2928" t="s">
        <v>31</v>
      </c>
      <c r="T2928">
        <v>1</v>
      </c>
      <c r="U2928">
        <v>1</v>
      </c>
      <c r="V2928" t="s">
        <v>32</v>
      </c>
      <c r="W2928" t="s">
        <v>43</v>
      </c>
      <c r="X2928" s="4">
        <v>10.9</v>
      </c>
      <c r="Y2928">
        <v>11</v>
      </c>
      <c r="Z2928" s="5">
        <v>457.16</v>
      </c>
    </row>
    <row r="2929" spans="1:26">
      <c r="A2929">
        <v>2928</v>
      </c>
      <c r="B2929">
        <v>961</v>
      </c>
      <c r="C2929" s="2">
        <v>46216</v>
      </c>
      <c r="D2929" t="s">
        <v>46</v>
      </c>
      <c r="E2929">
        <v>7</v>
      </c>
      <c r="F2929" s="3">
        <v>8.89</v>
      </c>
      <c r="G2929" t="s">
        <v>27</v>
      </c>
      <c r="H2929">
        <v>55</v>
      </c>
      <c r="I2929" t="s">
        <v>34</v>
      </c>
      <c r="J2929" s="4">
        <v>65.3</v>
      </c>
      <c r="K2929" s="4">
        <v>175.3</v>
      </c>
      <c r="L2929" s="4">
        <v>29</v>
      </c>
      <c r="M2929">
        <v>14</v>
      </c>
      <c r="N2929" t="s">
        <v>37</v>
      </c>
      <c r="O2929">
        <v>3</v>
      </c>
      <c r="P2929" s="4">
        <v>836.1</v>
      </c>
      <c r="Q2929" t="s">
        <v>30</v>
      </c>
      <c r="R2929">
        <v>1</v>
      </c>
      <c r="S2929" t="s">
        <v>31</v>
      </c>
      <c r="T2929">
        <v>1</v>
      </c>
      <c r="U2929">
        <v>1</v>
      </c>
      <c r="V2929" t="s">
        <v>32</v>
      </c>
      <c r="W2929" t="s">
        <v>43</v>
      </c>
      <c r="X2929" s="4">
        <v>9.3000000000000007</v>
      </c>
      <c r="Y2929">
        <v>12</v>
      </c>
      <c r="Z2929" s="5">
        <v>315.27999999999997</v>
      </c>
    </row>
    <row r="2930" spans="1:26">
      <c r="A2930">
        <v>2929</v>
      </c>
      <c r="B2930">
        <v>961</v>
      </c>
      <c r="C2930" s="2">
        <v>46216</v>
      </c>
      <c r="D2930" t="s">
        <v>46</v>
      </c>
      <c r="E2930">
        <v>7</v>
      </c>
      <c r="F2930" s="3">
        <v>8.92</v>
      </c>
      <c r="G2930" t="s">
        <v>27</v>
      </c>
      <c r="H2930">
        <v>20</v>
      </c>
      <c r="I2930" t="s">
        <v>34</v>
      </c>
      <c r="J2930" s="4">
        <v>64.8</v>
      </c>
      <c r="K2930" s="4">
        <v>148.80000000000001</v>
      </c>
      <c r="L2930" s="4">
        <v>25</v>
      </c>
      <c r="M2930">
        <v>9</v>
      </c>
      <c r="N2930" t="s">
        <v>37</v>
      </c>
      <c r="O2930">
        <v>3</v>
      </c>
      <c r="P2930" s="4">
        <v>836.1</v>
      </c>
      <c r="Q2930" t="s">
        <v>30</v>
      </c>
      <c r="R2930">
        <v>1</v>
      </c>
      <c r="S2930" t="s">
        <v>31</v>
      </c>
      <c r="T2930">
        <v>1</v>
      </c>
      <c r="U2930">
        <v>1</v>
      </c>
      <c r="V2930" t="s">
        <v>32</v>
      </c>
      <c r="W2930" t="s">
        <v>43</v>
      </c>
      <c r="X2930" s="4">
        <v>10.7</v>
      </c>
      <c r="Y2930">
        <v>18</v>
      </c>
      <c r="Z2930" s="5">
        <v>344.67</v>
      </c>
    </row>
    <row r="2931" spans="1:26">
      <c r="A2931">
        <v>2930</v>
      </c>
      <c r="B2931">
        <v>962</v>
      </c>
      <c r="C2931" s="2">
        <v>46263</v>
      </c>
      <c r="D2931" t="s">
        <v>40</v>
      </c>
      <c r="E2931">
        <v>8</v>
      </c>
      <c r="F2931" s="3">
        <v>9.69</v>
      </c>
      <c r="G2931" t="s">
        <v>27</v>
      </c>
      <c r="H2931">
        <v>59</v>
      </c>
      <c r="I2931" t="s">
        <v>34</v>
      </c>
      <c r="J2931" s="4">
        <v>62.4</v>
      </c>
      <c r="K2931" s="4">
        <v>132.1</v>
      </c>
      <c r="L2931" s="4">
        <v>24.1</v>
      </c>
      <c r="M2931">
        <v>16</v>
      </c>
      <c r="N2931" t="s">
        <v>53</v>
      </c>
      <c r="O2931">
        <v>5</v>
      </c>
      <c r="P2931" s="4">
        <v>878.2</v>
      </c>
      <c r="Q2931" t="s">
        <v>48</v>
      </c>
      <c r="R2931">
        <v>1</v>
      </c>
      <c r="S2931" t="s">
        <v>44</v>
      </c>
      <c r="T2931">
        <v>1</v>
      </c>
      <c r="U2931">
        <v>0</v>
      </c>
      <c r="V2931" t="s">
        <v>32</v>
      </c>
      <c r="W2931" t="s">
        <v>43</v>
      </c>
      <c r="X2931" s="4">
        <v>8.1</v>
      </c>
      <c r="Y2931">
        <v>11</v>
      </c>
      <c r="Z2931" s="5">
        <v>426.39</v>
      </c>
    </row>
    <row r="2932" spans="1:26">
      <c r="A2932">
        <v>2931</v>
      </c>
      <c r="B2932">
        <v>962</v>
      </c>
      <c r="C2932" s="2">
        <v>46263</v>
      </c>
      <c r="D2932" t="s">
        <v>40</v>
      </c>
      <c r="E2932">
        <v>8</v>
      </c>
      <c r="F2932" s="3">
        <v>9.69</v>
      </c>
      <c r="G2932" t="s">
        <v>27</v>
      </c>
      <c r="H2932">
        <v>13</v>
      </c>
      <c r="I2932" t="s">
        <v>34</v>
      </c>
      <c r="J2932" s="4">
        <v>63.7</v>
      </c>
      <c r="K2932" s="4">
        <v>99.8</v>
      </c>
      <c r="L2932" s="4">
        <v>17.3</v>
      </c>
      <c r="M2932">
        <v>15</v>
      </c>
      <c r="N2932" t="s">
        <v>53</v>
      </c>
      <c r="O2932">
        <v>5</v>
      </c>
      <c r="P2932" s="4">
        <v>878.2</v>
      </c>
      <c r="Q2932" t="s">
        <v>48</v>
      </c>
      <c r="R2932">
        <v>1</v>
      </c>
      <c r="S2932" t="s">
        <v>44</v>
      </c>
      <c r="T2932">
        <v>1</v>
      </c>
      <c r="U2932">
        <v>0</v>
      </c>
      <c r="V2932" t="s">
        <v>32</v>
      </c>
      <c r="W2932" t="s">
        <v>43</v>
      </c>
      <c r="X2932" s="4">
        <v>8.6</v>
      </c>
      <c r="Y2932">
        <v>4</v>
      </c>
      <c r="Z2932" s="5">
        <v>213.73</v>
      </c>
    </row>
    <row r="2933" spans="1:26">
      <c r="A2933">
        <v>2932</v>
      </c>
      <c r="B2933">
        <v>962</v>
      </c>
      <c r="C2933" s="2">
        <v>46263</v>
      </c>
      <c r="D2933" t="s">
        <v>40</v>
      </c>
      <c r="E2933">
        <v>8</v>
      </c>
      <c r="F2933" s="3">
        <v>9.89</v>
      </c>
      <c r="G2933" t="s">
        <v>27</v>
      </c>
      <c r="H2933">
        <v>65</v>
      </c>
      <c r="I2933" t="s">
        <v>28</v>
      </c>
      <c r="J2933" s="4">
        <v>66.099999999999994</v>
      </c>
      <c r="K2933" s="4">
        <v>189.9</v>
      </c>
      <c r="L2933" s="4">
        <v>30.6</v>
      </c>
      <c r="M2933">
        <v>16</v>
      </c>
      <c r="N2933" t="s">
        <v>53</v>
      </c>
      <c r="O2933">
        <v>5</v>
      </c>
      <c r="P2933" s="4">
        <v>878.2</v>
      </c>
      <c r="Q2933" t="s">
        <v>48</v>
      </c>
      <c r="R2933">
        <v>1</v>
      </c>
      <c r="S2933" t="s">
        <v>44</v>
      </c>
      <c r="T2933">
        <v>1</v>
      </c>
      <c r="U2933">
        <v>0</v>
      </c>
      <c r="V2933" t="s">
        <v>32</v>
      </c>
      <c r="W2933" t="s">
        <v>43</v>
      </c>
      <c r="X2933" s="4">
        <v>8.6999999999999993</v>
      </c>
      <c r="Y2933">
        <v>10</v>
      </c>
      <c r="Z2933" s="5">
        <v>327</v>
      </c>
    </row>
    <row r="2934" spans="1:26">
      <c r="A2934">
        <v>2933</v>
      </c>
      <c r="B2934">
        <v>962</v>
      </c>
      <c r="C2934" s="2">
        <v>46263</v>
      </c>
      <c r="D2934" t="s">
        <v>40</v>
      </c>
      <c r="E2934">
        <v>8</v>
      </c>
      <c r="F2934" s="3">
        <v>9.84</v>
      </c>
      <c r="G2934" t="s">
        <v>27</v>
      </c>
      <c r="H2934">
        <v>31</v>
      </c>
      <c r="I2934" t="s">
        <v>28</v>
      </c>
      <c r="J2934" s="4">
        <v>66.400000000000006</v>
      </c>
      <c r="K2934" s="4">
        <v>148</v>
      </c>
      <c r="L2934" s="4">
        <v>23.5</v>
      </c>
      <c r="M2934">
        <v>19</v>
      </c>
      <c r="N2934" t="s">
        <v>53</v>
      </c>
      <c r="O2934">
        <v>5</v>
      </c>
      <c r="P2934" s="4">
        <v>878.2</v>
      </c>
      <c r="Q2934" t="s">
        <v>48</v>
      </c>
      <c r="R2934">
        <v>1</v>
      </c>
      <c r="S2934" t="s">
        <v>44</v>
      </c>
      <c r="T2934">
        <v>1</v>
      </c>
      <c r="U2934">
        <v>0</v>
      </c>
      <c r="V2934" t="s">
        <v>32</v>
      </c>
      <c r="W2934" t="s">
        <v>43</v>
      </c>
      <c r="X2934" s="4">
        <v>9.3000000000000007</v>
      </c>
      <c r="Y2934">
        <v>9</v>
      </c>
      <c r="Z2934" s="5">
        <v>289.5</v>
      </c>
    </row>
    <row r="2935" spans="1:26">
      <c r="A2935">
        <v>2934</v>
      </c>
      <c r="B2935">
        <v>962</v>
      </c>
      <c r="C2935" s="2">
        <v>46263</v>
      </c>
      <c r="D2935" t="s">
        <v>40</v>
      </c>
      <c r="E2935">
        <v>8</v>
      </c>
      <c r="F2935" s="3">
        <v>9.82</v>
      </c>
      <c r="G2935" t="s">
        <v>27</v>
      </c>
      <c r="H2935">
        <v>10</v>
      </c>
      <c r="I2935" t="s">
        <v>28</v>
      </c>
      <c r="J2935" s="4">
        <v>70</v>
      </c>
      <c r="K2935" s="4">
        <v>134.30000000000001</v>
      </c>
      <c r="L2935" s="4">
        <v>19.2</v>
      </c>
      <c r="M2935">
        <v>11</v>
      </c>
      <c r="N2935" t="s">
        <v>53</v>
      </c>
      <c r="O2935">
        <v>5</v>
      </c>
      <c r="P2935" s="4">
        <v>878.2</v>
      </c>
      <c r="Q2935" t="s">
        <v>48</v>
      </c>
      <c r="R2935">
        <v>1</v>
      </c>
      <c r="S2935" t="s">
        <v>44</v>
      </c>
      <c r="T2935">
        <v>1</v>
      </c>
      <c r="U2935">
        <v>0</v>
      </c>
      <c r="V2935" t="s">
        <v>32</v>
      </c>
      <c r="W2935" t="s">
        <v>43</v>
      </c>
      <c r="X2935" s="4">
        <v>10.8</v>
      </c>
      <c r="Y2935">
        <v>12</v>
      </c>
      <c r="Z2935" s="5">
        <v>446.13</v>
      </c>
    </row>
    <row r="2936" spans="1:26">
      <c r="A2936">
        <v>2935</v>
      </c>
      <c r="B2936">
        <v>963</v>
      </c>
      <c r="C2936" s="2">
        <v>46346</v>
      </c>
      <c r="D2936" t="s">
        <v>26</v>
      </c>
      <c r="E2936">
        <v>11</v>
      </c>
      <c r="F2936" s="3">
        <v>11.32</v>
      </c>
      <c r="G2936" t="s">
        <v>36</v>
      </c>
      <c r="H2936">
        <v>58</v>
      </c>
      <c r="I2936" t="s">
        <v>28</v>
      </c>
      <c r="J2936" s="4">
        <v>65.2</v>
      </c>
      <c r="K2936" s="4">
        <v>158.5</v>
      </c>
      <c r="L2936" s="4">
        <v>26.3</v>
      </c>
      <c r="M2936">
        <v>17</v>
      </c>
      <c r="N2936" t="s">
        <v>60</v>
      </c>
      <c r="O2936">
        <v>3</v>
      </c>
      <c r="P2936" s="4">
        <v>1886.4</v>
      </c>
      <c r="Q2936" t="s">
        <v>30</v>
      </c>
      <c r="R2936">
        <v>1</v>
      </c>
      <c r="S2936" t="s">
        <v>44</v>
      </c>
      <c r="T2936">
        <v>0</v>
      </c>
      <c r="U2936">
        <v>0</v>
      </c>
      <c r="V2936" t="s">
        <v>32</v>
      </c>
      <c r="W2936" t="s">
        <v>49</v>
      </c>
      <c r="X2936" s="4">
        <v>7.7</v>
      </c>
      <c r="Y2936">
        <v>9</v>
      </c>
      <c r="Z2936" s="5">
        <v>185.4</v>
      </c>
    </row>
    <row r="2937" spans="1:26">
      <c r="A2937">
        <v>2936</v>
      </c>
      <c r="B2937">
        <v>963</v>
      </c>
      <c r="C2937" s="2">
        <v>46346</v>
      </c>
      <c r="D2937" t="s">
        <v>26</v>
      </c>
      <c r="E2937">
        <v>11</v>
      </c>
      <c r="F2937" s="3">
        <v>11.34</v>
      </c>
      <c r="G2937" t="s">
        <v>36</v>
      </c>
      <c r="H2937">
        <v>63</v>
      </c>
      <c r="I2937" t="s">
        <v>28</v>
      </c>
      <c r="J2937" s="4">
        <v>73.2</v>
      </c>
      <c r="K2937" s="4">
        <v>206.4</v>
      </c>
      <c r="L2937" s="4">
        <v>27</v>
      </c>
      <c r="M2937">
        <v>13</v>
      </c>
      <c r="N2937" t="s">
        <v>60</v>
      </c>
      <c r="O2937">
        <v>3</v>
      </c>
      <c r="P2937" s="4">
        <v>1886.4</v>
      </c>
      <c r="Q2937" t="s">
        <v>30</v>
      </c>
      <c r="R2937">
        <v>1</v>
      </c>
      <c r="S2937" t="s">
        <v>44</v>
      </c>
      <c r="T2937">
        <v>0</v>
      </c>
      <c r="U2937">
        <v>0</v>
      </c>
      <c r="V2937" t="s">
        <v>32</v>
      </c>
      <c r="W2937" t="s">
        <v>49</v>
      </c>
      <c r="X2937" s="4">
        <v>8.8000000000000007</v>
      </c>
      <c r="Y2937">
        <v>8</v>
      </c>
      <c r="Z2937" s="5">
        <v>252.8</v>
      </c>
    </row>
    <row r="2938" spans="1:26">
      <c r="A2938">
        <v>2937</v>
      </c>
      <c r="B2938">
        <v>963</v>
      </c>
      <c r="C2938" s="2">
        <v>46346</v>
      </c>
      <c r="D2938" t="s">
        <v>26</v>
      </c>
      <c r="E2938">
        <v>11</v>
      </c>
      <c r="F2938" s="3">
        <v>11.55</v>
      </c>
      <c r="G2938" t="s">
        <v>36</v>
      </c>
      <c r="H2938">
        <v>41</v>
      </c>
      <c r="I2938" t="s">
        <v>28</v>
      </c>
      <c r="J2938" s="4">
        <v>73.7</v>
      </c>
      <c r="K2938" s="4">
        <v>213.5</v>
      </c>
      <c r="L2938" s="4">
        <v>27.7</v>
      </c>
      <c r="M2938">
        <v>16</v>
      </c>
      <c r="N2938" t="s">
        <v>60</v>
      </c>
      <c r="O2938">
        <v>3</v>
      </c>
      <c r="P2938" s="4">
        <v>1886.4</v>
      </c>
      <c r="Q2938" t="s">
        <v>30</v>
      </c>
      <c r="R2938">
        <v>1</v>
      </c>
      <c r="S2938" t="s">
        <v>44</v>
      </c>
      <c r="T2938">
        <v>0</v>
      </c>
      <c r="U2938">
        <v>0</v>
      </c>
      <c r="V2938" t="s">
        <v>32</v>
      </c>
      <c r="W2938" t="s">
        <v>49</v>
      </c>
      <c r="X2938" s="4">
        <v>7.3</v>
      </c>
      <c r="Y2938">
        <v>5</v>
      </c>
      <c r="Z2938" s="5">
        <v>222.07</v>
      </c>
    </row>
    <row r="2939" spans="1:26">
      <c r="A2939">
        <v>2938</v>
      </c>
      <c r="B2939">
        <v>964</v>
      </c>
      <c r="C2939" s="2">
        <v>46170</v>
      </c>
      <c r="D2939" t="s">
        <v>55</v>
      </c>
      <c r="E2939">
        <v>5</v>
      </c>
      <c r="F2939" s="3">
        <v>9.89</v>
      </c>
      <c r="G2939" t="s">
        <v>27</v>
      </c>
      <c r="H2939">
        <v>25</v>
      </c>
      <c r="I2939" t="s">
        <v>34</v>
      </c>
      <c r="J2939" s="4">
        <v>65.599999999999994</v>
      </c>
      <c r="K2939" s="4">
        <v>169.9</v>
      </c>
      <c r="L2939" s="4">
        <v>27.3</v>
      </c>
      <c r="M2939">
        <v>18</v>
      </c>
      <c r="N2939" t="s">
        <v>47</v>
      </c>
      <c r="O2939">
        <v>4</v>
      </c>
      <c r="P2939" s="4">
        <v>106.4</v>
      </c>
      <c r="Q2939" t="s">
        <v>48</v>
      </c>
      <c r="R2939">
        <v>1</v>
      </c>
      <c r="S2939" t="s">
        <v>38</v>
      </c>
      <c r="T2939">
        <v>1</v>
      </c>
      <c r="U2939">
        <v>0</v>
      </c>
      <c r="V2939" t="s">
        <v>32</v>
      </c>
      <c r="W2939" t="s">
        <v>43</v>
      </c>
      <c r="X2939" s="4">
        <v>9.1999999999999993</v>
      </c>
      <c r="Y2939">
        <v>11</v>
      </c>
      <c r="Z2939" s="5">
        <v>177.81</v>
      </c>
    </row>
    <row r="2940" spans="1:26">
      <c r="A2940">
        <v>2939</v>
      </c>
      <c r="B2940">
        <v>964</v>
      </c>
      <c r="C2940" s="2">
        <v>46170</v>
      </c>
      <c r="D2940" t="s">
        <v>55</v>
      </c>
      <c r="E2940">
        <v>5</v>
      </c>
      <c r="F2940" s="3">
        <v>9.77</v>
      </c>
      <c r="G2940" t="s">
        <v>27</v>
      </c>
      <c r="H2940">
        <v>41</v>
      </c>
      <c r="I2940" t="s">
        <v>34</v>
      </c>
      <c r="J2940" s="4">
        <v>61</v>
      </c>
      <c r="K2940" s="4">
        <v>101.9</v>
      </c>
      <c r="L2940" s="4">
        <v>19.3</v>
      </c>
      <c r="M2940">
        <v>16</v>
      </c>
      <c r="N2940" t="s">
        <v>47</v>
      </c>
      <c r="O2940">
        <v>4</v>
      </c>
      <c r="P2940" s="4">
        <v>106.4</v>
      </c>
      <c r="Q2940" t="s">
        <v>48</v>
      </c>
      <c r="R2940">
        <v>1</v>
      </c>
      <c r="S2940" t="s">
        <v>38</v>
      </c>
      <c r="T2940">
        <v>1</v>
      </c>
      <c r="U2940">
        <v>0</v>
      </c>
      <c r="V2940" t="s">
        <v>32</v>
      </c>
      <c r="W2940" t="s">
        <v>43</v>
      </c>
      <c r="X2940" s="4">
        <v>8.8000000000000007</v>
      </c>
      <c r="Y2940">
        <v>10</v>
      </c>
      <c r="Z2940" s="5">
        <v>265.33</v>
      </c>
    </row>
    <row r="2941" spans="1:26">
      <c r="A2941">
        <v>2940</v>
      </c>
      <c r="B2941">
        <v>964</v>
      </c>
      <c r="C2941" s="2">
        <v>46170</v>
      </c>
      <c r="D2941" t="s">
        <v>55</v>
      </c>
      <c r="E2941">
        <v>5</v>
      </c>
      <c r="F2941" s="3">
        <v>9.58</v>
      </c>
      <c r="G2941" t="s">
        <v>27</v>
      </c>
      <c r="H2941">
        <v>59</v>
      </c>
      <c r="I2941" t="s">
        <v>28</v>
      </c>
      <c r="J2941" s="4">
        <v>70.099999999999994</v>
      </c>
      <c r="K2941" s="4">
        <v>239.1</v>
      </c>
      <c r="L2941" s="4">
        <v>34.1</v>
      </c>
      <c r="M2941">
        <v>17</v>
      </c>
      <c r="N2941" t="s">
        <v>47</v>
      </c>
      <c r="O2941">
        <v>4</v>
      </c>
      <c r="P2941" s="4">
        <v>106.4</v>
      </c>
      <c r="Q2941" t="s">
        <v>48</v>
      </c>
      <c r="R2941">
        <v>1</v>
      </c>
      <c r="S2941" t="s">
        <v>38</v>
      </c>
      <c r="T2941">
        <v>1</v>
      </c>
      <c r="U2941">
        <v>0</v>
      </c>
      <c r="V2941" t="s">
        <v>32</v>
      </c>
      <c r="W2941" t="s">
        <v>43</v>
      </c>
      <c r="X2941" s="4">
        <v>10.9</v>
      </c>
      <c r="Y2941">
        <v>15</v>
      </c>
      <c r="Z2941" s="5">
        <v>334.35</v>
      </c>
    </row>
    <row r="2942" spans="1:26">
      <c r="A2942">
        <v>2941</v>
      </c>
      <c r="B2942">
        <v>964</v>
      </c>
      <c r="C2942" s="2">
        <v>46170</v>
      </c>
      <c r="D2942" t="s">
        <v>55</v>
      </c>
      <c r="E2942">
        <v>5</v>
      </c>
      <c r="F2942" s="3">
        <v>9.86</v>
      </c>
      <c r="G2942" t="s">
        <v>27</v>
      </c>
      <c r="H2942">
        <v>70</v>
      </c>
      <c r="I2942" t="s">
        <v>28</v>
      </c>
      <c r="J2942" s="4">
        <v>68</v>
      </c>
      <c r="K2942" s="4">
        <v>192.2</v>
      </c>
      <c r="L2942" s="4">
        <v>29.1</v>
      </c>
      <c r="M2942">
        <v>19</v>
      </c>
      <c r="N2942" t="s">
        <v>47</v>
      </c>
      <c r="O2942">
        <v>4</v>
      </c>
      <c r="P2942" s="4">
        <v>106.4</v>
      </c>
      <c r="Q2942" t="s">
        <v>48</v>
      </c>
      <c r="R2942">
        <v>1</v>
      </c>
      <c r="S2942" t="s">
        <v>38</v>
      </c>
      <c r="T2942">
        <v>1</v>
      </c>
      <c r="U2942">
        <v>0</v>
      </c>
      <c r="V2942" t="s">
        <v>32</v>
      </c>
      <c r="W2942" t="s">
        <v>43</v>
      </c>
      <c r="X2942" s="4">
        <v>9.4</v>
      </c>
      <c r="Y2942">
        <v>12</v>
      </c>
      <c r="Z2942" s="5">
        <v>333.38</v>
      </c>
    </row>
    <row r="2943" spans="1:26">
      <c r="A2943">
        <v>2942</v>
      </c>
      <c r="B2943">
        <v>965</v>
      </c>
      <c r="C2943" s="2">
        <v>46370</v>
      </c>
      <c r="D2943" t="s">
        <v>46</v>
      </c>
      <c r="E2943">
        <v>12</v>
      </c>
      <c r="F2943" s="3">
        <v>11.58</v>
      </c>
      <c r="G2943" t="s">
        <v>36</v>
      </c>
      <c r="H2943">
        <v>51</v>
      </c>
      <c r="I2943" t="s">
        <v>28</v>
      </c>
      <c r="J2943" s="4">
        <v>69.3</v>
      </c>
      <c r="K2943" s="4">
        <v>175.9</v>
      </c>
      <c r="L2943" s="4">
        <v>25.9</v>
      </c>
      <c r="M2943">
        <v>17</v>
      </c>
      <c r="N2943" t="s">
        <v>29</v>
      </c>
      <c r="O2943">
        <v>4</v>
      </c>
      <c r="P2943" s="4">
        <v>1673.5</v>
      </c>
      <c r="Q2943" t="s">
        <v>42</v>
      </c>
      <c r="R2943">
        <v>1</v>
      </c>
      <c r="S2943" t="s">
        <v>44</v>
      </c>
      <c r="T2943">
        <v>0</v>
      </c>
      <c r="U2943">
        <v>0</v>
      </c>
      <c r="V2943" t="s">
        <v>32</v>
      </c>
      <c r="W2943" t="s">
        <v>49</v>
      </c>
      <c r="X2943" s="4">
        <v>10</v>
      </c>
      <c r="Y2943">
        <v>10</v>
      </c>
      <c r="Z2943" s="5">
        <v>220.37</v>
      </c>
    </row>
    <row r="2944" spans="1:26">
      <c r="A2944">
        <v>2943</v>
      </c>
      <c r="B2944">
        <v>965</v>
      </c>
      <c r="C2944" s="2">
        <v>46370</v>
      </c>
      <c r="D2944" t="s">
        <v>46</v>
      </c>
      <c r="E2944">
        <v>12</v>
      </c>
      <c r="F2944" s="3">
        <v>11.36</v>
      </c>
      <c r="G2944" t="s">
        <v>36</v>
      </c>
      <c r="H2944">
        <v>53</v>
      </c>
      <c r="I2944" t="s">
        <v>28</v>
      </c>
      <c r="J2944" s="4">
        <v>75.099999999999994</v>
      </c>
      <c r="K2944" s="4">
        <v>213.4</v>
      </c>
      <c r="L2944" s="4">
        <v>26.7</v>
      </c>
      <c r="M2944">
        <v>15</v>
      </c>
      <c r="N2944" t="s">
        <v>29</v>
      </c>
      <c r="O2944">
        <v>4</v>
      </c>
      <c r="P2944" s="4">
        <v>1673.5</v>
      </c>
      <c r="Q2944" t="s">
        <v>42</v>
      </c>
      <c r="R2944">
        <v>1</v>
      </c>
      <c r="S2944" t="s">
        <v>44</v>
      </c>
      <c r="T2944">
        <v>0</v>
      </c>
      <c r="U2944">
        <v>0</v>
      </c>
      <c r="V2944" t="s">
        <v>32</v>
      </c>
      <c r="W2944" t="s">
        <v>49</v>
      </c>
      <c r="X2944" s="4">
        <v>7.1</v>
      </c>
      <c r="Y2944">
        <v>8</v>
      </c>
      <c r="Z2944" s="5">
        <v>178.77</v>
      </c>
    </row>
    <row r="2945" spans="1:26">
      <c r="A2945">
        <v>2944</v>
      </c>
      <c r="B2945">
        <v>965</v>
      </c>
      <c r="C2945" s="2">
        <v>46370</v>
      </c>
      <c r="D2945" t="s">
        <v>46</v>
      </c>
      <c r="E2945">
        <v>12</v>
      </c>
      <c r="F2945" s="3">
        <v>11.34</v>
      </c>
      <c r="G2945" t="s">
        <v>36</v>
      </c>
      <c r="H2945">
        <v>49</v>
      </c>
      <c r="I2945" t="s">
        <v>34</v>
      </c>
      <c r="J2945" s="4">
        <v>61.9</v>
      </c>
      <c r="K2945" s="4">
        <v>146.19999999999999</v>
      </c>
      <c r="L2945" s="4">
        <v>26.5</v>
      </c>
      <c r="M2945">
        <v>16</v>
      </c>
      <c r="N2945" t="s">
        <v>29</v>
      </c>
      <c r="O2945">
        <v>4</v>
      </c>
      <c r="P2945" s="4">
        <v>1673.5</v>
      </c>
      <c r="Q2945" t="s">
        <v>42</v>
      </c>
      <c r="R2945">
        <v>1</v>
      </c>
      <c r="S2945" t="s">
        <v>44</v>
      </c>
      <c r="T2945">
        <v>0</v>
      </c>
      <c r="U2945">
        <v>0</v>
      </c>
      <c r="V2945" t="s">
        <v>32</v>
      </c>
      <c r="W2945" t="s">
        <v>49</v>
      </c>
      <c r="X2945" s="4">
        <v>11.5</v>
      </c>
      <c r="Y2945">
        <v>8</v>
      </c>
      <c r="Z2945" s="5">
        <v>214.05</v>
      </c>
    </row>
    <row r="2946" spans="1:26">
      <c r="A2946">
        <v>2945</v>
      </c>
      <c r="B2946">
        <v>965</v>
      </c>
      <c r="C2946" s="2">
        <v>46370</v>
      </c>
      <c r="D2946" t="s">
        <v>46</v>
      </c>
      <c r="E2946">
        <v>12</v>
      </c>
      <c r="F2946" s="3">
        <v>11.59</v>
      </c>
      <c r="G2946" t="s">
        <v>36</v>
      </c>
      <c r="H2946">
        <v>33</v>
      </c>
      <c r="I2946" t="s">
        <v>34</v>
      </c>
      <c r="J2946" s="4">
        <v>64.900000000000006</v>
      </c>
      <c r="K2946" s="4">
        <v>187.3</v>
      </c>
      <c r="L2946" s="4">
        <v>31.3</v>
      </c>
      <c r="M2946">
        <v>18</v>
      </c>
      <c r="N2946" t="s">
        <v>29</v>
      </c>
      <c r="O2946">
        <v>4</v>
      </c>
      <c r="P2946" s="4">
        <v>1673.5</v>
      </c>
      <c r="Q2946" t="s">
        <v>42</v>
      </c>
      <c r="R2946">
        <v>1</v>
      </c>
      <c r="S2946" t="s">
        <v>44</v>
      </c>
      <c r="T2946">
        <v>0</v>
      </c>
      <c r="U2946">
        <v>0</v>
      </c>
      <c r="V2946" t="s">
        <v>32</v>
      </c>
      <c r="W2946" t="s">
        <v>49</v>
      </c>
      <c r="X2946" s="4">
        <v>10.6</v>
      </c>
      <c r="Y2946">
        <v>7</v>
      </c>
      <c r="Z2946" s="5">
        <v>232.61</v>
      </c>
    </row>
    <row r="2947" spans="1:26">
      <c r="A2947">
        <v>2946</v>
      </c>
      <c r="B2947">
        <v>966</v>
      </c>
      <c r="C2947" s="2">
        <v>46090</v>
      </c>
      <c r="D2947" t="s">
        <v>46</v>
      </c>
      <c r="E2947">
        <v>3</v>
      </c>
      <c r="F2947" s="3">
        <v>10.48</v>
      </c>
      <c r="G2947" t="s">
        <v>27</v>
      </c>
      <c r="H2947">
        <v>30</v>
      </c>
      <c r="I2947" t="s">
        <v>34</v>
      </c>
      <c r="J2947" s="4">
        <v>62.9</v>
      </c>
      <c r="K2947" s="4">
        <v>130.19999999999999</v>
      </c>
      <c r="L2947" s="4">
        <v>23.1</v>
      </c>
      <c r="M2947">
        <v>10</v>
      </c>
      <c r="N2947" t="s">
        <v>56</v>
      </c>
      <c r="O2947">
        <v>3</v>
      </c>
      <c r="P2947" s="4">
        <v>312.7</v>
      </c>
      <c r="Q2947" t="s">
        <v>30</v>
      </c>
      <c r="R2947">
        <v>0</v>
      </c>
      <c r="S2947" t="s">
        <v>31</v>
      </c>
      <c r="T2947">
        <v>0</v>
      </c>
      <c r="U2947">
        <v>0</v>
      </c>
      <c r="V2947" t="s">
        <v>32</v>
      </c>
      <c r="W2947" t="s">
        <v>39</v>
      </c>
      <c r="X2947" s="4">
        <v>7</v>
      </c>
      <c r="Y2947">
        <v>10</v>
      </c>
      <c r="Z2947" s="5">
        <v>169.47</v>
      </c>
    </row>
    <row r="2948" spans="1:26">
      <c r="A2948">
        <v>2947</v>
      </c>
      <c r="B2948">
        <v>966</v>
      </c>
      <c r="C2948" s="2">
        <v>46090</v>
      </c>
      <c r="D2948" t="s">
        <v>46</v>
      </c>
      <c r="E2948">
        <v>3</v>
      </c>
      <c r="F2948" s="3">
        <v>10.31</v>
      </c>
      <c r="G2948" t="s">
        <v>27</v>
      </c>
      <c r="H2948">
        <v>10</v>
      </c>
      <c r="I2948" t="s">
        <v>34</v>
      </c>
      <c r="J2948" s="4">
        <v>66.2</v>
      </c>
      <c r="K2948" s="4">
        <v>130.9</v>
      </c>
      <c r="L2948" s="4">
        <v>20.9</v>
      </c>
      <c r="M2948">
        <v>12</v>
      </c>
      <c r="N2948" t="s">
        <v>56</v>
      </c>
      <c r="O2948">
        <v>3</v>
      </c>
      <c r="P2948" s="4">
        <v>312.7</v>
      </c>
      <c r="Q2948" t="s">
        <v>30</v>
      </c>
      <c r="R2948">
        <v>0</v>
      </c>
      <c r="S2948" t="s">
        <v>31</v>
      </c>
      <c r="T2948">
        <v>0</v>
      </c>
      <c r="U2948">
        <v>0</v>
      </c>
      <c r="V2948" t="s">
        <v>32</v>
      </c>
      <c r="W2948" t="s">
        <v>39</v>
      </c>
      <c r="X2948" s="4">
        <v>5.4</v>
      </c>
      <c r="Y2948">
        <v>8</v>
      </c>
      <c r="Z2948" s="5">
        <v>135.26</v>
      </c>
    </row>
    <row r="2949" spans="1:26">
      <c r="A2949">
        <v>2948</v>
      </c>
      <c r="B2949">
        <v>966</v>
      </c>
      <c r="C2949" s="2">
        <v>46090</v>
      </c>
      <c r="D2949" t="s">
        <v>46</v>
      </c>
      <c r="E2949">
        <v>3</v>
      </c>
      <c r="F2949" s="3">
        <v>10.41</v>
      </c>
      <c r="G2949" t="s">
        <v>27</v>
      </c>
      <c r="H2949">
        <v>14</v>
      </c>
      <c r="I2949" t="s">
        <v>28</v>
      </c>
      <c r="J2949" s="4">
        <v>70</v>
      </c>
      <c r="K2949" s="4">
        <v>153</v>
      </c>
      <c r="L2949" s="4">
        <v>22.1</v>
      </c>
      <c r="M2949">
        <v>12</v>
      </c>
      <c r="N2949" t="s">
        <v>56</v>
      </c>
      <c r="O2949">
        <v>3</v>
      </c>
      <c r="P2949" s="4">
        <v>312.7</v>
      </c>
      <c r="Q2949" t="s">
        <v>30</v>
      </c>
      <c r="R2949">
        <v>0</v>
      </c>
      <c r="S2949" t="s">
        <v>31</v>
      </c>
      <c r="T2949">
        <v>0</v>
      </c>
      <c r="U2949">
        <v>0</v>
      </c>
      <c r="V2949" t="s">
        <v>32</v>
      </c>
      <c r="W2949" t="s">
        <v>39</v>
      </c>
      <c r="X2949" s="4">
        <v>9.4</v>
      </c>
      <c r="Y2949">
        <v>8</v>
      </c>
      <c r="Z2949" s="5">
        <v>151.44999999999999</v>
      </c>
    </row>
    <row r="2950" spans="1:26">
      <c r="A2950">
        <v>2949</v>
      </c>
      <c r="B2950">
        <v>967</v>
      </c>
      <c r="C2950" s="2">
        <v>46182</v>
      </c>
      <c r="D2950" t="s">
        <v>35</v>
      </c>
      <c r="E2950">
        <v>6</v>
      </c>
      <c r="F2950" s="3">
        <v>7.68</v>
      </c>
      <c r="G2950" t="s">
        <v>27</v>
      </c>
      <c r="H2950">
        <v>8</v>
      </c>
      <c r="I2950" t="s">
        <v>34</v>
      </c>
      <c r="J2950" s="4">
        <v>62.6</v>
      </c>
      <c r="K2950" s="4">
        <v>100.8</v>
      </c>
      <c r="L2950" s="4">
        <v>18.2</v>
      </c>
      <c r="M2950">
        <v>11</v>
      </c>
      <c r="N2950" t="s">
        <v>47</v>
      </c>
      <c r="O2950">
        <v>1</v>
      </c>
      <c r="P2950" s="4">
        <v>55.3</v>
      </c>
      <c r="Q2950" t="s">
        <v>30</v>
      </c>
      <c r="R2950">
        <v>1</v>
      </c>
      <c r="S2950" t="s">
        <v>44</v>
      </c>
      <c r="T2950">
        <v>0</v>
      </c>
      <c r="U2950">
        <v>1</v>
      </c>
      <c r="V2950" t="s">
        <v>32</v>
      </c>
      <c r="W2950" t="s">
        <v>39</v>
      </c>
      <c r="X2950" s="4">
        <v>11.7</v>
      </c>
      <c r="Y2950">
        <v>11</v>
      </c>
      <c r="Z2950" s="5">
        <v>365.57</v>
      </c>
    </row>
    <row r="2951" spans="1:26">
      <c r="A2951">
        <v>2950</v>
      </c>
      <c r="B2951">
        <v>968</v>
      </c>
      <c r="C2951" s="2">
        <v>46272</v>
      </c>
      <c r="D2951" t="s">
        <v>46</v>
      </c>
      <c r="E2951">
        <v>9</v>
      </c>
      <c r="F2951" s="3">
        <v>7.15</v>
      </c>
      <c r="G2951" t="s">
        <v>27</v>
      </c>
      <c r="H2951">
        <v>4</v>
      </c>
      <c r="I2951" t="s">
        <v>28</v>
      </c>
      <c r="J2951" s="4">
        <v>52.4</v>
      </c>
      <c r="K2951" s="4">
        <v>99.5</v>
      </c>
      <c r="L2951" s="4">
        <v>25.4</v>
      </c>
      <c r="M2951">
        <v>14</v>
      </c>
      <c r="N2951" t="s">
        <v>62</v>
      </c>
      <c r="O2951">
        <v>5</v>
      </c>
      <c r="P2951" s="4">
        <v>2367</v>
      </c>
      <c r="Q2951" t="s">
        <v>48</v>
      </c>
      <c r="R2951">
        <v>1</v>
      </c>
      <c r="S2951" t="s">
        <v>38</v>
      </c>
      <c r="T2951">
        <v>1</v>
      </c>
      <c r="U2951">
        <v>1</v>
      </c>
      <c r="V2951" t="s">
        <v>32</v>
      </c>
      <c r="W2951" t="s">
        <v>39</v>
      </c>
      <c r="X2951" s="4">
        <v>12.1</v>
      </c>
      <c r="Y2951">
        <v>13</v>
      </c>
      <c r="Z2951" s="5">
        <v>365.81</v>
      </c>
    </row>
    <row r="2952" spans="1:26">
      <c r="A2952">
        <v>2951</v>
      </c>
      <c r="B2952">
        <v>968</v>
      </c>
      <c r="C2952" s="2">
        <v>46272</v>
      </c>
      <c r="D2952" t="s">
        <v>46</v>
      </c>
      <c r="E2952">
        <v>9</v>
      </c>
      <c r="F2952" s="3">
        <v>7.32</v>
      </c>
      <c r="G2952" t="s">
        <v>27</v>
      </c>
      <c r="H2952">
        <v>57</v>
      </c>
      <c r="I2952" t="s">
        <v>34</v>
      </c>
      <c r="J2952" s="4">
        <v>66</v>
      </c>
      <c r="K2952" s="4">
        <v>150.4</v>
      </c>
      <c r="L2952" s="4">
        <v>24</v>
      </c>
      <c r="M2952">
        <v>13</v>
      </c>
      <c r="N2952" t="s">
        <v>62</v>
      </c>
      <c r="O2952">
        <v>5</v>
      </c>
      <c r="P2952" s="4">
        <v>2367</v>
      </c>
      <c r="Q2952" t="s">
        <v>48</v>
      </c>
      <c r="R2952">
        <v>1</v>
      </c>
      <c r="S2952" t="s">
        <v>38</v>
      </c>
      <c r="T2952">
        <v>1</v>
      </c>
      <c r="U2952">
        <v>1</v>
      </c>
      <c r="V2952" t="s">
        <v>32</v>
      </c>
      <c r="W2952" t="s">
        <v>39</v>
      </c>
      <c r="X2952" s="4">
        <v>10</v>
      </c>
      <c r="Y2952">
        <v>10</v>
      </c>
      <c r="Z2952" s="5">
        <v>235.02</v>
      </c>
    </row>
    <row r="2953" spans="1:26">
      <c r="A2953">
        <v>2952</v>
      </c>
      <c r="B2953">
        <v>968</v>
      </c>
      <c r="C2953" s="2">
        <v>46272</v>
      </c>
      <c r="D2953" t="s">
        <v>46</v>
      </c>
      <c r="E2953">
        <v>9</v>
      </c>
      <c r="F2953" s="3">
        <v>7.31</v>
      </c>
      <c r="G2953" t="s">
        <v>27</v>
      </c>
      <c r="H2953">
        <v>34</v>
      </c>
      <c r="I2953" t="s">
        <v>28</v>
      </c>
      <c r="J2953" s="4">
        <v>64.599999999999994</v>
      </c>
      <c r="K2953" s="4">
        <v>129.4</v>
      </c>
      <c r="L2953" s="4">
        <v>22.2</v>
      </c>
      <c r="M2953">
        <v>20</v>
      </c>
      <c r="N2953" t="s">
        <v>62</v>
      </c>
      <c r="O2953">
        <v>5</v>
      </c>
      <c r="P2953" s="4">
        <v>2367</v>
      </c>
      <c r="Q2953" t="s">
        <v>48</v>
      </c>
      <c r="R2953">
        <v>1</v>
      </c>
      <c r="S2953" t="s">
        <v>38</v>
      </c>
      <c r="T2953">
        <v>1</v>
      </c>
      <c r="U2953">
        <v>1</v>
      </c>
      <c r="V2953" t="s">
        <v>32</v>
      </c>
      <c r="W2953" t="s">
        <v>39</v>
      </c>
      <c r="X2953" s="4">
        <v>7.9</v>
      </c>
      <c r="Y2953">
        <v>8</v>
      </c>
      <c r="Z2953" s="5">
        <v>394.6</v>
      </c>
    </row>
    <row r="2954" spans="1:26">
      <c r="A2954">
        <v>2953</v>
      </c>
      <c r="B2954">
        <v>968</v>
      </c>
      <c r="C2954" s="2">
        <v>46272</v>
      </c>
      <c r="D2954" t="s">
        <v>46</v>
      </c>
      <c r="E2954">
        <v>9</v>
      </c>
      <c r="F2954" s="3">
        <v>7.44</v>
      </c>
      <c r="G2954" t="s">
        <v>27</v>
      </c>
      <c r="H2954">
        <v>70</v>
      </c>
      <c r="I2954" t="s">
        <v>28</v>
      </c>
      <c r="J2954" s="4">
        <v>75.099999999999994</v>
      </c>
      <c r="K2954" s="4">
        <v>201.6</v>
      </c>
      <c r="L2954" s="4">
        <v>25.1</v>
      </c>
      <c r="M2954">
        <v>18</v>
      </c>
      <c r="N2954" t="s">
        <v>62</v>
      </c>
      <c r="O2954">
        <v>5</v>
      </c>
      <c r="P2954" s="4">
        <v>2367</v>
      </c>
      <c r="Q2954" t="s">
        <v>48</v>
      </c>
      <c r="R2954">
        <v>1</v>
      </c>
      <c r="S2954" t="s">
        <v>38</v>
      </c>
      <c r="T2954">
        <v>1</v>
      </c>
      <c r="U2954">
        <v>1</v>
      </c>
      <c r="V2954" t="s">
        <v>32</v>
      </c>
      <c r="W2954" t="s">
        <v>39</v>
      </c>
      <c r="X2954" s="4">
        <v>11.5</v>
      </c>
      <c r="Y2954">
        <v>14</v>
      </c>
      <c r="Z2954" s="5">
        <v>298.88</v>
      </c>
    </row>
    <row r="2955" spans="1:26">
      <c r="A2955">
        <v>2954</v>
      </c>
      <c r="B2955">
        <v>968</v>
      </c>
      <c r="C2955" s="2">
        <v>46272</v>
      </c>
      <c r="D2955" t="s">
        <v>46</v>
      </c>
      <c r="E2955">
        <v>9</v>
      </c>
      <c r="F2955" s="3">
        <v>7.4</v>
      </c>
      <c r="G2955" t="s">
        <v>27</v>
      </c>
      <c r="H2955">
        <v>49</v>
      </c>
      <c r="I2955" t="s">
        <v>28</v>
      </c>
      <c r="J2955" s="4">
        <v>73.099999999999994</v>
      </c>
      <c r="K2955" s="4">
        <v>189.7</v>
      </c>
      <c r="L2955" s="4">
        <v>24.7</v>
      </c>
      <c r="M2955">
        <v>16</v>
      </c>
      <c r="N2955" t="s">
        <v>62</v>
      </c>
      <c r="O2955">
        <v>5</v>
      </c>
      <c r="P2955" s="4">
        <v>2367</v>
      </c>
      <c r="Q2955" t="s">
        <v>48</v>
      </c>
      <c r="R2955">
        <v>1</v>
      </c>
      <c r="S2955" t="s">
        <v>38</v>
      </c>
      <c r="T2955">
        <v>1</v>
      </c>
      <c r="U2955">
        <v>1</v>
      </c>
      <c r="V2955" t="s">
        <v>32</v>
      </c>
      <c r="W2955" t="s">
        <v>39</v>
      </c>
      <c r="X2955" s="4">
        <v>10.4</v>
      </c>
      <c r="Y2955">
        <v>13</v>
      </c>
      <c r="Z2955" s="5">
        <v>494.26</v>
      </c>
    </row>
    <row r="2956" spans="1:26">
      <c r="A2956">
        <v>2955</v>
      </c>
      <c r="B2956">
        <v>969</v>
      </c>
      <c r="C2956" s="2">
        <v>46257</v>
      </c>
      <c r="D2956" t="s">
        <v>58</v>
      </c>
      <c r="E2956">
        <v>8</v>
      </c>
      <c r="F2956" s="3">
        <v>7.41</v>
      </c>
      <c r="G2956" t="s">
        <v>27</v>
      </c>
      <c r="H2956">
        <v>9</v>
      </c>
      <c r="I2956" t="s">
        <v>34</v>
      </c>
      <c r="J2956" s="4">
        <v>58.4</v>
      </c>
      <c r="K2956" s="4">
        <v>102.7</v>
      </c>
      <c r="L2956" s="4">
        <v>20.9</v>
      </c>
      <c r="M2956">
        <v>12</v>
      </c>
      <c r="N2956" t="s">
        <v>47</v>
      </c>
      <c r="O2956">
        <v>2</v>
      </c>
      <c r="P2956" s="4">
        <v>46</v>
      </c>
      <c r="Q2956" t="s">
        <v>42</v>
      </c>
      <c r="R2956">
        <v>1</v>
      </c>
      <c r="S2956" t="s">
        <v>31</v>
      </c>
      <c r="T2956">
        <v>1</v>
      </c>
      <c r="U2956">
        <v>1</v>
      </c>
      <c r="V2956" t="s">
        <v>32</v>
      </c>
      <c r="W2956" t="s">
        <v>33</v>
      </c>
      <c r="X2956" s="4">
        <v>9.6999999999999993</v>
      </c>
      <c r="Y2956">
        <v>8</v>
      </c>
      <c r="Z2956" s="5">
        <v>415.09</v>
      </c>
    </row>
    <row r="2957" spans="1:26">
      <c r="A2957">
        <v>2956</v>
      </c>
      <c r="B2957">
        <v>969</v>
      </c>
      <c r="C2957" s="2">
        <v>46257</v>
      </c>
      <c r="D2957" t="s">
        <v>58</v>
      </c>
      <c r="E2957">
        <v>8</v>
      </c>
      <c r="F2957" s="3">
        <v>7.46</v>
      </c>
      <c r="G2957" t="s">
        <v>27</v>
      </c>
      <c r="H2957">
        <v>18</v>
      </c>
      <c r="I2957" t="s">
        <v>34</v>
      </c>
      <c r="J2957" s="4">
        <v>67.599999999999994</v>
      </c>
      <c r="K2957" s="4">
        <v>215</v>
      </c>
      <c r="L2957" s="4">
        <v>33.1</v>
      </c>
      <c r="M2957">
        <v>11</v>
      </c>
      <c r="N2957" t="s">
        <v>47</v>
      </c>
      <c r="O2957">
        <v>2</v>
      </c>
      <c r="P2957" s="4">
        <v>46</v>
      </c>
      <c r="Q2957" t="s">
        <v>42</v>
      </c>
      <c r="R2957">
        <v>1</v>
      </c>
      <c r="S2957" t="s">
        <v>31</v>
      </c>
      <c r="T2957">
        <v>1</v>
      </c>
      <c r="U2957">
        <v>1</v>
      </c>
      <c r="V2957" t="s">
        <v>32</v>
      </c>
      <c r="W2957" t="s">
        <v>33</v>
      </c>
      <c r="X2957" s="4">
        <v>7.5</v>
      </c>
      <c r="Y2957">
        <v>10</v>
      </c>
      <c r="Z2957" s="5">
        <v>166.84</v>
      </c>
    </row>
    <row r="2958" spans="1:26">
      <c r="A2958">
        <v>2957</v>
      </c>
      <c r="B2958">
        <v>970</v>
      </c>
      <c r="C2958" s="2">
        <v>46140</v>
      </c>
      <c r="D2958" t="s">
        <v>35</v>
      </c>
      <c r="E2958">
        <v>4</v>
      </c>
      <c r="F2958" s="3">
        <v>8.57</v>
      </c>
      <c r="G2958" t="s">
        <v>27</v>
      </c>
      <c r="H2958">
        <v>18</v>
      </c>
      <c r="I2958" t="s">
        <v>34</v>
      </c>
      <c r="J2958" s="4">
        <v>62.1</v>
      </c>
      <c r="K2958" s="4">
        <v>159.9</v>
      </c>
      <c r="L2958" s="4">
        <v>28.9</v>
      </c>
      <c r="M2958">
        <v>15</v>
      </c>
      <c r="N2958" t="s">
        <v>54</v>
      </c>
      <c r="O2958">
        <v>6</v>
      </c>
      <c r="P2958" s="4">
        <v>3638.9</v>
      </c>
      <c r="Q2958" t="s">
        <v>48</v>
      </c>
      <c r="R2958">
        <v>1</v>
      </c>
      <c r="S2958" t="s">
        <v>44</v>
      </c>
      <c r="T2958">
        <v>1</v>
      </c>
      <c r="U2958">
        <v>1</v>
      </c>
      <c r="V2958" t="s">
        <v>64</v>
      </c>
      <c r="W2958" t="s">
        <v>33</v>
      </c>
      <c r="X2958" s="4">
        <v>9.4</v>
      </c>
      <c r="Y2958">
        <v>5</v>
      </c>
      <c r="Z2958" s="5">
        <v>323</v>
      </c>
    </row>
    <row r="2959" spans="1:26">
      <c r="A2959">
        <v>2958</v>
      </c>
      <c r="B2959">
        <v>970</v>
      </c>
      <c r="C2959" s="2">
        <v>46140</v>
      </c>
      <c r="D2959" t="s">
        <v>35</v>
      </c>
      <c r="E2959">
        <v>4</v>
      </c>
      <c r="F2959" s="3">
        <v>8.4499999999999993</v>
      </c>
      <c r="G2959" t="s">
        <v>27</v>
      </c>
      <c r="H2959">
        <v>62</v>
      </c>
      <c r="I2959" t="s">
        <v>34</v>
      </c>
      <c r="J2959" s="4">
        <v>61.4</v>
      </c>
      <c r="K2959" s="4">
        <v>147.80000000000001</v>
      </c>
      <c r="L2959" s="4">
        <v>27.5</v>
      </c>
      <c r="M2959">
        <v>17</v>
      </c>
      <c r="N2959" t="s">
        <v>54</v>
      </c>
      <c r="O2959">
        <v>6</v>
      </c>
      <c r="P2959" s="4">
        <v>3638.9</v>
      </c>
      <c r="Q2959" t="s">
        <v>48</v>
      </c>
      <c r="R2959">
        <v>1</v>
      </c>
      <c r="S2959" t="s">
        <v>44</v>
      </c>
      <c r="T2959">
        <v>1</v>
      </c>
      <c r="U2959">
        <v>1</v>
      </c>
      <c r="V2959" t="s">
        <v>64</v>
      </c>
      <c r="W2959" t="s">
        <v>33</v>
      </c>
      <c r="X2959" s="4">
        <v>8.4</v>
      </c>
      <c r="Y2959">
        <v>13</v>
      </c>
      <c r="Z2959" s="5">
        <v>299.91000000000003</v>
      </c>
    </row>
    <row r="2960" spans="1:26">
      <c r="A2960">
        <v>2959</v>
      </c>
      <c r="B2960">
        <v>970</v>
      </c>
      <c r="C2960" s="2">
        <v>46140</v>
      </c>
      <c r="D2960" t="s">
        <v>35</v>
      </c>
      <c r="E2960">
        <v>4</v>
      </c>
      <c r="F2960" s="3">
        <v>8.5299999999999994</v>
      </c>
      <c r="G2960" t="s">
        <v>27</v>
      </c>
      <c r="H2960">
        <v>46</v>
      </c>
      <c r="I2960" t="s">
        <v>34</v>
      </c>
      <c r="J2960" s="4">
        <v>63.3</v>
      </c>
      <c r="K2960" s="4">
        <v>159</v>
      </c>
      <c r="L2960" s="4">
        <v>27.9</v>
      </c>
      <c r="M2960">
        <v>18</v>
      </c>
      <c r="N2960" t="s">
        <v>54</v>
      </c>
      <c r="O2960">
        <v>6</v>
      </c>
      <c r="P2960" s="4">
        <v>3638.9</v>
      </c>
      <c r="Q2960" t="s">
        <v>48</v>
      </c>
      <c r="R2960">
        <v>1</v>
      </c>
      <c r="S2960" t="s">
        <v>44</v>
      </c>
      <c r="T2960">
        <v>1</v>
      </c>
      <c r="U2960">
        <v>1</v>
      </c>
      <c r="V2960" t="s">
        <v>64</v>
      </c>
      <c r="W2960" t="s">
        <v>33</v>
      </c>
      <c r="X2960" s="4">
        <v>8.4</v>
      </c>
      <c r="Y2960">
        <v>8</v>
      </c>
      <c r="Z2960" s="5">
        <v>471.17</v>
      </c>
    </row>
    <row r="2961" spans="1:26">
      <c r="A2961">
        <v>2960</v>
      </c>
      <c r="B2961">
        <v>970</v>
      </c>
      <c r="C2961" s="2">
        <v>46140</v>
      </c>
      <c r="D2961" t="s">
        <v>35</v>
      </c>
      <c r="E2961">
        <v>4</v>
      </c>
      <c r="F2961" s="3">
        <v>8.5299999999999994</v>
      </c>
      <c r="G2961" t="s">
        <v>27</v>
      </c>
      <c r="H2961">
        <v>7</v>
      </c>
      <c r="I2961" t="s">
        <v>34</v>
      </c>
      <c r="J2961" s="4">
        <v>62.3</v>
      </c>
      <c r="K2961" s="4">
        <v>103.6</v>
      </c>
      <c r="L2961" s="4">
        <v>18.600000000000001</v>
      </c>
      <c r="M2961">
        <v>18</v>
      </c>
      <c r="N2961" t="s">
        <v>54</v>
      </c>
      <c r="O2961">
        <v>6</v>
      </c>
      <c r="P2961" s="4">
        <v>3638.9</v>
      </c>
      <c r="Q2961" t="s">
        <v>48</v>
      </c>
      <c r="R2961">
        <v>1</v>
      </c>
      <c r="S2961" t="s">
        <v>44</v>
      </c>
      <c r="T2961">
        <v>1</v>
      </c>
      <c r="U2961">
        <v>1</v>
      </c>
      <c r="V2961" t="s">
        <v>64</v>
      </c>
      <c r="W2961" t="s">
        <v>33</v>
      </c>
      <c r="X2961" s="4">
        <v>11.3</v>
      </c>
      <c r="Y2961">
        <v>8</v>
      </c>
      <c r="Z2961" s="5">
        <v>405.29</v>
      </c>
    </row>
    <row r="2962" spans="1:26">
      <c r="A2962">
        <v>2961</v>
      </c>
      <c r="B2962">
        <v>970</v>
      </c>
      <c r="C2962" s="2">
        <v>46140</v>
      </c>
      <c r="D2962" t="s">
        <v>35</v>
      </c>
      <c r="E2962">
        <v>4</v>
      </c>
      <c r="F2962" s="3">
        <v>8.48</v>
      </c>
      <c r="G2962" t="s">
        <v>27</v>
      </c>
      <c r="H2962">
        <v>63</v>
      </c>
      <c r="I2962" t="s">
        <v>34</v>
      </c>
      <c r="J2962" s="4">
        <v>61.5</v>
      </c>
      <c r="K2962" s="4">
        <v>96.1</v>
      </c>
      <c r="L2962" s="4">
        <v>17.8</v>
      </c>
      <c r="M2962">
        <v>17</v>
      </c>
      <c r="N2962" t="s">
        <v>54</v>
      </c>
      <c r="O2962">
        <v>6</v>
      </c>
      <c r="P2962" s="4">
        <v>3638.9</v>
      </c>
      <c r="Q2962" t="s">
        <v>48</v>
      </c>
      <c r="R2962">
        <v>1</v>
      </c>
      <c r="S2962" t="s">
        <v>44</v>
      </c>
      <c r="T2962">
        <v>1</v>
      </c>
      <c r="U2962">
        <v>1</v>
      </c>
      <c r="V2962" t="s">
        <v>64</v>
      </c>
      <c r="W2962" t="s">
        <v>33</v>
      </c>
      <c r="X2962" s="4">
        <v>9.1999999999999993</v>
      </c>
      <c r="Y2962">
        <v>9</v>
      </c>
      <c r="Z2962" s="5">
        <v>310.77</v>
      </c>
    </row>
    <row r="2963" spans="1:26">
      <c r="A2963">
        <v>2962</v>
      </c>
      <c r="B2963">
        <v>970</v>
      </c>
      <c r="C2963" s="2">
        <v>46140</v>
      </c>
      <c r="D2963" t="s">
        <v>35</v>
      </c>
      <c r="E2963">
        <v>4</v>
      </c>
      <c r="F2963" s="3">
        <v>8.5500000000000007</v>
      </c>
      <c r="G2963" t="s">
        <v>27</v>
      </c>
      <c r="H2963">
        <v>48</v>
      </c>
      <c r="I2963" t="s">
        <v>28</v>
      </c>
      <c r="J2963" s="4">
        <v>61.8</v>
      </c>
      <c r="K2963" s="4">
        <v>140.4</v>
      </c>
      <c r="L2963" s="4">
        <v>25.9</v>
      </c>
      <c r="M2963">
        <v>18</v>
      </c>
      <c r="N2963" t="s">
        <v>54</v>
      </c>
      <c r="O2963">
        <v>6</v>
      </c>
      <c r="P2963" s="4">
        <v>3638.9</v>
      </c>
      <c r="Q2963" t="s">
        <v>48</v>
      </c>
      <c r="R2963">
        <v>1</v>
      </c>
      <c r="S2963" t="s">
        <v>44</v>
      </c>
      <c r="T2963">
        <v>1</v>
      </c>
      <c r="U2963">
        <v>1</v>
      </c>
      <c r="V2963" t="s">
        <v>64</v>
      </c>
      <c r="W2963" t="s">
        <v>33</v>
      </c>
      <c r="X2963" s="4">
        <v>8.5</v>
      </c>
      <c r="Y2963">
        <v>11</v>
      </c>
      <c r="Z2963" s="5">
        <v>515.12</v>
      </c>
    </row>
    <row r="2964" spans="1:26">
      <c r="A2964">
        <v>2963</v>
      </c>
      <c r="B2964">
        <v>971</v>
      </c>
      <c r="C2964" s="2">
        <v>46253</v>
      </c>
      <c r="D2964" t="s">
        <v>52</v>
      </c>
      <c r="E2964">
        <v>8</v>
      </c>
      <c r="F2964" s="3">
        <v>10.92</v>
      </c>
      <c r="G2964" t="s">
        <v>27</v>
      </c>
      <c r="H2964">
        <v>29</v>
      </c>
      <c r="I2964" t="s">
        <v>34</v>
      </c>
      <c r="J2964" s="4">
        <v>59.4</v>
      </c>
      <c r="K2964" s="4">
        <v>135.5</v>
      </c>
      <c r="L2964" s="4">
        <v>26.9</v>
      </c>
      <c r="M2964">
        <v>15</v>
      </c>
      <c r="N2964" t="s">
        <v>60</v>
      </c>
      <c r="O2964">
        <v>4</v>
      </c>
      <c r="P2964" s="4">
        <v>1033.8</v>
      </c>
      <c r="Q2964" t="s">
        <v>42</v>
      </c>
      <c r="R2964">
        <v>1</v>
      </c>
      <c r="S2964" t="s">
        <v>44</v>
      </c>
      <c r="T2964">
        <v>0</v>
      </c>
      <c r="U2964">
        <v>1</v>
      </c>
      <c r="V2964" t="s">
        <v>32</v>
      </c>
      <c r="W2964" t="s">
        <v>33</v>
      </c>
      <c r="X2964" s="4">
        <v>11.4</v>
      </c>
      <c r="Y2964">
        <v>4</v>
      </c>
      <c r="Z2964" s="5">
        <v>168.68</v>
      </c>
    </row>
    <row r="2965" spans="1:26">
      <c r="A2965">
        <v>2964</v>
      </c>
      <c r="B2965">
        <v>971</v>
      </c>
      <c r="C2965" s="2">
        <v>46253</v>
      </c>
      <c r="D2965" t="s">
        <v>52</v>
      </c>
      <c r="E2965">
        <v>8</v>
      </c>
      <c r="F2965" s="3">
        <v>10.9</v>
      </c>
      <c r="G2965" t="s">
        <v>27</v>
      </c>
      <c r="H2965">
        <v>20</v>
      </c>
      <c r="I2965" t="s">
        <v>28</v>
      </c>
      <c r="J2965" s="4">
        <v>70.5</v>
      </c>
      <c r="K2965" s="4">
        <v>182.5</v>
      </c>
      <c r="L2965" s="4">
        <v>25.6</v>
      </c>
      <c r="M2965">
        <v>10</v>
      </c>
      <c r="N2965" t="s">
        <v>60</v>
      </c>
      <c r="O2965">
        <v>4</v>
      </c>
      <c r="P2965" s="4">
        <v>1033.8</v>
      </c>
      <c r="Q2965" t="s">
        <v>42</v>
      </c>
      <c r="R2965">
        <v>1</v>
      </c>
      <c r="S2965" t="s">
        <v>44</v>
      </c>
      <c r="T2965">
        <v>0</v>
      </c>
      <c r="U2965">
        <v>1</v>
      </c>
      <c r="V2965" t="s">
        <v>32</v>
      </c>
      <c r="W2965" t="s">
        <v>33</v>
      </c>
      <c r="X2965" s="4">
        <v>10.4</v>
      </c>
      <c r="Y2965">
        <v>15</v>
      </c>
      <c r="Z2965" s="5">
        <v>312.02</v>
      </c>
    </row>
    <row r="2966" spans="1:26">
      <c r="A2966">
        <v>2965</v>
      </c>
      <c r="B2966">
        <v>971</v>
      </c>
      <c r="C2966" s="2">
        <v>46253</v>
      </c>
      <c r="D2966" t="s">
        <v>52</v>
      </c>
      <c r="E2966">
        <v>8</v>
      </c>
      <c r="F2966" s="3">
        <v>10.68</v>
      </c>
      <c r="G2966" t="s">
        <v>27</v>
      </c>
      <c r="H2966">
        <v>45</v>
      </c>
      <c r="I2966" t="s">
        <v>34</v>
      </c>
      <c r="J2966" s="4">
        <v>66.599999999999994</v>
      </c>
      <c r="K2966" s="4">
        <v>200</v>
      </c>
      <c r="L2966" s="4">
        <v>31.5</v>
      </c>
      <c r="M2966">
        <v>13</v>
      </c>
      <c r="N2966" t="s">
        <v>60</v>
      </c>
      <c r="O2966">
        <v>4</v>
      </c>
      <c r="P2966" s="4">
        <v>1033.8</v>
      </c>
      <c r="Q2966" t="s">
        <v>42</v>
      </c>
      <c r="R2966">
        <v>1</v>
      </c>
      <c r="S2966" t="s">
        <v>44</v>
      </c>
      <c r="T2966">
        <v>0</v>
      </c>
      <c r="U2966">
        <v>1</v>
      </c>
      <c r="V2966" t="s">
        <v>32</v>
      </c>
      <c r="W2966" t="s">
        <v>33</v>
      </c>
      <c r="X2966" s="4">
        <v>8.6</v>
      </c>
      <c r="Y2966">
        <v>3</v>
      </c>
      <c r="Z2966" s="5">
        <v>269.93</v>
      </c>
    </row>
    <row r="2967" spans="1:26">
      <c r="A2967">
        <v>2966</v>
      </c>
      <c r="B2967">
        <v>971</v>
      </c>
      <c r="C2967" s="2">
        <v>46253</v>
      </c>
      <c r="D2967" t="s">
        <v>52</v>
      </c>
      <c r="E2967">
        <v>8</v>
      </c>
      <c r="F2967" s="3">
        <v>10.8</v>
      </c>
      <c r="G2967" t="s">
        <v>27</v>
      </c>
      <c r="H2967">
        <v>46</v>
      </c>
      <c r="I2967" t="s">
        <v>34</v>
      </c>
      <c r="J2967" s="4">
        <v>64.7</v>
      </c>
      <c r="K2967" s="4">
        <v>170.8</v>
      </c>
      <c r="L2967" s="4">
        <v>28.5</v>
      </c>
      <c r="M2967">
        <v>17</v>
      </c>
      <c r="N2967" t="s">
        <v>60</v>
      </c>
      <c r="O2967">
        <v>4</v>
      </c>
      <c r="P2967" s="4">
        <v>1033.8</v>
      </c>
      <c r="Q2967" t="s">
        <v>42</v>
      </c>
      <c r="R2967">
        <v>1</v>
      </c>
      <c r="S2967" t="s">
        <v>44</v>
      </c>
      <c r="T2967">
        <v>0</v>
      </c>
      <c r="U2967">
        <v>1</v>
      </c>
      <c r="V2967" t="s">
        <v>32</v>
      </c>
      <c r="W2967" t="s">
        <v>33</v>
      </c>
      <c r="X2967" s="4">
        <v>9.4</v>
      </c>
      <c r="Y2967">
        <v>5</v>
      </c>
      <c r="Z2967" s="5">
        <v>134.86000000000001</v>
      </c>
    </row>
    <row r="2968" spans="1:26">
      <c r="A2968">
        <v>2967</v>
      </c>
      <c r="B2968">
        <v>972</v>
      </c>
      <c r="C2968" s="2">
        <v>46070</v>
      </c>
      <c r="D2968" t="s">
        <v>35</v>
      </c>
      <c r="E2968">
        <v>2</v>
      </c>
      <c r="F2968" s="3">
        <v>8.4499999999999993</v>
      </c>
      <c r="G2968" t="s">
        <v>27</v>
      </c>
      <c r="H2968">
        <v>56</v>
      </c>
      <c r="I2968" t="s">
        <v>34</v>
      </c>
      <c r="J2968" s="4">
        <v>61.6</v>
      </c>
      <c r="K2968" s="4">
        <v>146.1</v>
      </c>
      <c r="L2968" s="4">
        <v>27.2</v>
      </c>
      <c r="M2968">
        <v>17</v>
      </c>
      <c r="N2968" t="s">
        <v>29</v>
      </c>
      <c r="O2968">
        <v>3</v>
      </c>
      <c r="P2968" s="4">
        <v>2392.8000000000002</v>
      </c>
      <c r="Q2968" t="s">
        <v>30</v>
      </c>
      <c r="R2968">
        <v>0</v>
      </c>
      <c r="S2968" t="s">
        <v>44</v>
      </c>
      <c r="T2968">
        <v>0</v>
      </c>
      <c r="U2968">
        <v>0</v>
      </c>
      <c r="V2968" t="s">
        <v>32</v>
      </c>
      <c r="W2968" t="s">
        <v>39</v>
      </c>
      <c r="X2968" s="4">
        <v>10.3</v>
      </c>
      <c r="Y2968">
        <v>9</v>
      </c>
      <c r="Z2968" s="5">
        <v>178.83</v>
      </c>
    </row>
    <row r="2969" spans="1:26">
      <c r="A2969">
        <v>2968</v>
      </c>
      <c r="B2969">
        <v>972</v>
      </c>
      <c r="C2969" s="2">
        <v>46070</v>
      </c>
      <c r="D2969" t="s">
        <v>35</v>
      </c>
      <c r="E2969">
        <v>2</v>
      </c>
      <c r="F2969" s="3">
        <v>8.3800000000000008</v>
      </c>
      <c r="G2969" t="s">
        <v>27</v>
      </c>
      <c r="H2969">
        <v>44</v>
      </c>
      <c r="I2969" t="s">
        <v>34</v>
      </c>
      <c r="J2969" s="4">
        <v>62.9</v>
      </c>
      <c r="K2969" s="4">
        <v>179.3</v>
      </c>
      <c r="L2969" s="4">
        <v>31.9</v>
      </c>
      <c r="M2969">
        <v>13</v>
      </c>
      <c r="N2969" t="s">
        <v>29</v>
      </c>
      <c r="O2969">
        <v>3</v>
      </c>
      <c r="P2969" s="4">
        <v>2392.8000000000002</v>
      </c>
      <c r="Q2969" t="s">
        <v>30</v>
      </c>
      <c r="R2969">
        <v>0</v>
      </c>
      <c r="S2969" t="s">
        <v>44</v>
      </c>
      <c r="T2969">
        <v>0</v>
      </c>
      <c r="U2969">
        <v>0</v>
      </c>
      <c r="V2969" t="s">
        <v>32</v>
      </c>
      <c r="W2969" t="s">
        <v>39</v>
      </c>
      <c r="X2969" s="4">
        <v>6.7</v>
      </c>
      <c r="Y2969">
        <v>8</v>
      </c>
      <c r="Z2969" s="5">
        <v>91.82</v>
      </c>
    </row>
    <row r="2970" spans="1:26">
      <c r="A2970">
        <v>2969</v>
      </c>
      <c r="B2970">
        <v>972</v>
      </c>
      <c r="C2970" s="2">
        <v>46070</v>
      </c>
      <c r="D2970" t="s">
        <v>35</v>
      </c>
      <c r="E2970">
        <v>2</v>
      </c>
      <c r="F2970" s="3">
        <v>8.2100000000000009</v>
      </c>
      <c r="G2970" t="s">
        <v>27</v>
      </c>
      <c r="H2970">
        <v>30</v>
      </c>
      <c r="I2970" t="s">
        <v>34</v>
      </c>
      <c r="J2970" s="4">
        <v>65.900000000000006</v>
      </c>
      <c r="K2970" s="4">
        <v>161.69999999999999</v>
      </c>
      <c r="L2970" s="4">
        <v>26.5</v>
      </c>
      <c r="M2970">
        <v>13</v>
      </c>
      <c r="N2970" t="s">
        <v>29</v>
      </c>
      <c r="O2970">
        <v>3</v>
      </c>
      <c r="P2970" s="4">
        <v>2392.8000000000002</v>
      </c>
      <c r="Q2970" t="s">
        <v>30</v>
      </c>
      <c r="R2970">
        <v>0</v>
      </c>
      <c r="S2970" t="s">
        <v>44</v>
      </c>
      <c r="T2970">
        <v>0</v>
      </c>
      <c r="U2970">
        <v>0</v>
      </c>
      <c r="V2970" t="s">
        <v>32</v>
      </c>
      <c r="W2970" t="s">
        <v>39</v>
      </c>
      <c r="X2970" s="4">
        <v>5.9</v>
      </c>
      <c r="Y2970">
        <v>6</v>
      </c>
      <c r="Z2970" s="5">
        <v>82.75</v>
      </c>
    </row>
    <row r="2971" spans="1:26">
      <c r="A2971">
        <v>2970</v>
      </c>
      <c r="B2971">
        <v>973</v>
      </c>
      <c r="C2971" s="2">
        <v>46182</v>
      </c>
      <c r="D2971" t="s">
        <v>35</v>
      </c>
      <c r="E2971">
        <v>6</v>
      </c>
      <c r="F2971" s="3">
        <v>15.23</v>
      </c>
      <c r="G2971" t="s">
        <v>68</v>
      </c>
      <c r="H2971">
        <v>12</v>
      </c>
      <c r="I2971" t="s">
        <v>28</v>
      </c>
      <c r="J2971" s="4">
        <v>64.2</v>
      </c>
      <c r="K2971" s="4">
        <v>107.4</v>
      </c>
      <c r="L2971" s="4">
        <v>18.2</v>
      </c>
      <c r="M2971">
        <v>9</v>
      </c>
      <c r="N2971" t="s">
        <v>61</v>
      </c>
      <c r="O2971">
        <v>2</v>
      </c>
      <c r="P2971" s="4">
        <v>979.9</v>
      </c>
      <c r="Q2971" t="s">
        <v>42</v>
      </c>
      <c r="R2971">
        <v>0</v>
      </c>
      <c r="S2971" t="s">
        <v>44</v>
      </c>
      <c r="T2971">
        <v>1</v>
      </c>
      <c r="U2971">
        <v>1</v>
      </c>
      <c r="V2971" t="s">
        <v>32</v>
      </c>
      <c r="W2971" t="s">
        <v>33</v>
      </c>
      <c r="X2971" s="4">
        <v>6.1</v>
      </c>
      <c r="Y2971">
        <v>9</v>
      </c>
      <c r="Z2971" s="5">
        <v>193.23</v>
      </c>
    </row>
    <row r="2972" spans="1:26">
      <c r="A2972">
        <v>2971</v>
      </c>
      <c r="B2972">
        <v>973</v>
      </c>
      <c r="C2972" s="2">
        <v>46182</v>
      </c>
      <c r="D2972" t="s">
        <v>35</v>
      </c>
      <c r="E2972">
        <v>6</v>
      </c>
      <c r="F2972" s="3">
        <v>15.5</v>
      </c>
      <c r="G2972" t="s">
        <v>68</v>
      </c>
      <c r="H2972">
        <v>38</v>
      </c>
      <c r="I2972" t="s">
        <v>34</v>
      </c>
      <c r="J2972" s="4">
        <v>66.599999999999994</v>
      </c>
      <c r="K2972" s="4">
        <v>185.8</v>
      </c>
      <c r="L2972" s="4">
        <v>29.7</v>
      </c>
      <c r="M2972">
        <v>11</v>
      </c>
      <c r="N2972" t="s">
        <v>61</v>
      </c>
      <c r="O2972">
        <v>2</v>
      </c>
      <c r="P2972" s="4">
        <v>979.9</v>
      </c>
      <c r="Q2972" t="s">
        <v>42</v>
      </c>
      <c r="R2972">
        <v>0</v>
      </c>
      <c r="S2972" t="s">
        <v>44</v>
      </c>
      <c r="T2972">
        <v>1</v>
      </c>
      <c r="U2972">
        <v>1</v>
      </c>
      <c r="V2972" t="s">
        <v>32</v>
      </c>
      <c r="W2972" t="s">
        <v>33</v>
      </c>
      <c r="X2972" s="4">
        <v>6.9</v>
      </c>
      <c r="Y2972">
        <v>10</v>
      </c>
      <c r="Z2972" s="5">
        <v>201.82</v>
      </c>
    </row>
    <row r="2973" spans="1:26">
      <c r="A2973">
        <v>2972</v>
      </c>
      <c r="B2973">
        <v>974</v>
      </c>
      <c r="C2973" s="2">
        <v>46107</v>
      </c>
      <c r="D2973" t="s">
        <v>55</v>
      </c>
      <c r="E2973">
        <v>3</v>
      </c>
      <c r="F2973" s="3">
        <v>9.19</v>
      </c>
      <c r="G2973" t="s">
        <v>27</v>
      </c>
      <c r="H2973">
        <v>10</v>
      </c>
      <c r="I2973" t="s">
        <v>51</v>
      </c>
      <c r="J2973" s="4">
        <v>65</v>
      </c>
      <c r="K2973" s="4">
        <v>121.7</v>
      </c>
      <c r="L2973" s="4">
        <v>20</v>
      </c>
      <c r="M2973">
        <v>12</v>
      </c>
      <c r="N2973" t="s">
        <v>59</v>
      </c>
      <c r="O2973">
        <v>5</v>
      </c>
      <c r="P2973" s="4">
        <v>595.20000000000005</v>
      </c>
      <c r="Q2973" t="s">
        <v>30</v>
      </c>
      <c r="R2973">
        <v>0</v>
      </c>
      <c r="S2973" t="s">
        <v>44</v>
      </c>
      <c r="T2973">
        <v>0</v>
      </c>
      <c r="U2973">
        <v>1</v>
      </c>
      <c r="V2973" t="s">
        <v>45</v>
      </c>
      <c r="W2973" t="s">
        <v>33</v>
      </c>
      <c r="X2973" s="4">
        <v>10.1</v>
      </c>
      <c r="Y2973">
        <v>6</v>
      </c>
      <c r="Z2973" s="5">
        <v>158.31</v>
      </c>
    </row>
    <row r="2974" spans="1:26">
      <c r="A2974">
        <v>2973</v>
      </c>
      <c r="B2974">
        <v>974</v>
      </c>
      <c r="C2974" s="2">
        <v>46107</v>
      </c>
      <c r="D2974" t="s">
        <v>55</v>
      </c>
      <c r="E2974">
        <v>3</v>
      </c>
      <c r="F2974" s="3">
        <v>9.15</v>
      </c>
      <c r="G2974" t="s">
        <v>27</v>
      </c>
      <c r="H2974">
        <v>18</v>
      </c>
      <c r="I2974" t="s">
        <v>28</v>
      </c>
      <c r="J2974" s="4">
        <v>70.099999999999994</v>
      </c>
      <c r="K2974" s="4">
        <v>196.9</v>
      </c>
      <c r="L2974" s="4">
        <v>28.1</v>
      </c>
      <c r="M2974">
        <v>11</v>
      </c>
      <c r="N2974" t="s">
        <v>59</v>
      </c>
      <c r="O2974">
        <v>5</v>
      </c>
      <c r="P2974" s="4">
        <v>595.20000000000005</v>
      </c>
      <c r="Q2974" t="s">
        <v>30</v>
      </c>
      <c r="R2974">
        <v>0</v>
      </c>
      <c r="S2974" t="s">
        <v>44</v>
      </c>
      <c r="T2974">
        <v>0</v>
      </c>
      <c r="U2974">
        <v>1</v>
      </c>
      <c r="V2974" t="s">
        <v>45</v>
      </c>
      <c r="W2974" t="s">
        <v>33</v>
      </c>
      <c r="X2974" s="4">
        <v>9.6</v>
      </c>
      <c r="Y2974">
        <v>9</v>
      </c>
      <c r="Z2974" s="5">
        <v>283.93</v>
      </c>
    </row>
    <row r="2975" spans="1:26">
      <c r="A2975">
        <v>2974</v>
      </c>
      <c r="B2975">
        <v>974</v>
      </c>
      <c r="C2975" s="2">
        <v>46107</v>
      </c>
      <c r="D2975" t="s">
        <v>55</v>
      </c>
      <c r="E2975">
        <v>3</v>
      </c>
      <c r="F2975" s="3">
        <v>9.2100000000000009</v>
      </c>
      <c r="G2975" t="s">
        <v>27</v>
      </c>
      <c r="H2975">
        <v>38</v>
      </c>
      <c r="I2975" t="s">
        <v>34</v>
      </c>
      <c r="J2975" s="4">
        <v>62.2</v>
      </c>
      <c r="K2975" s="4">
        <v>151.4</v>
      </c>
      <c r="L2975" s="4">
        <v>27.4</v>
      </c>
      <c r="M2975">
        <v>14</v>
      </c>
      <c r="N2975" t="s">
        <v>59</v>
      </c>
      <c r="O2975">
        <v>5</v>
      </c>
      <c r="P2975" s="4">
        <v>595.20000000000005</v>
      </c>
      <c r="Q2975" t="s">
        <v>30</v>
      </c>
      <c r="R2975">
        <v>0</v>
      </c>
      <c r="S2975" t="s">
        <v>44</v>
      </c>
      <c r="T2975">
        <v>0</v>
      </c>
      <c r="U2975">
        <v>1</v>
      </c>
      <c r="V2975" t="s">
        <v>45</v>
      </c>
      <c r="W2975" t="s">
        <v>33</v>
      </c>
      <c r="X2975" s="4">
        <v>9.1999999999999993</v>
      </c>
      <c r="Y2975">
        <v>12</v>
      </c>
      <c r="Z2975" s="5">
        <v>169.73</v>
      </c>
    </row>
    <row r="2976" spans="1:26">
      <c r="A2976">
        <v>2975</v>
      </c>
      <c r="B2976">
        <v>974</v>
      </c>
      <c r="C2976" s="2">
        <v>46107</v>
      </c>
      <c r="D2976" t="s">
        <v>55</v>
      </c>
      <c r="E2976">
        <v>3</v>
      </c>
      <c r="F2976" s="3">
        <v>9.27</v>
      </c>
      <c r="G2976" t="s">
        <v>27</v>
      </c>
      <c r="H2976">
        <v>56</v>
      </c>
      <c r="I2976" t="s">
        <v>34</v>
      </c>
      <c r="J2976" s="4">
        <v>66.900000000000006</v>
      </c>
      <c r="K2976" s="4">
        <v>190.6</v>
      </c>
      <c r="L2976" s="4">
        <v>29.8</v>
      </c>
      <c r="M2976">
        <v>17</v>
      </c>
      <c r="N2976" t="s">
        <v>59</v>
      </c>
      <c r="O2976">
        <v>5</v>
      </c>
      <c r="P2976" s="4">
        <v>595.20000000000005</v>
      </c>
      <c r="Q2976" t="s">
        <v>30</v>
      </c>
      <c r="R2976">
        <v>0</v>
      </c>
      <c r="S2976" t="s">
        <v>44</v>
      </c>
      <c r="T2976">
        <v>0</v>
      </c>
      <c r="U2976">
        <v>1</v>
      </c>
      <c r="V2976" t="s">
        <v>45</v>
      </c>
      <c r="W2976" t="s">
        <v>33</v>
      </c>
      <c r="X2976" s="4">
        <v>10.7</v>
      </c>
      <c r="Y2976">
        <v>7</v>
      </c>
      <c r="Z2976" s="5">
        <v>139.78</v>
      </c>
    </row>
    <row r="2977" spans="1:26">
      <c r="A2977">
        <v>2976</v>
      </c>
      <c r="B2977">
        <v>974</v>
      </c>
      <c r="C2977" s="2">
        <v>46107</v>
      </c>
      <c r="D2977" t="s">
        <v>55</v>
      </c>
      <c r="E2977">
        <v>3</v>
      </c>
      <c r="F2977" s="3">
        <v>9.1999999999999993</v>
      </c>
      <c r="G2977" t="s">
        <v>27</v>
      </c>
      <c r="H2977">
        <v>7</v>
      </c>
      <c r="I2977" t="s">
        <v>34</v>
      </c>
      <c r="J2977" s="4">
        <v>58.5</v>
      </c>
      <c r="K2977" s="4">
        <v>99.5</v>
      </c>
      <c r="L2977" s="4">
        <v>20.6</v>
      </c>
      <c r="M2977">
        <v>11</v>
      </c>
      <c r="N2977" t="s">
        <v>59</v>
      </c>
      <c r="O2977">
        <v>5</v>
      </c>
      <c r="P2977" s="4">
        <v>595.20000000000005</v>
      </c>
      <c r="Q2977" t="s">
        <v>30</v>
      </c>
      <c r="R2977">
        <v>0</v>
      </c>
      <c r="S2977" t="s">
        <v>44</v>
      </c>
      <c r="T2977">
        <v>0</v>
      </c>
      <c r="U2977">
        <v>1</v>
      </c>
      <c r="V2977" t="s">
        <v>45</v>
      </c>
      <c r="W2977" t="s">
        <v>33</v>
      </c>
      <c r="X2977" s="4">
        <v>5.6</v>
      </c>
      <c r="Y2977">
        <v>3</v>
      </c>
      <c r="Z2977" s="5">
        <v>173.28</v>
      </c>
    </row>
    <row r="2978" spans="1:26">
      <c r="A2978">
        <v>2977</v>
      </c>
      <c r="B2978">
        <v>975</v>
      </c>
      <c r="C2978" s="2">
        <v>46302</v>
      </c>
      <c r="D2978" t="s">
        <v>52</v>
      </c>
      <c r="E2978">
        <v>10</v>
      </c>
      <c r="F2978" s="3">
        <v>10.130000000000001</v>
      </c>
      <c r="G2978" t="s">
        <v>27</v>
      </c>
      <c r="H2978">
        <v>55</v>
      </c>
      <c r="I2978" t="s">
        <v>34</v>
      </c>
      <c r="J2978" s="4">
        <v>61.8</v>
      </c>
      <c r="K2978" s="4">
        <v>157.5</v>
      </c>
      <c r="L2978" s="4">
        <v>28.9</v>
      </c>
      <c r="M2978">
        <v>16</v>
      </c>
      <c r="N2978" t="s">
        <v>47</v>
      </c>
      <c r="O2978">
        <v>4</v>
      </c>
      <c r="P2978" s="4">
        <v>63</v>
      </c>
      <c r="Q2978" t="s">
        <v>42</v>
      </c>
      <c r="R2978">
        <v>1</v>
      </c>
      <c r="S2978" t="s">
        <v>31</v>
      </c>
      <c r="T2978">
        <v>1</v>
      </c>
      <c r="U2978">
        <v>0</v>
      </c>
      <c r="V2978" t="s">
        <v>32</v>
      </c>
      <c r="W2978" t="s">
        <v>49</v>
      </c>
      <c r="X2978" s="4">
        <v>11.1</v>
      </c>
      <c r="Y2978">
        <v>8</v>
      </c>
      <c r="Z2978" s="5">
        <v>369.04</v>
      </c>
    </row>
    <row r="2979" spans="1:26">
      <c r="A2979">
        <v>2978</v>
      </c>
      <c r="B2979">
        <v>975</v>
      </c>
      <c r="C2979" s="2">
        <v>46302</v>
      </c>
      <c r="D2979" t="s">
        <v>52</v>
      </c>
      <c r="E2979">
        <v>10</v>
      </c>
      <c r="F2979" s="3">
        <v>10</v>
      </c>
      <c r="G2979" t="s">
        <v>27</v>
      </c>
      <c r="H2979">
        <v>57</v>
      </c>
      <c r="I2979" t="s">
        <v>28</v>
      </c>
      <c r="J2979" s="4">
        <v>60.4</v>
      </c>
      <c r="K2979" s="4">
        <v>122.5</v>
      </c>
      <c r="L2979" s="4">
        <v>23.7</v>
      </c>
      <c r="M2979">
        <v>18</v>
      </c>
      <c r="N2979" t="s">
        <v>47</v>
      </c>
      <c r="O2979">
        <v>4</v>
      </c>
      <c r="P2979" s="4">
        <v>63</v>
      </c>
      <c r="Q2979" t="s">
        <v>42</v>
      </c>
      <c r="R2979">
        <v>1</v>
      </c>
      <c r="S2979" t="s">
        <v>31</v>
      </c>
      <c r="T2979">
        <v>1</v>
      </c>
      <c r="U2979">
        <v>0</v>
      </c>
      <c r="V2979" t="s">
        <v>32</v>
      </c>
      <c r="W2979" t="s">
        <v>49</v>
      </c>
      <c r="X2979" s="4">
        <v>7.9</v>
      </c>
      <c r="Y2979">
        <v>11</v>
      </c>
      <c r="Z2979" s="5">
        <v>207.02</v>
      </c>
    </row>
    <row r="2980" spans="1:26">
      <c r="A2980">
        <v>2979</v>
      </c>
      <c r="B2980">
        <v>975</v>
      </c>
      <c r="C2980" s="2">
        <v>46302</v>
      </c>
      <c r="D2980" t="s">
        <v>52</v>
      </c>
      <c r="E2980">
        <v>10</v>
      </c>
      <c r="F2980" s="3">
        <v>9.98</v>
      </c>
      <c r="G2980" t="s">
        <v>27</v>
      </c>
      <c r="H2980">
        <v>27</v>
      </c>
      <c r="I2980" t="s">
        <v>28</v>
      </c>
      <c r="J2980" s="4">
        <v>70.7</v>
      </c>
      <c r="K2980" s="4">
        <v>229.3</v>
      </c>
      <c r="L2980" s="4">
        <v>32</v>
      </c>
      <c r="M2980">
        <v>12</v>
      </c>
      <c r="N2980" t="s">
        <v>47</v>
      </c>
      <c r="O2980">
        <v>4</v>
      </c>
      <c r="P2980" s="4">
        <v>63</v>
      </c>
      <c r="Q2980" t="s">
        <v>42</v>
      </c>
      <c r="R2980">
        <v>1</v>
      </c>
      <c r="S2980" t="s">
        <v>31</v>
      </c>
      <c r="T2980">
        <v>1</v>
      </c>
      <c r="U2980">
        <v>0</v>
      </c>
      <c r="V2980" t="s">
        <v>32</v>
      </c>
      <c r="W2980" t="s">
        <v>49</v>
      </c>
      <c r="X2980" s="4">
        <v>9.9</v>
      </c>
      <c r="Y2980">
        <v>8</v>
      </c>
      <c r="Z2980" s="5">
        <v>229.45</v>
      </c>
    </row>
    <row r="2981" spans="1:26">
      <c r="A2981">
        <v>2980</v>
      </c>
      <c r="B2981">
        <v>975</v>
      </c>
      <c r="C2981" s="2">
        <v>46302</v>
      </c>
      <c r="D2981" t="s">
        <v>52</v>
      </c>
      <c r="E2981">
        <v>10</v>
      </c>
      <c r="F2981" s="3">
        <v>10.01</v>
      </c>
      <c r="G2981" t="s">
        <v>27</v>
      </c>
      <c r="H2981">
        <v>64</v>
      </c>
      <c r="I2981" t="s">
        <v>28</v>
      </c>
      <c r="J2981" s="4">
        <v>67.599999999999994</v>
      </c>
      <c r="K2981" s="4">
        <v>117.5</v>
      </c>
      <c r="L2981" s="4">
        <v>18.100000000000001</v>
      </c>
      <c r="M2981">
        <v>18</v>
      </c>
      <c r="N2981" t="s">
        <v>47</v>
      </c>
      <c r="O2981">
        <v>4</v>
      </c>
      <c r="P2981" s="4">
        <v>63</v>
      </c>
      <c r="Q2981" t="s">
        <v>42</v>
      </c>
      <c r="R2981">
        <v>1</v>
      </c>
      <c r="S2981" t="s">
        <v>31</v>
      </c>
      <c r="T2981">
        <v>1</v>
      </c>
      <c r="U2981">
        <v>0</v>
      </c>
      <c r="V2981" t="s">
        <v>32</v>
      </c>
      <c r="W2981" t="s">
        <v>49</v>
      </c>
      <c r="X2981" s="4">
        <v>9</v>
      </c>
      <c r="Y2981">
        <v>12</v>
      </c>
      <c r="Z2981" s="5">
        <v>208.11</v>
      </c>
    </row>
    <row r="2982" spans="1:26">
      <c r="A2982">
        <v>2981</v>
      </c>
      <c r="B2982">
        <v>976</v>
      </c>
      <c r="C2982" s="2">
        <v>46233</v>
      </c>
      <c r="D2982" t="s">
        <v>55</v>
      </c>
      <c r="E2982">
        <v>7</v>
      </c>
      <c r="F2982" s="3">
        <v>8.81</v>
      </c>
      <c r="G2982" t="s">
        <v>27</v>
      </c>
      <c r="H2982">
        <v>10</v>
      </c>
      <c r="I2982" t="s">
        <v>34</v>
      </c>
      <c r="J2982" s="4">
        <v>59.9</v>
      </c>
      <c r="K2982" s="4">
        <v>91.9</v>
      </c>
      <c r="L2982" s="4">
        <v>18.100000000000001</v>
      </c>
      <c r="M2982">
        <v>13</v>
      </c>
      <c r="N2982" t="s">
        <v>47</v>
      </c>
      <c r="O2982">
        <v>1</v>
      </c>
      <c r="P2982" s="4">
        <v>138.80000000000001</v>
      </c>
      <c r="Q2982" t="s">
        <v>42</v>
      </c>
      <c r="R2982">
        <v>0</v>
      </c>
      <c r="S2982" t="s">
        <v>44</v>
      </c>
      <c r="T2982">
        <v>0</v>
      </c>
      <c r="U2982">
        <v>0</v>
      </c>
      <c r="V2982" t="s">
        <v>32</v>
      </c>
      <c r="W2982" t="s">
        <v>39</v>
      </c>
      <c r="X2982" s="4">
        <v>4.0999999999999996</v>
      </c>
      <c r="Y2982">
        <v>5</v>
      </c>
      <c r="Z2982" s="5">
        <v>132.32</v>
      </c>
    </row>
    <row r="2983" spans="1:26">
      <c r="A2983">
        <v>2982</v>
      </c>
      <c r="B2983">
        <v>977</v>
      </c>
      <c r="C2983" s="2">
        <v>46169</v>
      </c>
      <c r="D2983" t="s">
        <v>52</v>
      </c>
      <c r="E2983">
        <v>5</v>
      </c>
      <c r="F2983" s="3">
        <v>9.4600000000000009</v>
      </c>
      <c r="G2983" t="s">
        <v>27</v>
      </c>
      <c r="H2983">
        <v>8</v>
      </c>
      <c r="I2983" t="s">
        <v>28</v>
      </c>
      <c r="J2983" s="4">
        <v>62.5</v>
      </c>
      <c r="K2983" s="4">
        <v>133.69999999999999</v>
      </c>
      <c r="L2983" s="4">
        <v>24</v>
      </c>
      <c r="M2983">
        <v>15</v>
      </c>
      <c r="N2983" t="s">
        <v>66</v>
      </c>
      <c r="O2983">
        <v>6</v>
      </c>
      <c r="P2983" s="4">
        <v>619.20000000000005</v>
      </c>
      <c r="Q2983" t="s">
        <v>42</v>
      </c>
      <c r="R2983">
        <v>0</v>
      </c>
      <c r="S2983" t="s">
        <v>38</v>
      </c>
      <c r="T2983">
        <v>1</v>
      </c>
      <c r="U2983">
        <v>1</v>
      </c>
      <c r="V2983" t="s">
        <v>64</v>
      </c>
      <c r="W2983" t="s">
        <v>43</v>
      </c>
      <c r="X2983" s="4">
        <v>10.4</v>
      </c>
      <c r="Y2983">
        <v>9</v>
      </c>
      <c r="Z2983" s="5">
        <v>207.18</v>
      </c>
    </row>
    <row r="2984" spans="1:26">
      <c r="A2984">
        <v>2983</v>
      </c>
      <c r="B2984">
        <v>977</v>
      </c>
      <c r="C2984" s="2">
        <v>46169</v>
      </c>
      <c r="D2984" t="s">
        <v>52</v>
      </c>
      <c r="E2984">
        <v>5</v>
      </c>
      <c r="F2984" s="3">
        <v>9.15</v>
      </c>
      <c r="G2984" t="s">
        <v>27</v>
      </c>
      <c r="H2984">
        <v>28</v>
      </c>
      <c r="I2984" t="s">
        <v>34</v>
      </c>
      <c r="J2984" s="4">
        <v>65.400000000000006</v>
      </c>
      <c r="K2984" s="4">
        <v>136.1</v>
      </c>
      <c r="L2984" s="4">
        <v>22.4</v>
      </c>
      <c r="M2984">
        <v>17</v>
      </c>
      <c r="N2984" t="s">
        <v>66</v>
      </c>
      <c r="O2984">
        <v>6</v>
      </c>
      <c r="P2984" s="4">
        <v>619.20000000000005</v>
      </c>
      <c r="Q2984" t="s">
        <v>42</v>
      </c>
      <c r="R2984">
        <v>0</v>
      </c>
      <c r="S2984" t="s">
        <v>38</v>
      </c>
      <c r="T2984">
        <v>1</v>
      </c>
      <c r="U2984">
        <v>1</v>
      </c>
      <c r="V2984" t="s">
        <v>64</v>
      </c>
      <c r="W2984" t="s">
        <v>43</v>
      </c>
      <c r="X2984" s="4">
        <v>9.6999999999999993</v>
      </c>
      <c r="Y2984">
        <v>12</v>
      </c>
      <c r="Z2984" s="5">
        <v>250.88</v>
      </c>
    </row>
    <row r="2985" spans="1:26">
      <c r="A2985">
        <v>2984</v>
      </c>
      <c r="B2985">
        <v>977</v>
      </c>
      <c r="C2985" s="2">
        <v>46169</v>
      </c>
      <c r="D2985" t="s">
        <v>52</v>
      </c>
      <c r="E2985">
        <v>5</v>
      </c>
      <c r="F2985" s="3">
        <v>9.6</v>
      </c>
      <c r="G2985" t="s">
        <v>27</v>
      </c>
      <c r="H2985">
        <v>48</v>
      </c>
      <c r="I2985" t="s">
        <v>28</v>
      </c>
      <c r="J2985" s="4">
        <v>66</v>
      </c>
      <c r="K2985" s="4">
        <v>189.3</v>
      </c>
      <c r="L2985" s="4">
        <v>30.5</v>
      </c>
      <c r="M2985">
        <v>16</v>
      </c>
      <c r="N2985" t="s">
        <v>66</v>
      </c>
      <c r="O2985">
        <v>6</v>
      </c>
      <c r="P2985" s="4">
        <v>619.20000000000005</v>
      </c>
      <c r="Q2985" t="s">
        <v>42</v>
      </c>
      <c r="R2985">
        <v>0</v>
      </c>
      <c r="S2985" t="s">
        <v>38</v>
      </c>
      <c r="T2985">
        <v>1</v>
      </c>
      <c r="U2985">
        <v>1</v>
      </c>
      <c r="V2985" t="s">
        <v>64</v>
      </c>
      <c r="W2985" t="s">
        <v>43</v>
      </c>
      <c r="X2985" s="4">
        <v>5.6</v>
      </c>
      <c r="Y2985">
        <v>9</v>
      </c>
      <c r="Z2985" s="5">
        <v>263.54000000000002</v>
      </c>
    </row>
    <row r="2986" spans="1:26">
      <c r="A2986">
        <v>2985</v>
      </c>
      <c r="B2986">
        <v>977</v>
      </c>
      <c r="C2986" s="2">
        <v>46169</v>
      </c>
      <c r="D2986" t="s">
        <v>52</v>
      </c>
      <c r="E2986">
        <v>5</v>
      </c>
      <c r="F2986" s="3">
        <v>9.49</v>
      </c>
      <c r="G2986" t="s">
        <v>27</v>
      </c>
      <c r="H2986">
        <v>33</v>
      </c>
      <c r="I2986" t="s">
        <v>34</v>
      </c>
      <c r="J2986" s="4">
        <v>65.099999999999994</v>
      </c>
      <c r="K2986" s="4">
        <v>210.4</v>
      </c>
      <c r="L2986" s="4">
        <v>34.700000000000003</v>
      </c>
      <c r="M2986">
        <v>15</v>
      </c>
      <c r="N2986" t="s">
        <v>66</v>
      </c>
      <c r="O2986">
        <v>6</v>
      </c>
      <c r="P2986" s="4">
        <v>619.20000000000005</v>
      </c>
      <c r="Q2986" t="s">
        <v>42</v>
      </c>
      <c r="R2986">
        <v>0</v>
      </c>
      <c r="S2986" t="s">
        <v>38</v>
      </c>
      <c r="T2986">
        <v>1</v>
      </c>
      <c r="U2986">
        <v>1</v>
      </c>
      <c r="V2986" t="s">
        <v>64</v>
      </c>
      <c r="W2986" t="s">
        <v>43</v>
      </c>
      <c r="X2986" s="4">
        <v>8.3000000000000007</v>
      </c>
      <c r="Y2986">
        <v>15</v>
      </c>
      <c r="Z2986" s="5">
        <v>259.41000000000003</v>
      </c>
    </row>
    <row r="2987" spans="1:26">
      <c r="A2987">
        <v>2986</v>
      </c>
      <c r="B2987">
        <v>977</v>
      </c>
      <c r="C2987" s="2">
        <v>46169</v>
      </c>
      <c r="D2987" t="s">
        <v>52</v>
      </c>
      <c r="E2987">
        <v>5</v>
      </c>
      <c r="F2987" s="3">
        <v>9.56</v>
      </c>
      <c r="G2987" t="s">
        <v>27</v>
      </c>
      <c r="H2987">
        <v>55</v>
      </c>
      <c r="I2987" t="s">
        <v>34</v>
      </c>
      <c r="J2987" s="4">
        <v>64.5</v>
      </c>
      <c r="K2987" s="4">
        <v>190.4</v>
      </c>
      <c r="L2987" s="4">
        <v>32.299999999999997</v>
      </c>
      <c r="M2987">
        <v>17</v>
      </c>
      <c r="N2987" t="s">
        <v>66</v>
      </c>
      <c r="O2987">
        <v>6</v>
      </c>
      <c r="P2987" s="4">
        <v>619.20000000000005</v>
      </c>
      <c r="Q2987" t="s">
        <v>42</v>
      </c>
      <c r="R2987">
        <v>0</v>
      </c>
      <c r="S2987" t="s">
        <v>38</v>
      </c>
      <c r="T2987">
        <v>1</v>
      </c>
      <c r="U2987">
        <v>1</v>
      </c>
      <c r="V2987" t="s">
        <v>64</v>
      </c>
      <c r="W2987" t="s">
        <v>43</v>
      </c>
      <c r="X2987" s="4">
        <v>8.1999999999999993</v>
      </c>
      <c r="Y2987">
        <v>7</v>
      </c>
      <c r="Z2987" s="5">
        <v>170.03</v>
      </c>
    </row>
    <row r="2988" spans="1:26">
      <c r="A2988">
        <v>2987</v>
      </c>
      <c r="B2988">
        <v>977</v>
      </c>
      <c r="C2988" s="2">
        <v>46169</v>
      </c>
      <c r="D2988" t="s">
        <v>52</v>
      </c>
      <c r="E2988">
        <v>5</v>
      </c>
      <c r="F2988" s="3">
        <v>9.51</v>
      </c>
      <c r="G2988" t="s">
        <v>27</v>
      </c>
      <c r="H2988">
        <v>46</v>
      </c>
      <c r="I2988" t="s">
        <v>34</v>
      </c>
      <c r="J2988" s="4">
        <v>64.900000000000006</v>
      </c>
      <c r="K2988" s="4">
        <v>151.9</v>
      </c>
      <c r="L2988" s="4">
        <v>25.5</v>
      </c>
      <c r="M2988">
        <v>18</v>
      </c>
      <c r="N2988" t="s">
        <v>66</v>
      </c>
      <c r="O2988">
        <v>6</v>
      </c>
      <c r="P2988" s="4">
        <v>619.20000000000005</v>
      </c>
      <c r="Q2988" t="s">
        <v>42</v>
      </c>
      <c r="R2988">
        <v>0</v>
      </c>
      <c r="S2988" t="s">
        <v>38</v>
      </c>
      <c r="T2988">
        <v>1</v>
      </c>
      <c r="U2988">
        <v>1</v>
      </c>
      <c r="V2988" t="s">
        <v>64</v>
      </c>
      <c r="W2988" t="s">
        <v>43</v>
      </c>
      <c r="X2988" s="4">
        <v>8.5</v>
      </c>
      <c r="Y2988">
        <v>11</v>
      </c>
      <c r="Z2988" s="5">
        <v>448.96</v>
      </c>
    </row>
    <row r="2989" spans="1:26">
      <c r="A2989">
        <v>2988</v>
      </c>
      <c r="B2989">
        <v>978</v>
      </c>
      <c r="C2989" s="2">
        <v>46378</v>
      </c>
      <c r="D2989" t="s">
        <v>35</v>
      </c>
      <c r="E2989">
        <v>12</v>
      </c>
      <c r="F2989" s="3">
        <v>8.6999999999999993</v>
      </c>
      <c r="G2989" t="s">
        <v>27</v>
      </c>
      <c r="H2989">
        <v>49</v>
      </c>
      <c r="I2989" t="s">
        <v>28</v>
      </c>
      <c r="J2989" s="4">
        <v>71.400000000000006</v>
      </c>
      <c r="K2989" s="4">
        <v>171.9</v>
      </c>
      <c r="L2989" s="4">
        <v>23.7</v>
      </c>
      <c r="M2989">
        <v>15</v>
      </c>
      <c r="N2989" t="s">
        <v>47</v>
      </c>
      <c r="O2989">
        <v>2</v>
      </c>
      <c r="P2989" s="4">
        <v>131.5</v>
      </c>
      <c r="Q2989" t="s">
        <v>48</v>
      </c>
      <c r="R2989">
        <v>0</v>
      </c>
      <c r="S2989" t="s">
        <v>31</v>
      </c>
      <c r="T2989">
        <v>1</v>
      </c>
      <c r="U2989">
        <v>0</v>
      </c>
      <c r="V2989" t="s">
        <v>32</v>
      </c>
      <c r="W2989" t="s">
        <v>39</v>
      </c>
      <c r="X2989" s="4">
        <v>7.2</v>
      </c>
      <c r="Y2989">
        <v>9</v>
      </c>
      <c r="Z2989" s="5">
        <v>234.75</v>
      </c>
    </row>
    <row r="2990" spans="1:26">
      <c r="A2990">
        <v>2989</v>
      </c>
      <c r="B2990">
        <v>978</v>
      </c>
      <c r="C2990" s="2">
        <v>46378</v>
      </c>
      <c r="D2990" t="s">
        <v>35</v>
      </c>
      <c r="E2990">
        <v>12</v>
      </c>
      <c r="F2990" s="3">
        <v>8.9</v>
      </c>
      <c r="G2990" t="s">
        <v>27</v>
      </c>
      <c r="H2990">
        <v>29</v>
      </c>
      <c r="I2990" t="s">
        <v>34</v>
      </c>
      <c r="J2990" s="4">
        <v>64.7</v>
      </c>
      <c r="K2990" s="4">
        <v>156.1</v>
      </c>
      <c r="L2990" s="4">
        <v>26.5</v>
      </c>
      <c r="M2990">
        <v>16</v>
      </c>
      <c r="N2990" t="s">
        <v>47</v>
      </c>
      <c r="O2990">
        <v>2</v>
      </c>
      <c r="P2990" s="4">
        <v>131.5</v>
      </c>
      <c r="Q2990" t="s">
        <v>48</v>
      </c>
      <c r="R2990">
        <v>0</v>
      </c>
      <c r="S2990" t="s">
        <v>31</v>
      </c>
      <c r="T2990">
        <v>1</v>
      </c>
      <c r="U2990">
        <v>0</v>
      </c>
      <c r="V2990" t="s">
        <v>32</v>
      </c>
      <c r="W2990" t="s">
        <v>39</v>
      </c>
      <c r="X2990" s="4">
        <v>8.8000000000000007</v>
      </c>
      <c r="Y2990">
        <v>8</v>
      </c>
      <c r="Z2990" s="5">
        <v>126.1</v>
      </c>
    </row>
    <row r="2991" spans="1:26">
      <c r="A2991">
        <v>2990</v>
      </c>
      <c r="B2991">
        <v>979</v>
      </c>
      <c r="C2991" s="2">
        <v>46142</v>
      </c>
      <c r="D2991" t="s">
        <v>55</v>
      </c>
      <c r="E2991">
        <v>4</v>
      </c>
      <c r="F2991" s="3">
        <v>12.21</v>
      </c>
      <c r="G2991" t="s">
        <v>36</v>
      </c>
      <c r="H2991">
        <v>9</v>
      </c>
      <c r="I2991" t="s">
        <v>34</v>
      </c>
      <c r="J2991" s="4">
        <v>62.2</v>
      </c>
      <c r="K2991" s="4">
        <v>122.4</v>
      </c>
      <c r="L2991" s="4">
        <v>22.1</v>
      </c>
      <c r="M2991">
        <v>11</v>
      </c>
      <c r="N2991" t="s">
        <v>50</v>
      </c>
      <c r="O2991">
        <v>4</v>
      </c>
      <c r="P2991" s="4">
        <v>570.20000000000005</v>
      </c>
      <c r="Q2991" t="s">
        <v>30</v>
      </c>
      <c r="R2991">
        <v>1</v>
      </c>
      <c r="S2991" t="s">
        <v>38</v>
      </c>
      <c r="T2991">
        <v>1</v>
      </c>
      <c r="U2991">
        <v>0</v>
      </c>
      <c r="V2991" t="s">
        <v>32</v>
      </c>
      <c r="W2991" t="s">
        <v>49</v>
      </c>
      <c r="X2991" s="4">
        <v>9.1</v>
      </c>
      <c r="Y2991">
        <v>7</v>
      </c>
      <c r="Z2991" s="5">
        <v>366.15</v>
      </c>
    </row>
    <row r="2992" spans="1:26">
      <c r="A2992">
        <v>2991</v>
      </c>
      <c r="B2992">
        <v>979</v>
      </c>
      <c r="C2992" s="2">
        <v>46142</v>
      </c>
      <c r="D2992" t="s">
        <v>55</v>
      </c>
      <c r="E2992">
        <v>4</v>
      </c>
      <c r="F2992" s="3">
        <v>12.01</v>
      </c>
      <c r="G2992" t="s">
        <v>36</v>
      </c>
      <c r="H2992">
        <v>59</v>
      </c>
      <c r="I2992" t="s">
        <v>28</v>
      </c>
      <c r="J2992" s="4">
        <v>69.8</v>
      </c>
      <c r="K2992" s="4">
        <v>178.2</v>
      </c>
      <c r="L2992" s="4">
        <v>25.6</v>
      </c>
      <c r="M2992">
        <v>11</v>
      </c>
      <c r="N2992" t="s">
        <v>50</v>
      </c>
      <c r="O2992">
        <v>4</v>
      </c>
      <c r="P2992" s="4">
        <v>570.20000000000005</v>
      </c>
      <c r="Q2992" t="s">
        <v>30</v>
      </c>
      <c r="R2992">
        <v>1</v>
      </c>
      <c r="S2992" t="s">
        <v>38</v>
      </c>
      <c r="T2992">
        <v>1</v>
      </c>
      <c r="U2992">
        <v>0</v>
      </c>
      <c r="V2992" t="s">
        <v>32</v>
      </c>
      <c r="W2992" t="s">
        <v>49</v>
      </c>
      <c r="X2992" s="4">
        <v>9.6999999999999993</v>
      </c>
      <c r="Y2992">
        <v>13</v>
      </c>
      <c r="Z2992" s="5">
        <v>178.13</v>
      </c>
    </row>
    <row r="2993" spans="1:26">
      <c r="A2993">
        <v>2992</v>
      </c>
      <c r="B2993">
        <v>979</v>
      </c>
      <c r="C2993" s="2">
        <v>46142</v>
      </c>
      <c r="D2993" t="s">
        <v>55</v>
      </c>
      <c r="E2993">
        <v>4</v>
      </c>
      <c r="F2993" s="3">
        <v>12.06</v>
      </c>
      <c r="G2993" t="s">
        <v>36</v>
      </c>
      <c r="H2993">
        <v>43</v>
      </c>
      <c r="I2993" t="s">
        <v>28</v>
      </c>
      <c r="J2993" s="4">
        <v>69.400000000000006</v>
      </c>
      <c r="K2993" s="4">
        <v>193.3</v>
      </c>
      <c r="L2993" s="4">
        <v>28</v>
      </c>
      <c r="M2993">
        <v>15</v>
      </c>
      <c r="N2993" t="s">
        <v>50</v>
      </c>
      <c r="O2993">
        <v>4</v>
      </c>
      <c r="P2993" s="4">
        <v>570.20000000000005</v>
      </c>
      <c r="Q2993" t="s">
        <v>30</v>
      </c>
      <c r="R2993">
        <v>1</v>
      </c>
      <c r="S2993" t="s">
        <v>38</v>
      </c>
      <c r="T2993">
        <v>1</v>
      </c>
      <c r="U2993">
        <v>0</v>
      </c>
      <c r="V2993" t="s">
        <v>32</v>
      </c>
      <c r="W2993" t="s">
        <v>49</v>
      </c>
      <c r="X2993" s="4">
        <v>8.1</v>
      </c>
      <c r="Y2993">
        <v>10</v>
      </c>
      <c r="Z2993" s="5">
        <v>148.26</v>
      </c>
    </row>
    <row r="2994" spans="1:26">
      <c r="A2994">
        <v>2993</v>
      </c>
      <c r="B2994">
        <v>979</v>
      </c>
      <c r="C2994" s="2">
        <v>46142</v>
      </c>
      <c r="D2994" t="s">
        <v>55</v>
      </c>
      <c r="E2994">
        <v>4</v>
      </c>
      <c r="F2994" s="3">
        <v>12.12</v>
      </c>
      <c r="G2994" t="s">
        <v>36</v>
      </c>
      <c r="H2994">
        <v>18</v>
      </c>
      <c r="I2994" t="s">
        <v>34</v>
      </c>
      <c r="J2994" s="4">
        <v>66.7</v>
      </c>
      <c r="K2994" s="4">
        <v>207.5</v>
      </c>
      <c r="L2994" s="4">
        <v>32.700000000000003</v>
      </c>
      <c r="M2994">
        <v>12</v>
      </c>
      <c r="N2994" t="s">
        <v>50</v>
      </c>
      <c r="O2994">
        <v>4</v>
      </c>
      <c r="P2994" s="4">
        <v>570.20000000000005</v>
      </c>
      <c r="Q2994" t="s">
        <v>30</v>
      </c>
      <c r="R2994">
        <v>1</v>
      </c>
      <c r="S2994" t="s">
        <v>38</v>
      </c>
      <c r="T2994">
        <v>1</v>
      </c>
      <c r="U2994">
        <v>0</v>
      </c>
      <c r="V2994" t="s">
        <v>32</v>
      </c>
      <c r="W2994" t="s">
        <v>49</v>
      </c>
      <c r="X2994" s="4">
        <v>7.7</v>
      </c>
      <c r="Y2994">
        <v>7</v>
      </c>
      <c r="Z2994" s="5">
        <v>198.96</v>
      </c>
    </row>
    <row r="2995" spans="1:26">
      <c r="A2995">
        <v>2994</v>
      </c>
      <c r="B2995">
        <v>980</v>
      </c>
      <c r="C2995" s="2">
        <v>46262</v>
      </c>
      <c r="D2995" t="s">
        <v>26</v>
      </c>
      <c r="E2995">
        <v>8</v>
      </c>
      <c r="F2995" s="3">
        <v>10.39</v>
      </c>
      <c r="G2995" t="s">
        <v>27</v>
      </c>
      <c r="H2995">
        <v>63</v>
      </c>
      <c r="I2995" t="s">
        <v>34</v>
      </c>
      <c r="J2995" s="4">
        <v>60.7</v>
      </c>
      <c r="K2995" s="4">
        <v>179.2</v>
      </c>
      <c r="L2995" s="4">
        <v>34.4</v>
      </c>
      <c r="M2995">
        <v>14</v>
      </c>
      <c r="N2995" t="s">
        <v>47</v>
      </c>
      <c r="O2995">
        <v>5</v>
      </c>
      <c r="P2995" s="4">
        <v>194.4</v>
      </c>
      <c r="Q2995" t="s">
        <v>42</v>
      </c>
      <c r="R2995">
        <v>1</v>
      </c>
      <c r="S2995" t="s">
        <v>31</v>
      </c>
      <c r="T2995">
        <v>0</v>
      </c>
      <c r="U2995">
        <v>0</v>
      </c>
      <c r="V2995" t="s">
        <v>32</v>
      </c>
      <c r="W2995" t="s">
        <v>49</v>
      </c>
      <c r="X2995" s="4">
        <v>10.1</v>
      </c>
      <c r="Y2995">
        <v>8</v>
      </c>
      <c r="Z2995" s="5">
        <v>243.24</v>
      </c>
    </row>
    <row r="2996" spans="1:26">
      <c r="A2996">
        <v>2995</v>
      </c>
      <c r="B2996">
        <v>980</v>
      </c>
      <c r="C2996" s="2">
        <v>46262</v>
      </c>
      <c r="D2996" t="s">
        <v>26</v>
      </c>
      <c r="E2996">
        <v>8</v>
      </c>
      <c r="F2996" s="3">
        <v>10.43</v>
      </c>
      <c r="G2996" t="s">
        <v>27</v>
      </c>
      <c r="H2996">
        <v>12</v>
      </c>
      <c r="I2996" t="s">
        <v>34</v>
      </c>
      <c r="J2996" s="4">
        <v>70</v>
      </c>
      <c r="K2996" s="4">
        <v>130.1</v>
      </c>
      <c r="L2996" s="4">
        <v>18.5</v>
      </c>
      <c r="M2996">
        <v>14</v>
      </c>
      <c r="N2996" t="s">
        <v>47</v>
      </c>
      <c r="O2996">
        <v>5</v>
      </c>
      <c r="P2996" s="4">
        <v>194.4</v>
      </c>
      <c r="Q2996" t="s">
        <v>42</v>
      </c>
      <c r="R2996">
        <v>1</v>
      </c>
      <c r="S2996" t="s">
        <v>31</v>
      </c>
      <c r="T2996">
        <v>0</v>
      </c>
      <c r="U2996">
        <v>0</v>
      </c>
      <c r="V2996" t="s">
        <v>32</v>
      </c>
      <c r="W2996" t="s">
        <v>49</v>
      </c>
      <c r="X2996" s="4">
        <v>11.1</v>
      </c>
      <c r="Y2996">
        <v>9</v>
      </c>
      <c r="Z2996" s="5">
        <v>227.15</v>
      </c>
    </row>
    <row r="2997" spans="1:26">
      <c r="A2997">
        <v>2996</v>
      </c>
      <c r="B2997">
        <v>980</v>
      </c>
      <c r="C2997" s="2">
        <v>46262</v>
      </c>
      <c r="D2997" t="s">
        <v>26</v>
      </c>
      <c r="E2997">
        <v>8</v>
      </c>
      <c r="F2997" s="3">
        <v>10.31</v>
      </c>
      <c r="G2997" t="s">
        <v>27</v>
      </c>
      <c r="H2997">
        <v>53</v>
      </c>
      <c r="I2997" t="s">
        <v>34</v>
      </c>
      <c r="J2997" s="4">
        <v>64.5</v>
      </c>
      <c r="K2997" s="4">
        <v>171</v>
      </c>
      <c r="L2997" s="4">
        <v>28.5</v>
      </c>
      <c r="M2997">
        <v>16</v>
      </c>
      <c r="N2997" t="s">
        <v>47</v>
      </c>
      <c r="O2997">
        <v>5</v>
      </c>
      <c r="P2997" s="4">
        <v>194.4</v>
      </c>
      <c r="Q2997" t="s">
        <v>42</v>
      </c>
      <c r="R2997">
        <v>1</v>
      </c>
      <c r="S2997" t="s">
        <v>31</v>
      </c>
      <c r="T2997">
        <v>0</v>
      </c>
      <c r="U2997">
        <v>0</v>
      </c>
      <c r="V2997" t="s">
        <v>32</v>
      </c>
      <c r="W2997" t="s">
        <v>49</v>
      </c>
      <c r="X2997" s="4">
        <v>9.3000000000000007</v>
      </c>
      <c r="Y2997">
        <v>9</v>
      </c>
      <c r="Z2997" s="5">
        <v>144.91999999999999</v>
      </c>
    </row>
    <row r="2998" spans="1:26">
      <c r="A2998">
        <v>2997</v>
      </c>
      <c r="B2998">
        <v>980</v>
      </c>
      <c r="C2998" s="2">
        <v>46262</v>
      </c>
      <c r="D2998" t="s">
        <v>26</v>
      </c>
      <c r="E2998">
        <v>8</v>
      </c>
      <c r="F2998" s="3">
        <v>10.33</v>
      </c>
      <c r="G2998" t="s">
        <v>27</v>
      </c>
      <c r="H2998">
        <v>48</v>
      </c>
      <c r="I2998" t="s">
        <v>34</v>
      </c>
      <c r="J2998" s="4">
        <v>66.3</v>
      </c>
      <c r="K2998" s="4">
        <v>180.3</v>
      </c>
      <c r="L2998" s="4">
        <v>28.8</v>
      </c>
      <c r="M2998">
        <v>18</v>
      </c>
      <c r="N2998" t="s">
        <v>47</v>
      </c>
      <c r="O2998">
        <v>5</v>
      </c>
      <c r="P2998" s="4">
        <v>194.4</v>
      </c>
      <c r="Q2998" t="s">
        <v>42</v>
      </c>
      <c r="R2998">
        <v>1</v>
      </c>
      <c r="S2998" t="s">
        <v>31</v>
      </c>
      <c r="T2998">
        <v>0</v>
      </c>
      <c r="U2998">
        <v>0</v>
      </c>
      <c r="V2998" t="s">
        <v>32</v>
      </c>
      <c r="W2998" t="s">
        <v>49</v>
      </c>
      <c r="X2998" s="4">
        <v>8.6</v>
      </c>
      <c r="Y2998">
        <v>7</v>
      </c>
      <c r="Z2998" s="5">
        <v>176.02</v>
      </c>
    </row>
    <row r="2999" spans="1:26">
      <c r="A2999">
        <v>2998</v>
      </c>
      <c r="B2999">
        <v>980</v>
      </c>
      <c r="C2999" s="2">
        <v>46262</v>
      </c>
      <c r="D2999" t="s">
        <v>26</v>
      </c>
      <c r="E2999">
        <v>8</v>
      </c>
      <c r="F2999" s="3">
        <v>10.26</v>
      </c>
      <c r="G2999" t="s">
        <v>27</v>
      </c>
      <c r="H2999">
        <v>48</v>
      </c>
      <c r="I2999" t="s">
        <v>28</v>
      </c>
      <c r="J2999" s="4">
        <v>62.2</v>
      </c>
      <c r="K2999" s="4">
        <v>88.1</v>
      </c>
      <c r="L2999" s="4">
        <v>16</v>
      </c>
      <c r="M2999">
        <v>17</v>
      </c>
      <c r="N2999" t="s">
        <v>47</v>
      </c>
      <c r="O2999">
        <v>5</v>
      </c>
      <c r="P2999" s="4">
        <v>194.4</v>
      </c>
      <c r="Q2999" t="s">
        <v>42</v>
      </c>
      <c r="R2999">
        <v>1</v>
      </c>
      <c r="S2999" t="s">
        <v>31</v>
      </c>
      <c r="T2999">
        <v>0</v>
      </c>
      <c r="U2999">
        <v>0</v>
      </c>
      <c r="V2999" t="s">
        <v>32</v>
      </c>
      <c r="W2999" t="s">
        <v>49</v>
      </c>
      <c r="X2999" s="4">
        <v>9.3000000000000007</v>
      </c>
      <c r="Y2999">
        <v>15</v>
      </c>
      <c r="Z2999" s="5">
        <v>182.48</v>
      </c>
    </row>
    <row r="3000" spans="1:26">
      <c r="A3000">
        <v>2999</v>
      </c>
      <c r="B3000">
        <v>981</v>
      </c>
      <c r="C3000" s="2">
        <v>46047</v>
      </c>
      <c r="D3000" t="s">
        <v>58</v>
      </c>
      <c r="E3000">
        <v>1</v>
      </c>
      <c r="F3000" s="3">
        <v>8.3699999999999992</v>
      </c>
      <c r="G3000" t="s">
        <v>27</v>
      </c>
      <c r="H3000">
        <v>18</v>
      </c>
      <c r="I3000" t="s">
        <v>34</v>
      </c>
      <c r="J3000" s="4">
        <v>66.400000000000006</v>
      </c>
      <c r="K3000" s="4">
        <v>132.30000000000001</v>
      </c>
      <c r="L3000" s="4">
        <v>21.1</v>
      </c>
      <c r="M3000">
        <v>11</v>
      </c>
      <c r="N3000" t="s">
        <v>50</v>
      </c>
      <c r="O3000">
        <v>2</v>
      </c>
      <c r="P3000" s="4">
        <v>365.8</v>
      </c>
      <c r="Q3000" t="s">
        <v>30</v>
      </c>
      <c r="R3000">
        <v>0</v>
      </c>
      <c r="S3000" t="s">
        <v>38</v>
      </c>
      <c r="T3000">
        <v>0</v>
      </c>
      <c r="U3000">
        <v>0</v>
      </c>
      <c r="V3000" t="s">
        <v>32</v>
      </c>
      <c r="W3000" t="s">
        <v>39</v>
      </c>
      <c r="X3000" s="4">
        <v>10.5</v>
      </c>
      <c r="Y3000">
        <v>7</v>
      </c>
      <c r="Z3000" s="5">
        <v>120.34</v>
      </c>
    </row>
    <row r="3001" spans="1:26">
      <c r="A3001">
        <v>3000</v>
      </c>
      <c r="B3001">
        <v>981</v>
      </c>
      <c r="C3001" s="2">
        <v>46047</v>
      </c>
      <c r="D3001" t="s">
        <v>58</v>
      </c>
      <c r="E3001">
        <v>1</v>
      </c>
      <c r="F3001" s="3">
        <v>8.57</v>
      </c>
      <c r="G3001" t="s">
        <v>27</v>
      </c>
      <c r="H3001">
        <v>47</v>
      </c>
      <c r="I3001" t="s">
        <v>28</v>
      </c>
      <c r="J3001" s="4">
        <v>70.3</v>
      </c>
      <c r="K3001" s="4">
        <v>164</v>
      </c>
      <c r="L3001" s="4">
        <v>23.6</v>
      </c>
      <c r="M3001">
        <v>14</v>
      </c>
      <c r="N3001" t="s">
        <v>50</v>
      </c>
      <c r="O3001">
        <v>2</v>
      </c>
      <c r="P3001" s="4">
        <v>365.8</v>
      </c>
      <c r="Q3001" t="s">
        <v>30</v>
      </c>
      <c r="R3001">
        <v>0</v>
      </c>
      <c r="S3001" t="s">
        <v>38</v>
      </c>
      <c r="T3001">
        <v>0</v>
      </c>
      <c r="U3001">
        <v>0</v>
      </c>
      <c r="V3001" t="s">
        <v>32</v>
      </c>
      <c r="W3001" t="s">
        <v>39</v>
      </c>
      <c r="X3001" s="4">
        <v>10.6</v>
      </c>
      <c r="Y3001">
        <v>10</v>
      </c>
      <c r="Z3001" s="5">
        <v>132.37</v>
      </c>
    </row>
    <row r="3002" spans="1:26">
      <c r="A3002">
        <v>3001</v>
      </c>
      <c r="B3002">
        <v>982</v>
      </c>
      <c r="C3002" s="2">
        <v>46191</v>
      </c>
      <c r="D3002" t="s">
        <v>55</v>
      </c>
      <c r="E3002">
        <v>6</v>
      </c>
      <c r="F3002" s="3">
        <v>8.31</v>
      </c>
      <c r="G3002" t="s">
        <v>27</v>
      </c>
      <c r="H3002">
        <v>46</v>
      </c>
      <c r="I3002" t="s">
        <v>28</v>
      </c>
      <c r="J3002" s="4">
        <v>70.7</v>
      </c>
      <c r="K3002" s="4">
        <v>155.9</v>
      </c>
      <c r="L3002" s="4">
        <v>21.9</v>
      </c>
      <c r="M3002">
        <v>18</v>
      </c>
      <c r="N3002" t="s">
        <v>50</v>
      </c>
      <c r="O3002">
        <v>2</v>
      </c>
      <c r="P3002" s="4">
        <v>412.9</v>
      </c>
      <c r="Q3002" t="s">
        <v>48</v>
      </c>
      <c r="R3002">
        <v>0</v>
      </c>
      <c r="S3002" t="s">
        <v>31</v>
      </c>
      <c r="T3002">
        <v>1</v>
      </c>
      <c r="U3002">
        <v>0</v>
      </c>
      <c r="V3002" t="s">
        <v>32</v>
      </c>
      <c r="W3002" t="s">
        <v>57</v>
      </c>
      <c r="X3002" s="4">
        <v>6.6</v>
      </c>
      <c r="Y3002">
        <v>8</v>
      </c>
      <c r="Z3002" s="5">
        <v>162.12</v>
      </c>
    </row>
    <row r="3003" spans="1:26">
      <c r="A3003">
        <v>3002</v>
      </c>
      <c r="B3003">
        <v>982</v>
      </c>
      <c r="C3003" s="2">
        <v>46191</v>
      </c>
      <c r="D3003" t="s">
        <v>55</v>
      </c>
      <c r="E3003">
        <v>6</v>
      </c>
      <c r="F3003" s="3">
        <v>8.2200000000000006</v>
      </c>
      <c r="G3003" t="s">
        <v>27</v>
      </c>
      <c r="H3003">
        <v>34</v>
      </c>
      <c r="I3003" t="s">
        <v>34</v>
      </c>
      <c r="J3003" s="4">
        <v>59.6</v>
      </c>
      <c r="K3003" s="4">
        <v>160.80000000000001</v>
      </c>
      <c r="L3003" s="4">
        <v>31.8</v>
      </c>
      <c r="M3003">
        <v>17</v>
      </c>
      <c r="N3003" t="s">
        <v>50</v>
      </c>
      <c r="O3003">
        <v>2</v>
      </c>
      <c r="P3003" s="4">
        <v>412.9</v>
      </c>
      <c r="Q3003" t="s">
        <v>48</v>
      </c>
      <c r="R3003">
        <v>0</v>
      </c>
      <c r="S3003" t="s">
        <v>31</v>
      </c>
      <c r="T3003">
        <v>1</v>
      </c>
      <c r="U3003">
        <v>0</v>
      </c>
      <c r="V3003" t="s">
        <v>32</v>
      </c>
      <c r="W3003" t="s">
        <v>57</v>
      </c>
      <c r="X3003" s="4">
        <v>8.1</v>
      </c>
      <c r="Y3003">
        <v>2</v>
      </c>
      <c r="Z3003" s="5">
        <v>284.77999999999997</v>
      </c>
    </row>
    <row r="3004" spans="1:26">
      <c r="A3004">
        <v>3003</v>
      </c>
      <c r="B3004">
        <v>983</v>
      </c>
      <c r="C3004" s="2">
        <v>46322</v>
      </c>
      <c r="D3004" t="s">
        <v>35</v>
      </c>
      <c r="E3004">
        <v>10</v>
      </c>
      <c r="F3004" s="3">
        <v>11.36</v>
      </c>
      <c r="G3004" t="s">
        <v>36</v>
      </c>
      <c r="H3004">
        <v>26</v>
      </c>
      <c r="I3004" t="s">
        <v>28</v>
      </c>
      <c r="J3004" s="4">
        <v>64.3</v>
      </c>
      <c r="K3004" s="4">
        <v>124</v>
      </c>
      <c r="L3004" s="4">
        <v>21.1</v>
      </c>
      <c r="M3004">
        <v>13</v>
      </c>
      <c r="N3004" t="s">
        <v>47</v>
      </c>
      <c r="O3004">
        <v>4</v>
      </c>
      <c r="P3004" s="4">
        <v>9.1</v>
      </c>
      <c r="Q3004" t="s">
        <v>42</v>
      </c>
      <c r="R3004">
        <v>0</v>
      </c>
      <c r="S3004" t="s">
        <v>38</v>
      </c>
      <c r="T3004">
        <v>1</v>
      </c>
      <c r="U3004">
        <v>0</v>
      </c>
      <c r="V3004" t="s">
        <v>32</v>
      </c>
      <c r="W3004" t="s">
        <v>49</v>
      </c>
      <c r="X3004" s="4">
        <v>8.6</v>
      </c>
      <c r="Y3004">
        <v>7</v>
      </c>
      <c r="Z3004" s="5">
        <v>195.48</v>
      </c>
    </row>
    <row r="3005" spans="1:26">
      <c r="A3005">
        <v>3004</v>
      </c>
      <c r="B3005">
        <v>983</v>
      </c>
      <c r="C3005" s="2">
        <v>46322</v>
      </c>
      <c r="D3005" t="s">
        <v>35</v>
      </c>
      <c r="E3005">
        <v>10</v>
      </c>
      <c r="F3005" s="3">
        <v>11.17</v>
      </c>
      <c r="G3005" t="s">
        <v>36</v>
      </c>
      <c r="H3005">
        <v>55</v>
      </c>
      <c r="I3005" t="s">
        <v>34</v>
      </c>
      <c r="J3005" s="4">
        <v>64.7</v>
      </c>
      <c r="K3005" s="4">
        <v>177.1</v>
      </c>
      <c r="L3005" s="4">
        <v>29.7</v>
      </c>
      <c r="M3005">
        <v>16</v>
      </c>
      <c r="N3005" t="s">
        <v>47</v>
      </c>
      <c r="O3005">
        <v>4</v>
      </c>
      <c r="P3005" s="4">
        <v>9.1</v>
      </c>
      <c r="Q3005" t="s">
        <v>42</v>
      </c>
      <c r="R3005">
        <v>0</v>
      </c>
      <c r="S3005" t="s">
        <v>38</v>
      </c>
      <c r="T3005">
        <v>1</v>
      </c>
      <c r="U3005">
        <v>0</v>
      </c>
      <c r="V3005" t="s">
        <v>32</v>
      </c>
      <c r="W3005" t="s">
        <v>49</v>
      </c>
      <c r="X3005" s="4">
        <v>9.6999999999999993</v>
      </c>
      <c r="Y3005">
        <v>15</v>
      </c>
      <c r="Z3005" s="5">
        <v>321.86</v>
      </c>
    </row>
    <row r="3006" spans="1:26">
      <c r="A3006">
        <v>3005</v>
      </c>
      <c r="B3006">
        <v>983</v>
      </c>
      <c r="C3006" s="2">
        <v>46322</v>
      </c>
      <c r="D3006" t="s">
        <v>35</v>
      </c>
      <c r="E3006">
        <v>10</v>
      </c>
      <c r="F3006" s="3">
        <v>11.13</v>
      </c>
      <c r="G3006" t="s">
        <v>36</v>
      </c>
      <c r="H3006">
        <v>6</v>
      </c>
      <c r="I3006" t="s">
        <v>28</v>
      </c>
      <c r="J3006" s="4">
        <v>57.6</v>
      </c>
      <c r="K3006" s="4">
        <v>91.7</v>
      </c>
      <c r="L3006" s="4">
        <v>19.5</v>
      </c>
      <c r="M3006">
        <v>11</v>
      </c>
      <c r="N3006" t="s">
        <v>47</v>
      </c>
      <c r="O3006">
        <v>4</v>
      </c>
      <c r="P3006" s="4">
        <v>9.1</v>
      </c>
      <c r="Q3006" t="s">
        <v>42</v>
      </c>
      <c r="R3006">
        <v>0</v>
      </c>
      <c r="S3006" t="s">
        <v>38</v>
      </c>
      <c r="T3006">
        <v>1</v>
      </c>
      <c r="U3006">
        <v>0</v>
      </c>
      <c r="V3006" t="s">
        <v>32</v>
      </c>
      <c r="W3006" t="s">
        <v>49</v>
      </c>
      <c r="X3006" s="4">
        <v>9.1</v>
      </c>
      <c r="Y3006">
        <v>11</v>
      </c>
      <c r="Z3006" s="5">
        <v>240.73</v>
      </c>
    </row>
    <row r="3007" spans="1:26">
      <c r="A3007">
        <v>3006</v>
      </c>
      <c r="B3007">
        <v>983</v>
      </c>
      <c r="C3007" s="2">
        <v>46322</v>
      </c>
      <c r="D3007" t="s">
        <v>35</v>
      </c>
      <c r="E3007">
        <v>10</v>
      </c>
      <c r="F3007" s="3">
        <v>11.17</v>
      </c>
      <c r="G3007" t="s">
        <v>36</v>
      </c>
      <c r="H3007">
        <v>45</v>
      </c>
      <c r="I3007" t="s">
        <v>34</v>
      </c>
      <c r="J3007" s="4">
        <v>61.6</v>
      </c>
      <c r="K3007" s="4">
        <v>123.8</v>
      </c>
      <c r="L3007" s="4">
        <v>22.8</v>
      </c>
      <c r="M3007">
        <v>18</v>
      </c>
      <c r="N3007" t="s">
        <v>47</v>
      </c>
      <c r="O3007">
        <v>4</v>
      </c>
      <c r="P3007" s="4">
        <v>9.1</v>
      </c>
      <c r="Q3007" t="s">
        <v>42</v>
      </c>
      <c r="R3007">
        <v>0</v>
      </c>
      <c r="S3007" t="s">
        <v>38</v>
      </c>
      <c r="T3007">
        <v>1</v>
      </c>
      <c r="U3007">
        <v>0</v>
      </c>
      <c r="V3007" t="s">
        <v>32</v>
      </c>
      <c r="W3007" t="s">
        <v>49</v>
      </c>
      <c r="X3007" s="4">
        <v>6.5</v>
      </c>
      <c r="Y3007">
        <v>6</v>
      </c>
      <c r="Z3007" s="5">
        <v>148.91</v>
      </c>
    </row>
    <row r="3008" spans="1:26">
      <c r="A3008">
        <v>3007</v>
      </c>
      <c r="B3008">
        <v>984</v>
      </c>
      <c r="C3008" s="2">
        <v>46110</v>
      </c>
      <c r="D3008" t="s">
        <v>58</v>
      </c>
      <c r="E3008">
        <v>3</v>
      </c>
      <c r="F3008" s="3">
        <v>10.91</v>
      </c>
      <c r="G3008" t="s">
        <v>27</v>
      </c>
      <c r="H3008">
        <v>34</v>
      </c>
      <c r="I3008" t="s">
        <v>34</v>
      </c>
      <c r="J3008" s="4">
        <v>67.400000000000006</v>
      </c>
      <c r="K3008" s="4">
        <v>142.5</v>
      </c>
      <c r="L3008" s="4">
        <v>22.1</v>
      </c>
      <c r="M3008">
        <v>15</v>
      </c>
      <c r="N3008" t="s">
        <v>47</v>
      </c>
      <c r="O3008">
        <v>6</v>
      </c>
      <c r="P3008" s="4">
        <v>2</v>
      </c>
      <c r="Q3008" t="s">
        <v>42</v>
      </c>
      <c r="R3008">
        <v>0</v>
      </c>
      <c r="S3008" t="s">
        <v>31</v>
      </c>
      <c r="T3008">
        <v>1</v>
      </c>
      <c r="U3008">
        <v>0</v>
      </c>
      <c r="V3008" t="s">
        <v>45</v>
      </c>
      <c r="W3008" t="s">
        <v>39</v>
      </c>
      <c r="X3008" s="4">
        <v>9</v>
      </c>
      <c r="Y3008">
        <v>9</v>
      </c>
      <c r="Z3008" s="5">
        <v>119.03</v>
      </c>
    </row>
    <row r="3009" spans="1:26">
      <c r="A3009">
        <v>3008</v>
      </c>
      <c r="B3009">
        <v>984</v>
      </c>
      <c r="C3009" s="2">
        <v>46110</v>
      </c>
      <c r="D3009" t="s">
        <v>58</v>
      </c>
      <c r="E3009">
        <v>3</v>
      </c>
      <c r="F3009" s="3">
        <v>10.86</v>
      </c>
      <c r="G3009" t="s">
        <v>27</v>
      </c>
      <c r="H3009">
        <v>59</v>
      </c>
      <c r="I3009" t="s">
        <v>34</v>
      </c>
      <c r="J3009" s="4">
        <v>60.3</v>
      </c>
      <c r="K3009" s="4">
        <v>157.1</v>
      </c>
      <c r="L3009" s="4">
        <v>30.2</v>
      </c>
      <c r="M3009">
        <v>15</v>
      </c>
      <c r="N3009" t="s">
        <v>47</v>
      </c>
      <c r="O3009">
        <v>6</v>
      </c>
      <c r="P3009" s="4">
        <v>2</v>
      </c>
      <c r="Q3009" t="s">
        <v>42</v>
      </c>
      <c r="R3009">
        <v>0</v>
      </c>
      <c r="S3009" t="s">
        <v>31</v>
      </c>
      <c r="T3009">
        <v>1</v>
      </c>
      <c r="U3009">
        <v>0</v>
      </c>
      <c r="V3009" t="s">
        <v>45</v>
      </c>
      <c r="W3009" t="s">
        <v>39</v>
      </c>
      <c r="X3009" s="4">
        <v>9.4</v>
      </c>
      <c r="Y3009">
        <v>5</v>
      </c>
      <c r="Z3009" s="5">
        <v>228.18</v>
      </c>
    </row>
    <row r="3010" spans="1:26">
      <c r="A3010">
        <v>3009</v>
      </c>
      <c r="B3010">
        <v>984</v>
      </c>
      <c r="C3010" s="2">
        <v>46110</v>
      </c>
      <c r="D3010" t="s">
        <v>58</v>
      </c>
      <c r="E3010">
        <v>3</v>
      </c>
      <c r="F3010" s="3">
        <v>10.83</v>
      </c>
      <c r="G3010" t="s">
        <v>27</v>
      </c>
      <c r="H3010">
        <v>26</v>
      </c>
      <c r="I3010" t="s">
        <v>34</v>
      </c>
      <c r="J3010" s="4">
        <v>64</v>
      </c>
      <c r="K3010" s="4">
        <v>132.6</v>
      </c>
      <c r="L3010" s="4">
        <v>22.7</v>
      </c>
      <c r="M3010">
        <v>15</v>
      </c>
      <c r="N3010" t="s">
        <v>47</v>
      </c>
      <c r="O3010">
        <v>6</v>
      </c>
      <c r="P3010" s="4">
        <v>2</v>
      </c>
      <c r="Q3010" t="s">
        <v>42</v>
      </c>
      <c r="R3010">
        <v>0</v>
      </c>
      <c r="S3010" t="s">
        <v>31</v>
      </c>
      <c r="T3010">
        <v>1</v>
      </c>
      <c r="U3010">
        <v>0</v>
      </c>
      <c r="V3010" t="s">
        <v>45</v>
      </c>
      <c r="W3010" t="s">
        <v>39</v>
      </c>
      <c r="X3010" s="4">
        <v>7</v>
      </c>
      <c r="Y3010">
        <v>4</v>
      </c>
      <c r="Z3010" s="5">
        <v>137.76</v>
      </c>
    </row>
    <row r="3011" spans="1:26">
      <c r="A3011">
        <v>3010</v>
      </c>
      <c r="B3011">
        <v>984</v>
      </c>
      <c r="C3011" s="2">
        <v>46110</v>
      </c>
      <c r="D3011" t="s">
        <v>58</v>
      </c>
      <c r="E3011">
        <v>3</v>
      </c>
      <c r="F3011" s="3">
        <v>10.74</v>
      </c>
      <c r="G3011" t="s">
        <v>27</v>
      </c>
      <c r="H3011">
        <v>75</v>
      </c>
      <c r="I3011" t="s">
        <v>28</v>
      </c>
      <c r="J3011" s="4">
        <v>71</v>
      </c>
      <c r="K3011" s="4">
        <v>220.3</v>
      </c>
      <c r="L3011" s="4">
        <v>30.8</v>
      </c>
      <c r="M3011">
        <v>16</v>
      </c>
      <c r="N3011" t="s">
        <v>47</v>
      </c>
      <c r="O3011">
        <v>6</v>
      </c>
      <c r="P3011" s="4">
        <v>2</v>
      </c>
      <c r="Q3011" t="s">
        <v>42</v>
      </c>
      <c r="R3011">
        <v>0</v>
      </c>
      <c r="S3011" t="s">
        <v>31</v>
      </c>
      <c r="T3011">
        <v>1</v>
      </c>
      <c r="U3011">
        <v>0</v>
      </c>
      <c r="V3011" t="s">
        <v>45</v>
      </c>
      <c r="W3011" t="s">
        <v>39</v>
      </c>
      <c r="X3011" s="4">
        <v>8.1</v>
      </c>
      <c r="Y3011">
        <v>4</v>
      </c>
      <c r="Z3011" s="5">
        <v>136</v>
      </c>
    </row>
    <row r="3012" spans="1:26">
      <c r="A3012">
        <v>3011</v>
      </c>
      <c r="B3012">
        <v>984</v>
      </c>
      <c r="C3012" s="2">
        <v>46110</v>
      </c>
      <c r="D3012" t="s">
        <v>58</v>
      </c>
      <c r="E3012">
        <v>3</v>
      </c>
      <c r="F3012" s="3">
        <v>10.55</v>
      </c>
      <c r="G3012" t="s">
        <v>27</v>
      </c>
      <c r="H3012">
        <v>32</v>
      </c>
      <c r="I3012" t="s">
        <v>28</v>
      </c>
      <c r="J3012" s="4">
        <v>69.3</v>
      </c>
      <c r="K3012" s="4">
        <v>190.7</v>
      </c>
      <c r="L3012" s="4">
        <v>27.9</v>
      </c>
      <c r="M3012">
        <v>18</v>
      </c>
      <c r="N3012" t="s">
        <v>47</v>
      </c>
      <c r="O3012">
        <v>6</v>
      </c>
      <c r="P3012" s="4">
        <v>2</v>
      </c>
      <c r="Q3012" t="s">
        <v>42</v>
      </c>
      <c r="R3012">
        <v>0</v>
      </c>
      <c r="S3012" t="s">
        <v>31</v>
      </c>
      <c r="T3012">
        <v>1</v>
      </c>
      <c r="U3012">
        <v>0</v>
      </c>
      <c r="V3012" t="s">
        <v>45</v>
      </c>
      <c r="W3012" t="s">
        <v>39</v>
      </c>
      <c r="X3012" s="4">
        <v>6.4</v>
      </c>
      <c r="Y3012">
        <v>8</v>
      </c>
      <c r="Z3012" s="5">
        <v>149.06</v>
      </c>
    </row>
    <row r="3013" spans="1:26">
      <c r="A3013">
        <v>3012</v>
      </c>
      <c r="B3013">
        <v>984</v>
      </c>
      <c r="C3013" s="2">
        <v>46110</v>
      </c>
      <c r="D3013" t="s">
        <v>58</v>
      </c>
      <c r="E3013">
        <v>3</v>
      </c>
      <c r="F3013" s="3">
        <v>10.87</v>
      </c>
      <c r="G3013" t="s">
        <v>27</v>
      </c>
      <c r="H3013">
        <v>45</v>
      </c>
      <c r="I3013" t="s">
        <v>34</v>
      </c>
      <c r="J3013" s="4">
        <v>65.900000000000006</v>
      </c>
      <c r="K3013" s="4">
        <v>126</v>
      </c>
      <c r="L3013" s="4">
        <v>20.399999999999999</v>
      </c>
      <c r="M3013">
        <v>14</v>
      </c>
      <c r="N3013" t="s">
        <v>47</v>
      </c>
      <c r="O3013">
        <v>6</v>
      </c>
      <c r="P3013" s="4">
        <v>2</v>
      </c>
      <c r="Q3013" t="s">
        <v>42</v>
      </c>
      <c r="R3013">
        <v>0</v>
      </c>
      <c r="S3013" t="s">
        <v>31</v>
      </c>
      <c r="T3013">
        <v>1</v>
      </c>
      <c r="U3013">
        <v>0</v>
      </c>
      <c r="V3013" t="s">
        <v>45</v>
      </c>
      <c r="W3013" t="s">
        <v>39</v>
      </c>
      <c r="X3013" s="4">
        <v>9.1</v>
      </c>
      <c r="Y3013">
        <v>7</v>
      </c>
      <c r="Z3013" s="5">
        <v>226.58</v>
      </c>
    </row>
    <row r="3014" spans="1:26">
      <c r="A3014">
        <v>3013</v>
      </c>
      <c r="B3014">
        <v>985</v>
      </c>
      <c r="C3014" s="2">
        <v>46258</v>
      </c>
      <c r="D3014" t="s">
        <v>46</v>
      </c>
      <c r="E3014">
        <v>8</v>
      </c>
      <c r="F3014" s="3">
        <v>10.34</v>
      </c>
      <c r="G3014" t="s">
        <v>27</v>
      </c>
      <c r="H3014">
        <v>43</v>
      </c>
      <c r="I3014" t="s">
        <v>34</v>
      </c>
      <c r="J3014" s="4">
        <v>65.400000000000006</v>
      </c>
      <c r="K3014" s="4">
        <v>160.4</v>
      </c>
      <c r="L3014" s="4">
        <v>26.3</v>
      </c>
      <c r="M3014">
        <v>15</v>
      </c>
      <c r="N3014" t="s">
        <v>54</v>
      </c>
      <c r="O3014">
        <v>1</v>
      </c>
      <c r="P3014" s="4">
        <v>2378.9</v>
      </c>
      <c r="Q3014" t="s">
        <v>30</v>
      </c>
      <c r="R3014">
        <v>0</v>
      </c>
      <c r="S3014" t="s">
        <v>31</v>
      </c>
      <c r="T3014">
        <v>0</v>
      </c>
      <c r="U3014">
        <v>0</v>
      </c>
      <c r="V3014" t="s">
        <v>32</v>
      </c>
      <c r="W3014" t="s">
        <v>39</v>
      </c>
      <c r="X3014" s="4">
        <v>6.7</v>
      </c>
      <c r="Y3014">
        <v>5</v>
      </c>
      <c r="Z3014" s="5">
        <v>90</v>
      </c>
    </row>
    <row r="3015" spans="1:26">
      <c r="A3015">
        <v>3014</v>
      </c>
      <c r="B3015">
        <v>986</v>
      </c>
      <c r="C3015" s="2">
        <v>46293</v>
      </c>
      <c r="D3015" t="s">
        <v>46</v>
      </c>
      <c r="E3015">
        <v>9</v>
      </c>
      <c r="F3015" s="3">
        <v>9.6999999999999993</v>
      </c>
      <c r="G3015" t="s">
        <v>27</v>
      </c>
      <c r="H3015">
        <v>66</v>
      </c>
      <c r="I3015" t="s">
        <v>34</v>
      </c>
      <c r="J3015" s="4">
        <v>63.5</v>
      </c>
      <c r="K3015" s="4">
        <v>170</v>
      </c>
      <c r="L3015" s="4">
        <v>29.7</v>
      </c>
      <c r="M3015">
        <v>10</v>
      </c>
      <c r="N3015" t="s">
        <v>47</v>
      </c>
      <c r="O3015">
        <v>4</v>
      </c>
      <c r="P3015" s="4">
        <v>84.2</v>
      </c>
      <c r="Q3015" t="s">
        <v>30</v>
      </c>
      <c r="R3015">
        <v>0</v>
      </c>
      <c r="S3015" t="s">
        <v>38</v>
      </c>
      <c r="T3015">
        <v>0</v>
      </c>
      <c r="U3015">
        <v>0</v>
      </c>
      <c r="V3015" t="s">
        <v>32</v>
      </c>
      <c r="W3015" t="s">
        <v>39</v>
      </c>
      <c r="X3015" s="4">
        <v>7.4</v>
      </c>
      <c r="Y3015">
        <v>10</v>
      </c>
      <c r="Z3015" s="5">
        <v>163.61000000000001</v>
      </c>
    </row>
    <row r="3016" spans="1:26">
      <c r="A3016">
        <v>3015</v>
      </c>
      <c r="B3016">
        <v>986</v>
      </c>
      <c r="C3016" s="2">
        <v>46293</v>
      </c>
      <c r="D3016" t="s">
        <v>46</v>
      </c>
      <c r="E3016">
        <v>9</v>
      </c>
      <c r="F3016" s="3">
        <v>9.75</v>
      </c>
      <c r="G3016" t="s">
        <v>27</v>
      </c>
      <c r="H3016">
        <v>34</v>
      </c>
      <c r="I3016" t="s">
        <v>34</v>
      </c>
      <c r="J3016" s="4">
        <v>66.400000000000006</v>
      </c>
      <c r="K3016" s="4">
        <v>147.80000000000001</v>
      </c>
      <c r="L3016" s="4">
        <v>23.6</v>
      </c>
      <c r="M3016">
        <v>14</v>
      </c>
      <c r="N3016" t="s">
        <v>47</v>
      </c>
      <c r="O3016">
        <v>4</v>
      </c>
      <c r="P3016" s="4">
        <v>84.2</v>
      </c>
      <c r="Q3016" t="s">
        <v>30</v>
      </c>
      <c r="R3016">
        <v>0</v>
      </c>
      <c r="S3016" t="s">
        <v>38</v>
      </c>
      <c r="T3016">
        <v>0</v>
      </c>
      <c r="U3016">
        <v>0</v>
      </c>
      <c r="V3016" t="s">
        <v>32</v>
      </c>
      <c r="W3016" t="s">
        <v>39</v>
      </c>
      <c r="X3016" s="4">
        <v>7.3</v>
      </c>
      <c r="Y3016">
        <v>7</v>
      </c>
      <c r="Z3016" s="5">
        <v>238.16</v>
      </c>
    </row>
    <row r="3017" spans="1:26">
      <c r="A3017">
        <v>3016</v>
      </c>
      <c r="B3017">
        <v>986</v>
      </c>
      <c r="C3017" s="2">
        <v>46293</v>
      </c>
      <c r="D3017" t="s">
        <v>46</v>
      </c>
      <c r="E3017">
        <v>9</v>
      </c>
      <c r="F3017" s="3">
        <v>9.6300000000000008</v>
      </c>
      <c r="G3017" t="s">
        <v>27</v>
      </c>
      <c r="H3017">
        <v>31</v>
      </c>
      <c r="I3017" t="s">
        <v>28</v>
      </c>
      <c r="J3017" s="4">
        <v>67.3</v>
      </c>
      <c r="K3017" s="4">
        <v>146.1</v>
      </c>
      <c r="L3017" s="4">
        <v>22.7</v>
      </c>
      <c r="M3017">
        <v>13</v>
      </c>
      <c r="N3017" t="s">
        <v>47</v>
      </c>
      <c r="O3017">
        <v>4</v>
      </c>
      <c r="P3017" s="4">
        <v>84.2</v>
      </c>
      <c r="Q3017" t="s">
        <v>30</v>
      </c>
      <c r="R3017">
        <v>0</v>
      </c>
      <c r="S3017" t="s">
        <v>38</v>
      </c>
      <c r="T3017">
        <v>0</v>
      </c>
      <c r="U3017">
        <v>0</v>
      </c>
      <c r="V3017" t="s">
        <v>32</v>
      </c>
      <c r="W3017" t="s">
        <v>39</v>
      </c>
      <c r="X3017" s="4">
        <v>6.2</v>
      </c>
      <c r="Y3017">
        <v>5</v>
      </c>
      <c r="Z3017" s="5">
        <v>158.1</v>
      </c>
    </row>
    <row r="3018" spans="1:26">
      <c r="A3018">
        <v>3017</v>
      </c>
      <c r="B3018">
        <v>986</v>
      </c>
      <c r="C3018" s="2">
        <v>46293</v>
      </c>
      <c r="D3018" t="s">
        <v>46</v>
      </c>
      <c r="E3018">
        <v>9</v>
      </c>
      <c r="F3018" s="3">
        <v>9.74</v>
      </c>
      <c r="G3018" t="s">
        <v>27</v>
      </c>
      <c r="H3018">
        <v>32</v>
      </c>
      <c r="I3018" t="s">
        <v>34</v>
      </c>
      <c r="J3018" s="4">
        <v>63.1</v>
      </c>
      <c r="K3018" s="4">
        <v>161.80000000000001</v>
      </c>
      <c r="L3018" s="4">
        <v>28.6</v>
      </c>
      <c r="M3018">
        <v>11</v>
      </c>
      <c r="N3018" t="s">
        <v>47</v>
      </c>
      <c r="O3018">
        <v>4</v>
      </c>
      <c r="P3018" s="4">
        <v>84.2</v>
      </c>
      <c r="Q3018" t="s">
        <v>30</v>
      </c>
      <c r="R3018">
        <v>0</v>
      </c>
      <c r="S3018" t="s">
        <v>38</v>
      </c>
      <c r="T3018">
        <v>0</v>
      </c>
      <c r="U3018">
        <v>0</v>
      </c>
      <c r="V3018" t="s">
        <v>32</v>
      </c>
      <c r="W3018" t="s">
        <v>39</v>
      </c>
      <c r="X3018" s="4">
        <v>4.7</v>
      </c>
      <c r="Y3018">
        <v>1</v>
      </c>
      <c r="Z3018" s="5">
        <v>73.78</v>
      </c>
    </row>
    <row r="3019" spans="1:26">
      <c r="A3019">
        <v>3018</v>
      </c>
      <c r="B3019">
        <v>987</v>
      </c>
      <c r="C3019" s="2">
        <v>46317</v>
      </c>
      <c r="D3019" t="s">
        <v>55</v>
      </c>
      <c r="E3019">
        <v>10</v>
      </c>
      <c r="F3019" s="3">
        <v>10.98</v>
      </c>
      <c r="G3019" t="s">
        <v>27</v>
      </c>
      <c r="H3019">
        <v>58</v>
      </c>
      <c r="I3019" t="s">
        <v>34</v>
      </c>
      <c r="J3019" s="4">
        <v>65.2</v>
      </c>
      <c r="K3019" s="4">
        <v>146.5</v>
      </c>
      <c r="L3019" s="4">
        <v>24.1</v>
      </c>
      <c r="M3019">
        <v>18</v>
      </c>
      <c r="N3019" t="s">
        <v>47</v>
      </c>
      <c r="O3019">
        <v>3</v>
      </c>
      <c r="P3019" s="4">
        <v>147.5</v>
      </c>
      <c r="Q3019" t="s">
        <v>48</v>
      </c>
      <c r="R3019">
        <v>1</v>
      </c>
      <c r="S3019" t="s">
        <v>38</v>
      </c>
      <c r="T3019">
        <v>1</v>
      </c>
      <c r="U3019">
        <v>0</v>
      </c>
      <c r="V3019" t="s">
        <v>32</v>
      </c>
      <c r="W3019" t="s">
        <v>39</v>
      </c>
      <c r="X3019" s="4">
        <v>8.3000000000000007</v>
      </c>
      <c r="Y3019">
        <v>12</v>
      </c>
      <c r="Z3019" s="5">
        <v>256.38</v>
      </c>
    </row>
    <row r="3020" spans="1:26">
      <c r="A3020">
        <v>3019</v>
      </c>
      <c r="B3020">
        <v>987</v>
      </c>
      <c r="C3020" s="2">
        <v>46317</v>
      </c>
      <c r="D3020" t="s">
        <v>55</v>
      </c>
      <c r="E3020">
        <v>10</v>
      </c>
      <c r="F3020" s="3">
        <v>10.63</v>
      </c>
      <c r="G3020" t="s">
        <v>27</v>
      </c>
      <c r="H3020">
        <v>36</v>
      </c>
      <c r="I3020" t="s">
        <v>51</v>
      </c>
      <c r="J3020" s="4">
        <v>65</v>
      </c>
      <c r="K3020" s="4">
        <v>163.69999999999999</v>
      </c>
      <c r="L3020" s="4">
        <v>27.1</v>
      </c>
      <c r="M3020">
        <v>13</v>
      </c>
      <c r="N3020" t="s">
        <v>47</v>
      </c>
      <c r="O3020">
        <v>3</v>
      </c>
      <c r="P3020" s="4">
        <v>147.5</v>
      </c>
      <c r="Q3020" t="s">
        <v>48</v>
      </c>
      <c r="R3020">
        <v>1</v>
      </c>
      <c r="S3020" t="s">
        <v>38</v>
      </c>
      <c r="T3020">
        <v>1</v>
      </c>
      <c r="U3020">
        <v>0</v>
      </c>
      <c r="V3020" t="s">
        <v>32</v>
      </c>
      <c r="W3020" t="s">
        <v>39</v>
      </c>
      <c r="X3020" s="4">
        <v>8.5</v>
      </c>
      <c r="Y3020">
        <v>9</v>
      </c>
      <c r="Z3020" s="5">
        <v>254.04</v>
      </c>
    </row>
    <row r="3021" spans="1:26">
      <c r="A3021">
        <v>3020</v>
      </c>
      <c r="B3021">
        <v>987</v>
      </c>
      <c r="C3021" s="2">
        <v>46317</v>
      </c>
      <c r="D3021" t="s">
        <v>55</v>
      </c>
      <c r="E3021">
        <v>10</v>
      </c>
      <c r="F3021" s="3">
        <v>10.74</v>
      </c>
      <c r="G3021" t="s">
        <v>27</v>
      </c>
      <c r="H3021">
        <v>40</v>
      </c>
      <c r="I3021" t="s">
        <v>28</v>
      </c>
      <c r="J3021" s="4">
        <v>69.5</v>
      </c>
      <c r="K3021" s="4">
        <v>166.5</v>
      </c>
      <c r="L3021" s="4">
        <v>24.2</v>
      </c>
      <c r="M3021">
        <v>15</v>
      </c>
      <c r="N3021" t="s">
        <v>47</v>
      </c>
      <c r="O3021">
        <v>3</v>
      </c>
      <c r="P3021" s="4">
        <v>147.5</v>
      </c>
      <c r="Q3021" t="s">
        <v>48</v>
      </c>
      <c r="R3021">
        <v>1</v>
      </c>
      <c r="S3021" t="s">
        <v>38</v>
      </c>
      <c r="T3021">
        <v>1</v>
      </c>
      <c r="U3021">
        <v>0</v>
      </c>
      <c r="V3021" t="s">
        <v>32</v>
      </c>
      <c r="W3021" t="s">
        <v>39</v>
      </c>
      <c r="X3021" s="4">
        <v>9.6</v>
      </c>
      <c r="Y3021">
        <v>10</v>
      </c>
      <c r="Z3021" s="5">
        <v>363.75</v>
      </c>
    </row>
    <row r="3022" spans="1:26">
      <c r="A3022">
        <v>3021</v>
      </c>
      <c r="B3022">
        <v>988</v>
      </c>
      <c r="C3022" s="2">
        <v>46048</v>
      </c>
      <c r="D3022" t="s">
        <v>46</v>
      </c>
      <c r="E3022">
        <v>1</v>
      </c>
      <c r="F3022" s="3">
        <v>9.57</v>
      </c>
      <c r="G3022" t="s">
        <v>27</v>
      </c>
      <c r="H3022">
        <v>14</v>
      </c>
      <c r="I3022" t="s">
        <v>28</v>
      </c>
      <c r="J3022" s="4">
        <v>70</v>
      </c>
      <c r="K3022" s="4">
        <v>152.6</v>
      </c>
      <c r="L3022" s="4">
        <v>22.2</v>
      </c>
      <c r="M3022">
        <v>13</v>
      </c>
      <c r="N3022" t="s">
        <v>67</v>
      </c>
      <c r="O3022">
        <v>3</v>
      </c>
      <c r="P3022" s="4">
        <v>1645.1</v>
      </c>
      <c r="Q3022" t="s">
        <v>42</v>
      </c>
      <c r="R3022">
        <v>1</v>
      </c>
      <c r="S3022" t="s">
        <v>31</v>
      </c>
      <c r="T3022">
        <v>0</v>
      </c>
      <c r="U3022">
        <v>1</v>
      </c>
      <c r="V3022" t="s">
        <v>32</v>
      </c>
      <c r="W3022" t="s">
        <v>49</v>
      </c>
      <c r="X3022" s="4">
        <v>10.3</v>
      </c>
      <c r="Y3022">
        <v>11</v>
      </c>
      <c r="Z3022" s="5">
        <v>322.83</v>
      </c>
    </row>
    <row r="3023" spans="1:26">
      <c r="A3023">
        <v>3022</v>
      </c>
      <c r="B3023">
        <v>988</v>
      </c>
      <c r="C3023" s="2">
        <v>46048</v>
      </c>
      <c r="D3023" t="s">
        <v>46</v>
      </c>
      <c r="E3023">
        <v>1</v>
      </c>
      <c r="F3023" s="3">
        <v>9.41</v>
      </c>
      <c r="G3023" t="s">
        <v>27</v>
      </c>
      <c r="H3023">
        <v>11</v>
      </c>
      <c r="I3023" t="s">
        <v>34</v>
      </c>
      <c r="J3023" s="4">
        <v>63</v>
      </c>
      <c r="K3023" s="4">
        <v>98.5</v>
      </c>
      <c r="L3023" s="4">
        <v>17.3</v>
      </c>
      <c r="M3023">
        <v>10</v>
      </c>
      <c r="N3023" t="s">
        <v>67</v>
      </c>
      <c r="O3023">
        <v>3</v>
      </c>
      <c r="P3023" s="4">
        <v>1645.1</v>
      </c>
      <c r="Q3023" t="s">
        <v>42</v>
      </c>
      <c r="R3023">
        <v>1</v>
      </c>
      <c r="S3023" t="s">
        <v>31</v>
      </c>
      <c r="T3023">
        <v>0</v>
      </c>
      <c r="U3023">
        <v>1</v>
      </c>
      <c r="V3023" t="s">
        <v>32</v>
      </c>
      <c r="W3023" t="s">
        <v>49</v>
      </c>
      <c r="X3023" s="4">
        <v>10.8</v>
      </c>
      <c r="Y3023">
        <v>11</v>
      </c>
      <c r="Z3023" s="5">
        <v>365.61</v>
      </c>
    </row>
    <row r="3024" spans="1:26">
      <c r="A3024">
        <v>3023</v>
      </c>
      <c r="B3024">
        <v>988</v>
      </c>
      <c r="C3024" s="2">
        <v>46048</v>
      </c>
      <c r="D3024" t="s">
        <v>46</v>
      </c>
      <c r="E3024">
        <v>1</v>
      </c>
      <c r="F3024" s="3">
        <v>9.69</v>
      </c>
      <c r="G3024" t="s">
        <v>27</v>
      </c>
      <c r="H3024">
        <v>82</v>
      </c>
      <c r="I3024" t="s">
        <v>28</v>
      </c>
      <c r="J3024" s="4">
        <v>64.8</v>
      </c>
      <c r="K3024" s="4">
        <v>164.9</v>
      </c>
      <c r="L3024" s="4">
        <v>27.5</v>
      </c>
      <c r="M3024">
        <v>16</v>
      </c>
      <c r="N3024" t="s">
        <v>67</v>
      </c>
      <c r="O3024">
        <v>3</v>
      </c>
      <c r="P3024" s="4">
        <v>1645.1</v>
      </c>
      <c r="Q3024" t="s">
        <v>42</v>
      </c>
      <c r="R3024">
        <v>1</v>
      </c>
      <c r="S3024" t="s">
        <v>31</v>
      </c>
      <c r="T3024">
        <v>0</v>
      </c>
      <c r="U3024">
        <v>1</v>
      </c>
      <c r="V3024" t="s">
        <v>32</v>
      </c>
      <c r="W3024" t="s">
        <v>49</v>
      </c>
      <c r="X3024" s="4">
        <v>10.7</v>
      </c>
      <c r="Y3024">
        <v>15</v>
      </c>
      <c r="Z3024" s="5">
        <v>492.17</v>
      </c>
    </row>
    <row r="3025" spans="1:26">
      <c r="A3025">
        <v>3024</v>
      </c>
      <c r="B3025">
        <v>989</v>
      </c>
      <c r="C3025" s="2">
        <v>46161</v>
      </c>
      <c r="D3025" t="s">
        <v>35</v>
      </c>
      <c r="E3025">
        <v>5</v>
      </c>
      <c r="F3025" s="3">
        <v>9.1199999999999992</v>
      </c>
      <c r="G3025" t="s">
        <v>27</v>
      </c>
      <c r="H3025">
        <v>45</v>
      </c>
      <c r="I3025" t="s">
        <v>28</v>
      </c>
      <c r="J3025" s="4">
        <v>64.3</v>
      </c>
      <c r="K3025" s="4">
        <v>143.30000000000001</v>
      </c>
      <c r="L3025" s="4">
        <v>24.6</v>
      </c>
      <c r="M3025">
        <v>15</v>
      </c>
      <c r="N3025" t="s">
        <v>50</v>
      </c>
      <c r="O3025">
        <v>3</v>
      </c>
      <c r="P3025" s="4">
        <v>357.4</v>
      </c>
      <c r="Q3025" t="s">
        <v>42</v>
      </c>
      <c r="R3025">
        <v>0</v>
      </c>
      <c r="S3025" t="s">
        <v>44</v>
      </c>
      <c r="T3025">
        <v>0</v>
      </c>
      <c r="U3025">
        <v>0</v>
      </c>
      <c r="V3025" t="s">
        <v>32</v>
      </c>
      <c r="W3025" t="s">
        <v>39</v>
      </c>
      <c r="X3025" s="4">
        <v>8.6999999999999993</v>
      </c>
      <c r="Y3025">
        <v>5</v>
      </c>
      <c r="Z3025" s="5">
        <v>219.46</v>
      </c>
    </row>
    <row r="3026" spans="1:26">
      <c r="A3026">
        <v>3025</v>
      </c>
      <c r="B3026">
        <v>989</v>
      </c>
      <c r="C3026" s="2">
        <v>46161</v>
      </c>
      <c r="D3026" t="s">
        <v>35</v>
      </c>
      <c r="E3026">
        <v>5</v>
      </c>
      <c r="F3026" s="3">
        <v>9.36</v>
      </c>
      <c r="G3026" t="s">
        <v>27</v>
      </c>
      <c r="H3026">
        <v>55</v>
      </c>
      <c r="I3026" t="s">
        <v>34</v>
      </c>
      <c r="J3026" s="4">
        <v>66</v>
      </c>
      <c r="K3026" s="4">
        <v>140.9</v>
      </c>
      <c r="L3026" s="4">
        <v>22.8</v>
      </c>
      <c r="M3026">
        <v>15</v>
      </c>
      <c r="N3026" t="s">
        <v>50</v>
      </c>
      <c r="O3026">
        <v>3</v>
      </c>
      <c r="P3026" s="4">
        <v>357.4</v>
      </c>
      <c r="Q3026" t="s">
        <v>42</v>
      </c>
      <c r="R3026">
        <v>0</v>
      </c>
      <c r="S3026" t="s">
        <v>44</v>
      </c>
      <c r="T3026">
        <v>0</v>
      </c>
      <c r="U3026">
        <v>0</v>
      </c>
      <c r="V3026" t="s">
        <v>32</v>
      </c>
      <c r="W3026" t="s">
        <v>39</v>
      </c>
      <c r="X3026" s="4">
        <v>9.8000000000000007</v>
      </c>
      <c r="Y3026">
        <v>5</v>
      </c>
      <c r="Z3026" s="5">
        <v>94.08</v>
      </c>
    </row>
    <row r="3027" spans="1:26">
      <c r="A3027">
        <v>3026</v>
      </c>
      <c r="B3027">
        <v>989</v>
      </c>
      <c r="C3027" s="2">
        <v>46161</v>
      </c>
      <c r="D3027" t="s">
        <v>35</v>
      </c>
      <c r="E3027">
        <v>5</v>
      </c>
      <c r="F3027" s="3">
        <v>9.1999999999999993</v>
      </c>
      <c r="G3027" t="s">
        <v>27</v>
      </c>
      <c r="H3027">
        <v>59</v>
      </c>
      <c r="I3027" t="s">
        <v>28</v>
      </c>
      <c r="J3027" s="4">
        <v>73.8</v>
      </c>
      <c r="K3027" s="4">
        <v>205.8</v>
      </c>
      <c r="L3027" s="4">
        <v>26.7</v>
      </c>
      <c r="M3027">
        <v>16</v>
      </c>
      <c r="N3027" t="s">
        <v>50</v>
      </c>
      <c r="O3027">
        <v>3</v>
      </c>
      <c r="P3027" s="4">
        <v>357.4</v>
      </c>
      <c r="Q3027" t="s">
        <v>42</v>
      </c>
      <c r="R3027">
        <v>0</v>
      </c>
      <c r="S3027" t="s">
        <v>44</v>
      </c>
      <c r="T3027">
        <v>0</v>
      </c>
      <c r="U3027">
        <v>0</v>
      </c>
      <c r="V3027" t="s">
        <v>32</v>
      </c>
      <c r="W3027" t="s">
        <v>39</v>
      </c>
      <c r="X3027" s="4">
        <v>9.9</v>
      </c>
      <c r="Y3027">
        <v>14</v>
      </c>
      <c r="Z3027" s="5">
        <v>252.76</v>
      </c>
    </row>
    <row r="3028" spans="1:26">
      <c r="A3028">
        <v>3027</v>
      </c>
      <c r="B3028">
        <v>990</v>
      </c>
      <c r="C3028" s="2">
        <v>46255</v>
      </c>
      <c r="D3028" t="s">
        <v>26</v>
      </c>
      <c r="E3028">
        <v>8</v>
      </c>
      <c r="F3028" s="3">
        <v>11.65</v>
      </c>
      <c r="G3028" t="s">
        <v>36</v>
      </c>
      <c r="H3028">
        <v>31</v>
      </c>
      <c r="I3028" t="s">
        <v>34</v>
      </c>
      <c r="J3028" s="4">
        <v>61.8</v>
      </c>
      <c r="K3028" s="4">
        <v>162.1</v>
      </c>
      <c r="L3028" s="4">
        <v>29.9</v>
      </c>
      <c r="M3028">
        <v>17</v>
      </c>
      <c r="N3028" t="s">
        <v>60</v>
      </c>
      <c r="O3028">
        <v>2</v>
      </c>
      <c r="P3028" s="4">
        <v>1701.9</v>
      </c>
      <c r="Q3028" t="s">
        <v>42</v>
      </c>
      <c r="R3028">
        <v>0</v>
      </c>
      <c r="S3028" t="s">
        <v>44</v>
      </c>
      <c r="T3028">
        <v>0</v>
      </c>
      <c r="U3028">
        <v>1</v>
      </c>
      <c r="V3028" t="s">
        <v>32</v>
      </c>
      <c r="W3028" t="s">
        <v>33</v>
      </c>
      <c r="X3028" s="4">
        <v>7.7</v>
      </c>
      <c r="Y3028">
        <v>7</v>
      </c>
      <c r="Z3028" s="5">
        <v>252.09</v>
      </c>
    </row>
    <row r="3029" spans="1:26">
      <c r="A3029">
        <v>3028</v>
      </c>
      <c r="B3029">
        <v>990</v>
      </c>
      <c r="C3029" s="2">
        <v>46255</v>
      </c>
      <c r="D3029" t="s">
        <v>26</v>
      </c>
      <c r="E3029">
        <v>8</v>
      </c>
      <c r="F3029" s="3">
        <v>11.38</v>
      </c>
      <c r="G3029" t="s">
        <v>36</v>
      </c>
      <c r="H3029">
        <v>67</v>
      </c>
      <c r="I3029" t="s">
        <v>34</v>
      </c>
      <c r="J3029" s="4">
        <v>62.1</v>
      </c>
      <c r="K3029" s="4">
        <v>132.5</v>
      </c>
      <c r="L3029" s="4">
        <v>24</v>
      </c>
      <c r="M3029">
        <v>20</v>
      </c>
      <c r="N3029" t="s">
        <v>60</v>
      </c>
      <c r="O3029">
        <v>2</v>
      </c>
      <c r="P3029" s="4">
        <v>1701.9</v>
      </c>
      <c r="Q3029" t="s">
        <v>42</v>
      </c>
      <c r="R3029">
        <v>0</v>
      </c>
      <c r="S3029" t="s">
        <v>44</v>
      </c>
      <c r="T3029">
        <v>0</v>
      </c>
      <c r="U3029">
        <v>1</v>
      </c>
      <c r="V3029" t="s">
        <v>32</v>
      </c>
      <c r="W3029" t="s">
        <v>33</v>
      </c>
      <c r="X3029" s="4">
        <v>7.2</v>
      </c>
      <c r="Y3029">
        <v>5</v>
      </c>
      <c r="Z3029" s="5">
        <v>227.83</v>
      </c>
    </row>
    <row r="3030" spans="1:26">
      <c r="A3030">
        <v>3029</v>
      </c>
      <c r="B3030">
        <v>991</v>
      </c>
      <c r="C3030" s="2">
        <v>46326</v>
      </c>
      <c r="D3030" t="s">
        <v>40</v>
      </c>
      <c r="E3030">
        <v>10</v>
      </c>
      <c r="F3030" s="3">
        <v>12.05</v>
      </c>
      <c r="G3030" t="s">
        <v>36</v>
      </c>
      <c r="H3030">
        <v>26</v>
      </c>
      <c r="I3030" t="s">
        <v>28</v>
      </c>
      <c r="J3030" s="4">
        <v>66.099999999999994</v>
      </c>
      <c r="K3030" s="4">
        <v>192.7</v>
      </c>
      <c r="L3030" s="4">
        <v>31.1</v>
      </c>
      <c r="M3030">
        <v>15</v>
      </c>
      <c r="N3030" t="s">
        <v>37</v>
      </c>
      <c r="O3030">
        <v>1</v>
      </c>
      <c r="P3030" s="4">
        <v>1300.5</v>
      </c>
      <c r="Q3030" t="s">
        <v>42</v>
      </c>
      <c r="R3030">
        <v>1</v>
      </c>
      <c r="S3030" t="s">
        <v>44</v>
      </c>
      <c r="T3030">
        <v>0</v>
      </c>
      <c r="U3030">
        <v>0</v>
      </c>
      <c r="V3030" t="s">
        <v>32</v>
      </c>
      <c r="W3030" t="s">
        <v>49</v>
      </c>
      <c r="X3030" s="4">
        <v>5.8</v>
      </c>
      <c r="Y3030">
        <v>10</v>
      </c>
      <c r="Z3030" s="5">
        <v>201.44</v>
      </c>
    </row>
    <row r="3031" spans="1:26">
      <c r="A3031">
        <v>3030</v>
      </c>
      <c r="B3031">
        <v>992</v>
      </c>
      <c r="C3031" s="2">
        <v>46028</v>
      </c>
      <c r="D3031" t="s">
        <v>35</v>
      </c>
      <c r="E3031">
        <v>1</v>
      </c>
      <c r="F3031" s="3">
        <v>10.45</v>
      </c>
      <c r="G3031" t="s">
        <v>27</v>
      </c>
      <c r="H3031">
        <v>54</v>
      </c>
      <c r="I3031" t="s">
        <v>34</v>
      </c>
      <c r="J3031" s="4">
        <v>61.7</v>
      </c>
      <c r="K3031" s="4">
        <v>129.19999999999999</v>
      </c>
      <c r="L3031" s="4">
        <v>23.8</v>
      </c>
      <c r="M3031">
        <v>16</v>
      </c>
      <c r="N3031" t="s">
        <v>59</v>
      </c>
      <c r="O3031">
        <v>4</v>
      </c>
      <c r="P3031" s="4">
        <v>593.70000000000005</v>
      </c>
      <c r="Q3031" t="s">
        <v>42</v>
      </c>
      <c r="R3031">
        <v>1</v>
      </c>
      <c r="S3031" t="s">
        <v>44</v>
      </c>
      <c r="T3031">
        <v>0</v>
      </c>
      <c r="U3031">
        <v>1</v>
      </c>
      <c r="V3031" t="s">
        <v>32</v>
      </c>
      <c r="W3031" t="s">
        <v>33</v>
      </c>
      <c r="X3031" s="4">
        <v>8.3000000000000007</v>
      </c>
      <c r="Y3031">
        <v>6</v>
      </c>
      <c r="Z3031" s="5">
        <v>199.57</v>
      </c>
    </row>
    <row r="3032" spans="1:26">
      <c r="A3032">
        <v>3031</v>
      </c>
      <c r="B3032">
        <v>992</v>
      </c>
      <c r="C3032" s="2">
        <v>46028</v>
      </c>
      <c r="D3032" t="s">
        <v>35</v>
      </c>
      <c r="E3032">
        <v>1</v>
      </c>
      <c r="F3032" s="3">
        <v>10.16</v>
      </c>
      <c r="G3032" t="s">
        <v>27</v>
      </c>
      <c r="H3032">
        <v>53</v>
      </c>
      <c r="I3032" t="s">
        <v>28</v>
      </c>
      <c r="J3032" s="4">
        <v>69</v>
      </c>
      <c r="K3032" s="4">
        <v>186.7</v>
      </c>
      <c r="L3032" s="4">
        <v>27.5</v>
      </c>
      <c r="M3032">
        <v>14</v>
      </c>
      <c r="N3032" t="s">
        <v>59</v>
      </c>
      <c r="O3032">
        <v>4</v>
      </c>
      <c r="P3032" s="4">
        <v>593.70000000000005</v>
      </c>
      <c r="Q3032" t="s">
        <v>42</v>
      </c>
      <c r="R3032">
        <v>1</v>
      </c>
      <c r="S3032" t="s">
        <v>44</v>
      </c>
      <c r="T3032">
        <v>0</v>
      </c>
      <c r="U3032">
        <v>1</v>
      </c>
      <c r="V3032" t="s">
        <v>32</v>
      </c>
      <c r="W3032" t="s">
        <v>33</v>
      </c>
      <c r="X3032" s="4">
        <v>11.3</v>
      </c>
      <c r="Y3032">
        <v>10</v>
      </c>
      <c r="Z3032" s="5">
        <v>181.51</v>
      </c>
    </row>
    <row r="3033" spans="1:26">
      <c r="A3033">
        <v>3032</v>
      </c>
      <c r="B3033">
        <v>992</v>
      </c>
      <c r="C3033" s="2">
        <v>46028</v>
      </c>
      <c r="D3033" t="s">
        <v>35</v>
      </c>
      <c r="E3033">
        <v>1</v>
      </c>
      <c r="F3033" s="3">
        <v>10.63</v>
      </c>
      <c r="G3033" t="s">
        <v>27</v>
      </c>
      <c r="H3033">
        <v>10</v>
      </c>
      <c r="I3033" t="s">
        <v>28</v>
      </c>
      <c r="J3033" s="4">
        <v>67.3</v>
      </c>
      <c r="K3033" s="4">
        <v>156.19999999999999</v>
      </c>
      <c r="L3033" s="4">
        <v>24.3</v>
      </c>
      <c r="M3033">
        <v>13</v>
      </c>
      <c r="N3033" t="s">
        <v>59</v>
      </c>
      <c r="O3033">
        <v>4</v>
      </c>
      <c r="P3033" s="4">
        <v>593.70000000000005</v>
      </c>
      <c r="Q3033" t="s">
        <v>42</v>
      </c>
      <c r="R3033">
        <v>1</v>
      </c>
      <c r="S3033" t="s">
        <v>44</v>
      </c>
      <c r="T3033">
        <v>0</v>
      </c>
      <c r="U3033">
        <v>1</v>
      </c>
      <c r="V3033" t="s">
        <v>32</v>
      </c>
      <c r="W3033" t="s">
        <v>33</v>
      </c>
      <c r="X3033" s="4">
        <v>7</v>
      </c>
      <c r="Y3033">
        <v>3</v>
      </c>
      <c r="Z3033" s="5">
        <v>265.01</v>
      </c>
    </row>
    <row r="3034" spans="1:26">
      <c r="A3034">
        <v>3033</v>
      </c>
      <c r="B3034">
        <v>992</v>
      </c>
      <c r="C3034" s="2">
        <v>46028</v>
      </c>
      <c r="D3034" t="s">
        <v>35</v>
      </c>
      <c r="E3034">
        <v>1</v>
      </c>
      <c r="F3034" s="3">
        <v>10.199999999999999</v>
      </c>
      <c r="G3034" t="s">
        <v>27</v>
      </c>
      <c r="H3034">
        <v>18</v>
      </c>
      <c r="I3034" t="s">
        <v>34</v>
      </c>
      <c r="J3034" s="4">
        <v>66.3</v>
      </c>
      <c r="K3034" s="4">
        <v>190.9</v>
      </c>
      <c r="L3034" s="4">
        <v>30.5</v>
      </c>
      <c r="M3034">
        <v>11</v>
      </c>
      <c r="N3034" t="s">
        <v>59</v>
      </c>
      <c r="O3034">
        <v>4</v>
      </c>
      <c r="P3034" s="4">
        <v>593.70000000000005</v>
      </c>
      <c r="Q3034" t="s">
        <v>42</v>
      </c>
      <c r="R3034">
        <v>1</v>
      </c>
      <c r="S3034" t="s">
        <v>44</v>
      </c>
      <c r="T3034">
        <v>0</v>
      </c>
      <c r="U3034">
        <v>1</v>
      </c>
      <c r="V3034" t="s">
        <v>32</v>
      </c>
      <c r="W3034" t="s">
        <v>33</v>
      </c>
      <c r="X3034" s="4">
        <v>8.4</v>
      </c>
      <c r="Y3034">
        <v>12</v>
      </c>
      <c r="Z3034" s="5">
        <v>394.15</v>
      </c>
    </row>
    <row r="3035" spans="1:26">
      <c r="A3035">
        <v>3034</v>
      </c>
      <c r="B3035">
        <v>993</v>
      </c>
      <c r="C3035" s="2">
        <v>46248</v>
      </c>
      <c r="D3035" t="s">
        <v>26</v>
      </c>
      <c r="E3035">
        <v>8</v>
      </c>
      <c r="F3035" s="3">
        <v>10.98</v>
      </c>
      <c r="G3035" t="s">
        <v>27</v>
      </c>
      <c r="H3035">
        <v>19</v>
      </c>
      <c r="I3035" t="s">
        <v>34</v>
      </c>
      <c r="J3035" s="4">
        <v>59.6</v>
      </c>
      <c r="K3035" s="4">
        <v>128.80000000000001</v>
      </c>
      <c r="L3035" s="4">
        <v>25.7</v>
      </c>
      <c r="M3035">
        <v>8</v>
      </c>
      <c r="N3035" t="s">
        <v>56</v>
      </c>
      <c r="O3035">
        <v>5</v>
      </c>
      <c r="P3035" s="4">
        <v>379.5</v>
      </c>
      <c r="Q3035" t="s">
        <v>42</v>
      </c>
      <c r="R3035">
        <v>0</v>
      </c>
      <c r="S3035" t="s">
        <v>31</v>
      </c>
      <c r="T3035">
        <v>0</v>
      </c>
      <c r="U3035">
        <v>0</v>
      </c>
      <c r="V3035" t="s">
        <v>32</v>
      </c>
      <c r="W3035" t="s">
        <v>49</v>
      </c>
      <c r="X3035" s="4">
        <v>7.5</v>
      </c>
      <c r="Y3035">
        <v>5</v>
      </c>
      <c r="Z3035" s="5">
        <v>205.5</v>
      </c>
    </row>
    <row r="3036" spans="1:26">
      <c r="A3036">
        <v>3035</v>
      </c>
      <c r="B3036">
        <v>993</v>
      </c>
      <c r="C3036" s="2">
        <v>46248</v>
      </c>
      <c r="D3036" t="s">
        <v>26</v>
      </c>
      <c r="E3036">
        <v>8</v>
      </c>
      <c r="F3036" s="3">
        <v>10.93</v>
      </c>
      <c r="G3036" t="s">
        <v>27</v>
      </c>
      <c r="H3036">
        <v>43</v>
      </c>
      <c r="I3036" t="s">
        <v>34</v>
      </c>
      <c r="J3036" s="4">
        <v>64.2</v>
      </c>
      <c r="K3036" s="4">
        <v>193.4</v>
      </c>
      <c r="L3036" s="4">
        <v>33.1</v>
      </c>
      <c r="M3036">
        <v>15</v>
      </c>
      <c r="N3036" t="s">
        <v>56</v>
      </c>
      <c r="O3036">
        <v>5</v>
      </c>
      <c r="P3036" s="4">
        <v>379.5</v>
      </c>
      <c r="Q3036" t="s">
        <v>42</v>
      </c>
      <c r="R3036">
        <v>0</v>
      </c>
      <c r="S3036" t="s">
        <v>31</v>
      </c>
      <c r="T3036">
        <v>0</v>
      </c>
      <c r="U3036">
        <v>0</v>
      </c>
      <c r="V3036" t="s">
        <v>32</v>
      </c>
      <c r="W3036" t="s">
        <v>49</v>
      </c>
      <c r="X3036" s="4">
        <v>9.5</v>
      </c>
      <c r="Y3036">
        <v>8</v>
      </c>
      <c r="Z3036" s="5">
        <v>223.07</v>
      </c>
    </row>
    <row r="3037" spans="1:26">
      <c r="A3037">
        <v>3036</v>
      </c>
      <c r="B3037">
        <v>993</v>
      </c>
      <c r="C3037" s="2">
        <v>46248</v>
      </c>
      <c r="D3037" t="s">
        <v>26</v>
      </c>
      <c r="E3037">
        <v>8</v>
      </c>
      <c r="F3037" s="3">
        <v>10.97</v>
      </c>
      <c r="G3037" t="s">
        <v>27</v>
      </c>
      <c r="H3037">
        <v>52</v>
      </c>
      <c r="I3037" t="s">
        <v>28</v>
      </c>
      <c r="J3037" s="4">
        <v>72.7</v>
      </c>
      <c r="K3037" s="4">
        <v>189.4</v>
      </c>
      <c r="L3037" s="4">
        <v>25.1</v>
      </c>
      <c r="M3037">
        <v>19</v>
      </c>
      <c r="N3037" t="s">
        <v>56</v>
      </c>
      <c r="O3037">
        <v>5</v>
      </c>
      <c r="P3037" s="4">
        <v>379.5</v>
      </c>
      <c r="Q3037" t="s">
        <v>42</v>
      </c>
      <c r="R3037">
        <v>0</v>
      </c>
      <c r="S3037" t="s">
        <v>31</v>
      </c>
      <c r="T3037">
        <v>0</v>
      </c>
      <c r="U3037">
        <v>0</v>
      </c>
      <c r="V3037" t="s">
        <v>32</v>
      </c>
      <c r="W3037" t="s">
        <v>49</v>
      </c>
      <c r="X3037" s="4">
        <v>8.4</v>
      </c>
      <c r="Y3037">
        <v>10</v>
      </c>
      <c r="Z3037" s="5">
        <v>136.13999999999999</v>
      </c>
    </row>
    <row r="3038" spans="1:26">
      <c r="A3038">
        <v>3037</v>
      </c>
      <c r="B3038">
        <v>993</v>
      </c>
      <c r="C3038" s="2">
        <v>46248</v>
      </c>
      <c r="D3038" t="s">
        <v>26</v>
      </c>
      <c r="E3038">
        <v>8</v>
      </c>
      <c r="F3038" s="3">
        <v>10.85</v>
      </c>
      <c r="G3038" t="s">
        <v>27</v>
      </c>
      <c r="H3038">
        <v>55</v>
      </c>
      <c r="I3038" t="s">
        <v>34</v>
      </c>
      <c r="J3038" s="4">
        <v>64</v>
      </c>
      <c r="K3038" s="4">
        <v>145.30000000000001</v>
      </c>
      <c r="L3038" s="4">
        <v>24.8</v>
      </c>
      <c r="M3038">
        <v>17</v>
      </c>
      <c r="N3038" t="s">
        <v>56</v>
      </c>
      <c r="O3038">
        <v>5</v>
      </c>
      <c r="P3038" s="4">
        <v>379.5</v>
      </c>
      <c r="Q3038" t="s">
        <v>42</v>
      </c>
      <c r="R3038">
        <v>0</v>
      </c>
      <c r="S3038" t="s">
        <v>31</v>
      </c>
      <c r="T3038">
        <v>0</v>
      </c>
      <c r="U3038">
        <v>0</v>
      </c>
      <c r="V3038" t="s">
        <v>32</v>
      </c>
      <c r="W3038" t="s">
        <v>49</v>
      </c>
      <c r="X3038" s="4">
        <v>7.4</v>
      </c>
      <c r="Y3038">
        <v>8</v>
      </c>
      <c r="Z3038" s="5">
        <v>193.69</v>
      </c>
    </row>
    <row r="3039" spans="1:26">
      <c r="A3039">
        <v>3038</v>
      </c>
      <c r="B3039">
        <v>993</v>
      </c>
      <c r="C3039" s="2">
        <v>46248</v>
      </c>
      <c r="D3039" t="s">
        <v>26</v>
      </c>
      <c r="E3039">
        <v>8</v>
      </c>
      <c r="F3039" s="3">
        <v>11.03</v>
      </c>
      <c r="G3039" t="s">
        <v>36</v>
      </c>
      <c r="H3039">
        <v>62</v>
      </c>
      <c r="I3039" t="s">
        <v>28</v>
      </c>
      <c r="J3039" s="4">
        <v>70</v>
      </c>
      <c r="K3039" s="4">
        <v>199</v>
      </c>
      <c r="L3039" s="4">
        <v>28.5</v>
      </c>
      <c r="M3039">
        <v>16</v>
      </c>
      <c r="N3039" t="s">
        <v>56</v>
      </c>
      <c r="O3039">
        <v>5</v>
      </c>
      <c r="P3039" s="4">
        <v>379.5</v>
      </c>
      <c r="Q3039" t="s">
        <v>42</v>
      </c>
      <c r="R3039">
        <v>0</v>
      </c>
      <c r="S3039" t="s">
        <v>31</v>
      </c>
      <c r="T3039">
        <v>0</v>
      </c>
      <c r="U3039">
        <v>0</v>
      </c>
      <c r="V3039" t="s">
        <v>32</v>
      </c>
      <c r="W3039" t="s">
        <v>49</v>
      </c>
      <c r="X3039" s="4">
        <v>7</v>
      </c>
      <c r="Y3039">
        <v>8</v>
      </c>
      <c r="Z3039" s="5">
        <v>235.63</v>
      </c>
    </row>
    <row r="3040" spans="1:26">
      <c r="A3040">
        <v>3039</v>
      </c>
      <c r="B3040">
        <v>994</v>
      </c>
      <c r="C3040" s="2">
        <v>46386</v>
      </c>
      <c r="D3040" t="s">
        <v>52</v>
      </c>
      <c r="E3040">
        <v>12</v>
      </c>
      <c r="F3040" s="3">
        <v>10.61</v>
      </c>
      <c r="G3040" t="s">
        <v>27</v>
      </c>
      <c r="H3040">
        <v>67</v>
      </c>
      <c r="I3040" t="s">
        <v>34</v>
      </c>
      <c r="J3040" s="4">
        <v>62.1</v>
      </c>
      <c r="K3040" s="4">
        <v>145.19999999999999</v>
      </c>
      <c r="L3040" s="4">
        <v>26.7</v>
      </c>
      <c r="M3040">
        <v>15</v>
      </c>
      <c r="N3040" t="s">
        <v>47</v>
      </c>
      <c r="O3040">
        <v>3</v>
      </c>
      <c r="P3040" s="4">
        <v>81.5</v>
      </c>
      <c r="Q3040" t="s">
        <v>42</v>
      </c>
      <c r="R3040">
        <v>1</v>
      </c>
      <c r="S3040" t="s">
        <v>44</v>
      </c>
      <c r="T3040">
        <v>1</v>
      </c>
      <c r="U3040">
        <v>0</v>
      </c>
      <c r="V3040" t="s">
        <v>32</v>
      </c>
      <c r="W3040" t="s">
        <v>39</v>
      </c>
      <c r="X3040" s="4">
        <v>9.6999999999999993</v>
      </c>
      <c r="Y3040">
        <v>15</v>
      </c>
      <c r="Z3040" s="5">
        <v>383.18</v>
      </c>
    </row>
    <row r="3041" spans="1:26">
      <c r="A3041">
        <v>3040</v>
      </c>
      <c r="B3041">
        <v>994</v>
      </c>
      <c r="C3041" s="2">
        <v>46386</v>
      </c>
      <c r="D3041" t="s">
        <v>52</v>
      </c>
      <c r="E3041">
        <v>12</v>
      </c>
      <c r="F3041" s="3">
        <v>10.62</v>
      </c>
      <c r="G3041" t="s">
        <v>27</v>
      </c>
      <c r="H3041">
        <v>8</v>
      </c>
      <c r="I3041" t="s">
        <v>34</v>
      </c>
      <c r="J3041" s="4">
        <v>59.6</v>
      </c>
      <c r="K3041" s="4">
        <v>111.5</v>
      </c>
      <c r="L3041" s="4">
        <v>22.2</v>
      </c>
      <c r="M3041">
        <v>10</v>
      </c>
      <c r="N3041" t="s">
        <v>47</v>
      </c>
      <c r="O3041">
        <v>3</v>
      </c>
      <c r="P3041" s="4">
        <v>81.5</v>
      </c>
      <c r="Q3041" t="s">
        <v>42</v>
      </c>
      <c r="R3041">
        <v>1</v>
      </c>
      <c r="S3041" t="s">
        <v>44</v>
      </c>
      <c r="T3041">
        <v>1</v>
      </c>
      <c r="U3041">
        <v>0</v>
      </c>
      <c r="V3041" t="s">
        <v>32</v>
      </c>
      <c r="W3041" t="s">
        <v>39</v>
      </c>
      <c r="X3041" s="4">
        <v>10.3</v>
      </c>
      <c r="Y3041">
        <v>18</v>
      </c>
      <c r="Z3041" s="5">
        <v>294.77</v>
      </c>
    </row>
    <row r="3042" spans="1:26">
      <c r="A3042">
        <v>3041</v>
      </c>
      <c r="B3042">
        <v>994</v>
      </c>
      <c r="C3042" s="2">
        <v>46386</v>
      </c>
      <c r="D3042" t="s">
        <v>52</v>
      </c>
      <c r="E3042">
        <v>12</v>
      </c>
      <c r="F3042" s="3">
        <v>10.7</v>
      </c>
      <c r="G3042" t="s">
        <v>27</v>
      </c>
      <c r="H3042">
        <v>51</v>
      </c>
      <c r="I3042" t="s">
        <v>34</v>
      </c>
      <c r="J3042" s="4">
        <v>68.400000000000006</v>
      </c>
      <c r="K3042" s="4">
        <v>170.1</v>
      </c>
      <c r="L3042" s="4">
        <v>25.5</v>
      </c>
      <c r="M3042">
        <v>16</v>
      </c>
      <c r="N3042" t="s">
        <v>47</v>
      </c>
      <c r="O3042">
        <v>3</v>
      </c>
      <c r="P3042" s="4">
        <v>81.5</v>
      </c>
      <c r="Q3042" t="s">
        <v>42</v>
      </c>
      <c r="R3042">
        <v>1</v>
      </c>
      <c r="S3042" t="s">
        <v>44</v>
      </c>
      <c r="T3042">
        <v>1</v>
      </c>
      <c r="U3042">
        <v>0</v>
      </c>
      <c r="V3042" t="s">
        <v>32</v>
      </c>
      <c r="W3042" t="s">
        <v>39</v>
      </c>
      <c r="X3042" s="4">
        <v>7.6</v>
      </c>
      <c r="Y3042">
        <v>9</v>
      </c>
      <c r="Z3042" s="5">
        <v>168.18</v>
      </c>
    </row>
    <row r="3043" spans="1:26">
      <c r="A3043">
        <v>3042</v>
      </c>
      <c r="B3043">
        <v>995</v>
      </c>
      <c r="C3043" s="2">
        <v>46315</v>
      </c>
      <c r="D3043" t="s">
        <v>35</v>
      </c>
      <c r="E3043">
        <v>10</v>
      </c>
      <c r="F3043" s="3">
        <v>8.9700000000000006</v>
      </c>
      <c r="G3043" t="s">
        <v>27</v>
      </c>
      <c r="H3043">
        <v>50</v>
      </c>
      <c r="I3043" t="s">
        <v>28</v>
      </c>
      <c r="J3043" s="4">
        <v>67.599999999999994</v>
      </c>
      <c r="K3043" s="4">
        <v>187.2</v>
      </c>
      <c r="L3043" s="4">
        <v>28.9</v>
      </c>
      <c r="M3043">
        <v>13</v>
      </c>
      <c r="N3043" t="s">
        <v>47</v>
      </c>
      <c r="O3043">
        <v>6</v>
      </c>
      <c r="P3043" s="4">
        <v>147.19999999999999</v>
      </c>
      <c r="Q3043" t="s">
        <v>42</v>
      </c>
      <c r="R3043">
        <v>0</v>
      </c>
      <c r="S3043" t="s">
        <v>44</v>
      </c>
      <c r="T3043">
        <v>0</v>
      </c>
      <c r="U3043">
        <v>0</v>
      </c>
      <c r="V3043" t="s">
        <v>45</v>
      </c>
      <c r="W3043" t="s">
        <v>39</v>
      </c>
      <c r="X3043" s="4">
        <v>6.4</v>
      </c>
      <c r="Y3043">
        <v>10</v>
      </c>
      <c r="Z3043" s="5">
        <v>177.02</v>
      </c>
    </row>
    <row r="3044" spans="1:26">
      <c r="A3044">
        <v>3043</v>
      </c>
      <c r="B3044">
        <v>995</v>
      </c>
      <c r="C3044" s="2">
        <v>46315</v>
      </c>
      <c r="D3044" t="s">
        <v>35</v>
      </c>
      <c r="E3044">
        <v>10</v>
      </c>
      <c r="F3044" s="3">
        <v>8.8699999999999992</v>
      </c>
      <c r="G3044" t="s">
        <v>27</v>
      </c>
      <c r="H3044">
        <v>58</v>
      </c>
      <c r="I3044" t="s">
        <v>28</v>
      </c>
      <c r="J3044" s="4">
        <v>67.900000000000006</v>
      </c>
      <c r="K3044" s="4">
        <v>151</v>
      </c>
      <c r="L3044" s="4">
        <v>23</v>
      </c>
      <c r="M3044">
        <v>16</v>
      </c>
      <c r="N3044" t="s">
        <v>47</v>
      </c>
      <c r="O3044">
        <v>6</v>
      </c>
      <c r="P3044" s="4">
        <v>147.19999999999999</v>
      </c>
      <c r="Q3044" t="s">
        <v>42</v>
      </c>
      <c r="R3044">
        <v>0</v>
      </c>
      <c r="S3044" t="s">
        <v>44</v>
      </c>
      <c r="T3044">
        <v>0</v>
      </c>
      <c r="U3044">
        <v>0</v>
      </c>
      <c r="V3044" t="s">
        <v>45</v>
      </c>
      <c r="W3044" t="s">
        <v>39</v>
      </c>
      <c r="X3044" s="4">
        <v>7.7</v>
      </c>
      <c r="Y3044">
        <v>7</v>
      </c>
      <c r="Z3044" s="5">
        <v>196.31</v>
      </c>
    </row>
    <row r="3045" spans="1:26">
      <c r="A3045">
        <v>3044</v>
      </c>
      <c r="B3045">
        <v>995</v>
      </c>
      <c r="C3045" s="2">
        <v>46315</v>
      </c>
      <c r="D3045" t="s">
        <v>35</v>
      </c>
      <c r="E3045">
        <v>10</v>
      </c>
      <c r="F3045" s="3">
        <v>9.0500000000000007</v>
      </c>
      <c r="G3045" t="s">
        <v>27</v>
      </c>
      <c r="H3045">
        <v>31</v>
      </c>
      <c r="I3045" t="s">
        <v>34</v>
      </c>
      <c r="J3045" s="4">
        <v>60.6</v>
      </c>
      <c r="K3045" s="4">
        <v>96.5</v>
      </c>
      <c r="L3045" s="4">
        <v>18.600000000000001</v>
      </c>
      <c r="M3045">
        <v>14</v>
      </c>
      <c r="N3045" t="s">
        <v>47</v>
      </c>
      <c r="O3045">
        <v>6</v>
      </c>
      <c r="P3045" s="4">
        <v>147.19999999999999</v>
      </c>
      <c r="Q3045" t="s">
        <v>42</v>
      </c>
      <c r="R3045">
        <v>0</v>
      </c>
      <c r="S3045" t="s">
        <v>44</v>
      </c>
      <c r="T3045">
        <v>0</v>
      </c>
      <c r="U3045">
        <v>0</v>
      </c>
      <c r="V3045" t="s">
        <v>45</v>
      </c>
      <c r="W3045" t="s">
        <v>39</v>
      </c>
      <c r="X3045" s="4">
        <v>6.8</v>
      </c>
      <c r="Y3045">
        <v>3</v>
      </c>
      <c r="Z3045" s="5">
        <v>126.84</v>
      </c>
    </row>
    <row r="3046" spans="1:26">
      <c r="A3046">
        <v>3045</v>
      </c>
      <c r="B3046">
        <v>995</v>
      </c>
      <c r="C3046" s="2">
        <v>46315</v>
      </c>
      <c r="D3046" t="s">
        <v>35</v>
      </c>
      <c r="E3046">
        <v>10</v>
      </c>
      <c r="F3046" s="3">
        <v>9.1999999999999993</v>
      </c>
      <c r="G3046" t="s">
        <v>27</v>
      </c>
      <c r="H3046">
        <v>59</v>
      </c>
      <c r="I3046" t="s">
        <v>28</v>
      </c>
      <c r="J3046" s="4">
        <v>69.099999999999994</v>
      </c>
      <c r="K3046" s="4">
        <v>188.7</v>
      </c>
      <c r="L3046" s="4">
        <v>27.9</v>
      </c>
      <c r="M3046">
        <v>16</v>
      </c>
      <c r="N3046" t="s">
        <v>47</v>
      </c>
      <c r="O3046">
        <v>6</v>
      </c>
      <c r="P3046" s="4">
        <v>147.19999999999999</v>
      </c>
      <c r="Q3046" t="s">
        <v>42</v>
      </c>
      <c r="R3046">
        <v>0</v>
      </c>
      <c r="S3046" t="s">
        <v>44</v>
      </c>
      <c r="T3046">
        <v>0</v>
      </c>
      <c r="U3046">
        <v>0</v>
      </c>
      <c r="V3046" t="s">
        <v>45</v>
      </c>
      <c r="W3046" t="s">
        <v>39</v>
      </c>
      <c r="X3046" s="4">
        <v>8.1</v>
      </c>
      <c r="Y3046">
        <v>8</v>
      </c>
      <c r="Z3046" s="5">
        <v>188.38</v>
      </c>
    </row>
    <row r="3047" spans="1:26">
      <c r="A3047">
        <v>3046</v>
      </c>
      <c r="B3047">
        <v>995</v>
      </c>
      <c r="C3047" s="2">
        <v>46315</v>
      </c>
      <c r="D3047" t="s">
        <v>35</v>
      </c>
      <c r="E3047">
        <v>10</v>
      </c>
      <c r="F3047" s="3">
        <v>8.9</v>
      </c>
      <c r="G3047" t="s">
        <v>27</v>
      </c>
      <c r="H3047">
        <v>20</v>
      </c>
      <c r="I3047" t="s">
        <v>28</v>
      </c>
      <c r="J3047" s="4">
        <v>67</v>
      </c>
      <c r="K3047" s="4">
        <v>150.5</v>
      </c>
      <c r="L3047" s="4">
        <v>23.7</v>
      </c>
      <c r="M3047">
        <v>11</v>
      </c>
      <c r="N3047" t="s">
        <v>47</v>
      </c>
      <c r="O3047">
        <v>6</v>
      </c>
      <c r="P3047" s="4">
        <v>147.19999999999999</v>
      </c>
      <c r="Q3047" t="s">
        <v>42</v>
      </c>
      <c r="R3047">
        <v>0</v>
      </c>
      <c r="S3047" t="s">
        <v>44</v>
      </c>
      <c r="T3047">
        <v>0</v>
      </c>
      <c r="U3047">
        <v>0</v>
      </c>
      <c r="V3047" t="s">
        <v>45</v>
      </c>
      <c r="W3047" t="s">
        <v>39</v>
      </c>
      <c r="X3047" s="4">
        <v>9.9</v>
      </c>
      <c r="Y3047">
        <v>13</v>
      </c>
      <c r="Z3047" s="5">
        <v>229.47</v>
      </c>
    </row>
    <row r="3048" spans="1:26">
      <c r="A3048">
        <v>3047</v>
      </c>
      <c r="B3048">
        <v>995</v>
      </c>
      <c r="C3048" s="2">
        <v>46315</v>
      </c>
      <c r="D3048" t="s">
        <v>35</v>
      </c>
      <c r="E3048">
        <v>10</v>
      </c>
      <c r="F3048" s="3">
        <v>9.09</v>
      </c>
      <c r="G3048" t="s">
        <v>27</v>
      </c>
      <c r="H3048">
        <v>70</v>
      </c>
      <c r="I3048" t="s">
        <v>34</v>
      </c>
      <c r="J3048" s="4">
        <v>64.2</v>
      </c>
      <c r="K3048" s="4">
        <v>161.6</v>
      </c>
      <c r="L3048" s="4">
        <v>27.4</v>
      </c>
      <c r="M3048">
        <v>17</v>
      </c>
      <c r="N3048" t="s">
        <v>47</v>
      </c>
      <c r="O3048">
        <v>6</v>
      </c>
      <c r="P3048" s="4">
        <v>147.19999999999999</v>
      </c>
      <c r="Q3048" t="s">
        <v>42</v>
      </c>
      <c r="R3048">
        <v>0</v>
      </c>
      <c r="S3048" t="s">
        <v>44</v>
      </c>
      <c r="T3048">
        <v>0</v>
      </c>
      <c r="U3048">
        <v>0</v>
      </c>
      <c r="V3048" t="s">
        <v>45</v>
      </c>
      <c r="W3048" t="s">
        <v>39</v>
      </c>
      <c r="X3048" s="4">
        <v>6.9</v>
      </c>
      <c r="Y3048">
        <v>5</v>
      </c>
      <c r="Z3048" s="5">
        <v>101.01</v>
      </c>
    </row>
    <row r="3049" spans="1:26">
      <c r="A3049">
        <v>3048</v>
      </c>
      <c r="B3049">
        <v>996</v>
      </c>
      <c r="C3049" s="2">
        <v>46264</v>
      </c>
      <c r="D3049" t="s">
        <v>58</v>
      </c>
      <c r="E3049">
        <v>8</v>
      </c>
      <c r="F3049" s="3">
        <v>10.95</v>
      </c>
      <c r="G3049" t="s">
        <v>27</v>
      </c>
      <c r="H3049">
        <v>11</v>
      </c>
      <c r="I3049" t="s">
        <v>34</v>
      </c>
      <c r="J3049" s="4">
        <v>64.7</v>
      </c>
      <c r="K3049" s="4">
        <v>121.2</v>
      </c>
      <c r="L3049" s="4">
        <v>20.6</v>
      </c>
      <c r="M3049">
        <v>13</v>
      </c>
      <c r="N3049" t="s">
        <v>54</v>
      </c>
      <c r="O3049">
        <v>3</v>
      </c>
      <c r="P3049" s="4">
        <v>2312.1</v>
      </c>
      <c r="Q3049" t="s">
        <v>42</v>
      </c>
      <c r="R3049">
        <v>0</v>
      </c>
      <c r="S3049" t="s">
        <v>31</v>
      </c>
      <c r="T3049">
        <v>0</v>
      </c>
      <c r="U3049">
        <v>0</v>
      </c>
      <c r="V3049" t="s">
        <v>32</v>
      </c>
      <c r="W3049" t="s">
        <v>49</v>
      </c>
      <c r="X3049" s="4">
        <v>11.9</v>
      </c>
      <c r="Y3049">
        <v>13</v>
      </c>
      <c r="Z3049" s="5">
        <v>197.2</v>
      </c>
    </row>
    <row r="3050" spans="1:26">
      <c r="A3050">
        <v>3049</v>
      </c>
      <c r="B3050">
        <v>996</v>
      </c>
      <c r="C3050" s="2">
        <v>46264</v>
      </c>
      <c r="D3050" t="s">
        <v>58</v>
      </c>
      <c r="E3050">
        <v>8</v>
      </c>
      <c r="F3050" s="3">
        <v>10.88</v>
      </c>
      <c r="G3050" t="s">
        <v>27</v>
      </c>
      <c r="H3050">
        <v>18</v>
      </c>
      <c r="I3050" t="s">
        <v>34</v>
      </c>
      <c r="J3050" s="4">
        <v>66</v>
      </c>
      <c r="K3050" s="4">
        <v>178.2</v>
      </c>
      <c r="L3050" s="4">
        <v>28.7</v>
      </c>
      <c r="M3050">
        <v>15</v>
      </c>
      <c r="N3050" t="s">
        <v>54</v>
      </c>
      <c r="O3050">
        <v>3</v>
      </c>
      <c r="P3050" s="4">
        <v>2312.1</v>
      </c>
      <c r="Q3050" t="s">
        <v>42</v>
      </c>
      <c r="R3050">
        <v>0</v>
      </c>
      <c r="S3050" t="s">
        <v>31</v>
      </c>
      <c r="T3050">
        <v>0</v>
      </c>
      <c r="U3050">
        <v>0</v>
      </c>
      <c r="V3050" t="s">
        <v>32</v>
      </c>
      <c r="W3050" t="s">
        <v>49</v>
      </c>
      <c r="X3050" s="4">
        <v>4.5</v>
      </c>
      <c r="Y3050">
        <v>6</v>
      </c>
      <c r="Z3050" s="5">
        <v>73.62</v>
      </c>
    </row>
    <row r="3051" spans="1:26">
      <c r="A3051">
        <v>3050</v>
      </c>
      <c r="B3051">
        <v>996</v>
      </c>
      <c r="C3051" s="2">
        <v>46264</v>
      </c>
      <c r="D3051" t="s">
        <v>58</v>
      </c>
      <c r="E3051">
        <v>8</v>
      </c>
      <c r="F3051" s="3">
        <v>10.81</v>
      </c>
      <c r="G3051" t="s">
        <v>27</v>
      </c>
      <c r="H3051">
        <v>42</v>
      </c>
      <c r="I3051" t="s">
        <v>28</v>
      </c>
      <c r="J3051" s="4">
        <v>77.7</v>
      </c>
      <c r="K3051" s="4">
        <v>170.6</v>
      </c>
      <c r="L3051" s="4">
        <v>19.8</v>
      </c>
      <c r="M3051">
        <v>15</v>
      </c>
      <c r="N3051" t="s">
        <v>54</v>
      </c>
      <c r="O3051">
        <v>3</v>
      </c>
      <c r="P3051" s="4">
        <v>2312.1</v>
      </c>
      <c r="Q3051" t="s">
        <v>42</v>
      </c>
      <c r="R3051">
        <v>0</v>
      </c>
      <c r="S3051" t="s">
        <v>31</v>
      </c>
      <c r="T3051">
        <v>0</v>
      </c>
      <c r="U3051">
        <v>0</v>
      </c>
      <c r="V3051" t="s">
        <v>32</v>
      </c>
      <c r="W3051" t="s">
        <v>49</v>
      </c>
      <c r="X3051" s="4">
        <v>7.2</v>
      </c>
      <c r="Y3051">
        <v>5</v>
      </c>
      <c r="Z3051" s="5">
        <v>209.91</v>
      </c>
    </row>
    <row r="3052" spans="1:26">
      <c r="A3052">
        <v>3051</v>
      </c>
      <c r="B3052">
        <v>997</v>
      </c>
      <c r="C3052" s="2">
        <v>46065</v>
      </c>
      <c r="D3052" t="s">
        <v>55</v>
      </c>
      <c r="E3052">
        <v>2</v>
      </c>
      <c r="F3052" s="3">
        <v>10.15</v>
      </c>
      <c r="G3052" t="s">
        <v>27</v>
      </c>
      <c r="H3052">
        <v>35</v>
      </c>
      <c r="I3052" t="s">
        <v>28</v>
      </c>
      <c r="J3052" s="4">
        <v>66.3</v>
      </c>
      <c r="K3052" s="4">
        <v>189.2</v>
      </c>
      <c r="L3052" s="4">
        <v>30.5</v>
      </c>
      <c r="M3052">
        <v>16</v>
      </c>
      <c r="N3052" t="s">
        <v>47</v>
      </c>
      <c r="O3052">
        <v>2</v>
      </c>
      <c r="P3052" s="4">
        <v>107.2</v>
      </c>
      <c r="Q3052" t="s">
        <v>48</v>
      </c>
      <c r="R3052">
        <v>1</v>
      </c>
      <c r="S3052" t="s">
        <v>44</v>
      </c>
      <c r="T3052">
        <v>1</v>
      </c>
      <c r="U3052">
        <v>0</v>
      </c>
      <c r="V3052" t="s">
        <v>64</v>
      </c>
      <c r="W3052" t="s">
        <v>49</v>
      </c>
      <c r="X3052" s="4">
        <v>8.3000000000000007</v>
      </c>
      <c r="Y3052">
        <v>6</v>
      </c>
      <c r="Z3052" s="5">
        <v>248.64</v>
      </c>
    </row>
    <row r="3053" spans="1:26">
      <c r="A3053">
        <v>3052</v>
      </c>
      <c r="B3053">
        <v>997</v>
      </c>
      <c r="C3053" s="2">
        <v>46065</v>
      </c>
      <c r="D3053" t="s">
        <v>55</v>
      </c>
      <c r="E3053">
        <v>2</v>
      </c>
      <c r="F3053" s="3">
        <v>10.42</v>
      </c>
      <c r="G3053" t="s">
        <v>27</v>
      </c>
      <c r="H3053">
        <v>55</v>
      </c>
      <c r="I3053" t="s">
        <v>28</v>
      </c>
      <c r="J3053" s="4">
        <v>72.599999999999994</v>
      </c>
      <c r="K3053" s="4">
        <v>217.9</v>
      </c>
      <c r="L3053" s="4">
        <v>28.8</v>
      </c>
      <c r="M3053">
        <v>17</v>
      </c>
      <c r="N3053" t="s">
        <v>47</v>
      </c>
      <c r="O3053">
        <v>2</v>
      </c>
      <c r="P3053" s="4">
        <v>107.2</v>
      </c>
      <c r="Q3053" t="s">
        <v>48</v>
      </c>
      <c r="R3053">
        <v>1</v>
      </c>
      <c r="S3053" t="s">
        <v>44</v>
      </c>
      <c r="T3053">
        <v>1</v>
      </c>
      <c r="U3053">
        <v>0</v>
      </c>
      <c r="V3053" t="s">
        <v>64</v>
      </c>
      <c r="W3053" t="s">
        <v>49</v>
      </c>
      <c r="X3053" s="4">
        <v>9</v>
      </c>
      <c r="Y3053">
        <v>11</v>
      </c>
      <c r="Z3053" s="5">
        <v>270.25</v>
      </c>
    </row>
    <row r="3054" spans="1:26">
      <c r="A3054">
        <v>3053</v>
      </c>
      <c r="B3054">
        <v>998</v>
      </c>
      <c r="C3054" s="2">
        <v>46118</v>
      </c>
      <c r="D3054" t="s">
        <v>46</v>
      </c>
      <c r="E3054">
        <v>4</v>
      </c>
      <c r="F3054" s="3">
        <v>10.210000000000001</v>
      </c>
      <c r="G3054" t="s">
        <v>27</v>
      </c>
      <c r="H3054">
        <v>12</v>
      </c>
      <c r="I3054" t="s">
        <v>28</v>
      </c>
      <c r="J3054" s="4">
        <v>69.900000000000006</v>
      </c>
      <c r="K3054" s="4">
        <v>171.3</v>
      </c>
      <c r="L3054" s="4">
        <v>24.4</v>
      </c>
      <c r="M3054">
        <v>13</v>
      </c>
      <c r="N3054" t="s">
        <v>37</v>
      </c>
      <c r="O3054">
        <v>3</v>
      </c>
      <c r="P3054" s="4">
        <v>1110.3</v>
      </c>
      <c r="Q3054" t="s">
        <v>42</v>
      </c>
      <c r="R3054">
        <v>0</v>
      </c>
      <c r="S3054" t="s">
        <v>38</v>
      </c>
      <c r="T3054">
        <v>0</v>
      </c>
      <c r="U3054">
        <v>0</v>
      </c>
      <c r="V3054" t="s">
        <v>32</v>
      </c>
      <c r="W3054" t="s">
        <v>39</v>
      </c>
      <c r="X3054" s="4">
        <v>8.4</v>
      </c>
      <c r="Y3054">
        <v>3</v>
      </c>
      <c r="Z3054" s="5">
        <v>142.97999999999999</v>
      </c>
    </row>
    <row r="3055" spans="1:26">
      <c r="A3055">
        <v>3054</v>
      </c>
      <c r="B3055">
        <v>998</v>
      </c>
      <c r="C3055" s="2">
        <v>46118</v>
      </c>
      <c r="D3055" t="s">
        <v>46</v>
      </c>
      <c r="E3055">
        <v>4</v>
      </c>
      <c r="F3055" s="3">
        <v>10.28</v>
      </c>
      <c r="G3055" t="s">
        <v>27</v>
      </c>
      <c r="H3055">
        <v>31</v>
      </c>
      <c r="I3055" t="s">
        <v>28</v>
      </c>
      <c r="J3055" s="4">
        <v>70.2</v>
      </c>
      <c r="K3055" s="4">
        <v>207.8</v>
      </c>
      <c r="L3055" s="4">
        <v>29.8</v>
      </c>
      <c r="M3055">
        <v>13</v>
      </c>
      <c r="N3055" t="s">
        <v>37</v>
      </c>
      <c r="O3055">
        <v>3</v>
      </c>
      <c r="P3055" s="4">
        <v>1110.3</v>
      </c>
      <c r="Q3055" t="s">
        <v>42</v>
      </c>
      <c r="R3055">
        <v>0</v>
      </c>
      <c r="S3055" t="s">
        <v>38</v>
      </c>
      <c r="T3055">
        <v>0</v>
      </c>
      <c r="U3055">
        <v>0</v>
      </c>
      <c r="V3055" t="s">
        <v>32</v>
      </c>
      <c r="W3055" t="s">
        <v>39</v>
      </c>
      <c r="X3055" s="4">
        <v>4.3</v>
      </c>
      <c r="Y3055">
        <v>6</v>
      </c>
      <c r="Z3055" s="5">
        <v>87.87</v>
      </c>
    </row>
    <row r="3056" spans="1:26">
      <c r="A3056">
        <v>3055</v>
      </c>
      <c r="B3056">
        <v>998</v>
      </c>
      <c r="C3056" s="2">
        <v>46118</v>
      </c>
      <c r="D3056" t="s">
        <v>46</v>
      </c>
      <c r="E3056">
        <v>4</v>
      </c>
      <c r="F3056" s="3">
        <v>10.36</v>
      </c>
      <c r="G3056" t="s">
        <v>27</v>
      </c>
      <c r="H3056">
        <v>11</v>
      </c>
      <c r="I3056" t="s">
        <v>34</v>
      </c>
      <c r="J3056" s="4">
        <v>65.099999999999994</v>
      </c>
      <c r="K3056" s="4">
        <v>124.6</v>
      </c>
      <c r="L3056" s="4">
        <v>20.5</v>
      </c>
      <c r="M3056">
        <v>14</v>
      </c>
      <c r="N3056" t="s">
        <v>37</v>
      </c>
      <c r="O3056">
        <v>3</v>
      </c>
      <c r="P3056" s="4">
        <v>1110.3</v>
      </c>
      <c r="Q3056" t="s">
        <v>42</v>
      </c>
      <c r="R3056">
        <v>0</v>
      </c>
      <c r="S3056" t="s">
        <v>38</v>
      </c>
      <c r="T3056">
        <v>0</v>
      </c>
      <c r="U3056">
        <v>0</v>
      </c>
      <c r="V3056" t="s">
        <v>32</v>
      </c>
      <c r="W3056" t="s">
        <v>39</v>
      </c>
      <c r="X3056" s="4">
        <v>5.0999999999999996</v>
      </c>
      <c r="Y3056">
        <v>3</v>
      </c>
      <c r="Z3056" s="5">
        <v>106.74</v>
      </c>
    </row>
    <row r="3057" spans="1:26">
      <c r="A3057">
        <v>3056</v>
      </c>
      <c r="B3057">
        <v>999</v>
      </c>
      <c r="C3057" s="2">
        <v>46329</v>
      </c>
      <c r="D3057" t="s">
        <v>35</v>
      </c>
      <c r="E3057">
        <v>11</v>
      </c>
      <c r="F3057" s="3">
        <v>10</v>
      </c>
      <c r="G3057" t="s">
        <v>27</v>
      </c>
      <c r="H3057">
        <v>57</v>
      </c>
      <c r="I3057" t="s">
        <v>34</v>
      </c>
      <c r="J3057" s="4">
        <v>65.2</v>
      </c>
      <c r="K3057" s="4">
        <v>115.8</v>
      </c>
      <c r="L3057" s="4">
        <v>19</v>
      </c>
      <c r="M3057">
        <v>15</v>
      </c>
      <c r="N3057" t="s">
        <v>47</v>
      </c>
      <c r="O3057">
        <v>4</v>
      </c>
      <c r="P3057" s="4">
        <v>70.2</v>
      </c>
      <c r="Q3057" t="s">
        <v>42</v>
      </c>
      <c r="R3057">
        <v>0</v>
      </c>
      <c r="S3057" t="s">
        <v>44</v>
      </c>
      <c r="T3057">
        <v>0</v>
      </c>
      <c r="U3057">
        <v>0</v>
      </c>
      <c r="V3057" t="s">
        <v>32</v>
      </c>
      <c r="W3057" t="s">
        <v>49</v>
      </c>
      <c r="X3057" s="4">
        <v>6.5</v>
      </c>
      <c r="Y3057">
        <v>6</v>
      </c>
      <c r="Z3057" s="5">
        <v>120.97</v>
      </c>
    </row>
    <row r="3058" spans="1:26">
      <c r="A3058">
        <v>3057</v>
      </c>
      <c r="B3058">
        <v>999</v>
      </c>
      <c r="C3058" s="2">
        <v>46329</v>
      </c>
      <c r="D3058" t="s">
        <v>35</v>
      </c>
      <c r="E3058">
        <v>11</v>
      </c>
      <c r="F3058" s="3">
        <v>10.130000000000001</v>
      </c>
      <c r="G3058" t="s">
        <v>27</v>
      </c>
      <c r="H3058">
        <v>5</v>
      </c>
      <c r="I3058" t="s">
        <v>28</v>
      </c>
      <c r="J3058" s="4">
        <v>52.2</v>
      </c>
      <c r="K3058" s="4">
        <v>68.7</v>
      </c>
      <c r="L3058" s="4">
        <v>17.7</v>
      </c>
      <c r="M3058">
        <v>13</v>
      </c>
      <c r="N3058" t="s">
        <v>47</v>
      </c>
      <c r="O3058">
        <v>4</v>
      </c>
      <c r="P3058" s="4">
        <v>70.2</v>
      </c>
      <c r="Q3058" t="s">
        <v>42</v>
      </c>
      <c r="R3058">
        <v>0</v>
      </c>
      <c r="S3058" t="s">
        <v>44</v>
      </c>
      <c r="T3058">
        <v>0</v>
      </c>
      <c r="U3058">
        <v>0</v>
      </c>
      <c r="V3058" t="s">
        <v>32</v>
      </c>
      <c r="W3058" t="s">
        <v>49</v>
      </c>
      <c r="X3058" s="4">
        <v>7.2</v>
      </c>
      <c r="Y3058">
        <v>10</v>
      </c>
      <c r="Z3058" s="5">
        <v>181.29</v>
      </c>
    </row>
    <row r="3059" spans="1:26">
      <c r="A3059">
        <v>3058</v>
      </c>
      <c r="B3059">
        <v>999</v>
      </c>
      <c r="C3059" s="2">
        <v>46329</v>
      </c>
      <c r="D3059" t="s">
        <v>35</v>
      </c>
      <c r="E3059">
        <v>11</v>
      </c>
      <c r="F3059" s="3">
        <v>10.29</v>
      </c>
      <c r="G3059" t="s">
        <v>27</v>
      </c>
      <c r="H3059">
        <v>36</v>
      </c>
      <c r="I3059" t="s">
        <v>28</v>
      </c>
      <c r="J3059" s="4">
        <v>68.400000000000006</v>
      </c>
      <c r="K3059" s="4">
        <v>156</v>
      </c>
      <c r="L3059" s="4">
        <v>23.2</v>
      </c>
      <c r="M3059">
        <v>15</v>
      </c>
      <c r="N3059" t="s">
        <v>47</v>
      </c>
      <c r="O3059">
        <v>4</v>
      </c>
      <c r="P3059" s="4">
        <v>70.2</v>
      </c>
      <c r="Q3059" t="s">
        <v>42</v>
      </c>
      <c r="R3059">
        <v>0</v>
      </c>
      <c r="S3059" t="s">
        <v>44</v>
      </c>
      <c r="T3059">
        <v>0</v>
      </c>
      <c r="U3059">
        <v>0</v>
      </c>
      <c r="V3059" t="s">
        <v>32</v>
      </c>
      <c r="W3059" t="s">
        <v>49</v>
      </c>
      <c r="X3059" s="4">
        <v>9.4</v>
      </c>
      <c r="Y3059">
        <v>10</v>
      </c>
      <c r="Z3059" s="5">
        <v>407.1</v>
      </c>
    </row>
    <row r="3060" spans="1:26">
      <c r="A3060">
        <v>3059</v>
      </c>
      <c r="B3060">
        <v>999</v>
      </c>
      <c r="C3060" s="2">
        <v>46329</v>
      </c>
      <c r="D3060" t="s">
        <v>35</v>
      </c>
      <c r="E3060">
        <v>11</v>
      </c>
      <c r="F3060" s="3">
        <v>9.9499999999999993</v>
      </c>
      <c r="G3060" t="s">
        <v>27</v>
      </c>
      <c r="H3060">
        <v>69</v>
      </c>
      <c r="I3060" t="s">
        <v>34</v>
      </c>
      <c r="J3060" s="4">
        <v>61.6</v>
      </c>
      <c r="K3060" s="4">
        <v>120.2</v>
      </c>
      <c r="L3060" s="4">
        <v>22.4</v>
      </c>
      <c r="M3060">
        <v>19</v>
      </c>
      <c r="N3060" t="s">
        <v>47</v>
      </c>
      <c r="O3060">
        <v>4</v>
      </c>
      <c r="P3060" s="4">
        <v>70.2</v>
      </c>
      <c r="Q3060" t="s">
        <v>42</v>
      </c>
      <c r="R3060">
        <v>0</v>
      </c>
      <c r="S3060" t="s">
        <v>44</v>
      </c>
      <c r="T3060">
        <v>0</v>
      </c>
      <c r="U3060">
        <v>0</v>
      </c>
      <c r="V3060" t="s">
        <v>32</v>
      </c>
      <c r="W3060" t="s">
        <v>49</v>
      </c>
      <c r="X3060" s="4">
        <v>5.8</v>
      </c>
      <c r="Y3060">
        <v>7</v>
      </c>
      <c r="Z3060" s="5">
        <v>162.16</v>
      </c>
    </row>
    <row r="3061" spans="1:26">
      <c r="A3061">
        <v>3060</v>
      </c>
      <c r="B3061">
        <v>1000</v>
      </c>
      <c r="C3061" s="2">
        <v>46156</v>
      </c>
      <c r="D3061" t="s">
        <v>55</v>
      </c>
      <c r="E3061">
        <v>5</v>
      </c>
      <c r="F3061" s="3">
        <v>10.15</v>
      </c>
      <c r="G3061" t="s">
        <v>27</v>
      </c>
      <c r="H3061">
        <v>38</v>
      </c>
      <c r="I3061" t="s">
        <v>34</v>
      </c>
      <c r="J3061" s="4">
        <v>59.8</v>
      </c>
      <c r="K3061" s="4">
        <v>126</v>
      </c>
      <c r="L3061" s="4">
        <v>24.9</v>
      </c>
      <c r="M3061">
        <v>18</v>
      </c>
      <c r="N3061" t="s">
        <v>47</v>
      </c>
      <c r="O3061">
        <v>4</v>
      </c>
      <c r="P3061" s="4">
        <v>178.2</v>
      </c>
      <c r="Q3061" t="s">
        <v>42</v>
      </c>
      <c r="R3061">
        <v>0</v>
      </c>
      <c r="S3061" t="s">
        <v>38</v>
      </c>
      <c r="T3061">
        <v>0</v>
      </c>
      <c r="U3061">
        <v>0</v>
      </c>
      <c r="V3061" t="s">
        <v>32</v>
      </c>
      <c r="W3061" t="s">
        <v>43</v>
      </c>
      <c r="X3061" s="4">
        <v>6.5</v>
      </c>
      <c r="Y3061">
        <v>5</v>
      </c>
      <c r="Z3061" s="5">
        <v>116.29</v>
      </c>
    </row>
    <row r="3062" spans="1:26">
      <c r="A3062">
        <v>3061</v>
      </c>
      <c r="B3062">
        <v>1000</v>
      </c>
      <c r="C3062" s="2">
        <v>46156</v>
      </c>
      <c r="D3062" t="s">
        <v>55</v>
      </c>
      <c r="E3062">
        <v>5</v>
      </c>
      <c r="F3062" s="3">
        <v>10.07</v>
      </c>
      <c r="G3062" t="s">
        <v>27</v>
      </c>
      <c r="H3062">
        <v>66</v>
      </c>
      <c r="I3062" t="s">
        <v>34</v>
      </c>
      <c r="J3062" s="4">
        <v>67</v>
      </c>
      <c r="K3062" s="4">
        <v>152.4</v>
      </c>
      <c r="L3062" s="4">
        <v>24.1</v>
      </c>
      <c r="M3062">
        <v>16</v>
      </c>
      <c r="N3062" t="s">
        <v>47</v>
      </c>
      <c r="O3062">
        <v>4</v>
      </c>
      <c r="P3062" s="4">
        <v>178.2</v>
      </c>
      <c r="Q3062" t="s">
        <v>42</v>
      </c>
      <c r="R3062">
        <v>0</v>
      </c>
      <c r="S3062" t="s">
        <v>38</v>
      </c>
      <c r="T3062">
        <v>0</v>
      </c>
      <c r="U3062">
        <v>0</v>
      </c>
      <c r="V3062" t="s">
        <v>32</v>
      </c>
      <c r="W3062" t="s">
        <v>43</v>
      </c>
      <c r="X3062" s="4">
        <v>7.6</v>
      </c>
      <c r="Y3062">
        <v>9</v>
      </c>
      <c r="Z3062" s="5">
        <v>195.28</v>
      </c>
    </row>
    <row r="3063" spans="1:26">
      <c r="A3063">
        <v>3062</v>
      </c>
      <c r="B3063">
        <v>1000</v>
      </c>
      <c r="C3063" s="2">
        <v>46156</v>
      </c>
      <c r="D3063" t="s">
        <v>55</v>
      </c>
      <c r="E3063">
        <v>5</v>
      </c>
      <c r="F3063" s="3">
        <v>10.19</v>
      </c>
      <c r="G3063" t="s">
        <v>27</v>
      </c>
      <c r="H3063">
        <v>43</v>
      </c>
      <c r="I3063" t="s">
        <v>34</v>
      </c>
      <c r="J3063" s="4">
        <v>67.900000000000006</v>
      </c>
      <c r="K3063" s="4">
        <v>179.7</v>
      </c>
      <c r="L3063" s="4">
        <v>27.4</v>
      </c>
      <c r="M3063">
        <v>17</v>
      </c>
      <c r="N3063" t="s">
        <v>47</v>
      </c>
      <c r="O3063">
        <v>4</v>
      </c>
      <c r="P3063" s="4">
        <v>178.2</v>
      </c>
      <c r="Q3063" t="s">
        <v>42</v>
      </c>
      <c r="R3063">
        <v>0</v>
      </c>
      <c r="S3063" t="s">
        <v>38</v>
      </c>
      <c r="T3063">
        <v>0</v>
      </c>
      <c r="U3063">
        <v>0</v>
      </c>
      <c r="V3063" t="s">
        <v>32</v>
      </c>
      <c r="W3063" t="s">
        <v>43</v>
      </c>
      <c r="X3063" s="4">
        <v>6.9</v>
      </c>
      <c r="Y3063">
        <v>9</v>
      </c>
      <c r="Z3063" s="5">
        <v>249.1</v>
      </c>
    </row>
    <row r="3064" spans="1:26">
      <c r="A3064">
        <v>3063</v>
      </c>
      <c r="B3064">
        <v>1000</v>
      </c>
      <c r="C3064" s="2">
        <v>46156</v>
      </c>
      <c r="D3064" t="s">
        <v>55</v>
      </c>
      <c r="E3064">
        <v>5</v>
      </c>
      <c r="F3064" s="3">
        <v>9.89</v>
      </c>
      <c r="G3064" t="s">
        <v>27</v>
      </c>
      <c r="H3064">
        <v>35</v>
      </c>
      <c r="I3064" t="s">
        <v>28</v>
      </c>
      <c r="J3064" s="4">
        <v>69.400000000000006</v>
      </c>
      <c r="K3064" s="4">
        <v>151.6</v>
      </c>
      <c r="L3064" s="4">
        <v>22.4</v>
      </c>
      <c r="M3064">
        <v>16</v>
      </c>
      <c r="N3064" t="s">
        <v>47</v>
      </c>
      <c r="O3064">
        <v>4</v>
      </c>
      <c r="P3064" s="4">
        <v>178.2</v>
      </c>
      <c r="Q3064" t="s">
        <v>42</v>
      </c>
      <c r="R3064">
        <v>0</v>
      </c>
      <c r="S3064" t="s">
        <v>38</v>
      </c>
      <c r="T3064">
        <v>0</v>
      </c>
      <c r="U3064">
        <v>0</v>
      </c>
      <c r="V3064" t="s">
        <v>32</v>
      </c>
      <c r="W3064" t="s">
        <v>43</v>
      </c>
      <c r="X3064" s="4">
        <v>9.3000000000000007</v>
      </c>
      <c r="Y3064">
        <v>10</v>
      </c>
      <c r="Z3064" s="5">
        <v>172.18</v>
      </c>
    </row>
    <row r="3065" spans="1:26">
      <c r="A3065">
        <v>3064</v>
      </c>
      <c r="B3065">
        <v>1001</v>
      </c>
      <c r="C3065" s="2">
        <v>46156</v>
      </c>
      <c r="D3065" t="s">
        <v>55</v>
      </c>
      <c r="E3065">
        <v>5</v>
      </c>
      <c r="F3065" s="3">
        <v>12.17</v>
      </c>
      <c r="G3065" t="s">
        <v>36</v>
      </c>
      <c r="H3065">
        <v>55</v>
      </c>
      <c r="I3065" t="s">
        <v>34</v>
      </c>
      <c r="J3065" s="4">
        <v>63.4</v>
      </c>
      <c r="K3065" s="4">
        <v>165.1</v>
      </c>
      <c r="L3065" s="4">
        <v>28.7</v>
      </c>
      <c r="M3065">
        <v>19</v>
      </c>
      <c r="N3065" t="s">
        <v>37</v>
      </c>
      <c r="O3065">
        <v>6</v>
      </c>
      <c r="P3065" s="4">
        <v>1089</v>
      </c>
      <c r="Q3065" t="s">
        <v>42</v>
      </c>
      <c r="R3065">
        <v>1</v>
      </c>
      <c r="S3065" t="s">
        <v>44</v>
      </c>
      <c r="T3065">
        <v>0</v>
      </c>
      <c r="U3065">
        <v>0</v>
      </c>
      <c r="V3065" t="s">
        <v>32</v>
      </c>
      <c r="W3065" t="s">
        <v>57</v>
      </c>
      <c r="X3065" s="4">
        <v>11.9</v>
      </c>
      <c r="Y3065">
        <v>13</v>
      </c>
      <c r="Z3065" s="5">
        <v>240.35</v>
      </c>
    </row>
    <row r="3066" spans="1:26">
      <c r="A3066">
        <v>3065</v>
      </c>
      <c r="B3066">
        <v>1001</v>
      </c>
      <c r="C3066" s="2">
        <v>46156</v>
      </c>
      <c r="D3066" t="s">
        <v>55</v>
      </c>
      <c r="E3066">
        <v>5</v>
      </c>
      <c r="F3066" s="3">
        <v>12.37</v>
      </c>
      <c r="G3066" t="s">
        <v>36</v>
      </c>
      <c r="H3066">
        <v>36</v>
      </c>
      <c r="I3066" t="s">
        <v>34</v>
      </c>
      <c r="J3066" s="4">
        <v>61</v>
      </c>
      <c r="K3066" s="4">
        <v>142.30000000000001</v>
      </c>
      <c r="L3066" s="4">
        <v>26.9</v>
      </c>
      <c r="M3066">
        <v>14</v>
      </c>
      <c r="N3066" t="s">
        <v>37</v>
      </c>
      <c r="O3066">
        <v>6</v>
      </c>
      <c r="P3066" s="4">
        <v>1089</v>
      </c>
      <c r="Q3066" t="s">
        <v>42</v>
      </c>
      <c r="R3066">
        <v>1</v>
      </c>
      <c r="S3066" t="s">
        <v>44</v>
      </c>
      <c r="T3066">
        <v>0</v>
      </c>
      <c r="U3066">
        <v>0</v>
      </c>
      <c r="V3066" t="s">
        <v>32</v>
      </c>
      <c r="W3066" t="s">
        <v>57</v>
      </c>
      <c r="X3066" s="4">
        <v>5.9</v>
      </c>
      <c r="Y3066">
        <v>5</v>
      </c>
      <c r="Z3066" s="5">
        <v>117.72</v>
      </c>
    </row>
    <row r="3067" spans="1:26">
      <c r="A3067">
        <v>3066</v>
      </c>
      <c r="B3067">
        <v>1001</v>
      </c>
      <c r="C3067" s="2">
        <v>46156</v>
      </c>
      <c r="D3067" t="s">
        <v>55</v>
      </c>
      <c r="E3067">
        <v>5</v>
      </c>
      <c r="F3067" s="3">
        <v>12.16</v>
      </c>
      <c r="G3067" t="s">
        <v>36</v>
      </c>
      <c r="H3067">
        <v>60</v>
      </c>
      <c r="I3067" t="s">
        <v>28</v>
      </c>
      <c r="J3067" s="4">
        <v>69</v>
      </c>
      <c r="K3067" s="4">
        <v>180</v>
      </c>
      <c r="L3067" s="4">
        <v>26.5</v>
      </c>
      <c r="M3067">
        <v>15</v>
      </c>
      <c r="N3067" t="s">
        <v>37</v>
      </c>
      <c r="O3067">
        <v>6</v>
      </c>
      <c r="P3067" s="4">
        <v>1089</v>
      </c>
      <c r="Q3067" t="s">
        <v>42</v>
      </c>
      <c r="R3067">
        <v>1</v>
      </c>
      <c r="S3067" t="s">
        <v>44</v>
      </c>
      <c r="T3067">
        <v>0</v>
      </c>
      <c r="U3067">
        <v>0</v>
      </c>
      <c r="V3067" t="s">
        <v>32</v>
      </c>
      <c r="W3067" t="s">
        <v>57</v>
      </c>
      <c r="X3067" s="4">
        <v>10.1</v>
      </c>
      <c r="Y3067">
        <v>15</v>
      </c>
      <c r="Z3067" s="5">
        <v>192.76</v>
      </c>
    </row>
    <row r="3068" spans="1:26">
      <c r="A3068">
        <v>3067</v>
      </c>
      <c r="B3068">
        <v>1001</v>
      </c>
      <c r="C3068" s="2">
        <v>46156</v>
      </c>
      <c r="D3068" t="s">
        <v>55</v>
      </c>
      <c r="E3068">
        <v>5</v>
      </c>
      <c r="F3068" s="3">
        <v>12.31</v>
      </c>
      <c r="G3068" t="s">
        <v>36</v>
      </c>
      <c r="H3068">
        <v>30</v>
      </c>
      <c r="I3068" t="s">
        <v>28</v>
      </c>
      <c r="J3068" s="4">
        <v>66.099999999999994</v>
      </c>
      <c r="K3068" s="4">
        <v>185.4</v>
      </c>
      <c r="L3068" s="4">
        <v>29.8</v>
      </c>
      <c r="M3068">
        <v>13</v>
      </c>
      <c r="N3068" t="s">
        <v>37</v>
      </c>
      <c r="O3068">
        <v>6</v>
      </c>
      <c r="P3068" s="4">
        <v>1089</v>
      </c>
      <c r="Q3068" t="s">
        <v>42</v>
      </c>
      <c r="R3068">
        <v>1</v>
      </c>
      <c r="S3068" t="s">
        <v>44</v>
      </c>
      <c r="T3068">
        <v>0</v>
      </c>
      <c r="U3068">
        <v>0</v>
      </c>
      <c r="V3068" t="s">
        <v>32</v>
      </c>
      <c r="W3068" t="s">
        <v>57</v>
      </c>
      <c r="X3068" s="4">
        <v>8.6999999999999993</v>
      </c>
      <c r="Y3068">
        <v>10</v>
      </c>
      <c r="Z3068" s="5">
        <v>199.4</v>
      </c>
    </row>
    <row r="3069" spans="1:26">
      <c r="A3069">
        <v>3068</v>
      </c>
      <c r="B3069">
        <v>1001</v>
      </c>
      <c r="C3069" s="2">
        <v>46156</v>
      </c>
      <c r="D3069" t="s">
        <v>55</v>
      </c>
      <c r="E3069">
        <v>5</v>
      </c>
      <c r="F3069" s="3">
        <v>12.26</v>
      </c>
      <c r="G3069" t="s">
        <v>36</v>
      </c>
      <c r="H3069">
        <v>10</v>
      </c>
      <c r="I3069" t="s">
        <v>34</v>
      </c>
      <c r="J3069" s="4">
        <v>67.2</v>
      </c>
      <c r="K3069" s="4">
        <v>133.19999999999999</v>
      </c>
      <c r="L3069" s="4">
        <v>20.9</v>
      </c>
      <c r="M3069">
        <v>13</v>
      </c>
      <c r="N3069" t="s">
        <v>37</v>
      </c>
      <c r="O3069">
        <v>6</v>
      </c>
      <c r="P3069" s="4">
        <v>1089</v>
      </c>
      <c r="Q3069" t="s">
        <v>42</v>
      </c>
      <c r="R3069">
        <v>1</v>
      </c>
      <c r="S3069" t="s">
        <v>44</v>
      </c>
      <c r="T3069">
        <v>0</v>
      </c>
      <c r="U3069">
        <v>0</v>
      </c>
      <c r="V3069" t="s">
        <v>32</v>
      </c>
      <c r="W3069" t="s">
        <v>57</v>
      </c>
      <c r="X3069" s="4">
        <v>5.7</v>
      </c>
      <c r="Y3069">
        <v>12</v>
      </c>
      <c r="Z3069" s="5">
        <v>328.95</v>
      </c>
    </row>
    <row r="3070" spans="1:26">
      <c r="A3070">
        <v>3069</v>
      </c>
      <c r="B3070">
        <v>1001</v>
      </c>
      <c r="C3070" s="2">
        <v>46156</v>
      </c>
      <c r="D3070" t="s">
        <v>55</v>
      </c>
      <c r="E3070">
        <v>5</v>
      </c>
      <c r="F3070" s="3">
        <v>12.13</v>
      </c>
      <c r="G3070" t="s">
        <v>36</v>
      </c>
      <c r="H3070">
        <v>28</v>
      </c>
      <c r="I3070" t="s">
        <v>34</v>
      </c>
      <c r="J3070" s="4">
        <v>65.099999999999994</v>
      </c>
      <c r="K3070" s="4">
        <v>116.4</v>
      </c>
      <c r="L3070" s="4">
        <v>19.399999999999999</v>
      </c>
      <c r="M3070">
        <v>16</v>
      </c>
      <c r="N3070" t="s">
        <v>37</v>
      </c>
      <c r="O3070">
        <v>6</v>
      </c>
      <c r="P3070" s="4">
        <v>1089</v>
      </c>
      <c r="Q3070" t="s">
        <v>42</v>
      </c>
      <c r="R3070">
        <v>1</v>
      </c>
      <c r="S3070" t="s">
        <v>44</v>
      </c>
      <c r="T3070">
        <v>0</v>
      </c>
      <c r="U3070">
        <v>0</v>
      </c>
      <c r="V3070" t="s">
        <v>32</v>
      </c>
      <c r="W3070" t="s">
        <v>57</v>
      </c>
      <c r="X3070" s="4">
        <v>8.1999999999999993</v>
      </c>
      <c r="Y3070">
        <v>10</v>
      </c>
      <c r="Z3070" s="5">
        <v>215.97</v>
      </c>
    </row>
    <row r="3071" spans="1:26">
      <c r="A3071">
        <v>3070</v>
      </c>
      <c r="B3071">
        <v>1002</v>
      </c>
      <c r="C3071" s="2">
        <v>46382</v>
      </c>
      <c r="D3071" t="s">
        <v>40</v>
      </c>
      <c r="E3071">
        <v>12</v>
      </c>
      <c r="F3071" s="3">
        <v>10.85</v>
      </c>
      <c r="G3071" t="s">
        <v>27</v>
      </c>
      <c r="H3071">
        <v>26</v>
      </c>
      <c r="I3071" t="s">
        <v>28</v>
      </c>
      <c r="J3071" s="4">
        <v>70.5</v>
      </c>
      <c r="K3071" s="4">
        <v>156</v>
      </c>
      <c r="L3071" s="4">
        <v>21.8</v>
      </c>
      <c r="M3071">
        <v>16</v>
      </c>
      <c r="N3071" t="s">
        <v>47</v>
      </c>
      <c r="O3071">
        <v>4</v>
      </c>
      <c r="P3071" s="4">
        <v>85.9</v>
      </c>
      <c r="Q3071" t="s">
        <v>42</v>
      </c>
      <c r="R3071">
        <v>0</v>
      </c>
      <c r="S3071" t="s">
        <v>38</v>
      </c>
      <c r="T3071">
        <v>1</v>
      </c>
      <c r="U3071">
        <v>0</v>
      </c>
      <c r="V3071" t="s">
        <v>32</v>
      </c>
      <c r="W3071" t="s">
        <v>57</v>
      </c>
      <c r="X3071" s="4">
        <v>6.7</v>
      </c>
      <c r="Y3071">
        <v>6</v>
      </c>
      <c r="Z3071" s="5">
        <v>266.69</v>
      </c>
    </row>
    <row r="3072" spans="1:26">
      <c r="A3072">
        <v>3071</v>
      </c>
      <c r="B3072">
        <v>1002</v>
      </c>
      <c r="C3072" s="2">
        <v>46382</v>
      </c>
      <c r="D3072" t="s">
        <v>40</v>
      </c>
      <c r="E3072">
        <v>12</v>
      </c>
      <c r="F3072" s="3">
        <v>10.96</v>
      </c>
      <c r="G3072" t="s">
        <v>27</v>
      </c>
      <c r="H3072">
        <v>14</v>
      </c>
      <c r="I3072" t="s">
        <v>28</v>
      </c>
      <c r="J3072" s="4">
        <v>65</v>
      </c>
      <c r="K3072" s="4">
        <v>123.4</v>
      </c>
      <c r="L3072" s="4">
        <v>20.6</v>
      </c>
      <c r="M3072">
        <v>15</v>
      </c>
      <c r="N3072" t="s">
        <v>47</v>
      </c>
      <c r="O3072">
        <v>4</v>
      </c>
      <c r="P3072" s="4">
        <v>85.9</v>
      </c>
      <c r="Q3072" t="s">
        <v>42</v>
      </c>
      <c r="R3072">
        <v>0</v>
      </c>
      <c r="S3072" t="s">
        <v>38</v>
      </c>
      <c r="T3072">
        <v>1</v>
      </c>
      <c r="U3072">
        <v>0</v>
      </c>
      <c r="V3072" t="s">
        <v>32</v>
      </c>
      <c r="W3072" t="s">
        <v>57</v>
      </c>
      <c r="X3072" s="4">
        <v>8.6</v>
      </c>
      <c r="Y3072">
        <v>15</v>
      </c>
      <c r="Z3072" s="5">
        <v>163.80000000000001</v>
      </c>
    </row>
    <row r="3073" spans="1:26">
      <c r="A3073">
        <v>3072</v>
      </c>
      <c r="B3073">
        <v>1002</v>
      </c>
      <c r="C3073" s="2">
        <v>46382</v>
      </c>
      <c r="D3073" t="s">
        <v>40</v>
      </c>
      <c r="E3073">
        <v>12</v>
      </c>
      <c r="F3073" s="3">
        <v>11.03</v>
      </c>
      <c r="G3073" t="s">
        <v>36</v>
      </c>
      <c r="H3073">
        <v>33</v>
      </c>
      <c r="I3073" t="s">
        <v>34</v>
      </c>
      <c r="J3073" s="4">
        <v>62.6</v>
      </c>
      <c r="K3073" s="4">
        <v>114.8</v>
      </c>
      <c r="L3073" s="4">
        <v>20.5</v>
      </c>
      <c r="M3073">
        <v>17</v>
      </c>
      <c r="N3073" t="s">
        <v>47</v>
      </c>
      <c r="O3073">
        <v>4</v>
      </c>
      <c r="P3073" s="4">
        <v>85.9</v>
      </c>
      <c r="Q3073" t="s">
        <v>42</v>
      </c>
      <c r="R3073">
        <v>0</v>
      </c>
      <c r="S3073" t="s">
        <v>38</v>
      </c>
      <c r="T3073">
        <v>1</v>
      </c>
      <c r="U3073">
        <v>0</v>
      </c>
      <c r="V3073" t="s">
        <v>32</v>
      </c>
      <c r="W3073" t="s">
        <v>57</v>
      </c>
      <c r="X3073" s="4">
        <v>9.3000000000000007</v>
      </c>
      <c r="Y3073">
        <v>13</v>
      </c>
      <c r="Z3073" s="5">
        <v>206.8</v>
      </c>
    </row>
    <row r="3074" spans="1:26">
      <c r="A3074">
        <v>3073</v>
      </c>
      <c r="B3074">
        <v>1002</v>
      </c>
      <c r="C3074" s="2">
        <v>46382</v>
      </c>
      <c r="D3074" t="s">
        <v>40</v>
      </c>
      <c r="E3074">
        <v>12</v>
      </c>
      <c r="F3074" s="3">
        <v>11.02</v>
      </c>
      <c r="G3074" t="s">
        <v>36</v>
      </c>
      <c r="H3074">
        <v>14</v>
      </c>
      <c r="I3074" t="s">
        <v>34</v>
      </c>
      <c r="J3074" s="4">
        <v>67.5</v>
      </c>
      <c r="K3074" s="4">
        <v>106.4</v>
      </c>
      <c r="L3074" s="4">
        <v>16.7</v>
      </c>
      <c r="M3074">
        <v>13</v>
      </c>
      <c r="N3074" t="s">
        <v>47</v>
      </c>
      <c r="O3074">
        <v>4</v>
      </c>
      <c r="P3074" s="4">
        <v>85.9</v>
      </c>
      <c r="Q3074" t="s">
        <v>42</v>
      </c>
      <c r="R3074">
        <v>0</v>
      </c>
      <c r="S3074" t="s">
        <v>38</v>
      </c>
      <c r="T3074">
        <v>1</v>
      </c>
      <c r="U3074">
        <v>0</v>
      </c>
      <c r="V3074" t="s">
        <v>32</v>
      </c>
      <c r="W3074" t="s">
        <v>57</v>
      </c>
      <c r="X3074" s="4">
        <v>8.1</v>
      </c>
      <c r="Y3074">
        <v>8</v>
      </c>
      <c r="Z3074" s="5">
        <v>151.30000000000001</v>
      </c>
    </row>
    <row r="3075" spans="1:26">
      <c r="A3075">
        <v>3074</v>
      </c>
      <c r="B3075">
        <v>1003</v>
      </c>
      <c r="C3075" s="2">
        <v>46357</v>
      </c>
      <c r="D3075" t="s">
        <v>35</v>
      </c>
      <c r="E3075">
        <v>12</v>
      </c>
      <c r="F3075" s="3">
        <v>9.08</v>
      </c>
      <c r="G3075" t="s">
        <v>27</v>
      </c>
      <c r="H3075">
        <v>52</v>
      </c>
      <c r="I3075" t="s">
        <v>28</v>
      </c>
      <c r="J3075" s="4">
        <v>71.7</v>
      </c>
      <c r="K3075" s="4">
        <v>205.8</v>
      </c>
      <c r="L3075" s="4">
        <v>28.3</v>
      </c>
      <c r="M3075">
        <v>13</v>
      </c>
      <c r="N3075" t="s">
        <v>47</v>
      </c>
      <c r="O3075">
        <v>2</v>
      </c>
      <c r="P3075" s="4">
        <v>142.1</v>
      </c>
      <c r="Q3075" t="s">
        <v>42</v>
      </c>
      <c r="R3075">
        <v>0</v>
      </c>
      <c r="S3075" t="s">
        <v>38</v>
      </c>
      <c r="T3075">
        <v>0</v>
      </c>
      <c r="U3075">
        <v>0</v>
      </c>
      <c r="V3075" t="s">
        <v>32</v>
      </c>
      <c r="W3075" t="s">
        <v>57</v>
      </c>
      <c r="X3075" s="4">
        <v>9.3000000000000007</v>
      </c>
      <c r="Y3075">
        <v>6</v>
      </c>
      <c r="Z3075" s="5">
        <v>197.09</v>
      </c>
    </row>
    <row r="3076" spans="1:26">
      <c r="A3076">
        <v>3075</v>
      </c>
      <c r="B3076">
        <v>1003</v>
      </c>
      <c r="C3076" s="2">
        <v>46357</v>
      </c>
      <c r="D3076" t="s">
        <v>35</v>
      </c>
      <c r="E3076">
        <v>12</v>
      </c>
      <c r="F3076" s="3">
        <v>9.11</v>
      </c>
      <c r="G3076" t="s">
        <v>27</v>
      </c>
      <c r="H3076">
        <v>49</v>
      </c>
      <c r="I3076" t="s">
        <v>34</v>
      </c>
      <c r="J3076" s="4">
        <v>60.6</v>
      </c>
      <c r="K3076" s="4">
        <v>143.1</v>
      </c>
      <c r="L3076" s="4">
        <v>27.6</v>
      </c>
      <c r="M3076">
        <v>17</v>
      </c>
      <c r="N3076" t="s">
        <v>47</v>
      </c>
      <c r="O3076">
        <v>2</v>
      </c>
      <c r="P3076" s="4">
        <v>142.1</v>
      </c>
      <c r="Q3076" t="s">
        <v>42</v>
      </c>
      <c r="R3076">
        <v>0</v>
      </c>
      <c r="S3076" t="s">
        <v>38</v>
      </c>
      <c r="T3076">
        <v>0</v>
      </c>
      <c r="U3076">
        <v>0</v>
      </c>
      <c r="V3076" t="s">
        <v>32</v>
      </c>
      <c r="W3076" t="s">
        <v>57</v>
      </c>
      <c r="X3076" s="4">
        <v>8</v>
      </c>
      <c r="Y3076">
        <v>3</v>
      </c>
      <c r="Z3076" s="5">
        <v>136.87</v>
      </c>
    </row>
    <row r="3077" spans="1:26">
      <c r="A3077">
        <v>3076</v>
      </c>
      <c r="B3077">
        <v>1004</v>
      </c>
      <c r="C3077" s="2">
        <v>46288</v>
      </c>
      <c r="D3077" t="s">
        <v>52</v>
      </c>
      <c r="E3077">
        <v>9</v>
      </c>
      <c r="F3077" s="3">
        <v>10.68</v>
      </c>
      <c r="G3077" t="s">
        <v>27</v>
      </c>
      <c r="H3077">
        <v>32</v>
      </c>
      <c r="I3077" t="s">
        <v>34</v>
      </c>
      <c r="J3077" s="4">
        <v>61.2</v>
      </c>
      <c r="K3077" s="4">
        <v>170.7</v>
      </c>
      <c r="L3077" s="4">
        <v>32</v>
      </c>
      <c r="M3077">
        <v>19</v>
      </c>
      <c r="N3077" t="s">
        <v>29</v>
      </c>
      <c r="O3077">
        <v>4</v>
      </c>
      <c r="P3077" s="4">
        <v>1781.8</v>
      </c>
      <c r="Q3077" t="s">
        <v>48</v>
      </c>
      <c r="R3077">
        <v>0</v>
      </c>
      <c r="S3077" t="s">
        <v>44</v>
      </c>
      <c r="T3077">
        <v>1</v>
      </c>
      <c r="U3077">
        <v>0</v>
      </c>
      <c r="V3077" t="s">
        <v>32</v>
      </c>
      <c r="W3077" t="s">
        <v>39</v>
      </c>
      <c r="X3077" s="4">
        <v>7.7</v>
      </c>
      <c r="Y3077">
        <v>8</v>
      </c>
      <c r="Z3077" s="5">
        <v>292</v>
      </c>
    </row>
    <row r="3078" spans="1:26">
      <c r="A3078">
        <v>3077</v>
      </c>
      <c r="B3078">
        <v>1004</v>
      </c>
      <c r="C3078" s="2">
        <v>46288</v>
      </c>
      <c r="D3078" t="s">
        <v>52</v>
      </c>
      <c r="E3078">
        <v>9</v>
      </c>
      <c r="F3078" s="3">
        <v>10.47</v>
      </c>
      <c r="G3078" t="s">
        <v>27</v>
      </c>
      <c r="H3078">
        <v>76</v>
      </c>
      <c r="I3078" t="s">
        <v>34</v>
      </c>
      <c r="J3078" s="4">
        <v>60.7</v>
      </c>
      <c r="K3078" s="4">
        <v>123.5</v>
      </c>
      <c r="L3078" s="4">
        <v>23.4</v>
      </c>
      <c r="M3078">
        <v>21</v>
      </c>
      <c r="N3078" t="s">
        <v>29</v>
      </c>
      <c r="O3078">
        <v>4</v>
      </c>
      <c r="P3078" s="4">
        <v>1781.8</v>
      </c>
      <c r="Q3078" t="s">
        <v>48</v>
      </c>
      <c r="R3078">
        <v>0</v>
      </c>
      <c r="S3078" t="s">
        <v>44</v>
      </c>
      <c r="T3078">
        <v>1</v>
      </c>
      <c r="U3078">
        <v>0</v>
      </c>
      <c r="V3078" t="s">
        <v>32</v>
      </c>
      <c r="W3078" t="s">
        <v>39</v>
      </c>
      <c r="X3078" s="4">
        <v>9.3000000000000007</v>
      </c>
      <c r="Y3078">
        <v>13</v>
      </c>
      <c r="Z3078" s="5">
        <v>235.58</v>
      </c>
    </row>
    <row r="3079" spans="1:26">
      <c r="A3079">
        <v>3078</v>
      </c>
      <c r="B3079">
        <v>1004</v>
      </c>
      <c r="C3079" s="2">
        <v>46288</v>
      </c>
      <c r="D3079" t="s">
        <v>52</v>
      </c>
      <c r="E3079">
        <v>9</v>
      </c>
      <c r="F3079" s="3">
        <v>10.66</v>
      </c>
      <c r="G3079" t="s">
        <v>27</v>
      </c>
      <c r="H3079">
        <v>53</v>
      </c>
      <c r="I3079" t="s">
        <v>34</v>
      </c>
      <c r="J3079" s="4">
        <v>58.6</v>
      </c>
      <c r="K3079" s="4">
        <v>142.9</v>
      </c>
      <c r="L3079" s="4">
        <v>29</v>
      </c>
      <c r="M3079">
        <v>22</v>
      </c>
      <c r="N3079" t="s">
        <v>29</v>
      </c>
      <c r="O3079">
        <v>4</v>
      </c>
      <c r="P3079" s="4">
        <v>1781.8</v>
      </c>
      <c r="Q3079" t="s">
        <v>48</v>
      </c>
      <c r="R3079">
        <v>0</v>
      </c>
      <c r="S3079" t="s">
        <v>44</v>
      </c>
      <c r="T3079">
        <v>1</v>
      </c>
      <c r="U3079">
        <v>0</v>
      </c>
      <c r="V3079" t="s">
        <v>32</v>
      </c>
      <c r="W3079" t="s">
        <v>39</v>
      </c>
      <c r="X3079" s="4">
        <v>9.1999999999999993</v>
      </c>
      <c r="Y3079">
        <v>14</v>
      </c>
      <c r="Z3079" s="5">
        <v>272.61</v>
      </c>
    </row>
    <row r="3080" spans="1:26">
      <c r="A3080">
        <v>3079</v>
      </c>
      <c r="B3080">
        <v>1004</v>
      </c>
      <c r="C3080" s="2">
        <v>46288</v>
      </c>
      <c r="D3080" t="s">
        <v>52</v>
      </c>
      <c r="E3080">
        <v>9</v>
      </c>
      <c r="F3080" s="3">
        <v>10.45</v>
      </c>
      <c r="G3080" t="s">
        <v>27</v>
      </c>
      <c r="H3080">
        <v>23</v>
      </c>
      <c r="I3080" t="s">
        <v>28</v>
      </c>
      <c r="J3080" s="4">
        <v>70.7</v>
      </c>
      <c r="K3080" s="4">
        <v>209.1</v>
      </c>
      <c r="L3080" s="4">
        <v>29.4</v>
      </c>
      <c r="M3080">
        <v>16</v>
      </c>
      <c r="N3080" t="s">
        <v>29</v>
      </c>
      <c r="O3080">
        <v>4</v>
      </c>
      <c r="P3080" s="4">
        <v>1781.8</v>
      </c>
      <c r="Q3080" t="s">
        <v>48</v>
      </c>
      <c r="R3080">
        <v>0</v>
      </c>
      <c r="S3080" t="s">
        <v>44</v>
      </c>
      <c r="T3080">
        <v>1</v>
      </c>
      <c r="U3080">
        <v>0</v>
      </c>
      <c r="V3080" t="s">
        <v>32</v>
      </c>
      <c r="W3080" t="s">
        <v>39</v>
      </c>
      <c r="X3080" s="4">
        <v>7.8</v>
      </c>
      <c r="Y3080">
        <v>5</v>
      </c>
      <c r="Z3080" s="5">
        <v>144.57</v>
      </c>
    </row>
    <row r="3081" spans="1:26">
      <c r="A3081">
        <v>3080</v>
      </c>
      <c r="B3081">
        <v>1005</v>
      </c>
      <c r="C3081" s="2">
        <v>46317</v>
      </c>
      <c r="D3081" t="s">
        <v>55</v>
      </c>
      <c r="E3081">
        <v>10</v>
      </c>
      <c r="F3081" s="3">
        <v>9.07</v>
      </c>
      <c r="G3081" t="s">
        <v>27</v>
      </c>
      <c r="H3081">
        <v>41</v>
      </c>
      <c r="I3081" t="s">
        <v>34</v>
      </c>
      <c r="J3081" s="4">
        <v>62.9</v>
      </c>
      <c r="K3081" s="4">
        <v>163.19999999999999</v>
      </c>
      <c r="L3081" s="4">
        <v>29.1</v>
      </c>
      <c r="M3081">
        <v>18</v>
      </c>
      <c r="N3081" t="s">
        <v>37</v>
      </c>
      <c r="O3081">
        <v>3</v>
      </c>
      <c r="P3081" s="4">
        <v>917.8</v>
      </c>
      <c r="Q3081" t="s">
        <v>42</v>
      </c>
      <c r="R3081">
        <v>0</v>
      </c>
      <c r="S3081" t="s">
        <v>44</v>
      </c>
      <c r="T3081">
        <v>0</v>
      </c>
      <c r="U3081">
        <v>0</v>
      </c>
      <c r="V3081" t="s">
        <v>32</v>
      </c>
      <c r="W3081" t="s">
        <v>39</v>
      </c>
      <c r="X3081" s="4">
        <v>9.1</v>
      </c>
      <c r="Y3081">
        <v>6</v>
      </c>
      <c r="Z3081" s="5">
        <v>176.52</v>
      </c>
    </row>
    <row r="3082" spans="1:26">
      <c r="A3082">
        <v>3081</v>
      </c>
      <c r="B3082">
        <v>1005</v>
      </c>
      <c r="C3082" s="2">
        <v>46317</v>
      </c>
      <c r="D3082" t="s">
        <v>55</v>
      </c>
      <c r="E3082">
        <v>10</v>
      </c>
      <c r="F3082" s="3">
        <v>9</v>
      </c>
      <c r="G3082" t="s">
        <v>27</v>
      </c>
      <c r="H3082">
        <v>8</v>
      </c>
      <c r="I3082" t="s">
        <v>34</v>
      </c>
      <c r="J3082" s="4">
        <v>61.4</v>
      </c>
      <c r="K3082" s="4">
        <v>86</v>
      </c>
      <c r="L3082" s="4">
        <v>16.3</v>
      </c>
      <c r="M3082">
        <v>12</v>
      </c>
      <c r="N3082" t="s">
        <v>37</v>
      </c>
      <c r="O3082">
        <v>3</v>
      </c>
      <c r="P3082" s="4">
        <v>917.8</v>
      </c>
      <c r="Q3082" t="s">
        <v>42</v>
      </c>
      <c r="R3082">
        <v>0</v>
      </c>
      <c r="S3082" t="s">
        <v>44</v>
      </c>
      <c r="T3082">
        <v>0</v>
      </c>
      <c r="U3082">
        <v>0</v>
      </c>
      <c r="V3082" t="s">
        <v>32</v>
      </c>
      <c r="W3082" t="s">
        <v>39</v>
      </c>
      <c r="X3082" s="4">
        <v>6.6</v>
      </c>
      <c r="Y3082">
        <v>7</v>
      </c>
      <c r="Z3082" s="5">
        <v>208.36</v>
      </c>
    </row>
    <row r="3083" spans="1:26">
      <c r="A3083">
        <v>3082</v>
      </c>
      <c r="B3083">
        <v>1005</v>
      </c>
      <c r="C3083" s="2">
        <v>46317</v>
      </c>
      <c r="D3083" t="s">
        <v>55</v>
      </c>
      <c r="E3083">
        <v>10</v>
      </c>
      <c r="F3083" s="3">
        <v>9.16</v>
      </c>
      <c r="G3083" t="s">
        <v>27</v>
      </c>
      <c r="H3083">
        <v>13</v>
      </c>
      <c r="I3083" t="s">
        <v>34</v>
      </c>
      <c r="J3083" s="4">
        <v>70</v>
      </c>
      <c r="K3083" s="4">
        <v>136.9</v>
      </c>
      <c r="L3083" s="4">
        <v>19.600000000000001</v>
      </c>
      <c r="M3083">
        <v>13</v>
      </c>
      <c r="N3083" t="s">
        <v>37</v>
      </c>
      <c r="O3083">
        <v>3</v>
      </c>
      <c r="P3083" s="4">
        <v>917.8</v>
      </c>
      <c r="Q3083" t="s">
        <v>42</v>
      </c>
      <c r="R3083">
        <v>0</v>
      </c>
      <c r="S3083" t="s">
        <v>44</v>
      </c>
      <c r="T3083">
        <v>0</v>
      </c>
      <c r="U3083">
        <v>0</v>
      </c>
      <c r="V3083" t="s">
        <v>32</v>
      </c>
      <c r="W3083" t="s">
        <v>39</v>
      </c>
      <c r="X3083" s="4">
        <v>8.9</v>
      </c>
      <c r="Y3083">
        <v>10</v>
      </c>
      <c r="Z3083" s="5">
        <v>168.82</v>
      </c>
    </row>
    <row r="3084" spans="1:26">
      <c r="A3084">
        <v>3083</v>
      </c>
      <c r="B3084">
        <v>1006</v>
      </c>
      <c r="C3084" s="2">
        <v>46229</v>
      </c>
      <c r="D3084" t="s">
        <v>58</v>
      </c>
      <c r="E3084">
        <v>7</v>
      </c>
      <c r="F3084" s="3">
        <v>10.31</v>
      </c>
      <c r="G3084" t="s">
        <v>27</v>
      </c>
      <c r="H3084">
        <v>36</v>
      </c>
      <c r="I3084" t="s">
        <v>28</v>
      </c>
      <c r="J3084" s="4">
        <v>69</v>
      </c>
      <c r="K3084" s="4">
        <v>148</v>
      </c>
      <c r="L3084" s="4">
        <v>21.8</v>
      </c>
      <c r="M3084">
        <v>17</v>
      </c>
      <c r="N3084" t="s">
        <v>66</v>
      </c>
      <c r="O3084">
        <v>1</v>
      </c>
      <c r="P3084" s="4">
        <v>760.1</v>
      </c>
      <c r="Q3084" t="s">
        <v>42</v>
      </c>
      <c r="R3084">
        <v>1</v>
      </c>
      <c r="S3084" t="s">
        <v>31</v>
      </c>
      <c r="T3084">
        <v>1</v>
      </c>
      <c r="U3084">
        <v>1</v>
      </c>
      <c r="V3084" t="s">
        <v>64</v>
      </c>
      <c r="W3084" t="s">
        <v>33</v>
      </c>
      <c r="X3084" s="4">
        <v>8.5</v>
      </c>
      <c r="Y3084">
        <v>7</v>
      </c>
      <c r="Z3084" s="5">
        <v>206.09</v>
      </c>
    </row>
    <row r="3085" spans="1:26">
      <c r="A3085">
        <v>3084</v>
      </c>
      <c r="B3085">
        <v>1007</v>
      </c>
      <c r="C3085" s="2">
        <v>46125</v>
      </c>
      <c r="D3085" t="s">
        <v>46</v>
      </c>
      <c r="E3085">
        <v>4</v>
      </c>
      <c r="F3085" s="3">
        <v>10.09</v>
      </c>
      <c r="G3085" t="s">
        <v>27</v>
      </c>
      <c r="H3085">
        <v>12</v>
      </c>
      <c r="I3085" t="s">
        <v>28</v>
      </c>
      <c r="J3085" s="4">
        <v>70</v>
      </c>
      <c r="K3085" s="4">
        <v>120.8</v>
      </c>
      <c r="L3085" s="4">
        <v>17.399999999999999</v>
      </c>
      <c r="M3085">
        <v>13</v>
      </c>
      <c r="N3085" t="s">
        <v>47</v>
      </c>
      <c r="O3085">
        <v>3</v>
      </c>
      <c r="P3085" s="4">
        <v>99.8</v>
      </c>
      <c r="Q3085" t="s">
        <v>42</v>
      </c>
      <c r="R3085">
        <v>0</v>
      </c>
      <c r="S3085" t="s">
        <v>38</v>
      </c>
      <c r="T3085">
        <v>0</v>
      </c>
      <c r="U3085">
        <v>0</v>
      </c>
      <c r="V3085" t="s">
        <v>64</v>
      </c>
      <c r="W3085" t="s">
        <v>57</v>
      </c>
      <c r="X3085" s="4">
        <v>7.2</v>
      </c>
      <c r="Y3085">
        <v>11</v>
      </c>
      <c r="Z3085" s="5">
        <v>241.11</v>
      </c>
    </row>
    <row r="3086" spans="1:26">
      <c r="A3086">
        <v>3085</v>
      </c>
      <c r="B3086">
        <v>1007</v>
      </c>
      <c r="C3086" s="2">
        <v>46125</v>
      </c>
      <c r="D3086" t="s">
        <v>46</v>
      </c>
      <c r="E3086">
        <v>4</v>
      </c>
      <c r="F3086" s="3">
        <v>10.210000000000001</v>
      </c>
      <c r="G3086" t="s">
        <v>27</v>
      </c>
      <c r="H3086">
        <v>18</v>
      </c>
      <c r="I3086" t="s">
        <v>34</v>
      </c>
      <c r="J3086" s="4">
        <v>67.2</v>
      </c>
      <c r="K3086" s="4">
        <v>141.9</v>
      </c>
      <c r="L3086" s="4">
        <v>22.2</v>
      </c>
      <c r="M3086">
        <v>8</v>
      </c>
      <c r="N3086" t="s">
        <v>47</v>
      </c>
      <c r="O3086">
        <v>3</v>
      </c>
      <c r="P3086" s="4">
        <v>99.8</v>
      </c>
      <c r="Q3086" t="s">
        <v>42</v>
      </c>
      <c r="R3086">
        <v>0</v>
      </c>
      <c r="S3086" t="s">
        <v>38</v>
      </c>
      <c r="T3086">
        <v>0</v>
      </c>
      <c r="U3086">
        <v>0</v>
      </c>
      <c r="V3086" t="s">
        <v>64</v>
      </c>
      <c r="W3086" t="s">
        <v>57</v>
      </c>
      <c r="X3086" s="4">
        <v>9.8000000000000007</v>
      </c>
      <c r="Y3086">
        <v>7</v>
      </c>
      <c r="Z3086" s="5">
        <v>257.01</v>
      </c>
    </row>
    <row r="3087" spans="1:26">
      <c r="A3087">
        <v>3086</v>
      </c>
      <c r="B3087">
        <v>1007</v>
      </c>
      <c r="C3087" s="2">
        <v>46125</v>
      </c>
      <c r="D3087" t="s">
        <v>46</v>
      </c>
      <c r="E3087">
        <v>4</v>
      </c>
      <c r="F3087" s="3">
        <v>10.44</v>
      </c>
      <c r="G3087" t="s">
        <v>27</v>
      </c>
      <c r="H3087">
        <v>48</v>
      </c>
      <c r="I3087" t="s">
        <v>28</v>
      </c>
      <c r="J3087" s="4">
        <v>71.400000000000006</v>
      </c>
      <c r="K3087" s="4">
        <v>209.9</v>
      </c>
      <c r="L3087" s="4">
        <v>28.9</v>
      </c>
      <c r="M3087">
        <v>16</v>
      </c>
      <c r="N3087" t="s">
        <v>47</v>
      </c>
      <c r="O3087">
        <v>3</v>
      </c>
      <c r="P3087" s="4">
        <v>99.8</v>
      </c>
      <c r="Q3087" t="s">
        <v>42</v>
      </c>
      <c r="R3087">
        <v>0</v>
      </c>
      <c r="S3087" t="s">
        <v>38</v>
      </c>
      <c r="T3087">
        <v>0</v>
      </c>
      <c r="U3087">
        <v>0</v>
      </c>
      <c r="V3087" t="s">
        <v>64</v>
      </c>
      <c r="W3087" t="s">
        <v>57</v>
      </c>
      <c r="X3087" s="4">
        <v>8.9</v>
      </c>
      <c r="Y3087">
        <v>6</v>
      </c>
      <c r="Z3087" s="5">
        <v>135.74</v>
      </c>
    </row>
    <row r="3088" spans="1:26">
      <c r="A3088">
        <v>3087</v>
      </c>
      <c r="B3088">
        <v>1008</v>
      </c>
      <c r="C3088" s="2">
        <v>46224</v>
      </c>
      <c r="D3088" t="s">
        <v>35</v>
      </c>
      <c r="E3088">
        <v>7</v>
      </c>
      <c r="F3088" s="3">
        <v>8.65</v>
      </c>
      <c r="G3088" t="s">
        <v>27</v>
      </c>
      <c r="H3088">
        <v>61</v>
      </c>
      <c r="I3088" t="s">
        <v>34</v>
      </c>
      <c r="J3088" s="4">
        <v>59.5</v>
      </c>
      <c r="K3088" s="4">
        <v>100.1</v>
      </c>
      <c r="L3088" s="4">
        <v>19.899999999999999</v>
      </c>
      <c r="M3088">
        <v>18</v>
      </c>
      <c r="N3088" t="s">
        <v>47</v>
      </c>
      <c r="O3088">
        <v>2</v>
      </c>
      <c r="P3088" s="4">
        <v>68.3</v>
      </c>
      <c r="Q3088" t="s">
        <v>48</v>
      </c>
      <c r="R3088">
        <v>0</v>
      </c>
      <c r="S3088" t="s">
        <v>44</v>
      </c>
      <c r="T3088">
        <v>1</v>
      </c>
      <c r="U3088">
        <v>0</v>
      </c>
      <c r="V3088" t="s">
        <v>32</v>
      </c>
      <c r="W3088" t="s">
        <v>49</v>
      </c>
      <c r="X3088" s="4">
        <v>9.5</v>
      </c>
      <c r="Y3088">
        <v>5</v>
      </c>
      <c r="Z3088" s="5">
        <v>359.52</v>
      </c>
    </row>
    <row r="3089" spans="1:26">
      <c r="A3089">
        <v>3088</v>
      </c>
      <c r="B3089">
        <v>1008</v>
      </c>
      <c r="C3089" s="2">
        <v>46224</v>
      </c>
      <c r="D3089" t="s">
        <v>35</v>
      </c>
      <c r="E3089">
        <v>7</v>
      </c>
      <c r="F3089" s="3">
        <v>8.44</v>
      </c>
      <c r="G3089" t="s">
        <v>27</v>
      </c>
      <c r="H3089">
        <v>43</v>
      </c>
      <c r="I3089" t="s">
        <v>28</v>
      </c>
      <c r="J3089" s="4">
        <v>68.3</v>
      </c>
      <c r="K3089" s="4">
        <v>181.7</v>
      </c>
      <c r="L3089" s="4">
        <v>27.4</v>
      </c>
      <c r="M3089">
        <v>14</v>
      </c>
      <c r="N3089" t="s">
        <v>47</v>
      </c>
      <c r="O3089">
        <v>2</v>
      </c>
      <c r="P3089" s="4">
        <v>68.3</v>
      </c>
      <c r="Q3089" t="s">
        <v>48</v>
      </c>
      <c r="R3089">
        <v>0</v>
      </c>
      <c r="S3089" t="s">
        <v>44</v>
      </c>
      <c r="T3089">
        <v>1</v>
      </c>
      <c r="U3089">
        <v>0</v>
      </c>
      <c r="V3089" t="s">
        <v>32</v>
      </c>
      <c r="W3089" t="s">
        <v>49</v>
      </c>
      <c r="X3089" s="4">
        <v>8.8000000000000007</v>
      </c>
      <c r="Y3089">
        <v>9</v>
      </c>
      <c r="Z3089" s="5">
        <v>341.89</v>
      </c>
    </row>
    <row r="3090" spans="1:26">
      <c r="A3090">
        <v>3089</v>
      </c>
      <c r="B3090">
        <v>1009</v>
      </c>
      <c r="C3090" s="2">
        <v>46049</v>
      </c>
      <c r="D3090" t="s">
        <v>35</v>
      </c>
      <c r="E3090">
        <v>1</v>
      </c>
      <c r="F3090" s="3">
        <v>12.68</v>
      </c>
      <c r="G3090" t="s">
        <v>36</v>
      </c>
      <c r="H3090">
        <v>6</v>
      </c>
      <c r="I3090" t="s">
        <v>34</v>
      </c>
      <c r="J3090" s="4">
        <v>60.1</v>
      </c>
      <c r="K3090" s="4">
        <v>115.5</v>
      </c>
      <c r="L3090" s="4">
        <v>22.4</v>
      </c>
      <c r="M3090">
        <v>14</v>
      </c>
      <c r="N3090" t="s">
        <v>47</v>
      </c>
      <c r="O3090">
        <v>5</v>
      </c>
      <c r="P3090" s="4">
        <v>57.6</v>
      </c>
      <c r="Q3090" t="s">
        <v>42</v>
      </c>
      <c r="R3090">
        <v>0</v>
      </c>
      <c r="S3090" t="s">
        <v>31</v>
      </c>
      <c r="T3090">
        <v>1</v>
      </c>
      <c r="U3090">
        <v>0</v>
      </c>
      <c r="V3090" t="s">
        <v>32</v>
      </c>
      <c r="W3090" t="s">
        <v>39</v>
      </c>
      <c r="X3090" s="4">
        <v>8.4</v>
      </c>
      <c r="Y3090">
        <v>14</v>
      </c>
      <c r="Z3090" s="5">
        <v>269.63</v>
      </c>
    </row>
    <row r="3091" spans="1:26">
      <c r="A3091">
        <v>3090</v>
      </c>
      <c r="B3091">
        <v>1009</v>
      </c>
      <c r="C3091" s="2">
        <v>46049</v>
      </c>
      <c r="D3091" t="s">
        <v>35</v>
      </c>
      <c r="E3091">
        <v>1</v>
      </c>
      <c r="F3091" s="3">
        <v>12.55</v>
      </c>
      <c r="G3091" t="s">
        <v>36</v>
      </c>
      <c r="H3091">
        <v>37</v>
      </c>
      <c r="I3091" t="s">
        <v>34</v>
      </c>
      <c r="J3091" s="4">
        <v>65.7</v>
      </c>
      <c r="K3091" s="4">
        <v>139.4</v>
      </c>
      <c r="L3091" s="4">
        <v>22.7</v>
      </c>
      <c r="M3091">
        <v>12</v>
      </c>
      <c r="N3091" t="s">
        <v>47</v>
      </c>
      <c r="O3091">
        <v>5</v>
      </c>
      <c r="P3091" s="4">
        <v>57.6</v>
      </c>
      <c r="Q3091" t="s">
        <v>42</v>
      </c>
      <c r="R3091">
        <v>0</v>
      </c>
      <c r="S3091" t="s">
        <v>31</v>
      </c>
      <c r="T3091">
        <v>1</v>
      </c>
      <c r="U3091">
        <v>0</v>
      </c>
      <c r="V3091" t="s">
        <v>32</v>
      </c>
      <c r="W3091" t="s">
        <v>39</v>
      </c>
      <c r="X3091" s="4">
        <v>8.4</v>
      </c>
      <c r="Y3091">
        <v>10</v>
      </c>
      <c r="Z3091" s="5">
        <v>229.89</v>
      </c>
    </row>
    <row r="3092" spans="1:26">
      <c r="A3092">
        <v>3091</v>
      </c>
      <c r="B3092">
        <v>1009</v>
      </c>
      <c r="C3092" s="2">
        <v>46049</v>
      </c>
      <c r="D3092" t="s">
        <v>35</v>
      </c>
      <c r="E3092">
        <v>1</v>
      </c>
      <c r="F3092" s="3">
        <v>12.49</v>
      </c>
      <c r="G3092" t="s">
        <v>36</v>
      </c>
      <c r="H3092">
        <v>26</v>
      </c>
      <c r="I3092" t="s">
        <v>28</v>
      </c>
      <c r="J3092" s="4">
        <v>66.099999999999994</v>
      </c>
      <c r="K3092" s="4">
        <v>155.1</v>
      </c>
      <c r="L3092" s="4">
        <v>25</v>
      </c>
      <c r="M3092">
        <v>13</v>
      </c>
      <c r="N3092" t="s">
        <v>47</v>
      </c>
      <c r="O3092">
        <v>5</v>
      </c>
      <c r="P3092" s="4">
        <v>57.6</v>
      </c>
      <c r="Q3092" t="s">
        <v>42</v>
      </c>
      <c r="R3092">
        <v>0</v>
      </c>
      <c r="S3092" t="s">
        <v>31</v>
      </c>
      <c r="T3092">
        <v>1</v>
      </c>
      <c r="U3092">
        <v>0</v>
      </c>
      <c r="V3092" t="s">
        <v>32</v>
      </c>
      <c r="W3092" t="s">
        <v>39</v>
      </c>
      <c r="X3092" s="4">
        <v>6</v>
      </c>
      <c r="Y3092">
        <v>9</v>
      </c>
      <c r="Z3092" s="5">
        <v>314.8</v>
      </c>
    </row>
    <row r="3093" spans="1:26">
      <c r="A3093">
        <v>3092</v>
      </c>
      <c r="B3093">
        <v>1009</v>
      </c>
      <c r="C3093" s="2">
        <v>46049</v>
      </c>
      <c r="D3093" t="s">
        <v>35</v>
      </c>
      <c r="E3093">
        <v>1</v>
      </c>
      <c r="F3093" s="3">
        <v>12.7</v>
      </c>
      <c r="G3093" t="s">
        <v>36</v>
      </c>
      <c r="H3093">
        <v>49</v>
      </c>
      <c r="I3093" t="s">
        <v>28</v>
      </c>
      <c r="J3093" s="4">
        <v>62.3</v>
      </c>
      <c r="K3093" s="4">
        <v>118.9</v>
      </c>
      <c r="L3093" s="4">
        <v>21.5</v>
      </c>
      <c r="M3093">
        <v>11</v>
      </c>
      <c r="N3093" t="s">
        <v>47</v>
      </c>
      <c r="O3093">
        <v>5</v>
      </c>
      <c r="P3093" s="4">
        <v>57.6</v>
      </c>
      <c r="Q3093" t="s">
        <v>42</v>
      </c>
      <c r="R3093">
        <v>0</v>
      </c>
      <c r="S3093" t="s">
        <v>31</v>
      </c>
      <c r="T3093">
        <v>1</v>
      </c>
      <c r="U3093">
        <v>0</v>
      </c>
      <c r="V3093" t="s">
        <v>32</v>
      </c>
      <c r="W3093" t="s">
        <v>39</v>
      </c>
      <c r="X3093" s="4">
        <v>8.3000000000000007</v>
      </c>
      <c r="Y3093">
        <v>16</v>
      </c>
      <c r="Z3093" s="5">
        <v>319.89999999999998</v>
      </c>
    </row>
    <row r="3094" spans="1:26">
      <c r="A3094">
        <v>3093</v>
      </c>
      <c r="B3094">
        <v>1009</v>
      </c>
      <c r="C3094" s="2">
        <v>46049</v>
      </c>
      <c r="D3094" t="s">
        <v>35</v>
      </c>
      <c r="E3094">
        <v>1</v>
      </c>
      <c r="F3094" s="3">
        <v>12.52</v>
      </c>
      <c r="G3094" t="s">
        <v>36</v>
      </c>
      <c r="H3094">
        <v>8</v>
      </c>
      <c r="I3094" t="s">
        <v>51</v>
      </c>
      <c r="J3094" s="4">
        <v>65.900000000000006</v>
      </c>
      <c r="K3094" s="4">
        <v>102.8</v>
      </c>
      <c r="L3094" s="4">
        <v>16.399999999999999</v>
      </c>
      <c r="M3094">
        <v>9</v>
      </c>
      <c r="N3094" t="s">
        <v>47</v>
      </c>
      <c r="O3094">
        <v>5</v>
      </c>
      <c r="P3094" s="4">
        <v>57.6</v>
      </c>
      <c r="Q3094" t="s">
        <v>42</v>
      </c>
      <c r="R3094">
        <v>0</v>
      </c>
      <c r="S3094" t="s">
        <v>31</v>
      </c>
      <c r="T3094">
        <v>1</v>
      </c>
      <c r="U3094">
        <v>0</v>
      </c>
      <c r="V3094" t="s">
        <v>32</v>
      </c>
      <c r="W3094" t="s">
        <v>39</v>
      </c>
      <c r="X3094" s="4">
        <v>8.6</v>
      </c>
      <c r="Y3094">
        <v>7</v>
      </c>
      <c r="Z3094" s="5">
        <v>203.87</v>
      </c>
    </row>
    <row r="3095" spans="1:26">
      <c r="A3095">
        <v>3094</v>
      </c>
      <c r="B3095">
        <v>1010</v>
      </c>
      <c r="C3095" s="2">
        <v>46271</v>
      </c>
      <c r="D3095" t="s">
        <v>58</v>
      </c>
      <c r="E3095">
        <v>9</v>
      </c>
      <c r="F3095" s="3">
        <v>9.67</v>
      </c>
      <c r="G3095" t="s">
        <v>27</v>
      </c>
      <c r="H3095">
        <v>61</v>
      </c>
      <c r="I3095" t="s">
        <v>28</v>
      </c>
      <c r="J3095" s="4">
        <v>73.599999999999994</v>
      </c>
      <c r="K3095" s="4">
        <v>201.8</v>
      </c>
      <c r="L3095" s="4">
        <v>26.2</v>
      </c>
      <c r="M3095">
        <v>19</v>
      </c>
      <c r="N3095" t="s">
        <v>47</v>
      </c>
      <c r="O3095">
        <v>3</v>
      </c>
      <c r="P3095" s="4">
        <v>183.7</v>
      </c>
      <c r="Q3095" t="s">
        <v>48</v>
      </c>
      <c r="R3095">
        <v>0</v>
      </c>
      <c r="S3095" t="s">
        <v>44</v>
      </c>
      <c r="T3095">
        <v>1</v>
      </c>
      <c r="U3095">
        <v>1</v>
      </c>
      <c r="V3095" t="s">
        <v>32</v>
      </c>
      <c r="W3095" t="s">
        <v>39</v>
      </c>
      <c r="X3095" s="4">
        <v>9.6</v>
      </c>
      <c r="Y3095">
        <v>11</v>
      </c>
      <c r="Z3095" s="5">
        <v>436.54</v>
      </c>
    </row>
    <row r="3096" spans="1:26">
      <c r="A3096">
        <v>3095</v>
      </c>
      <c r="B3096">
        <v>1010</v>
      </c>
      <c r="C3096" s="2">
        <v>46271</v>
      </c>
      <c r="D3096" t="s">
        <v>58</v>
      </c>
      <c r="E3096">
        <v>9</v>
      </c>
      <c r="F3096" s="3">
        <v>9.52</v>
      </c>
      <c r="G3096" t="s">
        <v>27</v>
      </c>
      <c r="H3096">
        <v>33</v>
      </c>
      <c r="I3096" t="s">
        <v>28</v>
      </c>
      <c r="J3096" s="4">
        <v>72</v>
      </c>
      <c r="K3096" s="4">
        <v>224.9</v>
      </c>
      <c r="L3096" s="4">
        <v>30.2</v>
      </c>
      <c r="M3096">
        <v>16</v>
      </c>
      <c r="N3096" t="s">
        <v>47</v>
      </c>
      <c r="O3096">
        <v>3</v>
      </c>
      <c r="P3096" s="4">
        <v>183.7</v>
      </c>
      <c r="Q3096" t="s">
        <v>48</v>
      </c>
      <c r="R3096">
        <v>0</v>
      </c>
      <c r="S3096" t="s">
        <v>44</v>
      </c>
      <c r="T3096">
        <v>1</v>
      </c>
      <c r="U3096">
        <v>1</v>
      </c>
      <c r="V3096" t="s">
        <v>32</v>
      </c>
      <c r="W3096" t="s">
        <v>39</v>
      </c>
      <c r="X3096" s="4">
        <v>8.8000000000000007</v>
      </c>
      <c r="Y3096">
        <v>2</v>
      </c>
      <c r="Z3096" s="5">
        <v>160.13999999999999</v>
      </c>
    </row>
    <row r="3097" spans="1:26">
      <c r="A3097">
        <v>3096</v>
      </c>
      <c r="B3097">
        <v>1010</v>
      </c>
      <c r="C3097" s="2">
        <v>46271</v>
      </c>
      <c r="D3097" t="s">
        <v>58</v>
      </c>
      <c r="E3097">
        <v>9</v>
      </c>
      <c r="F3097" s="3">
        <v>9.67</v>
      </c>
      <c r="G3097" t="s">
        <v>27</v>
      </c>
      <c r="H3097">
        <v>13</v>
      </c>
      <c r="I3097" t="s">
        <v>34</v>
      </c>
      <c r="J3097" s="4">
        <v>69.3</v>
      </c>
      <c r="K3097" s="4">
        <v>90.2</v>
      </c>
      <c r="L3097" s="4">
        <v>13.2</v>
      </c>
      <c r="M3097">
        <v>14</v>
      </c>
      <c r="N3097" t="s">
        <v>47</v>
      </c>
      <c r="O3097">
        <v>3</v>
      </c>
      <c r="P3097" s="4">
        <v>183.7</v>
      </c>
      <c r="Q3097" t="s">
        <v>48</v>
      </c>
      <c r="R3097">
        <v>0</v>
      </c>
      <c r="S3097" t="s">
        <v>44</v>
      </c>
      <c r="T3097">
        <v>1</v>
      </c>
      <c r="U3097">
        <v>1</v>
      </c>
      <c r="V3097" t="s">
        <v>32</v>
      </c>
      <c r="W3097" t="s">
        <v>39</v>
      </c>
      <c r="X3097" s="4">
        <v>8.4</v>
      </c>
      <c r="Y3097">
        <v>10</v>
      </c>
      <c r="Z3097" s="5">
        <v>237.24</v>
      </c>
    </row>
    <row r="3098" spans="1:26">
      <c r="A3098">
        <v>3097</v>
      </c>
      <c r="B3098">
        <v>1011</v>
      </c>
      <c r="C3098" s="2">
        <v>46049</v>
      </c>
      <c r="D3098" t="s">
        <v>35</v>
      </c>
      <c r="E3098">
        <v>1</v>
      </c>
      <c r="F3098" s="3">
        <v>9.18</v>
      </c>
      <c r="G3098" t="s">
        <v>27</v>
      </c>
      <c r="H3098">
        <v>48</v>
      </c>
      <c r="I3098" t="s">
        <v>34</v>
      </c>
      <c r="J3098" s="4">
        <v>56.8</v>
      </c>
      <c r="K3098" s="4">
        <v>109.4</v>
      </c>
      <c r="L3098" s="4">
        <v>24.1</v>
      </c>
      <c r="M3098">
        <v>16</v>
      </c>
      <c r="N3098" t="s">
        <v>61</v>
      </c>
      <c r="O3098">
        <v>3</v>
      </c>
      <c r="P3098" s="4">
        <v>716.6</v>
      </c>
      <c r="Q3098" t="s">
        <v>30</v>
      </c>
      <c r="R3098">
        <v>0</v>
      </c>
      <c r="S3098" t="s">
        <v>38</v>
      </c>
      <c r="T3098">
        <v>0</v>
      </c>
      <c r="U3098">
        <v>0</v>
      </c>
      <c r="V3098" t="s">
        <v>32</v>
      </c>
      <c r="W3098" t="s">
        <v>43</v>
      </c>
      <c r="X3098" s="4">
        <v>9.6</v>
      </c>
      <c r="Y3098">
        <v>6</v>
      </c>
      <c r="Z3098" s="5">
        <v>232.68</v>
      </c>
    </row>
    <row r="3099" spans="1:26">
      <c r="A3099">
        <v>3098</v>
      </c>
      <c r="B3099">
        <v>1011</v>
      </c>
      <c r="C3099" s="2">
        <v>46049</v>
      </c>
      <c r="D3099" t="s">
        <v>35</v>
      </c>
      <c r="E3099">
        <v>1</v>
      </c>
      <c r="F3099" s="3">
        <v>9.26</v>
      </c>
      <c r="G3099" t="s">
        <v>27</v>
      </c>
      <c r="H3099">
        <v>15</v>
      </c>
      <c r="I3099" t="s">
        <v>28</v>
      </c>
      <c r="J3099" s="4">
        <v>67.599999999999994</v>
      </c>
      <c r="K3099" s="4">
        <v>139.9</v>
      </c>
      <c r="L3099" s="4">
        <v>21.7</v>
      </c>
      <c r="M3099">
        <v>10</v>
      </c>
      <c r="N3099" t="s">
        <v>61</v>
      </c>
      <c r="O3099">
        <v>3</v>
      </c>
      <c r="P3099" s="4">
        <v>716.6</v>
      </c>
      <c r="Q3099" t="s">
        <v>30</v>
      </c>
      <c r="R3099">
        <v>0</v>
      </c>
      <c r="S3099" t="s">
        <v>38</v>
      </c>
      <c r="T3099">
        <v>0</v>
      </c>
      <c r="U3099">
        <v>0</v>
      </c>
      <c r="V3099" t="s">
        <v>32</v>
      </c>
      <c r="W3099" t="s">
        <v>43</v>
      </c>
      <c r="X3099" s="4">
        <v>7.9</v>
      </c>
      <c r="Y3099">
        <v>11</v>
      </c>
      <c r="Z3099" s="5">
        <v>310.86</v>
      </c>
    </row>
    <row r="3100" spans="1:26">
      <c r="A3100">
        <v>3099</v>
      </c>
      <c r="B3100">
        <v>1011</v>
      </c>
      <c r="C3100" s="2">
        <v>46049</v>
      </c>
      <c r="D3100" t="s">
        <v>35</v>
      </c>
      <c r="E3100">
        <v>1</v>
      </c>
      <c r="F3100" s="3">
        <v>9.1199999999999992</v>
      </c>
      <c r="G3100" t="s">
        <v>27</v>
      </c>
      <c r="H3100">
        <v>27</v>
      </c>
      <c r="I3100" t="s">
        <v>28</v>
      </c>
      <c r="J3100" s="4">
        <v>72.5</v>
      </c>
      <c r="K3100" s="4">
        <v>229.3</v>
      </c>
      <c r="L3100" s="4">
        <v>30.7</v>
      </c>
      <c r="M3100">
        <v>14</v>
      </c>
      <c r="N3100" t="s">
        <v>61</v>
      </c>
      <c r="O3100">
        <v>3</v>
      </c>
      <c r="P3100" s="4">
        <v>716.6</v>
      </c>
      <c r="Q3100" t="s">
        <v>30</v>
      </c>
      <c r="R3100">
        <v>0</v>
      </c>
      <c r="S3100" t="s">
        <v>38</v>
      </c>
      <c r="T3100">
        <v>0</v>
      </c>
      <c r="U3100">
        <v>0</v>
      </c>
      <c r="V3100" t="s">
        <v>32</v>
      </c>
      <c r="W3100" t="s">
        <v>43</v>
      </c>
      <c r="X3100" s="4">
        <v>7.7</v>
      </c>
      <c r="Y3100">
        <v>7</v>
      </c>
      <c r="Z3100" s="5">
        <v>182.71</v>
      </c>
    </row>
    <row r="3101" spans="1:26">
      <c r="A3101">
        <v>3100</v>
      </c>
      <c r="B3101">
        <v>1012</v>
      </c>
      <c r="C3101" s="2">
        <v>46365</v>
      </c>
      <c r="D3101" t="s">
        <v>52</v>
      </c>
      <c r="E3101">
        <v>12</v>
      </c>
      <c r="F3101" s="3">
        <v>9.09</v>
      </c>
      <c r="G3101" t="s">
        <v>27</v>
      </c>
      <c r="H3101">
        <v>52</v>
      </c>
      <c r="I3101" t="s">
        <v>34</v>
      </c>
      <c r="J3101" s="4">
        <v>66.599999999999994</v>
      </c>
      <c r="K3101" s="4">
        <v>195.4</v>
      </c>
      <c r="L3101" s="4">
        <v>30.8</v>
      </c>
      <c r="M3101">
        <v>19</v>
      </c>
      <c r="N3101" t="s">
        <v>47</v>
      </c>
      <c r="O3101">
        <v>2</v>
      </c>
      <c r="P3101" s="4">
        <v>63.3</v>
      </c>
      <c r="Q3101" t="s">
        <v>48</v>
      </c>
      <c r="R3101">
        <v>1</v>
      </c>
      <c r="S3101" t="s">
        <v>38</v>
      </c>
      <c r="T3101">
        <v>0</v>
      </c>
      <c r="U3101">
        <v>1</v>
      </c>
      <c r="V3101" t="s">
        <v>32</v>
      </c>
      <c r="W3101" t="s">
        <v>33</v>
      </c>
      <c r="X3101" s="4">
        <v>10.8</v>
      </c>
      <c r="Y3101">
        <v>11</v>
      </c>
      <c r="Z3101" s="5">
        <v>344.96</v>
      </c>
    </row>
    <row r="3102" spans="1:26">
      <c r="A3102">
        <v>3101</v>
      </c>
      <c r="B3102">
        <v>1012</v>
      </c>
      <c r="C3102" s="2">
        <v>46365</v>
      </c>
      <c r="D3102" t="s">
        <v>52</v>
      </c>
      <c r="E3102">
        <v>12</v>
      </c>
      <c r="F3102" s="3">
        <v>8.9700000000000006</v>
      </c>
      <c r="G3102" t="s">
        <v>27</v>
      </c>
      <c r="H3102">
        <v>66</v>
      </c>
      <c r="I3102" t="s">
        <v>34</v>
      </c>
      <c r="J3102" s="4">
        <v>66.8</v>
      </c>
      <c r="K3102" s="4">
        <v>220.5</v>
      </c>
      <c r="L3102" s="4">
        <v>34.9</v>
      </c>
      <c r="M3102">
        <v>16</v>
      </c>
      <c r="N3102" t="s">
        <v>47</v>
      </c>
      <c r="O3102">
        <v>2</v>
      </c>
      <c r="P3102" s="4">
        <v>63.3</v>
      </c>
      <c r="Q3102" t="s">
        <v>48</v>
      </c>
      <c r="R3102">
        <v>1</v>
      </c>
      <c r="S3102" t="s">
        <v>38</v>
      </c>
      <c r="T3102">
        <v>0</v>
      </c>
      <c r="U3102">
        <v>1</v>
      </c>
      <c r="V3102" t="s">
        <v>32</v>
      </c>
      <c r="W3102" t="s">
        <v>33</v>
      </c>
      <c r="X3102" s="4">
        <v>11.3</v>
      </c>
      <c r="Y3102">
        <v>10</v>
      </c>
      <c r="Z3102" s="5">
        <v>299.55</v>
      </c>
    </row>
    <row r="3103" spans="1:26">
      <c r="A3103">
        <v>3102</v>
      </c>
      <c r="B3103">
        <v>1013</v>
      </c>
      <c r="C3103" s="2">
        <v>46124</v>
      </c>
      <c r="D3103" t="s">
        <v>58</v>
      </c>
      <c r="E3103">
        <v>4</v>
      </c>
      <c r="F3103" s="3">
        <v>11.31</v>
      </c>
      <c r="G3103" t="s">
        <v>36</v>
      </c>
      <c r="H3103">
        <v>59</v>
      </c>
      <c r="I3103" t="s">
        <v>28</v>
      </c>
      <c r="J3103" s="4">
        <v>69.099999999999994</v>
      </c>
      <c r="K3103" s="4">
        <v>119.4</v>
      </c>
      <c r="L3103" s="4">
        <v>17.5</v>
      </c>
      <c r="M3103">
        <v>13</v>
      </c>
      <c r="N3103" t="s">
        <v>29</v>
      </c>
      <c r="O3103">
        <v>2</v>
      </c>
      <c r="P3103" s="4">
        <v>2122.6</v>
      </c>
      <c r="Q3103" t="s">
        <v>42</v>
      </c>
      <c r="R3103">
        <v>1</v>
      </c>
      <c r="S3103" t="s">
        <v>31</v>
      </c>
      <c r="T3103">
        <v>0</v>
      </c>
      <c r="U3103">
        <v>0</v>
      </c>
      <c r="V3103" t="s">
        <v>45</v>
      </c>
      <c r="W3103" t="s">
        <v>39</v>
      </c>
      <c r="X3103" s="4">
        <v>7.8</v>
      </c>
      <c r="Y3103">
        <v>4</v>
      </c>
      <c r="Z3103" s="5">
        <v>217.69</v>
      </c>
    </row>
    <row r="3104" spans="1:26">
      <c r="A3104">
        <v>3103</v>
      </c>
      <c r="B3104">
        <v>1013</v>
      </c>
      <c r="C3104" s="2">
        <v>46124</v>
      </c>
      <c r="D3104" t="s">
        <v>58</v>
      </c>
      <c r="E3104">
        <v>4</v>
      </c>
      <c r="F3104" s="3">
        <v>11.29</v>
      </c>
      <c r="G3104" t="s">
        <v>36</v>
      </c>
      <c r="H3104">
        <v>46</v>
      </c>
      <c r="I3104" t="s">
        <v>34</v>
      </c>
      <c r="J3104" s="4">
        <v>66</v>
      </c>
      <c r="K3104" s="4">
        <v>164.2</v>
      </c>
      <c r="L3104" s="4">
        <v>26.3</v>
      </c>
      <c r="M3104">
        <v>14</v>
      </c>
      <c r="N3104" t="s">
        <v>29</v>
      </c>
      <c r="O3104">
        <v>2</v>
      </c>
      <c r="P3104" s="4">
        <v>2122.6</v>
      </c>
      <c r="Q3104" t="s">
        <v>42</v>
      </c>
      <c r="R3104">
        <v>1</v>
      </c>
      <c r="S3104" t="s">
        <v>31</v>
      </c>
      <c r="T3104">
        <v>0</v>
      </c>
      <c r="U3104">
        <v>0</v>
      </c>
      <c r="V3104" t="s">
        <v>45</v>
      </c>
      <c r="W3104" t="s">
        <v>39</v>
      </c>
      <c r="X3104" s="4">
        <v>9.9</v>
      </c>
      <c r="Y3104">
        <v>9</v>
      </c>
      <c r="Z3104" s="5">
        <v>256.85000000000002</v>
      </c>
    </row>
    <row r="3105" spans="1:26">
      <c r="A3105">
        <v>3104</v>
      </c>
      <c r="B3105">
        <v>1014</v>
      </c>
      <c r="C3105" s="2">
        <v>46317</v>
      </c>
      <c r="D3105" t="s">
        <v>55</v>
      </c>
      <c r="E3105">
        <v>10</v>
      </c>
      <c r="F3105" s="3">
        <v>9.7899999999999991</v>
      </c>
      <c r="G3105" t="s">
        <v>27</v>
      </c>
      <c r="H3105">
        <v>27</v>
      </c>
      <c r="I3105" t="s">
        <v>28</v>
      </c>
      <c r="J3105" s="4">
        <v>71.2</v>
      </c>
      <c r="K3105" s="4">
        <v>223.8</v>
      </c>
      <c r="L3105" s="4">
        <v>30.7</v>
      </c>
      <c r="M3105">
        <v>14</v>
      </c>
      <c r="N3105" t="s">
        <v>47</v>
      </c>
      <c r="O3105">
        <v>2</v>
      </c>
      <c r="P3105" s="4">
        <v>131.4</v>
      </c>
      <c r="Q3105" t="s">
        <v>42</v>
      </c>
      <c r="R3105">
        <v>1</v>
      </c>
      <c r="S3105" t="s">
        <v>38</v>
      </c>
      <c r="T3105">
        <v>0</v>
      </c>
      <c r="U3105">
        <v>0</v>
      </c>
      <c r="V3105" t="s">
        <v>45</v>
      </c>
      <c r="W3105" t="s">
        <v>49</v>
      </c>
      <c r="X3105" s="4">
        <v>8.8000000000000007</v>
      </c>
      <c r="Y3105">
        <v>9</v>
      </c>
      <c r="Z3105" s="5">
        <v>241.66</v>
      </c>
    </row>
    <row r="3106" spans="1:26">
      <c r="A3106">
        <v>3105</v>
      </c>
      <c r="B3106">
        <v>1014</v>
      </c>
      <c r="C3106" s="2">
        <v>46317</v>
      </c>
      <c r="D3106" t="s">
        <v>55</v>
      </c>
      <c r="E3106">
        <v>10</v>
      </c>
      <c r="F3106" s="3">
        <v>9.59</v>
      </c>
      <c r="G3106" t="s">
        <v>27</v>
      </c>
      <c r="H3106">
        <v>3</v>
      </c>
      <c r="I3106" t="s">
        <v>28</v>
      </c>
      <c r="J3106" s="4">
        <v>56</v>
      </c>
      <c r="K3106" s="4">
        <v>89.3</v>
      </c>
      <c r="L3106" s="4">
        <v>19.7</v>
      </c>
      <c r="M3106">
        <v>13</v>
      </c>
      <c r="N3106" t="s">
        <v>47</v>
      </c>
      <c r="O3106">
        <v>2</v>
      </c>
      <c r="P3106" s="4">
        <v>131.4</v>
      </c>
      <c r="Q3106" t="s">
        <v>42</v>
      </c>
      <c r="R3106">
        <v>1</v>
      </c>
      <c r="S3106" t="s">
        <v>38</v>
      </c>
      <c r="T3106">
        <v>0</v>
      </c>
      <c r="U3106">
        <v>0</v>
      </c>
      <c r="V3106" t="s">
        <v>45</v>
      </c>
      <c r="W3106" t="s">
        <v>49</v>
      </c>
      <c r="X3106" s="4">
        <v>13.3</v>
      </c>
      <c r="Y3106">
        <v>16</v>
      </c>
      <c r="Z3106" s="5">
        <v>407.01</v>
      </c>
    </row>
    <row r="3107" spans="1:26">
      <c r="A3107">
        <v>3106</v>
      </c>
      <c r="B3107">
        <v>1015</v>
      </c>
      <c r="C3107" s="2">
        <v>46126</v>
      </c>
      <c r="D3107" t="s">
        <v>35</v>
      </c>
      <c r="E3107">
        <v>4</v>
      </c>
      <c r="F3107" s="3">
        <v>11.44</v>
      </c>
      <c r="G3107" t="s">
        <v>36</v>
      </c>
      <c r="H3107">
        <v>18</v>
      </c>
      <c r="I3107" t="s">
        <v>28</v>
      </c>
      <c r="J3107" s="4">
        <v>72.099999999999994</v>
      </c>
      <c r="K3107" s="4">
        <v>205.6</v>
      </c>
      <c r="L3107" s="4">
        <v>27.8</v>
      </c>
      <c r="M3107">
        <v>17</v>
      </c>
      <c r="N3107" t="s">
        <v>47</v>
      </c>
      <c r="O3107">
        <v>5</v>
      </c>
      <c r="P3107" s="4">
        <v>11.9</v>
      </c>
      <c r="Q3107" t="s">
        <v>42</v>
      </c>
      <c r="R3107">
        <v>0</v>
      </c>
      <c r="S3107" t="s">
        <v>31</v>
      </c>
      <c r="T3107">
        <v>0</v>
      </c>
      <c r="U3107">
        <v>0</v>
      </c>
      <c r="V3107" t="s">
        <v>32</v>
      </c>
      <c r="W3107" t="s">
        <v>39</v>
      </c>
      <c r="X3107" s="4">
        <v>8.3000000000000007</v>
      </c>
      <c r="Y3107">
        <v>8</v>
      </c>
      <c r="Z3107" s="5">
        <v>216.13</v>
      </c>
    </row>
    <row r="3108" spans="1:26">
      <c r="A3108">
        <v>3107</v>
      </c>
      <c r="B3108">
        <v>1015</v>
      </c>
      <c r="C3108" s="2">
        <v>46126</v>
      </c>
      <c r="D3108" t="s">
        <v>35</v>
      </c>
      <c r="E3108">
        <v>4</v>
      </c>
      <c r="F3108" s="3">
        <v>11.31</v>
      </c>
      <c r="G3108" t="s">
        <v>36</v>
      </c>
      <c r="H3108">
        <v>38</v>
      </c>
      <c r="I3108" t="s">
        <v>28</v>
      </c>
      <c r="J3108" s="4">
        <v>65.7</v>
      </c>
      <c r="K3108" s="4">
        <v>188.9</v>
      </c>
      <c r="L3108" s="4">
        <v>30.8</v>
      </c>
      <c r="M3108">
        <v>16</v>
      </c>
      <c r="N3108" t="s">
        <v>47</v>
      </c>
      <c r="O3108">
        <v>5</v>
      </c>
      <c r="P3108" s="4">
        <v>11.9</v>
      </c>
      <c r="Q3108" t="s">
        <v>42</v>
      </c>
      <c r="R3108">
        <v>0</v>
      </c>
      <c r="S3108" t="s">
        <v>31</v>
      </c>
      <c r="T3108">
        <v>0</v>
      </c>
      <c r="U3108">
        <v>0</v>
      </c>
      <c r="V3108" t="s">
        <v>32</v>
      </c>
      <c r="W3108" t="s">
        <v>39</v>
      </c>
      <c r="X3108" s="4">
        <v>3.5</v>
      </c>
      <c r="Y3108">
        <v>2</v>
      </c>
      <c r="Z3108" s="5">
        <v>86.37</v>
      </c>
    </row>
    <row r="3109" spans="1:26">
      <c r="A3109">
        <v>3108</v>
      </c>
      <c r="B3109">
        <v>1015</v>
      </c>
      <c r="C3109" s="2">
        <v>46126</v>
      </c>
      <c r="D3109" t="s">
        <v>35</v>
      </c>
      <c r="E3109">
        <v>4</v>
      </c>
      <c r="F3109" s="3">
        <v>11.57</v>
      </c>
      <c r="G3109" t="s">
        <v>36</v>
      </c>
      <c r="H3109">
        <v>38</v>
      </c>
      <c r="I3109" t="s">
        <v>34</v>
      </c>
      <c r="J3109" s="4">
        <v>65.599999999999994</v>
      </c>
      <c r="K3109" s="4">
        <v>117.8</v>
      </c>
      <c r="L3109" s="4">
        <v>19.100000000000001</v>
      </c>
      <c r="M3109">
        <v>13</v>
      </c>
      <c r="N3109" t="s">
        <v>47</v>
      </c>
      <c r="O3109">
        <v>5</v>
      </c>
      <c r="P3109" s="4">
        <v>11.9</v>
      </c>
      <c r="Q3109" t="s">
        <v>42</v>
      </c>
      <c r="R3109">
        <v>0</v>
      </c>
      <c r="S3109" t="s">
        <v>31</v>
      </c>
      <c r="T3109">
        <v>0</v>
      </c>
      <c r="U3109">
        <v>0</v>
      </c>
      <c r="V3109" t="s">
        <v>32</v>
      </c>
      <c r="W3109" t="s">
        <v>39</v>
      </c>
      <c r="X3109" s="4">
        <v>7.5</v>
      </c>
      <c r="Y3109">
        <v>3</v>
      </c>
      <c r="Z3109" s="5">
        <v>220.17</v>
      </c>
    </row>
    <row r="3110" spans="1:26">
      <c r="A3110">
        <v>3109</v>
      </c>
      <c r="B3110">
        <v>1015</v>
      </c>
      <c r="C3110" s="2">
        <v>46126</v>
      </c>
      <c r="D3110" t="s">
        <v>35</v>
      </c>
      <c r="E3110">
        <v>4</v>
      </c>
      <c r="F3110" s="3">
        <v>11.42</v>
      </c>
      <c r="G3110" t="s">
        <v>36</v>
      </c>
      <c r="H3110">
        <v>58</v>
      </c>
      <c r="I3110" t="s">
        <v>34</v>
      </c>
      <c r="J3110" s="4">
        <v>62.2</v>
      </c>
      <c r="K3110" s="4">
        <v>161</v>
      </c>
      <c r="L3110" s="4">
        <v>29.5</v>
      </c>
      <c r="M3110">
        <v>14</v>
      </c>
      <c r="N3110" t="s">
        <v>47</v>
      </c>
      <c r="O3110">
        <v>5</v>
      </c>
      <c r="P3110" s="4">
        <v>11.9</v>
      </c>
      <c r="Q3110" t="s">
        <v>42</v>
      </c>
      <c r="R3110">
        <v>0</v>
      </c>
      <c r="S3110" t="s">
        <v>31</v>
      </c>
      <c r="T3110">
        <v>0</v>
      </c>
      <c r="U3110">
        <v>0</v>
      </c>
      <c r="V3110" t="s">
        <v>32</v>
      </c>
      <c r="W3110" t="s">
        <v>39</v>
      </c>
      <c r="X3110" s="4">
        <v>8.6999999999999993</v>
      </c>
      <c r="Y3110">
        <v>8</v>
      </c>
      <c r="Z3110" s="5">
        <v>144.51</v>
      </c>
    </row>
    <row r="3111" spans="1:26">
      <c r="A3111">
        <v>3110</v>
      </c>
      <c r="B3111">
        <v>1015</v>
      </c>
      <c r="C3111" s="2">
        <v>46126</v>
      </c>
      <c r="D3111" t="s">
        <v>35</v>
      </c>
      <c r="E3111">
        <v>4</v>
      </c>
      <c r="F3111" s="3">
        <v>11.37</v>
      </c>
      <c r="G3111" t="s">
        <v>36</v>
      </c>
      <c r="H3111">
        <v>66</v>
      </c>
      <c r="I3111" t="s">
        <v>28</v>
      </c>
      <c r="J3111" s="4">
        <v>70</v>
      </c>
      <c r="K3111" s="4">
        <v>161</v>
      </c>
      <c r="L3111" s="4">
        <v>23.3</v>
      </c>
      <c r="M3111">
        <v>15</v>
      </c>
      <c r="N3111" t="s">
        <v>47</v>
      </c>
      <c r="O3111">
        <v>5</v>
      </c>
      <c r="P3111" s="4">
        <v>11.9</v>
      </c>
      <c r="Q3111" t="s">
        <v>42</v>
      </c>
      <c r="R3111">
        <v>0</v>
      </c>
      <c r="S3111" t="s">
        <v>31</v>
      </c>
      <c r="T3111">
        <v>0</v>
      </c>
      <c r="U3111">
        <v>0</v>
      </c>
      <c r="V3111" t="s">
        <v>32</v>
      </c>
      <c r="W3111" t="s">
        <v>39</v>
      </c>
      <c r="X3111" s="4">
        <v>8.1</v>
      </c>
      <c r="Y3111">
        <v>7</v>
      </c>
      <c r="Z3111" s="5">
        <v>139.81</v>
      </c>
    </row>
    <row r="3112" spans="1:26">
      <c r="A3112">
        <v>3111</v>
      </c>
      <c r="B3112">
        <v>1016</v>
      </c>
      <c r="C3112" s="2">
        <v>46360</v>
      </c>
      <c r="D3112" t="s">
        <v>26</v>
      </c>
      <c r="E3112">
        <v>12</v>
      </c>
      <c r="F3112" s="3">
        <v>10.050000000000001</v>
      </c>
      <c r="G3112" t="s">
        <v>27</v>
      </c>
      <c r="H3112">
        <v>63</v>
      </c>
      <c r="I3112" t="s">
        <v>34</v>
      </c>
      <c r="J3112" s="4">
        <v>64.599999999999994</v>
      </c>
      <c r="K3112" s="4">
        <v>167.4</v>
      </c>
      <c r="L3112" s="4">
        <v>28.2</v>
      </c>
      <c r="M3112">
        <v>16</v>
      </c>
      <c r="N3112" t="s">
        <v>62</v>
      </c>
      <c r="O3112">
        <v>1</v>
      </c>
      <c r="P3112" s="4">
        <v>2267.1</v>
      </c>
      <c r="Q3112" t="s">
        <v>42</v>
      </c>
      <c r="R3112">
        <v>1</v>
      </c>
      <c r="S3112" t="s">
        <v>44</v>
      </c>
      <c r="T3112">
        <v>0</v>
      </c>
      <c r="U3112">
        <v>0</v>
      </c>
      <c r="V3112" t="s">
        <v>32</v>
      </c>
      <c r="W3112" t="s">
        <v>57</v>
      </c>
      <c r="X3112" s="4">
        <v>6.6</v>
      </c>
      <c r="Y3112">
        <v>3</v>
      </c>
      <c r="Z3112" s="5">
        <v>183.2</v>
      </c>
    </row>
    <row r="3113" spans="1:26">
      <c r="A3113">
        <v>3112</v>
      </c>
      <c r="B3113">
        <v>1017</v>
      </c>
      <c r="C3113" s="2">
        <v>46352</v>
      </c>
      <c r="D3113" t="s">
        <v>55</v>
      </c>
      <c r="E3113">
        <v>11</v>
      </c>
      <c r="F3113" s="3">
        <v>11.56</v>
      </c>
      <c r="G3113" t="s">
        <v>36</v>
      </c>
      <c r="H3113">
        <v>3</v>
      </c>
      <c r="I3113" t="s">
        <v>28</v>
      </c>
      <c r="J3113" s="4">
        <v>50.6</v>
      </c>
      <c r="K3113" s="4">
        <v>79.400000000000006</v>
      </c>
      <c r="L3113" s="4">
        <v>21.7</v>
      </c>
      <c r="M3113">
        <v>11</v>
      </c>
      <c r="N3113" t="s">
        <v>47</v>
      </c>
      <c r="O3113">
        <v>2</v>
      </c>
      <c r="P3113" s="4">
        <v>2</v>
      </c>
      <c r="Q3113" t="s">
        <v>42</v>
      </c>
      <c r="R3113">
        <v>0</v>
      </c>
      <c r="S3113" t="s">
        <v>38</v>
      </c>
      <c r="T3113">
        <v>1</v>
      </c>
      <c r="U3113">
        <v>0</v>
      </c>
      <c r="V3113" t="s">
        <v>32</v>
      </c>
      <c r="W3113" t="s">
        <v>43</v>
      </c>
      <c r="X3113" s="4">
        <v>8.4</v>
      </c>
      <c r="Y3113">
        <v>10</v>
      </c>
      <c r="Z3113" s="5">
        <v>126.15</v>
      </c>
    </row>
    <row r="3114" spans="1:26">
      <c r="A3114">
        <v>3113</v>
      </c>
      <c r="B3114">
        <v>1017</v>
      </c>
      <c r="C3114" s="2">
        <v>46352</v>
      </c>
      <c r="D3114" t="s">
        <v>55</v>
      </c>
      <c r="E3114">
        <v>11</v>
      </c>
      <c r="F3114" s="3">
        <v>11.61</v>
      </c>
      <c r="G3114" t="s">
        <v>36</v>
      </c>
      <c r="H3114">
        <v>18</v>
      </c>
      <c r="I3114" t="s">
        <v>34</v>
      </c>
      <c r="J3114" s="4">
        <v>64.5</v>
      </c>
      <c r="K3114" s="4">
        <v>126.2</v>
      </c>
      <c r="L3114" s="4">
        <v>21.5</v>
      </c>
      <c r="M3114">
        <v>12</v>
      </c>
      <c r="N3114" t="s">
        <v>47</v>
      </c>
      <c r="O3114">
        <v>2</v>
      </c>
      <c r="P3114" s="4">
        <v>2</v>
      </c>
      <c r="Q3114" t="s">
        <v>42</v>
      </c>
      <c r="R3114">
        <v>0</v>
      </c>
      <c r="S3114" t="s">
        <v>38</v>
      </c>
      <c r="T3114">
        <v>1</v>
      </c>
      <c r="U3114">
        <v>0</v>
      </c>
      <c r="V3114" t="s">
        <v>32</v>
      </c>
      <c r="W3114" t="s">
        <v>43</v>
      </c>
      <c r="X3114" s="4">
        <v>6.1</v>
      </c>
      <c r="Y3114">
        <v>7</v>
      </c>
      <c r="Z3114" s="5">
        <v>173.93</v>
      </c>
    </row>
    <row r="3115" spans="1:26">
      <c r="A3115">
        <v>3114</v>
      </c>
      <c r="B3115">
        <v>1018</v>
      </c>
      <c r="C3115" s="2">
        <v>46238</v>
      </c>
      <c r="D3115" t="s">
        <v>35</v>
      </c>
      <c r="E3115">
        <v>8</v>
      </c>
      <c r="F3115" s="3">
        <v>9.9700000000000006</v>
      </c>
      <c r="G3115" t="s">
        <v>27</v>
      </c>
      <c r="H3115">
        <v>67</v>
      </c>
      <c r="I3115" t="s">
        <v>34</v>
      </c>
      <c r="J3115" s="4">
        <v>66.2</v>
      </c>
      <c r="K3115" s="4">
        <v>137.4</v>
      </c>
      <c r="L3115" s="4">
        <v>22.2</v>
      </c>
      <c r="M3115">
        <v>15</v>
      </c>
      <c r="N3115" t="s">
        <v>61</v>
      </c>
      <c r="O3115">
        <v>4</v>
      </c>
      <c r="P3115" s="4">
        <v>1259</v>
      </c>
      <c r="Q3115" t="s">
        <v>42</v>
      </c>
      <c r="R3115">
        <v>1</v>
      </c>
      <c r="S3115" t="s">
        <v>44</v>
      </c>
      <c r="T3115">
        <v>0</v>
      </c>
      <c r="U3115">
        <v>0</v>
      </c>
      <c r="V3115" t="s">
        <v>32</v>
      </c>
      <c r="W3115" t="s">
        <v>39</v>
      </c>
      <c r="X3115" s="4">
        <v>11.5</v>
      </c>
      <c r="Y3115">
        <v>7</v>
      </c>
      <c r="Z3115" s="5">
        <v>201.33</v>
      </c>
    </row>
    <row r="3116" spans="1:26">
      <c r="A3116">
        <v>3115</v>
      </c>
      <c r="B3116">
        <v>1018</v>
      </c>
      <c r="C3116" s="2">
        <v>46238</v>
      </c>
      <c r="D3116" t="s">
        <v>35</v>
      </c>
      <c r="E3116">
        <v>8</v>
      </c>
      <c r="F3116" s="3">
        <v>9.6300000000000008</v>
      </c>
      <c r="G3116" t="s">
        <v>27</v>
      </c>
      <c r="H3116">
        <v>35</v>
      </c>
      <c r="I3116" t="s">
        <v>28</v>
      </c>
      <c r="J3116" s="4">
        <v>70</v>
      </c>
      <c r="K3116" s="4">
        <v>175.9</v>
      </c>
      <c r="L3116" s="4">
        <v>25.6</v>
      </c>
      <c r="M3116">
        <v>13</v>
      </c>
      <c r="N3116" t="s">
        <v>61</v>
      </c>
      <c r="O3116">
        <v>4</v>
      </c>
      <c r="P3116" s="4">
        <v>1259</v>
      </c>
      <c r="Q3116" t="s">
        <v>42</v>
      </c>
      <c r="R3116">
        <v>1</v>
      </c>
      <c r="S3116" t="s">
        <v>44</v>
      </c>
      <c r="T3116">
        <v>0</v>
      </c>
      <c r="U3116">
        <v>0</v>
      </c>
      <c r="V3116" t="s">
        <v>32</v>
      </c>
      <c r="W3116" t="s">
        <v>39</v>
      </c>
      <c r="X3116" s="4">
        <v>8.1999999999999993</v>
      </c>
      <c r="Y3116">
        <v>6</v>
      </c>
      <c r="Z3116" s="5">
        <v>250.49</v>
      </c>
    </row>
    <row r="3117" spans="1:26">
      <c r="A3117">
        <v>3116</v>
      </c>
      <c r="B3117">
        <v>1018</v>
      </c>
      <c r="C3117" s="2">
        <v>46238</v>
      </c>
      <c r="D3117" t="s">
        <v>35</v>
      </c>
      <c r="E3117">
        <v>8</v>
      </c>
      <c r="F3117" s="3">
        <v>9.8699999999999992</v>
      </c>
      <c r="G3117" t="s">
        <v>27</v>
      </c>
      <c r="H3117">
        <v>24</v>
      </c>
      <c r="I3117" t="s">
        <v>28</v>
      </c>
      <c r="J3117" s="4">
        <v>70.099999999999994</v>
      </c>
      <c r="K3117" s="4">
        <v>206.6</v>
      </c>
      <c r="L3117" s="4">
        <v>29.7</v>
      </c>
      <c r="M3117">
        <v>15</v>
      </c>
      <c r="N3117" t="s">
        <v>61</v>
      </c>
      <c r="O3117">
        <v>4</v>
      </c>
      <c r="P3117" s="4">
        <v>1259</v>
      </c>
      <c r="Q3117" t="s">
        <v>42</v>
      </c>
      <c r="R3117">
        <v>1</v>
      </c>
      <c r="S3117" t="s">
        <v>44</v>
      </c>
      <c r="T3117">
        <v>0</v>
      </c>
      <c r="U3117">
        <v>0</v>
      </c>
      <c r="V3117" t="s">
        <v>32</v>
      </c>
      <c r="W3117" t="s">
        <v>39</v>
      </c>
      <c r="X3117" s="4">
        <v>9.8000000000000007</v>
      </c>
      <c r="Y3117">
        <v>13</v>
      </c>
      <c r="Z3117" s="5">
        <v>479.21</v>
      </c>
    </row>
    <row r="3118" spans="1:26">
      <c r="A3118">
        <v>3117</v>
      </c>
      <c r="B3118">
        <v>1018</v>
      </c>
      <c r="C3118" s="2">
        <v>46238</v>
      </c>
      <c r="D3118" t="s">
        <v>35</v>
      </c>
      <c r="E3118">
        <v>8</v>
      </c>
      <c r="F3118" s="3">
        <v>9.7899999999999991</v>
      </c>
      <c r="G3118" t="s">
        <v>27</v>
      </c>
      <c r="H3118">
        <v>8</v>
      </c>
      <c r="I3118" t="s">
        <v>34</v>
      </c>
      <c r="J3118" s="4">
        <v>62.8</v>
      </c>
      <c r="K3118" s="4">
        <v>116.8</v>
      </c>
      <c r="L3118" s="4">
        <v>20.9</v>
      </c>
      <c r="M3118">
        <v>13</v>
      </c>
      <c r="N3118" t="s">
        <v>61</v>
      </c>
      <c r="O3118">
        <v>4</v>
      </c>
      <c r="P3118" s="4">
        <v>1259</v>
      </c>
      <c r="Q3118" t="s">
        <v>42</v>
      </c>
      <c r="R3118">
        <v>1</v>
      </c>
      <c r="S3118" t="s">
        <v>44</v>
      </c>
      <c r="T3118">
        <v>0</v>
      </c>
      <c r="U3118">
        <v>0</v>
      </c>
      <c r="V3118" t="s">
        <v>32</v>
      </c>
      <c r="W3118" t="s">
        <v>39</v>
      </c>
      <c r="X3118" s="4">
        <v>9.1999999999999993</v>
      </c>
      <c r="Y3118">
        <v>10</v>
      </c>
      <c r="Z3118" s="5">
        <v>290.39</v>
      </c>
    </row>
    <row r="3119" spans="1:26">
      <c r="A3119">
        <v>3118</v>
      </c>
      <c r="B3119">
        <v>1019</v>
      </c>
      <c r="C3119" s="2">
        <v>46110</v>
      </c>
      <c r="D3119" t="s">
        <v>58</v>
      </c>
      <c r="E3119">
        <v>3</v>
      </c>
      <c r="F3119" s="3">
        <v>10.47</v>
      </c>
      <c r="G3119" t="s">
        <v>27</v>
      </c>
      <c r="H3119">
        <v>11</v>
      </c>
      <c r="I3119" t="s">
        <v>28</v>
      </c>
      <c r="J3119" s="4">
        <v>67.599999999999994</v>
      </c>
      <c r="K3119" s="4">
        <v>153.4</v>
      </c>
      <c r="L3119" s="4">
        <v>23.9</v>
      </c>
      <c r="M3119">
        <v>13</v>
      </c>
      <c r="N3119" t="s">
        <v>47</v>
      </c>
      <c r="O3119">
        <v>5</v>
      </c>
      <c r="P3119" s="4">
        <v>17.399999999999999</v>
      </c>
      <c r="Q3119" t="s">
        <v>30</v>
      </c>
      <c r="R3119">
        <v>0</v>
      </c>
      <c r="S3119" t="s">
        <v>44</v>
      </c>
      <c r="T3119">
        <v>0</v>
      </c>
      <c r="U3119">
        <v>0</v>
      </c>
      <c r="V3119" t="s">
        <v>32</v>
      </c>
      <c r="W3119" t="s">
        <v>43</v>
      </c>
      <c r="X3119" s="4">
        <v>10.1</v>
      </c>
      <c r="Y3119">
        <v>17</v>
      </c>
      <c r="Z3119" s="5">
        <v>314.51</v>
      </c>
    </row>
    <row r="3120" spans="1:26">
      <c r="A3120">
        <v>3119</v>
      </c>
      <c r="B3120">
        <v>1019</v>
      </c>
      <c r="C3120" s="2">
        <v>46110</v>
      </c>
      <c r="D3120" t="s">
        <v>58</v>
      </c>
      <c r="E3120">
        <v>3</v>
      </c>
      <c r="F3120" s="3">
        <v>10.47</v>
      </c>
      <c r="G3120" t="s">
        <v>27</v>
      </c>
      <c r="H3120">
        <v>6</v>
      </c>
      <c r="I3120" t="s">
        <v>34</v>
      </c>
      <c r="J3120" s="4">
        <v>61.7</v>
      </c>
      <c r="K3120" s="4">
        <v>134.19999999999999</v>
      </c>
      <c r="L3120" s="4">
        <v>24.7</v>
      </c>
      <c r="M3120">
        <v>10</v>
      </c>
      <c r="N3120" t="s">
        <v>47</v>
      </c>
      <c r="O3120">
        <v>5</v>
      </c>
      <c r="P3120" s="4">
        <v>17.399999999999999</v>
      </c>
      <c r="Q3120" t="s">
        <v>30</v>
      </c>
      <c r="R3120">
        <v>0</v>
      </c>
      <c r="S3120" t="s">
        <v>44</v>
      </c>
      <c r="T3120">
        <v>0</v>
      </c>
      <c r="U3120">
        <v>0</v>
      </c>
      <c r="V3120" t="s">
        <v>32</v>
      </c>
      <c r="W3120" t="s">
        <v>43</v>
      </c>
      <c r="X3120" s="4">
        <v>8.6</v>
      </c>
      <c r="Y3120">
        <v>7</v>
      </c>
      <c r="Z3120" s="5">
        <v>159.28</v>
      </c>
    </row>
    <row r="3121" spans="1:26">
      <c r="A3121">
        <v>3120</v>
      </c>
      <c r="B3121">
        <v>1019</v>
      </c>
      <c r="C3121" s="2">
        <v>46110</v>
      </c>
      <c r="D3121" t="s">
        <v>58</v>
      </c>
      <c r="E3121">
        <v>3</v>
      </c>
      <c r="F3121" s="3">
        <v>10.61</v>
      </c>
      <c r="G3121" t="s">
        <v>27</v>
      </c>
      <c r="H3121">
        <v>45</v>
      </c>
      <c r="I3121" t="s">
        <v>28</v>
      </c>
      <c r="J3121" s="4">
        <v>69.5</v>
      </c>
      <c r="K3121" s="4">
        <v>200.4</v>
      </c>
      <c r="L3121" s="4">
        <v>29.7</v>
      </c>
      <c r="M3121">
        <v>14</v>
      </c>
      <c r="N3121" t="s">
        <v>47</v>
      </c>
      <c r="O3121">
        <v>5</v>
      </c>
      <c r="P3121" s="4">
        <v>17.399999999999999</v>
      </c>
      <c r="Q3121" t="s">
        <v>30</v>
      </c>
      <c r="R3121">
        <v>0</v>
      </c>
      <c r="S3121" t="s">
        <v>44</v>
      </c>
      <c r="T3121">
        <v>0</v>
      </c>
      <c r="U3121">
        <v>0</v>
      </c>
      <c r="V3121" t="s">
        <v>32</v>
      </c>
      <c r="W3121" t="s">
        <v>43</v>
      </c>
      <c r="X3121" s="4">
        <v>7.8</v>
      </c>
      <c r="Y3121">
        <v>3</v>
      </c>
      <c r="Z3121" s="5">
        <v>162.11000000000001</v>
      </c>
    </row>
    <row r="3122" spans="1:26">
      <c r="A3122">
        <v>3121</v>
      </c>
      <c r="B3122">
        <v>1019</v>
      </c>
      <c r="C3122" s="2">
        <v>46110</v>
      </c>
      <c r="D3122" t="s">
        <v>58</v>
      </c>
      <c r="E3122">
        <v>3</v>
      </c>
      <c r="F3122" s="3">
        <v>10.57</v>
      </c>
      <c r="G3122" t="s">
        <v>27</v>
      </c>
      <c r="H3122">
        <v>11</v>
      </c>
      <c r="I3122" t="s">
        <v>28</v>
      </c>
      <c r="J3122" s="4">
        <v>65.2</v>
      </c>
      <c r="K3122" s="4">
        <v>130</v>
      </c>
      <c r="L3122" s="4">
        <v>21.7</v>
      </c>
      <c r="M3122">
        <v>13</v>
      </c>
      <c r="N3122" t="s">
        <v>47</v>
      </c>
      <c r="O3122">
        <v>5</v>
      </c>
      <c r="P3122" s="4">
        <v>17.399999999999999</v>
      </c>
      <c r="Q3122" t="s">
        <v>30</v>
      </c>
      <c r="R3122">
        <v>0</v>
      </c>
      <c r="S3122" t="s">
        <v>44</v>
      </c>
      <c r="T3122">
        <v>0</v>
      </c>
      <c r="U3122">
        <v>0</v>
      </c>
      <c r="V3122" t="s">
        <v>32</v>
      </c>
      <c r="W3122" t="s">
        <v>43</v>
      </c>
      <c r="X3122" s="4">
        <v>5.8</v>
      </c>
      <c r="Y3122">
        <v>6</v>
      </c>
      <c r="Z3122" s="5">
        <v>83.95</v>
      </c>
    </row>
    <row r="3123" spans="1:26">
      <c r="A3123">
        <v>3122</v>
      </c>
      <c r="B3123">
        <v>1019</v>
      </c>
      <c r="C3123" s="2">
        <v>46110</v>
      </c>
      <c r="D3123" t="s">
        <v>58</v>
      </c>
      <c r="E3123">
        <v>3</v>
      </c>
      <c r="F3123" s="3">
        <v>10.5</v>
      </c>
      <c r="G3123" t="s">
        <v>27</v>
      </c>
      <c r="H3123">
        <v>13</v>
      </c>
      <c r="I3123" t="s">
        <v>28</v>
      </c>
      <c r="J3123" s="4">
        <v>66.7</v>
      </c>
      <c r="K3123" s="4">
        <v>142.4</v>
      </c>
      <c r="L3123" s="4">
        <v>22.5</v>
      </c>
      <c r="M3123">
        <v>11</v>
      </c>
      <c r="N3123" t="s">
        <v>47</v>
      </c>
      <c r="O3123">
        <v>5</v>
      </c>
      <c r="P3123" s="4">
        <v>17.399999999999999</v>
      </c>
      <c r="Q3123" t="s">
        <v>30</v>
      </c>
      <c r="R3123">
        <v>0</v>
      </c>
      <c r="S3123" t="s">
        <v>44</v>
      </c>
      <c r="T3123">
        <v>0</v>
      </c>
      <c r="U3123">
        <v>0</v>
      </c>
      <c r="V3123" t="s">
        <v>32</v>
      </c>
      <c r="W3123" t="s">
        <v>43</v>
      </c>
      <c r="X3123" s="4">
        <v>7.3</v>
      </c>
      <c r="Y3123">
        <v>5</v>
      </c>
      <c r="Z3123" s="5">
        <v>214.88</v>
      </c>
    </row>
    <row r="3124" spans="1:26">
      <c r="A3124">
        <v>3123</v>
      </c>
      <c r="B3124">
        <v>1020</v>
      </c>
      <c r="C3124" s="2">
        <v>46133</v>
      </c>
      <c r="D3124" t="s">
        <v>35</v>
      </c>
      <c r="E3124">
        <v>4</v>
      </c>
      <c r="F3124" s="3">
        <v>9.89</v>
      </c>
      <c r="G3124" t="s">
        <v>27</v>
      </c>
      <c r="H3124">
        <v>65</v>
      </c>
      <c r="I3124" t="s">
        <v>28</v>
      </c>
      <c r="J3124" s="4">
        <v>64.2</v>
      </c>
      <c r="K3124" s="4">
        <v>139.30000000000001</v>
      </c>
      <c r="L3124" s="4">
        <v>23.8</v>
      </c>
      <c r="M3124">
        <v>17</v>
      </c>
      <c r="N3124" t="s">
        <v>47</v>
      </c>
      <c r="O3124">
        <v>3</v>
      </c>
      <c r="P3124" s="4">
        <v>133.30000000000001</v>
      </c>
      <c r="Q3124" t="s">
        <v>42</v>
      </c>
      <c r="R3124">
        <v>0</v>
      </c>
      <c r="S3124" t="s">
        <v>31</v>
      </c>
      <c r="T3124">
        <v>0</v>
      </c>
      <c r="U3124">
        <v>0</v>
      </c>
      <c r="V3124" t="s">
        <v>32</v>
      </c>
      <c r="W3124" t="s">
        <v>57</v>
      </c>
      <c r="X3124" s="4">
        <v>7.4</v>
      </c>
      <c r="Y3124">
        <v>5</v>
      </c>
      <c r="Z3124" s="5">
        <v>210.66</v>
      </c>
    </row>
    <row r="3125" spans="1:26">
      <c r="A3125">
        <v>3124</v>
      </c>
      <c r="B3125">
        <v>1020</v>
      </c>
      <c r="C3125" s="2">
        <v>46133</v>
      </c>
      <c r="D3125" t="s">
        <v>35</v>
      </c>
      <c r="E3125">
        <v>4</v>
      </c>
      <c r="F3125" s="3">
        <v>9.85</v>
      </c>
      <c r="G3125" t="s">
        <v>27</v>
      </c>
      <c r="H3125">
        <v>76</v>
      </c>
      <c r="I3125" t="s">
        <v>28</v>
      </c>
      <c r="J3125" s="4">
        <v>72.2</v>
      </c>
      <c r="K3125" s="4">
        <v>208.5</v>
      </c>
      <c r="L3125" s="4">
        <v>28.1</v>
      </c>
      <c r="M3125">
        <v>16</v>
      </c>
      <c r="N3125" t="s">
        <v>47</v>
      </c>
      <c r="O3125">
        <v>3</v>
      </c>
      <c r="P3125" s="4">
        <v>133.30000000000001</v>
      </c>
      <c r="Q3125" t="s">
        <v>42</v>
      </c>
      <c r="R3125">
        <v>0</v>
      </c>
      <c r="S3125" t="s">
        <v>31</v>
      </c>
      <c r="T3125">
        <v>0</v>
      </c>
      <c r="U3125">
        <v>0</v>
      </c>
      <c r="V3125" t="s">
        <v>32</v>
      </c>
      <c r="W3125" t="s">
        <v>57</v>
      </c>
      <c r="X3125" s="4">
        <v>8.9</v>
      </c>
      <c r="Y3125">
        <v>8</v>
      </c>
      <c r="Z3125" s="5">
        <v>253.55</v>
      </c>
    </row>
    <row r="3126" spans="1:26">
      <c r="A3126">
        <v>3125</v>
      </c>
      <c r="B3126">
        <v>1020</v>
      </c>
      <c r="C3126" s="2">
        <v>46133</v>
      </c>
      <c r="D3126" t="s">
        <v>35</v>
      </c>
      <c r="E3126">
        <v>4</v>
      </c>
      <c r="F3126" s="3">
        <v>9.9700000000000006</v>
      </c>
      <c r="G3126" t="s">
        <v>27</v>
      </c>
      <c r="H3126">
        <v>5</v>
      </c>
      <c r="I3126" t="s">
        <v>28</v>
      </c>
      <c r="J3126" s="4">
        <v>46.4</v>
      </c>
      <c r="K3126" s="4">
        <v>53.8</v>
      </c>
      <c r="L3126" s="4">
        <v>17.5</v>
      </c>
      <c r="M3126">
        <v>13</v>
      </c>
      <c r="N3126" t="s">
        <v>47</v>
      </c>
      <c r="O3126">
        <v>3</v>
      </c>
      <c r="P3126" s="4">
        <v>133.30000000000001</v>
      </c>
      <c r="Q3126" t="s">
        <v>42</v>
      </c>
      <c r="R3126">
        <v>0</v>
      </c>
      <c r="S3126" t="s">
        <v>31</v>
      </c>
      <c r="T3126">
        <v>0</v>
      </c>
      <c r="U3126">
        <v>0</v>
      </c>
      <c r="V3126" t="s">
        <v>32</v>
      </c>
      <c r="W3126" t="s">
        <v>57</v>
      </c>
      <c r="X3126" s="4">
        <v>7.6</v>
      </c>
      <c r="Y3126">
        <v>8</v>
      </c>
      <c r="Z3126" s="5">
        <v>243.42</v>
      </c>
    </row>
    <row r="3127" spans="1:26">
      <c r="A3127">
        <v>3126</v>
      </c>
      <c r="B3127">
        <v>1021</v>
      </c>
      <c r="C3127" s="2">
        <v>46162</v>
      </c>
      <c r="D3127" t="s">
        <v>52</v>
      </c>
      <c r="E3127">
        <v>5</v>
      </c>
      <c r="F3127" s="3">
        <v>13.23</v>
      </c>
      <c r="G3127" t="s">
        <v>36</v>
      </c>
      <c r="H3127">
        <v>52</v>
      </c>
      <c r="I3127" t="s">
        <v>28</v>
      </c>
      <c r="J3127" s="4">
        <v>66.3</v>
      </c>
      <c r="K3127" s="4">
        <v>148.80000000000001</v>
      </c>
      <c r="L3127" s="4">
        <v>23.8</v>
      </c>
      <c r="M3127">
        <v>12</v>
      </c>
      <c r="N3127" t="s">
        <v>60</v>
      </c>
      <c r="O3127">
        <v>4</v>
      </c>
      <c r="P3127" s="4">
        <v>1132.7</v>
      </c>
      <c r="Q3127" t="s">
        <v>42</v>
      </c>
      <c r="R3127">
        <v>1</v>
      </c>
      <c r="S3127" t="s">
        <v>38</v>
      </c>
      <c r="T3127">
        <v>1</v>
      </c>
      <c r="U3127">
        <v>0</v>
      </c>
      <c r="V3127" t="s">
        <v>32</v>
      </c>
      <c r="W3127" t="s">
        <v>57</v>
      </c>
      <c r="X3127" s="4">
        <v>7.7</v>
      </c>
      <c r="Y3127">
        <v>8</v>
      </c>
      <c r="Z3127" s="5">
        <v>200.34</v>
      </c>
    </row>
    <row r="3128" spans="1:26">
      <c r="A3128">
        <v>3127</v>
      </c>
      <c r="B3128">
        <v>1021</v>
      </c>
      <c r="C3128" s="2">
        <v>46162</v>
      </c>
      <c r="D3128" t="s">
        <v>52</v>
      </c>
      <c r="E3128">
        <v>5</v>
      </c>
      <c r="F3128" s="3">
        <v>13.01</v>
      </c>
      <c r="G3128" t="s">
        <v>36</v>
      </c>
      <c r="H3128">
        <v>35</v>
      </c>
      <c r="I3128" t="s">
        <v>34</v>
      </c>
      <c r="J3128" s="4">
        <v>66.599999999999994</v>
      </c>
      <c r="K3128" s="4">
        <v>138.69999999999999</v>
      </c>
      <c r="L3128" s="4">
        <v>21.8</v>
      </c>
      <c r="M3128">
        <v>19</v>
      </c>
      <c r="N3128" t="s">
        <v>60</v>
      </c>
      <c r="O3128">
        <v>4</v>
      </c>
      <c r="P3128" s="4">
        <v>1132.7</v>
      </c>
      <c r="Q3128" t="s">
        <v>42</v>
      </c>
      <c r="R3128">
        <v>1</v>
      </c>
      <c r="S3128" t="s">
        <v>38</v>
      </c>
      <c r="T3128">
        <v>1</v>
      </c>
      <c r="U3128">
        <v>0</v>
      </c>
      <c r="V3128" t="s">
        <v>32</v>
      </c>
      <c r="W3128" t="s">
        <v>57</v>
      </c>
      <c r="X3128" s="4">
        <v>8.3000000000000007</v>
      </c>
      <c r="Y3128">
        <v>12</v>
      </c>
      <c r="Z3128" s="5">
        <v>305.39999999999998</v>
      </c>
    </row>
    <row r="3129" spans="1:26">
      <c r="A3129">
        <v>3128</v>
      </c>
      <c r="B3129">
        <v>1021</v>
      </c>
      <c r="C3129" s="2">
        <v>46162</v>
      </c>
      <c r="D3129" t="s">
        <v>52</v>
      </c>
      <c r="E3129">
        <v>5</v>
      </c>
      <c r="F3129" s="3">
        <v>13.06</v>
      </c>
      <c r="G3129" t="s">
        <v>36</v>
      </c>
      <c r="H3129">
        <v>12</v>
      </c>
      <c r="I3129" t="s">
        <v>28</v>
      </c>
      <c r="J3129" s="4">
        <v>63.1</v>
      </c>
      <c r="K3129" s="4">
        <v>79.2</v>
      </c>
      <c r="L3129" s="4">
        <v>13.8</v>
      </c>
      <c r="M3129">
        <v>13</v>
      </c>
      <c r="N3129" t="s">
        <v>60</v>
      </c>
      <c r="O3129">
        <v>4</v>
      </c>
      <c r="P3129" s="4">
        <v>1132.7</v>
      </c>
      <c r="Q3129" t="s">
        <v>42</v>
      </c>
      <c r="R3129">
        <v>1</v>
      </c>
      <c r="S3129" t="s">
        <v>38</v>
      </c>
      <c r="T3129">
        <v>1</v>
      </c>
      <c r="U3129">
        <v>0</v>
      </c>
      <c r="V3129" t="s">
        <v>32</v>
      </c>
      <c r="W3129" t="s">
        <v>57</v>
      </c>
      <c r="X3129" s="4">
        <v>7.7</v>
      </c>
      <c r="Y3129">
        <v>6</v>
      </c>
      <c r="Z3129" s="5">
        <v>219</v>
      </c>
    </row>
    <row r="3130" spans="1:26">
      <c r="A3130">
        <v>3129</v>
      </c>
      <c r="B3130">
        <v>1021</v>
      </c>
      <c r="C3130" s="2">
        <v>46162</v>
      </c>
      <c r="D3130" t="s">
        <v>52</v>
      </c>
      <c r="E3130">
        <v>5</v>
      </c>
      <c r="F3130" s="3">
        <v>13.09</v>
      </c>
      <c r="G3130" t="s">
        <v>36</v>
      </c>
      <c r="H3130">
        <v>45</v>
      </c>
      <c r="I3130" t="s">
        <v>34</v>
      </c>
      <c r="J3130" s="4">
        <v>57.9</v>
      </c>
      <c r="K3130" s="4">
        <v>104.3</v>
      </c>
      <c r="L3130" s="4">
        <v>21.9</v>
      </c>
      <c r="M3130">
        <v>15</v>
      </c>
      <c r="N3130" t="s">
        <v>60</v>
      </c>
      <c r="O3130">
        <v>4</v>
      </c>
      <c r="P3130" s="4">
        <v>1132.7</v>
      </c>
      <c r="Q3130" t="s">
        <v>42</v>
      </c>
      <c r="R3130">
        <v>1</v>
      </c>
      <c r="S3130" t="s">
        <v>38</v>
      </c>
      <c r="T3130">
        <v>1</v>
      </c>
      <c r="U3130">
        <v>0</v>
      </c>
      <c r="V3130" t="s">
        <v>32</v>
      </c>
      <c r="W3130" t="s">
        <v>57</v>
      </c>
      <c r="X3130" s="4">
        <v>7.6</v>
      </c>
      <c r="Y3130">
        <v>7</v>
      </c>
      <c r="Z3130" s="5">
        <v>231.7</v>
      </c>
    </row>
    <row r="3131" spans="1:26">
      <c r="A3131">
        <v>3130</v>
      </c>
      <c r="B3131">
        <v>1022</v>
      </c>
      <c r="C3131" s="2">
        <v>46353</v>
      </c>
      <c r="D3131" t="s">
        <v>26</v>
      </c>
      <c r="E3131">
        <v>11</v>
      </c>
      <c r="F3131" s="3">
        <v>11.23</v>
      </c>
      <c r="G3131" t="s">
        <v>36</v>
      </c>
      <c r="H3131">
        <v>11</v>
      </c>
      <c r="I3131" t="s">
        <v>34</v>
      </c>
      <c r="J3131" s="4">
        <v>62.9</v>
      </c>
      <c r="K3131" s="4">
        <v>119.9</v>
      </c>
      <c r="L3131" s="4">
        <v>21.4</v>
      </c>
      <c r="M3131">
        <v>15</v>
      </c>
      <c r="N3131" t="s">
        <v>56</v>
      </c>
      <c r="O3131">
        <v>2</v>
      </c>
      <c r="P3131" s="4">
        <v>286.39999999999998</v>
      </c>
      <c r="Q3131" t="s">
        <v>42</v>
      </c>
      <c r="R3131">
        <v>0</v>
      </c>
      <c r="S3131" t="s">
        <v>44</v>
      </c>
      <c r="T3131">
        <v>0</v>
      </c>
      <c r="U3131">
        <v>1</v>
      </c>
      <c r="V3131" t="s">
        <v>32</v>
      </c>
      <c r="W3131" t="s">
        <v>33</v>
      </c>
      <c r="X3131" s="4">
        <v>5.3</v>
      </c>
      <c r="Y3131">
        <v>9</v>
      </c>
      <c r="Z3131" s="5">
        <v>159.15</v>
      </c>
    </row>
    <row r="3132" spans="1:26">
      <c r="A3132">
        <v>3131</v>
      </c>
      <c r="B3132">
        <v>1022</v>
      </c>
      <c r="C3132" s="2">
        <v>46353</v>
      </c>
      <c r="D3132" t="s">
        <v>26</v>
      </c>
      <c r="E3132">
        <v>11</v>
      </c>
      <c r="F3132" s="3">
        <v>11.14</v>
      </c>
      <c r="G3132" t="s">
        <v>36</v>
      </c>
      <c r="H3132">
        <v>32</v>
      </c>
      <c r="I3132" t="s">
        <v>28</v>
      </c>
      <c r="J3132" s="4">
        <v>71.5</v>
      </c>
      <c r="K3132" s="4">
        <v>217.3</v>
      </c>
      <c r="L3132" s="4">
        <v>29.8</v>
      </c>
      <c r="M3132">
        <v>14</v>
      </c>
      <c r="N3132" t="s">
        <v>56</v>
      </c>
      <c r="O3132">
        <v>2</v>
      </c>
      <c r="P3132" s="4">
        <v>286.39999999999998</v>
      </c>
      <c r="Q3132" t="s">
        <v>42</v>
      </c>
      <c r="R3132">
        <v>0</v>
      </c>
      <c r="S3132" t="s">
        <v>44</v>
      </c>
      <c r="T3132">
        <v>0</v>
      </c>
      <c r="U3132">
        <v>1</v>
      </c>
      <c r="V3132" t="s">
        <v>32</v>
      </c>
      <c r="W3132" t="s">
        <v>33</v>
      </c>
      <c r="X3132" s="4">
        <v>8.1</v>
      </c>
      <c r="Y3132">
        <v>5</v>
      </c>
      <c r="Z3132" s="5">
        <v>157.72999999999999</v>
      </c>
    </row>
    <row r="3133" spans="1:26">
      <c r="A3133">
        <v>3132</v>
      </c>
      <c r="B3133">
        <v>1023</v>
      </c>
      <c r="C3133" s="2">
        <v>46348</v>
      </c>
      <c r="D3133" t="s">
        <v>58</v>
      </c>
      <c r="E3133">
        <v>11</v>
      </c>
      <c r="F3133" s="3">
        <v>9.0500000000000007</v>
      </c>
      <c r="G3133" t="s">
        <v>27</v>
      </c>
      <c r="H3133">
        <v>26</v>
      </c>
      <c r="I3133" t="s">
        <v>28</v>
      </c>
      <c r="J3133" s="4">
        <v>68.2</v>
      </c>
      <c r="K3133" s="4">
        <v>178.9</v>
      </c>
      <c r="L3133" s="4">
        <v>26.9</v>
      </c>
      <c r="M3133">
        <v>10</v>
      </c>
      <c r="N3133" t="s">
        <v>47</v>
      </c>
      <c r="O3133">
        <v>4</v>
      </c>
      <c r="P3133" s="4">
        <v>155.1</v>
      </c>
      <c r="Q3133" t="s">
        <v>30</v>
      </c>
      <c r="R3133">
        <v>0</v>
      </c>
      <c r="S3133" t="s">
        <v>44</v>
      </c>
      <c r="T3133">
        <v>0</v>
      </c>
      <c r="U3133">
        <v>0</v>
      </c>
      <c r="V3133" t="s">
        <v>32</v>
      </c>
      <c r="W3133" t="s">
        <v>57</v>
      </c>
      <c r="X3133" s="4">
        <v>8.6</v>
      </c>
      <c r="Y3133">
        <v>9</v>
      </c>
      <c r="Z3133" s="5">
        <v>139.63</v>
      </c>
    </row>
    <row r="3134" spans="1:26">
      <c r="A3134">
        <v>3133</v>
      </c>
      <c r="B3134">
        <v>1023</v>
      </c>
      <c r="C3134" s="2">
        <v>46348</v>
      </c>
      <c r="D3134" t="s">
        <v>58</v>
      </c>
      <c r="E3134">
        <v>11</v>
      </c>
      <c r="F3134" s="3">
        <v>9.17</v>
      </c>
      <c r="G3134" t="s">
        <v>27</v>
      </c>
      <c r="H3134">
        <v>68</v>
      </c>
      <c r="I3134" t="s">
        <v>34</v>
      </c>
      <c r="J3134" s="4">
        <v>66.099999999999994</v>
      </c>
      <c r="K3134" s="4">
        <v>160.4</v>
      </c>
      <c r="L3134" s="4">
        <v>25.8</v>
      </c>
      <c r="M3134">
        <v>15</v>
      </c>
      <c r="N3134" t="s">
        <v>47</v>
      </c>
      <c r="O3134">
        <v>4</v>
      </c>
      <c r="P3134" s="4">
        <v>155.1</v>
      </c>
      <c r="Q3134" t="s">
        <v>30</v>
      </c>
      <c r="R3134">
        <v>0</v>
      </c>
      <c r="S3134" t="s">
        <v>44</v>
      </c>
      <c r="T3134">
        <v>0</v>
      </c>
      <c r="U3134">
        <v>0</v>
      </c>
      <c r="V3134" t="s">
        <v>32</v>
      </c>
      <c r="W3134" t="s">
        <v>57</v>
      </c>
      <c r="X3134" s="4">
        <v>8.6</v>
      </c>
      <c r="Y3134">
        <v>9</v>
      </c>
      <c r="Z3134" s="5">
        <v>288.18</v>
      </c>
    </row>
    <row r="3135" spans="1:26">
      <c r="A3135">
        <v>3134</v>
      </c>
      <c r="B3135">
        <v>1023</v>
      </c>
      <c r="C3135" s="2">
        <v>46348</v>
      </c>
      <c r="D3135" t="s">
        <v>58</v>
      </c>
      <c r="E3135">
        <v>11</v>
      </c>
      <c r="F3135" s="3">
        <v>9.26</v>
      </c>
      <c r="G3135" t="s">
        <v>27</v>
      </c>
      <c r="H3135">
        <v>3</v>
      </c>
      <c r="I3135" t="s">
        <v>34</v>
      </c>
      <c r="J3135" s="4">
        <v>50</v>
      </c>
      <c r="K3135" s="4">
        <v>73.3</v>
      </c>
      <c r="L3135" s="4">
        <v>20.8</v>
      </c>
      <c r="M3135">
        <v>8</v>
      </c>
      <c r="N3135" t="s">
        <v>47</v>
      </c>
      <c r="O3135">
        <v>4</v>
      </c>
      <c r="P3135" s="4">
        <v>155.1</v>
      </c>
      <c r="Q3135" t="s">
        <v>30</v>
      </c>
      <c r="R3135">
        <v>0</v>
      </c>
      <c r="S3135" t="s">
        <v>44</v>
      </c>
      <c r="T3135">
        <v>0</v>
      </c>
      <c r="U3135">
        <v>0</v>
      </c>
      <c r="V3135" t="s">
        <v>32</v>
      </c>
      <c r="W3135" t="s">
        <v>57</v>
      </c>
      <c r="X3135" s="4">
        <v>6.6</v>
      </c>
      <c r="Y3135">
        <v>3</v>
      </c>
      <c r="Z3135" s="5">
        <v>60.38</v>
      </c>
    </row>
    <row r="3136" spans="1:26">
      <c r="A3136">
        <v>3135</v>
      </c>
      <c r="B3136">
        <v>1023</v>
      </c>
      <c r="C3136" s="2">
        <v>46348</v>
      </c>
      <c r="D3136" t="s">
        <v>58</v>
      </c>
      <c r="E3136">
        <v>11</v>
      </c>
      <c r="F3136" s="3">
        <v>9.26</v>
      </c>
      <c r="G3136" t="s">
        <v>27</v>
      </c>
      <c r="H3136">
        <v>8</v>
      </c>
      <c r="I3136" t="s">
        <v>34</v>
      </c>
      <c r="J3136" s="4">
        <v>64.2</v>
      </c>
      <c r="K3136" s="4">
        <v>115.9</v>
      </c>
      <c r="L3136" s="4">
        <v>19.8</v>
      </c>
      <c r="M3136">
        <v>12</v>
      </c>
      <c r="N3136" t="s">
        <v>47</v>
      </c>
      <c r="O3136">
        <v>4</v>
      </c>
      <c r="P3136" s="4">
        <v>155.1</v>
      </c>
      <c r="Q3136" t="s">
        <v>30</v>
      </c>
      <c r="R3136">
        <v>0</v>
      </c>
      <c r="S3136" t="s">
        <v>44</v>
      </c>
      <c r="T3136">
        <v>0</v>
      </c>
      <c r="U3136">
        <v>0</v>
      </c>
      <c r="V3136" t="s">
        <v>32</v>
      </c>
      <c r="W3136" t="s">
        <v>57</v>
      </c>
      <c r="X3136" s="4">
        <v>7.7</v>
      </c>
      <c r="Y3136">
        <v>10</v>
      </c>
      <c r="Z3136" s="5">
        <v>131.97999999999999</v>
      </c>
    </row>
    <row r="3137" spans="1:26">
      <c r="A3137">
        <v>3136</v>
      </c>
      <c r="B3137">
        <v>1024</v>
      </c>
      <c r="C3137" s="2">
        <v>46030</v>
      </c>
      <c r="D3137" t="s">
        <v>55</v>
      </c>
      <c r="E3137">
        <v>1</v>
      </c>
      <c r="F3137" s="3">
        <v>11.45</v>
      </c>
      <c r="G3137" t="s">
        <v>36</v>
      </c>
      <c r="H3137">
        <v>47</v>
      </c>
      <c r="I3137" t="s">
        <v>34</v>
      </c>
      <c r="J3137" s="4">
        <v>63.6</v>
      </c>
      <c r="K3137" s="4">
        <v>165.5</v>
      </c>
      <c r="L3137" s="4">
        <v>28.8</v>
      </c>
      <c r="M3137">
        <v>13</v>
      </c>
      <c r="N3137" t="s">
        <v>50</v>
      </c>
      <c r="O3137">
        <v>2</v>
      </c>
      <c r="P3137" s="4">
        <v>406.7</v>
      </c>
      <c r="Q3137" t="s">
        <v>42</v>
      </c>
      <c r="R3137">
        <v>0</v>
      </c>
      <c r="S3137" t="s">
        <v>31</v>
      </c>
      <c r="T3137">
        <v>0</v>
      </c>
      <c r="U3137">
        <v>0</v>
      </c>
      <c r="V3137" t="s">
        <v>32</v>
      </c>
      <c r="W3137" t="s">
        <v>49</v>
      </c>
      <c r="X3137" s="4">
        <v>8.6</v>
      </c>
      <c r="Y3137">
        <v>11</v>
      </c>
      <c r="Z3137" s="5">
        <v>314.82</v>
      </c>
    </row>
    <row r="3138" spans="1:26">
      <c r="A3138">
        <v>3137</v>
      </c>
      <c r="B3138">
        <v>1024</v>
      </c>
      <c r="C3138" s="2">
        <v>46030</v>
      </c>
      <c r="D3138" t="s">
        <v>55</v>
      </c>
      <c r="E3138">
        <v>1</v>
      </c>
      <c r="F3138" s="3">
        <v>11.26</v>
      </c>
      <c r="G3138" t="s">
        <v>36</v>
      </c>
      <c r="H3138">
        <v>62</v>
      </c>
      <c r="I3138" t="s">
        <v>28</v>
      </c>
      <c r="J3138" s="4">
        <v>70.900000000000006</v>
      </c>
      <c r="K3138" s="4">
        <v>155.5</v>
      </c>
      <c r="L3138" s="4">
        <v>21.8</v>
      </c>
      <c r="M3138">
        <v>15</v>
      </c>
      <c r="N3138" t="s">
        <v>50</v>
      </c>
      <c r="O3138">
        <v>2</v>
      </c>
      <c r="P3138" s="4">
        <v>406.7</v>
      </c>
      <c r="Q3138" t="s">
        <v>42</v>
      </c>
      <c r="R3138">
        <v>0</v>
      </c>
      <c r="S3138" t="s">
        <v>31</v>
      </c>
      <c r="T3138">
        <v>0</v>
      </c>
      <c r="U3138">
        <v>0</v>
      </c>
      <c r="V3138" t="s">
        <v>32</v>
      </c>
      <c r="W3138" t="s">
        <v>49</v>
      </c>
      <c r="X3138" s="4">
        <v>6.3</v>
      </c>
      <c r="Y3138">
        <v>12</v>
      </c>
      <c r="Z3138" s="5">
        <v>145.25</v>
      </c>
    </row>
    <row r="3139" spans="1:26">
      <c r="A3139">
        <v>3138</v>
      </c>
      <c r="B3139">
        <v>1025</v>
      </c>
      <c r="C3139" s="2">
        <v>46101</v>
      </c>
      <c r="D3139" t="s">
        <v>26</v>
      </c>
      <c r="E3139">
        <v>3</v>
      </c>
      <c r="F3139" s="3">
        <v>9</v>
      </c>
      <c r="G3139" t="s">
        <v>27</v>
      </c>
      <c r="H3139">
        <v>59</v>
      </c>
      <c r="I3139" t="s">
        <v>28</v>
      </c>
      <c r="J3139" s="4">
        <v>67.2</v>
      </c>
      <c r="K3139" s="4">
        <v>102.3</v>
      </c>
      <c r="L3139" s="4">
        <v>16</v>
      </c>
      <c r="M3139">
        <v>15</v>
      </c>
      <c r="N3139" t="s">
        <v>56</v>
      </c>
      <c r="O3139">
        <v>3</v>
      </c>
      <c r="P3139" s="4">
        <v>280.7</v>
      </c>
      <c r="Q3139" t="s">
        <v>48</v>
      </c>
      <c r="R3139">
        <v>1</v>
      </c>
      <c r="S3139" t="s">
        <v>31</v>
      </c>
      <c r="T3139">
        <v>0</v>
      </c>
      <c r="U3139">
        <v>0</v>
      </c>
      <c r="V3139" t="s">
        <v>32</v>
      </c>
      <c r="W3139" t="s">
        <v>43</v>
      </c>
      <c r="X3139" s="4">
        <v>9.1999999999999993</v>
      </c>
      <c r="Y3139">
        <v>8</v>
      </c>
      <c r="Z3139" s="5">
        <v>387.29</v>
      </c>
    </row>
    <row r="3140" spans="1:26">
      <c r="A3140">
        <v>3139</v>
      </c>
      <c r="B3140">
        <v>1025</v>
      </c>
      <c r="C3140" s="2">
        <v>46101</v>
      </c>
      <c r="D3140" t="s">
        <v>26</v>
      </c>
      <c r="E3140">
        <v>3</v>
      </c>
      <c r="F3140" s="3">
        <v>8.99</v>
      </c>
      <c r="G3140" t="s">
        <v>27</v>
      </c>
      <c r="H3140">
        <v>11</v>
      </c>
      <c r="I3140" t="s">
        <v>28</v>
      </c>
      <c r="J3140" s="4">
        <v>64.099999999999994</v>
      </c>
      <c r="K3140" s="4">
        <v>127.9</v>
      </c>
      <c r="L3140" s="4">
        <v>21.8</v>
      </c>
      <c r="M3140">
        <v>13</v>
      </c>
      <c r="N3140" t="s">
        <v>56</v>
      </c>
      <c r="O3140">
        <v>3</v>
      </c>
      <c r="P3140" s="4">
        <v>280.7</v>
      </c>
      <c r="Q3140" t="s">
        <v>48</v>
      </c>
      <c r="R3140">
        <v>1</v>
      </c>
      <c r="S3140" t="s">
        <v>31</v>
      </c>
      <c r="T3140">
        <v>0</v>
      </c>
      <c r="U3140">
        <v>0</v>
      </c>
      <c r="V3140" t="s">
        <v>32</v>
      </c>
      <c r="W3140" t="s">
        <v>43</v>
      </c>
      <c r="X3140" s="4">
        <v>9.9</v>
      </c>
      <c r="Y3140">
        <v>7</v>
      </c>
      <c r="Z3140" s="5">
        <v>214.09</v>
      </c>
    </row>
    <row r="3141" spans="1:26">
      <c r="A3141">
        <v>3140</v>
      </c>
      <c r="B3141">
        <v>1025</v>
      </c>
      <c r="C3141" s="2">
        <v>46101</v>
      </c>
      <c r="D3141" t="s">
        <v>26</v>
      </c>
      <c r="E3141">
        <v>3</v>
      </c>
      <c r="F3141" s="3">
        <v>8.84</v>
      </c>
      <c r="G3141" t="s">
        <v>27</v>
      </c>
      <c r="H3141">
        <v>7</v>
      </c>
      <c r="I3141" t="s">
        <v>28</v>
      </c>
      <c r="J3141" s="4">
        <v>62.8</v>
      </c>
      <c r="K3141" s="4">
        <v>105.2</v>
      </c>
      <c r="L3141" s="4">
        <v>18.399999999999999</v>
      </c>
      <c r="M3141">
        <v>13</v>
      </c>
      <c r="N3141" t="s">
        <v>56</v>
      </c>
      <c r="O3141">
        <v>3</v>
      </c>
      <c r="P3141" s="4">
        <v>280.7</v>
      </c>
      <c r="Q3141" t="s">
        <v>48</v>
      </c>
      <c r="R3141">
        <v>1</v>
      </c>
      <c r="S3141" t="s">
        <v>31</v>
      </c>
      <c r="T3141">
        <v>0</v>
      </c>
      <c r="U3141">
        <v>0</v>
      </c>
      <c r="V3141" t="s">
        <v>32</v>
      </c>
      <c r="W3141" t="s">
        <v>43</v>
      </c>
      <c r="X3141" s="4">
        <v>6.5</v>
      </c>
      <c r="Y3141">
        <v>5</v>
      </c>
      <c r="Z3141" s="5">
        <v>211.68</v>
      </c>
    </row>
    <row r="3142" spans="1:26">
      <c r="A3142">
        <v>3141</v>
      </c>
      <c r="B3142">
        <v>1026</v>
      </c>
      <c r="C3142" s="2">
        <v>46192</v>
      </c>
      <c r="D3142" t="s">
        <v>26</v>
      </c>
      <c r="E3142">
        <v>6</v>
      </c>
      <c r="F3142" s="3">
        <v>9.4</v>
      </c>
      <c r="G3142" t="s">
        <v>27</v>
      </c>
      <c r="H3142">
        <v>64</v>
      </c>
      <c r="I3142" t="s">
        <v>34</v>
      </c>
      <c r="J3142" s="4">
        <v>67.5</v>
      </c>
      <c r="K3142" s="4">
        <v>152.1</v>
      </c>
      <c r="L3142" s="4">
        <v>23.4</v>
      </c>
      <c r="M3142">
        <v>16</v>
      </c>
      <c r="N3142" t="s">
        <v>50</v>
      </c>
      <c r="O3142">
        <v>6</v>
      </c>
      <c r="P3142" s="4">
        <v>117.4</v>
      </c>
      <c r="Q3142" t="s">
        <v>42</v>
      </c>
      <c r="R3142">
        <v>0</v>
      </c>
      <c r="S3142" t="s">
        <v>38</v>
      </c>
      <c r="T3142">
        <v>1</v>
      </c>
      <c r="U3142">
        <v>0</v>
      </c>
      <c r="V3142" t="s">
        <v>32</v>
      </c>
      <c r="W3142" t="s">
        <v>39</v>
      </c>
      <c r="X3142" s="4">
        <v>10.8</v>
      </c>
      <c r="Y3142">
        <v>4</v>
      </c>
      <c r="Z3142" s="5">
        <v>294.95999999999998</v>
      </c>
    </row>
    <row r="3143" spans="1:26">
      <c r="A3143">
        <v>3142</v>
      </c>
      <c r="B3143">
        <v>1026</v>
      </c>
      <c r="C3143" s="2">
        <v>46192</v>
      </c>
      <c r="D3143" t="s">
        <v>26</v>
      </c>
      <c r="E3143">
        <v>6</v>
      </c>
      <c r="F3143" s="3">
        <v>9.07</v>
      </c>
      <c r="G3143" t="s">
        <v>27</v>
      </c>
      <c r="H3143">
        <v>10</v>
      </c>
      <c r="I3143" t="s">
        <v>34</v>
      </c>
      <c r="J3143" s="4">
        <v>64.2</v>
      </c>
      <c r="K3143" s="4">
        <v>106.4</v>
      </c>
      <c r="L3143" s="4">
        <v>18.2</v>
      </c>
      <c r="M3143">
        <v>10</v>
      </c>
      <c r="N3143" t="s">
        <v>50</v>
      </c>
      <c r="O3143">
        <v>6</v>
      </c>
      <c r="P3143" s="4">
        <v>117.4</v>
      </c>
      <c r="Q3143" t="s">
        <v>42</v>
      </c>
      <c r="R3143">
        <v>0</v>
      </c>
      <c r="S3143" t="s">
        <v>38</v>
      </c>
      <c r="T3143">
        <v>1</v>
      </c>
      <c r="U3143">
        <v>0</v>
      </c>
      <c r="V3143" t="s">
        <v>32</v>
      </c>
      <c r="W3143" t="s">
        <v>39</v>
      </c>
      <c r="X3143" s="4">
        <v>8.8000000000000007</v>
      </c>
      <c r="Y3143">
        <v>5</v>
      </c>
      <c r="Z3143" s="5">
        <v>199.65</v>
      </c>
    </row>
    <row r="3144" spans="1:26">
      <c r="A3144">
        <v>3143</v>
      </c>
      <c r="B3144">
        <v>1026</v>
      </c>
      <c r="C3144" s="2">
        <v>46192</v>
      </c>
      <c r="D3144" t="s">
        <v>26</v>
      </c>
      <c r="E3144">
        <v>6</v>
      </c>
      <c r="F3144" s="3">
        <v>9.1199999999999992</v>
      </c>
      <c r="G3144" t="s">
        <v>27</v>
      </c>
      <c r="H3144">
        <v>38</v>
      </c>
      <c r="I3144" t="s">
        <v>34</v>
      </c>
      <c r="J3144" s="4">
        <v>67.099999999999994</v>
      </c>
      <c r="K3144" s="4">
        <v>135.69999999999999</v>
      </c>
      <c r="L3144" s="4">
        <v>21.2</v>
      </c>
      <c r="M3144">
        <v>14</v>
      </c>
      <c r="N3144" t="s">
        <v>50</v>
      </c>
      <c r="O3144">
        <v>6</v>
      </c>
      <c r="P3144" s="4">
        <v>117.4</v>
      </c>
      <c r="Q3144" t="s">
        <v>42</v>
      </c>
      <c r="R3144">
        <v>0</v>
      </c>
      <c r="S3144" t="s">
        <v>38</v>
      </c>
      <c r="T3144">
        <v>1</v>
      </c>
      <c r="U3144">
        <v>0</v>
      </c>
      <c r="V3144" t="s">
        <v>32</v>
      </c>
      <c r="W3144" t="s">
        <v>39</v>
      </c>
      <c r="X3144" s="4">
        <v>7.1</v>
      </c>
      <c r="Y3144">
        <v>6</v>
      </c>
      <c r="Z3144" s="5">
        <v>110.97</v>
      </c>
    </row>
    <row r="3145" spans="1:26">
      <c r="A3145">
        <v>3144</v>
      </c>
      <c r="B3145">
        <v>1026</v>
      </c>
      <c r="C3145" s="2">
        <v>46192</v>
      </c>
      <c r="D3145" t="s">
        <v>26</v>
      </c>
      <c r="E3145">
        <v>6</v>
      </c>
      <c r="F3145" s="3">
        <v>9.2200000000000006</v>
      </c>
      <c r="G3145" t="s">
        <v>27</v>
      </c>
      <c r="H3145">
        <v>60</v>
      </c>
      <c r="I3145" t="s">
        <v>34</v>
      </c>
      <c r="J3145" s="4">
        <v>61.4</v>
      </c>
      <c r="K3145" s="4">
        <v>129.5</v>
      </c>
      <c r="L3145" s="4">
        <v>23.9</v>
      </c>
      <c r="M3145">
        <v>20</v>
      </c>
      <c r="N3145" t="s">
        <v>50</v>
      </c>
      <c r="O3145">
        <v>6</v>
      </c>
      <c r="P3145" s="4">
        <v>117.4</v>
      </c>
      <c r="Q3145" t="s">
        <v>42</v>
      </c>
      <c r="R3145">
        <v>0</v>
      </c>
      <c r="S3145" t="s">
        <v>38</v>
      </c>
      <c r="T3145">
        <v>1</v>
      </c>
      <c r="U3145">
        <v>0</v>
      </c>
      <c r="V3145" t="s">
        <v>32</v>
      </c>
      <c r="W3145" t="s">
        <v>39</v>
      </c>
      <c r="X3145" s="4">
        <v>6.9</v>
      </c>
      <c r="Y3145">
        <v>8</v>
      </c>
      <c r="Z3145" s="5">
        <v>166.54</v>
      </c>
    </row>
    <row r="3146" spans="1:26">
      <c r="A3146">
        <v>3145</v>
      </c>
      <c r="B3146">
        <v>1026</v>
      </c>
      <c r="C3146" s="2">
        <v>46192</v>
      </c>
      <c r="D3146" t="s">
        <v>26</v>
      </c>
      <c r="E3146">
        <v>6</v>
      </c>
      <c r="F3146" s="3">
        <v>9.3000000000000007</v>
      </c>
      <c r="G3146" t="s">
        <v>27</v>
      </c>
      <c r="H3146">
        <v>51</v>
      </c>
      <c r="I3146" t="s">
        <v>34</v>
      </c>
      <c r="J3146" s="4">
        <v>64.3</v>
      </c>
      <c r="K3146" s="4">
        <v>133.19999999999999</v>
      </c>
      <c r="L3146" s="4">
        <v>22.5</v>
      </c>
      <c r="M3146">
        <v>15</v>
      </c>
      <c r="N3146" t="s">
        <v>50</v>
      </c>
      <c r="O3146">
        <v>6</v>
      </c>
      <c r="P3146" s="4">
        <v>117.4</v>
      </c>
      <c r="Q3146" t="s">
        <v>42</v>
      </c>
      <c r="R3146">
        <v>0</v>
      </c>
      <c r="S3146" t="s">
        <v>38</v>
      </c>
      <c r="T3146">
        <v>1</v>
      </c>
      <c r="U3146">
        <v>0</v>
      </c>
      <c r="V3146" t="s">
        <v>32</v>
      </c>
      <c r="W3146" t="s">
        <v>39</v>
      </c>
      <c r="X3146" s="4">
        <v>9.9</v>
      </c>
      <c r="Y3146">
        <v>13</v>
      </c>
      <c r="Z3146" s="5">
        <v>189.5</v>
      </c>
    </row>
    <row r="3147" spans="1:26">
      <c r="A3147">
        <v>3146</v>
      </c>
      <c r="B3147">
        <v>1026</v>
      </c>
      <c r="C3147" s="2">
        <v>46192</v>
      </c>
      <c r="D3147" t="s">
        <v>26</v>
      </c>
      <c r="E3147">
        <v>6</v>
      </c>
      <c r="F3147" s="3">
        <v>9.19</v>
      </c>
      <c r="G3147" t="s">
        <v>27</v>
      </c>
      <c r="H3147">
        <v>18</v>
      </c>
      <c r="I3147" t="s">
        <v>34</v>
      </c>
      <c r="J3147" s="4">
        <v>68</v>
      </c>
      <c r="K3147" s="4">
        <v>140.69999999999999</v>
      </c>
      <c r="L3147" s="4">
        <v>21.3</v>
      </c>
      <c r="M3147">
        <v>12</v>
      </c>
      <c r="N3147" t="s">
        <v>50</v>
      </c>
      <c r="O3147">
        <v>6</v>
      </c>
      <c r="P3147" s="4">
        <v>117.4</v>
      </c>
      <c r="Q3147" t="s">
        <v>42</v>
      </c>
      <c r="R3147">
        <v>0</v>
      </c>
      <c r="S3147" t="s">
        <v>38</v>
      </c>
      <c r="T3147">
        <v>1</v>
      </c>
      <c r="U3147">
        <v>0</v>
      </c>
      <c r="V3147" t="s">
        <v>32</v>
      </c>
      <c r="W3147" t="s">
        <v>39</v>
      </c>
      <c r="X3147" s="4">
        <v>9.1999999999999993</v>
      </c>
      <c r="Y3147">
        <v>14</v>
      </c>
      <c r="Z3147" s="5">
        <v>149.01</v>
      </c>
    </row>
    <row r="3148" spans="1:26">
      <c r="A3148">
        <v>3147</v>
      </c>
      <c r="B3148">
        <v>1027</v>
      </c>
      <c r="C3148" s="2">
        <v>46338</v>
      </c>
      <c r="D3148" t="s">
        <v>55</v>
      </c>
      <c r="E3148">
        <v>11</v>
      </c>
      <c r="F3148" s="3">
        <v>8.3699999999999992</v>
      </c>
      <c r="G3148" t="s">
        <v>27</v>
      </c>
      <c r="H3148">
        <v>21</v>
      </c>
      <c r="I3148" t="s">
        <v>34</v>
      </c>
      <c r="J3148" s="4">
        <v>60.3</v>
      </c>
      <c r="K3148" s="4">
        <v>131.4</v>
      </c>
      <c r="L3148" s="4">
        <v>25.3</v>
      </c>
      <c r="M3148">
        <v>10</v>
      </c>
      <c r="N3148" t="s">
        <v>47</v>
      </c>
      <c r="O3148">
        <v>1</v>
      </c>
      <c r="P3148" s="4">
        <v>67.2</v>
      </c>
      <c r="Q3148" t="s">
        <v>48</v>
      </c>
      <c r="R3148">
        <v>1</v>
      </c>
      <c r="S3148" t="s">
        <v>44</v>
      </c>
      <c r="T3148">
        <v>1</v>
      </c>
      <c r="U3148">
        <v>0</v>
      </c>
      <c r="V3148" t="s">
        <v>32</v>
      </c>
      <c r="W3148" t="s">
        <v>43</v>
      </c>
      <c r="X3148" s="4">
        <v>8.1999999999999993</v>
      </c>
      <c r="Y3148">
        <v>10</v>
      </c>
      <c r="Z3148" s="5">
        <v>312.58</v>
      </c>
    </row>
    <row r="3149" spans="1:26">
      <c r="A3149">
        <v>3148</v>
      </c>
      <c r="B3149">
        <v>1028</v>
      </c>
      <c r="C3149" s="2">
        <v>46347</v>
      </c>
      <c r="D3149" t="s">
        <v>40</v>
      </c>
      <c r="E3149">
        <v>11</v>
      </c>
      <c r="F3149" s="3">
        <v>8.59</v>
      </c>
      <c r="G3149" t="s">
        <v>27</v>
      </c>
      <c r="H3149">
        <v>51</v>
      </c>
      <c r="I3149" t="s">
        <v>28</v>
      </c>
      <c r="J3149" s="4">
        <v>69.3</v>
      </c>
      <c r="K3149" s="4">
        <v>226.9</v>
      </c>
      <c r="L3149" s="4">
        <v>33.4</v>
      </c>
      <c r="M3149">
        <v>18</v>
      </c>
      <c r="N3149" t="s">
        <v>69</v>
      </c>
      <c r="O3149">
        <v>1</v>
      </c>
      <c r="P3149" s="4">
        <v>1698.1</v>
      </c>
      <c r="Q3149" t="s">
        <v>42</v>
      </c>
      <c r="R3149">
        <v>1</v>
      </c>
      <c r="S3149" t="s">
        <v>44</v>
      </c>
      <c r="T3149">
        <v>1</v>
      </c>
      <c r="U3149">
        <v>1</v>
      </c>
      <c r="V3149" t="s">
        <v>45</v>
      </c>
      <c r="W3149" t="s">
        <v>33</v>
      </c>
      <c r="X3149" s="4">
        <v>11.1</v>
      </c>
      <c r="Y3149">
        <v>8</v>
      </c>
      <c r="Z3149" s="5">
        <v>323.7</v>
      </c>
    </row>
    <row r="3150" spans="1:26">
      <c r="A3150">
        <v>3149</v>
      </c>
      <c r="B3150">
        <v>1029</v>
      </c>
      <c r="C3150" s="2">
        <v>46160</v>
      </c>
      <c r="D3150" t="s">
        <v>46</v>
      </c>
      <c r="E3150">
        <v>5</v>
      </c>
      <c r="F3150" s="3">
        <v>12.2</v>
      </c>
      <c r="G3150" t="s">
        <v>36</v>
      </c>
      <c r="H3150">
        <v>20</v>
      </c>
      <c r="I3150" t="s">
        <v>28</v>
      </c>
      <c r="J3150" s="4">
        <v>61.6</v>
      </c>
      <c r="K3150" s="4">
        <v>163.5</v>
      </c>
      <c r="L3150" s="4">
        <v>30.3</v>
      </c>
      <c r="M3150">
        <v>12</v>
      </c>
      <c r="N3150" t="s">
        <v>29</v>
      </c>
      <c r="O3150">
        <v>2</v>
      </c>
      <c r="P3150" s="4">
        <v>1741</v>
      </c>
      <c r="Q3150" t="s">
        <v>42</v>
      </c>
      <c r="R3150">
        <v>1</v>
      </c>
      <c r="S3150" t="s">
        <v>31</v>
      </c>
      <c r="T3150">
        <v>0</v>
      </c>
      <c r="U3150">
        <v>0</v>
      </c>
      <c r="V3150" t="s">
        <v>32</v>
      </c>
      <c r="W3150" t="s">
        <v>49</v>
      </c>
      <c r="X3150" s="4">
        <v>7.3</v>
      </c>
      <c r="Y3150">
        <v>9</v>
      </c>
      <c r="Z3150" s="5">
        <v>153.24</v>
      </c>
    </row>
    <row r="3151" spans="1:26">
      <c r="A3151">
        <v>3150</v>
      </c>
      <c r="B3151">
        <v>1029</v>
      </c>
      <c r="C3151" s="2">
        <v>46160</v>
      </c>
      <c r="D3151" t="s">
        <v>46</v>
      </c>
      <c r="E3151">
        <v>5</v>
      </c>
      <c r="F3151" s="3">
        <v>12.59</v>
      </c>
      <c r="G3151" t="s">
        <v>36</v>
      </c>
      <c r="H3151">
        <v>33</v>
      </c>
      <c r="I3151" t="s">
        <v>34</v>
      </c>
      <c r="J3151" s="4">
        <v>61.7</v>
      </c>
      <c r="K3151" s="4">
        <v>172.8</v>
      </c>
      <c r="L3151" s="4">
        <v>32</v>
      </c>
      <c r="M3151">
        <v>17</v>
      </c>
      <c r="N3151" t="s">
        <v>29</v>
      </c>
      <c r="O3151">
        <v>2</v>
      </c>
      <c r="P3151" s="4">
        <v>1741</v>
      </c>
      <c r="Q3151" t="s">
        <v>42</v>
      </c>
      <c r="R3151">
        <v>1</v>
      </c>
      <c r="S3151" t="s">
        <v>31</v>
      </c>
      <c r="T3151">
        <v>0</v>
      </c>
      <c r="U3151">
        <v>0</v>
      </c>
      <c r="V3151" t="s">
        <v>32</v>
      </c>
      <c r="W3151" t="s">
        <v>49</v>
      </c>
      <c r="X3151" s="4">
        <v>7.5</v>
      </c>
      <c r="Y3151">
        <v>6</v>
      </c>
      <c r="Z3151" s="5">
        <v>257.20999999999998</v>
      </c>
    </row>
    <row r="3152" spans="1:26">
      <c r="A3152">
        <v>3151</v>
      </c>
      <c r="B3152">
        <v>1030</v>
      </c>
      <c r="C3152" s="2">
        <v>46376</v>
      </c>
      <c r="D3152" t="s">
        <v>58</v>
      </c>
      <c r="E3152">
        <v>12</v>
      </c>
      <c r="F3152" s="3">
        <v>10.83</v>
      </c>
      <c r="G3152" t="s">
        <v>27</v>
      </c>
      <c r="H3152">
        <v>69</v>
      </c>
      <c r="I3152" t="s">
        <v>28</v>
      </c>
      <c r="J3152" s="4">
        <v>74</v>
      </c>
      <c r="K3152" s="4">
        <v>164.5</v>
      </c>
      <c r="L3152" s="4">
        <v>21.1</v>
      </c>
      <c r="M3152">
        <v>15</v>
      </c>
      <c r="N3152" t="s">
        <v>56</v>
      </c>
      <c r="O3152">
        <v>1</v>
      </c>
      <c r="P3152" s="4">
        <v>264.60000000000002</v>
      </c>
      <c r="Q3152" t="s">
        <v>30</v>
      </c>
      <c r="R3152">
        <v>1</v>
      </c>
      <c r="S3152" t="s">
        <v>31</v>
      </c>
      <c r="T3152">
        <v>1</v>
      </c>
      <c r="U3152">
        <v>0</v>
      </c>
      <c r="V3152" t="s">
        <v>32</v>
      </c>
      <c r="W3152" t="s">
        <v>49</v>
      </c>
      <c r="X3152" s="4">
        <v>8.6999999999999993</v>
      </c>
      <c r="Y3152">
        <v>7</v>
      </c>
      <c r="Z3152" s="5">
        <v>121.09</v>
      </c>
    </row>
    <row r="3153" spans="1:26">
      <c r="A3153">
        <v>3152</v>
      </c>
      <c r="B3153">
        <v>1031</v>
      </c>
      <c r="C3153" s="2">
        <v>46242</v>
      </c>
      <c r="D3153" t="s">
        <v>40</v>
      </c>
      <c r="E3153">
        <v>8</v>
      </c>
      <c r="F3153" s="3">
        <v>11.38</v>
      </c>
      <c r="G3153" t="s">
        <v>36</v>
      </c>
      <c r="H3153">
        <v>31</v>
      </c>
      <c r="I3153" t="s">
        <v>34</v>
      </c>
      <c r="J3153" s="4">
        <v>64.8</v>
      </c>
      <c r="K3153" s="4">
        <v>200.6</v>
      </c>
      <c r="L3153" s="4">
        <v>33.6</v>
      </c>
      <c r="M3153">
        <v>15</v>
      </c>
      <c r="N3153" t="s">
        <v>47</v>
      </c>
      <c r="O3153">
        <v>1</v>
      </c>
      <c r="P3153" s="4">
        <v>48.2</v>
      </c>
      <c r="Q3153" t="s">
        <v>42</v>
      </c>
      <c r="R3153">
        <v>1</v>
      </c>
      <c r="S3153" t="s">
        <v>44</v>
      </c>
      <c r="T3153">
        <v>0</v>
      </c>
      <c r="U3153">
        <v>0</v>
      </c>
      <c r="V3153" t="s">
        <v>32</v>
      </c>
      <c r="W3153" t="s">
        <v>49</v>
      </c>
      <c r="X3153" s="4">
        <v>8.1</v>
      </c>
      <c r="Y3153">
        <v>8</v>
      </c>
      <c r="Z3153" s="5">
        <v>156.31</v>
      </c>
    </row>
    <row r="3154" spans="1:26">
      <c r="A3154">
        <v>3153</v>
      </c>
      <c r="B3154">
        <v>1032</v>
      </c>
      <c r="C3154" s="2">
        <v>46115</v>
      </c>
      <c r="D3154" t="s">
        <v>26</v>
      </c>
      <c r="E3154">
        <v>4</v>
      </c>
      <c r="F3154" s="3">
        <v>11.85</v>
      </c>
      <c r="G3154" t="s">
        <v>36</v>
      </c>
      <c r="H3154">
        <v>64</v>
      </c>
      <c r="I3154" t="s">
        <v>34</v>
      </c>
      <c r="J3154" s="4">
        <v>60.9</v>
      </c>
      <c r="K3154" s="4">
        <v>137.9</v>
      </c>
      <c r="L3154" s="4">
        <v>26.1</v>
      </c>
      <c r="M3154">
        <v>17</v>
      </c>
      <c r="N3154" t="s">
        <v>66</v>
      </c>
      <c r="O3154">
        <v>2</v>
      </c>
      <c r="P3154" s="4">
        <v>642.5</v>
      </c>
      <c r="Q3154" t="s">
        <v>42</v>
      </c>
      <c r="R3154">
        <v>1</v>
      </c>
      <c r="S3154" t="s">
        <v>44</v>
      </c>
      <c r="T3154">
        <v>0</v>
      </c>
      <c r="U3154">
        <v>0</v>
      </c>
      <c r="V3154" t="s">
        <v>45</v>
      </c>
      <c r="W3154" t="s">
        <v>43</v>
      </c>
      <c r="X3154" s="4">
        <v>11.4</v>
      </c>
      <c r="Y3154">
        <v>9</v>
      </c>
      <c r="Z3154" s="5">
        <v>333.35</v>
      </c>
    </row>
    <row r="3155" spans="1:26">
      <c r="A3155">
        <v>3154</v>
      </c>
      <c r="B3155">
        <v>1032</v>
      </c>
      <c r="C3155" s="2">
        <v>46115</v>
      </c>
      <c r="D3155" t="s">
        <v>26</v>
      </c>
      <c r="E3155">
        <v>4</v>
      </c>
      <c r="F3155" s="3">
        <v>11.9</v>
      </c>
      <c r="G3155" t="s">
        <v>36</v>
      </c>
      <c r="H3155">
        <v>57</v>
      </c>
      <c r="I3155" t="s">
        <v>34</v>
      </c>
      <c r="J3155" s="4">
        <v>62.5</v>
      </c>
      <c r="K3155" s="4">
        <v>162.4</v>
      </c>
      <c r="L3155" s="4">
        <v>28.9</v>
      </c>
      <c r="M3155">
        <v>18</v>
      </c>
      <c r="N3155" t="s">
        <v>66</v>
      </c>
      <c r="O3155">
        <v>2</v>
      </c>
      <c r="P3155" s="4">
        <v>642.5</v>
      </c>
      <c r="Q3155" t="s">
        <v>42</v>
      </c>
      <c r="R3155">
        <v>1</v>
      </c>
      <c r="S3155" t="s">
        <v>44</v>
      </c>
      <c r="T3155">
        <v>0</v>
      </c>
      <c r="U3155">
        <v>0</v>
      </c>
      <c r="V3155" t="s">
        <v>45</v>
      </c>
      <c r="W3155" t="s">
        <v>43</v>
      </c>
      <c r="X3155" s="4">
        <v>6.5</v>
      </c>
      <c r="Y3155">
        <v>8</v>
      </c>
      <c r="Z3155" s="5">
        <v>288.35000000000002</v>
      </c>
    </row>
    <row r="3156" spans="1:26">
      <c r="A3156">
        <v>3155</v>
      </c>
      <c r="B3156">
        <v>1033</v>
      </c>
      <c r="C3156" s="2">
        <v>46188</v>
      </c>
      <c r="D3156" t="s">
        <v>46</v>
      </c>
      <c r="E3156">
        <v>6</v>
      </c>
      <c r="F3156" s="3">
        <v>10.79</v>
      </c>
      <c r="G3156" t="s">
        <v>27</v>
      </c>
      <c r="H3156">
        <v>48</v>
      </c>
      <c r="I3156" t="s">
        <v>34</v>
      </c>
      <c r="J3156" s="4">
        <v>63.7</v>
      </c>
      <c r="K3156" s="4">
        <v>139.1</v>
      </c>
      <c r="L3156" s="4">
        <v>24.4</v>
      </c>
      <c r="M3156">
        <v>16</v>
      </c>
      <c r="N3156" t="s">
        <v>50</v>
      </c>
      <c r="O3156">
        <v>4</v>
      </c>
      <c r="P3156" s="4">
        <v>332.7</v>
      </c>
      <c r="Q3156" t="s">
        <v>42</v>
      </c>
      <c r="R3156">
        <v>1</v>
      </c>
      <c r="S3156" t="s">
        <v>44</v>
      </c>
      <c r="T3156">
        <v>1</v>
      </c>
      <c r="U3156">
        <v>0</v>
      </c>
      <c r="V3156" t="s">
        <v>32</v>
      </c>
      <c r="W3156" t="s">
        <v>39</v>
      </c>
      <c r="X3156" s="4">
        <v>8.8000000000000007</v>
      </c>
      <c r="Y3156">
        <v>11</v>
      </c>
      <c r="Z3156" s="5">
        <v>401.14</v>
      </c>
    </row>
    <row r="3157" spans="1:26">
      <c r="A3157">
        <v>3156</v>
      </c>
      <c r="B3157">
        <v>1033</v>
      </c>
      <c r="C3157" s="2">
        <v>46188</v>
      </c>
      <c r="D3157" t="s">
        <v>46</v>
      </c>
      <c r="E3157">
        <v>6</v>
      </c>
      <c r="F3157" s="3">
        <v>11.04</v>
      </c>
      <c r="G3157" t="s">
        <v>36</v>
      </c>
      <c r="H3157">
        <v>49</v>
      </c>
      <c r="I3157" t="s">
        <v>28</v>
      </c>
      <c r="J3157" s="4">
        <v>75.400000000000006</v>
      </c>
      <c r="K3157" s="4">
        <v>206.2</v>
      </c>
      <c r="L3157" s="4">
        <v>25.5</v>
      </c>
      <c r="M3157">
        <v>16</v>
      </c>
      <c r="N3157" t="s">
        <v>50</v>
      </c>
      <c r="O3157">
        <v>4</v>
      </c>
      <c r="P3157" s="4">
        <v>332.7</v>
      </c>
      <c r="Q3157" t="s">
        <v>42</v>
      </c>
      <c r="R3157">
        <v>1</v>
      </c>
      <c r="S3157" t="s">
        <v>44</v>
      </c>
      <c r="T3157">
        <v>1</v>
      </c>
      <c r="U3157">
        <v>0</v>
      </c>
      <c r="V3157" t="s">
        <v>32</v>
      </c>
      <c r="W3157" t="s">
        <v>39</v>
      </c>
      <c r="X3157" s="4">
        <v>7.3</v>
      </c>
      <c r="Y3157">
        <v>7</v>
      </c>
      <c r="Z3157" s="5">
        <v>160.07</v>
      </c>
    </row>
    <row r="3158" spans="1:26">
      <c r="A3158">
        <v>3157</v>
      </c>
      <c r="B3158">
        <v>1033</v>
      </c>
      <c r="C3158" s="2">
        <v>46188</v>
      </c>
      <c r="D3158" t="s">
        <v>46</v>
      </c>
      <c r="E3158">
        <v>6</v>
      </c>
      <c r="F3158" s="3">
        <v>10.89</v>
      </c>
      <c r="G3158" t="s">
        <v>27</v>
      </c>
      <c r="H3158">
        <v>22</v>
      </c>
      <c r="I3158" t="s">
        <v>28</v>
      </c>
      <c r="J3158" s="4">
        <v>70</v>
      </c>
      <c r="K3158" s="4">
        <v>159.80000000000001</v>
      </c>
      <c r="L3158" s="4">
        <v>23.1</v>
      </c>
      <c r="M3158">
        <v>14</v>
      </c>
      <c r="N3158" t="s">
        <v>50</v>
      </c>
      <c r="O3158">
        <v>4</v>
      </c>
      <c r="P3158" s="4">
        <v>332.7</v>
      </c>
      <c r="Q3158" t="s">
        <v>42</v>
      </c>
      <c r="R3158">
        <v>1</v>
      </c>
      <c r="S3158" t="s">
        <v>44</v>
      </c>
      <c r="T3158">
        <v>1</v>
      </c>
      <c r="U3158">
        <v>0</v>
      </c>
      <c r="V3158" t="s">
        <v>32</v>
      </c>
      <c r="W3158" t="s">
        <v>39</v>
      </c>
      <c r="X3158" s="4">
        <v>6.6</v>
      </c>
      <c r="Y3158">
        <v>9</v>
      </c>
      <c r="Z3158" s="5">
        <v>209.95</v>
      </c>
    </row>
    <row r="3159" spans="1:26">
      <c r="A3159">
        <v>3158</v>
      </c>
      <c r="B3159">
        <v>1033</v>
      </c>
      <c r="C3159" s="2">
        <v>46188</v>
      </c>
      <c r="D3159" t="s">
        <v>46</v>
      </c>
      <c r="E3159">
        <v>6</v>
      </c>
      <c r="F3159" s="3">
        <v>10.85</v>
      </c>
      <c r="G3159" t="s">
        <v>27</v>
      </c>
      <c r="H3159">
        <v>18</v>
      </c>
      <c r="I3159" t="s">
        <v>34</v>
      </c>
      <c r="J3159" s="4">
        <v>66.3</v>
      </c>
      <c r="K3159" s="4">
        <v>167</v>
      </c>
      <c r="L3159" s="4">
        <v>26.6</v>
      </c>
      <c r="M3159">
        <v>14</v>
      </c>
      <c r="N3159" t="s">
        <v>50</v>
      </c>
      <c r="O3159">
        <v>4</v>
      </c>
      <c r="P3159" s="4">
        <v>332.7</v>
      </c>
      <c r="Q3159" t="s">
        <v>42</v>
      </c>
      <c r="R3159">
        <v>1</v>
      </c>
      <c r="S3159" t="s">
        <v>44</v>
      </c>
      <c r="T3159">
        <v>1</v>
      </c>
      <c r="U3159">
        <v>0</v>
      </c>
      <c r="V3159" t="s">
        <v>32</v>
      </c>
      <c r="W3159" t="s">
        <v>39</v>
      </c>
      <c r="X3159" s="4">
        <v>7.8</v>
      </c>
      <c r="Y3159">
        <v>7</v>
      </c>
      <c r="Z3159" s="5">
        <v>201.45</v>
      </c>
    </row>
    <row r="3160" spans="1:26">
      <c r="A3160">
        <v>3159</v>
      </c>
      <c r="B3160">
        <v>1034</v>
      </c>
      <c r="C3160" s="2">
        <v>46135</v>
      </c>
      <c r="D3160" t="s">
        <v>55</v>
      </c>
      <c r="E3160">
        <v>4</v>
      </c>
      <c r="F3160" s="3">
        <v>9.91</v>
      </c>
      <c r="G3160" t="s">
        <v>27</v>
      </c>
      <c r="H3160">
        <v>37</v>
      </c>
      <c r="I3160" t="s">
        <v>28</v>
      </c>
      <c r="J3160" s="4">
        <v>72.7</v>
      </c>
      <c r="K3160" s="4">
        <v>166.8</v>
      </c>
      <c r="L3160" s="4">
        <v>22</v>
      </c>
      <c r="M3160">
        <v>8</v>
      </c>
      <c r="N3160" t="s">
        <v>61</v>
      </c>
      <c r="O3160">
        <v>1</v>
      </c>
      <c r="P3160" s="4">
        <v>1058</v>
      </c>
      <c r="Q3160" t="s">
        <v>30</v>
      </c>
      <c r="R3160">
        <v>1</v>
      </c>
      <c r="S3160" t="s">
        <v>44</v>
      </c>
      <c r="T3160">
        <v>0</v>
      </c>
      <c r="U3160">
        <v>1</v>
      </c>
      <c r="V3160" t="s">
        <v>64</v>
      </c>
      <c r="W3160" t="s">
        <v>33</v>
      </c>
      <c r="X3160" s="4">
        <v>11.9</v>
      </c>
      <c r="Y3160">
        <v>7</v>
      </c>
      <c r="Z3160" s="5">
        <v>334.03</v>
      </c>
    </row>
    <row r="3161" spans="1:26">
      <c r="A3161">
        <v>3160</v>
      </c>
      <c r="B3161">
        <v>1035</v>
      </c>
      <c r="C3161" s="2">
        <v>46086</v>
      </c>
      <c r="D3161" t="s">
        <v>55</v>
      </c>
      <c r="E3161">
        <v>3</v>
      </c>
      <c r="F3161" s="3">
        <v>9.18</v>
      </c>
      <c r="G3161" t="s">
        <v>27</v>
      </c>
      <c r="H3161">
        <v>45</v>
      </c>
      <c r="I3161" t="s">
        <v>34</v>
      </c>
      <c r="J3161" s="4">
        <v>67.7</v>
      </c>
      <c r="K3161" s="4">
        <v>218.2</v>
      </c>
      <c r="L3161" s="4">
        <v>33.5</v>
      </c>
      <c r="M3161">
        <v>15</v>
      </c>
      <c r="N3161" t="s">
        <v>50</v>
      </c>
      <c r="O3161">
        <v>3</v>
      </c>
      <c r="P3161" s="4">
        <v>303.3</v>
      </c>
      <c r="Q3161" t="s">
        <v>30</v>
      </c>
      <c r="R3161">
        <v>1</v>
      </c>
      <c r="S3161" t="s">
        <v>44</v>
      </c>
      <c r="T3161">
        <v>1</v>
      </c>
      <c r="U3161">
        <v>0</v>
      </c>
      <c r="V3161" t="s">
        <v>32</v>
      </c>
      <c r="W3161" t="s">
        <v>49</v>
      </c>
      <c r="X3161" s="4">
        <v>10.7</v>
      </c>
      <c r="Y3161">
        <v>10</v>
      </c>
      <c r="Z3161" s="5">
        <v>248.91</v>
      </c>
    </row>
    <row r="3162" spans="1:26">
      <c r="A3162">
        <v>3161</v>
      </c>
      <c r="B3162">
        <v>1035</v>
      </c>
      <c r="C3162" s="2">
        <v>46086</v>
      </c>
      <c r="D3162" t="s">
        <v>55</v>
      </c>
      <c r="E3162">
        <v>3</v>
      </c>
      <c r="F3162" s="3">
        <v>8.86</v>
      </c>
      <c r="G3162" t="s">
        <v>27</v>
      </c>
      <c r="H3162">
        <v>59</v>
      </c>
      <c r="I3162" t="s">
        <v>34</v>
      </c>
      <c r="J3162" s="4">
        <v>66.900000000000006</v>
      </c>
      <c r="K3162" s="4">
        <v>166.1</v>
      </c>
      <c r="L3162" s="4">
        <v>25.9</v>
      </c>
      <c r="M3162">
        <v>11</v>
      </c>
      <c r="N3162" t="s">
        <v>50</v>
      </c>
      <c r="O3162">
        <v>3</v>
      </c>
      <c r="P3162" s="4">
        <v>303.3</v>
      </c>
      <c r="Q3162" t="s">
        <v>30</v>
      </c>
      <c r="R3162">
        <v>1</v>
      </c>
      <c r="S3162" t="s">
        <v>44</v>
      </c>
      <c r="T3162">
        <v>1</v>
      </c>
      <c r="U3162">
        <v>0</v>
      </c>
      <c r="V3162" t="s">
        <v>32</v>
      </c>
      <c r="W3162" t="s">
        <v>49</v>
      </c>
      <c r="X3162" s="4">
        <v>10</v>
      </c>
      <c r="Y3162">
        <v>9</v>
      </c>
      <c r="Z3162" s="5">
        <v>149.52000000000001</v>
      </c>
    </row>
    <row r="3163" spans="1:26">
      <c r="A3163">
        <v>3162</v>
      </c>
      <c r="B3163">
        <v>1035</v>
      </c>
      <c r="C3163" s="2">
        <v>46086</v>
      </c>
      <c r="D3163" t="s">
        <v>55</v>
      </c>
      <c r="E3163">
        <v>3</v>
      </c>
      <c r="F3163" s="3">
        <v>9.3000000000000007</v>
      </c>
      <c r="G3163" t="s">
        <v>27</v>
      </c>
      <c r="H3163">
        <v>52</v>
      </c>
      <c r="I3163" t="s">
        <v>28</v>
      </c>
      <c r="J3163" s="4">
        <v>71.599999999999994</v>
      </c>
      <c r="K3163" s="4">
        <v>206.8</v>
      </c>
      <c r="L3163" s="4">
        <v>28.3</v>
      </c>
      <c r="M3163">
        <v>14</v>
      </c>
      <c r="N3163" t="s">
        <v>50</v>
      </c>
      <c r="O3163">
        <v>3</v>
      </c>
      <c r="P3163" s="4">
        <v>303.3</v>
      </c>
      <c r="Q3163" t="s">
        <v>30</v>
      </c>
      <c r="R3163">
        <v>1</v>
      </c>
      <c r="S3163" t="s">
        <v>44</v>
      </c>
      <c r="T3163">
        <v>1</v>
      </c>
      <c r="U3163">
        <v>0</v>
      </c>
      <c r="V3163" t="s">
        <v>32</v>
      </c>
      <c r="W3163" t="s">
        <v>49</v>
      </c>
      <c r="X3163" s="4">
        <v>9.4</v>
      </c>
      <c r="Y3163">
        <v>9</v>
      </c>
      <c r="Z3163" s="5">
        <v>185.54</v>
      </c>
    </row>
    <row r="3164" spans="1:26">
      <c r="A3164">
        <v>3163</v>
      </c>
      <c r="B3164">
        <v>1036</v>
      </c>
      <c r="C3164" s="2">
        <v>46192</v>
      </c>
      <c r="D3164" t="s">
        <v>26</v>
      </c>
      <c r="E3164">
        <v>6</v>
      </c>
      <c r="F3164" s="3">
        <v>9.99</v>
      </c>
      <c r="G3164" t="s">
        <v>27</v>
      </c>
      <c r="H3164">
        <v>34</v>
      </c>
      <c r="I3164" t="s">
        <v>34</v>
      </c>
      <c r="J3164" s="4">
        <v>68.599999999999994</v>
      </c>
      <c r="K3164" s="4">
        <v>194.9</v>
      </c>
      <c r="L3164" s="4">
        <v>29.1</v>
      </c>
      <c r="M3164">
        <v>14</v>
      </c>
      <c r="N3164" t="s">
        <v>47</v>
      </c>
      <c r="O3164">
        <v>3</v>
      </c>
      <c r="P3164" s="4">
        <v>240.4</v>
      </c>
      <c r="Q3164" t="s">
        <v>42</v>
      </c>
      <c r="R3164">
        <v>0</v>
      </c>
      <c r="S3164" t="s">
        <v>31</v>
      </c>
      <c r="T3164">
        <v>1</v>
      </c>
      <c r="U3164">
        <v>0</v>
      </c>
      <c r="V3164" t="s">
        <v>32</v>
      </c>
      <c r="W3164" t="s">
        <v>39</v>
      </c>
      <c r="X3164" s="4">
        <v>10.1</v>
      </c>
      <c r="Y3164">
        <v>11</v>
      </c>
      <c r="Z3164" s="5">
        <v>359.79</v>
      </c>
    </row>
    <row r="3165" spans="1:26">
      <c r="A3165">
        <v>3164</v>
      </c>
      <c r="B3165">
        <v>1036</v>
      </c>
      <c r="C3165" s="2">
        <v>46192</v>
      </c>
      <c r="D3165" t="s">
        <v>26</v>
      </c>
      <c r="E3165">
        <v>6</v>
      </c>
      <c r="F3165" s="3">
        <v>10.09</v>
      </c>
      <c r="G3165" t="s">
        <v>27</v>
      </c>
      <c r="H3165">
        <v>8</v>
      </c>
      <c r="I3165" t="s">
        <v>34</v>
      </c>
      <c r="J3165" s="4">
        <v>59.7</v>
      </c>
      <c r="K3165" s="4">
        <v>95.1</v>
      </c>
      <c r="L3165" s="4">
        <v>18.8</v>
      </c>
      <c r="M3165">
        <v>17</v>
      </c>
      <c r="N3165" t="s">
        <v>47</v>
      </c>
      <c r="O3165">
        <v>3</v>
      </c>
      <c r="P3165" s="4">
        <v>240.4</v>
      </c>
      <c r="Q3165" t="s">
        <v>42</v>
      </c>
      <c r="R3165">
        <v>0</v>
      </c>
      <c r="S3165" t="s">
        <v>31</v>
      </c>
      <c r="T3165">
        <v>1</v>
      </c>
      <c r="U3165">
        <v>0</v>
      </c>
      <c r="V3165" t="s">
        <v>32</v>
      </c>
      <c r="W3165" t="s">
        <v>39</v>
      </c>
      <c r="X3165" s="4">
        <v>10.5</v>
      </c>
      <c r="Y3165">
        <v>15</v>
      </c>
      <c r="Z3165" s="5">
        <v>321.75</v>
      </c>
    </row>
    <row r="3166" spans="1:26">
      <c r="A3166">
        <v>3165</v>
      </c>
      <c r="B3166">
        <v>1036</v>
      </c>
      <c r="C3166" s="2">
        <v>46192</v>
      </c>
      <c r="D3166" t="s">
        <v>26</v>
      </c>
      <c r="E3166">
        <v>6</v>
      </c>
      <c r="F3166" s="3">
        <v>10.07</v>
      </c>
      <c r="G3166" t="s">
        <v>27</v>
      </c>
      <c r="H3166">
        <v>28</v>
      </c>
      <c r="I3166" t="s">
        <v>34</v>
      </c>
      <c r="J3166" s="4">
        <v>63.3</v>
      </c>
      <c r="K3166" s="4">
        <v>179.4</v>
      </c>
      <c r="L3166" s="4">
        <v>31.5</v>
      </c>
      <c r="M3166">
        <v>12</v>
      </c>
      <c r="N3166" t="s">
        <v>47</v>
      </c>
      <c r="O3166">
        <v>3</v>
      </c>
      <c r="P3166" s="4">
        <v>240.4</v>
      </c>
      <c r="Q3166" t="s">
        <v>42</v>
      </c>
      <c r="R3166">
        <v>0</v>
      </c>
      <c r="S3166" t="s">
        <v>31</v>
      </c>
      <c r="T3166">
        <v>1</v>
      </c>
      <c r="U3166">
        <v>0</v>
      </c>
      <c r="V3166" t="s">
        <v>32</v>
      </c>
      <c r="W3166" t="s">
        <v>39</v>
      </c>
      <c r="X3166" s="4">
        <v>9.4</v>
      </c>
      <c r="Y3166">
        <v>6</v>
      </c>
      <c r="Z3166" s="5">
        <v>114.94</v>
      </c>
    </row>
    <row r="3167" spans="1:26">
      <c r="A3167">
        <v>3166</v>
      </c>
      <c r="B3167">
        <v>1037</v>
      </c>
      <c r="C3167" s="2">
        <v>46104</v>
      </c>
      <c r="D3167" t="s">
        <v>46</v>
      </c>
      <c r="E3167">
        <v>3</v>
      </c>
      <c r="F3167" s="3">
        <v>12.41</v>
      </c>
      <c r="G3167" t="s">
        <v>36</v>
      </c>
      <c r="H3167">
        <v>29</v>
      </c>
      <c r="I3167" t="s">
        <v>34</v>
      </c>
      <c r="J3167" s="4">
        <v>65.2</v>
      </c>
      <c r="K3167" s="4">
        <v>136.9</v>
      </c>
      <c r="L3167" s="4">
        <v>22.4</v>
      </c>
      <c r="M3167">
        <v>15</v>
      </c>
      <c r="N3167" t="s">
        <v>66</v>
      </c>
      <c r="O3167">
        <v>3</v>
      </c>
      <c r="P3167" s="4">
        <v>623.4</v>
      </c>
      <c r="Q3167" t="s">
        <v>42</v>
      </c>
      <c r="R3167">
        <v>0</v>
      </c>
      <c r="S3167" t="s">
        <v>44</v>
      </c>
      <c r="T3167">
        <v>0</v>
      </c>
      <c r="U3167">
        <v>0</v>
      </c>
      <c r="V3167" t="s">
        <v>32</v>
      </c>
      <c r="W3167" t="s">
        <v>43</v>
      </c>
      <c r="X3167" s="4">
        <v>5.9</v>
      </c>
      <c r="Y3167">
        <v>8</v>
      </c>
      <c r="Z3167" s="5">
        <v>102.35</v>
      </c>
    </row>
    <row r="3168" spans="1:26">
      <c r="A3168">
        <v>3167</v>
      </c>
      <c r="B3168">
        <v>1037</v>
      </c>
      <c r="C3168" s="2">
        <v>46104</v>
      </c>
      <c r="D3168" t="s">
        <v>46</v>
      </c>
      <c r="E3168">
        <v>3</v>
      </c>
      <c r="F3168" s="3">
        <v>12.26</v>
      </c>
      <c r="G3168" t="s">
        <v>36</v>
      </c>
      <c r="H3168">
        <v>60</v>
      </c>
      <c r="I3168" t="s">
        <v>28</v>
      </c>
      <c r="J3168" s="4">
        <v>65.8</v>
      </c>
      <c r="K3168" s="4">
        <v>205.9</v>
      </c>
      <c r="L3168" s="4">
        <v>33.299999999999997</v>
      </c>
      <c r="M3168">
        <v>17</v>
      </c>
      <c r="N3168" t="s">
        <v>66</v>
      </c>
      <c r="O3168">
        <v>3</v>
      </c>
      <c r="P3168" s="4">
        <v>623.4</v>
      </c>
      <c r="Q3168" t="s">
        <v>42</v>
      </c>
      <c r="R3168">
        <v>0</v>
      </c>
      <c r="S3168" t="s">
        <v>44</v>
      </c>
      <c r="T3168">
        <v>0</v>
      </c>
      <c r="U3168">
        <v>0</v>
      </c>
      <c r="V3168" t="s">
        <v>32</v>
      </c>
      <c r="W3168" t="s">
        <v>43</v>
      </c>
      <c r="X3168" s="4">
        <v>6.4</v>
      </c>
      <c r="Y3168">
        <v>3</v>
      </c>
      <c r="Z3168" s="5">
        <v>123.72</v>
      </c>
    </row>
    <row r="3169" spans="1:26">
      <c r="A3169">
        <v>3168</v>
      </c>
      <c r="B3169">
        <v>1037</v>
      </c>
      <c r="C3169" s="2">
        <v>46104</v>
      </c>
      <c r="D3169" t="s">
        <v>46</v>
      </c>
      <c r="E3169">
        <v>3</v>
      </c>
      <c r="F3169" s="3">
        <v>12.24</v>
      </c>
      <c r="G3169" t="s">
        <v>36</v>
      </c>
      <c r="H3169">
        <v>65</v>
      </c>
      <c r="I3169" t="s">
        <v>28</v>
      </c>
      <c r="J3169" s="4">
        <v>71.599999999999994</v>
      </c>
      <c r="K3169" s="4">
        <v>162</v>
      </c>
      <c r="L3169" s="4">
        <v>21.9</v>
      </c>
      <c r="M3169">
        <v>17</v>
      </c>
      <c r="N3169" t="s">
        <v>66</v>
      </c>
      <c r="O3169">
        <v>3</v>
      </c>
      <c r="P3169" s="4">
        <v>623.4</v>
      </c>
      <c r="Q3169" t="s">
        <v>42</v>
      </c>
      <c r="R3169">
        <v>0</v>
      </c>
      <c r="S3169" t="s">
        <v>44</v>
      </c>
      <c r="T3169">
        <v>0</v>
      </c>
      <c r="U3169">
        <v>0</v>
      </c>
      <c r="V3169" t="s">
        <v>32</v>
      </c>
      <c r="W3169" t="s">
        <v>43</v>
      </c>
      <c r="X3169" s="4">
        <v>6.8</v>
      </c>
      <c r="Y3169">
        <v>8</v>
      </c>
      <c r="Z3169" s="5">
        <v>124.02</v>
      </c>
    </row>
    <row r="3170" spans="1:26">
      <c r="A3170">
        <v>3169</v>
      </c>
      <c r="B3170">
        <v>1038</v>
      </c>
      <c r="C3170" s="2">
        <v>46068</v>
      </c>
      <c r="D3170" t="s">
        <v>58</v>
      </c>
      <c r="E3170">
        <v>2</v>
      </c>
      <c r="F3170" s="3">
        <v>9.1199999999999992</v>
      </c>
      <c r="G3170" t="s">
        <v>27</v>
      </c>
      <c r="H3170">
        <v>56</v>
      </c>
      <c r="I3170" t="s">
        <v>34</v>
      </c>
      <c r="J3170" s="4">
        <v>63.6</v>
      </c>
      <c r="K3170" s="4">
        <v>119.8</v>
      </c>
      <c r="L3170" s="4">
        <v>20.9</v>
      </c>
      <c r="M3170">
        <v>17</v>
      </c>
      <c r="N3170" t="s">
        <v>47</v>
      </c>
      <c r="O3170">
        <v>2</v>
      </c>
      <c r="P3170" s="4">
        <v>109.5</v>
      </c>
      <c r="Q3170" t="s">
        <v>42</v>
      </c>
      <c r="R3170">
        <v>0</v>
      </c>
      <c r="S3170" t="s">
        <v>38</v>
      </c>
      <c r="T3170">
        <v>1</v>
      </c>
      <c r="U3170">
        <v>0</v>
      </c>
      <c r="V3170" t="s">
        <v>32</v>
      </c>
      <c r="W3170" t="s">
        <v>39</v>
      </c>
      <c r="X3170" s="4">
        <v>6.7</v>
      </c>
      <c r="Y3170">
        <v>11</v>
      </c>
      <c r="Z3170" s="5">
        <v>170.21</v>
      </c>
    </row>
    <row r="3171" spans="1:26">
      <c r="A3171">
        <v>3170</v>
      </c>
      <c r="B3171">
        <v>1038</v>
      </c>
      <c r="C3171" s="2">
        <v>46068</v>
      </c>
      <c r="D3171" t="s">
        <v>58</v>
      </c>
      <c r="E3171">
        <v>2</v>
      </c>
      <c r="F3171" s="3">
        <v>9.15</v>
      </c>
      <c r="G3171" t="s">
        <v>27</v>
      </c>
      <c r="H3171">
        <v>24</v>
      </c>
      <c r="I3171" t="s">
        <v>28</v>
      </c>
      <c r="J3171" s="4">
        <v>76.8</v>
      </c>
      <c r="K3171" s="4">
        <v>226.5</v>
      </c>
      <c r="L3171" s="4">
        <v>27</v>
      </c>
      <c r="M3171">
        <v>11</v>
      </c>
      <c r="N3171" t="s">
        <v>47</v>
      </c>
      <c r="O3171">
        <v>2</v>
      </c>
      <c r="P3171" s="4">
        <v>109.5</v>
      </c>
      <c r="Q3171" t="s">
        <v>42</v>
      </c>
      <c r="R3171">
        <v>0</v>
      </c>
      <c r="S3171" t="s">
        <v>38</v>
      </c>
      <c r="T3171">
        <v>1</v>
      </c>
      <c r="U3171">
        <v>0</v>
      </c>
      <c r="V3171" t="s">
        <v>32</v>
      </c>
      <c r="W3171" t="s">
        <v>39</v>
      </c>
      <c r="X3171" s="4">
        <v>9.4</v>
      </c>
      <c r="Y3171">
        <v>15</v>
      </c>
      <c r="Z3171" s="5">
        <v>323.72000000000003</v>
      </c>
    </row>
    <row r="3172" spans="1:26">
      <c r="A3172">
        <v>3171</v>
      </c>
      <c r="B3172">
        <v>1039</v>
      </c>
      <c r="C3172" s="2">
        <v>46155</v>
      </c>
      <c r="D3172" t="s">
        <v>52</v>
      </c>
      <c r="E3172">
        <v>5</v>
      </c>
      <c r="F3172" s="3">
        <v>12.92</v>
      </c>
      <c r="G3172" t="s">
        <v>36</v>
      </c>
      <c r="H3172">
        <v>30</v>
      </c>
      <c r="I3172" t="s">
        <v>34</v>
      </c>
      <c r="J3172" s="4">
        <v>67.7</v>
      </c>
      <c r="K3172" s="4">
        <v>182.4</v>
      </c>
      <c r="L3172" s="4">
        <v>28.1</v>
      </c>
      <c r="M3172">
        <v>16</v>
      </c>
      <c r="N3172" t="s">
        <v>47</v>
      </c>
      <c r="O3172">
        <v>1</v>
      </c>
      <c r="P3172" s="4">
        <v>41.6</v>
      </c>
      <c r="Q3172" t="s">
        <v>48</v>
      </c>
      <c r="R3172">
        <v>0</v>
      </c>
      <c r="S3172" t="s">
        <v>44</v>
      </c>
      <c r="T3172">
        <v>1</v>
      </c>
      <c r="U3172">
        <v>0</v>
      </c>
      <c r="V3172" t="s">
        <v>32</v>
      </c>
      <c r="W3172" t="s">
        <v>49</v>
      </c>
      <c r="X3172" s="4">
        <v>9</v>
      </c>
      <c r="Y3172">
        <v>8</v>
      </c>
      <c r="Z3172" s="5">
        <v>282.12</v>
      </c>
    </row>
    <row r="3173" spans="1:26">
      <c r="A3173">
        <v>3172</v>
      </c>
      <c r="B3173">
        <v>1040</v>
      </c>
      <c r="C3173" s="2">
        <v>46250</v>
      </c>
      <c r="D3173" t="s">
        <v>58</v>
      </c>
      <c r="E3173">
        <v>8</v>
      </c>
      <c r="F3173" s="3">
        <v>12.02</v>
      </c>
      <c r="G3173" t="s">
        <v>36</v>
      </c>
      <c r="H3173">
        <v>60</v>
      </c>
      <c r="I3173" t="s">
        <v>34</v>
      </c>
      <c r="J3173" s="4">
        <v>63.8</v>
      </c>
      <c r="K3173" s="4">
        <v>126.1</v>
      </c>
      <c r="L3173" s="4">
        <v>22</v>
      </c>
      <c r="M3173">
        <v>13</v>
      </c>
      <c r="N3173" t="s">
        <v>47</v>
      </c>
      <c r="O3173">
        <v>2</v>
      </c>
      <c r="P3173" s="4">
        <v>63.6</v>
      </c>
      <c r="Q3173" t="s">
        <v>42</v>
      </c>
      <c r="R3173">
        <v>1</v>
      </c>
      <c r="S3173" t="s">
        <v>44</v>
      </c>
      <c r="T3173">
        <v>0</v>
      </c>
      <c r="U3173">
        <v>0</v>
      </c>
      <c r="V3173" t="s">
        <v>32</v>
      </c>
      <c r="W3173" t="s">
        <v>43</v>
      </c>
      <c r="X3173" s="4">
        <v>6.6</v>
      </c>
      <c r="Y3173">
        <v>9</v>
      </c>
      <c r="Z3173" s="5">
        <v>246.87</v>
      </c>
    </row>
    <row r="3174" spans="1:26">
      <c r="A3174">
        <v>3173</v>
      </c>
      <c r="B3174">
        <v>1040</v>
      </c>
      <c r="C3174" s="2">
        <v>46250</v>
      </c>
      <c r="D3174" t="s">
        <v>58</v>
      </c>
      <c r="E3174">
        <v>8</v>
      </c>
      <c r="F3174" s="3">
        <v>11.54</v>
      </c>
      <c r="G3174" t="s">
        <v>36</v>
      </c>
      <c r="H3174">
        <v>57</v>
      </c>
      <c r="I3174" t="s">
        <v>34</v>
      </c>
      <c r="J3174" s="4">
        <v>65.599999999999994</v>
      </c>
      <c r="K3174" s="4">
        <v>162.30000000000001</v>
      </c>
      <c r="L3174" s="4">
        <v>26.6</v>
      </c>
      <c r="M3174">
        <v>15</v>
      </c>
      <c r="N3174" t="s">
        <v>47</v>
      </c>
      <c r="O3174">
        <v>2</v>
      </c>
      <c r="P3174" s="4">
        <v>63.6</v>
      </c>
      <c r="Q3174" t="s">
        <v>42</v>
      </c>
      <c r="R3174">
        <v>1</v>
      </c>
      <c r="S3174" t="s">
        <v>44</v>
      </c>
      <c r="T3174">
        <v>0</v>
      </c>
      <c r="U3174">
        <v>0</v>
      </c>
      <c r="V3174" t="s">
        <v>32</v>
      </c>
      <c r="W3174" t="s">
        <v>43</v>
      </c>
      <c r="X3174" s="4">
        <v>6.3</v>
      </c>
      <c r="Y3174">
        <v>5</v>
      </c>
      <c r="Z3174" s="5">
        <v>218.93</v>
      </c>
    </row>
    <row r="3175" spans="1:26">
      <c r="A3175">
        <v>3174</v>
      </c>
      <c r="B3175">
        <v>1041</v>
      </c>
      <c r="C3175" s="2">
        <v>46347</v>
      </c>
      <c r="D3175" t="s">
        <v>40</v>
      </c>
      <c r="E3175">
        <v>11</v>
      </c>
      <c r="F3175" s="3">
        <v>11.31</v>
      </c>
      <c r="G3175" t="s">
        <v>36</v>
      </c>
      <c r="H3175">
        <v>47</v>
      </c>
      <c r="I3175" t="s">
        <v>34</v>
      </c>
      <c r="J3175" s="4">
        <v>60.5</v>
      </c>
      <c r="K3175" s="4">
        <v>173.6</v>
      </c>
      <c r="L3175" s="4">
        <v>33.200000000000003</v>
      </c>
      <c r="M3175">
        <v>15</v>
      </c>
      <c r="N3175" t="s">
        <v>61</v>
      </c>
      <c r="O3175">
        <v>4</v>
      </c>
      <c r="P3175" s="4">
        <v>1775.1</v>
      </c>
      <c r="Q3175" t="s">
        <v>30</v>
      </c>
      <c r="R3175">
        <v>1</v>
      </c>
      <c r="S3175" t="s">
        <v>44</v>
      </c>
      <c r="T3175">
        <v>0</v>
      </c>
      <c r="U3175">
        <v>0</v>
      </c>
      <c r="V3175" t="s">
        <v>32</v>
      </c>
      <c r="W3175" t="s">
        <v>57</v>
      </c>
      <c r="X3175" s="4">
        <v>10.9</v>
      </c>
      <c r="Y3175">
        <v>3</v>
      </c>
      <c r="Z3175" s="5">
        <v>206.85</v>
      </c>
    </row>
    <row r="3176" spans="1:26">
      <c r="A3176">
        <v>3175</v>
      </c>
      <c r="B3176">
        <v>1041</v>
      </c>
      <c r="C3176" s="2">
        <v>46347</v>
      </c>
      <c r="D3176" t="s">
        <v>40</v>
      </c>
      <c r="E3176">
        <v>11</v>
      </c>
      <c r="F3176" s="3">
        <v>11.36</v>
      </c>
      <c r="G3176" t="s">
        <v>36</v>
      </c>
      <c r="H3176">
        <v>8</v>
      </c>
      <c r="I3176" t="s">
        <v>34</v>
      </c>
      <c r="J3176" s="4">
        <v>58.7</v>
      </c>
      <c r="K3176" s="4">
        <v>82.1</v>
      </c>
      <c r="L3176" s="4">
        <v>16.899999999999999</v>
      </c>
      <c r="M3176">
        <v>11</v>
      </c>
      <c r="N3176" t="s">
        <v>61</v>
      </c>
      <c r="O3176">
        <v>4</v>
      </c>
      <c r="P3176" s="4">
        <v>1775.1</v>
      </c>
      <c r="Q3176" t="s">
        <v>30</v>
      </c>
      <c r="R3176">
        <v>1</v>
      </c>
      <c r="S3176" t="s">
        <v>44</v>
      </c>
      <c r="T3176">
        <v>0</v>
      </c>
      <c r="U3176">
        <v>0</v>
      </c>
      <c r="V3176" t="s">
        <v>32</v>
      </c>
      <c r="W3176" t="s">
        <v>57</v>
      </c>
      <c r="X3176" s="4">
        <v>8.6999999999999993</v>
      </c>
      <c r="Y3176">
        <v>11</v>
      </c>
      <c r="Z3176" s="5">
        <v>162.84</v>
      </c>
    </row>
    <row r="3177" spans="1:26">
      <c r="A3177">
        <v>3176</v>
      </c>
      <c r="B3177">
        <v>1041</v>
      </c>
      <c r="C3177" s="2">
        <v>46347</v>
      </c>
      <c r="D3177" t="s">
        <v>40</v>
      </c>
      <c r="E3177">
        <v>11</v>
      </c>
      <c r="F3177" s="3">
        <v>11.38</v>
      </c>
      <c r="G3177" t="s">
        <v>36</v>
      </c>
      <c r="H3177">
        <v>53</v>
      </c>
      <c r="I3177" t="s">
        <v>34</v>
      </c>
      <c r="J3177" s="4">
        <v>65.099999999999994</v>
      </c>
      <c r="K3177" s="4">
        <v>128</v>
      </c>
      <c r="L3177" s="4">
        <v>21.3</v>
      </c>
      <c r="M3177">
        <v>15</v>
      </c>
      <c r="N3177" t="s">
        <v>61</v>
      </c>
      <c r="O3177">
        <v>4</v>
      </c>
      <c r="P3177" s="4">
        <v>1775.1</v>
      </c>
      <c r="Q3177" t="s">
        <v>30</v>
      </c>
      <c r="R3177">
        <v>1</v>
      </c>
      <c r="S3177" t="s">
        <v>44</v>
      </c>
      <c r="T3177">
        <v>0</v>
      </c>
      <c r="U3177">
        <v>0</v>
      </c>
      <c r="V3177" t="s">
        <v>32</v>
      </c>
      <c r="W3177" t="s">
        <v>57</v>
      </c>
      <c r="X3177" s="4">
        <v>9.3000000000000007</v>
      </c>
      <c r="Y3177">
        <v>10</v>
      </c>
      <c r="Z3177" s="5">
        <v>231.82</v>
      </c>
    </row>
    <row r="3178" spans="1:26">
      <c r="A3178">
        <v>3177</v>
      </c>
      <c r="B3178">
        <v>1041</v>
      </c>
      <c r="C3178" s="2">
        <v>46347</v>
      </c>
      <c r="D3178" t="s">
        <v>40</v>
      </c>
      <c r="E3178">
        <v>11</v>
      </c>
      <c r="F3178" s="3">
        <v>11.4</v>
      </c>
      <c r="G3178" t="s">
        <v>36</v>
      </c>
      <c r="H3178">
        <v>39</v>
      </c>
      <c r="I3178" t="s">
        <v>28</v>
      </c>
      <c r="J3178" s="4">
        <v>67.900000000000006</v>
      </c>
      <c r="K3178" s="4">
        <v>160.30000000000001</v>
      </c>
      <c r="L3178" s="4">
        <v>24.2</v>
      </c>
      <c r="M3178">
        <v>13</v>
      </c>
      <c r="N3178" t="s">
        <v>61</v>
      </c>
      <c r="O3178">
        <v>4</v>
      </c>
      <c r="P3178" s="4">
        <v>1775.1</v>
      </c>
      <c r="Q3178" t="s">
        <v>30</v>
      </c>
      <c r="R3178">
        <v>1</v>
      </c>
      <c r="S3178" t="s">
        <v>44</v>
      </c>
      <c r="T3178">
        <v>0</v>
      </c>
      <c r="U3178">
        <v>0</v>
      </c>
      <c r="V3178" t="s">
        <v>32</v>
      </c>
      <c r="W3178" t="s">
        <v>57</v>
      </c>
      <c r="X3178" s="4">
        <v>9.1</v>
      </c>
      <c r="Y3178">
        <v>5</v>
      </c>
      <c r="Z3178" s="5">
        <v>109.63</v>
      </c>
    </row>
    <row r="3179" spans="1:26">
      <c r="A3179">
        <v>3178</v>
      </c>
      <c r="B3179">
        <v>1042</v>
      </c>
      <c r="C3179" s="2">
        <v>46306</v>
      </c>
      <c r="D3179" t="s">
        <v>58</v>
      </c>
      <c r="E3179">
        <v>10</v>
      </c>
      <c r="F3179" s="3">
        <v>11.59</v>
      </c>
      <c r="G3179" t="s">
        <v>36</v>
      </c>
      <c r="H3179">
        <v>29</v>
      </c>
      <c r="I3179" t="s">
        <v>34</v>
      </c>
      <c r="J3179" s="4">
        <v>67</v>
      </c>
      <c r="K3179" s="4">
        <v>182.4</v>
      </c>
      <c r="L3179" s="4">
        <v>28.2</v>
      </c>
      <c r="M3179">
        <v>14</v>
      </c>
      <c r="N3179" t="s">
        <v>59</v>
      </c>
      <c r="O3179">
        <v>4</v>
      </c>
      <c r="P3179" s="4">
        <v>923.1</v>
      </c>
      <c r="Q3179" t="s">
        <v>42</v>
      </c>
      <c r="R3179">
        <v>1</v>
      </c>
      <c r="S3179" t="s">
        <v>31</v>
      </c>
      <c r="T3179">
        <v>0</v>
      </c>
      <c r="U3179">
        <v>0</v>
      </c>
      <c r="V3179" t="s">
        <v>32</v>
      </c>
      <c r="W3179" t="s">
        <v>43</v>
      </c>
      <c r="X3179" s="4">
        <v>9.8000000000000007</v>
      </c>
      <c r="Y3179">
        <v>9</v>
      </c>
      <c r="Z3179" s="5">
        <v>209.58</v>
      </c>
    </row>
    <row r="3180" spans="1:26">
      <c r="A3180">
        <v>3179</v>
      </c>
      <c r="B3180">
        <v>1042</v>
      </c>
      <c r="C3180" s="2">
        <v>46306</v>
      </c>
      <c r="D3180" t="s">
        <v>58</v>
      </c>
      <c r="E3180">
        <v>10</v>
      </c>
      <c r="F3180" s="3">
        <v>11.7</v>
      </c>
      <c r="G3180" t="s">
        <v>36</v>
      </c>
      <c r="H3180">
        <v>26</v>
      </c>
      <c r="I3180" t="s">
        <v>34</v>
      </c>
      <c r="J3180" s="4">
        <v>60.7</v>
      </c>
      <c r="K3180" s="4">
        <v>134.19999999999999</v>
      </c>
      <c r="L3180" s="4">
        <v>25.8</v>
      </c>
      <c r="M3180">
        <v>15</v>
      </c>
      <c r="N3180" t="s">
        <v>59</v>
      </c>
      <c r="O3180">
        <v>4</v>
      </c>
      <c r="P3180" s="4">
        <v>923.1</v>
      </c>
      <c r="Q3180" t="s">
        <v>42</v>
      </c>
      <c r="R3180">
        <v>1</v>
      </c>
      <c r="S3180" t="s">
        <v>31</v>
      </c>
      <c r="T3180">
        <v>0</v>
      </c>
      <c r="U3180">
        <v>0</v>
      </c>
      <c r="V3180" t="s">
        <v>32</v>
      </c>
      <c r="W3180" t="s">
        <v>43</v>
      </c>
      <c r="X3180" s="4">
        <v>6.4</v>
      </c>
      <c r="Y3180">
        <v>9</v>
      </c>
      <c r="Z3180" s="5">
        <v>233.46</v>
      </c>
    </row>
    <row r="3181" spans="1:26">
      <c r="A3181">
        <v>3180</v>
      </c>
      <c r="B3181">
        <v>1042</v>
      </c>
      <c r="C3181" s="2">
        <v>46306</v>
      </c>
      <c r="D3181" t="s">
        <v>58</v>
      </c>
      <c r="E3181">
        <v>10</v>
      </c>
      <c r="F3181" s="3">
        <v>11.79</v>
      </c>
      <c r="G3181" t="s">
        <v>36</v>
      </c>
      <c r="H3181">
        <v>35</v>
      </c>
      <c r="I3181" t="s">
        <v>28</v>
      </c>
      <c r="J3181" s="4">
        <v>64.7</v>
      </c>
      <c r="K3181" s="4">
        <v>140</v>
      </c>
      <c r="L3181" s="4">
        <v>23.3</v>
      </c>
      <c r="M3181">
        <v>14</v>
      </c>
      <c r="N3181" t="s">
        <v>59</v>
      </c>
      <c r="O3181">
        <v>4</v>
      </c>
      <c r="P3181" s="4">
        <v>923.1</v>
      </c>
      <c r="Q3181" t="s">
        <v>42</v>
      </c>
      <c r="R3181">
        <v>1</v>
      </c>
      <c r="S3181" t="s">
        <v>31</v>
      </c>
      <c r="T3181">
        <v>0</v>
      </c>
      <c r="U3181">
        <v>0</v>
      </c>
      <c r="V3181" t="s">
        <v>32</v>
      </c>
      <c r="W3181" t="s">
        <v>43</v>
      </c>
      <c r="X3181" s="4">
        <v>10.1</v>
      </c>
      <c r="Y3181">
        <v>11</v>
      </c>
      <c r="Z3181" s="5">
        <v>212.93</v>
      </c>
    </row>
    <row r="3182" spans="1:26">
      <c r="A3182">
        <v>3181</v>
      </c>
      <c r="B3182">
        <v>1042</v>
      </c>
      <c r="C3182" s="2">
        <v>46306</v>
      </c>
      <c r="D3182" t="s">
        <v>58</v>
      </c>
      <c r="E3182">
        <v>10</v>
      </c>
      <c r="F3182" s="3">
        <v>11.34</v>
      </c>
      <c r="G3182" t="s">
        <v>36</v>
      </c>
      <c r="H3182">
        <v>29</v>
      </c>
      <c r="I3182" t="s">
        <v>28</v>
      </c>
      <c r="J3182" s="4">
        <v>64.8</v>
      </c>
      <c r="K3182" s="4">
        <v>177.3</v>
      </c>
      <c r="L3182" s="4">
        <v>29.7</v>
      </c>
      <c r="M3182">
        <v>15</v>
      </c>
      <c r="N3182" t="s">
        <v>59</v>
      </c>
      <c r="O3182">
        <v>4</v>
      </c>
      <c r="P3182" s="4">
        <v>923.1</v>
      </c>
      <c r="Q3182" t="s">
        <v>42</v>
      </c>
      <c r="R3182">
        <v>1</v>
      </c>
      <c r="S3182" t="s">
        <v>31</v>
      </c>
      <c r="T3182">
        <v>0</v>
      </c>
      <c r="U3182">
        <v>0</v>
      </c>
      <c r="V3182" t="s">
        <v>32</v>
      </c>
      <c r="W3182" t="s">
        <v>43</v>
      </c>
      <c r="X3182" s="4">
        <v>9.4</v>
      </c>
      <c r="Y3182">
        <v>5</v>
      </c>
      <c r="Z3182" s="5">
        <v>305.63</v>
      </c>
    </row>
    <row r="3183" spans="1:26">
      <c r="A3183">
        <v>3182</v>
      </c>
      <c r="B3183">
        <v>1043</v>
      </c>
      <c r="C3183" s="2">
        <v>46048</v>
      </c>
      <c r="D3183" t="s">
        <v>46</v>
      </c>
      <c r="E3183">
        <v>1</v>
      </c>
      <c r="F3183" s="3">
        <v>12.1</v>
      </c>
      <c r="G3183" t="s">
        <v>36</v>
      </c>
      <c r="H3183">
        <v>19</v>
      </c>
      <c r="I3183" t="s">
        <v>34</v>
      </c>
      <c r="J3183" s="4">
        <v>68.099999999999994</v>
      </c>
      <c r="K3183" s="4">
        <v>222.3</v>
      </c>
      <c r="L3183" s="4">
        <v>33.700000000000003</v>
      </c>
      <c r="M3183">
        <v>14</v>
      </c>
      <c r="N3183" t="s">
        <v>47</v>
      </c>
      <c r="O3183">
        <v>4</v>
      </c>
      <c r="P3183" s="4">
        <v>115.8</v>
      </c>
      <c r="Q3183" t="s">
        <v>42</v>
      </c>
      <c r="R3183">
        <v>0</v>
      </c>
      <c r="S3183" t="s">
        <v>31</v>
      </c>
      <c r="T3183">
        <v>0</v>
      </c>
      <c r="U3183">
        <v>0</v>
      </c>
      <c r="V3183" t="s">
        <v>32</v>
      </c>
      <c r="W3183" t="s">
        <v>49</v>
      </c>
      <c r="X3183" s="4">
        <v>7.1</v>
      </c>
      <c r="Y3183">
        <v>9</v>
      </c>
      <c r="Z3183" s="5">
        <v>206.72</v>
      </c>
    </row>
    <row r="3184" spans="1:26">
      <c r="A3184">
        <v>3183</v>
      </c>
      <c r="B3184">
        <v>1043</v>
      </c>
      <c r="C3184" s="2">
        <v>46048</v>
      </c>
      <c r="D3184" t="s">
        <v>46</v>
      </c>
      <c r="E3184">
        <v>1</v>
      </c>
      <c r="F3184" s="3">
        <v>12.07</v>
      </c>
      <c r="G3184" t="s">
        <v>36</v>
      </c>
      <c r="H3184">
        <v>18</v>
      </c>
      <c r="I3184" t="s">
        <v>34</v>
      </c>
      <c r="J3184" s="4">
        <v>60.3</v>
      </c>
      <c r="K3184" s="4">
        <v>151.69999999999999</v>
      </c>
      <c r="L3184" s="4">
        <v>29.3</v>
      </c>
      <c r="M3184">
        <v>14</v>
      </c>
      <c r="N3184" t="s">
        <v>47</v>
      </c>
      <c r="O3184">
        <v>4</v>
      </c>
      <c r="P3184" s="4">
        <v>115.8</v>
      </c>
      <c r="Q3184" t="s">
        <v>42</v>
      </c>
      <c r="R3184">
        <v>0</v>
      </c>
      <c r="S3184" t="s">
        <v>31</v>
      </c>
      <c r="T3184">
        <v>0</v>
      </c>
      <c r="U3184">
        <v>0</v>
      </c>
      <c r="V3184" t="s">
        <v>32</v>
      </c>
      <c r="W3184" t="s">
        <v>49</v>
      </c>
      <c r="X3184" s="4">
        <v>6.8</v>
      </c>
      <c r="Y3184">
        <v>7</v>
      </c>
      <c r="Z3184" s="5">
        <v>123.66</v>
      </c>
    </row>
    <row r="3185" spans="1:26">
      <c r="A3185">
        <v>3184</v>
      </c>
      <c r="B3185">
        <v>1043</v>
      </c>
      <c r="C3185" s="2">
        <v>46048</v>
      </c>
      <c r="D3185" t="s">
        <v>46</v>
      </c>
      <c r="E3185">
        <v>1</v>
      </c>
      <c r="F3185" s="3">
        <v>11.8</v>
      </c>
      <c r="G3185" t="s">
        <v>36</v>
      </c>
      <c r="H3185">
        <v>50</v>
      </c>
      <c r="I3185" t="s">
        <v>28</v>
      </c>
      <c r="J3185" s="4">
        <v>64.400000000000006</v>
      </c>
      <c r="K3185" s="4">
        <v>164.6</v>
      </c>
      <c r="L3185" s="4">
        <v>27.8</v>
      </c>
      <c r="M3185">
        <v>15</v>
      </c>
      <c r="N3185" t="s">
        <v>47</v>
      </c>
      <c r="O3185">
        <v>4</v>
      </c>
      <c r="P3185" s="4">
        <v>115.8</v>
      </c>
      <c r="Q3185" t="s">
        <v>42</v>
      </c>
      <c r="R3185">
        <v>0</v>
      </c>
      <c r="S3185" t="s">
        <v>31</v>
      </c>
      <c r="T3185">
        <v>0</v>
      </c>
      <c r="U3185">
        <v>0</v>
      </c>
      <c r="V3185" t="s">
        <v>32</v>
      </c>
      <c r="W3185" t="s">
        <v>49</v>
      </c>
      <c r="X3185" s="4">
        <v>6.3</v>
      </c>
      <c r="Y3185">
        <v>5</v>
      </c>
      <c r="Z3185" s="5">
        <v>222.21</v>
      </c>
    </row>
    <row r="3186" spans="1:26">
      <c r="A3186">
        <v>3185</v>
      </c>
      <c r="B3186">
        <v>1043</v>
      </c>
      <c r="C3186" s="2">
        <v>46048</v>
      </c>
      <c r="D3186" t="s">
        <v>46</v>
      </c>
      <c r="E3186">
        <v>1</v>
      </c>
      <c r="F3186" s="3">
        <v>11.97</v>
      </c>
      <c r="G3186" t="s">
        <v>36</v>
      </c>
      <c r="H3186">
        <v>18</v>
      </c>
      <c r="I3186" t="s">
        <v>28</v>
      </c>
      <c r="J3186" s="4">
        <v>70.2</v>
      </c>
      <c r="K3186" s="4">
        <v>180.9</v>
      </c>
      <c r="L3186" s="4">
        <v>25.6</v>
      </c>
      <c r="M3186">
        <v>12</v>
      </c>
      <c r="N3186" t="s">
        <v>47</v>
      </c>
      <c r="O3186">
        <v>4</v>
      </c>
      <c r="P3186" s="4">
        <v>115.8</v>
      </c>
      <c r="Q3186" t="s">
        <v>42</v>
      </c>
      <c r="R3186">
        <v>0</v>
      </c>
      <c r="S3186" t="s">
        <v>31</v>
      </c>
      <c r="T3186">
        <v>0</v>
      </c>
      <c r="U3186">
        <v>0</v>
      </c>
      <c r="V3186" t="s">
        <v>32</v>
      </c>
      <c r="W3186" t="s">
        <v>49</v>
      </c>
      <c r="X3186" s="4">
        <v>8.6</v>
      </c>
      <c r="Y3186">
        <v>11</v>
      </c>
      <c r="Z3186" s="5">
        <v>170.57</v>
      </c>
    </row>
    <row r="3187" spans="1:26">
      <c r="A3187">
        <v>3186</v>
      </c>
      <c r="B3187">
        <v>1044</v>
      </c>
      <c r="C3187" s="2">
        <v>46366</v>
      </c>
      <c r="D3187" t="s">
        <v>55</v>
      </c>
      <c r="E3187">
        <v>12</v>
      </c>
      <c r="F3187" s="3">
        <v>10.17</v>
      </c>
      <c r="G3187" t="s">
        <v>27</v>
      </c>
      <c r="H3187">
        <v>73</v>
      </c>
      <c r="I3187" t="s">
        <v>28</v>
      </c>
      <c r="J3187" s="4">
        <v>68.400000000000006</v>
      </c>
      <c r="K3187" s="4">
        <v>117.7</v>
      </c>
      <c r="L3187" s="4">
        <v>17.600000000000001</v>
      </c>
      <c r="M3187">
        <v>16</v>
      </c>
      <c r="N3187" t="s">
        <v>37</v>
      </c>
      <c r="O3187">
        <v>2</v>
      </c>
      <c r="P3187" s="4">
        <v>1234.3</v>
      </c>
      <c r="Q3187" t="s">
        <v>48</v>
      </c>
      <c r="R3187">
        <v>1</v>
      </c>
      <c r="S3187" t="s">
        <v>38</v>
      </c>
      <c r="T3187">
        <v>1</v>
      </c>
      <c r="U3187">
        <v>1</v>
      </c>
      <c r="V3187" t="s">
        <v>45</v>
      </c>
      <c r="W3187" t="s">
        <v>33</v>
      </c>
      <c r="X3187" s="4">
        <v>10.6</v>
      </c>
      <c r="Y3187">
        <v>9</v>
      </c>
      <c r="Z3187" s="5">
        <v>385.47</v>
      </c>
    </row>
    <row r="3188" spans="1:26">
      <c r="A3188">
        <v>3187</v>
      </c>
      <c r="B3188">
        <v>1044</v>
      </c>
      <c r="C3188" s="2">
        <v>46366</v>
      </c>
      <c r="D3188" t="s">
        <v>55</v>
      </c>
      <c r="E3188">
        <v>12</v>
      </c>
      <c r="F3188" s="3">
        <v>10.16</v>
      </c>
      <c r="G3188" t="s">
        <v>27</v>
      </c>
      <c r="H3188">
        <v>43</v>
      </c>
      <c r="I3188" t="s">
        <v>28</v>
      </c>
      <c r="J3188" s="4">
        <v>69.900000000000006</v>
      </c>
      <c r="K3188" s="4">
        <v>197.1</v>
      </c>
      <c r="L3188" s="4">
        <v>28.5</v>
      </c>
      <c r="M3188">
        <v>17</v>
      </c>
      <c r="N3188" t="s">
        <v>37</v>
      </c>
      <c r="O3188">
        <v>2</v>
      </c>
      <c r="P3188" s="4">
        <v>1234.3</v>
      </c>
      <c r="Q3188" t="s">
        <v>48</v>
      </c>
      <c r="R3188">
        <v>1</v>
      </c>
      <c r="S3188" t="s">
        <v>38</v>
      </c>
      <c r="T3188">
        <v>1</v>
      </c>
      <c r="U3188">
        <v>1</v>
      </c>
      <c r="V3188" t="s">
        <v>45</v>
      </c>
      <c r="W3188" t="s">
        <v>33</v>
      </c>
      <c r="X3188" s="4">
        <v>11.8</v>
      </c>
      <c r="Y3188">
        <v>16</v>
      </c>
      <c r="Z3188" s="5">
        <v>357.74</v>
      </c>
    </row>
    <row r="3189" spans="1:26">
      <c r="A3189">
        <v>3188</v>
      </c>
      <c r="B3189">
        <v>1045</v>
      </c>
      <c r="C3189" s="2">
        <v>46292</v>
      </c>
      <c r="D3189" t="s">
        <v>58</v>
      </c>
      <c r="E3189">
        <v>9</v>
      </c>
      <c r="F3189" s="3">
        <v>11.94</v>
      </c>
      <c r="G3189" t="s">
        <v>36</v>
      </c>
      <c r="H3189">
        <v>67</v>
      </c>
      <c r="I3189" t="s">
        <v>51</v>
      </c>
      <c r="J3189" s="4">
        <v>68.400000000000006</v>
      </c>
      <c r="K3189" s="4">
        <v>204.1</v>
      </c>
      <c r="L3189" s="4">
        <v>30.7</v>
      </c>
      <c r="M3189">
        <v>13</v>
      </c>
      <c r="N3189" t="s">
        <v>47</v>
      </c>
      <c r="O3189">
        <v>6</v>
      </c>
      <c r="P3189" s="4">
        <v>2</v>
      </c>
      <c r="Q3189" t="s">
        <v>30</v>
      </c>
      <c r="R3189">
        <v>1</v>
      </c>
      <c r="S3189" t="s">
        <v>38</v>
      </c>
      <c r="T3189">
        <v>0</v>
      </c>
      <c r="U3189">
        <v>0</v>
      </c>
      <c r="V3189" t="s">
        <v>32</v>
      </c>
      <c r="W3189" t="s">
        <v>49</v>
      </c>
      <c r="X3189" s="4">
        <v>8.3000000000000007</v>
      </c>
      <c r="Y3189">
        <v>10</v>
      </c>
      <c r="Z3189" s="5">
        <v>105.24</v>
      </c>
    </row>
    <row r="3190" spans="1:26">
      <c r="A3190">
        <v>3189</v>
      </c>
      <c r="B3190">
        <v>1045</v>
      </c>
      <c r="C3190" s="2">
        <v>46292</v>
      </c>
      <c r="D3190" t="s">
        <v>58</v>
      </c>
      <c r="E3190">
        <v>9</v>
      </c>
      <c r="F3190" s="3">
        <v>11.93</v>
      </c>
      <c r="G3190" t="s">
        <v>36</v>
      </c>
      <c r="H3190">
        <v>59</v>
      </c>
      <c r="I3190" t="s">
        <v>28</v>
      </c>
      <c r="J3190" s="4">
        <v>65</v>
      </c>
      <c r="K3190" s="4">
        <v>165.4</v>
      </c>
      <c r="L3190" s="4">
        <v>27.5</v>
      </c>
      <c r="M3190">
        <v>16</v>
      </c>
      <c r="N3190" t="s">
        <v>47</v>
      </c>
      <c r="O3190">
        <v>6</v>
      </c>
      <c r="P3190" s="4">
        <v>2</v>
      </c>
      <c r="Q3190" t="s">
        <v>30</v>
      </c>
      <c r="R3190">
        <v>1</v>
      </c>
      <c r="S3190" t="s">
        <v>38</v>
      </c>
      <c r="T3190">
        <v>0</v>
      </c>
      <c r="U3190">
        <v>0</v>
      </c>
      <c r="V3190" t="s">
        <v>32</v>
      </c>
      <c r="W3190" t="s">
        <v>49</v>
      </c>
      <c r="X3190" s="4">
        <v>8</v>
      </c>
      <c r="Y3190">
        <v>3</v>
      </c>
      <c r="Z3190" s="5">
        <v>134.09</v>
      </c>
    </row>
    <row r="3191" spans="1:26">
      <c r="A3191">
        <v>3190</v>
      </c>
      <c r="B3191">
        <v>1045</v>
      </c>
      <c r="C3191" s="2">
        <v>46292</v>
      </c>
      <c r="D3191" t="s">
        <v>58</v>
      </c>
      <c r="E3191">
        <v>9</v>
      </c>
      <c r="F3191" s="3">
        <v>12.04</v>
      </c>
      <c r="G3191" t="s">
        <v>36</v>
      </c>
      <c r="H3191">
        <v>55</v>
      </c>
      <c r="I3191" t="s">
        <v>28</v>
      </c>
      <c r="J3191" s="4">
        <v>65.099999999999994</v>
      </c>
      <c r="K3191" s="4">
        <v>153.5</v>
      </c>
      <c r="L3191" s="4">
        <v>25.5</v>
      </c>
      <c r="M3191">
        <v>16</v>
      </c>
      <c r="N3191" t="s">
        <v>47</v>
      </c>
      <c r="O3191">
        <v>6</v>
      </c>
      <c r="P3191" s="4">
        <v>2</v>
      </c>
      <c r="Q3191" t="s">
        <v>30</v>
      </c>
      <c r="R3191">
        <v>1</v>
      </c>
      <c r="S3191" t="s">
        <v>38</v>
      </c>
      <c r="T3191">
        <v>0</v>
      </c>
      <c r="U3191">
        <v>0</v>
      </c>
      <c r="V3191" t="s">
        <v>32</v>
      </c>
      <c r="W3191" t="s">
        <v>49</v>
      </c>
      <c r="X3191" s="4">
        <v>10.199999999999999</v>
      </c>
      <c r="Y3191">
        <v>15</v>
      </c>
      <c r="Z3191" s="5">
        <v>150.97999999999999</v>
      </c>
    </row>
    <row r="3192" spans="1:26">
      <c r="A3192">
        <v>3191</v>
      </c>
      <c r="B3192">
        <v>1045</v>
      </c>
      <c r="C3192" s="2">
        <v>46292</v>
      </c>
      <c r="D3192" t="s">
        <v>58</v>
      </c>
      <c r="E3192">
        <v>9</v>
      </c>
      <c r="F3192" s="3">
        <v>11.92</v>
      </c>
      <c r="G3192" t="s">
        <v>36</v>
      </c>
      <c r="H3192">
        <v>62</v>
      </c>
      <c r="I3192" t="s">
        <v>34</v>
      </c>
      <c r="J3192" s="4">
        <v>61.7</v>
      </c>
      <c r="K3192" s="4">
        <v>134.5</v>
      </c>
      <c r="L3192" s="4">
        <v>24.7</v>
      </c>
      <c r="M3192">
        <v>14</v>
      </c>
      <c r="N3192" t="s">
        <v>47</v>
      </c>
      <c r="O3192">
        <v>6</v>
      </c>
      <c r="P3192" s="4">
        <v>2</v>
      </c>
      <c r="Q3192" t="s">
        <v>30</v>
      </c>
      <c r="R3192">
        <v>1</v>
      </c>
      <c r="S3192" t="s">
        <v>38</v>
      </c>
      <c r="T3192">
        <v>0</v>
      </c>
      <c r="U3192">
        <v>0</v>
      </c>
      <c r="V3192" t="s">
        <v>32</v>
      </c>
      <c r="W3192" t="s">
        <v>49</v>
      </c>
      <c r="X3192" s="4">
        <v>9.1999999999999993</v>
      </c>
      <c r="Y3192">
        <v>11</v>
      </c>
      <c r="Z3192" s="5">
        <v>292.79000000000002</v>
      </c>
    </row>
    <row r="3193" spans="1:26">
      <c r="A3193">
        <v>3192</v>
      </c>
      <c r="B3193">
        <v>1045</v>
      </c>
      <c r="C3193" s="2">
        <v>46292</v>
      </c>
      <c r="D3193" t="s">
        <v>58</v>
      </c>
      <c r="E3193">
        <v>9</v>
      </c>
      <c r="F3193" s="3">
        <v>11.82</v>
      </c>
      <c r="G3193" t="s">
        <v>36</v>
      </c>
      <c r="H3193">
        <v>65</v>
      </c>
      <c r="I3193" t="s">
        <v>34</v>
      </c>
      <c r="J3193" s="4">
        <v>61.6</v>
      </c>
      <c r="K3193" s="4">
        <v>120.4</v>
      </c>
      <c r="L3193" s="4">
        <v>22</v>
      </c>
      <c r="M3193">
        <v>14</v>
      </c>
      <c r="N3193" t="s">
        <v>47</v>
      </c>
      <c r="O3193">
        <v>6</v>
      </c>
      <c r="P3193" s="4">
        <v>2</v>
      </c>
      <c r="Q3193" t="s">
        <v>30</v>
      </c>
      <c r="R3193">
        <v>1</v>
      </c>
      <c r="S3193" t="s">
        <v>38</v>
      </c>
      <c r="T3193">
        <v>0</v>
      </c>
      <c r="U3193">
        <v>0</v>
      </c>
      <c r="V3193" t="s">
        <v>32</v>
      </c>
      <c r="W3193" t="s">
        <v>49</v>
      </c>
      <c r="X3193" s="4">
        <v>9.3000000000000007</v>
      </c>
      <c r="Y3193">
        <v>12</v>
      </c>
      <c r="Z3193" s="5">
        <v>163.24</v>
      </c>
    </row>
    <row r="3194" spans="1:26">
      <c r="A3194">
        <v>3193</v>
      </c>
      <c r="B3194">
        <v>1045</v>
      </c>
      <c r="C3194" s="2">
        <v>46292</v>
      </c>
      <c r="D3194" t="s">
        <v>58</v>
      </c>
      <c r="E3194">
        <v>9</v>
      </c>
      <c r="F3194" s="3">
        <v>11.84</v>
      </c>
      <c r="G3194" t="s">
        <v>36</v>
      </c>
      <c r="H3194">
        <v>67</v>
      </c>
      <c r="I3194" t="s">
        <v>34</v>
      </c>
      <c r="J3194" s="4">
        <v>64.8</v>
      </c>
      <c r="K3194" s="4">
        <v>139.6</v>
      </c>
      <c r="L3194" s="4">
        <v>23.3</v>
      </c>
      <c r="M3194">
        <v>19</v>
      </c>
      <c r="N3194" t="s">
        <v>47</v>
      </c>
      <c r="O3194">
        <v>6</v>
      </c>
      <c r="P3194" s="4">
        <v>2</v>
      </c>
      <c r="Q3194" t="s">
        <v>30</v>
      </c>
      <c r="R3194">
        <v>1</v>
      </c>
      <c r="S3194" t="s">
        <v>38</v>
      </c>
      <c r="T3194">
        <v>0</v>
      </c>
      <c r="U3194">
        <v>0</v>
      </c>
      <c r="V3194" t="s">
        <v>32</v>
      </c>
      <c r="W3194" t="s">
        <v>49</v>
      </c>
      <c r="X3194" s="4">
        <v>9.1</v>
      </c>
      <c r="Y3194">
        <v>7</v>
      </c>
      <c r="Z3194" s="5">
        <v>221.73</v>
      </c>
    </row>
    <row r="3195" spans="1:26">
      <c r="A3195">
        <v>3194</v>
      </c>
      <c r="B3195">
        <v>1046</v>
      </c>
      <c r="C3195" s="2">
        <v>46336</v>
      </c>
      <c r="D3195" t="s">
        <v>35</v>
      </c>
      <c r="E3195">
        <v>11</v>
      </c>
      <c r="F3195" s="3">
        <v>13.22</v>
      </c>
      <c r="G3195" t="s">
        <v>36</v>
      </c>
      <c r="H3195">
        <v>72</v>
      </c>
      <c r="I3195" t="s">
        <v>34</v>
      </c>
      <c r="J3195" s="4">
        <v>62.5</v>
      </c>
      <c r="K3195" s="4">
        <v>109.6</v>
      </c>
      <c r="L3195" s="4">
        <v>19.8</v>
      </c>
      <c r="M3195">
        <v>11</v>
      </c>
      <c r="N3195" t="s">
        <v>47</v>
      </c>
      <c r="O3195">
        <v>4</v>
      </c>
      <c r="P3195" s="4">
        <v>171.9</v>
      </c>
      <c r="Q3195" t="s">
        <v>30</v>
      </c>
      <c r="R3195">
        <v>1</v>
      </c>
      <c r="S3195" t="s">
        <v>31</v>
      </c>
      <c r="T3195">
        <v>0</v>
      </c>
      <c r="U3195">
        <v>0</v>
      </c>
      <c r="V3195" t="s">
        <v>32</v>
      </c>
      <c r="W3195" t="s">
        <v>39</v>
      </c>
      <c r="X3195" s="4">
        <v>8.6</v>
      </c>
      <c r="Y3195">
        <v>4</v>
      </c>
      <c r="Z3195" s="5">
        <v>212.72</v>
      </c>
    </row>
    <row r="3196" spans="1:26">
      <c r="A3196">
        <v>3195</v>
      </c>
      <c r="B3196">
        <v>1046</v>
      </c>
      <c r="C3196" s="2">
        <v>46336</v>
      </c>
      <c r="D3196" t="s">
        <v>35</v>
      </c>
      <c r="E3196">
        <v>11</v>
      </c>
      <c r="F3196" s="3">
        <v>13.57</v>
      </c>
      <c r="G3196" t="s">
        <v>36</v>
      </c>
      <c r="H3196">
        <v>13</v>
      </c>
      <c r="I3196" t="s">
        <v>28</v>
      </c>
      <c r="J3196" s="4">
        <v>69.7</v>
      </c>
      <c r="K3196" s="4">
        <v>138</v>
      </c>
      <c r="L3196" s="4">
        <v>19.7</v>
      </c>
      <c r="M3196">
        <v>9</v>
      </c>
      <c r="N3196" t="s">
        <v>47</v>
      </c>
      <c r="O3196">
        <v>4</v>
      </c>
      <c r="P3196" s="4">
        <v>171.9</v>
      </c>
      <c r="Q3196" t="s">
        <v>30</v>
      </c>
      <c r="R3196">
        <v>1</v>
      </c>
      <c r="S3196" t="s">
        <v>31</v>
      </c>
      <c r="T3196">
        <v>0</v>
      </c>
      <c r="U3196">
        <v>0</v>
      </c>
      <c r="V3196" t="s">
        <v>32</v>
      </c>
      <c r="W3196" t="s">
        <v>39</v>
      </c>
      <c r="X3196" s="4">
        <v>6</v>
      </c>
      <c r="Y3196">
        <v>12</v>
      </c>
      <c r="Z3196" s="5">
        <v>214.1</v>
      </c>
    </row>
    <row r="3197" spans="1:26">
      <c r="A3197">
        <v>3196</v>
      </c>
      <c r="B3197">
        <v>1046</v>
      </c>
      <c r="C3197" s="2">
        <v>46336</v>
      </c>
      <c r="D3197" t="s">
        <v>35</v>
      </c>
      <c r="E3197">
        <v>11</v>
      </c>
      <c r="F3197" s="3">
        <v>13.29</v>
      </c>
      <c r="G3197" t="s">
        <v>36</v>
      </c>
      <c r="H3197">
        <v>66</v>
      </c>
      <c r="I3197" t="s">
        <v>28</v>
      </c>
      <c r="J3197" s="4">
        <v>68.099999999999994</v>
      </c>
      <c r="K3197" s="4">
        <v>152.6</v>
      </c>
      <c r="L3197" s="4">
        <v>23</v>
      </c>
      <c r="M3197">
        <v>15</v>
      </c>
      <c r="N3197" t="s">
        <v>47</v>
      </c>
      <c r="O3197">
        <v>4</v>
      </c>
      <c r="P3197" s="4">
        <v>171.9</v>
      </c>
      <c r="Q3197" t="s">
        <v>30</v>
      </c>
      <c r="R3197">
        <v>1</v>
      </c>
      <c r="S3197" t="s">
        <v>31</v>
      </c>
      <c r="T3197">
        <v>0</v>
      </c>
      <c r="U3197">
        <v>0</v>
      </c>
      <c r="V3197" t="s">
        <v>32</v>
      </c>
      <c r="W3197" t="s">
        <v>39</v>
      </c>
      <c r="X3197" s="4">
        <v>8.5</v>
      </c>
      <c r="Y3197">
        <v>8</v>
      </c>
      <c r="Z3197" s="5">
        <v>140.51</v>
      </c>
    </row>
    <row r="3198" spans="1:26">
      <c r="A3198">
        <v>3197</v>
      </c>
      <c r="B3198">
        <v>1046</v>
      </c>
      <c r="C3198" s="2">
        <v>46336</v>
      </c>
      <c r="D3198" t="s">
        <v>35</v>
      </c>
      <c r="E3198">
        <v>11</v>
      </c>
      <c r="F3198" s="3">
        <v>13.66</v>
      </c>
      <c r="G3198" t="s">
        <v>36</v>
      </c>
      <c r="H3198">
        <v>42</v>
      </c>
      <c r="I3198" t="s">
        <v>28</v>
      </c>
      <c r="J3198" s="4">
        <v>70.5</v>
      </c>
      <c r="K3198" s="4">
        <v>209.9</v>
      </c>
      <c r="L3198" s="4">
        <v>29.3</v>
      </c>
      <c r="M3198">
        <v>10</v>
      </c>
      <c r="N3198" t="s">
        <v>47</v>
      </c>
      <c r="O3198">
        <v>4</v>
      </c>
      <c r="P3198" s="4">
        <v>171.9</v>
      </c>
      <c r="Q3198" t="s">
        <v>30</v>
      </c>
      <c r="R3198">
        <v>1</v>
      </c>
      <c r="S3198" t="s">
        <v>31</v>
      </c>
      <c r="T3198">
        <v>0</v>
      </c>
      <c r="U3198">
        <v>0</v>
      </c>
      <c r="V3198" t="s">
        <v>32</v>
      </c>
      <c r="W3198" t="s">
        <v>39</v>
      </c>
      <c r="X3198" s="4">
        <v>8.5</v>
      </c>
      <c r="Y3198">
        <v>10</v>
      </c>
      <c r="Z3198" s="5">
        <v>163.59</v>
      </c>
    </row>
    <row r="3199" spans="1:26">
      <c r="A3199">
        <v>3198</v>
      </c>
      <c r="B3199">
        <v>1047</v>
      </c>
      <c r="C3199" s="2">
        <v>46310</v>
      </c>
      <c r="D3199" t="s">
        <v>55</v>
      </c>
      <c r="E3199">
        <v>10</v>
      </c>
      <c r="F3199" s="3">
        <v>11.12</v>
      </c>
      <c r="G3199" t="s">
        <v>36</v>
      </c>
      <c r="H3199">
        <v>48</v>
      </c>
      <c r="I3199" t="s">
        <v>34</v>
      </c>
      <c r="J3199" s="4">
        <v>61.6</v>
      </c>
      <c r="K3199" s="4">
        <v>135.5</v>
      </c>
      <c r="L3199" s="4">
        <v>25.1</v>
      </c>
      <c r="M3199">
        <v>15</v>
      </c>
      <c r="N3199" t="s">
        <v>59</v>
      </c>
      <c r="O3199">
        <v>2</v>
      </c>
      <c r="P3199" s="4">
        <v>788.8</v>
      </c>
      <c r="Q3199" t="s">
        <v>42</v>
      </c>
      <c r="R3199">
        <v>1</v>
      </c>
      <c r="S3199" t="s">
        <v>38</v>
      </c>
      <c r="T3199">
        <v>1</v>
      </c>
      <c r="U3199">
        <v>1</v>
      </c>
      <c r="V3199" t="s">
        <v>32</v>
      </c>
      <c r="W3199" t="s">
        <v>33</v>
      </c>
      <c r="X3199" s="4">
        <v>8</v>
      </c>
      <c r="Y3199">
        <v>15</v>
      </c>
      <c r="Z3199" s="5">
        <v>408.5</v>
      </c>
    </row>
    <row r="3200" spans="1:26">
      <c r="A3200">
        <v>3199</v>
      </c>
      <c r="B3200">
        <v>1047</v>
      </c>
      <c r="C3200" s="2">
        <v>46310</v>
      </c>
      <c r="D3200" t="s">
        <v>55</v>
      </c>
      <c r="E3200">
        <v>10</v>
      </c>
      <c r="F3200" s="3">
        <v>11.47</v>
      </c>
      <c r="G3200" t="s">
        <v>36</v>
      </c>
      <c r="H3200">
        <v>6</v>
      </c>
      <c r="I3200" t="s">
        <v>34</v>
      </c>
      <c r="J3200" s="4">
        <v>64.7</v>
      </c>
      <c r="K3200" s="4">
        <v>130.9</v>
      </c>
      <c r="L3200" s="4">
        <v>22</v>
      </c>
      <c r="M3200">
        <v>12</v>
      </c>
      <c r="N3200" t="s">
        <v>59</v>
      </c>
      <c r="O3200">
        <v>2</v>
      </c>
      <c r="P3200" s="4">
        <v>788.8</v>
      </c>
      <c r="Q3200" t="s">
        <v>42</v>
      </c>
      <c r="R3200">
        <v>1</v>
      </c>
      <c r="S3200" t="s">
        <v>38</v>
      </c>
      <c r="T3200">
        <v>1</v>
      </c>
      <c r="U3200">
        <v>1</v>
      </c>
      <c r="V3200" t="s">
        <v>32</v>
      </c>
      <c r="W3200" t="s">
        <v>33</v>
      </c>
      <c r="X3200" s="4">
        <v>9.1999999999999993</v>
      </c>
      <c r="Y3200">
        <v>4</v>
      </c>
      <c r="Z3200" s="5">
        <v>366.96</v>
      </c>
    </row>
    <row r="3201" spans="1:26">
      <c r="A3201">
        <v>3200</v>
      </c>
      <c r="B3201">
        <v>1048</v>
      </c>
      <c r="C3201" s="2">
        <v>46041</v>
      </c>
      <c r="D3201" t="s">
        <v>46</v>
      </c>
      <c r="E3201">
        <v>1</v>
      </c>
      <c r="F3201" s="3">
        <v>9.27</v>
      </c>
      <c r="G3201" t="s">
        <v>27</v>
      </c>
      <c r="H3201">
        <v>45</v>
      </c>
      <c r="I3201" t="s">
        <v>34</v>
      </c>
      <c r="J3201" s="4">
        <v>66.599999999999994</v>
      </c>
      <c r="K3201" s="4">
        <v>129.30000000000001</v>
      </c>
      <c r="L3201" s="4">
        <v>20.399999999999999</v>
      </c>
      <c r="M3201">
        <v>16</v>
      </c>
      <c r="N3201" t="s">
        <v>59</v>
      </c>
      <c r="O3201">
        <v>3</v>
      </c>
      <c r="P3201" s="4">
        <v>1191.3</v>
      </c>
      <c r="Q3201" t="s">
        <v>30</v>
      </c>
      <c r="R3201">
        <v>1</v>
      </c>
      <c r="S3201" t="s">
        <v>31</v>
      </c>
      <c r="T3201">
        <v>0</v>
      </c>
      <c r="U3201">
        <v>1</v>
      </c>
      <c r="V3201" t="s">
        <v>32</v>
      </c>
      <c r="W3201" t="s">
        <v>33</v>
      </c>
      <c r="X3201" s="4">
        <v>9.8000000000000007</v>
      </c>
      <c r="Y3201">
        <v>8</v>
      </c>
      <c r="Z3201" s="5">
        <v>205.16</v>
      </c>
    </row>
    <row r="3202" spans="1:26">
      <c r="A3202">
        <v>3201</v>
      </c>
      <c r="B3202">
        <v>1048</v>
      </c>
      <c r="C3202" s="2">
        <v>46041</v>
      </c>
      <c r="D3202" t="s">
        <v>46</v>
      </c>
      <c r="E3202">
        <v>1</v>
      </c>
      <c r="F3202" s="3">
        <v>9.1199999999999992</v>
      </c>
      <c r="G3202" t="s">
        <v>27</v>
      </c>
      <c r="H3202">
        <v>53</v>
      </c>
      <c r="I3202" t="s">
        <v>34</v>
      </c>
      <c r="J3202" s="4">
        <v>62</v>
      </c>
      <c r="K3202" s="4">
        <v>179.3</v>
      </c>
      <c r="L3202" s="4">
        <v>32.700000000000003</v>
      </c>
      <c r="M3202">
        <v>14</v>
      </c>
      <c r="N3202" t="s">
        <v>59</v>
      </c>
      <c r="O3202">
        <v>3</v>
      </c>
      <c r="P3202" s="4">
        <v>1191.3</v>
      </c>
      <c r="Q3202" t="s">
        <v>30</v>
      </c>
      <c r="R3202">
        <v>1</v>
      </c>
      <c r="S3202" t="s">
        <v>31</v>
      </c>
      <c r="T3202">
        <v>0</v>
      </c>
      <c r="U3202">
        <v>1</v>
      </c>
      <c r="V3202" t="s">
        <v>32</v>
      </c>
      <c r="W3202" t="s">
        <v>33</v>
      </c>
      <c r="X3202" s="4">
        <v>12.4</v>
      </c>
      <c r="Y3202">
        <v>12</v>
      </c>
      <c r="Z3202" s="5">
        <v>438.83</v>
      </c>
    </row>
    <row r="3203" spans="1:26">
      <c r="A3203">
        <v>3202</v>
      </c>
      <c r="B3203">
        <v>1048</v>
      </c>
      <c r="C3203" s="2">
        <v>46041</v>
      </c>
      <c r="D3203" t="s">
        <v>46</v>
      </c>
      <c r="E3203">
        <v>1</v>
      </c>
      <c r="F3203" s="3">
        <v>9.3800000000000008</v>
      </c>
      <c r="G3203" t="s">
        <v>27</v>
      </c>
      <c r="H3203">
        <v>47</v>
      </c>
      <c r="I3203" t="s">
        <v>28</v>
      </c>
      <c r="J3203" s="4">
        <v>68.599999999999994</v>
      </c>
      <c r="K3203" s="4">
        <v>203.1</v>
      </c>
      <c r="L3203" s="4">
        <v>30.2</v>
      </c>
      <c r="M3203">
        <v>13</v>
      </c>
      <c r="N3203" t="s">
        <v>59</v>
      </c>
      <c r="O3203">
        <v>3</v>
      </c>
      <c r="P3203" s="4">
        <v>1191.3</v>
      </c>
      <c r="Q3203" t="s">
        <v>30</v>
      </c>
      <c r="R3203">
        <v>1</v>
      </c>
      <c r="S3203" t="s">
        <v>31</v>
      </c>
      <c r="T3203">
        <v>0</v>
      </c>
      <c r="U3203">
        <v>1</v>
      </c>
      <c r="V3203" t="s">
        <v>32</v>
      </c>
      <c r="W3203" t="s">
        <v>33</v>
      </c>
      <c r="X3203" s="4">
        <v>11.2</v>
      </c>
      <c r="Y3203">
        <v>14</v>
      </c>
      <c r="Z3203" s="5">
        <v>302.20999999999998</v>
      </c>
    </row>
    <row r="3204" spans="1:26">
      <c r="A3204">
        <v>3203</v>
      </c>
      <c r="B3204">
        <v>1049</v>
      </c>
      <c r="C3204" s="2">
        <v>46120</v>
      </c>
      <c r="D3204" t="s">
        <v>52</v>
      </c>
      <c r="E3204">
        <v>4</v>
      </c>
      <c r="F3204" s="3">
        <v>9.4600000000000009</v>
      </c>
      <c r="G3204" t="s">
        <v>27</v>
      </c>
      <c r="H3204">
        <v>52</v>
      </c>
      <c r="I3204" t="s">
        <v>34</v>
      </c>
      <c r="J3204" s="4">
        <v>65.900000000000006</v>
      </c>
      <c r="K3204" s="4">
        <v>137.69999999999999</v>
      </c>
      <c r="L3204" s="4">
        <v>22.2</v>
      </c>
      <c r="M3204">
        <v>12</v>
      </c>
      <c r="N3204" t="s">
        <v>41</v>
      </c>
      <c r="O3204">
        <v>3</v>
      </c>
      <c r="P3204" s="4">
        <v>2342.5</v>
      </c>
      <c r="Q3204" t="s">
        <v>42</v>
      </c>
      <c r="R3204">
        <v>1</v>
      </c>
      <c r="S3204" t="s">
        <v>38</v>
      </c>
      <c r="T3204">
        <v>1</v>
      </c>
      <c r="U3204">
        <v>1</v>
      </c>
      <c r="V3204" t="s">
        <v>32</v>
      </c>
      <c r="W3204" t="s">
        <v>33</v>
      </c>
      <c r="X3204" s="4">
        <v>10</v>
      </c>
      <c r="Y3204">
        <v>10</v>
      </c>
      <c r="Z3204" s="5">
        <v>240.96</v>
      </c>
    </row>
    <row r="3205" spans="1:26">
      <c r="A3205">
        <v>3204</v>
      </c>
      <c r="B3205">
        <v>1049</v>
      </c>
      <c r="C3205" s="2">
        <v>46120</v>
      </c>
      <c r="D3205" t="s">
        <v>52</v>
      </c>
      <c r="E3205">
        <v>4</v>
      </c>
      <c r="F3205" s="3">
        <v>9.2100000000000009</v>
      </c>
      <c r="G3205" t="s">
        <v>27</v>
      </c>
      <c r="H3205">
        <v>42</v>
      </c>
      <c r="I3205" t="s">
        <v>34</v>
      </c>
      <c r="J3205" s="4">
        <v>64.5</v>
      </c>
      <c r="K3205" s="4">
        <v>142.1</v>
      </c>
      <c r="L3205" s="4">
        <v>24</v>
      </c>
      <c r="M3205">
        <v>15</v>
      </c>
      <c r="N3205" t="s">
        <v>41</v>
      </c>
      <c r="O3205">
        <v>3</v>
      </c>
      <c r="P3205" s="4">
        <v>2342.5</v>
      </c>
      <c r="Q3205" t="s">
        <v>42</v>
      </c>
      <c r="R3205">
        <v>1</v>
      </c>
      <c r="S3205" t="s">
        <v>38</v>
      </c>
      <c r="T3205">
        <v>1</v>
      </c>
      <c r="U3205">
        <v>1</v>
      </c>
      <c r="V3205" t="s">
        <v>32</v>
      </c>
      <c r="W3205" t="s">
        <v>33</v>
      </c>
      <c r="X3205" s="4">
        <v>8.1</v>
      </c>
      <c r="Y3205">
        <v>12</v>
      </c>
      <c r="Z3205" s="5">
        <v>256.60000000000002</v>
      </c>
    </row>
    <row r="3206" spans="1:26">
      <c r="A3206">
        <v>3205</v>
      </c>
      <c r="B3206">
        <v>1049</v>
      </c>
      <c r="C3206" s="2">
        <v>46120</v>
      </c>
      <c r="D3206" t="s">
        <v>52</v>
      </c>
      <c r="E3206">
        <v>4</v>
      </c>
      <c r="F3206" s="3">
        <v>9.3699999999999992</v>
      </c>
      <c r="G3206" t="s">
        <v>27</v>
      </c>
      <c r="H3206">
        <v>46</v>
      </c>
      <c r="I3206" t="s">
        <v>34</v>
      </c>
      <c r="J3206" s="4">
        <v>56</v>
      </c>
      <c r="K3206" s="4">
        <v>116.7</v>
      </c>
      <c r="L3206" s="4">
        <v>26.3</v>
      </c>
      <c r="M3206">
        <v>12</v>
      </c>
      <c r="N3206" t="s">
        <v>41</v>
      </c>
      <c r="O3206">
        <v>3</v>
      </c>
      <c r="P3206" s="4">
        <v>2342.5</v>
      </c>
      <c r="Q3206" t="s">
        <v>42</v>
      </c>
      <c r="R3206">
        <v>1</v>
      </c>
      <c r="S3206" t="s">
        <v>38</v>
      </c>
      <c r="T3206">
        <v>1</v>
      </c>
      <c r="U3206">
        <v>1</v>
      </c>
      <c r="V3206" t="s">
        <v>32</v>
      </c>
      <c r="W3206" t="s">
        <v>33</v>
      </c>
      <c r="X3206" s="4">
        <v>8.1</v>
      </c>
      <c r="Y3206">
        <v>8</v>
      </c>
      <c r="Z3206" s="5">
        <v>430.56</v>
      </c>
    </row>
    <row r="3207" spans="1:26">
      <c r="A3207">
        <v>3206</v>
      </c>
      <c r="B3207">
        <v>1050</v>
      </c>
      <c r="C3207" s="2">
        <v>46328</v>
      </c>
      <c r="D3207" t="s">
        <v>46</v>
      </c>
      <c r="E3207">
        <v>11</v>
      </c>
      <c r="F3207" s="3">
        <v>7</v>
      </c>
      <c r="G3207" t="s">
        <v>27</v>
      </c>
      <c r="H3207">
        <v>4</v>
      </c>
      <c r="I3207" t="s">
        <v>34</v>
      </c>
      <c r="J3207" s="4">
        <v>54.6</v>
      </c>
      <c r="K3207" s="4">
        <v>80.099999999999994</v>
      </c>
      <c r="L3207" s="4">
        <v>18.899999999999999</v>
      </c>
      <c r="M3207">
        <v>10</v>
      </c>
      <c r="N3207" t="s">
        <v>37</v>
      </c>
      <c r="O3207">
        <v>5</v>
      </c>
      <c r="P3207" s="4">
        <v>881.4</v>
      </c>
      <c r="Q3207" t="s">
        <v>42</v>
      </c>
      <c r="R3207">
        <v>0</v>
      </c>
      <c r="S3207" t="s">
        <v>44</v>
      </c>
      <c r="T3207">
        <v>0</v>
      </c>
      <c r="U3207">
        <v>0</v>
      </c>
      <c r="V3207" t="s">
        <v>32</v>
      </c>
      <c r="W3207" t="s">
        <v>43</v>
      </c>
      <c r="X3207" s="4">
        <v>10.4</v>
      </c>
      <c r="Y3207">
        <v>16</v>
      </c>
      <c r="Z3207" s="5">
        <v>184.4</v>
      </c>
    </row>
    <row r="3208" spans="1:26">
      <c r="A3208">
        <v>3207</v>
      </c>
      <c r="B3208">
        <v>1050</v>
      </c>
      <c r="C3208" s="2">
        <v>46328</v>
      </c>
      <c r="D3208" t="s">
        <v>46</v>
      </c>
      <c r="E3208">
        <v>11</v>
      </c>
      <c r="F3208" s="3">
        <v>7</v>
      </c>
      <c r="G3208" t="s">
        <v>27</v>
      </c>
      <c r="H3208">
        <v>42</v>
      </c>
      <c r="I3208" t="s">
        <v>28</v>
      </c>
      <c r="J3208" s="4">
        <v>70.2</v>
      </c>
      <c r="K3208" s="4">
        <v>213</v>
      </c>
      <c r="L3208" s="4">
        <v>30.6</v>
      </c>
      <c r="M3208">
        <v>16</v>
      </c>
      <c r="N3208" t="s">
        <v>37</v>
      </c>
      <c r="O3208">
        <v>5</v>
      </c>
      <c r="P3208" s="4">
        <v>881.4</v>
      </c>
      <c r="Q3208" t="s">
        <v>42</v>
      </c>
      <c r="R3208">
        <v>0</v>
      </c>
      <c r="S3208" t="s">
        <v>44</v>
      </c>
      <c r="T3208">
        <v>0</v>
      </c>
      <c r="U3208">
        <v>0</v>
      </c>
      <c r="V3208" t="s">
        <v>32</v>
      </c>
      <c r="W3208" t="s">
        <v>43</v>
      </c>
      <c r="X3208" s="4">
        <v>7.1</v>
      </c>
      <c r="Y3208">
        <v>9</v>
      </c>
      <c r="Z3208" s="5">
        <v>183.41</v>
      </c>
    </row>
    <row r="3209" spans="1:26">
      <c r="A3209">
        <v>3208</v>
      </c>
      <c r="B3209">
        <v>1050</v>
      </c>
      <c r="C3209" s="2">
        <v>46328</v>
      </c>
      <c r="D3209" t="s">
        <v>46</v>
      </c>
      <c r="E3209">
        <v>11</v>
      </c>
      <c r="F3209" s="3">
        <v>7.12</v>
      </c>
      <c r="G3209" t="s">
        <v>27</v>
      </c>
      <c r="H3209">
        <v>34</v>
      </c>
      <c r="I3209" t="s">
        <v>28</v>
      </c>
      <c r="J3209" s="4">
        <v>68.900000000000006</v>
      </c>
      <c r="K3209" s="4">
        <v>183.6</v>
      </c>
      <c r="L3209" s="4">
        <v>27.2</v>
      </c>
      <c r="M3209">
        <v>15</v>
      </c>
      <c r="N3209" t="s">
        <v>37</v>
      </c>
      <c r="O3209">
        <v>5</v>
      </c>
      <c r="P3209" s="4">
        <v>881.4</v>
      </c>
      <c r="Q3209" t="s">
        <v>42</v>
      </c>
      <c r="R3209">
        <v>0</v>
      </c>
      <c r="S3209" t="s">
        <v>44</v>
      </c>
      <c r="T3209">
        <v>0</v>
      </c>
      <c r="U3209">
        <v>0</v>
      </c>
      <c r="V3209" t="s">
        <v>32</v>
      </c>
      <c r="W3209" t="s">
        <v>43</v>
      </c>
      <c r="X3209" s="4">
        <v>7.8</v>
      </c>
      <c r="Y3209">
        <v>4</v>
      </c>
      <c r="Z3209" s="5">
        <v>260.45999999999998</v>
      </c>
    </row>
    <row r="3210" spans="1:26">
      <c r="A3210">
        <v>3209</v>
      </c>
      <c r="B3210">
        <v>1050</v>
      </c>
      <c r="C3210" s="2">
        <v>46328</v>
      </c>
      <c r="D3210" t="s">
        <v>46</v>
      </c>
      <c r="E3210">
        <v>11</v>
      </c>
      <c r="F3210" s="3">
        <v>7</v>
      </c>
      <c r="G3210" t="s">
        <v>27</v>
      </c>
      <c r="H3210">
        <v>17</v>
      </c>
      <c r="I3210" t="s">
        <v>34</v>
      </c>
      <c r="J3210" s="4">
        <v>70</v>
      </c>
      <c r="K3210" s="4">
        <v>105.9</v>
      </c>
      <c r="L3210" s="4">
        <v>15.4</v>
      </c>
      <c r="M3210">
        <v>11</v>
      </c>
      <c r="N3210" t="s">
        <v>37</v>
      </c>
      <c r="O3210">
        <v>5</v>
      </c>
      <c r="P3210" s="4">
        <v>881.4</v>
      </c>
      <c r="Q3210" t="s">
        <v>42</v>
      </c>
      <c r="R3210">
        <v>0</v>
      </c>
      <c r="S3210" t="s">
        <v>44</v>
      </c>
      <c r="T3210">
        <v>0</v>
      </c>
      <c r="U3210">
        <v>0</v>
      </c>
      <c r="V3210" t="s">
        <v>32</v>
      </c>
      <c r="W3210" t="s">
        <v>43</v>
      </c>
      <c r="X3210" s="4">
        <v>8.6999999999999993</v>
      </c>
      <c r="Y3210">
        <v>5</v>
      </c>
      <c r="Z3210" s="5">
        <v>296.79000000000002</v>
      </c>
    </row>
    <row r="3211" spans="1:26">
      <c r="A3211">
        <v>3210</v>
      </c>
      <c r="B3211">
        <v>1050</v>
      </c>
      <c r="C3211" s="2">
        <v>46328</v>
      </c>
      <c r="D3211" t="s">
        <v>46</v>
      </c>
      <c r="E3211">
        <v>11</v>
      </c>
      <c r="F3211" s="3">
        <v>7</v>
      </c>
      <c r="G3211" t="s">
        <v>27</v>
      </c>
      <c r="H3211">
        <v>55</v>
      </c>
      <c r="I3211" t="s">
        <v>28</v>
      </c>
      <c r="J3211" s="4">
        <v>67.2</v>
      </c>
      <c r="K3211" s="4">
        <v>195.1</v>
      </c>
      <c r="L3211" s="4">
        <v>30.6</v>
      </c>
      <c r="M3211">
        <v>17</v>
      </c>
      <c r="N3211" t="s">
        <v>37</v>
      </c>
      <c r="O3211">
        <v>5</v>
      </c>
      <c r="P3211" s="4">
        <v>881.4</v>
      </c>
      <c r="Q3211" t="s">
        <v>42</v>
      </c>
      <c r="R3211">
        <v>0</v>
      </c>
      <c r="S3211" t="s">
        <v>44</v>
      </c>
      <c r="T3211">
        <v>0</v>
      </c>
      <c r="U3211">
        <v>0</v>
      </c>
      <c r="V3211" t="s">
        <v>32</v>
      </c>
      <c r="W3211" t="s">
        <v>43</v>
      </c>
      <c r="X3211" s="4">
        <v>6.6</v>
      </c>
      <c r="Y3211">
        <v>2</v>
      </c>
      <c r="Z3211" s="5">
        <v>184.58</v>
      </c>
    </row>
    <row r="3212" spans="1:26">
      <c r="A3212">
        <v>3211</v>
      </c>
      <c r="B3212">
        <v>1051</v>
      </c>
      <c r="C3212" s="2">
        <v>46299</v>
      </c>
      <c r="D3212" t="s">
        <v>58</v>
      </c>
      <c r="E3212">
        <v>10</v>
      </c>
      <c r="F3212" s="3">
        <v>13.75</v>
      </c>
      <c r="G3212" t="s">
        <v>36</v>
      </c>
      <c r="H3212">
        <v>35</v>
      </c>
      <c r="I3212" t="s">
        <v>28</v>
      </c>
      <c r="J3212" s="4">
        <v>65.400000000000006</v>
      </c>
      <c r="K3212" s="4">
        <v>129.9</v>
      </c>
      <c r="L3212" s="4">
        <v>21.7</v>
      </c>
      <c r="M3212">
        <v>13</v>
      </c>
      <c r="N3212" t="s">
        <v>53</v>
      </c>
      <c r="O3212">
        <v>2</v>
      </c>
      <c r="P3212" s="4">
        <v>1204.5999999999999</v>
      </c>
      <c r="Q3212" t="s">
        <v>30</v>
      </c>
      <c r="R3212">
        <v>1</v>
      </c>
      <c r="S3212" t="s">
        <v>31</v>
      </c>
      <c r="T3212">
        <v>0</v>
      </c>
      <c r="U3212">
        <v>0</v>
      </c>
      <c r="V3212" t="s">
        <v>32</v>
      </c>
      <c r="W3212" t="s">
        <v>39</v>
      </c>
      <c r="X3212" s="4">
        <v>7.7</v>
      </c>
      <c r="Y3212">
        <v>5</v>
      </c>
      <c r="Z3212" s="5">
        <v>228.45</v>
      </c>
    </row>
    <row r="3213" spans="1:26">
      <c r="A3213">
        <v>3212</v>
      </c>
      <c r="B3213">
        <v>1051</v>
      </c>
      <c r="C3213" s="2">
        <v>46299</v>
      </c>
      <c r="D3213" t="s">
        <v>58</v>
      </c>
      <c r="E3213">
        <v>10</v>
      </c>
      <c r="F3213" s="3">
        <v>13.8</v>
      </c>
      <c r="G3213" t="s">
        <v>36</v>
      </c>
      <c r="H3213">
        <v>62</v>
      </c>
      <c r="I3213" t="s">
        <v>28</v>
      </c>
      <c r="J3213" s="4">
        <v>69.5</v>
      </c>
      <c r="K3213" s="4">
        <v>182.3</v>
      </c>
      <c r="L3213" s="4">
        <v>26.4</v>
      </c>
      <c r="M3213">
        <v>15</v>
      </c>
      <c r="N3213" t="s">
        <v>53</v>
      </c>
      <c r="O3213">
        <v>2</v>
      </c>
      <c r="P3213" s="4">
        <v>1204.5999999999999</v>
      </c>
      <c r="Q3213" t="s">
        <v>30</v>
      </c>
      <c r="R3213">
        <v>1</v>
      </c>
      <c r="S3213" t="s">
        <v>31</v>
      </c>
      <c r="T3213">
        <v>0</v>
      </c>
      <c r="U3213">
        <v>0</v>
      </c>
      <c r="V3213" t="s">
        <v>32</v>
      </c>
      <c r="W3213" t="s">
        <v>39</v>
      </c>
      <c r="X3213" s="4">
        <v>5.9</v>
      </c>
      <c r="Y3213">
        <v>4</v>
      </c>
      <c r="Z3213" s="5">
        <v>86.78</v>
      </c>
    </row>
    <row r="3214" spans="1:26">
      <c r="A3214">
        <v>3213</v>
      </c>
      <c r="B3214">
        <v>1052</v>
      </c>
      <c r="C3214" s="2">
        <v>46195</v>
      </c>
      <c r="D3214" t="s">
        <v>46</v>
      </c>
      <c r="E3214">
        <v>6</v>
      </c>
      <c r="F3214" s="3">
        <v>9.9</v>
      </c>
      <c r="G3214" t="s">
        <v>27</v>
      </c>
      <c r="H3214">
        <v>38</v>
      </c>
      <c r="I3214" t="s">
        <v>34</v>
      </c>
      <c r="J3214" s="4">
        <v>63.3</v>
      </c>
      <c r="K3214" s="4">
        <v>139.4</v>
      </c>
      <c r="L3214" s="4">
        <v>24.6</v>
      </c>
      <c r="M3214">
        <v>13</v>
      </c>
      <c r="N3214" t="s">
        <v>47</v>
      </c>
      <c r="O3214">
        <v>1</v>
      </c>
      <c r="P3214" s="4">
        <v>91.6</v>
      </c>
      <c r="Q3214" t="s">
        <v>30</v>
      </c>
      <c r="R3214">
        <v>0</v>
      </c>
      <c r="S3214" t="s">
        <v>44</v>
      </c>
      <c r="T3214">
        <v>0</v>
      </c>
      <c r="U3214">
        <v>0</v>
      </c>
      <c r="V3214" t="s">
        <v>32</v>
      </c>
      <c r="W3214" t="s">
        <v>49</v>
      </c>
      <c r="X3214" s="4">
        <v>8.4</v>
      </c>
      <c r="Y3214">
        <v>7</v>
      </c>
      <c r="Z3214" s="5">
        <v>131.08000000000001</v>
      </c>
    </row>
    <row r="3215" spans="1:26">
      <c r="A3215">
        <v>3214</v>
      </c>
      <c r="B3215">
        <v>1053</v>
      </c>
      <c r="C3215" s="2">
        <v>46318</v>
      </c>
      <c r="D3215" t="s">
        <v>26</v>
      </c>
      <c r="E3215">
        <v>10</v>
      </c>
      <c r="F3215" s="3">
        <v>10.82</v>
      </c>
      <c r="G3215" t="s">
        <v>27</v>
      </c>
      <c r="H3215">
        <v>7</v>
      </c>
      <c r="I3215" t="s">
        <v>34</v>
      </c>
      <c r="J3215" s="4">
        <v>62.1</v>
      </c>
      <c r="K3215" s="4">
        <v>104.4</v>
      </c>
      <c r="L3215" s="4">
        <v>19.2</v>
      </c>
      <c r="M3215">
        <v>15</v>
      </c>
      <c r="N3215" t="s">
        <v>60</v>
      </c>
      <c r="O3215">
        <v>2</v>
      </c>
      <c r="P3215" s="4">
        <v>1416.4</v>
      </c>
      <c r="Q3215" t="s">
        <v>48</v>
      </c>
      <c r="R3215">
        <v>1</v>
      </c>
      <c r="S3215" t="s">
        <v>44</v>
      </c>
      <c r="T3215">
        <v>1</v>
      </c>
      <c r="U3215">
        <v>0</v>
      </c>
      <c r="V3215" t="s">
        <v>32</v>
      </c>
      <c r="W3215" t="s">
        <v>49</v>
      </c>
      <c r="X3215" s="4">
        <v>11.9</v>
      </c>
      <c r="Y3215">
        <v>11</v>
      </c>
      <c r="Z3215" s="5">
        <v>234.72</v>
      </c>
    </row>
    <row r="3216" spans="1:26">
      <c r="A3216">
        <v>3215</v>
      </c>
      <c r="B3216">
        <v>1053</v>
      </c>
      <c r="C3216" s="2">
        <v>46318</v>
      </c>
      <c r="D3216" t="s">
        <v>26</v>
      </c>
      <c r="E3216">
        <v>10</v>
      </c>
      <c r="F3216" s="3">
        <v>11.06</v>
      </c>
      <c r="G3216" t="s">
        <v>36</v>
      </c>
      <c r="H3216">
        <v>4</v>
      </c>
      <c r="I3216" t="s">
        <v>28</v>
      </c>
      <c r="J3216" s="4">
        <v>51.2</v>
      </c>
      <c r="K3216" s="4">
        <v>54.6</v>
      </c>
      <c r="L3216" s="4">
        <v>14.7</v>
      </c>
      <c r="M3216">
        <v>17</v>
      </c>
      <c r="N3216" t="s">
        <v>60</v>
      </c>
      <c r="O3216">
        <v>2</v>
      </c>
      <c r="P3216" s="4">
        <v>1416.4</v>
      </c>
      <c r="Q3216" t="s">
        <v>48</v>
      </c>
      <c r="R3216">
        <v>1</v>
      </c>
      <c r="S3216" t="s">
        <v>44</v>
      </c>
      <c r="T3216">
        <v>1</v>
      </c>
      <c r="U3216">
        <v>0</v>
      </c>
      <c r="V3216" t="s">
        <v>32</v>
      </c>
      <c r="W3216" t="s">
        <v>49</v>
      </c>
      <c r="X3216" s="4">
        <v>8.4</v>
      </c>
      <c r="Y3216">
        <v>8</v>
      </c>
      <c r="Z3216" s="5">
        <v>167.22</v>
      </c>
    </row>
    <row r="3217" spans="1:26">
      <c r="A3217">
        <v>3216</v>
      </c>
      <c r="B3217">
        <v>1054</v>
      </c>
      <c r="C3217" s="2">
        <v>46046</v>
      </c>
      <c r="D3217" t="s">
        <v>40</v>
      </c>
      <c r="E3217">
        <v>1</v>
      </c>
      <c r="F3217" s="3">
        <v>7.84</v>
      </c>
      <c r="G3217" t="s">
        <v>27</v>
      </c>
      <c r="H3217">
        <v>56</v>
      </c>
      <c r="I3217" t="s">
        <v>34</v>
      </c>
      <c r="J3217" s="4">
        <v>63.8</v>
      </c>
      <c r="K3217" s="4">
        <v>155.69999999999999</v>
      </c>
      <c r="L3217" s="4">
        <v>27.2</v>
      </c>
      <c r="M3217">
        <v>16</v>
      </c>
      <c r="N3217" t="s">
        <v>47</v>
      </c>
      <c r="O3217">
        <v>2</v>
      </c>
      <c r="P3217" s="4">
        <v>77.400000000000006</v>
      </c>
      <c r="Q3217" t="s">
        <v>42</v>
      </c>
      <c r="R3217">
        <v>0</v>
      </c>
      <c r="S3217" t="s">
        <v>44</v>
      </c>
      <c r="T3217">
        <v>0</v>
      </c>
      <c r="U3217">
        <v>1</v>
      </c>
      <c r="V3217" t="s">
        <v>45</v>
      </c>
      <c r="W3217" t="s">
        <v>43</v>
      </c>
      <c r="X3217" s="4">
        <v>9</v>
      </c>
      <c r="Y3217">
        <v>9</v>
      </c>
      <c r="Z3217" s="5">
        <v>350.79</v>
      </c>
    </row>
    <row r="3218" spans="1:26">
      <c r="A3218">
        <v>3217</v>
      </c>
      <c r="B3218">
        <v>1054</v>
      </c>
      <c r="C3218" s="2">
        <v>46046</v>
      </c>
      <c r="D3218" t="s">
        <v>40</v>
      </c>
      <c r="E3218">
        <v>1</v>
      </c>
      <c r="F3218" s="3">
        <v>8.0500000000000007</v>
      </c>
      <c r="G3218" t="s">
        <v>27</v>
      </c>
      <c r="H3218">
        <v>45</v>
      </c>
      <c r="I3218" t="s">
        <v>34</v>
      </c>
      <c r="J3218" s="4">
        <v>64.7</v>
      </c>
      <c r="K3218" s="4">
        <v>162.9</v>
      </c>
      <c r="L3218" s="4">
        <v>27.2</v>
      </c>
      <c r="M3218">
        <v>18</v>
      </c>
      <c r="N3218" t="s">
        <v>47</v>
      </c>
      <c r="O3218">
        <v>2</v>
      </c>
      <c r="P3218" s="4">
        <v>77.400000000000006</v>
      </c>
      <c r="Q3218" t="s">
        <v>42</v>
      </c>
      <c r="R3218">
        <v>0</v>
      </c>
      <c r="S3218" t="s">
        <v>44</v>
      </c>
      <c r="T3218">
        <v>0</v>
      </c>
      <c r="U3218">
        <v>1</v>
      </c>
      <c r="V3218" t="s">
        <v>45</v>
      </c>
      <c r="W3218" t="s">
        <v>43</v>
      </c>
      <c r="X3218" s="4">
        <v>10.1</v>
      </c>
      <c r="Y3218">
        <v>9</v>
      </c>
      <c r="Z3218" s="5">
        <v>190.65</v>
      </c>
    </row>
    <row r="3219" spans="1:26">
      <c r="A3219">
        <v>3218</v>
      </c>
      <c r="B3219">
        <v>1055</v>
      </c>
      <c r="C3219" s="2">
        <v>46163</v>
      </c>
      <c r="D3219" t="s">
        <v>55</v>
      </c>
      <c r="E3219">
        <v>5</v>
      </c>
      <c r="F3219" s="3">
        <v>8.9600000000000009</v>
      </c>
      <c r="G3219" t="s">
        <v>27</v>
      </c>
      <c r="H3219">
        <v>22</v>
      </c>
      <c r="I3219" t="s">
        <v>34</v>
      </c>
      <c r="J3219" s="4">
        <v>60.7</v>
      </c>
      <c r="K3219" s="4">
        <v>144.69999999999999</v>
      </c>
      <c r="L3219" s="4">
        <v>27.7</v>
      </c>
      <c r="M3219">
        <v>17</v>
      </c>
      <c r="N3219" t="s">
        <v>47</v>
      </c>
      <c r="O3219">
        <v>4</v>
      </c>
      <c r="P3219" s="4">
        <v>123</v>
      </c>
      <c r="Q3219" t="s">
        <v>48</v>
      </c>
      <c r="R3219">
        <v>0</v>
      </c>
      <c r="S3219" t="s">
        <v>44</v>
      </c>
      <c r="T3219">
        <v>1</v>
      </c>
      <c r="U3219">
        <v>0</v>
      </c>
      <c r="V3219" t="s">
        <v>32</v>
      </c>
      <c r="W3219" t="s">
        <v>43</v>
      </c>
      <c r="X3219" s="4">
        <v>8.4</v>
      </c>
      <c r="Y3219">
        <v>7</v>
      </c>
      <c r="Z3219" s="5">
        <v>148.80000000000001</v>
      </c>
    </row>
    <row r="3220" spans="1:26">
      <c r="A3220">
        <v>3219</v>
      </c>
      <c r="B3220">
        <v>1055</v>
      </c>
      <c r="C3220" s="2">
        <v>46163</v>
      </c>
      <c r="D3220" t="s">
        <v>55</v>
      </c>
      <c r="E3220">
        <v>5</v>
      </c>
      <c r="F3220" s="3">
        <v>9.2100000000000009</v>
      </c>
      <c r="G3220" t="s">
        <v>27</v>
      </c>
      <c r="H3220">
        <v>36</v>
      </c>
      <c r="I3220" t="s">
        <v>28</v>
      </c>
      <c r="J3220" s="4">
        <v>70.099999999999994</v>
      </c>
      <c r="K3220" s="4">
        <v>187.6</v>
      </c>
      <c r="L3220" s="4">
        <v>27</v>
      </c>
      <c r="M3220">
        <v>18</v>
      </c>
      <c r="N3220" t="s">
        <v>47</v>
      </c>
      <c r="O3220">
        <v>4</v>
      </c>
      <c r="P3220" s="4">
        <v>123</v>
      </c>
      <c r="Q3220" t="s">
        <v>48</v>
      </c>
      <c r="R3220">
        <v>0</v>
      </c>
      <c r="S3220" t="s">
        <v>44</v>
      </c>
      <c r="T3220">
        <v>1</v>
      </c>
      <c r="U3220">
        <v>0</v>
      </c>
      <c r="V3220" t="s">
        <v>32</v>
      </c>
      <c r="W3220" t="s">
        <v>43</v>
      </c>
      <c r="X3220" s="4">
        <v>5.6</v>
      </c>
      <c r="Y3220">
        <v>6</v>
      </c>
      <c r="Z3220" s="5">
        <v>176.78</v>
      </c>
    </row>
    <row r="3221" spans="1:26">
      <c r="A3221">
        <v>3220</v>
      </c>
      <c r="B3221">
        <v>1055</v>
      </c>
      <c r="C3221" s="2">
        <v>46163</v>
      </c>
      <c r="D3221" t="s">
        <v>55</v>
      </c>
      <c r="E3221">
        <v>5</v>
      </c>
      <c r="F3221" s="3">
        <v>9.27</v>
      </c>
      <c r="G3221" t="s">
        <v>27</v>
      </c>
      <c r="H3221">
        <v>26</v>
      </c>
      <c r="I3221" t="s">
        <v>34</v>
      </c>
      <c r="J3221" s="4">
        <v>67.099999999999994</v>
      </c>
      <c r="K3221" s="4">
        <v>213.5</v>
      </c>
      <c r="L3221" s="4">
        <v>33.5</v>
      </c>
      <c r="M3221">
        <v>17</v>
      </c>
      <c r="N3221" t="s">
        <v>47</v>
      </c>
      <c r="O3221">
        <v>4</v>
      </c>
      <c r="P3221" s="4">
        <v>123</v>
      </c>
      <c r="Q3221" t="s">
        <v>48</v>
      </c>
      <c r="R3221">
        <v>0</v>
      </c>
      <c r="S3221" t="s">
        <v>44</v>
      </c>
      <c r="T3221">
        <v>1</v>
      </c>
      <c r="U3221">
        <v>0</v>
      </c>
      <c r="V3221" t="s">
        <v>32</v>
      </c>
      <c r="W3221" t="s">
        <v>43</v>
      </c>
      <c r="X3221" s="4">
        <v>7.7</v>
      </c>
      <c r="Y3221">
        <v>12</v>
      </c>
      <c r="Z3221" s="5">
        <v>172.99</v>
      </c>
    </row>
    <row r="3222" spans="1:26">
      <c r="A3222">
        <v>3221</v>
      </c>
      <c r="B3222">
        <v>1055</v>
      </c>
      <c r="C3222" s="2">
        <v>46163</v>
      </c>
      <c r="D3222" t="s">
        <v>55</v>
      </c>
      <c r="E3222">
        <v>5</v>
      </c>
      <c r="F3222" s="3">
        <v>9.06</v>
      </c>
      <c r="G3222" t="s">
        <v>27</v>
      </c>
      <c r="H3222">
        <v>70</v>
      </c>
      <c r="I3222" t="s">
        <v>34</v>
      </c>
      <c r="J3222" s="4">
        <v>63.9</v>
      </c>
      <c r="K3222" s="4">
        <v>186</v>
      </c>
      <c r="L3222" s="4">
        <v>32</v>
      </c>
      <c r="M3222">
        <v>18</v>
      </c>
      <c r="N3222" t="s">
        <v>47</v>
      </c>
      <c r="O3222">
        <v>4</v>
      </c>
      <c r="P3222" s="4">
        <v>123</v>
      </c>
      <c r="Q3222" t="s">
        <v>48</v>
      </c>
      <c r="R3222">
        <v>0</v>
      </c>
      <c r="S3222" t="s">
        <v>44</v>
      </c>
      <c r="T3222">
        <v>1</v>
      </c>
      <c r="U3222">
        <v>0</v>
      </c>
      <c r="V3222" t="s">
        <v>32</v>
      </c>
      <c r="W3222" t="s">
        <v>43</v>
      </c>
      <c r="X3222" s="4">
        <v>9.1999999999999993</v>
      </c>
      <c r="Y3222">
        <v>8</v>
      </c>
      <c r="Z3222" s="5">
        <v>173.43</v>
      </c>
    </row>
    <row r="3223" spans="1:26">
      <c r="A3223">
        <v>3222</v>
      </c>
      <c r="B3223">
        <v>1056</v>
      </c>
      <c r="C3223" s="2">
        <v>46171</v>
      </c>
      <c r="D3223" t="s">
        <v>26</v>
      </c>
      <c r="E3223">
        <v>5</v>
      </c>
      <c r="F3223" s="3">
        <v>9.75</v>
      </c>
      <c r="G3223" t="s">
        <v>27</v>
      </c>
      <c r="H3223">
        <v>44</v>
      </c>
      <c r="I3223" t="s">
        <v>28</v>
      </c>
      <c r="J3223" s="4">
        <v>69</v>
      </c>
      <c r="K3223" s="4">
        <v>138</v>
      </c>
      <c r="L3223" s="4">
        <v>20.100000000000001</v>
      </c>
      <c r="M3223">
        <v>14</v>
      </c>
      <c r="N3223" t="s">
        <v>29</v>
      </c>
      <c r="O3223">
        <v>3</v>
      </c>
      <c r="P3223" s="4">
        <v>2772.6</v>
      </c>
      <c r="Q3223" t="s">
        <v>48</v>
      </c>
      <c r="R3223">
        <v>1</v>
      </c>
      <c r="S3223" t="s">
        <v>31</v>
      </c>
      <c r="T3223">
        <v>0</v>
      </c>
      <c r="U3223">
        <v>0</v>
      </c>
      <c r="V3223" t="s">
        <v>32</v>
      </c>
      <c r="W3223" t="s">
        <v>57</v>
      </c>
      <c r="X3223" s="4">
        <v>9.5</v>
      </c>
      <c r="Y3223">
        <v>8</v>
      </c>
      <c r="Z3223" s="5">
        <v>207.6</v>
      </c>
    </row>
    <row r="3224" spans="1:26">
      <c r="A3224">
        <v>3223</v>
      </c>
      <c r="B3224">
        <v>1056</v>
      </c>
      <c r="C3224" s="2">
        <v>46171</v>
      </c>
      <c r="D3224" t="s">
        <v>26</v>
      </c>
      <c r="E3224">
        <v>5</v>
      </c>
      <c r="F3224" s="3">
        <v>9.91</v>
      </c>
      <c r="G3224" t="s">
        <v>27</v>
      </c>
      <c r="H3224">
        <v>30</v>
      </c>
      <c r="I3224" t="s">
        <v>28</v>
      </c>
      <c r="J3224" s="4">
        <v>73.3</v>
      </c>
      <c r="K3224" s="4">
        <v>240.2</v>
      </c>
      <c r="L3224" s="4">
        <v>31.5</v>
      </c>
      <c r="M3224">
        <v>18</v>
      </c>
      <c r="N3224" t="s">
        <v>29</v>
      </c>
      <c r="O3224">
        <v>3</v>
      </c>
      <c r="P3224" s="4">
        <v>2772.6</v>
      </c>
      <c r="Q3224" t="s">
        <v>48</v>
      </c>
      <c r="R3224">
        <v>1</v>
      </c>
      <c r="S3224" t="s">
        <v>31</v>
      </c>
      <c r="T3224">
        <v>0</v>
      </c>
      <c r="U3224">
        <v>0</v>
      </c>
      <c r="V3224" t="s">
        <v>32</v>
      </c>
      <c r="W3224" t="s">
        <v>57</v>
      </c>
      <c r="X3224" s="4">
        <v>5.0999999999999996</v>
      </c>
      <c r="Y3224">
        <v>3</v>
      </c>
      <c r="Z3224" s="5">
        <v>202.79</v>
      </c>
    </row>
    <row r="3225" spans="1:26">
      <c r="A3225">
        <v>3224</v>
      </c>
      <c r="B3225">
        <v>1056</v>
      </c>
      <c r="C3225" s="2">
        <v>46171</v>
      </c>
      <c r="D3225" t="s">
        <v>26</v>
      </c>
      <c r="E3225">
        <v>5</v>
      </c>
      <c r="F3225" s="3">
        <v>9.8699999999999992</v>
      </c>
      <c r="G3225" t="s">
        <v>27</v>
      </c>
      <c r="H3225">
        <v>57</v>
      </c>
      <c r="I3225" t="s">
        <v>28</v>
      </c>
      <c r="J3225" s="4">
        <v>71.3</v>
      </c>
      <c r="K3225" s="4">
        <v>193.8</v>
      </c>
      <c r="L3225" s="4">
        <v>26.8</v>
      </c>
      <c r="M3225">
        <v>20</v>
      </c>
      <c r="N3225" t="s">
        <v>29</v>
      </c>
      <c r="O3225">
        <v>3</v>
      </c>
      <c r="P3225" s="4">
        <v>2772.6</v>
      </c>
      <c r="Q3225" t="s">
        <v>48</v>
      </c>
      <c r="R3225">
        <v>1</v>
      </c>
      <c r="S3225" t="s">
        <v>31</v>
      </c>
      <c r="T3225">
        <v>0</v>
      </c>
      <c r="U3225">
        <v>0</v>
      </c>
      <c r="V3225" t="s">
        <v>32</v>
      </c>
      <c r="W3225" t="s">
        <v>57</v>
      </c>
      <c r="X3225" s="4">
        <v>9.4</v>
      </c>
      <c r="Y3225">
        <v>9</v>
      </c>
      <c r="Z3225" s="5">
        <v>227.35</v>
      </c>
    </row>
    <row r="3226" spans="1:26">
      <c r="A3226">
        <v>3225</v>
      </c>
      <c r="B3226">
        <v>1057</v>
      </c>
      <c r="C3226" s="2">
        <v>46080</v>
      </c>
      <c r="D3226" t="s">
        <v>26</v>
      </c>
      <c r="E3226">
        <v>2</v>
      </c>
      <c r="F3226" s="3">
        <v>11.73</v>
      </c>
      <c r="G3226" t="s">
        <v>36</v>
      </c>
      <c r="H3226">
        <v>35</v>
      </c>
      <c r="I3226" t="s">
        <v>34</v>
      </c>
      <c r="J3226" s="4">
        <v>69.5</v>
      </c>
      <c r="K3226" s="4">
        <v>216.1</v>
      </c>
      <c r="L3226" s="4">
        <v>31.2</v>
      </c>
      <c r="M3226">
        <v>20</v>
      </c>
      <c r="N3226" t="s">
        <v>54</v>
      </c>
      <c r="O3226">
        <v>5</v>
      </c>
      <c r="P3226" s="4">
        <v>3114.4</v>
      </c>
      <c r="Q3226" t="s">
        <v>48</v>
      </c>
      <c r="R3226">
        <v>1</v>
      </c>
      <c r="S3226" t="s">
        <v>38</v>
      </c>
      <c r="T3226">
        <v>1</v>
      </c>
      <c r="U3226">
        <v>1</v>
      </c>
      <c r="V3226" t="s">
        <v>32</v>
      </c>
      <c r="W3226" t="s">
        <v>39</v>
      </c>
      <c r="X3226" s="4">
        <v>11.9</v>
      </c>
      <c r="Y3226">
        <v>6</v>
      </c>
      <c r="Z3226" s="5">
        <v>487.55</v>
      </c>
    </row>
    <row r="3227" spans="1:26">
      <c r="A3227">
        <v>3226</v>
      </c>
      <c r="B3227">
        <v>1057</v>
      </c>
      <c r="C3227" s="2">
        <v>46080</v>
      </c>
      <c r="D3227" t="s">
        <v>26</v>
      </c>
      <c r="E3227">
        <v>2</v>
      </c>
      <c r="F3227" s="3">
        <v>11.88</v>
      </c>
      <c r="G3227" t="s">
        <v>36</v>
      </c>
      <c r="H3227">
        <v>15</v>
      </c>
      <c r="I3227" t="s">
        <v>28</v>
      </c>
      <c r="J3227" s="4">
        <v>70</v>
      </c>
      <c r="K3227" s="4">
        <v>132.69999999999999</v>
      </c>
      <c r="L3227" s="4">
        <v>19.2</v>
      </c>
      <c r="M3227">
        <v>13</v>
      </c>
      <c r="N3227" t="s">
        <v>54</v>
      </c>
      <c r="O3227">
        <v>5</v>
      </c>
      <c r="P3227" s="4">
        <v>3114.4</v>
      </c>
      <c r="Q3227" t="s">
        <v>48</v>
      </c>
      <c r="R3227">
        <v>1</v>
      </c>
      <c r="S3227" t="s">
        <v>38</v>
      </c>
      <c r="T3227">
        <v>1</v>
      </c>
      <c r="U3227">
        <v>1</v>
      </c>
      <c r="V3227" t="s">
        <v>32</v>
      </c>
      <c r="W3227" t="s">
        <v>39</v>
      </c>
      <c r="X3227" s="4">
        <v>7.8</v>
      </c>
      <c r="Y3227">
        <v>6</v>
      </c>
      <c r="Z3227" s="5">
        <v>286.08</v>
      </c>
    </row>
    <row r="3228" spans="1:26">
      <c r="A3228">
        <v>3227</v>
      </c>
      <c r="B3228">
        <v>1057</v>
      </c>
      <c r="C3228" s="2">
        <v>46080</v>
      </c>
      <c r="D3228" t="s">
        <v>26</v>
      </c>
      <c r="E3228">
        <v>2</v>
      </c>
      <c r="F3228" s="3">
        <v>12.04</v>
      </c>
      <c r="G3228" t="s">
        <v>36</v>
      </c>
      <c r="H3228">
        <v>38</v>
      </c>
      <c r="I3228" t="s">
        <v>28</v>
      </c>
      <c r="J3228" s="4">
        <v>69.900000000000006</v>
      </c>
      <c r="K3228" s="4">
        <v>202.3</v>
      </c>
      <c r="L3228" s="4">
        <v>29.2</v>
      </c>
      <c r="M3228">
        <v>18</v>
      </c>
      <c r="N3228" t="s">
        <v>54</v>
      </c>
      <c r="O3228">
        <v>5</v>
      </c>
      <c r="P3228" s="4">
        <v>3114.4</v>
      </c>
      <c r="Q3228" t="s">
        <v>48</v>
      </c>
      <c r="R3228">
        <v>1</v>
      </c>
      <c r="S3228" t="s">
        <v>38</v>
      </c>
      <c r="T3228">
        <v>1</v>
      </c>
      <c r="U3228">
        <v>1</v>
      </c>
      <c r="V3228" t="s">
        <v>32</v>
      </c>
      <c r="W3228" t="s">
        <v>39</v>
      </c>
      <c r="X3228" s="4">
        <v>8</v>
      </c>
      <c r="Y3228">
        <v>6</v>
      </c>
      <c r="Z3228" s="5">
        <v>427.04</v>
      </c>
    </row>
    <row r="3229" spans="1:26">
      <c r="A3229">
        <v>3228</v>
      </c>
      <c r="B3229">
        <v>1057</v>
      </c>
      <c r="C3229" s="2">
        <v>46080</v>
      </c>
      <c r="D3229" t="s">
        <v>26</v>
      </c>
      <c r="E3229">
        <v>2</v>
      </c>
      <c r="F3229" s="3">
        <v>11.8</v>
      </c>
      <c r="G3229" t="s">
        <v>36</v>
      </c>
      <c r="H3229">
        <v>63</v>
      </c>
      <c r="I3229" t="s">
        <v>28</v>
      </c>
      <c r="J3229" s="4">
        <v>69.099999999999994</v>
      </c>
      <c r="K3229" s="4">
        <v>151.6</v>
      </c>
      <c r="L3229" s="4">
        <v>22.6</v>
      </c>
      <c r="M3229">
        <v>20</v>
      </c>
      <c r="N3229" t="s">
        <v>54</v>
      </c>
      <c r="O3229">
        <v>5</v>
      </c>
      <c r="P3229" s="4">
        <v>3114.4</v>
      </c>
      <c r="Q3229" t="s">
        <v>48</v>
      </c>
      <c r="R3229">
        <v>1</v>
      </c>
      <c r="S3229" t="s">
        <v>38</v>
      </c>
      <c r="T3229">
        <v>1</v>
      </c>
      <c r="U3229">
        <v>1</v>
      </c>
      <c r="V3229" t="s">
        <v>32</v>
      </c>
      <c r="W3229" t="s">
        <v>39</v>
      </c>
      <c r="X3229" s="4">
        <v>10.1</v>
      </c>
      <c r="Y3229">
        <v>12</v>
      </c>
      <c r="Z3229" s="5">
        <v>364.91</v>
      </c>
    </row>
    <row r="3230" spans="1:26">
      <c r="A3230">
        <v>3229</v>
      </c>
      <c r="B3230">
        <v>1057</v>
      </c>
      <c r="C3230" s="2">
        <v>46080</v>
      </c>
      <c r="D3230" t="s">
        <v>26</v>
      </c>
      <c r="E3230">
        <v>2</v>
      </c>
      <c r="F3230" s="3">
        <v>12.1</v>
      </c>
      <c r="G3230" t="s">
        <v>36</v>
      </c>
      <c r="H3230">
        <v>48</v>
      </c>
      <c r="I3230" t="s">
        <v>28</v>
      </c>
      <c r="J3230" s="4">
        <v>68.7</v>
      </c>
      <c r="K3230" s="4">
        <v>122.6</v>
      </c>
      <c r="L3230" s="4">
        <v>18.2</v>
      </c>
      <c r="M3230">
        <v>19</v>
      </c>
      <c r="N3230" t="s">
        <v>54</v>
      </c>
      <c r="O3230">
        <v>5</v>
      </c>
      <c r="P3230" s="4">
        <v>3114.4</v>
      </c>
      <c r="Q3230" t="s">
        <v>48</v>
      </c>
      <c r="R3230">
        <v>1</v>
      </c>
      <c r="S3230" t="s">
        <v>38</v>
      </c>
      <c r="T3230">
        <v>1</v>
      </c>
      <c r="U3230">
        <v>1</v>
      </c>
      <c r="V3230" t="s">
        <v>32</v>
      </c>
      <c r="W3230" t="s">
        <v>39</v>
      </c>
      <c r="X3230" s="4">
        <v>10.199999999999999</v>
      </c>
      <c r="Y3230">
        <v>15</v>
      </c>
      <c r="Z3230" s="5">
        <v>397.99</v>
      </c>
    </row>
    <row r="3231" spans="1:26">
      <c r="A3231">
        <v>3230</v>
      </c>
      <c r="B3231">
        <v>1058</v>
      </c>
      <c r="C3231" s="2">
        <v>46026</v>
      </c>
      <c r="D3231" t="s">
        <v>58</v>
      </c>
      <c r="E3231">
        <v>1</v>
      </c>
      <c r="F3231" s="3">
        <v>9.07</v>
      </c>
      <c r="G3231" t="s">
        <v>27</v>
      </c>
      <c r="H3231">
        <v>62</v>
      </c>
      <c r="I3231" t="s">
        <v>34</v>
      </c>
      <c r="J3231" s="4">
        <v>63.9</v>
      </c>
      <c r="K3231" s="4">
        <v>157.30000000000001</v>
      </c>
      <c r="L3231" s="4">
        <v>27.1</v>
      </c>
      <c r="M3231">
        <v>12</v>
      </c>
      <c r="N3231" t="s">
        <v>47</v>
      </c>
      <c r="O3231">
        <v>3</v>
      </c>
      <c r="P3231" s="4">
        <v>55.6</v>
      </c>
      <c r="Q3231" t="s">
        <v>30</v>
      </c>
      <c r="R3231">
        <v>1</v>
      </c>
      <c r="S3231" t="s">
        <v>31</v>
      </c>
      <c r="T3231">
        <v>1</v>
      </c>
      <c r="U3231">
        <v>0</v>
      </c>
      <c r="V3231" t="s">
        <v>32</v>
      </c>
      <c r="W3231" t="s">
        <v>39</v>
      </c>
      <c r="X3231" s="4">
        <v>10.6</v>
      </c>
      <c r="Y3231">
        <v>8</v>
      </c>
      <c r="Z3231" s="5">
        <v>276.76</v>
      </c>
    </row>
    <row r="3232" spans="1:26">
      <c r="A3232">
        <v>3231</v>
      </c>
      <c r="B3232">
        <v>1058</v>
      </c>
      <c r="C3232" s="2">
        <v>46026</v>
      </c>
      <c r="D3232" t="s">
        <v>58</v>
      </c>
      <c r="E3232">
        <v>1</v>
      </c>
      <c r="F3232" s="3">
        <v>9.0399999999999991</v>
      </c>
      <c r="G3232" t="s">
        <v>27</v>
      </c>
      <c r="H3232">
        <v>27</v>
      </c>
      <c r="I3232" t="s">
        <v>34</v>
      </c>
      <c r="J3232" s="4">
        <v>65.7</v>
      </c>
      <c r="K3232" s="4">
        <v>164.2</v>
      </c>
      <c r="L3232" s="4">
        <v>26.8</v>
      </c>
      <c r="M3232">
        <v>11</v>
      </c>
      <c r="N3232" t="s">
        <v>47</v>
      </c>
      <c r="O3232">
        <v>3</v>
      </c>
      <c r="P3232" s="4">
        <v>55.6</v>
      </c>
      <c r="Q3232" t="s">
        <v>30</v>
      </c>
      <c r="R3232">
        <v>1</v>
      </c>
      <c r="S3232" t="s">
        <v>31</v>
      </c>
      <c r="T3232">
        <v>1</v>
      </c>
      <c r="U3232">
        <v>0</v>
      </c>
      <c r="V3232" t="s">
        <v>32</v>
      </c>
      <c r="W3232" t="s">
        <v>39</v>
      </c>
      <c r="X3232" s="4">
        <v>8</v>
      </c>
      <c r="Y3232">
        <v>10</v>
      </c>
      <c r="Z3232" s="5">
        <v>238.15</v>
      </c>
    </row>
    <row r="3233" spans="1:26">
      <c r="A3233">
        <v>3232</v>
      </c>
      <c r="B3233">
        <v>1058</v>
      </c>
      <c r="C3233" s="2">
        <v>46026</v>
      </c>
      <c r="D3233" t="s">
        <v>58</v>
      </c>
      <c r="E3233">
        <v>1</v>
      </c>
      <c r="F3233" s="3">
        <v>8.99</v>
      </c>
      <c r="G3233" t="s">
        <v>27</v>
      </c>
      <c r="H3233">
        <v>53</v>
      </c>
      <c r="I3233" t="s">
        <v>28</v>
      </c>
      <c r="J3233" s="4">
        <v>68.5</v>
      </c>
      <c r="K3233" s="4">
        <v>153.9</v>
      </c>
      <c r="L3233" s="4">
        <v>23</v>
      </c>
      <c r="M3233">
        <v>16</v>
      </c>
      <c r="N3233" t="s">
        <v>47</v>
      </c>
      <c r="O3233">
        <v>3</v>
      </c>
      <c r="P3233" s="4">
        <v>55.6</v>
      </c>
      <c r="Q3233" t="s">
        <v>30</v>
      </c>
      <c r="R3233">
        <v>1</v>
      </c>
      <c r="S3233" t="s">
        <v>31</v>
      </c>
      <c r="T3233">
        <v>1</v>
      </c>
      <c r="U3233">
        <v>0</v>
      </c>
      <c r="V3233" t="s">
        <v>32</v>
      </c>
      <c r="W3233" t="s">
        <v>39</v>
      </c>
      <c r="X3233" s="4">
        <v>7.8</v>
      </c>
      <c r="Y3233">
        <v>6</v>
      </c>
      <c r="Z3233" s="5">
        <v>250.27</v>
      </c>
    </row>
    <row r="3234" spans="1:26">
      <c r="A3234">
        <v>3233</v>
      </c>
      <c r="B3234">
        <v>1059</v>
      </c>
      <c r="C3234" s="2">
        <v>46187</v>
      </c>
      <c r="D3234" t="s">
        <v>58</v>
      </c>
      <c r="E3234">
        <v>6</v>
      </c>
      <c r="F3234" s="3">
        <v>9.25</v>
      </c>
      <c r="G3234" t="s">
        <v>27</v>
      </c>
      <c r="H3234">
        <v>69</v>
      </c>
      <c r="I3234" t="s">
        <v>28</v>
      </c>
      <c r="J3234" s="4">
        <v>69.099999999999994</v>
      </c>
      <c r="K3234" s="4">
        <v>170</v>
      </c>
      <c r="L3234" s="4">
        <v>25.2</v>
      </c>
      <c r="M3234">
        <v>17</v>
      </c>
      <c r="N3234" t="s">
        <v>47</v>
      </c>
      <c r="O3234">
        <v>2</v>
      </c>
      <c r="P3234" s="4">
        <v>60.8</v>
      </c>
      <c r="Q3234" t="s">
        <v>48</v>
      </c>
      <c r="R3234">
        <v>0</v>
      </c>
      <c r="S3234" t="s">
        <v>31</v>
      </c>
      <c r="T3234">
        <v>1</v>
      </c>
      <c r="U3234">
        <v>0</v>
      </c>
      <c r="V3234" t="s">
        <v>32</v>
      </c>
      <c r="W3234" t="s">
        <v>43</v>
      </c>
      <c r="X3234" s="4">
        <v>7.4</v>
      </c>
      <c r="Y3234">
        <v>2</v>
      </c>
      <c r="Z3234" s="5">
        <v>225.11</v>
      </c>
    </row>
    <row r="3235" spans="1:26">
      <c r="A3235">
        <v>3234</v>
      </c>
      <c r="B3235">
        <v>1059</v>
      </c>
      <c r="C3235" s="2">
        <v>46187</v>
      </c>
      <c r="D3235" t="s">
        <v>58</v>
      </c>
      <c r="E3235">
        <v>6</v>
      </c>
      <c r="F3235" s="3">
        <v>9.5</v>
      </c>
      <c r="G3235" t="s">
        <v>27</v>
      </c>
      <c r="H3235">
        <v>73</v>
      </c>
      <c r="I3235" t="s">
        <v>28</v>
      </c>
      <c r="J3235" s="4">
        <v>68.2</v>
      </c>
      <c r="K3235" s="4">
        <v>153.80000000000001</v>
      </c>
      <c r="L3235" s="4">
        <v>23.3</v>
      </c>
      <c r="M3235">
        <v>20</v>
      </c>
      <c r="N3235" t="s">
        <v>47</v>
      </c>
      <c r="O3235">
        <v>2</v>
      </c>
      <c r="P3235" s="4">
        <v>60.8</v>
      </c>
      <c r="Q3235" t="s">
        <v>48</v>
      </c>
      <c r="R3235">
        <v>0</v>
      </c>
      <c r="S3235" t="s">
        <v>31</v>
      </c>
      <c r="T3235">
        <v>1</v>
      </c>
      <c r="U3235">
        <v>0</v>
      </c>
      <c r="V3235" t="s">
        <v>32</v>
      </c>
      <c r="W3235" t="s">
        <v>43</v>
      </c>
      <c r="X3235" s="4">
        <v>8.8000000000000007</v>
      </c>
      <c r="Y3235">
        <v>9</v>
      </c>
      <c r="Z3235" s="5">
        <v>208.3</v>
      </c>
    </row>
    <row r="3236" spans="1:26">
      <c r="A3236">
        <v>3235</v>
      </c>
      <c r="B3236">
        <v>1060</v>
      </c>
      <c r="C3236" s="2">
        <v>46177</v>
      </c>
      <c r="D3236" t="s">
        <v>55</v>
      </c>
      <c r="E3236">
        <v>6</v>
      </c>
      <c r="F3236" s="3">
        <v>9.59</v>
      </c>
      <c r="G3236" t="s">
        <v>27</v>
      </c>
      <c r="H3236">
        <v>39</v>
      </c>
      <c r="I3236" t="s">
        <v>34</v>
      </c>
      <c r="J3236" s="4">
        <v>60.6</v>
      </c>
      <c r="K3236" s="4">
        <v>155.6</v>
      </c>
      <c r="L3236" s="4">
        <v>30</v>
      </c>
      <c r="M3236">
        <v>15</v>
      </c>
      <c r="N3236" t="s">
        <v>47</v>
      </c>
      <c r="O3236">
        <v>3</v>
      </c>
      <c r="P3236" s="4">
        <v>151.1</v>
      </c>
      <c r="Q3236" t="s">
        <v>42</v>
      </c>
      <c r="R3236">
        <v>0</v>
      </c>
      <c r="S3236" t="s">
        <v>44</v>
      </c>
      <c r="T3236">
        <v>0</v>
      </c>
      <c r="U3236">
        <v>0</v>
      </c>
      <c r="V3236" t="s">
        <v>32</v>
      </c>
      <c r="W3236" t="s">
        <v>43</v>
      </c>
      <c r="X3236" s="4">
        <v>9.1</v>
      </c>
      <c r="Y3236">
        <v>8</v>
      </c>
      <c r="Z3236" s="5">
        <v>157.03</v>
      </c>
    </row>
    <row r="3237" spans="1:26">
      <c r="A3237">
        <v>3236</v>
      </c>
      <c r="B3237">
        <v>1060</v>
      </c>
      <c r="C3237" s="2">
        <v>46177</v>
      </c>
      <c r="D3237" t="s">
        <v>55</v>
      </c>
      <c r="E3237">
        <v>6</v>
      </c>
      <c r="F3237" s="3">
        <v>9.75</v>
      </c>
      <c r="G3237" t="s">
        <v>27</v>
      </c>
      <c r="H3237">
        <v>66</v>
      </c>
      <c r="I3237" t="s">
        <v>28</v>
      </c>
      <c r="J3237" s="4">
        <v>67.3</v>
      </c>
      <c r="K3237" s="4">
        <v>160.6</v>
      </c>
      <c r="L3237" s="4">
        <v>24.7</v>
      </c>
      <c r="M3237">
        <v>15</v>
      </c>
      <c r="N3237" t="s">
        <v>47</v>
      </c>
      <c r="O3237">
        <v>3</v>
      </c>
      <c r="P3237" s="4">
        <v>151.1</v>
      </c>
      <c r="Q3237" t="s">
        <v>42</v>
      </c>
      <c r="R3237">
        <v>0</v>
      </c>
      <c r="S3237" t="s">
        <v>44</v>
      </c>
      <c r="T3237">
        <v>0</v>
      </c>
      <c r="U3237">
        <v>0</v>
      </c>
      <c r="V3237" t="s">
        <v>32</v>
      </c>
      <c r="W3237" t="s">
        <v>43</v>
      </c>
      <c r="X3237" s="4">
        <v>9.3000000000000007</v>
      </c>
      <c r="Y3237">
        <v>5</v>
      </c>
      <c r="Z3237" s="5">
        <v>130.5</v>
      </c>
    </row>
    <row r="3238" spans="1:26">
      <c r="A3238">
        <v>3237</v>
      </c>
      <c r="B3238">
        <v>1060</v>
      </c>
      <c r="C3238" s="2">
        <v>46177</v>
      </c>
      <c r="D3238" t="s">
        <v>55</v>
      </c>
      <c r="E3238">
        <v>6</v>
      </c>
      <c r="F3238" s="3">
        <v>9.52</v>
      </c>
      <c r="G3238" t="s">
        <v>27</v>
      </c>
      <c r="H3238">
        <v>51</v>
      </c>
      <c r="I3238" t="s">
        <v>28</v>
      </c>
      <c r="J3238" s="4">
        <v>72.099999999999994</v>
      </c>
      <c r="K3238" s="4">
        <v>263.7</v>
      </c>
      <c r="L3238" s="4">
        <v>35.700000000000003</v>
      </c>
      <c r="M3238">
        <v>20</v>
      </c>
      <c r="N3238" t="s">
        <v>47</v>
      </c>
      <c r="O3238">
        <v>3</v>
      </c>
      <c r="P3238" s="4">
        <v>151.1</v>
      </c>
      <c r="Q3238" t="s">
        <v>42</v>
      </c>
      <c r="R3238">
        <v>0</v>
      </c>
      <c r="S3238" t="s">
        <v>44</v>
      </c>
      <c r="T3238">
        <v>0</v>
      </c>
      <c r="U3238">
        <v>0</v>
      </c>
      <c r="V3238" t="s">
        <v>32</v>
      </c>
      <c r="W3238" t="s">
        <v>43</v>
      </c>
      <c r="X3238" s="4">
        <v>3.3</v>
      </c>
      <c r="Y3238">
        <v>3</v>
      </c>
      <c r="Z3238" s="5">
        <v>263.27</v>
      </c>
    </row>
    <row r="3239" spans="1:26">
      <c r="A3239">
        <v>3238</v>
      </c>
      <c r="B3239">
        <v>1061</v>
      </c>
      <c r="C3239" s="2">
        <v>46062</v>
      </c>
      <c r="D3239" t="s">
        <v>46</v>
      </c>
      <c r="E3239">
        <v>2</v>
      </c>
      <c r="F3239" s="3">
        <v>9.6999999999999993</v>
      </c>
      <c r="G3239" t="s">
        <v>27</v>
      </c>
      <c r="H3239">
        <v>54</v>
      </c>
      <c r="I3239" t="s">
        <v>34</v>
      </c>
      <c r="J3239" s="4">
        <v>66.900000000000006</v>
      </c>
      <c r="K3239" s="4">
        <v>202.7</v>
      </c>
      <c r="L3239" s="4">
        <v>31.8</v>
      </c>
      <c r="M3239">
        <v>17</v>
      </c>
      <c r="N3239" t="s">
        <v>47</v>
      </c>
      <c r="O3239">
        <v>3</v>
      </c>
      <c r="P3239" s="4">
        <v>187.6</v>
      </c>
      <c r="Q3239" t="s">
        <v>42</v>
      </c>
      <c r="R3239">
        <v>0</v>
      </c>
      <c r="S3239" t="s">
        <v>38</v>
      </c>
      <c r="T3239">
        <v>0</v>
      </c>
      <c r="U3239">
        <v>0</v>
      </c>
      <c r="V3239" t="s">
        <v>32</v>
      </c>
      <c r="W3239" t="s">
        <v>39</v>
      </c>
      <c r="X3239" s="4">
        <v>6</v>
      </c>
      <c r="Y3239">
        <v>6</v>
      </c>
      <c r="Z3239" s="5">
        <v>196.06</v>
      </c>
    </row>
    <row r="3240" spans="1:26">
      <c r="A3240">
        <v>3239</v>
      </c>
      <c r="B3240">
        <v>1061</v>
      </c>
      <c r="C3240" s="2">
        <v>46062</v>
      </c>
      <c r="D3240" t="s">
        <v>46</v>
      </c>
      <c r="E3240">
        <v>2</v>
      </c>
      <c r="F3240" s="3">
        <v>9.6300000000000008</v>
      </c>
      <c r="G3240" t="s">
        <v>27</v>
      </c>
      <c r="H3240">
        <v>35</v>
      </c>
      <c r="I3240" t="s">
        <v>28</v>
      </c>
      <c r="J3240" s="4">
        <v>71.5</v>
      </c>
      <c r="K3240" s="4">
        <v>193</v>
      </c>
      <c r="L3240" s="4">
        <v>26.6</v>
      </c>
      <c r="M3240">
        <v>17</v>
      </c>
      <c r="N3240" t="s">
        <v>47</v>
      </c>
      <c r="O3240">
        <v>3</v>
      </c>
      <c r="P3240" s="4">
        <v>187.6</v>
      </c>
      <c r="Q3240" t="s">
        <v>42</v>
      </c>
      <c r="R3240">
        <v>0</v>
      </c>
      <c r="S3240" t="s">
        <v>38</v>
      </c>
      <c r="T3240">
        <v>0</v>
      </c>
      <c r="U3240">
        <v>0</v>
      </c>
      <c r="V3240" t="s">
        <v>32</v>
      </c>
      <c r="W3240" t="s">
        <v>39</v>
      </c>
      <c r="X3240" s="4">
        <v>7.2</v>
      </c>
      <c r="Y3240">
        <v>6</v>
      </c>
      <c r="Z3240" s="5">
        <v>207.91</v>
      </c>
    </row>
    <row r="3241" spans="1:26">
      <c r="A3241">
        <v>3240</v>
      </c>
      <c r="B3241">
        <v>1061</v>
      </c>
      <c r="C3241" s="2">
        <v>46062</v>
      </c>
      <c r="D3241" t="s">
        <v>46</v>
      </c>
      <c r="E3241">
        <v>2</v>
      </c>
      <c r="F3241" s="3">
        <v>9.75</v>
      </c>
      <c r="G3241" t="s">
        <v>27</v>
      </c>
      <c r="H3241">
        <v>61</v>
      </c>
      <c r="I3241" t="s">
        <v>28</v>
      </c>
      <c r="J3241" s="4">
        <v>64.5</v>
      </c>
      <c r="K3241" s="4">
        <v>134.1</v>
      </c>
      <c r="L3241" s="4">
        <v>22.7</v>
      </c>
      <c r="M3241">
        <v>18</v>
      </c>
      <c r="N3241" t="s">
        <v>47</v>
      </c>
      <c r="O3241">
        <v>3</v>
      </c>
      <c r="P3241" s="4">
        <v>187.6</v>
      </c>
      <c r="Q3241" t="s">
        <v>42</v>
      </c>
      <c r="R3241">
        <v>0</v>
      </c>
      <c r="S3241" t="s">
        <v>38</v>
      </c>
      <c r="T3241">
        <v>0</v>
      </c>
      <c r="U3241">
        <v>0</v>
      </c>
      <c r="V3241" t="s">
        <v>32</v>
      </c>
      <c r="W3241" t="s">
        <v>39</v>
      </c>
      <c r="X3241" s="4">
        <v>7.3</v>
      </c>
      <c r="Y3241">
        <v>10</v>
      </c>
      <c r="Z3241" s="5">
        <v>189.28</v>
      </c>
    </row>
    <row r="3242" spans="1:26">
      <c r="A3242">
        <v>3241</v>
      </c>
      <c r="B3242">
        <v>1062</v>
      </c>
      <c r="C3242" s="2">
        <v>46223</v>
      </c>
      <c r="D3242" t="s">
        <v>46</v>
      </c>
      <c r="E3242">
        <v>7</v>
      </c>
      <c r="F3242" s="3">
        <v>13.56</v>
      </c>
      <c r="G3242" t="s">
        <v>36</v>
      </c>
      <c r="H3242">
        <v>3</v>
      </c>
      <c r="I3242" t="s">
        <v>34</v>
      </c>
      <c r="J3242" s="4">
        <v>53.2</v>
      </c>
      <c r="K3242" s="4">
        <v>56.8</v>
      </c>
      <c r="L3242" s="4">
        <v>14.2</v>
      </c>
      <c r="M3242">
        <v>11</v>
      </c>
      <c r="N3242" t="s">
        <v>61</v>
      </c>
      <c r="O3242">
        <v>2</v>
      </c>
      <c r="P3242" s="4">
        <v>1162.5</v>
      </c>
      <c r="Q3242" t="s">
        <v>42</v>
      </c>
      <c r="R3242">
        <v>1</v>
      </c>
      <c r="S3242" t="s">
        <v>44</v>
      </c>
      <c r="T3242">
        <v>1</v>
      </c>
      <c r="U3242">
        <v>0</v>
      </c>
      <c r="V3242" t="s">
        <v>32</v>
      </c>
      <c r="W3242" t="s">
        <v>49</v>
      </c>
      <c r="X3242" s="4">
        <v>6.9</v>
      </c>
      <c r="Y3242">
        <v>10</v>
      </c>
      <c r="Z3242" s="5">
        <v>142.19</v>
      </c>
    </row>
    <row r="3243" spans="1:26">
      <c r="A3243">
        <v>3242</v>
      </c>
      <c r="B3243">
        <v>1062</v>
      </c>
      <c r="C3243" s="2">
        <v>46223</v>
      </c>
      <c r="D3243" t="s">
        <v>46</v>
      </c>
      <c r="E3243">
        <v>7</v>
      </c>
      <c r="F3243" s="3">
        <v>13.36</v>
      </c>
      <c r="G3243" t="s">
        <v>36</v>
      </c>
      <c r="H3243">
        <v>63</v>
      </c>
      <c r="I3243" t="s">
        <v>34</v>
      </c>
      <c r="J3243" s="4">
        <v>65.400000000000006</v>
      </c>
      <c r="K3243" s="4">
        <v>142.1</v>
      </c>
      <c r="L3243" s="4">
        <v>22.9</v>
      </c>
      <c r="M3243">
        <v>17</v>
      </c>
      <c r="N3243" t="s">
        <v>61</v>
      </c>
      <c r="O3243">
        <v>2</v>
      </c>
      <c r="P3243" s="4">
        <v>1162.5</v>
      </c>
      <c r="Q3243" t="s">
        <v>42</v>
      </c>
      <c r="R3243">
        <v>1</v>
      </c>
      <c r="S3243" t="s">
        <v>44</v>
      </c>
      <c r="T3243">
        <v>1</v>
      </c>
      <c r="U3243">
        <v>0</v>
      </c>
      <c r="V3243" t="s">
        <v>32</v>
      </c>
      <c r="W3243" t="s">
        <v>49</v>
      </c>
      <c r="X3243" s="4">
        <v>9.1999999999999993</v>
      </c>
      <c r="Y3243">
        <v>9</v>
      </c>
      <c r="Z3243" s="5">
        <v>243.6</v>
      </c>
    </row>
    <row r="3244" spans="1:26">
      <c r="A3244">
        <v>3243</v>
      </c>
      <c r="B3244">
        <v>1063</v>
      </c>
      <c r="C3244" s="2">
        <v>46100</v>
      </c>
      <c r="D3244" t="s">
        <v>55</v>
      </c>
      <c r="E3244">
        <v>3</v>
      </c>
      <c r="F3244" s="3">
        <v>12.28</v>
      </c>
      <c r="G3244" t="s">
        <v>36</v>
      </c>
      <c r="H3244">
        <v>61</v>
      </c>
      <c r="I3244" t="s">
        <v>34</v>
      </c>
      <c r="J3244" s="4">
        <v>65.400000000000006</v>
      </c>
      <c r="K3244" s="4">
        <v>189</v>
      </c>
      <c r="L3244" s="4">
        <v>31</v>
      </c>
      <c r="M3244">
        <v>12</v>
      </c>
      <c r="N3244" t="s">
        <v>59</v>
      </c>
      <c r="O3244">
        <v>2</v>
      </c>
      <c r="P3244" s="4">
        <v>740.9</v>
      </c>
      <c r="Q3244" t="s">
        <v>30</v>
      </c>
      <c r="R3244">
        <v>0</v>
      </c>
      <c r="S3244" t="s">
        <v>31</v>
      </c>
      <c r="T3244">
        <v>0</v>
      </c>
      <c r="U3244">
        <v>1</v>
      </c>
      <c r="V3244" t="s">
        <v>32</v>
      </c>
      <c r="W3244" t="s">
        <v>33</v>
      </c>
      <c r="X3244" s="4">
        <v>8.9</v>
      </c>
      <c r="Y3244">
        <v>9</v>
      </c>
      <c r="Z3244" s="5">
        <v>220.82</v>
      </c>
    </row>
    <row r="3245" spans="1:26">
      <c r="A3245">
        <v>3244</v>
      </c>
      <c r="B3245">
        <v>1063</v>
      </c>
      <c r="C3245" s="2">
        <v>46100</v>
      </c>
      <c r="D3245" t="s">
        <v>55</v>
      </c>
      <c r="E3245">
        <v>3</v>
      </c>
      <c r="F3245" s="3">
        <v>12.36</v>
      </c>
      <c r="G3245" t="s">
        <v>36</v>
      </c>
      <c r="H3245">
        <v>21</v>
      </c>
      <c r="I3245" t="s">
        <v>34</v>
      </c>
      <c r="J3245" s="4">
        <v>67</v>
      </c>
      <c r="K3245" s="4">
        <v>136.19999999999999</v>
      </c>
      <c r="L3245" s="4">
        <v>21</v>
      </c>
      <c r="M3245">
        <v>10</v>
      </c>
      <c r="N3245" t="s">
        <v>59</v>
      </c>
      <c r="O3245">
        <v>2</v>
      </c>
      <c r="P3245" s="4">
        <v>740.9</v>
      </c>
      <c r="Q3245" t="s">
        <v>30</v>
      </c>
      <c r="R3245">
        <v>0</v>
      </c>
      <c r="S3245" t="s">
        <v>31</v>
      </c>
      <c r="T3245">
        <v>0</v>
      </c>
      <c r="U3245">
        <v>1</v>
      </c>
      <c r="V3245" t="s">
        <v>32</v>
      </c>
      <c r="W3245" t="s">
        <v>33</v>
      </c>
      <c r="X3245" s="4">
        <v>7.7</v>
      </c>
      <c r="Y3245">
        <v>10</v>
      </c>
      <c r="Z3245" s="5">
        <v>168.9</v>
      </c>
    </row>
    <row r="3246" spans="1:26">
      <c r="A3246">
        <v>3245</v>
      </c>
      <c r="B3246">
        <v>1064</v>
      </c>
      <c r="C3246" s="2">
        <v>46102</v>
      </c>
      <c r="D3246" t="s">
        <v>40</v>
      </c>
      <c r="E3246">
        <v>3</v>
      </c>
      <c r="F3246" s="3">
        <v>7.26</v>
      </c>
      <c r="G3246" t="s">
        <v>27</v>
      </c>
      <c r="H3246">
        <v>5</v>
      </c>
      <c r="I3246" t="s">
        <v>28</v>
      </c>
      <c r="J3246" s="4">
        <v>61.6</v>
      </c>
      <c r="K3246" s="4">
        <v>129.6</v>
      </c>
      <c r="L3246" s="4">
        <v>23.9</v>
      </c>
      <c r="M3246">
        <v>15</v>
      </c>
      <c r="N3246" t="s">
        <v>47</v>
      </c>
      <c r="O3246">
        <v>1</v>
      </c>
      <c r="P3246" s="4">
        <v>98.2</v>
      </c>
      <c r="Q3246" t="s">
        <v>42</v>
      </c>
      <c r="R3246">
        <v>0</v>
      </c>
      <c r="S3246" t="s">
        <v>44</v>
      </c>
      <c r="T3246">
        <v>1</v>
      </c>
      <c r="U3246">
        <v>0</v>
      </c>
      <c r="V3246" t="s">
        <v>32</v>
      </c>
      <c r="W3246" t="s">
        <v>43</v>
      </c>
      <c r="X3246" s="4">
        <v>8.6999999999999993</v>
      </c>
      <c r="Y3246">
        <v>6</v>
      </c>
      <c r="Z3246" s="5">
        <v>274.39</v>
      </c>
    </row>
    <row r="3247" spans="1:26">
      <c r="A3247">
        <v>3246</v>
      </c>
      <c r="B3247">
        <v>1065</v>
      </c>
      <c r="C3247" s="2">
        <v>46102</v>
      </c>
      <c r="D3247" t="s">
        <v>40</v>
      </c>
      <c r="E3247">
        <v>3</v>
      </c>
      <c r="F3247" s="3">
        <v>10.09</v>
      </c>
      <c r="G3247" t="s">
        <v>27</v>
      </c>
      <c r="H3247">
        <v>40</v>
      </c>
      <c r="I3247" t="s">
        <v>34</v>
      </c>
      <c r="J3247" s="4">
        <v>60.8</v>
      </c>
      <c r="K3247" s="4">
        <v>167.5</v>
      </c>
      <c r="L3247" s="4">
        <v>31.9</v>
      </c>
      <c r="M3247">
        <v>14</v>
      </c>
      <c r="N3247" t="s">
        <v>47</v>
      </c>
      <c r="O3247">
        <v>4</v>
      </c>
      <c r="P3247" s="4">
        <v>67.8</v>
      </c>
      <c r="Q3247" t="s">
        <v>42</v>
      </c>
      <c r="R3247">
        <v>1</v>
      </c>
      <c r="S3247" t="s">
        <v>44</v>
      </c>
      <c r="T3247">
        <v>0</v>
      </c>
      <c r="U3247">
        <v>0</v>
      </c>
      <c r="V3247" t="s">
        <v>32</v>
      </c>
      <c r="W3247" t="s">
        <v>49</v>
      </c>
      <c r="X3247" s="4">
        <v>8.1999999999999993</v>
      </c>
      <c r="Y3247">
        <v>7</v>
      </c>
      <c r="Z3247" s="5">
        <v>208.06</v>
      </c>
    </row>
    <row r="3248" spans="1:26">
      <c r="A3248">
        <v>3247</v>
      </c>
      <c r="B3248">
        <v>1065</v>
      </c>
      <c r="C3248" s="2">
        <v>46102</v>
      </c>
      <c r="D3248" t="s">
        <v>40</v>
      </c>
      <c r="E3248">
        <v>3</v>
      </c>
      <c r="F3248" s="3">
        <v>9.84</v>
      </c>
      <c r="G3248" t="s">
        <v>27</v>
      </c>
      <c r="H3248">
        <v>53</v>
      </c>
      <c r="I3248" t="s">
        <v>34</v>
      </c>
      <c r="J3248" s="4">
        <v>63</v>
      </c>
      <c r="K3248" s="4">
        <v>200.2</v>
      </c>
      <c r="L3248" s="4">
        <v>35.700000000000003</v>
      </c>
      <c r="M3248">
        <v>14</v>
      </c>
      <c r="N3248" t="s">
        <v>47</v>
      </c>
      <c r="O3248">
        <v>4</v>
      </c>
      <c r="P3248" s="4">
        <v>67.8</v>
      </c>
      <c r="Q3248" t="s">
        <v>42</v>
      </c>
      <c r="R3248">
        <v>1</v>
      </c>
      <c r="S3248" t="s">
        <v>44</v>
      </c>
      <c r="T3248">
        <v>0</v>
      </c>
      <c r="U3248">
        <v>0</v>
      </c>
      <c r="V3248" t="s">
        <v>32</v>
      </c>
      <c r="W3248" t="s">
        <v>49</v>
      </c>
      <c r="X3248" s="4">
        <v>12.3</v>
      </c>
      <c r="Y3248">
        <v>9</v>
      </c>
      <c r="Z3248" s="5">
        <v>274.27999999999997</v>
      </c>
    </row>
    <row r="3249" spans="1:26">
      <c r="A3249">
        <v>3248</v>
      </c>
      <c r="B3249">
        <v>1065</v>
      </c>
      <c r="C3249" s="2">
        <v>46102</v>
      </c>
      <c r="D3249" t="s">
        <v>40</v>
      </c>
      <c r="E3249">
        <v>3</v>
      </c>
      <c r="F3249" s="3">
        <v>9.8800000000000008</v>
      </c>
      <c r="G3249" t="s">
        <v>27</v>
      </c>
      <c r="H3249">
        <v>26</v>
      </c>
      <c r="I3249" t="s">
        <v>28</v>
      </c>
      <c r="J3249" s="4">
        <v>71.3</v>
      </c>
      <c r="K3249" s="4">
        <v>192.3</v>
      </c>
      <c r="L3249" s="4">
        <v>26.5</v>
      </c>
      <c r="M3249">
        <v>18</v>
      </c>
      <c r="N3249" t="s">
        <v>47</v>
      </c>
      <c r="O3249">
        <v>4</v>
      </c>
      <c r="P3249" s="4">
        <v>67.8</v>
      </c>
      <c r="Q3249" t="s">
        <v>42</v>
      </c>
      <c r="R3249">
        <v>1</v>
      </c>
      <c r="S3249" t="s">
        <v>44</v>
      </c>
      <c r="T3249">
        <v>0</v>
      </c>
      <c r="U3249">
        <v>0</v>
      </c>
      <c r="V3249" t="s">
        <v>32</v>
      </c>
      <c r="W3249" t="s">
        <v>49</v>
      </c>
      <c r="X3249" s="4">
        <v>10.199999999999999</v>
      </c>
      <c r="Y3249">
        <v>17</v>
      </c>
      <c r="Z3249" s="5">
        <v>260.02999999999997</v>
      </c>
    </row>
    <row r="3250" spans="1:26">
      <c r="A3250">
        <v>3249</v>
      </c>
      <c r="B3250">
        <v>1065</v>
      </c>
      <c r="C3250" s="2">
        <v>46102</v>
      </c>
      <c r="D3250" t="s">
        <v>40</v>
      </c>
      <c r="E3250">
        <v>3</v>
      </c>
      <c r="F3250" s="3">
        <v>10.25</v>
      </c>
      <c r="G3250" t="s">
        <v>27</v>
      </c>
      <c r="H3250">
        <v>37</v>
      </c>
      <c r="I3250" t="s">
        <v>34</v>
      </c>
      <c r="J3250" s="4">
        <v>67.3</v>
      </c>
      <c r="K3250" s="4">
        <v>183.3</v>
      </c>
      <c r="L3250" s="4">
        <v>28.4</v>
      </c>
      <c r="M3250">
        <v>16</v>
      </c>
      <c r="N3250" t="s">
        <v>47</v>
      </c>
      <c r="O3250">
        <v>4</v>
      </c>
      <c r="P3250" s="4">
        <v>67.8</v>
      </c>
      <c r="Q3250" t="s">
        <v>42</v>
      </c>
      <c r="R3250">
        <v>1</v>
      </c>
      <c r="S3250" t="s">
        <v>44</v>
      </c>
      <c r="T3250">
        <v>0</v>
      </c>
      <c r="U3250">
        <v>0</v>
      </c>
      <c r="V3250" t="s">
        <v>32</v>
      </c>
      <c r="W3250" t="s">
        <v>49</v>
      </c>
      <c r="X3250" s="4">
        <v>9.3000000000000007</v>
      </c>
      <c r="Y3250">
        <v>7</v>
      </c>
      <c r="Z3250" s="5">
        <v>147.47999999999999</v>
      </c>
    </row>
    <row r="3251" spans="1:26">
      <c r="A3251">
        <v>3250</v>
      </c>
      <c r="B3251">
        <v>1066</v>
      </c>
      <c r="C3251" s="2">
        <v>46117</v>
      </c>
      <c r="D3251" t="s">
        <v>58</v>
      </c>
      <c r="E3251">
        <v>4</v>
      </c>
      <c r="F3251" s="3">
        <v>11.74</v>
      </c>
      <c r="G3251" t="s">
        <v>36</v>
      </c>
      <c r="H3251">
        <v>64</v>
      </c>
      <c r="I3251" t="s">
        <v>28</v>
      </c>
      <c r="J3251" s="4">
        <v>68.599999999999994</v>
      </c>
      <c r="K3251" s="4">
        <v>187.2</v>
      </c>
      <c r="L3251" s="4">
        <v>27.8</v>
      </c>
      <c r="M3251">
        <v>17</v>
      </c>
      <c r="N3251" t="s">
        <v>61</v>
      </c>
      <c r="O3251">
        <v>3</v>
      </c>
      <c r="P3251" s="4">
        <v>1504.9</v>
      </c>
      <c r="Q3251" t="s">
        <v>42</v>
      </c>
      <c r="R3251">
        <v>0</v>
      </c>
      <c r="S3251" t="s">
        <v>44</v>
      </c>
      <c r="T3251">
        <v>0</v>
      </c>
      <c r="U3251">
        <v>0</v>
      </c>
      <c r="V3251" t="s">
        <v>32</v>
      </c>
      <c r="W3251" t="s">
        <v>43</v>
      </c>
      <c r="X3251" s="4">
        <v>7.1</v>
      </c>
      <c r="Y3251">
        <v>6</v>
      </c>
      <c r="Z3251" s="5">
        <v>239.05</v>
      </c>
    </row>
    <row r="3252" spans="1:26">
      <c r="A3252">
        <v>3251</v>
      </c>
      <c r="B3252">
        <v>1066</v>
      </c>
      <c r="C3252" s="2">
        <v>46117</v>
      </c>
      <c r="D3252" t="s">
        <v>58</v>
      </c>
      <c r="E3252">
        <v>4</v>
      </c>
      <c r="F3252" s="3">
        <v>11.6</v>
      </c>
      <c r="G3252" t="s">
        <v>36</v>
      </c>
      <c r="H3252">
        <v>42</v>
      </c>
      <c r="I3252" t="s">
        <v>28</v>
      </c>
      <c r="J3252" s="4">
        <v>74.099999999999994</v>
      </c>
      <c r="K3252" s="4">
        <v>230.9</v>
      </c>
      <c r="L3252" s="4">
        <v>29.6</v>
      </c>
      <c r="M3252">
        <v>16</v>
      </c>
      <c r="N3252" t="s">
        <v>61</v>
      </c>
      <c r="O3252">
        <v>3</v>
      </c>
      <c r="P3252" s="4">
        <v>1504.9</v>
      </c>
      <c r="Q3252" t="s">
        <v>42</v>
      </c>
      <c r="R3252">
        <v>0</v>
      </c>
      <c r="S3252" t="s">
        <v>44</v>
      </c>
      <c r="T3252">
        <v>0</v>
      </c>
      <c r="U3252">
        <v>0</v>
      </c>
      <c r="V3252" t="s">
        <v>32</v>
      </c>
      <c r="W3252" t="s">
        <v>43</v>
      </c>
      <c r="X3252" s="4">
        <v>7.3</v>
      </c>
      <c r="Y3252">
        <v>5</v>
      </c>
      <c r="Z3252" s="5">
        <v>121.92</v>
      </c>
    </row>
    <row r="3253" spans="1:26">
      <c r="A3253">
        <v>3252</v>
      </c>
      <c r="B3253">
        <v>1066</v>
      </c>
      <c r="C3253" s="2">
        <v>46117</v>
      </c>
      <c r="D3253" t="s">
        <v>58</v>
      </c>
      <c r="E3253">
        <v>4</v>
      </c>
      <c r="F3253" s="3">
        <v>11.59</v>
      </c>
      <c r="G3253" t="s">
        <v>36</v>
      </c>
      <c r="H3253">
        <v>26</v>
      </c>
      <c r="I3253" t="s">
        <v>28</v>
      </c>
      <c r="J3253" s="4">
        <v>65.900000000000006</v>
      </c>
      <c r="K3253" s="4">
        <v>128.30000000000001</v>
      </c>
      <c r="L3253" s="4">
        <v>20.7</v>
      </c>
      <c r="M3253">
        <v>14</v>
      </c>
      <c r="N3253" t="s">
        <v>61</v>
      </c>
      <c r="O3253">
        <v>3</v>
      </c>
      <c r="P3253" s="4">
        <v>1504.9</v>
      </c>
      <c r="Q3253" t="s">
        <v>42</v>
      </c>
      <c r="R3253">
        <v>0</v>
      </c>
      <c r="S3253" t="s">
        <v>44</v>
      </c>
      <c r="T3253">
        <v>0</v>
      </c>
      <c r="U3253">
        <v>0</v>
      </c>
      <c r="V3253" t="s">
        <v>32</v>
      </c>
      <c r="W3253" t="s">
        <v>43</v>
      </c>
      <c r="X3253" s="4">
        <v>8.9</v>
      </c>
      <c r="Y3253">
        <v>12</v>
      </c>
      <c r="Z3253" s="5">
        <v>238.51</v>
      </c>
    </row>
    <row r="3254" spans="1:26">
      <c r="A3254">
        <v>3253</v>
      </c>
      <c r="B3254">
        <v>1067</v>
      </c>
      <c r="C3254" s="2">
        <v>46353</v>
      </c>
      <c r="D3254" t="s">
        <v>26</v>
      </c>
      <c r="E3254">
        <v>11</v>
      </c>
      <c r="F3254" s="3">
        <v>12.98</v>
      </c>
      <c r="G3254" t="s">
        <v>36</v>
      </c>
      <c r="H3254">
        <v>32</v>
      </c>
      <c r="I3254" t="s">
        <v>34</v>
      </c>
      <c r="J3254" s="4">
        <v>67.400000000000006</v>
      </c>
      <c r="K3254" s="4">
        <v>155.4</v>
      </c>
      <c r="L3254" s="4">
        <v>24</v>
      </c>
      <c r="M3254">
        <v>16</v>
      </c>
      <c r="N3254" t="s">
        <v>60</v>
      </c>
      <c r="O3254">
        <v>2</v>
      </c>
      <c r="P3254" s="4">
        <v>1524.8</v>
      </c>
      <c r="Q3254" t="s">
        <v>42</v>
      </c>
      <c r="R3254">
        <v>1</v>
      </c>
      <c r="S3254" t="s">
        <v>44</v>
      </c>
      <c r="T3254">
        <v>0</v>
      </c>
      <c r="U3254">
        <v>1</v>
      </c>
      <c r="V3254" t="s">
        <v>32</v>
      </c>
      <c r="W3254" t="s">
        <v>39</v>
      </c>
      <c r="X3254" s="4">
        <v>9.5</v>
      </c>
      <c r="Y3254">
        <v>9</v>
      </c>
      <c r="Z3254" s="5">
        <v>234.9</v>
      </c>
    </row>
    <row r="3255" spans="1:26">
      <c r="A3255">
        <v>3254</v>
      </c>
      <c r="B3255">
        <v>1067</v>
      </c>
      <c r="C3255" s="2">
        <v>46353</v>
      </c>
      <c r="D3255" t="s">
        <v>26</v>
      </c>
      <c r="E3255">
        <v>11</v>
      </c>
      <c r="F3255" s="3">
        <v>13.12</v>
      </c>
      <c r="G3255" t="s">
        <v>36</v>
      </c>
      <c r="H3255">
        <v>9</v>
      </c>
      <c r="I3255" t="s">
        <v>34</v>
      </c>
      <c r="J3255" s="4">
        <v>65.5</v>
      </c>
      <c r="K3255" s="4">
        <v>138</v>
      </c>
      <c r="L3255" s="4">
        <v>22.8</v>
      </c>
      <c r="M3255">
        <v>11</v>
      </c>
      <c r="N3255" t="s">
        <v>60</v>
      </c>
      <c r="O3255">
        <v>2</v>
      </c>
      <c r="P3255" s="4">
        <v>1524.8</v>
      </c>
      <c r="Q3255" t="s">
        <v>42</v>
      </c>
      <c r="R3255">
        <v>1</v>
      </c>
      <c r="S3255" t="s">
        <v>44</v>
      </c>
      <c r="T3255">
        <v>0</v>
      </c>
      <c r="U3255">
        <v>1</v>
      </c>
      <c r="V3255" t="s">
        <v>32</v>
      </c>
      <c r="W3255" t="s">
        <v>39</v>
      </c>
      <c r="X3255" s="4">
        <v>9</v>
      </c>
      <c r="Y3255">
        <v>7</v>
      </c>
      <c r="Z3255" s="5">
        <v>170.25</v>
      </c>
    </row>
    <row r="3256" spans="1:26">
      <c r="A3256">
        <v>3255</v>
      </c>
      <c r="B3256">
        <v>1068</v>
      </c>
      <c r="C3256" s="2">
        <v>46108</v>
      </c>
      <c r="D3256" t="s">
        <v>26</v>
      </c>
      <c r="E3256">
        <v>3</v>
      </c>
      <c r="F3256" s="3">
        <v>9.77</v>
      </c>
      <c r="G3256" t="s">
        <v>27</v>
      </c>
      <c r="H3256">
        <v>9</v>
      </c>
      <c r="I3256" t="s">
        <v>34</v>
      </c>
      <c r="J3256" s="4">
        <v>65</v>
      </c>
      <c r="K3256" s="4">
        <v>128</v>
      </c>
      <c r="L3256" s="4">
        <v>21.5</v>
      </c>
      <c r="M3256">
        <v>10</v>
      </c>
      <c r="N3256" t="s">
        <v>54</v>
      </c>
      <c r="O3256">
        <v>3</v>
      </c>
      <c r="P3256" s="4">
        <v>1389.5</v>
      </c>
      <c r="Q3256" t="s">
        <v>48</v>
      </c>
      <c r="R3256">
        <v>1</v>
      </c>
      <c r="S3256" t="s">
        <v>31</v>
      </c>
      <c r="T3256">
        <v>1</v>
      </c>
      <c r="U3256">
        <v>0</v>
      </c>
      <c r="V3256" t="s">
        <v>32</v>
      </c>
      <c r="W3256" t="s">
        <v>57</v>
      </c>
      <c r="X3256" s="4">
        <v>7.4</v>
      </c>
      <c r="Y3256">
        <v>10</v>
      </c>
      <c r="Z3256" s="5">
        <v>243.22</v>
      </c>
    </row>
    <row r="3257" spans="1:26">
      <c r="A3257">
        <v>3256</v>
      </c>
      <c r="B3257">
        <v>1068</v>
      </c>
      <c r="C3257" s="2">
        <v>46108</v>
      </c>
      <c r="D3257" t="s">
        <v>26</v>
      </c>
      <c r="E3257">
        <v>3</v>
      </c>
      <c r="F3257" s="3">
        <v>9.9600000000000009</v>
      </c>
      <c r="G3257" t="s">
        <v>27</v>
      </c>
      <c r="H3257">
        <v>25</v>
      </c>
      <c r="I3257" t="s">
        <v>34</v>
      </c>
      <c r="J3257" s="4">
        <v>62</v>
      </c>
      <c r="K3257" s="4">
        <v>143.69999999999999</v>
      </c>
      <c r="L3257" s="4">
        <v>26.4</v>
      </c>
      <c r="M3257">
        <v>17</v>
      </c>
      <c r="N3257" t="s">
        <v>54</v>
      </c>
      <c r="O3257">
        <v>3</v>
      </c>
      <c r="P3257" s="4">
        <v>1389.5</v>
      </c>
      <c r="Q3257" t="s">
        <v>48</v>
      </c>
      <c r="R3257">
        <v>1</v>
      </c>
      <c r="S3257" t="s">
        <v>31</v>
      </c>
      <c r="T3257">
        <v>1</v>
      </c>
      <c r="U3257">
        <v>0</v>
      </c>
      <c r="V3257" t="s">
        <v>32</v>
      </c>
      <c r="W3257" t="s">
        <v>57</v>
      </c>
      <c r="X3257" s="4">
        <v>5.7</v>
      </c>
      <c r="Y3257">
        <v>10</v>
      </c>
      <c r="Z3257" s="5">
        <v>217.94</v>
      </c>
    </row>
    <row r="3258" spans="1:26">
      <c r="A3258">
        <v>3257</v>
      </c>
      <c r="B3258">
        <v>1068</v>
      </c>
      <c r="C3258" s="2">
        <v>46108</v>
      </c>
      <c r="D3258" t="s">
        <v>26</v>
      </c>
      <c r="E3258">
        <v>3</v>
      </c>
      <c r="F3258" s="3">
        <v>9.67</v>
      </c>
      <c r="G3258" t="s">
        <v>27</v>
      </c>
      <c r="H3258">
        <v>52</v>
      </c>
      <c r="I3258" t="s">
        <v>28</v>
      </c>
      <c r="J3258" s="4">
        <v>70.3</v>
      </c>
      <c r="K3258" s="4">
        <v>231.2</v>
      </c>
      <c r="L3258" s="4">
        <v>32.700000000000003</v>
      </c>
      <c r="M3258">
        <v>19</v>
      </c>
      <c r="N3258" t="s">
        <v>54</v>
      </c>
      <c r="O3258">
        <v>3</v>
      </c>
      <c r="P3258" s="4">
        <v>1389.5</v>
      </c>
      <c r="Q3258" t="s">
        <v>48</v>
      </c>
      <c r="R3258">
        <v>1</v>
      </c>
      <c r="S3258" t="s">
        <v>31</v>
      </c>
      <c r="T3258">
        <v>1</v>
      </c>
      <c r="U3258">
        <v>0</v>
      </c>
      <c r="V3258" t="s">
        <v>32</v>
      </c>
      <c r="W3258" t="s">
        <v>57</v>
      </c>
      <c r="X3258" s="4">
        <v>9.4</v>
      </c>
      <c r="Y3258">
        <v>9</v>
      </c>
      <c r="Z3258" s="5">
        <v>339.31</v>
      </c>
    </row>
    <row r="3259" spans="1:26">
      <c r="A3259">
        <v>3258</v>
      </c>
      <c r="B3259">
        <v>1069</v>
      </c>
      <c r="C3259" s="2">
        <v>46383</v>
      </c>
      <c r="D3259" t="s">
        <v>58</v>
      </c>
      <c r="E3259">
        <v>12</v>
      </c>
      <c r="F3259" s="3">
        <v>8.93</v>
      </c>
      <c r="G3259" t="s">
        <v>27</v>
      </c>
      <c r="H3259">
        <v>28</v>
      </c>
      <c r="I3259" t="s">
        <v>28</v>
      </c>
      <c r="J3259" s="4">
        <v>70.400000000000006</v>
      </c>
      <c r="K3259" s="4">
        <v>200.9</v>
      </c>
      <c r="L3259" s="4">
        <v>28.4</v>
      </c>
      <c r="M3259">
        <v>15</v>
      </c>
      <c r="N3259" t="s">
        <v>37</v>
      </c>
      <c r="O3259">
        <v>4</v>
      </c>
      <c r="P3259" s="4">
        <v>1181.3</v>
      </c>
      <c r="Q3259" t="s">
        <v>42</v>
      </c>
      <c r="R3259">
        <v>0</v>
      </c>
      <c r="S3259" t="s">
        <v>31</v>
      </c>
      <c r="T3259">
        <v>0</v>
      </c>
      <c r="U3259">
        <v>0</v>
      </c>
      <c r="V3259" t="s">
        <v>32</v>
      </c>
      <c r="W3259" t="s">
        <v>49</v>
      </c>
      <c r="X3259" s="4">
        <v>8.1</v>
      </c>
      <c r="Y3259">
        <v>6</v>
      </c>
      <c r="Z3259" s="5">
        <v>127.7</v>
      </c>
    </row>
    <row r="3260" spans="1:26">
      <c r="A3260">
        <v>3259</v>
      </c>
      <c r="B3260">
        <v>1069</v>
      </c>
      <c r="C3260" s="2">
        <v>46383</v>
      </c>
      <c r="D3260" t="s">
        <v>58</v>
      </c>
      <c r="E3260">
        <v>12</v>
      </c>
      <c r="F3260" s="3">
        <v>9.06</v>
      </c>
      <c r="G3260" t="s">
        <v>27</v>
      </c>
      <c r="H3260">
        <v>18</v>
      </c>
      <c r="I3260" t="s">
        <v>34</v>
      </c>
      <c r="J3260" s="4">
        <v>61.1</v>
      </c>
      <c r="K3260" s="4">
        <v>124.8</v>
      </c>
      <c r="L3260" s="4">
        <v>23.6</v>
      </c>
      <c r="M3260">
        <v>11</v>
      </c>
      <c r="N3260" t="s">
        <v>37</v>
      </c>
      <c r="O3260">
        <v>4</v>
      </c>
      <c r="P3260" s="4">
        <v>1181.3</v>
      </c>
      <c r="Q3260" t="s">
        <v>42</v>
      </c>
      <c r="R3260">
        <v>0</v>
      </c>
      <c r="S3260" t="s">
        <v>31</v>
      </c>
      <c r="T3260">
        <v>0</v>
      </c>
      <c r="U3260">
        <v>0</v>
      </c>
      <c r="V3260" t="s">
        <v>32</v>
      </c>
      <c r="W3260" t="s">
        <v>49</v>
      </c>
      <c r="X3260" s="4">
        <v>6.6</v>
      </c>
      <c r="Y3260">
        <v>1</v>
      </c>
      <c r="Z3260" s="5">
        <v>153.87</v>
      </c>
    </row>
    <row r="3261" spans="1:26">
      <c r="A3261">
        <v>3260</v>
      </c>
      <c r="B3261">
        <v>1069</v>
      </c>
      <c r="C3261" s="2">
        <v>46383</v>
      </c>
      <c r="D3261" t="s">
        <v>58</v>
      </c>
      <c r="E3261">
        <v>12</v>
      </c>
      <c r="F3261" s="3">
        <v>8.9600000000000009</v>
      </c>
      <c r="G3261" t="s">
        <v>27</v>
      </c>
      <c r="H3261">
        <v>27</v>
      </c>
      <c r="I3261" t="s">
        <v>28</v>
      </c>
      <c r="J3261" s="4">
        <v>69.400000000000006</v>
      </c>
      <c r="K3261" s="4">
        <v>217.9</v>
      </c>
      <c r="L3261" s="4">
        <v>31.8</v>
      </c>
      <c r="M3261">
        <v>14</v>
      </c>
      <c r="N3261" t="s">
        <v>37</v>
      </c>
      <c r="O3261">
        <v>4</v>
      </c>
      <c r="P3261" s="4">
        <v>1181.3</v>
      </c>
      <c r="Q3261" t="s">
        <v>42</v>
      </c>
      <c r="R3261">
        <v>0</v>
      </c>
      <c r="S3261" t="s">
        <v>31</v>
      </c>
      <c r="T3261">
        <v>0</v>
      </c>
      <c r="U3261">
        <v>0</v>
      </c>
      <c r="V3261" t="s">
        <v>32</v>
      </c>
      <c r="W3261" t="s">
        <v>49</v>
      </c>
      <c r="X3261" s="4">
        <v>8.9</v>
      </c>
      <c r="Y3261">
        <v>8</v>
      </c>
      <c r="Z3261" s="5">
        <v>233.61</v>
      </c>
    </row>
    <row r="3262" spans="1:26">
      <c r="A3262">
        <v>3261</v>
      </c>
      <c r="B3262">
        <v>1069</v>
      </c>
      <c r="C3262" s="2">
        <v>46383</v>
      </c>
      <c r="D3262" t="s">
        <v>58</v>
      </c>
      <c r="E3262">
        <v>12</v>
      </c>
      <c r="F3262" s="3">
        <v>8.8800000000000008</v>
      </c>
      <c r="G3262" t="s">
        <v>27</v>
      </c>
      <c r="H3262">
        <v>28</v>
      </c>
      <c r="I3262" t="s">
        <v>34</v>
      </c>
      <c r="J3262" s="4">
        <v>66.599999999999994</v>
      </c>
      <c r="K3262" s="4">
        <v>150.19999999999999</v>
      </c>
      <c r="L3262" s="4">
        <v>23.8</v>
      </c>
      <c r="M3262">
        <v>16</v>
      </c>
      <c r="N3262" t="s">
        <v>37</v>
      </c>
      <c r="O3262">
        <v>4</v>
      </c>
      <c r="P3262" s="4">
        <v>1181.3</v>
      </c>
      <c r="Q3262" t="s">
        <v>42</v>
      </c>
      <c r="R3262">
        <v>0</v>
      </c>
      <c r="S3262" t="s">
        <v>31</v>
      </c>
      <c r="T3262">
        <v>0</v>
      </c>
      <c r="U3262">
        <v>0</v>
      </c>
      <c r="V3262" t="s">
        <v>32</v>
      </c>
      <c r="W3262" t="s">
        <v>49</v>
      </c>
      <c r="X3262" s="4">
        <v>6.9</v>
      </c>
      <c r="Y3262">
        <v>4</v>
      </c>
      <c r="Z3262" s="5">
        <v>179.71</v>
      </c>
    </row>
    <row r="3263" spans="1:26">
      <c r="A3263">
        <v>3262</v>
      </c>
      <c r="B3263">
        <v>1070</v>
      </c>
      <c r="C3263" s="2">
        <v>46118</v>
      </c>
      <c r="D3263" t="s">
        <v>46</v>
      </c>
      <c r="E3263">
        <v>4</v>
      </c>
      <c r="F3263" s="3">
        <v>9.9499999999999993</v>
      </c>
      <c r="G3263" t="s">
        <v>27</v>
      </c>
      <c r="H3263">
        <v>56</v>
      </c>
      <c r="I3263" t="s">
        <v>28</v>
      </c>
      <c r="J3263" s="4">
        <v>73.599999999999994</v>
      </c>
      <c r="K3263" s="4">
        <v>184.6</v>
      </c>
      <c r="L3263" s="4">
        <v>24</v>
      </c>
      <c r="M3263">
        <v>15</v>
      </c>
      <c r="N3263" t="s">
        <v>37</v>
      </c>
      <c r="O3263">
        <v>3</v>
      </c>
      <c r="P3263" s="4">
        <v>1061.3</v>
      </c>
      <c r="Q3263" t="s">
        <v>42</v>
      </c>
      <c r="R3263">
        <v>0</v>
      </c>
      <c r="S3263" t="s">
        <v>44</v>
      </c>
      <c r="T3263">
        <v>1</v>
      </c>
      <c r="U3263">
        <v>1</v>
      </c>
      <c r="V3263" t="s">
        <v>32</v>
      </c>
      <c r="W3263" t="s">
        <v>33</v>
      </c>
      <c r="X3263" s="4">
        <v>8</v>
      </c>
      <c r="Y3263">
        <v>17</v>
      </c>
      <c r="Z3263" s="5">
        <v>205.07</v>
      </c>
    </row>
    <row r="3264" spans="1:26">
      <c r="A3264">
        <v>3263</v>
      </c>
      <c r="B3264">
        <v>1070</v>
      </c>
      <c r="C3264" s="2">
        <v>46118</v>
      </c>
      <c r="D3264" t="s">
        <v>46</v>
      </c>
      <c r="E3264">
        <v>4</v>
      </c>
      <c r="F3264" s="3">
        <v>10.06</v>
      </c>
      <c r="G3264" t="s">
        <v>27</v>
      </c>
      <c r="H3264">
        <v>64</v>
      </c>
      <c r="I3264" t="s">
        <v>28</v>
      </c>
      <c r="J3264" s="4">
        <v>72.2</v>
      </c>
      <c r="K3264" s="4">
        <v>190</v>
      </c>
      <c r="L3264" s="4">
        <v>25.6</v>
      </c>
      <c r="M3264">
        <v>17</v>
      </c>
      <c r="N3264" t="s">
        <v>37</v>
      </c>
      <c r="O3264">
        <v>3</v>
      </c>
      <c r="P3264" s="4">
        <v>1061.3</v>
      </c>
      <c r="Q3264" t="s">
        <v>42</v>
      </c>
      <c r="R3264">
        <v>0</v>
      </c>
      <c r="S3264" t="s">
        <v>44</v>
      </c>
      <c r="T3264">
        <v>1</v>
      </c>
      <c r="U3264">
        <v>1</v>
      </c>
      <c r="V3264" t="s">
        <v>32</v>
      </c>
      <c r="W3264" t="s">
        <v>33</v>
      </c>
      <c r="X3264" s="4">
        <v>8.5</v>
      </c>
      <c r="Y3264">
        <v>8</v>
      </c>
      <c r="Z3264" s="5">
        <v>204.44</v>
      </c>
    </row>
    <row r="3265" spans="1:26">
      <c r="A3265">
        <v>3264</v>
      </c>
      <c r="B3265">
        <v>1070</v>
      </c>
      <c r="C3265" s="2">
        <v>46118</v>
      </c>
      <c r="D3265" t="s">
        <v>46</v>
      </c>
      <c r="E3265">
        <v>4</v>
      </c>
      <c r="F3265" s="3">
        <v>10</v>
      </c>
      <c r="G3265" t="s">
        <v>27</v>
      </c>
      <c r="H3265">
        <v>11</v>
      </c>
      <c r="I3265" t="s">
        <v>34</v>
      </c>
      <c r="J3265" s="4">
        <v>65.3</v>
      </c>
      <c r="K3265" s="4">
        <v>134.6</v>
      </c>
      <c r="L3265" s="4">
        <v>22.2</v>
      </c>
      <c r="M3265">
        <v>12</v>
      </c>
      <c r="N3265" t="s">
        <v>37</v>
      </c>
      <c r="O3265">
        <v>3</v>
      </c>
      <c r="P3265" s="4">
        <v>1061.3</v>
      </c>
      <c r="Q3265" t="s">
        <v>42</v>
      </c>
      <c r="R3265">
        <v>0</v>
      </c>
      <c r="S3265" t="s">
        <v>44</v>
      </c>
      <c r="T3265">
        <v>1</v>
      </c>
      <c r="U3265">
        <v>1</v>
      </c>
      <c r="V3265" t="s">
        <v>32</v>
      </c>
      <c r="W3265" t="s">
        <v>33</v>
      </c>
      <c r="X3265" s="4">
        <v>8.4</v>
      </c>
      <c r="Y3265">
        <v>8</v>
      </c>
      <c r="Z3265" s="5">
        <v>341.79</v>
      </c>
    </row>
    <row r="3266" spans="1:26">
      <c r="A3266">
        <v>3265</v>
      </c>
      <c r="B3266">
        <v>1071</v>
      </c>
      <c r="C3266" s="2">
        <v>46372</v>
      </c>
      <c r="D3266" t="s">
        <v>52</v>
      </c>
      <c r="E3266">
        <v>12</v>
      </c>
      <c r="F3266" s="3">
        <v>9.1999999999999993</v>
      </c>
      <c r="G3266" t="s">
        <v>27</v>
      </c>
      <c r="H3266">
        <v>31</v>
      </c>
      <c r="I3266" t="s">
        <v>28</v>
      </c>
      <c r="J3266" s="4">
        <v>74.900000000000006</v>
      </c>
      <c r="K3266" s="4">
        <v>222.2</v>
      </c>
      <c r="L3266" s="4">
        <v>27.8</v>
      </c>
      <c r="M3266">
        <v>15</v>
      </c>
      <c r="N3266" t="s">
        <v>61</v>
      </c>
      <c r="O3266">
        <v>1</v>
      </c>
      <c r="P3266" s="4">
        <v>1793.9</v>
      </c>
      <c r="Q3266" t="s">
        <v>30</v>
      </c>
      <c r="R3266">
        <v>1</v>
      </c>
      <c r="S3266" t="s">
        <v>38</v>
      </c>
      <c r="T3266">
        <v>0</v>
      </c>
      <c r="U3266">
        <v>0</v>
      </c>
      <c r="V3266" t="s">
        <v>32</v>
      </c>
      <c r="W3266" t="s">
        <v>57</v>
      </c>
      <c r="X3266" s="4">
        <v>8.6999999999999993</v>
      </c>
      <c r="Y3266">
        <v>8</v>
      </c>
      <c r="Z3266" s="5">
        <v>334.98</v>
      </c>
    </row>
    <row r="3267" spans="1:26">
      <c r="A3267">
        <v>3266</v>
      </c>
      <c r="B3267">
        <v>1072</v>
      </c>
      <c r="C3267" s="2">
        <v>46038</v>
      </c>
      <c r="D3267" t="s">
        <v>26</v>
      </c>
      <c r="E3267">
        <v>1</v>
      </c>
      <c r="F3267" s="3">
        <v>11.51</v>
      </c>
      <c r="G3267" t="s">
        <v>36</v>
      </c>
      <c r="H3267">
        <v>34</v>
      </c>
      <c r="I3267" t="s">
        <v>34</v>
      </c>
      <c r="J3267" s="4">
        <v>68.8</v>
      </c>
      <c r="K3267" s="4">
        <v>177.3</v>
      </c>
      <c r="L3267" s="4">
        <v>26.3</v>
      </c>
      <c r="M3267">
        <v>15</v>
      </c>
      <c r="N3267" t="s">
        <v>53</v>
      </c>
      <c r="O3267">
        <v>4</v>
      </c>
      <c r="P3267" s="4">
        <v>1035.9000000000001</v>
      </c>
      <c r="Q3267" t="s">
        <v>42</v>
      </c>
      <c r="R3267">
        <v>0</v>
      </c>
      <c r="S3267" t="s">
        <v>44</v>
      </c>
      <c r="T3267">
        <v>0</v>
      </c>
      <c r="U3267">
        <v>1</v>
      </c>
      <c r="V3267" t="s">
        <v>32</v>
      </c>
      <c r="W3267" t="s">
        <v>33</v>
      </c>
      <c r="X3267" s="4">
        <v>8.1999999999999993</v>
      </c>
      <c r="Y3267">
        <v>8</v>
      </c>
      <c r="Z3267" s="5">
        <v>208.39</v>
      </c>
    </row>
    <row r="3268" spans="1:26">
      <c r="A3268">
        <v>3267</v>
      </c>
      <c r="B3268">
        <v>1072</v>
      </c>
      <c r="C3268" s="2">
        <v>46038</v>
      </c>
      <c r="D3268" t="s">
        <v>26</v>
      </c>
      <c r="E3268">
        <v>1</v>
      </c>
      <c r="F3268" s="3">
        <v>11.72</v>
      </c>
      <c r="G3268" t="s">
        <v>36</v>
      </c>
      <c r="H3268">
        <v>50</v>
      </c>
      <c r="I3268" t="s">
        <v>34</v>
      </c>
      <c r="J3268" s="4">
        <v>68.3</v>
      </c>
      <c r="K3268" s="4">
        <v>199.6</v>
      </c>
      <c r="L3268" s="4">
        <v>29.8</v>
      </c>
      <c r="M3268">
        <v>11</v>
      </c>
      <c r="N3268" t="s">
        <v>53</v>
      </c>
      <c r="O3268">
        <v>4</v>
      </c>
      <c r="P3268" s="4">
        <v>1035.9000000000001</v>
      </c>
      <c r="Q3268" t="s">
        <v>42</v>
      </c>
      <c r="R3268">
        <v>0</v>
      </c>
      <c r="S3268" t="s">
        <v>44</v>
      </c>
      <c r="T3268">
        <v>0</v>
      </c>
      <c r="U3268">
        <v>1</v>
      </c>
      <c r="V3268" t="s">
        <v>32</v>
      </c>
      <c r="W3268" t="s">
        <v>33</v>
      </c>
      <c r="X3268" s="4">
        <v>6.6</v>
      </c>
      <c r="Y3268">
        <v>13</v>
      </c>
      <c r="Z3268" s="5">
        <v>211.99</v>
      </c>
    </row>
    <row r="3269" spans="1:26">
      <c r="A3269">
        <v>3268</v>
      </c>
      <c r="B3269">
        <v>1072</v>
      </c>
      <c r="C3269" s="2">
        <v>46038</v>
      </c>
      <c r="D3269" t="s">
        <v>26</v>
      </c>
      <c r="E3269">
        <v>1</v>
      </c>
      <c r="F3269" s="3">
        <v>11.62</v>
      </c>
      <c r="G3269" t="s">
        <v>36</v>
      </c>
      <c r="H3269">
        <v>46</v>
      </c>
      <c r="I3269" t="s">
        <v>28</v>
      </c>
      <c r="J3269" s="4">
        <v>71.5</v>
      </c>
      <c r="K3269" s="4">
        <v>199</v>
      </c>
      <c r="L3269" s="4">
        <v>27.3</v>
      </c>
      <c r="M3269">
        <v>19</v>
      </c>
      <c r="N3269" t="s">
        <v>53</v>
      </c>
      <c r="O3269">
        <v>4</v>
      </c>
      <c r="P3269" s="4">
        <v>1035.9000000000001</v>
      </c>
      <c r="Q3269" t="s">
        <v>42</v>
      </c>
      <c r="R3269">
        <v>0</v>
      </c>
      <c r="S3269" t="s">
        <v>44</v>
      </c>
      <c r="T3269">
        <v>0</v>
      </c>
      <c r="U3269">
        <v>1</v>
      </c>
      <c r="V3269" t="s">
        <v>32</v>
      </c>
      <c r="W3269" t="s">
        <v>33</v>
      </c>
      <c r="X3269" s="4">
        <v>6.1</v>
      </c>
      <c r="Y3269">
        <v>6</v>
      </c>
      <c r="Z3269" s="5">
        <v>115.33</v>
      </c>
    </row>
    <row r="3270" spans="1:26">
      <c r="A3270">
        <v>3269</v>
      </c>
      <c r="B3270">
        <v>1072</v>
      </c>
      <c r="C3270" s="2">
        <v>46038</v>
      </c>
      <c r="D3270" t="s">
        <v>26</v>
      </c>
      <c r="E3270">
        <v>1</v>
      </c>
      <c r="F3270" s="3">
        <v>11.54</v>
      </c>
      <c r="G3270" t="s">
        <v>36</v>
      </c>
      <c r="H3270">
        <v>7</v>
      </c>
      <c r="I3270" t="s">
        <v>34</v>
      </c>
      <c r="J3270" s="4">
        <v>55</v>
      </c>
      <c r="K3270" s="4">
        <v>65.7</v>
      </c>
      <c r="L3270" s="4">
        <v>15.2</v>
      </c>
      <c r="M3270">
        <v>11</v>
      </c>
      <c r="N3270" t="s">
        <v>53</v>
      </c>
      <c r="O3270">
        <v>4</v>
      </c>
      <c r="P3270" s="4">
        <v>1035.9000000000001</v>
      </c>
      <c r="Q3270" t="s">
        <v>42</v>
      </c>
      <c r="R3270">
        <v>0</v>
      </c>
      <c r="S3270" t="s">
        <v>44</v>
      </c>
      <c r="T3270">
        <v>0</v>
      </c>
      <c r="U3270">
        <v>1</v>
      </c>
      <c r="V3270" t="s">
        <v>32</v>
      </c>
      <c r="W3270" t="s">
        <v>33</v>
      </c>
      <c r="X3270" s="4">
        <v>8.4</v>
      </c>
      <c r="Y3270">
        <v>6</v>
      </c>
      <c r="Z3270" s="5">
        <v>205.57</v>
      </c>
    </row>
    <row r="3271" spans="1:26">
      <c r="A3271">
        <v>3270</v>
      </c>
      <c r="B3271">
        <v>1073</v>
      </c>
      <c r="C3271" s="2">
        <v>46032</v>
      </c>
      <c r="D3271" t="s">
        <v>40</v>
      </c>
      <c r="E3271">
        <v>1</v>
      </c>
      <c r="F3271" s="3">
        <v>11.07</v>
      </c>
      <c r="G3271" t="s">
        <v>36</v>
      </c>
      <c r="H3271">
        <v>63</v>
      </c>
      <c r="I3271" t="s">
        <v>34</v>
      </c>
      <c r="J3271" s="4">
        <v>63.7</v>
      </c>
      <c r="K3271" s="4">
        <v>155.9</v>
      </c>
      <c r="L3271" s="4">
        <v>26.9</v>
      </c>
      <c r="M3271">
        <v>14</v>
      </c>
      <c r="N3271" t="s">
        <v>47</v>
      </c>
      <c r="O3271">
        <v>6</v>
      </c>
      <c r="P3271" s="4">
        <v>2</v>
      </c>
      <c r="Q3271" t="s">
        <v>30</v>
      </c>
      <c r="R3271">
        <v>1</v>
      </c>
      <c r="S3271" t="s">
        <v>44</v>
      </c>
      <c r="T3271">
        <v>0</v>
      </c>
      <c r="U3271">
        <v>0</v>
      </c>
      <c r="V3271" t="s">
        <v>32</v>
      </c>
      <c r="W3271" t="s">
        <v>39</v>
      </c>
      <c r="X3271" s="4">
        <v>7.5</v>
      </c>
      <c r="Y3271">
        <v>6</v>
      </c>
      <c r="Z3271" s="5">
        <v>149.02000000000001</v>
      </c>
    </row>
    <row r="3272" spans="1:26">
      <c r="A3272">
        <v>3271</v>
      </c>
      <c r="B3272">
        <v>1073</v>
      </c>
      <c r="C3272" s="2">
        <v>46032</v>
      </c>
      <c r="D3272" t="s">
        <v>40</v>
      </c>
      <c r="E3272">
        <v>1</v>
      </c>
      <c r="F3272" s="3">
        <v>10.84</v>
      </c>
      <c r="G3272" t="s">
        <v>27</v>
      </c>
      <c r="H3272">
        <v>26</v>
      </c>
      <c r="I3272" t="s">
        <v>34</v>
      </c>
      <c r="J3272" s="4">
        <v>63.9</v>
      </c>
      <c r="K3272" s="4">
        <v>182.7</v>
      </c>
      <c r="L3272" s="4">
        <v>31.4</v>
      </c>
      <c r="M3272">
        <v>11</v>
      </c>
      <c r="N3272" t="s">
        <v>47</v>
      </c>
      <c r="O3272">
        <v>6</v>
      </c>
      <c r="P3272" s="4">
        <v>2</v>
      </c>
      <c r="Q3272" t="s">
        <v>30</v>
      </c>
      <c r="R3272">
        <v>1</v>
      </c>
      <c r="S3272" t="s">
        <v>44</v>
      </c>
      <c r="T3272">
        <v>0</v>
      </c>
      <c r="U3272">
        <v>0</v>
      </c>
      <c r="V3272" t="s">
        <v>32</v>
      </c>
      <c r="W3272" t="s">
        <v>39</v>
      </c>
      <c r="X3272" s="4">
        <v>8.9</v>
      </c>
      <c r="Y3272">
        <v>9</v>
      </c>
      <c r="Z3272" s="5">
        <v>229.63</v>
      </c>
    </row>
    <row r="3273" spans="1:26">
      <c r="A3273">
        <v>3272</v>
      </c>
      <c r="B3273">
        <v>1073</v>
      </c>
      <c r="C3273" s="2">
        <v>46032</v>
      </c>
      <c r="D3273" t="s">
        <v>40</v>
      </c>
      <c r="E3273">
        <v>1</v>
      </c>
      <c r="F3273" s="3">
        <v>10.95</v>
      </c>
      <c r="G3273" t="s">
        <v>27</v>
      </c>
      <c r="H3273">
        <v>9</v>
      </c>
      <c r="I3273" t="s">
        <v>28</v>
      </c>
      <c r="J3273" s="4">
        <v>62.2</v>
      </c>
      <c r="K3273" s="4">
        <v>98.4</v>
      </c>
      <c r="L3273" s="4">
        <v>18</v>
      </c>
      <c r="M3273">
        <v>6</v>
      </c>
      <c r="N3273" t="s">
        <v>47</v>
      </c>
      <c r="O3273">
        <v>6</v>
      </c>
      <c r="P3273" s="4">
        <v>2</v>
      </c>
      <c r="Q3273" t="s">
        <v>30</v>
      </c>
      <c r="R3273">
        <v>1</v>
      </c>
      <c r="S3273" t="s">
        <v>44</v>
      </c>
      <c r="T3273">
        <v>0</v>
      </c>
      <c r="U3273">
        <v>0</v>
      </c>
      <c r="V3273" t="s">
        <v>32</v>
      </c>
      <c r="W3273" t="s">
        <v>39</v>
      </c>
      <c r="X3273" s="4">
        <v>6.7</v>
      </c>
      <c r="Y3273">
        <v>5</v>
      </c>
      <c r="Z3273" s="5">
        <v>109.73</v>
      </c>
    </row>
    <row r="3274" spans="1:26">
      <c r="A3274">
        <v>3273</v>
      </c>
      <c r="B3274">
        <v>1073</v>
      </c>
      <c r="C3274" s="2">
        <v>46032</v>
      </c>
      <c r="D3274" t="s">
        <v>40</v>
      </c>
      <c r="E3274">
        <v>1</v>
      </c>
      <c r="F3274" s="3">
        <v>11.18</v>
      </c>
      <c r="G3274" t="s">
        <v>36</v>
      </c>
      <c r="H3274">
        <v>39</v>
      </c>
      <c r="I3274" t="s">
        <v>28</v>
      </c>
      <c r="J3274" s="4">
        <v>70.3</v>
      </c>
      <c r="K3274" s="4">
        <v>154.30000000000001</v>
      </c>
      <c r="L3274" s="4">
        <v>21.9</v>
      </c>
      <c r="M3274">
        <v>11</v>
      </c>
      <c r="N3274" t="s">
        <v>47</v>
      </c>
      <c r="O3274">
        <v>6</v>
      </c>
      <c r="P3274" s="4">
        <v>2</v>
      </c>
      <c r="Q3274" t="s">
        <v>30</v>
      </c>
      <c r="R3274">
        <v>1</v>
      </c>
      <c r="S3274" t="s">
        <v>44</v>
      </c>
      <c r="T3274">
        <v>0</v>
      </c>
      <c r="U3274">
        <v>0</v>
      </c>
      <c r="V3274" t="s">
        <v>32</v>
      </c>
      <c r="W3274" t="s">
        <v>39</v>
      </c>
      <c r="X3274" s="4">
        <v>7.3</v>
      </c>
      <c r="Y3274">
        <v>6</v>
      </c>
      <c r="Z3274" s="5">
        <v>120.64</v>
      </c>
    </row>
    <row r="3275" spans="1:26">
      <c r="A3275">
        <v>3274</v>
      </c>
      <c r="B3275">
        <v>1073</v>
      </c>
      <c r="C3275" s="2">
        <v>46032</v>
      </c>
      <c r="D3275" t="s">
        <v>40</v>
      </c>
      <c r="E3275">
        <v>1</v>
      </c>
      <c r="F3275" s="3">
        <v>10.98</v>
      </c>
      <c r="G3275" t="s">
        <v>27</v>
      </c>
      <c r="H3275">
        <v>44</v>
      </c>
      <c r="I3275" t="s">
        <v>34</v>
      </c>
      <c r="J3275" s="4">
        <v>64.099999999999994</v>
      </c>
      <c r="K3275" s="4">
        <v>164.6</v>
      </c>
      <c r="L3275" s="4">
        <v>28.2</v>
      </c>
      <c r="M3275">
        <v>12</v>
      </c>
      <c r="N3275" t="s">
        <v>47</v>
      </c>
      <c r="O3275">
        <v>6</v>
      </c>
      <c r="P3275" s="4">
        <v>2</v>
      </c>
      <c r="Q3275" t="s">
        <v>30</v>
      </c>
      <c r="R3275">
        <v>1</v>
      </c>
      <c r="S3275" t="s">
        <v>44</v>
      </c>
      <c r="T3275">
        <v>0</v>
      </c>
      <c r="U3275">
        <v>0</v>
      </c>
      <c r="V3275" t="s">
        <v>32</v>
      </c>
      <c r="W3275" t="s">
        <v>39</v>
      </c>
      <c r="X3275" s="4">
        <v>6.7</v>
      </c>
      <c r="Y3275">
        <v>9</v>
      </c>
      <c r="Z3275" s="5">
        <v>123.23</v>
      </c>
    </row>
    <row r="3276" spans="1:26">
      <c r="A3276">
        <v>3275</v>
      </c>
      <c r="B3276">
        <v>1073</v>
      </c>
      <c r="C3276" s="2">
        <v>46032</v>
      </c>
      <c r="D3276" t="s">
        <v>40</v>
      </c>
      <c r="E3276">
        <v>1</v>
      </c>
      <c r="F3276" s="3">
        <v>10.9</v>
      </c>
      <c r="G3276" t="s">
        <v>27</v>
      </c>
      <c r="H3276">
        <v>29</v>
      </c>
      <c r="I3276" t="s">
        <v>34</v>
      </c>
      <c r="J3276" s="4">
        <v>67.7</v>
      </c>
      <c r="K3276" s="4">
        <v>127.2</v>
      </c>
      <c r="L3276" s="4">
        <v>19.5</v>
      </c>
      <c r="M3276">
        <v>11</v>
      </c>
      <c r="N3276" t="s">
        <v>47</v>
      </c>
      <c r="O3276">
        <v>6</v>
      </c>
      <c r="P3276" s="4">
        <v>2</v>
      </c>
      <c r="Q3276" t="s">
        <v>30</v>
      </c>
      <c r="R3276">
        <v>1</v>
      </c>
      <c r="S3276" t="s">
        <v>44</v>
      </c>
      <c r="T3276">
        <v>0</v>
      </c>
      <c r="U3276">
        <v>0</v>
      </c>
      <c r="V3276" t="s">
        <v>32</v>
      </c>
      <c r="W3276" t="s">
        <v>39</v>
      </c>
      <c r="X3276" s="4">
        <v>8</v>
      </c>
      <c r="Y3276">
        <v>8</v>
      </c>
      <c r="Z3276" s="5">
        <v>111.99</v>
      </c>
    </row>
    <row r="3277" spans="1:26">
      <c r="A3277">
        <v>3276</v>
      </c>
      <c r="B3277">
        <v>1074</v>
      </c>
      <c r="C3277" s="2">
        <v>46306</v>
      </c>
      <c r="D3277" t="s">
        <v>58</v>
      </c>
      <c r="E3277">
        <v>10</v>
      </c>
      <c r="F3277" s="3">
        <v>12.27</v>
      </c>
      <c r="G3277" t="s">
        <v>36</v>
      </c>
      <c r="H3277">
        <v>18</v>
      </c>
      <c r="I3277" t="s">
        <v>34</v>
      </c>
      <c r="J3277" s="4">
        <v>65.2</v>
      </c>
      <c r="K3277" s="4">
        <v>148.80000000000001</v>
      </c>
      <c r="L3277" s="4">
        <v>25</v>
      </c>
      <c r="M3277">
        <v>11</v>
      </c>
      <c r="N3277" t="s">
        <v>47</v>
      </c>
      <c r="O3277">
        <v>4</v>
      </c>
      <c r="P3277" s="4">
        <v>110.8</v>
      </c>
      <c r="Q3277" t="s">
        <v>42</v>
      </c>
      <c r="R3277">
        <v>1</v>
      </c>
      <c r="S3277" t="s">
        <v>31</v>
      </c>
      <c r="T3277">
        <v>0</v>
      </c>
      <c r="U3277">
        <v>0</v>
      </c>
      <c r="V3277" t="s">
        <v>45</v>
      </c>
      <c r="W3277" t="s">
        <v>49</v>
      </c>
      <c r="X3277" s="4">
        <v>10.3</v>
      </c>
      <c r="Y3277">
        <v>8</v>
      </c>
      <c r="Z3277" s="5">
        <v>292.7</v>
      </c>
    </row>
    <row r="3278" spans="1:26">
      <c r="A3278">
        <v>3277</v>
      </c>
      <c r="B3278">
        <v>1074</v>
      </c>
      <c r="C3278" s="2">
        <v>46306</v>
      </c>
      <c r="D3278" t="s">
        <v>58</v>
      </c>
      <c r="E3278">
        <v>10</v>
      </c>
      <c r="F3278" s="3">
        <v>12.04</v>
      </c>
      <c r="G3278" t="s">
        <v>36</v>
      </c>
      <c r="H3278">
        <v>64</v>
      </c>
      <c r="I3278" t="s">
        <v>34</v>
      </c>
      <c r="J3278" s="4">
        <v>63.7</v>
      </c>
      <c r="K3278" s="4">
        <v>182.6</v>
      </c>
      <c r="L3278" s="4">
        <v>31.7</v>
      </c>
      <c r="M3278">
        <v>17</v>
      </c>
      <c r="N3278" t="s">
        <v>47</v>
      </c>
      <c r="O3278">
        <v>4</v>
      </c>
      <c r="P3278" s="4">
        <v>110.8</v>
      </c>
      <c r="Q3278" t="s">
        <v>42</v>
      </c>
      <c r="R3278">
        <v>1</v>
      </c>
      <c r="S3278" t="s">
        <v>31</v>
      </c>
      <c r="T3278">
        <v>0</v>
      </c>
      <c r="U3278">
        <v>0</v>
      </c>
      <c r="V3278" t="s">
        <v>45</v>
      </c>
      <c r="W3278" t="s">
        <v>49</v>
      </c>
      <c r="X3278" s="4">
        <v>6.5</v>
      </c>
      <c r="Y3278">
        <v>8</v>
      </c>
      <c r="Z3278" s="5">
        <v>175.68</v>
      </c>
    </row>
    <row r="3279" spans="1:26">
      <c r="A3279">
        <v>3278</v>
      </c>
      <c r="B3279">
        <v>1074</v>
      </c>
      <c r="C3279" s="2">
        <v>46306</v>
      </c>
      <c r="D3279" t="s">
        <v>58</v>
      </c>
      <c r="E3279">
        <v>10</v>
      </c>
      <c r="F3279" s="3">
        <v>12.19</v>
      </c>
      <c r="G3279" t="s">
        <v>36</v>
      </c>
      <c r="H3279">
        <v>24</v>
      </c>
      <c r="I3279" t="s">
        <v>34</v>
      </c>
      <c r="J3279" s="4">
        <v>64.900000000000006</v>
      </c>
      <c r="K3279" s="4">
        <v>173.6</v>
      </c>
      <c r="L3279" s="4">
        <v>28.6</v>
      </c>
      <c r="M3279">
        <v>17</v>
      </c>
      <c r="N3279" t="s">
        <v>47</v>
      </c>
      <c r="O3279">
        <v>4</v>
      </c>
      <c r="P3279" s="4">
        <v>110.8</v>
      </c>
      <c r="Q3279" t="s">
        <v>42</v>
      </c>
      <c r="R3279">
        <v>1</v>
      </c>
      <c r="S3279" t="s">
        <v>31</v>
      </c>
      <c r="T3279">
        <v>0</v>
      </c>
      <c r="U3279">
        <v>0</v>
      </c>
      <c r="V3279" t="s">
        <v>45</v>
      </c>
      <c r="W3279" t="s">
        <v>49</v>
      </c>
      <c r="X3279" s="4">
        <v>9.6999999999999993</v>
      </c>
      <c r="Y3279">
        <v>11</v>
      </c>
      <c r="Z3279" s="5">
        <v>273.95</v>
      </c>
    </row>
    <row r="3280" spans="1:26">
      <c r="A3280">
        <v>3279</v>
      </c>
      <c r="B3280">
        <v>1074</v>
      </c>
      <c r="C3280" s="2">
        <v>46306</v>
      </c>
      <c r="D3280" t="s">
        <v>58</v>
      </c>
      <c r="E3280">
        <v>10</v>
      </c>
      <c r="F3280" s="3">
        <v>12.08</v>
      </c>
      <c r="G3280" t="s">
        <v>36</v>
      </c>
      <c r="H3280">
        <v>18</v>
      </c>
      <c r="I3280" t="s">
        <v>28</v>
      </c>
      <c r="J3280" s="4">
        <v>66</v>
      </c>
      <c r="K3280" s="4">
        <v>120.9</v>
      </c>
      <c r="L3280" s="4">
        <v>19.600000000000001</v>
      </c>
      <c r="M3280">
        <v>17</v>
      </c>
      <c r="N3280" t="s">
        <v>47</v>
      </c>
      <c r="O3280">
        <v>4</v>
      </c>
      <c r="P3280" s="4">
        <v>110.8</v>
      </c>
      <c r="Q3280" t="s">
        <v>42</v>
      </c>
      <c r="R3280">
        <v>1</v>
      </c>
      <c r="S3280" t="s">
        <v>31</v>
      </c>
      <c r="T3280">
        <v>0</v>
      </c>
      <c r="U3280">
        <v>0</v>
      </c>
      <c r="V3280" t="s">
        <v>45</v>
      </c>
      <c r="W3280" t="s">
        <v>49</v>
      </c>
      <c r="X3280" s="4">
        <v>5.9</v>
      </c>
      <c r="Y3280">
        <v>6</v>
      </c>
      <c r="Z3280" s="5">
        <v>106.74</v>
      </c>
    </row>
    <row r="3281" spans="1:26">
      <c r="A3281">
        <v>3280</v>
      </c>
      <c r="B3281">
        <v>1075</v>
      </c>
      <c r="C3281" s="2">
        <v>46367</v>
      </c>
      <c r="D3281" t="s">
        <v>26</v>
      </c>
      <c r="E3281">
        <v>12</v>
      </c>
      <c r="F3281" s="3">
        <v>10.72</v>
      </c>
      <c r="G3281" t="s">
        <v>27</v>
      </c>
      <c r="H3281">
        <v>50</v>
      </c>
      <c r="I3281" t="s">
        <v>34</v>
      </c>
      <c r="J3281" s="4">
        <v>69.400000000000006</v>
      </c>
      <c r="K3281" s="4">
        <v>176.6</v>
      </c>
      <c r="L3281" s="4">
        <v>26</v>
      </c>
      <c r="M3281">
        <v>21</v>
      </c>
      <c r="N3281" t="s">
        <v>47</v>
      </c>
      <c r="O3281">
        <v>1</v>
      </c>
      <c r="P3281" s="4">
        <v>89.5</v>
      </c>
      <c r="Q3281" t="s">
        <v>48</v>
      </c>
      <c r="R3281">
        <v>0</v>
      </c>
      <c r="S3281" t="s">
        <v>31</v>
      </c>
      <c r="T3281">
        <v>0</v>
      </c>
      <c r="U3281">
        <v>1</v>
      </c>
      <c r="V3281" t="s">
        <v>32</v>
      </c>
      <c r="W3281" t="s">
        <v>33</v>
      </c>
      <c r="X3281" s="4">
        <v>8.6999999999999993</v>
      </c>
      <c r="Y3281">
        <v>7</v>
      </c>
      <c r="Z3281" s="5">
        <v>278.57</v>
      </c>
    </row>
    <row r="3282" spans="1:26">
      <c r="A3282">
        <v>3281</v>
      </c>
      <c r="B3282">
        <v>1076</v>
      </c>
      <c r="C3282" s="2">
        <v>46101</v>
      </c>
      <c r="D3282" t="s">
        <v>26</v>
      </c>
      <c r="E3282">
        <v>3</v>
      </c>
      <c r="F3282" s="3">
        <v>10.38</v>
      </c>
      <c r="G3282" t="s">
        <v>27</v>
      </c>
      <c r="H3282">
        <v>39</v>
      </c>
      <c r="I3282" t="s">
        <v>28</v>
      </c>
      <c r="J3282" s="4">
        <v>69</v>
      </c>
      <c r="K3282" s="4">
        <v>179.8</v>
      </c>
      <c r="L3282" s="4">
        <v>26.4</v>
      </c>
      <c r="M3282">
        <v>11</v>
      </c>
      <c r="N3282" t="s">
        <v>65</v>
      </c>
      <c r="O3282">
        <v>3</v>
      </c>
      <c r="P3282" s="4">
        <v>1714.1</v>
      </c>
      <c r="Q3282" t="s">
        <v>30</v>
      </c>
      <c r="R3282">
        <v>1</v>
      </c>
      <c r="S3282" t="s">
        <v>31</v>
      </c>
      <c r="T3282">
        <v>0</v>
      </c>
      <c r="U3282">
        <v>1</v>
      </c>
      <c r="V3282" t="s">
        <v>32</v>
      </c>
      <c r="W3282" t="s">
        <v>39</v>
      </c>
      <c r="X3282" s="4">
        <v>8.9</v>
      </c>
      <c r="Y3282">
        <v>1</v>
      </c>
      <c r="Z3282" s="5">
        <v>179.87</v>
      </c>
    </row>
    <row r="3283" spans="1:26">
      <c r="A3283">
        <v>3282</v>
      </c>
      <c r="B3283">
        <v>1076</v>
      </c>
      <c r="C3283" s="2">
        <v>46101</v>
      </c>
      <c r="D3283" t="s">
        <v>26</v>
      </c>
      <c r="E3283">
        <v>3</v>
      </c>
      <c r="F3283" s="3">
        <v>10.5</v>
      </c>
      <c r="G3283" t="s">
        <v>27</v>
      </c>
      <c r="H3283">
        <v>79</v>
      </c>
      <c r="I3283" t="s">
        <v>28</v>
      </c>
      <c r="J3283" s="4">
        <v>71.900000000000006</v>
      </c>
      <c r="K3283" s="4">
        <v>163.69999999999999</v>
      </c>
      <c r="L3283" s="4">
        <v>22.1</v>
      </c>
      <c r="M3283">
        <v>17</v>
      </c>
      <c r="N3283" t="s">
        <v>65</v>
      </c>
      <c r="O3283">
        <v>3</v>
      </c>
      <c r="P3283" s="4">
        <v>1714.1</v>
      </c>
      <c r="Q3283" t="s">
        <v>30</v>
      </c>
      <c r="R3283">
        <v>1</v>
      </c>
      <c r="S3283" t="s">
        <v>31</v>
      </c>
      <c r="T3283">
        <v>0</v>
      </c>
      <c r="U3283">
        <v>1</v>
      </c>
      <c r="V3283" t="s">
        <v>32</v>
      </c>
      <c r="W3283" t="s">
        <v>39</v>
      </c>
      <c r="X3283" s="4">
        <v>6.5</v>
      </c>
      <c r="Y3283">
        <v>13</v>
      </c>
      <c r="Z3283" s="5">
        <v>256.97000000000003</v>
      </c>
    </row>
    <row r="3284" spans="1:26">
      <c r="A3284">
        <v>3283</v>
      </c>
      <c r="B3284">
        <v>1076</v>
      </c>
      <c r="C3284" s="2">
        <v>46101</v>
      </c>
      <c r="D3284" t="s">
        <v>26</v>
      </c>
      <c r="E3284">
        <v>3</v>
      </c>
      <c r="F3284" s="3">
        <v>10.64</v>
      </c>
      <c r="G3284" t="s">
        <v>27</v>
      </c>
      <c r="H3284">
        <v>3</v>
      </c>
      <c r="I3284" t="s">
        <v>34</v>
      </c>
      <c r="J3284" s="4">
        <v>48.6</v>
      </c>
      <c r="K3284" s="4">
        <v>49.3</v>
      </c>
      <c r="L3284" s="4">
        <v>14.8</v>
      </c>
      <c r="M3284">
        <v>12</v>
      </c>
      <c r="N3284" t="s">
        <v>65</v>
      </c>
      <c r="O3284">
        <v>3</v>
      </c>
      <c r="P3284" s="4">
        <v>1714.1</v>
      </c>
      <c r="Q3284" t="s">
        <v>30</v>
      </c>
      <c r="R3284">
        <v>1</v>
      </c>
      <c r="S3284" t="s">
        <v>31</v>
      </c>
      <c r="T3284">
        <v>0</v>
      </c>
      <c r="U3284">
        <v>1</v>
      </c>
      <c r="V3284" t="s">
        <v>32</v>
      </c>
      <c r="W3284" t="s">
        <v>39</v>
      </c>
      <c r="X3284" s="4">
        <v>10.4</v>
      </c>
      <c r="Y3284">
        <v>10</v>
      </c>
      <c r="Z3284" s="5">
        <v>204.95</v>
      </c>
    </row>
    <row r="3285" spans="1:26">
      <c r="A3285">
        <v>3284</v>
      </c>
      <c r="B3285">
        <v>1077</v>
      </c>
      <c r="C3285" s="2">
        <v>46238</v>
      </c>
      <c r="D3285" t="s">
        <v>35</v>
      </c>
      <c r="E3285">
        <v>8</v>
      </c>
      <c r="F3285" s="3">
        <v>11.26</v>
      </c>
      <c r="G3285" t="s">
        <v>36</v>
      </c>
      <c r="H3285">
        <v>66</v>
      </c>
      <c r="I3285" t="s">
        <v>28</v>
      </c>
      <c r="J3285" s="4">
        <v>62.8</v>
      </c>
      <c r="K3285" s="4">
        <v>125.5</v>
      </c>
      <c r="L3285" s="4">
        <v>22.4</v>
      </c>
      <c r="M3285">
        <v>17</v>
      </c>
      <c r="N3285" t="s">
        <v>61</v>
      </c>
      <c r="O3285">
        <v>4</v>
      </c>
      <c r="P3285" s="4">
        <v>1187.7</v>
      </c>
      <c r="Q3285" t="s">
        <v>42</v>
      </c>
      <c r="R3285">
        <v>1</v>
      </c>
      <c r="S3285" t="s">
        <v>38</v>
      </c>
      <c r="T3285">
        <v>1</v>
      </c>
      <c r="U3285">
        <v>0</v>
      </c>
      <c r="V3285" t="s">
        <v>45</v>
      </c>
      <c r="W3285" t="s">
        <v>43</v>
      </c>
      <c r="X3285" s="4">
        <v>8.6999999999999993</v>
      </c>
      <c r="Y3285">
        <v>10</v>
      </c>
      <c r="Z3285" s="5">
        <v>267.25</v>
      </c>
    </row>
    <row r="3286" spans="1:26">
      <c r="A3286">
        <v>3285</v>
      </c>
      <c r="B3286">
        <v>1077</v>
      </c>
      <c r="C3286" s="2">
        <v>46238</v>
      </c>
      <c r="D3286" t="s">
        <v>35</v>
      </c>
      <c r="E3286">
        <v>8</v>
      </c>
      <c r="F3286" s="3">
        <v>11.22</v>
      </c>
      <c r="G3286" t="s">
        <v>36</v>
      </c>
      <c r="H3286">
        <v>26</v>
      </c>
      <c r="I3286" t="s">
        <v>34</v>
      </c>
      <c r="J3286" s="4">
        <v>65.599999999999994</v>
      </c>
      <c r="K3286" s="4">
        <v>167.4</v>
      </c>
      <c r="L3286" s="4">
        <v>27.3</v>
      </c>
      <c r="M3286">
        <v>16</v>
      </c>
      <c r="N3286" t="s">
        <v>61</v>
      </c>
      <c r="O3286">
        <v>4</v>
      </c>
      <c r="P3286" s="4">
        <v>1187.7</v>
      </c>
      <c r="Q3286" t="s">
        <v>42</v>
      </c>
      <c r="R3286">
        <v>1</v>
      </c>
      <c r="S3286" t="s">
        <v>38</v>
      </c>
      <c r="T3286">
        <v>1</v>
      </c>
      <c r="U3286">
        <v>0</v>
      </c>
      <c r="V3286" t="s">
        <v>45</v>
      </c>
      <c r="W3286" t="s">
        <v>43</v>
      </c>
      <c r="X3286" s="4">
        <v>8.8000000000000007</v>
      </c>
      <c r="Y3286">
        <v>10</v>
      </c>
      <c r="Z3286" s="5">
        <v>474.24</v>
      </c>
    </row>
    <row r="3287" spans="1:26">
      <c r="A3287">
        <v>3286</v>
      </c>
      <c r="B3287">
        <v>1077</v>
      </c>
      <c r="C3287" s="2">
        <v>46238</v>
      </c>
      <c r="D3287" t="s">
        <v>35</v>
      </c>
      <c r="E3287">
        <v>8</v>
      </c>
      <c r="F3287" s="3">
        <v>11.19</v>
      </c>
      <c r="G3287" t="s">
        <v>36</v>
      </c>
      <c r="H3287">
        <v>8</v>
      </c>
      <c r="I3287" t="s">
        <v>28</v>
      </c>
      <c r="J3287" s="4">
        <v>64.099999999999994</v>
      </c>
      <c r="K3287" s="4">
        <v>99.6</v>
      </c>
      <c r="L3287" s="4">
        <v>16.899999999999999</v>
      </c>
      <c r="M3287">
        <v>15</v>
      </c>
      <c r="N3287" t="s">
        <v>61</v>
      </c>
      <c r="O3287">
        <v>4</v>
      </c>
      <c r="P3287" s="4">
        <v>1187.7</v>
      </c>
      <c r="Q3287" t="s">
        <v>42</v>
      </c>
      <c r="R3287">
        <v>1</v>
      </c>
      <c r="S3287" t="s">
        <v>38</v>
      </c>
      <c r="T3287">
        <v>1</v>
      </c>
      <c r="U3287">
        <v>0</v>
      </c>
      <c r="V3287" t="s">
        <v>45</v>
      </c>
      <c r="W3287" t="s">
        <v>43</v>
      </c>
      <c r="X3287" s="4">
        <v>8.3000000000000007</v>
      </c>
      <c r="Y3287">
        <v>5</v>
      </c>
      <c r="Z3287" s="5">
        <v>212.62</v>
      </c>
    </row>
    <row r="3288" spans="1:26">
      <c r="A3288">
        <v>3287</v>
      </c>
      <c r="B3288">
        <v>1077</v>
      </c>
      <c r="C3288" s="2">
        <v>46238</v>
      </c>
      <c r="D3288" t="s">
        <v>35</v>
      </c>
      <c r="E3288">
        <v>8</v>
      </c>
      <c r="F3288" s="3">
        <v>11.09</v>
      </c>
      <c r="G3288" t="s">
        <v>36</v>
      </c>
      <c r="H3288">
        <v>43</v>
      </c>
      <c r="I3288" t="s">
        <v>34</v>
      </c>
      <c r="J3288" s="4">
        <v>63.7</v>
      </c>
      <c r="K3288" s="4">
        <v>147.19999999999999</v>
      </c>
      <c r="L3288" s="4">
        <v>25.4</v>
      </c>
      <c r="M3288">
        <v>17</v>
      </c>
      <c r="N3288" t="s">
        <v>61</v>
      </c>
      <c r="O3288">
        <v>4</v>
      </c>
      <c r="P3288" s="4">
        <v>1187.7</v>
      </c>
      <c r="Q3288" t="s">
        <v>42</v>
      </c>
      <c r="R3288">
        <v>1</v>
      </c>
      <c r="S3288" t="s">
        <v>38</v>
      </c>
      <c r="T3288">
        <v>1</v>
      </c>
      <c r="U3288">
        <v>0</v>
      </c>
      <c r="V3288" t="s">
        <v>45</v>
      </c>
      <c r="W3288" t="s">
        <v>43</v>
      </c>
      <c r="X3288" s="4">
        <v>7.2</v>
      </c>
      <c r="Y3288">
        <v>12</v>
      </c>
      <c r="Z3288" s="5">
        <v>137.01</v>
      </c>
    </row>
    <row r="3289" spans="1:26">
      <c r="A3289">
        <v>3288</v>
      </c>
      <c r="B3289">
        <v>1078</v>
      </c>
      <c r="C3289" s="2">
        <v>46270</v>
      </c>
      <c r="D3289" t="s">
        <v>40</v>
      </c>
      <c r="E3289">
        <v>9</v>
      </c>
      <c r="F3289" s="3">
        <v>7.25</v>
      </c>
      <c r="G3289" t="s">
        <v>27</v>
      </c>
      <c r="H3289">
        <v>5</v>
      </c>
      <c r="I3289" t="s">
        <v>34</v>
      </c>
      <c r="J3289" s="4">
        <v>56.5</v>
      </c>
      <c r="K3289" s="4">
        <v>90.6</v>
      </c>
      <c r="L3289" s="4">
        <v>20.399999999999999</v>
      </c>
      <c r="M3289">
        <v>10</v>
      </c>
      <c r="N3289" t="s">
        <v>47</v>
      </c>
      <c r="O3289">
        <v>3</v>
      </c>
      <c r="P3289" s="4">
        <v>16.2</v>
      </c>
      <c r="Q3289" t="s">
        <v>42</v>
      </c>
      <c r="R3289">
        <v>0</v>
      </c>
      <c r="S3289" t="s">
        <v>44</v>
      </c>
      <c r="T3289">
        <v>0</v>
      </c>
      <c r="U3289">
        <v>0</v>
      </c>
      <c r="V3289" t="s">
        <v>32</v>
      </c>
      <c r="W3289" t="s">
        <v>49</v>
      </c>
      <c r="X3289" s="4">
        <v>7.3</v>
      </c>
      <c r="Y3289">
        <v>8</v>
      </c>
      <c r="Z3289" s="5">
        <v>186.72</v>
      </c>
    </row>
    <row r="3290" spans="1:26">
      <c r="A3290">
        <v>3289</v>
      </c>
      <c r="B3290">
        <v>1078</v>
      </c>
      <c r="C3290" s="2">
        <v>46270</v>
      </c>
      <c r="D3290" t="s">
        <v>40</v>
      </c>
      <c r="E3290">
        <v>9</v>
      </c>
      <c r="F3290" s="3">
        <v>7.42</v>
      </c>
      <c r="G3290" t="s">
        <v>27</v>
      </c>
      <c r="H3290">
        <v>60</v>
      </c>
      <c r="I3290" t="s">
        <v>34</v>
      </c>
      <c r="J3290" s="4">
        <v>63.2</v>
      </c>
      <c r="K3290" s="4">
        <v>168.1</v>
      </c>
      <c r="L3290" s="4">
        <v>29.7</v>
      </c>
      <c r="M3290">
        <v>14</v>
      </c>
      <c r="N3290" t="s">
        <v>47</v>
      </c>
      <c r="O3290">
        <v>3</v>
      </c>
      <c r="P3290" s="4">
        <v>16.2</v>
      </c>
      <c r="Q3290" t="s">
        <v>42</v>
      </c>
      <c r="R3290">
        <v>0</v>
      </c>
      <c r="S3290" t="s">
        <v>44</v>
      </c>
      <c r="T3290">
        <v>0</v>
      </c>
      <c r="U3290">
        <v>0</v>
      </c>
      <c r="V3290" t="s">
        <v>32</v>
      </c>
      <c r="W3290" t="s">
        <v>49</v>
      </c>
      <c r="X3290" s="4">
        <v>7.8</v>
      </c>
      <c r="Y3290">
        <v>6</v>
      </c>
      <c r="Z3290" s="5">
        <v>198.15</v>
      </c>
    </row>
    <row r="3291" spans="1:26">
      <c r="A3291">
        <v>3290</v>
      </c>
      <c r="B3291">
        <v>1078</v>
      </c>
      <c r="C3291" s="2">
        <v>46270</v>
      </c>
      <c r="D3291" t="s">
        <v>40</v>
      </c>
      <c r="E3291">
        <v>9</v>
      </c>
      <c r="F3291" s="3">
        <v>7.25</v>
      </c>
      <c r="G3291" t="s">
        <v>27</v>
      </c>
      <c r="H3291">
        <v>59</v>
      </c>
      <c r="I3291" t="s">
        <v>34</v>
      </c>
      <c r="J3291" s="4">
        <v>65.900000000000006</v>
      </c>
      <c r="K3291" s="4">
        <v>185.3</v>
      </c>
      <c r="L3291" s="4">
        <v>30.1</v>
      </c>
      <c r="M3291">
        <v>16</v>
      </c>
      <c r="N3291" t="s">
        <v>47</v>
      </c>
      <c r="O3291">
        <v>3</v>
      </c>
      <c r="P3291" s="4">
        <v>16.2</v>
      </c>
      <c r="Q3291" t="s">
        <v>42</v>
      </c>
      <c r="R3291">
        <v>0</v>
      </c>
      <c r="S3291" t="s">
        <v>44</v>
      </c>
      <c r="T3291">
        <v>0</v>
      </c>
      <c r="U3291">
        <v>0</v>
      </c>
      <c r="V3291" t="s">
        <v>32</v>
      </c>
      <c r="W3291" t="s">
        <v>49</v>
      </c>
      <c r="X3291" s="4">
        <v>5.8</v>
      </c>
      <c r="Y3291">
        <v>11</v>
      </c>
      <c r="Z3291" s="5">
        <v>157.91</v>
      </c>
    </row>
    <row r="3292" spans="1:26">
      <c r="A3292">
        <v>3291</v>
      </c>
      <c r="B3292">
        <v>1079</v>
      </c>
      <c r="C3292" s="2">
        <v>46265</v>
      </c>
      <c r="D3292" t="s">
        <v>46</v>
      </c>
      <c r="E3292">
        <v>8</v>
      </c>
      <c r="F3292" s="3">
        <v>12.04</v>
      </c>
      <c r="G3292" t="s">
        <v>36</v>
      </c>
      <c r="H3292">
        <v>33</v>
      </c>
      <c r="I3292" t="s">
        <v>28</v>
      </c>
      <c r="J3292" s="4">
        <v>65.400000000000006</v>
      </c>
      <c r="K3292" s="4">
        <v>150.69999999999999</v>
      </c>
      <c r="L3292" s="4">
        <v>24.9</v>
      </c>
      <c r="M3292">
        <v>15</v>
      </c>
      <c r="N3292" t="s">
        <v>47</v>
      </c>
      <c r="O3292">
        <v>3</v>
      </c>
      <c r="P3292" s="4">
        <v>49.8</v>
      </c>
      <c r="Q3292" t="s">
        <v>42</v>
      </c>
      <c r="R3292">
        <v>0</v>
      </c>
      <c r="S3292" t="s">
        <v>44</v>
      </c>
      <c r="T3292">
        <v>0</v>
      </c>
      <c r="U3292">
        <v>0</v>
      </c>
      <c r="V3292" t="s">
        <v>32</v>
      </c>
      <c r="W3292" t="s">
        <v>39</v>
      </c>
      <c r="X3292" s="4">
        <v>9.1999999999999993</v>
      </c>
      <c r="Y3292">
        <v>4</v>
      </c>
      <c r="Z3292" s="5">
        <v>151.33000000000001</v>
      </c>
    </row>
    <row r="3293" spans="1:26">
      <c r="A3293">
        <v>3292</v>
      </c>
      <c r="B3293">
        <v>1079</v>
      </c>
      <c r="C3293" s="2">
        <v>46265</v>
      </c>
      <c r="D3293" t="s">
        <v>46</v>
      </c>
      <c r="E3293">
        <v>8</v>
      </c>
      <c r="F3293" s="3">
        <v>12.16</v>
      </c>
      <c r="G3293" t="s">
        <v>36</v>
      </c>
      <c r="H3293">
        <v>15</v>
      </c>
      <c r="I3293" t="s">
        <v>28</v>
      </c>
      <c r="J3293" s="4">
        <v>70</v>
      </c>
      <c r="K3293" s="4">
        <v>130.4</v>
      </c>
      <c r="L3293" s="4">
        <v>18.5</v>
      </c>
      <c r="M3293">
        <v>13</v>
      </c>
      <c r="N3293" t="s">
        <v>47</v>
      </c>
      <c r="O3293">
        <v>3</v>
      </c>
      <c r="P3293" s="4">
        <v>49.8</v>
      </c>
      <c r="Q3293" t="s">
        <v>42</v>
      </c>
      <c r="R3293">
        <v>0</v>
      </c>
      <c r="S3293" t="s">
        <v>44</v>
      </c>
      <c r="T3293">
        <v>0</v>
      </c>
      <c r="U3293">
        <v>0</v>
      </c>
      <c r="V3293" t="s">
        <v>32</v>
      </c>
      <c r="W3293" t="s">
        <v>39</v>
      </c>
      <c r="X3293" s="4">
        <v>8.6999999999999993</v>
      </c>
      <c r="Y3293">
        <v>8</v>
      </c>
      <c r="Z3293" s="5">
        <v>322.56</v>
      </c>
    </row>
    <row r="3294" spans="1:26">
      <c r="A3294">
        <v>3293</v>
      </c>
      <c r="B3294">
        <v>1079</v>
      </c>
      <c r="C3294" s="2">
        <v>46265</v>
      </c>
      <c r="D3294" t="s">
        <v>46</v>
      </c>
      <c r="E3294">
        <v>8</v>
      </c>
      <c r="F3294" s="3">
        <v>11.95</v>
      </c>
      <c r="G3294" t="s">
        <v>36</v>
      </c>
      <c r="H3294">
        <v>34</v>
      </c>
      <c r="I3294" t="s">
        <v>34</v>
      </c>
      <c r="J3294" s="4">
        <v>65.7</v>
      </c>
      <c r="K3294" s="4">
        <v>158.19999999999999</v>
      </c>
      <c r="L3294" s="4">
        <v>25.9</v>
      </c>
      <c r="M3294">
        <v>11</v>
      </c>
      <c r="N3294" t="s">
        <v>47</v>
      </c>
      <c r="O3294">
        <v>3</v>
      </c>
      <c r="P3294" s="4">
        <v>49.8</v>
      </c>
      <c r="Q3294" t="s">
        <v>42</v>
      </c>
      <c r="R3294">
        <v>0</v>
      </c>
      <c r="S3294" t="s">
        <v>44</v>
      </c>
      <c r="T3294">
        <v>0</v>
      </c>
      <c r="U3294">
        <v>0</v>
      </c>
      <c r="V3294" t="s">
        <v>32</v>
      </c>
      <c r="W3294" t="s">
        <v>39</v>
      </c>
      <c r="X3294" s="4">
        <v>9.1</v>
      </c>
      <c r="Y3294">
        <v>2</v>
      </c>
      <c r="Z3294" s="5">
        <v>137.16999999999999</v>
      </c>
    </row>
    <row r="3295" spans="1:26">
      <c r="A3295">
        <v>3294</v>
      </c>
      <c r="B3295">
        <v>1080</v>
      </c>
      <c r="C3295" s="2">
        <v>46151</v>
      </c>
      <c r="D3295" t="s">
        <v>40</v>
      </c>
      <c r="E3295">
        <v>5</v>
      </c>
      <c r="F3295" s="3">
        <v>9.76</v>
      </c>
      <c r="G3295" t="s">
        <v>27</v>
      </c>
      <c r="H3295">
        <v>13</v>
      </c>
      <c r="I3295" t="s">
        <v>28</v>
      </c>
      <c r="J3295" s="4">
        <v>63.6</v>
      </c>
      <c r="K3295" s="4">
        <v>84.2</v>
      </c>
      <c r="L3295" s="4">
        <v>14.6</v>
      </c>
      <c r="M3295">
        <v>14</v>
      </c>
      <c r="N3295" t="s">
        <v>47</v>
      </c>
      <c r="O3295">
        <v>2</v>
      </c>
      <c r="P3295" s="4">
        <v>22.8</v>
      </c>
      <c r="Q3295" t="s">
        <v>42</v>
      </c>
      <c r="R3295">
        <v>0</v>
      </c>
      <c r="S3295" t="s">
        <v>44</v>
      </c>
      <c r="T3295">
        <v>0</v>
      </c>
      <c r="U3295">
        <v>0</v>
      </c>
      <c r="V3295" t="s">
        <v>32</v>
      </c>
      <c r="W3295" t="s">
        <v>39</v>
      </c>
      <c r="X3295" s="4">
        <v>6.5</v>
      </c>
      <c r="Y3295">
        <v>5</v>
      </c>
      <c r="Z3295" s="5">
        <v>116.47</v>
      </c>
    </row>
    <row r="3296" spans="1:26">
      <c r="A3296">
        <v>3295</v>
      </c>
      <c r="B3296">
        <v>1080</v>
      </c>
      <c r="C3296" s="2">
        <v>46151</v>
      </c>
      <c r="D3296" t="s">
        <v>40</v>
      </c>
      <c r="E3296">
        <v>5</v>
      </c>
      <c r="F3296" s="3">
        <v>9.83</v>
      </c>
      <c r="G3296" t="s">
        <v>27</v>
      </c>
      <c r="H3296">
        <v>66</v>
      </c>
      <c r="I3296" t="s">
        <v>28</v>
      </c>
      <c r="J3296" s="4">
        <v>67.7</v>
      </c>
      <c r="K3296" s="4">
        <v>165.4</v>
      </c>
      <c r="L3296" s="4">
        <v>25.5</v>
      </c>
      <c r="M3296">
        <v>16</v>
      </c>
      <c r="N3296" t="s">
        <v>47</v>
      </c>
      <c r="O3296">
        <v>2</v>
      </c>
      <c r="P3296" s="4">
        <v>22.8</v>
      </c>
      <c r="Q3296" t="s">
        <v>42</v>
      </c>
      <c r="R3296">
        <v>0</v>
      </c>
      <c r="S3296" t="s">
        <v>44</v>
      </c>
      <c r="T3296">
        <v>0</v>
      </c>
      <c r="U3296">
        <v>0</v>
      </c>
      <c r="V3296" t="s">
        <v>32</v>
      </c>
      <c r="W3296" t="s">
        <v>39</v>
      </c>
      <c r="X3296" s="4">
        <v>8.5</v>
      </c>
      <c r="Y3296">
        <v>16</v>
      </c>
      <c r="Z3296" s="5">
        <v>264.91000000000003</v>
      </c>
    </row>
    <row r="3297" spans="1:26">
      <c r="A3297">
        <v>3296</v>
      </c>
      <c r="B3297">
        <v>1081</v>
      </c>
      <c r="C3297" s="2">
        <v>46026</v>
      </c>
      <c r="D3297" t="s">
        <v>58</v>
      </c>
      <c r="E3297">
        <v>1</v>
      </c>
      <c r="F3297" s="3">
        <v>10.45</v>
      </c>
      <c r="G3297" t="s">
        <v>27</v>
      </c>
      <c r="H3297">
        <v>12</v>
      </c>
      <c r="I3297" t="s">
        <v>28</v>
      </c>
      <c r="J3297" s="4">
        <v>70</v>
      </c>
      <c r="K3297" s="4">
        <v>157.69999999999999</v>
      </c>
      <c r="L3297" s="4">
        <v>22.7</v>
      </c>
      <c r="M3297">
        <v>13</v>
      </c>
      <c r="N3297" t="s">
        <v>50</v>
      </c>
      <c r="O3297">
        <v>3</v>
      </c>
      <c r="P3297" s="4">
        <v>227</v>
      </c>
      <c r="Q3297" t="s">
        <v>42</v>
      </c>
      <c r="R3297">
        <v>1</v>
      </c>
      <c r="S3297" t="s">
        <v>31</v>
      </c>
      <c r="T3297">
        <v>0</v>
      </c>
      <c r="U3297">
        <v>1</v>
      </c>
      <c r="V3297" t="s">
        <v>45</v>
      </c>
      <c r="W3297" t="s">
        <v>33</v>
      </c>
      <c r="X3297" s="4">
        <v>8.6</v>
      </c>
      <c r="Y3297">
        <v>7</v>
      </c>
      <c r="Z3297" s="5">
        <v>158.96</v>
      </c>
    </row>
    <row r="3298" spans="1:26">
      <c r="A3298">
        <v>3297</v>
      </c>
      <c r="B3298">
        <v>1081</v>
      </c>
      <c r="C3298" s="2">
        <v>46026</v>
      </c>
      <c r="D3298" t="s">
        <v>58</v>
      </c>
      <c r="E3298">
        <v>1</v>
      </c>
      <c r="F3298" s="3">
        <v>10.33</v>
      </c>
      <c r="G3298" t="s">
        <v>27</v>
      </c>
      <c r="H3298">
        <v>65</v>
      </c>
      <c r="I3298" t="s">
        <v>28</v>
      </c>
      <c r="J3298" s="4">
        <v>67.2</v>
      </c>
      <c r="K3298" s="4">
        <v>164.6</v>
      </c>
      <c r="L3298" s="4">
        <v>25.5</v>
      </c>
      <c r="M3298">
        <v>18</v>
      </c>
      <c r="N3298" t="s">
        <v>50</v>
      </c>
      <c r="O3298">
        <v>3</v>
      </c>
      <c r="P3298" s="4">
        <v>227</v>
      </c>
      <c r="Q3298" t="s">
        <v>42</v>
      </c>
      <c r="R3298">
        <v>1</v>
      </c>
      <c r="S3298" t="s">
        <v>31</v>
      </c>
      <c r="T3298">
        <v>0</v>
      </c>
      <c r="U3298">
        <v>1</v>
      </c>
      <c r="V3298" t="s">
        <v>45</v>
      </c>
      <c r="W3298" t="s">
        <v>33</v>
      </c>
      <c r="X3298" s="4">
        <v>11.6</v>
      </c>
      <c r="Y3298">
        <v>11</v>
      </c>
      <c r="Z3298" s="5">
        <v>192.78</v>
      </c>
    </row>
    <row r="3299" spans="1:26">
      <c r="A3299">
        <v>3298</v>
      </c>
      <c r="B3299">
        <v>1081</v>
      </c>
      <c r="C3299" s="2">
        <v>46026</v>
      </c>
      <c r="D3299" t="s">
        <v>58</v>
      </c>
      <c r="E3299">
        <v>1</v>
      </c>
      <c r="F3299" s="3">
        <v>10.38</v>
      </c>
      <c r="G3299" t="s">
        <v>27</v>
      </c>
      <c r="H3299">
        <v>22</v>
      </c>
      <c r="I3299" t="s">
        <v>28</v>
      </c>
      <c r="J3299" s="4">
        <v>71</v>
      </c>
      <c r="K3299" s="4">
        <v>169.5</v>
      </c>
      <c r="L3299" s="4">
        <v>23.6</v>
      </c>
      <c r="M3299">
        <v>13</v>
      </c>
      <c r="N3299" t="s">
        <v>50</v>
      </c>
      <c r="O3299">
        <v>3</v>
      </c>
      <c r="P3299" s="4">
        <v>227</v>
      </c>
      <c r="Q3299" t="s">
        <v>42</v>
      </c>
      <c r="R3299">
        <v>1</v>
      </c>
      <c r="S3299" t="s">
        <v>31</v>
      </c>
      <c r="T3299">
        <v>0</v>
      </c>
      <c r="U3299">
        <v>1</v>
      </c>
      <c r="V3299" t="s">
        <v>45</v>
      </c>
      <c r="W3299" t="s">
        <v>33</v>
      </c>
      <c r="X3299" s="4">
        <v>4.7</v>
      </c>
      <c r="Y3299">
        <v>5</v>
      </c>
      <c r="Z3299" s="5">
        <v>145.41</v>
      </c>
    </row>
    <row r="3300" spans="1:26">
      <c r="A3300">
        <v>3299</v>
      </c>
      <c r="B3300">
        <v>1082</v>
      </c>
      <c r="C3300" s="2">
        <v>46233</v>
      </c>
      <c r="D3300" t="s">
        <v>55</v>
      </c>
      <c r="E3300">
        <v>7</v>
      </c>
      <c r="F3300" s="3">
        <v>10.79</v>
      </c>
      <c r="G3300" t="s">
        <v>27</v>
      </c>
      <c r="H3300">
        <v>57</v>
      </c>
      <c r="I3300" t="s">
        <v>28</v>
      </c>
      <c r="J3300" s="4">
        <v>65.599999999999994</v>
      </c>
      <c r="K3300" s="4">
        <v>141.80000000000001</v>
      </c>
      <c r="L3300" s="4">
        <v>23.1</v>
      </c>
      <c r="M3300">
        <v>18</v>
      </c>
      <c r="N3300" t="s">
        <v>60</v>
      </c>
      <c r="O3300">
        <v>2</v>
      </c>
      <c r="P3300" s="4">
        <v>975.4</v>
      </c>
      <c r="Q3300" t="s">
        <v>42</v>
      </c>
      <c r="R3300">
        <v>1</v>
      </c>
      <c r="S3300" t="s">
        <v>38</v>
      </c>
      <c r="T3300">
        <v>0</v>
      </c>
      <c r="U3300">
        <v>0</v>
      </c>
      <c r="V3300" t="s">
        <v>32</v>
      </c>
      <c r="W3300" t="s">
        <v>39</v>
      </c>
      <c r="X3300" s="4">
        <v>10.1</v>
      </c>
      <c r="Y3300">
        <v>7</v>
      </c>
      <c r="Z3300" s="5">
        <v>297.55</v>
      </c>
    </row>
    <row r="3301" spans="1:26">
      <c r="A3301">
        <v>3300</v>
      </c>
      <c r="B3301">
        <v>1082</v>
      </c>
      <c r="C3301" s="2">
        <v>46233</v>
      </c>
      <c r="D3301" t="s">
        <v>55</v>
      </c>
      <c r="E3301">
        <v>7</v>
      </c>
      <c r="F3301" s="3">
        <v>10.92</v>
      </c>
      <c r="G3301" t="s">
        <v>27</v>
      </c>
      <c r="H3301">
        <v>77</v>
      </c>
      <c r="I3301" t="s">
        <v>28</v>
      </c>
      <c r="J3301" s="4">
        <v>68.7</v>
      </c>
      <c r="K3301" s="4">
        <v>174.2</v>
      </c>
      <c r="L3301" s="4">
        <v>25.8</v>
      </c>
      <c r="M3301">
        <v>16</v>
      </c>
      <c r="N3301" t="s">
        <v>60</v>
      </c>
      <c r="O3301">
        <v>2</v>
      </c>
      <c r="P3301" s="4">
        <v>975.4</v>
      </c>
      <c r="Q3301" t="s">
        <v>42</v>
      </c>
      <c r="R3301">
        <v>1</v>
      </c>
      <c r="S3301" t="s">
        <v>38</v>
      </c>
      <c r="T3301">
        <v>0</v>
      </c>
      <c r="U3301">
        <v>0</v>
      </c>
      <c r="V3301" t="s">
        <v>32</v>
      </c>
      <c r="W3301" t="s">
        <v>39</v>
      </c>
      <c r="X3301" s="4">
        <v>7.3</v>
      </c>
      <c r="Y3301">
        <v>7</v>
      </c>
      <c r="Z3301" s="5">
        <v>175.32</v>
      </c>
    </row>
    <row r="3302" spans="1:26">
      <c r="A3302">
        <v>3301</v>
      </c>
      <c r="B3302">
        <v>1083</v>
      </c>
      <c r="C3302" s="2">
        <v>46103</v>
      </c>
      <c r="D3302" t="s">
        <v>58</v>
      </c>
      <c r="E3302">
        <v>3</v>
      </c>
      <c r="F3302" s="3">
        <v>10.89</v>
      </c>
      <c r="G3302" t="s">
        <v>27</v>
      </c>
      <c r="H3302">
        <v>63</v>
      </c>
      <c r="I3302" t="s">
        <v>28</v>
      </c>
      <c r="J3302" s="4">
        <v>70</v>
      </c>
      <c r="K3302" s="4">
        <v>188.8</v>
      </c>
      <c r="L3302" s="4">
        <v>27</v>
      </c>
      <c r="M3302">
        <v>11</v>
      </c>
      <c r="N3302" t="s">
        <v>60</v>
      </c>
      <c r="O3302">
        <v>2</v>
      </c>
      <c r="P3302" s="4">
        <v>1020.9</v>
      </c>
      <c r="Q3302" t="s">
        <v>30</v>
      </c>
      <c r="R3302">
        <v>1</v>
      </c>
      <c r="S3302" t="s">
        <v>44</v>
      </c>
      <c r="T3302">
        <v>0</v>
      </c>
      <c r="U3302">
        <v>0</v>
      </c>
      <c r="V3302" t="s">
        <v>45</v>
      </c>
      <c r="W3302" t="s">
        <v>43</v>
      </c>
      <c r="X3302" s="4">
        <v>7.9</v>
      </c>
      <c r="Y3302">
        <v>2</v>
      </c>
      <c r="Z3302" s="5">
        <v>150.71</v>
      </c>
    </row>
    <row r="3303" spans="1:26">
      <c r="A3303">
        <v>3302</v>
      </c>
      <c r="B3303">
        <v>1083</v>
      </c>
      <c r="C3303" s="2">
        <v>46103</v>
      </c>
      <c r="D3303" t="s">
        <v>58</v>
      </c>
      <c r="E3303">
        <v>3</v>
      </c>
      <c r="F3303" s="3">
        <v>10.88</v>
      </c>
      <c r="G3303" t="s">
        <v>27</v>
      </c>
      <c r="H3303">
        <v>48</v>
      </c>
      <c r="I3303" t="s">
        <v>34</v>
      </c>
      <c r="J3303" s="4">
        <v>64.3</v>
      </c>
      <c r="K3303" s="4">
        <v>147.1</v>
      </c>
      <c r="L3303" s="4">
        <v>25</v>
      </c>
      <c r="M3303">
        <v>13</v>
      </c>
      <c r="N3303" t="s">
        <v>60</v>
      </c>
      <c r="O3303">
        <v>2</v>
      </c>
      <c r="P3303" s="4">
        <v>1020.9</v>
      </c>
      <c r="Q3303" t="s">
        <v>30</v>
      </c>
      <c r="R3303">
        <v>1</v>
      </c>
      <c r="S3303" t="s">
        <v>44</v>
      </c>
      <c r="T3303">
        <v>0</v>
      </c>
      <c r="U3303">
        <v>0</v>
      </c>
      <c r="V3303" t="s">
        <v>45</v>
      </c>
      <c r="W3303" t="s">
        <v>43</v>
      </c>
      <c r="X3303" s="4">
        <v>8.3000000000000007</v>
      </c>
      <c r="Y3303">
        <v>8</v>
      </c>
      <c r="Z3303" s="5">
        <v>211.08</v>
      </c>
    </row>
    <row r="3304" spans="1:26">
      <c r="A3304">
        <v>3303</v>
      </c>
      <c r="B3304">
        <v>1084</v>
      </c>
      <c r="C3304" s="2">
        <v>46140</v>
      </c>
      <c r="D3304" t="s">
        <v>35</v>
      </c>
      <c r="E3304">
        <v>4</v>
      </c>
      <c r="F3304" s="3">
        <v>9.61</v>
      </c>
      <c r="G3304" t="s">
        <v>27</v>
      </c>
      <c r="H3304">
        <v>52</v>
      </c>
      <c r="I3304" t="s">
        <v>34</v>
      </c>
      <c r="J3304" s="4">
        <v>67.5</v>
      </c>
      <c r="K3304" s="4">
        <v>201.3</v>
      </c>
      <c r="L3304" s="4">
        <v>31.1</v>
      </c>
      <c r="M3304">
        <v>14</v>
      </c>
      <c r="N3304" t="s">
        <v>54</v>
      </c>
      <c r="O3304">
        <v>6</v>
      </c>
      <c r="P3304" s="4">
        <v>2630.6</v>
      </c>
      <c r="Q3304" t="s">
        <v>30</v>
      </c>
      <c r="R3304">
        <v>1</v>
      </c>
      <c r="S3304" t="s">
        <v>31</v>
      </c>
      <c r="T3304">
        <v>0</v>
      </c>
      <c r="U3304">
        <v>1</v>
      </c>
      <c r="V3304" t="s">
        <v>64</v>
      </c>
      <c r="W3304" t="s">
        <v>43</v>
      </c>
      <c r="X3304" s="4">
        <v>8.1</v>
      </c>
      <c r="Y3304">
        <v>10</v>
      </c>
      <c r="Z3304" s="5">
        <v>169.3</v>
      </c>
    </row>
    <row r="3305" spans="1:26">
      <c r="A3305">
        <v>3304</v>
      </c>
      <c r="B3305">
        <v>1084</v>
      </c>
      <c r="C3305" s="2">
        <v>46140</v>
      </c>
      <c r="D3305" t="s">
        <v>35</v>
      </c>
      <c r="E3305">
        <v>4</v>
      </c>
      <c r="F3305" s="3">
        <v>9.6199999999999992</v>
      </c>
      <c r="G3305" t="s">
        <v>27</v>
      </c>
      <c r="H3305">
        <v>41</v>
      </c>
      <c r="I3305" t="s">
        <v>34</v>
      </c>
      <c r="J3305" s="4">
        <v>60.6</v>
      </c>
      <c r="K3305" s="4">
        <v>121.4</v>
      </c>
      <c r="L3305" s="4">
        <v>23.2</v>
      </c>
      <c r="M3305">
        <v>13</v>
      </c>
      <c r="N3305" t="s">
        <v>54</v>
      </c>
      <c r="O3305">
        <v>6</v>
      </c>
      <c r="P3305" s="4">
        <v>2630.6</v>
      </c>
      <c r="Q3305" t="s">
        <v>30</v>
      </c>
      <c r="R3305">
        <v>1</v>
      </c>
      <c r="S3305" t="s">
        <v>31</v>
      </c>
      <c r="T3305">
        <v>0</v>
      </c>
      <c r="U3305">
        <v>1</v>
      </c>
      <c r="V3305" t="s">
        <v>64</v>
      </c>
      <c r="W3305" t="s">
        <v>43</v>
      </c>
      <c r="X3305" s="4">
        <v>9.5</v>
      </c>
      <c r="Y3305">
        <v>6</v>
      </c>
      <c r="Z3305" s="5">
        <v>210.38</v>
      </c>
    </row>
    <row r="3306" spans="1:26">
      <c r="A3306">
        <v>3305</v>
      </c>
      <c r="B3306">
        <v>1084</v>
      </c>
      <c r="C3306" s="2">
        <v>46140</v>
      </c>
      <c r="D3306" t="s">
        <v>35</v>
      </c>
      <c r="E3306">
        <v>4</v>
      </c>
      <c r="F3306" s="3">
        <v>9.5399999999999991</v>
      </c>
      <c r="G3306" t="s">
        <v>27</v>
      </c>
      <c r="H3306">
        <v>36</v>
      </c>
      <c r="I3306" t="s">
        <v>28</v>
      </c>
      <c r="J3306" s="4">
        <v>69.3</v>
      </c>
      <c r="K3306" s="4">
        <v>138.69999999999999</v>
      </c>
      <c r="L3306" s="4">
        <v>20.3</v>
      </c>
      <c r="M3306">
        <v>13</v>
      </c>
      <c r="N3306" t="s">
        <v>54</v>
      </c>
      <c r="O3306">
        <v>6</v>
      </c>
      <c r="P3306" s="4">
        <v>2630.6</v>
      </c>
      <c r="Q3306" t="s">
        <v>30</v>
      </c>
      <c r="R3306">
        <v>1</v>
      </c>
      <c r="S3306" t="s">
        <v>31</v>
      </c>
      <c r="T3306">
        <v>0</v>
      </c>
      <c r="U3306">
        <v>1</v>
      </c>
      <c r="V3306" t="s">
        <v>64</v>
      </c>
      <c r="W3306" t="s">
        <v>43</v>
      </c>
      <c r="X3306" s="4">
        <v>6.9</v>
      </c>
      <c r="Y3306">
        <v>12</v>
      </c>
      <c r="Z3306" s="5">
        <v>184</v>
      </c>
    </row>
    <row r="3307" spans="1:26">
      <c r="A3307">
        <v>3306</v>
      </c>
      <c r="B3307">
        <v>1084</v>
      </c>
      <c r="C3307" s="2">
        <v>46140</v>
      </c>
      <c r="D3307" t="s">
        <v>35</v>
      </c>
      <c r="E3307">
        <v>4</v>
      </c>
      <c r="F3307" s="3">
        <v>9.36</v>
      </c>
      <c r="G3307" t="s">
        <v>27</v>
      </c>
      <c r="H3307">
        <v>35</v>
      </c>
      <c r="I3307" t="s">
        <v>34</v>
      </c>
      <c r="J3307" s="4">
        <v>62</v>
      </c>
      <c r="K3307" s="4">
        <v>107.6</v>
      </c>
      <c r="L3307" s="4">
        <v>19.7</v>
      </c>
      <c r="M3307">
        <v>10</v>
      </c>
      <c r="N3307" t="s">
        <v>54</v>
      </c>
      <c r="O3307">
        <v>6</v>
      </c>
      <c r="P3307" s="4">
        <v>2630.6</v>
      </c>
      <c r="Q3307" t="s">
        <v>30</v>
      </c>
      <c r="R3307">
        <v>1</v>
      </c>
      <c r="S3307" t="s">
        <v>31</v>
      </c>
      <c r="T3307">
        <v>0</v>
      </c>
      <c r="U3307">
        <v>1</v>
      </c>
      <c r="V3307" t="s">
        <v>64</v>
      </c>
      <c r="W3307" t="s">
        <v>43</v>
      </c>
      <c r="X3307" s="4">
        <v>8</v>
      </c>
      <c r="Y3307">
        <v>7</v>
      </c>
      <c r="Z3307" s="5">
        <v>199.86</v>
      </c>
    </row>
    <row r="3308" spans="1:26">
      <c r="A3308">
        <v>3307</v>
      </c>
      <c r="B3308">
        <v>1084</v>
      </c>
      <c r="C3308" s="2">
        <v>46140</v>
      </c>
      <c r="D3308" t="s">
        <v>35</v>
      </c>
      <c r="E3308">
        <v>4</v>
      </c>
      <c r="F3308" s="3">
        <v>9.8800000000000008</v>
      </c>
      <c r="G3308" t="s">
        <v>27</v>
      </c>
      <c r="H3308">
        <v>36</v>
      </c>
      <c r="I3308" t="s">
        <v>28</v>
      </c>
      <c r="J3308" s="4">
        <v>72.2</v>
      </c>
      <c r="K3308" s="4">
        <v>146.5</v>
      </c>
      <c r="L3308" s="4">
        <v>19.8</v>
      </c>
      <c r="M3308">
        <v>13</v>
      </c>
      <c r="N3308" t="s">
        <v>54</v>
      </c>
      <c r="O3308">
        <v>6</v>
      </c>
      <c r="P3308" s="4">
        <v>2630.6</v>
      </c>
      <c r="Q3308" t="s">
        <v>30</v>
      </c>
      <c r="R3308">
        <v>1</v>
      </c>
      <c r="S3308" t="s">
        <v>31</v>
      </c>
      <c r="T3308">
        <v>0</v>
      </c>
      <c r="U3308">
        <v>1</v>
      </c>
      <c r="V3308" t="s">
        <v>64</v>
      </c>
      <c r="W3308" t="s">
        <v>43</v>
      </c>
      <c r="X3308" s="4">
        <v>6.5</v>
      </c>
      <c r="Y3308">
        <v>3</v>
      </c>
      <c r="Z3308" s="5">
        <v>177.84</v>
      </c>
    </row>
    <row r="3309" spans="1:26">
      <c r="A3309">
        <v>3308</v>
      </c>
      <c r="B3309">
        <v>1084</v>
      </c>
      <c r="C3309" s="2">
        <v>46140</v>
      </c>
      <c r="D3309" t="s">
        <v>35</v>
      </c>
      <c r="E3309">
        <v>4</v>
      </c>
      <c r="F3309" s="3">
        <v>9.6199999999999992</v>
      </c>
      <c r="G3309" t="s">
        <v>27</v>
      </c>
      <c r="H3309">
        <v>23</v>
      </c>
      <c r="I3309" t="s">
        <v>28</v>
      </c>
      <c r="J3309" s="4">
        <v>70.7</v>
      </c>
      <c r="K3309" s="4">
        <v>167.4</v>
      </c>
      <c r="L3309" s="4">
        <v>23.4</v>
      </c>
      <c r="M3309">
        <v>14</v>
      </c>
      <c r="N3309" t="s">
        <v>54</v>
      </c>
      <c r="O3309">
        <v>6</v>
      </c>
      <c r="P3309" s="4">
        <v>2630.6</v>
      </c>
      <c r="Q3309" t="s">
        <v>30</v>
      </c>
      <c r="R3309">
        <v>1</v>
      </c>
      <c r="S3309" t="s">
        <v>31</v>
      </c>
      <c r="T3309">
        <v>0</v>
      </c>
      <c r="U3309">
        <v>1</v>
      </c>
      <c r="V3309" t="s">
        <v>64</v>
      </c>
      <c r="W3309" t="s">
        <v>43</v>
      </c>
      <c r="X3309" s="4">
        <v>9.9</v>
      </c>
      <c r="Y3309">
        <v>5</v>
      </c>
      <c r="Z3309" s="5">
        <v>186.67</v>
      </c>
    </row>
    <row r="3310" spans="1:26">
      <c r="A3310">
        <v>3309</v>
      </c>
      <c r="B3310">
        <v>1085</v>
      </c>
      <c r="C3310" s="2">
        <v>46282</v>
      </c>
      <c r="D3310" t="s">
        <v>55</v>
      </c>
      <c r="E3310">
        <v>9</v>
      </c>
      <c r="F3310" s="3">
        <v>12.24</v>
      </c>
      <c r="G3310" t="s">
        <v>36</v>
      </c>
      <c r="H3310">
        <v>27</v>
      </c>
      <c r="I3310" t="s">
        <v>28</v>
      </c>
      <c r="J3310" s="4">
        <v>66.8</v>
      </c>
      <c r="K3310" s="4">
        <v>138.9</v>
      </c>
      <c r="L3310" s="4">
        <v>21.8</v>
      </c>
      <c r="M3310">
        <v>10</v>
      </c>
      <c r="N3310" t="s">
        <v>53</v>
      </c>
      <c r="O3310">
        <v>5</v>
      </c>
      <c r="P3310" s="4">
        <v>609.20000000000005</v>
      </c>
      <c r="Q3310" t="s">
        <v>30</v>
      </c>
      <c r="R3310">
        <v>0</v>
      </c>
      <c r="S3310" t="s">
        <v>44</v>
      </c>
      <c r="T3310">
        <v>0</v>
      </c>
      <c r="U3310">
        <v>0</v>
      </c>
      <c r="V3310" t="s">
        <v>32</v>
      </c>
      <c r="W3310" t="s">
        <v>43</v>
      </c>
      <c r="X3310" s="4">
        <v>5.5</v>
      </c>
      <c r="Y3310">
        <v>7</v>
      </c>
      <c r="Z3310" s="5">
        <v>208.5</v>
      </c>
    </row>
    <row r="3311" spans="1:26">
      <c r="A3311">
        <v>3310</v>
      </c>
      <c r="B3311">
        <v>1085</v>
      </c>
      <c r="C3311" s="2">
        <v>46282</v>
      </c>
      <c r="D3311" t="s">
        <v>55</v>
      </c>
      <c r="E3311">
        <v>9</v>
      </c>
      <c r="F3311" s="3">
        <v>11.94</v>
      </c>
      <c r="G3311" t="s">
        <v>36</v>
      </c>
      <c r="H3311">
        <v>58</v>
      </c>
      <c r="I3311" t="s">
        <v>34</v>
      </c>
      <c r="J3311" s="4">
        <v>62</v>
      </c>
      <c r="K3311" s="4">
        <v>124.8</v>
      </c>
      <c r="L3311" s="4">
        <v>22.5</v>
      </c>
      <c r="M3311">
        <v>16</v>
      </c>
      <c r="N3311" t="s">
        <v>53</v>
      </c>
      <c r="O3311">
        <v>5</v>
      </c>
      <c r="P3311" s="4">
        <v>609.20000000000005</v>
      </c>
      <c r="Q3311" t="s">
        <v>30</v>
      </c>
      <c r="R3311">
        <v>0</v>
      </c>
      <c r="S3311" t="s">
        <v>44</v>
      </c>
      <c r="T3311">
        <v>0</v>
      </c>
      <c r="U3311">
        <v>0</v>
      </c>
      <c r="V3311" t="s">
        <v>32</v>
      </c>
      <c r="W3311" t="s">
        <v>43</v>
      </c>
      <c r="X3311" s="4">
        <v>6.7</v>
      </c>
      <c r="Y3311">
        <v>9</v>
      </c>
      <c r="Z3311" s="5">
        <v>178.26</v>
      </c>
    </row>
    <row r="3312" spans="1:26">
      <c r="A3312">
        <v>3311</v>
      </c>
      <c r="B3312">
        <v>1085</v>
      </c>
      <c r="C3312" s="2">
        <v>46282</v>
      </c>
      <c r="D3312" t="s">
        <v>55</v>
      </c>
      <c r="E3312">
        <v>9</v>
      </c>
      <c r="F3312" s="3">
        <v>12.03</v>
      </c>
      <c r="G3312" t="s">
        <v>36</v>
      </c>
      <c r="H3312">
        <v>54</v>
      </c>
      <c r="I3312" t="s">
        <v>34</v>
      </c>
      <c r="J3312" s="4">
        <v>63.4</v>
      </c>
      <c r="K3312" s="4">
        <v>146.6</v>
      </c>
      <c r="L3312" s="4">
        <v>25.6</v>
      </c>
      <c r="M3312">
        <v>16</v>
      </c>
      <c r="N3312" t="s">
        <v>53</v>
      </c>
      <c r="O3312">
        <v>5</v>
      </c>
      <c r="P3312" s="4">
        <v>609.20000000000005</v>
      </c>
      <c r="Q3312" t="s">
        <v>30</v>
      </c>
      <c r="R3312">
        <v>0</v>
      </c>
      <c r="S3312" t="s">
        <v>44</v>
      </c>
      <c r="T3312">
        <v>0</v>
      </c>
      <c r="U3312">
        <v>0</v>
      </c>
      <c r="V3312" t="s">
        <v>32</v>
      </c>
      <c r="W3312" t="s">
        <v>43</v>
      </c>
      <c r="X3312" s="4">
        <v>8.5</v>
      </c>
      <c r="Y3312">
        <v>9</v>
      </c>
      <c r="Z3312" s="5">
        <v>253.33</v>
      </c>
    </row>
    <row r="3313" spans="1:26">
      <c r="A3313">
        <v>3312</v>
      </c>
      <c r="B3313">
        <v>1085</v>
      </c>
      <c r="C3313" s="2">
        <v>46282</v>
      </c>
      <c r="D3313" t="s">
        <v>55</v>
      </c>
      <c r="E3313">
        <v>9</v>
      </c>
      <c r="F3313" s="3">
        <v>12.22</v>
      </c>
      <c r="G3313" t="s">
        <v>36</v>
      </c>
      <c r="H3313">
        <v>18</v>
      </c>
      <c r="I3313" t="s">
        <v>28</v>
      </c>
      <c r="J3313" s="4">
        <v>72</v>
      </c>
      <c r="K3313" s="4">
        <v>164.5</v>
      </c>
      <c r="L3313" s="4">
        <v>22.2</v>
      </c>
      <c r="M3313">
        <v>9</v>
      </c>
      <c r="N3313" t="s">
        <v>53</v>
      </c>
      <c r="O3313">
        <v>5</v>
      </c>
      <c r="P3313" s="4">
        <v>609.20000000000005</v>
      </c>
      <c r="Q3313" t="s">
        <v>30</v>
      </c>
      <c r="R3313">
        <v>0</v>
      </c>
      <c r="S3313" t="s">
        <v>44</v>
      </c>
      <c r="T3313">
        <v>0</v>
      </c>
      <c r="U3313">
        <v>0</v>
      </c>
      <c r="V3313" t="s">
        <v>32</v>
      </c>
      <c r="W3313" t="s">
        <v>43</v>
      </c>
      <c r="X3313" s="4">
        <v>5.8</v>
      </c>
      <c r="Y3313">
        <v>4</v>
      </c>
      <c r="Z3313" s="5">
        <v>99.04</v>
      </c>
    </row>
    <row r="3314" spans="1:26">
      <c r="A3314">
        <v>3313</v>
      </c>
      <c r="B3314">
        <v>1085</v>
      </c>
      <c r="C3314" s="2">
        <v>46282</v>
      </c>
      <c r="D3314" t="s">
        <v>55</v>
      </c>
      <c r="E3314">
        <v>9</v>
      </c>
      <c r="F3314" s="3">
        <v>11.98</v>
      </c>
      <c r="G3314" t="s">
        <v>36</v>
      </c>
      <c r="H3314">
        <v>13</v>
      </c>
      <c r="I3314" t="s">
        <v>28</v>
      </c>
      <c r="J3314" s="4">
        <v>66.900000000000006</v>
      </c>
      <c r="K3314" s="4">
        <v>124.3</v>
      </c>
      <c r="L3314" s="4">
        <v>19.3</v>
      </c>
      <c r="M3314">
        <v>7</v>
      </c>
      <c r="N3314" t="s">
        <v>53</v>
      </c>
      <c r="O3314">
        <v>5</v>
      </c>
      <c r="P3314" s="4">
        <v>609.20000000000005</v>
      </c>
      <c r="Q3314" t="s">
        <v>30</v>
      </c>
      <c r="R3314">
        <v>0</v>
      </c>
      <c r="S3314" t="s">
        <v>44</v>
      </c>
      <c r="T3314">
        <v>0</v>
      </c>
      <c r="U3314">
        <v>0</v>
      </c>
      <c r="V3314" t="s">
        <v>32</v>
      </c>
      <c r="W3314" t="s">
        <v>43</v>
      </c>
      <c r="X3314" s="4">
        <v>7.4</v>
      </c>
      <c r="Y3314">
        <v>8</v>
      </c>
      <c r="Z3314" s="5">
        <v>167.33</v>
      </c>
    </row>
    <row r="3315" spans="1:26">
      <c r="A3315">
        <v>3314</v>
      </c>
      <c r="B3315">
        <v>1086</v>
      </c>
      <c r="C3315" s="2">
        <v>46091</v>
      </c>
      <c r="D3315" t="s">
        <v>35</v>
      </c>
      <c r="E3315">
        <v>3</v>
      </c>
      <c r="F3315" s="3">
        <v>11.1</v>
      </c>
      <c r="G3315" t="s">
        <v>36</v>
      </c>
      <c r="H3315">
        <v>53</v>
      </c>
      <c r="I3315" t="s">
        <v>28</v>
      </c>
      <c r="J3315" s="4">
        <v>68.8</v>
      </c>
      <c r="K3315" s="4">
        <v>190.5</v>
      </c>
      <c r="L3315" s="4">
        <v>28</v>
      </c>
      <c r="M3315">
        <v>20</v>
      </c>
      <c r="N3315" t="s">
        <v>47</v>
      </c>
      <c r="O3315">
        <v>2</v>
      </c>
      <c r="P3315" s="4">
        <v>80.400000000000006</v>
      </c>
      <c r="Q3315" t="s">
        <v>42</v>
      </c>
      <c r="R3315">
        <v>0</v>
      </c>
      <c r="S3315" t="s">
        <v>31</v>
      </c>
      <c r="T3315">
        <v>0</v>
      </c>
      <c r="U3315">
        <v>0</v>
      </c>
      <c r="V3315" t="s">
        <v>32</v>
      </c>
      <c r="W3315" t="s">
        <v>39</v>
      </c>
      <c r="X3315" s="4">
        <v>10.9</v>
      </c>
      <c r="Y3315">
        <v>8</v>
      </c>
      <c r="Z3315" s="5">
        <v>240.91</v>
      </c>
    </row>
    <row r="3316" spans="1:26">
      <c r="A3316">
        <v>3315</v>
      </c>
      <c r="B3316">
        <v>1086</v>
      </c>
      <c r="C3316" s="2">
        <v>46091</v>
      </c>
      <c r="D3316" t="s">
        <v>35</v>
      </c>
      <c r="E3316">
        <v>3</v>
      </c>
      <c r="F3316" s="3">
        <v>10.89</v>
      </c>
      <c r="G3316" t="s">
        <v>27</v>
      </c>
      <c r="H3316">
        <v>63</v>
      </c>
      <c r="I3316" t="s">
        <v>34</v>
      </c>
      <c r="J3316" s="4">
        <v>67.2</v>
      </c>
      <c r="K3316" s="4">
        <v>195.3</v>
      </c>
      <c r="L3316" s="4">
        <v>30.1</v>
      </c>
      <c r="M3316">
        <v>17</v>
      </c>
      <c r="N3316" t="s">
        <v>47</v>
      </c>
      <c r="O3316">
        <v>2</v>
      </c>
      <c r="P3316" s="4">
        <v>80.400000000000006</v>
      </c>
      <c r="Q3316" t="s">
        <v>42</v>
      </c>
      <c r="R3316">
        <v>0</v>
      </c>
      <c r="S3316" t="s">
        <v>31</v>
      </c>
      <c r="T3316">
        <v>0</v>
      </c>
      <c r="U3316">
        <v>0</v>
      </c>
      <c r="V3316" t="s">
        <v>32</v>
      </c>
      <c r="W3316" t="s">
        <v>39</v>
      </c>
      <c r="X3316" s="4">
        <v>10</v>
      </c>
      <c r="Y3316">
        <v>11</v>
      </c>
      <c r="Z3316" s="5">
        <v>202.14</v>
      </c>
    </row>
    <row r="3317" spans="1:26">
      <c r="A3317">
        <v>3316</v>
      </c>
      <c r="B3317">
        <v>1087</v>
      </c>
      <c r="C3317" s="2">
        <v>46256</v>
      </c>
      <c r="D3317" t="s">
        <v>40</v>
      </c>
      <c r="E3317">
        <v>8</v>
      </c>
      <c r="F3317" s="3">
        <v>7.26</v>
      </c>
      <c r="G3317" t="s">
        <v>27</v>
      </c>
      <c r="H3317">
        <v>63</v>
      </c>
      <c r="I3317" t="s">
        <v>28</v>
      </c>
      <c r="J3317" s="4">
        <v>68.2</v>
      </c>
      <c r="K3317" s="4">
        <v>205.2</v>
      </c>
      <c r="L3317" s="4">
        <v>31.1</v>
      </c>
      <c r="M3317">
        <v>13</v>
      </c>
      <c r="N3317" t="s">
        <v>47</v>
      </c>
      <c r="O3317">
        <v>2</v>
      </c>
      <c r="P3317" s="4">
        <v>56.5</v>
      </c>
      <c r="Q3317" t="s">
        <v>42</v>
      </c>
      <c r="R3317">
        <v>0</v>
      </c>
      <c r="S3317" t="s">
        <v>44</v>
      </c>
      <c r="T3317">
        <v>0</v>
      </c>
      <c r="U3317">
        <v>0</v>
      </c>
      <c r="V3317" t="s">
        <v>32</v>
      </c>
      <c r="W3317" t="s">
        <v>39</v>
      </c>
      <c r="X3317" s="4">
        <v>8.6</v>
      </c>
      <c r="Y3317">
        <v>5</v>
      </c>
      <c r="Z3317" s="5">
        <v>212.8</v>
      </c>
    </row>
    <row r="3318" spans="1:26">
      <c r="A3318">
        <v>3317</v>
      </c>
      <c r="B3318">
        <v>1087</v>
      </c>
      <c r="C3318" s="2">
        <v>46256</v>
      </c>
      <c r="D3318" t="s">
        <v>40</v>
      </c>
      <c r="E3318">
        <v>8</v>
      </c>
      <c r="F3318" s="3">
        <v>7</v>
      </c>
      <c r="G3318" t="s">
        <v>27</v>
      </c>
      <c r="H3318">
        <v>67</v>
      </c>
      <c r="I3318" t="s">
        <v>28</v>
      </c>
      <c r="J3318" s="4">
        <v>67.599999999999994</v>
      </c>
      <c r="K3318" s="4">
        <v>154.6</v>
      </c>
      <c r="L3318" s="4">
        <v>23.7</v>
      </c>
      <c r="M3318">
        <v>14</v>
      </c>
      <c r="N3318" t="s">
        <v>47</v>
      </c>
      <c r="O3318">
        <v>2</v>
      </c>
      <c r="P3318" s="4">
        <v>56.5</v>
      </c>
      <c r="Q3318" t="s">
        <v>42</v>
      </c>
      <c r="R3318">
        <v>0</v>
      </c>
      <c r="S3318" t="s">
        <v>44</v>
      </c>
      <c r="T3318">
        <v>0</v>
      </c>
      <c r="U3318">
        <v>0</v>
      </c>
      <c r="V3318" t="s">
        <v>32</v>
      </c>
      <c r="W3318" t="s">
        <v>39</v>
      </c>
      <c r="X3318" s="4">
        <v>7.7</v>
      </c>
      <c r="Y3318">
        <v>8</v>
      </c>
      <c r="Z3318" s="5">
        <v>265.51</v>
      </c>
    </row>
    <row r="3319" spans="1:26">
      <c r="A3319">
        <v>3318</v>
      </c>
      <c r="B3319">
        <v>1088</v>
      </c>
      <c r="C3319" s="2">
        <v>46164</v>
      </c>
      <c r="D3319" t="s">
        <v>26</v>
      </c>
      <c r="E3319">
        <v>5</v>
      </c>
      <c r="F3319" s="3">
        <v>10.1</v>
      </c>
      <c r="G3319" t="s">
        <v>27</v>
      </c>
      <c r="H3319">
        <v>50</v>
      </c>
      <c r="I3319" t="s">
        <v>34</v>
      </c>
      <c r="J3319" s="4">
        <v>63.1</v>
      </c>
      <c r="K3319" s="4">
        <v>151.1</v>
      </c>
      <c r="L3319" s="4">
        <v>26.6</v>
      </c>
      <c r="M3319">
        <v>13</v>
      </c>
      <c r="N3319" t="s">
        <v>37</v>
      </c>
      <c r="O3319">
        <v>5</v>
      </c>
      <c r="P3319" s="4">
        <v>960.9</v>
      </c>
      <c r="Q3319" t="s">
        <v>30</v>
      </c>
      <c r="R3319">
        <v>1</v>
      </c>
      <c r="S3319" t="s">
        <v>44</v>
      </c>
      <c r="T3319">
        <v>0</v>
      </c>
      <c r="U3319">
        <v>0</v>
      </c>
      <c r="V3319" t="s">
        <v>32</v>
      </c>
      <c r="W3319" t="s">
        <v>39</v>
      </c>
      <c r="X3319" s="4">
        <v>7.3</v>
      </c>
      <c r="Y3319">
        <v>7</v>
      </c>
      <c r="Z3319" s="5">
        <v>203.85</v>
      </c>
    </row>
    <row r="3320" spans="1:26">
      <c r="A3320">
        <v>3319</v>
      </c>
      <c r="B3320">
        <v>1088</v>
      </c>
      <c r="C3320" s="2">
        <v>46164</v>
      </c>
      <c r="D3320" t="s">
        <v>26</v>
      </c>
      <c r="E3320">
        <v>5</v>
      </c>
      <c r="F3320" s="3">
        <v>9.8800000000000008</v>
      </c>
      <c r="G3320" t="s">
        <v>27</v>
      </c>
      <c r="H3320">
        <v>7</v>
      </c>
      <c r="I3320" t="s">
        <v>34</v>
      </c>
      <c r="J3320" s="4">
        <v>56</v>
      </c>
      <c r="K3320" s="4">
        <v>74.099999999999994</v>
      </c>
      <c r="L3320" s="4">
        <v>16.5</v>
      </c>
      <c r="M3320">
        <v>11</v>
      </c>
      <c r="N3320" t="s">
        <v>37</v>
      </c>
      <c r="O3320">
        <v>5</v>
      </c>
      <c r="P3320" s="4">
        <v>960.9</v>
      </c>
      <c r="Q3320" t="s">
        <v>30</v>
      </c>
      <c r="R3320">
        <v>1</v>
      </c>
      <c r="S3320" t="s">
        <v>44</v>
      </c>
      <c r="T3320">
        <v>0</v>
      </c>
      <c r="U3320">
        <v>0</v>
      </c>
      <c r="V3320" t="s">
        <v>32</v>
      </c>
      <c r="W3320" t="s">
        <v>39</v>
      </c>
      <c r="X3320" s="4">
        <v>7.5</v>
      </c>
      <c r="Y3320">
        <v>5</v>
      </c>
      <c r="Z3320" s="5">
        <v>75</v>
      </c>
    </row>
    <row r="3321" spans="1:26">
      <c r="A3321">
        <v>3320</v>
      </c>
      <c r="B3321">
        <v>1088</v>
      </c>
      <c r="C3321" s="2">
        <v>46164</v>
      </c>
      <c r="D3321" t="s">
        <v>26</v>
      </c>
      <c r="E3321">
        <v>5</v>
      </c>
      <c r="F3321" s="3">
        <v>10.130000000000001</v>
      </c>
      <c r="G3321" t="s">
        <v>27</v>
      </c>
      <c r="H3321">
        <v>23</v>
      </c>
      <c r="I3321" t="s">
        <v>34</v>
      </c>
      <c r="J3321" s="4">
        <v>68.7</v>
      </c>
      <c r="K3321" s="4">
        <v>184.3</v>
      </c>
      <c r="L3321" s="4">
        <v>27.3</v>
      </c>
      <c r="M3321">
        <v>13</v>
      </c>
      <c r="N3321" t="s">
        <v>37</v>
      </c>
      <c r="O3321">
        <v>5</v>
      </c>
      <c r="P3321" s="4">
        <v>960.9</v>
      </c>
      <c r="Q3321" t="s">
        <v>30</v>
      </c>
      <c r="R3321">
        <v>1</v>
      </c>
      <c r="S3321" t="s">
        <v>44</v>
      </c>
      <c r="T3321">
        <v>0</v>
      </c>
      <c r="U3321">
        <v>0</v>
      </c>
      <c r="V3321" t="s">
        <v>32</v>
      </c>
      <c r="W3321" t="s">
        <v>39</v>
      </c>
      <c r="X3321" s="4">
        <v>11.7</v>
      </c>
      <c r="Y3321">
        <v>8</v>
      </c>
      <c r="Z3321" s="5">
        <v>352.9</v>
      </c>
    </row>
    <row r="3322" spans="1:26">
      <c r="A3322">
        <v>3321</v>
      </c>
      <c r="B3322">
        <v>1088</v>
      </c>
      <c r="C3322" s="2">
        <v>46164</v>
      </c>
      <c r="D3322" t="s">
        <v>26</v>
      </c>
      <c r="E3322">
        <v>5</v>
      </c>
      <c r="F3322" s="3">
        <v>10.06</v>
      </c>
      <c r="G3322" t="s">
        <v>27</v>
      </c>
      <c r="H3322">
        <v>36</v>
      </c>
      <c r="I3322" t="s">
        <v>34</v>
      </c>
      <c r="J3322" s="4">
        <v>69.599999999999994</v>
      </c>
      <c r="K3322" s="4">
        <v>181.7</v>
      </c>
      <c r="L3322" s="4">
        <v>26.3</v>
      </c>
      <c r="M3322">
        <v>11</v>
      </c>
      <c r="N3322" t="s">
        <v>37</v>
      </c>
      <c r="O3322">
        <v>5</v>
      </c>
      <c r="P3322" s="4">
        <v>960.9</v>
      </c>
      <c r="Q3322" t="s">
        <v>30</v>
      </c>
      <c r="R3322">
        <v>1</v>
      </c>
      <c r="S3322" t="s">
        <v>44</v>
      </c>
      <c r="T3322">
        <v>0</v>
      </c>
      <c r="U3322">
        <v>0</v>
      </c>
      <c r="V3322" t="s">
        <v>32</v>
      </c>
      <c r="W3322" t="s">
        <v>39</v>
      </c>
      <c r="X3322" s="4">
        <v>8</v>
      </c>
      <c r="Y3322">
        <v>11</v>
      </c>
      <c r="Z3322" s="5">
        <v>170.6</v>
      </c>
    </row>
    <row r="3323" spans="1:26">
      <c r="A3323">
        <v>3322</v>
      </c>
      <c r="B3323">
        <v>1088</v>
      </c>
      <c r="C3323" s="2">
        <v>46164</v>
      </c>
      <c r="D3323" t="s">
        <v>26</v>
      </c>
      <c r="E3323">
        <v>5</v>
      </c>
      <c r="F3323" s="3">
        <v>10.09</v>
      </c>
      <c r="G3323" t="s">
        <v>27</v>
      </c>
      <c r="H3323">
        <v>35</v>
      </c>
      <c r="I3323" t="s">
        <v>34</v>
      </c>
      <c r="J3323" s="4">
        <v>65.8</v>
      </c>
      <c r="K3323" s="4">
        <v>198.1</v>
      </c>
      <c r="L3323" s="4">
        <v>32.1</v>
      </c>
      <c r="M3323">
        <v>13</v>
      </c>
      <c r="N3323" t="s">
        <v>37</v>
      </c>
      <c r="O3323">
        <v>5</v>
      </c>
      <c r="P3323" s="4">
        <v>960.9</v>
      </c>
      <c r="Q3323" t="s">
        <v>30</v>
      </c>
      <c r="R3323">
        <v>1</v>
      </c>
      <c r="S3323" t="s">
        <v>44</v>
      </c>
      <c r="T3323">
        <v>0</v>
      </c>
      <c r="U3323">
        <v>0</v>
      </c>
      <c r="V3323" t="s">
        <v>32</v>
      </c>
      <c r="W3323" t="s">
        <v>39</v>
      </c>
      <c r="X3323" s="4">
        <v>10.199999999999999</v>
      </c>
      <c r="Y3323">
        <v>12</v>
      </c>
      <c r="Z3323" s="5">
        <v>301.51</v>
      </c>
    </row>
    <row r="3324" spans="1:26">
      <c r="A3324">
        <v>3323</v>
      </c>
      <c r="B3324">
        <v>1089</v>
      </c>
      <c r="C3324" s="2">
        <v>46377</v>
      </c>
      <c r="D3324" t="s">
        <v>46</v>
      </c>
      <c r="E3324">
        <v>12</v>
      </c>
      <c r="F3324" s="3">
        <v>11.53</v>
      </c>
      <c r="G3324" t="s">
        <v>36</v>
      </c>
      <c r="H3324">
        <v>56</v>
      </c>
      <c r="I3324" t="s">
        <v>28</v>
      </c>
      <c r="J3324" s="4">
        <v>70.099999999999994</v>
      </c>
      <c r="K3324" s="4">
        <v>161.69999999999999</v>
      </c>
      <c r="L3324" s="4">
        <v>23</v>
      </c>
      <c r="M3324">
        <v>16</v>
      </c>
      <c r="N3324" t="s">
        <v>50</v>
      </c>
      <c r="O3324">
        <v>1</v>
      </c>
      <c r="P3324" s="4">
        <v>452.2</v>
      </c>
      <c r="Q3324" t="s">
        <v>48</v>
      </c>
      <c r="R3324">
        <v>0</v>
      </c>
      <c r="S3324" t="s">
        <v>44</v>
      </c>
      <c r="T3324">
        <v>1</v>
      </c>
      <c r="U3324">
        <v>1</v>
      </c>
      <c r="V3324" t="s">
        <v>32</v>
      </c>
      <c r="W3324" t="s">
        <v>33</v>
      </c>
      <c r="X3324" s="4">
        <v>7.4</v>
      </c>
      <c r="Y3324">
        <v>7</v>
      </c>
      <c r="Z3324" s="5">
        <v>313.22000000000003</v>
      </c>
    </row>
    <row r="3325" spans="1:26">
      <c r="A3325">
        <v>3324</v>
      </c>
      <c r="B3325">
        <v>1090</v>
      </c>
      <c r="C3325" s="2">
        <v>46080</v>
      </c>
      <c r="D3325" t="s">
        <v>26</v>
      </c>
      <c r="E3325">
        <v>2</v>
      </c>
      <c r="F3325" s="3">
        <v>10.89</v>
      </c>
      <c r="G3325" t="s">
        <v>27</v>
      </c>
      <c r="H3325">
        <v>32</v>
      </c>
      <c r="I3325" t="s">
        <v>34</v>
      </c>
      <c r="J3325" s="4">
        <v>69.5</v>
      </c>
      <c r="K3325" s="4">
        <v>118.7</v>
      </c>
      <c r="L3325" s="4">
        <v>17.100000000000001</v>
      </c>
      <c r="M3325">
        <v>16</v>
      </c>
      <c r="N3325" t="s">
        <v>47</v>
      </c>
      <c r="O3325">
        <v>1</v>
      </c>
      <c r="P3325" s="4">
        <v>26.7</v>
      </c>
      <c r="Q3325" t="s">
        <v>30</v>
      </c>
      <c r="R3325">
        <v>0</v>
      </c>
      <c r="S3325" t="s">
        <v>44</v>
      </c>
      <c r="T3325">
        <v>0</v>
      </c>
      <c r="U3325">
        <v>0</v>
      </c>
      <c r="V3325" t="s">
        <v>32</v>
      </c>
      <c r="W3325" t="s">
        <v>39</v>
      </c>
      <c r="X3325" s="4">
        <v>8.4</v>
      </c>
      <c r="Y3325">
        <v>7</v>
      </c>
      <c r="Z3325" s="5">
        <v>163.22999999999999</v>
      </c>
    </row>
    <row r="3326" spans="1:26">
      <c r="A3326">
        <v>3325</v>
      </c>
      <c r="B3326">
        <v>1091</v>
      </c>
      <c r="C3326" s="2">
        <v>46251</v>
      </c>
      <c r="D3326" t="s">
        <v>46</v>
      </c>
      <c r="E3326">
        <v>8</v>
      </c>
      <c r="F3326" s="3">
        <v>12.35</v>
      </c>
      <c r="G3326" t="s">
        <v>36</v>
      </c>
      <c r="H3326">
        <v>65</v>
      </c>
      <c r="I3326" t="s">
        <v>28</v>
      </c>
      <c r="J3326" s="4">
        <v>70.8</v>
      </c>
      <c r="K3326" s="4">
        <v>222.8</v>
      </c>
      <c r="L3326" s="4">
        <v>31.3</v>
      </c>
      <c r="M3326">
        <v>15</v>
      </c>
      <c r="N3326" t="s">
        <v>56</v>
      </c>
      <c r="O3326">
        <v>2</v>
      </c>
      <c r="P3326" s="4">
        <v>158.80000000000001</v>
      </c>
      <c r="Q3326" t="s">
        <v>42</v>
      </c>
      <c r="R3326">
        <v>0</v>
      </c>
      <c r="S3326" t="s">
        <v>38</v>
      </c>
      <c r="T3326">
        <v>1</v>
      </c>
      <c r="U3326">
        <v>1</v>
      </c>
      <c r="V3326" t="s">
        <v>32</v>
      </c>
      <c r="W3326" t="s">
        <v>39</v>
      </c>
      <c r="X3326" s="4">
        <v>7.8</v>
      </c>
      <c r="Y3326">
        <v>4</v>
      </c>
      <c r="Z3326" s="5">
        <v>195.03</v>
      </c>
    </row>
    <row r="3327" spans="1:26">
      <c r="A3327">
        <v>3326</v>
      </c>
      <c r="B3327">
        <v>1091</v>
      </c>
      <c r="C3327" s="2">
        <v>46251</v>
      </c>
      <c r="D3327" t="s">
        <v>46</v>
      </c>
      <c r="E3327">
        <v>8</v>
      </c>
      <c r="F3327" s="3">
        <v>12.19</v>
      </c>
      <c r="G3327" t="s">
        <v>36</v>
      </c>
      <c r="H3327">
        <v>34</v>
      </c>
      <c r="I3327" t="s">
        <v>34</v>
      </c>
      <c r="J3327" s="4">
        <v>69</v>
      </c>
      <c r="K3327" s="4">
        <v>193.3</v>
      </c>
      <c r="L3327" s="4">
        <v>28.8</v>
      </c>
      <c r="M3327">
        <v>15</v>
      </c>
      <c r="N3327" t="s">
        <v>56</v>
      </c>
      <c r="O3327">
        <v>2</v>
      </c>
      <c r="P3327" s="4">
        <v>158.80000000000001</v>
      </c>
      <c r="Q3327" t="s">
        <v>42</v>
      </c>
      <c r="R3327">
        <v>0</v>
      </c>
      <c r="S3327" t="s">
        <v>38</v>
      </c>
      <c r="T3327">
        <v>1</v>
      </c>
      <c r="U3327">
        <v>1</v>
      </c>
      <c r="V3327" t="s">
        <v>32</v>
      </c>
      <c r="W3327" t="s">
        <v>39</v>
      </c>
      <c r="X3327" s="4">
        <v>9.5</v>
      </c>
      <c r="Y3327">
        <v>11</v>
      </c>
      <c r="Z3327" s="5">
        <v>412.42</v>
      </c>
    </row>
    <row r="3328" spans="1:26">
      <c r="A3328">
        <v>3327</v>
      </c>
      <c r="B3328">
        <v>1092</v>
      </c>
      <c r="C3328" s="2">
        <v>46033</v>
      </c>
      <c r="D3328" t="s">
        <v>58</v>
      </c>
      <c r="E3328">
        <v>1</v>
      </c>
      <c r="F3328" s="3">
        <v>11.08</v>
      </c>
      <c r="G3328" t="s">
        <v>36</v>
      </c>
      <c r="H3328">
        <v>22</v>
      </c>
      <c r="I3328" t="s">
        <v>28</v>
      </c>
      <c r="J3328" s="4">
        <v>69.2</v>
      </c>
      <c r="K3328" s="4">
        <v>162.80000000000001</v>
      </c>
      <c r="L3328" s="4">
        <v>23.8</v>
      </c>
      <c r="M3328">
        <v>15</v>
      </c>
      <c r="N3328" t="s">
        <v>47</v>
      </c>
      <c r="O3328">
        <v>2</v>
      </c>
      <c r="P3328" s="4">
        <v>137</v>
      </c>
      <c r="Q3328" t="s">
        <v>48</v>
      </c>
      <c r="R3328">
        <v>0</v>
      </c>
      <c r="S3328" t="s">
        <v>38</v>
      </c>
      <c r="T3328">
        <v>1</v>
      </c>
      <c r="U3328">
        <v>0</v>
      </c>
      <c r="V3328" t="s">
        <v>45</v>
      </c>
      <c r="W3328" t="s">
        <v>49</v>
      </c>
      <c r="X3328" s="4">
        <v>6.3</v>
      </c>
      <c r="Y3328">
        <v>6</v>
      </c>
      <c r="Z3328" s="5">
        <v>267.54000000000002</v>
      </c>
    </row>
    <row r="3329" spans="1:26">
      <c r="A3329">
        <v>3328</v>
      </c>
      <c r="B3329">
        <v>1092</v>
      </c>
      <c r="C3329" s="2">
        <v>46033</v>
      </c>
      <c r="D3329" t="s">
        <v>58</v>
      </c>
      <c r="E3329">
        <v>1</v>
      </c>
      <c r="F3329" s="3">
        <v>10.86</v>
      </c>
      <c r="G3329" t="s">
        <v>27</v>
      </c>
      <c r="H3329">
        <v>29</v>
      </c>
      <c r="I3329" t="s">
        <v>28</v>
      </c>
      <c r="J3329" s="4">
        <v>68.900000000000006</v>
      </c>
      <c r="K3329" s="4">
        <v>211.4</v>
      </c>
      <c r="L3329" s="4">
        <v>31.6</v>
      </c>
      <c r="M3329">
        <v>17</v>
      </c>
      <c r="N3329" t="s">
        <v>47</v>
      </c>
      <c r="O3329">
        <v>2</v>
      </c>
      <c r="P3329" s="4">
        <v>137</v>
      </c>
      <c r="Q3329" t="s">
        <v>48</v>
      </c>
      <c r="R3329">
        <v>0</v>
      </c>
      <c r="S3329" t="s">
        <v>38</v>
      </c>
      <c r="T3329">
        <v>1</v>
      </c>
      <c r="U3329">
        <v>0</v>
      </c>
      <c r="V3329" t="s">
        <v>45</v>
      </c>
      <c r="W3329" t="s">
        <v>49</v>
      </c>
      <c r="X3329" s="4">
        <v>7.4</v>
      </c>
      <c r="Y3329">
        <v>12</v>
      </c>
      <c r="Z3329" s="5">
        <v>316.87</v>
      </c>
    </row>
    <row r="3330" spans="1:26">
      <c r="A3330">
        <v>3329</v>
      </c>
      <c r="B3330">
        <v>1093</v>
      </c>
      <c r="C3330" s="2">
        <v>46162</v>
      </c>
      <c r="D3330" t="s">
        <v>52</v>
      </c>
      <c r="E3330">
        <v>5</v>
      </c>
      <c r="F3330" s="3">
        <v>10.88</v>
      </c>
      <c r="G3330" t="s">
        <v>27</v>
      </c>
      <c r="H3330">
        <v>8</v>
      </c>
      <c r="I3330" t="s">
        <v>34</v>
      </c>
      <c r="J3330" s="4">
        <v>63</v>
      </c>
      <c r="K3330" s="4">
        <v>108.5</v>
      </c>
      <c r="L3330" s="4">
        <v>19.600000000000001</v>
      </c>
      <c r="M3330">
        <v>13</v>
      </c>
      <c r="N3330" t="s">
        <v>63</v>
      </c>
      <c r="O3330">
        <v>4</v>
      </c>
      <c r="P3330" s="4">
        <v>1324.5</v>
      </c>
      <c r="Q3330" t="s">
        <v>42</v>
      </c>
      <c r="R3330">
        <v>1</v>
      </c>
      <c r="S3330" t="s">
        <v>44</v>
      </c>
      <c r="T3330">
        <v>1</v>
      </c>
      <c r="U3330">
        <v>1</v>
      </c>
      <c r="V3330" t="s">
        <v>45</v>
      </c>
      <c r="W3330" t="s">
        <v>43</v>
      </c>
      <c r="X3330" s="4">
        <v>9.3000000000000007</v>
      </c>
      <c r="Y3330">
        <v>14</v>
      </c>
      <c r="Z3330" s="5">
        <v>430.88</v>
      </c>
    </row>
    <row r="3331" spans="1:26">
      <c r="A3331">
        <v>3330</v>
      </c>
      <c r="B3331">
        <v>1093</v>
      </c>
      <c r="C3331" s="2">
        <v>46162</v>
      </c>
      <c r="D3331" t="s">
        <v>52</v>
      </c>
      <c r="E3331">
        <v>5</v>
      </c>
      <c r="F3331" s="3">
        <v>11.06</v>
      </c>
      <c r="G3331" t="s">
        <v>36</v>
      </c>
      <c r="H3331">
        <v>54</v>
      </c>
      <c r="I3331" t="s">
        <v>34</v>
      </c>
      <c r="J3331" s="4">
        <v>64.900000000000006</v>
      </c>
      <c r="K3331" s="4">
        <v>205</v>
      </c>
      <c r="L3331" s="4">
        <v>34.1</v>
      </c>
      <c r="M3331">
        <v>19</v>
      </c>
      <c r="N3331" t="s">
        <v>63</v>
      </c>
      <c r="O3331">
        <v>4</v>
      </c>
      <c r="P3331" s="4">
        <v>1324.5</v>
      </c>
      <c r="Q3331" t="s">
        <v>42</v>
      </c>
      <c r="R3331">
        <v>1</v>
      </c>
      <c r="S3331" t="s">
        <v>44</v>
      </c>
      <c r="T3331">
        <v>1</v>
      </c>
      <c r="U3331">
        <v>1</v>
      </c>
      <c r="V3331" t="s">
        <v>45</v>
      </c>
      <c r="W3331" t="s">
        <v>43</v>
      </c>
      <c r="X3331" s="4">
        <v>8.9</v>
      </c>
      <c r="Y3331">
        <v>15</v>
      </c>
      <c r="Z3331" s="5">
        <v>167.22</v>
      </c>
    </row>
    <row r="3332" spans="1:26">
      <c r="A3332">
        <v>3331</v>
      </c>
      <c r="B3332">
        <v>1093</v>
      </c>
      <c r="C3332" s="2">
        <v>46162</v>
      </c>
      <c r="D3332" t="s">
        <v>52</v>
      </c>
      <c r="E3332">
        <v>5</v>
      </c>
      <c r="F3332" s="3">
        <v>10.84</v>
      </c>
      <c r="G3332" t="s">
        <v>27</v>
      </c>
      <c r="H3332">
        <v>23</v>
      </c>
      <c r="I3332" t="s">
        <v>34</v>
      </c>
      <c r="J3332" s="4">
        <v>66.599999999999994</v>
      </c>
      <c r="K3332" s="4">
        <v>171.1</v>
      </c>
      <c r="L3332" s="4">
        <v>27.2</v>
      </c>
      <c r="M3332">
        <v>13</v>
      </c>
      <c r="N3332" t="s">
        <v>63</v>
      </c>
      <c r="O3332">
        <v>4</v>
      </c>
      <c r="P3332" s="4">
        <v>1324.5</v>
      </c>
      <c r="Q3332" t="s">
        <v>42</v>
      </c>
      <c r="R3332">
        <v>1</v>
      </c>
      <c r="S3332" t="s">
        <v>44</v>
      </c>
      <c r="T3332">
        <v>1</v>
      </c>
      <c r="U3332">
        <v>1</v>
      </c>
      <c r="V3332" t="s">
        <v>45</v>
      </c>
      <c r="W3332" t="s">
        <v>43</v>
      </c>
      <c r="X3332" s="4">
        <v>11.9</v>
      </c>
      <c r="Y3332">
        <v>10</v>
      </c>
      <c r="Z3332" s="5">
        <v>214.22</v>
      </c>
    </row>
    <row r="3333" spans="1:26">
      <c r="A3333">
        <v>3332</v>
      </c>
      <c r="B3333">
        <v>1093</v>
      </c>
      <c r="C3333" s="2">
        <v>46162</v>
      </c>
      <c r="D3333" t="s">
        <v>52</v>
      </c>
      <c r="E3333">
        <v>5</v>
      </c>
      <c r="F3333" s="3">
        <v>11.1</v>
      </c>
      <c r="G3333" t="s">
        <v>36</v>
      </c>
      <c r="H3333">
        <v>5</v>
      </c>
      <c r="I3333" t="s">
        <v>34</v>
      </c>
      <c r="J3333" s="4">
        <v>55.3</v>
      </c>
      <c r="K3333" s="4">
        <v>67.5</v>
      </c>
      <c r="L3333" s="4">
        <v>15.6</v>
      </c>
      <c r="M3333">
        <v>15</v>
      </c>
      <c r="N3333" t="s">
        <v>63</v>
      </c>
      <c r="O3333">
        <v>4</v>
      </c>
      <c r="P3333" s="4">
        <v>1324.5</v>
      </c>
      <c r="Q3333" t="s">
        <v>42</v>
      </c>
      <c r="R3333">
        <v>1</v>
      </c>
      <c r="S3333" t="s">
        <v>44</v>
      </c>
      <c r="T3333">
        <v>1</v>
      </c>
      <c r="U3333">
        <v>1</v>
      </c>
      <c r="V3333" t="s">
        <v>45</v>
      </c>
      <c r="W3333" t="s">
        <v>43</v>
      </c>
      <c r="X3333" s="4">
        <v>6.4</v>
      </c>
      <c r="Y3333">
        <v>4</v>
      </c>
      <c r="Z3333" s="5">
        <v>234.29</v>
      </c>
    </row>
    <row r="3334" spans="1:26">
      <c r="A3334">
        <v>3333</v>
      </c>
      <c r="B3334">
        <v>1094</v>
      </c>
      <c r="C3334" s="2">
        <v>46337</v>
      </c>
      <c r="D3334" t="s">
        <v>52</v>
      </c>
      <c r="E3334">
        <v>11</v>
      </c>
      <c r="F3334" s="3">
        <v>9.07</v>
      </c>
      <c r="G3334" t="s">
        <v>27</v>
      </c>
      <c r="H3334">
        <v>51</v>
      </c>
      <c r="I3334" t="s">
        <v>28</v>
      </c>
      <c r="J3334" s="4">
        <v>64.599999999999994</v>
      </c>
      <c r="K3334" s="4">
        <v>157.30000000000001</v>
      </c>
      <c r="L3334" s="4">
        <v>26.4</v>
      </c>
      <c r="M3334">
        <v>19</v>
      </c>
      <c r="N3334" t="s">
        <v>47</v>
      </c>
      <c r="O3334">
        <v>1</v>
      </c>
      <c r="P3334" s="4">
        <v>76.7</v>
      </c>
      <c r="Q3334" t="s">
        <v>48</v>
      </c>
      <c r="R3334">
        <v>1</v>
      </c>
      <c r="S3334" t="s">
        <v>31</v>
      </c>
      <c r="T3334">
        <v>0</v>
      </c>
      <c r="U3334">
        <v>0</v>
      </c>
      <c r="V3334" t="s">
        <v>32</v>
      </c>
      <c r="W3334" t="s">
        <v>57</v>
      </c>
      <c r="X3334" s="4">
        <v>8.4</v>
      </c>
      <c r="Y3334">
        <v>12</v>
      </c>
      <c r="Z3334" s="5">
        <v>222.13</v>
      </c>
    </row>
    <row r="3335" spans="1:26">
      <c r="A3335">
        <v>3334</v>
      </c>
      <c r="B3335">
        <v>1095</v>
      </c>
      <c r="C3335" s="2">
        <v>46347</v>
      </c>
      <c r="D3335" t="s">
        <v>40</v>
      </c>
      <c r="E3335">
        <v>11</v>
      </c>
      <c r="F3335" s="3">
        <v>11.94</v>
      </c>
      <c r="G3335" t="s">
        <v>36</v>
      </c>
      <c r="H3335">
        <v>18</v>
      </c>
      <c r="I3335" t="s">
        <v>34</v>
      </c>
      <c r="J3335" s="4">
        <v>65.400000000000006</v>
      </c>
      <c r="K3335" s="4">
        <v>129.6</v>
      </c>
      <c r="L3335" s="4">
        <v>21.3</v>
      </c>
      <c r="M3335">
        <v>8</v>
      </c>
      <c r="N3335" t="s">
        <v>47</v>
      </c>
      <c r="O3335">
        <v>3</v>
      </c>
      <c r="P3335" s="4">
        <v>41.8</v>
      </c>
      <c r="Q3335" t="s">
        <v>30</v>
      </c>
      <c r="R3335">
        <v>0</v>
      </c>
      <c r="S3335" t="s">
        <v>31</v>
      </c>
      <c r="T3335">
        <v>1</v>
      </c>
      <c r="U3335">
        <v>0</v>
      </c>
      <c r="V3335" t="s">
        <v>32</v>
      </c>
      <c r="W3335" t="s">
        <v>39</v>
      </c>
      <c r="X3335" s="4">
        <v>5.9</v>
      </c>
      <c r="Y3335">
        <v>8</v>
      </c>
      <c r="Z3335" s="5">
        <v>92.09</v>
      </c>
    </row>
    <row r="3336" spans="1:26">
      <c r="A3336">
        <v>3335</v>
      </c>
      <c r="B3336">
        <v>1095</v>
      </c>
      <c r="C3336" s="2">
        <v>46347</v>
      </c>
      <c r="D3336" t="s">
        <v>40</v>
      </c>
      <c r="E3336">
        <v>11</v>
      </c>
      <c r="F3336" s="3">
        <v>12.02</v>
      </c>
      <c r="G3336" t="s">
        <v>36</v>
      </c>
      <c r="H3336">
        <v>8</v>
      </c>
      <c r="I3336" t="s">
        <v>34</v>
      </c>
      <c r="J3336" s="4">
        <v>55.9</v>
      </c>
      <c r="K3336" s="4">
        <v>73.2</v>
      </c>
      <c r="L3336" s="4">
        <v>16.399999999999999</v>
      </c>
      <c r="M3336">
        <v>12</v>
      </c>
      <c r="N3336" t="s">
        <v>47</v>
      </c>
      <c r="O3336">
        <v>3</v>
      </c>
      <c r="P3336" s="4">
        <v>41.8</v>
      </c>
      <c r="Q3336" t="s">
        <v>30</v>
      </c>
      <c r="R3336">
        <v>0</v>
      </c>
      <c r="S3336" t="s">
        <v>31</v>
      </c>
      <c r="T3336">
        <v>1</v>
      </c>
      <c r="U3336">
        <v>0</v>
      </c>
      <c r="V3336" t="s">
        <v>32</v>
      </c>
      <c r="W3336" t="s">
        <v>39</v>
      </c>
      <c r="X3336" s="4">
        <v>8.5</v>
      </c>
      <c r="Y3336">
        <v>7</v>
      </c>
      <c r="Z3336" s="5">
        <v>142.41</v>
      </c>
    </row>
    <row r="3337" spans="1:26">
      <c r="A3337">
        <v>3336</v>
      </c>
      <c r="B3337">
        <v>1095</v>
      </c>
      <c r="C3337" s="2">
        <v>46347</v>
      </c>
      <c r="D3337" t="s">
        <v>40</v>
      </c>
      <c r="E3337">
        <v>11</v>
      </c>
      <c r="F3337" s="3">
        <v>11.98</v>
      </c>
      <c r="G3337" t="s">
        <v>36</v>
      </c>
      <c r="H3337">
        <v>70</v>
      </c>
      <c r="I3337" t="s">
        <v>28</v>
      </c>
      <c r="J3337" s="4">
        <v>68.7</v>
      </c>
      <c r="K3337" s="4">
        <v>132.69999999999999</v>
      </c>
      <c r="L3337" s="4">
        <v>19.7</v>
      </c>
      <c r="M3337">
        <v>14</v>
      </c>
      <c r="N3337" t="s">
        <v>47</v>
      </c>
      <c r="O3337">
        <v>3</v>
      </c>
      <c r="P3337" s="4">
        <v>41.8</v>
      </c>
      <c r="Q3337" t="s">
        <v>30</v>
      </c>
      <c r="R3337">
        <v>0</v>
      </c>
      <c r="S3337" t="s">
        <v>31</v>
      </c>
      <c r="T3337">
        <v>1</v>
      </c>
      <c r="U3337">
        <v>0</v>
      </c>
      <c r="V3337" t="s">
        <v>32</v>
      </c>
      <c r="W3337" t="s">
        <v>39</v>
      </c>
      <c r="X3337" s="4">
        <v>9.5</v>
      </c>
      <c r="Y3337">
        <v>4</v>
      </c>
      <c r="Z3337" s="5">
        <v>207.13</v>
      </c>
    </row>
    <row r="3338" spans="1:26">
      <c r="A3338">
        <v>3337</v>
      </c>
      <c r="B3338">
        <v>1096</v>
      </c>
      <c r="C3338" s="2">
        <v>46338</v>
      </c>
      <c r="D3338" t="s">
        <v>55</v>
      </c>
      <c r="E3338">
        <v>11</v>
      </c>
      <c r="F3338" s="3">
        <v>9.75</v>
      </c>
      <c r="G3338" t="s">
        <v>27</v>
      </c>
      <c r="H3338">
        <v>3</v>
      </c>
      <c r="I3338" t="s">
        <v>34</v>
      </c>
      <c r="J3338" s="4">
        <v>61.8</v>
      </c>
      <c r="K3338" s="4">
        <v>119.5</v>
      </c>
      <c r="L3338" s="4">
        <v>22.1</v>
      </c>
      <c r="M3338">
        <v>11</v>
      </c>
      <c r="N3338" t="s">
        <v>56</v>
      </c>
      <c r="O3338">
        <v>3</v>
      </c>
      <c r="P3338" s="4">
        <v>325.8</v>
      </c>
      <c r="Q3338" t="s">
        <v>30</v>
      </c>
      <c r="R3338">
        <v>1</v>
      </c>
      <c r="S3338" t="s">
        <v>38</v>
      </c>
      <c r="T3338">
        <v>1</v>
      </c>
      <c r="U3338">
        <v>0</v>
      </c>
      <c r="V3338" t="s">
        <v>32</v>
      </c>
      <c r="W3338" t="s">
        <v>39</v>
      </c>
      <c r="X3338" s="4">
        <v>8.5</v>
      </c>
      <c r="Y3338">
        <v>14</v>
      </c>
      <c r="Z3338" s="5">
        <v>298.02999999999997</v>
      </c>
    </row>
    <row r="3339" spans="1:26">
      <c r="A3339">
        <v>3338</v>
      </c>
      <c r="B3339">
        <v>1096</v>
      </c>
      <c r="C3339" s="2">
        <v>46338</v>
      </c>
      <c r="D3339" t="s">
        <v>55</v>
      </c>
      <c r="E3339">
        <v>11</v>
      </c>
      <c r="F3339" s="3">
        <v>9.77</v>
      </c>
      <c r="G3339" t="s">
        <v>27</v>
      </c>
      <c r="H3339">
        <v>60</v>
      </c>
      <c r="I3339" t="s">
        <v>28</v>
      </c>
      <c r="J3339" s="4">
        <v>64.7</v>
      </c>
      <c r="K3339" s="4">
        <v>139.1</v>
      </c>
      <c r="L3339" s="4">
        <v>23.5</v>
      </c>
      <c r="M3339">
        <v>15</v>
      </c>
      <c r="N3339" t="s">
        <v>56</v>
      </c>
      <c r="O3339">
        <v>3</v>
      </c>
      <c r="P3339" s="4">
        <v>325.8</v>
      </c>
      <c r="Q3339" t="s">
        <v>30</v>
      </c>
      <c r="R3339">
        <v>1</v>
      </c>
      <c r="S3339" t="s">
        <v>38</v>
      </c>
      <c r="T3339">
        <v>1</v>
      </c>
      <c r="U3339">
        <v>0</v>
      </c>
      <c r="V3339" t="s">
        <v>32</v>
      </c>
      <c r="W3339" t="s">
        <v>39</v>
      </c>
      <c r="X3339" s="4">
        <v>10</v>
      </c>
      <c r="Y3339">
        <v>8</v>
      </c>
      <c r="Z3339" s="5">
        <v>250.23</v>
      </c>
    </row>
    <row r="3340" spans="1:26">
      <c r="A3340">
        <v>3339</v>
      </c>
      <c r="B3340">
        <v>1096</v>
      </c>
      <c r="C3340" s="2">
        <v>46338</v>
      </c>
      <c r="D3340" t="s">
        <v>55</v>
      </c>
      <c r="E3340">
        <v>11</v>
      </c>
      <c r="F3340" s="3">
        <v>10.08</v>
      </c>
      <c r="G3340" t="s">
        <v>27</v>
      </c>
      <c r="H3340">
        <v>33</v>
      </c>
      <c r="I3340" t="s">
        <v>34</v>
      </c>
      <c r="J3340" s="4">
        <v>64.099999999999994</v>
      </c>
      <c r="K3340" s="4">
        <v>183.9</v>
      </c>
      <c r="L3340" s="4">
        <v>31.3</v>
      </c>
      <c r="M3340">
        <v>11</v>
      </c>
      <c r="N3340" t="s">
        <v>56</v>
      </c>
      <c r="O3340">
        <v>3</v>
      </c>
      <c r="P3340" s="4">
        <v>325.8</v>
      </c>
      <c r="Q3340" t="s">
        <v>30</v>
      </c>
      <c r="R3340">
        <v>1</v>
      </c>
      <c r="S3340" t="s">
        <v>38</v>
      </c>
      <c r="T3340">
        <v>1</v>
      </c>
      <c r="U3340">
        <v>0</v>
      </c>
      <c r="V3340" t="s">
        <v>32</v>
      </c>
      <c r="W3340" t="s">
        <v>39</v>
      </c>
      <c r="X3340" s="4">
        <v>6.9</v>
      </c>
      <c r="Y3340">
        <v>3</v>
      </c>
      <c r="Z3340" s="5">
        <v>150.87</v>
      </c>
    </row>
    <row r="3341" spans="1:26">
      <c r="A3341">
        <v>3340</v>
      </c>
      <c r="B3341">
        <v>1097</v>
      </c>
      <c r="C3341" s="2">
        <v>46207</v>
      </c>
      <c r="D3341" t="s">
        <v>40</v>
      </c>
      <c r="E3341">
        <v>7</v>
      </c>
      <c r="F3341" s="3">
        <v>8.19</v>
      </c>
      <c r="G3341" t="s">
        <v>27</v>
      </c>
      <c r="H3341">
        <v>56</v>
      </c>
      <c r="I3341" t="s">
        <v>28</v>
      </c>
      <c r="J3341" s="4">
        <v>68.8</v>
      </c>
      <c r="K3341" s="4">
        <v>185.7</v>
      </c>
      <c r="L3341" s="4">
        <v>27.8</v>
      </c>
      <c r="M3341">
        <v>17</v>
      </c>
      <c r="N3341" t="s">
        <v>61</v>
      </c>
      <c r="O3341">
        <v>3</v>
      </c>
      <c r="P3341" s="4">
        <v>2033.6</v>
      </c>
      <c r="Q3341" t="s">
        <v>42</v>
      </c>
      <c r="R3341">
        <v>1</v>
      </c>
      <c r="S3341" t="s">
        <v>44</v>
      </c>
      <c r="T3341">
        <v>0</v>
      </c>
      <c r="U3341">
        <v>1</v>
      </c>
      <c r="V3341" t="s">
        <v>32</v>
      </c>
      <c r="W3341" t="s">
        <v>39</v>
      </c>
      <c r="X3341" s="4">
        <v>12</v>
      </c>
      <c r="Y3341">
        <v>12</v>
      </c>
      <c r="Z3341" s="5">
        <v>402.05</v>
      </c>
    </row>
    <row r="3342" spans="1:26">
      <c r="A3342">
        <v>3341</v>
      </c>
      <c r="B3342">
        <v>1097</v>
      </c>
      <c r="C3342" s="2">
        <v>46207</v>
      </c>
      <c r="D3342" t="s">
        <v>40</v>
      </c>
      <c r="E3342">
        <v>7</v>
      </c>
      <c r="F3342" s="3">
        <v>7.96</v>
      </c>
      <c r="G3342" t="s">
        <v>27</v>
      </c>
      <c r="H3342">
        <v>60</v>
      </c>
      <c r="I3342" t="s">
        <v>34</v>
      </c>
      <c r="J3342" s="4">
        <v>67.7</v>
      </c>
      <c r="K3342" s="4">
        <v>182.8</v>
      </c>
      <c r="L3342" s="4">
        <v>27.8</v>
      </c>
      <c r="M3342">
        <v>12</v>
      </c>
      <c r="N3342" t="s">
        <v>61</v>
      </c>
      <c r="O3342">
        <v>3</v>
      </c>
      <c r="P3342" s="4">
        <v>2033.6</v>
      </c>
      <c r="Q3342" t="s">
        <v>42</v>
      </c>
      <c r="R3342">
        <v>1</v>
      </c>
      <c r="S3342" t="s">
        <v>44</v>
      </c>
      <c r="T3342">
        <v>0</v>
      </c>
      <c r="U3342">
        <v>1</v>
      </c>
      <c r="V3342" t="s">
        <v>32</v>
      </c>
      <c r="W3342" t="s">
        <v>39</v>
      </c>
      <c r="X3342" s="4">
        <v>7.7</v>
      </c>
      <c r="Y3342">
        <v>7</v>
      </c>
      <c r="Z3342" s="5">
        <v>244.18</v>
      </c>
    </row>
    <row r="3343" spans="1:26">
      <c r="A3343">
        <v>3342</v>
      </c>
      <c r="B3343">
        <v>1097</v>
      </c>
      <c r="C3343" s="2">
        <v>46207</v>
      </c>
      <c r="D3343" t="s">
        <v>40</v>
      </c>
      <c r="E3343">
        <v>7</v>
      </c>
      <c r="F3343" s="3">
        <v>8.02</v>
      </c>
      <c r="G3343" t="s">
        <v>27</v>
      </c>
      <c r="H3343">
        <v>6</v>
      </c>
      <c r="I3343" t="s">
        <v>34</v>
      </c>
      <c r="J3343" s="4">
        <v>62.7</v>
      </c>
      <c r="K3343" s="4">
        <v>91</v>
      </c>
      <c r="L3343" s="4">
        <v>16.3</v>
      </c>
      <c r="M3343">
        <v>14</v>
      </c>
      <c r="N3343" t="s">
        <v>61</v>
      </c>
      <c r="O3343">
        <v>3</v>
      </c>
      <c r="P3343" s="4">
        <v>2033.6</v>
      </c>
      <c r="Q3343" t="s">
        <v>42</v>
      </c>
      <c r="R3343">
        <v>1</v>
      </c>
      <c r="S3343" t="s">
        <v>44</v>
      </c>
      <c r="T3343">
        <v>0</v>
      </c>
      <c r="U3343">
        <v>1</v>
      </c>
      <c r="V3343" t="s">
        <v>32</v>
      </c>
      <c r="W3343" t="s">
        <v>39</v>
      </c>
      <c r="X3343" s="4">
        <v>10.5</v>
      </c>
      <c r="Y3343">
        <v>9</v>
      </c>
      <c r="Z3343" s="5">
        <v>299.56</v>
      </c>
    </row>
    <row r="3344" spans="1:26">
      <c r="A3344">
        <v>3343</v>
      </c>
      <c r="B3344">
        <v>1098</v>
      </c>
      <c r="C3344" s="2">
        <v>46074</v>
      </c>
      <c r="D3344" t="s">
        <v>40</v>
      </c>
      <c r="E3344">
        <v>2</v>
      </c>
      <c r="F3344" s="3">
        <v>11.14</v>
      </c>
      <c r="G3344" t="s">
        <v>36</v>
      </c>
      <c r="H3344">
        <v>55</v>
      </c>
      <c r="I3344" t="s">
        <v>28</v>
      </c>
      <c r="J3344" s="4">
        <v>68.2</v>
      </c>
      <c r="K3344" s="4">
        <v>151.5</v>
      </c>
      <c r="L3344" s="4">
        <v>23</v>
      </c>
      <c r="M3344">
        <v>14</v>
      </c>
      <c r="N3344" t="s">
        <v>60</v>
      </c>
      <c r="O3344">
        <v>3</v>
      </c>
      <c r="P3344" s="4">
        <v>1200.0999999999999</v>
      </c>
      <c r="Q3344" t="s">
        <v>42</v>
      </c>
      <c r="R3344">
        <v>0</v>
      </c>
      <c r="S3344" t="s">
        <v>31</v>
      </c>
      <c r="T3344">
        <v>0</v>
      </c>
      <c r="U3344">
        <v>0</v>
      </c>
      <c r="V3344" t="s">
        <v>32</v>
      </c>
      <c r="W3344" t="s">
        <v>39</v>
      </c>
      <c r="X3344" s="4">
        <v>7.8</v>
      </c>
      <c r="Y3344">
        <v>9</v>
      </c>
      <c r="Z3344" s="5">
        <v>188.73</v>
      </c>
    </row>
    <row r="3345" spans="1:26">
      <c r="A3345">
        <v>3344</v>
      </c>
      <c r="B3345">
        <v>1098</v>
      </c>
      <c r="C3345" s="2">
        <v>46074</v>
      </c>
      <c r="D3345" t="s">
        <v>40</v>
      </c>
      <c r="E3345">
        <v>2</v>
      </c>
      <c r="F3345" s="3">
        <v>11.41</v>
      </c>
      <c r="G3345" t="s">
        <v>36</v>
      </c>
      <c r="H3345">
        <v>39</v>
      </c>
      <c r="I3345" t="s">
        <v>28</v>
      </c>
      <c r="J3345" s="4">
        <v>74.400000000000006</v>
      </c>
      <c r="K3345" s="4">
        <v>215.5</v>
      </c>
      <c r="L3345" s="4">
        <v>27.4</v>
      </c>
      <c r="M3345">
        <v>17</v>
      </c>
      <c r="N3345" t="s">
        <v>60</v>
      </c>
      <c r="O3345">
        <v>3</v>
      </c>
      <c r="P3345" s="4">
        <v>1200.0999999999999</v>
      </c>
      <c r="Q3345" t="s">
        <v>42</v>
      </c>
      <c r="R3345">
        <v>0</v>
      </c>
      <c r="S3345" t="s">
        <v>31</v>
      </c>
      <c r="T3345">
        <v>0</v>
      </c>
      <c r="U3345">
        <v>0</v>
      </c>
      <c r="V3345" t="s">
        <v>32</v>
      </c>
      <c r="W3345" t="s">
        <v>39</v>
      </c>
      <c r="X3345" s="4">
        <v>7</v>
      </c>
      <c r="Y3345">
        <v>8</v>
      </c>
      <c r="Z3345" s="5">
        <v>140.06</v>
      </c>
    </row>
    <row r="3346" spans="1:26">
      <c r="A3346">
        <v>3345</v>
      </c>
      <c r="B3346">
        <v>1098</v>
      </c>
      <c r="C3346" s="2">
        <v>46074</v>
      </c>
      <c r="D3346" t="s">
        <v>40</v>
      </c>
      <c r="E3346">
        <v>2</v>
      </c>
      <c r="F3346" s="3">
        <v>11.24</v>
      </c>
      <c r="G3346" t="s">
        <v>36</v>
      </c>
      <c r="H3346">
        <v>18</v>
      </c>
      <c r="I3346" t="s">
        <v>34</v>
      </c>
      <c r="J3346" s="4">
        <v>63.9</v>
      </c>
      <c r="K3346" s="4">
        <v>168.5</v>
      </c>
      <c r="L3346" s="4">
        <v>28.9</v>
      </c>
      <c r="M3346">
        <v>13</v>
      </c>
      <c r="N3346" t="s">
        <v>60</v>
      </c>
      <c r="O3346">
        <v>3</v>
      </c>
      <c r="P3346" s="4">
        <v>1200.0999999999999</v>
      </c>
      <c r="Q3346" t="s">
        <v>42</v>
      </c>
      <c r="R3346">
        <v>0</v>
      </c>
      <c r="S3346" t="s">
        <v>31</v>
      </c>
      <c r="T3346">
        <v>0</v>
      </c>
      <c r="U3346">
        <v>0</v>
      </c>
      <c r="V3346" t="s">
        <v>32</v>
      </c>
      <c r="W3346" t="s">
        <v>39</v>
      </c>
      <c r="X3346" s="4">
        <v>10</v>
      </c>
      <c r="Y3346">
        <v>6</v>
      </c>
      <c r="Z3346" s="5">
        <v>207.1</v>
      </c>
    </row>
    <row r="3347" spans="1:26">
      <c r="A3347">
        <v>3346</v>
      </c>
      <c r="B3347">
        <v>1099</v>
      </c>
      <c r="C3347" s="2">
        <v>46317</v>
      </c>
      <c r="D3347" t="s">
        <v>55</v>
      </c>
      <c r="E3347">
        <v>10</v>
      </c>
      <c r="F3347" s="3">
        <v>10.37</v>
      </c>
      <c r="G3347" t="s">
        <v>27</v>
      </c>
      <c r="H3347">
        <v>41</v>
      </c>
      <c r="I3347" t="s">
        <v>28</v>
      </c>
      <c r="J3347" s="4">
        <v>66.3</v>
      </c>
      <c r="K3347" s="4">
        <v>116.8</v>
      </c>
      <c r="L3347" s="4">
        <v>19</v>
      </c>
      <c r="M3347">
        <v>16</v>
      </c>
      <c r="N3347" t="s">
        <v>60</v>
      </c>
      <c r="O3347">
        <v>1</v>
      </c>
      <c r="P3347" s="4">
        <v>979.4</v>
      </c>
      <c r="Q3347" t="s">
        <v>30</v>
      </c>
      <c r="R3347">
        <v>0</v>
      </c>
      <c r="S3347" t="s">
        <v>44</v>
      </c>
      <c r="T3347">
        <v>0</v>
      </c>
      <c r="U3347">
        <v>0</v>
      </c>
      <c r="V3347" t="s">
        <v>32</v>
      </c>
      <c r="W3347" t="s">
        <v>49</v>
      </c>
      <c r="X3347" s="4">
        <v>4.8</v>
      </c>
      <c r="Y3347">
        <v>3</v>
      </c>
      <c r="Z3347" s="5">
        <v>83.2</v>
      </c>
    </row>
    <row r="3348" spans="1:26">
      <c r="A3348">
        <v>3347</v>
      </c>
      <c r="B3348">
        <v>1100</v>
      </c>
      <c r="C3348" s="2">
        <v>46141</v>
      </c>
      <c r="D3348" t="s">
        <v>52</v>
      </c>
      <c r="E3348">
        <v>4</v>
      </c>
      <c r="F3348" s="3">
        <v>10.79</v>
      </c>
      <c r="G3348" t="s">
        <v>27</v>
      </c>
      <c r="H3348">
        <v>32</v>
      </c>
      <c r="I3348" t="s">
        <v>28</v>
      </c>
      <c r="J3348" s="4">
        <v>68.900000000000006</v>
      </c>
      <c r="K3348" s="4">
        <v>176.6</v>
      </c>
      <c r="L3348" s="4">
        <v>26</v>
      </c>
      <c r="M3348">
        <v>14</v>
      </c>
      <c r="N3348" t="s">
        <v>63</v>
      </c>
      <c r="O3348">
        <v>5</v>
      </c>
      <c r="P3348" s="4">
        <v>1738.4</v>
      </c>
      <c r="Q3348" t="s">
        <v>42</v>
      </c>
      <c r="R3348">
        <v>1</v>
      </c>
      <c r="S3348" t="s">
        <v>44</v>
      </c>
      <c r="T3348">
        <v>0</v>
      </c>
      <c r="U3348">
        <v>1</v>
      </c>
      <c r="V3348" t="s">
        <v>32</v>
      </c>
      <c r="W3348" t="s">
        <v>49</v>
      </c>
      <c r="X3348" s="4">
        <v>8.9</v>
      </c>
      <c r="Y3348">
        <v>4</v>
      </c>
      <c r="Z3348" s="5">
        <v>306.82</v>
      </c>
    </row>
    <row r="3349" spans="1:26">
      <c r="A3349">
        <v>3348</v>
      </c>
      <c r="B3349">
        <v>1100</v>
      </c>
      <c r="C3349" s="2">
        <v>46141</v>
      </c>
      <c r="D3349" t="s">
        <v>52</v>
      </c>
      <c r="E3349">
        <v>4</v>
      </c>
      <c r="F3349" s="3">
        <v>10.69</v>
      </c>
      <c r="G3349" t="s">
        <v>27</v>
      </c>
      <c r="H3349">
        <v>46</v>
      </c>
      <c r="I3349" t="s">
        <v>28</v>
      </c>
      <c r="J3349" s="4">
        <v>75.900000000000006</v>
      </c>
      <c r="K3349" s="4">
        <v>212.5</v>
      </c>
      <c r="L3349" s="4">
        <v>26.2</v>
      </c>
      <c r="M3349">
        <v>15</v>
      </c>
      <c r="N3349" t="s">
        <v>63</v>
      </c>
      <c r="O3349">
        <v>5</v>
      </c>
      <c r="P3349" s="4">
        <v>1738.4</v>
      </c>
      <c r="Q3349" t="s">
        <v>42</v>
      </c>
      <c r="R3349">
        <v>1</v>
      </c>
      <c r="S3349" t="s">
        <v>44</v>
      </c>
      <c r="T3349">
        <v>0</v>
      </c>
      <c r="U3349">
        <v>1</v>
      </c>
      <c r="V3349" t="s">
        <v>32</v>
      </c>
      <c r="W3349" t="s">
        <v>49</v>
      </c>
      <c r="X3349" s="4">
        <v>9.6999999999999993</v>
      </c>
      <c r="Y3349">
        <v>15</v>
      </c>
      <c r="Z3349" s="5">
        <v>291.58999999999997</v>
      </c>
    </row>
    <row r="3350" spans="1:26">
      <c r="A3350">
        <v>3349</v>
      </c>
      <c r="B3350">
        <v>1100</v>
      </c>
      <c r="C3350" s="2">
        <v>46141</v>
      </c>
      <c r="D3350" t="s">
        <v>52</v>
      </c>
      <c r="E3350">
        <v>4</v>
      </c>
      <c r="F3350" s="3">
        <v>10.77</v>
      </c>
      <c r="G3350" t="s">
        <v>27</v>
      </c>
      <c r="H3350">
        <v>34</v>
      </c>
      <c r="I3350" t="s">
        <v>28</v>
      </c>
      <c r="J3350" s="4">
        <v>64.5</v>
      </c>
      <c r="K3350" s="4">
        <v>162.4</v>
      </c>
      <c r="L3350" s="4">
        <v>27.6</v>
      </c>
      <c r="M3350">
        <v>11</v>
      </c>
      <c r="N3350" t="s">
        <v>63</v>
      </c>
      <c r="O3350">
        <v>5</v>
      </c>
      <c r="P3350" s="4">
        <v>1738.4</v>
      </c>
      <c r="Q3350" t="s">
        <v>42</v>
      </c>
      <c r="R3350">
        <v>1</v>
      </c>
      <c r="S3350" t="s">
        <v>44</v>
      </c>
      <c r="T3350">
        <v>0</v>
      </c>
      <c r="U3350">
        <v>1</v>
      </c>
      <c r="V3350" t="s">
        <v>32</v>
      </c>
      <c r="W3350" t="s">
        <v>49</v>
      </c>
      <c r="X3350" s="4">
        <v>8.8000000000000007</v>
      </c>
      <c r="Y3350">
        <v>12</v>
      </c>
      <c r="Z3350" s="5">
        <v>421.23</v>
      </c>
    </row>
    <row r="3351" spans="1:26">
      <c r="A3351">
        <v>3350</v>
      </c>
      <c r="B3351">
        <v>1100</v>
      </c>
      <c r="C3351" s="2">
        <v>46141</v>
      </c>
      <c r="D3351" t="s">
        <v>52</v>
      </c>
      <c r="E3351">
        <v>4</v>
      </c>
      <c r="F3351" s="3">
        <v>10.91</v>
      </c>
      <c r="G3351" t="s">
        <v>27</v>
      </c>
      <c r="H3351">
        <v>6</v>
      </c>
      <c r="I3351" t="s">
        <v>28</v>
      </c>
      <c r="J3351" s="4">
        <v>55.5</v>
      </c>
      <c r="K3351" s="4">
        <v>89.7</v>
      </c>
      <c r="L3351" s="4">
        <v>20.399999999999999</v>
      </c>
      <c r="M3351">
        <v>12</v>
      </c>
      <c r="N3351" t="s">
        <v>63</v>
      </c>
      <c r="O3351">
        <v>5</v>
      </c>
      <c r="P3351" s="4">
        <v>1738.4</v>
      </c>
      <c r="Q3351" t="s">
        <v>42</v>
      </c>
      <c r="R3351">
        <v>1</v>
      </c>
      <c r="S3351" t="s">
        <v>44</v>
      </c>
      <c r="T3351">
        <v>0</v>
      </c>
      <c r="U3351">
        <v>1</v>
      </c>
      <c r="V3351" t="s">
        <v>32</v>
      </c>
      <c r="W3351" t="s">
        <v>49</v>
      </c>
      <c r="X3351" s="4">
        <v>8.8000000000000007</v>
      </c>
      <c r="Y3351">
        <v>7</v>
      </c>
      <c r="Z3351" s="5">
        <v>260.54000000000002</v>
      </c>
    </row>
    <row r="3352" spans="1:26">
      <c r="A3352">
        <v>3351</v>
      </c>
      <c r="B3352">
        <v>1100</v>
      </c>
      <c r="C3352" s="2">
        <v>46141</v>
      </c>
      <c r="D3352" t="s">
        <v>52</v>
      </c>
      <c r="E3352">
        <v>4</v>
      </c>
      <c r="F3352" s="3">
        <v>10.79</v>
      </c>
      <c r="G3352" t="s">
        <v>27</v>
      </c>
      <c r="H3352">
        <v>3</v>
      </c>
      <c r="I3352" t="s">
        <v>34</v>
      </c>
      <c r="J3352" s="4">
        <v>50.7</v>
      </c>
      <c r="K3352" s="4">
        <v>65.599999999999994</v>
      </c>
      <c r="L3352" s="4">
        <v>18</v>
      </c>
      <c r="M3352">
        <v>11</v>
      </c>
      <c r="N3352" t="s">
        <v>63</v>
      </c>
      <c r="O3352">
        <v>5</v>
      </c>
      <c r="P3352" s="4">
        <v>1738.4</v>
      </c>
      <c r="Q3352" t="s">
        <v>42</v>
      </c>
      <c r="R3352">
        <v>1</v>
      </c>
      <c r="S3352" t="s">
        <v>44</v>
      </c>
      <c r="T3352">
        <v>0</v>
      </c>
      <c r="U3352">
        <v>1</v>
      </c>
      <c r="V3352" t="s">
        <v>32</v>
      </c>
      <c r="W3352" t="s">
        <v>49</v>
      </c>
      <c r="X3352" s="4">
        <v>8.6999999999999993</v>
      </c>
      <c r="Y3352">
        <v>10</v>
      </c>
      <c r="Z3352" s="5">
        <v>366.99</v>
      </c>
    </row>
    <row r="3353" spans="1:26">
      <c r="A3353">
        <v>3352</v>
      </c>
      <c r="B3353">
        <v>1101</v>
      </c>
      <c r="C3353" s="2">
        <v>46158</v>
      </c>
      <c r="D3353" t="s">
        <v>40</v>
      </c>
      <c r="E3353">
        <v>5</v>
      </c>
      <c r="F3353" s="3">
        <v>9.3800000000000008</v>
      </c>
      <c r="G3353" t="s">
        <v>27</v>
      </c>
      <c r="H3353">
        <v>62</v>
      </c>
      <c r="I3353" t="s">
        <v>28</v>
      </c>
      <c r="J3353" s="4">
        <v>68.2</v>
      </c>
      <c r="K3353" s="4">
        <v>157.6</v>
      </c>
      <c r="L3353" s="4">
        <v>23.8</v>
      </c>
      <c r="M3353">
        <v>15</v>
      </c>
      <c r="N3353" t="s">
        <v>47</v>
      </c>
      <c r="O3353">
        <v>4</v>
      </c>
      <c r="P3353" s="4">
        <v>144.6</v>
      </c>
      <c r="Q3353" t="s">
        <v>48</v>
      </c>
      <c r="R3353">
        <v>0</v>
      </c>
      <c r="S3353" t="s">
        <v>44</v>
      </c>
      <c r="T3353">
        <v>1</v>
      </c>
      <c r="U3353">
        <v>0</v>
      </c>
      <c r="V3353" t="s">
        <v>32</v>
      </c>
      <c r="W3353" t="s">
        <v>57</v>
      </c>
      <c r="X3353" s="4">
        <v>6.5</v>
      </c>
      <c r="Y3353">
        <v>6</v>
      </c>
      <c r="Z3353" s="5">
        <v>162.46</v>
      </c>
    </row>
    <row r="3354" spans="1:26">
      <c r="A3354">
        <v>3353</v>
      </c>
      <c r="B3354">
        <v>1101</v>
      </c>
      <c r="C3354" s="2">
        <v>46158</v>
      </c>
      <c r="D3354" t="s">
        <v>40</v>
      </c>
      <c r="E3354">
        <v>5</v>
      </c>
      <c r="F3354" s="3">
        <v>9.24</v>
      </c>
      <c r="G3354" t="s">
        <v>27</v>
      </c>
      <c r="H3354">
        <v>28</v>
      </c>
      <c r="I3354" t="s">
        <v>34</v>
      </c>
      <c r="J3354" s="4">
        <v>64.3</v>
      </c>
      <c r="K3354" s="4">
        <v>145.5</v>
      </c>
      <c r="L3354" s="4">
        <v>24.8</v>
      </c>
      <c r="M3354">
        <v>18</v>
      </c>
      <c r="N3354" t="s">
        <v>47</v>
      </c>
      <c r="O3354">
        <v>4</v>
      </c>
      <c r="P3354" s="4">
        <v>144.6</v>
      </c>
      <c r="Q3354" t="s">
        <v>48</v>
      </c>
      <c r="R3354">
        <v>0</v>
      </c>
      <c r="S3354" t="s">
        <v>44</v>
      </c>
      <c r="T3354">
        <v>1</v>
      </c>
      <c r="U3354">
        <v>0</v>
      </c>
      <c r="V3354" t="s">
        <v>32</v>
      </c>
      <c r="W3354" t="s">
        <v>57</v>
      </c>
      <c r="X3354" s="4">
        <v>9.8000000000000007</v>
      </c>
      <c r="Y3354">
        <v>9</v>
      </c>
      <c r="Z3354" s="5">
        <v>246.85</v>
      </c>
    </row>
    <row r="3355" spans="1:26">
      <c r="A3355">
        <v>3354</v>
      </c>
      <c r="B3355">
        <v>1101</v>
      </c>
      <c r="C3355" s="2">
        <v>46158</v>
      </c>
      <c r="D3355" t="s">
        <v>40</v>
      </c>
      <c r="E3355">
        <v>5</v>
      </c>
      <c r="F3355" s="3">
        <v>9.35</v>
      </c>
      <c r="G3355" t="s">
        <v>27</v>
      </c>
      <c r="H3355">
        <v>39</v>
      </c>
      <c r="I3355" t="s">
        <v>34</v>
      </c>
      <c r="J3355" s="4">
        <v>62.8</v>
      </c>
      <c r="K3355" s="4">
        <v>216</v>
      </c>
      <c r="L3355" s="4">
        <v>38.299999999999997</v>
      </c>
      <c r="M3355">
        <v>19</v>
      </c>
      <c r="N3355" t="s">
        <v>47</v>
      </c>
      <c r="O3355">
        <v>4</v>
      </c>
      <c r="P3355" s="4">
        <v>144.6</v>
      </c>
      <c r="Q3355" t="s">
        <v>48</v>
      </c>
      <c r="R3355">
        <v>0</v>
      </c>
      <c r="S3355" t="s">
        <v>44</v>
      </c>
      <c r="T3355">
        <v>1</v>
      </c>
      <c r="U3355">
        <v>0</v>
      </c>
      <c r="V3355" t="s">
        <v>32</v>
      </c>
      <c r="W3355" t="s">
        <v>57</v>
      </c>
      <c r="X3355" s="4">
        <v>6.3</v>
      </c>
      <c r="Y3355">
        <v>4</v>
      </c>
      <c r="Z3355" s="5">
        <v>263.13</v>
      </c>
    </row>
    <row r="3356" spans="1:26">
      <c r="A3356">
        <v>3355</v>
      </c>
      <c r="B3356">
        <v>1101</v>
      </c>
      <c r="C3356" s="2">
        <v>46158</v>
      </c>
      <c r="D3356" t="s">
        <v>40</v>
      </c>
      <c r="E3356">
        <v>5</v>
      </c>
      <c r="F3356" s="3">
        <v>9.51</v>
      </c>
      <c r="G3356" t="s">
        <v>27</v>
      </c>
      <c r="H3356">
        <v>12</v>
      </c>
      <c r="I3356" t="s">
        <v>34</v>
      </c>
      <c r="J3356" s="4">
        <v>65</v>
      </c>
      <c r="K3356" s="4">
        <v>107.6</v>
      </c>
      <c r="L3356" s="4">
        <v>17.899999999999999</v>
      </c>
      <c r="M3356">
        <v>16</v>
      </c>
      <c r="N3356" t="s">
        <v>47</v>
      </c>
      <c r="O3356">
        <v>4</v>
      </c>
      <c r="P3356" s="4">
        <v>144.6</v>
      </c>
      <c r="Q3356" t="s">
        <v>48</v>
      </c>
      <c r="R3356">
        <v>0</v>
      </c>
      <c r="S3356" t="s">
        <v>44</v>
      </c>
      <c r="T3356">
        <v>1</v>
      </c>
      <c r="U3356">
        <v>0</v>
      </c>
      <c r="V3356" t="s">
        <v>32</v>
      </c>
      <c r="W3356" t="s">
        <v>57</v>
      </c>
      <c r="X3356" s="4">
        <v>6.7</v>
      </c>
      <c r="Y3356">
        <v>3</v>
      </c>
      <c r="Z3356" s="5">
        <v>220.44</v>
      </c>
    </row>
    <row r="3357" spans="1:26">
      <c r="A3357">
        <v>3356</v>
      </c>
      <c r="B3357">
        <v>1102</v>
      </c>
      <c r="C3357" s="2">
        <v>46147</v>
      </c>
      <c r="D3357" t="s">
        <v>35</v>
      </c>
      <c r="E3357">
        <v>5</v>
      </c>
      <c r="F3357" s="3">
        <v>10.18</v>
      </c>
      <c r="G3357" t="s">
        <v>27</v>
      </c>
      <c r="H3357">
        <v>57</v>
      </c>
      <c r="I3357" t="s">
        <v>28</v>
      </c>
      <c r="J3357" s="4">
        <v>69.400000000000006</v>
      </c>
      <c r="K3357" s="4">
        <v>162.4</v>
      </c>
      <c r="L3357" s="4">
        <v>23.6</v>
      </c>
      <c r="M3357">
        <v>20</v>
      </c>
      <c r="N3357" t="s">
        <v>66</v>
      </c>
      <c r="O3357">
        <v>3</v>
      </c>
      <c r="P3357" s="4">
        <v>547.79999999999995</v>
      </c>
      <c r="Q3357" t="s">
        <v>48</v>
      </c>
      <c r="R3357">
        <v>1</v>
      </c>
      <c r="S3357" t="s">
        <v>31</v>
      </c>
      <c r="T3357">
        <v>0</v>
      </c>
      <c r="U3357">
        <v>1</v>
      </c>
      <c r="V3357" t="s">
        <v>64</v>
      </c>
      <c r="W3357" t="s">
        <v>33</v>
      </c>
      <c r="X3357" s="4">
        <v>10.1</v>
      </c>
      <c r="Y3357">
        <v>9</v>
      </c>
      <c r="Z3357" s="5">
        <v>390.18</v>
      </c>
    </row>
    <row r="3358" spans="1:26">
      <c r="A3358">
        <v>3357</v>
      </c>
      <c r="B3358">
        <v>1102</v>
      </c>
      <c r="C3358" s="2">
        <v>46147</v>
      </c>
      <c r="D3358" t="s">
        <v>35</v>
      </c>
      <c r="E3358">
        <v>5</v>
      </c>
      <c r="F3358" s="3">
        <v>10.41</v>
      </c>
      <c r="G3358" t="s">
        <v>27</v>
      </c>
      <c r="H3358">
        <v>18</v>
      </c>
      <c r="I3358" t="s">
        <v>28</v>
      </c>
      <c r="J3358" s="4">
        <v>63.2</v>
      </c>
      <c r="K3358" s="4">
        <v>157.9</v>
      </c>
      <c r="L3358" s="4">
        <v>27.5</v>
      </c>
      <c r="M3358">
        <v>15</v>
      </c>
      <c r="N3358" t="s">
        <v>66</v>
      </c>
      <c r="O3358">
        <v>3</v>
      </c>
      <c r="P3358" s="4">
        <v>547.79999999999995</v>
      </c>
      <c r="Q3358" t="s">
        <v>48</v>
      </c>
      <c r="R3358">
        <v>1</v>
      </c>
      <c r="S3358" t="s">
        <v>31</v>
      </c>
      <c r="T3358">
        <v>0</v>
      </c>
      <c r="U3358">
        <v>1</v>
      </c>
      <c r="V3358" t="s">
        <v>64</v>
      </c>
      <c r="W3358" t="s">
        <v>33</v>
      </c>
      <c r="X3358" s="4">
        <v>11.1</v>
      </c>
      <c r="Y3358">
        <v>6</v>
      </c>
      <c r="Z3358" s="5">
        <v>273.39999999999998</v>
      </c>
    </row>
    <row r="3359" spans="1:26">
      <c r="A3359">
        <v>3358</v>
      </c>
      <c r="B3359">
        <v>1102</v>
      </c>
      <c r="C3359" s="2">
        <v>46147</v>
      </c>
      <c r="D3359" t="s">
        <v>35</v>
      </c>
      <c r="E3359">
        <v>5</v>
      </c>
      <c r="F3359" s="3">
        <v>10.38</v>
      </c>
      <c r="G3359" t="s">
        <v>27</v>
      </c>
      <c r="H3359">
        <v>41</v>
      </c>
      <c r="I3359" t="s">
        <v>28</v>
      </c>
      <c r="J3359" s="4">
        <v>70.599999999999994</v>
      </c>
      <c r="K3359" s="4">
        <v>204.3</v>
      </c>
      <c r="L3359" s="4">
        <v>28.8</v>
      </c>
      <c r="M3359">
        <v>19</v>
      </c>
      <c r="N3359" t="s">
        <v>66</v>
      </c>
      <c r="O3359">
        <v>3</v>
      </c>
      <c r="P3359" s="4">
        <v>547.79999999999995</v>
      </c>
      <c r="Q3359" t="s">
        <v>48</v>
      </c>
      <c r="R3359">
        <v>1</v>
      </c>
      <c r="S3359" t="s">
        <v>31</v>
      </c>
      <c r="T3359">
        <v>0</v>
      </c>
      <c r="U3359">
        <v>1</v>
      </c>
      <c r="V3359" t="s">
        <v>64</v>
      </c>
      <c r="W3359" t="s">
        <v>33</v>
      </c>
      <c r="X3359" s="4">
        <v>8.5</v>
      </c>
      <c r="Y3359">
        <v>8</v>
      </c>
      <c r="Z3359" s="5">
        <v>324.12</v>
      </c>
    </row>
    <row r="3360" spans="1:26">
      <c r="A3360">
        <v>3359</v>
      </c>
      <c r="B3360">
        <v>1103</v>
      </c>
      <c r="C3360" s="2">
        <v>46343</v>
      </c>
      <c r="D3360" t="s">
        <v>35</v>
      </c>
      <c r="E3360">
        <v>11</v>
      </c>
      <c r="F3360" s="3">
        <v>9.99</v>
      </c>
      <c r="G3360" t="s">
        <v>27</v>
      </c>
      <c r="H3360">
        <v>34</v>
      </c>
      <c r="I3360" t="s">
        <v>28</v>
      </c>
      <c r="J3360" s="4">
        <v>68.900000000000006</v>
      </c>
      <c r="K3360" s="4">
        <v>218.9</v>
      </c>
      <c r="L3360" s="4">
        <v>32.6</v>
      </c>
      <c r="M3360">
        <v>15</v>
      </c>
      <c r="N3360" t="s">
        <v>29</v>
      </c>
      <c r="O3360">
        <v>1</v>
      </c>
      <c r="P3360" s="4">
        <v>2153.6999999999998</v>
      </c>
      <c r="Q3360" t="s">
        <v>30</v>
      </c>
      <c r="R3360">
        <v>1</v>
      </c>
      <c r="S3360" t="s">
        <v>38</v>
      </c>
      <c r="T3360">
        <v>0</v>
      </c>
      <c r="U3360">
        <v>0</v>
      </c>
      <c r="V3360" t="s">
        <v>32</v>
      </c>
      <c r="W3360" t="s">
        <v>57</v>
      </c>
      <c r="X3360" s="4">
        <v>9.3000000000000007</v>
      </c>
      <c r="Y3360">
        <v>9</v>
      </c>
      <c r="Z3360" s="5">
        <v>231.34</v>
      </c>
    </row>
    <row r="3361" spans="1:26">
      <c r="A3361">
        <v>3360</v>
      </c>
      <c r="B3361">
        <v>1104</v>
      </c>
      <c r="C3361" s="2">
        <v>46219</v>
      </c>
      <c r="D3361" t="s">
        <v>55</v>
      </c>
      <c r="E3361">
        <v>7</v>
      </c>
      <c r="F3361" s="3">
        <v>11.38</v>
      </c>
      <c r="G3361" t="s">
        <v>36</v>
      </c>
      <c r="H3361">
        <v>24</v>
      </c>
      <c r="I3361" t="s">
        <v>28</v>
      </c>
      <c r="J3361" s="4">
        <v>70.599999999999994</v>
      </c>
      <c r="K3361" s="4">
        <v>96.8</v>
      </c>
      <c r="L3361" s="4">
        <v>13.5</v>
      </c>
      <c r="M3361">
        <v>16</v>
      </c>
      <c r="N3361" t="s">
        <v>66</v>
      </c>
      <c r="O3361">
        <v>4</v>
      </c>
      <c r="P3361" s="4">
        <v>712.1</v>
      </c>
      <c r="Q3361" t="s">
        <v>42</v>
      </c>
      <c r="R3361">
        <v>1</v>
      </c>
      <c r="S3361" t="s">
        <v>38</v>
      </c>
      <c r="T3361">
        <v>0</v>
      </c>
      <c r="U3361">
        <v>0</v>
      </c>
      <c r="V3361" t="s">
        <v>45</v>
      </c>
      <c r="W3361" t="s">
        <v>49</v>
      </c>
      <c r="X3361" s="4">
        <v>6.6</v>
      </c>
      <c r="Y3361">
        <v>3</v>
      </c>
      <c r="Z3361" s="5">
        <v>270.3</v>
      </c>
    </row>
    <row r="3362" spans="1:26">
      <c r="A3362">
        <v>3361</v>
      </c>
      <c r="B3362">
        <v>1104</v>
      </c>
      <c r="C3362" s="2">
        <v>46219</v>
      </c>
      <c r="D3362" t="s">
        <v>55</v>
      </c>
      <c r="E3362">
        <v>7</v>
      </c>
      <c r="F3362" s="3">
        <v>11.43</v>
      </c>
      <c r="G3362" t="s">
        <v>36</v>
      </c>
      <c r="H3362">
        <v>18</v>
      </c>
      <c r="I3362" t="s">
        <v>34</v>
      </c>
      <c r="J3362" s="4">
        <v>66.3</v>
      </c>
      <c r="K3362" s="4">
        <v>114.1</v>
      </c>
      <c r="L3362" s="4">
        <v>18.3</v>
      </c>
      <c r="M3362">
        <v>13</v>
      </c>
      <c r="N3362" t="s">
        <v>66</v>
      </c>
      <c r="O3362">
        <v>4</v>
      </c>
      <c r="P3362" s="4">
        <v>712.1</v>
      </c>
      <c r="Q3362" t="s">
        <v>42</v>
      </c>
      <c r="R3362">
        <v>1</v>
      </c>
      <c r="S3362" t="s">
        <v>38</v>
      </c>
      <c r="T3362">
        <v>0</v>
      </c>
      <c r="U3362">
        <v>0</v>
      </c>
      <c r="V3362" t="s">
        <v>45</v>
      </c>
      <c r="W3362" t="s">
        <v>49</v>
      </c>
      <c r="X3362" s="4">
        <v>6.7</v>
      </c>
      <c r="Y3362">
        <v>10</v>
      </c>
      <c r="Z3362" s="5">
        <v>187.25</v>
      </c>
    </row>
    <row r="3363" spans="1:26">
      <c r="A3363">
        <v>3362</v>
      </c>
      <c r="B3363">
        <v>1104</v>
      </c>
      <c r="C3363" s="2">
        <v>46219</v>
      </c>
      <c r="D3363" t="s">
        <v>55</v>
      </c>
      <c r="E3363">
        <v>7</v>
      </c>
      <c r="F3363" s="3">
        <v>11.38</v>
      </c>
      <c r="G3363" t="s">
        <v>36</v>
      </c>
      <c r="H3363">
        <v>25</v>
      </c>
      <c r="I3363" t="s">
        <v>34</v>
      </c>
      <c r="J3363" s="4">
        <v>62.6</v>
      </c>
      <c r="K3363" s="4">
        <v>168.5</v>
      </c>
      <c r="L3363" s="4">
        <v>30.1</v>
      </c>
      <c r="M3363">
        <v>16</v>
      </c>
      <c r="N3363" t="s">
        <v>66</v>
      </c>
      <c r="O3363">
        <v>4</v>
      </c>
      <c r="P3363" s="4">
        <v>712.1</v>
      </c>
      <c r="Q3363" t="s">
        <v>42</v>
      </c>
      <c r="R3363">
        <v>1</v>
      </c>
      <c r="S3363" t="s">
        <v>38</v>
      </c>
      <c r="T3363">
        <v>0</v>
      </c>
      <c r="U3363">
        <v>0</v>
      </c>
      <c r="V3363" t="s">
        <v>45</v>
      </c>
      <c r="W3363" t="s">
        <v>49</v>
      </c>
      <c r="X3363" s="4">
        <v>7.9</v>
      </c>
      <c r="Y3363">
        <v>9</v>
      </c>
      <c r="Z3363" s="5">
        <v>207.38</v>
      </c>
    </row>
    <row r="3364" spans="1:26">
      <c r="A3364">
        <v>3363</v>
      </c>
      <c r="B3364">
        <v>1104</v>
      </c>
      <c r="C3364" s="2">
        <v>46219</v>
      </c>
      <c r="D3364" t="s">
        <v>55</v>
      </c>
      <c r="E3364">
        <v>7</v>
      </c>
      <c r="F3364" s="3">
        <v>11.53</v>
      </c>
      <c r="G3364" t="s">
        <v>36</v>
      </c>
      <c r="H3364">
        <v>45</v>
      </c>
      <c r="I3364" t="s">
        <v>34</v>
      </c>
      <c r="J3364" s="4">
        <v>64.400000000000006</v>
      </c>
      <c r="K3364" s="4">
        <v>174.7</v>
      </c>
      <c r="L3364" s="4">
        <v>29.8</v>
      </c>
      <c r="M3364">
        <v>14</v>
      </c>
      <c r="N3364" t="s">
        <v>66</v>
      </c>
      <c r="O3364">
        <v>4</v>
      </c>
      <c r="P3364" s="4">
        <v>712.1</v>
      </c>
      <c r="Q3364" t="s">
        <v>42</v>
      </c>
      <c r="R3364">
        <v>1</v>
      </c>
      <c r="S3364" t="s">
        <v>38</v>
      </c>
      <c r="T3364">
        <v>0</v>
      </c>
      <c r="U3364">
        <v>0</v>
      </c>
      <c r="V3364" t="s">
        <v>45</v>
      </c>
      <c r="W3364" t="s">
        <v>49</v>
      </c>
      <c r="X3364" s="4">
        <v>8.6999999999999993</v>
      </c>
      <c r="Y3364">
        <v>10</v>
      </c>
      <c r="Z3364" s="5">
        <v>259.83999999999997</v>
      </c>
    </row>
    <row r="3365" spans="1:26">
      <c r="A3365">
        <v>3364</v>
      </c>
      <c r="B3365">
        <v>1105</v>
      </c>
      <c r="C3365" s="2">
        <v>46090</v>
      </c>
      <c r="D3365" t="s">
        <v>46</v>
      </c>
      <c r="E3365">
        <v>3</v>
      </c>
      <c r="F3365" s="3">
        <v>8.27</v>
      </c>
      <c r="G3365" t="s">
        <v>27</v>
      </c>
      <c r="H3365">
        <v>18</v>
      </c>
      <c r="I3365" t="s">
        <v>28</v>
      </c>
      <c r="J3365" s="4">
        <v>70.900000000000006</v>
      </c>
      <c r="K3365" s="4">
        <v>190.6</v>
      </c>
      <c r="L3365" s="4">
        <v>26.7</v>
      </c>
      <c r="M3365">
        <v>10</v>
      </c>
      <c r="N3365" t="s">
        <v>47</v>
      </c>
      <c r="O3365">
        <v>2</v>
      </c>
      <c r="P3365" s="4">
        <v>2</v>
      </c>
      <c r="Q3365" t="s">
        <v>30</v>
      </c>
      <c r="R3365">
        <v>0</v>
      </c>
      <c r="S3365" t="s">
        <v>44</v>
      </c>
      <c r="T3365">
        <v>0</v>
      </c>
      <c r="U3365">
        <v>0</v>
      </c>
      <c r="V3365" t="s">
        <v>45</v>
      </c>
      <c r="W3365" t="s">
        <v>39</v>
      </c>
      <c r="X3365" s="4">
        <v>7.1</v>
      </c>
      <c r="Y3365">
        <v>10</v>
      </c>
      <c r="Z3365" s="5">
        <v>154.44999999999999</v>
      </c>
    </row>
    <row r="3366" spans="1:26">
      <c r="A3366">
        <v>3365</v>
      </c>
      <c r="B3366">
        <v>1105</v>
      </c>
      <c r="C3366" s="2">
        <v>46090</v>
      </c>
      <c r="D3366" t="s">
        <v>46</v>
      </c>
      <c r="E3366">
        <v>3</v>
      </c>
      <c r="F3366" s="3">
        <v>8.2899999999999991</v>
      </c>
      <c r="G3366" t="s">
        <v>27</v>
      </c>
      <c r="H3366">
        <v>49</v>
      </c>
      <c r="I3366" t="s">
        <v>34</v>
      </c>
      <c r="J3366" s="4">
        <v>69.2</v>
      </c>
      <c r="K3366" s="4">
        <v>185.2</v>
      </c>
      <c r="L3366" s="4">
        <v>27.1</v>
      </c>
      <c r="M3366">
        <v>17</v>
      </c>
      <c r="N3366" t="s">
        <v>47</v>
      </c>
      <c r="O3366">
        <v>2</v>
      </c>
      <c r="P3366" s="4">
        <v>2</v>
      </c>
      <c r="Q3366" t="s">
        <v>30</v>
      </c>
      <c r="R3366">
        <v>0</v>
      </c>
      <c r="S3366" t="s">
        <v>44</v>
      </c>
      <c r="T3366">
        <v>0</v>
      </c>
      <c r="U3366">
        <v>0</v>
      </c>
      <c r="V3366" t="s">
        <v>45</v>
      </c>
      <c r="W3366" t="s">
        <v>39</v>
      </c>
      <c r="X3366" s="4">
        <v>8.1</v>
      </c>
      <c r="Y3366">
        <v>3</v>
      </c>
      <c r="Z3366" s="5">
        <v>137.91999999999999</v>
      </c>
    </row>
    <row r="3367" spans="1:26">
      <c r="A3367">
        <v>3366</v>
      </c>
      <c r="B3367">
        <v>1106</v>
      </c>
      <c r="C3367" s="2">
        <v>46171</v>
      </c>
      <c r="D3367" t="s">
        <v>26</v>
      </c>
      <c r="E3367">
        <v>5</v>
      </c>
      <c r="F3367" s="3">
        <v>12.55</v>
      </c>
      <c r="G3367" t="s">
        <v>36</v>
      </c>
      <c r="H3367">
        <v>60</v>
      </c>
      <c r="I3367" t="s">
        <v>34</v>
      </c>
      <c r="J3367" s="4">
        <v>60.3</v>
      </c>
      <c r="K3367" s="4">
        <v>149.30000000000001</v>
      </c>
      <c r="L3367" s="4">
        <v>29</v>
      </c>
      <c r="M3367">
        <v>18</v>
      </c>
      <c r="N3367" t="s">
        <v>47</v>
      </c>
      <c r="O3367">
        <v>3</v>
      </c>
      <c r="P3367" s="4">
        <v>2</v>
      </c>
      <c r="Q3367" t="s">
        <v>42</v>
      </c>
      <c r="R3367">
        <v>0</v>
      </c>
      <c r="S3367" t="s">
        <v>31</v>
      </c>
      <c r="T3367">
        <v>0</v>
      </c>
      <c r="U3367">
        <v>0</v>
      </c>
      <c r="V3367" t="s">
        <v>32</v>
      </c>
      <c r="W3367" t="s">
        <v>49</v>
      </c>
      <c r="X3367" s="4">
        <v>7.3</v>
      </c>
      <c r="Y3367">
        <v>10</v>
      </c>
      <c r="Z3367" s="5">
        <v>185.79</v>
      </c>
    </row>
    <row r="3368" spans="1:26">
      <c r="A3368">
        <v>3367</v>
      </c>
      <c r="B3368">
        <v>1106</v>
      </c>
      <c r="C3368" s="2">
        <v>46171</v>
      </c>
      <c r="D3368" t="s">
        <v>26</v>
      </c>
      <c r="E3368">
        <v>5</v>
      </c>
      <c r="F3368" s="3">
        <v>12.07</v>
      </c>
      <c r="G3368" t="s">
        <v>36</v>
      </c>
      <c r="H3368">
        <v>54</v>
      </c>
      <c r="I3368" t="s">
        <v>28</v>
      </c>
      <c r="J3368" s="4">
        <v>70.599999999999994</v>
      </c>
      <c r="K3368" s="4">
        <v>235.4</v>
      </c>
      <c r="L3368" s="4">
        <v>33.200000000000003</v>
      </c>
      <c r="M3368">
        <v>15</v>
      </c>
      <c r="N3368" t="s">
        <v>47</v>
      </c>
      <c r="O3368">
        <v>3</v>
      </c>
      <c r="P3368" s="4">
        <v>2</v>
      </c>
      <c r="Q3368" t="s">
        <v>42</v>
      </c>
      <c r="R3368">
        <v>0</v>
      </c>
      <c r="S3368" t="s">
        <v>31</v>
      </c>
      <c r="T3368">
        <v>0</v>
      </c>
      <c r="U3368">
        <v>0</v>
      </c>
      <c r="V3368" t="s">
        <v>32</v>
      </c>
      <c r="W3368" t="s">
        <v>49</v>
      </c>
      <c r="X3368" s="4">
        <v>6.9</v>
      </c>
      <c r="Y3368">
        <v>9</v>
      </c>
      <c r="Z3368" s="5">
        <v>121.72</v>
      </c>
    </row>
    <row r="3369" spans="1:26">
      <c r="A3369">
        <v>3368</v>
      </c>
      <c r="B3369">
        <v>1106</v>
      </c>
      <c r="C3369" s="2">
        <v>46171</v>
      </c>
      <c r="D3369" t="s">
        <v>26</v>
      </c>
      <c r="E3369">
        <v>5</v>
      </c>
      <c r="F3369" s="3">
        <v>12.22</v>
      </c>
      <c r="G3369" t="s">
        <v>36</v>
      </c>
      <c r="H3369">
        <v>64</v>
      </c>
      <c r="I3369" t="s">
        <v>34</v>
      </c>
      <c r="J3369" s="4">
        <v>65.7</v>
      </c>
      <c r="K3369" s="4">
        <v>143</v>
      </c>
      <c r="L3369" s="4">
        <v>23.3</v>
      </c>
      <c r="M3369">
        <v>19</v>
      </c>
      <c r="N3369" t="s">
        <v>47</v>
      </c>
      <c r="O3369">
        <v>3</v>
      </c>
      <c r="P3369" s="4">
        <v>2</v>
      </c>
      <c r="Q3369" t="s">
        <v>42</v>
      </c>
      <c r="R3369">
        <v>0</v>
      </c>
      <c r="S3369" t="s">
        <v>31</v>
      </c>
      <c r="T3369">
        <v>0</v>
      </c>
      <c r="U3369">
        <v>0</v>
      </c>
      <c r="V3369" t="s">
        <v>32</v>
      </c>
      <c r="W3369" t="s">
        <v>49</v>
      </c>
      <c r="X3369" s="4">
        <v>5.2</v>
      </c>
      <c r="Y3369">
        <v>6</v>
      </c>
      <c r="Z3369" s="5">
        <v>181.47</v>
      </c>
    </row>
    <row r="3370" spans="1:26">
      <c r="A3370">
        <v>3369</v>
      </c>
      <c r="B3370">
        <v>1107</v>
      </c>
      <c r="C3370" s="2">
        <v>46230</v>
      </c>
      <c r="D3370" t="s">
        <v>46</v>
      </c>
      <c r="E3370">
        <v>7</v>
      </c>
      <c r="F3370" s="3">
        <v>9.61</v>
      </c>
      <c r="G3370" t="s">
        <v>27</v>
      </c>
      <c r="H3370">
        <v>4</v>
      </c>
      <c r="I3370" t="s">
        <v>28</v>
      </c>
      <c r="J3370" s="4">
        <v>56.6</v>
      </c>
      <c r="K3370" s="4">
        <v>63.9</v>
      </c>
      <c r="L3370" s="4">
        <v>14.1</v>
      </c>
      <c r="M3370">
        <v>17</v>
      </c>
      <c r="N3370" t="s">
        <v>47</v>
      </c>
      <c r="O3370">
        <v>3</v>
      </c>
      <c r="P3370" s="4">
        <v>91</v>
      </c>
      <c r="Q3370" t="s">
        <v>42</v>
      </c>
      <c r="R3370">
        <v>0</v>
      </c>
      <c r="S3370" t="s">
        <v>31</v>
      </c>
      <c r="T3370">
        <v>1</v>
      </c>
      <c r="U3370">
        <v>0</v>
      </c>
      <c r="V3370" t="s">
        <v>45</v>
      </c>
      <c r="W3370" t="s">
        <v>57</v>
      </c>
      <c r="X3370" s="4">
        <v>10.3</v>
      </c>
      <c r="Y3370">
        <v>10</v>
      </c>
      <c r="Z3370" s="5">
        <v>255.22</v>
      </c>
    </row>
    <row r="3371" spans="1:26">
      <c r="A3371">
        <v>3370</v>
      </c>
      <c r="B3371">
        <v>1107</v>
      </c>
      <c r="C3371" s="2">
        <v>46230</v>
      </c>
      <c r="D3371" t="s">
        <v>46</v>
      </c>
      <c r="E3371">
        <v>7</v>
      </c>
      <c r="F3371" s="3">
        <v>9.9600000000000009</v>
      </c>
      <c r="G3371" t="s">
        <v>27</v>
      </c>
      <c r="H3371">
        <v>12</v>
      </c>
      <c r="I3371" t="s">
        <v>34</v>
      </c>
      <c r="J3371" s="4">
        <v>67.400000000000006</v>
      </c>
      <c r="K3371" s="4">
        <v>134.80000000000001</v>
      </c>
      <c r="L3371" s="4">
        <v>20.9</v>
      </c>
      <c r="M3371">
        <v>16</v>
      </c>
      <c r="N3371" t="s">
        <v>47</v>
      </c>
      <c r="O3371">
        <v>3</v>
      </c>
      <c r="P3371" s="4">
        <v>91</v>
      </c>
      <c r="Q3371" t="s">
        <v>42</v>
      </c>
      <c r="R3371">
        <v>0</v>
      </c>
      <c r="S3371" t="s">
        <v>31</v>
      </c>
      <c r="T3371">
        <v>1</v>
      </c>
      <c r="U3371">
        <v>0</v>
      </c>
      <c r="V3371" t="s">
        <v>45</v>
      </c>
      <c r="W3371" t="s">
        <v>57</v>
      </c>
      <c r="X3371" s="4">
        <v>4.7</v>
      </c>
      <c r="Y3371">
        <v>6</v>
      </c>
      <c r="Z3371" s="5">
        <v>112.34</v>
      </c>
    </row>
    <row r="3372" spans="1:26">
      <c r="A3372">
        <v>3371</v>
      </c>
      <c r="B3372">
        <v>1107</v>
      </c>
      <c r="C3372" s="2">
        <v>46230</v>
      </c>
      <c r="D3372" t="s">
        <v>46</v>
      </c>
      <c r="E3372">
        <v>7</v>
      </c>
      <c r="F3372" s="3">
        <v>9.83</v>
      </c>
      <c r="G3372" t="s">
        <v>27</v>
      </c>
      <c r="H3372">
        <v>63</v>
      </c>
      <c r="I3372" t="s">
        <v>34</v>
      </c>
      <c r="J3372" s="4">
        <v>70.900000000000006</v>
      </c>
      <c r="K3372" s="4">
        <v>160.19999999999999</v>
      </c>
      <c r="L3372" s="4">
        <v>22.4</v>
      </c>
      <c r="M3372">
        <v>15</v>
      </c>
      <c r="N3372" t="s">
        <v>47</v>
      </c>
      <c r="O3372">
        <v>3</v>
      </c>
      <c r="P3372" s="4">
        <v>91</v>
      </c>
      <c r="Q3372" t="s">
        <v>42</v>
      </c>
      <c r="R3372">
        <v>0</v>
      </c>
      <c r="S3372" t="s">
        <v>31</v>
      </c>
      <c r="T3372">
        <v>1</v>
      </c>
      <c r="U3372">
        <v>0</v>
      </c>
      <c r="V3372" t="s">
        <v>45</v>
      </c>
      <c r="W3372" t="s">
        <v>57</v>
      </c>
      <c r="X3372" s="4">
        <v>9.1999999999999993</v>
      </c>
      <c r="Y3372">
        <v>10</v>
      </c>
      <c r="Z3372" s="5">
        <v>165.05</v>
      </c>
    </row>
    <row r="3373" spans="1:26">
      <c r="A3373">
        <v>3372</v>
      </c>
      <c r="B3373">
        <v>1108</v>
      </c>
      <c r="C3373" s="2">
        <v>46283</v>
      </c>
      <c r="D3373" t="s">
        <v>26</v>
      </c>
      <c r="E3373">
        <v>9</v>
      </c>
      <c r="F3373" s="3">
        <v>10.23</v>
      </c>
      <c r="G3373" t="s">
        <v>27</v>
      </c>
      <c r="H3373">
        <v>23</v>
      </c>
      <c r="I3373" t="s">
        <v>28</v>
      </c>
      <c r="J3373" s="4">
        <v>70.400000000000006</v>
      </c>
      <c r="K3373" s="4">
        <v>179.7</v>
      </c>
      <c r="L3373" s="4">
        <v>25.7</v>
      </c>
      <c r="M3373">
        <v>16</v>
      </c>
      <c r="N3373" t="s">
        <v>60</v>
      </c>
      <c r="O3373">
        <v>4</v>
      </c>
      <c r="P3373" s="4">
        <v>1382.5</v>
      </c>
      <c r="Q3373" t="s">
        <v>48</v>
      </c>
      <c r="R3373">
        <v>1</v>
      </c>
      <c r="S3373" t="s">
        <v>44</v>
      </c>
      <c r="T3373">
        <v>1</v>
      </c>
      <c r="U3373">
        <v>1</v>
      </c>
      <c r="V3373" t="s">
        <v>32</v>
      </c>
      <c r="W3373" t="s">
        <v>33</v>
      </c>
      <c r="X3373" s="4">
        <v>8.6999999999999993</v>
      </c>
      <c r="Y3373">
        <v>4</v>
      </c>
      <c r="Z3373" s="5">
        <v>423.89</v>
      </c>
    </row>
    <row r="3374" spans="1:26">
      <c r="A3374">
        <v>3373</v>
      </c>
      <c r="B3374">
        <v>1108</v>
      </c>
      <c r="C3374" s="2">
        <v>46283</v>
      </c>
      <c r="D3374" t="s">
        <v>26</v>
      </c>
      <c r="E3374">
        <v>9</v>
      </c>
      <c r="F3374" s="3">
        <v>9.84</v>
      </c>
      <c r="G3374" t="s">
        <v>27</v>
      </c>
      <c r="H3374">
        <v>33</v>
      </c>
      <c r="I3374" t="s">
        <v>28</v>
      </c>
      <c r="J3374" s="4">
        <v>71.400000000000006</v>
      </c>
      <c r="K3374" s="4">
        <v>214.1</v>
      </c>
      <c r="L3374" s="4">
        <v>29.4</v>
      </c>
      <c r="M3374">
        <v>16</v>
      </c>
      <c r="N3374" t="s">
        <v>60</v>
      </c>
      <c r="O3374">
        <v>4</v>
      </c>
      <c r="P3374" s="4">
        <v>1382.5</v>
      </c>
      <c r="Q3374" t="s">
        <v>48</v>
      </c>
      <c r="R3374">
        <v>1</v>
      </c>
      <c r="S3374" t="s">
        <v>44</v>
      </c>
      <c r="T3374">
        <v>1</v>
      </c>
      <c r="U3374">
        <v>1</v>
      </c>
      <c r="V3374" t="s">
        <v>32</v>
      </c>
      <c r="W3374" t="s">
        <v>33</v>
      </c>
      <c r="X3374" s="4">
        <v>9.4</v>
      </c>
      <c r="Y3374">
        <v>12</v>
      </c>
      <c r="Z3374" s="5">
        <v>254.84</v>
      </c>
    </row>
    <row r="3375" spans="1:26">
      <c r="A3375">
        <v>3374</v>
      </c>
      <c r="B3375">
        <v>1108</v>
      </c>
      <c r="C3375" s="2">
        <v>46283</v>
      </c>
      <c r="D3375" t="s">
        <v>26</v>
      </c>
      <c r="E3375">
        <v>9</v>
      </c>
      <c r="F3375" s="3">
        <v>9.81</v>
      </c>
      <c r="G3375" t="s">
        <v>27</v>
      </c>
      <c r="H3375">
        <v>28</v>
      </c>
      <c r="I3375" t="s">
        <v>28</v>
      </c>
      <c r="J3375" s="4">
        <v>68.2</v>
      </c>
      <c r="K3375" s="4">
        <v>148.19999999999999</v>
      </c>
      <c r="L3375" s="4">
        <v>22.4</v>
      </c>
      <c r="M3375">
        <v>18</v>
      </c>
      <c r="N3375" t="s">
        <v>60</v>
      </c>
      <c r="O3375">
        <v>4</v>
      </c>
      <c r="P3375" s="4">
        <v>1382.5</v>
      </c>
      <c r="Q3375" t="s">
        <v>48</v>
      </c>
      <c r="R3375">
        <v>1</v>
      </c>
      <c r="S3375" t="s">
        <v>44</v>
      </c>
      <c r="T3375">
        <v>1</v>
      </c>
      <c r="U3375">
        <v>1</v>
      </c>
      <c r="V3375" t="s">
        <v>32</v>
      </c>
      <c r="W3375" t="s">
        <v>33</v>
      </c>
      <c r="X3375" s="4">
        <v>8.6</v>
      </c>
      <c r="Y3375">
        <v>14</v>
      </c>
      <c r="Z3375" s="5">
        <v>369.65</v>
      </c>
    </row>
    <row r="3376" spans="1:26">
      <c r="A3376">
        <v>3375</v>
      </c>
      <c r="B3376">
        <v>1108</v>
      </c>
      <c r="C3376" s="2">
        <v>46283</v>
      </c>
      <c r="D3376" t="s">
        <v>26</v>
      </c>
      <c r="E3376">
        <v>9</v>
      </c>
      <c r="F3376" s="3">
        <v>9.8699999999999992</v>
      </c>
      <c r="G3376" t="s">
        <v>27</v>
      </c>
      <c r="H3376">
        <v>49</v>
      </c>
      <c r="I3376" t="s">
        <v>28</v>
      </c>
      <c r="J3376" s="4">
        <v>72.5</v>
      </c>
      <c r="K3376" s="4">
        <v>214.1</v>
      </c>
      <c r="L3376" s="4">
        <v>28.9</v>
      </c>
      <c r="M3376">
        <v>20</v>
      </c>
      <c r="N3376" t="s">
        <v>60</v>
      </c>
      <c r="O3376">
        <v>4</v>
      </c>
      <c r="P3376" s="4">
        <v>1382.5</v>
      </c>
      <c r="Q3376" t="s">
        <v>48</v>
      </c>
      <c r="R3376">
        <v>1</v>
      </c>
      <c r="S3376" t="s">
        <v>44</v>
      </c>
      <c r="T3376">
        <v>1</v>
      </c>
      <c r="U3376">
        <v>1</v>
      </c>
      <c r="V3376" t="s">
        <v>32</v>
      </c>
      <c r="W3376" t="s">
        <v>33</v>
      </c>
      <c r="X3376" s="4">
        <v>9.4</v>
      </c>
      <c r="Y3376">
        <v>8</v>
      </c>
      <c r="Z3376" s="5">
        <v>392.04</v>
      </c>
    </row>
    <row r="3377" spans="1:26">
      <c r="A3377">
        <v>3376</v>
      </c>
      <c r="B3377">
        <v>1109</v>
      </c>
      <c r="C3377" s="2">
        <v>46313</v>
      </c>
      <c r="D3377" t="s">
        <v>58</v>
      </c>
      <c r="E3377">
        <v>10</v>
      </c>
      <c r="F3377" s="3">
        <v>7.44</v>
      </c>
      <c r="G3377" t="s">
        <v>27</v>
      </c>
      <c r="H3377">
        <v>62</v>
      </c>
      <c r="I3377" t="s">
        <v>34</v>
      </c>
      <c r="J3377" s="4">
        <v>59.4</v>
      </c>
      <c r="K3377" s="4">
        <v>126.9</v>
      </c>
      <c r="L3377" s="4">
        <v>25.2</v>
      </c>
      <c r="M3377">
        <v>17</v>
      </c>
      <c r="N3377" t="s">
        <v>47</v>
      </c>
      <c r="O3377">
        <v>3</v>
      </c>
      <c r="P3377" s="4">
        <v>113.6</v>
      </c>
      <c r="Q3377" t="s">
        <v>42</v>
      </c>
      <c r="R3377">
        <v>0</v>
      </c>
      <c r="S3377" t="s">
        <v>44</v>
      </c>
      <c r="T3377">
        <v>0</v>
      </c>
      <c r="U3377">
        <v>0</v>
      </c>
      <c r="V3377" t="s">
        <v>32</v>
      </c>
      <c r="W3377" t="s">
        <v>39</v>
      </c>
      <c r="X3377" s="4">
        <v>9.9</v>
      </c>
      <c r="Y3377">
        <v>11</v>
      </c>
      <c r="Z3377" s="5">
        <v>199.93</v>
      </c>
    </row>
    <row r="3378" spans="1:26">
      <c r="A3378">
        <v>3377</v>
      </c>
      <c r="B3378">
        <v>1109</v>
      </c>
      <c r="C3378" s="2">
        <v>46313</v>
      </c>
      <c r="D3378" t="s">
        <v>58</v>
      </c>
      <c r="E3378">
        <v>10</v>
      </c>
      <c r="F3378" s="3">
        <v>7.35</v>
      </c>
      <c r="G3378" t="s">
        <v>27</v>
      </c>
      <c r="H3378">
        <v>45</v>
      </c>
      <c r="I3378" t="s">
        <v>34</v>
      </c>
      <c r="J3378" s="4">
        <v>68.900000000000006</v>
      </c>
      <c r="K3378" s="4">
        <v>189.8</v>
      </c>
      <c r="L3378" s="4">
        <v>28</v>
      </c>
      <c r="M3378">
        <v>17</v>
      </c>
      <c r="N3378" t="s">
        <v>47</v>
      </c>
      <c r="O3378">
        <v>3</v>
      </c>
      <c r="P3378" s="4">
        <v>113.6</v>
      </c>
      <c r="Q3378" t="s">
        <v>42</v>
      </c>
      <c r="R3378">
        <v>0</v>
      </c>
      <c r="S3378" t="s">
        <v>44</v>
      </c>
      <c r="T3378">
        <v>0</v>
      </c>
      <c r="U3378">
        <v>0</v>
      </c>
      <c r="V3378" t="s">
        <v>32</v>
      </c>
      <c r="W3378" t="s">
        <v>39</v>
      </c>
      <c r="X3378" s="4">
        <v>10</v>
      </c>
      <c r="Y3378">
        <v>6</v>
      </c>
      <c r="Z3378" s="5">
        <v>125.68</v>
      </c>
    </row>
    <row r="3379" spans="1:26">
      <c r="A3379">
        <v>3378</v>
      </c>
      <c r="B3379">
        <v>1109</v>
      </c>
      <c r="C3379" s="2">
        <v>46313</v>
      </c>
      <c r="D3379" t="s">
        <v>58</v>
      </c>
      <c r="E3379">
        <v>10</v>
      </c>
      <c r="F3379" s="3">
        <v>7.51</v>
      </c>
      <c r="G3379" t="s">
        <v>27</v>
      </c>
      <c r="H3379">
        <v>70</v>
      </c>
      <c r="I3379" t="s">
        <v>28</v>
      </c>
      <c r="J3379" s="4">
        <v>77.400000000000006</v>
      </c>
      <c r="K3379" s="4">
        <v>191.5</v>
      </c>
      <c r="L3379" s="4">
        <v>22.5</v>
      </c>
      <c r="M3379">
        <v>15</v>
      </c>
      <c r="N3379" t="s">
        <v>47</v>
      </c>
      <c r="O3379">
        <v>3</v>
      </c>
      <c r="P3379" s="4">
        <v>113.6</v>
      </c>
      <c r="Q3379" t="s">
        <v>42</v>
      </c>
      <c r="R3379">
        <v>0</v>
      </c>
      <c r="S3379" t="s">
        <v>44</v>
      </c>
      <c r="T3379">
        <v>0</v>
      </c>
      <c r="U3379">
        <v>0</v>
      </c>
      <c r="V3379" t="s">
        <v>32</v>
      </c>
      <c r="W3379" t="s">
        <v>39</v>
      </c>
      <c r="X3379" s="4">
        <v>7.5</v>
      </c>
      <c r="Y3379">
        <v>11</v>
      </c>
      <c r="Z3379" s="5">
        <v>272.48</v>
      </c>
    </row>
    <row r="3380" spans="1:26">
      <c r="A3380">
        <v>3379</v>
      </c>
      <c r="B3380">
        <v>1110</v>
      </c>
      <c r="C3380" s="2">
        <v>46214</v>
      </c>
      <c r="D3380" t="s">
        <v>40</v>
      </c>
      <c r="E3380">
        <v>7</v>
      </c>
      <c r="F3380" s="3">
        <v>7.23</v>
      </c>
      <c r="G3380" t="s">
        <v>27</v>
      </c>
      <c r="H3380">
        <v>51</v>
      </c>
      <c r="I3380" t="s">
        <v>28</v>
      </c>
      <c r="J3380" s="4">
        <v>69.099999999999994</v>
      </c>
      <c r="K3380" s="4">
        <v>200.1</v>
      </c>
      <c r="L3380" s="4">
        <v>29.5</v>
      </c>
      <c r="M3380">
        <v>14</v>
      </c>
      <c r="N3380" t="s">
        <v>56</v>
      </c>
      <c r="O3380">
        <v>3</v>
      </c>
      <c r="P3380" s="4">
        <v>230.5</v>
      </c>
      <c r="Q3380" t="s">
        <v>42</v>
      </c>
      <c r="R3380">
        <v>0</v>
      </c>
      <c r="S3380" t="s">
        <v>44</v>
      </c>
      <c r="T3380">
        <v>0</v>
      </c>
      <c r="U3380">
        <v>1</v>
      </c>
      <c r="V3380" t="s">
        <v>45</v>
      </c>
      <c r="W3380" t="s">
        <v>33</v>
      </c>
      <c r="X3380" s="4">
        <v>10.8</v>
      </c>
      <c r="Y3380">
        <v>12</v>
      </c>
      <c r="Z3380" s="5">
        <v>230.62</v>
      </c>
    </row>
    <row r="3381" spans="1:26">
      <c r="A3381">
        <v>3380</v>
      </c>
      <c r="B3381">
        <v>1110</v>
      </c>
      <c r="C3381" s="2">
        <v>46214</v>
      </c>
      <c r="D3381" t="s">
        <v>40</v>
      </c>
      <c r="E3381">
        <v>7</v>
      </c>
      <c r="F3381" s="3">
        <v>7.12</v>
      </c>
      <c r="G3381" t="s">
        <v>27</v>
      </c>
      <c r="H3381">
        <v>47</v>
      </c>
      <c r="I3381" t="s">
        <v>34</v>
      </c>
      <c r="J3381" s="4">
        <v>59.6</v>
      </c>
      <c r="K3381" s="4">
        <v>119.1</v>
      </c>
      <c r="L3381" s="4">
        <v>23.5</v>
      </c>
      <c r="M3381">
        <v>17</v>
      </c>
      <c r="N3381" t="s">
        <v>56</v>
      </c>
      <c r="O3381">
        <v>3</v>
      </c>
      <c r="P3381" s="4">
        <v>230.5</v>
      </c>
      <c r="Q3381" t="s">
        <v>42</v>
      </c>
      <c r="R3381">
        <v>0</v>
      </c>
      <c r="S3381" t="s">
        <v>44</v>
      </c>
      <c r="T3381">
        <v>0</v>
      </c>
      <c r="U3381">
        <v>1</v>
      </c>
      <c r="V3381" t="s">
        <v>45</v>
      </c>
      <c r="W3381" t="s">
        <v>33</v>
      </c>
      <c r="X3381" s="4">
        <v>9.5</v>
      </c>
      <c r="Y3381">
        <v>5</v>
      </c>
      <c r="Z3381" s="5">
        <v>231.71</v>
      </c>
    </row>
    <row r="3382" spans="1:26">
      <c r="A3382">
        <v>3381</v>
      </c>
      <c r="B3382">
        <v>1110</v>
      </c>
      <c r="C3382" s="2">
        <v>46214</v>
      </c>
      <c r="D3382" t="s">
        <v>40</v>
      </c>
      <c r="E3382">
        <v>7</v>
      </c>
      <c r="F3382" s="3">
        <v>7</v>
      </c>
      <c r="G3382" t="s">
        <v>27</v>
      </c>
      <c r="H3382">
        <v>18</v>
      </c>
      <c r="I3382" t="s">
        <v>28</v>
      </c>
      <c r="J3382" s="4">
        <v>68.5</v>
      </c>
      <c r="K3382" s="4">
        <v>184.1</v>
      </c>
      <c r="L3382" s="4">
        <v>27.4</v>
      </c>
      <c r="M3382">
        <v>15</v>
      </c>
      <c r="N3382" t="s">
        <v>56</v>
      </c>
      <c r="O3382">
        <v>3</v>
      </c>
      <c r="P3382" s="4">
        <v>230.5</v>
      </c>
      <c r="Q3382" t="s">
        <v>42</v>
      </c>
      <c r="R3382">
        <v>0</v>
      </c>
      <c r="S3382" t="s">
        <v>44</v>
      </c>
      <c r="T3382">
        <v>0</v>
      </c>
      <c r="U3382">
        <v>1</v>
      </c>
      <c r="V3382" t="s">
        <v>45</v>
      </c>
      <c r="W3382" t="s">
        <v>33</v>
      </c>
      <c r="X3382" s="4">
        <v>11.3</v>
      </c>
      <c r="Y3382">
        <v>2</v>
      </c>
      <c r="Z3382" s="5">
        <v>293.93</v>
      </c>
    </row>
    <row r="3383" spans="1:26">
      <c r="A3383">
        <v>3382</v>
      </c>
      <c r="B3383">
        <v>1111</v>
      </c>
      <c r="C3383" s="2">
        <v>46206</v>
      </c>
      <c r="D3383" t="s">
        <v>26</v>
      </c>
      <c r="E3383">
        <v>7</v>
      </c>
      <c r="F3383" s="3">
        <v>13.58</v>
      </c>
      <c r="G3383" t="s">
        <v>36</v>
      </c>
      <c r="H3383">
        <v>20</v>
      </c>
      <c r="I3383" t="s">
        <v>28</v>
      </c>
      <c r="J3383" s="4">
        <v>65.7</v>
      </c>
      <c r="K3383" s="4">
        <v>180.9</v>
      </c>
      <c r="L3383" s="4">
        <v>29.5</v>
      </c>
      <c r="M3383">
        <v>14</v>
      </c>
      <c r="N3383" t="s">
        <v>65</v>
      </c>
      <c r="O3383">
        <v>3</v>
      </c>
      <c r="P3383" s="4">
        <v>1192.3</v>
      </c>
      <c r="Q3383" t="s">
        <v>42</v>
      </c>
      <c r="R3383">
        <v>0</v>
      </c>
      <c r="S3383" t="s">
        <v>44</v>
      </c>
      <c r="T3383">
        <v>0</v>
      </c>
      <c r="U3383">
        <v>0</v>
      </c>
      <c r="V3383" t="s">
        <v>32</v>
      </c>
      <c r="W3383" t="s">
        <v>57</v>
      </c>
      <c r="X3383" s="4">
        <v>7.9</v>
      </c>
      <c r="Y3383">
        <v>7</v>
      </c>
      <c r="Z3383" s="5">
        <v>92.76</v>
      </c>
    </row>
    <row r="3384" spans="1:26">
      <c r="A3384">
        <v>3383</v>
      </c>
      <c r="B3384">
        <v>1111</v>
      </c>
      <c r="C3384" s="2">
        <v>46206</v>
      </c>
      <c r="D3384" t="s">
        <v>26</v>
      </c>
      <c r="E3384">
        <v>7</v>
      </c>
      <c r="F3384" s="3">
        <v>13.45</v>
      </c>
      <c r="G3384" t="s">
        <v>36</v>
      </c>
      <c r="H3384">
        <v>43</v>
      </c>
      <c r="I3384" t="s">
        <v>34</v>
      </c>
      <c r="J3384" s="4">
        <v>59.2</v>
      </c>
      <c r="K3384" s="4">
        <v>125.7</v>
      </c>
      <c r="L3384" s="4">
        <v>25.4</v>
      </c>
      <c r="M3384">
        <v>17</v>
      </c>
      <c r="N3384" t="s">
        <v>65</v>
      </c>
      <c r="O3384">
        <v>3</v>
      </c>
      <c r="P3384" s="4">
        <v>1192.3</v>
      </c>
      <c r="Q3384" t="s">
        <v>42</v>
      </c>
      <c r="R3384">
        <v>0</v>
      </c>
      <c r="S3384" t="s">
        <v>44</v>
      </c>
      <c r="T3384">
        <v>0</v>
      </c>
      <c r="U3384">
        <v>0</v>
      </c>
      <c r="V3384" t="s">
        <v>32</v>
      </c>
      <c r="W3384" t="s">
        <v>57</v>
      </c>
      <c r="X3384" s="4">
        <v>6.9</v>
      </c>
      <c r="Y3384">
        <v>4</v>
      </c>
      <c r="Z3384" s="5">
        <v>105.64</v>
      </c>
    </row>
    <row r="3385" spans="1:26">
      <c r="A3385">
        <v>3384</v>
      </c>
      <c r="B3385">
        <v>1111</v>
      </c>
      <c r="C3385" s="2">
        <v>46206</v>
      </c>
      <c r="D3385" t="s">
        <v>26</v>
      </c>
      <c r="E3385">
        <v>7</v>
      </c>
      <c r="F3385" s="3">
        <v>13.41</v>
      </c>
      <c r="G3385" t="s">
        <v>36</v>
      </c>
      <c r="H3385">
        <v>18</v>
      </c>
      <c r="I3385" t="s">
        <v>34</v>
      </c>
      <c r="J3385" s="4">
        <v>63.5</v>
      </c>
      <c r="K3385" s="4">
        <v>159</v>
      </c>
      <c r="L3385" s="4">
        <v>27.9</v>
      </c>
      <c r="M3385">
        <v>16</v>
      </c>
      <c r="N3385" t="s">
        <v>65</v>
      </c>
      <c r="O3385">
        <v>3</v>
      </c>
      <c r="P3385" s="4">
        <v>1192.3</v>
      </c>
      <c r="Q3385" t="s">
        <v>42</v>
      </c>
      <c r="R3385">
        <v>0</v>
      </c>
      <c r="S3385" t="s">
        <v>44</v>
      </c>
      <c r="T3385">
        <v>0</v>
      </c>
      <c r="U3385">
        <v>0</v>
      </c>
      <c r="V3385" t="s">
        <v>32</v>
      </c>
      <c r="W3385" t="s">
        <v>57</v>
      </c>
      <c r="X3385" s="4">
        <v>8.5</v>
      </c>
      <c r="Y3385">
        <v>5</v>
      </c>
      <c r="Z3385" s="5">
        <v>210.68</v>
      </c>
    </row>
    <row r="3386" spans="1:26">
      <c r="A3386">
        <v>3385</v>
      </c>
      <c r="B3386">
        <v>1112</v>
      </c>
      <c r="C3386" s="2">
        <v>46186</v>
      </c>
      <c r="D3386" t="s">
        <v>40</v>
      </c>
      <c r="E3386">
        <v>6</v>
      </c>
      <c r="F3386" s="3">
        <v>12.82</v>
      </c>
      <c r="G3386" t="s">
        <v>36</v>
      </c>
      <c r="H3386">
        <v>20</v>
      </c>
      <c r="I3386" t="s">
        <v>28</v>
      </c>
      <c r="J3386" s="4">
        <v>69.8</v>
      </c>
      <c r="K3386" s="4">
        <v>198.7</v>
      </c>
      <c r="L3386" s="4">
        <v>28.7</v>
      </c>
      <c r="M3386">
        <v>11</v>
      </c>
      <c r="N3386" t="s">
        <v>47</v>
      </c>
      <c r="O3386">
        <v>2</v>
      </c>
      <c r="P3386" s="4">
        <v>9.4</v>
      </c>
      <c r="Q3386" t="s">
        <v>42</v>
      </c>
      <c r="R3386">
        <v>0</v>
      </c>
      <c r="S3386" t="s">
        <v>38</v>
      </c>
      <c r="T3386">
        <v>1</v>
      </c>
      <c r="U3386">
        <v>0</v>
      </c>
      <c r="V3386" t="s">
        <v>32</v>
      </c>
      <c r="W3386" t="s">
        <v>39</v>
      </c>
      <c r="X3386" s="4">
        <v>9.3000000000000007</v>
      </c>
      <c r="Y3386">
        <v>7</v>
      </c>
      <c r="Z3386" s="5">
        <v>198.73</v>
      </c>
    </row>
    <row r="3387" spans="1:26">
      <c r="A3387">
        <v>3386</v>
      </c>
      <c r="B3387">
        <v>1112</v>
      </c>
      <c r="C3387" s="2">
        <v>46186</v>
      </c>
      <c r="D3387" t="s">
        <v>40</v>
      </c>
      <c r="E3387">
        <v>6</v>
      </c>
      <c r="F3387" s="3">
        <v>12.84</v>
      </c>
      <c r="G3387" t="s">
        <v>36</v>
      </c>
      <c r="H3387">
        <v>31</v>
      </c>
      <c r="I3387" t="s">
        <v>28</v>
      </c>
      <c r="J3387" s="4">
        <v>72.599999999999994</v>
      </c>
      <c r="K3387" s="4">
        <v>172.3</v>
      </c>
      <c r="L3387" s="4">
        <v>23</v>
      </c>
      <c r="M3387">
        <v>17</v>
      </c>
      <c r="N3387" t="s">
        <v>47</v>
      </c>
      <c r="O3387">
        <v>2</v>
      </c>
      <c r="P3387" s="4">
        <v>9.4</v>
      </c>
      <c r="Q3387" t="s">
        <v>42</v>
      </c>
      <c r="R3387">
        <v>0</v>
      </c>
      <c r="S3387" t="s">
        <v>38</v>
      </c>
      <c r="T3387">
        <v>1</v>
      </c>
      <c r="U3387">
        <v>0</v>
      </c>
      <c r="V3387" t="s">
        <v>32</v>
      </c>
      <c r="W3387" t="s">
        <v>39</v>
      </c>
      <c r="X3387" s="4">
        <v>7.5</v>
      </c>
      <c r="Y3387">
        <v>9</v>
      </c>
      <c r="Z3387" s="5">
        <v>265.62</v>
      </c>
    </row>
    <row r="3388" spans="1:26">
      <c r="A3388">
        <v>3387</v>
      </c>
      <c r="B3388">
        <v>1113</v>
      </c>
      <c r="C3388" s="2">
        <v>46067</v>
      </c>
      <c r="D3388" t="s">
        <v>40</v>
      </c>
      <c r="E3388">
        <v>2</v>
      </c>
      <c r="F3388" s="3">
        <v>9.9</v>
      </c>
      <c r="G3388" t="s">
        <v>27</v>
      </c>
      <c r="H3388">
        <v>54</v>
      </c>
      <c r="I3388" t="s">
        <v>34</v>
      </c>
      <c r="J3388" s="4">
        <v>64.7</v>
      </c>
      <c r="K3388" s="4">
        <v>153.69999999999999</v>
      </c>
      <c r="L3388" s="4">
        <v>26</v>
      </c>
      <c r="M3388">
        <v>13</v>
      </c>
      <c r="N3388" t="s">
        <v>54</v>
      </c>
      <c r="O3388">
        <v>3</v>
      </c>
      <c r="P3388" s="4">
        <v>2595.4</v>
      </c>
      <c r="Q3388" t="s">
        <v>42</v>
      </c>
      <c r="R3388">
        <v>0</v>
      </c>
      <c r="S3388" t="s">
        <v>31</v>
      </c>
      <c r="T3388">
        <v>1</v>
      </c>
      <c r="U3388">
        <v>0</v>
      </c>
      <c r="V3388" t="s">
        <v>32</v>
      </c>
      <c r="W3388" t="s">
        <v>43</v>
      </c>
      <c r="X3388" s="4">
        <v>9.5</v>
      </c>
      <c r="Y3388">
        <v>8</v>
      </c>
      <c r="Z3388" s="5">
        <v>151.34</v>
      </c>
    </row>
    <row r="3389" spans="1:26">
      <c r="A3389">
        <v>3388</v>
      </c>
      <c r="B3389">
        <v>1113</v>
      </c>
      <c r="C3389" s="2">
        <v>46067</v>
      </c>
      <c r="D3389" t="s">
        <v>40</v>
      </c>
      <c r="E3389">
        <v>2</v>
      </c>
      <c r="F3389" s="3">
        <v>10.08</v>
      </c>
      <c r="G3389" t="s">
        <v>27</v>
      </c>
      <c r="H3389">
        <v>36</v>
      </c>
      <c r="I3389" t="s">
        <v>28</v>
      </c>
      <c r="J3389" s="4">
        <v>65.599999999999994</v>
      </c>
      <c r="K3389" s="4">
        <v>88.9</v>
      </c>
      <c r="L3389" s="4">
        <v>14.4</v>
      </c>
      <c r="M3389">
        <v>17</v>
      </c>
      <c r="N3389" t="s">
        <v>54</v>
      </c>
      <c r="O3389">
        <v>3</v>
      </c>
      <c r="P3389" s="4">
        <v>2595.4</v>
      </c>
      <c r="Q3389" t="s">
        <v>42</v>
      </c>
      <c r="R3389">
        <v>0</v>
      </c>
      <c r="S3389" t="s">
        <v>31</v>
      </c>
      <c r="T3389">
        <v>1</v>
      </c>
      <c r="U3389">
        <v>0</v>
      </c>
      <c r="V3389" t="s">
        <v>32</v>
      </c>
      <c r="W3389" t="s">
        <v>43</v>
      </c>
      <c r="X3389" s="4">
        <v>7.5</v>
      </c>
      <c r="Y3389">
        <v>11</v>
      </c>
      <c r="Z3389" s="5">
        <v>172.2</v>
      </c>
    </row>
    <row r="3390" spans="1:26">
      <c r="A3390">
        <v>3389</v>
      </c>
      <c r="B3390">
        <v>1113</v>
      </c>
      <c r="C3390" s="2">
        <v>46067</v>
      </c>
      <c r="D3390" t="s">
        <v>40</v>
      </c>
      <c r="E3390">
        <v>2</v>
      </c>
      <c r="F3390" s="3">
        <v>9.99</v>
      </c>
      <c r="G3390" t="s">
        <v>27</v>
      </c>
      <c r="H3390">
        <v>46</v>
      </c>
      <c r="I3390" t="s">
        <v>34</v>
      </c>
      <c r="J3390" s="4">
        <v>60.2</v>
      </c>
      <c r="K3390" s="4">
        <v>119.6</v>
      </c>
      <c r="L3390" s="4">
        <v>23</v>
      </c>
      <c r="M3390">
        <v>14</v>
      </c>
      <c r="N3390" t="s">
        <v>54</v>
      </c>
      <c r="O3390">
        <v>3</v>
      </c>
      <c r="P3390" s="4">
        <v>2595.4</v>
      </c>
      <c r="Q3390" t="s">
        <v>42</v>
      </c>
      <c r="R3390">
        <v>0</v>
      </c>
      <c r="S3390" t="s">
        <v>31</v>
      </c>
      <c r="T3390">
        <v>1</v>
      </c>
      <c r="U3390">
        <v>0</v>
      </c>
      <c r="V3390" t="s">
        <v>32</v>
      </c>
      <c r="W3390" t="s">
        <v>43</v>
      </c>
      <c r="X3390" s="4">
        <v>6.6</v>
      </c>
      <c r="Y3390">
        <v>12</v>
      </c>
      <c r="Z3390" s="5">
        <v>247.18</v>
      </c>
    </row>
    <row r="3391" spans="1:26">
      <c r="A3391">
        <v>3390</v>
      </c>
      <c r="B3391">
        <v>1114</v>
      </c>
      <c r="C3391" s="2">
        <v>46152</v>
      </c>
      <c r="D3391" t="s">
        <v>58</v>
      </c>
      <c r="E3391">
        <v>5</v>
      </c>
      <c r="F3391" s="3">
        <v>10.119999999999999</v>
      </c>
      <c r="G3391" t="s">
        <v>27</v>
      </c>
      <c r="H3391">
        <v>63</v>
      </c>
      <c r="I3391" t="s">
        <v>34</v>
      </c>
      <c r="J3391" s="4">
        <v>62.9</v>
      </c>
      <c r="K3391" s="4">
        <v>160.30000000000001</v>
      </c>
      <c r="L3391" s="4">
        <v>28.2</v>
      </c>
      <c r="M3391">
        <v>16</v>
      </c>
      <c r="N3391" t="s">
        <v>61</v>
      </c>
      <c r="O3391">
        <v>4</v>
      </c>
      <c r="P3391" s="4">
        <v>1225.9000000000001</v>
      </c>
      <c r="Q3391" t="s">
        <v>42</v>
      </c>
      <c r="R3391">
        <v>1</v>
      </c>
      <c r="S3391" t="s">
        <v>44</v>
      </c>
      <c r="T3391">
        <v>0</v>
      </c>
      <c r="U3391">
        <v>1</v>
      </c>
      <c r="V3391" t="s">
        <v>32</v>
      </c>
      <c r="W3391" t="s">
        <v>39</v>
      </c>
      <c r="X3391" s="4">
        <v>10.6</v>
      </c>
      <c r="Y3391">
        <v>10</v>
      </c>
      <c r="Z3391" s="5">
        <v>268.91000000000003</v>
      </c>
    </row>
    <row r="3392" spans="1:26">
      <c r="A3392">
        <v>3391</v>
      </c>
      <c r="B3392">
        <v>1114</v>
      </c>
      <c r="C3392" s="2">
        <v>46152</v>
      </c>
      <c r="D3392" t="s">
        <v>58</v>
      </c>
      <c r="E3392">
        <v>5</v>
      </c>
      <c r="F3392" s="3">
        <v>9.93</v>
      </c>
      <c r="G3392" t="s">
        <v>27</v>
      </c>
      <c r="H3392">
        <v>40</v>
      </c>
      <c r="I3392" t="s">
        <v>34</v>
      </c>
      <c r="J3392" s="4">
        <v>65.099999999999994</v>
      </c>
      <c r="K3392" s="4">
        <v>132.4</v>
      </c>
      <c r="L3392" s="4">
        <v>22</v>
      </c>
      <c r="M3392">
        <v>16</v>
      </c>
      <c r="N3392" t="s">
        <v>61</v>
      </c>
      <c r="O3392">
        <v>4</v>
      </c>
      <c r="P3392" s="4">
        <v>1225.9000000000001</v>
      </c>
      <c r="Q3392" t="s">
        <v>42</v>
      </c>
      <c r="R3392">
        <v>1</v>
      </c>
      <c r="S3392" t="s">
        <v>44</v>
      </c>
      <c r="T3392">
        <v>0</v>
      </c>
      <c r="U3392">
        <v>1</v>
      </c>
      <c r="V3392" t="s">
        <v>32</v>
      </c>
      <c r="W3392" t="s">
        <v>39</v>
      </c>
      <c r="X3392" s="4">
        <v>9.1</v>
      </c>
      <c r="Y3392">
        <v>11</v>
      </c>
      <c r="Z3392" s="5">
        <v>215.32</v>
      </c>
    </row>
    <row r="3393" spans="1:26">
      <c r="A3393">
        <v>3392</v>
      </c>
      <c r="B3393">
        <v>1114</v>
      </c>
      <c r="C3393" s="2">
        <v>46152</v>
      </c>
      <c r="D3393" t="s">
        <v>58</v>
      </c>
      <c r="E3393">
        <v>5</v>
      </c>
      <c r="F3393" s="3">
        <v>10.37</v>
      </c>
      <c r="G3393" t="s">
        <v>27</v>
      </c>
      <c r="H3393">
        <v>34</v>
      </c>
      <c r="I3393" t="s">
        <v>34</v>
      </c>
      <c r="J3393" s="4">
        <v>65.599999999999994</v>
      </c>
      <c r="K3393" s="4">
        <v>159.69999999999999</v>
      </c>
      <c r="L3393" s="4">
        <v>25.8</v>
      </c>
      <c r="M3393">
        <v>13</v>
      </c>
      <c r="N3393" t="s">
        <v>61</v>
      </c>
      <c r="O3393">
        <v>4</v>
      </c>
      <c r="P3393" s="4">
        <v>1225.9000000000001</v>
      </c>
      <c r="Q3393" t="s">
        <v>42</v>
      </c>
      <c r="R3393">
        <v>1</v>
      </c>
      <c r="S3393" t="s">
        <v>44</v>
      </c>
      <c r="T3393">
        <v>0</v>
      </c>
      <c r="U3393">
        <v>1</v>
      </c>
      <c r="V3393" t="s">
        <v>32</v>
      </c>
      <c r="W3393" t="s">
        <v>39</v>
      </c>
      <c r="X3393" s="4">
        <v>8.6</v>
      </c>
      <c r="Y3393">
        <v>6</v>
      </c>
      <c r="Z3393" s="5">
        <v>346.93</v>
      </c>
    </row>
    <row r="3394" spans="1:26">
      <c r="A3394">
        <v>3393</v>
      </c>
      <c r="B3394">
        <v>1114</v>
      </c>
      <c r="C3394" s="2">
        <v>46152</v>
      </c>
      <c r="D3394" t="s">
        <v>58</v>
      </c>
      <c r="E3394">
        <v>5</v>
      </c>
      <c r="F3394" s="3">
        <v>10.34</v>
      </c>
      <c r="G3394" t="s">
        <v>27</v>
      </c>
      <c r="H3394">
        <v>7</v>
      </c>
      <c r="I3394" t="s">
        <v>34</v>
      </c>
      <c r="J3394" s="4">
        <v>66.900000000000006</v>
      </c>
      <c r="K3394" s="4">
        <v>132.30000000000001</v>
      </c>
      <c r="L3394" s="4">
        <v>20.9</v>
      </c>
      <c r="M3394">
        <v>13</v>
      </c>
      <c r="N3394" t="s">
        <v>61</v>
      </c>
      <c r="O3394">
        <v>4</v>
      </c>
      <c r="P3394" s="4">
        <v>1225.9000000000001</v>
      </c>
      <c r="Q3394" t="s">
        <v>42</v>
      </c>
      <c r="R3394">
        <v>1</v>
      </c>
      <c r="S3394" t="s">
        <v>44</v>
      </c>
      <c r="T3394">
        <v>0</v>
      </c>
      <c r="U3394">
        <v>1</v>
      </c>
      <c r="V3394" t="s">
        <v>32</v>
      </c>
      <c r="W3394" t="s">
        <v>39</v>
      </c>
      <c r="X3394" s="4">
        <v>8.4</v>
      </c>
      <c r="Y3394">
        <v>12</v>
      </c>
      <c r="Z3394" s="5">
        <v>205.05</v>
      </c>
    </row>
    <row r="3395" spans="1:26">
      <c r="A3395">
        <v>3394</v>
      </c>
      <c r="B3395">
        <v>1115</v>
      </c>
      <c r="C3395" s="2">
        <v>46160</v>
      </c>
      <c r="D3395" t="s">
        <v>46</v>
      </c>
      <c r="E3395">
        <v>5</v>
      </c>
      <c r="F3395" s="3">
        <v>10.7</v>
      </c>
      <c r="G3395" t="s">
        <v>27</v>
      </c>
      <c r="H3395">
        <v>23</v>
      </c>
      <c r="I3395" t="s">
        <v>34</v>
      </c>
      <c r="J3395" s="4">
        <v>64.5</v>
      </c>
      <c r="K3395" s="4">
        <v>133.4</v>
      </c>
      <c r="L3395" s="4">
        <v>22.7</v>
      </c>
      <c r="M3395">
        <v>13</v>
      </c>
      <c r="N3395" t="s">
        <v>37</v>
      </c>
      <c r="O3395">
        <v>5</v>
      </c>
      <c r="P3395" s="4">
        <v>969.7</v>
      </c>
      <c r="Q3395" t="s">
        <v>42</v>
      </c>
      <c r="R3395">
        <v>1</v>
      </c>
      <c r="S3395" t="s">
        <v>44</v>
      </c>
      <c r="T3395">
        <v>1</v>
      </c>
      <c r="U3395">
        <v>0</v>
      </c>
      <c r="V3395" t="s">
        <v>45</v>
      </c>
      <c r="W3395" t="s">
        <v>49</v>
      </c>
      <c r="X3395" s="4">
        <v>6.8</v>
      </c>
      <c r="Y3395">
        <v>8</v>
      </c>
      <c r="Z3395" s="5">
        <v>375.73</v>
      </c>
    </row>
    <row r="3396" spans="1:26">
      <c r="A3396">
        <v>3395</v>
      </c>
      <c r="B3396">
        <v>1115</v>
      </c>
      <c r="C3396" s="2">
        <v>46160</v>
      </c>
      <c r="D3396" t="s">
        <v>46</v>
      </c>
      <c r="E3396">
        <v>5</v>
      </c>
      <c r="F3396" s="3">
        <v>10.59</v>
      </c>
      <c r="G3396" t="s">
        <v>27</v>
      </c>
      <c r="H3396">
        <v>53</v>
      </c>
      <c r="I3396" t="s">
        <v>28</v>
      </c>
      <c r="J3396" s="4">
        <v>76.5</v>
      </c>
      <c r="K3396" s="4">
        <v>219.6</v>
      </c>
      <c r="L3396" s="4">
        <v>26.7</v>
      </c>
      <c r="M3396">
        <v>14</v>
      </c>
      <c r="N3396" t="s">
        <v>37</v>
      </c>
      <c r="O3396">
        <v>5</v>
      </c>
      <c r="P3396" s="4">
        <v>969.7</v>
      </c>
      <c r="Q3396" t="s">
        <v>42</v>
      </c>
      <c r="R3396">
        <v>1</v>
      </c>
      <c r="S3396" t="s">
        <v>44</v>
      </c>
      <c r="T3396">
        <v>1</v>
      </c>
      <c r="U3396">
        <v>0</v>
      </c>
      <c r="V3396" t="s">
        <v>45</v>
      </c>
      <c r="W3396" t="s">
        <v>49</v>
      </c>
      <c r="X3396" s="4">
        <v>8.4</v>
      </c>
      <c r="Y3396">
        <v>7</v>
      </c>
      <c r="Z3396" s="5">
        <v>143.07</v>
      </c>
    </row>
    <row r="3397" spans="1:26">
      <c r="A3397">
        <v>3396</v>
      </c>
      <c r="B3397">
        <v>1115</v>
      </c>
      <c r="C3397" s="2">
        <v>46160</v>
      </c>
      <c r="D3397" t="s">
        <v>46</v>
      </c>
      <c r="E3397">
        <v>5</v>
      </c>
      <c r="F3397" s="3">
        <v>10.78</v>
      </c>
      <c r="G3397" t="s">
        <v>27</v>
      </c>
      <c r="H3397">
        <v>7</v>
      </c>
      <c r="I3397" t="s">
        <v>34</v>
      </c>
      <c r="J3397" s="4">
        <v>54.7</v>
      </c>
      <c r="K3397" s="4">
        <v>90</v>
      </c>
      <c r="L3397" s="4">
        <v>21.1</v>
      </c>
      <c r="M3397">
        <v>12</v>
      </c>
      <c r="N3397" t="s">
        <v>37</v>
      </c>
      <c r="O3397">
        <v>5</v>
      </c>
      <c r="P3397" s="4">
        <v>969.7</v>
      </c>
      <c r="Q3397" t="s">
        <v>42</v>
      </c>
      <c r="R3397">
        <v>1</v>
      </c>
      <c r="S3397" t="s">
        <v>44</v>
      </c>
      <c r="T3397">
        <v>1</v>
      </c>
      <c r="U3397">
        <v>0</v>
      </c>
      <c r="V3397" t="s">
        <v>45</v>
      </c>
      <c r="W3397" t="s">
        <v>49</v>
      </c>
      <c r="X3397" s="4">
        <v>6.5</v>
      </c>
      <c r="Y3397">
        <v>7</v>
      </c>
      <c r="Z3397" s="5">
        <v>158.47999999999999</v>
      </c>
    </row>
    <row r="3398" spans="1:26">
      <c r="A3398">
        <v>3397</v>
      </c>
      <c r="B3398">
        <v>1115</v>
      </c>
      <c r="C3398" s="2">
        <v>46160</v>
      </c>
      <c r="D3398" t="s">
        <v>46</v>
      </c>
      <c r="E3398">
        <v>5</v>
      </c>
      <c r="F3398" s="3">
        <v>10.5</v>
      </c>
      <c r="G3398" t="s">
        <v>27</v>
      </c>
      <c r="H3398">
        <v>68</v>
      </c>
      <c r="I3398" t="s">
        <v>28</v>
      </c>
      <c r="J3398" s="4">
        <v>64.3</v>
      </c>
      <c r="K3398" s="4">
        <v>118.6</v>
      </c>
      <c r="L3398" s="4">
        <v>20.3</v>
      </c>
      <c r="M3398">
        <v>18</v>
      </c>
      <c r="N3398" t="s">
        <v>37</v>
      </c>
      <c r="O3398">
        <v>5</v>
      </c>
      <c r="P3398" s="4">
        <v>969.7</v>
      </c>
      <c r="Q3398" t="s">
        <v>42</v>
      </c>
      <c r="R3398">
        <v>1</v>
      </c>
      <c r="S3398" t="s">
        <v>44</v>
      </c>
      <c r="T3398">
        <v>1</v>
      </c>
      <c r="U3398">
        <v>0</v>
      </c>
      <c r="V3398" t="s">
        <v>45</v>
      </c>
      <c r="W3398" t="s">
        <v>49</v>
      </c>
      <c r="X3398" s="4">
        <v>8.6</v>
      </c>
      <c r="Y3398">
        <v>8</v>
      </c>
      <c r="Z3398" s="5">
        <v>144.41999999999999</v>
      </c>
    </row>
    <row r="3399" spans="1:26">
      <c r="A3399">
        <v>3398</v>
      </c>
      <c r="B3399">
        <v>1115</v>
      </c>
      <c r="C3399" s="2">
        <v>46160</v>
      </c>
      <c r="D3399" t="s">
        <v>46</v>
      </c>
      <c r="E3399">
        <v>5</v>
      </c>
      <c r="F3399" s="3">
        <v>10.53</v>
      </c>
      <c r="G3399" t="s">
        <v>27</v>
      </c>
      <c r="H3399">
        <v>6</v>
      </c>
      <c r="I3399" t="s">
        <v>34</v>
      </c>
      <c r="J3399" s="4">
        <v>61.3</v>
      </c>
      <c r="K3399" s="4">
        <v>132.5</v>
      </c>
      <c r="L3399" s="4">
        <v>24.9</v>
      </c>
      <c r="M3399">
        <v>12</v>
      </c>
      <c r="N3399" t="s">
        <v>37</v>
      </c>
      <c r="O3399">
        <v>5</v>
      </c>
      <c r="P3399" s="4">
        <v>969.7</v>
      </c>
      <c r="Q3399" t="s">
        <v>42</v>
      </c>
      <c r="R3399">
        <v>1</v>
      </c>
      <c r="S3399" t="s">
        <v>44</v>
      </c>
      <c r="T3399">
        <v>1</v>
      </c>
      <c r="U3399">
        <v>0</v>
      </c>
      <c r="V3399" t="s">
        <v>45</v>
      </c>
      <c r="W3399" t="s">
        <v>49</v>
      </c>
      <c r="X3399" s="4">
        <v>7.6</v>
      </c>
      <c r="Y3399">
        <v>8</v>
      </c>
      <c r="Z3399" s="5">
        <v>197.87</v>
      </c>
    </row>
    <row r="3400" spans="1:26">
      <c r="A3400">
        <v>3399</v>
      </c>
      <c r="B3400">
        <v>1116</v>
      </c>
      <c r="C3400" s="2">
        <v>46240</v>
      </c>
      <c r="D3400" t="s">
        <v>55</v>
      </c>
      <c r="E3400">
        <v>8</v>
      </c>
      <c r="F3400" s="3">
        <v>8.11</v>
      </c>
      <c r="G3400" t="s">
        <v>27</v>
      </c>
      <c r="H3400">
        <v>29</v>
      </c>
      <c r="I3400" t="s">
        <v>28</v>
      </c>
      <c r="J3400" s="4">
        <v>69.7</v>
      </c>
      <c r="K3400" s="4">
        <v>198.7</v>
      </c>
      <c r="L3400" s="4">
        <v>28.6</v>
      </c>
      <c r="M3400">
        <v>15</v>
      </c>
      <c r="N3400" t="s">
        <v>59</v>
      </c>
      <c r="O3400">
        <v>2</v>
      </c>
      <c r="P3400" s="4">
        <v>1262.2</v>
      </c>
      <c r="Q3400" t="s">
        <v>42</v>
      </c>
      <c r="R3400">
        <v>1</v>
      </c>
      <c r="S3400" t="s">
        <v>38</v>
      </c>
      <c r="T3400">
        <v>0</v>
      </c>
      <c r="U3400">
        <v>1</v>
      </c>
      <c r="V3400" t="s">
        <v>64</v>
      </c>
      <c r="W3400" t="s">
        <v>33</v>
      </c>
      <c r="X3400" s="4">
        <v>10.5</v>
      </c>
      <c r="Y3400">
        <v>11</v>
      </c>
      <c r="Z3400" s="5">
        <v>487.16</v>
      </c>
    </row>
    <row r="3401" spans="1:26">
      <c r="A3401">
        <v>3400</v>
      </c>
      <c r="B3401">
        <v>1116</v>
      </c>
      <c r="C3401" s="2">
        <v>46240</v>
      </c>
      <c r="D3401" t="s">
        <v>55</v>
      </c>
      <c r="E3401">
        <v>8</v>
      </c>
      <c r="F3401" s="3">
        <v>8.0399999999999991</v>
      </c>
      <c r="G3401" t="s">
        <v>27</v>
      </c>
      <c r="H3401">
        <v>35</v>
      </c>
      <c r="I3401" t="s">
        <v>28</v>
      </c>
      <c r="J3401" s="4">
        <v>67.5</v>
      </c>
      <c r="K3401" s="4">
        <v>170.4</v>
      </c>
      <c r="L3401" s="4">
        <v>26.1</v>
      </c>
      <c r="M3401">
        <v>14</v>
      </c>
      <c r="N3401" t="s">
        <v>59</v>
      </c>
      <c r="O3401">
        <v>2</v>
      </c>
      <c r="P3401" s="4">
        <v>1262.2</v>
      </c>
      <c r="Q3401" t="s">
        <v>42</v>
      </c>
      <c r="R3401">
        <v>1</v>
      </c>
      <c r="S3401" t="s">
        <v>38</v>
      </c>
      <c r="T3401">
        <v>0</v>
      </c>
      <c r="U3401">
        <v>1</v>
      </c>
      <c r="V3401" t="s">
        <v>64</v>
      </c>
      <c r="W3401" t="s">
        <v>33</v>
      </c>
      <c r="X3401" s="4">
        <v>9.8000000000000007</v>
      </c>
      <c r="Y3401">
        <v>11</v>
      </c>
      <c r="Z3401" s="5">
        <v>197.82</v>
      </c>
    </row>
    <row r="3402" spans="1:26">
      <c r="A3402">
        <v>3401</v>
      </c>
      <c r="B3402">
        <v>1117</v>
      </c>
      <c r="C3402" s="2">
        <v>46143</v>
      </c>
      <c r="D3402" t="s">
        <v>26</v>
      </c>
      <c r="E3402">
        <v>5</v>
      </c>
      <c r="F3402" s="3">
        <v>11.24</v>
      </c>
      <c r="G3402" t="s">
        <v>36</v>
      </c>
      <c r="H3402">
        <v>18</v>
      </c>
      <c r="I3402" t="s">
        <v>34</v>
      </c>
      <c r="J3402" s="4">
        <v>67.599999999999994</v>
      </c>
      <c r="K3402" s="4">
        <v>199.3</v>
      </c>
      <c r="L3402" s="4">
        <v>30.6</v>
      </c>
      <c r="M3402">
        <v>11</v>
      </c>
      <c r="N3402" t="s">
        <v>47</v>
      </c>
      <c r="O3402">
        <v>5</v>
      </c>
      <c r="P3402" s="4">
        <v>110.8</v>
      </c>
      <c r="Q3402" t="s">
        <v>42</v>
      </c>
      <c r="R3402">
        <v>0</v>
      </c>
      <c r="S3402" t="s">
        <v>44</v>
      </c>
      <c r="T3402">
        <v>0</v>
      </c>
      <c r="U3402">
        <v>0</v>
      </c>
      <c r="V3402" t="s">
        <v>32</v>
      </c>
      <c r="W3402" t="s">
        <v>49</v>
      </c>
      <c r="X3402" s="4">
        <v>8</v>
      </c>
      <c r="Y3402">
        <v>6</v>
      </c>
      <c r="Z3402" s="5">
        <v>292.10000000000002</v>
      </c>
    </row>
    <row r="3403" spans="1:26">
      <c r="A3403">
        <v>3402</v>
      </c>
      <c r="B3403">
        <v>1117</v>
      </c>
      <c r="C3403" s="2">
        <v>46143</v>
      </c>
      <c r="D3403" t="s">
        <v>26</v>
      </c>
      <c r="E3403">
        <v>5</v>
      </c>
      <c r="F3403" s="3">
        <v>11.24</v>
      </c>
      <c r="G3403" t="s">
        <v>36</v>
      </c>
      <c r="H3403">
        <v>46</v>
      </c>
      <c r="I3403" t="s">
        <v>28</v>
      </c>
      <c r="J3403" s="4">
        <v>64.599999999999994</v>
      </c>
      <c r="K3403" s="4">
        <v>151.4</v>
      </c>
      <c r="L3403" s="4">
        <v>25.5</v>
      </c>
      <c r="M3403">
        <v>12</v>
      </c>
      <c r="N3403" t="s">
        <v>47</v>
      </c>
      <c r="O3403">
        <v>5</v>
      </c>
      <c r="P3403" s="4">
        <v>110.8</v>
      </c>
      <c r="Q3403" t="s">
        <v>42</v>
      </c>
      <c r="R3403">
        <v>0</v>
      </c>
      <c r="S3403" t="s">
        <v>44</v>
      </c>
      <c r="T3403">
        <v>0</v>
      </c>
      <c r="U3403">
        <v>0</v>
      </c>
      <c r="V3403" t="s">
        <v>32</v>
      </c>
      <c r="W3403" t="s">
        <v>49</v>
      </c>
      <c r="X3403" s="4">
        <v>6.9</v>
      </c>
      <c r="Y3403">
        <v>3</v>
      </c>
      <c r="Z3403" s="5">
        <v>166.46</v>
      </c>
    </row>
    <row r="3404" spans="1:26">
      <c r="A3404">
        <v>3403</v>
      </c>
      <c r="B3404">
        <v>1117</v>
      </c>
      <c r="C3404" s="2">
        <v>46143</v>
      </c>
      <c r="D3404" t="s">
        <v>26</v>
      </c>
      <c r="E3404">
        <v>5</v>
      </c>
      <c r="F3404" s="3">
        <v>11.25</v>
      </c>
      <c r="G3404" t="s">
        <v>36</v>
      </c>
      <c r="H3404">
        <v>55</v>
      </c>
      <c r="I3404" t="s">
        <v>34</v>
      </c>
      <c r="J3404" s="4">
        <v>69</v>
      </c>
      <c r="K3404" s="4">
        <v>159.9</v>
      </c>
      <c r="L3404" s="4">
        <v>23.8</v>
      </c>
      <c r="M3404">
        <v>15</v>
      </c>
      <c r="N3404" t="s">
        <v>47</v>
      </c>
      <c r="O3404">
        <v>5</v>
      </c>
      <c r="P3404" s="4">
        <v>110.8</v>
      </c>
      <c r="Q3404" t="s">
        <v>42</v>
      </c>
      <c r="R3404">
        <v>0</v>
      </c>
      <c r="S3404" t="s">
        <v>44</v>
      </c>
      <c r="T3404">
        <v>0</v>
      </c>
      <c r="U3404">
        <v>0</v>
      </c>
      <c r="V3404" t="s">
        <v>32</v>
      </c>
      <c r="W3404" t="s">
        <v>49</v>
      </c>
      <c r="X3404" s="4">
        <v>8.1999999999999993</v>
      </c>
      <c r="Y3404">
        <v>3</v>
      </c>
      <c r="Z3404" s="5">
        <v>126.63</v>
      </c>
    </row>
    <row r="3405" spans="1:26">
      <c r="A3405">
        <v>3404</v>
      </c>
      <c r="B3405">
        <v>1117</v>
      </c>
      <c r="C3405" s="2">
        <v>46143</v>
      </c>
      <c r="D3405" t="s">
        <v>26</v>
      </c>
      <c r="E3405">
        <v>5</v>
      </c>
      <c r="F3405" s="3">
        <v>11.1</v>
      </c>
      <c r="G3405" t="s">
        <v>36</v>
      </c>
      <c r="H3405">
        <v>75</v>
      </c>
      <c r="I3405" t="s">
        <v>28</v>
      </c>
      <c r="J3405" s="4">
        <v>70.8</v>
      </c>
      <c r="K3405" s="4">
        <v>138</v>
      </c>
      <c r="L3405" s="4">
        <v>19.3</v>
      </c>
      <c r="M3405">
        <v>16</v>
      </c>
      <c r="N3405" t="s">
        <v>47</v>
      </c>
      <c r="O3405">
        <v>5</v>
      </c>
      <c r="P3405" s="4">
        <v>110.8</v>
      </c>
      <c r="Q3405" t="s">
        <v>42</v>
      </c>
      <c r="R3405">
        <v>0</v>
      </c>
      <c r="S3405" t="s">
        <v>44</v>
      </c>
      <c r="T3405">
        <v>0</v>
      </c>
      <c r="U3405">
        <v>0</v>
      </c>
      <c r="V3405" t="s">
        <v>32</v>
      </c>
      <c r="W3405" t="s">
        <v>49</v>
      </c>
      <c r="X3405" s="4">
        <v>9.6</v>
      </c>
      <c r="Y3405">
        <v>11</v>
      </c>
      <c r="Z3405" s="5">
        <v>332.32</v>
      </c>
    </row>
    <row r="3406" spans="1:26">
      <c r="A3406">
        <v>3405</v>
      </c>
      <c r="B3406">
        <v>1117</v>
      </c>
      <c r="C3406" s="2">
        <v>46143</v>
      </c>
      <c r="D3406" t="s">
        <v>26</v>
      </c>
      <c r="E3406">
        <v>5</v>
      </c>
      <c r="F3406" s="3">
        <v>11.4</v>
      </c>
      <c r="G3406" t="s">
        <v>36</v>
      </c>
      <c r="H3406">
        <v>50</v>
      </c>
      <c r="I3406" t="s">
        <v>28</v>
      </c>
      <c r="J3406" s="4">
        <v>69.900000000000006</v>
      </c>
      <c r="K3406" s="4">
        <v>166.7</v>
      </c>
      <c r="L3406" s="4">
        <v>24.1</v>
      </c>
      <c r="M3406">
        <v>16</v>
      </c>
      <c r="N3406" t="s">
        <v>47</v>
      </c>
      <c r="O3406">
        <v>5</v>
      </c>
      <c r="P3406" s="4">
        <v>110.8</v>
      </c>
      <c r="Q3406" t="s">
        <v>42</v>
      </c>
      <c r="R3406">
        <v>0</v>
      </c>
      <c r="S3406" t="s">
        <v>44</v>
      </c>
      <c r="T3406">
        <v>0</v>
      </c>
      <c r="U3406">
        <v>0</v>
      </c>
      <c r="V3406" t="s">
        <v>32</v>
      </c>
      <c r="W3406" t="s">
        <v>49</v>
      </c>
      <c r="X3406" s="4">
        <v>7.6</v>
      </c>
      <c r="Y3406">
        <v>4</v>
      </c>
      <c r="Z3406" s="5">
        <v>132.79</v>
      </c>
    </row>
    <row r="3407" spans="1:26">
      <c r="A3407">
        <v>3406</v>
      </c>
      <c r="B3407">
        <v>1118</v>
      </c>
      <c r="C3407" s="2">
        <v>46023</v>
      </c>
      <c r="D3407" t="s">
        <v>55</v>
      </c>
      <c r="E3407">
        <v>1</v>
      </c>
      <c r="F3407" s="3">
        <v>11.11</v>
      </c>
      <c r="G3407" t="s">
        <v>36</v>
      </c>
      <c r="H3407">
        <v>49</v>
      </c>
      <c r="I3407" t="s">
        <v>28</v>
      </c>
      <c r="J3407" s="4">
        <v>68.599999999999994</v>
      </c>
      <c r="K3407" s="4">
        <v>115</v>
      </c>
      <c r="L3407" s="4">
        <v>17.2</v>
      </c>
      <c r="M3407">
        <v>18</v>
      </c>
      <c r="N3407" t="s">
        <v>50</v>
      </c>
      <c r="O3407">
        <v>3</v>
      </c>
      <c r="P3407" s="4">
        <v>421.9</v>
      </c>
      <c r="Q3407" t="s">
        <v>48</v>
      </c>
      <c r="R3407">
        <v>1</v>
      </c>
      <c r="S3407" t="s">
        <v>44</v>
      </c>
      <c r="T3407">
        <v>0</v>
      </c>
      <c r="U3407">
        <v>0</v>
      </c>
      <c r="V3407" t="s">
        <v>45</v>
      </c>
      <c r="W3407" t="s">
        <v>49</v>
      </c>
      <c r="X3407" s="4">
        <v>13.7</v>
      </c>
      <c r="Y3407">
        <v>10</v>
      </c>
      <c r="Z3407" s="5">
        <v>464.08</v>
      </c>
    </row>
    <row r="3408" spans="1:26">
      <c r="A3408">
        <v>3407</v>
      </c>
      <c r="B3408">
        <v>1118</v>
      </c>
      <c r="C3408" s="2">
        <v>46023</v>
      </c>
      <c r="D3408" t="s">
        <v>55</v>
      </c>
      <c r="E3408">
        <v>1</v>
      </c>
      <c r="F3408" s="3">
        <v>11.23</v>
      </c>
      <c r="G3408" t="s">
        <v>36</v>
      </c>
      <c r="H3408">
        <v>37</v>
      </c>
      <c r="I3408" t="s">
        <v>28</v>
      </c>
      <c r="J3408" s="4">
        <v>69.5</v>
      </c>
      <c r="K3408" s="4">
        <v>184.6</v>
      </c>
      <c r="L3408" s="4">
        <v>26.8</v>
      </c>
      <c r="M3408">
        <v>20</v>
      </c>
      <c r="N3408" t="s">
        <v>50</v>
      </c>
      <c r="O3408">
        <v>3</v>
      </c>
      <c r="P3408" s="4">
        <v>421.9</v>
      </c>
      <c r="Q3408" t="s">
        <v>48</v>
      </c>
      <c r="R3408">
        <v>1</v>
      </c>
      <c r="S3408" t="s">
        <v>44</v>
      </c>
      <c r="T3408">
        <v>0</v>
      </c>
      <c r="U3408">
        <v>0</v>
      </c>
      <c r="V3408" t="s">
        <v>45</v>
      </c>
      <c r="W3408" t="s">
        <v>49</v>
      </c>
      <c r="X3408" s="4">
        <v>7.1</v>
      </c>
      <c r="Y3408">
        <v>8</v>
      </c>
      <c r="Z3408" s="5">
        <v>202.69</v>
      </c>
    </row>
    <row r="3409" spans="1:26">
      <c r="A3409">
        <v>3408</v>
      </c>
      <c r="B3409">
        <v>1118</v>
      </c>
      <c r="C3409" s="2">
        <v>46023</v>
      </c>
      <c r="D3409" t="s">
        <v>55</v>
      </c>
      <c r="E3409">
        <v>1</v>
      </c>
      <c r="F3409" s="3">
        <v>11.2</v>
      </c>
      <c r="G3409" t="s">
        <v>36</v>
      </c>
      <c r="H3409">
        <v>38</v>
      </c>
      <c r="I3409" t="s">
        <v>34</v>
      </c>
      <c r="J3409" s="4">
        <v>61.9</v>
      </c>
      <c r="K3409" s="4">
        <v>127.3</v>
      </c>
      <c r="L3409" s="4">
        <v>23.4</v>
      </c>
      <c r="M3409">
        <v>18</v>
      </c>
      <c r="N3409" t="s">
        <v>50</v>
      </c>
      <c r="O3409">
        <v>3</v>
      </c>
      <c r="P3409" s="4">
        <v>421.9</v>
      </c>
      <c r="Q3409" t="s">
        <v>48</v>
      </c>
      <c r="R3409">
        <v>1</v>
      </c>
      <c r="S3409" t="s">
        <v>44</v>
      </c>
      <c r="T3409">
        <v>0</v>
      </c>
      <c r="U3409">
        <v>0</v>
      </c>
      <c r="V3409" t="s">
        <v>45</v>
      </c>
      <c r="W3409" t="s">
        <v>49</v>
      </c>
      <c r="X3409" s="4">
        <v>7.6</v>
      </c>
      <c r="Y3409">
        <v>9</v>
      </c>
      <c r="Z3409" s="5">
        <v>204.14</v>
      </c>
    </row>
    <row r="3410" spans="1:26">
      <c r="A3410">
        <v>3409</v>
      </c>
      <c r="B3410">
        <v>1119</v>
      </c>
      <c r="C3410" s="2">
        <v>46221</v>
      </c>
      <c r="D3410" t="s">
        <v>40</v>
      </c>
      <c r="E3410">
        <v>7</v>
      </c>
      <c r="F3410" s="3">
        <v>10.47</v>
      </c>
      <c r="G3410" t="s">
        <v>27</v>
      </c>
      <c r="H3410">
        <v>8</v>
      </c>
      <c r="I3410" t="s">
        <v>34</v>
      </c>
      <c r="J3410" s="4">
        <v>68.3</v>
      </c>
      <c r="K3410" s="4">
        <v>122.8</v>
      </c>
      <c r="L3410" s="4">
        <v>18.2</v>
      </c>
      <c r="M3410">
        <v>14</v>
      </c>
      <c r="N3410" t="s">
        <v>47</v>
      </c>
      <c r="O3410">
        <v>3</v>
      </c>
      <c r="P3410" s="4">
        <v>42.6</v>
      </c>
      <c r="Q3410" t="s">
        <v>42</v>
      </c>
      <c r="R3410">
        <v>1</v>
      </c>
      <c r="S3410" t="s">
        <v>31</v>
      </c>
      <c r="T3410">
        <v>0</v>
      </c>
      <c r="U3410">
        <v>1</v>
      </c>
      <c r="V3410" t="s">
        <v>32</v>
      </c>
      <c r="W3410" t="s">
        <v>33</v>
      </c>
      <c r="X3410" s="4">
        <v>10.5</v>
      </c>
      <c r="Y3410">
        <v>8</v>
      </c>
      <c r="Z3410" s="5">
        <v>310.86</v>
      </c>
    </row>
    <row r="3411" spans="1:26">
      <c r="A3411">
        <v>3410</v>
      </c>
      <c r="B3411">
        <v>1119</v>
      </c>
      <c r="C3411" s="2">
        <v>46221</v>
      </c>
      <c r="D3411" t="s">
        <v>40</v>
      </c>
      <c r="E3411">
        <v>7</v>
      </c>
      <c r="F3411" s="3">
        <v>10.58</v>
      </c>
      <c r="G3411" t="s">
        <v>27</v>
      </c>
      <c r="H3411">
        <v>52</v>
      </c>
      <c r="I3411" t="s">
        <v>28</v>
      </c>
      <c r="J3411" s="4">
        <v>68.599999999999994</v>
      </c>
      <c r="K3411" s="4">
        <v>180.3</v>
      </c>
      <c r="L3411" s="4">
        <v>26.9</v>
      </c>
      <c r="M3411">
        <v>17</v>
      </c>
      <c r="N3411" t="s">
        <v>47</v>
      </c>
      <c r="O3411">
        <v>3</v>
      </c>
      <c r="P3411" s="4">
        <v>42.6</v>
      </c>
      <c r="Q3411" t="s">
        <v>42</v>
      </c>
      <c r="R3411">
        <v>1</v>
      </c>
      <c r="S3411" t="s">
        <v>31</v>
      </c>
      <c r="T3411">
        <v>0</v>
      </c>
      <c r="U3411">
        <v>1</v>
      </c>
      <c r="V3411" t="s">
        <v>32</v>
      </c>
      <c r="W3411" t="s">
        <v>33</v>
      </c>
      <c r="X3411" s="4">
        <v>7.6</v>
      </c>
      <c r="Y3411">
        <v>6</v>
      </c>
      <c r="Z3411" s="5">
        <v>208.72</v>
      </c>
    </row>
    <row r="3412" spans="1:26">
      <c r="A3412">
        <v>3411</v>
      </c>
      <c r="B3412">
        <v>1119</v>
      </c>
      <c r="C3412" s="2">
        <v>46221</v>
      </c>
      <c r="D3412" t="s">
        <v>40</v>
      </c>
      <c r="E3412">
        <v>7</v>
      </c>
      <c r="F3412" s="3">
        <v>10.33</v>
      </c>
      <c r="G3412" t="s">
        <v>27</v>
      </c>
      <c r="H3412">
        <v>19</v>
      </c>
      <c r="I3412" t="s">
        <v>34</v>
      </c>
      <c r="J3412" s="4">
        <v>65.8</v>
      </c>
      <c r="K3412" s="4">
        <v>158.1</v>
      </c>
      <c r="L3412" s="4">
        <v>25.9</v>
      </c>
      <c r="M3412">
        <v>12</v>
      </c>
      <c r="N3412" t="s">
        <v>47</v>
      </c>
      <c r="O3412">
        <v>3</v>
      </c>
      <c r="P3412" s="4">
        <v>42.6</v>
      </c>
      <c r="Q3412" t="s">
        <v>42</v>
      </c>
      <c r="R3412">
        <v>1</v>
      </c>
      <c r="S3412" t="s">
        <v>31</v>
      </c>
      <c r="T3412">
        <v>0</v>
      </c>
      <c r="U3412">
        <v>1</v>
      </c>
      <c r="V3412" t="s">
        <v>32</v>
      </c>
      <c r="W3412" t="s">
        <v>33</v>
      </c>
      <c r="X3412" s="4">
        <v>10.6</v>
      </c>
      <c r="Y3412">
        <v>11</v>
      </c>
      <c r="Z3412" s="5">
        <v>232.12</v>
      </c>
    </row>
    <row r="3413" spans="1:26">
      <c r="A3413">
        <v>3412</v>
      </c>
      <c r="B3413">
        <v>1120</v>
      </c>
      <c r="C3413" s="2">
        <v>46197</v>
      </c>
      <c r="D3413" t="s">
        <v>52</v>
      </c>
      <c r="E3413">
        <v>6</v>
      </c>
      <c r="F3413" s="3">
        <v>12.44</v>
      </c>
      <c r="G3413" t="s">
        <v>36</v>
      </c>
      <c r="H3413">
        <v>61</v>
      </c>
      <c r="I3413" t="s">
        <v>34</v>
      </c>
      <c r="J3413" s="4">
        <v>63.5</v>
      </c>
      <c r="K3413" s="4">
        <v>112.9</v>
      </c>
      <c r="L3413" s="4">
        <v>19.600000000000001</v>
      </c>
      <c r="M3413">
        <v>18</v>
      </c>
      <c r="N3413" t="s">
        <v>59</v>
      </c>
      <c r="O3413">
        <v>1</v>
      </c>
      <c r="P3413" s="4">
        <v>1079.7</v>
      </c>
      <c r="Q3413" t="s">
        <v>48</v>
      </c>
      <c r="R3413">
        <v>1</v>
      </c>
      <c r="S3413" t="s">
        <v>44</v>
      </c>
      <c r="T3413">
        <v>1</v>
      </c>
      <c r="U3413">
        <v>1</v>
      </c>
      <c r="V3413" t="s">
        <v>32</v>
      </c>
      <c r="W3413" t="s">
        <v>43</v>
      </c>
      <c r="X3413" s="4">
        <v>7</v>
      </c>
      <c r="Y3413">
        <v>10</v>
      </c>
      <c r="Z3413" s="5">
        <v>241.04</v>
      </c>
    </row>
    <row r="3414" spans="1:26">
      <c r="A3414">
        <v>3413</v>
      </c>
      <c r="B3414">
        <v>1121</v>
      </c>
      <c r="C3414" s="2">
        <v>46340</v>
      </c>
      <c r="D3414" t="s">
        <v>40</v>
      </c>
      <c r="E3414">
        <v>11</v>
      </c>
      <c r="F3414" s="3">
        <v>8.75</v>
      </c>
      <c r="G3414" t="s">
        <v>27</v>
      </c>
      <c r="H3414">
        <v>10</v>
      </c>
      <c r="I3414" t="s">
        <v>34</v>
      </c>
      <c r="J3414" s="4">
        <v>66.2</v>
      </c>
      <c r="K3414" s="4">
        <v>124</v>
      </c>
      <c r="L3414" s="4">
        <v>19.8</v>
      </c>
      <c r="M3414">
        <v>17</v>
      </c>
      <c r="N3414" t="s">
        <v>47</v>
      </c>
      <c r="O3414">
        <v>5</v>
      </c>
      <c r="P3414" s="4">
        <v>107.9</v>
      </c>
      <c r="Q3414" t="s">
        <v>48</v>
      </c>
      <c r="R3414">
        <v>0</v>
      </c>
      <c r="S3414" t="s">
        <v>31</v>
      </c>
      <c r="T3414">
        <v>0</v>
      </c>
      <c r="U3414">
        <v>1</v>
      </c>
      <c r="V3414" t="s">
        <v>32</v>
      </c>
      <c r="W3414" t="s">
        <v>33</v>
      </c>
      <c r="X3414" s="4">
        <v>10.9</v>
      </c>
      <c r="Y3414">
        <v>15</v>
      </c>
      <c r="Z3414" s="5">
        <v>343.29</v>
      </c>
    </row>
    <row r="3415" spans="1:26">
      <c r="A3415">
        <v>3414</v>
      </c>
      <c r="B3415">
        <v>1121</v>
      </c>
      <c r="C3415" s="2">
        <v>46340</v>
      </c>
      <c r="D3415" t="s">
        <v>40</v>
      </c>
      <c r="E3415">
        <v>11</v>
      </c>
      <c r="F3415" s="3">
        <v>8.7200000000000006</v>
      </c>
      <c r="G3415" t="s">
        <v>27</v>
      </c>
      <c r="H3415">
        <v>51</v>
      </c>
      <c r="I3415" t="s">
        <v>34</v>
      </c>
      <c r="J3415" s="4">
        <v>61.2</v>
      </c>
      <c r="K3415" s="4">
        <v>184.5</v>
      </c>
      <c r="L3415" s="4">
        <v>34.799999999999997</v>
      </c>
      <c r="M3415">
        <v>12</v>
      </c>
      <c r="N3415" t="s">
        <v>47</v>
      </c>
      <c r="O3415">
        <v>5</v>
      </c>
      <c r="P3415" s="4">
        <v>107.9</v>
      </c>
      <c r="Q3415" t="s">
        <v>48</v>
      </c>
      <c r="R3415">
        <v>0</v>
      </c>
      <c r="S3415" t="s">
        <v>31</v>
      </c>
      <c r="T3415">
        <v>0</v>
      </c>
      <c r="U3415">
        <v>1</v>
      </c>
      <c r="V3415" t="s">
        <v>32</v>
      </c>
      <c r="W3415" t="s">
        <v>33</v>
      </c>
      <c r="X3415" s="4">
        <v>6.7</v>
      </c>
      <c r="Y3415">
        <v>3</v>
      </c>
      <c r="Z3415" s="5">
        <v>182.19</v>
      </c>
    </row>
    <row r="3416" spans="1:26">
      <c r="A3416">
        <v>3415</v>
      </c>
      <c r="B3416">
        <v>1121</v>
      </c>
      <c r="C3416" s="2">
        <v>46340</v>
      </c>
      <c r="D3416" t="s">
        <v>40</v>
      </c>
      <c r="E3416">
        <v>11</v>
      </c>
      <c r="F3416" s="3">
        <v>8.82</v>
      </c>
      <c r="G3416" t="s">
        <v>27</v>
      </c>
      <c r="H3416">
        <v>38</v>
      </c>
      <c r="I3416" t="s">
        <v>34</v>
      </c>
      <c r="J3416" s="4">
        <v>63.9</v>
      </c>
      <c r="K3416" s="4">
        <v>146.1</v>
      </c>
      <c r="L3416" s="4">
        <v>25.2</v>
      </c>
      <c r="M3416">
        <v>19</v>
      </c>
      <c r="N3416" t="s">
        <v>47</v>
      </c>
      <c r="O3416">
        <v>5</v>
      </c>
      <c r="P3416" s="4">
        <v>107.9</v>
      </c>
      <c r="Q3416" t="s">
        <v>48</v>
      </c>
      <c r="R3416">
        <v>0</v>
      </c>
      <c r="S3416" t="s">
        <v>31</v>
      </c>
      <c r="T3416">
        <v>0</v>
      </c>
      <c r="U3416">
        <v>1</v>
      </c>
      <c r="V3416" t="s">
        <v>32</v>
      </c>
      <c r="W3416" t="s">
        <v>33</v>
      </c>
      <c r="X3416" s="4">
        <v>9.1999999999999993</v>
      </c>
      <c r="Y3416">
        <v>11</v>
      </c>
      <c r="Z3416" s="5">
        <v>248.23</v>
      </c>
    </row>
    <row r="3417" spans="1:26">
      <c r="A3417">
        <v>3416</v>
      </c>
      <c r="B3417">
        <v>1121</v>
      </c>
      <c r="C3417" s="2">
        <v>46340</v>
      </c>
      <c r="D3417" t="s">
        <v>40</v>
      </c>
      <c r="E3417">
        <v>11</v>
      </c>
      <c r="F3417" s="3">
        <v>8.7899999999999991</v>
      </c>
      <c r="G3417" t="s">
        <v>27</v>
      </c>
      <c r="H3417">
        <v>22</v>
      </c>
      <c r="I3417" t="s">
        <v>28</v>
      </c>
      <c r="J3417" s="4">
        <v>69.900000000000006</v>
      </c>
      <c r="K3417" s="4">
        <v>153.19999999999999</v>
      </c>
      <c r="L3417" s="4">
        <v>22.1</v>
      </c>
      <c r="M3417">
        <v>17</v>
      </c>
      <c r="N3417" t="s">
        <v>47</v>
      </c>
      <c r="O3417">
        <v>5</v>
      </c>
      <c r="P3417" s="4">
        <v>107.9</v>
      </c>
      <c r="Q3417" t="s">
        <v>48</v>
      </c>
      <c r="R3417">
        <v>0</v>
      </c>
      <c r="S3417" t="s">
        <v>31</v>
      </c>
      <c r="T3417">
        <v>0</v>
      </c>
      <c r="U3417">
        <v>1</v>
      </c>
      <c r="V3417" t="s">
        <v>32</v>
      </c>
      <c r="W3417" t="s">
        <v>33</v>
      </c>
      <c r="X3417" s="4">
        <v>9.6</v>
      </c>
      <c r="Y3417">
        <v>9</v>
      </c>
      <c r="Z3417" s="5">
        <v>286.87</v>
      </c>
    </row>
    <row r="3418" spans="1:26">
      <c r="A3418">
        <v>3417</v>
      </c>
      <c r="B3418">
        <v>1121</v>
      </c>
      <c r="C3418" s="2">
        <v>46340</v>
      </c>
      <c r="D3418" t="s">
        <v>40</v>
      </c>
      <c r="E3418">
        <v>11</v>
      </c>
      <c r="F3418" s="3">
        <v>8.7899999999999991</v>
      </c>
      <c r="G3418" t="s">
        <v>27</v>
      </c>
      <c r="H3418">
        <v>34</v>
      </c>
      <c r="I3418" t="s">
        <v>34</v>
      </c>
      <c r="J3418" s="4">
        <v>65.5</v>
      </c>
      <c r="K3418" s="4">
        <v>184.5</v>
      </c>
      <c r="L3418" s="4">
        <v>30.5</v>
      </c>
      <c r="M3418">
        <v>18</v>
      </c>
      <c r="N3418" t="s">
        <v>47</v>
      </c>
      <c r="O3418">
        <v>5</v>
      </c>
      <c r="P3418" s="4">
        <v>107.9</v>
      </c>
      <c r="Q3418" t="s">
        <v>48</v>
      </c>
      <c r="R3418">
        <v>0</v>
      </c>
      <c r="S3418" t="s">
        <v>31</v>
      </c>
      <c r="T3418">
        <v>0</v>
      </c>
      <c r="U3418">
        <v>1</v>
      </c>
      <c r="V3418" t="s">
        <v>32</v>
      </c>
      <c r="W3418" t="s">
        <v>33</v>
      </c>
      <c r="X3418" s="4">
        <v>8.8000000000000007</v>
      </c>
      <c r="Y3418">
        <v>8</v>
      </c>
      <c r="Z3418" s="5">
        <v>179.58</v>
      </c>
    </row>
    <row r="3419" spans="1:26">
      <c r="A3419">
        <v>3418</v>
      </c>
      <c r="B3419">
        <v>1122</v>
      </c>
      <c r="C3419" s="2">
        <v>46188</v>
      </c>
      <c r="D3419" t="s">
        <v>46</v>
      </c>
      <c r="E3419">
        <v>6</v>
      </c>
      <c r="F3419" s="3">
        <v>9.66</v>
      </c>
      <c r="G3419" t="s">
        <v>27</v>
      </c>
      <c r="H3419">
        <v>50</v>
      </c>
      <c r="I3419" t="s">
        <v>34</v>
      </c>
      <c r="J3419" s="4">
        <v>67.8</v>
      </c>
      <c r="K3419" s="4">
        <v>166.1</v>
      </c>
      <c r="L3419" s="4">
        <v>25.4</v>
      </c>
      <c r="M3419">
        <v>13</v>
      </c>
      <c r="N3419" t="s">
        <v>61</v>
      </c>
      <c r="O3419">
        <v>1</v>
      </c>
      <c r="P3419" s="4">
        <v>1355.3</v>
      </c>
      <c r="Q3419" t="s">
        <v>30</v>
      </c>
      <c r="R3419">
        <v>1</v>
      </c>
      <c r="S3419" t="s">
        <v>38</v>
      </c>
      <c r="T3419">
        <v>0</v>
      </c>
      <c r="U3419">
        <v>0</v>
      </c>
      <c r="V3419" t="s">
        <v>32</v>
      </c>
      <c r="W3419" t="s">
        <v>43</v>
      </c>
      <c r="X3419" s="4">
        <v>6.6</v>
      </c>
      <c r="Y3419">
        <v>3</v>
      </c>
      <c r="Z3419" s="5">
        <v>113.41</v>
      </c>
    </row>
    <row r="3420" spans="1:26">
      <c r="A3420">
        <v>3419</v>
      </c>
      <c r="B3420">
        <v>1123</v>
      </c>
      <c r="C3420" s="2">
        <v>46341</v>
      </c>
      <c r="D3420" t="s">
        <v>58</v>
      </c>
      <c r="E3420">
        <v>11</v>
      </c>
      <c r="F3420" s="3">
        <v>12.35</v>
      </c>
      <c r="G3420" t="s">
        <v>36</v>
      </c>
      <c r="H3420">
        <v>41</v>
      </c>
      <c r="I3420" t="s">
        <v>28</v>
      </c>
      <c r="J3420" s="4">
        <v>68.3</v>
      </c>
      <c r="K3420" s="4">
        <v>181.9</v>
      </c>
      <c r="L3420" s="4">
        <v>27.5</v>
      </c>
      <c r="M3420">
        <v>18</v>
      </c>
      <c r="N3420" t="s">
        <v>61</v>
      </c>
      <c r="O3420">
        <v>4</v>
      </c>
      <c r="P3420" s="4">
        <v>1051.9000000000001</v>
      </c>
      <c r="Q3420" t="s">
        <v>42</v>
      </c>
      <c r="R3420">
        <v>0</v>
      </c>
      <c r="S3420" t="s">
        <v>44</v>
      </c>
      <c r="T3420">
        <v>0</v>
      </c>
      <c r="U3420">
        <v>0</v>
      </c>
      <c r="V3420" t="s">
        <v>32</v>
      </c>
      <c r="W3420" t="s">
        <v>57</v>
      </c>
      <c r="X3420" s="4">
        <v>5.9</v>
      </c>
      <c r="Y3420">
        <v>2</v>
      </c>
      <c r="Z3420" s="5">
        <v>118.71</v>
      </c>
    </row>
    <row r="3421" spans="1:26">
      <c r="A3421">
        <v>3420</v>
      </c>
      <c r="B3421">
        <v>1123</v>
      </c>
      <c r="C3421" s="2">
        <v>46341</v>
      </c>
      <c r="D3421" t="s">
        <v>58</v>
      </c>
      <c r="E3421">
        <v>11</v>
      </c>
      <c r="F3421" s="3">
        <v>12.25</v>
      </c>
      <c r="G3421" t="s">
        <v>36</v>
      </c>
      <c r="H3421">
        <v>50</v>
      </c>
      <c r="I3421" t="s">
        <v>34</v>
      </c>
      <c r="J3421" s="4">
        <v>66.599999999999994</v>
      </c>
      <c r="K3421" s="4">
        <v>171.3</v>
      </c>
      <c r="L3421" s="4">
        <v>27.2</v>
      </c>
      <c r="M3421">
        <v>18</v>
      </c>
      <c r="N3421" t="s">
        <v>61</v>
      </c>
      <c r="O3421">
        <v>4</v>
      </c>
      <c r="P3421" s="4">
        <v>1051.9000000000001</v>
      </c>
      <c r="Q3421" t="s">
        <v>42</v>
      </c>
      <c r="R3421">
        <v>0</v>
      </c>
      <c r="S3421" t="s">
        <v>44</v>
      </c>
      <c r="T3421">
        <v>0</v>
      </c>
      <c r="U3421">
        <v>0</v>
      </c>
      <c r="V3421" t="s">
        <v>32</v>
      </c>
      <c r="W3421" t="s">
        <v>57</v>
      </c>
      <c r="X3421" s="4">
        <v>8.6999999999999993</v>
      </c>
      <c r="Y3421">
        <v>8</v>
      </c>
      <c r="Z3421" s="5">
        <v>183.79</v>
      </c>
    </row>
    <row r="3422" spans="1:26">
      <c r="A3422">
        <v>3421</v>
      </c>
      <c r="B3422">
        <v>1123</v>
      </c>
      <c r="C3422" s="2">
        <v>46341</v>
      </c>
      <c r="D3422" t="s">
        <v>58</v>
      </c>
      <c r="E3422">
        <v>11</v>
      </c>
      <c r="F3422" s="3">
        <v>12.35</v>
      </c>
      <c r="G3422" t="s">
        <v>36</v>
      </c>
      <c r="H3422">
        <v>50</v>
      </c>
      <c r="I3422" t="s">
        <v>28</v>
      </c>
      <c r="J3422" s="4">
        <v>74</v>
      </c>
      <c r="K3422" s="4">
        <v>209.8</v>
      </c>
      <c r="L3422" s="4">
        <v>26.7</v>
      </c>
      <c r="M3422">
        <v>14</v>
      </c>
      <c r="N3422" t="s">
        <v>61</v>
      </c>
      <c r="O3422">
        <v>4</v>
      </c>
      <c r="P3422" s="4">
        <v>1051.9000000000001</v>
      </c>
      <c r="Q3422" t="s">
        <v>42</v>
      </c>
      <c r="R3422">
        <v>0</v>
      </c>
      <c r="S3422" t="s">
        <v>44</v>
      </c>
      <c r="T3422">
        <v>0</v>
      </c>
      <c r="U3422">
        <v>0</v>
      </c>
      <c r="V3422" t="s">
        <v>32</v>
      </c>
      <c r="W3422" t="s">
        <v>57</v>
      </c>
      <c r="X3422" s="4">
        <v>5.6</v>
      </c>
      <c r="Y3422">
        <v>7</v>
      </c>
      <c r="Z3422" s="5">
        <v>190.39</v>
      </c>
    </row>
    <row r="3423" spans="1:26">
      <c r="A3423">
        <v>3422</v>
      </c>
      <c r="B3423">
        <v>1123</v>
      </c>
      <c r="C3423" s="2">
        <v>46341</v>
      </c>
      <c r="D3423" t="s">
        <v>58</v>
      </c>
      <c r="E3423">
        <v>11</v>
      </c>
      <c r="F3423" s="3">
        <v>12.22</v>
      </c>
      <c r="G3423" t="s">
        <v>36</v>
      </c>
      <c r="H3423">
        <v>44</v>
      </c>
      <c r="I3423" t="s">
        <v>28</v>
      </c>
      <c r="J3423" s="4">
        <v>71.3</v>
      </c>
      <c r="K3423" s="4">
        <v>202.1</v>
      </c>
      <c r="L3423" s="4">
        <v>28.1</v>
      </c>
      <c r="M3423">
        <v>12</v>
      </c>
      <c r="N3423" t="s">
        <v>61</v>
      </c>
      <c r="O3423">
        <v>4</v>
      </c>
      <c r="P3423" s="4">
        <v>1051.9000000000001</v>
      </c>
      <c r="Q3423" t="s">
        <v>42</v>
      </c>
      <c r="R3423">
        <v>0</v>
      </c>
      <c r="S3423" t="s">
        <v>44</v>
      </c>
      <c r="T3423">
        <v>0</v>
      </c>
      <c r="U3423">
        <v>0</v>
      </c>
      <c r="V3423" t="s">
        <v>32</v>
      </c>
      <c r="W3423" t="s">
        <v>57</v>
      </c>
      <c r="X3423" s="4">
        <v>10.7</v>
      </c>
      <c r="Y3423">
        <v>8</v>
      </c>
      <c r="Z3423" s="5">
        <v>298.47000000000003</v>
      </c>
    </row>
    <row r="3424" spans="1:26">
      <c r="A3424">
        <v>3423</v>
      </c>
      <c r="B3424">
        <v>1124</v>
      </c>
      <c r="C3424" s="2">
        <v>46185</v>
      </c>
      <c r="D3424" t="s">
        <v>26</v>
      </c>
      <c r="E3424">
        <v>6</v>
      </c>
      <c r="F3424" s="3">
        <v>13.47</v>
      </c>
      <c r="G3424" t="s">
        <v>36</v>
      </c>
      <c r="H3424">
        <v>50</v>
      </c>
      <c r="I3424" t="s">
        <v>28</v>
      </c>
      <c r="J3424" s="4">
        <v>63.3</v>
      </c>
      <c r="K3424" s="4">
        <v>173.4</v>
      </c>
      <c r="L3424" s="4">
        <v>30.7</v>
      </c>
      <c r="M3424">
        <v>17</v>
      </c>
      <c r="N3424" t="s">
        <v>47</v>
      </c>
      <c r="O3424">
        <v>2</v>
      </c>
      <c r="P3424" s="4">
        <v>54.7</v>
      </c>
      <c r="Q3424" t="s">
        <v>30</v>
      </c>
      <c r="R3424">
        <v>0</v>
      </c>
      <c r="S3424" t="s">
        <v>44</v>
      </c>
      <c r="T3424">
        <v>1</v>
      </c>
      <c r="U3424">
        <v>0</v>
      </c>
      <c r="V3424" t="s">
        <v>32</v>
      </c>
      <c r="W3424" t="s">
        <v>39</v>
      </c>
      <c r="X3424" s="4">
        <v>7.5</v>
      </c>
      <c r="Y3424">
        <v>5</v>
      </c>
      <c r="Z3424" s="5">
        <v>158.01</v>
      </c>
    </row>
    <row r="3425" spans="1:26">
      <c r="A3425">
        <v>3424</v>
      </c>
      <c r="B3425">
        <v>1124</v>
      </c>
      <c r="C3425" s="2">
        <v>46185</v>
      </c>
      <c r="D3425" t="s">
        <v>26</v>
      </c>
      <c r="E3425">
        <v>6</v>
      </c>
      <c r="F3425" s="3">
        <v>13.67</v>
      </c>
      <c r="G3425" t="s">
        <v>36</v>
      </c>
      <c r="H3425">
        <v>65</v>
      </c>
      <c r="I3425" t="s">
        <v>34</v>
      </c>
      <c r="J3425" s="4">
        <v>67.7</v>
      </c>
      <c r="K3425" s="4">
        <v>191.4</v>
      </c>
      <c r="L3425" s="4">
        <v>29.3</v>
      </c>
      <c r="M3425">
        <v>11</v>
      </c>
      <c r="N3425" t="s">
        <v>47</v>
      </c>
      <c r="O3425">
        <v>2</v>
      </c>
      <c r="P3425" s="4">
        <v>54.7</v>
      </c>
      <c r="Q3425" t="s">
        <v>30</v>
      </c>
      <c r="R3425">
        <v>0</v>
      </c>
      <c r="S3425" t="s">
        <v>44</v>
      </c>
      <c r="T3425">
        <v>1</v>
      </c>
      <c r="U3425">
        <v>0</v>
      </c>
      <c r="V3425" t="s">
        <v>32</v>
      </c>
      <c r="W3425" t="s">
        <v>39</v>
      </c>
      <c r="X3425" s="4">
        <v>9.6</v>
      </c>
      <c r="Y3425">
        <v>8</v>
      </c>
      <c r="Z3425" s="5">
        <v>180.93</v>
      </c>
    </row>
    <row r="3426" spans="1:26">
      <c r="A3426">
        <v>3425</v>
      </c>
      <c r="B3426">
        <v>1125</v>
      </c>
      <c r="C3426" s="2">
        <v>46237</v>
      </c>
      <c r="D3426" t="s">
        <v>46</v>
      </c>
      <c r="E3426">
        <v>8</v>
      </c>
      <c r="F3426" s="3">
        <v>9.82</v>
      </c>
      <c r="G3426" t="s">
        <v>27</v>
      </c>
      <c r="H3426">
        <v>55</v>
      </c>
      <c r="I3426" t="s">
        <v>51</v>
      </c>
      <c r="J3426" s="4">
        <v>64.599999999999994</v>
      </c>
      <c r="K3426" s="4">
        <v>136.6</v>
      </c>
      <c r="L3426" s="4">
        <v>23</v>
      </c>
      <c r="M3426">
        <v>13</v>
      </c>
      <c r="N3426" t="s">
        <v>61</v>
      </c>
      <c r="O3426">
        <v>2</v>
      </c>
      <c r="P3426" s="4">
        <v>1676.7</v>
      </c>
      <c r="Q3426" t="s">
        <v>42</v>
      </c>
      <c r="R3426">
        <v>1</v>
      </c>
      <c r="S3426" t="s">
        <v>44</v>
      </c>
      <c r="T3426">
        <v>0</v>
      </c>
      <c r="U3426">
        <v>0</v>
      </c>
      <c r="V3426" t="s">
        <v>32</v>
      </c>
      <c r="W3426" t="s">
        <v>39</v>
      </c>
      <c r="X3426" s="4">
        <v>8.1999999999999993</v>
      </c>
      <c r="Y3426">
        <v>11</v>
      </c>
      <c r="Z3426" s="5">
        <v>217.95</v>
      </c>
    </row>
    <row r="3427" spans="1:26">
      <c r="A3427">
        <v>3426</v>
      </c>
      <c r="B3427">
        <v>1125</v>
      </c>
      <c r="C3427" s="2">
        <v>46237</v>
      </c>
      <c r="D3427" t="s">
        <v>46</v>
      </c>
      <c r="E3427">
        <v>8</v>
      </c>
      <c r="F3427" s="3">
        <v>10.050000000000001</v>
      </c>
      <c r="G3427" t="s">
        <v>27</v>
      </c>
      <c r="H3427">
        <v>18</v>
      </c>
      <c r="I3427" t="s">
        <v>28</v>
      </c>
      <c r="J3427" s="4">
        <v>68.8</v>
      </c>
      <c r="K3427" s="4">
        <v>167.5</v>
      </c>
      <c r="L3427" s="4">
        <v>24.8</v>
      </c>
      <c r="M3427">
        <v>13</v>
      </c>
      <c r="N3427" t="s">
        <v>61</v>
      </c>
      <c r="O3427">
        <v>2</v>
      </c>
      <c r="P3427" s="4">
        <v>1676.7</v>
      </c>
      <c r="Q3427" t="s">
        <v>42</v>
      </c>
      <c r="R3427">
        <v>1</v>
      </c>
      <c r="S3427" t="s">
        <v>44</v>
      </c>
      <c r="T3427">
        <v>0</v>
      </c>
      <c r="U3427">
        <v>0</v>
      </c>
      <c r="V3427" t="s">
        <v>32</v>
      </c>
      <c r="W3427" t="s">
        <v>39</v>
      </c>
      <c r="X3427" s="4">
        <v>7.8</v>
      </c>
      <c r="Y3427">
        <v>9</v>
      </c>
      <c r="Z3427" s="5">
        <v>251.41</v>
      </c>
    </row>
    <row r="3428" spans="1:26">
      <c r="A3428">
        <v>3427</v>
      </c>
      <c r="B3428">
        <v>1126</v>
      </c>
      <c r="C3428" s="2">
        <v>46371</v>
      </c>
      <c r="D3428" t="s">
        <v>35</v>
      </c>
      <c r="E3428">
        <v>12</v>
      </c>
      <c r="F3428" s="3">
        <v>10.38</v>
      </c>
      <c r="G3428" t="s">
        <v>27</v>
      </c>
      <c r="H3428">
        <v>20</v>
      </c>
      <c r="I3428" t="s">
        <v>28</v>
      </c>
      <c r="J3428" s="4">
        <v>69</v>
      </c>
      <c r="K3428" s="4">
        <v>169.1</v>
      </c>
      <c r="L3428" s="4">
        <v>24.9</v>
      </c>
      <c r="M3428">
        <v>15</v>
      </c>
      <c r="N3428" t="s">
        <v>50</v>
      </c>
      <c r="O3428">
        <v>5</v>
      </c>
      <c r="P3428" s="4">
        <v>555.79999999999995</v>
      </c>
      <c r="Q3428" t="s">
        <v>48</v>
      </c>
      <c r="R3428">
        <v>1</v>
      </c>
      <c r="S3428" t="s">
        <v>44</v>
      </c>
      <c r="T3428">
        <v>0</v>
      </c>
      <c r="U3428">
        <v>0</v>
      </c>
      <c r="V3428" t="s">
        <v>32</v>
      </c>
      <c r="W3428" t="s">
        <v>39</v>
      </c>
      <c r="X3428" s="4">
        <v>7</v>
      </c>
      <c r="Y3428">
        <v>9</v>
      </c>
      <c r="Z3428" s="5">
        <v>341.13</v>
      </c>
    </row>
    <row r="3429" spans="1:26">
      <c r="A3429">
        <v>3428</v>
      </c>
      <c r="B3429">
        <v>1126</v>
      </c>
      <c r="C3429" s="2">
        <v>46371</v>
      </c>
      <c r="D3429" t="s">
        <v>35</v>
      </c>
      <c r="E3429">
        <v>12</v>
      </c>
      <c r="F3429" s="3">
        <v>10.48</v>
      </c>
      <c r="G3429" t="s">
        <v>27</v>
      </c>
      <c r="H3429">
        <v>24</v>
      </c>
      <c r="I3429" t="s">
        <v>34</v>
      </c>
      <c r="J3429" s="4">
        <v>58.7</v>
      </c>
      <c r="K3429" s="4">
        <v>126</v>
      </c>
      <c r="L3429" s="4">
        <v>25.8</v>
      </c>
      <c r="M3429">
        <v>17</v>
      </c>
      <c r="N3429" t="s">
        <v>50</v>
      </c>
      <c r="O3429">
        <v>5</v>
      </c>
      <c r="P3429" s="4">
        <v>555.79999999999995</v>
      </c>
      <c r="Q3429" t="s">
        <v>48</v>
      </c>
      <c r="R3429">
        <v>1</v>
      </c>
      <c r="S3429" t="s">
        <v>44</v>
      </c>
      <c r="T3429">
        <v>0</v>
      </c>
      <c r="U3429">
        <v>0</v>
      </c>
      <c r="V3429" t="s">
        <v>32</v>
      </c>
      <c r="W3429" t="s">
        <v>39</v>
      </c>
      <c r="X3429" s="4">
        <v>7.8</v>
      </c>
      <c r="Y3429">
        <v>11</v>
      </c>
      <c r="Z3429" s="5">
        <v>452.26</v>
      </c>
    </row>
    <row r="3430" spans="1:26">
      <c r="A3430">
        <v>3429</v>
      </c>
      <c r="B3430">
        <v>1126</v>
      </c>
      <c r="C3430" s="2">
        <v>46371</v>
      </c>
      <c r="D3430" t="s">
        <v>35</v>
      </c>
      <c r="E3430">
        <v>12</v>
      </c>
      <c r="F3430" s="3">
        <v>10.28</v>
      </c>
      <c r="G3430" t="s">
        <v>27</v>
      </c>
      <c r="H3430">
        <v>57</v>
      </c>
      <c r="I3430" t="s">
        <v>34</v>
      </c>
      <c r="J3430" s="4">
        <v>63.8</v>
      </c>
      <c r="K3430" s="4">
        <v>173</v>
      </c>
      <c r="L3430" s="4">
        <v>29.8</v>
      </c>
      <c r="M3430">
        <v>19</v>
      </c>
      <c r="N3430" t="s">
        <v>50</v>
      </c>
      <c r="O3430">
        <v>5</v>
      </c>
      <c r="P3430" s="4">
        <v>555.79999999999995</v>
      </c>
      <c r="Q3430" t="s">
        <v>48</v>
      </c>
      <c r="R3430">
        <v>1</v>
      </c>
      <c r="S3430" t="s">
        <v>44</v>
      </c>
      <c r="T3430">
        <v>0</v>
      </c>
      <c r="U3430">
        <v>0</v>
      </c>
      <c r="V3430" t="s">
        <v>32</v>
      </c>
      <c r="W3430" t="s">
        <v>39</v>
      </c>
      <c r="X3430" s="4">
        <v>5.4</v>
      </c>
      <c r="Y3430">
        <v>3</v>
      </c>
      <c r="Z3430" s="5">
        <v>305.8</v>
      </c>
    </row>
    <row r="3431" spans="1:26">
      <c r="A3431">
        <v>3430</v>
      </c>
      <c r="B3431">
        <v>1126</v>
      </c>
      <c r="C3431" s="2">
        <v>46371</v>
      </c>
      <c r="D3431" t="s">
        <v>35</v>
      </c>
      <c r="E3431">
        <v>12</v>
      </c>
      <c r="F3431" s="3">
        <v>10.5</v>
      </c>
      <c r="G3431" t="s">
        <v>27</v>
      </c>
      <c r="H3431">
        <v>31</v>
      </c>
      <c r="I3431" t="s">
        <v>34</v>
      </c>
      <c r="J3431" s="4">
        <v>61.2</v>
      </c>
      <c r="K3431" s="4">
        <v>138.30000000000001</v>
      </c>
      <c r="L3431" s="4">
        <v>25.9</v>
      </c>
      <c r="M3431">
        <v>15</v>
      </c>
      <c r="N3431" t="s">
        <v>50</v>
      </c>
      <c r="O3431">
        <v>5</v>
      </c>
      <c r="P3431" s="4">
        <v>555.79999999999995</v>
      </c>
      <c r="Q3431" t="s">
        <v>48</v>
      </c>
      <c r="R3431">
        <v>1</v>
      </c>
      <c r="S3431" t="s">
        <v>44</v>
      </c>
      <c r="T3431">
        <v>0</v>
      </c>
      <c r="U3431">
        <v>0</v>
      </c>
      <c r="V3431" t="s">
        <v>32</v>
      </c>
      <c r="W3431" t="s">
        <v>39</v>
      </c>
      <c r="X3431" s="4">
        <v>8.5</v>
      </c>
      <c r="Y3431">
        <v>11</v>
      </c>
      <c r="Z3431" s="5">
        <v>377.48</v>
      </c>
    </row>
    <row r="3432" spans="1:26">
      <c r="A3432">
        <v>3431</v>
      </c>
      <c r="B3432">
        <v>1126</v>
      </c>
      <c r="C3432" s="2">
        <v>46371</v>
      </c>
      <c r="D3432" t="s">
        <v>35</v>
      </c>
      <c r="E3432">
        <v>12</v>
      </c>
      <c r="F3432" s="3">
        <v>10.33</v>
      </c>
      <c r="G3432" t="s">
        <v>27</v>
      </c>
      <c r="H3432">
        <v>42</v>
      </c>
      <c r="I3432" t="s">
        <v>34</v>
      </c>
      <c r="J3432" s="4">
        <v>64.400000000000006</v>
      </c>
      <c r="K3432" s="4">
        <v>173.6</v>
      </c>
      <c r="L3432" s="4">
        <v>29.5</v>
      </c>
      <c r="M3432">
        <v>17</v>
      </c>
      <c r="N3432" t="s">
        <v>50</v>
      </c>
      <c r="O3432">
        <v>5</v>
      </c>
      <c r="P3432" s="4">
        <v>555.79999999999995</v>
      </c>
      <c r="Q3432" t="s">
        <v>48</v>
      </c>
      <c r="R3432">
        <v>1</v>
      </c>
      <c r="S3432" t="s">
        <v>44</v>
      </c>
      <c r="T3432">
        <v>0</v>
      </c>
      <c r="U3432">
        <v>0</v>
      </c>
      <c r="V3432" t="s">
        <v>32</v>
      </c>
      <c r="W3432" t="s">
        <v>39</v>
      </c>
      <c r="X3432" s="4">
        <v>7.6</v>
      </c>
      <c r="Y3432">
        <v>10</v>
      </c>
      <c r="Z3432" s="5">
        <v>160.78</v>
      </c>
    </row>
    <row r="3433" spans="1:26">
      <c r="A3433">
        <v>3432</v>
      </c>
      <c r="B3433">
        <v>1127</v>
      </c>
      <c r="C3433" s="2">
        <v>46220</v>
      </c>
      <c r="D3433" t="s">
        <v>26</v>
      </c>
      <c r="E3433">
        <v>7</v>
      </c>
      <c r="F3433" s="3">
        <v>8.65</v>
      </c>
      <c r="G3433" t="s">
        <v>27</v>
      </c>
      <c r="H3433">
        <v>9</v>
      </c>
      <c r="I3433" t="s">
        <v>28</v>
      </c>
      <c r="J3433" s="4">
        <v>69.400000000000006</v>
      </c>
      <c r="K3433" s="4">
        <v>94</v>
      </c>
      <c r="L3433" s="4">
        <v>14.1</v>
      </c>
      <c r="M3433">
        <v>15</v>
      </c>
      <c r="N3433" t="s">
        <v>47</v>
      </c>
      <c r="O3433">
        <v>2</v>
      </c>
      <c r="P3433" s="4">
        <v>47.6</v>
      </c>
      <c r="Q3433" t="s">
        <v>48</v>
      </c>
      <c r="R3433">
        <v>0</v>
      </c>
      <c r="S3433" t="s">
        <v>38</v>
      </c>
      <c r="T3433">
        <v>0</v>
      </c>
      <c r="U3433">
        <v>0</v>
      </c>
      <c r="V3433" t="s">
        <v>32</v>
      </c>
      <c r="W3433" t="s">
        <v>49</v>
      </c>
      <c r="X3433" s="4">
        <v>10.3</v>
      </c>
      <c r="Y3433">
        <v>17</v>
      </c>
      <c r="Z3433" s="5">
        <v>422.4</v>
      </c>
    </row>
    <row r="3434" spans="1:26">
      <c r="A3434">
        <v>3433</v>
      </c>
      <c r="B3434">
        <v>1127</v>
      </c>
      <c r="C3434" s="2">
        <v>46220</v>
      </c>
      <c r="D3434" t="s">
        <v>26</v>
      </c>
      <c r="E3434">
        <v>7</v>
      </c>
      <c r="F3434" s="3">
        <v>8.56</v>
      </c>
      <c r="G3434" t="s">
        <v>27</v>
      </c>
      <c r="H3434">
        <v>8</v>
      </c>
      <c r="I3434" t="s">
        <v>28</v>
      </c>
      <c r="J3434" s="4">
        <v>60.2</v>
      </c>
      <c r="K3434" s="4">
        <v>84.3</v>
      </c>
      <c r="L3434" s="4">
        <v>16.399999999999999</v>
      </c>
      <c r="M3434">
        <v>15</v>
      </c>
      <c r="N3434" t="s">
        <v>47</v>
      </c>
      <c r="O3434">
        <v>2</v>
      </c>
      <c r="P3434" s="4">
        <v>47.6</v>
      </c>
      <c r="Q3434" t="s">
        <v>48</v>
      </c>
      <c r="R3434">
        <v>0</v>
      </c>
      <c r="S3434" t="s">
        <v>38</v>
      </c>
      <c r="T3434">
        <v>0</v>
      </c>
      <c r="U3434">
        <v>0</v>
      </c>
      <c r="V3434" t="s">
        <v>32</v>
      </c>
      <c r="W3434" t="s">
        <v>49</v>
      </c>
      <c r="X3434" s="4">
        <v>6.8</v>
      </c>
      <c r="Y3434">
        <v>9</v>
      </c>
      <c r="Z3434" s="5">
        <v>237.05</v>
      </c>
    </row>
    <row r="3435" spans="1:26">
      <c r="A3435">
        <v>3434</v>
      </c>
      <c r="B3435">
        <v>1128</v>
      </c>
      <c r="C3435" s="2">
        <v>46194</v>
      </c>
      <c r="D3435" t="s">
        <v>58</v>
      </c>
      <c r="E3435">
        <v>6</v>
      </c>
      <c r="F3435" s="3">
        <v>9.34</v>
      </c>
      <c r="G3435" t="s">
        <v>27</v>
      </c>
      <c r="H3435">
        <v>24</v>
      </c>
      <c r="I3435" t="s">
        <v>28</v>
      </c>
      <c r="J3435" s="4">
        <v>68.400000000000006</v>
      </c>
      <c r="K3435" s="4">
        <v>177.9</v>
      </c>
      <c r="L3435" s="4">
        <v>26.8</v>
      </c>
      <c r="M3435">
        <v>15</v>
      </c>
      <c r="N3435" t="s">
        <v>53</v>
      </c>
      <c r="O3435">
        <v>6</v>
      </c>
      <c r="P3435" s="4">
        <v>914</v>
      </c>
      <c r="Q3435" t="s">
        <v>48</v>
      </c>
      <c r="R3435">
        <v>1</v>
      </c>
      <c r="S3435" t="s">
        <v>44</v>
      </c>
      <c r="T3435">
        <v>0</v>
      </c>
      <c r="U3435">
        <v>0</v>
      </c>
      <c r="V3435" t="s">
        <v>32</v>
      </c>
      <c r="W3435" t="s">
        <v>39</v>
      </c>
      <c r="X3435" s="4">
        <v>10.1</v>
      </c>
      <c r="Y3435">
        <v>6</v>
      </c>
      <c r="Z3435" s="5">
        <v>405.7</v>
      </c>
    </row>
    <row r="3436" spans="1:26">
      <c r="A3436">
        <v>3435</v>
      </c>
      <c r="B3436">
        <v>1128</v>
      </c>
      <c r="C3436" s="2">
        <v>46194</v>
      </c>
      <c r="D3436" t="s">
        <v>58</v>
      </c>
      <c r="E3436">
        <v>6</v>
      </c>
      <c r="F3436" s="3">
        <v>9.7200000000000006</v>
      </c>
      <c r="G3436" t="s">
        <v>27</v>
      </c>
      <c r="H3436">
        <v>34</v>
      </c>
      <c r="I3436" t="s">
        <v>28</v>
      </c>
      <c r="J3436" s="4">
        <v>69.900000000000006</v>
      </c>
      <c r="K3436" s="4">
        <v>190.7</v>
      </c>
      <c r="L3436" s="4">
        <v>27.3</v>
      </c>
      <c r="M3436">
        <v>16</v>
      </c>
      <c r="N3436" t="s">
        <v>53</v>
      </c>
      <c r="O3436">
        <v>6</v>
      </c>
      <c r="P3436" s="4">
        <v>914</v>
      </c>
      <c r="Q3436" t="s">
        <v>48</v>
      </c>
      <c r="R3436">
        <v>1</v>
      </c>
      <c r="S3436" t="s">
        <v>44</v>
      </c>
      <c r="T3436">
        <v>0</v>
      </c>
      <c r="U3436">
        <v>0</v>
      </c>
      <c r="V3436" t="s">
        <v>32</v>
      </c>
      <c r="W3436" t="s">
        <v>39</v>
      </c>
      <c r="X3436" s="4">
        <v>7</v>
      </c>
      <c r="Y3436">
        <v>7</v>
      </c>
      <c r="Z3436" s="5">
        <v>314.14</v>
      </c>
    </row>
    <row r="3437" spans="1:26">
      <c r="A3437">
        <v>3436</v>
      </c>
      <c r="B3437">
        <v>1128</v>
      </c>
      <c r="C3437" s="2">
        <v>46194</v>
      </c>
      <c r="D3437" t="s">
        <v>58</v>
      </c>
      <c r="E3437">
        <v>6</v>
      </c>
      <c r="F3437" s="3">
        <v>9.65</v>
      </c>
      <c r="G3437" t="s">
        <v>27</v>
      </c>
      <c r="H3437">
        <v>34</v>
      </c>
      <c r="I3437" t="s">
        <v>28</v>
      </c>
      <c r="J3437" s="4">
        <v>64.599999999999994</v>
      </c>
      <c r="K3437" s="4">
        <v>174</v>
      </c>
      <c r="L3437" s="4">
        <v>29.4</v>
      </c>
      <c r="M3437">
        <v>15</v>
      </c>
      <c r="N3437" t="s">
        <v>53</v>
      </c>
      <c r="O3437">
        <v>6</v>
      </c>
      <c r="P3437" s="4">
        <v>914</v>
      </c>
      <c r="Q3437" t="s">
        <v>48</v>
      </c>
      <c r="R3437">
        <v>1</v>
      </c>
      <c r="S3437" t="s">
        <v>44</v>
      </c>
      <c r="T3437">
        <v>0</v>
      </c>
      <c r="U3437">
        <v>0</v>
      </c>
      <c r="V3437" t="s">
        <v>32</v>
      </c>
      <c r="W3437" t="s">
        <v>39</v>
      </c>
      <c r="X3437" s="4">
        <v>7.6</v>
      </c>
      <c r="Y3437">
        <v>7</v>
      </c>
      <c r="Z3437" s="5">
        <v>318.19</v>
      </c>
    </row>
    <row r="3438" spans="1:26">
      <c r="A3438">
        <v>3437</v>
      </c>
      <c r="B3438">
        <v>1128</v>
      </c>
      <c r="C3438" s="2">
        <v>46194</v>
      </c>
      <c r="D3438" t="s">
        <v>58</v>
      </c>
      <c r="E3438">
        <v>6</v>
      </c>
      <c r="F3438" s="3">
        <v>9.6</v>
      </c>
      <c r="G3438" t="s">
        <v>27</v>
      </c>
      <c r="H3438">
        <v>8</v>
      </c>
      <c r="I3438" t="s">
        <v>28</v>
      </c>
      <c r="J3438" s="4">
        <v>63.4</v>
      </c>
      <c r="K3438" s="4">
        <v>113.7</v>
      </c>
      <c r="L3438" s="4">
        <v>19.600000000000001</v>
      </c>
      <c r="M3438">
        <v>18</v>
      </c>
      <c r="N3438" t="s">
        <v>53</v>
      </c>
      <c r="O3438">
        <v>6</v>
      </c>
      <c r="P3438" s="4">
        <v>914</v>
      </c>
      <c r="Q3438" t="s">
        <v>48</v>
      </c>
      <c r="R3438">
        <v>1</v>
      </c>
      <c r="S3438" t="s">
        <v>44</v>
      </c>
      <c r="T3438">
        <v>0</v>
      </c>
      <c r="U3438">
        <v>0</v>
      </c>
      <c r="V3438" t="s">
        <v>32</v>
      </c>
      <c r="W3438" t="s">
        <v>39</v>
      </c>
      <c r="X3438" s="4">
        <v>8.8000000000000007</v>
      </c>
      <c r="Y3438">
        <v>12</v>
      </c>
      <c r="Z3438" s="5">
        <v>292.37</v>
      </c>
    </row>
    <row r="3439" spans="1:26">
      <c r="A3439">
        <v>3438</v>
      </c>
      <c r="B3439">
        <v>1128</v>
      </c>
      <c r="C3439" s="2">
        <v>46194</v>
      </c>
      <c r="D3439" t="s">
        <v>58</v>
      </c>
      <c r="E3439">
        <v>6</v>
      </c>
      <c r="F3439" s="3">
        <v>9.4499999999999993</v>
      </c>
      <c r="G3439" t="s">
        <v>27</v>
      </c>
      <c r="H3439">
        <v>65</v>
      </c>
      <c r="I3439" t="s">
        <v>34</v>
      </c>
      <c r="J3439" s="4">
        <v>67.2</v>
      </c>
      <c r="K3439" s="4">
        <v>184.3</v>
      </c>
      <c r="L3439" s="4">
        <v>28.7</v>
      </c>
      <c r="M3439">
        <v>21</v>
      </c>
      <c r="N3439" t="s">
        <v>53</v>
      </c>
      <c r="O3439">
        <v>6</v>
      </c>
      <c r="P3439" s="4">
        <v>914</v>
      </c>
      <c r="Q3439" t="s">
        <v>48</v>
      </c>
      <c r="R3439">
        <v>1</v>
      </c>
      <c r="S3439" t="s">
        <v>44</v>
      </c>
      <c r="T3439">
        <v>0</v>
      </c>
      <c r="U3439">
        <v>0</v>
      </c>
      <c r="V3439" t="s">
        <v>32</v>
      </c>
      <c r="W3439" t="s">
        <v>39</v>
      </c>
      <c r="X3439" s="4">
        <v>9.3000000000000007</v>
      </c>
      <c r="Y3439">
        <v>11</v>
      </c>
      <c r="Z3439" s="5">
        <v>256.29000000000002</v>
      </c>
    </row>
    <row r="3440" spans="1:26">
      <c r="A3440">
        <v>3439</v>
      </c>
      <c r="B3440">
        <v>1128</v>
      </c>
      <c r="C3440" s="2">
        <v>46194</v>
      </c>
      <c r="D3440" t="s">
        <v>58</v>
      </c>
      <c r="E3440">
        <v>6</v>
      </c>
      <c r="F3440" s="3">
        <v>9.65</v>
      </c>
      <c r="G3440" t="s">
        <v>27</v>
      </c>
      <c r="H3440">
        <v>22</v>
      </c>
      <c r="I3440" t="s">
        <v>34</v>
      </c>
      <c r="J3440" s="4">
        <v>64.099999999999994</v>
      </c>
      <c r="K3440" s="4">
        <v>160.5</v>
      </c>
      <c r="L3440" s="4">
        <v>27.5</v>
      </c>
      <c r="M3440">
        <v>15</v>
      </c>
      <c r="N3440" t="s">
        <v>53</v>
      </c>
      <c r="O3440">
        <v>6</v>
      </c>
      <c r="P3440" s="4">
        <v>914</v>
      </c>
      <c r="Q3440" t="s">
        <v>48</v>
      </c>
      <c r="R3440">
        <v>1</v>
      </c>
      <c r="S3440" t="s">
        <v>44</v>
      </c>
      <c r="T3440">
        <v>0</v>
      </c>
      <c r="U3440">
        <v>0</v>
      </c>
      <c r="V3440" t="s">
        <v>32</v>
      </c>
      <c r="W3440" t="s">
        <v>39</v>
      </c>
      <c r="X3440" s="4">
        <v>8.1</v>
      </c>
      <c r="Y3440">
        <v>9</v>
      </c>
      <c r="Z3440" s="5">
        <v>293.57</v>
      </c>
    </row>
    <row r="3441" spans="1:26">
      <c r="A3441">
        <v>3440</v>
      </c>
      <c r="B3441">
        <v>1129</v>
      </c>
      <c r="C3441" s="2">
        <v>46241</v>
      </c>
      <c r="D3441" t="s">
        <v>26</v>
      </c>
      <c r="E3441">
        <v>8</v>
      </c>
      <c r="F3441" s="3">
        <v>11.28</v>
      </c>
      <c r="G3441" t="s">
        <v>36</v>
      </c>
      <c r="H3441">
        <v>23</v>
      </c>
      <c r="I3441" t="s">
        <v>28</v>
      </c>
      <c r="J3441" s="4">
        <v>73.900000000000006</v>
      </c>
      <c r="K3441" s="4">
        <v>168.2</v>
      </c>
      <c r="L3441" s="4">
        <v>21.6</v>
      </c>
      <c r="M3441">
        <v>17</v>
      </c>
      <c r="N3441" t="s">
        <v>59</v>
      </c>
      <c r="O3441">
        <v>3</v>
      </c>
      <c r="P3441" s="4">
        <v>1075.4000000000001</v>
      </c>
      <c r="Q3441" t="s">
        <v>48</v>
      </c>
      <c r="R3441">
        <v>0</v>
      </c>
      <c r="S3441" t="s">
        <v>44</v>
      </c>
      <c r="T3441">
        <v>0</v>
      </c>
      <c r="U3441">
        <v>0</v>
      </c>
      <c r="V3441" t="s">
        <v>32</v>
      </c>
      <c r="W3441" t="s">
        <v>43</v>
      </c>
      <c r="X3441" s="4">
        <v>4.7</v>
      </c>
      <c r="Y3441">
        <v>3</v>
      </c>
      <c r="Z3441" s="5">
        <v>96.32</v>
      </c>
    </row>
    <row r="3442" spans="1:26">
      <c r="A3442">
        <v>3441</v>
      </c>
      <c r="B3442">
        <v>1129</v>
      </c>
      <c r="C3442" s="2">
        <v>46241</v>
      </c>
      <c r="D3442" t="s">
        <v>26</v>
      </c>
      <c r="E3442">
        <v>8</v>
      </c>
      <c r="F3442" s="3">
        <v>11.17</v>
      </c>
      <c r="G3442" t="s">
        <v>36</v>
      </c>
      <c r="H3442">
        <v>10</v>
      </c>
      <c r="I3442" t="s">
        <v>28</v>
      </c>
      <c r="J3442" s="4">
        <v>70</v>
      </c>
      <c r="K3442" s="4">
        <v>147</v>
      </c>
      <c r="L3442" s="4">
        <v>21.2</v>
      </c>
      <c r="M3442">
        <v>19</v>
      </c>
      <c r="N3442" t="s">
        <v>59</v>
      </c>
      <c r="O3442">
        <v>3</v>
      </c>
      <c r="P3442" s="4">
        <v>1075.4000000000001</v>
      </c>
      <c r="Q3442" t="s">
        <v>48</v>
      </c>
      <c r="R3442">
        <v>0</v>
      </c>
      <c r="S3442" t="s">
        <v>44</v>
      </c>
      <c r="T3442">
        <v>0</v>
      </c>
      <c r="U3442">
        <v>0</v>
      </c>
      <c r="V3442" t="s">
        <v>32</v>
      </c>
      <c r="W3442" t="s">
        <v>43</v>
      </c>
      <c r="X3442" s="4">
        <v>11.2</v>
      </c>
      <c r="Y3442">
        <v>9</v>
      </c>
      <c r="Z3442" s="5">
        <v>164.85</v>
      </c>
    </row>
    <row r="3443" spans="1:26">
      <c r="A3443">
        <v>3442</v>
      </c>
      <c r="B3443">
        <v>1129</v>
      </c>
      <c r="C3443" s="2">
        <v>46241</v>
      </c>
      <c r="D3443" t="s">
        <v>26</v>
      </c>
      <c r="E3443">
        <v>8</v>
      </c>
      <c r="F3443" s="3">
        <v>11.45</v>
      </c>
      <c r="G3443" t="s">
        <v>36</v>
      </c>
      <c r="H3443">
        <v>58</v>
      </c>
      <c r="I3443" t="s">
        <v>28</v>
      </c>
      <c r="J3443" s="4">
        <v>69.5</v>
      </c>
      <c r="K3443" s="4">
        <v>204.6</v>
      </c>
      <c r="L3443" s="4">
        <v>29.8</v>
      </c>
      <c r="M3443">
        <v>17</v>
      </c>
      <c r="N3443" t="s">
        <v>59</v>
      </c>
      <c r="O3443">
        <v>3</v>
      </c>
      <c r="P3443" s="4">
        <v>1075.4000000000001</v>
      </c>
      <c r="Q3443" t="s">
        <v>48</v>
      </c>
      <c r="R3443">
        <v>0</v>
      </c>
      <c r="S3443" t="s">
        <v>44</v>
      </c>
      <c r="T3443">
        <v>0</v>
      </c>
      <c r="U3443">
        <v>0</v>
      </c>
      <c r="V3443" t="s">
        <v>32</v>
      </c>
      <c r="W3443" t="s">
        <v>43</v>
      </c>
      <c r="X3443" s="4">
        <v>8.1999999999999993</v>
      </c>
      <c r="Y3443">
        <v>6</v>
      </c>
      <c r="Z3443" s="5">
        <v>183.7</v>
      </c>
    </row>
    <row r="3444" spans="1:26">
      <c r="A3444">
        <v>3443</v>
      </c>
      <c r="B3444">
        <v>1130</v>
      </c>
      <c r="C3444" s="2">
        <v>46196</v>
      </c>
      <c r="D3444" t="s">
        <v>35</v>
      </c>
      <c r="E3444">
        <v>6</v>
      </c>
      <c r="F3444" s="3">
        <v>9.5500000000000007</v>
      </c>
      <c r="G3444" t="s">
        <v>27</v>
      </c>
      <c r="H3444">
        <v>66</v>
      </c>
      <c r="I3444" t="s">
        <v>34</v>
      </c>
      <c r="J3444" s="4">
        <v>65.099999999999994</v>
      </c>
      <c r="K3444" s="4">
        <v>144.9</v>
      </c>
      <c r="L3444" s="4">
        <v>24.1</v>
      </c>
      <c r="M3444">
        <v>17</v>
      </c>
      <c r="N3444" t="s">
        <v>47</v>
      </c>
      <c r="O3444">
        <v>3</v>
      </c>
      <c r="P3444" s="4">
        <v>59.9</v>
      </c>
      <c r="Q3444" t="s">
        <v>42</v>
      </c>
      <c r="R3444">
        <v>0</v>
      </c>
      <c r="S3444" t="s">
        <v>44</v>
      </c>
      <c r="T3444">
        <v>0</v>
      </c>
      <c r="U3444">
        <v>0</v>
      </c>
      <c r="V3444" t="s">
        <v>32</v>
      </c>
      <c r="W3444" t="s">
        <v>39</v>
      </c>
      <c r="X3444" s="4">
        <v>10.6</v>
      </c>
      <c r="Y3444">
        <v>7</v>
      </c>
      <c r="Z3444" s="5">
        <v>204.17</v>
      </c>
    </row>
    <row r="3445" spans="1:26">
      <c r="A3445">
        <v>3444</v>
      </c>
      <c r="B3445">
        <v>1130</v>
      </c>
      <c r="C3445" s="2">
        <v>46196</v>
      </c>
      <c r="D3445" t="s">
        <v>35</v>
      </c>
      <c r="E3445">
        <v>6</v>
      </c>
      <c r="F3445" s="3">
        <v>9.32</v>
      </c>
      <c r="G3445" t="s">
        <v>27</v>
      </c>
      <c r="H3445">
        <v>7</v>
      </c>
      <c r="I3445" t="s">
        <v>28</v>
      </c>
      <c r="J3445" s="4">
        <v>55.1</v>
      </c>
      <c r="K3445" s="4">
        <v>77.900000000000006</v>
      </c>
      <c r="L3445" s="4">
        <v>18.100000000000001</v>
      </c>
      <c r="M3445">
        <v>15</v>
      </c>
      <c r="N3445" t="s">
        <v>47</v>
      </c>
      <c r="O3445">
        <v>3</v>
      </c>
      <c r="P3445" s="4">
        <v>59.9</v>
      </c>
      <c r="Q3445" t="s">
        <v>42</v>
      </c>
      <c r="R3445">
        <v>0</v>
      </c>
      <c r="S3445" t="s">
        <v>44</v>
      </c>
      <c r="T3445">
        <v>0</v>
      </c>
      <c r="U3445">
        <v>0</v>
      </c>
      <c r="V3445" t="s">
        <v>32</v>
      </c>
      <c r="W3445" t="s">
        <v>39</v>
      </c>
      <c r="X3445" s="4">
        <v>9.3000000000000007</v>
      </c>
      <c r="Y3445">
        <v>6</v>
      </c>
      <c r="Z3445" s="5">
        <v>155.37</v>
      </c>
    </row>
    <row r="3446" spans="1:26">
      <c r="A3446">
        <v>3445</v>
      </c>
      <c r="B3446">
        <v>1130</v>
      </c>
      <c r="C3446" s="2">
        <v>46196</v>
      </c>
      <c r="D3446" t="s">
        <v>35</v>
      </c>
      <c r="E3446">
        <v>6</v>
      </c>
      <c r="F3446" s="3">
        <v>9.4</v>
      </c>
      <c r="G3446" t="s">
        <v>27</v>
      </c>
      <c r="H3446">
        <v>75</v>
      </c>
      <c r="I3446" t="s">
        <v>34</v>
      </c>
      <c r="J3446" s="4">
        <v>62</v>
      </c>
      <c r="K3446" s="4">
        <v>142.1</v>
      </c>
      <c r="L3446" s="4">
        <v>26</v>
      </c>
      <c r="M3446">
        <v>17</v>
      </c>
      <c r="N3446" t="s">
        <v>47</v>
      </c>
      <c r="O3446">
        <v>3</v>
      </c>
      <c r="P3446" s="4">
        <v>59.9</v>
      </c>
      <c r="Q3446" t="s">
        <v>42</v>
      </c>
      <c r="R3446">
        <v>0</v>
      </c>
      <c r="S3446" t="s">
        <v>44</v>
      </c>
      <c r="T3446">
        <v>0</v>
      </c>
      <c r="U3446">
        <v>0</v>
      </c>
      <c r="V3446" t="s">
        <v>32</v>
      </c>
      <c r="W3446" t="s">
        <v>39</v>
      </c>
      <c r="X3446" s="4">
        <v>8.3000000000000007</v>
      </c>
      <c r="Y3446">
        <v>8</v>
      </c>
      <c r="Z3446" s="5">
        <v>338.8</v>
      </c>
    </row>
    <row r="3447" spans="1:26">
      <c r="A3447">
        <v>3446</v>
      </c>
      <c r="B3447">
        <v>1131</v>
      </c>
      <c r="C3447" s="2">
        <v>46171</v>
      </c>
      <c r="D3447" t="s">
        <v>26</v>
      </c>
      <c r="E3447">
        <v>5</v>
      </c>
      <c r="F3447" s="3">
        <v>9.92</v>
      </c>
      <c r="G3447" t="s">
        <v>27</v>
      </c>
      <c r="H3447">
        <v>53</v>
      </c>
      <c r="I3447" t="s">
        <v>34</v>
      </c>
      <c r="J3447" s="4">
        <v>64.099999999999994</v>
      </c>
      <c r="K3447" s="4">
        <v>102.2</v>
      </c>
      <c r="L3447" s="4">
        <v>17.399999999999999</v>
      </c>
      <c r="M3447">
        <v>15</v>
      </c>
      <c r="N3447" t="s">
        <v>47</v>
      </c>
      <c r="O3447">
        <v>1</v>
      </c>
      <c r="P3447" s="4">
        <v>66.099999999999994</v>
      </c>
      <c r="Q3447" t="s">
        <v>30</v>
      </c>
      <c r="R3447">
        <v>0</v>
      </c>
      <c r="S3447" t="s">
        <v>31</v>
      </c>
      <c r="T3447">
        <v>0</v>
      </c>
      <c r="U3447">
        <v>1</v>
      </c>
      <c r="V3447" t="s">
        <v>32</v>
      </c>
      <c r="W3447" t="s">
        <v>33</v>
      </c>
      <c r="X3447" s="4">
        <v>11.5</v>
      </c>
      <c r="Y3447">
        <v>7</v>
      </c>
      <c r="Z3447" s="5">
        <v>339.66</v>
      </c>
    </row>
    <row r="3448" spans="1:26">
      <c r="A3448">
        <v>3447</v>
      </c>
      <c r="B3448">
        <v>1132</v>
      </c>
      <c r="C3448" s="2">
        <v>46229</v>
      </c>
      <c r="D3448" t="s">
        <v>58</v>
      </c>
      <c r="E3448">
        <v>7</v>
      </c>
      <c r="F3448" s="3">
        <v>13.75</v>
      </c>
      <c r="G3448" t="s">
        <v>36</v>
      </c>
      <c r="H3448">
        <v>33</v>
      </c>
      <c r="I3448" t="s">
        <v>28</v>
      </c>
      <c r="J3448" s="4">
        <v>66.7</v>
      </c>
      <c r="K3448" s="4">
        <v>161.5</v>
      </c>
      <c r="L3448" s="4">
        <v>25.5</v>
      </c>
      <c r="M3448">
        <v>18</v>
      </c>
      <c r="N3448" t="s">
        <v>50</v>
      </c>
      <c r="O3448">
        <v>3</v>
      </c>
      <c r="P3448" s="4">
        <v>440.8</v>
      </c>
      <c r="Q3448" t="s">
        <v>42</v>
      </c>
      <c r="R3448">
        <v>1</v>
      </c>
      <c r="S3448" t="s">
        <v>44</v>
      </c>
      <c r="T3448">
        <v>0</v>
      </c>
      <c r="U3448">
        <v>0</v>
      </c>
      <c r="V3448" t="s">
        <v>32</v>
      </c>
      <c r="W3448" t="s">
        <v>57</v>
      </c>
      <c r="X3448" s="4">
        <v>9.4</v>
      </c>
      <c r="Y3448">
        <v>7</v>
      </c>
      <c r="Z3448" s="5">
        <v>261.3</v>
      </c>
    </row>
    <row r="3449" spans="1:26">
      <c r="A3449">
        <v>3448</v>
      </c>
      <c r="B3449">
        <v>1132</v>
      </c>
      <c r="C3449" s="2">
        <v>46229</v>
      </c>
      <c r="D3449" t="s">
        <v>58</v>
      </c>
      <c r="E3449">
        <v>7</v>
      </c>
      <c r="F3449" s="3">
        <v>13.7</v>
      </c>
      <c r="G3449" t="s">
        <v>36</v>
      </c>
      <c r="H3449">
        <v>65</v>
      </c>
      <c r="I3449" t="s">
        <v>34</v>
      </c>
      <c r="J3449" s="4">
        <v>62.6</v>
      </c>
      <c r="K3449" s="4">
        <v>159.30000000000001</v>
      </c>
      <c r="L3449" s="4">
        <v>28.5</v>
      </c>
      <c r="M3449">
        <v>18</v>
      </c>
      <c r="N3449" t="s">
        <v>50</v>
      </c>
      <c r="O3449">
        <v>3</v>
      </c>
      <c r="P3449" s="4">
        <v>440.8</v>
      </c>
      <c r="Q3449" t="s">
        <v>42</v>
      </c>
      <c r="R3449">
        <v>1</v>
      </c>
      <c r="S3449" t="s">
        <v>44</v>
      </c>
      <c r="T3449">
        <v>0</v>
      </c>
      <c r="U3449">
        <v>0</v>
      </c>
      <c r="V3449" t="s">
        <v>32</v>
      </c>
      <c r="W3449" t="s">
        <v>57</v>
      </c>
      <c r="X3449" s="4">
        <v>6.9</v>
      </c>
      <c r="Y3449">
        <v>5</v>
      </c>
      <c r="Z3449" s="5">
        <v>127.05</v>
      </c>
    </row>
    <row r="3450" spans="1:26">
      <c r="A3450">
        <v>3449</v>
      </c>
      <c r="B3450">
        <v>1132</v>
      </c>
      <c r="C3450" s="2">
        <v>46229</v>
      </c>
      <c r="D3450" t="s">
        <v>58</v>
      </c>
      <c r="E3450">
        <v>7</v>
      </c>
      <c r="F3450" s="3">
        <v>13.74</v>
      </c>
      <c r="G3450" t="s">
        <v>36</v>
      </c>
      <c r="H3450">
        <v>7</v>
      </c>
      <c r="I3450" t="s">
        <v>28</v>
      </c>
      <c r="J3450" s="4">
        <v>56.9</v>
      </c>
      <c r="K3450" s="4">
        <v>106.6</v>
      </c>
      <c r="L3450" s="4">
        <v>23.1</v>
      </c>
      <c r="M3450">
        <v>11</v>
      </c>
      <c r="N3450" t="s">
        <v>50</v>
      </c>
      <c r="O3450">
        <v>3</v>
      </c>
      <c r="P3450" s="4">
        <v>440.8</v>
      </c>
      <c r="Q3450" t="s">
        <v>42</v>
      </c>
      <c r="R3450">
        <v>1</v>
      </c>
      <c r="S3450" t="s">
        <v>44</v>
      </c>
      <c r="T3450">
        <v>0</v>
      </c>
      <c r="U3450">
        <v>0</v>
      </c>
      <c r="V3450" t="s">
        <v>32</v>
      </c>
      <c r="W3450" t="s">
        <v>57</v>
      </c>
      <c r="X3450" s="4">
        <v>9.4</v>
      </c>
      <c r="Y3450">
        <v>7</v>
      </c>
      <c r="Z3450" s="5">
        <v>181.31</v>
      </c>
    </row>
    <row r="3451" spans="1:26">
      <c r="A3451">
        <v>3450</v>
      </c>
      <c r="B3451">
        <v>1133</v>
      </c>
      <c r="C3451" s="2">
        <v>46354</v>
      </c>
      <c r="D3451" t="s">
        <v>40</v>
      </c>
      <c r="E3451">
        <v>11</v>
      </c>
      <c r="F3451" s="3">
        <v>11.75</v>
      </c>
      <c r="G3451" t="s">
        <v>36</v>
      </c>
      <c r="H3451">
        <v>3</v>
      </c>
      <c r="I3451" t="s">
        <v>28</v>
      </c>
      <c r="J3451" s="4">
        <v>52.5</v>
      </c>
      <c r="K3451" s="4">
        <v>54.9</v>
      </c>
      <c r="L3451" s="4">
        <v>14.3</v>
      </c>
      <c r="M3451">
        <v>11</v>
      </c>
      <c r="N3451" t="s">
        <v>47</v>
      </c>
      <c r="O3451">
        <v>3</v>
      </c>
      <c r="P3451" s="4">
        <v>57.7</v>
      </c>
      <c r="Q3451" t="s">
        <v>30</v>
      </c>
      <c r="R3451">
        <v>0</v>
      </c>
      <c r="S3451" t="s">
        <v>38</v>
      </c>
      <c r="T3451">
        <v>0</v>
      </c>
      <c r="U3451">
        <v>1</v>
      </c>
      <c r="V3451" t="s">
        <v>32</v>
      </c>
      <c r="W3451" t="s">
        <v>39</v>
      </c>
      <c r="X3451" s="4">
        <v>6.5</v>
      </c>
      <c r="Y3451">
        <v>8</v>
      </c>
      <c r="Z3451" s="5">
        <v>186.83</v>
      </c>
    </row>
    <row r="3452" spans="1:26">
      <c r="A3452">
        <v>3451</v>
      </c>
      <c r="B3452">
        <v>1133</v>
      </c>
      <c r="C3452" s="2">
        <v>46354</v>
      </c>
      <c r="D3452" t="s">
        <v>40</v>
      </c>
      <c r="E3452">
        <v>11</v>
      </c>
      <c r="F3452" s="3">
        <v>11.45</v>
      </c>
      <c r="G3452" t="s">
        <v>36</v>
      </c>
      <c r="H3452">
        <v>11</v>
      </c>
      <c r="I3452" t="s">
        <v>28</v>
      </c>
      <c r="J3452" s="4">
        <v>67.2</v>
      </c>
      <c r="K3452" s="4">
        <v>109.3</v>
      </c>
      <c r="L3452" s="4">
        <v>17.2</v>
      </c>
      <c r="M3452">
        <v>11</v>
      </c>
      <c r="N3452" t="s">
        <v>47</v>
      </c>
      <c r="O3452">
        <v>3</v>
      </c>
      <c r="P3452" s="4">
        <v>57.7</v>
      </c>
      <c r="Q3452" t="s">
        <v>30</v>
      </c>
      <c r="R3452">
        <v>0</v>
      </c>
      <c r="S3452" t="s">
        <v>38</v>
      </c>
      <c r="T3452">
        <v>0</v>
      </c>
      <c r="U3452">
        <v>1</v>
      </c>
      <c r="V3452" t="s">
        <v>32</v>
      </c>
      <c r="W3452" t="s">
        <v>39</v>
      </c>
      <c r="X3452" s="4">
        <v>5.6</v>
      </c>
      <c r="Y3452">
        <v>4</v>
      </c>
      <c r="Z3452" s="5">
        <v>179.88</v>
      </c>
    </row>
    <row r="3453" spans="1:26">
      <c r="A3453">
        <v>3452</v>
      </c>
      <c r="B3453">
        <v>1133</v>
      </c>
      <c r="C3453" s="2">
        <v>46354</v>
      </c>
      <c r="D3453" t="s">
        <v>40</v>
      </c>
      <c r="E3453">
        <v>11</v>
      </c>
      <c r="F3453" s="3">
        <v>11.86</v>
      </c>
      <c r="G3453" t="s">
        <v>36</v>
      </c>
      <c r="H3453">
        <v>18</v>
      </c>
      <c r="I3453" t="s">
        <v>34</v>
      </c>
      <c r="J3453" s="4">
        <v>62.3</v>
      </c>
      <c r="K3453" s="4">
        <v>159.5</v>
      </c>
      <c r="L3453" s="4">
        <v>28.8</v>
      </c>
      <c r="M3453">
        <v>11</v>
      </c>
      <c r="N3453" t="s">
        <v>47</v>
      </c>
      <c r="O3453">
        <v>3</v>
      </c>
      <c r="P3453" s="4">
        <v>57.7</v>
      </c>
      <c r="Q3453" t="s">
        <v>30</v>
      </c>
      <c r="R3453">
        <v>0</v>
      </c>
      <c r="S3453" t="s">
        <v>38</v>
      </c>
      <c r="T3453">
        <v>0</v>
      </c>
      <c r="U3453">
        <v>1</v>
      </c>
      <c r="V3453" t="s">
        <v>32</v>
      </c>
      <c r="W3453" t="s">
        <v>39</v>
      </c>
      <c r="X3453" s="4">
        <v>11.1</v>
      </c>
      <c r="Y3453">
        <v>6</v>
      </c>
      <c r="Z3453" s="5">
        <v>260.43</v>
      </c>
    </row>
    <row r="3454" spans="1:26">
      <c r="A3454">
        <v>3453</v>
      </c>
      <c r="B3454">
        <v>1134</v>
      </c>
      <c r="C3454" s="2">
        <v>46058</v>
      </c>
      <c r="D3454" t="s">
        <v>55</v>
      </c>
      <c r="E3454">
        <v>2</v>
      </c>
      <c r="F3454" s="3">
        <v>10.73</v>
      </c>
      <c r="G3454" t="s">
        <v>27</v>
      </c>
      <c r="H3454">
        <v>12</v>
      </c>
      <c r="I3454" t="s">
        <v>28</v>
      </c>
      <c r="J3454" s="4">
        <v>69.7</v>
      </c>
      <c r="K3454" s="4">
        <v>130.1</v>
      </c>
      <c r="L3454" s="4">
        <v>19</v>
      </c>
      <c r="M3454">
        <v>16</v>
      </c>
      <c r="N3454" t="s">
        <v>59</v>
      </c>
      <c r="O3454">
        <v>4</v>
      </c>
      <c r="P3454" s="4">
        <v>830.5</v>
      </c>
      <c r="Q3454" t="s">
        <v>42</v>
      </c>
      <c r="R3454">
        <v>1</v>
      </c>
      <c r="S3454" t="s">
        <v>44</v>
      </c>
      <c r="T3454">
        <v>1</v>
      </c>
      <c r="U3454">
        <v>0</v>
      </c>
      <c r="V3454" t="s">
        <v>32</v>
      </c>
      <c r="W3454" t="s">
        <v>43</v>
      </c>
      <c r="X3454" s="4">
        <v>8.9</v>
      </c>
      <c r="Y3454">
        <v>10</v>
      </c>
      <c r="Z3454" s="5">
        <v>174.08</v>
      </c>
    </row>
    <row r="3455" spans="1:26">
      <c r="A3455">
        <v>3454</v>
      </c>
      <c r="B3455">
        <v>1134</v>
      </c>
      <c r="C3455" s="2">
        <v>46058</v>
      </c>
      <c r="D3455" t="s">
        <v>55</v>
      </c>
      <c r="E3455">
        <v>2</v>
      </c>
      <c r="F3455" s="3">
        <v>10.79</v>
      </c>
      <c r="G3455" t="s">
        <v>27</v>
      </c>
      <c r="H3455">
        <v>56</v>
      </c>
      <c r="I3455" t="s">
        <v>34</v>
      </c>
      <c r="J3455" s="4">
        <v>63</v>
      </c>
      <c r="K3455" s="4">
        <v>153</v>
      </c>
      <c r="L3455" s="4">
        <v>27</v>
      </c>
      <c r="M3455">
        <v>14</v>
      </c>
      <c r="N3455" t="s">
        <v>59</v>
      </c>
      <c r="O3455">
        <v>4</v>
      </c>
      <c r="P3455" s="4">
        <v>830.5</v>
      </c>
      <c r="Q3455" t="s">
        <v>42</v>
      </c>
      <c r="R3455">
        <v>1</v>
      </c>
      <c r="S3455" t="s">
        <v>44</v>
      </c>
      <c r="T3455">
        <v>1</v>
      </c>
      <c r="U3455">
        <v>0</v>
      </c>
      <c r="V3455" t="s">
        <v>32</v>
      </c>
      <c r="W3455" t="s">
        <v>43</v>
      </c>
      <c r="X3455" s="4">
        <v>10.199999999999999</v>
      </c>
      <c r="Y3455">
        <v>6</v>
      </c>
      <c r="Z3455" s="5">
        <v>206.52</v>
      </c>
    </row>
    <row r="3456" spans="1:26">
      <c r="A3456">
        <v>3455</v>
      </c>
      <c r="B3456">
        <v>1134</v>
      </c>
      <c r="C3456" s="2">
        <v>46058</v>
      </c>
      <c r="D3456" t="s">
        <v>55</v>
      </c>
      <c r="E3456">
        <v>2</v>
      </c>
      <c r="F3456" s="3">
        <v>10.76</v>
      </c>
      <c r="G3456" t="s">
        <v>27</v>
      </c>
      <c r="H3456">
        <v>25</v>
      </c>
      <c r="I3456" t="s">
        <v>34</v>
      </c>
      <c r="J3456" s="4">
        <v>65</v>
      </c>
      <c r="K3456" s="4">
        <v>171.5</v>
      </c>
      <c r="L3456" s="4">
        <v>28.6</v>
      </c>
      <c r="M3456">
        <v>15</v>
      </c>
      <c r="N3456" t="s">
        <v>59</v>
      </c>
      <c r="O3456">
        <v>4</v>
      </c>
      <c r="P3456" s="4">
        <v>830.5</v>
      </c>
      <c r="Q3456" t="s">
        <v>42</v>
      </c>
      <c r="R3456">
        <v>1</v>
      </c>
      <c r="S3456" t="s">
        <v>44</v>
      </c>
      <c r="T3456">
        <v>1</v>
      </c>
      <c r="U3456">
        <v>0</v>
      </c>
      <c r="V3456" t="s">
        <v>32</v>
      </c>
      <c r="W3456" t="s">
        <v>43</v>
      </c>
      <c r="X3456" s="4">
        <v>9.6</v>
      </c>
      <c r="Y3456">
        <v>9</v>
      </c>
      <c r="Z3456" s="5">
        <v>240.42</v>
      </c>
    </row>
    <row r="3457" spans="1:26">
      <c r="A3457">
        <v>3456</v>
      </c>
      <c r="B3457">
        <v>1134</v>
      </c>
      <c r="C3457" s="2">
        <v>46058</v>
      </c>
      <c r="D3457" t="s">
        <v>55</v>
      </c>
      <c r="E3457">
        <v>2</v>
      </c>
      <c r="F3457" s="3">
        <v>10.66</v>
      </c>
      <c r="G3457" t="s">
        <v>27</v>
      </c>
      <c r="H3457">
        <v>7</v>
      </c>
      <c r="I3457" t="s">
        <v>28</v>
      </c>
      <c r="J3457" s="4">
        <v>61.5</v>
      </c>
      <c r="K3457" s="4">
        <v>85.5</v>
      </c>
      <c r="L3457" s="4">
        <v>16.100000000000001</v>
      </c>
      <c r="M3457">
        <v>10</v>
      </c>
      <c r="N3457" t="s">
        <v>59</v>
      </c>
      <c r="O3457">
        <v>4</v>
      </c>
      <c r="P3457" s="4">
        <v>830.5</v>
      </c>
      <c r="Q3457" t="s">
        <v>42</v>
      </c>
      <c r="R3457">
        <v>1</v>
      </c>
      <c r="S3457" t="s">
        <v>44</v>
      </c>
      <c r="T3457">
        <v>1</v>
      </c>
      <c r="U3457">
        <v>0</v>
      </c>
      <c r="V3457" t="s">
        <v>32</v>
      </c>
      <c r="W3457" t="s">
        <v>43</v>
      </c>
      <c r="X3457" s="4">
        <v>8.1999999999999993</v>
      </c>
      <c r="Y3457">
        <v>5</v>
      </c>
      <c r="Z3457" s="5">
        <v>146.49</v>
      </c>
    </row>
    <row r="3458" spans="1:26">
      <c r="A3458">
        <v>3457</v>
      </c>
      <c r="B3458">
        <v>1135</v>
      </c>
      <c r="C3458" s="2">
        <v>46271</v>
      </c>
      <c r="D3458" t="s">
        <v>58</v>
      </c>
      <c r="E3458">
        <v>9</v>
      </c>
      <c r="F3458" s="3">
        <v>8.82</v>
      </c>
      <c r="G3458" t="s">
        <v>27</v>
      </c>
      <c r="H3458">
        <v>5</v>
      </c>
      <c r="I3458" t="s">
        <v>28</v>
      </c>
      <c r="J3458" s="4">
        <v>56.1</v>
      </c>
      <c r="K3458" s="4">
        <v>101.2</v>
      </c>
      <c r="L3458" s="4">
        <v>22.5</v>
      </c>
      <c r="M3458">
        <v>13</v>
      </c>
      <c r="N3458" t="s">
        <v>61</v>
      </c>
      <c r="O3458">
        <v>6</v>
      </c>
      <c r="P3458" s="4">
        <v>1098.2</v>
      </c>
      <c r="Q3458" t="s">
        <v>30</v>
      </c>
      <c r="R3458">
        <v>1</v>
      </c>
      <c r="S3458" t="s">
        <v>44</v>
      </c>
      <c r="T3458">
        <v>0</v>
      </c>
      <c r="U3458">
        <v>0</v>
      </c>
      <c r="V3458" t="s">
        <v>32</v>
      </c>
      <c r="W3458" t="s">
        <v>43</v>
      </c>
      <c r="X3458" s="4">
        <v>7.1</v>
      </c>
      <c r="Y3458">
        <v>1</v>
      </c>
      <c r="Z3458" s="5">
        <v>121.75</v>
      </c>
    </row>
    <row r="3459" spans="1:26">
      <c r="A3459">
        <v>3458</v>
      </c>
      <c r="B3459">
        <v>1135</v>
      </c>
      <c r="C3459" s="2">
        <v>46271</v>
      </c>
      <c r="D3459" t="s">
        <v>58</v>
      </c>
      <c r="E3459">
        <v>9</v>
      </c>
      <c r="F3459" s="3">
        <v>8.7899999999999991</v>
      </c>
      <c r="G3459" t="s">
        <v>27</v>
      </c>
      <c r="H3459">
        <v>50</v>
      </c>
      <c r="I3459" t="s">
        <v>28</v>
      </c>
      <c r="J3459" s="4">
        <v>73.099999999999994</v>
      </c>
      <c r="K3459" s="4">
        <v>241.8</v>
      </c>
      <c r="L3459" s="4">
        <v>31.7</v>
      </c>
      <c r="M3459">
        <v>11</v>
      </c>
      <c r="N3459" t="s">
        <v>61</v>
      </c>
      <c r="O3459">
        <v>6</v>
      </c>
      <c r="P3459" s="4">
        <v>1098.2</v>
      </c>
      <c r="Q3459" t="s">
        <v>30</v>
      </c>
      <c r="R3459">
        <v>1</v>
      </c>
      <c r="S3459" t="s">
        <v>44</v>
      </c>
      <c r="T3459">
        <v>0</v>
      </c>
      <c r="U3459">
        <v>0</v>
      </c>
      <c r="V3459" t="s">
        <v>32</v>
      </c>
      <c r="W3459" t="s">
        <v>43</v>
      </c>
      <c r="X3459" s="4">
        <v>8.9</v>
      </c>
      <c r="Y3459">
        <v>10</v>
      </c>
      <c r="Z3459" s="5">
        <v>383.15</v>
      </c>
    </row>
    <row r="3460" spans="1:26">
      <c r="A3460">
        <v>3459</v>
      </c>
      <c r="B3460">
        <v>1135</v>
      </c>
      <c r="C3460" s="2">
        <v>46271</v>
      </c>
      <c r="D3460" t="s">
        <v>58</v>
      </c>
      <c r="E3460">
        <v>9</v>
      </c>
      <c r="F3460" s="3">
        <v>9.02</v>
      </c>
      <c r="G3460" t="s">
        <v>27</v>
      </c>
      <c r="H3460">
        <v>46</v>
      </c>
      <c r="I3460" t="s">
        <v>34</v>
      </c>
      <c r="J3460" s="4">
        <v>66.099999999999994</v>
      </c>
      <c r="K3460" s="4">
        <v>155.4</v>
      </c>
      <c r="L3460" s="4">
        <v>24.9</v>
      </c>
      <c r="M3460">
        <v>14</v>
      </c>
      <c r="N3460" t="s">
        <v>61</v>
      </c>
      <c r="O3460">
        <v>6</v>
      </c>
      <c r="P3460" s="4">
        <v>1098.2</v>
      </c>
      <c r="Q3460" t="s">
        <v>30</v>
      </c>
      <c r="R3460">
        <v>1</v>
      </c>
      <c r="S3460" t="s">
        <v>44</v>
      </c>
      <c r="T3460">
        <v>0</v>
      </c>
      <c r="U3460">
        <v>0</v>
      </c>
      <c r="V3460" t="s">
        <v>32</v>
      </c>
      <c r="W3460" t="s">
        <v>43</v>
      </c>
      <c r="X3460" s="4">
        <v>7.3</v>
      </c>
      <c r="Y3460">
        <v>4</v>
      </c>
      <c r="Z3460" s="5">
        <v>145.24</v>
      </c>
    </row>
    <row r="3461" spans="1:26">
      <c r="A3461">
        <v>3460</v>
      </c>
      <c r="B3461">
        <v>1135</v>
      </c>
      <c r="C3461" s="2">
        <v>46271</v>
      </c>
      <c r="D3461" t="s">
        <v>58</v>
      </c>
      <c r="E3461">
        <v>9</v>
      </c>
      <c r="F3461" s="3">
        <v>8.64</v>
      </c>
      <c r="G3461" t="s">
        <v>27</v>
      </c>
      <c r="H3461">
        <v>6</v>
      </c>
      <c r="I3461" t="s">
        <v>34</v>
      </c>
      <c r="J3461" s="4">
        <v>54.2</v>
      </c>
      <c r="K3461" s="4">
        <v>81.900000000000006</v>
      </c>
      <c r="L3461" s="4">
        <v>19.5</v>
      </c>
      <c r="M3461">
        <v>10</v>
      </c>
      <c r="N3461" t="s">
        <v>61</v>
      </c>
      <c r="O3461">
        <v>6</v>
      </c>
      <c r="P3461" s="4">
        <v>1098.2</v>
      </c>
      <c r="Q3461" t="s">
        <v>30</v>
      </c>
      <c r="R3461">
        <v>1</v>
      </c>
      <c r="S3461" t="s">
        <v>44</v>
      </c>
      <c r="T3461">
        <v>0</v>
      </c>
      <c r="U3461">
        <v>0</v>
      </c>
      <c r="V3461" t="s">
        <v>32</v>
      </c>
      <c r="W3461" t="s">
        <v>43</v>
      </c>
      <c r="X3461" s="4">
        <v>9.9</v>
      </c>
      <c r="Y3461">
        <v>8</v>
      </c>
      <c r="Z3461" s="5">
        <v>213.05</v>
      </c>
    </row>
    <row r="3462" spans="1:26">
      <c r="A3462">
        <v>3461</v>
      </c>
      <c r="B3462">
        <v>1135</v>
      </c>
      <c r="C3462" s="2">
        <v>46271</v>
      </c>
      <c r="D3462" t="s">
        <v>58</v>
      </c>
      <c r="E3462">
        <v>9</v>
      </c>
      <c r="F3462" s="3">
        <v>8.9700000000000006</v>
      </c>
      <c r="G3462" t="s">
        <v>27</v>
      </c>
      <c r="H3462">
        <v>45</v>
      </c>
      <c r="I3462" t="s">
        <v>28</v>
      </c>
      <c r="J3462" s="4">
        <v>69.8</v>
      </c>
      <c r="K3462" s="4">
        <v>158.5</v>
      </c>
      <c r="L3462" s="4">
        <v>22.8</v>
      </c>
      <c r="M3462">
        <v>16</v>
      </c>
      <c r="N3462" t="s">
        <v>61</v>
      </c>
      <c r="O3462">
        <v>6</v>
      </c>
      <c r="P3462" s="4">
        <v>1098.2</v>
      </c>
      <c r="Q3462" t="s">
        <v>30</v>
      </c>
      <c r="R3462">
        <v>1</v>
      </c>
      <c r="S3462" t="s">
        <v>44</v>
      </c>
      <c r="T3462">
        <v>0</v>
      </c>
      <c r="U3462">
        <v>0</v>
      </c>
      <c r="V3462" t="s">
        <v>32</v>
      </c>
      <c r="W3462" t="s">
        <v>43</v>
      </c>
      <c r="X3462" s="4">
        <v>9</v>
      </c>
      <c r="Y3462">
        <v>8</v>
      </c>
      <c r="Z3462" s="5">
        <v>224.97</v>
      </c>
    </row>
    <row r="3463" spans="1:26">
      <c r="A3463">
        <v>3462</v>
      </c>
      <c r="B3463">
        <v>1135</v>
      </c>
      <c r="C3463" s="2">
        <v>46271</v>
      </c>
      <c r="D3463" t="s">
        <v>58</v>
      </c>
      <c r="E3463">
        <v>9</v>
      </c>
      <c r="F3463" s="3">
        <v>8.7100000000000009</v>
      </c>
      <c r="G3463" t="s">
        <v>27</v>
      </c>
      <c r="H3463">
        <v>25</v>
      </c>
      <c r="I3463" t="s">
        <v>34</v>
      </c>
      <c r="J3463" s="4">
        <v>68.099999999999994</v>
      </c>
      <c r="K3463" s="4">
        <v>182.2</v>
      </c>
      <c r="L3463" s="4">
        <v>28.1</v>
      </c>
      <c r="M3463">
        <v>11</v>
      </c>
      <c r="N3463" t="s">
        <v>61</v>
      </c>
      <c r="O3463">
        <v>6</v>
      </c>
      <c r="P3463" s="4">
        <v>1098.2</v>
      </c>
      <c r="Q3463" t="s">
        <v>30</v>
      </c>
      <c r="R3463">
        <v>1</v>
      </c>
      <c r="S3463" t="s">
        <v>44</v>
      </c>
      <c r="T3463">
        <v>0</v>
      </c>
      <c r="U3463">
        <v>0</v>
      </c>
      <c r="V3463" t="s">
        <v>32</v>
      </c>
      <c r="W3463" t="s">
        <v>43</v>
      </c>
      <c r="X3463" s="4">
        <v>8.4</v>
      </c>
      <c r="Y3463">
        <v>5</v>
      </c>
      <c r="Z3463" s="5">
        <v>235.4</v>
      </c>
    </row>
    <row r="3464" spans="1:26">
      <c r="A3464">
        <v>3463</v>
      </c>
      <c r="B3464">
        <v>1136</v>
      </c>
      <c r="C3464" s="2">
        <v>46117</v>
      </c>
      <c r="D3464" t="s">
        <v>58</v>
      </c>
      <c r="E3464">
        <v>4</v>
      </c>
      <c r="F3464" s="3">
        <v>11.3</v>
      </c>
      <c r="G3464" t="s">
        <v>36</v>
      </c>
      <c r="H3464">
        <v>56</v>
      </c>
      <c r="I3464" t="s">
        <v>34</v>
      </c>
      <c r="J3464" s="4">
        <v>60.8</v>
      </c>
      <c r="K3464" s="4">
        <v>188.3</v>
      </c>
      <c r="L3464" s="4">
        <v>35.9</v>
      </c>
      <c r="M3464">
        <v>14</v>
      </c>
      <c r="N3464" t="s">
        <v>37</v>
      </c>
      <c r="O3464">
        <v>1</v>
      </c>
      <c r="P3464" s="4">
        <v>1019.3</v>
      </c>
      <c r="Q3464" t="s">
        <v>42</v>
      </c>
      <c r="R3464">
        <v>1</v>
      </c>
      <c r="S3464" t="s">
        <v>44</v>
      </c>
      <c r="T3464">
        <v>0</v>
      </c>
      <c r="U3464">
        <v>1</v>
      </c>
      <c r="V3464" t="s">
        <v>32</v>
      </c>
      <c r="W3464" t="s">
        <v>39</v>
      </c>
      <c r="X3464" s="4">
        <v>8</v>
      </c>
      <c r="Y3464">
        <v>9</v>
      </c>
      <c r="Z3464" s="5">
        <v>170.36</v>
      </c>
    </row>
    <row r="3465" spans="1:26">
      <c r="A3465">
        <v>3464</v>
      </c>
      <c r="B3465">
        <v>1137</v>
      </c>
      <c r="C3465" s="2">
        <v>46286</v>
      </c>
      <c r="D3465" t="s">
        <v>46</v>
      </c>
      <c r="E3465">
        <v>9</v>
      </c>
      <c r="F3465" s="3">
        <v>10.87</v>
      </c>
      <c r="G3465" t="s">
        <v>27</v>
      </c>
      <c r="H3465">
        <v>7</v>
      </c>
      <c r="I3465" t="s">
        <v>34</v>
      </c>
      <c r="J3465" s="4">
        <v>59.4</v>
      </c>
      <c r="K3465" s="4">
        <v>117.4</v>
      </c>
      <c r="L3465" s="4">
        <v>23.3</v>
      </c>
      <c r="M3465">
        <v>13</v>
      </c>
      <c r="N3465" t="s">
        <v>54</v>
      </c>
      <c r="O3465">
        <v>1</v>
      </c>
      <c r="P3465" s="4">
        <v>1807</v>
      </c>
      <c r="Q3465" t="s">
        <v>42</v>
      </c>
      <c r="R3465">
        <v>1</v>
      </c>
      <c r="S3465" t="s">
        <v>44</v>
      </c>
      <c r="T3465">
        <v>0</v>
      </c>
      <c r="U3465">
        <v>0</v>
      </c>
      <c r="V3465" t="s">
        <v>32</v>
      </c>
      <c r="W3465" t="s">
        <v>39</v>
      </c>
      <c r="X3465" s="4">
        <v>9.9</v>
      </c>
      <c r="Y3465">
        <v>11</v>
      </c>
      <c r="Z3465" s="5">
        <v>251.93</v>
      </c>
    </row>
    <row r="3466" spans="1:26">
      <c r="A3466">
        <v>3465</v>
      </c>
      <c r="B3466">
        <v>1138</v>
      </c>
      <c r="C3466" s="2">
        <v>46046</v>
      </c>
      <c r="D3466" t="s">
        <v>40</v>
      </c>
      <c r="E3466">
        <v>1</v>
      </c>
      <c r="F3466" s="3">
        <v>11.39</v>
      </c>
      <c r="G3466" t="s">
        <v>36</v>
      </c>
      <c r="H3466">
        <v>65</v>
      </c>
      <c r="I3466" t="s">
        <v>28</v>
      </c>
      <c r="J3466" s="4">
        <v>61.5</v>
      </c>
      <c r="K3466" s="4">
        <v>145.69999999999999</v>
      </c>
      <c r="L3466" s="4">
        <v>26.9</v>
      </c>
      <c r="M3466">
        <v>15</v>
      </c>
      <c r="N3466" t="s">
        <v>47</v>
      </c>
      <c r="O3466">
        <v>4</v>
      </c>
      <c r="P3466" s="4">
        <v>93.5</v>
      </c>
      <c r="Q3466" t="s">
        <v>42</v>
      </c>
      <c r="R3466">
        <v>0</v>
      </c>
      <c r="S3466" t="s">
        <v>44</v>
      </c>
      <c r="T3466">
        <v>0</v>
      </c>
      <c r="U3466">
        <v>0</v>
      </c>
      <c r="V3466" t="s">
        <v>32</v>
      </c>
      <c r="W3466" t="s">
        <v>43</v>
      </c>
      <c r="X3466" s="4">
        <v>6.9</v>
      </c>
      <c r="Y3466">
        <v>6</v>
      </c>
      <c r="Z3466" s="5">
        <v>139.28</v>
      </c>
    </row>
    <row r="3467" spans="1:26">
      <c r="A3467">
        <v>3466</v>
      </c>
      <c r="B3467">
        <v>1138</v>
      </c>
      <c r="C3467" s="2">
        <v>46046</v>
      </c>
      <c r="D3467" t="s">
        <v>40</v>
      </c>
      <c r="E3467">
        <v>1</v>
      </c>
      <c r="F3467" s="3">
        <v>11.14</v>
      </c>
      <c r="G3467" t="s">
        <v>36</v>
      </c>
      <c r="H3467">
        <v>34</v>
      </c>
      <c r="I3467" t="s">
        <v>28</v>
      </c>
      <c r="J3467" s="4">
        <v>69.400000000000006</v>
      </c>
      <c r="K3467" s="4">
        <v>163.30000000000001</v>
      </c>
      <c r="L3467" s="4">
        <v>23.9</v>
      </c>
      <c r="M3467">
        <v>16</v>
      </c>
      <c r="N3467" t="s">
        <v>47</v>
      </c>
      <c r="O3467">
        <v>4</v>
      </c>
      <c r="P3467" s="4">
        <v>93.5</v>
      </c>
      <c r="Q3467" t="s">
        <v>42</v>
      </c>
      <c r="R3467">
        <v>0</v>
      </c>
      <c r="S3467" t="s">
        <v>44</v>
      </c>
      <c r="T3467">
        <v>0</v>
      </c>
      <c r="U3467">
        <v>0</v>
      </c>
      <c r="V3467" t="s">
        <v>32</v>
      </c>
      <c r="W3467" t="s">
        <v>43</v>
      </c>
      <c r="X3467" s="4">
        <v>8.1999999999999993</v>
      </c>
      <c r="Y3467">
        <v>9</v>
      </c>
      <c r="Z3467" s="5">
        <v>132.63</v>
      </c>
    </row>
    <row r="3468" spans="1:26">
      <c r="A3468">
        <v>3467</v>
      </c>
      <c r="B3468">
        <v>1138</v>
      </c>
      <c r="C3468" s="2">
        <v>46046</v>
      </c>
      <c r="D3468" t="s">
        <v>40</v>
      </c>
      <c r="E3468">
        <v>1</v>
      </c>
      <c r="F3468" s="3">
        <v>11.39</v>
      </c>
      <c r="G3468" t="s">
        <v>36</v>
      </c>
      <c r="H3468">
        <v>50</v>
      </c>
      <c r="I3468" t="s">
        <v>28</v>
      </c>
      <c r="J3468" s="4">
        <v>72.400000000000006</v>
      </c>
      <c r="K3468" s="4">
        <v>199.4</v>
      </c>
      <c r="L3468" s="4">
        <v>26.6</v>
      </c>
      <c r="M3468">
        <v>15</v>
      </c>
      <c r="N3468" t="s">
        <v>47</v>
      </c>
      <c r="O3468">
        <v>4</v>
      </c>
      <c r="P3468" s="4">
        <v>93.5</v>
      </c>
      <c r="Q3468" t="s">
        <v>42</v>
      </c>
      <c r="R3468">
        <v>0</v>
      </c>
      <c r="S3468" t="s">
        <v>44</v>
      </c>
      <c r="T3468">
        <v>0</v>
      </c>
      <c r="U3468">
        <v>0</v>
      </c>
      <c r="V3468" t="s">
        <v>32</v>
      </c>
      <c r="W3468" t="s">
        <v>43</v>
      </c>
      <c r="X3468" s="4">
        <v>5.0999999999999996</v>
      </c>
      <c r="Y3468">
        <v>2</v>
      </c>
      <c r="Z3468" s="5">
        <v>136.41</v>
      </c>
    </row>
    <row r="3469" spans="1:26">
      <c r="A3469">
        <v>3468</v>
      </c>
      <c r="B3469">
        <v>1138</v>
      </c>
      <c r="C3469" s="2">
        <v>46046</v>
      </c>
      <c r="D3469" t="s">
        <v>40</v>
      </c>
      <c r="E3469">
        <v>1</v>
      </c>
      <c r="F3469" s="3">
        <v>11.29</v>
      </c>
      <c r="G3469" t="s">
        <v>36</v>
      </c>
      <c r="H3469">
        <v>45</v>
      </c>
      <c r="I3469" t="s">
        <v>28</v>
      </c>
      <c r="J3469" s="4">
        <v>72.2</v>
      </c>
      <c r="K3469" s="4">
        <v>196.1</v>
      </c>
      <c r="L3469" s="4">
        <v>26.7</v>
      </c>
      <c r="M3469">
        <v>14</v>
      </c>
      <c r="N3469" t="s">
        <v>47</v>
      </c>
      <c r="O3469">
        <v>4</v>
      </c>
      <c r="P3469" s="4">
        <v>93.5</v>
      </c>
      <c r="Q3469" t="s">
        <v>42</v>
      </c>
      <c r="R3469">
        <v>0</v>
      </c>
      <c r="S3469" t="s">
        <v>44</v>
      </c>
      <c r="T3469">
        <v>0</v>
      </c>
      <c r="U3469">
        <v>0</v>
      </c>
      <c r="V3469" t="s">
        <v>32</v>
      </c>
      <c r="W3469" t="s">
        <v>43</v>
      </c>
      <c r="X3469" s="4">
        <v>5.9</v>
      </c>
      <c r="Y3469">
        <v>7</v>
      </c>
      <c r="Z3469" s="5">
        <v>211.17</v>
      </c>
    </row>
    <row r="3470" spans="1:26">
      <c r="A3470">
        <v>3469</v>
      </c>
      <c r="B3470">
        <v>1139</v>
      </c>
      <c r="C3470" s="2">
        <v>46182</v>
      </c>
      <c r="D3470" t="s">
        <v>35</v>
      </c>
      <c r="E3470">
        <v>6</v>
      </c>
      <c r="F3470" s="3">
        <v>12.78</v>
      </c>
      <c r="G3470" t="s">
        <v>36</v>
      </c>
      <c r="H3470">
        <v>10</v>
      </c>
      <c r="I3470" t="s">
        <v>28</v>
      </c>
      <c r="J3470" s="4">
        <v>64.099999999999994</v>
      </c>
      <c r="K3470" s="4">
        <v>100.6</v>
      </c>
      <c r="L3470" s="4">
        <v>17.2</v>
      </c>
      <c r="M3470">
        <v>12</v>
      </c>
      <c r="N3470" t="s">
        <v>47</v>
      </c>
      <c r="O3470">
        <v>2</v>
      </c>
      <c r="P3470" s="4">
        <v>53.3</v>
      </c>
      <c r="Q3470" t="s">
        <v>42</v>
      </c>
      <c r="R3470">
        <v>0</v>
      </c>
      <c r="S3470" t="s">
        <v>31</v>
      </c>
      <c r="T3470">
        <v>0</v>
      </c>
      <c r="U3470">
        <v>1</v>
      </c>
      <c r="V3470" t="s">
        <v>32</v>
      </c>
      <c r="W3470" t="s">
        <v>33</v>
      </c>
      <c r="X3470" s="4">
        <v>9.8000000000000007</v>
      </c>
      <c r="Y3470">
        <v>9</v>
      </c>
      <c r="Z3470" s="5">
        <v>276.02</v>
      </c>
    </row>
    <row r="3471" spans="1:26">
      <c r="A3471">
        <v>3470</v>
      </c>
      <c r="B3471">
        <v>1139</v>
      </c>
      <c r="C3471" s="2">
        <v>46182</v>
      </c>
      <c r="D3471" t="s">
        <v>35</v>
      </c>
      <c r="E3471">
        <v>6</v>
      </c>
      <c r="F3471" s="3">
        <v>12.6</v>
      </c>
      <c r="G3471" t="s">
        <v>36</v>
      </c>
      <c r="H3471">
        <v>30</v>
      </c>
      <c r="I3471" t="s">
        <v>34</v>
      </c>
      <c r="J3471" s="4">
        <v>62.3</v>
      </c>
      <c r="K3471" s="4">
        <v>137.9</v>
      </c>
      <c r="L3471" s="4">
        <v>25</v>
      </c>
      <c r="M3471">
        <v>14</v>
      </c>
      <c r="N3471" t="s">
        <v>47</v>
      </c>
      <c r="O3471">
        <v>2</v>
      </c>
      <c r="P3471" s="4">
        <v>53.3</v>
      </c>
      <c r="Q3471" t="s">
        <v>42</v>
      </c>
      <c r="R3471">
        <v>0</v>
      </c>
      <c r="S3471" t="s">
        <v>31</v>
      </c>
      <c r="T3471">
        <v>0</v>
      </c>
      <c r="U3471">
        <v>1</v>
      </c>
      <c r="V3471" t="s">
        <v>32</v>
      </c>
      <c r="W3471" t="s">
        <v>33</v>
      </c>
      <c r="X3471" s="4">
        <v>8.1999999999999993</v>
      </c>
      <c r="Y3471">
        <v>4</v>
      </c>
      <c r="Z3471" s="5">
        <v>230.2</v>
      </c>
    </row>
    <row r="3472" spans="1:26">
      <c r="A3472">
        <v>3471</v>
      </c>
      <c r="B3472">
        <v>1140</v>
      </c>
      <c r="C3472" s="2">
        <v>46234</v>
      </c>
      <c r="D3472" t="s">
        <v>26</v>
      </c>
      <c r="E3472">
        <v>7</v>
      </c>
      <c r="F3472" s="3">
        <v>10.07</v>
      </c>
      <c r="G3472" t="s">
        <v>27</v>
      </c>
      <c r="H3472">
        <v>18</v>
      </c>
      <c r="I3472" t="s">
        <v>28</v>
      </c>
      <c r="J3472" s="4">
        <v>68.5</v>
      </c>
      <c r="K3472" s="4">
        <v>127.2</v>
      </c>
      <c r="L3472" s="4">
        <v>19.100000000000001</v>
      </c>
      <c r="M3472">
        <v>11</v>
      </c>
      <c r="N3472" t="s">
        <v>37</v>
      </c>
      <c r="O3472">
        <v>1</v>
      </c>
      <c r="P3472" s="4">
        <v>844.6</v>
      </c>
      <c r="Q3472" t="s">
        <v>30</v>
      </c>
      <c r="R3472">
        <v>1</v>
      </c>
      <c r="S3472" t="s">
        <v>44</v>
      </c>
      <c r="T3472">
        <v>0</v>
      </c>
      <c r="U3472">
        <v>0</v>
      </c>
      <c r="V3472" t="s">
        <v>45</v>
      </c>
      <c r="W3472" t="s">
        <v>43</v>
      </c>
      <c r="X3472" s="4">
        <v>7.4</v>
      </c>
      <c r="Y3472">
        <v>4</v>
      </c>
      <c r="Z3472" s="5">
        <v>192.32</v>
      </c>
    </row>
    <row r="3473" spans="1:26">
      <c r="A3473">
        <v>3472</v>
      </c>
      <c r="B3473">
        <v>1141</v>
      </c>
      <c r="C3473" s="2">
        <v>46043</v>
      </c>
      <c r="D3473" t="s">
        <v>52</v>
      </c>
      <c r="E3473">
        <v>1</v>
      </c>
      <c r="F3473" s="3">
        <v>7.15</v>
      </c>
      <c r="G3473" t="s">
        <v>27</v>
      </c>
      <c r="H3473">
        <v>73</v>
      </c>
      <c r="I3473" t="s">
        <v>34</v>
      </c>
      <c r="J3473" s="4">
        <v>60.2</v>
      </c>
      <c r="K3473" s="4">
        <v>159.4</v>
      </c>
      <c r="L3473" s="4">
        <v>31.3</v>
      </c>
      <c r="M3473">
        <v>18</v>
      </c>
      <c r="N3473" t="s">
        <v>61</v>
      </c>
      <c r="O3473">
        <v>2</v>
      </c>
      <c r="P3473" s="4">
        <v>1516.3</v>
      </c>
      <c r="Q3473" t="s">
        <v>48</v>
      </c>
      <c r="R3473">
        <v>1</v>
      </c>
      <c r="S3473" t="s">
        <v>38</v>
      </c>
      <c r="T3473">
        <v>0</v>
      </c>
      <c r="U3473">
        <v>0</v>
      </c>
      <c r="V3473" t="s">
        <v>32</v>
      </c>
      <c r="W3473" t="s">
        <v>49</v>
      </c>
      <c r="X3473" s="4">
        <v>9.6999999999999993</v>
      </c>
      <c r="Y3473">
        <v>9</v>
      </c>
      <c r="Z3473" s="5">
        <v>278.70999999999998</v>
      </c>
    </row>
    <row r="3474" spans="1:26">
      <c r="A3474">
        <v>3473</v>
      </c>
      <c r="B3474">
        <v>1141</v>
      </c>
      <c r="C3474" s="2">
        <v>46043</v>
      </c>
      <c r="D3474" t="s">
        <v>52</v>
      </c>
      <c r="E3474">
        <v>1</v>
      </c>
      <c r="F3474" s="3">
        <v>7</v>
      </c>
      <c r="G3474" t="s">
        <v>27</v>
      </c>
      <c r="H3474">
        <v>54</v>
      </c>
      <c r="I3474" t="s">
        <v>28</v>
      </c>
      <c r="J3474" s="4">
        <v>67.7</v>
      </c>
      <c r="K3474" s="4">
        <v>166.6</v>
      </c>
      <c r="L3474" s="4">
        <v>25.3</v>
      </c>
      <c r="M3474">
        <v>18</v>
      </c>
      <c r="N3474" t="s">
        <v>61</v>
      </c>
      <c r="O3474">
        <v>2</v>
      </c>
      <c r="P3474" s="4">
        <v>1516.3</v>
      </c>
      <c r="Q3474" t="s">
        <v>48</v>
      </c>
      <c r="R3474">
        <v>1</v>
      </c>
      <c r="S3474" t="s">
        <v>38</v>
      </c>
      <c r="T3474">
        <v>0</v>
      </c>
      <c r="U3474">
        <v>0</v>
      </c>
      <c r="V3474" t="s">
        <v>32</v>
      </c>
      <c r="W3474" t="s">
        <v>49</v>
      </c>
      <c r="X3474" s="4">
        <v>11.5</v>
      </c>
      <c r="Y3474">
        <v>13</v>
      </c>
      <c r="Z3474" s="5">
        <v>316.76</v>
      </c>
    </row>
    <row r="3475" spans="1:26">
      <c r="A3475">
        <v>3474</v>
      </c>
      <c r="B3475">
        <v>1142</v>
      </c>
      <c r="C3475" s="2">
        <v>46374</v>
      </c>
      <c r="D3475" t="s">
        <v>26</v>
      </c>
      <c r="E3475">
        <v>12</v>
      </c>
      <c r="F3475" s="3">
        <v>9.86</v>
      </c>
      <c r="G3475" t="s">
        <v>27</v>
      </c>
      <c r="H3475">
        <v>37</v>
      </c>
      <c r="I3475" t="s">
        <v>28</v>
      </c>
      <c r="J3475" s="4">
        <v>67</v>
      </c>
      <c r="K3475" s="4">
        <v>181</v>
      </c>
      <c r="L3475" s="4">
        <v>28.3</v>
      </c>
      <c r="M3475">
        <v>13</v>
      </c>
      <c r="N3475" t="s">
        <v>41</v>
      </c>
      <c r="O3475">
        <v>1</v>
      </c>
      <c r="P3475" s="4">
        <v>2979.7</v>
      </c>
      <c r="Q3475" t="s">
        <v>48</v>
      </c>
      <c r="R3475">
        <v>1</v>
      </c>
      <c r="S3475" t="s">
        <v>31</v>
      </c>
      <c r="T3475">
        <v>1</v>
      </c>
      <c r="U3475">
        <v>1</v>
      </c>
      <c r="V3475" t="s">
        <v>32</v>
      </c>
      <c r="W3475" t="s">
        <v>39</v>
      </c>
      <c r="X3475" s="4">
        <v>9.1999999999999993</v>
      </c>
      <c r="Y3475">
        <v>11</v>
      </c>
      <c r="Z3475" s="5">
        <v>398.91</v>
      </c>
    </row>
    <row r="3476" spans="1:26">
      <c r="A3476">
        <v>3475</v>
      </c>
      <c r="B3476">
        <v>1143</v>
      </c>
      <c r="C3476" s="2">
        <v>46272</v>
      </c>
      <c r="D3476" t="s">
        <v>46</v>
      </c>
      <c r="E3476">
        <v>9</v>
      </c>
      <c r="F3476" s="3">
        <v>8.3800000000000008</v>
      </c>
      <c r="G3476" t="s">
        <v>27</v>
      </c>
      <c r="H3476">
        <v>41</v>
      </c>
      <c r="I3476" t="s">
        <v>28</v>
      </c>
      <c r="J3476" s="4">
        <v>68.7</v>
      </c>
      <c r="K3476" s="4">
        <v>185.5</v>
      </c>
      <c r="L3476" s="4">
        <v>27.4</v>
      </c>
      <c r="M3476">
        <v>16</v>
      </c>
      <c r="N3476" t="s">
        <v>37</v>
      </c>
      <c r="O3476">
        <v>3</v>
      </c>
      <c r="P3476" s="4">
        <v>1117.4000000000001</v>
      </c>
      <c r="Q3476" t="s">
        <v>48</v>
      </c>
      <c r="R3476">
        <v>1</v>
      </c>
      <c r="S3476" t="s">
        <v>31</v>
      </c>
      <c r="T3476">
        <v>0</v>
      </c>
      <c r="U3476">
        <v>0</v>
      </c>
      <c r="V3476" t="s">
        <v>32</v>
      </c>
      <c r="W3476" t="s">
        <v>39</v>
      </c>
      <c r="X3476" s="4">
        <v>8.6</v>
      </c>
      <c r="Y3476">
        <v>8</v>
      </c>
      <c r="Z3476" s="5">
        <v>284.68</v>
      </c>
    </row>
    <row r="3477" spans="1:26">
      <c r="A3477">
        <v>3476</v>
      </c>
      <c r="B3477">
        <v>1143</v>
      </c>
      <c r="C3477" s="2">
        <v>46272</v>
      </c>
      <c r="D3477" t="s">
        <v>46</v>
      </c>
      <c r="E3477">
        <v>9</v>
      </c>
      <c r="F3477" s="3">
        <v>8.2100000000000009</v>
      </c>
      <c r="G3477" t="s">
        <v>27</v>
      </c>
      <c r="H3477">
        <v>33</v>
      </c>
      <c r="I3477" t="s">
        <v>28</v>
      </c>
      <c r="J3477" s="4">
        <v>70.900000000000006</v>
      </c>
      <c r="K3477" s="4">
        <v>132</v>
      </c>
      <c r="L3477" s="4">
        <v>18.3</v>
      </c>
      <c r="M3477">
        <v>14</v>
      </c>
      <c r="N3477" t="s">
        <v>37</v>
      </c>
      <c r="O3477">
        <v>3</v>
      </c>
      <c r="P3477" s="4">
        <v>1117.4000000000001</v>
      </c>
      <c r="Q3477" t="s">
        <v>48</v>
      </c>
      <c r="R3477">
        <v>1</v>
      </c>
      <c r="S3477" t="s">
        <v>31</v>
      </c>
      <c r="T3477">
        <v>0</v>
      </c>
      <c r="U3477">
        <v>0</v>
      </c>
      <c r="V3477" t="s">
        <v>32</v>
      </c>
      <c r="W3477" t="s">
        <v>39</v>
      </c>
      <c r="X3477" s="4">
        <v>10.1</v>
      </c>
      <c r="Y3477">
        <v>12</v>
      </c>
      <c r="Z3477" s="5">
        <v>309.47000000000003</v>
      </c>
    </row>
    <row r="3478" spans="1:26">
      <c r="A3478">
        <v>3477</v>
      </c>
      <c r="B3478">
        <v>1143</v>
      </c>
      <c r="C3478" s="2">
        <v>46272</v>
      </c>
      <c r="D3478" t="s">
        <v>46</v>
      </c>
      <c r="E3478">
        <v>9</v>
      </c>
      <c r="F3478" s="3">
        <v>8.5399999999999991</v>
      </c>
      <c r="G3478" t="s">
        <v>27</v>
      </c>
      <c r="H3478">
        <v>18</v>
      </c>
      <c r="I3478" t="s">
        <v>34</v>
      </c>
      <c r="J3478" s="4">
        <v>62</v>
      </c>
      <c r="K3478" s="4">
        <v>178.7</v>
      </c>
      <c r="L3478" s="4">
        <v>32.5</v>
      </c>
      <c r="M3478">
        <v>17</v>
      </c>
      <c r="N3478" t="s">
        <v>37</v>
      </c>
      <c r="O3478">
        <v>3</v>
      </c>
      <c r="P3478" s="4">
        <v>1117.4000000000001</v>
      </c>
      <c r="Q3478" t="s">
        <v>48</v>
      </c>
      <c r="R3478">
        <v>1</v>
      </c>
      <c r="S3478" t="s">
        <v>31</v>
      </c>
      <c r="T3478">
        <v>0</v>
      </c>
      <c r="U3478">
        <v>0</v>
      </c>
      <c r="V3478" t="s">
        <v>32</v>
      </c>
      <c r="W3478" t="s">
        <v>39</v>
      </c>
      <c r="X3478" s="4">
        <v>10.4</v>
      </c>
      <c r="Y3478">
        <v>6</v>
      </c>
      <c r="Z3478" s="5">
        <v>524.59</v>
      </c>
    </row>
    <row r="3479" spans="1:26">
      <c r="A3479">
        <v>3478</v>
      </c>
      <c r="B3479">
        <v>1144</v>
      </c>
      <c r="C3479" s="2">
        <v>46060</v>
      </c>
      <c r="D3479" t="s">
        <v>40</v>
      </c>
      <c r="E3479">
        <v>2</v>
      </c>
      <c r="F3479" s="3">
        <v>11.87</v>
      </c>
      <c r="G3479" t="s">
        <v>36</v>
      </c>
      <c r="H3479">
        <v>6</v>
      </c>
      <c r="I3479" t="s">
        <v>34</v>
      </c>
      <c r="J3479" s="4">
        <v>56.1</v>
      </c>
      <c r="K3479" s="4">
        <v>56.6</v>
      </c>
      <c r="L3479" s="4">
        <v>12.7</v>
      </c>
      <c r="M3479">
        <v>17</v>
      </c>
      <c r="N3479" t="s">
        <v>60</v>
      </c>
      <c r="O3479">
        <v>5</v>
      </c>
      <c r="P3479" s="4">
        <v>1955.2</v>
      </c>
      <c r="Q3479" t="s">
        <v>48</v>
      </c>
      <c r="R3479">
        <v>1</v>
      </c>
      <c r="S3479" t="s">
        <v>44</v>
      </c>
      <c r="T3479">
        <v>0</v>
      </c>
      <c r="U3479">
        <v>0</v>
      </c>
      <c r="V3479" t="s">
        <v>32</v>
      </c>
      <c r="W3479" t="s">
        <v>49</v>
      </c>
      <c r="X3479" s="4">
        <v>6.2</v>
      </c>
      <c r="Y3479">
        <v>10</v>
      </c>
      <c r="Z3479" s="5">
        <v>182.54</v>
      </c>
    </row>
    <row r="3480" spans="1:26">
      <c r="A3480">
        <v>3479</v>
      </c>
      <c r="B3480">
        <v>1144</v>
      </c>
      <c r="C3480" s="2">
        <v>46060</v>
      </c>
      <c r="D3480" t="s">
        <v>40</v>
      </c>
      <c r="E3480">
        <v>2</v>
      </c>
      <c r="F3480" s="3">
        <v>11.81</v>
      </c>
      <c r="G3480" t="s">
        <v>36</v>
      </c>
      <c r="H3480">
        <v>27</v>
      </c>
      <c r="I3480" t="s">
        <v>28</v>
      </c>
      <c r="J3480" s="4">
        <v>72.2</v>
      </c>
      <c r="K3480" s="4">
        <v>201.6</v>
      </c>
      <c r="L3480" s="4">
        <v>27.1</v>
      </c>
      <c r="M3480">
        <v>19</v>
      </c>
      <c r="N3480" t="s">
        <v>60</v>
      </c>
      <c r="O3480">
        <v>5</v>
      </c>
      <c r="P3480" s="4">
        <v>1955.2</v>
      </c>
      <c r="Q3480" t="s">
        <v>48</v>
      </c>
      <c r="R3480">
        <v>1</v>
      </c>
      <c r="S3480" t="s">
        <v>44</v>
      </c>
      <c r="T3480">
        <v>0</v>
      </c>
      <c r="U3480">
        <v>0</v>
      </c>
      <c r="V3480" t="s">
        <v>32</v>
      </c>
      <c r="W3480" t="s">
        <v>49</v>
      </c>
      <c r="X3480" s="4">
        <v>7.2</v>
      </c>
      <c r="Y3480">
        <v>3</v>
      </c>
      <c r="Z3480" s="5">
        <v>299.75</v>
      </c>
    </row>
    <row r="3481" spans="1:26">
      <c r="A3481">
        <v>3480</v>
      </c>
      <c r="B3481">
        <v>1144</v>
      </c>
      <c r="C3481" s="2">
        <v>46060</v>
      </c>
      <c r="D3481" t="s">
        <v>40</v>
      </c>
      <c r="E3481">
        <v>2</v>
      </c>
      <c r="F3481" s="3">
        <v>11.81</v>
      </c>
      <c r="G3481" t="s">
        <v>36</v>
      </c>
      <c r="H3481">
        <v>39</v>
      </c>
      <c r="I3481" t="s">
        <v>34</v>
      </c>
      <c r="J3481" s="4">
        <v>63</v>
      </c>
      <c r="K3481" s="4">
        <v>122.3</v>
      </c>
      <c r="L3481" s="4">
        <v>21.5</v>
      </c>
      <c r="M3481">
        <v>17</v>
      </c>
      <c r="N3481" t="s">
        <v>60</v>
      </c>
      <c r="O3481">
        <v>5</v>
      </c>
      <c r="P3481" s="4">
        <v>1955.2</v>
      </c>
      <c r="Q3481" t="s">
        <v>48</v>
      </c>
      <c r="R3481">
        <v>1</v>
      </c>
      <c r="S3481" t="s">
        <v>44</v>
      </c>
      <c r="T3481">
        <v>0</v>
      </c>
      <c r="U3481">
        <v>0</v>
      </c>
      <c r="V3481" t="s">
        <v>32</v>
      </c>
      <c r="W3481" t="s">
        <v>49</v>
      </c>
      <c r="X3481" s="4">
        <v>10.4</v>
      </c>
      <c r="Y3481">
        <v>16</v>
      </c>
      <c r="Z3481" s="5">
        <v>299.07</v>
      </c>
    </row>
    <row r="3482" spans="1:26">
      <c r="A3482">
        <v>3481</v>
      </c>
      <c r="B3482">
        <v>1144</v>
      </c>
      <c r="C3482" s="2">
        <v>46060</v>
      </c>
      <c r="D3482" t="s">
        <v>40</v>
      </c>
      <c r="E3482">
        <v>2</v>
      </c>
      <c r="F3482" s="3">
        <v>11.78</v>
      </c>
      <c r="G3482" t="s">
        <v>36</v>
      </c>
      <c r="H3482">
        <v>57</v>
      </c>
      <c r="I3482" t="s">
        <v>34</v>
      </c>
      <c r="J3482" s="4">
        <v>64.8</v>
      </c>
      <c r="K3482" s="4">
        <v>171.7</v>
      </c>
      <c r="L3482" s="4">
        <v>28.8</v>
      </c>
      <c r="M3482">
        <v>16</v>
      </c>
      <c r="N3482" t="s">
        <v>60</v>
      </c>
      <c r="O3482">
        <v>5</v>
      </c>
      <c r="P3482" s="4">
        <v>1955.2</v>
      </c>
      <c r="Q3482" t="s">
        <v>48</v>
      </c>
      <c r="R3482">
        <v>1</v>
      </c>
      <c r="S3482" t="s">
        <v>44</v>
      </c>
      <c r="T3482">
        <v>0</v>
      </c>
      <c r="U3482">
        <v>0</v>
      </c>
      <c r="V3482" t="s">
        <v>32</v>
      </c>
      <c r="W3482" t="s">
        <v>49</v>
      </c>
      <c r="X3482" s="4">
        <v>5.0999999999999996</v>
      </c>
      <c r="Y3482">
        <v>0</v>
      </c>
      <c r="Z3482" s="5">
        <v>181.29</v>
      </c>
    </row>
    <row r="3483" spans="1:26">
      <c r="A3483">
        <v>3482</v>
      </c>
      <c r="B3483">
        <v>1144</v>
      </c>
      <c r="C3483" s="2">
        <v>46060</v>
      </c>
      <c r="D3483" t="s">
        <v>40</v>
      </c>
      <c r="E3483">
        <v>2</v>
      </c>
      <c r="F3483" s="3">
        <v>11.98</v>
      </c>
      <c r="G3483" t="s">
        <v>36</v>
      </c>
      <c r="H3483">
        <v>65</v>
      </c>
      <c r="I3483" t="s">
        <v>34</v>
      </c>
      <c r="J3483" s="4">
        <v>62.8</v>
      </c>
      <c r="K3483" s="4">
        <v>147.1</v>
      </c>
      <c r="L3483" s="4">
        <v>26.4</v>
      </c>
      <c r="M3483">
        <v>21</v>
      </c>
      <c r="N3483" t="s">
        <v>60</v>
      </c>
      <c r="O3483">
        <v>5</v>
      </c>
      <c r="P3483" s="4">
        <v>1955.2</v>
      </c>
      <c r="Q3483" t="s">
        <v>48</v>
      </c>
      <c r="R3483">
        <v>1</v>
      </c>
      <c r="S3483" t="s">
        <v>44</v>
      </c>
      <c r="T3483">
        <v>0</v>
      </c>
      <c r="U3483">
        <v>0</v>
      </c>
      <c r="V3483" t="s">
        <v>32</v>
      </c>
      <c r="W3483" t="s">
        <v>49</v>
      </c>
      <c r="X3483" s="4">
        <v>6.7</v>
      </c>
      <c r="Y3483">
        <v>3</v>
      </c>
      <c r="Z3483" s="5">
        <v>156.44</v>
      </c>
    </row>
    <row r="3484" spans="1:26">
      <c r="A3484">
        <v>3483</v>
      </c>
      <c r="B3484">
        <v>1145</v>
      </c>
      <c r="C3484" s="2">
        <v>46230</v>
      </c>
      <c r="D3484" t="s">
        <v>46</v>
      </c>
      <c r="E3484">
        <v>7</v>
      </c>
      <c r="F3484" s="3">
        <v>13.06</v>
      </c>
      <c r="G3484" t="s">
        <v>36</v>
      </c>
      <c r="H3484">
        <v>60</v>
      </c>
      <c r="I3484" t="s">
        <v>28</v>
      </c>
      <c r="J3484" s="4">
        <v>69.2</v>
      </c>
      <c r="K3484" s="4">
        <v>172.2</v>
      </c>
      <c r="L3484" s="4">
        <v>25.4</v>
      </c>
      <c r="M3484">
        <v>17</v>
      </c>
      <c r="N3484" t="s">
        <v>47</v>
      </c>
      <c r="O3484">
        <v>3</v>
      </c>
      <c r="P3484" s="4">
        <v>108.5</v>
      </c>
      <c r="Q3484" t="s">
        <v>48</v>
      </c>
      <c r="R3484">
        <v>0</v>
      </c>
      <c r="S3484" t="s">
        <v>44</v>
      </c>
      <c r="T3484">
        <v>1</v>
      </c>
      <c r="U3484">
        <v>0</v>
      </c>
      <c r="V3484" t="s">
        <v>45</v>
      </c>
      <c r="W3484" t="s">
        <v>49</v>
      </c>
      <c r="X3484" s="4">
        <v>7.1</v>
      </c>
      <c r="Y3484">
        <v>12</v>
      </c>
      <c r="Z3484" s="5">
        <v>291.79000000000002</v>
      </c>
    </row>
    <row r="3485" spans="1:26">
      <c r="A3485">
        <v>3484</v>
      </c>
      <c r="B3485">
        <v>1145</v>
      </c>
      <c r="C3485" s="2">
        <v>46230</v>
      </c>
      <c r="D3485" t="s">
        <v>46</v>
      </c>
      <c r="E3485">
        <v>7</v>
      </c>
      <c r="F3485" s="3">
        <v>12.89</v>
      </c>
      <c r="G3485" t="s">
        <v>36</v>
      </c>
      <c r="H3485">
        <v>42</v>
      </c>
      <c r="I3485" t="s">
        <v>34</v>
      </c>
      <c r="J3485" s="4">
        <v>56.1</v>
      </c>
      <c r="K3485" s="4">
        <v>122.5</v>
      </c>
      <c r="L3485" s="4">
        <v>27.2</v>
      </c>
      <c r="M3485">
        <v>16</v>
      </c>
      <c r="N3485" t="s">
        <v>47</v>
      </c>
      <c r="O3485">
        <v>3</v>
      </c>
      <c r="P3485" s="4">
        <v>108.5</v>
      </c>
      <c r="Q3485" t="s">
        <v>48</v>
      </c>
      <c r="R3485">
        <v>0</v>
      </c>
      <c r="S3485" t="s">
        <v>44</v>
      </c>
      <c r="T3485">
        <v>1</v>
      </c>
      <c r="U3485">
        <v>0</v>
      </c>
      <c r="V3485" t="s">
        <v>45</v>
      </c>
      <c r="W3485" t="s">
        <v>49</v>
      </c>
      <c r="X3485" s="4">
        <v>9.1</v>
      </c>
      <c r="Y3485">
        <v>14</v>
      </c>
      <c r="Z3485" s="5">
        <v>370.12</v>
      </c>
    </row>
    <row r="3486" spans="1:26">
      <c r="A3486">
        <v>3485</v>
      </c>
      <c r="B3486">
        <v>1145</v>
      </c>
      <c r="C3486" s="2">
        <v>46230</v>
      </c>
      <c r="D3486" t="s">
        <v>46</v>
      </c>
      <c r="E3486">
        <v>7</v>
      </c>
      <c r="F3486" s="3">
        <v>12.95</v>
      </c>
      <c r="G3486" t="s">
        <v>36</v>
      </c>
      <c r="H3486">
        <v>5</v>
      </c>
      <c r="I3486" t="s">
        <v>34</v>
      </c>
      <c r="J3486" s="4">
        <v>58.6</v>
      </c>
      <c r="K3486" s="4">
        <v>115.1</v>
      </c>
      <c r="L3486" s="4">
        <v>23.4</v>
      </c>
      <c r="M3486">
        <v>11</v>
      </c>
      <c r="N3486" t="s">
        <v>47</v>
      </c>
      <c r="O3486">
        <v>3</v>
      </c>
      <c r="P3486" s="4">
        <v>108.5</v>
      </c>
      <c r="Q3486" t="s">
        <v>48</v>
      </c>
      <c r="R3486">
        <v>0</v>
      </c>
      <c r="S3486" t="s">
        <v>44</v>
      </c>
      <c r="T3486">
        <v>1</v>
      </c>
      <c r="U3486">
        <v>0</v>
      </c>
      <c r="V3486" t="s">
        <v>45</v>
      </c>
      <c r="W3486" t="s">
        <v>49</v>
      </c>
      <c r="X3486" s="4">
        <v>8.1</v>
      </c>
      <c r="Y3486">
        <v>6</v>
      </c>
      <c r="Z3486" s="5">
        <v>189.64</v>
      </c>
    </row>
    <row r="3487" spans="1:26">
      <c r="A3487">
        <v>3486</v>
      </c>
      <c r="B3487">
        <v>1146</v>
      </c>
      <c r="C3487" s="2">
        <v>46025</v>
      </c>
      <c r="D3487" t="s">
        <v>40</v>
      </c>
      <c r="E3487">
        <v>1</v>
      </c>
      <c r="F3487" s="3">
        <v>12.05</v>
      </c>
      <c r="G3487" t="s">
        <v>36</v>
      </c>
      <c r="H3487">
        <v>57</v>
      </c>
      <c r="I3487" t="s">
        <v>28</v>
      </c>
      <c r="J3487" s="4">
        <v>69.900000000000006</v>
      </c>
      <c r="K3487" s="4">
        <v>194.1</v>
      </c>
      <c r="L3487" s="4">
        <v>27.8</v>
      </c>
      <c r="M3487">
        <v>18</v>
      </c>
      <c r="N3487" t="s">
        <v>66</v>
      </c>
      <c r="O3487">
        <v>3</v>
      </c>
      <c r="P3487" s="4">
        <v>952.1</v>
      </c>
      <c r="Q3487" t="s">
        <v>48</v>
      </c>
      <c r="R3487">
        <v>0</v>
      </c>
      <c r="S3487" t="s">
        <v>31</v>
      </c>
      <c r="T3487">
        <v>0</v>
      </c>
      <c r="U3487">
        <v>0</v>
      </c>
      <c r="V3487" t="s">
        <v>32</v>
      </c>
      <c r="W3487" t="s">
        <v>43</v>
      </c>
      <c r="X3487" s="4">
        <v>7.1</v>
      </c>
      <c r="Y3487">
        <v>0</v>
      </c>
      <c r="Z3487" s="5">
        <v>125.87</v>
      </c>
    </row>
    <row r="3488" spans="1:26">
      <c r="A3488">
        <v>3487</v>
      </c>
      <c r="B3488">
        <v>1146</v>
      </c>
      <c r="C3488" s="2">
        <v>46025</v>
      </c>
      <c r="D3488" t="s">
        <v>40</v>
      </c>
      <c r="E3488">
        <v>1</v>
      </c>
      <c r="F3488" s="3">
        <v>12.17</v>
      </c>
      <c r="G3488" t="s">
        <v>36</v>
      </c>
      <c r="H3488">
        <v>7</v>
      </c>
      <c r="I3488" t="s">
        <v>34</v>
      </c>
      <c r="J3488" s="4">
        <v>57.7</v>
      </c>
      <c r="K3488" s="4">
        <v>92.2</v>
      </c>
      <c r="L3488" s="4">
        <v>19.399999999999999</v>
      </c>
      <c r="M3488">
        <v>16</v>
      </c>
      <c r="N3488" t="s">
        <v>66</v>
      </c>
      <c r="O3488">
        <v>3</v>
      </c>
      <c r="P3488" s="4">
        <v>952.1</v>
      </c>
      <c r="Q3488" t="s">
        <v>48</v>
      </c>
      <c r="R3488">
        <v>0</v>
      </c>
      <c r="S3488" t="s">
        <v>31</v>
      </c>
      <c r="T3488">
        <v>0</v>
      </c>
      <c r="U3488">
        <v>0</v>
      </c>
      <c r="V3488" t="s">
        <v>32</v>
      </c>
      <c r="W3488" t="s">
        <v>43</v>
      </c>
      <c r="X3488" s="4">
        <v>7.4</v>
      </c>
      <c r="Y3488">
        <v>3</v>
      </c>
      <c r="Z3488" s="5">
        <v>225.4</v>
      </c>
    </row>
    <row r="3489" spans="1:26">
      <c r="A3489">
        <v>3488</v>
      </c>
      <c r="B3489">
        <v>1146</v>
      </c>
      <c r="C3489" s="2">
        <v>46025</v>
      </c>
      <c r="D3489" t="s">
        <v>40</v>
      </c>
      <c r="E3489">
        <v>1</v>
      </c>
      <c r="F3489" s="3">
        <v>12.13</v>
      </c>
      <c r="G3489" t="s">
        <v>36</v>
      </c>
      <c r="H3489">
        <v>35</v>
      </c>
      <c r="I3489" t="s">
        <v>34</v>
      </c>
      <c r="J3489" s="4">
        <v>62.9</v>
      </c>
      <c r="K3489" s="4">
        <v>150.1</v>
      </c>
      <c r="L3489" s="4">
        <v>26.7</v>
      </c>
      <c r="M3489">
        <v>17</v>
      </c>
      <c r="N3489" t="s">
        <v>66</v>
      </c>
      <c r="O3489">
        <v>3</v>
      </c>
      <c r="P3489" s="4">
        <v>952.1</v>
      </c>
      <c r="Q3489" t="s">
        <v>48</v>
      </c>
      <c r="R3489">
        <v>0</v>
      </c>
      <c r="S3489" t="s">
        <v>31</v>
      </c>
      <c r="T3489">
        <v>0</v>
      </c>
      <c r="U3489">
        <v>0</v>
      </c>
      <c r="V3489" t="s">
        <v>32</v>
      </c>
      <c r="W3489" t="s">
        <v>43</v>
      </c>
      <c r="X3489" s="4">
        <v>7.5</v>
      </c>
      <c r="Y3489">
        <v>11</v>
      </c>
      <c r="Z3489" s="5">
        <v>250.3</v>
      </c>
    </row>
    <row r="3490" spans="1:26">
      <c r="A3490">
        <v>3489</v>
      </c>
      <c r="B3490">
        <v>1147</v>
      </c>
      <c r="C3490" s="2">
        <v>46194</v>
      </c>
      <c r="D3490" t="s">
        <v>58</v>
      </c>
      <c r="E3490">
        <v>6</v>
      </c>
      <c r="F3490" s="3">
        <v>9.16</v>
      </c>
      <c r="G3490" t="s">
        <v>27</v>
      </c>
      <c r="H3490">
        <v>49</v>
      </c>
      <c r="I3490" t="s">
        <v>28</v>
      </c>
      <c r="J3490" s="4">
        <v>73</v>
      </c>
      <c r="K3490" s="4">
        <v>183.4</v>
      </c>
      <c r="L3490" s="4">
        <v>24.1</v>
      </c>
      <c r="M3490">
        <v>14</v>
      </c>
      <c r="N3490" t="s">
        <v>47</v>
      </c>
      <c r="O3490">
        <v>3</v>
      </c>
      <c r="P3490" s="4">
        <v>113.8</v>
      </c>
      <c r="Q3490" t="s">
        <v>48</v>
      </c>
      <c r="R3490">
        <v>0</v>
      </c>
      <c r="S3490" t="s">
        <v>31</v>
      </c>
      <c r="T3490">
        <v>0</v>
      </c>
      <c r="U3490">
        <v>0</v>
      </c>
      <c r="V3490" t="s">
        <v>32</v>
      </c>
      <c r="W3490" t="s">
        <v>39</v>
      </c>
      <c r="X3490" s="4">
        <v>9.6</v>
      </c>
      <c r="Y3490">
        <v>10</v>
      </c>
      <c r="Z3490" s="5">
        <v>191.09</v>
      </c>
    </row>
    <row r="3491" spans="1:26">
      <c r="A3491">
        <v>3490</v>
      </c>
      <c r="B3491">
        <v>1147</v>
      </c>
      <c r="C3491" s="2">
        <v>46194</v>
      </c>
      <c r="D3491" t="s">
        <v>58</v>
      </c>
      <c r="E3491">
        <v>6</v>
      </c>
      <c r="F3491" s="3">
        <v>9.0399999999999991</v>
      </c>
      <c r="G3491" t="s">
        <v>27</v>
      </c>
      <c r="H3491">
        <v>65</v>
      </c>
      <c r="I3491" t="s">
        <v>28</v>
      </c>
      <c r="J3491" s="4">
        <v>69.599999999999994</v>
      </c>
      <c r="K3491" s="4">
        <v>163.69999999999999</v>
      </c>
      <c r="L3491" s="4">
        <v>23.9</v>
      </c>
      <c r="M3491">
        <v>19</v>
      </c>
      <c r="N3491" t="s">
        <v>47</v>
      </c>
      <c r="O3491">
        <v>3</v>
      </c>
      <c r="P3491" s="4">
        <v>113.8</v>
      </c>
      <c r="Q3491" t="s">
        <v>48</v>
      </c>
      <c r="R3491">
        <v>0</v>
      </c>
      <c r="S3491" t="s">
        <v>31</v>
      </c>
      <c r="T3491">
        <v>0</v>
      </c>
      <c r="U3491">
        <v>0</v>
      </c>
      <c r="V3491" t="s">
        <v>32</v>
      </c>
      <c r="W3491" t="s">
        <v>39</v>
      </c>
      <c r="X3491" s="4">
        <v>6.8</v>
      </c>
      <c r="Y3491">
        <v>4</v>
      </c>
      <c r="Z3491" s="5">
        <v>162.82</v>
      </c>
    </row>
    <row r="3492" spans="1:26">
      <c r="A3492">
        <v>3491</v>
      </c>
      <c r="B3492">
        <v>1147</v>
      </c>
      <c r="C3492" s="2">
        <v>46194</v>
      </c>
      <c r="D3492" t="s">
        <v>58</v>
      </c>
      <c r="E3492">
        <v>6</v>
      </c>
      <c r="F3492" s="3">
        <v>9.34</v>
      </c>
      <c r="G3492" t="s">
        <v>27</v>
      </c>
      <c r="H3492">
        <v>58</v>
      </c>
      <c r="I3492" t="s">
        <v>34</v>
      </c>
      <c r="J3492" s="4">
        <v>59.4</v>
      </c>
      <c r="K3492" s="4">
        <v>147.5</v>
      </c>
      <c r="L3492" s="4">
        <v>29.3</v>
      </c>
      <c r="M3492">
        <v>18</v>
      </c>
      <c r="N3492" t="s">
        <v>47</v>
      </c>
      <c r="O3492">
        <v>3</v>
      </c>
      <c r="P3492" s="4">
        <v>113.8</v>
      </c>
      <c r="Q3492" t="s">
        <v>48</v>
      </c>
      <c r="R3492">
        <v>0</v>
      </c>
      <c r="S3492" t="s">
        <v>31</v>
      </c>
      <c r="T3492">
        <v>0</v>
      </c>
      <c r="U3492">
        <v>0</v>
      </c>
      <c r="V3492" t="s">
        <v>32</v>
      </c>
      <c r="W3492" t="s">
        <v>39</v>
      </c>
      <c r="X3492" s="4">
        <v>6.8</v>
      </c>
      <c r="Y3492">
        <v>5</v>
      </c>
      <c r="Z3492" s="5">
        <v>234.99</v>
      </c>
    </row>
    <row r="3493" spans="1:26">
      <c r="A3493">
        <v>3492</v>
      </c>
      <c r="B3493">
        <v>1148</v>
      </c>
      <c r="C3493" s="2">
        <v>46185</v>
      </c>
      <c r="D3493" t="s">
        <v>26</v>
      </c>
      <c r="E3493">
        <v>6</v>
      </c>
      <c r="F3493" s="3">
        <v>11.92</v>
      </c>
      <c r="G3493" t="s">
        <v>36</v>
      </c>
      <c r="H3493">
        <v>50</v>
      </c>
      <c r="I3493" t="s">
        <v>34</v>
      </c>
      <c r="J3493" s="4">
        <v>68.400000000000006</v>
      </c>
      <c r="K3493" s="4">
        <v>151.4</v>
      </c>
      <c r="L3493" s="4">
        <v>22.7</v>
      </c>
      <c r="M3493">
        <v>17</v>
      </c>
      <c r="N3493" t="s">
        <v>66</v>
      </c>
      <c r="O3493">
        <v>2</v>
      </c>
      <c r="P3493" s="4">
        <v>830.4</v>
      </c>
      <c r="Q3493" t="s">
        <v>42</v>
      </c>
      <c r="R3493">
        <v>0</v>
      </c>
      <c r="S3493" t="s">
        <v>31</v>
      </c>
      <c r="T3493">
        <v>1</v>
      </c>
      <c r="U3493">
        <v>0</v>
      </c>
      <c r="V3493" t="s">
        <v>32</v>
      </c>
      <c r="W3493" t="s">
        <v>39</v>
      </c>
      <c r="X3493" s="4">
        <v>8.6</v>
      </c>
      <c r="Y3493">
        <v>10</v>
      </c>
      <c r="Z3493" s="5">
        <v>386.93</v>
      </c>
    </row>
    <row r="3494" spans="1:26">
      <c r="A3494">
        <v>3493</v>
      </c>
      <c r="B3494">
        <v>1148</v>
      </c>
      <c r="C3494" s="2">
        <v>46185</v>
      </c>
      <c r="D3494" t="s">
        <v>26</v>
      </c>
      <c r="E3494">
        <v>6</v>
      </c>
      <c r="F3494" s="3">
        <v>11.66</v>
      </c>
      <c r="G3494" t="s">
        <v>36</v>
      </c>
      <c r="H3494">
        <v>4</v>
      </c>
      <c r="I3494" t="s">
        <v>28</v>
      </c>
      <c r="J3494" s="4">
        <v>56.7</v>
      </c>
      <c r="K3494" s="4">
        <v>64.2</v>
      </c>
      <c r="L3494" s="4">
        <v>14.1</v>
      </c>
      <c r="M3494">
        <v>13</v>
      </c>
      <c r="N3494" t="s">
        <v>66</v>
      </c>
      <c r="O3494">
        <v>2</v>
      </c>
      <c r="P3494" s="4">
        <v>830.4</v>
      </c>
      <c r="Q3494" t="s">
        <v>42</v>
      </c>
      <c r="R3494">
        <v>0</v>
      </c>
      <c r="S3494" t="s">
        <v>31</v>
      </c>
      <c r="T3494">
        <v>1</v>
      </c>
      <c r="U3494">
        <v>0</v>
      </c>
      <c r="V3494" t="s">
        <v>32</v>
      </c>
      <c r="W3494" t="s">
        <v>39</v>
      </c>
      <c r="X3494" s="4">
        <v>8.1999999999999993</v>
      </c>
      <c r="Y3494">
        <v>11</v>
      </c>
      <c r="Z3494" s="5">
        <v>226.34</v>
      </c>
    </row>
    <row r="3495" spans="1:26">
      <c r="A3495">
        <v>3494</v>
      </c>
      <c r="B3495">
        <v>1149</v>
      </c>
      <c r="C3495" s="2">
        <v>46106</v>
      </c>
      <c r="D3495" t="s">
        <v>52</v>
      </c>
      <c r="E3495">
        <v>3</v>
      </c>
      <c r="F3495" s="3">
        <v>11.84</v>
      </c>
      <c r="G3495" t="s">
        <v>36</v>
      </c>
      <c r="H3495">
        <v>9</v>
      </c>
      <c r="I3495" t="s">
        <v>34</v>
      </c>
      <c r="J3495" s="4">
        <v>63.8</v>
      </c>
      <c r="K3495" s="4">
        <v>124.7</v>
      </c>
      <c r="L3495" s="4">
        <v>21.5</v>
      </c>
      <c r="M3495">
        <v>10</v>
      </c>
      <c r="N3495" t="s">
        <v>60</v>
      </c>
      <c r="O3495">
        <v>2</v>
      </c>
      <c r="P3495" s="4">
        <v>2101.5</v>
      </c>
      <c r="Q3495" t="s">
        <v>30</v>
      </c>
      <c r="R3495">
        <v>0</v>
      </c>
      <c r="S3495" t="s">
        <v>38</v>
      </c>
      <c r="T3495">
        <v>1</v>
      </c>
      <c r="U3495">
        <v>1</v>
      </c>
      <c r="V3495" t="s">
        <v>32</v>
      </c>
      <c r="W3495" t="s">
        <v>39</v>
      </c>
      <c r="X3495" s="4">
        <v>8.8000000000000007</v>
      </c>
      <c r="Y3495">
        <v>8</v>
      </c>
      <c r="Z3495" s="5">
        <v>167.61</v>
      </c>
    </row>
    <row r="3496" spans="1:26">
      <c r="A3496">
        <v>3495</v>
      </c>
      <c r="B3496">
        <v>1149</v>
      </c>
      <c r="C3496" s="2">
        <v>46106</v>
      </c>
      <c r="D3496" t="s">
        <v>52</v>
      </c>
      <c r="E3496">
        <v>3</v>
      </c>
      <c r="F3496" s="3">
        <v>11.57</v>
      </c>
      <c r="G3496" t="s">
        <v>36</v>
      </c>
      <c r="H3496">
        <v>59</v>
      </c>
      <c r="I3496" t="s">
        <v>28</v>
      </c>
      <c r="J3496" s="4">
        <v>69</v>
      </c>
      <c r="K3496" s="4">
        <v>133.4</v>
      </c>
      <c r="L3496" s="4">
        <v>19.7</v>
      </c>
      <c r="M3496">
        <v>12</v>
      </c>
      <c r="N3496" t="s">
        <v>60</v>
      </c>
      <c r="O3496">
        <v>2</v>
      </c>
      <c r="P3496" s="4">
        <v>2101.5</v>
      </c>
      <c r="Q3496" t="s">
        <v>30</v>
      </c>
      <c r="R3496">
        <v>0</v>
      </c>
      <c r="S3496" t="s">
        <v>38</v>
      </c>
      <c r="T3496">
        <v>1</v>
      </c>
      <c r="U3496">
        <v>1</v>
      </c>
      <c r="V3496" t="s">
        <v>32</v>
      </c>
      <c r="W3496" t="s">
        <v>39</v>
      </c>
      <c r="X3496" s="4">
        <v>10.199999999999999</v>
      </c>
      <c r="Y3496">
        <v>14</v>
      </c>
      <c r="Z3496" s="5">
        <v>305.45</v>
      </c>
    </row>
    <row r="3497" spans="1:26">
      <c r="A3497">
        <v>3496</v>
      </c>
      <c r="B3497">
        <v>1150</v>
      </c>
      <c r="C3497" s="2">
        <v>46351</v>
      </c>
      <c r="D3497" t="s">
        <v>52</v>
      </c>
      <c r="E3497">
        <v>11</v>
      </c>
      <c r="F3497" s="3">
        <v>9.5500000000000007</v>
      </c>
      <c r="G3497" t="s">
        <v>27</v>
      </c>
      <c r="H3497">
        <v>57</v>
      </c>
      <c r="I3497" t="s">
        <v>34</v>
      </c>
      <c r="J3497" s="4">
        <v>61.7</v>
      </c>
      <c r="K3497" s="4">
        <v>204.9</v>
      </c>
      <c r="L3497" s="4">
        <v>37.6</v>
      </c>
      <c r="M3497">
        <v>14</v>
      </c>
      <c r="N3497" t="s">
        <v>47</v>
      </c>
      <c r="O3497">
        <v>3</v>
      </c>
      <c r="P3497" s="4">
        <v>68.7</v>
      </c>
      <c r="Q3497" t="s">
        <v>42</v>
      </c>
      <c r="R3497">
        <v>1</v>
      </c>
      <c r="S3497" t="s">
        <v>44</v>
      </c>
      <c r="T3497">
        <v>0</v>
      </c>
      <c r="U3497">
        <v>0</v>
      </c>
      <c r="V3497" t="s">
        <v>45</v>
      </c>
      <c r="W3497" t="s">
        <v>43</v>
      </c>
      <c r="X3497" s="4">
        <v>9.4</v>
      </c>
      <c r="Y3497">
        <v>14</v>
      </c>
      <c r="Z3497" s="5">
        <v>221.99</v>
      </c>
    </row>
    <row r="3498" spans="1:26">
      <c r="A3498">
        <v>3497</v>
      </c>
      <c r="B3498">
        <v>1150</v>
      </c>
      <c r="C3498" s="2">
        <v>46351</v>
      </c>
      <c r="D3498" t="s">
        <v>52</v>
      </c>
      <c r="E3498">
        <v>11</v>
      </c>
      <c r="F3498" s="3">
        <v>9.59</v>
      </c>
      <c r="G3498" t="s">
        <v>27</v>
      </c>
      <c r="H3498">
        <v>23</v>
      </c>
      <c r="I3498" t="s">
        <v>28</v>
      </c>
      <c r="J3498" s="4">
        <v>64.599999999999994</v>
      </c>
      <c r="K3498" s="4">
        <v>136</v>
      </c>
      <c r="L3498" s="4">
        <v>22.7</v>
      </c>
      <c r="M3498">
        <v>17</v>
      </c>
      <c r="N3498" t="s">
        <v>47</v>
      </c>
      <c r="O3498">
        <v>3</v>
      </c>
      <c r="P3498" s="4">
        <v>68.7</v>
      </c>
      <c r="Q3498" t="s">
        <v>42</v>
      </c>
      <c r="R3498">
        <v>1</v>
      </c>
      <c r="S3498" t="s">
        <v>44</v>
      </c>
      <c r="T3498">
        <v>0</v>
      </c>
      <c r="U3498">
        <v>0</v>
      </c>
      <c r="V3498" t="s">
        <v>45</v>
      </c>
      <c r="W3498" t="s">
        <v>43</v>
      </c>
      <c r="X3498" s="4">
        <v>10.4</v>
      </c>
      <c r="Y3498">
        <v>8</v>
      </c>
      <c r="Z3498" s="5">
        <v>145.41</v>
      </c>
    </row>
    <row r="3499" spans="1:26">
      <c r="A3499">
        <v>3498</v>
      </c>
      <c r="B3499">
        <v>1150</v>
      </c>
      <c r="C3499" s="2">
        <v>46351</v>
      </c>
      <c r="D3499" t="s">
        <v>52</v>
      </c>
      <c r="E3499">
        <v>11</v>
      </c>
      <c r="F3499" s="3">
        <v>9.59</v>
      </c>
      <c r="G3499" t="s">
        <v>27</v>
      </c>
      <c r="H3499">
        <v>5</v>
      </c>
      <c r="I3499" t="s">
        <v>28</v>
      </c>
      <c r="J3499" s="4">
        <v>58.1</v>
      </c>
      <c r="K3499" s="4">
        <v>118.2</v>
      </c>
      <c r="L3499" s="4">
        <v>24.8</v>
      </c>
      <c r="M3499">
        <v>12</v>
      </c>
      <c r="N3499" t="s">
        <v>47</v>
      </c>
      <c r="O3499">
        <v>3</v>
      </c>
      <c r="P3499" s="4">
        <v>68.7</v>
      </c>
      <c r="Q3499" t="s">
        <v>42</v>
      </c>
      <c r="R3499">
        <v>1</v>
      </c>
      <c r="S3499" t="s">
        <v>44</v>
      </c>
      <c r="T3499">
        <v>0</v>
      </c>
      <c r="U3499">
        <v>0</v>
      </c>
      <c r="V3499" t="s">
        <v>45</v>
      </c>
      <c r="W3499" t="s">
        <v>43</v>
      </c>
      <c r="X3499" s="4">
        <v>9.1</v>
      </c>
      <c r="Y3499">
        <v>9</v>
      </c>
      <c r="Z3499" s="5">
        <v>251.57</v>
      </c>
    </row>
    <row r="3500" spans="1:26">
      <c r="A3500">
        <v>3499</v>
      </c>
      <c r="B3500">
        <v>1151</v>
      </c>
      <c r="C3500" s="2">
        <v>46385</v>
      </c>
      <c r="D3500" t="s">
        <v>35</v>
      </c>
      <c r="E3500">
        <v>12</v>
      </c>
      <c r="F3500" s="3">
        <v>9.81</v>
      </c>
      <c r="G3500" t="s">
        <v>27</v>
      </c>
      <c r="H3500">
        <v>58</v>
      </c>
      <c r="I3500" t="s">
        <v>28</v>
      </c>
      <c r="J3500" s="4">
        <v>71.900000000000006</v>
      </c>
      <c r="K3500" s="4">
        <v>130.6</v>
      </c>
      <c r="L3500" s="4">
        <v>17.600000000000001</v>
      </c>
      <c r="M3500">
        <v>12</v>
      </c>
      <c r="N3500" t="s">
        <v>47</v>
      </c>
      <c r="O3500">
        <v>5</v>
      </c>
      <c r="P3500" s="4">
        <v>67.599999999999994</v>
      </c>
      <c r="Q3500" t="s">
        <v>30</v>
      </c>
      <c r="R3500">
        <v>1</v>
      </c>
      <c r="S3500" t="s">
        <v>44</v>
      </c>
      <c r="T3500">
        <v>0</v>
      </c>
      <c r="U3500">
        <v>0</v>
      </c>
      <c r="V3500" t="s">
        <v>45</v>
      </c>
      <c r="W3500" t="s">
        <v>49</v>
      </c>
      <c r="X3500" s="4">
        <v>8.6</v>
      </c>
      <c r="Y3500">
        <v>6</v>
      </c>
      <c r="Z3500" s="5">
        <v>259.58999999999997</v>
      </c>
    </row>
    <row r="3501" spans="1:26">
      <c r="A3501">
        <v>3500</v>
      </c>
      <c r="B3501">
        <v>1151</v>
      </c>
      <c r="C3501" s="2">
        <v>46385</v>
      </c>
      <c r="D3501" t="s">
        <v>35</v>
      </c>
      <c r="E3501">
        <v>12</v>
      </c>
      <c r="F3501" s="3">
        <v>9.86</v>
      </c>
      <c r="G3501" t="s">
        <v>27</v>
      </c>
      <c r="H3501">
        <v>63</v>
      </c>
      <c r="I3501" t="s">
        <v>28</v>
      </c>
      <c r="J3501" s="4">
        <v>69.3</v>
      </c>
      <c r="K3501" s="4">
        <v>163.30000000000001</v>
      </c>
      <c r="L3501" s="4">
        <v>24</v>
      </c>
      <c r="M3501">
        <v>12</v>
      </c>
      <c r="N3501" t="s">
        <v>47</v>
      </c>
      <c r="O3501">
        <v>5</v>
      </c>
      <c r="P3501" s="4">
        <v>67.599999999999994</v>
      </c>
      <c r="Q3501" t="s">
        <v>30</v>
      </c>
      <c r="R3501">
        <v>1</v>
      </c>
      <c r="S3501" t="s">
        <v>44</v>
      </c>
      <c r="T3501">
        <v>0</v>
      </c>
      <c r="U3501">
        <v>0</v>
      </c>
      <c r="V3501" t="s">
        <v>45</v>
      </c>
      <c r="W3501" t="s">
        <v>49</v>
      </c>
      <c r="X3501" s="4">
        <v>8</v>
      </c>
      <c r="Y3501">
        <v>13</v>
      </c>
      <c r="Z3501" s="5">
        <v>266.75</v>
      </c>
    </row>
    <row r="3502" spans="1:26">
      <c r="A3502">
        <v>3501</v>
      </c>
      <c r="B3502">
        <v>1151</v>
      </c>
      <c r="C3502" s="2">
        <v>46385</v>
      </c>
      <c r="D3502" t="s">
        <v>35</v>
      </c>
      <c r="E3502">
        <v>12</v>
      </c>
      <c r="F3502" s="3">
        <v>9.82</v>
      </c>
      <c r="G3502" t="s">
        <v>27</v>
      </c>
      <c r="H3502">
        <v>35</v>
      </c>
      <c r="I3502" t="s">
        <v>28</v>
      </c>
      <c r="J3502" s="4">
        <v>72.8</v>
      </c>
      <c r="K3502" s="4">
        <v>213</v>
      </c>
      <c r="L3502" s="4">
        <v>28.2</v>
      </c>
      <c r="M3502">
        <v>12</v>
      </c>
      <c r="N3502" t="s">
        <v>47</v>
      </c>
      <c r="O3502">
        <v>5</v>
      </c>
      <c r="P3502" s="4">
        <v>67.599999999999994</v>
      </c>
      <c r="Q3502" t="s">
        <v>30</v>
      </c>
      <c r="R3502">
        <v>1</v>
      </c>
      <c r="S3502" t="s">
        <v>44</v>
      </c>
      <c r="T3502">
        <v>0</v>
      </c>
      <c r="U3502">
        <v>0</v>
      </c>
      <c r="V3502" t="s">
        <v>45</v>
      </c>
      <c r="W3502" t="s">
        <v>49</v>
      </c>
      <c r="X3502" s="4">
        <v>8.6999999999999993</v>
      </c>
      <c r="Y3502">
        <v>12</v>
      </c>
      <c r="Z3502" s="5">
        <v>295.39</v>
      </c>
    </row>
    <row r="3503" spans="1:26">
      <c r="A3503">
        <v>3502</v>
      </c>
      <c r="B3503">
        <v>1151</v>
      </c>
      <c r="C3503" s="2">
        <v>46385</v>
      </c>
      <c r="D3503" t="s">
        <v>35</v>
      </c>
      <c r="E3503">
        <v>12</v>
      </c>
      <c r="F3503" s="3">
        <v>9.91</v>
      </c>
      <c r="G3503" t="s">
        <v>27</v>
      </c>
      <c r="H3503">
        <v>9</v>
      </c>
      <c r="I3503" t="s">
        <v>34</v>
      </c>
      <c r="J3503" s="4">
        <v>65.3</v>
      </c>
      <c r="K3503" s="4">
        <v>142.6</v>
      </c>
      <c r="L3503" s="4">
        <v>23.8</v>
      </c>
      <c r="M3503">
        <v>9</v>
      </c>
      <c r="N3503" t="s">
        <v>47</v>
      </c>
      <c r="O3503">
        <v>5</v>
      </c>
      <c r="P3503" s="4">
        <v>67.599999999999994</v>
      </c>
      <c r="Q3503" t="s">
        <v>30</v>
      </c>
      <c r="R3503">
        <v>1</v>
      </c>
      <c r="S3503" t="s">
        <v>44</v>
      </c>
      <c r="T3503">
        <v>0</v>
      </c>
      <c r="U3503">
        <v>0</v>
      </c>
      <c r="V3503" t="s">
        <v>45</v>
      </c>
      <c r="W3503" t="s">
        <v>49</v>
      </c>
      <c r="X3503" s="4">
        <v>6.9</v>
      </c>
      <c r="Y3503">
        <v>1</v>
      </c>
      <c r="Z3503" s="5">
        <v>157.19999999999999</v>
      </c>
    </row>
    <row r="3504" spans="1:26">
      <c r="A3504">
        <v>3503</v>
      </c>
      <c r="B3504">
        <v>1151</v>
      </c>
      <c r="C3504" s="2">
        <v>46385</v>
      </c>
      <c r="D3504" t="s">
        <v>35</v>
      </c>
      <c r="E3504">
        <v>12</v>
      </c>
      <c r="F3504" s="3">
        <v>9.8000000000000007</v>
      </c>
      <c r="G3504" t="s">
        <v>27</v>
      </c>
      <c r="H3504">
        <v>8</v>
      </c>
      <c r="I3504" t="s">
        <v>34</v>
      </c>
      <c r="J3504" s="4">
        <v>61.7</v>
      </c>
      <c r="K3504" s="4">
        <v>107.6</v>
      </c>
      <c r="L3504" s="4">
        <v>19.899999999999999</v>
      </c>
      <c r="M3504">
        <v>10</v>
      </c>
      <c r="N3504" t="s">
        <v>47</v>
      </c>
      <c r="O3504">
        <v>5</v>
      </c>
      <c r="P3504" s="4">
        <v>67.599999999999994</v>
      </c>
      <c r="Q3504" t="s">
        <v>30</v>
      </c>
      <c r="R3504">
        <v>1</v>
      </c>
      <c r="S3504" t="s">
        <v>44</v>
      </c>
      <c r="T3504">
        <v>0</v>
      </c>
      <c r="U3504">
        <v>0</v>
      </c>
      <c r="V3504" t="s">
        <v>45</v>
      </c>
      <c r="W3504" t="s">
        <v>49</v>
      </c>
      <c r="X3504" s="4">
        <v>9.8000000000000007</v>
      </c>
      <c r="Y3504">
        <v>10</v>
      </c>
      <c r="Z3504" s="5">
        <v>418.85</v>
      </c>
    </row>
    <row r="3505" spans="1:26">
      <c r="A3505">
        <v>3504</v>
      </c>
      <c r="B3505">
        <v>1152</v>
      </c>
      <c r="C3505" s="2">
        <v>46048</v>
      </c>
      <c r="D3505" t="s">
        <v>46</v>
      </c>
      <c r="E3505">
        <v>1</v>
      </c>
      <c r="F3505" s="3">
        <v>9.57</v>
      </c>
      <c r="G3505" t="s">
        <v>27</v>
      </c>
      <c r="H3505">
        <v>45</v>
      </c>
      <c r="I3505" t="s">
        <v>28</v>
      </c>
      <c r="J3505" s="4">
        <v>74.8</v>
      </c>
      <c r="K3505" s="4">
        <v>167.8</v>
      </c>
      <c r="L3505" s="4">
        <v>21.2</v>
      </c>
      <c r="M3505">
        <v>16</v>
      </c>
      <c r="N3505" t="s">
        <v>56</v>
      </c>
      <c r="O3505">
        <v>3</v>
      </c>
      <c r="P3505" s="4">
        <v>254.4</v>
      </c>
      <c r="Q3505" t="s">
        <v>30</v>
      </c>
      <c r="R3505">
        <v>0</v>
      </c>
      <c r="S3505" t="s">
        <v>44</v>
      </c>
      <c r="T3505">
        <v>1</v>
      </c>
      <c r="U3505">
        <v>0</v>
      </c>
      <c r="V3505" t="s">
        <v>32</v>
      </c>
      <c r="W3505" t="s">
        <v>49</v>
      </c>
      <c r="X3505" s="4">
        <v>7</v>
      </c>
      <c r="Y3505">
        <v>10</v>
      </c>
      <c r="Z3505" s="5">
        <v>123.4</v>
      </c>
    </row>
    <row r="3506" spans="1:26">
      <c r="A3506">
        <v>3505</v>
      </c>
      <c r="B3506">
        <v>1152</v>
      </c>
      <c r="C3506" s="2">
        <v>46048</v>
      </c>
      <c r="D3506" t="s">
        <v>46</v>
      </c>
      <c r="E3506">
        <v>1</v>
      </c>
      <c r="F3506" s="3">
        <v>9.8000000000000007</v>
      </c>
      <c r="G3506" t="s">
        <v>27</v>
      </c>
      <c r="H3506">
        <v>41</v>
      </c>
      <c r="I3506" t="s">
        <v>28</v>
      </c>
      <c r="J3506" s="4">
        <v>63.2</v>
      </c>
      <c r="K3506" s="4">
        <v>170.4</v>
      </c>
      <c r="L3506" s="4">
        <v>30.1</v>
      </c>
      <c r="M3506">
        <v>13</v>
      </c>
      <c r="N3506" t="s">
        <v>56</v>
      </c>
      <c r="O3506">
        <v>3</v>
      </c>
      <c r="P3506" s="4">
        <v>254.4</v>
      </c>
      <c r="Q3506" t="s">
        <v>30</v>
      </c>
      <c r="R3506">
        <v>0</v>
      </c>
      <c r="S3506" t="s">
        <v>44</v>
      </c>
      <c r="T3506">
        <v>1</v>
      </c>
      <c r="U3506">
        <v>0</v>
      </c>
      <c r="V3506" t="s">
        <v>32</v>
      </c>
      <c r="W3506" t="s">
        <v>49</v>
      </c>
      <c r="X3506" s="4">
        <v>11.8</v>
      </c>
      <c r="Y3506">
        <v>18</v>
      </c>
      <c r="Z3506" s="5">
        <v>546.9</v>
      </c>
    </row>
    <row r="3507" spans="1:26">
      <c r="A3507">
        <v>3506</v>
      </c>
      <c r="B3507">
        <v>1152</v>
      </c>
      <c r="C3507" s="2">
        <v>46048</v>
      </c>
      <c r="D3507" t="s">
        <v>46</v>
      </c>
      <c r="E3507">
        <v>1</v>
      </c>
      <c r="F3507" s="3">
        <v>9.9600000000000009</v>
      </c>
      <c r="G3507" t="s">
        <v>27</v>
      </c>
      <c r="H3507">
        <v>22</v>
      </c>
      <c r="I3507" t="s">
        <v>28</v>
      </c>
      <c r="J3507" s="4">
        <v>68.400000000000006</v>
      </c>
      <c r="K3507" s="4">
        <v>173.8</v>
      </c>
      <c r="L3507" s="4">
        <v>26.2</v>
      </c>
      <c r="M3507">
        <v>12</v>
      </c>
      <c r="N3507" t="s">
        <v>56</v>
      </c>
      <c r="O3507">
        <v>3</v>
      </c>
      <c r="P3507" s="4">
        <v>254.4</v>
      </c>
      <c r="Q3507" t="s">
        <v>30</v>
      </c>
      <c r="R3507">
        <v>0</v>
      </c>
      <c r="S3507" t="s">
        <v>44</v>
      </c>
      <c r="T3507">
        <v>1</v>
      </c>
      <c r="U3507">
        <v>0</v>
      </c>
      <c r="V3507" t="s">
        <v>32</v>
      </c>
      <c r="W3507" t="s">
        <v>49</v>
      </c>
      <c r="X3507" s="4">
        <v>7</v>
      </c>
      <c r="Y3507">
        <v>6</v>
      </c>
      <c r="Z3507" s="5">
        <v>120.35</v>
      </c>
    </row>
    <row r="3508" spans="1:26">
      <c r="A3508">
        <v>3507</v>
      </c>
      <c r="B3508">
        <v>1153</v>
      </c>
      <c r="C3508" s="2">
        <v>46024</v>
      </c>
      <c r="D3508" t="s">
        <v>26</v>
      </c>
      <c r="E3508">
        <v>1</v>
      </c>
      <c r="F3508" s="3">
        <v>9.4700000000000006</v>
      </c>
      <c r="G3508" t="s">
        <v>27</v>
      </c>
      <c r="H3508">
        <v>28</v>
      </c>
      <c r="I3508" t="s">
        <v>28</v>
      </c>
      <c r="J3508" s="4">
        <v>67.5</v>
      </c>
      <c r="K3508" s="4">
        <v>197.9</v>
      </c>
      <c r="L3508" s="4">
        <v>30.8</v>
      </c>
      <c r="M3508">
        <v>11</v>
      </c>
      <c r="N3508" t="s">
        <v>47</v>
      </c>
      <c r="O3508">
        <v>3</v>
      </c>
      <c r="P3508" s="4">
        <v>133.6</v>
      </c>
      <c r="Q3508" t="s">
        <v>30</v>
      </c>
      <c r="R3508">
        <v>0</v>
      </c>
      <c r="S3508" t="s">
        <v>44</v>
      </c>
      <c r="T3508">
        <v>0</v>
      </c>
      <c r="U3508">
        <v>0</v>
      </c>
      <c r="V3508" t="s">
        <v>32</v>
      </c>
      <c r="W3508" t="s">
        <v>49</v>
      </c>
      <c r="X3508" s="4">
        <v>9</v>
      </c>
      <c r="Y3508">
        <v>11</v>
      </c>
      <c r="Z3508" s="5">
        <v>312.83999999999997</v>
      </c>
    </row>
    <row r="3509" spans="1:26">
      <c r="A3509">
        <v>3508</v>
      </c>
      <c r="B3509">
        <v>1153</v>
      </c>
      <c r="C3509" s="2">
        <v>46024</v>
      </c>
      <c r="D3509" t="s">
        <v>26</v>
      </c>
      <c r="E3509">
        <v>1</v>
      </c>
      <c r="F3509" s="3">
        <v>9.56</v>
      </c>
      <c r="G3509" t="s">
        <v>27</v>
      </c>
      <c r="H3509">
        <v>11</v>
      </c>
      <c r="I3509" t="s">
        <v>34</v>
      </c>
      <c r="J3509" s="4">
        <v>61.6</v>
      </c>
      <c r="K3509" s="4">
        <v>98.6</v>
      </c>
      <c r="L3509" s="4">
        <v>18.3</v>
      </c>
      <c r="M3509">
        <v>16</v>
      </c>
      <c r="N3509" t="s">
        <v>47</v>
      </c>
      <c r="O3509">
        <v>3</v>
      </c>
      <c r="P3509" s="4">
        <v>133.6</v>
      </c>
      <c r="Q3509" t="s">
        <v>30</v>
      </c>
      <c r="R3509">
        <v>0</v>
      </c>
      <c r="S3509" t="s">
        <v>44</v>
      </c>
      <c r="T3509">
        <v>0</v>
      </c>
      <c r="U3509">
        <v>0</v>
      </c>
      <c r="V3509" t="s">
        <v>32</v>
      </c>
      <c r="W3509" t="s">
        <v>49</v>
      </c>
      <c r="X3509" s="4">
        <v>8.5</v>
      </c>
      <c r="Y3509">
        <v>15</v>
      </c>
      <c r="Z3509" s="5">
        <v>173.39</v>
      </c>
    </row>
    <row r="3510" spans="1:26">
      <c r="A3510">
        <v>3509</v>
      </c>
      <c r="B3510">
        <v>1153</v>
      </c>
      <c r="C3510" s="2">
        <v>46024</v>
      </c>
      <c r="D3510" t="s">
        <v>26</v>
      </c>
      <c r="E3510">
        <v>1</v>
      </c>
      <c r="F3510" s="3">
        <v>9.43</v>
      </c>
      <c r="G3510" t="s">
        <v>27</v>
      </c>
      <c r="H3510">
        <v>61</v>
      </c>
      <c r="I3510" t="s">
        <v>34</v>
      </c>
      <c r="J3510" s="4">
        <v>64.400000000000006</v>
      </c>
      <c r="K3510" s="4">
        <v>136.9</v>
      </c>
      <c r="L3510" s="4">
        <v>23.3</v>
      </c>
      <c r="M3510">
        <v>14</v>
      </c>
      <c r="N3510" t="s">
        <v>47</v>
      </c>
      <c r="O3510">
        <v>3</v>
      </c>
      <c r="P3510" s="4">
        <v>133.6</v>
      </c>
      <c r="Q3510" t="s">
        <v>30</v>
      </c>
      <c r="R3510">
        <v>0</v>
      </c>
      <c r="S3510" t="s">
        <v>44</v>
      </c>
      <c r="T3510">
        <v>0</v>
      </c>
      <c r="U3510">
        <v>0</v>
      </c>
      <c r="V3510" t="s">
        <v>32</v>
      </c>
      <c r="W3510" t="s">
        <v>49</v>
      </c>
      <c r="X3510" s="4">
        <v>9.1999999999999993</v>
      </c>
      <c r="Y3510">
        <v>9</v>
      </c>
      <c r="Z3510" s="5">
        <v>170.76</v>
      </c>
    </row>
    <row r="3511" spans="1:26">
      <c r="A3511">
        <v>3510</v>
      </c>
      <c r="B3511">
        <v>1154</v>
      </c>
      <c r="C3511" s="2">
        <v>46377</v>
      </c>
      <c r="D3511" t="s">
        <v>46</v>
      </c>
      <c r="E3511">
        <v>12</v>
      </c>
      <c r="F3511" s="3">
        <v>9.89</v>
      </c>
      <c r="G3511" t="s">
        <v>27</v>
      </c>
      <c r="H3511">
        <v>7</v>
      </c>
      <c r="I3511" t="s">
        <v>34</v>
      </c>
      <c r="J3511" s="4">
        <v>60.6</v>
      </c>
      <c r="K3511" s="4">
        <v>77.2</v>
      </c>
      <c r="L3511" s="4">
        <v>14.8</v>
      </c>
      <c r="M3511">
        <v>12</v>
      </c>
      <c r="N3511" t="s">
        <v>54</v>
      </c>
      <c r="O3511">
        <v>2</v>
      </c>
      <c r="P3511" s="4">
        <v>3004.2</v>
      </c>
      <c r="Q3511" t="s">
        <v>42</v>
      </c>
      <c r="R3511">
        <v>1</v>
      </c>
      <c r="S3511" t="s">
        <v>38</v>
      </c>
      <c r="T3511">
        <v>1</v>
      </c>
      <c r="U3511">
        <v>0</v>
      </c>
      <c r="V3511" t="s">
        <v>32</v>
      </c>
      <c r="W3511" t="s">
        <v>49</v>
      </c>
      <c r="X3511" s="4">
        <v>8</v>
      </c>
      <c r="Y3511">
        <v>7</v>
      </c>
      <c r="Z3511" s="5">
        <v>209.96</v>
      </c>
    </row>
    <row r="3512" spans="1:26">
      <c r="A3512">
        <v>3511</v>
      </c>
      <c r="B3512">
        <v>1154</v>
      </c>
      <c r="C3512" s="2">
        <v>46377</v>
      </c>
      <c r="D3512" t="s">
        <v>46</v>
      </c>
      <c r="E3512">
        <v>12</v>
      </c>
      <c r="F3512" s="3">
        <v>9.9600000000000009</v>
      </c>
      <c r="G3512" t="s">
        <v>27</v>
      </c>
      <c r="H3512">
        <v>33</v>
      </c>
      <c r="I3512" t="s">
        <v>28</v>
      </c>
      <c r="J3512" s="4">
        <v>71.5</v>
      </c>
      <c r="K3512" s="4">
        <v>208.1</v>
      </c>
      <c r="L3512" s="4">
        <v>28.8</v>
      </c>
      <c r="M3512">
        <v>13</v>
      </c>
      <c r="N3512" t="s">
        <v>54</v>
      </c>
      <c r="O3512">
        <v>2</v>
      </c>
      <c r="P3512" s="4">
        <v>3004.2</v>
      </c>
      <c r="Q3512" t="s">
        <v>42</v>
      </c>
      <c r="R3512">
        <v>1</v>
      </c>
      <c r="S3512" t="s">
        <v>38</v>
      </c>
      <c r="T3512">
        <v>1</v>
      </c>
      <c r="U3512">
        <v>0</v>
      </c>
      <c r="V3512" t="s">
        <v>32</v>
      </c>
      <c r="W3512" t="s">
        <v>49</v>
      </c>
      <c r="X3512" s="4">
        <v>6.4</v>
      </c>
      <c r="Y3512">
        <v>10</v>
      </c>
      <c r="Z3512" s="5">
        <v>162</v>
      </c>
    </row>
    <row r="3513" spans="1:26">
      <c r="A3513">
        <v>3512</v>
      </c>
      <c r="B3513">
        <v>1155</v>
      </c>
      <c r="C3513" s="2">
        <v>46239</v>
      </c>
      <c r="D3513" t="s">
        <v>52</v>
      </c>
      <c r="E3513">
        <v>8</v>
      </c>
      <c r="F3513" s="3">
        <v>9.33</v>
      </c>
      <c r="G3513" t="s">
        <v>27</v>
      </c>
      <c r="H3513">
        <v>41</v>
      </c>
      <c r="I3513" t="s">
        <v>34</v>
      </c>
      <c r="J3513" s="4">
        <v>66.099999999999994</v>
      </c>
      <c r="K3513" s="4">
        <v>184.7</v>
      </c>
      <c r="L3513" s="4">
        <v>30</v>
      </c>
      <c r="M3513">
        <v>15</v>
      </c>
      <c r="N3513" t="s">
        <v>47</v>
      </c>
      <c r="O3513">
        <v>6</v>
      </c>
      <c r="P3513" s="4">
        <v>24.4</v>
      </c>
      <c r="Q3513" t="s">
        <v>42</v>
      </c>
      <c r="R3513">
        <v>1</v>
      </c>
      <c r="S3513" t="s">
        <v>44</v>
      </c>
      <c r="T3513">
        <v>1</v>
      </c>
      <c r="U3513">
        <v>0</v>
      </c>
      <c r="V3513" t="s">
        <v>32</v>
      </c>
      <c r="W3513" t="s">
        <v>43</v>
      </c>
      <c r="X3513" s="4">
        <v>7.4</v>
      </c>
      <c r="Y3513">
        <v>14</v>
      </c>
      <c r="Z3513" s="5">
        <v>203.38</v>
      </c>
    </row>
    <row r="3514" spans="1:26">
      <c r="A3514">
        <v>3513</v>
      </c>
      <c r="B3514">
        <v>1155</v>
      </c>
      <c r="C3514" s="2">
        <v>46239</v>
      </c>
      <c r="D3514" t="s">
        <v>52</v>
      </c>
      <c r="E3514">
        <v>8</v>
      </c>
      <c r="F3514" s="3">
        <v>9.5</v>
      </c>
      <c r="G3514" t="s">
        <v>27</v>
      </c>
      <c r="H3514">
        <v>8</v>
      </c>
      <c r="I3514" t="s">
        <v>28</v>
      </c>
      <c r="J3514" s="4">
        <v>60.5</v>
      </c>
      <c r="K3514" s="4">
        <v>121.8</v>
      </c>
      <c r="L3514" s="4">
        <v>23.4</v>
      </c>
      <c r="M3514">
        <v>13</v>
      </c>
      <c r="N3514" t="s">
        <v>47</v>
      </c>
      <c r="O3514">
        <v>6</v>
      </c>
      <c r="P3514" s="4">
        <v>24.4</v>
      </c>
      <c r="Q3514" t="s">
        <v>42</v>
      </c>
      <c r="R3514">
        <v>1</v>
      </c>
      <c r="S3514" t="s">
        <v>44</v>
      </c>
      <c r="T3514">
        <v>1</v>
      </c>
      <c r="U3514">
        <v>0</v>
      </c>
      <c r="V3514" t="s">
        <v>32</v>
      </c>
      <c r="W3514" t="s">
        <v>43</v>
      </c>
      <c r="X3514" s="4">
        <v>6.5</v>
      </c>
      <c r="Y3514">
        <v>6</v>
      </c>
      <c r="Z3514" s="5">
        <v>152.83000000000001</v>
      </c>
    </row>
    <row r="3515" spans="1:26">
      <c r="A3515">
        <v>3514</v>
      </c>
      <c r="B3515">
        <v>1155</v>
      </c>
      <c r="C3515" s="2">
        <v>46239</v>
      </c>
      <c r="D3515" t="s">
        <v>52</v>
      </c>
      <c r="E3515">
        <v>8</v>
      </c>
      <c r="F3515" s="3">
        <v>9.2100000000000009</v>
      </c>
      <c r="G3515" t="s">
        <v>27</v>
      </c>
      <c r="H3515">
        <v>58</v>
      </c>
      <c r="I3515" t="s">
        <v>28</v>
      </c>
      <c r="J3515" s="4">
        <v>70.400000000000006</v>
      </c>
      <c r="K3515" s="4">
        <v>180.8</v>
      </c>
      <c r="L3515" s="4">
        <v>25.4</v>
      </c>
      <c r="M3515">
        <v>14</v>
      </c>
      <c r="N3515" t="s">
        <v>47</v>
      </c>
      <c r="O3515">
        <v>6</v>
      </c>
      <c r="P3515" s="4">
        <v>24.4</v>
      </c>
      <c r="Q3515" t="s">
        <v>42</v>
      </c>
      <c r="R3515">
        <v>1</v>
      </c>
      <c r="S3515" t="s">
        <v>44</v>
      </c>
      <c r="T3515">
        <v>1</v>
      </c>
      <c r="U3515">
        <v>0</v>
      </c>
      <c r="V3515" t="s">
        <v>32</v>
      </c>
      <c r="W3515" t="s">
        <v>43</v>
      </c>
      <c r="X3515" s="4">
        <v>6</v>
      </c>
      <c r="Y3515">
        <v>11</v>
      </c>
      <c r="Z3515" s="5">
        <v>176.87</v>
      </c>
    </row>
    <row r="3516" spans="1:26">
      <c r="A3516">
        <v>3515</v>
      </c>
      <c r="B3516">
        <v>1155</v>
      </c>
      <c r="C3516" s="2">
        <v>46239</v>
      </c>
      <c r="D3516" t="s">
        <v>52</v>
      </c>
      <c r="E3516">
        <v>8</v>
      </c>
      <c r="F3516" s="3">
        <v>9.1999999999999993</v>
      </c>
      <c r="G3516" t="s">
        <v>27</v>
      </c>
      <c r="H3516">
        <v>3</v>
      </c>
      <c r="I3516" t="s">
        <v>34</v>
      </c>
      <c r="J3516" s="4">
        <v>53.8</v>
      </c>
      <c r="K3516" s="4">
        <v>81.2</v>
      </c>
      <c r="L3516" s="4">
        <v>19.5</v>
      </c>
      <c r="M3516">
        <v>12</v>
      </c>
      <c r="N3516" t="s">
        <v>47</v>
      </c>
      <c r="O3516">
        <v>6</v>
      </c>
      <c r="P3516" s="4">
        <v>24.4</v>
      </c>
      <c r="Q3516" t="s">
        <v>42</v>
      </c>
      <c r="R3516">
        <v>1</v>
      </c>
      <c r="S3516" t="s">
        <v>44</v>
      </c>
      <c r="T3516">
        <v>1</v>
      </c>
      <c r="U3516">
        <v>0</v>
      </c>
      <c r="V3516" t="s">
        <v>32</v>
      </c>
      <c r="W3516" t="s">
        <v>43</v>
      </c>
      <c r="X3516" s="4">
        <v>8.1</v>
      </c>
      <c r="Y3516">
        <v>7</v>
      </c>
      <c r="Z3516" s="5">
        <v>222.73</v>
      </c>
    </row>
    <row r="3517" spans="1:26">
      <c r="A3517">
        <v>3516</v>
      </c>
      <c r="B3517">
        <v>1155</v>
      </c>
      <c r="C3517" s="2">
        <v>46239</v>
      </c>
      <c r="D3517" t="s">
        <v>52</v>
      </c>
      <c r="E3517">
        <v>8</v>
      </c>
      <c r="F3517" s="3">
        <v>9.43</v>
      </c>
      <c r="G3517" t="s">
        <v>27</v>
      </c>
      <c r="H3517">
        <v>51</v>
      </c>
      <c r="I3517" t="s">
        <v>34</v>
      </c>
      <c r="J3517" s="4">
        <v>64.5</v>
      </c>
      <c r="K3517" s="4">
        <v>157.6</v>
      </c>
      <c r="L3517" s="4">
        <v>26.6</v>
      </c>
      <c r="M3517">
        <v>14</v>
      </c>
      <c r="N3517" t="s">
        <v>47</v>
      </c>
      <c r="O3517">
        <v>6</v>
      </c>
      <c r="P3517" s="4">
        <v>24.4</v>
      </c>
      <c r="Q3517" t="s">
        <v>42</v>
      </c>
      <c r="R3517">
        <v>1</v>
      </c>
      <c r="S3517" t="s">
        <v>44</v>
      </c>
      <c r="T3517">
        <v>1</v>
      </c>
      <c r="U3517">
        <v>0</v>
      </c>
      <c r="V3517" t="s">
        <v>32</v>
      </c>
      <c r="W3517" t="s">
        <v>43</v>
      </c>
      <c r="X3517" s="4">
        <v>8.6999999999999993</v>
      </c>
      <c r="Y3517">
        <v>12</v>
      </c>
      <c r="Z3517" s="5">
        <v>334.59</v>
      </c>
    </row>
    <row r="3518" spans="1:26">
      <c r="A3518">
        <v>3517</v>
      </c>
      <c r="B3518">
        <v>1155</v>
      </c>
      <c r="C3518" s="2">
        <v>46239</v>
      </c>
      <c r="D3518" t="s">
        <v>52</v>
      </c>
      <c r="E3518">
        <v>8</v>
      </c>
      <c r="F3518" s="3">
        <v>9.4600000000000009</v>
      </c>
      <c r="G3518" t="s">
        <v>27</v>
      </c>
      <c r="H3518">
        <v>9</v>
      </c>
      <c r="I3518" t="s">
        <v>28</v>
      </c>
      <c r="J3518" s="4">
        <v>63</v>
      </c>
      <c r="K3518" s="4">
        <v>108.8</v>
      </c>
      <c r="L3518" s="4">
        <v>19.100000000000001</v>
      </c>
      <c r="M3518">
        <v>14</v>
      </c>
      <c r="N3518" t="s">
        <v>47</v>
      </c>
      <c r="O3518">
        <v>6</v>
      </c>
      <c r="P3518" s="4">
        <v>24.4</v>
      </c>
      <c r="Q3518" t="s">
        <v>42</v>
      </c>
      <c r="R3518">
        <v>1</v>
      </c>
      <c r="S3518" t="s">
        <v>44</v>
      </c>
      <c r="T3518">
        <v>1</v>
      </c>
      <c r="U3518">
        <v>0</v>
      </c>
      <c r="V3518" t="s">
        <v>32</v>
      </c>
      <c r="W3518" t="s">
        <v>43</v>
      </c>
      <c r="X3518" s="4">
        <v>9.5</v>
      </c>
      <c r="Y3518">
        <v>7</v>
      </c>
      <c r="Z3518" s="5">
        <v>278.24</v>
      </c>
    </row>
    <row r="3519" spans="1:26">
      <c r="A3519">
        <v>3518</v>
      </c>
      <c r="B3519">
        <v>1156</v>
      </c>
      <c r="C3519" s="2">
        <v>46229</v>
      </c>
      <c r="D3519" t="s">
        <v>58</v>
      </c>
      <c r="E3519">
        <v>7</v>
      </c>
      <c r="F3519" s="3">
        <v>11.02</v>
      </c>
      <c r="G3519" t="s">
        <v>36</v>
      </c>
      <c r="H3519">
        <v>49</v>
      </c>
      <c r="I3519" t="s">
        <v>28</v>
      </c>
      <c r="J3519" s="4">
        <v>75.7</v>
      </c>
      <c r="K3519" s="4">
        <v>195.1</v>
      </c>
      <c r="L3519" s="4">
        <v>24</v>
      </c>
      <c r="M3519">
        <v>13</v>
      </c>
      <c r="N3519" t="s">
        <v>61</v>
      </c>
      <c r="O3519">
        <v>4</v>
      </c>
      <c r="P3519" s="4">
        <v>1659.2</v>
      </c>
      <c r="Q3519" t="s">
        <v>42</v>
      </c>
      <c r="R3519">
        <v>1</v>
      </c>
      <c r="S3519" t="s">
        <v>44</v>
      </c>
      <c r="T3519">
        <v>0</v>
      </c>
      <c r="U3519">
        <v>0</v>
      </c>
      <c r="V3519" t="s">
        <v>32</v>
      </c>
      <c r="W3519" t="s">
        <v>49</v>
      </c>
      <c r="X3519" s="4">
        <v>5.0999999999999996</v>
      </c>
      <c r="Y3519">
        <v>2</v>
      </c>
      <c r="Z3519" s="5">
        <v>201.81</v>
      </c>
    </row>
    <row r="3520" spans="1:26">
      <c r="A3520">
        <v>3519</v>
      </c>
      <c r="B3520">
        <v>1156</v>
      </c>
      <c r="C3520" s="2">
        <v>46229</v>
      </c>
      <c r="D3520" t="s">
        <v>58</v>
      </c>
      <c r="E3520">
        <v>7</v>
      </c>
      <c r="F3520" s="3">
        <v>11.01</v>
      </c>
      <c r="G3520" t="s">
        <v>36</v>
      </c>
      <c r="H3520">
        <v>4</v>
      </c>
      <c r="I3520" t="s">
        <v>28</v>
      </c>
      <c r="J3520" s="4">
        <v>55</v>
      </c>
      <c r="K3520" s="4">
        <v>84.3</v>
      </c>
      <c r="L3520" s="4">
        <v>19.8</v>
      </c>
      <c r="M3520">
        <v>13</v>
      </c>
      <c r="N3520" t="s">
        <v>61</v>
      </c>
      <c r="O3520">
        <v>4</v>
      </c>
      <c r="P3520" s="4">
        <v>1659.2</v>
      </c>
      <c r="Q3520" t="s">
        <v>42</v>
      </c>
      <c r="R3520">
        <v>1</v>
      </c>
      <c r="S3520" t="s">
        <v>44</v>
      </c>
      <c r="T3520">
        <v>0</v>
      </c>
      <c r="U3520">
        <v>0</v>
      </c>
      <c r="V3520" t="s">
        <v>32</v>
      </c>
      <c r="W3520" t="s">
        <v>49</v>
      </c>
      <c r="X3520" s="4">
        <v>8.8000000000000007</v>
      </c>
      <c r="Y3520">
        <v>6</v>
      </c>
      <c r="Z3520" s="5">
        <v>202.37</v>
      </c>
    </row>
    <row r="3521" spans="1:26">
      <c r="A3521">
        <v>3520</v>
      </c>
      <c r="B3521">
        <v>1156</v>
      </c>
      <c r="C3521" s="2">
        <v>46229</v>
      </c>
      <c r="D3521" t="s">
        <v>58</v>
      </c>
      <c r="E3521">
        <v>7</v>
      </c>
      <c r="F3521" s="3">
        <v>11.26</v>
      </c>
      <c r="G3521" t="s">
        <v>36</v>
      </c>
      <c r="H3521">
        <v>13</v>
      </c>
      <c r="I3521" t="s">
        <v>34</v>
      </c>
      <c r="J3521" s="4">
        <v>70</v>
      </c>
      <c r="K3521" s="4">
        <v>156.30000000000001</v>
      </c>
      <c r="L3521" s="4">
        <v>22.3</v>
      </c>
      <c r="M3521">
        <v>13</v>
      </c>
      <c r="N3521" t="s">
        <v>61</v>
      </c>
      <c r="O3521">
        <v>4</v>
      </c>
      <c r="P3521" s="4">
        <v>1659.2</v>
      </c>
      <c r="Q3521" t="s">
        <v>42</v>
      </c>
      <c r="R3521">
        <v>1</v>
      </c>
      <c r="S3521" t="s">
        <v>44</v>
      </c>
      <c r="T3521">
        <v>0</v>
      </c>
      <c r="U3521">
        <v>0</v>
      </c>
      <c r="V3521" t="s">
        <v>32</v>
      </c>
      <c r="W3521" t="s">
        <v>49</v>
      </c>
      <c r="X3521" s="4">
        <v>10.5</v>
      </c>
      <c r="Y3521">
        <v>5</v>
      </c>
      <c r="Z3521" s="5">
        <v>203.94</v>
      </c>
    </row>
    <row r="3522" spans="1:26">
      <c r="A3522">
        <v>3521</v>
      </c>
      <c r="B3522">
        <v>1156</v>
      </c>
      <c r="C3522" s="2">
        <v>46229</v>
      </c>
      <c r="D3522" t="s">
        <v>58</v>
      </c>
      <c r="E3522">
        <v>7</v>
      </c>
      <c r="F3522" s="3">
        <v>11.32</v>
      </c>
      <c r="G3522" t="s">
        <v>36</v>
      </c>
      <c r="H3522">
        <v>23</v>
      </c>
      <c r="I3522" t="s">
        <v>28</v>
      </c>
      <c r="J3522" s="4">
        <v>67.099999999999994</v>
      </c>
      <c r="K3522" s="4">
        <v>169.7</v>
      </c>
      <c r="L3522" s="4">
        <v>26.5</v>
      </c>
      <c r="M3522">
        <v>15</v>
      </c>
      <c r="N3522" t="s">
        <v>61</v>
      </c>
      <c r="O3522">
        <v>4</v>
      </c>
      <c r="P3522" s="4">
        <v>1659.2</v>
      </c>
      <c r="Q3522" t="s">
        <v>42</v>
      </c>
      <c r="R3522">
        <v>1</v>
      </c>
      <c r="S3522" t="s">
        <v>44</v>
      </c>
      <c r="T3522">
        <v>0</v>
      </c>
      <c r="U3522">
        <v>0</v>
      </c>
      <c r="V3522" t="s">
        <v>32</v>
      </c>
      <c r="W3522" t="s">
        <v>49</v>
      </c>
      <c r="X3522" s="4">
        <v>9</v>
      </c>
      <c r="Y3522">
        <v>9</v>
      </c>
      <c r="Z3522" s="5">
        <v>208.33</v>
      </c>
    </row>
    <row r="3523" spans="1:26">
      <c r="A3523">
        <v>3522</v>
      </c>
      <c r="B3523">
        <v>1157</v>
      </c>
      <c r="C3523" s="2">
        <v>46275</v>
      </c>
      <c r="D3523" t="s">
        <v>55</v>
      </c>
      <c r="E3523">
        <v>9</v>
      </c>
      <c r="F3523" s="3">
        <v>8.66</v>
      </c>
      <c r="G3523" t="s">
        <v>27</v>
      </c>
      <c r="H3523">
        <v>58</v>
      </c>
      <c r="I3523" t="s">
        <v>34</v>
      </c>
      <c r="J3523" s="4">
        <v>66.400000000000006</v>
      </c>
      <c r="K3523" s="4">
        <v>154.5</v>
      </c>
      <c r="L3523" s="4">
        <v>24.7</v>
      </c>
      <c r="M3523">
        <v>15</v>
      </c>
      <c r="N3523" t="s">
        <v>66</v>
      </c>
      <c r="O3523">
        <v>3</v>
      </c>
      <c r="P3523" s="4">
        <v>1178.9000000000001</v>
      </c>
      <c r="Q3523" t="s">
        <v>42</v>
      </c>
      <c r="R3523">
        <v>1</v>
      </c>
      <c r="S3523" t="s">
        <v>31</v>
      </c>
      <c r="T3523">
        <v>0</v>
      </c>
      <c r="U3523">
        <v>1</v>
      </c>
      <c r="V3523" t="s">
        <v>32</v>
      </c>
      <c r="W3523" t="s">
        <v>43</v>
      </c>
      <c r="X3523" s="4">
        <v>9.9</v>
      </c>
      <c r="Y3523">
        <v>16</v>
      </c>
      <c r="Z3523" s="5">
        <v>215.1</v>
      </c>
    </row>
    <row r="3524" spans="1:26">
      <c r="A3524">
        <v>3523</v>
      </c>
      <c r="B3524">
        <v>1157</v>
      </c>
      <c r="C3524" s="2">
        <v>46275</v>
      </c>
      <c r="D3524" t="s">
        <v>55</v>
      </c>
      <c r="E3524">
        <v>9</v>
      </c>
      <c r="F3524" s="3">
        <v>8.4499999999999993</v>
      </c>
      <c r="G3524" t="s">
        <v>27</v>
      </c>
      <c r="H3524">
        <v>77</v>
      </c>
      <c r="I3524" t="s">
        <v>34</v>
      </c>
      <c r="J3524" s="4">
        <v>63.7</v>
      </c>
      <c r="K3524" s="4">
        <v>159.6</v>
      </c>
      <c r="L3524" s="4">
        <v>27.7</v>
      </c>
      <c r="M3524">
        <v>15</v>
      </c>
      <c r="N3524" t="s">
        <v>66</v>
      </c>
      <c r="O3524">
        <v>3</v>
      </c>
      <c r="P3524" s="4">
        <v>1178.9000000000001</v>
      </c>
      <c r="Q3524" t="s">
        <v>42</v>
      </c>
      <c r="R3524">
        <v>1</v>
      </c>
      <c r="S3524" t="s">
        <v>31</v>
      </c>
      <c r="T3524">
        <v>0</v>
      </c>
      <c r="U3524">
        <v>1</v>
      </c>
      <c r="V3524" t="s">
        <v>32</v>
      </c>
      <c r="W3524" t="s">
        <v>43</v>
      </c>
      <c r="X3524" s="4">
        <v>8.4</v>
      </c>
      <c r="Y3524">
        <v>9</v>
      </c>
      <c r="Z3524" s="5">
        <v>297.36</v>
      </c>
    </row>
    <row r="3525" spans="1:26">
      <c r="A3525">
        <v>3524</v>
      </c>
      <c r="B3525">
        <v>1157</v>
      </c>
      <c r="C3525" s="2">
        <v>46275</v>
      </c>
      <c r="D3525" t="s">
        <v>55</v>
      </c>
      <c r="E3525">
        <v>9</v>
      </c>
      <c r="F3525" s="3">
        <v>8.2799999999999994</v>
      </c>
      <c r="G3525" t="s">
        <v>27</v>
      </c>
      <c r="H3525">
        <v>30</v>
      </c>
      <c r="I3525" t="s">
        <v>34</v>
      </c>
      <c r="J3525" s="4">
        <v>65.900000000000006</v>
      </c>
      <c r="K3525" s="4">
        <v>107.9</v>
      </c>
      <c r="L3525" s="4">
        <v>17.399999999999999</v>
      </c>
      <c r="M3525">
        <v>15</v>
      </c>
      <c r="N3525" t="s">
        <v>66</v>
      </c>
      <c r="O3525">
        <v>3</v>
      </c>
      <c r="P3525" s="4">
        <v>1178.9000000000001</v>
      </c>
      <c r="Q3525" t="s">
        <v>42</v>
      </c>
      <c r="R3525">
        <v>1</v>
      </c>
      <c r="S3525" t="s">
        <v>31</v>
      </c>
      <c r="T3525">
        <v>0</v>
      </c>
      <c r="U3525">
        <v>1</v>
      </c>
      <c r="V3525" t="s">
        <v>32</v>
      </c>
      <c r="W3525" t="s">
        <v>43</v>
      </c>
      <c r="X3525" s="4">
        <v>11.5</v>
      </c>
      <c r="Y3525">
        <v>12</v>
      </c>
      <c r="Z3525" s="5">
        <v>340.91</v>
      </c>
    </row>
    <row r="3526" spans="1:26">
      <c r="A3526">
        <v>3525</v>
      </c>
      <c r="B3526">
        <v>1158</v>
      </c>
      <c r="C3526" s="2">
        <v>46100</v>
      </c>
      <c r="D3526" t="s">
        <v>55</v>
      </c>
      <c r="E3526">
        <v>3</v>
      </c>
      <c r="F3526" s="3">
        <v>12.05</v>
      </c>
      <c r="G3526" t="s">
        <v>36</v>
      </c>
      <c r="H3526">
        <v>42</v>
      </c>
      <c r="I3526" t="s">
        <v>28</v>
      </c>
      <c r="J3526" s="4">
        <v>70.7</v>
      </c>
      <c r="K3526" s="4">
        <v>160.80000000000001</v>
      </c>
      <c r="L3526" s="4">
        <v>22.5</v>
      </c>
      <c r="M3526">
        <v>14</v>
      </c>
      <c r="N3526" t="s">
        <v>61</v>
      </c>
      <c r="O3526">
        <v>5</v>
      </c>
      <c r="P3526" s="4">
        <v>1304</v>
      </c>
      <c r="Q3526" t="s">
        <v>30</v>
      </c>
      <c r="R3526">
        <v>1</v>
      </c>
      <c r="S3526" t="s">
        <v>44</v>
      </c>
      <c r="T3526">
        <v>0</v>
      </c>
      <c r="U3526">
        <v>0</v>
      </c>
      <c r="V3526" t="s">
        <v>32</v>
      </c>
      <c r="W3526" t="s">
        <v>49</v>
      </c>
      <c r="X3526" s="4">
        <v>8.6</v>
      </c>
      <c r="Y3526">
        <v>7</v>
      </c>
      <c r="Z3526" s="5">
        <v>203.83</v>
      </c>
    </row>
    <row r="3527" spans="1:26">
      <c r="A3527">
        <v>3526</v>
      </c>
      <c r="B3527">
        <v>1158</v>
      </c>
      <c r="C3527" s="2">
        <v>46100</v>
      </c>
      <c r="D3527" t="s">
        <v>55</v>
      </c>
      <c r="E3527">
        <v>3</v>
      </c>
      <c r="F3527" s="3">
        <v>12.23</v>
      </c>
      <c r="G3527" t="s">
        <v>36</v>
      </c>
      <c r="H3527">
        <v>50</v>
      </c>
      <c r="I3527" t="s">
        <v>28</v>
      </c>
      <c r="J3527" s="4">
        <v>73.3</v>
      </c>
      <c r="K3527" s="4">
        <v>193.1</v>
      </c>
      <c r="L3527" s="4">
        <v>25.2</v>
      </c>
      <c r="M3527">
        <v>15</v>
      </c>
      <c r="N3527" t="s">
        <v>61</v>
      </c>
      <c r="O3527">
        <v>5</v>
      </c>
      <c r="P3527" s="4">
        <v>1304</v>
      </c>
      <c r="Q3527" t="s">
        <v>30</v>
      </c>
      <c r="R3527">
        <v>1</v>
      </c>
      <c r="S3527" t="s">
        <v>44</v>
      </c>
      <c r="T3527">
        <v>0</v>
      </c>
      <c r="U3527">
        <v>0</v>
      </c>
      <c r="V3527" t="s">
        <v>32</v>
      </c>
      <c r="W3527" t="s">
        <v>49</v>
      </c>
      <c r="X3527" s="4">
        <v>5.9</v>
      </c>
      <c r="Y3527">
        <v>5</v>
      </c>
      <c r="Z3527" s="5">
        <v>182.29</v>
      </c>
    </row>
    <row r="3528" spans="1:26">
      <c r="A3528">
        <v>3527</v>
      </c>
      <c r="B3528">
        <v>1158</v>
      </c>
      <c r="C3528" s="2">
        <v>46100</v>
      </c>
      <c r="D3528" t="s">
        <v>55</v>
      </c>
      <c r="E3528">
        <v>3</v>
      </c>
      <c r="F3528" s="3">
        <v>12.22</v>
      </c>
      <c r="G3528" t="s">
        <v>36</v>
      </c>
      <c r="H3528">
        <v>47</v>
      </c>
      <c r="I3528" t="s">
        <v>34</v>
      </c>
      <c r="J3528" s="4">
        <v>62</v>
      </c>
      <c r="K3528" s="4">
        <v>174.6</v>
      </c>
      <c r="L3528" s="4">
        <v>31.7</v>
      </c>
      <c r="M3528">
        <v>13</v>
      </c>
      <c r="N3528" t="s">
        <v>61</v>
      </c>
      <c r="O3528">
        <v>5</v>
      </c>
      <c r="P3528" s="4">
        <v>1304</v>
      </c>
      <c r="Q3528" t="s">
        <v>30</v>
      </c>
      <c r="R3528">
        <v>1</v>
      </c>
      <c r="S3528" t="s">
        <v>44</v>
      </c>
      <c r="T3528">
        <v>0</v>
      </c>
      <c r="U3528">
        <v>0</v>
      </c>
      <c r="V3528" t="s">
        <v>32</v>
      </c>
      <c r="W3528" t="s">
        <v>49</v>
      </c>
      <c r="X3528" s="4">
        <v>10.8</v>
      </c>
      <c r="Y3528">
        <v>12</v>
      </c>
      <c r="Z3528" s="5">
        <v>245.96</v>
      </c>
    </row>
    <row r="3529" spans="1:26">
      <c r="A3529">
        <v>3528</v>
      </c>
      <c r="B3529">
        <v>1158</v>
      </c>
      <c r="C3529" s="2">
        <v>46100</v>
      </c>
      <c r="D3529" t="s">
        <v>55</v>
      </c>
      <c r="E3529">
        <v>3</v>
      </c>
      <c r="F3529" s="3">
        <v>12.17</v>
      </c>
      <c r="G3529" t="s">
        <v>36</v>
      </c>
      <c r="H3529">
        <v>18</v>
      </c>
      <c r="I3529" t="s">
        <v>51</v>
      </c>
      <c r="J3529" s="4">
        <v>67.400000000000006</v>
      </c>
      <c r="K3529" s="4">
        <v>167.4</v>
      </c>
      <c r="L3529" s="4">
        <v>25.7</v>
      </c>
      <c r="M3529">
        <v>10</v>
      </c>
      <c r="N3529" t="s">
        <v>61</v>
      </c>
      <c r="O3529">
        <v>5</v>
      </c>
      <c r="P3529" s="4">
        <v>1304</v>
      </c>
      <c r="Q3529" t="s">
        <v>30</v>
      </c>
      <c r="R3529">
        <v>1</v>
      </c>
      <c r="S3529" t="s">
        <v>44</v>
      </c>
      <c r="T3529">
        <v>0</v>
      </c>
      <c r="U3529">
        <v>0</v>
      </c>
      <c r="V3529" t="s">
        <v>32</v>
      </c>
      <c r="W3529" t="s">
        <v>49</v>
      </c>
      <c r="X3529" s="4">
        <v>8.6</v>
      </c>
      <c r="Y3529">
        <v>10</v>
      </c>
      <c r="Z3529" s="5">
        <v>190.05</v>
      </c>
    </row>
    <row r="3530" spans="1:26">
      <c r="A3530">
        <v>3529</v>
      </c>
      <c r="B3530">
        <v>1158</v>
      </c>
      <c r="C3530" s="2">
        <v>46100</v>
      </c>
      <c r="D3530" t="s">
        <v>55</v>
      </c>
      <c r="E3530">
        <v>3</v>
      </c>
      <c r="F3530" s="3">
        <v>11.99</v>
      </c>
      <c r="G3530" t="s">
        <v>36</v>
      </c>
      <c r="H3530">
        <v>60</v>
      </c>
      <c r="I3530" t="s">
        <v>34</v>
      </c>
      <c r="J3530" s="4">
        <v>65.3</v>
      </c>
      <c r="K3530" s="4">
        <v>161.6</v>
      </c>
      <c r="L3530" s="4">
        <v>26.6</v>
      </c>
      <c r="M3530">
        <v>13</v>
      </c>
      <c r="N3530" t="s">
        <v>61</v>
      </c>
      <c r="O3530">
        <v>5</v>
      </c>
      <c r="P3530" s="4">
        <v>1304</v>
      </c>
      <c r="Q3530" t="s">
        <v>30</v>
      </c>
      <c r="R3530">
        <v>1</v>
      </c>
      <c r="S3530" t="s">
        <v>44</v>
      </c>
      <c r="T3530">
        <v>0</v>
      </c>
      <c r="U3530">
        <v>0</v>
      </c>
      <c r="V3530" t="s">
        <v>32</v>
      </c>
      <c r="W3530" t="s">
        <v>49</v>
      </c>
      <c r="X3530" s="4">
        <v>6.6</v>
      </c>
      <c r="Y3530">
        <v>7</v>
      </c>
      <c r="Z3530" s="5">
        <v>154.46</v>
      </c>
    </row>
    <row r="3531" spans="1:26">
      <c r="A3531">
        <v>3530</v>
      </c>
      <c r="B3531">
        <v>1159</v>
      </c>
      <c r="C3531" s="2">
        <v>46032</v>
      </c>
      <c r="D3531" t="s">
        <v>40</v>
      </c>
      <c r="E3531">
        <v>1</v>
      </c>
      <c r="F3531" s="3">
        <v>13.09</v>
      </c>
      <c r="G3531" t="s">
        <v>36</v>
      </c>
      <c r="H3531">
        <v>58</v>
      </c>
      <c r="I3531" t="s">
        <v>28</v>
      </c>
      <c r="J3531" s="4">
        <v>74.3</v>
      </c>
      <c r="K3531" s="4">
        <v>232.7</v>
      </c>
      <c r="L3531" s="4">
        <v>29.6</v>
      </c>
      <c r="M3531">
        <v>16</v>
      </c>
      <c r="N3531" t="s">
        <v>47</v>
      </c>
      <c r="O3531">
        <v>1</v>
      </c>
      <c r="P3531" s="4">
        <v>181.5</v>
      </c>
      <c r="Q3531" t="s">
        <v>48</v>
      </c>
      <c r="R3531">
        <v>1</v>
      </c>
      <c r="S3531" t="s">
        <v>44</v>
      </c>
      <c r="T3531">
        <v>0</v>
      </c>
      <c r="U3531">
        <v>1</v>
      </c>
      <c r="V3531" t="s">
        <v>32</v>
      </c>
      <c r="W3531" t="s">
        <v>33</v>
      </c>
      <c r="X3531" s="4">
        <v>10.3</v>
      </c>
      <c r="Y3531">
        <v>16</v>
      </c>
      <c r="Z3531" s="5">
        <v>246.71</v>
      </c>
    </row>
    <row r="3532" spans="1:26">
      <c r="A3532">
        <v>3531</v>
      </c>
      <c r="B3532">
        <v>1160</v>
      </c>
      <c r="C3532" s="2">
        <v>46114</v>
      </c>
      <c r="D3532" t="s">
        <v>55</v>
      </c>
      <c r="E3532">
        <v>4</v>
      </c>
      <c r="F3532" s="3">
        <v>8.32</v>
      </c>
      <c r="G3532" t="s">
        <v>27</v>
      </c>
      <c r="H3532">
        <v>35</v>
      </c>
      <c r="I3532" t="s">
        <v>34</v>
      </c>
      <c r="J3532" s="4">
        <v>65.099999999999994</v>
      </c>
      <c r="K3532" s="4">
        <v>180.7</v>
      </c>
      <c r="L3532" s="4">
        <v>29.9</v>
      </c>
      <c r="M3532">
        <v>17</v>
      </c>
      <c r="N3532" t="s">
        <v>47</v>
      </c>
      <c r="O3532">
        <v>6</v>
      </c>
      <c r="P3532" s="4">
        <v>96</v>
      </c>
      <c r="Q3532" t="s">
        <v>48</v>
      </c>
      <c r="R3532">
        <v>0</v>
      </c>
      <c r="S3532" t="s">
        <v>44</v>
      </c>
      <c r="T3532">
        <v>1</v>
      </c>
      <c r="U3532">
        <v>0</v>
      </c>
      <c r="V3532" t="s">
        <v>32</v>
      </c>
      <c r="W3532" t="s">
        <v>49</v>
      </c>
      <c r="X3532" s="4">
        <v>9.6999999999999993</v>
      </c>
      <c r="Y3532">
        <v>5</v>
      </c>
      <c r="Z3532" s="5">
        <v>188.69</v>
      </c>
    </row>
    <row r="3533" spans="1:26">
      <c r="A3533">
        <v>3532</v>
      </c>
      <c r="B3533">
        <v>1160</v>
      </c>
      <c r="C3533" s="2">
        <v>46114</v>
      </c>
      <c r="D3533" t="s">
        <v>55</v>
      </c>
      <c r="E3533">
        <v>4</v>
      </c>
      <c r="F3533" s="3">
        <v>8.51</v>
      </c>
      <c r="G3533" t="s">
        <v>27</v>
      </c>
      <c r="H3533">
        <v>69</v>
      </c>
      <c r="I3533" t="s">
        <v>34</v>
      </c>
      <c r="J3533" s="4">
        <v>64.400000000000006</v>
      </c>
      <c r="K3533" s="4">
        <v>158.69999999999999</v>
      </c>
      <c r="L3533" s="4">
        <v>26.9</v>
      </c>
      <c r="M3533">
        <v>18</v>
      </c>
      <c r="N3533" t="s">
        <v>47</v>
      </c>
      <c r="O3533">
        <v>6</v>
      </c>
      <c r="P3533" s="4">
        <v>96</v>
      </c>
      <c r="Q3533" t="s">
        <v>48</v>
      </c>
      <c r="R3533">
        <v>0</v>
      </c>
      <c r="S3533" t="s">
        <v>44</v>
      </c>
      <c r="T3533">
        <v>1</v>
      </c>
      <c r="U3533">
        <v>0</v>
      </c>
      <c r="V3533" t="s">
        <v>32</v>
      </c>
      <c r="W3533" t="s">
        <v>49</v>
      </c>
      <c r="X3533" s="4">
        <v>11.2</v>
      </c>
      <c r="Y3533">
        <v>16</v>
      </c>
      <c r="Z3533" s="5">
        <v>389.25</v>
      </c>
    </row>
    <row r="3534" spans="1:26">
      <c r="A3534">
        <v>3533</v>
      </c>
      <c r="B3534">
        <v>1160</v>
      </c>
      <c r="C3534" s="2">
        <v>46114</v>
      </c>
      <c r="D3534" t="s">
        <v>55</v>
      </c>
      <c r="E3534">
        <v>4</v>
      </c>
      <c r="F3534" s="3">
        <v>8.43</v>
      </c>
      <c r="G3534" t="s">
        <v>27</v>
      </c>
      <c r="H3534">
        <v>12</v>
      </c>
      <c r="I3534" t="s">
        <v>34</v>
      </c>
      <c r="J3534" s="4">
        <v>63.7</v>
      </c>
      <c r="K3534" s="4">
        <v>137.19999999999999</v>
      </c>
      <c r="L3534" s="4">
        <v>23.6</v>
      </c>
      <c r="M3534">
        <v>17</v>
      </c>
      <c r="N3534" t="s">
        <v>47</v>
      </c>
      <c r="O3534">
        <v>6</v>
      </c>
      <c r="P3534" s="4">
        <v>96</v>
      </c>
      <c r="Q3534" t="s">
        <v>48</v>
      </c>
      <c r="R3534">
        <v>0</v>
      </c>
      <c r="S3534" t="s">
        <v>44</v>
      </c>
      <c r="T3534">
        <v>1</v>
      </c>
      <c r="U3534">
        <v>0</v>
      </c>
      <c r="V3534" t="s">
        <v>32</v>
      </c>
      <c r="W3534" t="s">
        <v>49</v>
      </c>
      <c r="X3534" s="4">
        <v>9.9</v>
      </c>
      <c r="Y3534">
        <v>16</v>
      </c>
      <c r="Z3534" s="5">
        <v>262.17</v>
      </c>
    </row>
    <row r="3535" spans="1:26">
      <c r="A3535">
        <v>3534</v>
      </c>
      <c r="B3535">
        <v>1160</v>
      </c>
      <c r="C3535" s="2">
        <v>46114</v>
      </c>
      <c r="D3535" t="s">
        <v>55</v>
      </c>
      <c r="E3535">
        <v>4</v>
      </c>
      <c r="F3535" s="3">
        <v>8.1999999999999993</v>
      </c>
      <c r="G3535" t="s">
        <v>27</v>
      </c>
      <c r="H3535">
        <v>18</v>
      </c>
      <c r="I3535" t="s">
        <v>34</v>
      </c>
      <c r="J3535" s="4">
        <v>60.7</v>
      </c>
      <c r="K3535" s="4">
        <v>140.4</v>
      </c>
      <c r="L3535" s="4">
        <v>27.1</v>
      </c>
      <c r="M3535">
        <v>15</v>
      </c>
      <c r="N3535" t="s">
        <v>47</v>
      </c>
      <c r="O3535">
        <v>6</v>
      </c>
      <c r="P3535" s="4">
        <v>96</v>
      </c>
      <c r="Q3535" t="s">
        <v>48</v>
      </c>
      <c r="R3535">
        <v>0</v>
      </c>
      <c r="S3535" t="s">
        <v>44</v>
      </c>
      <c r="T3535">
        <v>1</v>
      </c>
      <c r="U3535">
        <v>0</v>
      </c>
      <c r="V3535" t="s">
        <v>32</v>
      </c>
      <c r="W3535" t="s">
        <v>49</v>
      </c>
      <c r="X3535" s="4">
        <v>5.7</v>
      </c>
      <c r="Y3535">
        <v>6</v>
      </c>
      <c r="Z3535" s="5">
        <v>369.55</v>
      </c>
    </row>
    <row r="3536" spans="1:26">
      <c r="A3536">
        <v>3535</v>
      </c>
      <c r="B3536">
        <v>1160</v>
      </c>
      <c r="C3536" s="2">
        <v>46114</v>
      </c>
      <c r="D3536" t="s">
        <v>55</v>
      </c>
      <c r="E3536">
        <v>4</v>
      </c>
      <c r="F3536" s="3">
        <v>8.4600000000000009</v>
      </c>
      <c r="G3536" t="s">
        <v>27</v>
      </c>
      <c r="H3536">
        <v>44</v>
      </c>
      <c r="I3536" t="s">
        <v>28</v>
      </c>
      <c r="J3536" s="4">
        <v>64.900000000000006</v>
      </c>
      <c r="K3536" s="4">
        <v>134.9</v>
      </c>
      <c r="L3536" s="4">
        <v>22.5</v>
      </c>
      <c r="M3536">
        <v>17</v>
      </c>
      <c r="N3536" t="s">
        <v>47</v>
      </c>
      <c r="O3536">
        <v>6</v>
      </c>
      <c r="P3536" s="4">
        <v>96</v>
      </c>
      <c r="Q3536" t="s">
        <v>48</v>
      </c>
      <c r="R3536">
        <v>0</v>
      </c>
      <c r="S3536" t="s">
        <v>44</v>
      </c>
      <c r="T3536">
        <v>1</v>
      </c>
      <c r="U3536">
        <v>0</v>
      </c>
      <c r="V3536" t="s">
        <v>32</v>
      </c>
      <c r="W3536" t="s">
        <v>49</v>
      </c>
      <c r="X3536" s="4">
        <v>10.4</v>
      </c>
      <c r="Y3536">
        <v>11</v>
      </c>
      <c r="Z3536" s="5">
        <v>233.52</v>
      </c>
    </row>
    <row r="3537" spans="1:26">
      <c r="A3537">
        <v>3536</v>
      </c>
      <c r="B3537">
        <v>1160</v>
      </c>
      <c r="C3537" s="2">
        <v>46114</v>
      </c>
      <c r="D3537" t="s">
        <v>55</v>
      </c>
      <c r="E3537">
        <v>4</v>
      </c>
      <c r="F3537" s="3">
        <v>8.5</v>
      </c>
      <c r="G3537" t="s">
        <v>27</v>
      </c>
      <c r="H3537">
        <v>28</v>
      </c>
      <c r="I3537" t="s">
        <v>34</v>
      </c>
      <c r="J3537" s="4">
        <v>65.099999999999994</v>
      </c>
      <c r="K3537" s="4">
        <v>120</v>
      </c>
      <c r="L3537" s="4">
        <v>19.7</v>
      </c>
      <c r="M3537">
        <v>19</v>
      </c>
      <c r="N3537" t="s">
        <v>47</v>
      </c>
      <c r="O3537">
        <v>6</v>
      </c>
      <c r="P3537" s="4">
        <v>96</v>
      </c>
      <c r="Q3537" t="s">
        <v>48</v>
      </c>
      <c r="R3537">
        <v>0</v>
      </c>
      <c r="S3537" t="s">
        <v>44</v>
      </c>
      <c r="T3537">
        <v>1</v>
      </c>
      <c r="U3537">
        <v>0</v>
      </c>
      <c r="V3537" t="s">
        <v>32</v>
      </c>
      <c r="W3537" t="s">
        <v>49</v>
      </c>
      <c r="X3537" s="4">
        <v>6.9</v>
      </c>
      <c r="Y3537">
        <v>6</v>
      </c>
      <c r="Z3537" s="5">
        <v>171.15</v>
      </c>
    </row>
    <row r="3538" spans="1:26">
      <c r="A3538">
        <v>3537</v>
      </c>
      <c r="B3538">
        <v>1161</v>
      </c>
      <c r="C3538" s="2">
        <v>46308</v>
      </c>
      <c r="D3538" t="s">
        <v>35</v>
      </c>
      <c r="E3538">
        <v>10</v>
      </c>
      <c r="F3538" s="3">
        <v>10.93</v>
      </c>
      <c r="G3538" t="s">
        <v>27</v>
      </c>
      <c r="H3538">
        <v>33</v>
      </c>
      <c r="I3538" t="s">
        <v>34</v>
      </c>
      <c r="J3538" s="4">
        <v>69.099999999999994</v>
      </c>
      <c r="K3538" s="4">
        <v>191.9</v>
      </c>
      <c r="L3538" s="4">
        <v>28.3</v>
      </c>
      <c r="M3538">
        <v>12</v>
      </c>
      <c r="N3538" t="s">
        <v>60</v>
      </c>
      <c r="O3538">
        <v>3</v>
      </c>
      <c r="P3538" s="4">
        <v>1583.5</v>
      </c>
      <c r="Q3538" t="s">
        <v>30</v>
      </c>
      <c r="R3538">
        <v>0</v>
      </c>
      <c r="S3538" t="s">
        <v>44</v>
      </c>
      <c r="T3538">
        <v>0</v>
      </c>
      <c r="U3538">
        <v>0</v>
      </c>
      <c r="V3538" t="s">
        <v>32</v>
      </c>
      <c r="W3538" t="s">
        <v>39</v>
      </c>
      <c r="X3538" s="4">
        <v>7.5</v>
      </c>
      <c r="Y3538">
        <v>10</v>
      </c>
      <c r="Z3538" s="5">
        <v>167.29</v>
      </c>
    </row>
    <row r="3539" spans="1:26">
      <c r="A3539">
        <v>3538</v>
      </c>
      <c r="B3539">
        <v>1161</v>
      </c>
      <c r="C3539" s="2">
        <v>46308</v>
      </c>
      <c r="D3539" t="s">
        <v>35</v>
      </c>
      <c r="E3539">
        <v>10</v>
      </c>
      <c r="F3539" s="3">
        <v>10.91</v>
      </c>
      <c r="G3539" t="s">
        <v>27</v>
      </c>
      <c r="H3539">
        <v>33</v>
      </c>
      <c r="I3539" t="s">
        <v>28</v>
      </c>
      <c r="J3539" s="4">
        <v>65.5</v>
      </c>
      <c r="K3539" s="4">
        <v>139.4</v>
      </c>
      <c r="L3539" s="4">
        <v>22.8</v>
      </c>
      <c r="M3539">
        <v>14</v>
      </c>
      <c r="N3539" t="s">
        <v>60</v>
      </c>
      <c r="O3539">
        <v>3</v>
      </c>
      <c r="P3539" s="4">
        <v>1583.5</v>
      </c>
      <c r="Q3539" t="s">
        <v>30</v>
      </c>
      <c r="R3539">
        <v>0</v>
      </c>
      <c r="S3539" t="s">
        <v>44</v>
      </c>
      <c r="T3539">
        <v>0</v>
      </c>
      <c r="U3539">
        <v>0</v>
      </c>
      <c r="V3539" t="s">
        <v>32</v>
      </c>
      <c r="W3539" t="s">
        <v>39</v>
      </c>
      <c r="X3539" s="4">
        <v>6.9</v>
      </c>
      <c r="Y3539">
        <v>7</v>
      </c>
      <c r="Z3539" s="5">
        <v>210.57</v>
      </c>
    </row>
    <row r="3540" spans="1:26">
      <c r="A3540">
        <v>3539</v>
      </c>
      <c r="B3540">
        <v>1161</v>
      </c>
      <c r="C3540" s="2">
        <v>46308</v>
      </c>
      <c r="D3540" t="s">
        <v>35</v>
      </c>
      <c r="E3540">
        <v>10</v>
      </c>
      <c r="F3540" s="3">
        <v>11.16</v>
      </c>
      <c r="G3540" t="s">
        <v>36</v>
      </c>
      <c r="H3540">
        <v>60</v>
      </c>
      <c r="I3540" t="s">
        <v>28</v>
      </c>
      <c r="J3540" s="4">
        <v>62.7</v>
      </c>
      <c r="K3540" s="4">
        <v>150.4</v>
      </c>
      <c r="L3540" s="4">
        <v>26.8</v>
      </c>
      <c r="M3540">
        <v>15</v>
      </c>
      <c r="N3540" t="s">
        <v>60</v>
      </c>
      <c r="O3540">
        <v>3</v>
      </c>
      <c r="P3540" s="4">
        <v>1583.5</v>
      </c>
      <c r="Q3540" t="s">
        <v>30</v>
      </c>
      <c r="R3540">
        <v>0</v>
      </c>
      <c r="S3540" t="s">
        <v>44</v>
      </c>
      <c r="T3540">
        <v>0</v>
      </c>
      <c r="U3540">
        <v>0</v>
      </c>
      <c r="V3540" t="s">
        <v>32</v>
      </c>
      <c r="W3540" t="s">
        <v>39</v>
      </c>
      <c r="X3540" s="4">
        <v>6.8</v>
      </c>
      <c r="Y3540">
        <v>8</v>
      </c>
      <c r="Z3540" s="5">
        <v>116.14</v>
      </c>
    </row>
    <row r="3541" spans="1:26">
      <c r="A3541">
        <v>3540</v>
      </c>
      <c r="B3541">
        <v>1162</v>
      </c>
      <c r="C3541" s="2">
        <v>46224</v>
      </c>
      <c r="D3541" t="s">
        <v>35</v>
      </c>
      <c r="E3541">
        <v>7</v>
      </c>
      <c r="F3541" s="3">
        <v>10.07</v>
      </c>
      <c r="G3541" t="s">
        <v>27</v>
      </c>
      <c r="H3541">
        <v>20</v>
      </c>
      <c r="I3541" t="s">
        <v>34</v>
      </c>
      <c r="J3541" s="4">
        <v>64.8</v>
      </c>
      <c r="K3541" s="4">
        <v>168</v>
      </c>
      <c r="L3541" s="4">
        <v>28</v>
      </c>
      <c r="M3541">
        <v>14</v>
      </c>
      <c r="N3541" t="s">
        <v>47</v>
      </c>
      <c r="O3541">
        <v>1</v>
      </c>
      <c r="P3541" s="4">
        <v>89.4</v>
      </c>
      <c r="Q3541" t="s">
        <v>42</v>
      </c>
      <c r="R3541">
        <v>1</v>
      </c>
      <c r="S3541" t="s">
        <v>44</v>
      </c>
      <c r="T3541">
        <v>0</v>
      </c>
      <c r="U3541">
        <v>0</v>
      </c>
      <c r="V3541" t="s">
        <v>32</v>
      </c>
      <c r="W3541" t="s">
        <v>43</v>
      </c>
      <c r="X3541" s="4">
        <v>8.5</v>
      </c>
      <c r="Y3541">
        <v>6</v>
      </c>
      <c r="Z3541" s="5">
        <v>276.64</v>
      </c>
    </row>
    <row r="3542" spans="1:26">
      <c r="A3542">
        <v>3541</v>
      </c>
      <c r="B3542">
        <v>1163</v>
      </c>
      <c r="C3542" s="2">
        <v>46350</v>
      </c>
      <c r="D3542" t="s">
        <v>35</v>
      </c>
      <c r="E3542">
        <v>11</v>
      </c>
      <c r="F3542" s="3">
        <v>8.9</v>
      </c>
      <c r="G3542" t="s">
        <v>27</v>
      </c>
      <c r="H3542">
        <v>10</v>
      </c>
      <c r="I3542" t="s">
        <v>34</v>
      </c>
      <c r="J3542" s="4">
        <v>58.2</v>
      </c>
      <c r="K3542" s="4">
        <v>89.1</v>
      </c>
      <c r="L3542" s="4">
        <v>18.5</v>
      </c>
      <c r="M3542">
        <v>13</v>
      </c>
      <c r="N3542" t="s">
        <v>47</v>
      </c>
      <c r="O3542">
        <v>6</v>
      </c>
      <c r="P3542" s="4">
        <v>134.4</v>
      </c>
      <c r="Q3542" t="s">
        <v>48</v>
      </c>
      <c r="R3542">
        <v>1</v>
      </c>
      <c r="S3542" t="s">
        <v>44</v>
      </c>
      <c r="T3542">
        <v>1</v>
      </c>
      <c r="U3542">
        <v>0</v>
      </c>
      <c r="V3542" t="s">
        <v>32</v>
      </c>
      <c r="W3542" t="s">
        <v>39</v>
      </c>
      <c r="X3542" s="4">
        <v>7</v>
      </c>
      <c r="Y3542">
        <v>4</v>
      </c>
      <c r="Z3542" s="5">
        <v>175.04</v>
      </c>
    </row>
    <row r="3543" spans="1:26">
      <c r="A3543">
        <v>3542</v>
      </c>
      <c r="B3543">
        <v>1163</v>
      </c>
      <c r="C3543" s="2">
        <v>46350</v>
      </c>
      <c r="D3543" t="s">
        <v>35</v>
      </c>
      <c r="E3543">
        <v>11</v>
      </c>
      <c r="F3543" s="3">
        <v>9.11</v>
      </c>
      <c r="G3543" t="s">
        <v>27</v>
      </c>
      <c r="H3543">
        <v>3</v>
      </c>
      <c r="I3543" t="s">
        <v>28</v>
      </c>
      <c r="J3543" s="4">
        <v>47.2</v>
      </c>
      <c r="K3543" s="4">
        <v>62</v>
      </c>
      <c r="L3543" s="4">
        <v>19.7</v>
      </c>
      <c r="M3543">
        <v>13</v>
      </c>
      <c r="N3543" t="s">
        <v>47</v>
      </c>
      <c r="O3543">
        <v>6</v>
      </c>
      <c r="P3543" s="4">
        <v>134.4</v>
      </c>
      <c r="Q3543" t="s">
        <v>48</v>
      </c>
      <c r="R3543">
        <v>1</v>
      </c>
      <c r="S3543" t="s">
        <v>44</v>
      </c>
      <c r="T3543">
        <v>1</v>
      </c>
      <c r="U3543">
        <v>0</v>
      </c>
      <c r="V3543" t="s">
        <v>32</v>
      </c>
      <c r="W3543" t="s">
        <v>39</v>
      </c>
      <c r="X3543" s="4">
        <v>8.6999999999999993</v>
      </c>
      <c r="Y3543">
        <v>9</v>
      </c>
      <c r="Z3543" s="5">
        <v>314.81</v>
      </c>
    </row>
    <row r="3544" spans="1:26">
      <c r="A3544">
        <v>3543</v>
      </c>
      <c r="B3544">
        <v>1163</v>
      </c>
      <c r="C3544" s="2">
        <v>46350</v>
      </c>
      <c r="D3544" t="s">
        <v>35</v>
      </c>
      <c r="E3544">
        <v>11</v>
      </c>
      <c r="F3544" s="3">
        <v>8.89</v>
      </c>
      <c r="G3544" t="s">
        <v>27</v>
      </c>
      <c r="H3544">
        <v>22</v>
      </c>
      <c r="I3544" t="s">
        <v>34</v>
      </c>
      <c r="J3544" s="4">
        <v>65</v>
      </c>
      <c r="K3544" s="4">
        <v>182.2</v>
      </c>
      <c r="L3544" s="4">
        <v>30</v>
      </c>
      <c r="M3544">
        <v>21</v>
      </c>
      <c r="N3544" t="s">
        <v>47</v>
      </c>
      <c r="O3544">
        <v>6</v>
      </c>
      <c r="P3544" s="4">
        <v>134.4</v>
      </c>
      <c r="Q3544" t="s">
        <v>48</v>
      </c>
      <c r="R3544">
        <v>1</v>
      </c>
      <c r="S3544" t="s">
        <v>44</v>
      </c>
      <c r="T3544">
        <v>1</v>
      </c>
      <c r="U3544">
        <v>0</v>
      </c>
      <c r="V3544" t="s">
        <v>32</v>
      </c>
      <c r="W3544" t="s">
        <v>39</v>
      </c>
      <c r="X3544" s="4">
        <v>8</v>
      </c>
      <c r="Y3544">
        <v>8</v>
      </c>
      <c r="Z3544" s="5">
        <v>278.94</v>
      </c>
    </row>
    <row r="3545" spans="1:26">
      <c r="A3545">
        <v>3544</v>
      </c>
      <c r="B3545">
        <v>1163</v>
      </c>
      <c r="C3545" s="2">
        <v>46350</v>
      </c>
      <c r="D3545" t="s">
        <v>35</v>
      </c>
      <c r="E3545">
        <v>11</v>
      </c>
      <c r="F3545" s="3">
        <v>8.99</v>
      </c>
      <c r="G3545" t="s">
        <v>27</v>
      </c>
      <c r="H3545">
        <v>64</v>
      </c>
      <c r="I3545" t="s">
        <v>34</v>
      </c>
      <c r="J3545" s="4">
        <v>69.3</v>
      </c>
      <c r="K3545" s="4">
        <v>180.7</v>
      </c>
      <c r="L3545" s="4">
        <v>26.6</v>
      </c>
      <c r="M3545">
        <v>16</v>
      </c>
      <c r="N3545" t="s">
        <v>47</v>
      </c>
      <c r="O3545">
        <v>6</v>
      </c>
      <c r="P3545" s="4">
        <v>134.4</v>
      </c>
      <c r="Q3545" t="s">
        <v>48</v>
      </c>
      <c r="R3545">
        <v>1</v>
      </c>
      <c r="S3545" t="s">
        <v>44</v>
      </c>
      <c r="T3545">
        <v>1</v>
      </c>
      <c r="U3545">
        <v>0</v>
      </c>
      <c r="V3545" t="s">
        <v>32</v>
      </c>
      <c r="W3545" t="s">
        <v>39</v>
      </c>
      <c r="X3545" s="4">
        <v>8.4</v>
      </c>
      <c r="Y3545">
        <v>6</v>
      </c>
      <c r="Z3545" s="5">
        <v>150.32</v>
      </c>
    </row>
    <row r="3546" spans="1:26">
      <c r="A3546">
        <v>3545</v>
      </c>
      <c r="B3546">
        <v>1163</v>
      </c>
      <c r="C3546" s="2">
        <v>46350</v>
      </c>
      <c r="D3546" t="s">
        <v>35</v>
      </c>
      <c r="E3546">
        <v>11</v>
      </c>
      <c r="F3546" s="3">
        <v>9.1</v>
      </c>
      <c r="G3546" t="s">
        <v>27</v>
      </c>
      <c r="H3546">
        <v>53</v>
      </c>
      <c r="I3546" t="s">
        <v>34</v>
      </c>
      <c r="J3546" s="4">
        <v>71</v>
      </c>
      <c r="K3546" s="4">
        <v>182</v>
      </c>
      <c r="L3546" s="4">
        <v>25.2</v>
      </c>
      <c r="M3546">
        <v>20</v>
      </c>
      <c r="N3546" t="s">
        <v>47</v>
      </c>
      <c r="O3546">
        <v>6</v>
      </c>
      <c r="P3546" s="4">
        <v>134.4</v>
      </c>
      <c r="Q3546" t="s">
        <v>48</v>
      </c>
      <c r="R3546">
        <v>1</v>
      </c>
      <c r="S3546" t="s">
        <v>44</v>
      </c>
      <c r="T3546">
        <v>1</v>
      </c>
      <c r="U3546">
        <v>0</v>
      </c>
      <c r="V3546" t="s">
        <v>32</v>
      </c>
      <c r="W3546" t="s">
        <v>39</v>
      </c>
      <c r="X3546" s="4">
        <v>7.3</v>
      </c>
      <c r="Y3546">
        <v>7</v>
      </c>
      <c r="Z3546" s="5">
        <v>231.7</v>
      </c>
    </row>
    <row r="3547" spans="1:26">
      <c r="A3547">
        <v>3546</v>
      </c>
      <c r="B3547">
        <v>1163</v>
      </c>
      <c r="C3547" s="2">
        <v>46350</v>
      </c>
      <c r="D3547" t="s">
        <v>35</v>
      </c>
      <c r="E3547">
        <v>11</v>
      </c>
      <c r="F3547" s="3">
        <v>9.16</v>
      </c>
      <c r="G3547" t="s">
        <v>27</v>
      </c>
      <c r="H3547">
        <v>84</v>
      </c>
      <c r="I3547" t="s">
        <v>28</v>
      </c>
      <c r="J3547" s="4">
        <v>68.900000000000006</v>
      </c>
      <c r="K3547" s="4">
        <v>175.7</v>
      </c>
      <c r="L3547" s="4">
        <v>25.8</v>
      </c>
      <c r="M3547">
        <v>18</v>
      </c>
      <c r="N3547" t="s">
        <v>47</v>
      </c>
      <c r="O3547">
        <v>6</v>
      </c>
      <c r="P3547" s="4">
        <v>134.4</v>
      </c>
      <c r="Q3547" t="s">
        <v>48</v>
      </c>
      <c r="R3547">
        <v>1</v>
      </c>
      <c r="S3547" t="s">
        <v>44</v>
      </c>
      <c r="T3547">
        <v>1</v>
      </c>
      <c r="U3547">
        <v>0</v>
      </c>
      <c r="V3547" t="s">
        <v>32</v>
      </c>
      <c r="W3547" t="s">
        <v>39</v>
      </c>
      <c r="X3547" s="4">
        <v>11</v>
      </c>
      <c r="Y3547">
        <v>8</v>
      </c>
      <c r="Z3547" s="5">
        <v>316.77</v>
      </c>
    </row>
    <row r="3548" spans="1:26">
      <c r="A3548">
        <v>3547</v>
      </c>
      <c r="B3548">
        <v>1164</v>
      </c>
      <c r="C3548" s="2">
        <v>46109</v>
      </c>
      <c r="D3548" t="s">
        <v>40</v>
      </c>
      <c r="E3548">
        <v>3</v>
      </c>
      <c r="F3548" s="3">
        <v>10.72</v>
      </c>
      <c r="G3548" t="s">
        <v>27</v>
      </c>
      <c r="H3548">
        <v>55</v>
      </c>
      <c r="I3548" t="s">
        <v>28</v>
      </c>
      <c r="J3548" s="4">
        <v>74.400000000000006</v>
      </c>
      <c r="K3548" s="4">
        <v>150</v>
      </c>
      <c r="L3548" s="4">
        <v>19.100000000000001</v>
      </c>
      <c r="M3548">
        <v>17</v>
      </c>
      <c r="N3548" t="s">
        <v>56</v>
      </c>
      <c r="O3548">
        <v>1</v>
      </c>
      <c r="P3548" s="4">
        <v>146.1</v>
      </c>
      <c r="Q3548" t="s">
        <v>48</v>
      </c>
      <c r="R3548">
        <v>1</v>
      </c>
      <c r="S3548" t="s">
        <v>44</v>
      </c>
      <c r="T3548">
        <v>0</v>
      </c>
      <c r="U3548">
        <v>0</v>
      </c>
      <c r="V3548" t="s">
        <v>45</v>
      </c>
      <c r="W3548" t="s">
        <v>43</v>
      </c>
      <c r="X3548" s="4">
        <v>10.5</v>
      </c>
      <c r="Y3548">
        <v>8</v>
      </c>
      <c r="Z3548" s="5">
        <v>409.9</v>
      </c>
    </row>
    <row r="3549" spans="1:26">
      <c r="A3549">
        <v>3548</v>
      </c>
      <c r="B3549">
        <v>1165</v>
      </c>
      <c r="C3549" s="2">
        <v>46387</v>
      </c>
      <c r="D3549" t="s">
        <v>55</v>
      </c>
      <c r="E3549">
        <v>12</v>
      </c>
      <c r="F3549" s="3">
        <v>9.99</v>
      </c>
      <c r="G3549" t="s">
        <v>27</v>
      </c>
      <c r="H3549">
        <v>27</v>
      </c>
      <c r="I3549" t="s">
        <v>28</v>
      </c>
      <c r="J3549" s="4">
        <v>74.8</v>
      </c>
      <c r="K3549" s="4">
        <v>150.30000000000001</v>
      </c>
      <c r="L3549" s="4">
        <v>18.7</v>
      </c>
      <c r="M3549">
        <v>11</v>
      </c>
      <c r="N3549" t="s">
        <v>63</v>
      </c>
      <c r="O3549">
        <v>3</v>
      </c>
      <c r="P3549" s="4">
        <v>1283.7</v>
      </c>
      <c r="Q3549" t="s">
        <v>42</v>
      </c>
      <c r="R3549">
        <v>1</v>
      </c>
      <c r="S3549" t="s">
        <v>31</v>
      </c>
      <c r="T3549">
        <v>0</v>
      </c>
      <c r="U3549">
        <v>1</v>
      </c>
      <c r="V3549" t="s">
        <v>64</v>
      </c>
      <c r="W3549" t="s">
        <v>33</v>
      </c>
      <c r="X3549" s="4">
        <v>8.1999999999999993</v>
      </c>
      <c r="Y3549">
        <v>12</v>
      </c>
      <c r="Z3549" s="5">
        <v>400.89</v>
      </c>
    </row>
    <row r="3550" spans="1:26">
      <c r="A3550">
        <v>3549</v>
      </c>
      <c r="B3550">
        <v>1165</v>
      </c>
      <c r="C3550" s="2">
        <v>46387</v>
      </c>
      <c r="D3550" t="s">
        <v>55</v>
      </c>
      <c r="E3550">
        <v>12</v>
      </c>
      <c r="F3550" s="3">
        <v>10.029999999999999</v>
      </c>
      <c r="G3550" t="s">
        <v>27</v>
      </c>
      <c r="H3550">
        <v>35</v>
      </c>
      <c r="I3550" t="s">
        <v>28</v>
      </c>
      <c r="J3550" s="4">
        <v>71.099999999999994</v>
      </c>
      <c r="K3550" s="4">
        <v>211.5</v>
      </c>
      <c r="L3550" s="4">
        <v>29.4</v>
      </c>
      <c r="M3550">
        <v>14</v>
      </c>
      <c r="N3550" t="s">
        <v>63</v>
      </c>
      <c r="O3550">
        <v>3</v>
      </c>
      <c r="P3550" s="4">
        <v>1283.7</v>
      </c>
      <c r="Q3550" t="s">
        <v>42</v>
      </c>
      <c r="R3550">
        <v>1</v>
      </c>
      <c r="S3550" t="s">
        <v>31</v>
      </c>
      <c r="T3550">
        <v>0</v>
      </c>
      <c r="U3550">
        <v>1</v>
      </c>
      <c r="V3550" t="s">
        <v>64</v>
      </c>
      <c r="W3550" t="s">
        <v>33</v>
      </c>
      <c r="X3550" s="4">
        <v>11.4</v>
      </c>
      <c r="Y3550">
        <v>8</v>
      </c>
      <c r="Z3550" s="5">
        <v>281.32</v>
      </c>
    </row>
    <row r="3551" spans="1:26">
      <c r="A3551">
        <v>3550</v>
      </c>
      <c r="B3551">
        <v>1165</v>
      </c>
      <c r="C3551" s="2">
        <v>46387</v>
      </c>
      <c r="D3551" t="s">
        <v>55</v>
      </c>
      <c r="E3551">
        <v>12</v>
      </c>
      <c r="F3551" s="3">
        <v>9.93</v>
      </c>
      <c r="G3551" t="s">
        <v>27</v>
      </c>
      <c r="H3551">
        <v>62</v>
      </c>
      <c r="I3551" t="s">
        <v>34</v>
      </c>
      <c r="J3551" s="4">
        <v>62</v>
      </c>
      <c r="K3551" s="4">
        <v>185.5</v>
      </c>
      <c r="L3551" s="4">
        <v>33.6</v>
      </c>
      <c r="M3551">
        <v>13</v>
      </c>
      <c r="N3551" t="s">
        <v>63</v>
      </c>
      <c r="O3551">
        <v>3</v>
      </c>
      <c r="P3551" s="4">
        <v>1283.7</v>
      </c>
      <c r="Q3551" t="s">
        <v>42</v>
      </c>
      <c r="R3551">
        <v>1</v>
      </c>
      <c r="S3551" t="s">
        <v>31</v>
      </c>
      <c r="T3551">
        <v>0</v>
      </c>
      <c r="U3551">
        <v>1</v>
      </c>
      <c r="V3551" t="s">
        <v>64</v>
      </c>
      <c r="W3551" t="s">
        <v>33</v>
      </c>
      <c r="X3551" s="4">
        <v>12</v>
      </c>
      <c r="Y3551">
        <v>10</v>
      </c>
      <c r="Z3551" s="5">
        <v>362.22</v>
      </c>
    </row>
    <row r="3552" spans="1:26">
      <c r="A3552">
        <v>3551</v>
      </c>
      <c r="B3552">
        <v>1166</v>
      </c>
      <c r="C3552" s="2">
        <v>46284</v>
      </c>
      <c r="D3552" t="s">
        <v>40</v>
      </c>
      <c r="E3552">
        <v>9</v>
      </c>
      <c r="F3552" s="3">
        <v>10.88</v>
      </c>
      <c r="G3552" t="s">
        <v>27</v>
      </c>
      <c r="H3552">
        <v>25</v>
      </c>
      <c r="I3552" t="s">
        <v>28</v>
      </c>
      <c r="J3552" s="4">
        <v>73.8</v>
      </c>
      <c r="K3552" s="4">
        <v>281.60000000000002</v>
      </c>
      <c r="L3552" s="4">
        <v>36.299999999999997</v>
      </c>
      <c r="M3552">
        <v>17</v>
      </c>
      <c r="N3552" t="s">
        <v>50</v>
      </c>
      <c r="O3552">
        <v>3</v>
      </c>
      <c r="P3552" s="4">
        <v>523.1</v>
      </c>
      <c r="Q3552" t="s">
        <v>48</v>
      </c>
      <c r="R3552">
        <v>1</v>
      </c>
      <c r="S3552" t="s">
        <v>31</v>
      </c>
      <c r="T3552">
        <v>1</v>
      </c>
      <c r="U3552">
        <v>0</v>
      </c>
      <c r="V3552" t="s">
        <v>32</v>
      </c>
      <c r="W3552" t="s">
        <v>49</v>
      </c>
      <c r="X3552" s="4">
        <v>6.1</v>
      </c>
      <c r="Y3552">
        <v>6</v>
      </c>
      <c r="Z3552" s="5">
        <v>401.61</v>
      </c>
    </row>
    <row r="3553" spans="1:26">
      <c r="A3553">
        <v>3552</v>
      </c>
      <c r="B3553">
        <v>1166</v>
      </c>
      <c r="C3553" s="2">
        <v>46284</v>
      </c>
      <c r="D3553" t="s">
        <v>40</v>
      </c>
      <c r="E3553">
        <v>9</v>
      </c>
      <c r="F3553" s="3">
        <v>10.76</v>
      </c>
      <c r="G3553" t="s">
        <v>27</v>
      </c>
      <c r="H3553">
        <v>53</v>
      </c>
      <c r="I3553" t="s">
        <v>34</v>
      </c>
      <c r="J3553" s="4">
        <v>61.8</v>
      </c>
      <c r="K3553" s="4">
        <v>140.9</v>
      </c>
      <c r="L3553" s="4">
        <v>26.2</v>
      </c>
      <c r="M3553">
        <v>19</v>
      </c>
      <c r="N3553" t="s">
        <v>50</v>
      </c>
      <c r="O3553">
        <v>3</v>
      </c>
      <c r="P3553" s="4">
        <v>523.1</v>
      </c>
      <c r="Q3553" t="s">
        <v>48</v>
      </c>
      <c r="R3553">
        <v>1</v>
      </c>
      <c r="S3553" t="s">
        <v>31</v>
      </c>
      <c r="T3553">
        <v>1</v>
      </c>
      <c r="U3553">
        <v>0</v>
      </c>
      <c r="V3553" t="s">
        <v>32</v>
      </c>
      <c r="W3553" t="s">
        <v>49</v>
      </c>
      <c r="X3553" s="4">
        <v>7.8</v>
      </c>
      <c r="Y3553">
        <v>9</v>
      </c>
      <c r="Z3553" s="5">
        <v>296.45999999999998</v>
      </c>
    </row>
    <row r="3554" spans="1:26">
      <c r="A3554">
        <v>3553</v>
      </c>
      <c r="B3554">
        <v>1166</v>
      </c>
      <c r="C3554" s="2">
        <v>46284</v>
      </c>
      <c r="D3554" t="s">
        <v>40</v>
      </c>
      <c r="E3554">
        <v>9</v>
      </c>
      <c r="F3554" s="3">
        <v>10.93</v>
      </c>
      <c r="G3554" t="s">
        <v>27</v>
      </c>
      <c r="H3554">
        <v>29</v>
      </c>
      <c r="I3554" t="s">
        <v>28</v>
      </c>
      <c r="J3554" s="4">
        <v>67.099999999999994</v>
      </c>
      <c r="K3554" s="4">
        <v>113.8</v>
      </c>
      <c r="L3554" s="4">
        <v>17.3</v>
      </c>
      <c r="M3554">
        <v>15</v>
      </c>
      <c r="N3554" t="s">
        <v>50</v>
      </c>
      <c r="O3554">
        <v>3</v>
      </c>
      <c r="P3554" s="4">
        <v>523.1</v>
      </c>
      <c r="Q3554" t="s">
        <v>48</v>
      </c>
      <c r="R3554">
        <v>1</v>
      </c>
      <c r="S3554" t="s">
        <v>31</v>
      </c>
      <c r="T3554">
        <v>1</v>
      </c>
      <c r="U3554">
        <v>0</v>
      </c>
      <c r="V3554" t="s">
        <v>32</v>
      </c>
      <c r="W3554" t="s">
        <v>49</v>
      </c>
      <c r="X3554" s="4">
        <v>6.9</v>
      </c>
      <c r="Y3554">
        <v>9</v>
      </c>
      <c r="Z3554" s="5">
        <v>400.73</v>
      </c>
    </row>
    <row r="3555" spans="1:26">
      <c r="A3555">
        <v>3554</v>
      </c>
      <c r="B3555">
        <v>1167</v>
      </c>
      <c r="C3555" s="2">
        <v>46260</v>
      </c>
      <c r="D3555" t="s">
        <v>52</v>
      </c>
      <c r="E3555">
        <v>8</v>
      </c>
      <c r="F3555" s="3">
        <v>10.28</v>
      </c>
      <c r="G3555" t="s">
        <v>27</v>
      </c>
      <c r="H3555">
        <v>66</v>
      </c>
      <c r="I3555" t="s">
        <v>34</v>
      </c>
      <c r="J3555" s="4">
        <v>64.099999999999994</v>
      </c>
      <c r="K3555" s="4">
        <v>132.19999999999999</v>
      </c>
      <c r="L3555" s="4">
        <v>22.6</v>
      </c>
      <c r="M3555">
        <v>16</v>
      </c>
      <c r="N3555" t="s">
        <v>50</v>
      </c>
      <c r="O3555">
        <v>1</v>
      </c>
      <c r="P3555" s="4">
        <v>557.29999999999995</v>
      </c>
      <c r="Q3555" t="s">
        <v>42</v>
      </c>
      <c r="R3555">
        <v>0</v>
      </c>
      <c r="S3555" t="s">
        <v>44</v>
      </c>
      <c r="T3555">
        <v>0</v>
      </c>
      <c r="U3555">
        <v>0</v>
      </c>
      <c r="V3555" t="s">
        <v>32</v>
      </c>
      <c r="W3555" t="s">
        <v>39</v>
      </c>
      <c r="X3555" s="4">
        <v>8.3000000000000007</v>
      </c>
      <c r="Y3555">
        <v>10</v>
      </c>
      <c r="Z3555" s="5">
        <v>92.82</v>
      </c>
    </row>
    <row r="3556" spans="1:26">
      <c r="A3556">
        <v>3555</v>
      </c>
      <c r="B3556">
        <v>1168</v>
      </c>
      <c r="C3556" s="2">
        <v>46235</v>
      </c>
      <c r="D3556" t="s">
        <v>40</v>
      </c>
      <c r="E3556">
        <v>8</v>
      </c>
      <c r="F3556" s="3">
        <v>8.01</v>
      </c>
      <c r="G3556" t="s">
        <v>27</v>
      </c>
      <c r="H3556">
        <v>61</v>
      </c>
      <c r="I3556" t="s">
        <v>34</v>
      </c>
      <c r="J3556" s="4">
        <v>63.1</v>
      </c>
      <c r="K3556" s="4">
        <v>136.19999999999999</v>
      </c>
      <c r="L3556" s="4">
        <v>23.7</v>
      </c>
      <c r="M3556">
        <v>17</v>
      </c>
      <c r="N3556" t="s">
        <v>47</v>
      </c>
      <c r="O3556">
        <v>1</v>
      </c>
      <c r="P3556" s="4">
        <v>2</v>
      </c>
      <c r="Q3556" t="s">
        <v>42</v>
      </c>
      <c r="R3556">
        <v>0</v>
      </c>
      <c r="S3556" t="s">
        <v>44</v>
      </c>
      <c r="T3556">
        <v>0</v>
      </c>
      <c r="U3556">
        <v>0</v>
      </c>
      <c r="V3556" t="s">
        <v>32</v>
      </c>
      <c r="W3556" t="s">
        <v>43</v>
      </c>
      <c r="X3556" s="4">
        <v>7.7</v>
      </c>
      <c r="Y3556">
        <v>7</v>
      </c>
      <c r="Z3556" s="5">
        <v>152.91999999999999</v>
      </c>
    </row>
    <row r="3557" spans="1:26">
      <c r="A3557">
        <v>3556</v>
      </c>
      <c r="B3557">
        <v>1169</v>
      </c>
      <c r="C3557" s="2">
        <v>46259</v>
      </c>
      <c r="D3557" t="s">
        <v>35</v>
      </c>
      <c r="E3557">
        <v>8</v>
      </c>
      <c r="F3557" s="3">
        <v>9.9700000000000006</v>
      </c>
      <c r="G3557" t="s">
        <v>27</v>
      </c>
      <c r="H3557">
        <v>5</v>
      </c>
      <c r="I3557" t="s">
        <v>28</v>
      </c>
      <c r="J3557" s="4">
        <v>56</v>
      </c>
      <c r="K3557" s="4">
        <v>69.900000000000006</v>
      </c>
      <c r="L3557" s="4">
        <v>15.5</v>
      </c>
      <c r="M3557">
        <v>10</v>
      </c>
      <c r="N3557" t="s">
        <v>59</v>
      </c>
      <c r="O3557">
        <v>4</v>
      </c>
      <c r="P3557" s="4">
        <v>774.7</v>
      </c>
      <c r="Q3557" t="s">
        <v>30</v>
      </c>
      <c r="R3557">
        <v>0</v>
      </c>
      <c r="S3557" t="s">
        <v>44</v>
      </c>
      <c r="T3557">
        <v>1</v>
      </c>
      <c r="U3557">
        <v>0</v>
      </c>
      <c r="V3557" t="s">
        <v>32</v>
      </c>
      <c r="W3557" t="s">
        <v>49</v>
      </c>
      <c r="X3557" s="4">
        <v>8.1</v>
      </c>
      <c r="Y3557">
        <v>8</v>
      </c>
      <c r="Z3557" s="5">
        <v>109.49</v>
      </c>
    </row>
    <row r="3558" spans="1:26">
      <c r="A3558">
        <v>3557</v>
      </c>
      <c r="B3558">
        <v>1169</v>
      </c>
      <c r="C3558" s="2">
        <v>46259</v>
      </c>
      <c r="D3558" t="s">
        <v>35</v>
      </c>
      <c r="E3558">
        <v>8</v>
      </c>
      <c r="F3558" s="3">
        <v>10.01</v>
      </c>
      <c r="G3558" t="s">
        <v>27</v>
      </c>
      <c r="H3558">
        <v>37</v>
      </c>
      <c r="I3558" t="s">
        <v>34</v>
      </c>
      <c r="J3558" s="4">
        <v>66.8</v>
      </c>
      <c r="K3558" s="4">
        <v>129.69999999999999</v>
      </c>
      <c r="L3558" s="4">
        <v>20.5</v>
      </c>
      <c r="M3558">
        <v>14</v>
      </c>
      <c r="N3558" t="s">
        <v>59</v>
      </c>
      <c r="O3558">
        <v>4</v>
      </c>
      <c r="P3558" s="4">
        <v>774.7</v>
      </c>
      <c r="Q3558" t="s">
        <v>30</v>
      </c>
      <c r="R3558">
        <v>0</v>
      </c>
      <c r="S3558" t="s">
        <v>44</v>
      </c>
      <c r="T3558">
        <v>1</v>
      </c>
      <c r="U3558">
        <v>0</v>
      </c>
      <c r="V3558" t="s">
        <v>32</v>
      </c>
      <c r="W3558" t="s">
        <v>49</v>
      </c>
      <c r="X3558" s="4">
        <v>9.3000000000000007</v>
      </c>
      <c r="Y3558">
        <v>16</v>
      </c>
      <c r="Z3558" s="5">
        <v>184.71</v>
      </c>
    </row>
    <row r="3559" spans="1:26">
      <c r="A3559">
        <v>3558</v>
      </c>
      <c r="B3559">
        <v>1169</v>
      </c>
      <c r="C3559" s="2">
        <v>46259</v>
      </c>
      <c r="D3559" t="s">
        <v>35</v>
      </c>
      <c r="E3559">
        <v>8</v>
      </c>
      <c r="F3559" s="3">
        <v>10.02</v>
      </c>
      <c r="G3559" t="s">
        <v>27</v>
      </c>
      <c r="H3559">
        <v>45</v>
      </c>
      <c r="I3559" t="s">
        <v>28</v>
      </c>
      <c r="J3559" s="4">
        <v>71.7</v>
      </c>
      <c r="K3559" s="4">
        <v>167.5</v>
      </c>
      <c r="L3559" s="4">
        <v>22.7</v>
      </c>
      <c r="M3559">
        <v>13</v>
      </c>
      <c r="N3559" t="s">
        <v>59</v>
      </c>
      <c r="O3559">
        <v>4</v>
      </c>
      <c r="P3559" s="4">
        <v>774.7</v>
      </c>
      <c r="Q3559" t="s">
        <v>30</v>
      </c>
      <c r="R3559">
        <v>0</v>
      </c>
      <c r="S3559" t="s">
        <v>44</v>
      </c>
      <c r="T3559">
        <v>1</v>
      </c>
      <c r="U3559">
        <v>0</v>
      </c>
      <c r="V3559" t="s">
        <v>32</v>
      </c>
      <c r="W3559" t="s">
        <v>49</v>
      </c>
      <c r="X3559" s="4">
        <v>6.1</v>
      </c>
      <c r="Y3559">
        <v>9</v>
      </c>
      <c r="Z3559" s="5">
        <v>126.57</v>
      </c>
    </row>
    <row r="3560" spans="1:26">
      <c r="A3560">
        <v>3559</v>
      </c>
      <c r="B3560">
        <v>1169</v>
      </c>
      <c r="C3560" s="2">
        <v>46259</v>
      </c>
      <c r="D3560" t="s">
        <v>35</v>
      </c>
      <c r="E3560">
        <v>8</v>
      </c>
      <c r="F3560" s="3">
        <v>9.84</v>
      </c>
      <c r="G3560" t="s">
        <v>27</v>
      </c>
      <c r="H3560">
        <v>42</v>
      </c>
      <c r="I3560" t="s">
        <v>34</v>
      </c>
      <c r="J3560" s="4">
        <v>64.2</v>
      </c>
      <c r="K3560" s="4">
        <v>146.19999999999999</v>
      </c>
      <c r="L3560" s="4">
        <v>24.9</v>
      </c>
      <c r="M3560">
        <v>10</v>
      </c>
      <c r="N3560" t="s">
        <v>59</v>
      </c>
      <c r="O3560">
        <v>4</v>
      </c>
      <c r="P3560" s="4">
        <v>774.7</v>
      </c>
      <c r="Q3560" t="s">
        <v>30</v>
      </c>
      <c r="R3560">
        <v>0</v>
      </c>
      <c r="S3560" t="s">
        <v>44</v>
      </c>
      <c r="T3560">
        <v>1</v>
      </c>
      <c r="U3560">
        <v>0</v>
      </c>
      <c r="V3560" t="s">
        <v>32</v>
      </c>
      <c r="W3560" t="s">
        <v>49</v>
      </c>
      <c r="X3560" s="4">
        <v>9.1999999999999993</v>
      </c>
      <c r="Y3560">
        <v>13</v>
      </c>
      <c r="Z3560" s="5">
        <v>124.5</v>
      </c>
    </row>
    <row r="3561" spans="1:26">
      <c r="A3561">
        <v>3560</v>
      </c>
      <c r="B3561">
        <v>1170</v>
      </c>
      <c r="C3561" s="2">
        <v>46075</v>
      </c>
      <c r="D3561" t="s">
        <v>58</v>
      </c>
      <c r="E3561">
        <v>2</v>
      </c>
      <c r="F3561" s="3">
        <v>8.5299999999999994</v>
      </c>
      <c r="G3561" t="s">
        <v>27</v>
      </c>
      <c r="H3561">
        <v>59</v>
      </c>
      <c r="I3561" t="s">
        <v>34</v>
      </c>
      <c r="J3561" s="4">
        <v>63.5</v>
      </c>
      <c r="K3561" s="4">
        <v>172.7</v>
      </c>
      <c r="L3561" s="4">
        <v>30.1</v>
      </c>
      <c r="M3561">
        <v>11</v>
      </c>
      <c r="N3561" t="s">
        <v>37</v>
      </c>
      <c r="O3561">
        <v>2</v>
      </c>
      <c r="P3561" s="4">
        <v>1078.5999999999999</v>
      </c>
      <c r="Q3561" t="s">
        <v>30</v>
      </c>
      <c r="R3561">
        <v>0</v>
      </c>
      <c r="S3561" t="s">
        <v>44</v>
      </c>
      <c r="T3561">
        <v>1</v>
      </c>
      <c r="U3561">
        <v>0</v>
      </c>
      <c r="V3561" t="s">
        <v>32</v>
      </c>
      <c r="W3561" t="s">
        <v>39</v>
      </c>
      <c r="X3561" s="4">
        <v>9.6999999999999993</v>
      </c>
      <c r="Y3561">
        <v>14</v>
      </c>
      <c r="Z3561" s="5">
        <v>309.7</v>
      </c>
    </row>
    <row r="3562" spans="1:26">
      <c r="A3562">
        <v>3561</v>
      </c>
      <c r="B3562">
        <v>1170</v>
      </c>
      <c r="C3562" s="2">
        <v>46075</v>
      </c>
      <c r="D3562" t="s">
        <v>58</v>
      </c>
      <c r="E3562">
        <v>2</v>
      </c>
      <c r="F3562" s="3">
        <v>8.77</v>
      </c>
      <c r="G3562" t="s">
        <v>27</v>
      </c>
      <c r="H3562">
        <v>40</v>
      </c>
      <c r="I3562" t="s">
        <v>34</v>
      </c>
      <c r="J3562" s="4">
        <v>61.7</v>
      </c>
      <c r="K3562" s="4">
        <v>135.6</v>
      </c>
      <c r="L3562" s="4">
        <v>25</v>
      </c>
      <c r="M3562">
        <v>15</v>
      </c>
      <c r="N3562" t="s">
        <v>37</v>
      </c>
      <c r="O3562">
        <v>2</v>
      </c>
      <c r="P3562" s="4">
        <v>1078.5999999999999</v>
      </c>
      <c r="Q3562" t="s">
        <v>30</v>
      </c>
      <c r="R3562">
        <v>0</v>
      </c>
      <c r="S3562" t="s">
        <v>44</v>
      </c>
      <c r="T3562">
        <v>1</v>
      </c>
      <c r="U3562">
        <v>0</v>
      </c>
      <c r="V3562" t="s">
        <v>32</v>
      </c>
      <c r="W3562" t="s">
        <v>39</v>
      </c>
      <c r="X3562" s="4">
        <v>7.7</v>
      </c>
      <c r="Y3562">
        <v>2</v>
      </c>
      <c r="Z3562" s="5">
        <v>184.33</v>
      </c>
    </row>
    <row r="3563" spans="1:26">
      <c r="A3563">
        <v>3562</v>
      </c>
      <c r="B3563">
        <v>1171</v>
      </c>
      <c r="C3563" s="2">
        <v>46100</v>
      </c>
      <c r="D3563" t="s">
        <v>55</v>
      </c>
      <c r="E3563">
        <v>3</v>
      </c>
      <c r="F3563" s="3">
        <v>8.24</v>
      </c>
      <c r="G3563" t="s">
        <v>27</v>
      </c>
      <c r="H3563">
        <v>3</v>
      </c>
      <c r="I3563" t="s">
        <v>28</v>
      </c>
      <c r="J3563" s="4">
        <v>51.7</v>
      </c>
      <c r="K3563" s="4">
        <v>63.6</v>
      </c>
      <c r="L3563" s="4">
        <v>16.899999999999999</v>
      </c>
      <c r="M3563">
        <v>15</v>
      </c>
      <c r="N3563" t="s">
        <v>61</v>
      </c>
      <c r="O3563">
        <v>1</v>
      </c>
      <c r="P3563" s="4">
        <v>1331.3</v>
      </c>
      <c r="Q3563" t="s">
        <v>42</v>
      </c>
      <c r="R3563">
        <v>0</v>
      </c>
      <c r="S3563" t="s">
        <v>31</v>
      </c>
      <c r="T3563">
        <v>1</v>
      </c>
      <c r="U3563">
        <v>1</v>
      </c>
      <c r="V3563" t="s">
        <v>32</v>
      </c>
      <c r="W3563" t="s">
        <v>33</v>
      </c>
      <c r="X3563" s="4">
        <v>7.7</v>
      </c>
      <c r="Y3563">
        <v>6</v>
      </c>
      <c r="Z3563" s="5">
        <v>301.18</v>
      </c>
    </row>
    <row r="3564" spans="1:26">
      <c r="A3564">
        <v>3563</v>
      </c>
      <c r="B3564">
        <v>1172</v>
      </c>
      <c r="C3564" s="2">
        <v>46250</v>
      </c>
      <c r="D3564" t="s">
        <v>58</v>
      </c>
      <c r="E3564">
        <v>8</v>
      </c>
      <c r="F3564" s="3">
        <v>10.199999999999999</v>
      </c>
      <c r="G3564" t="s">
        <v>27</v>
      </c>
      <c r="H3564">
        <v>28</v>
      </c>
      <c r="I3564" t="s">
        <v>34</v>
      </c>
      <c r="J3564" s="4">
        <v>60.3</v>
      </c>
      <c r="K3564" s="4">
        <v>144.69999999999999</v>
      </c>
      <c r="L3564" s="4">
        <v>28.2</v>
      </c>
      <c r="M3564">
        <v>15</v>
      </c>
      <c r="N3564" t="s">
        <v>41</v>
      </c>
      <c r="O3564">
        <v>5</v>
      </c>
      <c r="P3564" s="4">
        <v>3360.1</v>
      </c>
      <c r="Q3564" t="s">
        <v>42</v>
      </c>
      <c r="R3564">
        <v>1</v>
      </c>
      <c r="S3564" t="s">
        <v>38</v>
      </c>
      <c r="T3564">
        <v>0</v>
      </c>
      <c r="U3564">
        <v>0</v>
      </c>
      <c r="V3564" t="s">
        <v>45</v>
      </c>
      <c r="W3564" t="s">
        <v>49</v>
      </c>
      <c r="X3564" s="4">
        <v>7.4</v>
      </c>
      <c r="Y3564">
        <v>6</v>
      </c>
      <c r="Z3564" s="5">
        <v>143.35</v>
      </c>
    </row>
    <row r="3565" spans="1:26">
      <c r="A3565">
        <v>3564</v>
      </c>
      <c r="B3565">
        <v>1172</v>
      </c>
      <c r="C3565" s="2">
        <v>46250</v>
      </c>
      <c r="D3565" t="s">
        <v>58</v>
      </c>
      <c r="E3565">
        <v>8</v>
      </c>
      <c r="F3565" s="3">
        <v>10.33</v>
      </c>
      <c r="G3565" t="s">
        <v>27</v>
      </c>
      <c r="H3565">
        <v>71</v>
      </c>
      <c r="I3565" t="s">
        <v>34</v>
      </c>
      <c r="J3565" s="4">
        <v>68.099999999999994</v>
      </c>
      <c r="K3565" s="4">
        <v>159</v>
      </c>
      <c r="L3565" s="4">
        <v>24.1</v>
      </c>
      <c r="M3565">
        <v>16</v>
      </c>
      <c r="N3565" t="s">
        <v>41</v>
      </c>
      <c r="O3565">
        <v>5</v>
      </c>
      <c r="P3565" s="4">
        <v>3360.1</v>
      </c>
      <c r="Q3565" t="s">
        <v>42</v>
      </c>
      <c r="R3565">
        <v>1</v>
      </c>
      <c r="S3565" t="s">
        <v>38</v>
      </c>
      <c r="T3565">
        <v>0</v>
      </c>
      <c r="U3565">
        <v>0</v>
      </c>
      <c r="V3565" t="s">
        <v>45</v>
      </c>
      <c r="W3565" t="s">
        <v>49</v>
      </c>
      <c r="X3565" s="4">
        <v>7.6</v>
      </c>
      <c r="Y3565">
        <v>9</v>
      </c>
      <c r="Z3565" s="5">
        <v>281.89</v>
      </c>
    </row>
    <row r="3566" spans="1:26">
      <c r="A3566">
        <v>3565</v>
      </c>
      <c r="B3566">
        <v>1172</v>
      </c>
      <c r="C3566" s="2">
        <v>46250</v>
      </c>
      <c r="D3566" t="s">
        <v>58</v>
      </c>
      <c r="E3566">
        <v>8</v>
      </c>
      <c r="F3566" s="3">
        <v>10.52</v>
      </c>
      <c r="G3566" t="s">
        <v>27</v>
      </c>
      <c r="H3566">
        <v>29</v>
      </c>
      <c r="I3566" t="s">
        <v>34</v>
      </c>
      <c r="J3566" s="4">
        <v>65.099999999999994</v>
      </c>
      <c r="K3566" s="4">
        <v>148.6</v>
      </c>
      <c r="L3566" s="4">
        <v>25.1</v>
      </c>
      <c r="M3566">
        <v>16</v>
      </c>
      <c r="N3566" t="s">
        <v>41</v>
      </c>
      <c r="O3566">
        <v>5</v>
      </c>
      <c r="P3566" s="4">
        <v>3360.1</v>
      </c>
      <c r="Q3566" t="s">
        <v>42</v>
      </c>
      <c r="R3566">
        <v>1</v>
      </c>
      <c r="S3566" t="s">
        <v>38</v>
      </c>
      <c r="T3566">
        <v>0</v>
      </c>
      <c r="U3566">
        <v>0</v>
      </c>
      <c r="V3566" t="s">
        <v>45</v>
      </c>
      <c r="W3566" t="s">
        <v>49</v>
      </c>
      <c r="X3566" s="4">
        <v>10</v>
      </c>
      <c r="Y3566">
        <v>10</v>
      </c>
      <c r="Z3566" s="5">
        <v>264.33</v>
      </c>
    </row>
    <row r="3567" spans="1:26">
      <c r="A3567">
        <v>3566</v>
      </c>
      <c r="B3567">
        <v>1172</v>
      </c>
      <c r="C3567" s="2">
        <v>46250</v>
      </c>
      <c r="D3567" t="s">
        <v>58</v>
      </c>
      <c r="E3567">
        <v>8</v>
      </c>
      <c r="F3567" s="3">
        <v>10.54</v>
      </c>
      <c r="G3567" t="s">
        <v>27</v>
      </c>
      <c r="H3567">
        <v>66</v>
      </c>
      <c r="I3567" t="s">
        <v>34</v>
      </c>
      <c r="J3567" s="4">
        <v>61.9</v>
      </c>
      <c r="K3567" s="4">
        <v>150.6</v>
      </c>
      <c r="L3567" s="4">
        <v>27.6</v>
      </c>
      <c r="M3567">
        <v>15</v>
      </c>
      <c r="N3567" t="s">
        <v>41</v>
      </c>
      <c r="O3567">
        <v>5</v>
      </c>
      <c r="P3567" s="4">
        <v>3360.1</v>
      </c>
      <c r="Q3567" t="s">
        <v>42</v>
      </c>
      <c r="R3567">
        <v>1</v>
      </c>
      <c r="S3567" t="s">
        <v>38</v>
      </c>
      <c r="T3567">
        <v>0</v>
      </c>
      <c r="U3567">
        <v>0</v>
      </c>
      <c r="V3567" t="s">
        <v>45</v>
      </c>
      <c r="W3567" t="s">
        <v>49</v>
      </c>
      <c r="X3567" s="4">
        <v>8.6</v>
      </c>
      <c r="Y3567">
        <v>8</v>
      </c>
      <c r="Z3567" s="5">
        <v>218.4</v>
      </c>
    </row>
    <row r="3568" spans="1:26">
      <c r="A3568">
        <v>3567</v>
      </c>
      <c r="B3568">
        <v>1172</v>
      </c>
      <c r="C3568" s="2">
        <v>46250</v>
      </c>
      <c r="D3568" t="s">
        <v>58</v>
      </c>
      <c r="E3568">
        <v>8</v>
      </c>
      <c r="F3568" s="3">
        <v>10.62</v>
      </c>
      <c r="G3568" t="s">
        <v>27</v>
      </c>
      <c r="H3568">
        <v>28</v>
      </c>
      <c r="I3568" t="s">
        <v>34</v>
      </c>
      <c r="J3568" s="4">
        <v>67.2</v>
      </c>
      <c r="K3568" s="4">
        <v>198.1</v>
      </c>
      <c r="L3568" s="4">
        <v>30.8</v>
      </c>
      <c r="M3568">
        <v>13</v>
      </c>
      <c r="N3568" t="s">
        <v>41</v>
      </c>
      <c r="O3568">
        <v>5</v>
      </c>
      <c r="P3568" s="4">
        <v>3360.1</v>
      </c>
      <c r="Q3568" t="s">
        <v>42</v>
      </c>
      <c r="R3568">
        <v>1</v>
      </c>
      <c r="S3568" t="s">
        <v>38</v>
      </c>
      <c r="T3568">
        <v>0</v>
      </c>
      <c r="U3568">
        <v>0</v>
      </c>
      <c r="V3568" t="s">
        <v>45</v>
      </c>
      <c r="W3568" t="s">
        <v>49</v>
      </c>
      <c r="X3568" s="4">
        <v>6.8</v>
      </c>
      <c r="Y3568">
        <v>9</v>
      </c>
      <c r="Z3568" s="5">
        <v>180.43</v>
      </c>
    </row>
    <row r="3569" spans="1:26">
      <c r="A3569">
        <v>3568</v>
      </c>
      <c r="B3569">
        <v>1173</v>
      </c>
      <c r="C3569" s="2">
        <v>46167</v>
      </c>
      <c r="D3569" t="s">
        <v>46</v>
      </c>
      <c r="E3569">
        <v>5</v>
      </c>
      <c r="F3569" s="3">
        <v>8.9</v>
      </c>
      <c r="G3569" t="s">
        <v>27</v>
      </c>
      <c r="H3569">
        <v>65</v>
      </c>
      <c r="I3569" t="s">
        <v>28</v>
      </c>
      <c r="J3569" s="4">
        <v>67.8</v>
      </c>
      <c r="K3569" s="4">
        <v>207.6</v>
      </c>
      <c r="L3569" s="4">
        <v>31.6</v>
      </c>
      <c r="M3569">
        <v>20</v>
      </c>
      <c r="N3569" t="s">
        <v>50</v>
      </c>
      <c r="O3569">
        <v>1</v>
      </c>
      <c r="P3569" s="4">
        <v>131.80000000000001</v>
      </c>
      <c r="Q3569" t="s">
        <v>48</v>
      </c>
      <c r="R3569">
        <v>1</v>
      </c>
      <c r="S3569" t="s">
        <v>44</v>
      </c>
      <c r="T3569">
        <v>0</v>
      </c>
      <c r="U3569">
        <v>0</v>
      </c>
      <c r="V3569" t="s">
        <v>32</v>
      </c>
      <c r="W3569" t="s">
        <v>57</v>
      </c>
      <c r="X3569" s="4">
        <v>7.7</v>
      </c>
      <c r="Y3569">
        <v>3</v>
      </c>
      <c r="Z3569" s="5">
        <v>234.48</v>
      </c>
    </row>
    <row r="3570" spans="1:26">
      <c r="A3570">
        <v>3569</v>
      </c>
      <c r="B3570">
        <v>1174</v>
      </c>
      <c r="C3570" s="2">
        <v>46028</v>
      </c>
      <c r="D3570" t="s">
        <v>35</v>
      </c>
      <c r="E3570">
        <v>1</v>
      </c>
      <c r="F3570" s="3">
        <v>7.84</v>
      </c>
      <c r="G3570" t="s">
        <v>27</v>
      </c>
      <c r="H3570">
        <v>7</v>
      </c>
      <c r="I3570" t="s">
        <v>28</v>
      </c>
      <c r="J3570" s="4">
        <v>56.4</v>
      </c>
      <c r="K3570" s="4">
        <v>86.4</v>
      </c>
      <c r="L3570" s="4">
        <v>19</v>
      </c>
      <c r="M3570">
        <v>10</v>
      </c>
      <c r="N3570" t="s">
        <v>61</v>
      </c>
      <c r="O3570">
        <v>5</v>
      </c>
      <c r="P3570" s="4">
        <v>1475.3</v>
      </c>
      <c r="Q3570" t="s">
        <v>30</v>
      </c>
      <c r="R3570">
        <v>1</v>
      </c>
      <c r="S3570" t="s">
        <v>44</v>
      </c>
      <c r="T3570">
        <v>0</v>
      </c>
      <c r="U3570">
        <v>0</v>
      </c>
      <c r="V3570" t="s">
        <v>32</v>
      </c>
      <c r="W3570" t="s">
        <v>43</v>
      </c>
      <c r="X3570" s="4">
        <v>6.5</v>
      </c>
      <c r="Y3570">
        <v>6</v>
      </c>
      <c r="Z3570" s="5">
        <v>209.43</v>
      </c>
    </row>
    <row r="3571" spans="1:26">
      <c r="A3571">
        <v>3570</v>
      </c>
      <c r="B3571">
        <v>1174</v>
      </c>
      <c r="C3571" s="2">
        <v>46028</v>
      </c>
      <c r="D3571" t="s">
        <v>35</v>
      </c>
      <c r="E3571">
        <v>1</v>
      </c>
      <c r="F3571" s="3">
        <v>8.07</v>
      </c>
      <c r="G3571" t="s">
        <v>27</v>
      </c>
      <c r="H3571">
        <v>5</v>
      </c>
      <c r="I3571" t="s">
        <v>28</v>
      </c>
      <c r="J3571" s="4">
        <v>58.7</v>
      </c>
      <c r="K3571" s="4">
        <v>73</v>
      </c>
      <c r="L3571" s="4">
        <v>15.1</v>
      </c>
      <c r="M3571">
        <v>12</v>
      </c>
      <c r="N3571" t="s">
        <v>61</v>
      </c>
      <c r="O3571">
        <v>5</v>
      </c>
      <c r="P3571" s="4">
        <v>1475.3</v>
      </c>
      <c r="Q3571" t="s">
        <v>30</v>
      </c>
      <c r="R3571">
        <v>1</v>
      </c>
      <c r="S3571" t="s">
        <v>44</v>
      </c>
      <c r="T3571">
        <v>0</v>
      </c>
      <c r="U3571">
        <v>0</v>
      </c>
      <c r="V3571" t="s">
        <v>32</v>
      </c>
      <c r="W3571" t="s">
        <v>43</v>
      </c>
      <c r="X3571" s="4">
        <v>9.6</v>
      </c>
      <c r="Y3571">
        <v>11</v>
      </c>
      <c r="Z3571" s="5">
        <v>269.49</v>
      </c>
    </row>
    <row r="3572" spans="1:26">
      <c r="A3572">
        <v>3571</v>
      </c>
      <c r="B3572">
        <v>1174</v>
      </c>
      <c r="C3572" s="2">
        <v>46028</v>
      </c>
      <c r="D3572" t="s">
        <v>35</v>
      </c>
      <c r="E3572">
        <v>1</v>
      </c>
      <c r="F3572" s="3">
        <v>8.3000000000000007</v>
      </c>
      <c r="G3572" t="s">
        <v>27</v>
      </c>
      <c r="H3572">
        <v>36</v>
      </c>
      <c r="I3572" t="s">
        <v>28</v>
      </c>
      <c r="J3572" s="4">
        <v>67.5</v>
      </c>
      <c r="K3572" s="4">
        <v>197.5</v>
      </c>
      <c r="L3572" s="4">
        <v>30.6</v>
      </c>
      <c r="M3572">
        <v>14</v>
      </c>
      <c r="N3572" t="s">
        <v>61</v>
      </c>
      <c r="O3572">
        <v>5</v>
      </c>
      <c r="P3572" s="4">
        <v>1475.3</v>
      </c>
      <c r="Q3572" t="s">
        <v>30</v>
      </c>
      <c r="R3572">
        <v>1</v>
      </c>
      <c r="S3572" t="s">
        <v>44</v>
      </c>
      <c r="T3572">
        <v>0</v>
      </c>
      <c r="U3572">
        <v>0</v>
      </c>
      <c r="V3572" t="s">
        <v>32</v>
      </c>
      <c r="W3572" t="s">
        <v>43</v>
      </c>
      <c r="X3572" s="4">
        <v>9.4</v>
      </c>
      <c r="Y3572">
        <v>16</v>
      </c>
      <c r="Z3572" s="5">
        <v>200.04</v>
      </c>
    </row>
    <row r="3573" spans="1:26">
      <c r="A3573">
        <v>3572</v>
      </c>
      <c r="B3573">
        <v>1174</v>
      </c>
      <c r="C3573" s="2">
        <v>46028</v>
      </c>
      <c r="D3573" t="s">
        <v>35</v>
      </c>
      <c r="E3573">
        <v>1</v>
      </c>
      <c r="F3573" s="3">
        <v>8.0399999999999991</v>
      </c>
      <c r="G3573" t="s">
        <v>27</v>
      </c>
      <c r="H3573">
        <v>43</v>
      </c>
      <c r="I3573" t="s">
        <v>34</v>
      </c>
      <c r="J3573" s="4">
        <v>68</v>
      </c>
      <c r="K3573" s="4">
        <v>142.5</v>
      </c>
      <c r="L3573" s="4">
        <v>21.7</v>
      </c>
      <c r="M3573">
        <v>13</v>
      </c>
      <c r="N3573" t="s">
        <v>61</v>
      </c>
      <c r="O3573">
        <v>5</v>
      </c>
      <c r="P3573" s="4">
        <v>1475.3</v>
      </c>
      <c r="Q3573" t="s">
        <v>30</v>
      </c>
      <c r="R3573">
        <v>1</v>
      </c>
      <c r="S3573" t="s">
        <v>44</v>
      </c>
      <c r="T3573">
        <v>0</v>
      </c>
      <c r="U3573">
        <v>0</v>
      </c>
      <c r="V3573" t="s">
        <v>32</v>
      </c>
      <c r="W3573" t="s">
        <v>43</v>
      </c>
      <c r="X3573" s="4">
        <v>7.1</v>
      </c>
      <c r="Y3573">
        <v>7</v>
      </c>
      <c r="Z3573" s="5">
        <v>119.35</v>
      </c>
    </row>
    <row r="3574" spans="1:26">
      <c r="A3574">
        <v>3573</v>
      </c>
      <c r="B3574">
        <v>1174</v>
      </c>
      <c r="C3574" s="2">
        <v>46028</v>
      </c>
      <c r="D3574" t="s">
        <v>35</v>
      </c>
      <c r="E3574">
        <v>1</v>
      </c>
      <c r="F3574" s="3">
        <v>7.83</v>
      </c>
      <c r="G3574" t="s">
        <v>27</v>
      </c>
      <c r="H3574">
        <v>38</v>
      </c>
      <c r="I3574" t="s">
        <v>34</v>
      </c>
      <c r="J3574" s="4">
        <v>65.3</v>
      </c>
      <c r="K3574" s="4">
        <v>130.6</v>
      </c>
      <c r="L3574" s="4">
        <v>21.3</v>
      </c>
      <c r="M3574">
        <v>12</v>
      </c>
      <c r="N3574" t="s">
        <v>61</v>
      </c>
      <c r="O3574">
        <v>5</v>
      </c>
      <c r="P3574" s="4">
        <v>1475.3</v>
      </c>
      <c r="Q3574" t="s">
        <v>30</v>
      </c>
      <c r="R3574">
        <v>1</v>
      </c>
      <c r="S3574" t="s">
        <v>44</v>
      </c>
      <c r="T3574">
        <v>0</v>
      </c>
      <c r="U3574">
        <v>0</v>
      </c>
      <c r="V3574" t="s">
        <v>32</v>
      </c>
      <c r="W3574" t="s">
        <v>43</v>
      </c>
      <c r="X3574" s="4">
        <v>5.9</v>
      </c>
      <c r="Y3574">
        <v>7</v>
      </c>
      <c r="Z3574" s="5">
        <v>185.8</v>
      </c>
    </row>
    <row r="3575" spans="1:26">
      <c r="A3575">
        <v>3574</v>
      </c>
      <c r="B3575">
        <v>1175</v>
      </c>
      <c r="C3575" s="2">
        <v>46243</v>
      </c>
      <c r="D3575" t="s">
        <v>58</v>
      </c>
      <c r="E3575">
        <v>8</v>
      </c>
      <c r="F3575" s="3">
        <v>9.65</v>
      </c>
      <c r="G3575" t="s">
        <v>27</v>
      </c>
      <c r="H3575">
        <v>11</v>
      </c>
      <c r="I3575" t="s">
        <v>28</v>
      </c>
      <c r="J3575" s="4">
        <v>61</v>
      </c>
      <c r="K3575" s="4">
        <v>97.6</v>
      </c>
      <c r="L3575" s="4">
        <v>18.399999999999999</v>
      </c>
      <c r="M3575">
        <v>10</v>
      </c>
      <c r="N3575" t="s">
        <v>59</v>
      </c>
      <c r="O3575">
        <v>2</v>
      </c>
      <c r="P3575" s="4">
        <v>865.1</v>
      </c>
      <c r="Q3575" t="s">
        <v>48</v>
      </c>
      <c r="R3575">
        <v>1</v>
      </c>
      <c r="S3575" t="s">
        <v>44</v>
      </c>
      <c r="T3575">
        <v>0</v>
      </c>
      <c r="U3575">
        <v>1</v>
      </c>
      <c r="V3575" t="s">
        <v>32</v>
      </c>
      <c r="W3575" t="s">
        <v>39</v>
      </c>
      <c r="X3575" s="4">
        <v>9.9</v>
      </c>
      <c r="Y3575">
        <v>11</v>
      </c>
      <c r="Z3575" s="5">
        <v>270.52999999999997</v>
      </c>
    </row>
    <row r="3576" spans="1:26">
      <c r="A3576">
        <v>3575</v>
      </c>
      <c r="B3576">
        <v>1175</v>
      </c>
      <c r="C3576" s="2">
        <v>46243</v>
      </c>
      <c r="D3576" t="s">
        <v>58</v>
      </c>
      <c r="E3576">
        <v>8</v>
      </c>
      <c r="F3576" s="3">
        <v>9.69</v>
      </c>
      <c r="G3576" t="s">
        <v>27</v>
      </c>
      <c r="H3576">
        <v>53</v>
      </c>
      <c r="I3576" t="s">
        <v>34</v>
      </c>
      <c r="J3576" s="4">
        <v>62.6</v>
      </c>
      <c r="K3576" s="4">
        <v>151.80000000000001</v>
      </c>
      <c r="L3576" s="4">
        <v>27.2</v>
      </c>
      <c r="M3576">
        <v>17</v>
      </c>
      <c r="N3576" t="s">
        <v>59</v>
      </c>
      <c r="O3576">
        <v>2</v>
      </c>
      <c r="P3576" s="4">
        <v>865.1</v>
      </c>
      <c r="Q3576" t="s">
        <v>48</v>
      </c>
      <c r="R3576">
        <v>1</v>
      </c>
      <c r="S3576" t="s">
        <v>44</v>
      </c>
      <c r="T3576">
        <v>0</v>
      </c>
      <c r="U3576">
        <v>1</v>
      </c>
      <c r="V3576" t="s">
        <v>32</v>
      </c>
      <c r="W3576" t="s">
        <v>39</v>
      </c>
      <c r="X3576" s="4">
        <v>11.6</v>
      </c>
      <c r="Y3576">
        <v>9</v>
      </c>
      <c r="Z3576" s="5">
        <v>243.66</v>
      </c>
    </row>
    <row r="3577" spans="1:26">
      <c r="A3577">
        <v>3576</v>
      </c>
      <c r="B3577">
        <v>1176</v>
      </c>
      <c r="C3577" s="2">
        <v>46031</v>
      </c>
      <c r="D3577" t="s">
        <v>26</v>
      </c>
      <c r="E3577">
        <v>1</v>
      </c>
      <c r="F3577" s="3">
        <v>11.66</v>
      </c>
      <c r="G3577" t="s">
        <v>36</v>
      </c>
      <c r="H3577">
        <v>36</v>
      </c>
      <c r="I3577" t="s">
        <v>34</v>
      </c>
      <c r="J3577" s="4">
        <v>61.5</v>
      </c>
      <c r="K3577" s="4">
        <v>111.4</v>
      </c>
      <c r="L3577" s="4">
        <v>20.8</v>
      </c>
      <c r="M3577">
        <v>15</v>
      </c>
      <c r="N3577" t="s">
        <v>47</v>
      </c>
      <c r="O3577">
        <v>3</v>
      </c>
      <c r="P3577" s="4">
        <v>112.4</v>
      </c>
      <c r="Q3577" t="s">
        <v>30</v>
      </c>
      <c r="R3577">
        <v>1</v>
      </c>
      <c r="S3577" t="s">
        <v>31</v>
      </c>
      <c r="T3577">
        <v>1</v>
      </c>
      <c r="U3577">
        <v>0</v>
      </c>
      <c r="V3577" t="s">
        <v>32</v>
      </c>
      <c r="W3577" t="s">
        <v>39</v>
      </c>
      <c r="X3577" s="4">
        <v>8.5</v>
      </c>
      <c r="Y3577">
        <v>4</v>
      </c>
      <c r="Z3577" s="5">
        <v>110.46</v>
      </c>
    </row>
    <row r="3578" spans="1:26">
      <c r="A3578">
        <v>3577</v>
      </c>
      <c r="B3578">
        <v>1176</v>
      </c>
      <c r="C3578" s="2">
        <v>46031</v>
      </c>
      <c r="D3578" t="s">
        <v>26</v>
      </c>
      <c r="E3578">
        <v>1</v>
      </c>
      <c r="F3578" s="3">
        <v>11.95</v>
      </c>
      <c r="G3578" t="s">
        <v>36</v>
      </c>
      <c r="H3578">
        <v>63</v>
      </c>
      <c r="I3578" t="s">
        <v>28</v>
      </c>
      <c r="J3578" s="4">
        <v>66.7</v>
      </c>
      <c r="K3578" s="4">
        <v>221.6</v>
      </c>
      <c r="L3578" s="4">
        <v>34.9</v>
      </c>
      <c r="M3578">
        <v>13</v>
      </c>
      <c r="N3578" t="s">
        <v>47</v>
      </c>
      <c r="O3578">
        <v>3</v>
      </c>
      <c r="P3578" s="4">
        <v>112.4</v>
      </c>
      <c r="Q3578" t="s">
        <v>30</v>
      </c>
      <c r="R3578">
        <v>1</v>
      </c>
      <c r="S3578" t="s">
        <v>31</v>
      </c>
      <c r="T3578">
        <v>1</v>
      </c>
      <c r="U3578">
        <v>0</v>
      </c>
      <c r="V3578" t="s">
        <v>32</v>
      </c>
      <c r="W3578" t="s">
        <v>39</v>
      </c>
      <c r="X3578" s="4">
        <v>9.1</v>
      </c>
      <c r="Y3578">
        <v>4</v>
      </c>
      <c r="Z3578" s="5">
        <v>226.99</v>
      </c>
    </row>
    <row r="3579" spans="1:26">
      <c r="A3579">
        <v>3578</v>
      </c>
      <c r="B3579">
        <v>1176</v>
      </c>
      <c r="C3579" s="2">
        <v>46031</v>
      </c>
      <c r="D3579" t="s">
        <v>26</v>
      </c>
      <c r="E3579">
        <v>1</v>
      </c>
      <c r="F3579" s="3">
        <v>11.97</v>
      </c>
      <c r="G3579" t="s">
        <v>36</v>
      </c>
      <c r="H3579">
        <v>37</v>
      </c>
      <c r="I3579" t="s">
        <v>28</v>
      </c>
      <c r="J3579" s="4">
        <v>69.3</v>
      </c>
      <c r="K3579" s="4">
        <v>184.7</v>
      </c>
      <c r="L3579" s="4">
        <v>26.7</v>
      </c>
      <c r="M3579">
        <v>15</v>
      </c>
      <c r="N3579" t="s">
        <v>47</v>
      </c>
      <c r="O3579">
        <v>3</v>
      </c>
      <c r="P3579" s="4">
        <v>112.4</v>
      </c>
      <c r="Q3579" t="s">
        <v>30</v>
      </c>
      <c r="R3579">
        <v>1</v>
      </c>
      <c r="S3579" t="s">
        <v>31</v>
      </c>
      <c r="T3579">
        <v>1</v>
      </c>
      <c r="U3579">
        <v>0</v>
      </c>
      <c r="V3579" t="s">
        <v>32</v>
      </c>
      <c r="W3579" t="s">
        <v>39</v>
      </c>
      <c r="X3579" s="4">
        <v>8.8000000000000007</v>
      </c>
      <c r="Y3579">
        <v>8</v>
      </c>
      <c r="Z3579" s="5">
        <v>236.39</v>
      </c>
    </row>
    <row r="3580" spans="1:26">
      <c r="A3580">
        <v>3579</v>
      </c>
      <c r="B3580">
        <v>1177</v>
      </c>
      <c r="C3580" s="2">
        <v>46039</v>
      </c>
      <c r="D3580" t="s">
        <v>40</v>
      </c>
      <c r="E3580">
        <v>1</v>
      </c>
      <c r="F3580" s="3">
        <v>12.33</v>
      </c>
      <c r="G3580" t="s">
        <v>36</v>
      </c>
      <c r="H3580">
        <v>29</v>
      </c>
      <c r="I3580" t="s">
        <v>34</v>
      </c>
      <c r="J3580" s="4">
        <v>61.4</v>
      </c>
      <c r="K3580" s="4">
        <v>97.5</v>
      </c>
      <c r="L3580" s="4">
        <v>18</v>
      </c>
      <c r="M3580">
        <v>13</v>
      </c>
      <c r="N3580" t="s">
        <v>60</v>
      </c>
      <c r="O3580">
        <v>3</v>
      </c>
      <c r="P3580" s="4">
        <v>1332.2</v>
      </c>
      <c r="Q3580" t="s">
        <v>42</v>
      </c>
      <c r="R3580">
        <v>1</v>
      </c>
      <c r="S3580" t="s">
        <v>44</v>
      </c>
      <c r="T3580">
        <v>0</v>
      </c>
      <c r="U3580">
        <v>1</v>
      </c>
      <c r="V3580" t="s">
        <v>45</v>
      </c>
      <c r="W3580" t="s">
        <v>33</v>
      </c>
      <c r="X3580" s="4">
        <v>9.4</v>
      </c>
      <c r="Y3580">
        <v>9</v>
      </c>
      <c r="Z3580" s="5">
        <v>277.75</v>
      </c>
    </row>
    <row r="3581" spans="1:26">
      <c r="A3581">
        <v>3580</v>
      </c>
      <c r="B3581">
        <v>1177</v>
      </c>
      <c r="C3581" s="2">
        <v>46039</v>
      </c>
      <c r="D3581" t="s">
        <v>40</v>
      </c>
      <c r="E3581">
        <v>1</v>
      </c>
      <c r="F3581" s="3">
        <v>12.36</v>
      </c>
      <c r="G3581" t="s">
        <v>36</v>
      </c>
      <c r="H3581">
        <v>29</v>
      </c>
      <c r="I3581" t="s">
        <v>28</v>
      </c>
      <c r="J3581" s="4">
        <v>64</v>
      </c>
      <c r="K3581" s="4">
        <v>193.7</v>
      </c>
      <c r="L3581" s="4">
        <v>33.200000000000003</v>
      </c>
      <c r="M3581">
        <v>17</v>
      </c>
      <c r="N3581" t="s">
        <v>60</v>
      </c>
      <c r="O3581">
        <v>3</v>
      </c>
      <c r="P3581" s="4">
        <v>1332.2</v>
      </c>
      <c r="Q3581" t="s">
        <v>42</v>
      </c>
      <c r="R3581">
        <v>1</v>
      </c>
      <c r="S3581" t="s">
        <v>44</v>
      </c>
      <c r="T3581">
        <v>0</v>
      </c>
      <c r="U3581">
        <v>1</v>
      </c>
      <c r="V3581" t="s">
        <v>45</v>
      </c>
      <c r="W3581" t="s">
        <v>33</v>
      </c>
      <c r="X3581" s="4">
        <v>11.6</v>
      </c>
      <c r="Y3581">
        <v>13</v>
      </c>
      <c r="Z3581" s="5">
        <v>352.81</v>
      </c>
    </row>
    <row r="3582" spans="1:26">
      <c r="A3582">
        <v>3581</v>
      </c>
      <c r="B3582">
        <v>1177</v>
      </c>
      <c r="C3582" s="2">
        <v>46039</v>
      </c>
      <c r="D3582" t="s">
        <v>40</v>
      </c>
      <c r="E3582">
        <v>1</v>
      </c>
      <c r="F3582" s="3">
        <v>12.24</v>
      </c>
      <c r="G3582" t="s">
        <v>36</v>
      </c>
      <c r="H3582">
        <v>65</v>
      </c>
      <c r="I3582" t="s">
        <v>34</v>
      </c>
      <c r="J3582" s="4">
        <v>63.7</v>
      </c>
      <c r="K3582" s="4">
        <v>126</v>
      </c>
      <c r="L3582" s="4">
        <v>21.7</v>
      </c>
      <c r="M3582">
        <v>16</v>
      </c>
      <c r="N3582" t="s">
        <v>60</v>
      </c>
      <c r="O3582">
        <v>3</v>
      </c>
      <c r="P3582" s="4">
        <v>1332.2</v>
      </c>
      <c r="Q3582" t="s">
        <v>42</v>
      </c>
      <c r="R3582">
        <v>1</v>
      </c>
      <c r="S3582" t="s">
        <v>44</v>
      </c>
      <c r="T3582">
        <v>0</v>
      </c>
      <c r="U3582">
        <v>1</v>
      </c>
      <c r="V3582" t="s">
        <v>45</v>
      </c>
      <c r="W3582" t="s">
        <v>33</v>
      </c>
      <c r="X3582" s="4">
        <v>7.2</v>
      </c>
      <c r="Y3582">
        <v>12</v>
      </c>
      <c r="Z3582" s="5">
        <v>193.85</v>
      </c>
    </row>
    <row r="3583" spans="1:26">
      <c r="A3583">
        <v>3582</v>
      </c>
      <c r="B3583">
        <v>1178</v>
      </c>
      <c r="C3583" s="2">
        <v>46373</v>
      </c>
      <c r="D3583" t="s">
        <v>55</v>
      </c>
      <c r="E3583">
        <v>12</v>
      </c>
      <c r="F3583" s="3">
        <v>10.36</v>
      </c>
      <c r="G3583" t="s">
        <v>27</v>
      </c>
      <c r="H3583">
        <v>65</v>
      </c>
      <c r="I3583" t="s">
        <v>28</v>
      </c>
      <c r="J3583" s="4">
        <v>70.7</v>
      </c>
      <c r="K3583" s="4">
        <v>182.6</v>
      </c>
      <c r="L3583" s="4">
        <v>25.5</v>
      </c>
      <c r="M3583">
        <v>17</v>
      </c>
      <c r="N3583" t="s">
        <v>59</v>
      </c>
      <c r="O3583">
        <v>4</v>
      </c>
      <c r="P3583" s="4">
        <v>504.6</v>
      </c>
      <c r="Q3583" t="s">
        <v>42</v>
      </c>
      <c r="R3583">
        <v>0</v>
      </c>
      <c r="S3583" t="s">
        <v>44</v>
      </c>
      <c r="T3583">
        <v>0</v>
      </c>
      <c r="U3583">
        <v>0</v>
      </c>
      <c r="V3583" t="s">
        <v>32</v>
      </c>
      <c r="W3583" t="s">
        <v>43</v>
      </c>
      <c r="X3583" s="4">
        <v>9.6</v>
      </c>
      <c r="Y3583">
        <v>11</v>
      </c>
      <c r="Z3583" s="5">
        <v>257.83999999999997</v>
      </c>
    </row>
    <row r="3584" spans="1:26">
      <c r="A3584">
        <v>3583</v>
      </c>
      <c r="B3584">
        <v>1178</v>
      </c>
      <c r="C3584" s="2">
        <v>46373</v>
      </c>
      <c r="D3584" t="s">
        <v>55</v>
      </c>
      <c r="E3584">
        <v>12</v>
      </c>
      <c r="F3584" s="3">
        <v>10.24</v>
      </c>
      <c r="G3584" t="s">
        <v>27</v>
      </c>
      <c r="H3584">
        <v>30</v>
      </c>
      <c r="I3584" t="s">
        <v>34</v>
      </c>
      <c r="J3584" s="4">
        <v>62.3</v>
      </c>
      <c r="K3584" s="4">
        <v>133.30000000000001</v>
      </c>
      <c r="L3584" s="4">
        <v>23.8</v>
      </c>
      <c r="M3584">
        <v>15</v>
      </c>
      <c r="N3584" t="s">
        <v>59</v>
      </c>
      <c r="O3584">
        <v>4</v>
      </c>
      <c r="P3584" s="4">
        <v>504.6</v>
      </c>
      <c r="Q3584" t="s">
        <v>42</v>
      </c>
      <c r="R3584">
        <v>0</v>
      </c>
      <c r="S3584" t="s">
        <v>44</v>
      </c>
      <c r="T3584">
        <v>0</v>
      </c>
      <c r="U3584">
        <v>0</v>
      </c>
      <c r="V3584" t="s">
        <v>32</v>
      </c>
      <c r="W3584" t="s">
        <v>43</v>
      </c>
      <c r="X3584" s="4">
        <v>9</v>
      </c>
      <c r="Y3584">
        <v>5</v>
      </c>
      <c r="Z3584" s="5">
        <v>124.62</v>
      </c>
    </row>
    <row r="3585" spans="1:26">
      <c r="A3585">
        <v>3584</v>
      </c>
      <c r="B3585">
        <v>1178</v>
      </c>
      <c r="C3585" s="2">
        <v>46373</v>
      </c>
      <c r="D3585" t="s">
        <v>55</v>
      </c>
      <c r="E3585">
        <v>12</v>
      </c>
      <c r="F3585" s="3">
        <v>10.08</v>
      </c>
      <c r="G3585" t="s">
        <v>27</v>
      </c>
      <c r="H3585">
        <v>71</v>
      </c>
      <c r="I3585" t="s">
        <v>28</v>
      </c>
      <c r="J3585" s="4">
        <v>72.099999999999994</v>
      </c>
      <c r="K3585" s="4">
        <v>222.7</v>
      </c>
      <c r="L3585" s="4">
        <v>30.1</v>
      </c>
      <c r="M3585">
        <v>14</v>
      </c>
      <c r="N3585" t="s">
        <v>59</v>
      </c>
      <c r="O3585">
        <v>4</v>
      </c>
      <c r="P3585" s="4">
        <v>504.6</v>
      </c>
      <c r="Q3585" t="s">
        <v>42</v>
      </c>
      <c r="R3585">
        <v>0</v>
      </c>
      <c r="S3585" t="s">
        <v>44</v>
      </c>
      <c r="T3585">
        <v>0</v>
      </c>
      <c r="U3585">
        <v>0</v>
      </c>
      <c r="V3585" t="s">
        <v>32</v>
      </c>
      <c r="W3585" t="s">
        <v>43</v>
      </c>
      <c r="X3585" s="4">
        <v>8.9</v>
      </c>
      <c r="Y3585">
        <v>4</v>
      </c>
      <c r="Z3585" s="5">
        <v>240.43</v>
      </c>
    </row>
    <row r="3586" spans="1:26">
      <c r="A3586">
        <v>3585</v>
      </c>
      <c r="B3586">
        <v>1178</v>
      </c>
      <c r="C3586" s="2">
        <v>46373</v>
      </c>
      <c r="D3586" t="s">
        <v>55</v>
      </c>
      <c r="E3586">
        <v>12</v>
      </c>
      <c r="F3586" s="3">
        <v>10.02</v>
      </c>
      <c r="G3586" t="s">
        <v>27</v>
      </c>
      <c r="H3586">
        <v>38</v>
      </c>
      <c r="I3586" t="s">
        <v>34</v>
      </c>
      <c r="J3586" s="4">
        <v>62.3</v>
      </c>
      <c r="K3586" s="4">
        <v>144.69999999999999</v>
      </c>
      <c r="L3586" s="4">
        <v>26.3</v>
      </c>
      <c r="M3586">
        <v>16</v>
      </c>
      <c r="N3586" t="s">
        <v>59</v>
      </c>
      <c r="O3586">
        <v>4</v>
      </c>
      <c r="P3586" s="4">
        <v>504.6</v>
      </c>
      <c r="Q3586" t="s">
        <v>42</v>
      </c>
      <c r="R3586">
        <v>0</v>
      </c>
      <c r="S3586" t="s">
        <v>44</v>
      </c>
      <c r="T3586">
        <v>0</v>
      </c>
      <c r="U3586">
        <v>0</v>
      </c>
      <c r="V3586" t="s">
        <v>32</v>
      </c>
      <c r="W3586" t="s">
        <v>43</v>
      </c>
      <c r="X3586" s="4">
        <v>6.9</v>
      </c>
      <c r="Y3586">
        <v>9</v>
      </c>
      <c r="Z3586" s="5">
        <v>181.58</v>
      </c>
    </row>
    <row r="3587" spans="1:26">
      <c r="A3587">
        <v>3586</v>
      </c>
      <c r="B3587">
        <v>1179</v>
      </c>
      <c r="C3587" s="2">
        <v>46111</v>
      </c>
      <c r="D3587" t="s">
        <v>46</v>
      </c>
      <c r="E3587">
        <v>3</v>
      </c>
      <c r="F3587" s="3">
        <v>7.83</v>
      </c>
      <c r="G3587" t="s">
        <v>27</v>
      </c>
      <c r="H3587">
        <v>17</v>
      </c>
      <c r="I3587" t="s">
        <v>28</v>
      </c>
      <c r="J3587" s="4">
        <v>70</v>
      </c>
      <c r="K3587" s="4">
        <v>131.19999999999999</v>
      </c>
      <c r="L3587" s="4">
        <v>19</v>
      </c>
      <c r="M3587">
        <v>15</v>
      </c>
      <c r="N3587" t="s">
        <v>37</v>
      </c>
      <c r="O3587">
        <v>1</v>
      </c>
      <c r="P3587" s="4">
        <v>1213.7</v>
      </c>
      <c r="Q3587" t="s">
        <v>30</v>
      </c>
      <c r="R3587">
        <v>1</v>
      </c>
      <c r="S3587" t="s">
        <v>44</v>
      </c>
      <c r="T3587">
        <v>0</v>
      </c>
      <c r="U3587">
        <v>0</v>
      </c>
      <c r="V3587" t="s">
        <v>32</v>
      </c>
      <c r="W3587" t="s">
        <v>49</v>
      </c>
      <c r="X3587" s="4">
        <v>9.1</v>
      </c>
      <c r="Y3587">
        <v>8</v>
      </c>
      <c r="Z3587" s="5">
        <v>189.84</v>
      </c>
    </row>
    <row r="3588" spans="1:26">
      <c r="A3588">
        <v>3587</v>
      </c>
      <c r="B3588">
        <v>1180</v>
      </c>
      <c r="C3588" s="2">
        <v>46311</v>
      </c>
      <c r="D3588" t="s">
        <v>26</v>
      </c>
      <c r="E3588">
        <v>10</v>
      </c>
      <c r="F3588" s="3">
        <v>11.54</v>
      </c>
      <c r="G3588" t="s">
        <v>36</v>
      </c>
      <c r="H3588">
        <v>69</v>
      </c>
      <c r="I3588" t="s">
        <v>34</v>
      </c>
      <c r="J3588" s="4">
        <v>62.4</v>
      </c>
      <c r="K3588" s="4">
        <v>153.5</v>
      </c>
      <c r="L3588" s="4">
        <v>27.7</v>
      </c>
      <c r="M3588">
        <v>18</v>
      </c>
      <c r="N3588" t="s">
        <v>56</v>
      </c>
      <c r="O3588">
        <v>2</v>
      </c>
      <c r="P3588" s="4">
        <v>347.5</v>
      </c>
      <c r="Q3588" t="s">
        <v>48</v>
      </c>
      <c r="R3588">
        <v>0</v>
      </c>
      <c r="S3588" t="s">
        <v>44</v>
      </c>
      <c r="T3588">
        <v>0</v>
      </c>
      <c r="U3588">
        <v>0</v>
      </c>
      <c r="V3588" t="s">
        <v>32</v>
      </c>
      <c r="W3588" t="s">
        <v>49</v>
      </c>
      <c r="X3588" s="4">
        <v>5.3</v>
      </c>
      <c r="Y3588">
        <v>7</v>
      </c>
      <c r="Z3588" s="5">
        <v>177.24</v>
      </c>
    </row>
    <row r="3589" spans="1:26">
      <c r="A3589">
        <v>3588</v>
      </c>
      <c r="B3589">
        <v>1180</v>
      </c>
      <c r="C3589" s="2">
        <v>46311</v>
      </c>
      <c r="D3589" t="s">
        <v>26</v>
      </c>
      <c r="E3589">
        <v>10</v>
      </c>
      <c r="F3589" s="3">
        <v>11.43</v>
      </c>
      <c r="G3589" t="s">
        <v>36</v>
      </c>
      <c r="H3589">
        <v>73</v>
      </c>
      <c r="I3589" t="s">
        <v>28</v>
      </c>
      <c r="J3589" s="4">
        <v>71.900000000000006</v>
      </c>
      <c r="K3589" s="4">
        <v>223</v>
      </c>
      <c r="L3589" s="4">
        <v>30.2</v>
      </c>
      <c r="M3589">
        <v>22</v>
      </c>
      <c r="N3589" t="s">
        <v>56</v>
      </c>
      <c r="O3589">
        <v>2</v>
      </c>
      <c r="P3589" s="4">
        <v>347.5</v>
      </c>
      <c r="Q3589" t="s">
        <v>48</v>
      </c>
      <c r="R3589">
        <v>0</v>
      </c>
      <c r="S3589" t="s">
        <v>44</v>
      </c>
      <c r="T3589">
        <v>0</v>
      </c>
      <c r="U3589">
        <v>0</v>
      </c>
      <c r="V3589" t="s">
        <v>32</v>
      </c>
      <c r="W3589" t="s">
        <v>49</v>
      </c>
      <c r="X3589" s="4">
        <v>8.4</v>
      </c>
      <c r="Y3589">
        <v>8</v>
      </c>
      <c r="Z3589" s="5">
        <v>210.95</v>
      </c>
    </row>
    <row r="3590" spans="1:26">
      <c r="A3590">
        <v>3589</v>
      </c>
      <c r="B3590">
        <v>1181</v>
      </c>
      <c r="C3590" s="2">
        <v>46040</v>
      </c>
      <c r="D3590" t="s">
        <v>58</v>
      </c>
      <c r="E3590">
        <v>1</v>
      </c>
      <c r="F3590" s="3">
        <v>8.8000000000000007</v>
      </c>
      <c r="G3590" t="s">
        <v>27</v>
      </c>
      <c r="H3590">
        <v>8</v>
      </c>
      <c r="I3590" t="s">
        <v>34</v>
      </c>
      <c r="J3590" s="4">
        <v>60.1</v>
      </c>
      <c r="K3590" s="4">
        <v>100.6</v>
      </c>
      <c r="L3590" s="4">
        <v>19.5</v>
      </c>
      <c r="M3590">
        <v>15</v>
      </c>
      <c r="N3590" t="s">
        <v>60</v>
      </c>
      <c r="O3590">
        <v>3</v>
      </c>
      <c r="P3590" s="4">
        <v>1701.1</v>
      </c>
      <c r="Q3590" t="s">
        <v>42</v>
      </c>
      <c r="R3590">
        <v>1</v>
      </c>
      <c r="S3590" t="s">
        <v>38</v>
      </c>
      <c r="T3590">
        <v>1</v>
      </c>
      <c r="U3590">
        <v>0</v>
      </c>
      <c r="V3590" t="s">
        <v>32</v>
      </c>
      <c r="W3590" t="s">
        <v>39</v>
      </c>
      <c r="X3590" s="4">
        <v>8.4</v>
      </c>
      <c r="Y3590">
        <v>12</v>
      </c>
      <c r="Z3590" s="5">
        <v>134.55000000000001</v>
      </c>
    </row>
    <row r="3591" spans="1:26">
      <c r="A3591">
        <v>3590</v>
      </c>
      <c r="B3591">
        <v>1181</v>
      </c>
      <c r="C3591" s="2">
        <v>46040</v>
      </c>
      <c r="D3591" t="s">
        <v>58</v>
      </c>
      <c r="E3591">
        <v>1</v>
      </c>
      <c r="F3591" s="3">
        <v>8.6</v>
      </c>
      <c r="G3591" t="s">
        <v>27</v>
      </c>
      <c r="H3591">
        <v>72</v>
      </c>
      <c r="I3591" t="s">
        <v>34</v>
      </c>
      <c r="J3591" s="4">
        <v>62.5</v>
      </c>
      <c r="K3591" s="4">
        <v>164.8</v>
      </c>
      <c r="L3591" s="4">
        <v>29.6</v>
      </c>
      <c r="M3591">
        <v>19</v>
      </c>
      <c r="N3591" t="s">
        <v>60</v>
      </c>
      <c r="O3591">
        <v>3</v>
      </c>
      <c r="P3591" s="4">
        <v>1701.1</v>
      </c>
      <c r="Q3591" t="s">
        <v>42</v>
      </c>
      <c r="R3591">
        <v>1</v>
      </c>
      <c r="S3591" t="s">
        <v>38</v>
      </c>
      <c r="T3591">
        <v>1</v>
      </c>
      <c r="U3591">
        <v>0</v>
      </c>
      <c r="V3591" t="s">
        <v>32</v>
      </c>
      <c r="W3591" t="s">
        <v>39</v>
      </c>
      <c r="X3591" s="4">
        <v>8.1</v>
      </c>
      <c r="Y3591">
        <v>8</v>
      </c>
      <c r="Z3591" s="5">
        <v>273.36</v>
      </c>
    </row>
    <row r="3592" spans="1:26">
      <c r="A3592">
        <v>3591</v>
      </c>
      <c r="B3592">
        <v>1181</v>
      </c>
      <c r="C3592" s="2">
        <v>46040</v>
      </c>
      <c r="D3592" t="s">
        <v>58</v>
      </c>
      <c r="E3592">
        <v>1</v>
      </c>
      <c r="F3592" s="3">
        <v>8.76</v>
      </c>
      <c r="G3592" t="s">
        <v>27</v>
      </c>
      <c r="H3592">
        <v>61</v>
      </c>
      <c r="I3592" t="s">
        <v>28</v>
      </c>
      <c r="J3592" s="4">
        <v>67.3</v>
      </c>
      <c r="K3592" s="4">
        <v>163.9</v>
      </c>
      <c r="L3592" s="4">
        <v>25.5</v>
      </c>
      <c r="M3592">
        <v>16</v>
      </c>
      <c r="N3592" t="s">
        <v>60</v>
      </c>
      <c r="O3592">
        <v>3</v>
      </c>
      <c r="P3592" s="4">
        <v>1701.1</v>
      </c>
      <c r="Q3592" t="s">
        <v>42</v>
      </c>
      <c r="R3592">
        <v>1</v>
      </c>
      <c r="S3592" t="s">
        <v>38</v>
      </c>
      <c r="T3592">
        <v>1</v>
      </c>
      <c r="U3592">
        <v>0</v>
      </c>
      <c r="V3592" t="s">
        <v>32</v>
      </c>
      <c r="W3592" t="s">
        <v>39</v>
      </c>
      <c r="X3592" s="4">
        <v>11</v>
      </c>
      <c r="Y3592">
        <v>11</v>
      </c>
      <c r="Z3592" s="5">
        <v>286.43</v>
      </c>
    </row>
    <row r="3593" spans="1:26">
      <c r="A3593">
        <v>3592</v>
      </c>
      <c r="B3593">
        <v>1182</v>
      </c>
      <c r="C3593" s="2">
        <v>46284</v>
      </c>
      <c r="D3593" t="s">
        <v>40</v>
      </c>
      <c r="E3593">
        <v>9</v>
      </c>
      <c r="F3593" s="3">
        <v>13.19</v>
      </c>
      <c r="G3593" t="s">
        <v>36</v>
      </c>
      <c r="H3593">
        <v>59</v>
      </c>
      <c r="I3593" t="s">
        <v>34</v>
      </c>
      <c r="J3593" s="4">
        <v>64</v>
      </c>
      <c r="K3593" s="4">
        <v>163.5</v>
      </c>
      <c r="L3593" s="4">
        <v>28.1</v>
      </c>
      <c r="M3593">
        <v>13</v>
      </c>
      <c r="N3593" t="s">
        <v>50</v>
      </c>
      <c r="O3593">
        <v>5</v>
      </c>
      <c r="P3593" s="4">
        <v>353.9</v>
      </c>
      <c r="Q3593" t="s">
        <v>30</v>
      </c>
      <c r="R3593">
        <v>1</v>
      </c>
      <c r="S3593" t="s">
        <v>31</v>
      </c>
      <c r="T3593">
        <v>0</v>
      </c>
      <c r="U3593">
        <v>0</v>
      </c>
      <c r="V3593" t="s">
        <v>32</v>
      </c>
      <c r="W3593" t="s">
        <v>49</v>
      </c>
      <c r="X3593" s="4">
        <v>10.5</v>
      </c>
      <c r="Y3593">
        <v>5</v>
      </c>
      <c r="Z3593" s="5">
        <v>220.74</v>
      </c>
    </row>
    <row r="3594" spans="1:26">
      <c r="A3594">
        <v>3593</v>
      </c>
      <c r="B3594">
        <v>1182</v>
      </c>
      <c r="C3594" s="2">
        <v>46284</v>
      </c>
      <c r="D3594" t="s">
        <v>40</v>
      </c>
      <c r="E3594">
        <v>9</v>
      </c>
      <c r="F3594" s="3">
        <v>13.1</v>
      </c>
      <c r="G3594" t="s">
        <v>36</v>
      </c>
      <c r="H3594">
        <v>54</v>
      </c>
      <c r="I3594" t="s">
        <v>28</v>
      </c>
      <c r="J3594" s="4">
        <v>68.599999999999994</v>
      </c>
      <c r="K3594" s="4">
        <v>170.5</v>
      </c>
      <c r="L3594" s="4">
        <v>25.1</v>
      </c>
      <c r="M3594">
        <v>13</v>
      </c>
      <c r="N3594" t="s">
        <v>50</v>
      </c>
      <c r="O3594">
        <v>5</v>
      </c>
      <c r="P3594" s="4">
        <v>353.9</v>
      </c>
      <c r="Q3594" t="s">
        <v>30</v>
      </c>
      <c r="R3594">
        <v>1</v>
      </c>
      <c r="S3594" t="s">
        <v>31</v>
      </c>
      <c r="T3594">
        <v>0</v>
      </c>
      <c r="U3594">
        <v>0</v>
      </c>
      <c r="V3594" t="s">
        <v>32</v>
      </c>
      <c r="W3594" t="s">
        <v>49</v>
      </c>
      <c r="X3594" s="4">
        <v>10</v>
      </c>
      <c r="Y3594">
        <v>4</v>
      </c>
      <c r="Z3594" s="5">
        <v>133.43</v>
      </c>
    </row>
    <row r="3595" spans="1:26">
      <c r="A3595">
        <v>3594</v>
      </c>
      <c r="B3595">
        <v>1182</v>
      </c>
      <c r="C3595" s="2">
        <v>46284</v>
      </c>
      <c r="D3595" t="s">
        <v>40</v>
      </c>
      <c r="E3595">
        <v>9</v>
      </c>
      <c r="F3595" s="3">
        <v>13.3</v>
      </c>
      <c r="G3595" t="s">
        <v>36</v>
      </c>
      <c r="H3595">
        <v>71</v>
      </c>
      <c r="I3595" t="s">
        <v>28</v>
      </c>
      <c r="J3595" s="4">
        <v>70</v>
      </c>
      <c r="K3595" s="4">
        <v>183.9</v>
      </c>
      <c r="L3595" s="4">
        <v>26.6</v>
      </c>
      <c r="M3595">
        <v>17</v>
      </c>
      <c r="N3595" t="s">
        <v>50</v>
      </c>
      <c r="O3595">
        <v>5</v>
      </c>
      <c r="P3595" s="4">
        <v>353.9</v>
      </c>
      <c r="Q3595" t="s">
        <v>30</v>
      </c>
      <c r="R3595">
        <v>1</v>
      </c>
      <c r="S3595" t="s">
        <v>31</v>
      </c>
      <c r="T3595">
        <v>0</v>
      </c>
      <c r="U3595">
        <v>0</v>
      </c>
      <c r="V3595" t="s">
        <v>32</v>
      </c>
      <c r="W3595" t="s">
        <v>49</v>
      </c>
      <c r="X3595" s="4">
        <v>8.1999999999999993</v>
      </c>
      <c r="Y3595">
        <v>5</v>
      </c>
      <c r="Z3595" s="5">
        <v>255.1</v>
      </c>
    </row>
    <row r="3596" spans="1:26">
      <c r="A3596">
        <v>3595</v>
      </c>
      <c r="B3596">
        <v>1182</v>
      </c>
      <c r="C3596" s="2">
        <v>46284</v>
      </c>
      <c r="D3596" t="s">
        <v>40</v>
      </c>
      <c r="E3596">
        <v>9</v>
      </c>
      <c r="F3596" s="3">
        <v>12.97</v>
      </c>
      <c r="G3596" t="s">
        <v>36</v>
      </c>
      <c r="H3596">
        <v>18</v>
      </c>
      <c r="I3596" t="s">
        <v>28</v>
      </c>
      <c r="J3596" s="4">
        <v>71</v>
      </c>
      <c r="K3596" s="4">
        <v>183.3</v>
      </c>
      <c r="L3596" s="4">
        <v>25.6</v>
      </c>
      <c r="M3596">
        <v>11</v>
      </c>
      <c r="N3596" t="s">
        <v>50</v>
      </c>
      <c r="O3596">
        <v>5</v>
      </c>
      <c r="P3596" s="4">
        <v>353.9</v>
      </c>
      <c r="Q3596" t="s">
        <v>30</v>
      </c>
      <c r="R3596">
        <v>1</v>
      </c>
      <c r="S3596" t="s">
        <v>31</v>
      </c>
      <c r="T3596">
        <v>0</v>
      </c>
      <c r="U3596">
        <v>0</v>
      </c>
      <c r="V3596" t="s">
        <v>32</v>
      </c>
      <c r="W3596" t="s">
        <v>49</v>
      </c>
      <c r="X3596" s="4">
        <v>10.6</v>
      </c>
      <c r="Y3596">
        <v>8</v>
      </c>
      <c r="Z3596" s="5">
        <v>261.61</v>
      </c>
    </row>
    <row r="3597" spans="1:26">
      <c r="A3597">
        <v>3596</v>
      </c>
      <c r="B3597">
        <v>1182</v>
      </c>
      <c r="C3597" s="2">
        <v>46284</v>
      </c>
      <c r="D3597" t="s">
        <v>40</v>
      </c>
      <c r="E3597">
        <v>9</v>
      </c>
      <c r="F3597" s="3">
        <v>13.16</v>
      </c>
      <c r="G3597" t="s">
        <v>36</v>
      </c>
      <c r="H3597">
        <v>32</v>
      </c>
      <c r="I3597" t="s">
        <v>28</v>
      </c>
      <c r="J3597" s="4">
        <v>66.599999999999994</v>
      </c>
      <c r="K3597" s="4">
        <v>164.6</v>
      </c>
      <c r="L3597" s="4">
        <v>26</v>
      </c>
      <c r="M3597">
        <v>14</v>
      </c>
      <c r="N3597" t="s">
        <v>50</v>
      </c>
      <c r="O3597">
        <v>5</v>
      </c>
      <c r="P3597" s="4">
        <v>353.9</v>
      </c>
      <c r="Q3597" t="s">
        <v>30</v>
      </c>
      <c r="R3597">
        <v>1</v>
      </c>
      <c r="S3597" t="s">
        <v>31</v>
      </c>
      <c r="T3597">
        <v>0</v>
      </c>
      <c r="U3597">
        <v>0</v>
      </c>
      <c r="V3597" t="s">
        <v>32</v>
      </c>
      <c r="W3597" t="s">
        <v>49</v>
      </c>
      <c r="X3597" s="4">
        <v>6.1</v>
      </c>
      <c r="Y3597">
        <v>7</v>
      </c>
      <c r="Z3597" s="5">
        <v>133.58000000000001</v>
      </c>
    </row>
    <row r="3598" spans="1:26">
      <c r="A3598">
        <v>3597</v>
      </c>
      <c r="B3598">
        <v>1183</v>
      </c>
      <c r="C3598" s="2">
        <v>46037</v>
      </c>
      <c r="D3598" t="s">
        <v>55</v>
      </c>
      <c r="E3598">
        <v>1</v>
      </c>
      <c r="F3598" s="3">
        <v>11.44</v>
      </c>
      <c r="G3598" t="s">
        <v>36</v>
      </c>
      <c r="H3598">
        <v>21</v>
      </c>
      <c r="I3598" t="s">
        <v>34</v>
      </c>
      <c r="J3598" s="4">
        <v>60.2</v>
      </c>
      <c r="K3598" s="4">
        <v>121.9</v>
      </c>
      <c r="L3598" s="4">
        <v>23.7</v>
      </c>
      <c r="M3598">
        <v>13</v>
      </c>
      <c r="N3598" t="s">
        <v>47</v>
      </c>
      <c r="O3598">
        <v>3</v>
      </c>
      <c r="P3598" s="4">
        <v>50.1</v>
      </c>
      <c r="Q3598" t="s">
        <v>42</v>
      </c>
      <c r="R3598">
        <v>1</v>
      </c>
      <c r="S3598" t="s">
        <v>44</v>
      </c>
      <c r="T3598">
        <v>1</v>
      </c>
      <c r="U3598">
        <v>0</v>
      </c>
      <c r="V3598" t="s">
        <v>32</v>
      </c>
      <c r="W3598" t="s">
        <v>49</v>
      </c>
      <c r="X3598" s="4">
        <v>7.4</v>
      </c>
      <c r="Y3598">
        <v>10</v>
      </c>
      <c r="Z3598" s="5">
        <v>233.33</v>
      </c>
    </row>
    <row r="3599" spans="1:26">
      <c r="A3599">
        <v>3598</v>
      </c>
      <c r="B3599">
        <v>1183</v>
      </c>
      <c r="C3599" s="2">
        <v>46037</v>
      </c>
      <c r="D3599" t="s">
        <v>55</v>
      </c>
      <c r="E3599">
        <v>1</v>
      </c>
      <c r="F3599" s="3">
        <v>11.44</v>
      </c>
      <c r="G3599" t="s">
        <v>36</v>
      </c>
      <c r="H3599">
        <v>20</v>
      </c>
      <c r="I3599" t="s">
        <v>28</v>
      </c>
      <c r="J3599" s="4">
        <v>69.900000000000006</v>
      </c>
      <c r="K3599" s="4">
        <v>169.4</v>
      </c>
      <c r="L3599" s="4">
        <v>24.5</v>
      </c>
      <c r="M3599">
        <v>13</v>
      </c>
      <c r="N3599" t="s">
        <v>47</v>
      </c>
      <c r="O3599">
        <v>3</v>
      </c>
      <c r="P3599" s="4">
        <v>50.1</v>
      </c>
      <c r="Q3599" t="s">
        <v>42</v>
      </c>
      <c r="R3599">
        <v>1</v>
      </c>
      <c r="S3599" t="s">
        <v>44</v>
      </c>
      <c r="T3599">
        <v>1</v>
      </c>
      <c r="U3599">
        <v>0</v>
      </c>
      <c r="V3599" t="s">
        <v>32</v>
      </c>
      <c r="W3599" t="s">
        <v>49</v>
      </c>
      <c r="X3599" s="4">
        <v>7.3</v>
      </c>
      <c r="Y3599">
        <v>6</v>
      </c>
      <c r="Z3599" s="5">
        <v>148.57</v>
      </c>
    </row>
    <row r="3600" spans="1:26">
      <c r="A3600">
        <v>3599</v>
      </c>
      <c r="B3600">
        <v>1183</v>
      </c>
      <c r="C3600" s="2">
        <v>46037</v>
      </c>
      <c r="D3600" t="s">
        <v>55</v>
      </c>
      <c r="E3600">
        <v>1</v>
      </c>
      <c r="F3600" s="3">
        <v>11.33</v>
      </c>
      <c r="G3600" t="s">
        <v>36</v>
      </c>
      <c r="H3600">
        <v>18</v>
      </c>
      <c r="I3600" t="s">
        <v>34</v>
      </c>
      <c r="J3600" s="4">
        <v>62.3</v>
      </c>
      <c r="K3600" s="4">
        <v>116.9</v>
      </c>
      <c r="L3600" s="4">
        <v>21.5</v>
      </c>
      <c r="M3600">
        <v>12</v>
      </c>
      <c r="N3600" t="s">
        <v>47</v>
      </c>
      <c r="O3600">
        <v>3</v>
      </c>
      <c r="P3600" s="4">
        <v>50.1</v>
      </c>
      <c r="Q3600" t="s">
        <v>42</v>
      </c>
      <c r="R3600">
        <v>1</v>
      </c>
      <c r="S3600" t="s">
        <v>44</v>
      </c>
      <c r="T3600">
        <v>1</v>
      </c>
      <c r="U3600">
        <v>0</v>
      </c>
      <c r="V3600" t="s">
        <v>32</v>
      </c>
      <c r="W3600" t="s">
        <v>49</v>
      </c>
      <c r="X3600" s="4">
        <v>5.9</v>
      </c>
      <c r="Y3600">
        <v>5</v>
      </c>
      <c r="Z3600" s="5">
        <v>129.22</v>
      </c>
    </row>
    <row r="3601" spans="1:26">
      <c r="A3601">
        <v>3600</v>
      </c>
      <c r="B3601">
        <v>1184</v>
      </c>
      <c r="C3601" s="2">
        <v>46189</v>
      </c>
      <c r="D3601" t="s">
        <v>35</v>
      </c>
      <c r="E3601">
        <v>6</v>
      </c>
      <c r="F3601" s="3">
        <v>13.28</v>
      </c>
      <c r="G3601" t="s">
        <v>36</v>
      </c>
      <c r="H3601">
        <v>40</v>
      </c>
      <c r="I3601" t="s">
        <v>28</v>
      </c>
      <c r="J3601" s="4">
        <v>69.599999999999994</v>
      </c>
      <c r="K3601" s="4">
        <v>164</v>
      </c>
      <c r="L3601" s="4">
        <v>23.9</v>
      </c>
      <c r="M3601">
        <v>14</v>
      </c>
      <c r="N3601" t="s">
        <v>47</v>
      </c>
      <c r="O3601">
        <v>2</v>
      </c>
      <c r="P3601" s="4">
        <v>108.7</v>
      </c>
      <c r="Q3601" t="s">
        <v>42</v>
      </c>
      <c r="R3601">
        <v>1</v>
      </c>
      <c r="S3601" t="s">
        <v>44</v>
      </c>
      <c r="T3601">
        <v>0</v>
      </c>
      <c r="U3601">
        <v>0</v>
      </c>
      <c r="V3601" t="s">
        <v>45</v>
      </c>
      <c r="W3601" t="s">
        <v>49</v>
      </c>
      <c r="X3601" s="4">
        <v>4.9000000000000004</v>
      </c>
      <c r="Y3601">
        <v>9</v>
      </c>
      <c r="Z3601" s="5">
        <v>129.09</v>
      </c>
    </row>
    <row r="3602" spans="1:26">
      <c r="A3602">
        <v>3601</v>
      </c>
      <c r="B3602">
        <v>1184</v>
      </c>
      <c r="C3602" s="2">
        <v>46189</v>
      </c>
      <c r="D3602" t="s">
        <v>35</v>
      </c>
      <c r="E3602">
        <v>6</v>
      </c>
      <c r="F3602" s="3">
        <v>13.21</v>
      </c>
      <c r="G3602" t="s">
        <v>36</v>
      </c>
      <c r="H3602">
        <v>55</v>
      </c>
      <c r="I3602" t="s">
        <v>28</v>
      </c>
      <c r="J3602" s="4">
        <v>71.400000000000006</v>
      </c>
      <c r="K3602" s="4">
        <v>125</v>
      </c>
      <c r="L3602" s="4">
        <v>17.100000000000001</v>
      </c>
      <c r="M3602">
        <v>17</v>
      </c>
      <c r="N3602" t="s">
        <v>47</v>
      </c>
      <c r="O3602">
        <v>2</v>
      </c>
      <c r="P3602" s="4">
        <v>108.7</v>
      </c>
      <c r="Q3602" t="s">
        <v>42</v>
      </c>
      <c r="R3602">
        <v>1</v>
      </c>
      <c r="S3602" t="s">
        <v>44</v>
      </c>
      <c r="T3602">
        <v>0</v>
      </c>
      <c r="U3602">
        <v>0</v>
      </c>
      <c r="V3602" t="s">
        <v>45</v>
      </c>
      <c r="W3602" t="s">
        <v>49</v>
      </c>
      <c r="X3602" s="4">
        <v>3.8</v>
      </c>
      <c r="Y3602">
        <v>5</v>
      </c>
      <c r="Z3602" s="5">
        <v>221.21</v>
      </c>
    </row>
    <row r="3603" spans="1:26">
      <c r="A3603">
        <v>3602</v>
      </c>
      <c r="B3603">
        <v>1185</v>
      </c>
      <c r="C3603" s="2">
        <v>46357</v>
      </c>
      <c r="D3603" t="s">
        <v>35</v>
      </c>
      <c r="E3603">
        <v>12</v>
      </c>
      <c r="F3603" s="3">
        <v>10.67</v>
      </c>
      <c r="G3603" t="s">
        <v>27</v>
      </c>
      <c r="H3603">
        <v>41</v>
      </c>
      <c r="I3603" t="s">
        <v>28</v>
      </c>
      <c r="J3603" s="4">
        <v>66.8</v>
      </c>
      <c r="K3603" s="4">
        <v>199.4</v>
      </c>
      <c r="L3603" s="4">
        <v>31.5</v>
      </c>
      <c r="M3603">
        <v>16</v>
      </c>
      <c r="N3603" t="s">
        <v>47</v>
      </c>
      <c r="O3603">
        <v>3</v>
      </c>
      <c r="P3603" s="4">
        <v>59.1</v>
      </c>
      <c r="Q3603" t="s">
        <v>30</v>
      </c>
      <c r="R3603">
        <v>0</v>
      </c>
      <c r="S3603" t="s">
        <v>44</v>
      </c>
      <c r="T3603">
        <v>0</v>
      </c>
      <c r="U3603">
        <v>0</v>
      </c>
      <c r="V3603" t="s">
        <v>45</v>
      </c>
      <c r="W3603" t="s">
        <v>39</v>
      </c>
      <c r="X3603" s="4">
        <v>6.3</v>
      </c>
      <c r="Y3603">
        <v>13</v>
      </c>
      <c r="Z3603" s="5">
        <v>151.06</v>
      </c>
    </row>
    <row r="3604" spans="1:26">
      <c r="A3604">
        <v>3603</v>
      </c>
      <c r="B3604">
        <v>1185</v>
      </c>
      <c r="C3604" s="2">
        <v>46357</v>
      </c>
      <c r="D3604" t="s">
        <v>35</v>
      </c>
      <c r="E3604">
        <v>12</v>
      </c>
      <c r="F3604" s="3">
        <v>10.38</v>
      </c>
      <c r="G3604" t="s">
        <v>27</v>
      </c>
      <c r="H3604">
        <v>68</v>
      </c>
      <c r="I3604" t="s">
        <v>34</v>
      </c>
      <c r="J3604" s="4">
        <v>64.400000000000006</v>
      </c>
      <c r="K3604" s="4">
        <v>152.80000000000001</v>
      </c>
      <c r="L3604" s="4">
        <v>26</v>
      </c>
      <c r="M3604">
        <v>14</v>
      </c>
      <c r="N3604" t="s">
        <v>47</v>
      </c>
      <c r="O3604">
        <v>3</v>
      </c>
      <c r="P3604" s="4">
        <v>59.1</v>
      </c>
      <c r="Q3604" t="s">
        <v>30</v>
      </c>
      <c r="R3604">
        <v>0</v>
      </c>
      <c r="S3604" t="s">
        <v>44</v>
      </c>
      <c r="T3604">
        <v>0</v>
      </c>
      <c r="U3604">
        <v>0</v>
      </c>
      <c r="V3604" t="s">
        <v>45</v>
      </c>
      <c r="W3604" t="s">
        <v>39</v>
      </c>
      <c r="X3604" s="4">
        <v>7.3</v>
      </c>
      <c r="Y3604">
        <v>4</v>
      </c>
      <c r="Z3604" s="5">
        <v>127.66</v>
      </c>
    </row>
    <row r="3605" spans="1:26">
      <c r="A3605">
        <v>3604</v>
      </c>
      <c r="B3605">
        <v>1185</v>
      </c>
      <c r="C3605" s="2">
        <v>46357</v>
      </c>
      <c r="D3605" t="s">
        <v>35</v>
      </c>
      <c r="E3605">
        <v>12</v>
      </c>
      <c r="F3605" s="3">
        <v>10.53</v>
      </c>
      <c r="G3605" t="s">
        <v>27</v>
      </c>
      <c r="H3605">
        <v>57</v>
      </c>
      <c r="I3605" t="s">
        <v>34</v>
      </c>
      <c r="J3605" s="4">
        <v>65.599999999999994</v>
      </c>
      <c r="K3605" s="4">
        <v>149.5</v>
      </c>
      <c r="L3605" s="4">
        <v>24.3</v>
      </c>
      <c r="M3605">
        <v>12</v>
      </c>
      <c r="N3605" t="s">
        <v>47</v>
      </c>
      <c r="O3605">
        <v>3</v>
      </c>
      <c r="P3605" s="4">
        <v>59.1</v>
      </c>
      <c r="Q3605" t="s">
        <v>30</v>
      </c>
      <c r="R3605">
        <v>0</v>
      </c>
      <c r="S3605" t="s">
        <v>44</v>
      </c>
      <c r="T3605">
        <v>0</v>
      </c>
      <c r="U3605">
        <v>0</v>
      </c>
      <c r="V3605" t="s">
        <v>45</v>
      </c>
      <c r="W3605" t="s">
        <v>39</v>
      </c>
      <c r="X3605" s="4">
        <v>7</v>
      </c>
      <c r="Y3605">
        <v>7</v>
      </c>
      <c r="Z3605" s="5">
        <v>135.53</v>
      </c>
    </row>
    <row r="3606" spans="1:26">
      <c r="A3606">
        <v>3605</v>
      </c>
      <c r="B3606">
        <v>1186</v>
      </c>
      <c r="C3606" s="2">
        <v>46362</v>
      </c>
      <c r="D3606" t="s">
        <v>58</v>
      </c>
      <c r="E3606">
        <v>12</v>
      </c>
      <c r="F3606" s="3">
        <v>7</v>
      </c>
      <c r="G3606" t="s">
        <v>27</v>
      </c>
      <c r="H3606">
        <v>37</v>
      </c>
      <c r="I3606" t="s">
        <v>28</v>
      </c>
      <c r="J3606" s="4">
        <v>62.8</v>
      </c>
      <c r="K3606" s="4">
        <v>119.2</v>
      </c>
      <c r="L3606" s="4">
        <v>21.1</v>
      </c>
      <c r="M3606">
        <v>15</v>
      </c>
      <c r="N3606" t="s">
        <v>56</v>
      </c>
      <c r="O3606">
        <v>1</v>
      </c>
      <c r="P3606" s="4">
        <v>235.2</v>
      </c>
      <c r="Q3606" t="s">
        <v>42</v>
      </c>
      <c r="R3606">
        <v>1</v>
      </c>
      <c r="S3606" t="s">
        <v>38</v>
      </c>
      <c r="T3606">
        <v>1</v>
      </c>
      <c r="U3606">
        <v>0</v>
      </c>
      <c r="V3606" t="s">
        <v>32</v>
      </c>
      <c r="W3606" t="s">
        <v>39</v>
      </c>
      <c r="X3606" s="4">
        <v>9.8000000000000007</v>
      </c>
      <c r="Y3606">
        <v>12</v>
      </c>
      <c r="Z3606" s="5">
        <v>425.13</v>
      </c>
    </row>
    <row r="3607" spans="1:26">
      <c r="A3607">
        <v>3606</v>
      </c>
      <c r="B3607">
        <v>1187</v>
      </c>
      <c r="C3607" s="2">
        <v>46027</v>
      </c>
      <c r="D3607" t="s">
        <v>46</v>
      </c>
      <c r="E3607">
        <v>1</v>
      </c>
      <c r="F3607" s="3">
        <v>9.9700000000000006</v>
      </c>
      <c r="G3607" t="s">
        <v>27</v>
      </c>
      <c r="H3607">
        <v>64</v>
      </c>
      <c r="I3607" t="s">
        <v>28</v>
      </c>
      <c r="J3607" s="4">
        <v>73</v>
      </c>
      <c r="K3607" s="4">
        <v>167.6</v>
      </c>
      <c r="L3607" s="4">
        <v>22.3</v>
      </c>
      <c r="M3607">
        <v>16</v>
      </c>
      <c r="N3607" t="s">
        <v>47</v>
      </c>
      <c r="O3607">
        <v>2</v>
      </c>
      <c r="P3607" s="4">
        <v>141.6</v>
      </c>
      <c r="Q3607" t="s">
        <v>48</v>
      </c>
      <c r="R3607">
        <v>0</v>
      </c>
      <c r="S3607" t="s">
        <v>38</v>
      </c>
      <c r="T3607">
        <v>0</v>
      </c>
      <c r="U3607">
        <v>1</v>
      </c>
      <c r="V3607" t="s">
        <v>64</v>
      </c>
      <c r="W3607" t="s">
        <v>43</v>
      </c>
      <c r="X3607" s="4">
        <v>11.7</v>
      </c>
      <c r="Y3607">
        <v>10</v>
      </c>
      <c r="Z3607" s="5">
        <v>376.13</v>
      </c>
    </row>
    <row r="3608" spans="1:26">
      <c r="A3608">
        <v>3607</v>
      </c>
      <c r="B3608">
        <v>1187</v>
      </c>
      <c r="C3608" s="2">
        <v>46027</v>
      </c>
      <c r="D3608" t="s">
        <v>46</v>
      </c>
      <c r="E3608">
        <v>1</v>
      </c>
      <c r="F3608" s="3">
        <v>9.82</v>
      </c>
      <c r="G3608" t="s">
        <v>27</v>
      </c>
      <c r="H3608">
        <v>7</v>
      </c>
      <c r="I3608" t="s">
        <v>28</v>
      </c>
      <c r="J3608" s="4">
        <v>57.6</v>
      </c>
      <c r="K3608" s="4">
        <v>105.1</v>
      </c>
      <c r="L3608" s="4">
        <v>22.2</v>
      </c>
      <c r="M3608">
        <v>11</v>
      </c>
      <c r="N3608" t="s">
        <v>47</v>
      </c>
      <c r="O3608">
        <v>2</v>
      </c>
      <c r="P3608" s="4">
        <v>141.6</v>
      </c>
      <c r="Q3608" t="s">
        <v>48</v>
      </c>
      <c r="R3608">
        <v>0</v>
      </c>
      <c r="S3608" t="s">
        <v>38</v>
      </c>
      <c r="T3608">
        <v>0</v>
      </c>
      <c r="U3608">
        <v>1</v>
      </c>
      <c r="V3608" t="s">
        <v>64</v>
      </c>
      <c r="W3608" t="s">
        <v>43</v>
      </c>
      <c r="X3608" s="4">
        <v>7.2</v>
      </c>
      <c r="Y3608">
        <v>7</v>
      </c>
      <c r="Z3608" s="5">
        <v>216.72</v>
      </c>
    </row>
    <row r="3609" spans="1:26">
      <c r="A3609">
        <v>3608</v>
      </c>
      <c r="B3609">
        <v>1188</v>
      </c>
      <c r="C3609" s="2">
        <v>46211</v>
      </c>
      <c r="D3609" t="s">
        <v>52</v>
      </c>
      <c r="E3609">
        <v>7</v>
      </c>
      <c r="F3609" s="3">
        <v>11.04</v>
      </c>
      <c r="G3609" t="s">
        <v>36</v>
      </c>
      <c r="H3609">
        <v>38</v>
      </c>
      <c r="I3609" t="s">
        <v>28</v>
      </c>
      <c r="J3609" s="4">
        <v>70.099999999999994</v>
      </c>
      <c r="K3609" s="4">
        <v>157.4</v>
      </c>
      <c r="L3609" s="4">
        <v>22.5</v>
      </c>
      <c r="M3609">
        <v>14</v>
      </c>
      <c r="N3609" t="s">
        <v>60</v>
      </c>
      <c r="O3609">
        <v>5</v>
      </c>
      <c r="P3609" s="4">
        <v>2004.2</v>
      </c>
      <c r="Q3609" t="s">
        <v>30</v>
      </c>
      <c r="R3609">
        <v>1</v>
      </c>
      <c r="S3609" t="s">
        <v>44</v>
      </c>
      <c r="T3609">
        <v>0</v>
      </c>
      <c r="U3609">
        <v>0</v>
      </c>
      <c r="V3609" t="s">
        <v>32</v>
      </c>
      <c r="W3609" t="s">
        <v>57</v>
      </c>
      <c r="X3609" s="4">
        <v>7.1</v>
      </c>
      <c r="Y3609">
        <v>7</v>
      </c>
      <c r="Z3609" s="5">
        <v>141.66</v>
      </c>
    </row>
    <row r="3610" spans="1:26">
      <c r="A3610">
        <v>3609</v>
      </c>
      <c r="B3610">
        <v>1188</v>
      </c>
      <c r="C3610" s="2">
        <v>46211</v>
      </c>
      <c r="D3610" t="s">
        <v>52</v>
      </c>
      <c r="E3610">
        <v>7</v>
      </c>
      <c r="F3610" s="3">
        <v>11.2</v>
      </c>
      <c r="G3610" t="s">
        <v>36</v>
      </c>
      <c r="H3610">
        <v>59</v>
      </c>
      <c r="I3610" t="s">
        <v>28</v>
      </c>
      <c r="J3610" s="4">
        <v>74</v>
      </c>
      <c r="K3610" s="4">
        <v>198.6</v>
      </c>
      <c r="L3610" s="4">
        <v>25.4</v>
      </c>
      <c r="M3610">
        <v>18</v>
      </c>
      <c r="N3610" t="s">
        <v>60</v>
      </c>
      <c r="O3610">
        <v>5</v>
      </c>
      <c r="P3610" s="4">
        <v>2004.2</v>
      </c>
      <c r="Q3610" t="s">
        <v>30</v>
      </c>
      <c r="R3610">
        <v>1</v>
      </c>
      <c r="S3610" t="s">
        <v>44</v>
      </c>
      <c r="T3610">
        <v>0</v>
      </c>
      <c r="U3610">
        <v>0</v>
      </c>
      <c r="V3610" t="s">
        <v>32</v>
      </c>
      <c r="W3610" t="s">
        <v>57</v>
      </c>
      <c r="X3610" s="4">
        <v>8.5</v>
      </c>
      <c r="Y3610">
        <v>11</v>
      </c>
      <c r="Z3610" s="5">
        <v>251.12</v>
      </c>
    </row>
    <row r="3611" spans="1:26">
      <c r="A3611">
        <v>3610</v>
      </c>
      <c r="B3611">
        <v>1188</v>
      </c>
      <c r="C3611" s="2">
        <v>46211</v>
      </c>
      <c r="D3611" t="s">
        <v>52</v>
      </c>
      <c r="E3611">
        <v>7</v>
      </c>
      <c r="F3611" s="3">
        <v>11.11</v>
      </c>
      <c r="G3611" t="s">
        <v>36</v>
      </c>
      <c r="H3611">
        <v>41</v>
      </c>
      <c r="I3611" t="s">
        <v>28</v>
      </c>
      <c r="J3611" s="4">
        <v>73.2</v>
      </c>
      <c r="K3611" s="4">
        <v>224.5</v>
      </c>
      <c r="L3611" s="4">
        <v>29.4</v>
      </c>
      <c r="M3611">
        <v>14</v>
      </c>
      <c r="N3611" t="s">
        <v>60</v>
      </c>
      <c r="O3611">
        <v>5</v>
      </c>
      <c r="P3611" s="4">
        <v>2004.2</v>
      </c>
      <c r="Q3611" t="s">
        <v>30</v>
      </c>
      <c r="R3611">
        <v>1</v>
      </c>
      <c r="S3611" t="s">
        <v>44</v>
      </c>
      <c r="T3611">
        <v>0</v>
      </c>
      <c r="U3611">
        <v>0</v>
      </c>
      <c r="V3611" t="s">
        <v>32</v>
      </c>
      <c r="W3611" t="s">
        <v>57</v>
      </c>
      <c r="X3611" s="4">
        <v>8.4</v>
      </c>
      <c r="Y3611">
        <v>3</v>
      </c>
      <c r="Z3611" s="5">
        <v>132.59</v>
      </c>
    </row>
    <row r="3612" spans="1:26">
      <c r="A3612">
        <v>3611</v>
      </c>
      <c r="B3612">
        <v>1188</v>
      </c>
      <c r="C3612" s="2">
        <v>46211</v>
      </c>
      <c r="D3612" t="s">
        <v>52</v>
      </c>
      <c r="E3612">
        <v>7</v>
      </c>
      <c r="F3612" s="3">
        <v>11.02</v>
      </c>
      <c r="G3612" t="s">
        <v>36</v>
      </c>
      <c r="H3612">
        <v>51</v>
      </c>
      <c r="I3612" t="s">
        <v>28</v>
      </c>
      <c r="J3612" s="4">
        <v>69.900000000000006</v>
      </c>
      <c r="K3612" s="4">
        <v>234.3</v>
      </c>
      <c r="L3612" s="4">
        <v>33.6</v>
      </c>
      <c r="M3612">
        <v>15</v>
      </c>
      <c r="N3612" t="s">
        <v>60</v>
      </c>
      <c r="O3612">
        <v>5</v>
      </c>
      <c r="P3612" s="4">
        <v>2004.2</v>
      </c>
      <c r="Q3612" t="s">
        <v>30</v>
      </c>
      <c r="R3612">
        <v>1</v>
      </c>
      <c r="S3612" t="s">
        <v>44</v>
      </c>
      <c r="T3612">
        <v>0</v>
      </c>
      <c r="U3612">
        <v>0</v>
      </c>
      <c r="V3612" t="s">
        <v>32</v>
      </c>
      <c r="W3612" t="s">
        <v>57</v>
      </c>
      <c r="X3612" s="4">
        <v>9.3000000000000007</v>
      </c>
      <c r="Y3612">
        <v>5</v>
      </c>
      <c r="Z3612" s="5">
        <v>215.29</v>
      </c>
    </row>
    <row r="3613" spans="1:26">
      <c r="A3613">
        <v>3612</v>
      </c>
      <c r="B3613">
        <v>1188</v>
      </c>
      <c r="C3613" s="2">
        <v>46211</v>
      </c>
      <c r="D3613" t="s">
        <v>52</v>
      </c>
      <c r="E3613">
        <v>7</v>
      </c>
      <c r="F3613" s="3">
        <v>11.08</v>
      </c>
      <c r="G3613" t="s">
        <v>36</v>
      </c>
      <c r="H3613">
        <v>43</v>
      </c>
      <c r="I3613" t="s">
        <v>34</v>
      </c>
      <c r="J3613" s="4">
        <v>66.5</v>
      </c>
      <c r="K3613" s="4">
        <v>147.5</v>
      </c>
      <c r="L3613" s="4">
        <v>23.6</v>
      </c>
      <c r="M3613">
        <v>16</v>
      </c>
      <c r="N3613" t="s">
        <v>60</v>
      </c>
      <c r="O3613">
        <v>5</v>
      </c>
      <c r="P3613" s="4">
        <v>2004.2</v>
      </c>
      <c r="Q3613" t="s">
        <v>30</v>
      </c>
      <c r="R3613">
        <v>1</v>
      </c>
      <c r="S3613" t="s">
        <v>44</v>
      </c>
      <c r="T3613">
        <v>0</v>
      </c>
      <c r="U3613">
        <v>0</v>
      </c>
      <c r="V3613" t="s">
        <v>32</v>
      </c>
      <c r="W3613" t="s">
        <v>57</v>
      </c>
      <c r="X3613" s="4">
        <v>7</v>
      </c>
      <c r="Y3613">
        <v>5</v>
      </c>
      <c r="Z3613" s="5">
        <v>276.64</v>
      </c>
    </row>
    <row r="3614" spans="1:26">
      <c r="A3614">
        <v>3613</v>
      </c>
      <c r="B3614">
        <v>1189</v>
      </c>
      <c r="C3614" s="2">
        <v>46217</v>
      </c>
      <c r="D3614" t="s">
        <v>35</v>
      </c>
      <c r="E3614">
        <v>7</v>
      </c>
      <c r="F3614" s="3">
        <v>12.04</v>
      </c>
      <c r="G3614" t="s">
        <v>36</v>
      </c>
      <c r="H3614">
        <v>75</v>
      </c>
      <c r="I3614" t="s">
        <v>28</v>
      </c>
      <c r="J3614" s="4">
        <v>66</v>
      </c>
      <c r="K3614" s="4">
        <v>177</v>
      </c>
      <c r="L3614" s="4">
        <v>28.6</v>
      </c>
      <c r="M3614">
        <v>18</v>
      </c>
      <c r="N3614" t="s">
        <v>63</v>
      </c>
      <c r="O3614">
        <v>5</v>
      </c>
      <c r="P3614" s="4">
        <v>1588.8</v>
      </c>
      <c r="Q3614" t="s">
        <v>42</v>
      </c>
      <c r="R3614">
        <v>1</v>
      </c>
      <c r="S3614" t="s">
        <v>38</v>
      </c>
      <c r="T3614">
        <v>1</v>
      </c>
      <c r="U3614">
        <v>0</v>
      </c>
      <c r="V3614" t="s">
        <v>32</v>
      </c>
      <c r="W3614" t="s">
        <v>57</v>
      </c>
      <c r="X3614" s="4">
        <v>7.7</v>
      </c>
      <c r="Y3614">
        <v>11</v>
      </c>
      <c r="Z3614" s="5">
        <v>247.79</v>
      </c>
    </row>
    <row r="3615" spans="1:26">
      <c r="A3615">
        <v>3614</v>
      </c>
      <c r="B3615">
        <v>1189</v>
      </c>
      <c r="C3615" s="2">
        <v>46217</v>
      </c>
      <c r="D3615" t="s">
        <v>35</v>
      </c>
      <c r="E3615">
        <v>7</v>
      </c>
      <c r="F3615" s="3">
        <v>11.89</v>
      </c>
      <c r="G3615" t="s">
        <v>36</v>
      </c>
      <c r="H3615">
        <v>63</v>
      </c>
      <c r="I3615" t="s">
        <v>28</v>
      </c>
      <c r="J3615" s="4">
        <v>67.400000000000006</v>
      </c>
      <c r="K3615" s="4">
        <v>114.7</v>
      </c>
      <c r="L3615" s="4">
        <v>17.899999999999999</v>
      </c>
      <c r="M3615">
        <v>21</v>
      </c>
      <c r="N3615" t="s">
        <v>63</v>
      </c>
      <c r="O3615">
        <v>5</v>
      </c>
      <c r="P3615" s="4">
        <v>1588.8</v>
      </c>
      <c r="Q3615" t="s">
        <v>42</v>
      </c>
      <c r="R3615">
        <v>1</v>
      </c>
      <c r="S3615" t="s">
        <v>38</v>
      </c>
      <c r="T3615">
        <v>1</v>
      </c>
      <c r="U3615">
        <v>0</v>
      </c>
      <c r="V3615" t="s">
        <v>32</v>
      </c>
      <c r="W3615" t="s">
        <v>57</v>
      </c>
      <c r="X3615" s="4">
        <v>9.5</v>
      </c>
      <c r="Y3615">
        <v>15</v>
      </c>
      <c r="Z3615" s="5">
        <v>216.64</v>
      </c>
    </row>
    <row r="3616" spans="1:26">
      <c r="A3616">
        <v>3615</v>
      </c>
      <c r="B3616">
        <v>1189</v>
      </c>
      <c r="C3616" s="2">
        <v>46217</v>
      </c>
      <c r="D3616" t="s">
        <v>35</v>
      </c>
      <c r="E3616">
        <v>7</v>
      </c>
      <c r="F3616" s="3">
        <v>12.15</v>
      </c>
      <c r="G3616" t="s">
        <v>36</v>
      </c>
      <c r="H3616">
        <v>47</v>
      </c>
      <c r="I3616" t="s">
        <v>34</v>
      </c>
      <c r="J3616" s="4">
        <v>64.5</v>
      </c>
      <c r="K3616" s="4">
        <v>173.3</v>
      </c>
      <c r="L3616" s="4">
        <v>29.2</v>
      </c>
      <c r="M3616">
        <v>13</v>
      </c>
      <c r="N3616" t="s">
        <v>63</v>
      </c>
      <c r="O3616">
        <v>5</v>
      </c>
      <c r="P3616" s="4">
        <v>1588.8</v>
      </c>
      <c r="Q3616" t="s">
        <v>42</v>
      </c>
      <c r="R3616">
        <v>1</v>
      </c>
      <c r="S3616" t="s">
        <v>38</v>
      </c>
      <c r="T3616">
        <v>1</v>
      </c>
      <c r="U3616">
        <v>0</v>
      </c>
      <c r="V3616" t="s">
        <v>32</v>
      </c>
      <c r="W3616" t="s">
        <v>57</v>
      </c>
      <c r="X3616" s="4">
        <v>4.8</v>
      </c>
      <c r="Y3616">
        <v>7</v>
      </c>
      <c r="Z3616" s="5">
        <v>163.16999999999999</v>
      </c>
    </row>
    <row r="3617" spans="1:26">
      <c r="A3617">
        <v>3616</v>
      </c>
      <c r="B3617">
        <v>1189</v>
      </c>
      <c r="C3617" s="2">
        <v>46217</v>
      </c>
      <c r="D3617" t="s">
        <v>35</v>
      </c>
      <c r="E3617">
        <v>7</v>
      </c>
      <c r="F3617" s="3">
        <v>11.88</v>
      </c>
      <c r="G3617" t="s">
        <v>36</v>
      </c>
      <c r="H3617">
        <v>6</v>
      </c>
      <c r="I3617" t="s">
        <v>28</v>
      </c>
      <c r="J3617" s="4">
        <v>59.5</v>
      </c>
      <c r="K3617" s="4">
        <v>94</v>
      </c>
      <c r="L3617" s="4">
        <v>18.5</v>
      </c>
      <c r="M3617">
        <v>12</v>
      </c>
      <c r="N3617" t="s">
        <v>63</v>
      </c>
      <c r="O3617">
        <v>5</v>
      </c>
      <c r="P3617" s="4">
        <v>1588.8</v>
      </c>
      <c r="Q3617" t="s">
        <v>42</v>
      </c>
      <c r="R3617">
        <v>1</v>
      </c>
      <c r="S3617" t="s">
        <v>38</v>
      </c>
      <c r="T3617">
        <v>1</v>
      </c>
      <c r="U3617">
        <v>0</v>
      </c>
      <c r="V3617" t="s">
        <v>32</v>
      </c>
      <c r="W3617" t="s">
        <v>57</v>
      </c>
      <c r="X3617" s="4">
        <v>8.9</v>
      </c>
      <c r="Y3617">
        <v>5</v>
      </c>
      <c r="Z3617" s="5">
        <v>180.18</v>
      </c>
    </row>
    <row r="3618" spans="1:26">
      <c r="A3618">
        <v>3617</v>
      </c>
      <c r="B3618">
        <v>1189</v>
      </c>
      <c r="C3618" s="2">
        <v>46217</v>
      </c>
      <c r="D3618" t="s">
        <v>35</v>
      </c>
      <c r="E3618">
        <v>7</v>
      </c>
      <c r="F3618" s="3">
        <v>12.13</v>
      </c>
      <c r="G3618" t="s">
        <v>36</v>
      </c>
      <c r="H3618">
        <v>48</v>
      </c>
      <c r="I3618" t="s">
        <v>28</v>
      </c>
      <c r="J3618" s="4">
        <v>71.900000000000006</v>
      </c>
      <c r="K3618" s="4">
        <v>228.7</v>
      </c>
      <c r="L3618" s="4">
        <v>31.1</v>
      </c>
      <c r="M3618">
        <v>14</v>
      </c>
      <c r="N3618" t="s">
        <v>63</v>
      </c>
      <c r="O3618">
        <v>5</v>
      </c>
      <c r="P3618" s="4">
        <v>1588.8</v>
      </c>
      <c r="Q3618" t="s">
        <v>42</v>
      </c>
      <c r="R3618">
        <v>1</v>
      </c>
      <c r="S3618" t="s">
        <v>38</v>
      </c>
      <c r="T3618">
        <v>1</v>
      </c>
      <c r="U3618">
        <v>0</v>
      </c>
      <c r="V3618" t="s">
        <v>32</v>
      </c>
      <c r="W3618" t="s">
        <v>57</v>
      </c>
      <c r="X3618" s="4">
        <v>7.8</v>
      </c>
      <c r="Y3618">
        <v>8</v>
      </c>
      <c r="Z3618" s="5">
        <v>279.48</v>
      </c>
    </row>
    <row r="3619" spans="1:26">
      <c r="A3619">
        <v>3618</v>
      </c>
      <c r="B3619">
        <v>1190</v>
      </c>
      <c r="C3619" s="2">
        <v>46065</v>
      </c>
      <c r="D3619" t="s">
        <v>55</v>
      </c>
      <c r="E3619">
        <v>2</v>
      </c>
      <c r="F3619" s="3">
        <v>12.32</v>
      </c>
      <c r="G3619" t="s">
        <v>36</v>
      </c>
      <c r="H3619">
        <v>10</v>
      </c>
      <c r="I3619" t="s">
        <v>34</v>
      </c>
      <c r="J3619" s="4">
        <v>70</v>
      </c>
      <c r="K3619" s="4">
        <v>155.19999999999999</v>
      </c>
      <c r="L3619" s="4">
        <v>22.3</v>
      </c>
      <c r="M3619">
        <v>12</v>
      </c>
      <c r="N3619" t="s">
        <v>47</v>
      </c>
      <c r="O3619">
        <v>5</v>
      </c>
      <c r="P3619" s="4">
        <v>62.8</v>
      </c>
      <c r="Q3619" t="s">
        <v>30</v>
      </c>
      <c r="R3619">
        <v>0</v>
      </c>
      <c r="S3619" t="s">
        <v>44</v>
      </c>
      <c r="T3619">
        <v>1</v>
      </c>
      <c r="U3619">
        <v>1</v>
      </c>
      <c r="V3619" t="s">
        <v>45</v>
      </c>
      <c r="W3619" t="s">
        <v>33</v>
      </c>
      <c r="X3619" s="4">
        <v>9.8000000000000007</v>
      </c>
      <c r="Y3619">
        <v>12</v>
      </c>
      <c r="Z3619" s="5">
        <v>329.33</v>
      </c>
    </row>
    <row r="3620" spans="1:26">
      <c r="A3620">
        <v>3619</v>
      </c>
      <c r="B3620">
        <v>1190</v>
      </c>
      <c r="C3620" s="2">
        <v>46065</v>
      </c>
      <c r="D3620" t="s">
        <v>55</v>
      </c>
      <c r="E3620">
        <v>2</v>
      </c>
      <c r="F3620" s="3">
        <v>11.95</v>
      </c>
      <c r="G3620" t="s">
        <v>36</v>
      </c>
      <c r="H3620">
        <v>29</v>
      </c>
      <c r="I3620" t="s">
        <v>28</v>
      </c>
      <c r="J3620" s="4">
        <v>65.599999999999994</v>
      </c>
      <c r="K3620" s="4">
        <v>135.4</v>
      </c>
      <c r="L3620" s="4">
        <v>22</v>
      </c>
      <c r="M3620">
        <v>13</v>
      </c>
      <c r="N3620" t="s">
        <v>47</v>
      </c>
      <c r="O3620">
        <v>5</v>
      </c>
      <c r="P3620" s="4">
        <v>62.8</v>
      </c>
      <c r="Q3620" t="s">
        <v>30</v>
      </c>
      <c r="R3620">
        <v>0</v>
      </c>
      <c r="S3620" t="s">
        <v>44</v>
      </c>
      <c r="T3620">
        <v>1</v>
      </c>
      <c r="U3620">
        <v>1</v>
      </c>
      <c r="V3620" t="s">
        <v>45</v>
      </c>
      <c r="W3620" t="s">
        <v>33</v>
      </c>
      <c r="X3620" s="4">
        <v>7.4</v>
      </c>
      <c r="Y3620">
        <v>8</v>
      </c>
      <c r="Z3620" s="5">
        <v>210.19</v>
      </c>
    </row>
    <row r="3621" spans="1:26">
      <c r="A3621">
        <v>3620</v>
      </c>
      <c r="B3621">
        <v>1190</v>
      </c>
      <c r="C3621" s="2">
        <v>46065</v>
      </c>
      <c r="D3621" t="s">
        <v>55</v>
      </c>
      <c r="E3621">
        <v>2</v>
      </c>
      <c r="F3621" s="3">
        <v>11.94</v>
      </c>
      <c r="G3621" t="s">
        <v>36</v>
      </c>
      <c r="H3621">
        <v>29</v>
      </c>
      <c r="I3621" t="s">
        <v>34</v>
      </c>
      <c r="J3621" s="4">
        <v>60.6</v>
      </c>
      <c r="K3621" s="4">
        <v>125.4</v>
      </c>
      <c r="L3621" s="4">
        <v>24</v>
      </c>
      <c r="M3621">
        <v>14</v>
      </c>
      <c r="N3621" t="s">
        <v>47</v>
      </c>
      <c r="O3621">
        <v>5</v>
      </c>
      <c r="P3621" s="4">
        <v>62.8</v>
      </c>
      <c r="Q3621" t="s">
        <v>30</v>
      </c>
      <c r="R3621">
        <v>0</v>
      </c>
      <c r="S3621" t="s">
        <v>44</v>
      </c>
      <c r="T3621">
        <v>1</v>
      </c>
      <c r="U3621">
        <v>1</v>
      </c>
      <c r="V3621" t="s">
        <v>45</v>
      </c>
      <c r="W3621" t="s">
        <v>33</v>
      </c>
      <c r="X3621" s="4">
        <v>6.5</v>
      </c>
      <c r="Y3621">
        <v>9</v>
      </c>
      <c r="Z3621" s="5">
        <v>186.8</v>
      </c>
    </row>
    <row r="3622" spans="1:26">
      <c r="A3622">
        <v>3621</v>
      </c>
      <c r="B3622">
        <v>1190</v>
      </c>
      <c r="C3622" s="2">
        <v>46065</v>
      </c>
      <c r="D3622" t="s">
        <v>55</v>
      </c>
      <c r="E3622">
        <v>2</v>
      </c>
      <c r="F3622" s="3">
        <v>12.2</v>
      </c>
      <c r="G3622" t="s">
        <v>36</v>
      </c>
      <c r="H3622">
        <v>62</v>
      </c>
      <c r="I3622" t="s">
        <v>28</v>
      </c>
      <c r="J3622" s="4">
        <v>67.099999999999994</v>
      </c>
      <c r="K3622" s="4">
        <v>129.30000000000001</v>
      </c>
      <c r="L3622" s="4">
        <v>20.100000000000001</v>
      </c>
      <c r="M3622">
        <v>15</v>
      </c>
      <c r="N3622" t="s">
        <v>47</v>
      </c>
      <c r="O3622">
        <v>5</v>
      </c>
      <c r="P3622" s="4">
        <v>62.8</v>
      </c>
      <c r="Q3622" t="s">
        <v>30</v>
      </c>
      <c r="R3622">
        <v>0</v>
      </c>
      <c r="S3622" t="s">
        <v>44</v>
      </c>
      <c r="T3622">
        <v>1</v>
      </c>
      <c r="U3622">
        <v>1</v>
      </c>
      <c r="V3622" t="s">
        <v>45</v>
      </c>
      <c r="W3622" t="s">
        <v>33</v>
      </c>
      <c r="X3622" s="4">
        <v>8.1999999999999993</v>
      </c>
      <c r="Y3622">
        <v>13</v>
      </c>
      <c r="Z3622" s="5">
        <v>146.28</v>
      </c>
    </row>
    <row r="3623" spans="1:26">
      <c r="A3623">
        <v>3622</v>
      </c>
      <c r="B3623">
        <v>1190</v>
      </c>
      <c r="C3623" s="2">
        <v>46065</v>
      </c>
      <c r="D3623" t="s">
        <v>55</v>
      </c>
      <c r="E3623">
        <v>2</v>
      </c>
      <c r="F3623" s="3">
        <v>12.08</v>
      </c>
      <c r="G3623" t="s">
        <v>36</v>
      </c>
      <c r="H3623">
        <v>33</v>
      </c>
      <c r="I3623" t="s">
        <v>28</v>
      </c>
      <c r="J3623" s="4">
        <v>69.900000000000006</v>
      </c>
      <c r="K3623" s="4">
        <v>144.69999999999999</v>
      </c>
      <c r="L3623" s="4">
        <v>20.7</v>
      </c>
      <c r="M3623">
        <v>13</v>
      </c>
      <c r="N3623" t="s">
        <v>47</v>
      </c>
      <c r="O3623">
        <v>5</v>
      </c>
      <c r="P3623" s="4">
        <v>62.8</v>
      </c>
      <c r="Q3623" t="s">
        <v>30</v>
      </c>
      <c r="R3623">
        <v>0</v>
      </c>
      <c r="S3623" t="s">
        <v>44</v>
      </c>
      <c r="T3623">
        <v>1</v>
      </c>
      <c r="U3623">
        <v>1</v>
      </c>
      <c r="V3623" t="s">
        <v>45</v>
      </c>
      <c r="W3623" t="s">
        <v>33</v>
      </c>
      <c r="X3623" s="4">
        <v>9.6999999999999993</v>
      </c>
      <c r="Y3623">
        <v>7</v>
      </c>
      <c r="Z3623" s="5">
        <v>303.54000000000002</v>
      </c>
    </row>
    <row r="3624" spans="1:26">
      <c r="A3624">
        <v>3623</v>
      </c>
      <c r="B3624">
        <v>1191</v>
      </c>
      <c r="C3624" s="2">
        <v>46253</v>
      </c>
      <c r="D3624" t="s">
        <v>52</v>
      </c>
      <c r="E3624">
        <v>8</v>
      </c>
      <c r="F3624" s="3">
        <v>12.34</v>
      </c>
      <c r="G3624" t="s">
        <v>36</v>
      </c>
      <c r="H3624">
        <v>30</v>
      </c>
      <c r="I3624" t="s">
        <v>34</v>
      </c>
      <c r="J3624" s="4">
        <v>62.2</v>
      </c>
      <c r="K3624" s="4">
        <v>185.2</v>
      </c>
      <c r="L3624" s="4">
        <v>33.700000000000003</v>
      </c>
      <c r="M3624">
        <v>16</v>
      </c>
      <c r="N3624" t="s">
        <v>61</v>
      </c>
      <c r="O3624">
        <v>3</v>
      </c>
      <c r="P3624" s="4">
        <v>1118</v>
      </c>
      <c r="Q3624" t="s">
        <v>42</v>
      </c>
      <c r="R3624">
        <v>1</v>
      </c>
      <c r="S3624" t="s">
        <v>44</v>
      </c>
      <c r="T3624">
        <v>0</v>
      </c>
      <c r="U3624">
        <v>0</v>
      </c>
      <c r="V3624" t="s">
        <v>32</v>
      </c>
      <c r="W3624" t="s">
        <v>39</v>
      </c>
      <c r="X3624" s="4">
        <v>9</v>
      </c>
      <c r="Y3624">
        <v>9</v>
      </c>
      <c r="Z3624" s="5">
        <v>326.77</v>
      </c>
    </row>
    <row r="3625" spans="1:26">
      <c r="A3625">
        <v>3624</v>
      </c>
      <c r="B3625">
        <v>1191</v>
      </c>
      <c r="C3625" s="2">
        <v>46253</v>
      </c>
      <c r="D3625" t="s">
        <v>52</v>
      </c>
      <c r="E3625">
        <v>8</v>
      </c>
      <c r="F3625" s="3">
        <v>12.57</v>
      </c>
      <c r="G3625" t="s">
        <v>36</v>
      </c>
      <c r="H3625">
        <v>5</v>
      </c>
      <c r="I3625" t="s">
        <v>28</v>
      </c>
      <c r="J3625" s="4">
        <v>56</v>
      </c>
      <c r="K3625" s="4">
        <v>88.1</v>
      </c>
      <c r="L3625" s="4">
        <v>19.600000000000001</v>
      </c>
      <c r="M3625">
        <v>14</v>
      </c>
      <c r="N3625" t="s">
        <v>61</v>
      </c>
      <c r="O3625">
        <v>3</v>
      </c>
      <c r="P3625" s="4">
        <v>1118</v>
      </c>
      <c r="Q3625" t="s">
        <v>42</v>
      </c>
      <c r="R3625">
        <v>1</v>
      </c>
      <c r="S3625" t="s">
        <v>44</v>
      </c>
      <c r="T3625">
        <v>0</v>
      </c>
      <c r="U3625">
        <v>0</v>
      </c>
      <c r="V3625" t="s">
        <v>32</v>
      </c>
      <c r="W3625" t="s">
        <v>39</v>
      </c>
      <c r="X3625" s="4">
        <v>8.1999999999999993</v>
      </c>
      <c r="Y3625">
        <v>10</v>
      </c>
      <c r="Z3625" s="5">
        <v>265.43</v>
      </c>
    </row>
    <row r="3626" spans="1:26">
      <c r="A3626">
        <v>3625</v>
      </c>
      <c r="B3626">
        <v>1191</v>
      </c>
      <c r="C3626" s="2">
        <v>46253</v>
      </c>
      <c r="D3626" t="s">
        <v>52</v>
      </c>
      <c r="E3626">
        <v>8</v>
      </c>
      <c r="F3626" s="3">
        <v>12.52</v>
      </c>
      <c r="G3626" t="s">
        <v>36</v>
      </c>
      <c r="H3626">
        <v>9</v>
      </c>
      <c r="I3626" t="s">
        <v>28</v>
      </c>
      <c r="J3626" s="4">
        <v>58.9</v>
      </c>
      <c r="K3626" s="4">
        <v>86</v>
      </c>
      <c r="L3626" s="4">
        <v>17.2</v>
      </c>
      <c r="M3626">
        <v>11</v>
      </c>
      <c r="N3626" t="s">
        <v>61</v>
      </c>
      <c r="O3626">
        <v>3</v>
      </c>
      <c r="P3626" s="4">
        <v>1118</v>
      </c>
      <c r="Q3626" t="s">
        <v>42</v>
      </c>
      <c r="R3626">
        <v>1</v>
      </c>
      <c r="S3626" t="s">
        <v>44</v>
      </c>
      <c r="T3626">
        <v>0</v>
      </c>
      <c r="U3626">
        <v>0</v>
      </c>
      <c r="V3626" t="s">
        <v>32</v>
      </c>
      <c r="W3626" t="s">
        <v>39</v>
      </c>
      <c r="X3626" s="4">
        <v>8.6</v>
      </c>
      <c r="Y3626">
        <v>9</v>
      </c>
      <c r="Z3626" s="5">
        <v>236.51</v>
      </c>
    </row>
    <row r="3627" spans="1:26">
      <c r="A3627">
        <v>3626</v>
      </c>
      <c r="B3627">
        <v>1192</v>
      </c>
      <c r="C3627" s="2">
        <v>46232</v>
      </c>
      <c r="D3627" t="s">
        <v>52</v>
      </c>
      <c r="E3627">
        <v>7</v>
      </c>
      <c r="F3627" s="3">
        <v>10.01</v>
      </c>
      <c r="G3627" t="s">
        <v>27</v>
      </c>
      <c r="H3627">
        <v>65</v>
      </c>
      <c r="I3627" t="s">
        <v>28</v>
      </c>
      <c r="J3627" s="4">
        <v>71.5</v>
      </c>
      <c r="K3627" s="4">
        <v>173.3</v>
      </c>
      <c r="L3627" s="4">
        <v>24.2</v>
      </c>
      <c r="M3627">
        <v>16</v>
      </c>
      <c r="N3627" t="s">
        <v>50</v>
      </c>
      <c r="O3627">
        <v>4</v>
      </c>
      <c r="P3627" s="4">
        <v>132.4</v>
      </c>
      <c r="Q3627" t="s">
        <v>48</v>
      </c>
      <c r="R3627">
        <v>1</v>
      </c>
      <c r="S3627" t="s">
        <v>38</v>
      </c>
      <c r="T3627">
        <v>1</v>
      </c>
      <c r="U3627">
        <v>1</v>
      </c>
      <c r="V3627" t="s">
        <v>32</v>
      </c>
      <c r="W3627" t="s">
        <v>39</v>
      </c>
      <c r="X3627" s="4">
        <v>7.8</v>
      </c>
      <c r="Y3627">
        <v>9</v>
      </c>
      <c r="Z3627" s="5">
        <v>391.12</v>
      </c>
    </row>
    <row r="3628" spans="1:26">
      <c r="A3628">
        <v>3627</v>
      </c>
      <c r="B3628">
        <v>1192</v>
      </c>
      <c r="C3628" s="2">
        <v>46232</v>
      </c>
      <c r="D3628" t="s">
        <v>52</v>
      </c>
      <c r="E3628">
        <v>7</v>
      </c>
      <c r="F3628" s="3">
        <v>10.33</v>
      </c>
      <c r="G3628" t="s">
        <v>27</v>
      </c>
      <c r="H3628">
        <v>66</v>
      </c>
      <c r="I3628" t="s">
        <v>28</v>
      </c>
      <c r="J3628" s="4">
        <v>68.099999999999994</v>
      </c>
      <c r="K3628" s="4">
        <v>123.2</v>
      </c>
      <c r="L3628" s="4">
        <v>18.399999999999999</v>
      </c>
      <c r="M3628">
        <v>18</v>
      </c>
      <c r="N3628" t="s">
        <v>50</v>
      </c>
      <c r="O3628">
        <v>4</v>
      </c>
      <c r="P3628" s="4">
        <v>132.4</v>
      </c>
      <c r="Q3628" t="s">
        <v>48</v>
      </c>
      <c r="R3628">
        <v>1</v>
      </c>
      <c r="S3628" t="s">
        <v>38</v>
      </c>
      <c r="T3628">
        <v>1</v>
      </c>
      <c r="U3628">
        <v>1</v>
      </c>
      <c r="V3628" t="s">
        <v>32</v>
      </c>
      <c r="W3628" t="s">
        <v>39</v>
      </c>
      <c r="X3628" s="4">
        <v>9.9</v>
      </c>
      <c r="Y3628">
        <v>11</v>
      </c>
      <c r="Z3628" s="5">
        <v>445.19</v>
      </c>
    </row>
    <row r="3629" spans="1:26">
      <c r="A3629">
        <v>3628</v>
      </c>
      <c r="B3629">
        <v>1192</v>
      </c>
      <c r="C3629" s="2">
        <v>46232</v>
      </c>
      <c r="D3629" t="s">
        <v>52</v>
      </c>
      <c r="E3629">
        <v>7</v>
      </c>
      <c r="F3629" s="3">
        <v>10.1</v>
      </c>
      <c r="G3629" t="s">
        <v>27</v>
      </c>
      <c r="H3629">
        <v>67</v>
      </c>
      <c r="I3629" t="s">
        <v>34</v>
      </c>
      <c r="J3629" s="4">
        <v>64.5</v>
      </c>
      <c r="K3629" s="4">
        <v>132.30000000000001</v>
      </c>
      <c r="L3629" s="4">
        <v>22.2</v>
      </c>
      <c r="M3629">
        <v>22</v>
      </c>
      <c r="N3629" t="s">
        <v>50</v>
      </c>
      <c r="O3629">
        <v>4</v>
      </c>
      <c r="P3629" s="4">
        <v>132.4</v>
      </c>
      <c r="Q3629" t="s">
        <v>48</v>
      </c>
      <c r="R3629">
        <v>1</v>
      </c>
      <c r="S3629" t="s">
        <v>38</v>
      </c>
      <c r="T3629">
        <v>1</v>
      </c>
      <c r="U3629">
        <v>1</v>
      </c>
      <c r="V3629" t="s">
        <v>32</v>
      </c>
      <c r="W3629" t="s">
        <v>39</v>
      </c>
      <c r="X3629" s="4">
        <v>9.1</v>
      </c>
      <c r="Y3629">
        <v>8</v>
      </c>
      <c r="Z3629" s="5">
        <v>345.05</v>
      </c>
    </row>
    <row r="3630" spans="1:26">
      <c r="A3630">
        <v>3629</v>
      </c>
      <c r="B3630">
        <v>1192</v>
      </c>
      <c r="C3630" s="2">
        <v>46232</v>
      </c>
      <c r="D3630" t="s">
        <v>52</v>
      </c>
      <c r="E3630">
        <v>7</v>
      </c>
      <c r="F3630" s="3">
        <v>10.07</v>
      </c>
      <c r="G3630" t="s">
        <v>27</v>
      </c>
      <c r="H3630">
        <v>18</v>
      </c>
      <c r="I3630" t="s">
        <v>28</v>
      </c>
      <c r="J3630" s="4">
        <v>72.099999999999994</v>
      </c>
      <c r="K3630" s="4">
        <v>207.3</v>
      </c>
      <c r="L3630" s="4">
        <v>28</v>
      </c>
      <c r="M3630">
        <v>17</v>
      </c>
      <c r="N3630" t="s">
        <v>50</v>
      </c>
      <c r="O3630">
        <v>4</v>
      </c>
      <c r="P3630" s="4">
        <v>132.4</v>
      </c>
      <c r="Q3630" t="s">
        <v>48</v>
      </c>
      <c r="R3630">
        <v>1</v>
      </c>
      <c r="S3630" t="s">
        <v>38</v>
      </c>
      <c r="T3630">
        <v>1</v>
      </c>
      <c r="U3630">
        <v>1</v>
      </c>
      <c r="V3630" t="s">
        <v>32</v>
      </c>
      <c r="W3630" t="s">
        <v>39</v>
      </c>
      <c r="X3630" s="4">
        <v>9.8000000000000007</v>
      </c>
      <c r="Y3630">
        <v>11</v>
      </c>
      <c r="Z3630" s="5">
        <v>317.98</v>
      </c>
    </row>
    <row r="3631" spans="1:26">
      <c r="A3631">
        <v>3630</v>
      </c>
      <c r="B3631">
        <v>1193</v>
      </c>
      <c r="C3631" s="2">
        <v>46039</v>
      </c>
      <c r="D3631" t="s">
        <v>40</v>
      </c>
      <c r="E3631">
        <v>1</v>
      </c>
      <c r="F3631" s="3">
        <v>9.1999999999999993</v>
      </c>
      <c r="G3631" t="s">
        <v>27</v>
      </c>
      <c r="H3631">
        <v>41</v>
      </c>
      <c r="I3631" t="s">
        <v>28</v>
      </c>
      <c r="J3631" s="4">
        <v>74.099999999999994</v>
      </c>
      <c r="K3631" s="4">
        <v>230</v>
      </c>
      <c r="L3631" s="4">
        <v>29.7</v>
      </c>
      <c r="M3631">
        <v>15</v>
      </c>
      <c r="N3631" t="s">
        <v>61</v>
      </c>
      <c r="O3631">
        <v>2</v>
      </c>
      <c r="P3631" s="4">
        <v>1146.5</v>
      </c>
      <c r="Q3631" t="s">
        <v>42</v>
      </c>
      <c r="R3631">
        <v>0</v>
      </c>
      <c r="S3631" t="s">
        <v>44</v>
      </c>
      <c r="T3631">
        <v>0</v>
      </c>
      <c r="U3631">
        <v>0</v>
      </c>
      <c r="V3631" t="s">
        <v>32</v>
      </c>
      <c r="W3631" t="s">
        <v>43</v>
      </c>
      <c r="X3631" s="4">
        <v>6.9</v>
      </c>
      <c r="Y3631">
        <v>7</v>
      </c>
      <c r="Z3631" s="5">
        <v>140.86000000000001</v>
      </c>
    </row>
    <row r="3632" spans="1:26">
      <c r="A3632">
        <v>3631</v>
      </c>
      <c r="B3632">
        <v>1193</v>
      </c>
      <c r="C3632" s="2">
        <v>46039</v>
      </c>
      <c r="D3632" t="s">
        <v>40</v>
      </c>
      <c r="E3632">
        <v>1</v>
      </c>
      <c r="F3632" s="3">
        <v>9.14</v>
      </c>
      <c r="G3632" t="s">
        <v>27</v>
      </c>
      <c r="H3632">
        <v>10</v>
      </c>
      <c r="I3632" t="s">
        <v>28</v>
      </c>
      <c r="J3632" s="4">
        <v>62</v>
      </c>
      <c r="K3632" s="4">
        <v>102.6</v>
      </c>
      <c r="L3632" s="4">
        <v>18.7</v>
      </c>
      <c r="M3632">
        <v>13</v>
      </c>
      <c r="N3632" t="s">
        <v>61</v>
      </c>
      <c r="O3632">
        <v>2</v>
      </c>
      <c r="P3632" s="4">
        <v>1146.5</v>
      </c>
      <c r="Q3632" t="s">
        <v>42</v>
      </c>
      <c r="R3632">
        <v>0</v>
      </c>
      <c r="S3632" t="s">
        <v>44</v>
      </c>
      <c r="T3632">
        <v>0</v>
      </c>
      <c r="U3632">
        <v>0</v>
      </c>
      <c r="V3632" t="s">
        <v>32</v>
      </c>
      <c r="W3632" t="s">
        <v>43</v>
      </c>
      <c r="X3632" s="4">
        <v>6.7</v>
      </c>
      <c r="Y3632">
        <v>10</v>
      </c>
      <c r="Z3632" s="5">
        <v>165.8</v>
      </c>
    </row>
    <row r="3633" spans="1:26">
      <c r="A3633">
        <v>3632</v>
      </c>
      <c r="B3633">
        <v>1194</v>
      </c>
      <c r="C3633" s="2">
        <v>46170</v>
      </c>
      <c r="D3633" t="s">
        <v>55</v>
      </c>
      <c r="E3633">
        <v>5</v>
      </c>
      <c r="F3633" s="3">
        <v>8.7799999999999994</v>
      </c>
      <c r="G3633" t="s">
        <v>27</v>
      </c>
      <c r="H3633">
        <v>55</v>
      </c>
      <c r="I3633" t="s">
        <v>34</v>
      </c>
      <c r="J3633" s="4">
        <v>58.2</v>
      </c>
      <c r="K3633" s="4">
        <v>125.9</v>
      </c>
      <c r="L3633" s="4">
        <v>25.9</v>
      </c>
      <c r="M3633">
        <v>18</v>
      </c>
      <c r="N3633" t="s">
        <v>59</v>
      </c>
      <c r="O3633">
        <v>6</v>
      </c>
      <c r="P3633" s="4">
        <v>851.3</v>
      </c>
      <c r="Q3633" t="s">
        <v>48</v>
      </c>
      <c r="R3633">
        <v>1</v>
      </c>
      <c r="S3633" t="s">
        <v>31</v>
      </c>
      <c r="T3633">
        <v>1</v>
      </c>
      <c r="U3633">
        <v>1</v>
      </c>
      <c r="V3633" t="s">
        <v>32</v>
      </c>
      <c r="W3633" t="s">
        <v>33</v>
      </c>
      <c r="X3633" s="4">
        <v>10.199999999999999</v>
      </c>
      <c r="Y3633">
        <v>8</v>
      </c>
      <c r="Z3633" s="5">
        <v>324.33</v>
      </c>
    </row>
    <row r="3634" spans="1:26">
      <c r="A3634">
        <v>3633</v>
      </c>
      <c r="B3634">
        <v>1194</v>
      </c>
      <c r="C3634" s="2">
        <v>46170</v>
      </c>
      <c r="D3634" t="s">
        <v>55</v>
      </c>
      <c r="E3634">
        <v>5</v>
      </c>
      <c r="F3634" s="3">
        <v>8.5500000000000007</v>
      </c>
      <c r="G3634" t="s">
        <v>27</v>
      </c>
      <c r="H3634">
        <v>30</v>
      </c>
      <c r="I3634" t="s">
        <v>34</v>
      </c>
      <c r="J3634" s="4">
        <v>64.900000000000006</v>
      </c>
      <c r="K3634" s="4">
        <v>183.5</v>
      </c>
      <c r="L3634" s="4">
        <v>30.4</v>
      </c>
      <c r="M3634">
        <v>21</v>
      </c>
      <c r="N3634" t="s">
        <v>59</v>
      </c>
      <c r="O3634">
        <v>6</v>
      </c>
      <c r="P3634" s="4">
        <v>851.3</v>
      </c>
      <c r="Q3634" t="s">
        <v>48</v>
      </c>
      <c r="R3634">
        <v>1</v>
      </c>
      <c r="S3634" t="s">
        <v>31</v>
      </c>
      <c r="T3634">
        <v>1</v>
      </c>
      <c r="U3634">
        <v>1</v>
      </c>
      <c r="V3634" t="s">
        <v>32</v>
      </c>
      <c r="W3634" t="s">
        <v>33</v>
      </c>
      <c r="X3634" s="4">
        <v>10.3</v>
      </c>
      <c r="Y3634">
        <v>13</v>
      </c>
      <c r="Z3634" s="5">
        <v>356.92</v>
      </c>
    </row>
    <row r="3635" spans="1:26">
      <c r="A3635">
        <v>3634</v>
      </c>
      <c r="B3635">
        <v>1194</v>
      </c>
      <c r="C3635" s="2">
        <v>46170</v>
      </c>
      <c r="D3635" t="s">
        <v>55</v>
      </c>
      <c r="E3635">
        <v>5</v>
      </c>
      <c r="F3635" s="3">
        <v>8.6300000000000008</v>
      </c>
      <c r="G3635" t="s">
        <v>27</v>
      </c>
      <c r="H3635">
        <v>46</v>
      </c>
      <c r="I3635" t="s">
        <v>34</v>
      </c>
      <c r="J3635" s="4">
        <v>69</v>
      </c>
      <c r="K3635" s="4">
        <v>197.3</v>
      </c>
      <c r="L3635" s="4">
        <v>29.1</v>
      </c>
      <c r="M3635">
        <v>20</v>
      </c>
      <c r="N3635" t="s">
        <v>59</v>
      </c>
      <c r="O3635">
        <v>6</v>
      </c>
      <c r="P3635" s="4">
        <v>851.3</v>
      </c>
      <c r="Q3635" t="s">
        <v>48</v>
      </c>
      <c r="R3635">
        <v>1</v>
      </c>
      <c r="S3635" t="s">
        <v>31</v>
      </c>
      <c r="T3635">
        <v>1</v>
      </c>
      <c r="U3635">
        <v>1</v>
      </c>
      <c r="V3635" t="s">
        <v>32</v>
      </c>
      <c r="W3635" t="s">
        <v>33</v>
      </c>
      <c r="X3635" s="4">
        <v>11.1</v>
      </c>
      <c r="Y3635">
        <v>8</v>
      </c>
      <c r="Z3635" s="5">
        <v>286.14999999999998</v>
      </c>
    </row>
    <row r="3636" spans="1:26">
      <c r="A3636">
        <v>3635</v>
      </c>
      <c r="B3636">
        <v>1194</v>
      </c>
      <c r="C3636" s="2">
        <v>46170</v>
      </c>
      <c r="D3636" t="s">
        <v>55</v>
      </c>
      <c r="E3636">
        <v>5</v>
      </c>
      <c r="F3636" s="3">
        <v>8.99</v>
      </c>
      <c r="G3636" t="s">
        <v>27</v>
      </c>
      <c r="H3636">
        <v>33</v>
      </c>
      <c r="I3636" t="s">
        <v>34</v>
      </c>
      <c r="J3636" s="4">
        <v>60.4</v>
      </c>
      <c r="K3636" s="4">
        <v>157.19999999999999</v>
      </c>
      <c r="L3636" s="4">
        <v>30.2</v>
      </c>
      <c r="M3636">
        <v>18</v>
      </c>
      <c r="N3636" t="s">
        <v>59</v>
      </c>
      <c r="O3636">
        <v>6</v>
      </c>
      <c r="P3636" s="4">
        <v>851.3</v>
      </c>
      <c r="Q3636" t="s">
        <v>48</v>
      </c>
      <c r="R3636">
        <v>1</v>
      </c>
      <c r="S3636" t="s">
        <v>31</v>
      </c>
      <c r="T3636">
        <v>1</v>
      </c>
      <c r="U3636">
        <v>1</v>
      </c>
      <c r="V3636" t="s">
        <v>32</v>
      </c>
      <c r="W3636" t="s">
        <v>33</v>
      </c>
      <c r="X3636" s="4">
        <v>10.199999999999999</v>
      </c>
      <c r="Y3636">
        <v>13</v>
      </c>
      <c r="Z3636" s="5">
        <v>450.89</v>
      </c>
    </row>
    <row r="3637" spans="1:26">
      <c r="A3637">
        <v>3636</v>
      </c>
      <c r="B3637">
        <v>1194</v>
      </c>
      <c r="C3637" s="2">
        <v>46170</v>
      </c>
      <c r="D3637" t="s">
        <v>55</v>
      </c>
      <c r="E3637">
        <v>5</v>
      </c>
      <c r="F3637" s="3">
        <v>8.66</v>
      </c>
      <c r="G3637" t="s">
        <v>27</v>
      </c>
      <c r="H3637">
        <v>36</v>
      </c>
      <c r="I3637" t="s">
        <v>34</v>
      </c>
      <c r="J3637" s="4">
        <v>63.8</v>
      </c>
      <c r="K3637" s="4">
        <v>145.69999999999999</v>
      </c>
      <c r="L3637" s="4">
        <v>25.3</v>
      </c>
      <c r="M3637">
        <v>16</v>
      </c>
      <c r="N3637" t="s">
        <v>59</v>
      </c>
      <c r="O3637">
        <v>6</v>
      </c>
      <c r="P3637" s="4">
        <v>851.3</v>
      </c>
      <c r="Q3637" t="s">
        <v>48</v>
      </c>
      <c r="R3637">
        <v>1</v>
      </c>
      <c r="S3637" t="s">
        <v>31</v>
      </c>
      <c r="T3637">
        <v>1</v>
      </c>
      <c r="U3637">
        <v>1</v>
      </c>
      <c r="V3637" t="s">
        <v>32</v>
      </c>
      <c r="W3637" t="s">
        <v>33</v>
      </c>
      <c r="X3637" s="4">
        <v>9.1</v>
      </c>
      <c r="Y3637">
        <v>5</v>
      </c>
      <c r="Z3637" s="5">
        <v>241.89</v>
      </c>
    </row>
    <row r="3638" spans="1:26">
      <c r="A3638">
        <v>3637</v>
      </c>
      <c r="B3638">
        <v>1194</v>
      </c>
      <c r="C3638" s="2">
        <v>46170</v>
      </c>
      <c r="D3638" t="s">
        <v>55</v>
      </c>
      <c r="E3638">
        <v>5</v>
      </c>
      <c r="F3638" s="3">
        <v>8.83</v>
      </c>
      <c r="G3638" t="s">
        <v>27</v>
      </c>
      <c r="H3638">
        <v>44</v>
      </c>
      <c r="I3638" t="s">
        <v>28</v>
      </c>
      <c r="J3638" s="4">
        <v>71.7</v>
      </c>
      <c r="K3638" s="4">
        <v>124.1</v>
      </c>
      <c r="L3638" s="4">
        <v>17.100000000000001</v>
      </c>
      <c r="M3638">
        <v>21</v>
      </c>
      <c r="N3638" t="s">
        <v>59</v>
      </c>
      <c r="O3638">
        <v>6</v>
      </c>
      <c r="P3638" s="4">
        <v>851.3</v>
      </c>
      <c r="Q3638" t="s">
        <v>48</v>
      </c>
      <c r="R3638">
        <v>1</v>
      </c>
      <c r="S3638" t="s">
        <v>31</v>
      </c>
      <c r="T3638">
        <v>1</v>
      </c>
      <c r="U3638">
        <v>1</v>
      </c>
      <c r="V3638" t="s">
        <v>32</v>
      </c>
      <c r="W3638" t="s">
        <v>33</v>
      </c>
      <c r="X3638" s="4">
        <v>10</v>
      </c>
      <c r="Y3638">
        <v>13</v>
      </c>
      <c r="Z3638" s="5">
        <v>487.7</v>
      </c>
    </row>
    <row r="3639" spans="1:26">
      <c r="A3639">
        <v>3638</v>
      </c>
      <c r="B3639">
        <v>1195</v>
      </c>
      <c r="C3639" s="2">
        <v>46378</v>
      </c>
      <c r="D3639" t="s">
        <v>35</v>
      </c>
      <c r="E3639">
        <v>12</v>
      </c>
      <c r="F3639" s="3">
        <v>12.34</v>
      </c>
      <c r="G3639" t="s">
        <v>36</v>
      </c>
      <c r="H3639">
        <v>63</v>
      </c>
      <c r="I3639" t="s">
        <v>34</v>
      </c>
      <c r="J3639" s="4">
        <v>61.8</v>
      </c>
      <c r="K3639" s="4">
        <v>151.9</v>
      </c>
      <c r="L3639" s="4">
        <v>28.2</v>
      </c>
      <c r="M3639">
        <v>19</v>
      </c>
      <c r="N3639" t="s">
        <v>37</v>
      </c>
      <c r="O3639">
        <v>3</v>
      </c>
      <c r="P3639" s="4">
        <v>1329.4</v>
      </c>
      <c r="Q3639" t="s">
        <v>42</v>
      </c>
      <c r="R3639">
        <v>1</v>
      </c>
      <c r="S3639" t="s">
        <v>44</v>
      </c>
      <c r="T3639">
        <v>0</v>
      </c>
      <c r="U3639">
        <v>0</v>
      </c>
      <c r="V3639" t="s">
        <v>32</v>
      </c>
      <c r="W3639" t="s">
        <v>43</v>
      </c>
      <c r="X3639" s="4">
        <v>7</v>
      </c>
      <c r="Y3639">
        <v>2</v>
      </c>
      <c r="Z3639" s="5">
        <v>129.26</v>
      </c>
    </row>
    <row r="3640" spans="1:26">
      <c r="A3640">
        <v>3639</v>
      </c>
      <c r="B3640">
        <v>1195</v>
      </c>
      <c r="C3640" s="2">
        <v>46378</v>
      </c>
      <c r="D3640" t="s">
        <v>35</v>
      </c>
      <c r="E3640">
        <v>12</v>
      </c>
      <c r="F3640" s="3">
        <v>12.13</v>
      </c>
      <c r="G3640" t="s">
        <v>36</v>
      </c>
      <c r="H3640">
        <v>39</v>
      </c>
      <c r="I3640" t="s">
        <v>28</v>
      </c>
      <c r="J3640" s="4">
        <v>70.5</v>
      </c>
      <c r="K3640" s="4">
        <v>148.5</v>
      </c>
      <c r="L3640" s="4">
        <v>21</v>
      </c>
      <c r="M3640">
        <v>15</v>
      </c>
      <c r="N3640" t="s">
        <v>37</v>
      </c>
      <c r="O3640">
        <v>3</v>
      </c>
      <c r="P3640" s="4">
        <v>1329.4</v>
      </c>
      <c r="Q3640" t="s">
        <v>42</v>
      </c>
      <c r="R3640">
        <v>1</v>
      </c>
      <c r="S3640" t="s">
        <v>44</v>
      </c>
      <c r="T3640">
        <v>0</v>
      </c>
      <c r="U3640">
        <v>0</v>
      </c>
      <c r="V3640" t="s">
        <v>32</v>
      </c>
      <c r="W3640" t="s">
        <v>43</v>
      </c>
      <c r="X3640" s="4">
        <v>7.8</v>
      </c>
      <c r="Y3640">
        <v>12</v>
      </c>
      <c r="Z3640" s="5">
        <v>288.57</v>
      </c>
    </row>
    <row r="3641" spans="1:26">
      <c r="A3641">
        <v>3640</v>
      </c>
      <c r="B3641">
        <v>1195</v>
      </c>
      <c r="C3641" s="2">
        <v>46378</v>
      </c>
      <c r="D3641" t="s">
        <v>35</v>
      </c>
      <c r="E3641">
        <v>12</v>
      </c>
      <c r="F3641" s="3">
        <v>12.28</v>
      </c>
      <c r="G3641" t="s">
        <v>36</v>
      </c>
      <c r="H3641">
        <v>38</v>
      </c>
      <c r="I3641" t="s">
        <v>34</v>
      </c>
      <c r="J3641" s="4">
        <v>62.9</v>
      </c>
      <c r="K3641" s="4">
        <v>95.8</v>
      </c>
      <c r="L3641" s="4">
        <v>17.100000000000001</v>
      </c>
      <c r="M3641">
        <v>16</v>
      </c>
      <c r="N3641" t="s">
        <v>37</v>
      </c>
      <c r="O3641">
        <v>3</v>
      </c>
      <c r="P3641" s="4">
        <v>1329.4</v>
      </c>
      <c r="Q3641" t="s">
        <v>42</v>
      </c>
      <c r="R3641">
        <v>1</v>
      </c>
      <c r="S3641" t="s">
        <v>44</v>
      </c>
      <c r="T3641">
        <v>0</v>
      </c>
      <c r="U3641">
        <v>0</v>
      </c>
      <c r="V3641" t="s">
        <v>32</v>
      </c>
      <c r="W3641" t="s">
        <v>43</v>
      </c>
      <c r="X3641" s="4">
        <v>6.3</v>
      </c>
      <c r="Y3641">
        <v>6</v>
      </c>
      <c r="Z3641" s="5">
        <v>225.67</v>
      </c>
    </row>
    <row r="3642" spans="1:26">
      <c r="A3642">
        <v>3641</v>
      </c>
      <c r="B3642">
        <v>1196</v>
      </c>
      <c r="C3642" s="2">
        <v>46314</v>
      </c>
      <c r="D3642" t="s">
        <v>46</v>
      </c>
      <c r="E3642">
        <v>10</v>
      </c>
      <c r="F3642" s="3">
        <v>13.04</v>
      </c>
      <c r="G3642" t="s">
        <v>36</v>
      </c>
      <c r="H3642">
        <v>43</v>
      </c>
      <c r="I3642" t="s">
        <v>34</v>
      </c>
      <c r="J3642" s="4">
        <v>66.400000000000006</v>
      </c>
      <c r="K3642" s="4">
        <v>143.5</v>
      </c>
      <c r="L3642" s="4">
        <v>23.1</v>
      </c>
      <c r="M3642">
        <v>14</v>
      </c>
      <c r="N3642" t="s">
        <v>50</v>
      </c>
      <c r="O3642">
        <v>6</v>
      </c>
      <c r="P3642" s="4">
        <v>322.5</v>
      </c>
      <c r="Q3642" t="s">
        <v>42</v>
      </c>
      <c r="R3642">
        <v>0</v>
      </c>
      <c r="S3642" t="s">
        <v>44</v>
      </c>
      <c r="T3642">
        <v>0</v>
      </c>
      <c r="U3642">
        <v>0</v>
      </c>
      <c r="V3642" t="s">
        <v>45</v>
      </c>
      <c r="W3642" t="s">
        <v>39</v>
      </c>
      <c r="X3642" s="4">
        <v>7.5</v>
      </c>
      <c r="Y3642">
        <v>5</v>
      </c>
      <c r="Z3642" s="5">
        <v>152.85</v>
      </c>
    </row>
    <row r="3643" spans="1:26">
      <c r="A3643">
        <v>3642</v>
      </c>
      <c r="B3643">
        <v>1196</v>
      </c>
      <c r="C3643" s="2">
        <v>46314</v>
      </c>
      <c r="D3643" t="s">
        <v>46</v>
      </c>
      <c r="E3643">
        <v>10</v>
      </c>
      <c r="F3643" s="3">
        <v>12.96</v>
      </c>
      <c r="G3643" t="s">
        <v>36</v>
      </c>
      <c r="H3643">
        <v>64</v>
      </c>
      <c r="I3643" t="s">
        <v>34</v>
      </c>
      <c r="J3643" s="4">
        <v>66.5</v>
      </c>
      <c r="K3643" s="4">
        <v>150.5</v>
      </c>
      <c r="L3643" s="4">
        <v>23.9</v>
      </c>
      <c r="M3643">
        <v>16</v>
      </c>
      <c r="N3643" t="s">
        <v>50</v>
      </c>
      <c r="O3643">
        <v>6</v>
      </c>
      <c r="P3643" s="4">
        <v>322.5</v>
      </c>
      <c r="Q3643" t="s">
        <v>42</v>
      </c>
      <c r="R3643">
        <v>0</v>
      </c>
      <c r="S3643" t="s">
        <v>44</v>
      </c>
      <c r="T3643">
        <v>0</v>
      </c>
      <c r="U3643">
        <v>0</v>
      </c>
      <c r="V3643" t="s">
        <v>45</v>
      </c>
      <c r="W3643" t="s">
        <v>39</v>
      </c>
      <c r="X3643" s="4">
        <v>6.8</v>
      </c>
      <c r="Y3643">
        <v>7</v>
      </c>
      <c r="Z3643" s="5">
        <v>129.34</v>
      </c>
    </row>
    <row r="3644" spans="1:26">
      <c r="A3644">
        <v>3643</v>
      </c>
      <c r="B3644">
        <v>1196</v>
      </c>
      <c r="C3644" s="2">
        <v>46314</v>
      </c>
      <c r="D3644" t="s">
        <v>46</v>
      </c>
      <c r="E3644">
        <v>10</v>
      </c>
      <c r="F3644" s="3">
        <v>13.01</v>
      </c>
      <c r="G3644" t="s">
        <v>36</v>
      </c>
      <c r="H3644">
        <v>9</v>
      </c>
      <c r="I3644" t="s">
        <v>34</v>
      </c>
      <c r="J3644" s="4">
        <v>60.8</v>
      </c>
      <c r="K3644" s="4">
        <v>118.6</v>
      </c>
      <c r="L3644" s="4">
        <v>22.6</v>
      </c>
      <c r="M3644">
        <v>10</v>
      </c>
      <c r="N3644" t="s">
        <v>50</v>
      </c>
      <c r="O3644">
        <v>6</v>
      </c>
      <c r="P3644" s="4">
        <v>322.5</v>
      </c>
      <c r="Q3644" t="s">
        <v>42</v>
      </c>
      <c r="R3644">
        <v>0</v>
      </c>
      <c r="S3644" t="s">
        <v>44</v>
      </c>
      <c r="T3644">
        <v>0</v>
      </c>
      <c r="U3644">
        <v>0</v>
      </c>
      <c r="V3644" t="s">
        <v>45</v>
      </c>
      <c r="W3644" t="s">
        <v>39</v>
      </c>
      <c r="X3644" s="4">
        <v>8.1</v>
      </c>
      <c r="Y3644">
        <v>17</v>
      </c>
      <c r="Z3644" s="5">
        <v>256.14</v>
      </c>
    </row>
    <row r="3645" spans="1:26">
      <c r="A3645">
        <v>3644</v>
      </c>
      <c r="B3645">
        <v>1196</v>
      </c>
      <c r="C3645" s="2">
        <v>46314</v>
      </c>
      <c r="D3645" t="s">
        <v>46</v>
      </c>
      <c r="E3645">
        <v>10</v>
      </c>
      <c r="F3645" s="3">
        <v>12.82</v>
      </c>
      <c r="G3645" t="s">
        <v>36</v>
      </c>
      <c r="H3645">
        <v>39</v>
      </c>
      <c r="I3645" t="s">
        <v>34</v>
      </c>
      <c r="J3645" s="4">
        <v>66</v>
      </c>
      <c r="K3645" s="4">
        <v>162.9</v>
      </c>
      <c r="L3645" s="4">
        <v>26.4</v>
      </c>
      <c r="M3645">
        <v>18</v>
      </c>
      <c r="N3645" t="s">
        <v>50</v>
      </c>
      <c r="O3645">
        <v>6</v>
      </c>
      <c r="P3645" s="4">
        <v>322.5</v>
      </c>
      <c r="Q3645" t="s">
        <v>42</v>
      </c>
      <c r="R3645">
        <v>0</v>
      </c>
      <c r="S3645" t="s">
        <v>44</v>
      </c>
      <c r="T3645">
        <v>0</v>
      </c>
      <c r="U3645">
        <v>0</v>
      </c>
      <c r="V3645" t="s">
        <v>45</v>
      </c>
      <c r="W3645" t="s">
        <v>39</v>
      </c>
      <c r="X3645" s="4">
        <v>8</v>
      </c>
      <c r="Y3645">
        <v>8</v>
      </c>
      <c r="Z3645" s="5">
        <v>163.12</v>
      </c>
    </row>
    <row r="3646" spans="1:26">
      <c r="A3646">
        <v>3645</v>
      </c>
      <c r="B3646">
        <v>1196</v>
      </c>
      <c r="C3646" s="2">
        <v>46314</v>
      </c>
      <c r="D3646" t="s">
        <v>46</v>
      </c>
      <c r="E3646">
        <v>10</v>
      </c>
      <c r="F3646" s="3">
        <v>12.93</v>
      </c>
      <c r="G3646" t="s">
        <v>36</v>
      </c>
      <c r="H3646">
        <v>25</v>
      </c>
      <c r="I3646" t="s">
        <v>34</v>
      </c>
      <c r="J3646" s="4">
        <v>64.2</v>
      </c>
      <c r="K3646" s="4">
        <v>144.1</v>
      </c>
      <c r="L3646" s="4">
        <v>24.5</v>
      </c>
      <c r="M3646">
        <v>14</v>
      </c>
      <c r="N3646" t="s">
        <v>50</v>
      </c>
      <c r="O3646">
        <v>6</v>
      </c>
      <c r="P3646" s="4">
        <v>322.5</v>
      </c>
      <c r="Q3646" t="s">
        <v>42</v>
      </c>
      <c r="R3646">
        <v>0</v>
      </c>
      <c r="S3646" t="s">
        <v>44</v>
      </c>
      <c r="T3646">
        <v>0</v>
      </c>
      <c r="U3646">
        <v>0</v>
      </c>
      <c r="V3646" t="s">
        <v>45</v>
      </c>
      <c r="W3646" t="s">
        <v>39</v>
      </c>
      <c r="X3646" s="4">
        <v>4</v>
      </c>
      <c r="Y3646">
        <v>3</v>
      </c>
      <c r="Z3646" s="5">
        <v>98.93</v>
      </c>
    </row>
    <row r="3647" spans="1:26">
      <c r="A3647">
        <v>3646</v>
      </c>
      <c r="B3647">
        <v>1196</v>
      </c>
      <c r="C3647" s="2">
        <v>46314</v>
      </c>
      <c r="D3647" t="s">
        <v>46</v>
      </c>
      <c r="E3647">
        <v>10</v>
      </c>
      <c r="F3647" s="3">
        <v>12.95</v>
      </c>
      <c r="G3647" t="s">
        <v>36</v>
      </c>
      <c r="H3647">
        <v>65</v>
      </c>
      <c r="I3647" t="s">
        <v>28</v>
      </c>
      <c r="J3647" s="4">
        <v>71.2</v>
      </c>
      <c r="K3647" s="4">
        <v>190.3</v>
      </c>
      <c r="L3647" s="4">
        <v>26.3</v>
      </c>
      <c r="M3647">
        <v>17</v>
      </c>
      <c r="N3647" t="s">
        <v>50</v>
      </c>
      <c r="O3647">
        <v>6</v>
      </c>
      <c r="P3647" s="4">
        <v>322.5</v>
      </c>
      <c r="Q3647" t="s">
        <v>42</v>
      </c>
      <c r="R3647">
        <v>0</v>
      </c>
      <c r="S3647" t="s">
        <v>44</v>
      </c>
      <c r="T3647">
        <v>0</v>
      </c>
      <c r="U3647">
        <v>0</v>
      </c>
      <c r="V3647" t="s">
        <v>45</v>
      </c>
      <c r="W3647" t="s">
        <v>39</v>
      </c>
      <c r="X3647" s="4">
        <v>5.5</v>
      </c>
      <c r="Y3647">
        <v>9</v>
      </c>
      <c r="Z3647" s="5">
        <v>214</v>
      </c>
    </row>
    <row r="3648" spans="1:26">
      <c r="A3648">
        <v>3647</v>
      </c>
      <c r="B3648">
        <v>1197</v>
      </c>
      <c r="C3648" s="2">
        <v>46111</v>
      </c>
      <c r="D3648" t="s">
        <v>46</v>
      </c>
      <c r="E3648">
        <v>3</v>
      </c>
      <c r="F3648" s="3">
        <v>11.16</v>
      </c>
      <c r="G3648" t="s">
        <v>36</v>
      </c>
      <c r="H3648">
        <v>14</v>
      </c>
      <c r="I3648" t="s">
        <v>28</v>
      </c>
      <c r="J3648" s="4">
        <v>62.5</v>
      </c>
      <c r="K3648" s="4">
        <v>89.2</v>
      </c>
      <c r="L3648" s="4">
        <v>16.2</v>
      </c>
      <c r="M3648">
        <v>11</v>
      </c>
      <c r="N3648" t="s">
        <v>59</v>
      </c>
      <c r="O3648">
        <v>3</v>
      </c>
      <c r="P3648" s="4">
        <v>635.6</v>
      </c>
      <c r="Q3648" t="s">
        <v>30</v>
      </c>
      <c r="R3648">
        <v>0</v>
      </c>
      <c r="S3648" t="s">
        <v>44</v>
      </c>
      <c r="T3648">
        <v>0</v>
      </c>
      <c r="U3648">
        <v>1</v>
      </c>
      <c r="V3648" t="s">
        <v>64</v>
      </c>
      <c r="W3648" t="s">
        <v>39</v>
      </c>
      <c r="X3648" s="4">
        <v>11.2</v>
      </c>
      <c r="Y3648">
        <v>15</v>
      </c>
      <c r="Z3648" s="5">
        <v>546.99</v>
      </c>
    </row>
    <row r="3649" spans="1:26">
      <c r="A3649">
        <v>3648</v>
      </c>
      <c r="B3649">
        <v>1197</v>
      </c>
      <c r="C3649" s="2">
        <v>46111</v>
      </c>
      <c r="D3649" t="s">
        <v>46</v>
      </c>
      <c r="E3649">
        <v>3</v>
      </c>
      <c r="F3649" s="3">
        <v>10.93</v>
      </c>
      <c r="G3649" t="s">
        <v>27</v>
      </c>
      <c r="H3649">
        <v>29</v>
      </c>
      <c r="I3649" t="s">
        <v>34</v>
      </c>
      <c r="J3649" s="4">
        <v>64.3</v>
      </c>
      <c r="K3649" s="4">
        <v>134</v>
      </c>
      <c r="L3649" s="4">
        <v>22.7</v>
      </c>
      <c r="M3649">
        <v>13</v>
      </c>
      <c r="N3649" t="s">
        <v>59</v>
      </c>
      <c r="O3649">
        <v>3</v>
      </c>
      <c r="P3649" s="4">
        <v>635.6</v>
      </c>
      <c r="Q3649" t="s">
        <v>30</v>
      </c>
      <c r="R3649">
        <v>0</v>
      </c>
      <c r="S3649" t="s">
        <v>44</v>
      </c>
      <c r="T3649">
        <v>0</v>
      </c>
      <c r="U3649">
        <v>1</v>
      </c>
      <c r="V3649" t="s">
        <v>64</v>
      </c>
      <c r="W3649" t="s">
        <v>39</v>
      </c>
      <c r="X3649" s="4">
        <v>9.9</v>
      </c>
      <c r="Y3649">
        <v>9</v>
      </c>
      <c r="Z3649" s="5">
        <v>277.10000000000002</v>
      </c>
    </row>
    <row r="3650" spans="1:26">
      <c r="A3650">
        <v>3649</v>
      </c>
      <c r="B3650">
        <v>1197</v>
      </c>
      <c r="C3650" s="2">
        <v>46111</v>
      </c>
      <c r="D3650" t="s">
        <v>46</v>
      </c>
      <c r="E3650">
        <v>3</v>
      </c>
      <c r="F3650" s="3">
        <v>11.16</v>
      </c>
      <c r="G3650" t="s">
        <v>36</v>
      </c>
      <c r="H3650">
        <v>39</v>
      </c>
      <c r="I3650" t="s">
        <v>28</v>
      </c>
      <c r="J3650" s="4">
        <v>67.7</v>
      </c>
      <c r="K3650" s="4">
        <v>152.30000000000001</v>
      </c>
      <c r="L3650" s="4">
        <v>23.3</v>
      </c>
      <c r="M3650">
        <v>14</v>
      </c>
      <c r="N3650" t="s">
        <v>59</v>
      </c>
      <c r="O3650">
        <v>3</v>
      </c>
      <c r="P3650" s="4">
        <v>635.6</v>
      </c>
      <c r="Q3650" t="s">
        <v>30</v>
      </c>
      <c r="R3650">
        <v>0</v>
      </c>
      <c r="S3650" t="s">
        <v>44</v>
      </c>
      <c r="T3650">
        <v>0</v>
      </c>
      <c r="U3650">
        <v>1</v>
      </c>
      <c r="V3650" t="s">
        <v>64</v>
      </c>
      <c r="W3650" t="s">
        <v>39</v>
      </c>
      <c r="X3650" s="4">
        <v>6.9</v>
      </c>
      <c r="Y3650">
        <v>8</v>
      </c>
      <c r="Z3650" s="5">
        <v>304.76</v>
      </c>
    </row>
    <row r="3651" spans="1:26">
      <c r="A3651">
        <v>3650</v>
      </c>
      <c r="B3651">
        <v>1198</v>
      </c>
      <c r="C3651" s="2">
        <v>46154</v>
      </c>
      <c r="D3651" t="s">
        <v>35</v>
      </c>
      <c r="E3651">
        <v>5</v>
      </c>
      <c r="F3651" s="3">
        <v>9.39</v>
      </c>
      <c r="G3651" t="s">
        <v>27</v>
      </c>
      <c r="H3651">
        <v>8</v>
      </c>
      <c r="I3651" t="s">
        <v>28</v>
      </c>
      <c r="J3651" s="4">
        <v>62.2</v>
      </c>
      <c r="K3651" s="4">
        <v>117.3</v>
      </c>
      <c r="L3651" s="4">
        <v>21.1</v>
      </c>
      <c r="M3651">
        <v>14</v>
      </c>
      <c r="N3651" t="s">
        <v>50</v>
      </c>
      <c r="O3651">
        <v>3</v>
      </c>
      <c r="P3651" s="4">
        <v>449.7</v>
      </c>
      <c r="Q3651" t="s">
        <v>48</v>
      </c>
      <c r="R3651">
        <v>1</v>
      </c>
      <c r="S3651" t="s">
        <v>38</v>
      </c>
      <c r="T3651">
        <v>0</v>
      </c>
      <c r="U3651">
        <v>0</v>
      </c>
      <c r="V3651" t="s">
        <v>32</v>
      </c>
      <c r="W3651" t="s">
        <v>39</v>
      </c>
      <c r="X3651" s="4">
        <v>9.4</v>
      </c>
      <c r="Y3651">
        <v>2</v>
      </c>
      <c r="Z3651" s="5">
        <v>321.88</v>
      </c>
    </row>
    <row r="3652" spans="1:26">
      <c r="A3652">
        <v>3651</v>
      </c>
      <c r="B3652">
        <v>1198</v>
      </c>
      <c r="C3652" s="2">
        <v>46154</v>
      </c>
      <c r="D3652" t="s">
        <v>35</v>
      </c>
      <c r="E3652">
        <v>5</v>
      </c>
      <c r="F3652" s="3">
        <v>9.07</v>
      </c>
      <c r="G3652" t="s">
        <v>27</v>
      </c>
      <c r="H3652">
        <v>14</v>
      </c>
      <c r="I3652" t="s">
        <v>34</v>
      </c>
      <c r="J3652" s="4">
        <v>62.3</v>
      </c>
      <c r="K3652" s="4">
        <v>90.7</v>
      </c>
      <c r="L3652" s="4">
        <v>16.600000000000001</v>
      </c>
      <c r="M3652">
        <v>15</v>
      </c>
      <c r="N3652" t="s">
        <v>50</v>
      </c>
      <c r="O3652">
        <v>3</v>
      </c>
      <c r="P3652" s="4">
        <v>449.7</v>
      </c>
      <c r="Q3652" t="s">
        <v>48</v>
      </c>
      <c r="R3652">
        <v>1</v>
      </c>
      <c r="S3652" t="s">
        <v>38</v>
      </c>
      <c r="T3652">
        <v>0</v>
      </c>
      <c r="U3652">
        <v>0</v>
      </c>
      <c r="V3652" t="s">
        <v>32</v>
      </c>
      <c r="W3652" t="s">
        <v>39</v>
      </c>
      <c r="X3652" s="4">
        <v>8.1999999999999993</v>
      </c>
      <c r="Y3652">
        <v>9</v>
      </c>
      <c r="Z3652" s="5">
        <v>283.19</v>
      </c>
    </row>
    <row r="3653" spans="1:26">
      <c r="A3653">
        <v>3652</v>
      </c>
      <c r="B3653">
        <v>1198</v>
      </c>
      <c r="C3653" s="2">
        <v>46154</v>
      </c>
      <c r="D3653" t="s">
        <v>35</v>
      </c>
      <c r="E3653">
        <v>5</v>
      </c>
      <c r="F3653" s="3">
        <v>9.2100000000000009</v>
      </c>
      <c r="G3653" t="s">
        <v>27</v>
      </c>
      <c r="H3653">
        <v>57</v>
      </c>
      <c r="I3653" t="s">
        <v>34</v>
      </c>
      <c r="J3653" s="4">
        <v>61.8</v>
      </c>
      <c r="K3653" s="4">
        <v>143</v>
      </c>
      <c r="L3653" s="4">
        <v>26.5</v>
      </c>
      <c r="M3653">
        <v>17</v>
      </c>
      <c r="N3653" t="s">
        <v>50</v>
      </c>
      <c r="O3653">
        <v>3</v>
      </c>
      <c r="P3653" s="4">
        <v>449.7</v>
      </c>
      <c r="Q3653" t="s">
        <v>48</v>
      </c>
      <c r="R3653">
        <v>1</v>
      </c>
      <c r="S3653" t="s">
        <v>38</v>
      </c>
      <c r="T3653">
        <v>0</v>
      </c>
      <c r="U3653">
        <v>0</v>
      </c>
      <c r="V3653" t="s">
        <v>32</v>
      </c>
      <c r="W3653" t="s">
        <v>39</v>
      </c>
      <c r="X3653" s="4">
        <v>11.8</v>
      </c>
      <c r="Y3653">
        <v>12</v>
      </c>
      <c r="Z3653" s="5">
        <v>230.94</v>
      </c>
    </row>
    <row r="3654" spans="1:26">
      <c r="A3654">
        <v>3653</v>
      </c>
      <c r="B3654">
        <v>1199</v>
      </c>
      <c r="C3654" s="2">
        <v>46235</v>
      </c>
      <c r="D3654" t="s">
        <v>40</v>
      </c>
      <c r="E3654">
        <v>8</v>
      </c>
      <c r="F3654" s="3">
        <v>12.07</v>
      </c>
      <c r="G3654" t="s">
        <v>36</v>
      </c>
      <c r="H3654">
        <v>53</v>
      </c>
      <c r="I3654" t="s">
        <v>28</v>
      </c>
      <c r="J3654" s="4">
        <v>65.599999999999994</v>
      </c>
      <c r="K3654" s="4">
        <v>170.9</v>
      </c>
      <c r="L3654" s="4">
        <v>28.1</v>
      </c>
      <c r="M3654">
        <v>18</v>
      </c>
      <c r="N3654" t="s">
        <v>47</v>
      </c>
      <c r="O3654">
        <v>1</v>
      </c>
      <c r="P3654" s="4">
        <v>118</v>
      </c>
      <c r="Q3654" t="s">
        <v>48</v>
      </c>
      <c r="R3654">
        <v>0</v>
      </c>
      <c r="S3654" t="s">
        <v>44</v>
      </c>
      <c r="T3654">
        <v>0</v>
      </c>
      <c r="U3654">
        <v>1</v>
      </c>
      <c r="V3654" t="s">
        <v>32</v>
      </c>
      <c r="W3654" t="s">
        <v>39</v>
      </c>
      <c r="X3654" s="4">
        <v>8.8000000000000007</v>
      </c>
      <c r="Y3654">
        <v>4</v>
      </c>
      <c r="Z3654" s="5">
        <v>174.38</v>
      </c>
    </row>
    <row r="3655" spans="1:26">
      <c r="A3655">
        <v>3654</v>
      </c>
      <c r="B3655">
        <v>1200</v>
      </c>
      <c r="C3655" s="2">
        <v>46237</v>
      </c>
      <c r="D3655" t="s">
        <v>46</v>
      </c>
      <c r="E3655">
        <v>8</v>
      </c>
      <c r="F3655" s="3">
        <v>8.4600000000000009</v>
      </c>
      <c r="G3655" t="s">
        <v>27</v>
      </c>
      <c r="H3655">
        <v>31</v>
      </c>
      <c r="I3655" t="s">
        <v>28</v>
      </c>
      <c r="J3655" s="4">
        <v>69.2</v>
      </c>
      <c r="K3655" s="4">
        <v>208.6</v>
      </c>
      <c r="L3655" s="4">
        <v>30.7</v>
      </c>
      <c r="M3655">
        <v>18</v>
      </c>
      <c r="N3655" t="s">
        <v>47</v>
      </c>
      <c r="O3655">
        <v>3</v>
      </c>
      <c r="P3655" s="4">
        <v>3.7</v>
      </c>
      <c r="Q3655" t="s">
        <v>48</v>
      </c>
      <c r="R3655">
        <v>0</v>
      </c>
      <c r="S3655" t="s">
        <v>44</v>
      </c>
      <c r="T3655">
        <v>0</v>
      </c>
      <c r="U3655">
        <v>1</v>
      </c>
      <c r="V3655" t="s">
        <v>32</v>
      </c>
      <c r="W3655" t="s">
        <v>33</v>
      </c>
      <c r="X3655" s="4">
        <v>7.4</v>
      </c>
      <c r="Y3655">
        <v>7</v>
      </c>
      <c r="Z3655" s="5">
        <v>285.52</v>
      </c>
    </row>
    <row r="3656" spans="1:26">
      <c r="A3656">
        <v>3655</v>
      </c>
      <c r="B3656">
        <v>1200</v>
      </c>
      <c r="C3656" s="2">
        <v>46237</v>
      </c>
      <c r="D3656" t="s">
        <v>46</v>
      </c>
      <c r="E3656">
        <v>8</v>
      </c>
      <c r="F3656" s="3">
        <v>8.51</v>
      </c>
      <c r="G3656" t="s">
        <v>27</v>
      </c>
      <c r="H3656">
        <v>42</v>
      </c>
      <c r="I3656" t="s">
        <v>28</v>
      </c>
      <c r="J3656" s="4">
        <v>65.599999999999994</v>
      </c>
      <c r="K3656" s="4">
        <v>220</v>
      </c>
      <c r="L3656" s="4">
        <v>35.6</v>
      </c>
      <c r="M3656">
        <v>21</v>
      </c>
      <c r="N3656" t="s">
        <v>47</v>
      </c>
      <c r="O3656">
        <v>3</v>
      </c>
      <c r="P3656" s="4">
        <v>3.7</v>
      </c>
      <c r="Q3656" t="s">
        <v>48</v>
      </c>
      <c r="R3656">
        <v>0</v>
      </c>
      <c r="S3656" t="s">
        <v>44</v>
      </c>
      <c r="T3656">
        <v>0</v>
      </c>
      <c r="U3656">
        <v>1</v>
      </c>
      <c r="V3656" t="s">
        <v>32</v>
      </c>
      <c r="W3656" t="s">
        <v>33</v>
      </c>
      <c r="X3656" s="4">
        <v>8.1999999999999993</v>
      </c>
      <c r="Y3656">
        <v>8</v>
      </c>
      <c r="Z3656" s="5">
        <v>211.7</v>
      </c>
    </row>
    <row r="3657" spans="1:26">
      <c r="A3657">
        <v>3656</v>
      </c>
      <c r="B3657">
        <v>1200</v>
      </c>
      <c r="C3657" s="2">
        <v>46237</v>
      </c>
      <c r="D3657" t="s">
        <v>46</v>
      </c>
      <c r="E3657">
        <v>8</v>
      </c>
      <c r="F3657" s="3">
        <v>8.48</v>
      </c>
      <c r="G3657" t="s">
        <v>27</v>
      </c>
      <c r="H3657">
        <v>53</v>
      </c>
      <c r="I3657" t="s">
        <v>34</v>
      </c>
      <c r="J3657" s="4">
        <v>59.2</v>
      </c>
      <c r="K3657" s="4">
        <v>118.2</v>
      </c>
      <c r="L3657" s="4">
        <v>23.7</v>
      </c>
      <c r="M3657">
        <v>21</v>
      </c>
      <c r="N3657" t="s">
        <v>47</v>
      </c>
      <c r="O3657">
        <v>3</v>
      </c>
      <c r="P3657" s="4">
        <v>3.7</v>
      </c>
      <c r="Q3657" t="s">
        <v>48</v>
      </c>
      <c r="R3657">
        <v>0</v>
      </c>
      <c r="S3657" t="s">
        <v>44</v>
      </c>
      <c r="T3657">
        <v>0</v>
      </c>
      <c r="U3657">
        <v>1</v>
      </c>
      <c r="V3657" t="s">
        <v>32</v>
      </c>
      <c r="W3657" t="s">
        <v>33</v>
      </c>
      <c r="X3657" s="4">
        <v>7.7</v>
      </c>
      <c r="Y3657">
        <v>9</v>
      </c>
      <c r="Z3657" s="5">
        <v>322.14999999999998</v>
      </c>
    </row>
    <row r="3658" spans="1:26">
      <c r="A3658">
        <v>3657</v>
      </c>
      <c r="B3658">
        <v>1201</v>
      </c>
      <c r="C3658" s="2">
        <v>46343</v>
      </c>
      <c r="D3658" t="s">
        <v>35</v>
      </c>
      <c r="E3658">
        <v>11</v>
      </c>
      <c r="F3658" s="3">
        <v>8.26</v>
      </c>
      <c r="G3658" t="s">
        <v>27</v>
      </c>
      <c r="H3658">
        <v>20</v>
      </c>
      <c r="I3658" t="s">
        <v>34</v>
      </c>
      <c r="J3658" s="4">
        <v>64.099999999999994</v>
      </c>
      <c r="K3658" s="4">
        <v>158.80000000000001</v>
      </c>
      <c r="L3658" s="4">
        <v>27</v>
      </c>
      <c r="M3658">
        <v>14</v>
      </c>
      <c r="N3658" t="s">
        <v>66</v>
      </c>
      <c r="O3658">
        <v>3</v>
      </c>
      <c r="P3658" s="4">
        <v>747.3</v>
      </c>
      <c r="Q3658" t="s">
        <v>30</v>
      </c>
      <c r="R3658">
        <v>1</v>
      </c>
      <c r="S3658" t="s">
        <v>44</v>
      </c>
      <c r="T3658">
        <v>0</v>
      </c>
      <c r="U3658">
        <v>0</v>
      </c>
      <c r="V3658" t="s">
        <v>32</v>
      </c>
      <c r="W3658" t="s">
        <v>43</v>
      </c>
      <c r="X3658" s="4">
        <v>7</v>
      </c>
      <c r="Y3658">
        <v>5</v>
      </c>
      <c r="Z3658" s="5">
        <v>155.81</v>
      </c>
    </row>
    <row r="3659" spans="1:26">
      <c r="A3659">
        <v>3658</v>
      </c>
      <c r="B3659">
        <v>1201</v>
      </c>
      <c r="C3659" s="2">
        <v>46343</v>
      </c>
      <c r="D3659" t="s">
        <v>35</v>
      </c>
      <c r="E3659">
        <v>11</v>
      </c>
      <c r="F3659" s="3">
        <v>8.1999999999999993</v>
      </c>
      <c r="G3659" t="s">
        <v>27</v>
      </c>
      <c r="H3659">
        <v>53</v>
      </c>
      <c r="I3659" t="s">
        <v>34</v>
      </c>
      <c r="J3659" s="4">
        <v>60.7</v>
      </c>
      <c r="K3659" s="4">
        <v>150.80000000000001</v>
      </c>
      <c r="L3659" s="4">
        <v>28.7</v>
      </c>
      <c r="M3659">
        <v>13</v>
      </c>
      <c r="N3659" t="s">
        <v>66</v>
      </c>
      <c r="O3659">
        <v>3</v>
      </c>
      <c r="P3659" s="4">
        <v>747.3</v>
      </c>
      <c r="Q3659" t="s">
        <v>30</v>
      </c>
      <c r="R3659">
        <v>1</v>
      </c>
      <c r="S3659" t="s">
        <v>44</v>
      </c>
      <c r="T3659">
        <v>0</v>
      </c>
      <c r="U3659">
        <v>0</v>
      </c>
      <c r="V3659" t="s">
        <v>32</v>
      </c>
      <c r="W3659" t="s">
        <v>43</v>
      </c>
      <c r="X3659" s="4">
        <v>8.8000000000000007</v>
      </c>
      <c r="Y3659">
        <v>4</v>
      </c>
      <c r="Z3659" s="5">
        <v>193.68</v>
      </c>
    </row>
    <row r="3660" spans="1:26">
      <c r="A3660">
        <v>3659</v>
      </c>
      <c r="B3660">
        <v>1201</v>
      </c>
      <c r="C3660" s="2">
        <v>46343</v>
      </c>
      <c r="D3660" t="s">
        <v>35</v>
      </c>
      <c r="E3660">
        <v>11</v>
      </c>
      <c r="F3660" s="3">
        <v>8.43</v>
      </c>
      <c r="G3660" t="s">
        <v>27</v>
      </c>
      <c r="H3660">
        <v>30</v>
      </c>
      <c r="I3660" t="s">
        <v>28</v>
      </c>
      <c r="J3660" s="4">
        <v>64.400000000000006</v>
      </c>
      <c r="K3660" s="4">
        <v>173.3</v>
      </c>
      <c r="L3660" s="4">
        <v>29.1</v>
      </c>
      <c r="M3660">
        <v>12</v>
      </c>
      <c r="N3660" t="s">
        <v>66</v>
      </c>
      <c r="O3660">
        <v>3</v>
      </c>
      <c r="P3660" s="4">
        <v>747.3</v>
      </c>
      <c r="Q3660" t="s">
        <v>30</v>
      </c>
      <c r="R3660">
        <v>1</v>
      </c>
      <c r="S3660" t="s">
        <v>44</v>
      </c>
      <c r="T3660">
        <v>0</v>
      </c>
      <c r="U3660">
        <v>0</v>
      </c>
      <c r="V3660" t="s">
        <v>32</v>
      </c>
      <c r="W3660" t="s">
        <v>43</v>
      </c>
      <c r="X3660" s="4">
        <v>11.4</v>
      </c>
      <c r="Y3660">
        <v>13</v>
      </c>
      <c r="Z3660" s="5">
        <v>290.83</v>
      </c>
    </row>
    <row r="3661" spans="1:26">
      <c r="A3661">
        <v>3660</v>
      </c>
      <c r="B3661">
        <v>1202</v>
      </c>
      <c r="C3661" s="2">
        <v>46146</v>
      </c>
      <c r="D3661" t="s">
        <v>46</v>
      </c>
      <c r="E3661">
        <v>5</v>
      </c>
      <c r="F3661" s="3">
        <v>11.58</v>
      </c>
      <c r="G3661" t="s">
        <v>36</v>
      </c>
      <c r="H3661">
        <v>54</v>
      </c>
      <c r="I3661" t="s">
        <v>34</v>
      </c>
      <c r="J3661" s="4">
        <v>59.6</v>
      </c>
      <c r="K3661" s="4">
        <v>141</v>
      </c>
      <c r="L3661" s="4">
        <v>27.7</v>
      </c>
      <c r="M3661">
        <v>13</v>
      </c>
      <c r="N3661" t="s">
        <v>56</v>
      </c>
      <c r="O3661">
        <v>4</v>
      </c>
      <c r="P3661" s="4">
        <v>303.7</v>
      </c>
      <c r="Q3661" t="s">
        <v>30</v>
      </c>
      <c r="R3661">
        <v>1</v>
      </c>
      <c r="S3661" t="s">
        <v>31</v>
      </c>
      <c r="T3661">
        <v>0</v>
      </c>
      <c r="U3661">
        <v>0</v>
      </c>
      <c r="V3661" t="s">
        <v>32</v>
      </c>
      <c r="W3661" t="s">
        <v>39</v>
      </c>
      <c r="X3661" s="4">
        <v>9</v>
      </c>
      <c r="Y3661">
        <v>14</v>
      </c>
      <c r="Z3661" s="5">
        <v>235.54</v>
      </c>
    </row>
    <row r="3662" spans="1:26">
      <c r="A3662">
        <v>3661</v>
      </c>
      <c r="B3662">
        <v>1202</v>
      </c>
      <c r="C3662" s="2">
        <v>46146</v>
      </c>
      <c r="D3662" t="s">
        <v>46</v>
      </c>
      <c r="E3662">
        <v>5</v>
      </c>
      <c r="F3662" s="3">
        <v>11.56</v>
      </c>
      <c r="G3662" t="s">
        <v>36</v>
      </c>
      <c r="H3662">
        <v>18</v>
      </c>
      <c r="I3662" t="s">
        <v>28</v>
      </c>
      <c r="J3662" s="4">
        <v>74.5</v>
      </c>
      <c r="K3662" s="4">
        <v>214.4</v>
      </c>
      <c r="L3662" s="4">
        <v>26.9</v>
      </c>
      <c r="M3662">
        <v>10</v>
      </c>
      <c r="N3662" t="s">
        <v>56</v>
      </c>
      <c r="O3662">
        <v>4</v>
      </c>
      <c r="P3662" s="4">
        <v>303.7</v>
      </c>
      <c r="Q3662" t="s">
        <v>30</v>
      </c>
      <c r="R3662">
        <v>1</v>
      </c>
      <c r="S3662" t="s">
        <v>31</v>
      </c>
      <c r="T3662">
        <v>0</v>
      </c>
      <c r="U3662">
        <v>0</v>
      </c>
      <c r="V3662" t="s">
        <v>32</v>
      </c>
      <c r="W3662" t="s">
        <v>39</v>
      </c>
      <c r="X3662" s="4">
        <v>4.3</v>
      </c>
      <c r="Y3662">
        <v>10</v>
      </c>
      <c r="Z3662" s="5">
        <v>134.82</v>
      </c>
    </row>
    <row r="3663" spans="1:26">
      <c r="A3663">
        <v>3662</v>
      </c>
      <c r="B3663">
        <v>1202</v>
      </c>
      <c r="C3663" s="2">
        <v>46146</v>
      </c>
      <c r="D3663" t="s">
        <v>46</v>
      </c>
      <c r="E3663">
        <v>5</v>
      </c>
      <c r="F3663" s="3">
        <v>11.8</v>
      </c>
      <c r="G3663" t="s">
        <v>36</v>
      </c>
      <c r="H3663">
        <v>18</v>
      </c>
      <c r="I3663" t="s">
        <v>28</v>
      </c>
      <c r="J3663" s="4">
        <v>70.2</v>
      </c>
      <c r="K3663" s="4">
        <v>206.3</v>
      </c>
      <c r="L3663" s="4">
        <v>29.7</v>
      </c>
      <c r="M3663">
        <v>10</v>
      </c>
      <c r="N3663" t="s">
        <v>56</v>
      </c>
      <c r="O3663">
        <v>4</v>
      </c>
      <c r="P3663" s="4">
        <v>303.7</v>
      </c>
      <c r="Q3663" t="s">
        <v>30</v>
      </c>
      <c r="R3663">
        <v>1</v>
      </c>
      <c r="S3663" t="s">
        <v>31</v>
      </c>
      <c r="T3663">
        <v>0</v>
      </c>
      <c r="U3663">
        <v>0</v>
      </c>
      <c r="V3663" t="s">
        <v>32</v>
      </c>
      <c r="W3663" t="s">
        <v>39</v>
      </c>
      <c r="X3663" s="4">
        <v>5.2</v>
      </c>
      <c r="Y3663">
        <v>7</v>
      </c>
      <c r="Z3663" s="5">
        <v>159.29</v>
      </c>
    </row>
    <row r="3664" spans="1:26">
      <c r="A3664">
        <v>3663</v>
      </c>
      <c r="B3664">
        <v>1202</v>
      </c>
      <c r="C3664" s="2">
        <v>46146</v>
      </c>
      <c r="D3664" t="s">
        <v>46</v>
      </c>
      <c r="E3664">
        <v>5</v>
      </c>
      <c r="F3664" s="3">
        <v>11.66</v>
      </c>
      <c r="G3664" t="s">
        <v>36</v>
      </c>
      <c r="H3664">
        <v>67</v>
      </c>
      <c r="I3664" t="s">
        <v>34</v>
      </c>
      <c r="J3664" s="4">
        <v>67.400000000000006</v>
      </c>
      <c r="K3664" s="4">
        <v>172.4</v>
      </c>
      <c r="L3664" s="4">
        <v>26.7</v>
      </c>
      <c r="M3664">
        <v>13</v>
      </c>
      <c r="N3664" t="s">
        <v>56</v>
      </c>
      <c r="O3664">
        <v>4</v>
      </c>
      <c r="P3664" s="4">
        <v>303.7</v>
      </c>
      <c r="Q3664" t="s">
        <v>30</v>
      </c>
      <c r="R3664">
        <v>1</v>
      </c>
      <c r="S3664" t="s">
        <v>31</v>
      </c>
      <c r="T3664">
        <v>0</v>
      </c>
      <c r="U3664">
        <v>0</v>
      </c>
      <c r="V3664" t="s">
        <v>32</v>
      </c>
      <c r="W3664" t="s">
        <v>39</v>
      </c>
      <c r="X3664" s="4">
        <v>8.1999999999999993</v>
      </c>
      <c r="Y3664">
        <v>7</v>
      </c>
      <c r="Z3664" s="5">
        <v>202.26</v>
      </c>
    </row>
    <row r="3665" spans="1:26">
      <c r="A3665">
        <v>3664</v>
      </c>
      <c r="B3665">
        <v>1203</v>
      </c>
      <c r="C3665" s="2">
        <v>46376</v>
      </c>
      <c r="D3665" t="s">
        <v>58</v>
      </c>
      <c r="E3665">
        <v>12</v>
      </c>
      <c r="F3665" s="3">
        <v>7.23</v>
      </c>
      <c r="G3665" t="s">
        <v>27</v>
      </c>
      <c r="H3665">
        <v>53</v>
      </c>
      <c r="I3665" t="s">
        <v>34</v>
      </c>
      <c r="J3665" s="4">
        <v>64.3</v>
      </c>
      <c r="K3665" s="4">
        <v>134.4</v>
      </c>
      <c r="L3665" s="4">
        <v>22.7</v>
      </c>
      <c r="M3665">
        <v>19</v>
      </c>
      <c r="N3665" t="s">
        <v>47</v>
      </c>
      <c r="O3665">
        <v>2</v>
      </c>
      <c r="P3665" s="4">
        <v>130.19999999999999</v>
      </c>
      <c r="Q3665" t="s">
        <v>42</v>
      </c>
      <c r="R3665">
        <v>0</v>
      </c>
      <c r="S3665" t="s">
        <v>44</v>
      </c>
      <c r="T3665">
        <v>1</v>
      </c>
      <c r="U3665">
        <v>0</v>
      </c>
      <c r="V3665" t="s">
        <v>32</v>
      </c>
      <c r="W3665" t="s">
        <v>43</v>
      </c>
      <c r="X3665" s="4">
        <v>9.8000000000000007</v>
      </c>
      <c r="Y3665">
        <v>12</v>
      </c>
      <c r="Z3665" s="5">
        <v>312.64999999999998</v>
      </c>
    </row>
    <row r="3666" spans="1:26">
      <c r="A3666">
        <v>3665</v>
      </c>
      <c r="B3666">
        <v>1203</v>
      </c>
      <c r="C3666" s="2">
        <v>46376</v>
      </c>
      <c r="D3666" t="s">
        <v>58</v>
      </c>
      <c r="E3666">
        <v>12</v>
      </c>
      <c r="F3666" s="3">
        <v>7.38</v>
      </c>
      <c r="G3666" t="s">
        <v>27</v>
      </c>
      <c r="H3666">
        <v>13</v>
      </c>
      <c r="I3666" t="s">
        <v>28</v>
      </c>
      <c r="J3666" s="4">
        <v>70</v>
      </c>
      <c r="K3666" s="4">
        <v>110.7</v>
      </c>
      <c r="L3666" s="4">
        <v>15.8</v>
      </c>
      <c r="M3666">
        <v>15</v>
      </c>
      <c r="N3666" t="s">
        <v>47</v>
      </c>
      <c r="O3666">
        <v>2</v>
      </c>
      <c r="P3666" s="4">
        <v>130.19999999999999</v>
      </c>
      <c r="Q3666" t="s">
        <v>42</v>
      </c>
      <c r="R3666">
        <v>0</v>
      </c>
      <c r="S3666" t="s">
        <v>44</v>
      </c>
      <c r="T3666">
        <v>1</v>
      </c>
      <c r="U3666">
        <v>0</v>
      </c>
      <c r="V3666" t="s">
        <v>32</v>
      </c>
      <c r="W3666" t="s">
        <v>43</v>
      </c>
      <c r="X3666" s="4">
        <v>8.1</v>
      </c>
      <c r="Y3666">
        <v>7</v>
      </c>
      <c r="Z3666" s="5">
        <v>131.44999999999999</v>
      </c>
    </row>
    <row r="3667" spans="1:26">
      <c r="A3667">
        <v>3666</v>
      </c>
      <c r="B3667">
        <v>1204</v>
      </c>
      <c r="C3667" s="2">
        <v>46170</v>
      </c>
      <c r="D3667" t="s">
        <v>55</v>
      </c>
      <c r="E3667">
        <v>5</v>
      </c>
      <c r="F3667" s="3">
        <v>11.02</v>
      </c>
      <c r="G3667" t="s">
        <v>36</v>
      </c>
      <c r="H3667">
        <v>15</v>
      </c>
      <c r="I3667" t="s">
        <v>34</v>
      </c>
      <c r="J3667" s="4">
        <v>70</v>
      </c>
      <c r="K3667" s="4">
        <v>167.2</v>
      </c>
      <c r="L3667" s="4">
        <v>23.9</v>
      </c>
      <c r="M3667">
        <v>11</v>
      </c>
      <c r="N3667" t="s">
        <v>47</v>
      </c>
      <c r="O3667">
        <v>3</v>
      </c>
      <c r="P3667" s="4">
        <v>114.6</v>
      </c>
      <c r="Q3667" t="s">
        <v>42</v>
      </c>
      <c r="R3667">
        <v>0</v>
      </c>
      <c r="S3667" t="s">
        <v>31</v>
      </c>
      <c r="T3667">
        <v>1</v>
      </c>
      <c r="U3667">
        <v>0</v>
      </c>
      <c r="V3667" t="s">
        <v>32</v>
      </c>
      <c r="W3667" t="s">
        <v>57</v>
      </c>
      <c r="X3667" s="4">
        <v>7.7</v>
      </c>
      <c r="Y3667">
        <v>6</v>
      </c>
      <c r="Z3667" s="5">
        <v>215.65</v>
      </c>
    </row>
    <row r="3668" spans="1:26">
      <c r="A3668">
        <v>3667</v>
      </c>
      <c r="B3668">
        <v>1204</v>
      </c>
      <c r="C3668" s="2">
        <v>46170</v>
      </c>
      <c r="D3668" t="s">
        <v>55</v>
      </c>
      <c r="E3668">
        <v>5</v>
      </c>
      <c r="F3668" s="3">
        <v>11.27</v>
      </c>
      <c r="G3668" t="s">
        <v>36</v>
      </c>
      <c r="H3668">
        <v>4</v>
      </c>
      <c r="I3668" t="s">
        <v>34</v>
      </c>
      <c r="J3668" s="4">
        <v>54.2</v>
      </c>
      <c r="K3668" s="4">
        <v>61.2</v>
      </c>
      <c r="L3668" s="4">
        <v>14.7</v>
      </c>
      <c r="M3668">
        <v>12</v>
      </c>
      <c r="N3668" t="s">
        <v>47</v>
      </c>
      <c r="O3668">
        <v>3</v>
      </c>
      <c r="P3668" s="4">
        <v>114.6</v>
      </c>
      <c r="Q3668" t="s">
        <v>42</v>
      </c>
      <c r="R3668">
        <v>0</v>
      </c>
      <c r="S3668" t="s">
        <v>31</v>
      </c>
      <c r="T3668">
        <v>1</v>
      </c>
      <c r="U3668">
        <v>0</v>
      </c>
      <c r="V3668" t="s">
        <v>32</v>
      </c>
      <c r="W3668" t="s">
        <v>57</v>
      </c>
      <c r="X3668" s="4">
        <v>7.6</v>
      </c>
      <c r="Y3668">
        <v>8</v>
      </c>
      <c r="Z3668" s="5">
        <v>115.98</v>
      </c>
    </row>
    <row r="3669" spans="1:26">
      <c r="A3669">
        <v>3668</v>
      </c>
      <c r="B3669">
        <v>1204</v>
      </c>
      <c r="C3669" s="2">
        <v>46170</v>
      </c>
      <c r="D3669" t="s">
        <v>55</v>
      </c>
      <c r="E3669">
        <v>5</v>
      </c>
      <c r="F3669" s="3">
        <v>11.16</v>
      </c>
      <c r="G3669" t="s">
        <v>36</v>
      </c>
      <c r="H3669">
        <v>5</v>
      </c>
      <c r="I3669" t="s">
        <v>34</v>
      </c>
      <c r="J3669" s="4">
        <v>51.8</v>
      </c>
      <c r="K3669" s="4">
        <v>80.599999999999994</v>
      </c>
      <c r="L3669" s="4">
        <v>21.3</v>
      </c>
      <c r="M3669">
        <v>13</v>
      </c>
      <c r="N3669" t="s">
        <v>47</v>
      </c>
      <c r="O3669">
        <v>3</v>
      </c>
      <c r="P3669" s="4">
        <v>114.6</v>
      </c>
      <c r="Q3669" t="s">
        <v>42</v>
      </c>
      <c r="R3669">
        <v>0</v>
      </c>
      <c r="S3669" t="s">
        <v>31</v>
      </c>
      <c r="T3669">
        <v>1</v>
      </c>
      <c r="U3669">
        <v>0</v>
      </c>
      <c r="V3669" t="s">
        <v>32</v>
      </c>
      <c r="W3669" t="s">
        <v>57</v>
      </c>
      <c r="X3669" s="4">
        <v>5.7</v>
      </c>
      <c r="Y3669">
        <v>15</v>
      </c>
      <c r="Z3669" s="5">
        <v>157.51</v>
      </c>
    </row>
    <row r="3670" spans="1:26">
      <c r="A3670">
        <v>3669</v>
      </c>
      <c r="B3670">
        <v>1205</v>
      </c>
      <c r="C3670" s="2">
        <v>46093</v>
      </c>
      <c r="D3670" t="s">
        <v>55</v>
      </c>
      <c r="E3670">
        <v>3</v>
      </c>
      <c r="F3670" s="3">
        <v>10.66</v>
      </c>
      <c r="G3670" t="s">
        <v>27</v>
      </c>
      <c r="H3670">
        <v>6</v>
      </c>
      <c r="I3670" t="s">
        <v>28</v>
      </c>
      <c r="J3670" s="4">
        <v>54.3</v>
      </c>
      <c r="K3670" s="4">
        <v>98.8</v>
      </c>
      <c r="L3670" s="4">
        <v>23.4</v>
      </c>
      <c r="M3670">
        <v>15</v>
      </c>
      <c r="N3670" t="s">
        <v>47</v>
      </c>
      <c r="O3670">
        <v>2</v>
      </c>
      <c r="P3670" s="4">
        <v>153.69999999999999</v>
      </c>
      <c r="Q3670" t="s">
        <v>48</v>
      </c>
      <c r="R3670">
        <v>1</v>
      </c>
      <c r="S3670" t="s">
        <v>44</v>
      </c>
      <c r="T3670">
        <v>0</v>
      </c>
      <c r="U3670">
        <v>0</v>
      </c>
      <c r="V3670" t="s">
        <v>32</v>
      </c>
      <c r="W3670" t="s">
        <v>43</v>
      </c>
      <c r="X3670" s="4">
        <v>8.6</v>
      </c>
      <c r="Y3670">
        <v>4</v>
      </c>
      <c r="Z3670" s="5">
        <v>269.74</v>
      </c>
    </row>
    <row r="3671" spans="1:26">
      <c r="A3671">
        <v>3670</v>
      </c>
      <c r="B3671">
        <v>1205</v>
      </c>
      <c r="C3671" s="2">
        <v>46093</v>
      </c>
      <c r="D3671" t="s">
        <v>55</v>
      </c>
      <c r="E3671">
        <v>3</v>
      </c>
      <c r="F3671" s="3">
        <v>10.6</v>
      </c>
      <c r="G3671" t="s">
        <v>27</v>
      </c>
      <c r="H3671">
        <v>32</v>
      </c>
      <c r="I3671" t="s">
        <v>28</v>
      </c>
      <c r="J3671" s="4">
        <v>67.900000000000006</v>
      </c>
      <c r="K3671" s="4">
        <v>178.7</v>
      </c>
      <c r="L3671" s="4">
        <v>27.5</v>
      </c>
      <c r="M3671">
        <v>14</v>
      </c>
      <c r="N3671" t="s">
        <v>47</v>
      </c>
      <c r="O3671">
        <v>2</v>
      </c>
      <c r="P3671" s="4">
        <v>153.69999999999999</v>
      </c>
      <c r="Q3671" t="s">
        <v>48</v>
      </c>
      <c r="R3671">
        <v>1</v>
      </c>
      <c r="S3671" t="s">
        <v>44</v>
      </c>
      <c r="T3671">
        <v>0</v>
      </c>
      <c r="U3671">
        <v>0</v>
      </c>
      <c r="V3671" t="s">
        <v>32</v>
      </c>
      <c r="W3671" t="s">
        <v>43</v>
      </c>
      <c r="X3671" s="4">
        <v>8.4</v>
      </c>
      <c r="Y3671">
        <v>9</v>
      </c>
      <c r="Z3671" s="5">
        <v>244.67</v>
      </c>
    </row>
    <row r="3672" spans="1:26">
      <c r="A3672">
        <v>3671</v>
      </c>
      <c r="B3672">
        <v>1206</v>
      </c>
      <c r="C3672" s="2">
        <v>46113</v>
      </c>
      <c r="D3672" t="s">
        <v>52</v>
      </c>
      <c r="E3672">
        <v>4</v>
      </c>
      <c r="F3672" s="3">
        <v>9.64</v>
      </c>
      <c r="G3672" t="s">
        <v>27</v>
      </c>
      <c r="H3672">
        <v>29</v>
      </c>
      <c r="I3672" t="s">
        <v>28</v>
      </c>
      <c r="J3672" s="4">
        <v>66.2</v>
      </c>
      <c r="K3672" s="4">
        <v>172.2</v>
      </c>
      <c r="L3672" s="4">
        <v>27.5</v>
      </c>
      <c r="M3672">
        <v>13</v>
      </c>
      <c r="N3672" t="s">
        <v>47</v>
      </c>
      <c r="O3672">
        <v>6</v>
      </c>
      <c r="P3672" s="4">
        <v>117.7</v>
      </c>
      <c r="Q3672" t="s">
        <v>30</v>
      </c>
      <c r="R3672">
        <v>1</v>
      </c>
      <c r="S3672" t="s">
        <v>44</v>
      </c>
      <c r="T3672">
        <v>0</v>
      </c>
      <c r="U3672">
        <v>0</v>
      </c>
      <c r="V3672" t="s">
        <v>32</v>
      </c>
      <c r="W3672" t="s">
        <v>49</v>
      </c>
      <c r="X3672" s="4">
        <v>10.4</v>
      </c>
      <c r="Y3672">
        <v>6</v>
      </c>
      <c r="Z3672" s="5">
        <v>285.77999999999997</v>
      </c>
    </row>
    <row r="3673" spans="1:26">
      <c r="A3673">
        <v>3672</v>
      </c>
      <c r="B3673">
        <v>1206</v>
      </c>
      <c r="C3673" s="2">
        <v>46113</v>
      </c>
      <c r="D3673" t="s">
        <v>52</v>
      </c>
      <c r="E3673">
        <v>4</v>
      </c>
      <c r="F3673" s="3">
        <v>9.32</v>
      </c>
      <c r="G3673" t="s">
        <v>27</v>
      </c>
      <c r="H3673">
        <v>18</v>
      </c>
      <c r="I3673" t="s">
        <v>34</v>
      </c>
      <c r="J3673" s="4">
        <v>60.7</v>
      </c>
      <c r="K3673" s="4">
        <v>157.80000000000001</v>
      </c>
      <c r="L3673" s="4">
        <v>30.2</v>
      </c>
      <c r="M3673">
        <v>8</v>
      </c>
      <c r="N3673" t="s">
        <v>47</v>
      </c>
      <c r="O3673">
        <v>6</v>
      </c>
      <c r="P3673" s="4">
        <v>117.7</v>
      </c>
      <c r="Q3673" t="s">
        <v>30</v>
      </c>
      <c r="R3673">
        <v>1</v>
      </c>
      <c r="S3673" t="s">
        <v>44</v>
      </c>
      <c r="T3673">
        <v>0</v>
      </c>
      <c r="U3673">
        <v>0</v>
      </c>
      <c r="V3673" t="s">
        <v>32</v>
      </c>
      <c r="W3673" t="s">
        <v>49</v>
      </c>
      <c r="X3673" s="4">
        <v>7</v>
      </c>
      <c r="Y3673">
        <v>12</v>
      </c>
      <c r="Z3673" s="5">
        <v>170.45</v>
      </c>
    </row>
    <row r="3674" spans="1:26">
      <c r="A3674">
        <v>3673</v>
      </c>
      <c r="B3674">
        <v>1206</v>
      </c>
      <c r="C3674" s="2">
        <v>46113</v>
      </c>
      <c r="D3674" t="s">
        <v>52</v>
      </c>
      <c r="E3674">
        <v>4</v>
      </c>
      <c r="F3674" s="3">
        <v>9.4499999999999993</v>
      </c>
      <c r="G3674" t="s">
        <v>27</v>
      </c>
      <c r="H3674">
        <v>74</v>
      </c>
      <c r="I3674" t="s">
        <v>34</v>
      </c>
      <c r="J3674" s="4">
        <v>62.5</v>
      </c>
      <c r="K3674" s="4">
        <v>148.9</v>
      </c>
      <c r="L3674" s="4">
        <v>26.4</v>
      </c>
      <c r="M3674">
        <v>16</v>
      </c>
      <c r="N3674" t="s">
        <v>47</v>
      </c>
      <c r="O3674">
        <v>6</v>
      </c>
      <c r="P3674" s="4">
        <v>117.7</v>
      </c>
      <c r="Q3674" t="s">
        <v>30</v>
      </c>
      <c r="R3674">
        <v>1</v>
      </c>
      <c r="S3674" t="s">
        <v>44</v>
      </c>
      <c r="T3674">
        <v>0</v>
      </c>
      <c r="U3674">
        <v>0</v>
      </c>
      <c r="V3674" t="s">
        <v>32</v>
      </c>
      <c r="W3674" t="s">
        <v>49</v>
      </c>
      <c r="X3674" s="4">
        <v>6.8</v>
      </c>
      <c r="Y3674">
        <v>1</v>
      </c>
      <c r="Z3674" s="5">
        <v>140.13999999999999</v>
      </c>
    </row>
    <row r="3675" spans="1:26">
      <c r="A3675">
        <v>3674</v>
      </c>
      <c r="B3675">
        <v>1206</v>
      </c>
      <c r="C3675" s="2">
        <v>46113</v>
      </c>
      <c r="D3675" t="s">
        <v>52</v>
      </c>
      <c r="E3675">
        <v>4</v>
      </c>
      <c r="F3675" s="3">
        <v>9.5399999999999991</v>
      </c>
      <c r="G3675" t="s">
        <v>27</v>
      </c>
      <c r="H3675">
        <v>18</v>
      </c>
      <c r="I3675" t="s">
        <v>28</v>
      </c>
      <c r="J3675" s="4">
        <v>72.8</v>
      </c>
      <c r="K3675" s="4">
        <v>187.9</v>
      </c>
      <c r="L3675" s="4">
        <v>24.9</v>
      </c>
      <c r="M3675">
        <v>12</v>
      </c>
      <c r="N3675" t="s">
        <v>47</v>
      </c>
      <c r="O3675">
        <v>6</v>
      </c>
      <c r="P3675" s="4">
        <v>117.7</v>
      </c>
      <c r="Q3675" t="s">
        <v>30</v>
      </c>
      <c r="R3675">
        <v>1</v>
      </c>
      <c r="S3675" t="s">
        <v>44</v>
      </c>
      <c r="T3675">
        <v>0</v>
      </c>
      <c r="U3675">
        <v>0</v>
      </c>
      <c r="V3675" t="s">
        <v>32</v>
      </c>
      <c r="W3675" t="s">
        <v>49</v>
      </c>
      <c r="X3675" s="4">
        <v>6.2</v>
      </c>
      <c r="Y3675">
        <v>5</v>
      </c>
      <c r="Z3675" s="5">
        <v>105.84</v>
      </c>
    </row>
    <row r="3676" spans="1:26">
      <c r="A3676">
        <v>3675</v>
      </c>
      <c r="B3676">
        <v>1206</v>
      </c>
      <c r="C3676" s="2">
        <v>46113</v>
      </c>
      <c r="D3676" t="s">
        <v>52</v>
      </c>
      <c r="E3676">
        <v>4</v>
      </c>
      <c r="F3676" s="3">
        <v>9.31</v>
      </c>
      <c r="G3676" t="s">
        <v>27</v>
      </c>
      <c r="H3676">
        <v>49</v>
      </c>
      <c r="I3676" t="s">
        <v>28</v>
      </c>
      <c r="J3676" s="4">
        <v>72.8</v>
      </c>
      <c r="K3676" s="4">
        <v>196.3</v>
      </c>
      <c r="L3676" s="4">
        <v>25.9</v>
      </c>
      <c r="M3676">
        <v>12</v>
      </c>
      <c r="N3676" t="s">
        <v>47</v>
      </c>
      <c r="O3676">
        <v>6</v>
      </c>
      <c r="P3676" s="4">
        <v>117.7</v>
      </c>
      <c r="Q3676" t="s">
        <v>30</v>
      </c>
      <c r="R3676">
        <v>1</v>
      </c>
      <c r="S3676" t="s">
        <v>44</v>
      </c>
      <c r="T3676">
        <v>0</v>
      </c>
      <c r="U3676">
        <v>0</v>
      </c>
      <c r="V3676" t="s">
        <v>32</v>
      </c>
      <c r="W3676" t="s">
        <v>49</v>
      </c>
      <c r="X3676" s="4">
        <v>10.4</v>
      </c>
      <c r="Y3676">
        <v>14</v>
      </c>
      <c r="Z3676" s="5">
        <v>214.56</v>
      </c>
    </row>
    <row r="3677" spans="1:26">
      <c r="A3677">
        <v>3676</v>
      </c>
      <c r="B3677">
        <v>1206</v>
      </c>
      <c r="C3677" s="2">
        <v>46113</v>
      </c>
      <c r="D3677" t="s">
        <v>52</v>
      </c>
      <c r="E3677">
        <v>4</v>
      </c>
      <c r="F3677" s="3">
        <v>9.44</v>
      </c>
      <c r="G3677" t="s">
        <v>27</v>
      </c>
      <c r="H3677">
        <v>70</v>
      </c>
      <c r="I3677" t="s">
        <v>34</v>
      </c>
      <c r="J3677" s="4">
        <v>62.1</v>
      </c>
      <c r="K3677" s="4">
        <v>156.4</v>
      </c>
      <c r="L3677" s="4">
        <v>28.6</v>
      </c>
      <c r="M3677">
        <v>15</v>
      </c>
      <c r="N3677" t="s">
        <v>47</v>
      </c>
      <c r="O3677">
        <v>6</v>
      </c>
      <c r="P3677" s="4">
        <v>117.7</v>
      </c>
      <c r="Q3677" t="s">
        <v>30</v>
      </c>
      <c r="R3677">
        <v>1</v>
      </c>
      <c r="S3677" t="s">
        <v>44</v>
      </c>
      <c r="T3677">
        <v>0</v>
      </c>
      <c r="U3677">
        <v>0</v>
      </c>
      <c r="V3677" t="s">
        <v>32</v>
      </c>
      <c r="W3677" t="s">
        <v>49</v>
      </c>
      <c r="X3677" s="4">
        <v>10</v>
      </c>
      <c r="Y3677">
        <v>3</v>
      </c>
      <c r="Z3677" s="5">
        <v>222.4</v>
      </c>
    </row>
    <row r="3678" spans="1:26">
      <c r="A3678">
        <v>3677</v>
      </c>
      <c r="B3678">
        <v>1207</v>
      </c>
      <c r="C3678" s="2">
        <v>46149</v>
      </c>
      <c r="D3678" t="s">
        <v>55</v>
      </c>
      <c r="E3678">
        <v>5</v>
      </c>
      <c r="F3678" s="3">
        <v>8.24</v>
      </c>
      <c r="G3678" t="s">
        <v>27</v>
      </c>
      <c r="H3678">
        <v>59</v>
      </c>
      <c r="I3678" t="s">
        <v>34</v>
      </c>
      <c r="J3678" s="4">
        <v>66.3</v>
      </c>
      <c r="K3678" s="4">
        <v>167.1</v>
      </c>
      <c r="L3678" s="4">
        <v>26.9</v>
      </c>
      <c r="M3678">
        <v>14</v>
      </c>
      <c r="N3678" t="s">
        <v>50</v>
      </c>
      <c r="O3678">
        <v>2</v>
      </c>
      <c r="P3678" s="4">
        <v>357.1</v>
      </c>
      <c r="Q3678" t="s">
        <v>42</v>
      </c>
      <c r="R3678">
        <v>1</v>
      </c>
      <c r="S3678" t="s">
        <v>38</v>
      </c>
      <c r="T3678">
        <v>0</v>
      </c>
      <c r="U3678">
        <v>0</v>
      </c>
      <c r="V3678" t="s">
        <v>32</v>
      </c>
      <c r="W3678" t="s">
        <v>39</v>
      </c>
      <c r="X3678" s="4">
        <v>7.1</v>
      </c>
      <c r="Y3678">
        <v>7</v>
      </c>
      <c r="Z3678" s="5">
        <v>148.72999999999999</v>
      </c>
    </row>
    <row r="3679" spans="1:26">
      <c r="A3679">
        <v>3678</v>
      </c>
      <c r="B3679">
        <v>1207</v>
      </c>
      <c r="C3679" s="2">
        <v>46149</v>
      </c>
      <c r="D3679" t="s">
        <v>55</v>
      </c>
      <c r="E3679">
        <v>5</v>
      </c>
      <c r="F3679" s="3">
        <v>8.3699999999999992</v>
      </c>
      <c r="G3679" t="s">
        <v>27</v>
      </c>
      <c r="H3679">
        <v>25</v>
      </c>
      <c r="I3679" t="s">
        <v>34</v>
      </c>
      <c r="J3679" s="4">
        <v>69.2</v>
      </c>
      <c r="K3679" s="4">
        <v>201.9</v>
      </c>
      <c r="L3679" s="4">
        <v>29.6</v>
      </c>
      <c r="M3679">
        <v>16</v>
      </c>
      <c r="N3679" t="s">
        <v>50</v>
      </c>
      <c r="O3679">
        <v>2</v>
      </c>
      <c r="P3679" s="4">
        <v>357.1</v>
      </c>
      <c r="Q3679" t="s">
        <v>42</v>
      </c>
      <c r="R3679">
        <v>1</v>
      </c>
      <c r="S3679" t="s">
        <v>38</v>
      </c>
      <c r="T3679">
        <v>0</v>
      </c>
      <c r="U3679">
        <v>0</v>
      </c>
      <c r="V3679" t="s">
        <v>32</v>
      </c>
      <c r="W3679" t="s">
        <v>39</v>
      </c>
      <c r="X3679" s="4">
        <v>8.8000000000000007</v>
      </c>
      <c r="Y3679">
        <v>6</v>
      </c>
      <c r="Z3679" s="5">
        <v>186.33</v>
      </c>
    </row>
    <row r="3680" spans="1:26">
      <c r="A3680">
        <v>3679</v>
      </c>
      <c r="B3680">
        <v>1208</v>
      </c>
      <c r="C3680" s="2">
        <v>46272</v>
      </c>
      <c r="D3680" t="s">
        <v>46</v>
      </c>
      <c r="E3680">
        <v>9</v>
      </c>
      <c r="F3680" s="3">
        <v>12.12</v>
      </c>
      <c r="G3680" t="s">
        <v>36</v>
      </c>
      <c r="H3680">
        <v>50</v>
      </c>
      <c r="I3680" t="s">
        <v>34</v>
      </c>
      <c r="J3680" s="4">
        <v>60.8</v>
      </c>
      <c r="K3680" s="4">
        <v>156.69999999999999</v>
      </c>
      <c r="L3680" s="4">
        <v>29.8</v>
      </c>
      <c r="M3680">
        <v>16</v>
      </c>
      <c r="N3680" t="s">
        <v>47</v>
      </c>
      <c r="O3680">
        <v>1</v>
      </c>
      <c r="P3680" s="4">
        <v>136.5</v>
      </c>
      <c r="Q3680" t="s">
        <v>42</v>
      </c>
      <c r="R3680">
        <v>0</v>
      </c>
      <c r="S3680" t="s">
        <v>38</v>
      </c>
      <c r="T3680">
        <v>1</v>
      </c>
      <c r="U3680">
        <v>0</v>
      </c>
      <c r="V3680" t="s">
        <v>32</v>
      </c>
      <c r="W3680" t="s">
        <v>39</v>
      </c>
      <c r="X3680" s="4">
        <v>7.6</v>
      </c>
      <c r="Y3680">
        <v>7</v>
      </c>
      <c r="Z3680" s="5">
        <v>223.14</v>
      </c>
    </row>
    <row r="3681" spans="1:26">
      <c r="A3681">
        <v>3680</v>
      </c>
      <c r="B3681">
        <v>1209</v>
      </c>
      <c r="C3681" s="2">
        <v>46110</v>
      </c>
      <c r="D3681" t="s">
        <v>58</v>
      </c>
      <c r="E3681">
        <v>3</v>
      </c>
      <c r="F3681" s="3">
        <v>11.21</v>
      </c>
      <c r="G3681" t="s">
        <v>36</v>
      </c>
      <c r="H3681">
        <v>48</v>
      </c>
      <c r="I3681" t="s">
        <v>34</v>
      </c>
      <c r="J3681" s="4">
        <v>62.6</v>
      </c>
      <c r="K3681" s="4">
        <v>108.6</v>
      </c>
      <c r="L3681" s="4">
        <v>19.3</v>
      </c>
      <c r="M3681">
        <v>13</v>
      </c>
      <c r="N3681" t="s">
        <v>53</v>
      </c>
      <c r="O3681">
        <v>3</v>
      </c>
      <c r="P3681" s="4">
        <v>1046.7</v>
      </c>
      <c r="Q3681" t="s">
        <v>42</v>
      </c>
      <c r="R3681">
        <v>1</v>
      </c>
      <c r="S3681" t="s">
        <v>38</v>
      </c>
      <c r="T3681">
        <v>1</v>
      </c>
      <c r="U3681">
        <v>0</v>
      </c>
      <c r="V3681" t="s">
        <v>32</v>
      </c>
      <c r="W3681" t="s">
        <v>49</v>
      </c>
      <c r="X3681" s="4">
        <v>8.8000000000000007</v>
      </c>
      <c r="Y3681">
        <v>3</v>
      </c>
      <c r="Z3681" s="5">
        <v>175.32</v>
      </c>
    </row>
    <row r="3682" spans="1:26">
      <c r="A3682">
        <v>3681</v>
      </c>
      <c r="B3682">
        <v>1209</v>
      </c>
      <c r="C3682" s="2">
        <v>46110</v>
      </c>
      <c r="D3682" t="s">
        <v>58</v>
      </c>
      <c r="E3682">
        <v>3</v>
      </c>
      <c r="F3682" s="3">
        <v>11.3</v>
      </c>
      <c r="G3682" t="s">
        <v>36</v>
      </c>
      <c r="H3682">
        <v>61</v>
      </c>
      <c r="I3682" t="s">
        <v>34</v>
      </c>
      <c r="J3682" s="4">
        <v>63.8</v>
      </c>
      <c r="K3682" s="4">
        <v>128</v>
      </c>
      <c r="L3682" s="4">
        <v>22.1</v>
      </c>
      <c r="M3682">
        <v>12</v>
      </c>
      <c r="N3682" t="s">
        <v>53</v>
      </c>
      <c r="O3682">
        <v>3</v>
      </c>
      <c r="P3682" s="4">
        <v>1046.7</v>
      </c>
      <c r="Q3682" t="s">
        <v>42</v>
      </c>
      <c r="R3682">
        <v>1</v>
      </c>
      <c r="S3682" t="s">
        <v>38</v>
      </c>
      <c r="T3682">
        <v>1</v>
      </c>
      <c r="U3682">
        <v>0</v>
      </c>
      <c r="V3682" t="s">
        <v>32</v>
      </c>
      <c r="W3682" t="s">
        <v>49</v>
      </c>
      <c r="X3682" s="4">
        <v>9.8000000000000007</v>
      </c>
      <c r="Y3682">
        <v>12</v>
      </c>
      <c r="Z3682" s="5">
        <v>277.39</v>
      </c>
    </row>
    <row r="3683" spans="1:26">
      <c r="A3683">
        <v>3682</v>
      </c>
      <c r="B3683">
        <v>1209</v>
      </c>
      <c r="C3683" s="2">
        <v>46110</v>
      </c>
      <c r="D3683" t="s">
        <v>58</v>
      </c>
      <c r="E3683">
        <v>3</v>
      </c>
      <c r="F3683" s="3">
        <v>11.13</v>
      </c>
      <c r="G3683" t="s">
        <v>36</v>
      </c>
      <c r="H3683">
        <v>59</v>
      </c>
      <c r="I3683" t="s">
        <v>34</v>
      </c>
      <c r="J3683" s="4">
        <v>66.599999999999994</v>
      </c>
      <c r="K3683" s="4">
        <v>158.1</v>
      </c>
      <c r="L3683" s="4">
        <v>25.1</v>
      </c>
      <c r="M3683">
        <v>13</v>
      </c>
      <c r="N3683" t="s">
        <v>53</v>
      </c>
      <c r="O3683">
        <v>3</v>
      </c>
      <c r="P3683" s="4">
        <v>1046.7</v>
      </c>
      <c r="Q3683" t="s">
        <v>42</v>
      </c>
      <c r="R3683">
        <v>1</v>
      </c>
      <c r="S3683" t="s">
        <v>38</v>
      </c>
      <c r="T3683">
        <v>1</v>
      </c>
      <c r="U3683">
        <v>0</v>
      </c>
      <c r="V3683" t="s">
        <v>32</v>
      </c>
      <c r="W3683" t="s">
        <v>49</v>
      </c>
      <c r="X3683" s="4">
        <v>8</v>
      </c>
      <c r="Y3683">
        <v>11</v>
      </c>
      <c r="Z3683" s="5">
        <v>288.32</v>
      </c>
    </row>
    <row r="3684" spans="1:26">
      <c r="A3684">
        <v>3683</v>
      </c>
      <c r="B3684">
        <v>1210</v>
      </c>
      <c r="C3684" s="2">
        <v>46346</v>
      </c>
      <c r="D3684" t="s">
        <v>26</v>
      </c>
      <c r="E3684">
        <v>11</v>
      </c>
      <c r="F3684" s="3">
        <v>10.69</v>
      </c>
      <c r="G3684" t="s">
        <v>27</v>
      </c>
      <c r="H3684">
        <v>18</v>
      </c>
      <c r="I3684" t="s">
        <v>34</v>
      </c>
      <c r="J3684" s="4">
        <v>66.3</v>
      </c>
      <c r="K3684" s="4">
        <v>179.6</v>
      </c>
      <c r="L3684" s="4">
        <v>28.9</v>
      </c>
      <c r="M3684">
        <v>12</v>
      </c>
      <c r="N3684" t="s">
        <v>56</v>
      </c>
      <c r="O3684">
        <v>5</v>
      </c>
      <c r="P3684" s="4">
        <v>271.10000000000002</v>
      </c>
      <c r="Q3684" t="s">
        <v>42</v>
      </c>
      <c r="R3684">
        <v>1</v>
      </c>
      <c r="S3684" t="s">
        <v>31</v>
      </c>
      <c r="T3684">
        <v>0</v>
      </c>
      <c r="U3684">
        <v>0</v>
      </c>
      <c r="V3684" t="s">
        <v>45</v>
      </c>
      <c r="W3684" t="s">
        <v>39</v>
      </c>
      <c r="X3684" s="4">
        <v>4.3</v>
      </c>
      <c r="Y3684">
        <v>5</v>
      </c>
      <c r="Z3684" s="5">
        <v>118.44</v>
      </c>
    </row>
    <row r="3685" spans="1:26">
      <c r="A3685">
        <v>3684</v>
      </c>
      <c r="B3685">
        <v>1210</v>
      </c>
      <c r="C3685" s="2">
        <v>46346</v>
      </c>
      <c r="D3685" t="s">
        <v>26</v>
      </c>
      <c r="E3685">
        <v>11</v>
      </c>
      <c r="F3685" s="3">
        <v>10.31</v>
      </c>
      <c r="G3685" t="s">
        <v>27</v>
      </c>
      <c r="H3685">
        <v>35</v>
      </c>
      <c r="I3685" t="s">
        <v>28</v>
      </c>
      <c r="J3685" s="4">
        <v>69</v>
      </c>
      <c r="K3685" s="4">
        <v>152.80000000000001</v>
      </c>
      <c r="L3685" s="4">
        <v>22.5</v>
      </c>
      <c r="M3685">
        <v>16</v>
      </c>
      <c r="N3685" t="s">
        <v>56</v>
      </c>
      <c r="O3685">
        <v>5</v>
      </c>
      <c r="P3685" s="4">
        <v>271.10000000000002</v>
      </c>
      <c r="Q3685" t="s">
        <v>42</v>
      </c>
      <c r="R3685">
        <v>1</v>
      </c>
      <c r="S3685" t="s">
        <v>31</v>
      </c>
      <c r="T3685">
        <v>0</v>
      </c>
      <c r="U3685">
        <v>0</v>
      </c>
      <c r="V3685" t="s">
        <v>45</v>
      </c>
      <c r="W3685" t="s">
        <v>39</v>
      </c>
      <c r="X3685" s="4">
        <v>7</v>
      </c>
      <c r="Y3685">
        <v>2</v>
      </c>
      <c r="Z3685" s="5">
        <v>223.1</v>
      </c>
    </row>
    <row r="3686" spans="1:26">
      <c r="A3686">
        <v>3685</v>
      </c>
      <c r="B3686">
        <v>1210</v>
      </c>
      <c r="C3686" s="2">
        <v>46346</v>
      </c>
      <c r="D3686" t="s">
        <v>26</v>
      </c>
      <c r="E3686">
        <v>11</v>
      </c>
      <c r="F3686" s="3">
        <v>10.78</v>
      </c>
      <c r="G3686" t="s">
        <v>27</v>
      </c>
      <c r="H3686">
        <v>52</v>
      </c>
      <c r="I3686" t="s">
        <v>34</v>
      </c>
      <c r="J3686" s="4">
        <v>59.9</v>
      </c>
      <c r="K3686" s="4">
        <v>118.3</v>
      </c>
      <c r="L3686" s="4">
        <v>23.4</v>
      </c>
      <c r="M3686">
        <v>13</v>
      </c>
      <c r="N3686" t="s">
        <v>56</v>
      </c>
      <c r="O3686">
        <v>5</v>
      </c>
      <c r="P3686" s="4">
        <v>271.10000000000002</v>
      </c>
      <c r="Q3686" t="s">
        <v>42</v>
      </c>
      <c r="R3686">
        <v>1</v>
      </c>
      <c r="S3686" t="s">
        <v>31</v>
      </c>
      <c r="T3686">
        <v>0</v>
      </c>
      <c r="U3686">
        <v>0</v>
      </c>
      <c r="V3686" t="s">
        <v>45</v>
      </c>
      <c r="W3686" t="s">
        <v>39</v>
      </c>
      <c r="X3686" s="4">
        <v>7.9</v>
      </c>
      <c r="Y3686">
        <v>12</v>
      </c>
      <c r="Z3686" s="5">
        <v>253.57</v>
      </c>
    </row>
    <row r="3687" spans="1:26">
      <c r="A3687">
        <v>3686</v>
      </c>
      <c r="B3687">
        <v>1210</v>
      </c>
      <c r="C3687" s="2">
        <v>46346</v>
      </c>
      <c r="D3687" t="s">
        <v>26</v>
      </c>
      <c r="E3687">
        <v>11</v>
      </c>
      <c r="F3687" s="3">
        <v>10.68</v>
      </c>
      <c r="G3687" t="s">
        <v>27</v>
      </c>
      <c r="H3687">
        <v>13</v>
      </c>
      <c r="I3687" t="s">
        <v>34</v>
      </c>
      <c r="J3687" s="4">
        <v>68</v>
      </c>
      <c r="K3687" s="4">
        <v>159</v>
      </c>
      <c r="L3687" s="4">
        <v>24.1</v>
      </c>
      <c r="M3687">
        <v>13</v>
      </c>
      <c r="N3687" t="s">
        <v>56</v>
      </c>
      <c r="O3687">
        <v>5</v>
      </c>
      <c r="P3687" s="4">
        <v>271.10000000000002</v>
      </c>
      <c r="Q3687" t="s">
        <v>42</v>
      </c>
      <c r="R3687">
        <v>1</v>
      </c>
      <c r="S3687" t="s">
        <v>31</v>
      </c>
      <c r="T3687">
        <v>0</v>
      </c>
      <c r="U3687">
        <v>0</v>
      </c>
      <c r="V3687" t="s">
        <v>45</v>
      </c>
      <c r="W3687" t="s">
        <v>39</v>
      </c>
      <c r="X3687" s="4">
        <v>10.3</v>
      </c>
      <c r="Y3687">
        <v>11</v>
      </c>
      <c r="Z3687" s="5">
        <v>297.26</v>
      </c>
    </row>
    <row r="3688" spans="1:26">
      <c r="A3688">
        <v>3687</v>
      </c>
      <c r="B3688">
        <v>1210</v>
      </c>
      <c r="C3688" s="2">
        <v>46346</v>
      </c>
      <c r="D3688" t="s">
        <v>26</v>
      </c>
      <c r="E3688">
        <v>11</v>
      </c>
      <c r="F3688" s="3">
        <v>10.65</v>
      </c>
      <c r="G3688" t="s">
        <v>27</v>
      </c>
      <c r="H3688">
        <v>43</v>
      </c>
      <c r="I3688" t="s">
        <v>28</v>
      </c>
      <c r="J3688" s="4">
        <v>65.7</v>
      </c>
      <c r="K3688" s="4">
        <v>138.4</v>
      </c>
      <c r="L3688" s="4">
        <v>22.5</v>
      </c>
      <c r="M3688">
        <v>18</v>
      </c>
      <c r="N3688" t="s">
        <v>56</v>
      </c>
      <c r="O3688">
        <v>5</v>
      </c>
      <c r="P3688" s="4">
        <v>271.10000000000002</v>
      </c>
      <c r="Q3688" t="s">
        <v>42</v>
      </c>
      <c r="R3688">
        <v>1</v>
      </c>
      <c r="S3688" t="s">
        <v>31</v>
      </c>
      <c r="T3688">
        <v>0</v>
      </c>
      <c r="U3688">
        <v>0</v>
      </c>
      <c r="V3688" t="s">
        <v>45</v>
      </c>
      <c r="W3688" t="s">
        <v>39</v>
      </c>
      <c r="X3688" s="4">
        <v>7.4</v>
      </c>
      <c r="Y3688">
        <v>11</v>
      </c>
      <c r="Z3688" s="5">
        <v>229.98</v>
      </c>
    </row>
    <row r="3689" spans="1:26">
      <c r="A3689">
        <v>3688</v>
      </c>
      <c r="B3689">
        <v>1211</v>
      </c>
      <c r="C3689" s="2">
        <v>46358</v>
      </c>
      <c r="D3689" t="s">
        <v>52</v>
      </c>
      <c r="E3689">
        <v>12</v>
      </c>
      <c r="F3689" s="3">
        <v>9.26</v>
      </c>
      <c r="G3689" t="s">
        <v>27</v>
      </c>
      <c r="H3689">
        <v>41</v>
      </c>
      <c r="I3689" t="s">
        <v>28</v>
      </c>
      <c r="J3689" s="4">
        <v>71.099999999999994</v>
      </c>
      <c r="K3689" s="4">
        <v>137.30000000000001</v>
      </c>
      <c r="L3689" s="4">
        <v>19.100000000000001</v>
      </c>
      <c r="M3689">
        <v>16</v>
      </c>
      <c r="N3689" t="s">
        <v>59</v>
      </c>
      <c r="O3689">
        <v>2</v>
      </c>
      <c r="P3689" s="4">
        <v>659.5</v>
      </c>
      <c r="Q3689" t="s">
        <v>42</v>
      </c>
      <c r="R3689">
        <v>0</v>
      </c>
      <c r="S3689" t="s">
        <v>38</v>
      </c>
      <c r="T3689">
        <v>1</v>
      </c>
      <c r="U3689">
        <v>0</v>
      </c>
      <c r="V3689" t="s">
        <v>32</v>
      </c>
      <c r="W3689" t="s">
        <v>39</v>
      </c>
      <c r="X3689" s="4">
        <v>9.5</v>
      </c>
      <c r="Y3689">
        <v>11</v>
      </c>
      <c r="Z3689" s="5">
        <v>260.74</v>
      </c>
    </row>
    <row r="3690" spans="1:26">
      <c r="A3690">
        <v>3689</v>
      </c>
      <c r="B3690">
        <v>1211</v>
      </c>
      <c r="C3690" s="2">
        <v>46358</v>
      </c>
      <c r="D3690" t="s">
        <v>52</v>
      </c>
      <c r="E3690">
        <v>12</v>
      </c>
      <c r="F3690" s="3">
        <v>9.2200000000000006</v>
      </c>
      <c r="G3690" t="s">
        <v>27</v>
      </c>
      <c r="H3690">
        <v>48</v>
      </c>
      <c r="I3690" t="s">
        <v>28</v>
      </c>
      <c r="J3690" s="4">
        <v>68.7</v>
      </c>
      <c r="K3690" s="4">
        <v>92.5</v>
      </c>
      <c r="L3690" s="4">
        <v>13.8</v>
      </c>
      <c r="M3690">
        <v>18</v>
      </c>
      <c r="N3690" t="s">
        <v>59</v>
      </c>
      <c r="O3690">
        <v>2</v>
      </c>
      <c r="P3690" s="4">
        <v>659.5</v>
      </c>
      <c r="Q3690" t="s">
        <v>42</v>
      </c>
      <c r="R3690">
        <v>0</v>
      </c>
      <c r="S3690" t="s">
        <v>38</v>
      </c>
      <c r="T3690">
        <v>1</v>
      </c>
      <c r="U3690">
        <v>0</v>
      </c>
      <c r="V3690" t="s">
        <v>32</v>
      </c>
      <c r="W3690" t="s">
        <v>39</v>
      </c>
      <c r="X3690" s="4">
        <v>8.6</v>
      </c>
      <c r="Y3690">
        <v>16</v>
      </c>
      <c r="Z3690" s="5">
        <v>228.54</v>
      </c>
    </row>
    <row r="3691" spans="1:26">
      <c r="A3691">
        <v>3690</v>
      </c>
      <c r="B3691">
        <v>1212</v>
      </c>
      <c r="C3691" s="2">
        <v>46085</v>
      </c>
      <c r="D3691" t="s">
        <v>52</v>
      </c>
      <c r="E3691">
        <v>3</v>
      </c>
      <c r="F3691" s="3">
        <v>11.9</v>
      </c>
      <c r="G3691" t="s">
        <v>36</v>
      </c>
      <c r="H3691">
        <v>34</v>
      </c>
      <c r="I3691" t="s">
        <v>28</v>
      </c>
      <c r="J3691" s="4">
        <v>67</v>
      </c>
      <c r="K3691" s="4">
        <v>201.4</v>
      </c>
      <c r="L3691" s="4">
        <v>31.5</v>
      </c>
      <c r="M3691">
        <v>16</v>
      </c>
      <c r="N3691" t="s">
        <v>56</v>
      </c>
      <c r="O3691">
        <v>3</v>
      </c>
      <c r="P3691" s="4">
        <v>146.9</v>
      </c>
      <c r="Q3691" t="s">
        <v>48</v>
      </c>
      <c r="R3691">
        <v>1</v>
      </c>
      <c r="S3691" t="s">
        <v>31</v>
      </c>
      <c r="T3691">
        <v>0</v>
      </c>
      <c r="U3691">
        <v>0</v>
      </c>
      <c r="V3691" t="s">
        <v>32</v>
      </c>
      <c r="W3691" t="s">
        <v>39</v>
      </c>
      <c r="X3691" s="4">
        <v>6.1</v>
      </c>
      <c r="Y3691">
        <v>7</v>
      </c>
      <c r="Z3691" s="5">
        <v>132.04</v>
      </c>
    </row>
    <row r="3692" spans="1:26">
      <c r="A3692">
        <v>3691</v>
      </c>
      <c r="B3692">
        <v>1212</v>
      </c>
      <c r="C3692" s="2">
        <v>46085</v>
      </c>
      <c r="D3692" t="s">
        <v>52</v>
      </c>
      <c r="E3692">
        <v>3</v>
      </c>
      <c r="F3692" s="3">
        <v>11.67</v>
      </c>
      <c r="G3692" t="s">
        <v>36</v>
      </c>
      <c r="H3692">
        <v>23</v>
      </c>
      <c r="I3692" t="s">
        <v>28</v>
      </c>
      <c r="J3692" s="4">
        <v>67.3</v>
      </c>
      <c r="K3692" s="4">
        <v>155.19999999999999</v>
      </c>
      <c r="L3692" s="4">
        <v>23.9</v>
      </c>
      <c r="M3692">
        <v>18</v>
      </c>
      <c r="N3692" t="s">
        <v>56</v>
      </c>
      <c r="O3692">
        <v>3</v>
      </c>
      <c r="P3692" s="4">
        <v>146.9</v>
      </c>
      <c r="Q3692" t="s">
        <v>48</v>
      </c>
      <c r="R3692">
        <v>1</v>
      </c>
      <c r="S3692" t="s">
        <v>31</v>
      </c>
      <c r="T3692">
        <v>0</v>
      </c>
      <c r="U3692">
        <v>0</v>
      </c>
      <c r="V3692" t="s">
        <v>32</v>
      </c>
      <c r="W3692" t="s">
        <v>39</v>
      </c>
      <c r="X3692" s="4">
        <v>9</v>
      </c>
      <c r="Y3692">
        <v>14</v>
      </c>
      <c r="Z3692" s="5">
        <v>329.23</v>
      </c>
    </row>
    <row r="3693" spans="1:26">
      <c r="A3693">
        <v>3692</v>
      </c>
      <c r="B3693">
        <v>1212</v>
      </c>
      <c r="C3693" s="2">
        <v>46085</v>
      </c>
      <c r="D3693" t="s">
        <v>52</v>
      </c>
      <c r="E3693">
        <v>3</v>
      </c>
      <c r="F3693" s="3">
        <v>11.87</v>
      </c>
      <c r="G3693" t="s">
        <v>36</v>
      </c>
      <c r="H3693">
        <v>49</v>
      </c>
      <c r="I3693" t="s">
        <v>28</v>
      </c>
      <c r="J3693" s="4">
        <v>71.5</v>
      </c>
      <c r="K3693" s="4">
        <v>175.4</v>
      </c>
      <c r="L3693" s="4">
        <v>24.2</v>
      </c>
      <c r="M3693">
        <v>15</v>
      </c>
      <c r="N3693" t="s">
        <v>56</v>
      </c>
      <c r="O3693">
        <v>3</v>
      </c>
      <c r="P3693" s="4">
        <v>146.9</v>
      </c>
      <c r="Q3693" t="s">
        <v>48</v>
      </c>
      <c r="R3693">
        <v>1</v>
      </c>
      <c r="S3693" t="s">
        <v>31</v>
      </c>
      <c r="T3693">
        <v>0</v>
      </c>
      <c r="U3693">
        <v>0</v>
      </c>
      <c r="V3693" t="s">
        <v>32</v>
      </c>
      <c r="W3693" t="s">
        <v>39</v>
      </c>
      <c r="X3693" s="4">
        <v>9.6999999999999993</v>
      </c>
      <c r="Y3693">
        <v>11</v>
      </c>
      <c r="Z3693" s="5">
        <v>214.23</v>
      </c>
    </row>
    <row r="3694" spans="1:26">
      <c r="A3694">
        <v>3693</v>
      </c>
      <c r="B3694">
        <v>1213</v>
      </c>
      <c r="C3694" s="2">
        <v>46307</v>
      </c>
      <c r="D3694" t="s">
        <v>46</v>
      </c>
      <c r="E3694">
        <v>10</v>
      </c>
      <c r="F3694" s="3">
        <v>9.32</v>
      </c>
      <c r="G3694" t="s">
        <v>27</v>
      </c>
      <c r="H3694">
        <v>49</v>
      </c>
      <c r="I3694" t="s">
        <v>28</v>
      </c>
      <c r="J3694" s="4">
        <v>69.5</v>
      </c>
      <c r="K3694" s="4">
        <v>178.1</v>
      </c>
      <c r="L3694" s="4">
        <v>25.8</v>
      </c>
      <c r="M3694">
        <v>15</v>
      </c>
      <c r="N3694" t="s">
        <v>54</v>
      </c>
      <c r="O3694">
        <v>5</v>
      </c>
      <c r="P3694" s="4">
        <v>2387.3000000000002</v>
      </c>
      <c r="Q3694" t="s">
        <v>42</v>
      </c>
      <c r="R3694">
        <v>0</v>
      </c>
      <c r="S3694" t="s">
        <v>31</v>
      </c>
      <c r="T3694">
        <v>0</v>
      </c>
      <c r="U3694">
        <v>0</v>
      </c>
      <c r="V3694" t="s">
        <v>32</v>
      </c>
      <c r="W3694" t="s">
        <v>39</v>
      </c>
      <c r="X3694" s="4">
        <v>9.6999999999999993</v>
      </c>
      <c r="Y3694">
        <v>14</v>
      </c>
      <c r="Z3694" s="5">
        <v>317.85000000000002</v>
      </c>
    </row>
    <row r="3695" spans="1:26">
      <c r="A3695">
        <v>3694</v>
      </c>
      <c r="B3695">
        <v>1213</v>
      </c>
      <c r="C3695" s="2">
        <v>46307</v>
      </c>
      <c r="D3695" t="s">
        <v>46</v>
      </c>
      <c r="E3695">
        <v>10</v>
      </c>
      <c r="F3695" s="3">
        <v>9.33</v>
      </c>
      <c r="G3695" t="s">
        <v>27</v>
      </c>
      <c r="H3695">
        <v>42</v>
      </c>
      <c r="I3695" t="s">
        <v>34</v>
      </c>
      <c r="J3695" s="4">
        <v>61.8</v>
      </c>
      <c r="K3695" s="4">
        <v>143.9</v>
      </c>
      <c r="L3695" s="4">
        <v>26.5</v>
      </c>
      <c r="M3695">
        <v>16</v>
      </c>
      <c r="N3695" t="s">
        <v>54</v>
      </c>
      <c r="O3695">
        <v>5</v>
      </c>
      <c r="P3695" s="4">
        <v>2387.3000000000002</v>
      </c>
      <c r="Q3695" t="s">
        <v>42</v>
      </c>
      <c r="R3695">
        <v>0</v>
      </c>
      <c r="S3695" t="s">
        <v>31</v>
      </c>
      <c r="T3695">
        <v>0</v>
      </c>
      <c r="U3695">
        <v>0</v>
      </c>
      <c r="V3695" t="s">
        <v>32</v>
      </c>
      <c r="W3695" t="s">
        <v>39</v>
      </c>
      <c r="X3695" s="4">
        <v>7.6</v>
      </c>
      <c r="Y3695">
        <v>5</v>
      </c>
      <c r="Z3695" s="5">
        <v>151.19999999999999</v>
      </c>
    </row>
    <row r="3696" spans="1:26">
      <c r="A3696">
        <v>3695</v>
      </c>
      <c r="B3696">
        <v>1213</v>
      </c>
      <c r="C3696" s="2">
        <v>46307</v>
      </c>
      <c r="D3696" t="s">
        <v>46</v>
      </c>
      <c r="E3696">
        <v>10</v>
      </c>
      <c r="F3696" s="3">
        <v>9.49</v>
      </c>
      <c r="G3696" t="s">
        <v>27</v>
      </c>
      <c r="H3696">
        <v>31</v>
      </c>
      <c r="I3696" t="s">
        <v>28</v>
      </c>
      <c r="J3696" s="4">
        <v>71.099999999999994</v>
      </c>
      <c r="K3696" s="4">
        <v>200.3</v>
      </c>
      <c r="L3696" s="4">
        <v>27.9</v>
      </c>
      <c r="M3696">
        <v>15</v>
      </c>
      <c r="N3696" t="s">
        <v>54</v>
      </c>
      <c r="O3696">
        <v>5</v>
      </c>
      <c r="P3696" s="4">
        <v>2387.3000000000002</v>
      </c>
      <c r="Q3696" t="s">
        <v>42</v>
      </c>
      <c r="R3696">
        <v>0</v>
      </c>
      <c r="S3696" t="s">
        <v>31</v>
      </c>
      <c r="T3696">
        <v>0</v>
      </c>
      <c r="U3696">
        <v>0</v>
      </c>
      <c r="V3696" t="s">
        <v>32</v>
      </c>
      <c r="W3696" t="s">
        <v>39</v>
      </c>
      <c r="X3696" s="4">
        <v>5.8</v>
      </c>
      <c r="Y3696">
        <v>11</v>
      </c>
      <c r="Z3696" s="5">
        <v>139.97</v>
      </c>
    </row>
    <row r="3697" spans="1:26">
      <c r="A3697">
        <v>3696</v>
      </c>
      <c r="B3697">
        <v>1213</v>
      </c>
      <c r="C3697" s="2">
        <v>46307</v>
      </c>
      <c r="D3697" t="s">
        <v>46</v>
      </c>
      <c r="E3697">
        <v>10</v>
      </c>
      <c r="F3697" s="3">
        <v>9.48</v>
      </c>
      <c r="G3697" t="s">
        <v>27</v>
      </c>
      <c r="H3697">
        <v>58</v>
      </c>
      <c r="I3697" t="s">
        <v>34</v>
      </c>
      <c r="J3697" s="4">
        <v>61.9</v>
      </c>
      <c r="K3697" s="4">
        <v>160</v>
      </c>
      <c r="L3697" s="4">
        <v>29.3</v>
      </c>
      <c r="M3697">
        <v>15</v>
      </c>
      <c r="N3697" t="s">
        <v>54</v>
      </c>
      <c r="O3697">
        <v>5</v>
      </c>
      <c r="P3697" s="4">
        <v>2387.3000000000002</v>
      </c>
      <c r="Q3697" t="s">
        <v>42</v>
      </c>
      <c r="R3697">
        <v>0</v>
      </c>
      <c r="S3697" t="s">
        <v>31</v>
      </c>
      <c r="T3697">
        <v>0</v>
      </c>
      <c r="U3697">
        <v>0</v>
      </c>
      <c r="V3697" t="s">
        <v>32</v>
      </c>
      <c r="W3697" t="s">
        <v>39</v>
      </c>
      <c r="X3697" s="4">
        <v>6.9</v>
      </c>
      <c r="Y3697">
        <v>6</v>
      </c>
      <c r="Z3697" s="5">
        <v>156.02000000000001</v>
      </c>
    </row>
    <row r="3698" spans="1:26">
      <c r="A3698">
        <v>3697</v>
      </c>
      <c r="B3698">
        <v>1213</v>
      </c>
      <c r="C3698" s="2">
        <v>46307</v>
      </c>
      <c r="D3698" t="s">
        <v>46</v>
      </c>
      <c r="E3698">
        <v>10</v>
      </c>
      <c r="F3698" s="3">
        <v>9.5299999999999994</v>
      </c>
      <c r="G3698" t="s">
        <v>27</v>
      </c>
      <c r="H3698">
        <v>53</v>
      </c>
      <c r="I3698" t="s">
        <v>34</v>
      </c>
      <c r="J3698" s="4">
        <v>64.099999999999994</v>
      </c>
      <c r="K3698" s="4">
        <v>163.30000000000001</v>
      </c>
      <c r="L3698" s="4">
        <v>28</v>
      </c>
      <c r="M3698">
        <v>16</v>
      </c>
      <c r="N3698" t="s">
        <v>54</v>
      </c>
      <c r="O3698">
        <v>5</v>
      </c>
      <c r="P3698" s="4">
        <v>2387.3000000000002</v>
      </c>
      <c r="Q3698" t="s">
        <v>42</v>
      </c>
      <c r="R3698">
        <v>0</v>
      </c>
      <c r="S3698" t="s">
        <v>31</v>
      </c>
      <c r="T3698">
        <v>0</v>
      </c>
      <c r="U3698">
        <v>0</v>
      </c>
      <c r="V3698" t="s">
        <v>32</v>
      </c>
      <c r="W3698" t="s">
        <v>39</v>
      </c>
      <c r="X3698" s="4">
        <v>8.6999999999999993</v>
      </c>
      <c r="Y3698">
        <v>12</v>
      </c>
      <c r="Z3698" s="5">
        <v>175.42</v>
      </c>
    </row>
    <row r="3699" spans="1:26">
      <c r="A3699">
        <v>3698</v>
      </c>
      <c r="B3699">
        <v>1214</v>
      </c>
      <c r="C3699" s="2">
        <v>46278</v>
      </c>
      <c r="D3699" t="s">
        <v>58</v>
      </c>
      <c r="E3699">
        <v>9</v>
      </c>
      <c r="F3699" s="3">
        <v>12.68</v>
      </c>
      <c r="G3699" t="s">
        <v>36</v>
      </c>
      <c r="H3699">
        <v>37</v>
      </c>
      <c r="I3699" t="s">
        <v>34</v>
      </c>
      <c r="J3699" s="4">
        <v>63</v>
      </c>
      <c r="K3699" s="4">
        <v>166.4</v>
      </c>
      <c r="L3699" s="4">
        <v>29.6</v>
      </c>
      <c r="M3699">
        <v>12</v>
      </c>
      <c r="N3699" t="s">
        <v>47</v>
      </c>
      <c r="O3699">
        <v>3</v>
      </c>
      <c r="P3699" s="4">
        <v>190.6</v>
      </c>
      <c r="Q3699" t="s">
        <v>42</v>
      </c>
      <c r="R3699">
        <v>0</v>
      </c>
      <c r="S3699" t="s">
        <v>44</v>
      </c>
      <c r="T3699">
        <v>0</v>
      </c>
      <c r="U3699">
        <v>0</v>
      </c>
      <c r="V3699" t="s">
        <v>32</v>
      </c>
      <c r="W3699" t="s">
        <v>39</v>
      </c>
      <c r="X3699" s="4">
        <v>9.6999999999999993</v>
      </c>
      <c r="Y3699">
        <v>5</v>
      </c>
      <c r="Z3699" s="5">
        <v>288.32</v>
      </c>
    </row>
    <row r="3700" spans="1:26">
      <c r="A3700">
        <v>3699</v>
      </c>
      <c r="B3700">
        <v>1214</v>
      </c>
      <c r="C3700" s="2">
        <v>46278</v>
      </c>
      <c r="D3700" t="s">
        <v>58</v>
      </c>
      <c r="E3700">
        <v>9</v>
      </c>
      <c r="F3700" s="3">
        <v>12.28</v>
      </c>
      <c r="G3700" t="s">
        <v>36</v>
      </c>
      <c r="H3700">
        <v>49</v>
      </c>
      <c r="I3700" t="s">
        <v>34</v>
      </c>
      <c r="J3700" s="4">
        <v>69.5</v>
      </c>
      <c r="K3700" s="4">
        <v>174.3</v>
      </c>
      <c r="L3700" s="4">
        <v>25.4</v>
      </c>
      <c r="M3700">
        <v>16</v>
      </c>
      <c r="N3700" t="s">
        <v>47</v>
      </c>
      <c r="O3700">
        <v>3</v>
      </c>
      <c r="P3700" s="4">
        <v>190.6</v>
      </c>
      <c r="Q3700" t="s">
        <v>42</v>
      </c>
      <c r="R3700">
        <v>0</v>
      </c>
      <c r="S3700" t="s">
        <v>44</v>
      </c>
      <c r="T3700">
        <v>0</v>
      </c>
      <c r="U3700">
        <v>0</v>
      </c>
      <c r="V3700" t="s">
        <v>32</v>
      </c>
      <c r="W3700" t="s">
        <v>39</v>
      </c>
      <c r="X3700" s="4">
        <v>8.6999999999999993</v>
      </c>
      <c r="Y3700">
        <v>9</v>
      </c>
      <c r="Z3700" s="5">
        <v>203.83</v>
      </c>
    </row>
    <row r="3701" spans="1:26">
      <c r="A3701">
        <v>3700</v>
      </c>
      <c r="B3701">
        <v>1214</v>
      </c>
      <c r="C3701" s="2">
        <v>46278</v>
      </c>
      <c r="D3701" t="s">
        <v>58</v>
      </c>
      <c r="E3701">
        <v>9</v>
      </c>
      <c r="F3701" s="3">
        <v>12.42</v>
      </c>
      <c r="G3701" t="s">
        <v>36</v>
      </c>
      <c r="H3701">
        <v>59</v>
      </c>
      <c r="I3701" t="s">
        <v>34</v>
      </c>
      <c r="J3701" s="4">
        <v>63.1</v>
      </c>
      <c r="K3701" s="4">
        <v>122.3</v>
      </c>
      <c r="L3701" s="4">
        <v>22</v>
      </c>
      <c r="M3701">
        <v>14</v>
      </c>
      <c r="N3701" t="s">
        <v>47</v>
      </c>
      <c r="O3701">
        <v>3</v>
      </c>
      <c r="P3701" s="4">
        <v>190.6</v>
      </c>
      <c r="Q3701" t="s">
        <v>42</v>
      </c>
      <c r="R3701">
        <v>0</v>
      </c>
      <c r="S3701" t="s">
        <v>44</v>
      </c>
      <c r="T3701">
        <v>0</v>
      </c>
      <c r="U3701">
        <v>0</v>
      </c>
      <c r="V3701" t="s">
        <v>32</v>
      </c>
      <c r="W3701" t="s">
        <v>39</v>
      </c>
      <c r="X3701" s="4">
        <v>6.1</v>
      </c>
      <c r="Y3701">
        <v>3</v>
      </c>
      <c r="Z3701" s="5">
        <v>99.14</v>
      </c>
    </row>
    <row r="3702" spans="1:26">
      <c r="A3702">
        <v>3701</v>
      </c>
      <c r="B3702">
        <v>1215</v>
      </c>
      <c r="C3702" s="2">
        <v>46308</v>
      </c>
      <c r="D3702" t="s">
        <v>35</v>
      </c>
      <c r="E3702">
        <v>10</v>
      </c>
      <c r="F3702" s="3">
        <v>11.03</v>
      </c>
      <c r="G3702" t="s">
        <v>36</v>
      </c>
      <c r="H3702">
        <v>35</v>
      </c>
      <c r="I3702" t="s">
        <v>28</v>
      </c>
      <c r="J3702" s="4">
        <v>67.900000000000006</v>
      </c>
      <c r="K3702" s="4">
        <v>204.2</v>
      </c>
      <c r="L3702" s="4">
        <v>31.4</v>
      </c>
      <c r="M3702">
        <v>15</v>
      </c>
      <c r="N3702" t="s">
        <v>50</v>
      </c>
      <c r="O3702">
        <v>5</v>
      </c>
      <c r="P3702" s="4">
        <v>417.2</v>
      </c>
      <c r="Q3702" t="s">
        <v>42</v>
      </c>
      <c r="R3702">
        <v>1</v>
      </c>
      <c r="S3702" t="s">
        <v>44</v>
      </c>
      <c r="T3702">
        <v>1</v>
      </c>
      <c r="U3702">
        <v>0</v>
      </c>
      <c r="V3702" t="s">
        <v>32</v>
      </c>
      <c r="W3702" t="s">
        <v>39</v>
      </c>
      <c r="X3702" s="4">
        <v>7.1</v>
      </c>
      <c r="Y3702">
        <v>10</v>
      </c>
      <c r="Z3702" s="5">
        <v>285.64</v>
      </c>
    </row>
    <row r="3703" spans="1:26">
      <c r="A3703">
        <v>3702</v>
      </c>
      <c r="B3703">
        <v>1215</v>
      </c>
      <c r="C3703" s="2">
        <v>46308</v>
      </c>
      <c r="D3703" t="s">
        <v>35</v>
      </c>
      <c r="E3703">
        <v>10</v>
      </c>
      <c r="F3703" s="3">
        <v>10.89</v>
      </c>
      <c r="G3703" t="s">
        <v>27</v>
      </c>
      <c r="H3703">
        <v>44</v>
      </c>
      <c r="I3703" t="s">
        <v>34</v>
      </c>
      <c r="J3703" s="4">
        <v>63.5</v>
      </c>
      <c r="K3703" s="4">
        <v>148.69999999999999</v>
      </c>
      <c r="L3703" s="4">
        <v>26</v>
      </c>
      <c r="M3703">
        <v>14</v>
      </c>
      <c r="N3703" t="s">
        <v>50</v>
      </c>
      <c r="O3703">
        <v>5</v>
      </c>
      <c r="P3703" s="4">
        <v>417.2</v>
      </c>
      <c r="Q3703" t="s">
        <v>42</v>
      </c>
      <c r="R3703">
        <v>1</v>
      </c>
      <c r="S3703" t="s">
        <v>44</v>
      </c>
      <c r="T3703">
        <v>1</v>
      </c>
      <c r="U3703">
        <v>0</v>
      </c>
      <c r="V3703" t="s">
        <v>32</v>
      </c>
      <c r="W3703" t="s">
        <v>39</v>
      </c>
      <c r="X3703" s="4">
        <v>9.8000000000000007</v>
      </c>
      <c r="Y3703">
        <v>6</v>
      </c>
      <c r="Z3703" s="5">
        <v>271.19</v>
      </c>
    </row>
    <row r="3704" spans="1:26">
      <c r="A3704">
        <v>3703</v>
      </c>
      <c r="B3704">
        <v>1215</v>
      </c>
      <c r="C3704" s="2">
        <v>46308</v>
      </c>
      <c r="D3704" t="s">
        <v>35</v>
      </c>
      <c r="E3704">
        <v>10</v>
      </c>
      <c r="F3704" s="3">
        <v>10.61</v>
      </c>
      <c r="G3704" t="s">
        <v>27</v>
      </c>
      <c r="H3704">
        <v>14</v>
      </c>
      <c r="I3704" t="s">
        <v>28</v>
      </c>
      <c r="J3704" s="4">
        <v>70</v>
      </c>
      <c r="K3704" s="4">
        <v>149.19999999999999</v>
      </c>
      <c r="L3704" s="4">
        <v>21.5</v>
      </c>
      <c r="M3704">
        <v>13</v>
      </c>
      <c r="N3704" t="s">
        <v>50</v>
      </c>
      <c r="O3704">
        <v>5</v>
      </c>
      <c r="P3704" s="4">
        <v>417.2</v>
      </c>
      <c r="Q3704" t="s">
        <v>42</v>
      </c>
      <c r="R3704">
        <v>1</v>
      </c>
      <c r="S3704" t="s">
        <v>44</v>
      </c>
      <c r="T3704">
        <v>1</v>
      </c>
      <c r="U3704">
        <v>0</v>
      </c>
      <c r="V3704" t="s">
        <v>32</v>
      </c>
      <c r="W3704" t="s">
        <v>39</v>
      </c>
      <c r="X3704" s="4">
        <v>7.9</v>
      </c>
      <c r="Y3704">
        <v>9</v>
      </c>
      <c r="Z3704" s="5">
        <v>222.24</v>
      </c>
    </row>
    <row r="3705" spans="1:26">
      <c r="A3705">
        <v>3704</v>
      </c>
      <c r="B3705">
        <v>1215</v>
      </c>
      <c r="C3705" s="2">
        <v>46308</v>
      </c>
      <c r="D3705" t="s">
        <v>35</v>
      </c>
      <c r="E3705">
        <v>10</v>
      </c>
      <c r="F3705" s="3">
        <v>10.86</v>
      </c>
      <c r="G3705" t="s">
        <v>27</v>
      </c>
      <c r="H3705">
        <v>10</v>
      </c>
      <c r="I3705" t="s">
        <v>34</v>
      </c>
      <c r="J3705" s="4">
        <v>65.900000000000006</v>
      </c>
      <c r="K3705" s="4">
        <v>102.2</v>
      </c>
      <c r="L3705" s="4">
        <v>16.899999999999999</v>
      </c>
      <c r="M3705">
        <v>17</v>
      </c>
      <c r="N3705" t="s">
        <v>50</v>
      </c>
      <c r="O3705">
        <v>5</v>
      </c>
      <c r="P3705" s="4">
        <v>417.2</v>
      </c>
      <c r="Q3705" t="s">
        <v>42</v>
      </c>
      <c r="R3705">
        <v>1</v>
      </c>
      <c r="S3705" t="s">
        <v>44</v>
      </c>
      <c r="T3705">
        <v>1</v>
      </c>
      <c r="U3705">
        <v>0</v>
      </c>
      <c r="V3705" t="s">
        <v>32</v>
      </c>
      <c r="W3705" t="s">
        <v>39</v>
      </c>
      <c r="X3705" s="4">
        <v>9.1999999999999993</v>
      </c>
      <c r="Y3705">
        <v>13</v>
      </c>
      <c r="Z3705" s="5">
        <v>251.67</v>
      </c>
    </row>
    <row r="3706" spans="1:26">
      <c r="A3706">
        <v>3705</v>
      </c>
      <c r="B3706">
        <v>1215</v>
      </c>
      <c r="C3706" s="2">
        <v>46308</v>
      </c>
      <c r="D3706" t="s">
        <v>35</v>
      </c>
      <c r="E3706">
        <v>10</v>
      </c>
      <c r="F3706" s="3">
        <v>10.68</v>
      </c>
      <c r="G3706" t="s">
        <v>27</v>
      </c>
      <c r="H3706">
        <v>56</v>
      </c>
      <c r="I3706" t="s">
        <v>28</v>
      </c>
      <c r="J3706" s="4">
        <v>66</v>
      </c>
      <c r="K3706" s="4">
        <v>141.4</v>
      </c>
      <c r="L3706" s="4">
        <v>22.8</v>
      </c>
      <c r="M3706">
        <v>14</v>
      </c>
      <c r="N3706" t="s">
        <v>50</v>
      </c>
      <c r="O3706">
        <v>5</v>
      </c>
      <c r="P3706" s="4">
        <v>417.2</v>
      </c>
      <c r="Q3706" t="s">
        <v>42</v>
      </c>
      <c r="R3706">
        <v>1</v>
      </c>
      <c r="S3706" t="s">
        <v>44</v>
      </c>
      <c r="T3706">
        <v>1</v>
      </c>
      <c r="U3706">
        <v>0</v>
      </c>
      <c r="V3706" t="s">
        <v>32</v>
      </c>
      <c r="W3706" t="s">
        <v>39</v>
      </c>
      <c r="X3706" s="4">
        <v>6.6</v>
      </c>
      <c r="Y3706">
        <v>8</v>
      </c>
      <c r="Z3706" s="5">
        <v>308.32</v>
      </c>
    </row>
    <row r="3707" spans="1:26">
      <c r="A3707">
        <v>3706</v>
      </c>
      <c r="B3707">
        <v>1216</v>
      </c>
      <c r="C3707" s="2">
        <v>46339</v>
      </c>
      <c r="D3707" t="s">
        <v>26</v>
      </c>
      <c r="E3707">
        <v>11</v>
      </c>
      <c r="F3707" s="3">
        <v>10.76</v>
      </c>
      <c r="G3707" t="s">
        <v>27</v>
      </c>
      <c r="H3707">
        <v>50</v>
      </c>
      <c r="I3707" t="s">
        <v>34</v>
      </c>
      <c r="J3707" s="4">
        <v>65</v>
      </c>
      <c r="K3707" s="4">
        <v>170.7</v>
      </c>
      <c r="L3707" s="4">
        <v>28.3</v>
      </c>
      <c r="M3707">
        <v>15</v>
      </c>
      <c r="N3707" t="s">
        <v>47</v>
      </c>
      <c r="O3707">
        <v>3</v>
      </c>
      <c r="P3707" s="4">
        <v>119.8</v>
      </c>
      <c r="Q3707" t="s">
        <v>30</v>
      </c>
      <c r="R3707">
        <v>1</v>
      </c>
      <c r="S3707" t="s">
        <v>31</v>
      </c>
      <c r="T3707">
        <v>0</v>
      </c>
      <c r="U3707">
        <v>0</v>
      </c>
      <c r="V3707" t="s">
        <v>32</v>
      </c>
      <c r="W3707" t="s">
        <v>49</v>
      </c>
      <c r="X3707" s="4">
        <v>7.3</v>
      </c>
      <c r="Y3707">
        <v>2</v>
      </c>
      <c r="Z3707" s="5">
        <v>179.39</v>
      </c>
    </row>
    <row r="3708" spans="1:26">
      <c r="A3708">
        <v>3707</v>
      </c>
      <c r="B3708">
        <v>1216</v>
      </c>
      <c r="C3708" s="2">
        <v>46339</v>
      </c>
      <c r="D3708" t="s">
        <v>26</v>
      </c>
      <c r="E3708">
        <v>11</v>
      </c>
      <c r="F3708" s="3">
        <v>10.58</v>
      </c>
      <c r="G3708" t="s">
        <v>27</v>
      </c>
      <c r="H3708">
        <v>12</v>
      </c>
      <c r="I3708" t="s">
        <v>34</v>
      </c>
      <c r="J3708" s="4">
        <v>69.900000000000006</v>
      </c>
      <c r="K3708" s="4">
        <v>141.4</v>
      </c>
      <c r="L3708" s="4">
        <v>20.3</v>
      </c>
      <c r="M3708">
        <v>11</v>
      </c>
      <c r="N3708" t="s">
        <v>47</v>
      </c>
      <c r="O3708">
        <v>3</v>
      </c>
      <c r="P3708" s="4">
        <v>119.8</v>
      </c>
      <c r="Q3708" t="s">
        <v>30</v>
      </c>
      <c r="R3708">
        <v>1</v>
      </c>
      <c r="S3708" t="s">
        <v>31</v>
      </c>
      <c r="T3708">
        <v>0</v>
      </c>
      <c r="U3708">
        <v>0</v>
      </c>
      <c r="V3708" t="s">
        <v>32</v>
      </c>
      <c r="W3708" t="s">
        <v>49</v>
      </c>
      <c r="X3708" s="4">
        <v>6.2</v>
      </c>
      <c r="Y3708">
        <v>4</v>
      </c>
      <c r="Z3708" s="5">
        <v>180.41</v>
      </c>
    </row>
    <row r="3709" spans="1:26">
      <c r="A3709">
        <v>3708</v>
      </c>
      <c r="B3709">
        <v>1216</v>
      </c>
      <c r="C3709" s="2">
        <v>46339</v>
      </c>
      <c r="D3709" t="s">
        <v>26</v>
      </c>
      <c r="E3709">
        <v>11</v>
      </c>
      <c r="F3709" s="3">
        <v>10.57</v>
      </c>
      <c r="G3709" t="s">
        <v>27</v>
      </c>
      <c r="H3709">
        <v>37</v>
      </c>
      <c r="I3709" t="s">
        <v>28</v>
      </c>
      <c r="J3709" s="4">
        <v>69.8</v>
      </c>
      <c r="K3709" s="4">
        <v>174.4</v>
      </c>
      <c r="L3709" s="4">
        <v>25.1</v>
      </c>
      <c r="M3709">
        <v>13</v>
      </c>
      <c r="N3709" t="s">
        <v>47</v>
      </c>
      <c r="O3709">
        <v>3</v>
      </c>
      <c r="P3709" s="4">
        <v>119.8</v>
      </c>
      <c r="Q3709" t="s">
        <v>30</v>
      </c>
      <c r="R3709">
        <v>1</v>
      </c>
      <c r="S3709" t="s">
        <v>31</v>
      </c>
      <c r="T3709">
        <v>0</v>
      </c>
      <c r="U3709">
        <v>0</v>
      </c>
      <c r="V3709" t="s">
        <v>32</v>
      </c>
      <c r="W3709" t="s">
        <v>49</v>
      </c>
      <c r="X3709" s="4">
        <v>9.1</v>
      </c>
      <c r="Y3709">
        <v>10</v>
      </c>
      <c r="Z3709" s="5">
        <v>264.94</v>
      </c>
    </row>
    <row r="3710" spans="1:26">
      <c r="A3710">
        <v>3709</v>
      </c>
      <c r="B3710">
        <v>1217</v>
      </c>
      <c r="C3710" s="2">
        <v>46201</v>
      </c>
      <c r="D3710" t="s">
        <v>58</v>
      </c>
      <c r="E3710">
        <v>6</v>
      </c>
      <c r="F3710" s="3">
        <v>10.64</v>
      </c>
      <c r="G3710" t="s">
        <v>27</v>
      </c>
      <c r="H3710">
        <v>25</v>
      </c>
      <c r="I3710" t="s">
        <v>34</v>
      </c>
      <c r="J3710" s="4">
        <v>64.2</v>
      </c>
      <c r="K3710" s="4">
        <v>155.30000000000001</v>
      </c>
      <c r="L3710" s="4">
        <v>26.6</v>
      </c>
      <c r="M3710">
        <v>12</v>
      </c>
      <c r="N3710" t="s">
        <v>61</v>
      </c>
      <c r="O3710">
        <v>6</v>
      </c>
      <c r="P3710" s="4">
        <v>1027.8</v>
      </c>
      <c r="Q3710" t="s">
        <v>30</v>
      </c>
      <c r="R3710">
        <v>1</v>
      </c>
      <c r="S3710" t="s">
        <v>44</v>
      </c>
      <c r="T3710">
        <v>0</v>
      </c>
      <c r="U3710">
        <v>0</v>
      </c>
      <c r="V3710" t="s">
        <v>45</v>
      </c>
      <c r="W3710" t="s">
        <v>49</v>
      </c>
      <c r="X3710" s="4">
        <v>12</v>
      </c>
      <c r="Y3710">
        <v>9</v>
      </c>
      <c r="Z3710" s="5">
        <v>285.27</v>
      </c>
    </row>
    <row r="3711" spans="1:26">
      <c r="A3711">
        <v>3710</v>
      </c>
      <c r="B3711">
        <v>1217</v>
      </c>
      <c r="C3711" s="2">
        <v>46201</v>
      </c>
      <c r="D3711" t="s">
        <v>58</v>
      </c>
      <c r="E3711">
        <v>6</v>
      </c>
      <c r="F3711" s="3">
        <v>10.52</v>
      </c>
      <c r="G3711" t="s">
        <v>27</v>
      </c>
      <c r="H3711">
        <v>31</v>
      </c>
      <c r="I3711" t="s">
        <v>34</v>
      </c>
      <c r="J3711" s="4">
        <v>65.8</v>
      </c>
      <c r="K3711" s="4">
        <v>171.8</v>
      </c>
      <c r="L3711" s="4">
        <v>28</v>
      </c>
      <c r="M3711">
        <v>14</v>
      </c>
      <c r="N3711" t="s">
        <v>61</v>
      </c>
      <c r="O3711">
        <v>6</v>
      </c>
      <c r="P3711" s="4">
        <v>1027.8</v>
      </c>
      <c r="Q3711" t="s">
        <v>30</v>
      </c>
      <c r="R3711">
        <v>1</v>
      </c>
      <c r="S3711" t="s">
        <v>44</v>
      </c>
      <c r="T3711">
        <v>0</v>
      </c>
      <c r="U3711">
        <v>0</v>
      </c>
      <c r="V3711" t="s">
        <v>45</v>
      </c>
      <c r="W3711" t="s">
        <v>49</v>
      </c>
      <c r="X3711" s="4">
        <v>9.5</v>
      </c>
      <c r="Y3711">
        <v>14</v>
      </c>
      <c r="Z3711" s="5">
        <v>308.97000000000003</v>
      </c>
    </row>
    <row r="3712" spans="1:26">
      <c r="A3712">
        <v>3711</v>
      </c>
      <c r="B3712">
        <v>1217</v>
      </c>
      <c r="C3712" s="2">
        <v>46201</v>
      </c>
      <c r="D3712" t="s">
        <v>58</v>
      </c>
      <c r="E3712">
        <v>6</v>
      </c>
      <c r="F3712" s="3">
        <v>10.57</v>
      </c>
      <c r="G3712" t="s">
        <v>27</v>
      </c>
      <c r="H3712">
        <v>62</v>
      </c>
      <c r="I3712" t="s">
        <v>28</v>
      </c>
      <c r="J3712" s="4">
        <v>71.5</v>
      </c>
      <c r="K3712" s="4">
        <v>160.5</v>
      </c>
      <c r="L3712" s="4">
        <v>22.1</v>
      </c>
      <c r="M3712">
        <v>15</v>
      </c>
      <c r="N3712" t="s">
        <v>61</v>
      </c>
      <c r="O3712">
        <v>6</v>
      </c>
      <c r="P3712" s="4">
        <v>1027.8</v>
      </c>
      <c r="Q3712" t="s">
        <v>30</v>
      </c>
      <c r="R3712">
        <v>1</v>
      </c>
      <c r="S3712" t="s">
        <v>44</v>
      </c>
      <c r="T3712">
        <v>0</v>
      </c>
      <c r="U3712">
        <v>0</v>
      </c>
      <c r="V3712" t="s">
        <v>45</v>
      </c>
      <c r="W3712" t="s">
        <v>49</v>
      </c>
      <c r="X3712" s="4">
        <v>10.3</v>
      </c>
      <c r="Y3712">
        <v>9</v>
      </c>
      <c r="Z3712" s="5">
        <v>171.38</v>
      </c>
    </row>
    <row r="3713" spans="1:26">
      <c r="A3713">
        <v>3712</v>
      </c>
      <c r="B3713">
        <v>1217</v>
      </c>
      <c r="C3713" s="2">
        <v>46201</v>
      </c>
      <c r="D3713" t="s">
        <v>58</v>
      </c>
      <c r="E3713">
        <v>6</v>
      </c>
      <c r="F3713" s="3">
        <v>10.4</v>
      </c>
      <c r="G3713" t="s">
        <v>27</v>
      </c>
      <c r="H3713">
        <v>14</v>
      </c>
      <c r="I3713" t="s">
        <v>28</v>
      </c>
      <c r="J3713" s="4">
        <v>70</v>
      </c>
      <c r="K3713" s="4">
        <v>129.80000000000001</v>
      </c>
      <c r="L3713" s="4">
        <v>18.899999999999999</v>
      </c>
      <c r="M3713">
        <v>13</v>
      </c>
      <c r="N3713" t="s">
        <v>61</v>
      </c>
      <c r="O3713">
        <v>6</v>
      </c>
      <c r="P3713" s="4">
        <v>1027.8</v>
      </c>
      <c r="Q3713" t="s">
        <v>30</v>
      </c>
      <c r="R3713">
        <v>1</v>
      </c>
      <c r="S3713" t="s">
        <v>44</v>
      </c>
      <c r="T3713">
        <v>0</v>
      </c>
      <c r="U3713">
        <v>0</v>
      </c>
      <c r="V3713" t="s">
        <v>45</v>
      </c>
      <c r="W3713" t="s">
        <v>49</v>
      </c>
      <c r="X3713" s="4">
        <v>8.1</v>
      </c>
      <c r="Y3713">
        <v>5</v>
      </c>
      <c r="Z3713" s="5">
        <v>266.64999999999998</v>
      </c>
    </row>
    <row r="3714" spans="1:26">
      <c r="A3714">
        <v>3713</v>
      </c>
      <c r="B3714">
        <v>1217</v>
      </c>
      <c r="C3714" s="2">
        <v>46201</v>
      </c>
      <c r="D3714" t="s">
        <v>58</v>
      </c>
      <c r="E3714">
        <v>6</v>
      </c>
      <c r="F3714" s="3">
        <v>10.37</v>
      </c>
      <c r="G3714" t="s">
        <v>27</v>
      </c>
      <c r="H3714">
        <v>54</v>
      </c>
      <c r="I3714" t="s">
        <v>34</v>
      </c>
      <c r="J3714" s="4">
        <v>64.2</v>
      </c>
      <c r="K3714" s="4">
        <v>165.1</v>
      </c>
      <c r="L3714" s="4">
        <v>28.1</v>
      </c>
      <c r="M3714">
        <v>15</v>
      </c>
      <c r="N3714" t="s">
        <v>61</v>
      </c>
      <c r="O3714">
        <v>6</v>
      </c>
      <c r="P3714" s="4">
        <v>1027.8</v>
      </c>
      <c r="Q3714" t="s">
        <v>30</v>
      </c>
      <c r="R3714">
        <v>1</v>
      </c>
      <c r="S3714" t="s">
        <v>44</v>
      </c>
      <c r="T3714">
        <v>0</v>
      </c>
      <c r="U3714">
        <v>0</v>
      </c>
      <c r="V3714" t="s">
        <v>45</v>
      </c>
      <c r="W3714" t="s">
        <v>49</v>
      </c>
      <c r="X3714" s="4">
        <v>10.7</v>
      </c>
      <c r="Y3714">
        <v>12</v>
      </c>
      <c r="Z3714" s="5">
        <v>250.82</v>
      </c>
    </row>
    <row r="3715" spans="1:26">
      <c r="A3715">
        <v>3714</v>
      </c>
      <c r="B3715">
        <v>1217</v>
      </c>
      <c r="C3715" s="2">
        <v>46201</v>
      </c>
      <c r="D3715" t="s">
        <v>58</v>
      </c>
      <c r="E3715">
        <v>6</v>
      </c>
      <c r="F3715" s="3">
        <v>10.27</v>
      </c>
      <c r="G3715" t="s">
        <v>27</v>
      </c>
      <c r="H3715">
        <v>23</v>
      </c>
      <c r="I3715" t="s">
        <v>28</v>
      </c>
      <c r="J3715" s="4">
        <v>64.2</v>
      </c>
      <c r="K3715" s="4">
        <v>186.3</v>
      </c>
      <c r="L3715" s="4">
        <v>32</v>
      </c>
      <c r="M3715">
        <v>14</v>
      </c>
      <c r="N3715" t="s">
        <v>61</v>
      </c>
      <c r="O3715">
        <v>6</v>
      </c>
      <c r="P3715" s="4">
        <v>1027.8</v>
      </c>
      <c r="Q3715" t="s">
        <v>30</v>
      </c>
      <c r="R3715">
        <v>1</v>
      </c>
      <c r="S3715" t="s">
        <v>44</v>
      </c>
      <c r="T3715">
        <v>0</v>
      </c>
      <c r="U3715">
        <v>0</v>
      </c>
      <c r="V3715" t="s">
        <v>45</v>
      </c>
      <c r="W3715" t="s">
        <v>49</v>
      </c>
      <c r="X3715" s="4">
        <v>5.2</v>
      </c>
      <c r="Y3715">
        <v>4</v>
      </c>
      <c r="Z3715" s="5">
        <v>130.29</v>
      </c>
    </row>
    <row r="3716" spans="1:26">
      <c r="A3716">
        <v>3715</v>
      </c>
      <c r="B3716">
        <v>1218</v>
      </c>
      <c r="C3716" s="2">
        <v>46044</v>
      </c>
      <c r="D3716" t="s">
        <v>55</v>
      </c>
      <c r="E3716">
        <v>1</v>
      </c>
      <c r="F3716" s="3">
        <v>12.3</v>
      </c>
      <c r="G3716" t="s">
        <v>36</v>
      </c>
      <c r="H3716">
        <v>47</v>
      </c>
      <c r="I3716" t="s">
        <v>28</v>
      </c>
      <c r="J3716" s="4">
        <v>76.3</v>
      </c>
      <c r="K3716" s="4">
        <v>206.1</v>
      </c>
      <c r="L3716" s="4">
        <v>25.2</v>
      </c>
      <c r="M3716">
        <v>14</v>
      </c>
      <c r="N3716" t="s">
        <v>53</v>
      </c>
      <c r="O3716">
        <v>2</v>
      </c>
      <c r="P3716" s="4">
        <v>1112.5999999999999</v>
      </c>
      <c r="Q3716" t="s">
        <v>42</v>
      </c>
      <c r="R3716">
        <v>1</v>
      </c>
      <c r="S3716" t="s">
        <v>38</v>
      </c>
      <c r="T3716">
        <v>1</v>
      </c>
      <c r="U3716">
        <v>0</v>
      </c>
      <c r="V3716" t="s">
        <v>45</v>
      </c>
      <c r="W3716" t="s">
        <v>43</v>
      </c>
      <c r="X3716" s="4">
        <v>9.1999999999999993</v>
      </c>
      <c r="Y3716">
        <v>11</v>
      </c>
      <c r="Z3716" s="5">
        <v>330.17</v>
      </c>
    </row>
    <row r="3717" spans="1:26">
      <c r="A3717">
        <v>3716</v>
      </c>
      <c r="B3717">
        <v>1218</v>
      </c>
      <c r="C3717" s="2">
        <v>46044</v>
      </c>
      <c r="D3717" t="s">
        <v>55</v>
      </c>
      <c r="E3717">
        <v>1</v>
      </c>
      <c r="F3717" s="3">
        <v>12.51</v>
      </c>
      <c r="G3717" t="s">
        <v>36</v>
      </c>
      <c r="H3717">
        <v>32</v>
      </c>
      <c r="I3717" t="s">
        <v>28</v>
      </c>
      <c r="J3717" s="4">
        <v>67.099999999999994</v>
      </c>
      <c r="K3717" s="4">
        <v>195</v>
      </c>
      <c r="L3717" s="4">
        <v>30.6</v>
      </c>
      <c r="M3717">
        <v>13</v>
      </c>
      <c r="N3717" t="s">
        <v>53</v>
      </c>
      <c r="O3717">
        <v>2</v>
      </c>
      <c r="P3717" s="4">
        <v>1112.5999999999999</v>
      </c>
      <c r="Q3717" t="s">
        <v>42</v>
      </c>
      <c r="R3717">
        <v>1</v>
      </c>
      <c r="S3717" t="s">
        <v>38</v>
      </c>
      <c r="T3717">
        <v>1</v>
      </c>
      <c r="U3717">
        <v>0</v>
      </c>
      <c r="V3717" t="s">
        <v>45</v>
      </c>
      <c r="W3717" t="s">
        <v>43</v>
      </c>
      <c r="X3717" s="4">
        <v>7.3</v>
      </c>
      <c r="Y3717">
        <v>4</v>
      </c>
      <c r="Z3717" s="5">
        <v>133.69999999999999</v>
      </c>
    </row>
    <row r="3718" spans="1:26">
      <c r="A3718">
        <v>3717</v>
      </c>
      <c r="B3718">
        <v>1219</v>
      </c>
      <c r="C3718" s="2">
        <v>46267</v>
      </c>
      <c r="D3718" t="s">
        <v>52</v>
      </c>
      <c r="E3718">
        <v>9</v>
      </c>
      <c r="F3718" s="3">
        <v>9.49</v>
      </c>
      <c r="G3718" t="s">
        <v>27</v>
      </c>
      <c r="H3718">
        <v>3</v>
      </c>
      <c r="I3718" t="s">
        <v>28</v>
      </c>
      <c r="J3718" s="4">
        <v>51.6</v>
      </c>
      <c r="K3718" s="4">
        <v>60.9</v>
      </c>
      <c r="L3718" s="4">
        <v>16.100000000000001</v>
      </c>
      <c r="M3718">
        <v>15</v>
      </c>
      <c r="N3718" t="s">
        <v>63</v>
      </c>
      <c r="O3718">
        <v>4</v>
      </c>
      <c r="P3718" s="4">
        <v>1367.8</v>
      </c>
      <c r="Q3718" t="s">
        <v>42</v>
      </c>
      <c r="R3718">
        <v>1</v>
      </c>
      <c r="S3718" t="s">
        <v>44</v>
      </c>
      <c r="T3718">
        <v>0</v>
      </c>
      <c r="U3718">
        <v>0</v>
      </c>
      <c r="V3718" t="s">
        <v>32</v>
      </c>
      <c r="W3718" t="s">
        <v>43</v>
      </c>
      <c r="X3718" s="4">
        <v>7</v>
      </c>
      <c r="Y3718">
        <v>8</v>
      </c>
      <c r="Z3718" s="5">
        <v>311.75</v>
      </c>
    </row>
    <row r="3719" spans="1:26">
      <c r="A3719">
        <v>3718</v>
      </c>
      <c r="B3719">
        <v>1219</v>
      </c>
      <c r="C3719" s="2">
        <v>46267</v>
      </c>
      <c r="D3719" t="s">
        <v>52</v>
      </c>
      <c r="E3719">
        <v>9</v>
      </c>
      <c r="F3719" s="3">
        <v>9.67</v>
      </c>
      <c r="G3719" t="s">
        <v>27</v>
      </c>
      <c r="H3719">
        <v>24</v>
      </c>
      <c r="I3719" t="s">
        <v>28</v>
      </c>
      <c r="J3719" s="4">
        <v>72.099999999999994</v>
      </c>
      <c r="K3719" s="4">
        <v>186.5</v>
      </c>
      <c r="L3719" s="4">
        <v>25.3</v>
      </c>
      <c r="M3719">
        <v>14</v>
      </c>
      <c r="N3719" t="s">
        <v>63</v>
      </c>
      <c r="O3719">
        <v>4</v>
      </c>
      <c r="P3719" s="4">
        <v>1367.8</v>
      </c>
      <c r="Q3719" t="s">
        <v>42</v>
      </c>
      <c r="R3719">
        <v>1</v>
      </c>
      <c r="S3719" t="s">
        <v>44</v>
      </c>
      <c r="T3719">
        <v>0</v>
      </c>
      <c r="U3719">
        <v>0</v>
      </c>
      <c r="V3719" t="s">
        <v>32</v>
      </c>
      <c r="W3719" t="s">
        <v>43</v>
      </c>
      <c r="X3719" s="4">
        <v>9.4</v>
      </c>
      <c r="Y3719">
        <v>12</v>
      </c>
      <c r="Z3719" s="5">
        <v>190.02</v>
      </c>
    </row>
    <row r="3720" spans="1:26">
      <c r="A3720">
        <v>3719</v>
      </c>
      <c r="B3720">
        <v>1219</v>
      </c>
      <c r="C3720" s="2">
        <v>46267</v>
      </c>
      <c r="D3720" t="s">
        <v>52</v>
      </c>
      <c r="E3720">
        <v>9</v>
      </c>
      <c r="F3720" s="3">
        <v>9.89</v>
      </c>
      <c r="G3720" t="s">
        <v>27</v>
      </c>
      <c r="H3720">
        <v>37</v>
      </c>
      <c r="I3720" t="s">
        <v>34</v>
      </c>
      <c r="J3720" s="4">
        <v>61.6</v>
      </c>
      <c r="K3720" s="4">
        <v>140.69999999999999</v>
      </c>
      <c r="L3720" s="4">
        <v>26.1</v>
      </c>
      <c r="M3720">
        <v>15</v>
      </c>
      <c r="N3720" t="s">
        <v>63</v>
      </c>
      <c r="O3720">
        <v>4</v>
      </c>
      <c r="P3720" s="4">
        <v>1367.8</v>
      </c>
      <c r="Q3720" t="s">
        <v>42</v>
      </c>
      <c r="R3720">
        <v>1</v>
      </c>
      <c r="S3720" t="s">
        <v>44</v>
      </c>
      <c r="T3720">
        <v>0</v>
      </c>
      <c r="U3720">
        <v>0</v>
      </c>
      <c r="V3720" t="s">
        <v>32</v>
      </c>
      <c r="W3720" t="s">
        <v>43</v>
      </c>
      <c r="X3720" s="4">
        <v>8.1999999999999993</v>
      </c>
      <c r="Y3720">
        <v>11</v>
      </c>
      <c r="Z3720" s="5">
        <v>209.71</v>
      </c>
    </row>
    <row r="3721" spans="1:26">
      <c r="A3721">
        <v>3720</v>
      </c>
      <c r="B3721">
        <v>1219</v>
      </c>
      <c r="C3721" s="2">
        <v>46267</v>
      </c>
      <c r="D3721" t="s">
        <v>52</v>
      </c>
      <c r="E3721">
        <v>9</v>
      </c>
      <c r="F3721" s="3">
        <v>9.68</v>
      </c>
      <c r="G3721" t="s">
        <v>27</v>
      </c>
      <c r="H3721">
        <v>40</v>
      </c>
      <c r="I3721" t="s">
        <v>28</v>
      </c>
      <c r="J3721" s="4">
        <v>71.5</v>
      </c>
      <c r="K3721" s="4">
        <v>191.3</v>
      </c>
      <c r="L3721" s="4">
        <v>26.1</v>
      </c>
      <c r="M3721">
        <v>16</v>
      </c>
      <c r="N3721" t="s">
        <v>63</v>
      </c>
      <c r="O3721">
        <v>4</v>
      </c>
      <c r="P3721" s="4">
        <v>1367.8</v>
      </c>
      <c r="Q3721" t="s">
        <v>42</v>
      </c>
      <c r="R3721">
        <v>1</v>
      </c>
      <c r="S3721" t="s">
        <v>44</v>
      </c>
      <c r="T3721">
        <v>0</v>
      </c>
      <c r="U3721">
        <v>0</v>
      </c>
      <c r="V3721" t="s">
        <v>32</v>
      </c>
      <c r="W3721" t="s">
        <v>43</v>
      </c>
      <c r="X3721" s="4">
        <v>7.5</v>
      </c>
      <c r="Y3721">
        <v>6</v>
      </c>
      <c r="Z3721" s="5">
        <v>250.42</v>
      </c>
    </row>
    <row r="3722" spans="1:26">
      <c r="A3722">
        <v>3721</v>
      </c>
      <c r="B3722">
        <v>1220</v>
      </c>
      <c r="C3722" s="2">
        <v>46135</v>
      </c>
      <c r="D3722" t="s">
        <v>55</v>
      </c>
      <c r="E3722">
        <v>4</v>
      </c>
      <c r="F3722" s="3">
        <v>10.1</v>
      </c>
      <c r="G3722" t="s">
        <v>27</v>
      </c>
      <c r="H3722">
        <v>43</v>
      </c>
      <c r="I3722" t="s">
        <v>28</v>
      </c>
      <c r="J3722" s="4">
        <v>68.8</v>
      </c>
      <c r="K3722" s="4">
        <v>163.19999999999999</v>
      </c>
      <c r="L3722" s="4">
        <v>24.2</v>
      </c>
      <c r="M3722">
        <v>13</v>
      </c>
      <c r="N3722" t="s">
        <v>66</v>
      </c>
      <c r="O3722">
        <v>1</v>
      </c>
      <c r="P3722" s="4">
        <v>550.29999999999995</v>
      </c>
      <c r="Q3722" t="s">
        <v>30</v>
      </c>
      <c r="R3722">
        <v>0</v>
      </c>
      <c r="S3722" t="s">
        <v>31</v>
      </c>
      <c r="T3722">
        <v>0</v>
      </c>
      <c r="U3722">
        <v>0</v>
      </c>
      <c r="V3722" t="s">
        <v>32</v>
      </c>
      <c r="W3722" t="s">
        <v>49</v>
      </c>
      <c r="X3722" s="4">
        <v>10.1</v>
      </c>
      <c r="Y3722">
        <v>8</v>
      </c>
      <c r="Z3722" s="5">
        <v>235.55</v>
      </c>
    </row>
    <row r="3723" spans="1:26">
      <c r="A3723">
        <v>3722</v>
      </c>
      <c r="B3723">
        <v>1221</v>
      </c>
      <c r="C3723" s="2">
        <v>46376</v>
      </c>
      <c r="D3723" t="s">
        <v>58</v>
      </c>
      <c r="E3723">
        <v>12</v>
      </c>
      <c r="F3723" s="3">
        <v>10.06</v>
      </c>
      <c r="G3723" t="s">
        <v>27</v>
      </c>
      <c r="H3723">
        <v>9</v>
      </c>
      <c r="I3723" t="s">
        <v>34</v>
      </c>
      <c r="J3723" s="4">
        <v>64.900000000000006</v>
      </c>
      <c r="K3723" s="4">
        <v>85.2</v>
      </c>
      <c r="L3723" s="4">
        <v>14.2</v>
      </c>
      <c r="M3723">
        <v>13</v>
      </c>
      <c r="N3723" t="s">
        <v>61</v>
      </c>
      <c r="O3723">
        <v>1</v>
      </c>
      <c r="P3723" s="4">
        <v>1305.2</v>
      </c>
      <c r="Q3723" t="s">
        <v>42</v>
      </c>
      <c r="R3723">
        <v>0</v>
      </c>
      <c r="S3723" t="s">
        <v>31</v>
      </c>
      <c r="T3723">
        <v>0</v>
      </c>
      <c r="U3723">
        <v>0</v>
      </c>
      <c r="V3723" t="s">
        <v>32</v>
      </c>
      <c r="W3723" t="s">
        <v>43</v>
      </c>
      <c r="X3723" s="4">
        <v>8.6999999999999993</v>
      </c>
      <c r="Y3723">
        <v>12</v>
      </c>
      <c r="Z3723" s="5">
        <v>267.54000000000002</v>
      </c>
    </row>
    <row r="3724" spans="1:26">
      <c r="A3724">
        <v>3723</v>
      </c>
      <c r="B3724">
        <v>1222</v>
      </c>
      <c r="C3724" s="2">
        <v>46156</v>
      </c>
      <c r="D3724" t="s">
        <v>55</v>
      </c>
      <c r="E3724">
        <v>5</v>
      </c>
      <c r="F3724" s="3">
        <v>9.83</v>
      </c>
      <c r="G3724" t="s">
        <v>27</v>
      </c>
      <c r="H3724">
        <v>57</v>
      </c>
      <c r="I3724" t="s">
        <v>28</v>
      </c>
      <c r="J3724" s="4">
        <v>70.5</v>
      </c>
      <c r="K3724" s="4">
        <v>196.4</v>
      </c>
      <c r="L3724" s="4">
        <v>27.8</v>
      </c>
      <c r="M3724">
        <v>13</v>
      </c>
      <c r="N3724" t="s">
        <v>61</v>
      </c>
      <c r="O3724">
        <v>2</v>
      </c>
      <c r="P3724" s="4">
        <v>1238.3</v>
      </c>
      <c r="Q3724" t="s">
        <v>30</v>
      </c>
      <c r="R3724">
        <v>1</v>
      </c>
      <c r="S3724" t="s">
        <v>38</v>
      </c>
      <c r="T3724">
        <v>1</v>
      </c>
      <c r="U3724">
        <v>1</v>
      </c>
      <c r="V3724" t="s">
        <v>32</v>
      </c>
      <c r="W3724" t="s">
        <v>33</v>
      </c>
      <c r="X3724" s="4">
        <v>7.2</v>
      </c>
      <c r="Y3724">
        <v>10</v>
      </c>
      <c r="Z3724" s="5">
        <v>117.72</v>
      </c>
    </row>
    <row r="3725" spans="1:26">
      <c r="A3725">
        <v>3724</v>
      </c>
      <c r="B3725">
        <v>1222</v>
      </c>
      <c r="C3725" s="2">
        <v>46156</v>
      </c>
      <c r="D3725" t="s">
        <v>55</v>
      </c>
      <c r="E3725">
        <v>5</v>
      </c>
      <c r="F3725" s="3">
        <v>9.76</v>
      </c>
      <c r="G3725" t="s">
        <v>27</v>
      </c>
      <c r="H3725">
        <v>49</v>
      </c>
      <c r="I3725" t="s">
        <v>34</v>
      </c>
      <c r="J3725" s="4">
        <v>68</v>
      </c>
      <c r="K3725" s="4">
        <v>157.5</v>
      </c>
      <c r="L3725" s="4">
        <v>24</v>
      </c>
      <c r="M3725">
        <v>10</v>
      </c>
      <c r="N3725" t="s">
        <v>61</v>
      </c>
      <c r="O3725">
        <v>2</v>
      </c>
      <c r="P3725" s="4">
        <v>1238.3</v>
      </c>
      <c r="Q3725" t="s">
        <v>30</v>
      </c>
      <c r="R3725">
        <v>1</v>
      </c>
      <c r="S3725" t="s">
        <v>38</v>
      </c>
      <c r="T3725">
        <v>1</v>
      </c>
      <c r="U3725">
        <v>1</v>
      </c>
      <c r="V3725" t="s">
        <v>32</v>
      </c>
      <c r="W3725" t="s">
        <v>33</v>
      </c>
      <c r="X3725" s="4">
        <v>8.6</v>
      </c>
      <c r="Y3725">
        <v>8</v>
      </c>
      <c r="Z3725" s="5">
        <v>191.87</v>
      </c>
    </row>
    <row r="3726" spans="1:26">
      <c r="A3726">
        <v>3725</v>
      </c>
      <c r="B3726">
        <v>1223</v>
      </c>
      <c r="C3726" s="2">
        <v>46132</v>
      </c>
      <c r="D3726" t="s">
        <v>46</v>
      </c>
      <c r="E3726">
        <v>4</v>
      </c>
      <c r="F3726" s="3">
        <v>10.119999999999999</v>
      </c>
      <c r="G3726" t="s">
        <v>27</v>
      </c>
      <c r="H3726">
        <v>18</v>
      </c>
      <c r="I3726" t="s">
        <v>34</v>
      </c>
      <c r="J3726" s="4">
        <v>65.599999999999994</v>
      </c>
      <c r="K3726" s="4">
        <v>192.3</v>
      </c>
      <c r="L3726" s="4">
        <v>31.6</v>
      </c>
      <c r="M3726">
        <v>9</v>
      </c>
      <c r="N3726" t="s">
        <v>47</v>
      </c>
      <c r="O3726">
        <v>4</v>
      </c>
      <c r="P3726" s="4">
        <v>133.9</v>
      </c>
      <c r="Q3726" t="s">
        <v>30</v>
      </c>
      <c r="R3726">
        <v>1</v>
      </c>
      <c r="S3726" t="s">
        <v>44</v>
      </c>
      <c r="T3726">
        <v>1</v>
      </c>
      <c r="U3726">
        <v>0</v>
      </c>
      <c r="V3726" t="s">
        <v>32</v>
      </c>
      <c r="W3726" t="s">
        <v>57</v>
      </c>
      <c r="X3726" s="4">
        <v>10.3</v>
      </c>
      <c r="Y3726">
        <v>8</v>
      </c>
      <c r="Z3726" s="5">
        <v>188.58</v>
      </c>
    </row>
    <row r="3727" spans="1:26">
      <c r="A3727">
        <v>3726</v>
      </c>
      <c r="B3727">
        <v>1223</v>
      </c>
      <c r="C3727" s="2">
        <v>46132</v>
      </c>
      <c r="D3727" t="s">
        <v>46</v>
      </c>
      <c r="E3727">
        <v>4</v>
      </c>
      <c r="F3727" s="3">
        <v>10.38</v>
      </c>
      <c r="G3727" t="s">
        <v>27</v>
      </c>
      <c r="H3727">
        <v>76</v>
      </c>
      <c r="I3727" t="s">
        <v>28</v>
      </c>
      <c r="J3727" s="4">
        <v>70.400000000000006</v>
      </c>
      <c r="K3727" s="4">
        <v>161.5</v>
      </c>
      <c r="L3727" s="4">
        <v>23</v>
      </c>
      <c r="M3727">
        <v>14</v>
      </c>
      <c r="N3727" t="s">
        <v>47</v>
      </c>
      <c r="O3727">
        <v>4</v>
      </c>
      <c r="P3727" s="4">
        <v>133.9</v>
      </c>
      <c r="Q3727" t="s">
        <v>30</v>
      </c>
      <c r="R3727">
        <v>1</v>
      </c>
      <c r="S3727" t="s">
        <v>44</v>
      </c>
      <c r="T3727">
        <v>1</v>
      </c>
      <c r="U3727">
        <v>0</v>
      </c>
      <c r="V3727" t="s">
        <v>32</v>
      </c>
      <c r="W3727" t="s">
        <v>57</v>
      </c>
      <c r="X3727" s="4">
        <v>9.5</v>
      </c>
      <c r="Y3727">
        <v>7</v>
      </c>
      <c r="Z3727" s="5">
        <v>338.19</v>
      </c>
    </row>
    <row r="3728" spans="1:26">
      <c r="A3728">
        <v>3727</v>
      </c>
      <c r="B3728">
        <v>1223</v>
      </c>
      <c r="C3728" s="2">
        <v>46132</v>
      </c>
      <c r="D3728" t="s">
        <v>46</v>
      </c>
      <c r="E3728">
        <v>4</v>
      </c>
      <c r="F3728" s="3">
        <v>10.23</v>
      </c>
      <c r="G3728" t="s">
        <v>27</v>
      </c>
      <c r="H3728">
        <v>38</v>
      </c>
      <c r="I3728" t="s">
        <v>28</v>
      </c>
      <c r="J3728" s="4">
        <v>63.9</v>
      </c>
      <c r="K3728" s="4">
        <v>176.6</v>
      </c>
      <c r="L3728" s="4">
        <v>30.5</v>
      </c>
      <c r="M3728">
        <v>11</v>
      </c>
      <c r="N3728" t="s">
        <v>47</v>
      </c>
      <c r="O3728">
        <v>4</v>
      </c>
      <c r="P3728" s="4">
        <v>133.9</v>
      </c>
      <c r="Q3728" t="s">
        <v>30</v>
      </c>
      <c r="R3728">
        <v>1</v>
      </c>
      <c r="S3728" t="s">
        <v>44</v>
      </c>
      <c r="T3728">
        <v>1</v>
      </c>
      <c r="U3728">
        <v>0</v>
      </c>
      <c r="V3728" t="s">
        <v>32</v>
      </c>
      <c r="W3728" t="s">
        <v>57</v>
      </c>
      <c r="X3728" s="4">
        <v>6.7</v>
      </c>
      <c r="Y3728">
        <v>11</v>
      </c>
      <c r="Z3728" s="5">
        <v>352.3</v>
      </c>
    </row>
    <row r="3729" spans="1:26">
      <c r="A3729">
        <v>3728</v>
      </c>
      <c r="B3729">
        <v>1223</v>
      </c>
      <c r="C3729" s="2">
        <v>46132</v>
      </c>
      <c r="D3729" t="s">
        <v>46</v>
      </c>
      <c r="E3729">
        <v>4</v>
      </c>
      <c r="F3729" s="3">
        <v>10.18</v>
      </c>
      <c r="G3729" t="s">
        <v>27</v>
      </c>
      <c r="H3729">
        <v>47</v>
      </c>
      <c r="I3729" t="s">
        <v>34</v>
      </c>
      <c r="J3729" s="4">
        <v>68.8</v>
      </c>
      <c r="K3729" s="4">
        <v>191.7</v>
      </c>
      <c r="L3729" s="4">
        <v>28.6</v>
      </c>
      <c r="M3729">
        <v>13</v>
      </c>
      <c r="N3729" t="s">
        <v>47</v>
      </c>
      <c r="O3729">
        <v>4</v>
      </c>
      <c r="P3729" s="4">
        <v>133.9</v>
      </c>
      <c r="Q3729" t="s">
        <v>30</v>
      </c>
      <c r="R3729">
        <v>1</v>
      </c>
      <c r="S3729" t="s">
        <v>44</v>
      </c>
      <c r="T3729">
        <v>1</v>
      </c>
      <c r="U3729">
        <v>0</v>
      </c>
      <c r="V3729" t="s">
        <v>32</v>
      </c>
      <c r="W3729" t="s">
        <v>57</v>
      </c>
      <c r="X3729" s="4">
        <v>7.3</v>
      </c>
      <c r="Y3729">
        <v>8</v>
      </c>
      <c r="Z3729" s="5">
        <v>179.4</v>
      </c>
    </row>
    <row r="3730" spans="1:26">
      <c r="A3730">
        <v>3729</v>
      </c>
      <c r="B3730">
        <v>1224</v>
      </c>
      <c r="C3730" s="2">
        <v>46329</v>
      </c>
      <c r="D3730" t="s">
        <v>35</v>
      </c>
      <c r="E3730">
        <v>11</v>
      </c>
      <c r="F3730" s="3">
        <v>11.07</v>
      </c>
      <c r="G3730" t="s">
        <v>36</v>
      </c>
      <c r="H3730">
        <v>3</v>
      </c>
      <c r="I3730" t="s">
        <v>34</v>
      </c>
      <c r="J3730" s="4">
        <v>55.6</v>
      </c>
      <c r="K3730" s="4">
        <v>81.3</v>
      </c>
      <c r="L3730" s="4">
        <v>18.5</v>
      </c>
      <c r="M3730">
        <v>13</v>
      </c>
      <c r="N3730" t="s">
        <v>47</v>
      </c>
      <c r="O3730">
        <v>3</v>
      </c>
      <c r="P3730" s="4">
        <v>89.6</v>
      </c>
      <c r="Q3730" t="s">
        <v>30</v>
      </c>
      <c r="R3730">
        <v>0</v>
      </c>
      <c r="S3730" t="s">
        <v>44</v>
      </c>
      <c r="T3730">
        <v>0</v>
      </c>
      <c r="U3730">
        <v>0</v>
      </c>
      <c r="V3730" t="s">
        <v>32</v>
      </c>
      <c r="W3730" t="s">
        <v>49</v>
      </c>
      <c r="X3730" s="4">
        <v>5.6</v>
      </c>
      <c r="Y3730">
        <v>3</v>
      </c>
      <c r="Z3730" s="5">
        <v>90.66</v>
      </c>
    </row>
    <row r="3731" spans="1:26">
      <c r="A3731">
        <v>3730</v>
      </c>
      <c r="B3731">
        <v>1224</v>
      </c>
      <c r="C3731" s="2">
        <v>46329</v>
      </c>
      <c r="D3731" t="s">
        <v>35</v>
      </c>
      <c r="E3731">
        <v>11</v>
      </c>
      <c r="F3731" s="3">
        <v>11.13</v>
      </c>
      <c r="G3731" t="s">
        <v>36</v>
      </c>
      <c r="H3731">
        <v>35</v>
      </c>
      <c r="I3731" t="s">
        <v>34</v>
      </c>
      <c r="J3731" s="4">
        <v>56.2</v>
      </c>
      <c r="K3731" s="4">
        <v>122.3</v>
      </c>
      <c r="L3731" s="4">
        <v>27</v>
      </c>
      <c r="M3731">
        <v>15</v>
      </c>
      <c r="N3731" t="s">
        <v>47</v>
      </c>
      <c r="O3731">
        <v>3</v>
      </c>
      <c r="P3731" s="4">
        <v>89.6</v>
      </c>
      <c r="Q3731" t="s">
        <v>30</v>
      </c>
      <c r="R3731">
        <v>0</v>
      </c>
      <c r="S3731" t="s">
        <v>44</v>
      </c>
      <c r="T3731">
        <v>0</v>
      </c>
      <c r="U3731">
        <v>0</v>
      </c>
      <c r="V3731" t="s">
        <v>32</v>
      </c>
      <c r="W3731" t="s">
        <v>49</v>
      </c>
      <c r="X3731" s="4">
        <v>7.5</v>
      </c>
      <c r="Y3731">
        <v>12</v>
      </c>
      <c r="Z3731" s="5">
        <v>158.49</v>
      </c>
    </row>
    <row r="3732" spans="1:26">
      <c r="A3732">
        <v>3731</v>
      </c>
      <c r="B3732">
        <v>1224</v>
      </c>
      <c r="C3732" s="2">
        <v>46329</v>
      </c>
      <c r="D3732" t="s">
        <v>35</v>
      </c>
      <c r="E3732">
        <v>11</v>
      </c>
      <c r="F3732" s="3">
        <v>11.18</v>
      </c>
      <c r="G3732" t="s">
        <v>36</v>
      </c>
      <c r="H3732">
        <v>18</v>
      </c>
      <c r="I3732" t="s">
        <v>34</v>
      </c>
      <c r="J3732" s="4">
        <v>60.6</v>
      </c>
      <c r="K3732" s="4">
        <v>135.69999999999999</v>
      </c>
      <c r="L3732" s="4">
        <v>26.1</v>
      </c>
      <c r="M3732">
        <v>9</v>
      </c>
      <c r="N3732" t="s">
        <v>47</v>
      </c>
      <c r="O3732">
        <v>3</v>
      </c>
      <c r="P3732" s="4">
        <v>89.6</v>
      </c>
      <c r="Q3732" t="s">
        <v>30</v>
      </c>
      <c r="R3732">
        <v>0</v>
      </c>
      <c r="S3732" t="s">
        <v>44</v>
      </c>
      <c r="T3732">
        <v>0</v>
      </c>
      <c r="U3732">
        <v>0</v>
      </c>
      <c r="V3732" t="s">
        <v>32</v>
      </c>
      <c r="W3732" t="s">
        <v>49</v>
      </c>
      <c r="X3732" s="4">
        <v>9.3000000000000007</v>
      </c>
      <c r="Y3732">
        <v>12</v>
      </c>
      <c r="Z3732" s="5">
        <v>316.14999999999998</v>
      </c>
    </row>
    <row r="3733" spans="1:26">
      <c r="A3733">
        <v>3732</v>
      </c>
      <c r="B3733">
        <v>1225</v>
      </c>
      <c r="C3733" s="2">
        <v>46276</v>
      </c>
      <c r="D3733" t="s">
        <v>26</v>
      </c>
      <c r="E3733">
        <v>9</v>
      </c>
      <c r="F3733" s="3">
        <v>9.02</v>
      </c>
      <c r="G3733" t="s">
        <v>27</v>
      </c>
      <c r="H3733">
        <v>42</v>
      </c>
      <c r="I3733" t="s">
        <v>28</v>
      </c>
      <c r="J3733" s="4">
        <v>68.900000000000006</v>
      </c>
      <c r="K3733" s="4">
        <v>165.9</v>
      </c>
      <c r="L3733" s="4">
        <v>24.6</v>
      </c>
      <c r="M3733">
        <v>11</v>
      </c>
      <c r="N3733" t="s">
        <v>60</v>
      </c>
      <c r="O3733">
        <v>1</v>
      </c>
      <c r="P3733" s="4">
        <v>2031.1</v>
      </c>
      <c r="Q3733" t="s">
        <v>42</v>
      </c>
      <c r="R3733">
        <v>1</v>
      </c>
      <c r="S3733" t="s">
        <v>44</v>
      </c>
      <c r="T3733">
        <v>0</v>
      </c>
      <c r="U3733">
        <v>0</v>
      </c>
      <c r="V3733" t="s">
        <v>45</v>
      </c>
      <c r="W3733" t="s">
        <v>57</v>
      </c>
      <c r="X3733" s="4">
        <v>5.5</v>
      </c>
      <c r="Y3733">
        <v>6</v>
      </c>
      <c r="Z3733" s="5">
        <v>162.33000000000001</v>
      </c>
    </row>
    <row r="3734" spans="1:26">
      <c r="A3734">
        <v>3733</v>
      </c>
      <c r="B3734">
        <v>1226</v>
      </c>
      <c r="C3734" s="2">
        <v>46036</v>
      </c>
      <c r="D3734" t="s">
        <v>52</v>
      </c>
      <c r="E3734">
        <v>1</v>
      </c>
      <c r="F3734" s="3">
        <v>9.92</v>
      </c>
      <c r="G3734" t="s">
        <v>27</v>
      </c>
      <c r="H3734">
        <v>69</v>
      </c>
      <c r="I3734" t="s">
        <v>34</v>
      </c>
      <c r="J3734" s="4">
        <v>63.3</v>
      </c>
      <c r="K3734" s="4">
        <v>188.2</v>
      </c>
      <c r="L3734" s="4">
        <v>33</v>
      </c>
      <c r="M3734">
        <v>9</v>
      </c>
      <c r="N3734" t="s">
        <v>60</v>
      </c>
      <c r="O3734">
        <v>6</v>
      </c>
      <c r="P3734" s="4">
        <v>1642</v>
      </c>
      <c r="Q3734" t="s">
        <v>30</v>
      </c>
      <c r="R3734">
        <v>1</v>
      </c>
      <c r="S3734" t="s">
        <v>44</v>
      </c>
      <c r="T3734">
        <v>1</v>
      </c>
      <c r="U3734">
        <v>0</v>
      </c>
      <c r="V3734" t="s">
        <v>32</v>
      </c>
      <c r="W3734" t="s">
        <v>39</v>
      </c>
      <c r="X3734" s="4">
        <v>8.6999999999999993</v>
      </c>
      <c r="Y3734">
        <v>8</v>
      </c>
      <c r="Z3734" s="5">
        <v>179.67</v>
      </c>
    </row>
    <row r="3735" spans="1:26">
      <c r="A3735">
        <v>3734</v>
      </c>
      <c r="B3735">
        <v>1226</v>
      </c>
      <c r="C3735" s="2">
        <v>46036</v>
      </c>
      <c r="D3735" t="s">
        <v>52</v>
      </c>
      <c r="E3735">
        <v>1</v>
      </c>
      <c r="F3735" s="3">
        <v>9.66</v>
      </c>
      <c r="G3735" t="s">
        <v>27</v>
      </c>
      <c r="H3735">
        <v>8</v>
      </c>
      <c r="I3735" t="s">
        <v>28</v>
      </c>
      <c r="J3735" s="4">
        <v>68.3</v>
      </c>
      <c r="K3735" s="4">
        <v>125.6</v>
      </c>
      <c r="L3735" s="4">
        <v>19</v>
      </c>
      <c r="M3735">
        <v>12</v>
      </c>
      <c r="N3735" t="s">
        <v>60</v>
      </c>
      <c r="O3735">
        <v>6</v>
      </c>
      <c r="P3735" s="4">
        <v>1642</v>
      </c>
      <c r="Q3735" t="s">
        <v>30</v>
      </c>
      <c r="R3735">
        <v>1</v>
      </c>
      <c r="S3735" t="s">
        <v>44</v>
      </c>
      <c r="T3735">
        <v>1</v>
      </c>
      <c r="U3735">
        <v>0</v>
      </c>
      <c r="V3735" t="s">
        <v>32</v>
      </c>
      <c r="W3735" t="s">
        <v>39</v>
      </c>
      <c r="X3735" s="4">
        <v>9.1999999999999993</v>
      </c>
      <c r="Y3735">
        <v>11</v>
      </c>
      <c r="Z3735" s="5">
        <v>325.81</v>
      </c>
    </row>
    <row r="3736" spans="1:26">
      <c r="A3736">
        <v>3735</v>
      </c>
      <c r="B3736">
        <v>1226</v>
      </c>
      <c r="C3736" s="2">
        <v>46036</v>
      </c>
      <c r="D3736" t="s">
        <v>52</v>
      </c>
      <c r="E3736">
        <v>1</v>
      </c>
      <c r="F3736" s="3">
        <v>9.7200000000000006</v>
      </c>
      <c r="G3736" t="s">
        <v>27</v>
      </c>
      <c r="H3736">
        <v>39</v>
      </c>
      <c r="I3736" t="s">
        <v>34</v>
      </c>
      <c r="J3736" s="4">
        <v>67.900000000000006</v>
      </c>
      <c r="K3736" s="4">
        <v>194.8</v>
      </c>
      <c r="L3736" s="4">
        <v>29.6</v>
      </c>
      <c r="M3736">
        <v>13</v>
      </c>
      <c r="N3736" t="s">
        <v>60</v>
      </c>
      <c r="O3736">
        <v>6</v>
      </c>
      <c r="P3736" s="4">
        <v>1642</v>
      </c>
      <c r="Q3736" t="s">
        <v>30</v>
      </c>
      <c r="R3736">
        <v>1</v>
      </c>
      <c r="S3736" t="s">
        <v>44</v>
      </c>
      <c r="T3736">
        <v>1</v>
      </c>
      <c r="U3736">
        <v>0</v>
      </c>
      <c r="V3736" t="s">
        <v>32</v>
      </c>
      <c r="W3736" t="s">
        <v>39</v>
      </c>
      <c r="X3736" s="4">
        <v>8.3000000000000007</v>
      </c>
      <c r="Y3736">
        <v>10</v>
      </c>
      <c r="Z3736" s="5">
        <v>226.89</v>
      </c>
    </row>
    <row r="3737" spans="1:26">
      <c r="A3737">
        <v>3736</v>
      </c>
      <c r="B3737">
        <v>1226</v>
      </c>
      <c r="C3737" s="2">
        <v>46036</v>
      </c>
      <c r="D3737" t="s">
        <v>52</v>
      </c>
      <c r="E3737">
        <v>1</v>
      </c>
      <c r="F3737" s="3">
        <v>9.85</v>
      </c>
      <c r="G3737" t="s">
        <v>27</v>
      </c>
      <c r="H3737">
        <v>22</v>
      </c>
      <c r="I3737" t="s">
        <v>28</v>
      </c>
      <c r="J3737" s="4">
        <v>67.2</v>
      </c>
      <c r="K3737" s="4">
        <v>183.2</v>
      </c>
      <c r="L3737" s="4">
        <v>28.3</v>
      </c>
      <c r="M3737">
        <v>14</v>
      </c>
      <c r="N3737" t="s">
        <v>60</v>
      </c>
      <c r="O3737">
        <v>6</v>
      </c>
      <c r="P3737" s="4">
        <v>1642</v>
      </c>
      <c r="Q3737" t="s">
        <v>30</v>
      </c>
      <c r="R3737">
        <v>1</v>
      </c>
      <c r="S3737" t="s">
        <v>44</v>
      </c>
      <c r="T3737">
        <v>1</v>
      </c>
      <c r="U3737">
        <v>0</v>
      </c>
      <c r="V3737" t="s">
        <v>32</v>
      </c>
      <c r="W3737" t="s">
        <v>39</v>
      </c>
      <c r="X3737" s="4">
        <v>11.7</v>
      </c>
      <c r="Y3737">
        <v>10</v>
      </c>
      <c r="Z3737" s="5">
        <v>258.94</v>
      </c>
    </row>
    <row r="3738" spans="1:26">
      <c r="A3738">
        <v>3737</v>
      </c>
      <c r="B3738">
        <v>1226</v>
      </c>
      <c r="C3738" s="2">
        <v>46036</v>
      </c>
      <c r="D3738" t="s">
        <v>52</v>
      </c>
      <c r="E3738">
        <v>1</v>
      </c>
      <c r="F3738" s="3">
        <v>9.81</v>
      </c>
      <c r="G3738" t="s">
        <v>27</v>
      </c>
      <c r="H3738">
        <v>10</v>
      </c>
      <c r="I3738" t="s">
        <v>28</v>
      </c>
      <c r="J3738" s="4">
        <v>63.6</v>
      </c>
      <c r="K3738" s="4">
        <v>98</v>
      </c>
      <c r="L3738" s="4">
        <v>17</v>
      </c>
      <c r="M3738">
        <v>10</v>
      </c>
      <c r="N3738" t="s">
        <v>60</v>
      </c>
      <c r="O3738">
        <v>6</v>
      </c>
      <c r="P3738" s="4">
        <v>1642</v>
      </c>
      <c r="Q3738" t="s">
        <v>30</v>
      </c>
      <c r="R3738">
        <v>1</v>
      </c>
      <c r="S3738" t="s">
        <v>44</v>
      </c>
      <c r="T3738">
        <v>1</v>
      </c>
      <c r="U3738">
        <v>0</v>
      </c>
      <c r="V3738" t="s">
        <v>32</v>
      </c>
      <c r="W3738" t="s">
        <v>39</v>
      </c>
      <c r="X3738" s="4">
        <v>8.4</v>
      </c>
      <c r="Y3738">
        <v>3</v>
      </c>
      <c r="Z3738" s="5">
        <v>156</v>
      </c>
    </row>
    <row r="3739" spans="1:26">
      <c r="A3739">
        <v>3738</v>
      </c>
      <c r="B3739">
        <v>1226</v>
      </c>
      <c r="C3739" s="2">
        <v>46036</v>
      </c>
      <c r="D3739" t="s">
        <v>52</v>
      </c>
      <c r="E3739">
        <v>1</v>
      </c>
      <c r="F3739" s="3">
        <v>9.67</v>
      </c>
      <c r="G3739" t="s">
        <v>27</v>
      </c>
      <c r="H3739">
        <v>58</v>
      </c>
      <c r="I3739" t="s">
        <v>28</v>
      </c>
      <c r="J3739" s="4">
        <v>64.5</v>
      </c>
      <c r="K3739" s="4">
        <v>175.1</v>
      </c>
      <c r="L3739" s="4">
        <v>29.3</v>
      </c>
      <c r="M3739">
        <v>15</v>
      </c>
      <c r="N3739" t="s">
        <v>60</v>
      </c>
      <c r="O3739">
        <v>6</v>
      </c>
      <c r="P3739" s="4">
        <v>1642</v>
      </c>
      <c r="Q3739" t="s">
        <v>30</v>
      </c>
      <c r="R3739">
        <v>1</v>
      </c>
      <c r="S3739" t="s">
        <v>44</v>
      </c>
      <c r="T3739">
        <v>1</v>
      </c>
      <c r="U3739">
        <v>0</v>
      </c>
      <c r="V3739" t="s">
        <v>32</v>
      </c>
      <c r="W3739" t="s">
        <v>39</v>
      </c>
      <c r="X3739" s="4">
        <v>6.9</v>
      </c>
      <c r="Y3739">
        <v>1</v>
      </c>
      <c r="Z3739" s="5">
        <v>126.1</v>
      </c>
    </row>
    <row r="3740" spans="1:26">
      <c r="A3740">
        <v>3739</v>
      </c>
      <c r="B3740">
        <v>1227</v>
      </c>
      <c r="C3740" s="2">
        <v>46233</v>
      </c>
      <c r="D3740" t="s">
        <v>55</v>
      </c>
      <c r="E3740">
        <v>7</v>
      </c>
      <c r="F3740" s="3">
        <v>10.84</v>
      </c>
      <c r="G3740" t="s">
        <v>27</v>
      </c>
      <c r="H3740">
        <v>64</v>
      </c>
      <c r="I3740" t="s">
        <v>34</v>
      </c>
      <c r="J3740" s="4">
        <v>64.3</v>
      </c>
      <c r="K3740" s="4">
        <v>149.80000000000001</v>
      </c>
      <c r="L3740" s="4">
        <v>25.1</v>
      </c>
      <c r="M3740">
        <v>13</v>
      </c>
      <c r="N3740" t="s">
        <v>61</v>
      </c>
      <c r="O3740">
        <v>2</v>
      </c>
      <c r="P3740" s="4">
        <v>1494.6</v>
      </c>
      <c r="Q3740" t="s">
        <v>48</v>
      </c>
      <c r="R3740">
        <v>0</v>
      </c>
      <c r="S3740" t="s">
        <v>44</v>
      </c>
      <c r="T3740">
        <v>1</v>
      </c>
      <c r="U3740">
        <v>0</v>
      </c>
      <c r="V3740" t="s">
        <v>32</v>
      </c>
      <c r="W3740" t="s">
        <v>39</v>
      </c>
      <c r="X3740" s="4">
        <v>10.1</v>
      </c>
      <c r="Y3740">
        <v>18</v>
      </c>
      <c r="Z3740" s="5">
        <v>391.33</v>
      </c>
    </row>
    <row r="3741" spans="1:26">
      <c r="A3741">
        <v>3740</v>
      </c>
      <c r="B3741">
        <v>1227</v>
      </c>
      <c r="C3741" s="2">
        <v>46233</v>
      </c>
      <c r="D3741" t="s">
        <v>55</v>
      </c>
      <c r="E3741">
        <v>7</v>
      </c>
      <c r="F3741" s="3">
        <v>10.99</v>
      </c>
      <c r="G3741" t="s">
        <v>27</v>
      </c>
      <c r="H3741">
        <v>28</v>
      </c>
      <c r="I3741" t="s">
        <v>28</v>
      </c>
      <c r="J3741" s="4">
        <v>66.599999999999994</v>
      </c>
      <c r="K3741" s="4">
        <v>170.7</v>
      </c>
      <c r="L3741" s="4">
        <v>27.1</v>
      </c>
      <c r="M3741">
        <v>18</v>
      </c>
      <c r="N3741" t="s">
        <v>61</v>
      </c>
      <c r="O3741">
        <v>2</v>
      </c>
      <c r="P3741" s="4">
        <v>1494.6</v>
      </c>
      <c r="Q3741" t="s">
        <v>48</v>
      </c>
      <c r="R3741">
        <v>0</v>
      </c>
      <c r="S3741" t="s">
        <v>44</v>
      </c>
      <c r="T3741">
        <v>1</v>
      </c>
      <c r="U3741">
        <v>0</v>
      </c>
      <c r="V3741" t="s">
        <v>32</v>
      </c>
      <c r="W3741" t="s">
        <v>39</v>
      </c>
      <c r="X3741" s="4">
        <v>6.5</v>
      </c>
      <c r="Y3741">
        <v>9</v>
      </c>
      <c r="Z3741" s="5">
        <v>189.37</v>
      </c>
    </row>
    <row r="3742" spans="1:26">
      <c r="A3742">
        <v>3741</v>
      </c>
      <c r="B3742">
        <v>1228</v>
      </c>
      <c r="C3742" s="2">
        <v>46241</v>
      </c>
      <c r="D3742" t="s">
        <v>26</v>
      </c>
      <c r="E3742">
        <v>8</v>
      </c>
      <c r="F3742" s="3">
        <v>11.5</v>
      </c>
      <c r="G3742" t="s">
        <v>36</v>
      </c>
      <c r="H3742">
        <v>23</v>
      </c>
      <c r="I3742" t="s">
        <v>34</v>
      </c>
      <c r="J3742" s="4">
        <v>68</v>
      </c>
      <c r="K3742" s="4">
        <v>147.4</v>
      </c>
      <c r="L3742" s="4">
        <v>22.5</v>
      </c>
      <c r="M3742">
        <v>16</v>
      </c>
      <c r="N3742" t="s">
        <v>65</v>
      </c>
      <c r="O3742">
        <v>3</v>
      </c>
      <c r="P3742" s="4">
        <v>1869.4</v>
      </c>
      <c r="Q3742" t="s">
        <v>30</v>
      </c>
      <c r="R3742">
        <v>0</v>
      </c>
      <c r="S3742" t="s">
        <v>31</v>
      </c>
      <c r="T3742">
        <v>0</v>
      </c>
      <c r="U3742">
        <v>0</v>
      </c>
      <c r="V3742" t="s">
        <v>32</v>
      </c>
      <c r="W3742" t="s">
        <v>43</v>
      </c>
      <c r="X3742" s="4">
        <v>6.8</v>
      </c>
      <c r="Y3742">
        <v>3</v>
      </c>
      <c r="Z3742" s="5">
        <v>166.85</v>
      </c>
    </row>
    <row r="3743" spans="1:26">
      <c r="A3743">
        <v>3742</v>
      </c>
      <c r="B3743">
        <v>1228</v>
      </c>
      <c r="C3743" s="2">
        <v>46241</v>
      </c>
      <c r="D3743" t="s">
        <v>26</v>
      </c>
      <c r="E3743">
        <v>8</v>
      </c>
      <c r="F3743" s="3">
        <v>11.33</v>
      </c>
      <c r="G3743" t="s">
        <v>36</v>
      </c>
      <c r="H3743">
        <v>8</v>
      </c>
      <c r="I3743" t="s">
        <v>28</v>
      </c>
      <c r="J3743" s="4">
        <v>61.1</v>
      </c>
      <c r="K3743" s="4">
        <v>72.599999999999994</v>
      </c>
      <c r="L3743" s="4">
        <v>13.9</v>
      </c>
      <c r="M3743">
        <v>14</v>
      </c>
      <c r="N3743" t="s">
        <v>65</v>
      </c>
      <c r="O3743">
        <v>3</v>
      </c>
      <c r="P3743" s="4">
        <v>1869.4</v>
      </c>
      <c r="Q3743" t="s">
        <v>30</v>
      </c>
      <c r="R3743">
        <v>0</v>
      </c>
      <c r="S3743" t="s">
        <v>31</v>
      </c>
      <c r="T3743">
        <v>0</v>
      </c>
      <c r="U3743">
        <v>0</v>
      </c>
      <c r="V3743" t="s">
        <v>32</v>
      </c>
      <c r="W3743" t="s">
        <v>43</v>
      </c>
      <c r="X3743" s="4">
        <v>8.5</v>
      </c>
      <c r="Y3743">
        <v>7</v>
      </c>
      <c r="Z3743" s="5">
        <v>96.03</v>
      </c>
    </row>
    <row r="3744" spans="1:26">
      <c r="A3744">
        <v>3743</v>
      </c>
      <c r="B3744">
        <v>1228</v>
      </c>
      <c r="C3744" s="2">
        <v>46241</v>
      </c>
      <c r="D3744" t="s">
        <v>26</v>
      </c>
      <c r="E3744">
        <v>8</v>
      </c>
      <c r="F3744" s="3">
        <v>11.43</v>
      </c>
      <c r="G3744" t="s">
        <v>36</v>
      </c>
      <c r="H3744">
        <v>63</v>
      </c>
      <c r="I3744" t="s">
        <v>28</v>
      </c>
      <c r="J3744" s="4">
        <v>70.3</v>
      </c>
      <c r="K3744" s="4">
        <v>127.4</v>
      </c>
      <c r="L3744" s="4">
        <v>18</v>
      </c>
      <c r="M3744">
        <v>12</v>
      </c>
      <c r="N3744" t="s">
        <v>65</v>
      </c>
      <c r="O3744">
        <v>3</v>
      </c>
      <c r="P3744" s="4">
        <v>1869.4</v>
      </c>
      <c r="Q3744" t="s">
        <v>30</v>
      </c>
      <c r="R3744">
        <v>0</v>
      </c>
      <c r="S3744" t="s">
        <v>31</v>
      </c>
      <c r="T3744">
        <v>0</v>
      </c>
      <c r="U3744">
        <v>0</v>
      </c>
      <c r="V3744" t="s">
        <v>32</v>
      </c>
      <c r="W3744" t="s">
        <v>43</v>
      </c>
      <c r="X3744" s="4">
        <v>8</v>
      </c>
      <c r="Y3744">
        <v>6</v>
      </c>
      <c r="Z3744" s="5">
        <v>95.56</v>
      </c>
    </row>
    <row r="3745" spans="1:26">
      <c r="A3745">
        <v>3744</v>
      </c>
      <c r="B3745">
        <v>1229</v>
      </c>
      <c r="C3745" s="2">
        <v>46199</v>
      </c>
      <c r="D3745" t="s">
        <v>26</v>
      </c>
      <c r="E3745">
        <v>6</v>
      </c>
      <c r="F3745" s="3">
        <v>8.44</v>
      </c>
      <c r="G3745" t="s">
        <v>27</v>
      </c>
      <c r="H3745">
        <v>35</v>
      </c>
      <c r="I3745" t="s">
        <v>34</v>
      </c>
      <c r="J3745" s="4">
        <v>65.400000000000006</v>
      </c>
      <c r="K3745" s="4">
        <v>143.5</v>
      </c>
      <c r="L3745" s="4">
        <v>23.5</v>
      </c>
      <c r="M3745">
        <v>20</v>
      </c>
      <c r="N3745" t="s">
        <v>47</v>
      </c>
      <c r="O3745">
        <v>1</v>
      </c>
      <c r="P3745" s="4">
        <v>77.099999999999994</v>
      </c>
      <c r="Q3745" t="s">
        <v>48</v>
      </c>
      <c r="R3745">
        <v>0</v>
      </c>
      <c r="S3745" t="s">
        <v>44</v>
      </c>
      <c r="T3745">
        <v>1</v>
      </c>
      <c r="U3745">
        <v>0</v>
      </c>
      <c r="V3745" t="s">
        <v>32</v>
      </c>
      <c r="W3745" t="s">
        <v>49</v>
      </c>
      <c r="X3745" s="4">
        <v>11.1</v>
      </c>
      <c r="Y3745">
        <v>13</v>
      </c>
      <c r="Z3745" s="5">
        <v>200.76</v>
      </c>
    </row>
    <row r="3746" spans="1:26">
      <c r="A3746">
        <v>3745</v>
      </c>
      <c r="B3746">
        <v>1230</v>
      </c>
      <c r="C3746" s="2">
        <v>46207</v>
      </c>
      <c r="D3746" t="s">
        <v>40</v>
      </c>
      <c r="E3746">
        <v>7</v>
      </c>
      <c r="F3746" s="3">
        <v>10.34</v>
      </c>
      <c r="G3746" t="s">
        <v>27</v>
      </c>
      <c r="H3746">
        <v>41</v>
      </c>
      <c r="I3746" t="s">
        <v>28</v>
      </c>
      <c r="J3746" s="4">
        <v>67.2</v>
      </c>
      <c r="K3746" s="4">
        <v>171.3</v>
      </c>
      <c r="L3746" s="4">
        <v>26.5</v>
      </c>
      <c r="M3746">
        <v>16</v>
      </c>
      <c r="N3746" t="s">
        <v>60</v>
      </c>
      <c r="O3746">
        <v>1</v>
      </c>
      <c r="P3746" s="4">
        <v>1735.9</v>
      </c>
      <c r="Q3746" t="s">
        <v>30</v>
      </c>
      <c r="R3746">
        <v>1</v>
      </c>
      <c r="S3746" t="s">
        <v>44</v>
      </c>
      <c r="T3746">
        <v>0</v>
      </c>
      <c r="U3746">
        <v>0</v>
      </c>
      <c r="V3746" t="s">
        <v>32</v>
      </c>
      <c r="W3746" t="s">
        <v>43</v>
      </c>
      <c r="X3746" s="4">
        <v>8.1999999999999993</v>
      </c>
      <c r="Y3746">
        <v>8</v>
      </c>
      <c r="Z3746" s="5">
        <v>205.85</v>
      </c>
    </row>
    <row r="3747" spans="1:26">
      <c r="A3747">
        <v>3746</v>
      </c>
      <c r="B3747">
        <v>1231</v>
      </c>
      <c r="C3747" s="2">
        <v>46303</v>
      </c>
      <c r="D3747" t="s">
        <v>55</v>
      </c>
      <c r="E3747">
        <v>10</v>
      </c>
      <c r="F3747" s="3">
        <v>10</v>
      </c>
      <c r="G3747" t="s">
        <v>27</v>
      </c>
      <c r="H3747">
        <v>39</v>
      </c>
      <c r="I3747" t="s">
        <v>34</v>
      </c>
      <c r="J3747" s="4">
        <v>61.6</v>
      </c>
      <c r="K3747" s="4">
        <v>134.69999999999999</v>
      </c>
      <c r="L3747" s="4">
        <v>25.2</v>
      </c>
      <c r="M3747">
        <v>17</v>
      </c>
      <c r="N3747" t="s">
        <v>56</v>
      </c>
      <c r="O3747">
        <v>2</v>
      </c>
      <c r="P3747" s="4">
        <v>313.10000000000002</v>
      </c>
      <c r="Q3747" t="s">
        <v>42</v>
      </c>
      <c r="R3747">
        <v>1</v>
      </c>
      <c r="S3747" t="s">
        <v>44</v>
      </c>
      <c r="T3747">
        <v>0</v>
      </c>
      <c r="U3747">
        <v>1</v>
      </c>
      <c r="V3747" t="s">
        <v>32</v>
      </c>
      <c r="W3747" t="s">
        <v>33</v>
      </c>
      <c r="X3747" s="4">
        <v>11.1</v>
      </c>
      <c r="Y3747">
        <v>8</v>
      </c>
      <c r="Z3747" s="5">
        <v>256.77</v>
      </c>
    </row>
    <row r="3748" spans="1:26">
      <c r="A3748">
        <v>3747</v>
      </c>
      <c r="B3748">
        <v>1231</v>
      </c>
      <c r="C3748" s="2">
        <v>46303</v>
      </c>
      <c r="D3748" t="s">
        <v>55</v>
      </c>
      <c r="E3748">
        <v>10</v>
      </c>
      <c r="F3748" s="3">
        <v>10.01</v>
      </c>
      <c r="G3748" t="s">
        <v>27</v>
      </c>
      <c r="H3748">
        <v>13</v>
      </c>
      <c r="I3748" t="s">
        <v>34</v>
      </c>
      <c r="J3748" s="4">
        <v>70</v>
      </c>
      <c r="K3748" s="4">
        <v>103.6</v>
      </c>
      <c r="L3748" s="4">
        <v>14.9</v>
      </c>
      <c r="M3748">
        <v>11</v>
      </c>
      <c r="N3748" t="s">
        <v>56</v>
      </c>
      <c r="O3748">
        <v>2</v>
      </c>
      <c r="P3748" s="4">
        <v>313.10000000000002</v>
      </c>
      <c r="Q3748" t="s">
        <v>42</v>
      </c>
      <c r="R3748">
        <v>1</v>
      </c>
      <c r="S3748" t="s">
        <v>44</v>
      </c>
      <c r="T3748">
        <v>0</v>
      </c>
      <c r="U3748">
        <v>1</v>
      </c>
      <c r="V3748" t="s">
        <v>32</v>
      </c>
      <c r="W3748" t="s">
        <v>33</v>
      </c>
      <c r="X3748" s="4">
        <v>8.6</v>
      </c>
      <c r="Y3748">
        <v>6</v>
      </c>
      <c r="Z3748" s="5">
        <v>245.21</v>
      </c>
    </row>
    <row r="3749" spans="1:26">
      <c r="A3749">
        <v>3748</v>
      </c>
      <c r="B3749">
        <v>1232</v>
      </c>
      <c r="C3749" s="2">
        <v>46345</v>
      </c>
      <c r="D3749" t="s">
        <v>55</v>
      </c>
      <c r="E3749">
        <v>11</v>
      </c>
      <c r="F3749" s="3">
        <v>11.14</v>
      </c>
      <c r="G3749" t="s">
        <v>36</v>
      </c>
      <c r="H3749">
        <v>50</v>
      </c>
      <c r="I3749" t="s">
        <v>34</v>
      </c>
      <c r="J3749" s="4">
        <v>63.7</v>
      </c>
      <c r="K3749" s="4">
        <v>103.5</v>
      </c>
      <c r="L3749" s="4">
        <v>18.100000000000001</v>
      </c>
      <c r="M3749">
        <v>14</v>
      </c>
      <c r="N3749" t="s">
        <v>47</v>
      </c>
      <c r="O3749">
        <v>2</v>
      </c>
      <c r="P3749" s="4">
        <v>92.1</v>
      </c>
      <c r="Q3749" t="s">
        <v>30</v>
      </c>
      <c r="R3749">
        <v>1</v>
      </c>
      <c r="S3749" t="s">
        <v>38</v>
      </c>
      <c r="T3749">
        <v>1</v>
      </c>
      <c r="U3749">
        <v>0</v>
      </c>
      <c r="V3749" t="s">
        <v>32</v>
      </c>
      <c r="W3749" t="s">
        <v>39</v>
      </c>
      <c r="X3749" s="4">
        <v>8.1</v>
      </c>
      <c r="Y3749">
        <v>9</v>
      </c>
      <c r="Z3749" s="5">
        <v>276.64</v>
      </c>
    </row>
    <row r="3750" spans="1:26">
      <c r="A3750">
        <v>3749</v>
      </c>
      <c r="B3750">
        <v>1232</v>
      </c>
      <c r="C3750" s="2">
        <v>46345</v>
      </c>
      <c r="D3750" t="s">
        <v>55</v>
      </c>
      <c r="E3750">
        <v>11</v>
      </c>
      <c r="F3750" s="3">
        <v>11.19</v>
      </c>
      <c r="G3750" t="s">
        <v>36</v>
      </c>
      <c r="H3750">
        <v>39</v>
      </c>
      <c r="I3750" t="s">
        <v>34</v>
      </c>
      <c r="J3750" s="4">
        <v>58.8</v>
      </c>
      <c r="K3750" s="4">
        <v>165.7</v>
      </c>
      <c r="L3750" s="4">
        <v>33.799999999999997</v>
      </c>
      <c r="M3750">
        <v>10</v>
      </c>
      <c r="N3750" t="s">
        <v>47</v>
      </c>
      <c r="O3750">
        <v>2</v>
      </c>
      <c r="P3750" s="4">
        <v>92.1</v>
      </c>
      <c r="Q3750" t="s">
        <v>30</v>
      </c>
      <c r="R3750">
        <v>1</v>
      </c>
      <c r="S3750" t="s">
        <v>38</v>
      </c>
      <c r="T3750">
        <v>1</v>
      </c>
      <c r="U3750">
        <v>0</v>
      </c>
      <c r="V3750" t="s">
        <v>32</v>
      </c>
      <c r="W3750" t="s">
        <v>39</v>
      </c>
      <c r="X3750" s="4">
        <v>5.4</v>
      </c>
      <c r="Y3750">
        <v>10</v>
      </c>
      <c r="Z3750" s="5">
        <v>196.82</v>
      </c>
    </row>
    <row r="3751" spans="1:26">
      <c r="A3751">
        <v>3750</v>
      </c>
      <c r="B3751">
        <v>1233</v>
      </c>
      <c r="C3751" s="2">
        <v>46196</v>
      </c>
      <c r="D3751" t="s">
        <v>35</v>
      </c>
      <c r="E3751">
        <v>6</v>
      </c>
      <c r="F3751" s="3">
        <v>11.59</v>
      </c>
      <c r="G3751" t="s">
        <v>36</v>
      </c>
      <c r="H3751">
        <v>32</v>
      </c>
      <c r="I3751" t="s">
        <v>34</v>
      </c>
      <c r="J3751" s="4">
        <v>61.8</v>
      </c>
      <c r="K3751" s="4">
        <v>148.1</v>
      </c>
      <c r="L3751" s="4">
        <v>27.2</v>
      </c>
      <c r="M3751">
        <v>12</v>
      </c>
      <c r="N3751" t="s">
        <v>60</v>
      </c>
      <c r="O3751">
        <v>3</v>
      </c>
      <c r="P3751" s="4">
        <v>1265.2</v>
      </c>
      <c r="Q3751" t="s">
        <v>42</v>
      </c>
      <c r="R3751">
        <v>1</v>
      </c>
      <c r="S3751" t="s">
        <v>31</v>
      </c>
      <c r="T3751">
        <v>0</v>
      </c>
      <c r="U3751">
        <v>0</v>
      </c>
      <c r="V3751" t="s">
        <v>32</v>
      </c>
      <c r="W3751" t="s">
        <v>43</v>
      </c>
      <c r="X3751" s="4">
        <v>7.1</v>
      </c>
      <c r="Y3751">
        <v>8</v>
      </c>
      <c r="Z3751" s="5">
        <v>220.64</v>
      </c>
    </row>
    <row r="3752" spans="1:26">
      <c r="A3752">
        <v>3751</v>
      </c>
      <c r="B3752">
        <v>1233</v>
      </c>
      <c r="C3752" s="2">
        <v>46196</v>
      </c>
      <c r="D3752" t="s">
        <v>35</v>
      </c>
      <c r="E3752">
        <v>6</v>
      </c>
      <c r="F3752" s="3">
        <v>11.64</v>
      </c>
      <c r="G3752" t="s">
        <v>36</v>
      </c>
      <c r="H3752">
        <v>56</v>
      </c>
      <c r="I3752" t="s">
        <v>34</v>
      </c>
      <c r="J3752" s="4">
        <v>68.400000000000006</v>
      </c>
      <c r="K3752" s="4">
        <v>195.2</v>
      </c>
      <c r="L3752" s="4">
        <v>29.4</v>
      </c>
      <c r="M3752">
        <v>14</v>
      </c>
      <c r="N3752" t="s">
        <v>60</v>
      </c>
      <c r="O3752">
        <v>3</v>
      </c>
      <c r="P3752" s="4">
        <v>1265.2</v>
      </c>
      <c r="Q3752" t="s">
        <v>42</v>
      </c>
      <c r="R3752">
        <v>1</v>
      </c>
      <c r="S3752" t="s">
        <v>31</v>
      </c>
      <c r="T3752">
        <v>0</v>
      </c>
      <c r="U3752">
        <v>0</v>
      </c>
      <c r="V3752" t="s">
        <v>32</v>
      </c>
      <c r="W3752" t="s">
        <v>43</v>
      </c>
      <c r="X3752" s="4">
        <v>9.6999999999999993</v>
      </c>
      <c r="Y3752">
        <v>9</v>
      </c>
      <c r="Z3752" s="5">
        <v>224.24</v>
      </c>
    </row>
    <row r="3753" spans="1:26">
      <c r="A3753">
        <v>3752</v>
      </c>
      <c r="B3753">
        <v>1233</v>
      </c>
      <c r="C3753" s="2">
        <v>46196</v>
      </c>
      <c r="D3753" t="s">
        <v>35</v>
      </c>
      <c r="E3753">
        <v>6</v>
      </c>
      <c r="F3753" s="3">
        <v>11.64</v>
      </c>
      <c r="G3753" t="s">
        <v>36</v>
      </c>
      <c r="H3753">
        <v>32</v>
      </c>
      <c r="I3753" t="s">
        <v>34</v>
      </c>
      <c r="J3753" s="4">
        <v>65.599999999999994</v>
      </c>
      <c r="K3753" s="4">
        <v>145.5</v>
      </c>
      <c r="L3753" s="4">
        <v>23.6</v>
      </c>
      <c r="M3753">
        <v>17</v>
      </c>
      <c r="N3753" t="s">
        <v>60</v>
      </c>
      <c r="O3753">
        <v>3</v>
      </c>
      <c r="P3753" s="4">
        <v>1265.2</v>
      </c>
      <c r="Q3753" t="s">
        <v>42</v>
      </c>
      <c r="R3753">
        <v>1</v>
      </c>
      <c r="S3753" t="s">
        <v>31</v>
      </c>
      <c r="T3753">
        <v>0</v>
      </c>
      <c r="U3753">
        <v>0</v>
      </c>
      <c r="V3753" t="s">
        <v>32</v>
      </c>
      <c r="W3753" t="s">
        <v>43</v>
      </c>
      <c r="X3753" s="4">
        <v>7.3</v>
      </c>
      <c r="Y3753">
        <v>7</v>
      </c>
      <c r="Z3753" s="5">
        <v>180.04</v>
      </c>
    </row>
    <row r="3754" spans="1:26">
      <c r="A3754">
        <v>3753</v>
      </c>
      <c r="B3754">
        <v>1234</v>
      </c>
      <c r="C3754" s="2">
        <v>46098</v>
      </c>
      <c r="D3754" t="s">
        <v>35</v>
      </c>
      <c r="E3754">
        <v>3</v>
      </c>
      <c r="F3754" s="3">
        <v>10.49</v>
      </c>
      <c r="G3754" t="s">
        <v>27</v>
      </c>
      <c r="H3754">
        <v>60</v>
      </c>
      <c r="I3754" t="s">
        <v>34</v>
      </c>
      <c r="J3754" s="4">
        <v>65.900000000000006</v>
      </c>
      <c r="K3754" s="4">
        <v>152.5</v>
      </c>
      <c r="L3754" s="4">
        <v>24.7</v>
      </c>
      <c r="M3754">
        <v>17</v>
      </c>
      <c r="N3754" t="s">
        <v>47</v>
      </c>
      <c r="O3754">
        <v>5</v>
      </c>
      <c r="P3754" s="4">
        <v>61.2</v>
      </c>
      <c r="Q3754" t="s">
        <v>30</v>
      </c>
      <c r="R3754">
        <v>1</v>
      </c>
      <c r="S3754" t="s">
        <v>44</v>
      </c>
      <c r="T3754">
        <v>0</v>
      </c>
      <c r="U3754">
        <v>0</v>
      </c>
      <c r="V3754" t="s">
        <v>32</v>
      </c>
      <c r="W3754" t="s">
        <v>39</v>
      </c>
      <c r="X3754" s="4">
        <v>9.6999999999999993</v>
      </c>
      <c r="Y3754">
        <v>6</v>
      </c>
      <c r="Z3754" s="5">
        <v>196.48</v>
      </c>
    </row>
    <row r="3755" spans="1:26">
      <c r="A3755">
        <v>3754</v>
      </c>
      <c r="B3755">
        <v>1234</v>
      </c>
      <c r="C3755" s="2">
        <v>46098</v>
      </c>
      <c r="D3755" t="s">
        <v>35</v>
      </c>
      <c r="E3755">
        <v>3</v>
      </c>
      <c r="F3755" s="3">
        <v>10.59</v>
      </c>
      <c r="G3755" t="s">
        <v>27</v>
      </c>
      <c r="H3755">
        <v>31</v>
      </c>
      <c r="I3755" t="s">
        <v>28</v>
      </c>
      <c r="J3755" s="4">
        <v>67.099999999999994</v>
      </c>
      <c r="K3755" s="4">
        <v>147.4</v>
      </c>
      <c r="L3755" s="4">
        <v>23.1</v>
      </c>
      <c r="M3755">
        <v>12</v>
      </c>
      <c r="N3755" t="s">
        <v>47</v>
      </c>
      <c r="O3755">
        <v>5</v>
      </c>
      <c r="P3755" s="4">
        <v>61.2</v>
      </c>
      <c r="Q3755" t="s">
        <v>30</v>
      </c>
      <c r="R3755">
        <v>1</v>
      </c>
      <c r="S3755" t="s">
        <v>44</v>
      </c>
      <c r="T3755">
        <v>0</v>
      </c>
      <c r="U3755">
        <v>0</v>
      </c>
      <c r="V3755" t="s">
        <v>32</v>
      </c>
      <c r="W3755" t="s">
        <v>39</v>
      </c>
      <c r="X3755" s="4">
        <v>6.9</v>
      </c>
      <c r="Y3755">
        <v>9</v>
      </c>
      <c r="Z3755" s="5">
        <v>147.66999999999999</v>
      </c>
    </row>
    <row r="3756" spans="1:26">
      <c r="A3756">
        <v>3755</v>
      </c>
      <c r="B3756">
        <v>1234</v>
      </c>
      <c r="C3756" s="2">
        <v>46098</v>
      </c>
      <c r="D3756" t="s">
        <v>35</v>
      </c>
      <c r="E3756">
        <v>3</v>
      </c>
      <c r="F3756" s="3">
        <v>10.6</v>
      </c>
      <c r="G3756" t="s">
        <v>27</v>
      </c>
      <c r="H3756">
        <v>39</v>
      </c>
      <c r="I3756" t="s">
        <v>28</v>
      </c>
      <c r="J3756" s="4">
        <v>73.3</v>
      </c>
      <c r="K3756" s="4">
        <v>160.6</v>
      </c>
      <c r="L3756" s="4">
        <v>20.6</v>
      </c>
      <c r="M3756">
        <v>12</v>
      </c>
      <c r="N3756" t="s">
        <v>47</v>
      </c>
      <c r="O3756">
        <v>5</v>
      </c>
      <c r="P3756" s="4">
        <v>61.2</v>
      </c>
      <c r="Q3756" t="s">
        <v>30</v>
      </c>
      <c r="R3756">
        <v>1</v>
      </c>
      <c r="S3756" t="s">
        <v>44</v>
      </c>
      <c r="T3756">
        <v>0</v>
      </c>
      <c r="U3756">
        <v>0</v>
      </c>
      <c r="V3756" t="s">
        <v>32</v>
      </c>
      <c r="W3756" t="s">
        <v>39</v>
      </c>
      <c r="X3756" s="4">
        <v>6.1</v>
      </c>
      <c r="Y3756">
        <v>8</v>
      </c>
      <c r="Z3756" s="5">
        <v>189.3</v>
      </c>
    </row>
    <row r="3757" spans="1:26">
      <c r="A3757">
        <v>3756</v>
      </c>
      <c r="B3757">
        <v>1234</v>
      </c>
      <c r="C3757" s="2">
        <v>46098</v>
      </c>
      <c r="D3757" t="s">
        <v>35</v>
      </c>
      <c r="E3757">
        <v>3</v>
      </c>
      <c r="F3757" s="3">
        <v>10.56</v>
      </c>
      <c r="G3757" t="s">
        <v>27</v>
      </c>
      <c r="H3757">
        <v>44</v>
      </c>
      <c r="I3757" t="s">
        <v>28</v>
      </c>
      <c r="J3757" s="4">
        <v>71.400000000000006</v>
      </c>
      <c r="K3757" s="4">
        <v>190.6</v>
      </c>
      <c r="L3757" s="4">
        <v>26.3</v>
      </c>
      <c r="M3757">
        <v>12</v>
      </c>
      <c r="N3757" t="s">
        <v>47</v>
      </c>
      <c r="O3757">
        <v>5</v>
      </c>
      <c r="P3757" s="4">
        <v>61.2</v>
      </c>
      <c r="Q3757" t="s">
        <v>30</v>
      </c>
      <c r="R3757">
        <v>1</v>
      </c>
      <c r="S3757" t="s">
        <v>44</v>
      </c>
      <c r="T3757">
        <v>0</v>
      </c>
      <c r="U3757">
        <v>0</v>
      </c>
      <c r="V3757" t="s">
        <v>32</v>
      </c>
      <c r="W3757" t="s">
        <v>39</v>
      </c>
      <c r="X3757" s="4">
        <v>6.9</v>
      </c>
      <c r="Y3757">
        <v>8</v>
      </c>
      <c r="Z3757" s="5">
        <v>190.59</v>
      </c>
    </row>
    <row r="3758" spans="1:26">
      <c r="A3758">
        <v>3757</v>
      </c>
      <c r="B3758">
        <v>1234</v>
      </c>
      <c r="C3758" s="2">
        <v>46098</v>
      </c>
      <c r="D3758" t="s">
        <v>35</v>
      </c>
      <c r="E3758">
        <v>3</v>
      </c>
      <c r="F3758" s="3">
        <v>10.68</v>
      </c>
      <c r="G3758" t="s">
        <v>27</v>
      </c>
      <c r="H3758">
        <v>60</v>
      </c>
      <c r="I3758" t="s">
        <v>34</v>
      </c>
      <c r="J3758" s="4">
        <v>62.2</v>
      </c>
      <c r="K3758" s="4">
        <v>140.5</v>
      </c>
      <c r="L3758" s="4">
        <v>25.8</v>
      </c>
      <c r="M3758">
        <v>16</v>
      </c>
      <c r="N3758" t="s">
        <v>47</v>
      </c>
      <c r="O3758">
        <v>5</v>
      </c>
      <c r="P3758" s="4">
        <v>61.2</v>
      </c>
      <c r="Q3758" t="s">
        <v>30</v>
      </c>
      <c r="R3758">
        <v>1</v>
      </c>
      <c r="S3758" t="s">
        <v>44</v>
      </c>
      <c r="T3758">
        <v>0</v>
      </c>
      <c r="U3758">
        <v>0</v>
      </c>
      <c r="V3758" t="s">
        <v>32</v>
      </c>
      <c r="W3758" t="s">
        <v>39</v>
      </c>
      <c r="X3758" s="4">
        <v>8.1999999999999993</v>
      </c>
      <c r="Y3758">
        <v>9</v>
      </c>
      <c r="Z3758" s="5">
        <v>167.09</v>
      </c>
    </row>
    <row r="3759" spans="1:26">
      <c r="A3759">
        <v>3758</v>
      </c>
      <c r="B3759">
        <v>1235</v>
      </c>
      <c r="C3759" s="2">
        <v>46305</v>
      </c>
      <c r="D3759" t="s">
        <v>40</v>
      </c>
      <c r="E3759">
        <v>10</v>
      </c>
      <c r="F3759" s="3">
        <v>10.119999999999999</v>
      </c>
      <c r="G3759" t="s">
        <v>27</v>
      </c>
      <c r="H3759">
        <v>9</v>
      </c>
      <c r="I3759" t="s">
        <v>28</v>
      </c>
      <c r="J3759" s="4">
        <v>60.1</v>
      </c>
      <c r="K3759" s="4">
        <v>90.3</v>
      </c>
      <c r="L3759" s="4">
        <v>17.8</v>
      </c>
      <c r="M3759">
        <v>10</v>
      </c>
      <c r="N3759" t="s">
        <v>47</v>
      </c>
      <c r="O3759">
        <v>3</v>
      </c>
      <c r="P3759" s="4">
        <v>23.9</v>
      </c>
      <c r="Q3759" t="s">
        <v>30</v>
      </c>
      <c r="R3759">
        <v>1</v>
      </c>
      <c r="S3759" t="s">
        <v>31</v>
      </c>
      <c r="T3759">
        <v>0</v>
      </c>
      <c r="U3759">
        <v>0</v>
      </c>
      <c r="V3759" t="s">
        <v>32</v>
      </c>
      <c r="W3759" t="s">
        <v>43</v>
      </c>
      <c r="X3759" s="4">
        <v>9.1</v>
      </c>
      <c r="Y3759">
        <v>10</v>
      </c>
      <c r="Z3759" s="5">
        <v>313.72000000000003</v>
      </c>
    </row>
    <row r="3760" spans="1:26">
      <c r="A3760">
        <v>3759</v>
      </c>
      <c r="B3760">
        <v>1235</v>
      </c>
      <c r="C3760" s="2">
        <v>46305</v>
      </c>
      <c r="D3760" t="s">
        <v>40</v>
      </c>
      <c r="E3760">
        <v>10</v>
      </c>
      <c r="F3760" s="3">
        <v>10.1</v>
      </c>
      <c r="G3760" t="s">
        <v>27</v>
      </c>
      <c r="H3760">
        <v>57</v>
      </c>
      <c r="I3760" t="s">
        <v>34</v>
      </c>
      <c r="J3760" s="4">
        <v>64.7</v>
      </c>
      <c r="K3760" s="4">
        <v>155.19999999999999</v>
      </c>
      <c r="L3760" s="4">
        <v>26.1</v>
      </c>
      <c r="M3760">
        <v>14</v>
      </c>
      <c r="N3760" t="s">
        <v>47</v>
      </c>
      <c r="O3760">
        <v>3</v>
      </c>
      <c r="P3760" s="4">
        <v>23.9</v>
      </c>
      <c r="Q3760" t="s">
        <v>30</v>
      </c>
      <c r="R3760">
        <v>1</v>
      </c>
      <c r="S3760" t="s">
        <v>31</v>
      </c>
      <c r="T3760">
        <v>0</v>
      </c>
      <c r="U3760">
        <v>0</v>
      </c>
      <c r="V3760" t="s">
        <v>32</v>
      </c>
      <c r="W3760" t="s">
        <v>43</v>
      </c>
      <c r="X3760" s="4">
        <v>7</v>
      </c>
      <c r="Y3760">
        <v>1</v>
      </c>
      <c r="Z3760" s="5">
        <v>123.76</v>
      </c>
    </row>
    <row r="3761" spans="1:26">
      <c r="A3761">
        <v>3760</v>
      </c>
      <c r="B3761">
        <v>1235</v>
      </c>
      <c r="C3761" s="2">
        <v>46305</v>
      </c>
      <c r="D3761" t="s">
        <v>40</v>
      </c>
      <c r="E3761">
        <v>10</v>
      </c>
      <c r="F3761" s="3">
        <v>10.32</v>
      </c>
      <c r="G3761" t="s">
        <v>27</v>
      </c>
      <c r="H3761">
        <v>45</v>
      </c>
      <c r="I3761" t="s">
        <v>28</v>
      </c>
      <c r="J3761" s="4">
        <v>63.6</v>
      </c>
      <c r="K3761" s="4">
        <v>141.69999999999999</v>
      </c>
      <c r="L3761" s="4">
        <v>24.5</v>
      </c>
      <c r="M3761">
        <v>13</v>
      </c>
      <c r="N3761" t="s">
        <v>47</v>
      </c>
      <c r="O3761">
        <v>3</v>
      </c>
      <c r="P3761" s="4">
        <v>23.9</v>
      </c>
      <c r="Q3761" t="s">
        <v>30</v>
      </c>
      <c r="R3761">
        <v>1</v>
      </c>
      <c r="S3761" t="s">
        <v>31</v>
      </c>
      <c r="T3761">
        <v>0</v>
      </c>
      <c r="U3761">
        <v>0</v>
      </c>
      <c r="V3761" t="s">
        <v>32</v>
      </c>
      <c r="W3761" t="s">
        <v>43</v>
      </c>
      <c r="X3761" s="4">
        <v>8.8000000000000007</v>
      </c>
      <c r="Y3761">
        <v>7</v>
      </c>
      <c r="Z3761" s="5">
        <v>135.82</v>
      </c>
    </row>
    <row r="3762" spans="1:26">
      <c r="A3762">
        <v>3761</v>
      </c>
      <c r="B3762">
        <v>1236</v>
      </c>
      <c r="C3762" s="2">
        <v>46145</v>
      </c>
      <c r="D3762" t="s">
        <v>58</v>
      </c>
      <c r="E3762">
        <v>5</v>
      </c>
      <c r="F3762" s="3">
        <v>8.7799999999999994</v>
      </c>
      <c r="G3762" t="s">
        <v>27</v>
      </c>
      <c r="H3762">
        <v>38</v>
      </c>
      <c r="I3762" t="s">
        <v>28</v>
      </c>
      <c r="J3762" s="4">
        <v>66.2</v>
      </c>
      <c r="K3762" s="4">
        <v>136.1</v>
      </c>
      <c r="L3762" s="4">
        <v>21.8</v>
      </c>
      <c r="M3762">
        <v>14</v>
      </c>
      <c r="N3762" t="s">
        <v>56</v>
      </c>
      <c r="O3762">
        <v>3</v>
      </c>
      <c r="P3762" s="4">
        <v>106.3</v>
      </c>
      <c r="Q3762" t="s">
        <v>42</v>
      </c>
      <c r="R3762">
        <v>0</v>
      </c>
      <c r="S3762" t="s">
        <v>44</v>
      </c>
      <c r="T3762">
        <v>0</v>
      </c>
      <c r="U3762">
        <v>0</v>
      </c>
      <c r="V3762" t="s">
        <v>32</v>
      </c>
      <c r="W3762" t="s">
        <v>57</v>
      </c>
      <c r="X3762" s="4">
        <v>4.2</v>
      </c>
      <c r="Y3762">
        <v>6</v>
      </c>
      <c r="Z3762" s="5">
        <v>87.02</v>
      </c>
    </row>
    <row r="3763" spans="1:26">
      <c r="A3763">
        <v>3762</v>
      </c>
      <c r="B3763">
        <v>1236</v>
      </c>
      <c r="C3763" s="2">
        <v>46145</v>
      </c>
      <c r="D3763" t="s">
        <v>58</v>
      </c>
      <c r="E3763">
        <v>5</v>
      </c>
      <c r="F3763" s="3">
        <v>8.7799999999999994</v>
      </c>
      <c r="G3763" t="s">
        <v>27</v>
      </c>
      <c r="H3763">
        <v>32</v>
      </c>
      <c r="I3763" t="s">
        <v>28</v>
      </c>
      <c r="J3763" s="4">
        <v>66.7</v>
      </c>
      <c r="K3763" s="4">
        <v>129.6</v>
      </c>
      <c r="L3763" s="4">
        <v>20.7</v>
      </c>
      <c r="M3763">
        <v>16</v>
      </c>
      <c r="N3763" t="s">
        <v>56</v>
      </c>
      <c r="O3763">
        <v>3</v>
      </c>
      <c r="P3763" s="4">
        <v>106.3</v>
      </c>
      <c r="Q3763" t="s">
        <v>42</v>
      </c>
      <c r="R3763">
        <v>0</v>
      </c>
      <c r="S3763" t="s">
        <v>44</v>
      </c>
      <c r="T3763">
        <v>0</v>
      </c>
      <c r="U3763">
        <v>0</v>
      </c>
      <c r="V3763" t="s">
        <v>32</v>
      </c>
      <c r="W3763" t="s">
        <v>57</v>
      </c>
      <c r="X3763" s="4">
        <v>7.7</v>
      </c>
      <c r="Y3763">
        <v>7</v>
      </c>
      <c r="Z3763" s="5">
        <v>187.44</v>
      </c>
    </row>
    <row r="3764" spans="1:26">
      <c r="A3764">
        <v>3763</v>
      </c>
      <c r="B3764">
        <v>1236</v>
      </c>
      <c r="C3764" s="2">
        <v>46145</v>
      </c>
      <c r="D3764" t="s">
        <v>58</v>
      </c>
      <c r="E3764">
        <v>5</v>
      </c>
      <c r="F3764" s="3">
        <v>8.86</v>
      </c>
      <c r="G3764" t="s">
        <v>27</v>
      </c>
      <c r="H3764">
        <v>68</v>
      </c>
      <c r="I3764" t="s">
        <v>28</v>
      </c>
      <c r="J3764" s="4">
        <v>73.2</v>
      </c>
      <c r="K3764" s="4">
        <v>211.5</v>
      </c>
      <c r="L3764" s="4">
        <v>27.8</v>
      </c>
      <c r="M3764">
        <v>16</v>
      </c>
      <c r="N3764" t="s">
        <v>56</v>
      </c>
      <c r="O3764">
        <v>3</v>
      </c>
      <c r="P3764" s="4">
        <v>106.3</v>
      </c>
      <c r="Q3764" t="s">
        <v>42</v>
      </c>
      <c r="R3764">
        <v>0</v>
      </c>
      <c r="S3764" t="s">
        <v>44</v>
      </c>
      <c r="T3764">
        <v>0</v>
      </c>
      <c r="U3764">
        <v>0</v>
      </c>
      <c r="V3764" t="s">
        <v>32</v>
      </c>
      <c r="W3764" t="s">
        <v>57</v>
      </c>
      <c r="X3764" s="4">
        <v>8</v>
      </c>
      <c r="Y3764">
        <v>8</v>
      </c>
      <c r="Z3764" s="5">
        <v>178.35</v>
      </c>
    </row>
    <row r="3765" spans="1:26">
      <c r="A3765">
        <v>3764</v>
      </c>
      <c r="B3765">
        <v>1237</v>
      </c>
      <c r="C3765" s="2">
        <v>46212</v>
      </c>
      <c r="D3765" t="s">
        <v>55</v>
      </c>
      <c r="E3765">
        <v>7</v>
      </c>
      <c r="F3765" s="3">
        <v>12.43</v>
      </c>
      <c r="G3765" t="s">
        <v>36</v>
      </c>
      <c r="H3765">
        <v>48</v>
      </c>
      <c r="I3765" t="s">
        <v>34</v>
      </c>
      <c r="J3765" s="4">
        <v>65.099999999999994</v>
      </c>
      <c r="K3765" s="4">
        <v>140.4</v>
      </c>
      <c r="L3765" s="4">
        <v>23</v>
      </c>
      <c r="M3765">
        <v>16</v>
      </c>
      <c r="N3765" t="s">
        <v>47</v>
      </c>
      <c r="O3765">
        <v>3</v>
      </c>
      <c r="P3765" s="4">
        <v>2</v>
      </c>
      <c r="Q3765" t="s">
        <v>48</v>
      </c>
      <c r="R3765">
        <v>0</v>
      </c>
      <c r="S3765" t="s">
        <v>38</v>
      </c>
      <c r="T3765">
        <v>1</v>
      </c>
      <c r="U3765">
        <v>0</v>
      </c>
      <c r="V3765" t="s">
        <v>45</v>
      </c>
      <c r="W3765" t="s">
        <v>39</v>
      </c>
      <c r="X3765" s="4">
        <v>8.6999999999999993</v>
      </c>
      <c r="Y3765">
        <v>7</v>
      </c>
      <c r="Z3765" s="5">
        <v>222.79</v>
      </c>
    </row>
    <row r="3766" spans="1:26">
      <c r="A3766">
        <v>3765</v>
      </c>
      <c r="B3766">
        <v>1237</v>
      </c>
      <c r="C3766" s="2">
        <v>46212</v>
      </c>
      <c r="D3766" t="s">
        <v>55</v>
      </c>
      <c r="E3766">
        <v>7</v>
      </c>
      <c r="F3766" s="3">
        <v>12.34</v>
      </c>
      <c r="G3766" t="s">
        <v>36</v>
      </c>
      <c r="H3766">
        <v>3</v>
      </c>
      <c r="I3766" t="s">
        <v>28</v>
      </c>
      <c r="J3766" s="4">
        <v>54.6</v>
      </c>
      <c r="K3766" s="4">
        <v>100.4</v>
      </c>
      <c r="L3766" s="4">
        <v>23.6</v>
      </c>
      <c r="M3766">
        <v>14</v>
      </c>
      <c r="N3766" t="s">
        <v>47</v>
      </c>
      <c r="O3766">
        <v>3</v>
      </c>
      <c r="P3766" s="4">
        <v>2</v>
      </c>
      <c r="Q3766" t="s">
        <v>48</v>
      </c>
      <c r="R3766">
        <v>0</v>
      </c>
      <c r="S3766" t="s">
        <v>38</v>
      </c>
      <c r="T3766">
        <v>1</v>
      </c>
      <c r="U3766">
        <v>0</v>
      </c>
      <c r="V3766" t="s">
        <v>45</v>
      </c>
      <c r="W3766" t="s">
        <v>39</v>
      </c>
      <c r="X3766" s="4">
        <v>8.3000000000000007</v>
      </c>
      <c r="Y3766">
        <v>14</v>
      </c>
      <c r="Z3766" s="5">
        <v>347.67</v>
      </c>
    </row>
    <row r="3767" spans="1:26">
      <c r="A3767">
        <v>3766</v>
      </c>
      <c r="B3767">
        <v>1237</v>
      </c>
      <c r="C3767" s="2">
        <v>46212</v>
      </c>
      <c r="D3767" t="s">
        <v>55</v>
      </c>
      <c r="E3767">
        <v>7</v>
      </c>
      <c r="F3767" s="3">
        <v>12.49</v>
      </c>
      <c r="G3767" t="s">
        <v>36</v>
      </c>
      <c r="H3767">
        <v>36</v>
      </c>
      <c r="I3767" t="s">
        <v>34</v>
      </c>
      <c r="J3767" s="4">
        <v>63.1</v>
      </c>
      <c r="K3767" s="4">
        <v>133.5</v>
      </c>
      <c r="L3767" s="4">
        <v>23.7</v>
      </c>
      <c r="M3767">
        <v>18</v>
      </c>
      <c r="N3767" t="s">
        <v>47</v>
      </c>
      <c r="O3767">
        <v>3</v>
      </c>
      <c r="P3767" s="4">
        <v>2</v>
      </c>
      <c r="Q3767" t="s">
        <v>48</v>
      </c>
      <c r="R3767">
        <v>0</v>
      </c>
      <c r="S3767" t="s">
        <v>38</v>
      </c>
      <c r="T3767">
        <v>1</v>
      </c>
      <c r="U3767">
        <v>0</v>
      </c>
      <c r="V3767" t="s">
        <v>45</v>
      </c>
      <c r="W3767" t="s">
        <v>39</v>
      </c>
      <c r="X3767" s="4">
        <v>8.1</v>
      </c>
      <c r="Y3767">
        <v>6</v>
      </c>
      <c r="Z3767" s="5">
        <v>381.54</v>
      </c>
    </row>
    <row r="3768" spans="1:26">
      <c r="A3768">
        <v>3767</v>
      </c>
      <c r="B3768">
        <v>1238</v>
      </c>
      <c r="C3768" s="2">
        <v>46350</v>
      </c>
      <c r="D3768" t="s">
        <v>35</v>
      </c>
      <c r="E3768">
        <v>11</v>
      </c>
      <c r="F3768" s="3">
        <v>8.48</v>
      </c>
      <c r="G3768" t="s">
        <v>27</v>
      </c>
      <c r="H3768">
        <v>23</v>
      </c>
      <c r="I3768" t="s">
        <v>34</v>
      </c>
      <c r="J3768" s="4">
        <v>65</v>
      </c>
      <c r="K3768" s="4">
        <v>164.4</v>
      </c>
      <c r="L3768" s="4">
        <v>27.3</v>
      </c>
      <c r="M3768">
        <v>10</v>
      </c>
      <c r="N3768" t="s">
        <v>50</v>
      </c>
      <c r="O3768">
        <v>2</v>
      </c>
      <c r="P3768" s="4">
        <v>296.39999999999998</v>
      </c>
      <c r="Q3768" t="s">
        <v>30</v>
      </c>
      <c r="R3768">
        <v>1</v>
      </c>
      <c r="S3768" t="s">
        <v>44</v>
      </c>
      <c r="T3768">
        <v>0</v>
      </c>
      <c r="U3768">
        <v>1</v>
      </c>
      <c r="V3768" t="s">
        <v>32</v>
      </c>
      <c r="W3768" t="s">
        <v>39</v>
      </c>
      <c r="X3768" s="4">
        <v>10.4</v>
      </c>
      <c r="Y3768">
        <v>10</v>
      </c>
      <c r="Z3768" s="5">
        <v>650</v>
      </c>
    </row>
    <row r="3769" spans="1:26">
      <c r="A3769">
        <v>3768</v>
      </c>
      <c r="B3769">
        <v>1238</v>
      </c>
      <c r="C3769" s="2">
        <v>46350</v>
      </c>
      <c r="D3769" t="s">
        <v>35</v>
      </c>
      <c r="E3769">
        <v>11</v>
      </c>
      <c r="F3769" s="3">
        <v>8.64</v>
      </c>
      <c r="G3769" t="s">
        <v>27</v>
      </c>
      <c r="H3769">
        <v>52</v>
      </c>
      <c r="I3769" t="s">
        <v>34</v>
      </c>
      <c r="J3769" s="4">
        <v>64.7</v>
      </c>
      <c r="K3769" s="4">
        <v>138.5</v>
      </c>
      <c r="L3769" s="4">
        <v>23.1</v>
      </c>
      <c r="M3769">
        <v>12</v>
      </c>
      <c r="N3769" t="s">
        <v>50</v>
      </c>
      <c r="O3769">
        <v>2</v>
      </c>
      <c r="P3769" s="4">
        <v>296.39999999999998</v>
      </c>
      <c r="Q3769" t="s">
        <v>30</v>
      </c>
      <c r="R3769">
        <v>1</v>
      </c>
      <c r="S3769" t="s">
        <v>44</v>
      </c>
      <c r="T3769">
        <v>0</v>
      </c>
      <c r="U3769">
        <v>1</v>
      </c>
      <c r="V3769" t="s">
        <v>32</v>
      </c>
      <c r="W3769" t="s">
        <v>39</v>
      </c>
      <c r="X3769" s="4">
        <v>9.6999999999999993</v>
      </c>
      <c r="Y3769">
        <v>16</v>
      </c>
      <c r="Z3769" s="5">
        <v>272.36</v>
      </c>
    </row>
    <row r="3770" spans="1:26">
      <c r="A3770">
        <v>3769</v>
      </c>
      <c r="B3770">
        <v>1239</v>
      </c>
      <c r="C3770" s="2">
        <v>46104</v>
      </c>
      <c r="D3770" t="s">
        <v>46</v>
      </c>
      <c r="E3770">
        <v>3</v>
      </c>
      <c r="F3770" s="3">
        <v>8.83</v>
      </c>
      <c r="G3770" t="s">
        <v>27</v>
      </c>
      <c r="H3770">
        <v>7</v>
      </c>
      <c r="I3770" t="s">
        <v>28</v>
      </c>
      <c r="J3770" s="4">
        <v>58.9</v>
      </c>
      <c r="K3770" s="4">
        <v>86.8</v>
      </c>
      <c r="L3770" s="4">
        <v>17.600000000000001</v>
      </c>
      <c r="M3770">
        <v>14</v>
      </c>
      <c r="N3770" t="s">
        <v>67</v>
      </c>
      <c r="O3770">
        <v>2</v>
      </c>
      <c r="P3770" s="4">
        <v>2175.3000000000002</v>
      </c>
      <c r="Q3770" t="s">
        <v>48</v>
      </c>
      <c r="R3770">
        <v>1</v>
      </c>
      <c r="S3770" t="s">
        <v>44</v>
      </c>
      <c r="T3770">
        <v>0</v>
      </c>
      <c r="U3770">
        <v>0</v>
      </c>
      <c r="V3770" t="s">
        <v>45</v>
      </c>
      <c r="W3770" t="s">
        <v>43</v>
      </c>
      <c r="X3770" s="4">
        <v>9.9</v>
      </c>
      <c r="Y3770">
        <v>9</v>
      </c>
      <c r="Z3770" s="5">
        <v>376.58</v>
      </c>
    </row>
    <row r="3771" spans="1:26">
      <c r="A3771">
        <v>3770</v>
      </c>
      <c r="B3771">
        <v>1239</v>
      </c>
      <c r="C3771" s="2">
        <v>46104</v>
      </c>
      <c r="D3771" t="s">
        <v>46</v>
      </c>
      <c r="E3771">
        <v>3</v>
      </c>
      <c r="F3771" s="3">
        <v>8.84</v>
      </c>
      <c r="G3771" t="s">
        <v>27</v>
      </c>
      <c r="H3771">
        <v>43</v>
      </c>
      <c r="I3771" t="s">
        <v>28</v>
      </c>
      <c r="J3771" s="4">
        <v>71.900000000000006</v>
      </c>
      <c r="K3771" s="4">
        <v>236.2</v>
      </c>
      <c r="L3771" s="4">
        <v>32</v>
      </c>
      <c r="M3771">
        <v>19</v>
      </c>
      <c r="N3771" t="s">
        <v>67</v>
      </c>
      <c r="O3771">
        <v>2</v>
      </c>
      <c r="P3771" s="4">
        <v>2175.3000000000002</v>
      </c>
      <c r="Q3771" t="s">
        <v>48</v>
      </c>
      <c r="R3771">
        <v>1</v>
      </c>
      <c r="S3771" t="s">
        <v>44</v>
      </c>
      <c r="T3771">
        <v>0</v>
      </c>
      <c r="U3771">
        <v>0</v>
      </c>
      <c r="V3771" t="s">
        <v>45</v>
      </c>
      <c r="W3771" t="s">
        <v>43</v>
      </c>
      <c r="X3771" s="4">
        <v>8.6</v>
      </c>
      <c r="Y3771">
        <v>5</v>
      </c>
      <c r="Z3771" s="5">
        <v>259.25</v>
      </c>
    </row>
    <row r="3772" spans="1:26">
      <c r="A3772">
        <v>3771</v>
      </c>
      <c r="B3772">
        <v>1240</v>
      </c>
      <c r="C3772" s="2">
        <v>46251</v>
      </c>
      <c r="D3772" t="s">
        <v>46</v>
      </c>
      <c r="E3772">
        <v>8</v>
      </c>
      <c r="F3772" s="3">
        <v>11.83</v>
      </c>
      <c r="G3772" t="s">
        <v>36</v>
      </c>
      <c r="H3772">
        <v>46</v>
      </c>
      <c r="I3772" t="s">
        <v>28</v>
      </c>
      <c r="J3772" s="4">
        <v>72.5</v>
      </c>
      <c r="K3772" s="4">
        <v>204.9</v>
      </c>
      <c r="L3772" s="4">
        <v>27.6</v>
      </c>
      <c r="M3772">
        <v>13</v>
      </c>
      <c r="N3772" t="s">
        <v>53</v>
      </c>
      <c r="O3772">
        <v>6</v>
      </c>
      <c r="P3772" s="4">
        <v>1122.5999999999999</v>
      </c>
      <c r="Q3772" t="s">
        <v>30</v>
      </c>
      <c r="R3772">
        <v>1</v>
      </c>
      <c r="S3772" t="s">
        <v>44</v>
      </c>
      <c r="T3772">
        <v>0</v>
      </c>
      <c r="U3772">
        <v>0</v>
      </c>
      <c r="V3772" t="s">
        <v>32</v>
      </c>
      <c r="W3772" t="s">
        <v>39</v>
      </c>
      <c r="X3772" s="4">
        <v>6.1</v>
      </c>
      <c r="Y3772">
        <v>9</v>
      </c>
      <c r="Z3772" s="5">
        <v>165.93</v>
      </c>
    </row>
    <row r="3773" spans="1:26">
      <c r="A3773">
        <v>3772</v>
      </c>
      <c r="B3773">
        <v>1240</v>
      </c>
      <c r="C3773" s="2">
        <v>46251</v>
      </c>
      <c r="D3773" t="s">
        <v>46</v>
      </c>
      <c r="E3773">
        <v>8</v>
      </c>
      <c r="F3773" s="3">
        <v>11.76</v>
      </c>
      <c r="G3773" t="s">
        <v>36</v>
      </c>
      <c r="H3773">
        <v>11</v>
      </c>
      <c r="I3773" t="s">
        <v>28</v>
      </c>
      <c r="J3773" s="4">
        <v>68.5</v>
      </c>
      <c r="K3773" s="4">
        <v>102.5</v>
      </c>
      <c r="L3773" s="4">
        <v>15.3</v>
      </c>
      <c r="M3773">
        <v>11</v>
      </c>
      <c r="N3773" t="s">
        <v>53</v>
      </c>
      <c r="O3773">
        <v>6</v>
      </c>
      <c r="P3773" s="4">
        <v>1122.5999999999999</v>
      </c>
      <c r="Q3773" t="s">
        <v>30</v>
      </c>
      <c r="R3773">
        <v>1</v>
      </c>
      <c r="S3773" t="s">
        <v>44</v>
      </c>
      <c r="T3773">
        <v>0</v>
      </c>
      <c r="U3773">
        <v>0</v>
      </c>
      <c r="V3773" t="s">
        <v>32</v>
      </c>
      <c r="W3773" t="s">
        <v>39</v>
      </c>
      <c r="X3773" s="4">
        <v>8.8000000000000007</v>
      </c>
      <c r="Y3773">
        <v>7</v>
      </c>
      <c r="Z3773" s="5">
        <v>187.69</v>
      </c>
    </row>
    <row r="3774" spans="1:26">
      <c r="A3774">
        <v>3773</v>
      </c>
      <c r="B3774">
        <v>1240</v>
      </c>
      <c r="C3774" s="2">
        <v>46251</v>
      </c>
      <c r="D3774" t="s">
        <v>46</v>
      </c>
      <c r="E3774">
        <v>8</v>
      </c>
      <c r="F3774" s="3">
        <v>11.7</v>
      </c>
      <c r="G3774" t="s">
        <v>36</v>
      </c>
      <c r="H3774">
        <v>64</v>
      </c>
      <c r="I3774" t="s">
        <v>34</v>
      </c>
      <c r="J3774" s="4">
        <v>60.7</v>
      </c>
      <c r="K3774" s="4">
        <v>101.3</v>
      </c>
      <c r="L3774" s="4">
        <v>19.5</v>
      </c>
      <c r="M3774">
        <v>15</v>
      </c>
      <c r="N3774" t="s">
        <v>53</v>
      </c>
      <c r="O3774">
        <v>6</v>
      </c>
      <c r="P3774" s="4">
        <v>1122.5999999999999</v>
      </c>
      <c r="Q3774" t="s">
        <v>30</v>
      </c>
      <c r="R3774">
        <v>1</v>
      </c>
      <c r="S3774" t="s">
        <v>44</v>
      </c>
      <c r="T3774">
        <v>0</v>
      </c>
      <c r="U3774">
        <v>0</v>
      </c>
      <c r="V3774" t="s">
        <v>32</v>
      </c>
      <c r="W3774" t="s">
        <v>39</v>
      </c>
      <c r="X3774" s="4">
        <v>5.7</v>
      </c>
      <c r="Y3774">
        <v>9</v>
      </c>
      <c r="Z3774" s="5">
        <v>206.56</v>
      </c>
    </row>
    <row r="3775" spans="1:26">
      <c r="A3775">
        <v>3774</v>
      </c>
      <c r="B3775">
        <v>1240</v>
      </c>
      <c r="C3775" s="2">
        <v>46251</v>
      </c>
      <c r="D3775" t="s">
        <v>46</v>
      </c>
      <c r="E3775">
        <v>8</v>
      </c>
      <c r="F3775" s="3">
        <v>11.76</v>
      </c>
      <c r="G3775" t="s">
        <v>36</v>
      </c>
      <c r="H3775">
        <v>42</v>
      </c>
      <c r="I3775" t="s">
        <v>34</v>
      </c>
      <c r="J3775" s="4">
        <v>64.8</v>
      </c>
      <c r="K3775" s="4">
        <v>121.8</v>
      </c>
      <c r="L3775" s="4">
        <v>20.3</v>
      </c>
      <c r="M3775">
        <v>10</v>
      </c>
      <c r="N3775" t="s">
        <v>53</v>
      </c>
      <c r="O3775">
        <v>6</v>
      </c>
      <c r="P3775" s="4">
        <v>1122.5999999999999</v>
      </c>
      <c r="Q3775" t="s">
        <v>30</v>
      </c>
      <c r="R3775">
        <v>1</v>
      </c>
      <c r="S3775" t="s">
        <v>44</v>
      </c>
      <c r="T3775">
        <v>0</v>
      </c>
      <c r="U3775">
        <v>0</v>
      </c>
      <c r="V3775" t="s">
        <v>32</v>
      </c>
      <c r="W3775" t="s">
        <v>39</v>
      </c>
      <c r="X3775" s="4">
        <v>8</v>
      </c>
      <c r="Y3775">
        <v>4</v>
      </c>
      <c r="Z3775" s="5">
        <v>133.31</v>
      </c>
    </row>
    <row r="3776" spans="1:26">
      <c r="A3776">
        <v>3775</v>
      </c>
      <c r="B3776">
        <v>1240</v>
      </c>
      <c r="C3776" s="2">
        <v>46251</v>
      </c>
      <c r="D3776" t="s">
        <v>46</v>
      </c>
      <c r="E3776">
        <v>8</v>
      </c>
      <c r="F3776" s="3">
        <v>11.68</v>
      </c>
      <c r="G3776" t="s">
        <v>36</v>
      </c>
      <c r="H3776">
        <v>59</v>
      </c>
      <c r="I3776" t="s">
        <v>34</v>
      </c>
      <c r="J3776" s="4">
        <v>63.1</v>
      </c>
      <c r="K3776" s="4">
        <v>147.9</v>
      </c>
      <c r="L3776" s="4">
        <v>26</v>
      </c>
      <c r="M3776">
        <v>14</v>
      </c>
      <c r="N3776" t="s">
        <v>53</v>
      </c>
      <c r="O3776">
        <v>6</v>
      </c>
      <c r="P3776" s="4">
        <v>1122.5999999999999</v>
      </c>
      <c r="Q3776" t="s">
        <v>30</v>
      </c>
      <c r="R3776">
        <v>1</v>
      </c>
      <c r="S3776" t="s">
        <v>44</v>
      </c>
      <c r="T3776">
        <v>0</v>
      </c>
      <c r="U3776">
        <v>0</v>
      </c>
      <c r="V3776" t="s">
        <v>32</v>
      </c>
      <c r="W3776" t="s">
        <v>39</v>
      </c>
      <c r="X3776" s="4">
        <v>9.4</v>
      </c>
      <c r="Y3776">
        <v>8</v>
      </c>
      <c r="Z3776" s="5">
        <v>234.8</v>
      </c>
    </row>
    <row r="3777" spans="1:26">
      <c r="A3777">
        <v>3776</v>
      </c>
      <c r="B3777">
        <v>1240</v>
      </c>
      <c r="C3777" s="2">
        <v>46251</v>
      </c>
      <c r="D3777" t="s">
        <v>46</v>
      </c>
      <c r="E3777">
        <v>8</v>
      </c>
      <c r="F3777" s="3">
        <v>11.85</v>
      </c>
      <c r="G3777" t="s">
        <v>36</v>
      </c>
      <c r="H3777">
        <v>55</v>
      </c>
      <c r="I3777" t="s">
        <v>28</v>
      </c>
      <c r="J3777" s="4">
        <v>68.7</v>
      </c>
      <c r="K3777" s="4">
        <v>150.9</v>
      </c>
      <c r="L3777" s="4">
        <v>22.6</v>
      </c>
      <c r="M3777">
        <v>14</v>
      </c>
      <c r="N3777" t="s">
        <v>53</v>
      </c>
      <c r="O3777">
        <v>6</v>
      </c>
      <c r="P3777" s="4">
        <v>1122.5999999999999</v>
      </c>
      <c r="Q3777" t="s">
        <v>30</v>
      </c>
      <c r="R3777">
        <v>1</v>
      </c>
      <c r="S3777" t="s">
        <v>44</v>
      </c>
      <c r="T3777">
        <v>0</v>
      </c>
      <c r="U3777">
        <v>0</v>
      </c>
      <c r="V3777" t="s">
        <v>32</v>
      </c>
      <c r="W3777" t="s">
        <v>39</v>
      </c>
      <c r="X3777" s="4">
        <v>5.3</v>
      </c>
      <c r="Y3777">
        <v>8</v>
      </c>
      <c r="Z3777" s="5">
        <v>204.9</v>
      </c>
    </row>
    <row r="3778" spans="1:26">
      <c r="A3778">
        <v>3777</v>
      </c>
      <c r="B3778">
        <v>1241</v>
      </c>
      <c r="C3778" s="2">
        <v>46374</v>
      </c>
      <c r="D3778" t="s">
        <v>26</v>
      </c>
      <c r="E3778">
        <v>12</v>
      </c>
      <c r="F3778" s="3">
        <v>13.61</v>
      </c>
      <c r="G3778" t="s">
        <v>36</v>
      </c>
      <c r="H3778">
        <v>24</v>
      </c>
      <c r="I3778" t="s">
        <v>34</v>
      </c>
      <c r="J3778" s="4">
        <v>61.1</v>
      </c>
      <c r="K3778" s="4">
        <v>124.4</v>
      </c>
      <c r="L3778" s="4">
        <v>23.6</v>
      </c>
      <c r="M3778">
        <v>14</v>
      </c>
      <c r="N3778" t="s">
        <v>50</v>
      </c>
      <c r="O3778">
        <v>4</v>
      </c>
      <c r="P3778" s="4">
        <v>400.9</v>
      </c>
      <c r="Q3778" t="s">
        <v>42</v>
      </c>
      <c r="R3778">
        <v>0</v>
      </c>
      <c r="S3778" t="s">
        <v>44</v>
      </c>
      <c r="T3778">
        <v>0</v>
      </c>
      <c r="U3778">
        <v>0</v>
      </c>
      <c r="V3778" t="s">
        <v>32</v>
      </c>
      <c r="W3778" t="s">
        <v>43</v>
      </c>
      <c r="X3778" s="4">
        <v>6.2</v>
      </c>
      <c r="Y3778">
        <v>6</v>
      </c>
      <c r="Z3778" s="5">
        <v>202.62</v>
      </c>
    </row>
    <row r="3779" spans="1:26">
      <c r="A3779">
        <v>3778</v>
      </c>
      <c r="B3779">
        <v>1241</v>
      </c>
      <c r="C3779" s="2">
        <v>46374</v>
      </c>
      <c r="D3779" t="s">
        <v>26</v>
      </c>
      <c r="E3779">
        <v>12</v>
      </c>
      <c r="F3779" s="3">
        <v>13.7</v>
      </c>
      <c r="G3779" t="s">
        <v>36</v>
      </c>
      <c r="H3779">
        <v>45</v>
      </c>
      <c r="I3779" t="s">
        <v>34</v>
      </c>
      <c r="J3779" s="4">
        <v>62.3</v>
      </c>
      <c r="K3779" s="4">
        <v>140.30000000000001</v>
      </c>
      <c r="L3779" s="4">
        <v>25.5</v>
      </c>
      <c r="M3779">
        <v>14</v>
      </c>
      <c r="N3779" t="s">
        <v>50</v>
      </c>
      <c r="O3779">
        <v>4</v>
      </c>
      <c r="P3779" s="4">
        <v>400.9</v>
      </c>
      <c r="Q3779" t="s">
        <v>42</v>
      </c>
      <c r="R3779">
        <v>0</v>
      </c>
      <c r="S3779" t="s">
        <v>44</v>
      </c>
      <c r="T3779">
        <v>0</v>
      </c>
      <c r="U3779">
        <v>0</v>
      </c>
      <c r="V3779" t="s">
        <v>32</v>
      </c>
      <c r="W3779" t="s">
        <v>43</v>
      </c>
      <c r="X3779" s="4">
        <v>8.6999999999999993</v>
      </c>
      <c r="Y3779">
        <v>6</v>
      </c>
      <c r="Z3779" s="5">
        <v>201.35</v>
      </c>
    </row>
    <row r="3780" spans="1:26">
      <c r="A3780">
        <v>3779</v>
      </c>
      <c r="B3780">
        <v>1241</v>
      </c>
      <c r="C3780" s="2">
        <v>46374</v>
      </c>
      <c r="D3780" t="s">
        <v>26</v>
      </c>
      <c r="E3780">
        <v>12</v>
      </c>
      <c r="F3780" s="3">
        <v>13.89</v>
      </c>
      <c r="G3780" t="s">
        <v>36</v>
      </c>
      <c r="H3780">
        <v>69</v>
      </c>
      <c r="I3780" t="s">
        <v>34</v>
      </c>
      <c r="J3780" s="4">
        <v>62.1</v>
      </c>
      <c r="K3780" s="4">
        <v>148.6</v>
      </c>
      <c r="L3780" s="4">
        <v>27.2</v>
      </c>
      <c r="M3780">
        <v>16</v>
      </c>
      <c r="N3780" t="s">
        <v>50</v>
      </c>
      <c r="O3780">
        <v>4</v>
      </c>
      <c r="P3780" s="4">
        <v>400.9</v>
      </c>
      <c r="Q3780" t="s">
        <v>42</v>
      </c>
      <c r="R3780">
        <v>0</v>
      </c>
      <c r="S3780" t="s">
        <v>44</v>
      </c>
      <c r="T3780">
        <v>0</v>
      </c>
      <c r="U3780">
        <v>0</v>
      </c>
      <c r="V3780" t="s">
        <v>32</v>
      </c>
      <c r="W3780" t="s">
        <v>43</v>
      </c>
      <c r="X3780" s="4">
        <v>6.5</v>
      </c>
      <c r="Y3780">
        <v>8</v>
      </c>
      <c r="Z3780" s="5">
        <v>147.91</v>
      </c>
    </row>
    <row r="3781" spans="1:26">
      <c r="A3781">
        <v>3780</v>
      </c>
      <c r="B3781">
        <v>1241</v>
      </c>
      <c r="C3781" s="2">
        <v>46374</v>
      </c>
      <c r="D3781" t="s">
        <v>26</v>
      </c>
      <c r="E3781">
        <v>12</v>
      </c>
      <c r="F3781" s="3">
        <v>13.76</v>
      </c>
      <c r="G3781" t="s">
        <v>36</v>
      </c>
      <c r="H3781">
        <v>42</v>
      </c>
      <c r="I3781" t="s">
        <v>34</v>
      </c>
      <c r="J3781" s="4">
        <v>62.4</v>
      </c>
      <c r="K3781" s="4">
        <v>140.1</v>
      </c>
      <c r="L3781" s="4">
        <v>25.4</v>
      </c>
      <c r="M3781">
        <v>15</v>
      </c>
      <c r="N3781" t="s">
        <v>50</v>
      </c>
      <c r="O3781">
        <v>4</v>
      </c>
      <c r="P3781" s="4">
        <v>400.9</v>
      </c>
      <c r="Q3781" t="s">
        <v>42</v>
      </c>
      <c r="R3781">
        <v>0</v>
      </c>
      <c r="S3781" t="s">
        <v>44</v>
      </c>
      <c r="T3781">
        <v>0</v>
      </c>
      <c r="U3781">
        <v>0</v>
      </c>
      <c r="V3781" t="s">
        <v>32</v>
      </c>
      <c r="W3781" t="s">
        <v>43</v>
      </c>
      <c r="X3781" s="4">
        <v>8.1</v>
      </c>
      <c r="Y3781">
        <v>3</v>
      </c>
      <c r="Z3781" s="5">
        <v>131.46</v>
      </c>
    </row>
    <row r="3782" spans="1:26">
      <c r="A3782">
        <v>3781</v>
      </c>
      <c r="B3782">
        <v>1242</v>
      </c>
      <c r="C3782" s="2">
        <v>46282</v>
      </c>
      <c r="D3782" t="s">
        <v>55</v>
      </c>
      <c r="E3782">
        <v>9</v>
      </c>
      <c r="F3782" s="3">
        <v>10.36</v>
      </c>
      <c r="G3782" t="s">
        <v>27</v>
      </c>
      <c r="H3782">
        <v>11</v>
      </c>
      <c r="I3782" t="s">
        <v>34</v>
      </c>
      <c r="J3782" s="4">
        <v>58.8</v>
      </c>
      <c r="K3782" s="4">
        <v>81.5</v>
      </c>
      <c r="L3782" s="4">
        <v>16.7</v>
      </c>
      <c r="M3782">
        <v>13</v>
      </c>
      <c r="N3782" t="s">
        <v>47</v>
      </c>
      <c r="O3782">
        <v>4</v>
      </c>
      <c r="P3782" s="4">
        <v>69.2</v>
      </c>
      <c r="Q3782" t="s">
        <v>30</v>
      </c>
      <c r="R3782">
        <v>0</v>
      </c>
      <c r="S3782" t="s">
        <v>44</v>
      </c>
      <c r="T3782">
        <v>0</v>
      </c>
      <c r="U3782">
        <v>0</v>
      </c>
      <c r="V3782" t="s">
        <v>32</v>
      </c>
      <c r="W3782" t="s">
        <v>43</v>
      </c>
      <c r="X3782" s="4">
        <v>7.8</v>
      </c>
      <c r="Y3782">
        <v>8</v>
      </c>
      <c r="Z3782" s="5">
        <v>112.16</v>
      </c>
    </row>
    <row r="3783" spans="1:26">
      <c r="A3783">
        <v>3782</v>
      </c>
      <c r="B3783">
        <v>1242</v>
      </c>
      <c r="C3783" s="2">
        <v>46282</v>
      </c>
      <c r="D3783" t="s">
        <v>55</v>
      </c>
      <c r="E3783">
        <v>9</v>
      </c>
      <c r="F3783" s="3">
        <v>10.4</v>
      </c>
      <c r="G3783" t="s">
        <v>27</v>
      </c>
      <c r="H3783">
        <v>45</v>
      </c>
      <c r="I3783" t="s">
        <v>34</v>
      </c>
      <c r="J3783" s="4">
        <v>67.099999999999994</v>
      </c>
      <c r="K3783" s="4">
        <v>123.3</v>
      </c>
      <c r="L3783" s="4">
        <v>19.2</v>
      </c>
      <c r="M3783">
        <v>12</v>
      </c>
      <c r="N3783" t="s">
        <v>47</v>
      </c>
      <c r="O3783">
        <v>4</v>
      </c>
      <c r="P3783" s="4">
        <v>69.2</v>
      </c>
      <c r="Q3783" t="s">
        <v>30</v>
      </c>
      <c r="R3783">
        <v>0</v>
      </c>
      <c r="S3783" t="s">
        <v>44</v>
      </c>
      <c r="T3783">
        <v>0</v>
      </c>
      <c r="U3783">
        <v>0</v>
      </c>
      <c r="V3783" t="s">
        <v>32</v>
      </c>
      <c r="W3783" t="s">
        <v>43</v>
      </c>
      <c r="X3783" s="4">
        <v>9.1999999999999993</v>
      </c>
      <c r="Y3783">
        <v>8</v>
      </c>
      <c r="Z3783" s="5">
        <v>162.04</v>
      </c>
    </row>
    <row r="3784" spans="1:26">
      <c r="A3784">
        <v>3783</v>
      </c>
      <c r="B3784">
        <v>1242</v>
      </c>
      <c r="C3784" s="2">
        <v>46282</v>
      </c>
      <c r="D3784" t="s">
        <v>55</v>
      </c>
      <c r="E3784">
        <v>9</v>
      </c>
      <c r="F3784" s="3">
        <v>10.33</v>
      </c>
      <c r="G3784" t="s">
        <v>27</v>
      </c>
      <c r="H3784">
        <v>32</v>
      </c>
      <c r="I3784" t="s">
        <v>34</v>
      </c>
      <c r="J3784" s="4">
        <v>67.8</v>
      </c>
      <c r="K3784" s="4">
        <v>127.4</v>
      </c>
      <c r="L3784" s="4">
        <v>19.5</v>
      </c>
      <c r="M3784">
        <v>10</v>
      </c>
      <c r="N3784" t="s">
        <v>47</v>
      </c>
      <c r="O3784">
        <v>4</v>
      </c>
      <c r="P3784" s="4">
        <v>69.2</v>
      </c>
      <c r="Q3784" t="s">
        <v>30</v>
      </c>
      <c r="R3784">
        <v>0</v>
      </c>
      <c r="S3784" t="s">
        <v>44</v>
      </c>
      <c r="T3784">
        <v>0</v>
      </c>
      <c r="U3784">
        <v>0</v>
      </c>
      <c r="V3784" t="s">
        <v>32</v>
      </c>
      <c r="W3784" t="s">
        <v>43</v>
      </c>
      <c r="X3784" s="4">
        <v>7.5</v>
      </c>
      <c r="Y3784">
        <v>11</v>
      </c>
      <c r="Z3784" s="5">
        <v>200.55</v>
      </c>
    </row>
    <row r="3785" spans="1:26">
      <c r="A3785">
        <v>3784</v>
      </c>
      <c r="B3785">
        <v>1242</v>
      </c>
      <c r="C3785" s="2">
        <v>46282</v>
      </c>
      <c r="D3785" t="s">
        <v>55</v>
      </c>
      <c r="E3785">
        <v>9</v>
      </c>
      <c r="F3785" s="3">
        <v>10.3</v>
      </c>
      <c r="G3785" t="s">
        <v>27</v>
      </c>
      <c r="H3785">
        <v>13</v>
      </c>
      <c r="I3785" t="s">
        <v>34</v>
      </c>
      <c r="J3785" s="4">
        <v>70</v>
      </c>
      <c r="K3785" s="4">
        <v>105.6</v>
      </c>
      <c r="L3785" s="4">
        <v>15.1</v>
      </c>
      <c r="M3785">
        <v>15</v>
      </c>
      <c r="N3785" t="s">
        <v>47</v>
      </c>
      <c r="O3785">
        <v>4</v>
      </c>
      <c r="P3785" s="4">
        <v>69.2</v>
      </c>
      <c r="Q3785" t="s">
        <v>30</v>
      </c>
      <c r="R3785">
        <v>0</v>
      </c>
      <c r="S3785" t="s">
        <v>44</v>
      </c>
      <c r="T3785">
        <v>0</v>
      </c>
      <c r="U3785">
        <v>0</v>
      </c>
      <c r="V3785" t="s">
        <v>32</v>
      </c>
      <c r="W3785" t="s">
        <v>43</v>
      </c>
      <c r="X3785" s="4">
        <v>6</v>
      </c>
      <c r="Y3785">
        <v>5</v>
      </c>
      <c r="Z3785" s="5">
        <v>83.04</v>
      </c>
    </row>
    <row r="3786" spans="1:26">
      <c r="A3786">
        <v>3785</v>
      </c>
      <c r="B3786">
        <v>1243</v>
      </c>
      <c r="C3786" s="2">
        <v>46386</v>
      </c>
      <c r="D3786" t="s">
        <v>52</v>
      </c>
      <c r="E3786">
        <v>12</v>
      </c>
      <c r="F3786" s="3">
        <v>11.53</v>
      </c>
      <c r="G3786" t="s">
        <v>36</v>
      </c>
      <c r="H3786">
        <v>12</v>
      </c>
      <c r="I3786" t="s">
        <v>34</v>
      </c>
      <c r="J3786" s="4">
        <v>67.7</v>
      </c>
      <c r="K3786" s="4">
        <v>142.1</v>
      </c>
      <c r="L3786" s="4">
        <v>21.8</v>
      </c>
      <c r="M3786">
        <v>11</v>
      </c>
      <c r="N3786" t="s">
        <v>37</v>
      </c>
      <c r="O3786">
        <v>2</v>
      </c>
      <c r="P3786" s="4">
        <v>970</v>
      </c>
      <c r="Q3786" t="s">
        <v>30</v>
      </c>
      <c r="R3786">
        <v>0</v>
      </c>
      <c r="S3786" t="s">
        <v>38</v>
      </c>
      <c r="T3786">
        <v>1</v>
      </c>
      <c r="U3786">
        <v>0</v>
      </c>
      <c r="V3786" t="s">
        <v>32</v>
      </c>
      <c r="W3786" t="s">
        <v>39</v>
      </c>
      <c r="X3786" s="4">
        <v>7.3</v>
      </c>
      <c r="Y3786">
        <v>8</v>
      </c>
      <c r="Z3786" s="5">
        <v>86.84</v>
      </c>
    </row>
    <row r="3787" spans="1:26">
      <c r="A3787">
        <v>3786</v>
      </c>
      <c r="B3787">
        <v>1243</v>
      </c>
      <c r="C3787" s="2">
        <v>46386</v>
      </c>
      <c r="D3787" t="s">
        <v>52</v>
      </c>
      <c r="E3787">
        <v>12</v>
      </c>
      <c r="F3787" s="3">
        <v>11.44</v>
      </c>
      <c r="G3787" t="s">
        <v>36</v>
      </c>
      <c r="H3787">
        <v>68</v>
      </c>
      <c r="I3787" t="s">
        <v>34</v>
      </c>
      <c r="J3787" s="4">
        <v>67.7</v>
      </c>
      <c r="K3787" s="4">
        <v>176.1</v>
      </c>
      <c r="L3787" s="4">
        <v>26.9</v>
      </c>
      <c r="M3787">
        <v>16</v>
      </c>
      <c r="N3787" t="s">
        <v>37</v>
      </c>
      <c r="O3787">
        <v>2</v>
      </c>
      <c r="P3787" s="4">
        <v>970</v>
      </c>
      <c r="Q3787" t="s">
        <v>30</v>
      </c>
      <c r="R3787">
        <v>0</v>
      </c>
      <c r="S3787" t="s">
        <v>38</v>
      </c>
      <c r="T3787">
        <v>1</v>
      </c>
      <c r="U3787">
        <v>0</v>
      </c>
      <c r="V3787" t="s">
        <v>32</v>
      </c>
      <c r="W3787" t="s">
        <v>39</v>
      </c>
      <c r="X3787" s="4">
        <v>9</v>
      </c>
      <c r="Y3787">
        <v>16</v>
      </c>
      <c r="Z3787" s="5">
        <v>255.16</v>
      </c>
    </row>
    <row r="3788" spans="1:26">
      <c r="A3788">
        <v>3787</v>
      </c>
      <c r="B3788">
        <v>1244</v>
      </c>
      <c r="C3788" s="2">
        <v>46145</v>
      </c>
      <c r="D3788" t="s">
        <v>58</v>
      </c>
      <c r="E3788">
        <v>5</v>
      </c>
      <c r="F3788" s="3">
        <v>11.86</v>
      </c>
      <c r="G3788" t="s">
        <v>36</v>
      </c>
      <c r="H3788">
        <v>64</v>
      </c>
      <c r="I3788" t="s">
        <v>34</v>
      </c>
      <c r="J3788" s="4">
        <v>59.5</v>
      </c>
      <c r="K3788" s="4">
        <v>175.4</v>
      </c>
      <c r="L3788" s="4">
        <v>34.9</v>
      </c>
      <c r="M3788">
        <v>13</v>
      </c>
      <c r="N3788" t="s">
        <v>56</v>
      </c>
      <c r="O3788">
        <v>2</v>
      </c>
      <c r="P3788" s="4">
        <v>357.6</v>
      </c>
      <c r="Q3788" t="s">
        <v>30</v>
      </c>
      <c r="R3788">
        <v>1</v>
      </c>
      <c r="S3788" t="s">
        <v>44</v>
      </c>
      <c r="T3788">
        <v>0</v>
      </c>
      <c r="U3788">
        <v>0</v>
      </c>
      <c r="V3788" t="s">
        <v>32</v>
      </c>
      <c r="W3788" t="s">
        <v>57</v>
      </c>
      <c r="X3788" s="4">
        <v>7.3</v>
      </c>
      <c r="Y3788">
        <v>7</v>
      </c>
      <c r="Z3788" s="5">
        <v>138.6</v>
      </c>
    </row>
    <row r="3789" spans="1:26">
      <c r="A3789">
        <v>3788</v>
      </c>
      <c r="B3789">
        <v>1244</v>
      </c>
      <c r="C3789" s="2">
        <v>46145</v>
      </c>
      <c r="D3789" t="s">
        <v>58</v>
      </c>
      <c r="E3789">
        <v>5</v>
      </c>
      <c r="F3789" s="3">
        <v>11.89</v>
      </c>
      <c r="G3789" t="s">
        <v>36</v>
      </c>
      <c r="H3789">
        <v>57</v>
      </c>
      <c r="I3789" t="s">
        <v>28</v>
      </c>
      <c r="J3789" s="4">
        <v>73</v>
      </c>
      <c r="K3789" s="4">
        <v>188.3</v>
      </c>
      <c r="L3789" s="4">
        <v>24.8</v>
      </c>
      <c r="M3789">
        <v>16</v>
      </c>
      <c r="N3789" t="s">
        <v>56</v>
      </c>
      <c r="O3789">
        <v>2</v>
      </c>
      <c r="P3789" s="4">
        <v>357.6</v>
      </c>
      <c r="Q3789" t="s">
        <v>30</v>
      </c>
      <c r="R3789">
        <v>1</v>
      </c>
      <c r="S3789" t="s">
        <v>44</v>
      </c>
      <c r="T3789">
        <v>0</v>
      </c>
      <c r="U3789">
        <v>0</v>
      </c>
      <c r="V3789" t="s">
        <v>32</v>
      </c>
      <c r="W3789" t="s">
        <v>57</v>
      </c>
      <c r="X3789" s="4">
        <v>8.6</v>
      </c>
      <c r="Y3789">
        <v>12</v>
      </c>
      <c r="Z3789" s="5">
        <v>156.18</v>
      </c>
    </row>
    <row r="3790" spans="1:26">
      <c r="A3790">
        <v>3789</v>
      </c>
      <c r="B3790">
        <v>1245</v>
      </c>
      <c r="C3790" s="2">
        <v>46043</v>
      </c>
      <c r="D3790" t="s">
        <v>52</v>
      </c>
      <c r="E3790">
        <v>1</v>
      </c>
      <c r="F3790" s="3">
        <v>10.68</v>
      </c>
      <c r="G3790" t="s">
        <v>27</v>
      </c>
      <c r="H3790">
        <v>32</v>
      </c>
      <c r="I3790" t="s">
        <v>28</v>
      </c>
      <c r="J3790" s="4">
        <v>67.8</v>
      </c>
      <c r="K3790" s="4">
        <v>148.1</v>
      </c>
      <c r="L3790" s="4">
        <v>23.1</v>
      </c>
      <c r="M3790">
        <v>12</v>
      </c>
      <c r="N3790" t="s">
        <v>47</v>
      </c>
      <c r="O3790">
        <v>3</v>
      </c>
      <c r="P3790" s="4">
        <v>35.299999999999997</v>
      </c>
      <c r="Q3790" t="s">
        <v>30</v>
      </c>
      <c r="R3790">
        <v>1</v>
      </c>
      <c r="S3790" t="s">
        <v>44</v>
      </c>
      <c r="T3790">
        <v>0</v>
      </c>
      <c r="U3790">
        <v>0</v>
      </c>
      <c r="V3790" t="s">
        <v>32</v>
      </c>
      <c r="W3790" t="s">
        <v>49</v>
      </c>
      <c r="X3790" s="4">
        <v>7.5</v>
      </c>
      <c r="Y3790">
        <v>10</v>
      </c>
      <c r="Z3790" s="5">
        <v>296.52</v>
      </c>
    </row>
    <row r="3791" spans="1:26">
      <c r="A3791">
        <v>3790</v>
      </c>
      <c r="B3791">
        <v>1245</v>
      </c>
      <c r="C3791" s="2">
        <v>46043</v>
      </c>
      <c r="D3791" t="s">
        <v>52</v>
      </c>
      <c r="E3791">
        <v>1</v>
      </c>
      <c r="F3791" s="3">
        <v>10.84</v>
      </c>
      <c r="G3791" t="s">
        <v>27</v>
      </c>
      <c r="H3791">
        <v>58</v>
      </c>
      <c r="I3791" t="s">
        <v>28</v>
      </c>
      <c r="J3791" s="4">
        <v>68.8</v>
      </c>
      <c r="K3791" s="4">
        <v>208.6</v>
      </c>
      <c r="L3791" s="4">
        <v>31.1</v>
      </c>
      <c r="M3791">
        <v>14</v>
      </c>
      <c r="N3791" t="s">
        <v>47</v>
      </c>
      <c r="O3791">
        <v>3</v>
      </c>
      <c r="P3791" s="4">
        <v>35.299999999999997</v>
      </c>
      <c r="Q3791" t="s">
        <v>30</v>
      </c>
      <c r="R3791">
        <v>1</v>
      </c>
      <c r="S3791" t="s">
        <v>44</v>
      </c>
      <c r="T3791">
        <v>0</v>
      </c>
      <c r="U3791">
        <v>0</v>
      </c>
      <c r="V3791" t="s">
        <v>32</v>
      </c>
      <c r="W3791" t="s">
        <v>49</v>
      </c>
      <c r="X3791" s="4">
        <v>9.6</v>
      </c>
      <c r="Y3791">
        <v>6</v>
      </c>
      <c r="Z3791" s="5">
        <v>150.18</v>
      </c>
    </row>
    <row r="3792" spans="1:26">
      <c r="A3792">
        <v>3791</v>
      </c>
      <c r="B3792">
        <v>1245</v>
      </c>
      <c r="C3792" s="2">
        <v>46043</v>
      </c>
      <c r="D3792" t="s">
        <v>52</v>
      </c>
      <c r="E3792">
        <v>1</v>
      </c>
      <c r="F3792" s="3">
        <v>10.86</v>
      </c>
      <c r="G3792" t="s">
        <v>27</v>
      </c>
      <c r="H3792">
        <v>72</v>
      </c>
      <c r="I3792" t="s">
        <v>28</v>
      </c>
      <c r="J3792" s="4">
        <v>69.3</v>
      </c>
      <c r="K3792" s="4">
        <v>157.5</v>
      </c>
      <c r="L3792" s="4">
        <v>23.1</v>
      </c>
      <c r="M3792">
        <v>14</v>
      </c>
      <c r="N3792" t="s">
        <v>47</v>
      </c>
      <c r="O3792">
        <v>3</v>
      </c>
      <c r="P3792" s="4">
        <v>35.299999999999997</v>
      </c>
      <c r="Q3792" t="s">
        <v>30</v>
      </c>
      <c r="R3792">
        <v>1</v>
      </c>
      <c r="S3792" t="s">
        <v>44</v>
      </c>
      <c r="T3792">
        <v>0</v>
      </c>
      <c r="U3792">
        <v>0</v>
      </c>
      <c r="V3792" t="s">
        <v>32</v>
      </c>
      <c r="W3792" t="s">
        <v>49</v>
      </c>
      <c r="X3792" s="4">
        <v>5</v>
      </c>
      <c r="Y3792">
        <v>6</v>
      </c>
      <c r="Z3792" s="5">
        <v>134.04</v>
      </c>
    </row>
    <row r="3793" spans="1:26">
      <c r="A3793">
        <v>3792</v>
      </c>
      <c r="B3793">
        <v>1246</v>
      </c>
      <c r="C3793" s="2">
        <v>46342</v>
      </c>
      <c r="D3793" t="s">
        <v>46</v>
      </c>
      <c r="E3793">
        <v>11</v>
      </c>
      <c r="F3793" s="3">
        <v>7.84</v>
      </c>
      <c r="G3793" t="s">
        <v>27</v>
      </c>
      <c r="H3793">
        <v>51</v>
      </c>
      <c r="I3793" t="s">
        <v>34</v>
      </c>
      <c r="J3793" s="4">
        <v>62.4</v>
      </c>
      <c r="K3793" s="4">
        <v>154.30000000000001</v>
      </c>
      <c r="L3793" s="4">
        <v>27.8</v>
      </c>
      <c r="M3793">
        <v>15</v>
      </c>
      <c r="N3793" t="s">
        <v>61</v>
      </c>
      <c r="O3793">
        <v>1</v>
      </c>
      <c r="P3793" s="4">
        <v>1578.1</v>
      </c>
      <c r="Q3793" t="s">
        <v>30</v>
      </c>
      <c r="R3793">
        <v>1</v>
      </c>
      <c r="S3793" t="s">
        <v>44</v>
      </c>
      <c r="T3793">
        <v>0</v>
      </c>
      <c r="U3793">
        <v>0</v>
      </c>
      <c r="V3793" t="s">
        <v>32</v>
      </c>
      <c r="W3793" t="s">
        <v>49</v>
      </c>
      <c r="X3793" s="4">
        <v>7</v>
      </c>
      <c r="Y3793">
        <v>9</v>
      </c>
      <c r="Z3793" s="5">
        <v>232.52</v>
      </c>
    </row>
    <row r="3794" spans="1:26">
      <c r="A3794">
        <v>3793</v>
      </c>
      <c r="B3794">
        <v>1247</v>
      </c>
      <c r="C3794" s="2">
        <v>46294</v>
      </c>
      <c r="D3794" t="s">
        <v>35</v>
      </c>
      <c r="E3794">
        <v>9</v>
      </c>
      <c r="F3794" s="3">
        <v>13.55</v>
      </c>
      <c r="G3794" t="s">
        <v>36</v>
      </c>
      <c r="H3794">
        <v>64</v>
      </c>
      <c r="I3794" t="s">
        <v>28</v>
      </c>
      <c r="J3794" s="4">
        <v>69.7</v>
      </c>
      <c r="K3794" s="4">
        <v>214.2</v>
      </c>
      <c r="L3794" s="4">
        <v>30.7</v>
      </c>
      <c r="M3794">
        <v>15</v>
      </c>
      <c r="N3794" t="s">
        <v>54</v>
      </c>
      <c r="O3794">
        <v>2</v>
      </c>
      <c r="P3794" s="4">
        <v>2736.4</v>
      </c>
      <c r="Q3794" t="s">
        <v>42</v>
      </c>
      <c r="R3794">
        <v>0</v>
      </c>
      <c r="S3794" t="s">
        <v>38</v>
      </c>
      <c r="T3794">
        <v>1</v>
      </c>
      <c r="U3794">
        <v>0</v>
      </c>
      <c r="V3794" t="s">
        <v>64</v>
      </c>
      <c r="W3794" t="s">
        <v>39</v>
      </c>
      <c r="X3794" s="4">
        <v>6.2</v>
      </c>
      <c r="Y3794">
        <v>8</v>
      </c>
      <c r="Z3794" s="5">
        <v>221.07</v>
      </c>
    </row>
    <row r="3795" spans="1:26">
      <c r="A3795">
        <v>3794</v>
      </c>
      <c r="B3795">
        <v>1247</v>
      </c>
      <c r="C3795" s="2">
        <v>46294</v>
      </c>
      <c r="D3795" t="s">
        <v>35</v>
      </c>
      <c r="E3795">
        <v>9</v>
      </c>
      <c r="F3795" s="3">
        <v>13.41</v>
      </c>
      <c r="G3795" t="s">
        <v>36</v>
      </c>
      <c r="H3795">
        <v>31</v>
      </c>
      <c r="I3795" t="s">
        <v>28</v>
      </c>
      <c r="J3795" s="4">
        <v>65</v>
      </c>
      <c r="K3795" s="4">
        <v>168.1</v>
      </c>
      <c r="L3795" s="4">
        <v>27.9</v>
      </c>
      <c r="M3795">
        <v>17</v>
      </c>
      <c r="N3795" t="s">
        <v>54</v>
      </c>
      <c r="O3795">
        <v>2</v>
      </c>
      <c r="P3795" s="4">
        <v>2736.4</v>
      </c>
      <c r="Q3795" t="s">
        <v>42</v>
      </c>
      <c r="R3795">
        <v>0</v>
      </c>
      <c r="S3795" t="s">
        <v>38</v>
      </c>
      <c r="T3795">
        <v>1</v>
      </c>
      <c r="U3795">
        <v>0</v>
      </c>
      <c r="V3795" t="s">
        <v>64</v>
      </c>
      <c r="W3795" t="s">
        <v>39</v>
      </c>
      <c r="X3795" s="4">
        <v>6.5</v>
      </c>
      <c r="Y3795">
        <v>12</v>
      </c>
      <c r="Z3795" s="5">
        <v>165.2</v>
      </c>
    </row>
    <row r="3796" spans="1:26">
      <c r="A3796">
        <v>3795</v>
      </c>
      <c r="B3796">
        <v>1248</v>
      </c>
      <c r="C3796" s="2">
        <v>46307</v>
      </c>
      <c r="D3796" t="s">
        <v>46</v>
      </c>
      <c r="E3796">
        <v>10</v>
      </c>
      <c r="F3796" s="3">
        <v>13.24</v>
      </c>
      <c r="G3796" t="s">
        <v>36</v>
      </c>
      <c r="H3796">
        <v>52</v>
      </c>
      <c r="I3796" t="s">
        <v>34</v>
      </c>
      <c r="J3796" s="4">
        <v>63.2</v>
      </c>
      <c r="K3796" s="4">
        <v>169.3</v>
      </c>
      <c r="L3796" s="4">
        <v>29.8</v>
      </c>
      <c r="M3796">
        <v>10</v>
      </c>
      <c r="N3796" t="s">
        <v>54</v>
      </c>
      <c r="O3796">
        <v>5</v>
      </c>
      <c r="P3796" s="4">
        <v>2616.3000000000002</v>
      </c>
      <c r="Q3796" t="s">
        <v>30</v>
      </c>
      <c r="R3796">
        <v>1</v>
      </c>
      <c r="S3796" t="s">
        <v>44</v>
      </c>
      <c r="T3796">
        <v>0</v>
      </c>
      <c r="U3796">
        <v>0</v>
      </c>
      <c r="V3796" t="s">
        <v>45</v>
      </c>
      <c r="W3796" t="s">
        <v>49</v>
      </c>
      <c r="X3796" s="4">
        <v>8.4</v>
      </c>
      <c r="Y3796">
        <v>8</v>
      </c>
      <c r="Z3796" s="5">
        <v>300.51</v>
      </c>
    </row>
    <row r="3797" spans="1:26">
      <c r="A3797">
        <v>3796</v>
      </c>
      <c r="B3797">
        <v>1248</v>
      </c>
      <c r="C3797" s="2">
        <v>46307</v>
      </c>
      <c r="D3797" t="s">
        <v>46</v>
      </c>
      <c r="E3797">
        <v>10</v>
      </c>
      <c r="F3797" s="3">
        <v>13.23</v>
      </c>
      <c r="G3797" t="s">
        <v>36</v>
      </c>
      <c r="H3797">
        <v>56</v>
      </c>
      <c r="I3797" t="s">
        <v>34</v>
      </c>
      <c r="J3797" s="4">
        <v>63</v>
      </c>
      <c r="K3797" s="4">
        <v>135.4</v>
      </c>
      <c r="L3797" s="4">
        <v>24</v>
      </c>
      <c r="M3797">
        <v>14</v>
      </c>
      <c r="N3797" t="s">
        <v>54</v>
      </c>
      <c r="O3797">
        <v>5</v>
      </c>
      <c r="P3797" s="4">
        <v>2616.3000000000002</v>
      </c>
      <c r="Q3797" t="s">
        <v>30</v>
      </c>
      <c r="R3797">
        <v>1</v>
      </c>
      <c r="S3797" t="s">
        <v>44</v>
      </c>
      <c r="T3797">
        <v>0</v>
      </c>
      <c r="U3797">
        <v>0</v>
      </c>
      <c r="V3797" t="s">
        <v>45</v>
      </c>
      <c r="W3797" t="s">
        <v>49</v>
      </c>
      <c r="X3797" s="4">
        <v>8.3000000000000007</v>
      </c>
      <c r="Y3797">
        <v>9</v>
      </c>
      <c r="Z3797" s="5">
        <v>135.63999999999999</v>
      </c>
    </row>
    <row r="3798" spans="1:26">
      <c r="A3798">
        <v>3797</v>
      </c>
      <c r="B3798">
        <v>1248</v>
      </c>
      <c r="C3798" s="2">
        <v>46307</v>
      </c>
      <c r="D3798" t="s">
        <v>46</v>
      </c>
      <c r="E3798">
        <v>10</v>
      </c>
      <c r="F3798" s="3">
        <v>13.03</v>
      </c>
      <c r="G3798" t="s">
        <v>36</v>
      </c>
      <c r="H3798">
        <v>24</v>
      </c>
      <c r="I3798" t="s">
        <v>28</v>
      </c>
      <c r="J3798" s="4">
        <v>68.8</v>
      </c>
      <c r="K3798" s="4">
        <v>247.1</v>
      </c>
      <c r="L3798" s="4">
        <v>36.9</v>
      </c>
      <c r="M3798">
        <v>14</v>
      </c>
      <c r="N3798" t="s">
        <v>54</v>
      </c>
      <c r="O3798">
        <v>5</v>
      </c>
      <c r="P3798" s="4">
        <v>2616.3000000000002</v>
      </c>
      <c r="Q3798" t="s">
        <v>30</v>
      </c>
      <c r="R3798">
        <v>1</v>
      </c>
      <c r="S3798" t="s">
        <v>44</v>
      </c>
      <c r="T3798">
        <v>0</v>
      </c>
      <c r="U3798">
        <v>0</v>
      </c>
      <c r="V3798" t="s">
        <v>45</v>
      </c>
      <c r="W3798" t="s">
        <v>49</v>
      </c>
      <c r="X3798" s="4">
        <v>8.6999999999999993</v>
      </c>
      <c r="Y3798">
        <v>7</v>
      </c>
      <c r="Z3798" s="5">
        <v>149.05000000000001</v>
      </c>
    </row>
    <row r="3799" spans="1:26">
      <c r="A3799">
        <v>3798</v>
      </c>
      <c r="B3799">
        <v>1248</v>
      </c>
      <c r="C3799" s="2">
        <v>46307</v>
      </c>
      <c r="D3799" t="s">
        <v>46</v>
      </c>
      <c r="E3799">
        <v>10</v>
      </c>
      <c r="F3799" s="3">
        <v>13.23</v>
      </c>
      <c r="G3799" t="s">
        <v>36</v>
      </c>
      <c r="H3799">
        <v>29</v>
      </c>
      <c r="I3799" t="s">
        <v>28</v>
      </c>
      <c r="J3799" s="4">
        <v>69.3</v>
      </c>
      <c r="K3799" s="4">
        <v>181</v>
      </c>
      <c r="L3799" s="4">
        <v>26.5</v>
      </c>
      <c r="M3799">
        <v>14</v>
      </c>
      <c r="N3799" t="s">
        <v>54</v>
      </c>
      <c r="O3799">
        <v>5</v>
      </c>
      <c r="P3799" s="4">
        <v>2616.3000000000002</v>
      </c>
      <c r="Q3799" t="s">
        <v>30</v>
      </c>
      <c r="R3799">
        <v>1</v>
      </c>
      <c r="S3799" t="s">
        <v>44</v>
      </c>
      <c r="T3799">
        <v>0</v>
      </c>
      <c r="U3799">
        <v>0</v>
      </c>
      <c r="V3799" t="s">
        <v>45</v>
      </c>
      <c r="W3799" t="s">
        <v>49</v>
      </c>
      <c r="X3799" s="4">
        <v>8.9</v>
      </c>
      <c r="Y3799">
        <v>3</v>
      </c>
      <c r="Z3799" s="5">
        <v>169.57</v>
      </c>
    </row>
    <row r="3800" spans="1:26">
      <c r="A3800">
        <v>3799</v>
      </c>
      <c r="B3800">
        <v>1248</v>
      </c>
      <c r="C3800" s="2">
        <v>46307</v>
      </c>
      <c r="D3800" t="s">
        <v>46</v>
      </c>
      <c r="E3800">
        <v>10</v>
      </c>
      <c r="F3800" s="3">
        <v>13.23</v>
      </c>
      <c r="G3800" t="s">
        <v>36</v>
      </c>
      <c r="H3800">
        <v>44</v>
      </c>
      <c r="I3800" t="s">
        <v>34</v>
      </c>
      <c r="J3800" s="4">
        <v>65</v>
      </c>
      <c r="K3800" s="4">
        <v>144.1</v>
      </c>
      <c r="L3800" s="4">
        <v>24.3</v>
      </c>
      <c r="M3800">
        <v>12</v>
      </c>
      <c r="N3800" t="s">
        <v>54</v>
      </c>
      <c r="O3800">
        <v>5</v>
      </c>
      <c r="P3800" s="4">
        <v>2616.3000000000002</v>
      </c>
      <c r="Q3800" t="s">
        <v>30</v>
      </c>
      <c r="R3800">
        <v>1</v>
      </c>
      <c r="S3800" t="s">
        <v>44</v>
      </c>
      <c r="T3800">
        <v>0</v>
      </c>
      <c r="U3800">
        <v>0</v>
      </c>
      <c r="V3800" t="s">
        <v>45</v>
      </c>
      <c r="W3800" t="s">
        <v>49</v>
      </c>
      <c r="X3800" s="4">
        <v>9.6999999999999993</v>
      </c>
      <c r="Y3800">
        <v>15</v>
      </c>
      <c r="Z3800" s="5">
        <v>186.36</v>
      </c>
    </row>
    <row r="3801" spans="1:26">
      <c r="A3801">
        <v>3800</v>
      </c>
      <c r="B3801">
        <v>1249</v>
      </c>
      <c r="C3801" s="2">
        <v>46124</v>
      </c>
      <c r="D3801" t="s">
        <v>58</v>
      </c>
      <c r="E3801">
        <v>4</v>
      </c>
      <c r="F3801" s="3">
        <v>8.75</v>
      </c>
      <c r="G3801" t="s">
        <v>27</v>
      </c>
      <c r="H3801">
        <v>32</v>
      </c>
      <c r="I3801" t="s">
        <v>34</v>
      </c>
      <c r="J3801" s="4">
        <v>65</v>
      </c>
      <c r="K3801" s="4">
        <v>142.6</v>
      </c>
      <c r="L3801" s="4">
        <v>24</v>
      </c>
      <c r="M3801">
        <v>15</v>
      </c>
      <c r="N3801" t="s">
        <v>47</v>
      </c>
      <c r="O3801">
        <v>6</v>
      </c>
      <c r="P3801" s="4">
        <v>58.7</v>
      </c>
      <c r="Q3801" t="s">
        <v>42</v>
      </c>
      <c r="R3801">
        <v>0</v>
      </c>
      <c r="S3801" t="s">
        <v>44</v>
      </c>
      <c r="T3801">
        <v>1</v>
      </c>
      <c r="U3801">
        <v>0</v>
      </c>
      <c r="V3801" t="s">
        <v>32</v>
      </c>
      <c r="W3801" t="s">
        <v>43</v>
      </c>
      <c r="X3801" s="4">
        <v>9.8000000000000007</v>
      </c>
      <c r="Y3801">
        <v>6</v>
      </c>
      <c r="Z3801" s="5">
        <v>367.74</v>
      </c>
    </row>
    <row r="3802" spans="1:26">
      <c r="A3802">
        <v>3801</v>
      </c>
      <c r="B3802">
        <v>1249</v>
      </c>
      <c r="C3802" s="2">
        <v>46124</v>
      </c>
      <c r="D3802" t="s">
        <v>58</v>
      </c>
      <c r="E3802">
        <v>4</v>
      </c>
      <c r="F3802" s="3">
        <v>8.85</v>
      </c>
      <c r="G3802" t="s">
        <v>27</v>
      </c>
      <c r="H3802">
        <v>36</v>
      </c>
      <c r="I3802" t="s">
        <v>28</v>
      </c>
      <c r="J3802" s="4">
        <v>66.8</v>
      </c>
      <c r="K3802" s="4">
        <v>135</v>
      </c>
      <c r="L3802" s="4">
        <v>21.4</v>
      </c>
      <c r="M3802">
        <v>13</v>
      </c>
      <c r="N3802" t="s">
        <v>47</v>
      </c>
      <c r="O3802">
        <v>6</v>
      </c>
      <c r="P3802" s="4">
        <v>58.7</v>
      </c>
      <c r="Q3802" t="s">
        <v>42</v>
      </c>
      <c r="R3802">
        <v>0</v>
      </c>
      <c r="S3802" t="s">
        <v>44</v>
      </c>
      <c r="T3802">
        <v>1</v>
      </c>
      <c r="U3802">
        <v>0</v>
      </c>
      <c r="V3802" t="s">
        <v>32</v>
      </c>
      <c r="W3802" t="s">
        <v>43</v>
      </c>
      <c r="X3802" s="4">
        <v>7.4</v>
      </c>
      <c r="Y3802">
        <v>5</v>
      </c>
      <c r="Z3802" s="5">
        <v>195.89</v>
      </c>
    </row>
    <row r="3803" spans="1:26">
      <c r="A3803">
        <v>3802</v>
      </c>
      <c r="B3803">
        <v>1249</v>
      </c>
      <c r="C3803" s="2">
        <v>46124</v>
      </c>
      <c r="D3803" t="s">
        <v>58</v>
      </c>
      <c r="E3803">
        <v>4</v>
      </c>
      <c r="F3803" s="3">
        <v>9.14</v>
      </c>
      <c r="G3803" t="s">
        <v>27</v>
      </c>
      <c r="H3803">
        <v>7</v>
      </c>
      <c r="I3803" t="s">
        <v>28</v>
      </c>
      <c r="J3803" s="4">
        <v>62.4</v>
      </c>
      <c r="K3803" s="4">
        <v>91</v>
      </c>
      <c r="L3803" s="4">
        <v>16.399999999999999</v>
      </c>
      <c r="M3803">
        <v>11</v>
      </c>
      <c r="N3803" t="s">
        <v>47</v>
      </c>
      <c r="O3803">
        <v>6</v>
      </c>
      <c r="P3803" s="4">
        <v>58.7</v>
      </c>
      <c r="Q3803" t="s">
        <v>42</v>
      </c>
      <c r="R3803">
        <v>0</v>
      </c>
      <c r="S3803" t="s">
        <v>44</v>
      </c>
      <c r="T3803">
        <v>1</v>
      </c>
      <c r="U3803">
        <v>0</v>
      </c>
      <c r="V3803" t="s">
        <v>32</v>
      </c>
      <c r="W3803" t="s">
        <v>43</v>
      </c>
      <c r="X3803" s="4">
        <v>8</v>
      </c>
      <c r="Y3803">
        <v>7</v>
      </c>
      <c r="Z3803" s="5">
        <v>124.28</v>
      </c>
    </row>
    <row r="3804" spans="1:26">
      <c r="A3804">
        <v>3803</v>
      </c>
      <c r="B3804">
        <v>1249</v>
      </c>
      <c r="C3804" s="2">
        <v>46124</v>
      </c>
      <c r="D3804" t="s">
        <v>58</v>
      </c>
      <c r="E3804">
        <v>4</v>
      </c>
      <c r="F3804" s="3">
        <v>8.86</v>
      </c>
      <c r="G3804" t="s">
        <v>27</v>
      </c>
      <c r="H3804">
        <v>50</v>
      </c>
      <c r="I3804" t="s">
        <v>28</v>
      </c>
      <c r="J3804" s="4">
        <v>73.5</v>
      </c>
      <c r="K3804" s="4">
        <v>138.5</v>
      </c>
      <c r="L3804" s="4">
        <v>18.2</v>
      </c>
      <c r="M3804">
        <v>17</v>
      </c>
      <c r="N3804" t="s">
        <v>47</v>
      </c>
      <c r="O3804">
        <v>6</v>
      </c>
      <c r="P3804" s="4">
        <v>58.7</v>
      </c>
      <c r="Q3804" t="s">
        <v>42</v>
      </c>
      <c r="R3804">
        <v>0</v>
      </c>
      <c r="S3804" t="s">
        <v>44</v>
      </c>
      <c r="T3804">
        <v>1</v>
      </c>
      <c r="U3804">
        <v>0</v>
      </c>
      <c r="V3804" t="s">
        <v>32</v>
      </c>
      <c r="W3804" t="s">
        <v>43</v>
      </c>
      <c r="X3804" s="4">
        <v>9.8000000000000007</v>
      </c>
      <c r="Y3804">
        <v>9</v>
      </c>
      <c r="Z3804" s="5">
        <v>181.52</v>
      </c>
    </row>
    <row r="3805" spans="1:26">
      <c r="A3805">
        <v>3804</v>
      </c>
      <c r="B3805">
        <v>1249</v>
      </c>
      <c r="C3805" s="2">
        <v>46124</v>
      </c>
      <c r="D3805" t="s">
        <v>58</v>
      </c>
      <c r="E3805">
        <v>4</v>
      </c>
      <c r="F3805" s="3">
        <v>8.9</v>
      </c>
      <c r="G3805" t="s">
        <v>27</v>
      </c>
      <c r="H3805">
        <v>55</v>
      </c>
      <c r="I3805" t="s">
        <v>34</v>
      </c>
      <c r="J3805" s="4">
        <v>63.4</v>
      </c>
      <c r="K3805" s="4">
        <v>131.1</v>
      </c>
      <c r="L3805" s="4">
        <v>23.1</v>
      </c>
      <c r="M3805">
        <v>13</v>
      </c>
      <c r="N3805" t="s">
        <v>47</v>
      </c>
      <c r="O3805">
        <v>6</v>
      </c>
      <c r="P3805" s="4">
        <v>58.7</v>
      </c>
      <c r="Q3805" t="s">
        <v>42</v>
      </c>
      <c r="R3805">
        <v>0</v>
      </c>
      <c r="S3805" t="s">
        <v>44</v>
      </c>
      <c r="T3805">
        <v>1</v>
      </c>
      <c r="U3805">
        <v>0</v>
      </c>
      <c r="V3805" t="s">
        <v>32</v>
      </c>
      <c r="W3805" t="s">
        <v>43</v>
      </c>
      <c r="X3805" s="4">
        <v>6.2</v>
      </c>
      <c r="Y3805">
        <v>8</v>
      </c>
      <c r="Z3805" s="5">
        <v>197.22</v>
      </c>
    </row>
    <row r="3806" spans="1:26">
      <c r="A3806">
        <v>3805</v>
      </c>
      <c r="B3806">
        <v>1249</v>
      </c>
      <c r="C3806" s="2">
        <v>46124</v>
      </c>
      <c r="D3806" t="s">
        <v>58</v>
      </c>
      <c r="E3806">
        <v>4</v>
      </c>
      <c r="F3806" s="3">
        <v>8.74</v>
      </c>
      <c r="G3806" t="s">
        <v>27</v>
      </c>
      <c r="H3806">
        <v>27</v>
      </c>
      <c r="I3806" t="s">
        <v>51</v>
      </c>
      <c r="J3806" s="4">
        <v>68.599999999999994</v>
      </c>
      <c r="K3806" s="4">
        <v>200.8</v>
      </c>
      <c r="L3806" s="4">
        <v>29.8</v>
      </c>
      <c r="M3806">
        <v>16</v>
      </c>
      <c r="N3806" t="s">
        <v>47</v>
      </c>
      <c r="O3806">
        <v>6</v>
      </c>
      <c r="P3806" s="4">
        <v>58.7</v>
      </c>
      <c r="Q3806" t="s">
        <v>42</v>
      </c>
      <c r="R3806">
        <v>0</v>
      </c>
      <c r="S3806" t="s">
        <v>44</v>
      </c>
      <c r="T3806">
        <v>1</v>
      </c>
      <c r="U3806">
        <v>0</v>
      </c>
      <c r="V3806" t="s">
        <v>32</v>
      </c>
      <c r="W3806" t="s">
        <v>43</v>
      </c>
      <c r="X3806" s="4">
        <v>7.6</v>
      </c>
      <c r="Y3806">
        <v>6</v>
      </c>
      <c r="Z3806" s="5">
        <v>290</v>
      </c>
    </row>
    <row r="3807" spans="1:26">
      <c r="A3807">
        <v>3806</v>
      </c>
      <c r="B3807">
        <v>1250</v>
      </c>
      <c r="C3807" s="2">
        <v>46188</v>
      </c>
      <c r="D3807" t="s">
        <v>46</v>
      </c>
      <c r="E3807">
        <v>6</v>
      </c>
      <c r="F3807" s="3">
        <v>7.08</v>
      </c>
      <c r="G3807" t="s">
        <v>27</v>
      </c>
      <c r="H3807">
        <v>30</v>
      </c>
      <c r="I3807" t="s">
        <v>34</v>
      </c>
      <c r="J3807" s="4">
        <v>63.2</v>
      </c>
      <c r="K3807" s="4">
        <v>182.8</v>
      </c>
      <c r="L3807" s="4">
        <v>32.299999999999997</v>
      </c>
      <c r="M3807">
        <v>17</v>
      </c>
      <c r="N3807" t="s">
        <v>47</v>
      </c>
      <c r="O3807">
        <v>4</v>
      </c>
      <c r="P3807" s="4">
        <v>48.1</v>
      </c>
      <c r="Q3807" t="s">
        <v>42</v>
      </c>
      <c r="R3807">
        <v>1</v>
      </c>
      <c r="S3807" t="s">
        <v>44</v>
      </c>
      <c r="T3807">
        <v>0</v>
      </c>
      <c r="U3807">
        <v>0</v>
      </c>
      <c r="V3807" t="s">
        <v>32</v>
      </c>
      <c r="W3807" t="s">
        <v>39</v>
      </c>
      <c r="X3807" s="4">
        <v>10.7</v>
      </c>
      <c r="Y3807">
        <v>13</v>
      </c>
      <c r="Z3807" s="5">
        <v>334.13</v>
      </c>
    </row>
    <row r="3808" spans="1:26">
      <c r="A3808">
        <v>3807</v>
      </c>
      <c r="B3808">
        <v>1250</v>
      </c>
      <c r="C3808" s="2">
        <v>46188</v>
      </c>
      <c r="D3808" t="s">
        <v>46</v>
      </c>
      <c r="E3808">
        <v>6</v>
      </c>
      <c r="F3808" s="3">
        <v>7.2</v>
      </c>
      <c r="G3808" t="s">
        <v>27</v>
      </c>
      <c r="H3808">
        <v>9</v>
      </c>
      <c r="I3808" t="s">
        <v>28</v>
      </c>
      <c r="J3808" s="4">
        <v>61.6</v>
      </c>
      <c r="K3808" s="4">
        <v>99.1</v>
      </c>
      <c r="L3808" s="4">
        <v>18.100000000000001</v>
      </c>
      <c r="M3808">
        <v>13</v>
      </c>
      <c r="N3808" t="s">
        <v>47</v>
      </c>
      <c r="O3808">
        <v>4</v>
      </c>
      <c r="P3808" s="4">
        <v>48.1</v>
      </c>
      <c r="Q3808" t="s">
        <v>42</v>
      </c>
      <c r="R3808">
        <v>1</v>
      </c>
      <c r="S3808" t="s">
        <v>44</v>
      </c>
      <c r="T3808">
        <v>0</v>
      </c>
      <c r="U3808">
        <v>0</v>
      </c>
      <c r="V3808" t="s">
        <v>32</v>
      </c>
      <c r="W3808" t="s">
        <v>39</v>
      </c>
      <c r="X3808" s="4">
        <v>6.3</v>
      </c>
      <c r="Y3808">
        <v>9</v>
      </c>
      <c r="Z3808" s="5">
        <v>262</v>
      </c>
    </row>
    <row r="3809" spans="1:26">
      <c r="A3809">
        <v>3808</v>
      </c>
      <c r="B3809">
        <v>1250</v>
      </c>
      <c r="C3809" s="2">
        <v>46188</v>
      </c>
      <c r="D3809" t="s">
        <v>46</v>
      </c>
      <c r="E3809">
        <v>6</v>
      </c>
      <c r="F3809" s="3">
        <v>7</v>
      </c>
      <c r="G3809" t="s">
        <v>27</v>
      </c>
      <c r="H3809">
        <v>29</v>
      </c>
      <c r="I3809" t="s">
        <v>28</v>
      </c>
      <c r="J3809" s="4">
        <v>65.8</v>
      </c>
      <c r="K3809" s="4">
        <v>149</v>
      </c>
      <c r="L3809" s="4">
        <v>24.3</v>
      </c>
      <c r="M3809">
        <v>18</v>
      </c>
      <c r="N3809" t="s">
        <v>47</v>
      </c>
      <c r="O3809">
        <v>4</v>
      </c>
      <c r="P3809" s="4">
        <v>48.1</v>
      </c>
      <c r="Q3809" t="s">
        <v>42</v>
      </c>
      <c r="R3809">
        <v>1</v>
      </c>
      <c r="S3809" t="s">
        <v>44</v>
      </c>
      <c r="T3809">
        <v>0</v>
      </c>
      <c r="U3809">
        <v>0</v>
      </c>
      <c r="V3809" t="s">
        <v>32</v>
      </c>
      <c r="W3809" t="s">
        <v>39</v>
      </c>
      <c r="X3809" s="4">
        <v>7.2</v>
      </c>
      <c r="Y3809">
        <v>10</v>
      </c>
      <c r="Z3809" s="5">
        <v>149.12</v>
      </c>
    </row>
    <row r="3810" spans="1:26">
      <c r="A3810">
        <v>3809</v>
      </c>
      <c r="B3810">
        <v>1250</v>
      </c>
      <c r="C3810" s="2">
        <v>46188</v>
      </c>
      <c r="D3810" t="s">
        <v>46</v>
      </c>
      <c r="E3810">
        <v>6</v>
      </c>
      <c r="F3810" s="3">
        <v>7.09</v>
      </c>
      <c r="G3810" t="s">
        <v>27</v>
      </c>
      <c r="H3810">
        <v>61</v>
      </c>
      <c r="I3810" t="s">
        <v>28</v>
      </c>
      <c r="J3810" s="4">
        <v>67.7</v>
      </c>
      <c r="K3810" s="4">
        <v>181.8</v>
      </c>
      <c r="L3810" s="4">
        <v>27.9</v>
      </c>
      <c r="M3810">
        <v>15</v>
      </c>
      <c r="N3810" t="s">
        <v>47</v>
      </c>
      <c r="O3810">
        <v>4</v>
      </c>
      <c r="P3810" s="4">
        <v>48.1</v>
      </c>
      <c r="Q3810" t="s">
        <v>42</v>
      </c>
      <c r="R3810">
        <v>1</v>
      </c>
      <c r="S3810" t="s">
        <v>44</v>
      </c>
      <c r="T3810">
        <v>0</v>
      </c>
      <c r="U3810">
        <v>0</v>
      </c>
      <c r="V3810" t="s">
        <v>32</v>
      </c>
      <c r="W3810" t="s">
        <v>39</v>
      </c>
      <c r="X3810" s="4">
        <v>10.199999999999999</v>
      </c>
      <c r="Y3810">
        <v>12</v>
      </c>
      <c r="Z3810" s="5">
        <v>372</v>
      </c>
    </row>
    <row r="3811" spans="1:26">
      <c r="A3811">
        <v>3810</v>
      </c>
      <c r="B3811">
        <v>1251</v>
      </c>
      <c r="C3811" s="2">
        <v>46128</v>
      </c>
      <c r="D3811" t="s">
        <v>55</v>
      </c>
      <c r="E3811">
        <v>4</v>
      </c>
      <c r="F3811" s="3">
        <v>11.28</v>
      </c>
      <c r="G3811" t="s">
        <v>36</v>
      </c>
      <c r="H3811">
        <v>69</v>
      </c>
      <c r="I3811" t="s">
        <v>28</v>
      </c>
      <c r="J3811" s="4">
        <v>70.8</v>
      </c>
      <c r="K3811" s="4">
        <v>252.1</v>
      </c>
      <c r="L3811" s="4">
        <v>35.200000000000003</v>
      </c>
      <c r="M3811">
        <v>19</v>
      </c>
      <c r="N3811" t="s">
        <v>47</v>
      </c>
      <c r="O3811">
        <v>4</v>
      </c>
      <c r="P3811" s="4">
        <v>84.6</v>
      </c>
      <c r="Q3811" t="s">
        <v>42</v>
      </c>
      <c r="R3811">
        <v>0</v>
      </c>
      <c r="S3811" t="s">
        <v>44</v>
      </c>
      <c r="T3811">
        <v>0</v>
      </c>
      <c r="U3811">
        <v>0</v>
      </c>
      <c r="V3811" t="s">
        <v>64</v>
      </c>
      <c r="W3811" t="s">
        <v>43</v>
      </c>
      <c r="X3811" s="4">
        <v>8.3000000000000007</v>
      </c>
      <c r="Y3811">
        <v>12</v>
      </c>
      <c r="Z3811" s="5">
        <v>191.53</v>
      </c>
    </row>
    <row r="3812" spans="1:26">
      <c r="A3812">
        <v>3811</v>
      </c>
      <c r="B3812">
        <v>1251</v>
      </c>
      <c r="C3812" s="2">
        <v>46128</v>
      </c>
      <c r="D3812" t="s">
        <v>55</v>
      </c>
      <c r="E3812">
        <v>4</v>
      </c>
      <c r="F3812" s="3">
        <v>11.3</v>
      </c>
      <c r="G3812" t="s">
        <v>36</v>
      </c>
      <c r="H3812">
        <v>18</v>
      </c>
      <c r="I3812" t="s">
        <v>28</v>
      </c>
      <c r="J3812" s="4">
        <v>67.400000000000006</v>
      </c>
      <c r="K3812" s="4">
        <v>174.8</v>
      </c>
      <c r="L3812" s="4">
        <v>27.2</v>
      </c>
      <c r="M3812">
        <v>10</v>
      </c>
      <c r="N3812" t="s">
        <v>47</v>
      </c>
      <c r="O3812">
        <v>4</v>
      </c>
      <c r="P3812" s="4">
        <v>84.6</v>
      </c>
      <c r="Q3812" t="s">
        <v>42</v>
      </c>
      <c r="R3812">
        <v>0</v>
      </c>
      <c r="S3812" t="s">
        <v>44</v>
      </c>
      <c r="T3812">
        <v>0</v>
      </c>
      <c r="U3812">
        <v>0</v>
      </c>
      <c r="V3812" t="s">
        <v>64</v>
      </c>
      <c r="W3812" t="s">
        <v>43</v>
      </c>
      <c r="X3812" s="4">
        <v>6.2</v>
      </c>
      <c r="Y3812">
        <v>5</v>
      </c>
      <c r="Z3812" s="5">
        <v>124.61</v>
      </c>
    </row>
    <row r="3813" spans="1:26">
      <c r="A3813">
        <v>3812</v>
      </c>
      <c r="B3813">
        <v>1251</v>
      </c>
      <c r="C3813" s="2">
        <v>46128</v>
      </c>
      <c r="D3813" t="s">
        <v>55</v>
      </c>
      <c r="E3813">
        <v>4</v>
      </c>
      <c r="F3813" s="3">
        <v>11.32</v>
      </c>
      <c r="G3813" t="s">
        <v>36</v>
      </c>
      <c r="H3813">
        <v>27</v>
      </c>
      <c r="I3813" t="s">
        <v>34</v>
      </c>
      <c r="J3813" s="4">
        <v>66.099999999999994</v>
      </c>
      <c r="K3813" s="4">
        <v>151.19999999999999</v>
      </c>
      <c r="L3813" s="4">
        <v>24.2</v>
      </c>
      <c r="M3813">
        <v>12</v>
      </c>
      <c r="N3813" t="s">
        <v>47</v>
      </c>
      <c r="O3813">
        <v>4</v>
      </c>
      <c r="P3813" s="4">
        <v>84.6</v>
      </c>
      <c r="Q3813" t="s">
        <v>42</v>
      </c>
      <c r="R3813">
        <v>0</v>
      </c>
      <c r="S3813" t="s">
        <v>44</v>
      </c>
      <c r="T3813">
        <v>0</v>
      </c>
      <c r="U3813">
        <v>0</v>
      </c>
      <c r="V3813" t="s">
        <v>64</v>
      </c>
      <c r="W3813" t="s">
        <v>43</v>
      </c>
      <c r="X3813" s="4">
        <v>9.8000000000000007</v>
      </c>
      <c r="Y3813">
        <v>5</v>
      </c>
      <c r="Z3813" s="5">
        <v>152.12</v>
      </c>
    </row>
    <row r="3814" spans="1:26">
      <c r="A3814">
        <v>3813</v>
      </c>
      <c r="B3814">
        <v>1251</v>
      </c>
      <c r="C3814" s="2">
        <v>46128</v>
      </c>
      <c r="D3814" t="s">
        <v>55</v>
      </c>
      <c r="E3814">
        <v>4</v>
      </c>
      <c r="F3814" s="3">
        <v>11.32</v>
      </c>
      <c r="G3814" t="s">
        <v>36</v>
      </c>
      <c r="H3814">
        <v>59</v>
      </c>
      <c r="I3814" t="s">
        <v>34</v>
      </c>
      <c r="J3814" s="4">
        <v>61.6</v>
      </c>
      <c r="K3814" s="4">
        <v>139.6</v>
      </c>
      <c r="L3814" s="4">
        <v>25.9</v>
      </c>
      <c r="M3814">
        <v>14</v>
      </c>
      <c r="N3814" t="s">
        <v>47</v>
      </c>
      <c r="O3814">
        <v>4</v>
      </c>
      <c r="P3814" s="4">
        <v>84.6</v>
      </c>
      <c r="Q3814" t="s">
        <v>42</v>
      </c>
      <c r="R3814">
        <v>0</v>
      </c>
      <c r="S3814" t="s">
        <v>44</v>
      </c>
      <c r="T3814">
        <v>0</v>
      </c>
      <c r="U3814">
        <v>0</v>
      </c>
      <c r="V3814" t="s">
        <v>64</v>
      </c>
      <c r="W3814" t="s">
        <v>43</v>
      </c>
      <c r="X3814" s="4">
        <v>6.5</v>
      </c>
      <c r="Y3814">
        <v>4</v>
      </c>
      <c r="Z3814" s="5">
        <v>100.77</v>
      </c>
    </row>
    <row r="3815" spans="1:26">
      <c r="A3815">
        <v>3814</v>
      </c>
      <c r="B3815">
        <v>1252</v>
      </c>
      <c r="C3815" s="2">
        <v>46238</v>
      </c>
      <c r="D3815" t="s">
        <v>35</v>
      </c>
      <c r="E3815">
        <v>8</v>
      </c>
      <c r="F3815" s="3">
        <v>10.77</v>
      </c>
      <c r="G3815" t="s">
        <v>27</v>
      </c>
      <c r="H3815">
        <v>32</v>
      </c>
      <c r="I3815" t="s">
        <v>34</v>
      </c>
      <c r="J3815" s="4">
        <v>64.3</v>
      </c>
      <c r="K3815" s="4">
        <v>149.1</v>
      </c>
      <c r="L3815" s="4">
        <v>25.2</v>
      </c>
      <c r="M3815">
        <v>17</v>
      </c>
      <c r="N3815" t="s">
        <v>56</v>
      </c>
      <c r="O3815">
        <v>3</v>
      </c>
      <c r="P3815" s="4">
        <v>378.1</v>
      </c>
      <c r="Q3815" t="s">
        <v>42</v>
      </c>
      <c r="R3815">
        <v>1</v>
      </c>
      <c r="S3815" t="s">
        <v>38</v>
      </c>
      <c r="T3815">
        <v>0</v>
      </c>
      <c r="U3815">
        <v>0</v>
      </c>
      <c r="V3815" t="s">
        <v>32</v>
      </c>
      <c r="W3815" t="s">
        <v>39</v>
      </c>
      <c r="X3815" s="4">
        <v>8.6</v>
      </c>
      <c r="Y3815">
        <v>4</v>
      </c>
      <c r="Z3815" s="5">
        <v>176.32</v>
      </c>
    </row>
    <row r="3816" spans="1:26">
      <c r="A3816">
        <v>3815</v>
      </c>
      <c r="B3816">
        <v>1252</v>
      </c>
      <c r="C3816" s="2">
        <v>46238</v>
      </c>
      <c r="D3816" t="s">
        <v>35</v>
      </c>
      <c r="E3816">
        <v>8</v>
      </c>
      <c r="F3816" s="3">
        <v>10.56</v>
      </c>
      <c r="G3816" t="s">
        <v>27</v>
      </c>
      <c r="H3816">
        <v>58</v>
      </c>
      <c r="I3816" t="s">
        <v>34</v>
      </c>
      <c r="J3816" s="4">
        <v>58.1</v>
      </c>
      <c r="K3816" s="4">
        <v>134.80000000000001</v>
      </c>
      <c r="L3816" s="4">
        <v>28.2</v>
      </c>
      <c r="M3816">
        <v>15</v>
      </c>
      <c r="N3816" t="s">
        <v>56</v>
      </c>
      <c r="O3816">
        <v>3</v>
      </c>
      <c r="P3816" s="4">
        <v>378.1</v>
      </c>
      <c r="Q3816" t="s">
        <v>42</v>
      </c>
      <c r="R3816">
        <v>1</v>
      </c>
      <c r="S3816" t="s">
        <v>38</v>
      </c>
      <c r="T3816">
        <v>0</v>
      </c>
      <c r="U3816">
        <v>0</v>
      </c>
      <c r="V3816" t="s">
        <v>32</v>
      </c>
      <c r="W3816" t="s">
        <v>39</v>
      </c>
      <c r="X3816" s="4">
        <v>12.2</v>
      </c>
      <c r="Y3816">
        <v>10</v>
      </c>
      <c r="Z3816" s="5">
        <v>275.99</v>
      </c>
    </row>
    <row r="3817" spans="1:26">
      <c r="A3817">
        <v>3816</v>
      </c>
      <c r="B3817">
        <v>1252</v>
      </c>
      <c r="C3817" s="2">
        <v>46238</v>
      </c>
      <c r="D3817" t="s">
        <v>35</v>
      </c>
      <c r="E3817">
        <v>8</v>
      </c>
      <c r="F3817" s="3">
        <v>10.53</v>
      </c>
      <c r="G3817" t="s">
        <v>27</v>
      </c>
      <c r="H3817">
        <v>38</v>
      </c>
      <c r="I3817" t="s">
        <v>28</v>
      </c>
      <c r="J3817" s="4">
        <v>68.5</v>
      </c>
      <c r="K3817" s="4">
        <v>161.69999999999999</v>
      </c>
      <c r="L3817" s="4">
        <v>24.2</v>
      </c>
      <c r="M3817">
        <v>17</v>
      </c>
      <c r="N3817" t="s">
        <v>56</v>
      </c>
      <c r="O3817">
        <v>3</v>
      </c>
      <c r="P3817" s="4">
        <v>378.1</v>
      </c>
      <c r="Q3817" t="s">
        <v>42</v>
      </c>
      <c r="R3817">
        <v>1</v>
      </c>
      <c r="S3817" t="s">
        <v>38</v>
      </c>
      <c r="T3817">
        <v>0</v>
      </c>
      <c r="U3817">
        <v>0</v>
      </c>
      <c r="V3817" t="s">
        <v>32</v>
      </c>
      <c r="W3817" t="s">
        <v>39</v>
      </c>
      <c r="X3817" s="4">
        <v>11.5</v>
      </c>
      <c r="Y3817">
        <v>10</v>
      </c>
      <c r="Z3817" s="5">
        <v>237.39</v>
      </c>
    </row>
    <row r="3818" spans="1:26">
      <c r="A3818">
        <v>3817</v>
      </c>
      <c r="B3818">
        <v>1253</v>
      </c>
      <c r="C3818" s="2">
        <v>46035</v>
      </c>
      <c r="D3818" t="s">
        <v>35</v>
      </c>
      <c r="E3818">
        <v>1</v>
      </c>
      <c r="F3818" s="3">
        <v>10.37</v>
      </c>
      <c r="G3818" t="s">
        <v>27</v>
      </c>
      <c r="H3818">
        <v>27</v>
      </c>
      <c r="I3818" t="s">
        <v>28</v>
      </c>
      <c r="J3818" s="4">
        <v>64.099999999999994</v>
      </c>
      <c r="K3818" s="4">
        <v>123</v>
      </c>
      <c r="L3818" s="4">
        <v>21</v>
      </c>
      <c r="M3818">
        <v>13</v>
      </c>
      <c r="N3818" t="s">
        <v>60</v>
      </c>
      <c r="O3818">
        <v>3</v>
      </c>
      <c r="P3818" s="4">
        <v>1735.3</v>
      </c>
      <c r="Q3818" t="s">
        <v>42</v>
      </c>
      <c r="R3818">
        <v>1</v>
      </c>
      <c r="S3818" t="s">
        <v>38</v>
      </c>
      <c r="T3818">
        <v>0</v>
      </c>
      <c r="U3818">
        <v>0</v>
      </c>
      <c r="V3818" t="s">
        <v>32</v>
      </c>
      <c r="W3818" t="s">
        <v>49</v>
      </c>
      <c r="X3818" s="4">
        <v>7.1</v>
      </c>
      <c r="Y3818">
        <v>9</v>
      </c>
      <c r="Z3818" s="5">
        <v>290.79000000000002</v>
      </c>
    </row>
    <row r="3819" spans="1:26">
      <c r="A3819">
        <v>3818</v>
      </c>
      <c r="B3819">
        <v>1253</v>
      </c>
      <c r="C3819" s="2">
        <v>46035</v>
      </c>
      <c r="D3819" t="s">
        <v>35</v>
      </c>
      <c r="E3819">
        <v>1</v>
      </c>
      <c r="F3819" s="3">
        <v>10.34</v>
      </c>
      <c r="G3819" t="s">
        <v>27</v>
      </c>
      <c r="H3819">
        <v>43</v>
      </c>
      <c r="I3819" t="s">
        <v>34</v>
      </c>
      <c r="J3819" s="4">
        <v>64.400000000000006</v>
      </c>
      <c r="K3819" s="4">
        <v>147.30000000000001</v>
      </c>
      <c r="L3819" s="4">
        <v>25.3</v>
      </c>
      <c r="M3819">
        <v>17</v>
      </c>
      <c r="N3819" t="s">
        <v>60</v>
      </c>
      <c r="O3819">
        <v>3</v>
      </c>
      <c r="P3819" s="4">
        <v>1735.3</v>
      </c>
      <c r="Q3819" t="s">
        <v>42</v>
      </c>
      <c r="R3819">
        <v>1</v>
      </c>
      <c r="S3819" t="s">
        <v>38</v>
      </c>
      <c r="T3819">
        <v>0</v>
      </c>
      <c r="U3819">
        <v>0</v>
      </c>
      <c r="V3819" t="s">
        <v>32</v>
      </c>
      <c r="W3819" t="s">
        <v>49</v>
      </c>
      <c r="X3819" s="4">
        <v>7.9</v>
      </c>
      <c r="Y3819">
        <v>9</v>
      </c>
      <c r="Z3819" s="5">
        <v>269.07</v>
      </c>
    </row>
    <row r="3820" spans="1:26">
      <c r="A3820">
        <v>3819</v>
      </c>
      <c r="B3820">
        <v>1253</v>
      </c>
      <c r="C3820" s="2">
        <v>46035</v>
      </c>
      <c r="D3820" t="s">
        <v>35</v>
      </c>
      <c r="E3820">
        <v>1</v>
      </c>
      <c r="F3820" s="3">
        <v>10.199999999999999</v>
      </c>
      <c r="G3820" t="s">
        <v>27</v>
      </c>
      <c r="H3820">
        <v>44</v>
      </c>
      <c r="I3820" t="s">
        <v>28</v>
      </c>
      <c r="J3820" s="4">
        <v>75.5</v>
      </c>
      <c r="K3820" s="4">
        <v>146</v>
      </c>
      <c r="L3820" s="4">
        <v>17.7</v>
      </c>
      <c r="M3820">
        <v>18</v>
      </c>
      <c r="N3820" t="s">
        <v>60</v>
      </c>
      <c r="O3820">
        <v>3</v>
      </c>
      <c r="P3820" s="4">
        <v>1735.3</v>
      </c>
      <c r="Q3820" t="s">
        <v>42</v>
      </c>
      <c r="R3820">
        <v>1</v>
      </c>
      <c r="S3820" t="s">
        <v>38</v>
      </c>
      <c r="T3820">
        <v>0</v>
      </c>
      <c r="U3820">
        <v>0</v>
      </c>
      <c r="V3820" t="s">
        <v>32</v>
      </c>
      <c r="W3820" t="s">
        <v>49</v>
      </c>
      <c r="X3820" s="4">
        <v>8.6</v>
      </c>
      <c r="Y3820">
        <v>10</v>
      </c>
      <c r="Z3820" s="5">
        <v>469.79</v>
      </c>
    </row>
    <row r="3821" spans="1:26">
      <c r="A3821">
        <v>3820</v>
      </c>
      <c r="B3821">
        <v>1254</v>
      </c>
      <c r="C3821" s="2">
        <v>46123</v>
      </c>
      <c r="D3821" t="s">
        <v>40</v>
      </c>
      <c r="E3821">
        <v>4</v>
      </c>
      <c r="F3821" s="3">
        <v>11.17</v>
      </c>
      <c r="G3821" t="s">
        <v>36</v>
      </c>
      <c r="H3821">
        <v>20</v>
      </c>
      <c r="I3821" t="s">
        <v>28</v>
      </c>
      <c r="J3821" s="4">
        <v>75.599999999999994</v>
      </c>
      <c r="K3821" s="4">
        <v>199.9</v>
      </c>
      <c r="L3821" s="4">
        <v>24.9</v>
      </c>
      <c r="M3821">
        <v>15</v>
      </c>
      <c r="N3821" t="s">
        <v>41</v>
      </c>
      <c r="O3821">
        <v>6</v>
      </c>
      <c r="P3821" s="4">
        <v>2040</v>
      </c>
      <c r="Q3821" t="s">
        <v>48</v>
      </c>
      <c r="R3821">
        <v>1</v>
      </c>
      <c r="S3821" t="s">
        <v>44</v>
      </c>
      <c r="T3821">
        <v>0</v>
      </c>
      <c r="U3821">
        <v>0</v>
      </c>
      <c r="V3821" t="s">
        <v>32</v>
      </c>
      <c r="W3821" t="s">
        <v>49</v>
      </c>
      <c r="X3821" s="4">
        <v>7.8</v>
      </c>
      <c r="Y3821">
        <v>11</v>
      </c>
      <c r="Z3821" s="5">
        <v>348.88</v>
      </c>
    </row>
    <row r="3822" spans="1:26">
      <c r="A3822">
        <v>3821</v>
      </c>
      <c r="B3822">
        <v>1254</v>
      </c>
      <c r="C3822" s="2">
        <v>46123</v>
      </c>
      <c r="D3822" t="s">
        <v>40</v>
      </c>
      <c r="E3822">
        <v>4</v>
      </c>
      <c r="F3822" s="3">
        <v>11.12</v>
      </c>
      <c r="G3822" t="s">
        <v>36</v>
      </c>
      <c r="H3822">
        <v>16</v>
      </c>
      <c r="I3822" t="s">
        <v>34</v>
      </c>
      <c r="J3822" s="4">
        <v>70</v>
      </c>
      <c r="K3822" s="4">
        <v>133.6</v>
      </c>
      <c r="L3822" s="4">
        <v>19.3</v>
      </c>
      <c r="M3822">
        <v>12</v>
      </c>
      <c r="N3822" t="s">
        <v>41</v>
      </c>
      <c r="O3822">
        <v>6</v>
      </c>
      <c r="P3822" s="4">
        <v>2040</v>
      </c>
      <c r="Q3822" t="s">
        <v>48</v>
      </c>
      <c r="R3822">
        <v>1</v>
      </c>
      <c r="S3822" t="s">
        <v>44</v>
      </c>
      <c r="T3822">
        <v>0</v>
      </c>
      <c r="U3822">
        <v>0</v>
      </c>
      <c r="V3822" t="s">
        <v>32</v>
      </c>
      <c r="W3822" t="s">
        <v>49</v>
      </c>
      <c r="X3822" s="4">
        <v>11.1</v>
      </c>
      <c r="Y3822">
        <v>10</v>
      </c>
      <c r="Z3822" s="5">
        <v>248.75</v>
      </c>
    </row>
    <row r="3823" spans="1:26">
      <c r="A3823">
        <v>3822</v>
      </c>
      <c r="B3823">
        <v>1254</v>
      </c>
      <c r="C3823" s="2">
        <v>46123</v>
      </c>
      <c r="D3823" t="s">
        <v>40</v>
      </c>
      <c r="E3823">
        <v>4</v>
      </c>
      <c r="F3823" s="3">
        <v>11.29</v>
      </c>
      <c r="G3823" t="s">
        <v>36</v>
      </c>
      <c r="H3823">
        <v>18</v>
      </c>
      <c r="I3823" t="s">
        <v>34</v>
      </c>
      <c r="J3823" s="4">
        <v>60.8</v>
      </c>
      <c r="K3823" s="4">
        <v>118.8</v>
      </c>
      <c r="L3823" s="4">
        <v>22.6</v>
      </c>
      <c r="M3823">
        <v>12</v>
      </c>
      <c r="N3823" t="s">
        <v>41</v>
      </c>
      <c r="O3823">
        <v>6</v>
      </c>
      <c r="P3823" s="4">
        <v>2040</v>
      </c>
      <c r="Q3823" t="s">
        <v>48</v>
      </c>
      <c r="R3823">
        <v>1</v>
      </c>
      <c r="S3823" t="s">
        <v>44</v>
      </c>
      <c r="T3823">
        <v>0</v>
      </c>
      <c r="U3823">
        <v>0</v>
      </c>
      <c r="V3823" t="s">
        <v>32</v>
      </c>
      <c r="W3823" t="s">
        <v>49</v>
      </c>
      <c r="X3823" s="4">
        <v>9</v>
      </c>
      <c r="Y3823">
        <v>11</v>
      </c>
      <c r="Z3823" s="5">
        <v>264.95999999999998</v>
      </c>
    </row>
    <row r="3824" spans="1:26">
      <c r="A3824">
        <v>3823</v>
      </c>
      <c r="B3824">
        <v>1254</v>
      </c>
      <c r="C3824" s="2">
        <v>46123</v>
      </c>
      <c r="D3824" t="s">
        <v>40</v>
      </c>
      <c r="E3824">
        <v>4</v>
      </c>
      <c r="F3824" s="3">
        <v>11.11</v>
      </c>
      <c r="G3824" t="s">
        <v>36</v>
      </c>
      <c r="H3824">
        <v>18</v>
      </c>
      <c r="I3824" t="s">
        <v>28</v>
      </c>
      <c r="J3824" s="4">
        <v>71.900000000000006</v>
      </c>
      <c r="K3824" s="4">
        <v>220.5</v>
      </c>
      <c r="L3824" s="4">
        <v>30</v>
      </c>
      <c r="M3824">
        <v>13</v>
      </c>
      <c r="N3824" t="s">
        <v>41</v>
      </c>
      <c r="O3824">
        <v>6</v>
      </c>
      <c r="P3824" s="4">
        <v>2040</v>
      </c>
      <c r="Q3824" t="s">
        <v>48</v>
      </c>
      <c r="R3824">
        <v>1</v>
      </c>
      <c r="S3824" t="s">
        <v>44</v>
      </c>
      <c r="T3824">
        <v>0</v>
      </c>
      <c r="U3824">
        <v>0</v>
      </c>
      <c r="V3824" t="s">
        <v>32</v>
      </c>
      <c r="W3824" t="s">
        <v>49</v>
      </c>
      <c r="X3824" s="4">
        <v>8.8000000000000007</v>
      </c>
      <c r="Y3824">
        <v>9</v>
      </c>
      <c r="Z3824" s="5">
        <v>251.43</v>
      </c>
    </row>
    <row r="3825" spans="1:26">
      <c r="A3825">
        <v>3824</v>
      </c>
      <c r="B3825">
        <v>1254</v>
      </c>
      <c r="C3825" s="2">
        <v>46123</v>
      </c>
      <c r="D3825" t="s">
        <v>40</v>
      </c>
      <c r="E3825">
        <v>4</v>
      </c>
      <c r="F3825" s="3">
        <v>11.22</v>
      </c>
      <c r="G3825" t="s">
        <v>36</v>
      </c>
      <c r="H3825">
        <v>32</v>
      </c>
      <c r="I3825" t="s">
        <v>28</v>
      </c>
      <c r="J3825" s="4">
        <v>67.599999999999994</v>
      </c>
      <c r="K3825" s="4">
        <v>170.3</v>
      </c>
      <c r="L3825" s="4">
        <v>26.1</v>
      </c>
      <c r="M3825">
        <v>15</v>
      </c>
      <c r="N3825" t="s">
        <v>41</v>
      </c>
      <c r="O3825">
        <v>6</v>
      </c>
      <c r="P3825" s="4">
        <v>2040</v>
      </c>
      <c r="Q3825" t="s">
        <v>48</v>
      </c>
      <c r="R3825">
        <v>1</v>
      </c>
      <c r="S3825" t="s">
        <v>44</v>
      </c>
      <c r="T3825">
        <v>0</v>
      </c>
      <c r="U3825">
        <v>0</v>
      </c>
      <c r="V3825" t="s">
        <v>32</v>
      </c>
      <c r="W3825" t="s">
        <v>49</v>
      </c>
      <c r="X3825" s="4">
        <v>7.4</v>
      </c>
      <c r="Y3825">
        <v>7</v>
      </c>
      <c r="Z3825" s="5">
        <v>214.48</v>
      </c>
    </row>
    <row r="3826" spans="1:26">
      <c r="A3826">
        <v>3825</v>
      </c>
      <c r="B3826">
        <v>1254</v>
      </c>
      <c r="C3826" s="2">
        <v>46123</v>
      </c>
      <c r="D3826" t="s">
        <v>40</v>
      </c>
      <c r="E3826">
        <v>4</v>
      </c>
      <c r="F3826" s="3">
        <v>11.39</v>
      </c>
      <c r="G3826" t="s">
        <v>36</v>
      </c>
      <c r="H3826">
        <v>24</v>
      </c>
      <c r="I3826" t="s">
        <v>34</v>
      </c>
      <c r="J3826" s="4">
        <v>61.1</v>
      </c>
      <c r="K3826" s="4">
        <v>160.80000000000001</v>
      </c>
      <c r="L3826" s="4">
        <v>30.5</v>
      </c>
      <c r="M3826">
        <v>19</v>
      </c>
      <c r="N3826" t="s">
        <v>41</v>
      </c>
      <c r="O3826">
        <v>6</v>
      </c>
      <c r="P3826" s="4">
        <v>2040</v>
      </c>
      <c r="Q3826" t="s">
        <v>48</v>
      </c>
      <c r="R3826">
        <v>1</v>
      </c>
      <c r="S3826" t="s">
        <v>44</v>
      </c>
      <c r="T3826">
        <v>0</v>
      </c>
      <c r="U3826">
        <v>0</v>
      </c>
      <c r="V3826" t="s">
        <v>32</v>
      </c>
      <c r="W3826" t="s">
        <v>49</v>
      </c>
      <c r="X3826" s="4">
        <v>7.5</v>
      </c>
      <c r="Y3826">
        <v>11</v>
      </c>
      <c r="Z3826" s="5">
        <v>246.69</v>
      </c>
    </row>
    <row r="3827" spans="1:26">
      <c r="A3827">
        <v>3826</v>
      </c>
      <c r="B3827">
        <v>1255</v>
      </c>
      <c r="C3827" s="2">
        <v>46203</v>
      </c>
      <c r="D3827" t="s">
        <v>35</v>
      </c>
      <c r="E3827">
        <v>6</v>
      </c>
      <c r="F3827" s="3">
        <v>11.41</v>
      </c>
      <c r="G3827" t="s">
        <v>36</v>
      </c>
      <c r="H3827">
        <v>39</v>
      </c>
      <c r="I3827" t="s">
        <v>34</v>
      </c>
      <c r="J3827" s="4">
        <v>62</v>
      </c>
      <c r="K3827" s="4">
        <v>128.9</v>
      </c>
      <c r="L3827" s="4">
        <v>23.4</v>
      </c>
      <c r="M3827">
        <v>16</v>
      </c>
      <c r="N3827" t="s">
        <v>50</v>
      </c>
      <c r="O3827">
        <v>2</v>
      </c>
      <c r="P3827" s="4">
        <v>473.9</v>
      </c>
      <c r="Q3827" t="s">
        <v>48</v>
      </c>
      <c r="R3827">
        <v>1</v>
      </c>
      <c r="S3827" t="s">
        <v>44</v>
      </c>
      <c r="T3827">
        <v>0</v>
      </c>
      <c r="U3827">
        <v>0</v>
      </c>
      <c r="V3827" t="s">
        <v>45</v>
      </c>
      <c r="W3827" t="s">
        <v>43</v>
      </c>
      <c r="X3827" s="4">
        <v>7.8</v>
      </c>
      <c r="Y3827">
        <v>4</v>
      </c>
      <c r="Z3827" s="5">
        <v>242.48</v>
      </c>
    </row>
    <row r="3828" spans="1:26">
      <c r="A3828">
        <v>3827</v>
      </c>
      <c r="B3828">
        <v>1255</v>
      </c>
      <c r="C3828" s="2">
        <v>46203</v>
      </c>
      <c r="D3828" t="s">
        <v>35</v>
      </c>
      <c r="E3828">
        <v>6</v>
      </c>
      <c r="F3828" s="3">
        <v>11.61</v>
      </c>
      <c r="G3828" t="s">
        <v>36</v>
      </c>
      <c r="H3828">
        <v>23</v>
      </c>
      <c r="I3828" t="s">
        <v>28</v>
      </c>
      <c r="J3828" s="4">
        <v>64.2</v>
      </c>
      <c r="K3828" s="4">
        <v>155.6</v>
      </c>
      <c r="L3828" s="4">
        <v>26.6</v>
      </c>
      <c r="M3828">
        <v>18</v>
      </c>
      <c r="N3828" t="s">
        <v>50</v>
      </c>
      <c r="O3828">
        <v>2</v>
      </c>
      <c r="P3828" s="4">
        <v>473.9</v>
      </c>
      <c r="Q3828" t="s">
        <v>48</v>
      </c>
      <c r="R3828">
        <v>1</v>
      </c>
      <c r="S3828" t="s">
        <v>44</v>
      </c>
      <c r="T3828">
        <v>0</v>
      </c>
      <c r="U3828">
        <v>0</v>
      </c>
      <c r="V3828" t="s">
        <v>45</v>
      </c>
      <c r="W3828" t="s">
        <v>43</v>
      </c>
      <c r="X3828" s="4">
        <v>9.9</v>
      </c>
      <c r="Y3828">
        <v>8</v>
      </c>
      <c r="Z3828" s="5">
        <v>318.18</v>
      </c>
    </row>
    <row r="3829" spans="1:26">
      <c r="A3829">
        <v>3828</v>
      </c>
      <c r="B3829">
        <v>1256</v>
      </c>
      <c r="C3829" s="2">
        <v>46296</v>
      </c>
      <c r="D3829" t="s">
        <v>55</v>
      </c>
      <c r="E3829">
        <v>10</v>
      </c>
      <c r="F3829" s="3">
        <v>12.12</v>
      </c>
      <c r="G3829" t="s">
        <v>36</v>
      </c>
      <c r="H3829">
        <v>69</v>
      </c>
      <c r="I3829" t="s">
        <v>34</v>
      </c>
      <c r="J3829" s="4">
        <v>64.8</v>
      </c>
      <c r="K3829" s="4">
        <v>152.6</v>
      </c>
      <c r="L3829" s="4">
        <v>25.8</v>
      </c>
      <c r="M3829">
        <v>15</v>
      </c>
      <c r="N3829" t="s">
        <v>47</v>
      </c>
      <c r="O3829">
        <v>3</v>
      </c>
      <c r="P3829" s="4">
        <v>130.4</v>
      </c>
      <c r="Q3829" t="s">
        <v>42</v>
      </c>
      <c r="R3829">
        <v>0</v>
      </c>
      <c r="S3829" t="s">
        <v>44</v>
      </c>
      <c r="T3829">
        <v>0</v>
      </c>
      <c r="U3829">
        <v>0</v>
      </c>
      <c r="V3829" t="s">
        <v>32</v>
      </c>
      <c r="W3829" t="s">
        <v>39</v>
      </c>
      <c r="X3829" s="4">
        <v>8.6999999999999993</v>
      </c>
      <c r="Y3829">
        <v>6</v>
      </c>
      <c r="Z3829" s="5">
        <v>114.16</v>
      </c>
    </row>
    <row r="3830" spans="1:26">
      <c r="A3830">
        <v>3829</v>
      </c>
      <c r="B3830">
        <v>1256</v>
      </c>
      <c r="C3830" s="2">
        <v>46296</v>
      </c>
      <c r="D3830" t="s">
        <v>55</v>
      </c>
      <c r="E3830">
        <v>10</v>
      </c>
      <c r="F3830" s="3">
        <v>12.2</v>
      </c>
      <c r="G3830" t="s">
        <v>36</v>
      </c>
      <c r="H3830">
        <v>47</v>
      </c>
      <c r="I3830" t="s">
        <v>34</v>
      </c>
      <c r="J3830" s="4">
        <v>66.3</v>
      </c>
      <c r="K3830" s="4">
        <v>189.6</v>
      </c>
      <c r="L3830" s="4">
        <v>30.1</v>
      </c>
      <c r="M3830">
        <v>13</v>
      </c>
      <c r="N3830" t="s">
        <v>47</v>
      </c>
      <c r="O3830">
        <v>3</v>
      </c>
      <c r="P3830" s="4">
        <v>130.4</v>
      </c>
      <c r="Q3830" t="s">
        <v>42</v>
      </c>
      <c r="R3830">
        <v>0</v>
      </c>
      <c r="S3830" t="s">
        <v>44</v>
      </c>
      <c r="T3830">
        <v>0</v>
      </c>
      <c r="U3830">
        <v>0</v>
      </c>
      <c r="V3830" t="s">
        <v>32</v>
      </c>
      <c r="W3830" t="s">
        <v>39</v>
      </c>
      <c r="X3830" s="4">
        <v>8.4</v>
      </c>
      <c r="Y3830">
        <v>6</v>
      </c>
      <c r="Z3830" s="5">
        <v>202.15</v>
      </c>
    </row>
    <row r="3831" spans="1:26">
      <c r="A3831">
        <v>3830</v>
      </c>
      <c r="B3831">
        <v>1256</v>
      </c>
      <c r="C3831" s="2">
        <v>46296</v>
      </c>
      <c r="D3831" t="s">
        <v>55</v>
      </c>
      <c r="E3831">
        <v>10</v>
      </c>
      <c r="F3831" s="3">
        <v>11.94</v>
      </c>
      <c r="G3831" t="s">
        <v>36</v>
      </c>
      <c r="H3831">
        <v>30</v>
      </c>
      <c r="I3831" t="s">
        <v>34</v>
      </c>
      <c r="J3831" s="4">
        <v>65.3</v>
      </c>
      <c r="K3831" s="4">
        <v>138.19999999999999</v>
      </c>
      <c r="L3831" s="4">
        <v>22.7</v>
      </c>
      <c r="M3831">
        <v>11</v>
      </c>
      <c r="N3831" t="s">
        <v>47</v>
      </c>
      <c r="O3831">
        <v>3</v>
      </c>
      <c r="P3831" s="4">
        <v>130.4</v>
      </c>
      <c r="Q3831" t="s">
        <v>42</v>
      </c>
      <c r="R3831">
        <v>0</v>
      </c>
      <c r="S3831" t="s">
        <v>44</v>
      </c>
      <c r="T3831">
        <v>0</v>
      </c>
      <c r="U3831">
        <v>0</v>
      </c>
      <c r="V3831" t="s">
        <v>32</v>
      </c>
      <c r="W3831" t="s">
        <v>39</v>
      </c>
      <c r="X3831" s="4">
        <v>9.1999999999999993</v>
      </c>
      <c r="Y3831">
        <v>7</v>
      </c>
      <c r="Z3831" s="5">
        <v>191.23</v>
      </c>
    </row>
    <row r="3832" spans="1:26">
      <c r="A3832">
        <v>3831</v>
      </c>
      <c r="B3832">
        <v>1257</v>
      </c>
      <c r="C3832" s="2">
        <v>46099</v>
      </c>
      <c r="D3832" t="s">
        <v>52</v>
      </c>
      <c r="E3832">
        <v>3</v>
      </c>
      <c r="F3832" s="3">
        <v>8.5500000000000007</v>
      </c>
      <c r="G3832" t="s">
        <v>27</v>
      </c>
      <c r="H3832">
        <v>6</v>
      </c>
      <c r="I3832" t="s">
        <v>28</v>
      </c>
      <c r="J3832" s="4">
        <v>64.900000000000006</v>
      </c>
      <c r="K3832" s="4">
        <v>104.9</v>
      </c>
      <c r="L3832" s="4">
        <v>17.5</v>
      </c>
      <c r="M3832">
        <v>15</v>
      </c>
      <c r="N3832" t="s">
        <v>69</v>
      </c>
      <c r="O3832">
        <v>2</v>
      </c>
      <c r="P3832" s="4">
        <v>2030.7</v>
      </c>
      <c r="Q3832" t="s">
        <v>48</v>
      </c>
      <c r="R3832">
        <v>0</v>
      </c>
      <c r="S3832" t="s">
        <v>38</v>
      </c>
      <c r="T3832">
        <v>1</v>
      </c>
      <c r="U3832">
        <v>0</v>
      </c>
      <c r="V3832" t="s">
        <v>32</v>
      </c>
      <c r="W3832" t="s">
        <v>39</v>
      </c>
      <c r="X3832" s="4">
        <v>7.9</v>
      </c>
      <c r="Y3832">
        <v>11</v>
      </c>
      <c r="Z3832" s="5">
        <v>310.20999999999998</v>
      </c>
    </row>
    <row r="3833" spans="1:26">
      <c r="A3833">
        <v>3832</v>
      </c>
      <c r="B3833">
        <v>1257</v>
      </c>
      <c r="C3833" s="2">
        <v>46099</v>
      </c>
      <c r="D3833" t="s">
        <v>52</v>
      </c>
      <c r="E3833">
        <v>3</v>
      </c>
      <c r="F3833" s="3">
        <v>8.6300000000000008</v>
      </c>
      <c r="G3833" t="s">
        <v>27</v>
      </c>
      <c r="H3833">
        <v>71</v>
      </c>
      <c r="I3833" t="s">
        <v>34</v>
      </c>
      <c r="J3833" s="4">
        <v>66.2</v>
      </c>
      <c r="K3833" s="4">
        <v>148.6</v>
      </c>
      <c r="L3833" s="4">
        <v>23.6</v>
      </c>
      <c r="M3833">
        <v>22</v>
      </c>
      <c r="N3833" t="s">
        <v>69</v>
      </c>
      <c r="O3833">
        <v>2</v>
      </c>
      <c r="P3833" s="4">
        <v>2030.7</v>
      </c>
      <c r="Q3833" t="s">
        <v>48</v>
      </c>
      <c r="R3833">
        <v>0</v>
      </c>
      <c r="S3833" t="s">
        <v>38</v>
      </c>
      <c r="T3833">
        <v>1</v>
      </c>
      <c r="U3833">
        <v>0</v>
      </c>
      <c r="V3833" t="s">
        <v>32</v>
      </c>
      <c r="W3833" t="s">
        <v>39</v>
      </c>
      <c r="X3833" s="4">
        <v>10.6</v>
      </c>
      <c r="Y3833">
        <v>11</v>
      </c>
      <c r="Z3833" s="5">
        <v>326.25</v>
      </c>
    </row>
    <row r="3834" spans="1:26">
      <c r="A3834">
        <v>3833</v>
      </c>
      <c r="B3834">
        <v>1258</v>
      </c>
      <c r="C3834" s="2">
        <v>46108</v>
      </c>
      <c r="D3834" t="s">
        <v>26</v>
      </c>
      <c r="E3834">
        <v>3</v>
      </c>
      <c r="F3834" s="3">
        <v>12.81</v>
      </c>
      <c r="G3834" t="s">
        <v>36</v>
      </c>
      <c r="H3834">
        <v>58</v>
      </c>
      <c r="I3834" t="s">
        <v>34</v>
      </c>
      <c r="J3834" s="4">
        <v>64.7</v>
      </c>
      <c r="K3834" s="4">
        <v>163.9</v>
      </c>
      <c r="L3834" s="4">
        <v>27.8</v>
      </c>
      <c r="M3834">
        <v>15</v>
      </c>
      <c r="N3834" t="s">
        <v>47</v>
      </c>
      <c r="O3834">
        <v>4</v>
      </c>
      <c r="P3834" s="4">
        <v>79.099999999999994</v>
      </c>
      <c r="Q3834" t="s">
        <v>48</v>
      </c>
      <c r="R3834">
        <v>0</v>
      </c>
      <c r="S3834" t="s">
        <v>44</v>
      </c>
      <c r="T3834">
        <v>0</v>
      </c>
      <c r="U3834">
        <v>1</v>
      </c>
      <c r="V3834" t="s">
        <v>32</v>
      </c>
      <c r="W3834" t="s">
        <v>33</v>
      </c>
      <c r="X3834" s="4">
        <v>8.1999999999999993</v>
      </c>
      <c r="Y3834">
        <v>5</v>
      </c>
      <c r="Z3834" s="5">
        <v>215.24</v>
      </c>
    </row>
    <row r="3835" spans="1:26">
      <c r="A3835">
        <v>3834</v>
      </c>
      <c r="B3835">
        <v>1258</v>
      </c>
      <c r="C3835" s="2">
        <v>46108</v>
      </c>
      <c r="D3835" t="s">
        <v>26</v>
      </c>
      <c r="E3835">
        <v>3</v>
      </c>
      <c r="F3835" s="3">
        <v>12.66</v>
      </c>
      <c r="G3835" t="s">
        <v>36</v>
      </c>
      <c r="H3835">
        <v>8</v>
      </c>
      <c r="I3835" t="s">
        <v>28</v>
      </c>
      <c r="J3835" s="4">
        <v>61</v>
      </c>
      <c r="K3835" s="4">
        <v>110.5</v>
      </c>
      <c r="L3835" s="4">
        <v>20.6</v>
      </c>
      <c r="M3835">
        <v>12</v>
      </c>
      <c r="N3835" t="s">
        <v>47</v>
      </c>
      <c r="O3835">
        <v>4</v>
      </c>
      <c r="P3835" s="4">
        <v>79.099999999999994</v>
      </c>
      <c r="Q3835" t="s">
        <v>48</v>
      </c>
      <c r="R3835">
        <v>0</v>
      </c>
      <c r="S3835" t="s">
        <v>44</v>
      </c>
      <c r="T3835">
        <v>0</v>
      </c>
      <c r="U3835">
        <v>1</v>
      </c>
      <c r="V3835" t="s">
        <v>32</v>
      </c>
      <c r="W3835" t="s">
        <v>33</v>
      </c>
      <c r="X3835" s="4">
        <v>9.9</v>
      </c>
      <c r="Y3835">
        <v>7</v>
      </c>
      <c r="Z3835" s="5">
        <v>345.79</v>
      </c>
    </row>
    <row r="3836" spans="1:26">
      <c r="A3836">
        <v>3835</v>
      </c>
      <c r="B3836">
        <v>1258</v>
      </c>
      <c r="C3836" s="2">
        <v>46108</v>
      </c>
      <c r="D3836" t="s">
        <v>26</v>
      </c>
      <c r="E3836">
        <v>3</v>
      </c>
      <c r="F3836" s="3">
        <v>12.62</v>
      </c>
      <c r="G3836" t="s">
        <v>36</v>
      </c>
      <c r="H3836">
        <v>51</v>
      </c>
      <c r="I3836" t="s">
        <v>34</v>
      </c>
      <c r="J3836" s="4">
        <v>62.6</v>
      </c>
      <c r="K3836" s="4">
        <v>97.7</v>
      </c>
      <c r="L3836" s="4">
        <v>17.600000000000001</v>
      </c>
      <c r="M3836">
        <v>19</v>
      </c>
      <c r="N3836" t="s">
        <v>47</v>
      </c>
      <c r="O3836">
        <v>4</v>
      </c>
      <c r="P3836" s="4">
        <v>79.099999999999994</v>
      </c>
      <c r="Q3836" t="s">
        <v>48</v>
      </c>
      <c r="R3836">
        <v>0</v>
      </c>
      <c r="S3836" t="s">
        <v>44</v>
      </c>
      <c r="T3836">
        <v>0</v>
      </c>
      <c r="U3836">
        <v>1</v>
      </c>
      <c r="V3836" t="s">
        <v>32</v>
      </c>
      <c r="W3836" t="s">
        <v>33</v>
      </c>
      <c r="X3836" s="4">
        <v>10.1</v>
      </c>
      <c r="Y3836">
        <v>7</v>
      </c>
      <c r="Z3836" s="5">
        <v>295.27999999999997</v>
      </c>
    </row>
    <row r="3837" spans="1:26">
      <c r="A3837">
        <v>3836</v>
      </c>
      <c r="B3837">
        <v>1258</v>
      </c>
      <c r="C3837" s="2">
        <v>46108</v>
      </c>
      <c r="D3837" t="s">
        <v>26</v>
      </c>
      <c r="E3837">
        <v>3</v>
      </c>
      <c r="F3837" s="3">
        <v>12.65</v>
      </c>
      <c r="G3837" t="s">
        <v>36</v>
      </c>
      <c r="H3837">
        <v>31</v>
      </c>
      <c r="I3837" t="s">
        <v>28</v>
      </c>
      <c r="J3837" s="4">
        <v>70.8</v>
      </c>
      <c r="K3837" s="4">
        <v>178.2</v>
      </c>
      <c r="L3837" s="4">
        <v>25</v>
      </c>
      <c r="M3837">
        <v>16</v>
      </c>
      <c r="N3837" t="s">
        <v>47</v>
      </c>
      <c r="O3837">
        <v>4</v>
      </c>
      <c r="P3837" s="4">
        <v>79.099999999999994</v>
      </c>
      <c r="Q3837" t="s">
        <v>48</v>
      </c>
      <c r="R3837">
        <v>0</v>
      </c>
      <c r="S3837" t="s">
        <v>44</v>
      </c>
      <c r="T3837">
        <v>0</v>
      </c>
      <c r="U3837">
        <v>1</v>
      </c>
      <c r="V3837" t="s">
        <v>32</v>
      </c>
      <c r="W3837" t="s">
        <v>33</v>
      </c>
      <c r="X3837" s="4">
        <v>7.2</v>
      </c>
      <c r="Y3837">
        <v>7</v>
      </c>
      <c r="Z3837" s="5">
        <v>159.04</v>
      </c>
    </row>
    <row r="3838" spans="1:26">
      <c r="A3838">
        <v>3837</v>
      </c>
      <c r="B3838">
        <v>1259</v>
      </c>
      <c r="C3838" s="2">
        <v>46102</v>
      </c>
      <c r="D3838" t="s">
        <v>40</v>
      </c>
      <c r="E3838">
        <v>3</v>
      </c>
      <c r="F3838" s="3">
        <v>8.81</v>
      </c>
      <c r="G3838" t="s">
        <v>27</v>
      </c>
      <c r="H3838">
        <v>44</v>
      </c>
      <c r="I3838" t="s">
        <v>28</v>
      </c>
      <c r="J3838" s="4">
        <v>67.599999999999994</v>
      </c>
      <c r="K3838" s="4">
        <v>190.5</v>
      </c>
      <c r="L3838" s="4">
        <v>29.8</v>
      </c>
      <c r="M3838">
        <v>17</v>
      </c>
      <c r="N3838" t="s">
        <v>47</v>
      </c>
      <c r="O3838">
        <v>2</v>
      </c>
      <c r="P3838" s="4">
        <v>69.2</v>
      </c>
      <c r="Q3838" t="s">
        <v>42</v>
      </c>
      <c r="R3838">
        <v>0</v>
      </c>
      <c r="S3838" t="s">
        <v>38</v>
      </c>
      <c r="T3838">
        <v>0</v>
      </c>
      <c r="U3838">
        <v>0</v>
      </c>
      <c r="V3838" t="s">
        <v>32</v>
      </c>
      <c r="W3838" t="s">
        <v>49</v>
      </c>
      <c r="X3838" s="4">
        <v>7.5</v>
      </c>
      <c r="Y3838">
        <v>6</v>
      </c>
      <c r="Z3838" s="5">
        <v>137.66999999999999</v>
      </c>
    </row>
    <row r="3839" spans="1:26">
      <c r="A3839">
        <v>3838</v>
      </c>
      <c r="B3839">
        <v>1259</v>
      </c>
      <c r="C3839" s="2">
        <v>46102</v>
      </c>
      <c r="D3839" t="s">
        <v>40</v>
      </c>
      <c r="E3839">
        <v>3</v>
      </c>
      <c r="F3839" s="3">
        <v>8.73</v>
      </c>
      <c r="G3839" t="s">
        <v>27</v>
      </c>
      <c r="H3839">
        <v>45</v>
      </c>
      <c r="I3839" t="s">
        <v>28</v>
      </c>
      <c r="J3839" s="4">
        <v>68.900000000000006</v>
      </c>
      <c r="K3839" s="4">
        <v>220.7</v>
      </c>
      <c r="L3839" s="4">
        <v>32.799999999999997</v>
      </c>
      <c r="M3839">
        <v>17</v>
      </c>
      <c r="N3839" t="s">
        <v>47</v>
      </c>
      <c r="O3839">
        <v>2</v>
      </c>
      <c r="P3839" s="4">
        <v>69.2</v>
      </c>
      <c r="Q3839" t="s">
        <v>42</v>
      </c>
      <c r="R3839">
        <v>0</v>
      </c>
      <c r="S3839" t="s">
        <v>38</v>
      </c>
      <c r="T3839">
        <v>0</v>
      </c>
      <c r="U3839">
        <v>0</v>
      </c>
      <c r="V3839" t="s">
        <v>32</v>
      </c>
      <c r="W3839" t="s">
        <v>49</v>
      </c>
      <c r="X3839" s="4">
        <v>6.6</v>
      </c>
      <c r="Y3839">
        <v>3</v>
      </c>
      <c r="Z3839" s="5">
        <v>141.15</v>
      </c>
    </row>
    <row r="3840" spans="1:26">
      <c r="A3840">
        <v>3839</v>
      </c>
      <c r="B3840">
        <v>1260</v>
      </c>
      <c r="C3840" s="2">
        <v>46269</v>
      </c>
      <c r="D3840" t="s">
        <v>26</v>
      </c>
      <c r="E3840">
        <v>9</v>
      </c>
      <c r="F3840" s="3">
        <v>9.4499999999999993</v>
      </c>
      <c r="G3840" t="s">
        <v>27</v>
      </c>
      <c r="H3840">
        <v>18</v>
      </c>
      <c r="I3840" t="s">
        <v>34</v>
      </c>
      <c r="J3840" s="4">
        <v>63.5</v>
      </c>
      <c r="K3840" s="4">
        <v>176.8</v>
      </c>
      <c r="L3840" s="4">
        <v>30.6</v>
      </c>
      <c r="M3840">
        <v>12</v>
      </c>
      <c r="N3840" t="s">
        <v>47</v>
      </c>
      <c r="O3840">
        <v>2</v>
      </c>
      <c r="P3840" s="4">
        <v>2</v>
      </c>
      <c r="Q3840" t="s">
        <v>42</v>
      </c>
      <c r="R3840">
        <v>0</v>
      </c>
      <c r="S3840" t="s">
        <v>44</v>
      </c>
      <c r="T3840">
        <v>0</v>
      </c>
      <c r="U3840">
        <v>0</v>
      </c>
      <c r="V3840" t="s">
        <v>32</v>
      </c>
      <c r="W3840" t="s">
        <v>49</v>
      </c>
      <c r="X3840" s="4">
        <v>5.9</v>
      </c>
      <c r="Y3840">
        <v>1</v>
      </c>
      <c r="Z3840" s="5">
        <v>182.61</v>
      </c>
    </row>
    <row r="3841" spans="1:26">
      <c r="A3841">
        <v>3840</v>
      </c>
      <c r="B3841">
        <v>1260</v>
      </c>
      <c r="C3841" s="2">
        <v>46269</v>
      </c>
      <c r="D3841" t="s">
        <v>26</v>
      </c>
      <c r="E3841">
        <v>9</v>
      </c>
      <c r="F3841" s="3">
        <v>9.36</v>
      </c>
      <c r="G3841" t="s">
        <v>27</v>
      </c>
      <c r="H3841">
        <v>49</v>
      </c>
      <c r="I3841" t="s">
        <v>34</v>
      </c>
      <c r="J3841" s="4">
        <v>62.4</v>
      </c>
      <c r="K3841" s="4">
        <v>134</v>
      </c>
      <c r="L3841" s="4">
        <v>24.2</v>
      </c>
      <c r="M3841">
        <v>15</v>
      </c>
      <c r="N3841" t="s">
        <v>47</v>
      </c>
      <c r="O3841">
        <v>2</v>
      </c>
      <c r="P3841" s="4">
        <v>2</v>
      </c>
      <c r="Q3841" t="s">
        <v>42</v>
      </c>
      <c r="R3841">
        <v>0</v>
      </c>
      <c r="S3841" t="s">
        <v>44</v>
      </c>
      <c r="T3841">
        <v>0</v>
      </c>
      <c r="U3841">
        <v>0</v>
      </c>
      <c r="V3841" t="s">
        <v>32</v>
      </c>
      <c r="W3841" t="s">
        <v>49</v>
      </c>
      <c r="X3841" s="4">
        <v>7.3</v>
      </c>
      <c r="Y3841">
        <v>11</v>
      </c>
      <c r="Z3841" s="5">
        <v>197.79</v>
      </c>
    </row>
    <row r="3842" spans="1:26">
      <c r="A3842">
        <v>3841</v>
      </c>
      <c r="B3842">
        <v>1261</v>
      </c>
      <c r="C3842" s="2">
        <v>46069</v>
      </c>
      <c r="D3842" t="s">
        <v>46</v>
      </c>
      <c r="E3842">
        <v>2</v>
      </c>
      <c r="F3842" s="3">
        <v>10.210000000000001</v>
      </c>
      <c r="G3842" t="s">
        <v>27</v>
      </c>
      <c r="H3842">
        <v>20</v>
      </c>
      <c r="I3842" t="s">
        <v>34</v>
      </c>
      <c r="J3842" s="4">
        <v>64.8</v>
      </c>
      <c r="K3842" s="4">
        <v>144</v>
      </c>
      <c r="L3842" s="4">
        <v>23.8</v>
      </c>
      <c r="M3842">
        <v>12</v>
      </c>
      <c r="N3842" t="s">
        <v>59</v>
      </c>
      <c r="O3842">
        <v>4</v>
      </c>
      <c r="P3842" s="4">
        <v>860.6</v>
      </c>
      <c r="Q3842" t="s">
        <v>30</v>
      </c>
      <c r="R3842">
        <v>1</v>
      </c>
      <c r="S3842" t="s">
        <v>44</v>
      </c>
      <c r="T3842">
        <v>0</v>
      </c>
      <c r="U3842">
        <v>0</v>
      </c>
      <c r="V3842" t="s">
        <v>32</v>
      </c>
      <c r="W3842" t="s">
        <v>43</v>
      </c>
      <c r="X3842" s="4">
        <v>7.9</v>
      </c>
      <c r="Y3842">
        <v>7</v>
      </c>
      <c r="Z3842" s="5">
        <v>150.21</v>
      </c>
    </row>
    <row r="3843" spans="1:26">
      <c r="A3843">
        <v>3842</v>
      </c>
      <c r="B3843">
        <v>1261</v>
      </c>
      <c r="C3843" s="2">
        <v>46069</v>
      </c>
      <c r="D3843" t="s">
        <v>46</v>
      </c>
      <c r="E3843">
        <v>2</v>
      </c>
      <c r="F3843" s="3">
        <v>9.9600000000000009</v>
      </c>
      <c r="G3843" t="s">
        <v>27</v>
      </c>
      <c r="H3843">
        <v>59</v>
      </c>
      <c r="I3843" t="s">
        <v>28</v>
      </c>
      <c r="J3843" s="4">
        <v>73.400000000000006</v>
      </c>
      <c r="K3843" s="4">
        <v>199.8</v>
      </c>
      <c r="L3843" s="4">
        <v>26</v>
      </c>
      <c r="M3843">
        <v>14</v>
      </c>
      <c r="N3843" t="s">
        <v>59</v>
      </c>
      <c r="O3843">
        <v>4</v>
      </c>
      <c r="P3843" s="4">
        <v>860.6</v>
      </c>
      <c r="Q3843" t="s">
        <v>30</v>
      </c>
      <c r="R3843">
        <v>1</v>
      </c>
      <c r="S3843" t="s">
        <v>44</v>
      </c>
      <c r="T3843">
        <v>0</v>
      </c>
      <c r="U3843">
        <v>0</v>
      </c>
      <c r="V3843" t="s">
        <v>32</v>
      </c>
      <c r="W3843" t="s">
        <v>43</v>
      </c>
      <c r="X3843" s="4">
        <v>10.9</v>
      </c>
      <c r="Y3843">
        <v>10</v>
      </c>
      <c r="Z3843" s="5">
        <v>238.96</v>
      </c>
    </row>
    <row r="3844" spans="1:26">
      <c r="A3844">
        <v>3843</v>
      </c>
      <c r="B3844">
        <v>1261</v>
      </c>
      <c r="C3844" s="2">
        <v>46069</v>
      </c>
      <c r="D3844" t="s">
        <v>46</v>
      </c>
      <c r="E3844">
        <v>2</v>
      </c>
      <c r="F3844" s="3">
        <v>10.050000000000001</v>
      </c>
      <c r="G3844" t="s">
        <v>27</v>
      </c>
      <c r="H3844">
        <v>7</v>
      </c>
      <c r="I3844" t="s">
        <v>28</v>
      </c>
      <c r="J3844" s="4">
        <v>54.6</v>
      </c>
      <c r="K3844" s="4">
        <v>105.8</v>
      </c>
      <c r="L3844" s="4">
        <v>25</v>
      </c>
      <c r="M3844">
        <v>10</v>
      </c>
      <c r="N3844" t="s">
        <v>59</v>
      </c>
      <c r="O3844">
        <v>4</v>
      </c>
      <c r="P3844" s="4">
        <v>860.6</v>
      </c>
      <c r="Q3844" t="s">
        <v>30</v>
      </c>
      <c r="R3844">
        <v>1</v>
      </c>
      <c r="S3844" t="s">
        <v>44</v>
      </c>
      <c r="T3844">
        <v>0</v>
      </c>
      <c r="U3844">
        <v>0</v>
      </c>
      <c r="V3844" t="s">
        <v>32</v>
      </c>
      <c r="W3844" t="s">
        <v>43</v>
      </c>
      <c r="X3844" s="4">
        <v>6.6</v>
      </c>
      <c r="Y3844">
        <v>5</v>
      </c>
      <c r="Z3844" s="5">
        <v>200.48</v>
      </c>
    </row>
    <row r="3845" spans="1:26">
      <c r="A3845">
        <v>3844</v>
      </c>
      <c r="B3845">
        <v>1261</v>
      </c>
      <c r="C3845" s="2">
        <v>46069</v>
      </c>
      <c r="D3845" t="s">
        <v>46</v>
      </c>
      <c r="E3845">
        <v>2</v>
      </c>
      <c r="F3845" s="3">
        <v>9.98</v>
      </c>
      <c r="G3845" t="s">
        <v>27</v>
      </c>
      <c r="H3845">
        <v>18</v>
      </c>
      <c r="I3845" t="s">
        <v>34</v>
      </c>
      <c r="J3845" s="4">
        <v>68.2</v>
      </c>
      <c r="K3845" s="4">
        <v>134</v>
      </c>
      <c r="L3845" s="4">
        <v>20</v>
      </c>
      <c r="M3845">
        <v>13</v>
      </c>
      <c r="N3845" t="s">
        <v>59</v>
      </c>
      <c r="O3845">
        <v>4</v>
      </c>
      <c r="P3845" s="4">
        <v>860.6</v>
      </c>
      <c r="Q3845" t="s">
        <v>30</v>
      </c>
      <c r="R3845">
        <v>1</v>
      </c>
      <c r="S3845" t="s">
        <v>44</v>
      </c>
      <c r="T3845">
        <v>0</v>
      </c>
      <c r="U3845">
        <v>0</v>
      </c>
      <c r="V3845" t="s">
        <v>32</v>
      </c>
      <c r="W3845" t="s">
        <v>43</v>
      </c>
      <c r="X3845" s="4">
        <v>8.5</v>
      </c>
      <c r="Y3845">
        <v>12</v>
      </c>
      <c r="Z3845" s="5">
        <v>265.48</v>
      </c>
    </row>
    <row r="3846" spans="1:26">
      <c r="A3846">
        <v>3845</v>
      </c>
      <c r="B3846">
        <v>1262</v>
      </c>
      <c r="C3846" s="2">
        <v>46181</v>
      </c>
      <c r="D3846" t="s">
        <v>46</v>
      </c>
      <c r="E3846">
        <v>6</v>
      </c>
      <c r="F3846" s="3">
        <v>10.71</v>
      </c>
      <c r="G3846" t="s">
        <v>27</v>
      </c>
      <c r="H3846">
        <v>30</v>
      </c>
      <c r="I3846" t="s">
        <v>34</v>
      </c>
      <c r="J3846" s="4">
        <v>63.8</v>
      </c>
      <c r="K3846" s="4">
        <v>130.6</v>
      </c>
      <c r="L3846" s="4">
        <v>22.5</v>
      </c>
      <c r="M3846">
        <v>16</v>
      </c>
      <c r="N3846" t="s">
        <v>47</v>
      </c>
      <c r="O3846">
        <v>6</v>
      </c>
      <c r="P3846" s="4">
        <v>84.6</v>
      </c>
      <c r="Q3846" t="s">
        <v>42</v>
      </c>
      <c r="R3846">
        <v>0</v>
      </c>
      <c r="S3846" t="s">
        <v>38</v>
      </c>
      <c r="T3846">
        <v>1</v>
      </c>
      <c r="U3846">
        <v>0</v>
      </c>
      <c r="V3846" t="s">
        <v>32</v>
      </c>
      <c r="W3846" t="s">
        <v>43</v>
      </c>
      <c r="X3846" s="4">
        <v>8.3000000000000007</v>
      </c>
      <c r="Y3846">
        <v>15</v>
      </c>
      <c r="Z3846" s="5">
        <v>147.83000000000001</v>
      </c>
    </row>
    <row r="3847" spans="1:26">
      <c r="A3847">
        <v>3846</v>
      </c>
      <c r="B3847">
        <v>1262</v>
      </c>
      <c r="C3847" s="2">
        <v>46181</v>
      </c>
      <c r="D3847" t="s">
        <v>46</v>
      </c>
      <c r="E3847">
        <v>6</v>
      </c>
      <c r="F3847" s="3">
        <v>10.52</v>
      </c>
      <c r="G3847" t="s">
        <v>27</v>
      </c>
      <c r="H3847">
        <v>41</v>
      </c>
      <c r="I3847" t="s">
        <v>28</v>
      </c>
      <c r="J3847" s="4">
        <v>65.8</v>
      </c>
      <c r="K3847" s="4">
        <v>146.1</v>
      </c>
      <c r="L3847" s="4">
        <v>23.5</v>
      </c>
      <c r="M3847">
        <v>15</v>
      </c>
      <c r="N3847" t="s">
        <v>47</v>
      </c>
      <c r="O3847">
        <v>6</v>
      </c>
      <c r="P3847" s="4">
        <v>84.6</v>
      </c>
      <c r="Q3847" t="s">
        <v>42</v>
      </c>
      <c r="R3847">
        <v>0</v>
      </c>
      <c r="S3847" t="s">
        <v>38</v>
      </c>
      <c r="T3847">
        <v>1</v>
      </c>
      <c r="U3847">
        <v>0</v>
      </c>
      <c r="V3847" t="s">
        <v>32</v>
      </c>
      <c r="W3847" t="s">
        <v>43</v>
      </c>
      <c r="X3847" s="4">
        <v>8.9</v>
      </c>
      <c r="Y3847">
        <v>9</v>
      </c>
      <c r="Z3847" s="5">
        <v>188.04</v>
      </c>
    </row>
    <row r="3848" spans="1:26">
      <c r="A3848">
        <v>3847</v>
      </c>
      <c r="B3848">
        <v>1262</v>
      </c>
      <c r="C3848" s="2">
        <v>46181</v>
      </c>
      <c r="D3848" t="s">
        <v>46</v>
      </c>
      <c r="E3848">
        <v>6</v>
      </c>
      <c r="F3848" s="3">
        <v>10.67</v>
      </c>
      <c r="G3848" t="s">
        <v>27</v>
      </c>
      <c r="H3848">
        <v>58</v>
      </c>
      <c r="I3848" t="s">
        <v>34</v>
      </c>
      <c r="J3848" s="4">
        <v>69.2</v>
      </c>
      <c r="K3848" s="4">
        <v>200.1</v>
      </c>
      <c r="L3848" s="4">
        <v>29.4</v>
      </c>
      <c r="M3848">
        <v>16</v>
      </c>
      <c r="N3848" t="s">
        <v>47</v>
      </c>
      <c r="O3848">
        <v>6</v>
      </c>
      <c r="P3848" s="4">
        <v>84.6</v>
      </c>
      <c r="Q3848" t="s">
        <v>42</v>
      </c>
      <c r="R3848">
        <v>0</v>
      </c>
      <c r="S3848" t="s">
        <v>38</v>
      </c>
      <c r="T3848">
        <v>1</v>
      </c>
      <c r="U3848">
        <v>0</v>
      </c>
      <c r="V3848" t="s">
        <v>32</v>
      </c>
      <c r="W3848" t="s">
        <v>43</v>
      </c>
      <c r="X3848" s="4">
        <v>8.3000000000000007</v>
      </c>
      <c r="Y3848">
        <v>9</v>
      </c>
      <c r="Z3848" s="5">
        <v>175.37</v>
      </c>
    </row>
    <row r="3849" spans="1:26">
      <c r="A3849">
        <v>3848</v>
      </c>
      <c r="B3849">
        <v>1262</v>
      </c>
      <c r="C3849" s="2">
        <v>46181</v>
      </c>
      <c r="D3849" t="s">
        <v>46</v>
      </c>
      <c r="E3849">
        <v>6</v>
      </c>
      <c r="F3849" s="3">
        <v>10.87</v>
      </c>
      <c r="G3849" t="s">
        <v>27</v>
      </c>
      <c r="H3849">
        <v>18</v>
      </c>
      <c r="I3849" t="s">
        <v>28</v>
      </c>
      <c r="J3849" s="4">
        <v>67.5</v>
      </c>
      <c r="K3849" s="4">
        <v>163.69999999999999</v>
      </c>
      <c r="L3849" s="4">
        <v>25.6</v>
      </c>
      <c r="M3849">
        <v>14</v>
      </c>
      <c r="N3849" t="s">
        <v>47</v>
      </c>
      <c r="O3849">
        <v>6</v>
      </c>
      <c r="P3849" s="4">
        <v>84.6</v>
      </c>
      <c r="Q3849" t="s">
        <v>42</v>
      </c>
      <c r="R3849">
        <v>0</v>
      </c>
      <c r="S3849" t="s">
        <v>38</v>
      </c>
      <c r="T3849">
        <v>1</v>
      </c>
      <c r="U3849">
        <v>0</v>
      </c>
      <c r="V3849" t="s">
        <v>32</v>
      </c>
      <c r="W3849" t="s">
        <v>43</v>
      </c>
      <c r="X3849" s="4">
        <v>6</v>
      </c>
      <c r="Y3849">
        <v>10</v>
      </c>
      <c r="Z3849" s="5">
        <v>174.3</v>
      </c>
    </row>
    <row r="3850" spans="1:26">
      <c r="A3850">
        <v>3849</v>
      </c>
      <c r="B3850">
        <v>1262</v>
      </c>
      <c r="C3850" s="2">
        <v>46181</v>
      </c>
      <c r="D3850" t="s">
        <v>46</v>
      </c>
      <c r="E3850">
        <v>6</v>
      </c>
      <c r="F3850" s="3">
        <v>10.65</v>
      </c>
      <c r="G3850" t="s">
        <v>27</v>
      </c>
      <c r="H3850">
        <v>36</v>
      </c>
      <c r="I3850" t="s">
        <v>28</v>
      </c>
      <c r="J3850" s="4">
        <v>68</v>
      </c>
      <c r="K3850" s="4">
        <v>193.5</v>
      </c>
      <c r="L3850" s="4">
        <v>29.7</v>
      </c>
      <c r="M3850">
        <v>12</v>
      </c>
      <c r="N3850" t="s">
        <v>47</v>
      </c>
      <c r="O3850">
        <v>6</v>
      </c>
      <c r="P3850" s="4">
        <v>84.6</v>
      </c>
      <c r="Q3850" t="s">
        <v>42</v>
      </c>
      <c r="R3850">
        <v>0</v>
      </c>
      <c r="S3850" t="s">
        <v>38</v>
      </c>
      <c r="T3850">
        <v>1</v>
      </c>
      <c r="U3850">
        <v>0</v>
      </c>
      <c r="V3850" t="s">
        <v>32</v>
      </c>
      <c r="W3850" t="s">
        <v>43</v>
      </c>
      <c r="X3850" s="4">
        <v>11.2</v>
      </c>
      <c r="Y3850">
        <v>5</v>
      </c>
      <c r="Z3850" s="5">
        <v>396.25</v>
      </c>
    </row>
    <row r="3851" spans="1:26">
      <c r="A3851">
        <v>3850</v>
      </c>
      <c r="B3851">
        <v>1262</v>
      </c>
      <c r="C3851" s="2">
        <v>46181</v>
      </c>
      <c r="D3851" t="s">
        <v>46</v>
      </c>
      <c r="E3851">
        <v>6</v>
      </c>
      <c r="F3851" s="3">
        <v>10.59</v>
      </c>
      <c r="G3851" t="s">
        <v>27</v>
      </c>
      <c r="H3851">
        <v>26</v>
      </c>
      <c r="I3851" t="s">
        <v>28</v>
      </c>
      <c r="J3851" s="4">
        <v>65.2</v>
      </c>
      <c r="K3851" s="4">
        <v>180.3</v>
      </c>
      <c r="L3851" s="4">
        <v>29.8</v>
      </c>
      <c r="M3851">
        <v>13</v>
      </c>
      <c r="N3851" t="s">
        <v>47</v>
      </c>
      <c r="O3851">
        <v>6</v>
      </c>
      <c r="P3851" s="4">
        <v>84.6</v>
      </c>
      <c r="Q3851" t="s">
        <v>42</v>
      </c>
      <c r="R3851">
        <v>0</v>
      </c>
      <c r="S3851" t="s">
        <v>38</v>
      </c>
      <c r="T3851">
        <v>1</v>
      </c>
      <c r="U3851">
        <v>0</v>
      </c>
      <c r="V3851" t="s">
        <v>32</v>
      </c>
      <c r="W3851" t="s">
        <v>43</v>
      </c>
      <c r="X3851" s="4">
        <v>6.7</v>
      </c>
      <c r="Y3851">
        <v>7</v>
      </c>
      <c r="Z3851" s="5">
        <v>183.23</v>
      </c>
    </row>
    <row r="3852" spans="1:26">
      <c r="A3852">
        <v>3851</v>
      </c>
      <c r="B3852">
        <v>1263</v>
      </c>
      <c r="C3852" s="2">
        <v>46115</v>
      </c>
      <c r="D3852" t="s">
        <v>26</v>
      </c>
      <c r="E3852">
        <v>4</v>
      </c>
      <c r="F3852" s="3">
        <v>10.42</v>
      </c>
      <c r="G3852" t="s">
        <v>27</v>
      </c>
      <c r="H3852">
        <v>41</v>
      </c>
      <c r="I3852" t="s">
        <v>28</v>
      </c>
      <c r="J3852" s="4">
        <v>70.5</v>
      </c>
      <c r="K3852" s="4">
        <v>161</v>
      </c>
      <c r="L3852" s="4">
        <v>22.7</v>
      </c>
      <c r="M3852">
        <v>17</v>
      </c>
      <c r="N3852" t="s">
        <v>60</v>
      </c>
      <c r="O3852">
        <v>6</v>
      </c>
      <c r="P3852" s="4">
        <v>1621.7</v>
      </c>
      <c r="Q3852" t="s">
        <v>48</v>
      </c>
      <c r="R3852">
        <v>1</v>
      </c>
      <c r="S3852" t="s">
        <v>31</v>
      </c>
      <c r="T3852">
        <v>0</v>
      </c>
      <c r="U3852">
        <v>0</v>
      </c>
      <c r="V3852" t="s">
        <v>32</v>
      </c>
      <c r="W3852" t="s">
        <v>57</v>
      </c>
      <c r="X3852" s="4">
        <v>9.8000000000000007</v>
      </c>
      <c r="Y3852">
        <v>6</v>
      </c>
      <c r="Z3852" s="5">
        <v>333.12</v>
      </c>
    </row>
    <row r="3853" spans="1:26">
      <c r="A3853">
        <v>3852</v>
      </c>
      <c r="B3853">
        <v>1263</v>
      </c>
      <c r="C3853" s="2">
        <v>46115</v>
      </c>
      <c r="D3853" t="s">
        <v>26</v>
      </c>
      <c r="E3853">
        <v>4</v>
      </c>
      <c r="F3853" s="3">
        <v>10.5</v>
      </c>
      <c r="G3853" t="s">
        <v>27</v>
      </c>
      <c r="H3853">
        <v>49</v>
      </c>
      <c r="I3853" t="s">
        <v>28</v>
      </c>
      <c r="J3853" s="4">
        <v>65</v>
      </c>
      <c r="K3853" s="4">
        <v>173.6</v>
      </c>
      <c r="L3853" s="4">
        <v>28.7</v>
      </c>
      <c r="M3853">
        <v>18</v>
      </c>
      <c r="N3853" t="s">
        <v>60</v>
      </c>
      <c r="O3853">
        <v>6</v>
      </c>
      <c r="P3853" s="4">
        <v>1621.7</v>
      </c>
      <c r="Q3853" t="s">
        <v>48</v>
      </c>
      <c r="R3853">
        <v>1</v>
      </c>
      <c r="S3853" t="s">
        <v>31</v>
      </c>
      <c r="T3853">
        <v>0</v>
      </c>
      <c r="U3853">
        <v>0</v>
      </c>
      <c r="V3853" t="s">
        <v>32</v>
      </c>
      <c r="W3853" t="s">
        <v>57</v>
      </c>
      <c r="X3853" s="4">
        <v>9.9</v>
      </c>
      <c r="Y3853">
        <v>8</v>
      </c>
      <c r="Z3853" s="5">
        <v>257.81</v>
      </c>
    </row>
    <row r="3854" spans="1:26">
      <c r="A3854">
        <v>3853</v>
      </c>
      <c r="B3854">
        <v>1263</v>
      </c>
      <c r="C3854" s="2">
        <v>46115</v>
      </c>
      <c r="D3854" t="s">
        <v>26</v>
      </c>
      <c r="E3854">
        <v>4</v>
      </c>
      <c r="F3854" s="3">
        <v>10.4</v>
      </c>
      <c r="G3854" t="s">
        <v>27</v>
      </c>
      <c r="H3854">
        <v>66</v>
      </c>
      <c r="I3854" t="s">
        <v>28</v>
      </c>
      <c r="J3854" s="4">
        <v>66.900000000000006</v>
      </c>
      <c r="K3854" s="4">
        <v>132.5</v>
      </c>
      <c r="L3854" s="4">
        <v>20.7</v>
      </c>
      <c r="M3854">
        <v>20</v>
      </c>
      <c r="N3854" t="s">
        <v>60</v>
      </c>
      <c r="O3854">
        <v>6</v>
      </c>
      <c r="P3854" s="4">
        <v>1621.7</v>
      </c>
      <c r="Q3854" t="s">
        <v>48</v>
      </c>
      <c r="R3854">
        <v>1</v>
      </c>
      <c r="S3854" t="s">
        <v>31</v>
      </c>
      <c r="T3854">
        <v>0</v>
      </c>
      <c r="U3854">
        <v>0</v>
      </c>
      <c r="V3854" t="s">
        <v>32</v>
      </c>
      <c r="W3854" t="s">
        <v>57</v>
      </c>
      <c r="X3854" s="4">
        <v>8.3000000000000007</v>
      </c>
      <c r="Y3854">
        <v>5</v>
      </c>
      <c r="Z3854" s="5">
        <v>255.15</v>
      </c>
    </row>
    <row r="3855" spans="1:26">
      <c r="A3855">
        <v>3854</v>
      </c>
      <c r="B3855">
        <v>1263</v>
      </c>
      <c r="C3855" s="2">
        <v>46115</v>
      </c>
      <c r="D3855" t="s">
        <v>26</v>
      </c>
      <c r="E3855">
        <v>4</v>
      </c>
      <c r="F3855" s="3">
        <v>10.38</v>
      </c>
      <c r="G3855" t="s">
        <v>27</v>
      </c>
      <c r="H3855">
        <v>32</v>
      </c>
      <c r="I3855" t="s">
        <v>28</v>
      </c>
      <c r="J3855" s="4">
        <v>68.3</v>
      </c>
      <c r="K3855" s="4">
        <v>160.9</v>
      </c>
      <c r="L3855" s="4">
        <v>24.1</v>
      </c>
      <c r="M3855">
        <v>15</v>
      </c>
      <c r="N3855" t="s">
        <v>60</v>
      </c>
      <c r="O3855">
        <v>6</v>
      </c>
      <c r="P3855" s="4">
        <v>1621.7</v>
      </c>
      <c r="Q3855" t="s">
        <v>48</v>
      </c>
      <c r="R3855">
        <v>1</v>
      </c>
      <c r="S3855" t="s">
        <v>31</v>
      </c>
      <c r="T3855">
        <v>0</v>
      </c>
      <c r="U3855">
        <v>0</v>
      </c>
      <c r="V3855" t="s">
        <v>32</v>
      </c>
      <c r="W3855" t="s">
        <v>57</v>
      </c>
      <c r="X3855" s="4">
        <v>8.1999999999999993</v>
      </c>
      <c r="Y3855">
        <v>9</v>
      </c>
      <c r="Z3855" s="5">
        <v>324.24</v>
      </c>
    </row>
    <row r="3856" spans="1:26">
      <c r="A3856">
        <v>3855</v>
      </c>
      <c r="B3856">
        <v>1263</v>
      </c>
      <c r="C3856" s="2">
        <v>46115</v>
      </c>
      <c r="D3856" t="s">
        <v>26</v>
      </c>
      <c r="E3856">
        <v>4</v>
      </c>
      <c r="F3856" s="3">
        <v>10.41</v>
      </c>
      <c r="G3856" t="s">
        <v>27</v>
      </c>
      <c r="H3856">
        <v>6</v>
      </c>
      <c r="I3856" t="s">
        <v>34</v>
      </c>
      <c r="J3856" s="4">
        <v>57</v>
      </c>
      <c r="K3856" s="4">
        <v>76.900000000000006</v>
      </c>
      <c r="L3856" s="4">
        <v>17</v>
      </c>
      <c r="M3856">
        <v>16</v>
      </c>
      <c r="N3856" t="s">
        <v>60</v>
      </c>
      <c r="O3856">
        <v>6</v>
      </c>
      <c r="P3856" s="4">
        <v>1621.7</v>
      </c>
      <c r="Q3856" t="s">
        <v>48</v>
      </c>
      <c r="R3856">
        <v>1</v>
      </c>
      <c r="S3856" t="s">
        <v>31</v>
      </c>
      <c r="T3856">
        <v>0</v>
      </c>
      <c r="U3856">
        <v>0</v>
      </c>
      <c r="V3856" t="s">
        <v>32</v>
      </c>
      <c r="W3856" t="s">
        <v>57</v>
      </c>
      <c r="X3856" s="4">
        <v>7.2</v>
      </c>
      <c r="Y3856">
        <v>1</v>
      </c>
      <c r="Z3856" s="5">
        <v>325.41000000000003</v>
      </c>
    </row>
    <row r="3857" spans="1:26">
      <c r="A3857">
        <v>3856</v>
      </c>
      <c r="B3857">
        <v>1263</v>
      </c>
      <c r="C3857" s="2">
        <v>46115</v>
      </c>
      <c r="D3857" t="s">
        <v>26</v>
      </c>
      <c r="E3857">
        <v>4</v>
      </c>
      <c r="F3857" s="3">
        <v>10.5</v>
      </c>
      <c r="G3857" t="s">
        <v>27</v>
      </c>
      <c r="H3857">
        <v>51</v>
      </c>
      <c r="I3857" t="s">
        <v>34</v>
      </c>
      <c r="J3857" s="4">
        <v>67.7</v>
      </c>
      <c r="K3857" s="4">
        <v>152.80000000000001</v>
      </c>
      <c r="L3857" s="4">
        <v>23.2</v>
      </c>
      <c r="M3857">
        <v>18</v>
      </c>
      <c r="N3857" t="s">
        <v>60</v>
      </c>
      <c r="O3857">
        <v>6</v>
      </c>
      <c r="P3857" s="4">
        <v>1621.7</v>
      </c>
      <c r="Q3857" t="s">
        <v>48</v>
      </c>
      <c r="R3857">
        <v>1</v>
      </c>
      <c r="S3857" t="s">
        <v>31</v>
      </c>
      <c r="T3857">
        <v>0</v>
      </c>
      <c r="U3857">
        <v>0</v>
      </c>
      <c r="V3857" t="s">
        <v>32</v>
      </c>
      <c r="W3857" t="s">
        <v>57</v>
      </c>
      <c r="X3857" s="4">
        <v>7</v>
      </c>
      <c r="Y3857">
        <v>4</v>
      </c>
      <c r="Z3857" s="5">
        <v>182.86</v>
      </c>
    </row>
    <row r="3858" spans="1:26">
      <c r="A3858">
        <v>3857</v>
      </c>
      <c r="B3858">
        <v>1264</v>
      </c>
      <c r="C3858" s="2">
        <v>46272</v>
      </c>
      <c r="D3858" t="s">
        <v>46</v>
      </c>
      <c r="E3858">
        <v>9</v>
      </c>
      <c r="F3858" s="3">
        <v>11.19</v>
      </c>
      <c r="G3858" t="s">
        <v>36</v>
      </c>
      <c r="H3858">
        <v>18</v>
      </c>
      <c r="I3858" t="s">
        <v>34</v>
      </c>
      <c r="J3858" s="4">
        <v>64</v>
      </c>
      <c r="K3858" s="4">
        <v>128.6</v>
      </c>
      <c r="L3858" s="4">
        <v>21.8</v>
      </c>
      <c r="M3858">
        <v>11</v>
      </c>
      <c r="N3858" t="s">
        <v>61</v>
      </c>
      <c r="O3858">
        <v>5</v>
      </c>
      <c r="P3858" s="4">
        <v>1093.2</v>
      </c>
      <c r="Q3858" t="s">
        <v>48</v>
      </c>
      <c r="R3858">
        <v>1</v>
      </c>
      <c r="S3858" t="s">
        <v>44</v>
      </c>
      <c r="T3858">
        <v>1</v>
      </c>
      <c r="U3858">
        <v>1</v>
      </c>
      <c r="V3858" t="s">
        <v>64</v>
      </c>
      <c r="W3858" t="s">
        <v>33</v>
      </c>
      <c r="X3858" s="4">
        <v>8.1999999999999993</v>
      </c>
      <c r="Y3858">
        <v>9</v>
      </c>
      <c r="Z3858" s="5">
        <v>402.13</v>
      </c>
    </row>
    <row r="3859" spans="1:26">
      <c r="A3859">
        <v>3858</v>
      </c>
      <c r="B3859">
        <v>1264</v>
      </c>
      <c r="C3859" s="2">
        <v>46272</v>
      </c>
      <c r="D3859" t="s">
        <v>46</v>
      </c>
      <c r="E3859">
        <v>9</v>
      </c>
      <c r="F3859" s="3">
        <v>11.33</v>
      </c>
      <c r="G3859" t="s">
        <v>36</v>
      </c>
      <c r="H3859">
        <v>18</v>
      </c>
      <c r="I3859" t="s">
        <v>34</v>
      </c>
      <c r="J3859" s="4">
        <v>65.099999999999994</v>
      </c>
      <c r="K3859" s="4">
        <v>203.9</v>
      </c>
      <c r="L3859" s="4">
        <v>34.1</v>
      </c>
      <c r="M3859">
        <v>15</v>
      </c>
      <c r="N3859" t="s">
        <v>61</v>
      </c>
      <c r="O3859">
        <v>5</v>
      </c>
      <c r="P3859" s="4">
        <v>1093.2</v>
      </c>
      <c r="Q3859" t="s">
        <v>48</v>
      </c>
      <c r="R3859">
        <v>1</v>
      </c>
      <c r="S3859" t="s">
        <v>44</v>
      </c>
      <c r="T3859">
        <v>1</v>
      </c>
      <c r="U3859">
        <v>1</v>
      </c>
      <c r="V3859" t="s">
        <v>64</v>
      </c>
      <c r="W3859" t="s">
        <v>33</v>
      </c>
      <c r="X3859" s="4">
        <v>7.6</v>
      </c>
      <c r="Y3859">
        <v>9</v>
      </c>
      <c r="Z3859" s="5">
        <v>270.62</v>
      </c>
    </row>
    <row r="3860" spans="1:26">
      <c r="A3860">
        <v>3859</v>
      </c>
      <c r="B3860">
        <v>1264</v>
      </c>
      <c r="C3860" s="2">
        <v>46272</v>
      </c>
      <c r="D3860" t="s">
        <v>46</v>
      </c>
      <c r="E3860">
        <v>9</v>
      </c>
      <c r="F3860" s="3">
        <v>11.2</v>
      </c>
      <c r="G3860" t="s">
        <v>36</v>
      </c>
      <c r="H3860">
        <v>51</v>
      </c>
      <c r="I3860" t="s">
        <v>34</v>
      </c>
      <c r="J3860" s="4">
        <v>62</v>
      </c>
      <c r="K3860" s="4">
        <v>99.9</v>
      </c>
      <c r="L3860" s="4">
        <v>18.399999999999999</v>
      </c>
      <c r="M3860">
        <v>19</v>
      </c>
      <c r="N3860" t="s">
        <v>61</v>
      </c>
      <c r="O3860">
        <v>5</v>
      </c>
      <c r="P3860" s="4">
        <v>1093.2</v>
      </c>
      <c r="Q3860" t="s">
        <v>48</v>
      </c>
      <c r="R3860">
        <v>1</v>
      </c>
      <c r="S3860" t="s">
        <v>44</v>
      </c>
      <c r="T3860">
        <v>1</v>
      </c>
      <c r="U3860">
        <v>1</v>
      </c>
      <c r="V3860" t="s">
        <v>64</v>
      </c>
      <c r="W3860" t="s">
        <v>33</v>
      </c>
      <c r="X3860" s="4">
        <v>7</v>
      </c>
      <c r="Y3860">
        <v>8</v>
      </c>
      <c r="Z3860" s="5">
        <v>234.14</v>
      </c>
    </row>
    <row r="3861" spans="1:26">
      <c r="A3861">
        <v>3860</v>
      </c>
      <c r="B3861">
        <v>1264</v>
      </c>
      <c r="C3861" s="2">
        <v>46272</v>
      </c>
      <c r="D3861" t="s">
        <v>46</v>
      </c>
      <c r="E3861">
        <v>9</v>
      </c>
      <c r="F3861" s="3">
        <v>11.26</v>
      </c>
      <c r="G3861" t="s">
        <v>36</v>
      </c>
      <c r="H3861">
        <v>17</v>
      </c>
      <c r="I3861" t="s">
        <v>28</v>
      </c>
      <c r="J3861" s="4">
        <v>70</v>
      </c>
      <c r="K3861" s="4">
        <v>135.69999999999999</v>
      </c>
      <c r="L3861" s="4">
        <v>19.399999999999999</v>
      </c>
      <c r="M3861">
        <v>16</v>
      </c>
      <c r="N3861" t="s">
        <v>61</v>
      </c>
      <c r="O3861">
        <v>5</v>
      </c>
      <c r="P3861" s="4">
        <v>1093.2</v>
      </c>
      <c r="Q3861" t="s">
        <v>48</v>
      </c>
      <c r="R3861">
        <v>1</v>
      </c>
      <c r="S3861" t="s">
        <v>44</v>
      </c>
      <c r="T3861">
        <v>1</v>
      </c>
      <c r="U3861">
        <v>1</v>
      </c>
      <c r="V3861" t="s">
        <v>64</v>
      </c>
      <c r="W3861" t="s">
        <v>33</v>
      </c>
      <c r="X3861" s="4">
        <v>10.199999999999999</v>
      </c>
      <c r="Y3861">
        <v>9</v>
      </c>
      <c r="Z3861" s="5">
        <v>270.89</v>
      </c>
    </row>
    <row r="3862" spans="1:26">
      <c r="A3862">
        <v>3861</v>
      </c>
      <c r="B3862">
        <v>1264</v>
      </c>
      <c r="C3862" s="2">
        <v>46272</v>
      </c>
      <c r="D3862" t="s">
        <v>46</v>
      </c>
      <c r="E3862">
        <v>9</v>
      </c>
      <c r="F3862" s="3">
        <v>11.1</v>
      </c>
      <c r="G3862" t="s">
        <v>36</v>
      </c>
      <c r="H3862">
        <v>68</v>
      </c>
      <c r="I3862" t="s">
        <v>34</v>
      </c>
      <c r="J3862" s="4">
        <v>59.2</v>
      </c>
      <c r="K3862" s="4">
        <v>132.80000000000001</v>
      </c>
      <c r="L3862" s="4">
        <v>26.8</v>
      </c>
      <c r="M3862">
        <v>17</v>
      </c>
      <c r="N3862" t="s">
        <v>61</v>
      </c>
      <c r="O3862">
        <v>5</v>
      </c>
      <c r="P3862" s="4">
        <v>1093.2</v>
      </c>
      <c r="Q3862" t="s">
        <v>48</v>
      </c>
      <c r="R3862">
        <v>1</v>
      </c>
      <c r="S3862" t="s">
        <v>44</v>
      </c>
      <c r="T3862">
        <v>1</v>
      </c>
      <c r="U3862">
        <v>1</v>
      </c>
      <c r="V3862" t="s">
        <v>64</v>
      </c>
      <c r="W3862" t="s">
        <v>33</v>
      </c>
      <c r="X3862" s="4">
        <v>8.1999999999999993</v>
      </c>
      <c r="Y3862">
        <v>9</v>
      </c>
      <c r="Z3862" s="5">
        <v>235.22</v>
      </c>
    </row>
    <row r="3863" spans="1:26">
      <c r="A3863">
        <v>3862</v>
      </c>
      <c r="B3863">
        <v>1265</v>
      </c>
      <c r="C3863" s="2">
        <v>46330</v>
      </c>
      <c r="D3863" t="s">
        <v>52</v>
      </c>
      <c r="E3863">
        <v>11</v>
      </c>
      <c r="F3863" s="3">
        <v>10.29</v>
      </c>
      <c r="G3863" t="s">
        <v>27</v>
      </c>
      <c r="H3863">
        <v>60</v>
      </c>
      <c r="I3863" t="s">
        <v>28</v>
      </c>
      <c r="J3863" s="4">
        <v>72.3</v>
      </c>
      <c r="K3863" s="4">
        <v>243</v>
      </c>
      <c r="L3863" s="4">
        <v>32.6</v>
      </c>
      <c r="M3863">
        <v>19</v>
      </c>
      <c r="N3863" t="s">
        <v>56</v>
      </c>
      <c r="O3863">
        <v>4</v>
      </c>
      <c r="P3863" s="4">
        <v>442.7</v>
      </c>
      <c r="Q3863" t="s">
        <v>42</v>
      </c>
      <c r="R3863">
        <v>0</v>
      </c>
      <c r="S3863" t="s">
        <v>38</v>
      </c>
      <c r="T3863">
        <v>1</v>
      </c>
      <c r="U3863">
        <v>0</v>
      </c>
      <c r="V3863" t="s">
        <v>32</v>
      </c>
      <c r="W3863" t="s">
        <v>49</v>
      </c>
      <c r="X3863" s="4">
        <v>7.5</v>
      </c>
      <c r="Y3863">
        <v>9</v>
      </c>
      <c r="Z3863" s="5">
        <v>177.71</v>
      </c>
    </row>
    <row r="3864" spans="1:26">
      <c r="A3864">
        <v>3863</v>
      </c>
      <c r="B3864">
        <v>1265</v>
      </c>
      <c r="C3864" s="2">
        <v>46330</v>
      </c>
      <c r="D3864" t="s">
        <v>52</v>
      </c>
      <c r="E3864">
        <v>11</v>
      </c>
      <c r="F3864" s="3">
        <v>9.99</v>
      </c>
      <c r="G3864" t="s">
        <v>27</v>
      </c>
      <c r="H3864">
        <v>32</v>
      </c>
      <c r="I3864" t="s">
        <v>34</v>
      </c>
      <c r="J3864" s="4">
        <v>66.2</v>
      </c>
      <c r="K3864" s="4">
        <v>175.3</v>
      </c>
      <c r="L3864" s="4">
        <v>28.1</v>
      </c>
      <c r="M3864">
        <v>14</v>
      </c>
      <c r="N3864" t="s">
        <v>56</v>
      </c>
      <c r="O3864">
        <v>4</v>
      </c>
      <c r="P3864" s="4">
        <v>442.7</v>
      </c>
      <c r="Q3864" t="s">
        <v>42</v>
      </c>
      <c r="R3864">
        <v>0</v>
      </c>
      <c r="S3864" t="s">
        <v>38</v>
      </c>
      <c r="T3864">
        <v>1</v>
      </c>
      <c r="U3864">
        <v>0</v>
      </c>
      <c r="V3864" t="s">
        <v>32</v>
      </c>
      <c r="W3864" t="s">
        <v>49</v>
      </c>
      <c r="X3864" s="4">
        <v>7.6</v>
      </c>
      <c r="Y3864">
        <v>3</v>
      </c>
      <c r="Z3864" s="5">
        <v>207.55</v>
      </c>
    </row>
    <row r="3865" spans="1:26">
      <c r="A3865">
        <v>3864</v>
      </c>
      <c r="B3865">
        <v>1265</v>
      </c>
      <c r="C3865" s="2">
        <v>46330</v>
      </c>
      <c r="D3865" t="s">
        <v>52</v>
      </c>
      <c r="E3865">
        <v>11</v>
      </c>
      <c r="F3865" s="3">
        <v>10.029999999999999</v>
      </c>
      <c r="G3865" t="s">
        <v>27</v>
      </c>
      <c r="H3865">
        <v>58</v>
      </c>
      <c r="I3865" t="s">
        <v>34</v>
      </c>
      <c r="J3865" s="4">
        <v>61.3</v>
      </c>
      <c r="K3865" s="4">
        <v>150</v>
      </c>
      <c r="L3865" s="4">
        <v>28</v>
      </c>
      <c r="M3865">
        <v>17</v>
      </c>
      <c r="N3865" t="s">
        <v>56</v>
      </c>
      <c r="O3865">
        <v>4</v>
      </c>
      <c r="P3865" s="4">
        <v>442.7</v>
      </c>
      <c r="Q3865" t="s">
        <v>42</v>
      </c>
      <c r="R3865">
        <v>0</v>
      </c>
      <c r="S3865" t="s">
        <v>38</v>
      </c>
      <c r="T3865">
        <v>1</v>
      </c>
      <c r="U3865">
        <v>0</v>
      </c>
      <c r="V3865" t="s">
        <v>32</v>
      </c>
      <c r="W3865" t="s">
        <v>49</v>
      </c>
      <c r="X3865" s="4">
        <v>8.5</v>
      </c>
      <c r="Y3865">
        <v>14</v>
      </c>
      <c r="Z3865" s="5">
        <v>164.68</v>
      </c>
    </row>
    <row r="3866" spans="1:26">
      <c r="A3866">
        <v>3865</v>
      </c>
      <c r="B3866">
        <v>1265</v>
      </c>
      <c r="C3866" s="2">
        <v>46330</v>
      </c>
      <c r="D3866" t="s">
        <v>52</v>
      </c>
      <c r="E3866">
        <v>11</v>
      </c>
      <c r="F3866" s="3">
        <v>10.15</v>
      </c>
      <c r="G3866" t="s">
        <v>27</v>
      </c>
      <c r="H3866">
        <v>50</v>
      </c>
      <c r="I3866" t="s">
        <v>34</v>
      </c>
      <c r="J3866" s="4">
        <v>64.099999999999994</v>
      </c>
      <c r="K3866" s="4">
        <v>134.80000000000001</v>
      </c>
      <c r="L3866" s="4">
        <v>22.9</v>
      </c>
      <c r="M3866">
        <v>15</v>
      </c>
      <c r="N3866" t="s">
        <v>56</v>
      </c>
      <c r="O3866">
        <v>4</v>
      </c>
      <c r="P3866" s="4">
        <v>442.7</v>
      </c>
      <c r="Q3866" t="s">
        <v>42</v>
      </c>
      <c r="R3866">
        <v>0</v>
      </c>
      <c r="S3866" t="s">
        <v>38</v>
      </c>
      <c r="T3866">
        <v>1</v>
      </c>
      <c r="U3866">
        <v>0</v>
      </c>
      <c r="V3866" t="s">
        <v>32</v>
      </c>
      <c r="W3866" t="s">
        <v>49</v>
      </c>
      <c r="X3866" s="4">
        <v>5.8</v>
      </c>
      <c r="Y3866">
        <v>6</v>
      </c>
      <c r="Z3866" s="5">
        <v>186.33</v>
      </c>
    </row>
    <row r="3867" spans="1:26">
      <c r="A3867">
        <v>3866</v>
      </c>
      <c r="B3867">
        <v>1266</v>
      </c>
      <c r="C3867" s="2">
        <v>46372</v>
      </c>
      <c r="D3867" t="s">
        <v>52</v>
      </c>
      <c r="E3867">
        <v>12</v>
      </c>
      <c r="F3867" s="3">
        <v>10.66</v>
      </c>
      <c r="G3867" t="s">
        <v>27</v>
      </c>
      <c r="H3867">
        <v>56</v>
      </c>
      <c r="I3867" t="s">
        <v>28</v>
      </c>
      <c r="J3867" s="4">
        <v>67.900000000000006</v>
      </c>
      <c r="K3867" s="4">
        <v>184.7</v>
      </c>
      <c r="L3867" s="4">
        <v>27.7</v>
      </c>
      <c r="M3867">
        <v>12</v>
      </c>
      <c r="N3867" t="s">
        <v>47</v>
      </c>
      <c r="O3867">
        <v>1</v>
      </c>
      <c r="P3867" s="4">
        <v>82.7</v>
      </c>
      <c r="Q3867" t="s">
        <v>42</v>
      </c>
      <c r="R3867">
        <v>0</v>
      </c>
      <c r="S3867" t="s">
        <v>31</v>
      </c>
      <c r="T3867">
        <v>0</v>
      </c>
      <c r="U3867">
        <v>0</v>
      </c>
      <c r="V3867" t="s">
        <v>45</v>
      </c>
      <c r="W3867" t="s">
        <v>49</v>
      </c>
      <c r="X3867" s="4">
        <v>7.9</v>
      </c>
      <c r="Y3867">
        <v>13</v>
      </c>
      <c r="Z3867" s="5">
        <v>202.55</v>
      </c>
    </row>
    <row r="3868" spans="1:26">
      <c r="A3868">
        <v>3867</v>
      </c>
      <c r="B3868">
        <v>1267</v>
      </c>
      <c r="C3868" s="2">
        <v>46115</v>
      </c>
      <c r="D3868" t="s">
        <v>26</v>
      </c>
      <c r="E3868">
        <v>4</v>
      </c>
      <c r="F3868" s="3">
        <v>12.14</v>
      </c>
      <c r="G3868" t="s">
        <v>36</v>
      </c>
      <c r="H3868">
        <v>30</v>
      </c>
      <c r="I3868" t="s">
        <v>34</v>
      </c>
      <c r="J3868" s="4">
        <v>60.1</v>
      </c>
      <c r="K3868" s="4">
        <v>163.80000000000001</v>
      </c>
      <c r="L3868" s="4">
        <v>32.1</v>
      </c>
      <c r="M3868">
        <v>20</v>
      </c>
      <c r="N3868" t="s">
        <v>54</v>
      </c>
      <c r="O3868">
        <v>4</v>
      </c>
      <c r="P3868" s="4">
        <v>2711</v>
      </c>
      <c r="Q3868" t="s">
        <v>48</v>
      </c>
      <c r="R3868">
        <v>0</v>
      </c>
      <c r="S3868" t="s">
        <v>44</v>
      </c>
      <c r="T3868">
        <v>1</v>
      </c>
      <c r="U3868">
        <v>0</v>
      </c>
      <c r="V3868" t="s">
        <v>45</v>
      </c>
      <c r="W3868" t="s">
        <v>49</v>
      </c>
      <c r="X3868" s="4">
        <v>10.1</v>
      </c>
      <c r="Y3868">
        <v>8</v>
      </c>
      <c r="Z3868" s="5">
        <v>367.12</v>
      </c>
    </row>
    <row r="3869" spans="1:26">
      <c r="A3869">
        <v>3868</v>
      </c>
      <c r="B3869">
        <v>1267</v>
      </c>
      <c r="C3869" s="2">
        <v>46115</v>
      </c>
      <c r="D3869" t="s">
        <v>26</v>
      </c>
      <c r="E3869">
        <v>4</v>
      </c>
      <c r="F3869" s="3">
        <v>12.32</v>
      </c>
      <c r="G3869" t="s">
        <v>36</v>
      </c>
      <c r="H3869">
        <v>5</v>
      </c>
      <c r="I3869" t="s">
        <v>34</v>
      </c>
      <c r="J3869" s="4">
        <v>50</v>
      </c>
      <c r="K3869" s="4">
        <v>88.4</v>
      </c>
      <c r="L3869" s="4">
        <v>25.1</v>
      </c>
      <c r="M3869">
        <v>13</v>
      </c>
      <c r="N3869" t="s">
        <v>54</v>
      </c>
      <c r="O3869">
        <v>4</v>
      </c>
      <c r="P3869" s="4">
        <v>2711</v>
      </c>
      <c r="Q3869" t="s">
        <v>48</v>
      </c>
      <c r="R3869">
        <v>0</v>
      </c>
      <c r="S3869" t="s">
        <v>44</v>
      </c>
      <c r="T3869">
        <v>1</v>
      </c>
      <c r="U3869">
        <v>0</v>
      </c>
      <c r="V3869" t="s">
        <v>45</v>
      </c>
      <c r="W3869" t="s">
        <v>49</v>
      </c>
      <c r="X3869" s="4">
        <v>8.8000000000000007</v>
      </c>
      <c r="Y3869">
        <v>7</v>
      </c>
      <c r="Z3869" s="5">
        <v>285.45</v>
      </c>
    </row>
    <row r="3870" spans="1:26">
      <c r="A3870">
        <v>3869</v>
      </c>
      <c r="B3870">
        <v>1267</v>
      </c>
      <c r="C3870" s="2">
        <v>46115</v>
      </c>
      <c r="D3870" t="s">
        <v>26</v>
      </c>
      <c r="E3870">
        <v>4</v>
      </c>
      <c r="F3870" s="3">
        <v>12.04</v>
      </c>
      <c r="G3870" t="s">
        <v>36</v>
      </c>
      <c r="H3870">
        <v>59</v>
      </c>
      <c r="I3870" t="s">
        <v>28</v>
      </c>
      <c r="J3870" s="4">
        <v>70.599999999999994</v>
      </c>
      <c r="K3870" s="4">
        <v>182.8</v>
      </c>
      <c r="L3870" s="4">
        <v>25.9</v>
      </c>
      <c r="M3870">
        <v>19</v>
      </c>
      <c r="N3870" t="s">
        <v>54</v>
      </c>
      <c r="O3870">
        <v>4</v>
      </c>
      <c r="P3870" s="4">
        <v>2711</v>
      </c>
      <c r="Q3870" t="s">
        <v>48</v>
      </c>
      <c r="R3870">
        <v>0</v>
      </c>
      <c r="S3870" t="s">
        <v>44</v>
      </c>
      <c r="T3870">
        <v>1</v>
      </c>
      <c r="U3870">
        <v>0</v>
      </c>
      <c r="V3870" t="s">
        <v>45</v>
      </c>
      <c r="W3870" t="s">
        <v>49</v>
      </c>
      <c r="X3870" s="4">
        <v>8.3000000000000007</v>
      </c>
      <c r="Y3870">
        <v>10</v>
      </c>
      <c r="Z3870" s="5">
        <v>206.18</v>
      </c>
    </row>
    <row r="3871" spans="1:26">
      <c r="A3871">
        <v>3870</v>
      </c>
      <c r="B3871">
        <v>1267</v>
      </c>
      <c r="C3871" s="2">
        <v>46115</v>
      </c>
      <c r="D3871" t="s">
        <v>26</v>
      </c>
      <c r="E3871">
        <v>4</v>
      </c>
      <c r="F3871" s="3">
        <v>12.49</v>
      </c>
      <c r="G3871" t="s">
        <v>36</v>
      </c>
      <c r="H3871">
        <v>32</v>
      </c>
      <c r="I3871" t="s">
        <v>28</v>
      </c>
      <c r="J3871" s="4">
        <v>74.400000000000006</v>
      </c>
      <c r="K3871" s="4">
        <v>191.9</v>
      </c>
      <c r="L3871" s="4">
        <v>24.2</v>
      </c>
      <c r="M3871">
        <v>18</v>
      </c>
      <c r="N3871" t="s">
        <v>54</v>
      </c>
      <c r="O3871">
        <v>4</v>
      </c>
      <c r="P3871" s="4">
        <v>2711</v>
      </c>
      <c r="Q3871" t="s">
        <v>48</v>
      </c>
      <c r="R3871">
        <v>0</v>
      </c>
      <c r="S3871" t="s">
        <v>44</v>
      </c>
      <c r="T3871">
        <v>1</v>
      </c>
      <c r="U3871">
        <v>0</v>
      </c>
      <c r="V3871" t="s">
        <v>45</v>
      </c>
      <c r="W3871" t="s">
        <v>49</v>
      </c>
      <c r="X3871" s="4">
        <v>7.3</v>
      </c>
      <c r="Y3871">
        <v>10</v>
      </c>
      <c r="Z3871" s="5">
        <v>196.4</v>
      </c>
    </row>
    <row r="3872" spans="1:26">
      <c r="A3872">
        <v>3871</v>
      </c>
      <c r="B3872">
        <v>1268</v>
      </c>
      <c r="C3872" s="2">
        <v>46355</v>
      </c>
      <c r="D3872" t="s">
        <v>58</v>
      </c>
      <c r="E3872">
        <v>11</v>
      </c>
      <c r="F3872" s="3">
        <v>13.19</v>
      </c>
      <c r="G3872" t="s">
        <v>36</v>
      </c>
      <c r="H3872">
        <v>55</v>
      </c>
      <c r="I3872" t="s">
        <v>28</v>
      </c>
      <c r="J3872" s="4">
        <v>67.900000000000006</v>
      </c>
      <c r="K3872" s="4">
        <v>159.9</v>
      </c>
      <c r="L3872" s="4">
        <v>24.5</v>
      </c>
      <c r="M3872">
        <v>16</v>
      </c>
      <c r="N3872" t="s">
        <v>47</v>
      </c>
      <c r="O3872">
        <v>4</v>
      </c>
      <c r="P3872" s="4">
        <v>84.7</v>
      </c>
      <c r="Q3872" t="s">
        <v>48</v>
      </c>
      <c r="R3872">
        <v>1</v>
      </c>
      <c r="S3872" t="s">
        <v>38</v>
      </c>
      <c r="T3872">
        <v>0</v>
      </c>
      <c r="U3872">
        <v>0</v>
      </c>
      <c r="V3872" t="s">
        <v>32</v>
      </c>
      <c r="W3872" t="s">
        <v>39</v>
      </c>
      <c r="X3872" s="4">
        <v>8.6999999999999993</v>
      </c>
      <c r="Y3872">
        <v>7</v>
      </c>
      <c r="Z3872" s="5">
        <v>299.13</v>
      </c>
    </row>
    <row r="3873" spans="1:26">
      <c r="A3873">
        <v>3872</v>
      </c>
      <c r="B3873">
        <v>1268</v>
      </c>
      <c r="C3873" s="2">
        <v>46355</v>
      </c>
      <c r="D3873" t="s">
        <v>58</v>
      </c>
      <c r="E3873">
        <v>11</v>
      </c>
      <c r="F3873" s="3">
        <v>13.28</v>
      </c>
      <c r="G3873" t="s">
        <v>36</v>
      </c>
      <c r="H3873">
        <v>43</v>
      </c>
      <c r="I3873" t="s">
        <v>34</v>
      </c>
      <c r="J3873" s="4">
        <v>66.5</v>
      </c>
      <c r="K3873" s="4">
        <v>181.7</v>
      </c>
      <c r="L3873" s="4">
        <v>28.9</v>
      </c>
      <c r="M3873">
        <v>16</v>
      </c>
      <c r="N3873" t="s">
        <v>47</v>
      </c>
      <c r="O3873">
        <v>4</v>
      </c>
      <c r="P3873" s="4">
        <v>84.7</v>
      </c>
      <c r="Q3873" t="s">
        <v>48</v>
      </c>
      <c r="R3873">
        <v>1</v>
      </c>
      <c r="S3873" t="s">
        <v>38</v>
      </c>
      <c r="T3873">
        <v>0</v>
      </c>
      <c r="U3873">
        <v>0</v>
      </c>
      <c r="V3873" t="s">
        <v>32</v>
      </c>
      <c r="W3873" t="s">
        <v>39</v>
      </c>
      <c r="X3873" s="4">
        <v>6.2</v>
      </c>
      <c r="Y3873">
        <v>7</v>
      </c>
      <c r="Z3873" s="5">
        <v>192.47</v>
      </c>
    </row>
    <row r="3874" spans="1:26">
      <c r="A3874">
        <v>3873</v>
      </c>
      <c r="B3874">
        <v>1268</v>
      </c>
      <c r="C3874" s="2">
        <v>46355</v>
      </c>
      <c r="D3874" t="s">
        <v>58</v>
      </c>
      <c r="E3874">
        <v>11</v>
      </c>
      <c r="F3874" s="3">
        <v>13.11</v>
      </c>
      <c r="G3874" t="s">
        <v>36</v>
      </c>
      <c r="H3874">
        <v>59</v>
      </c>
      <c r="I3874" t="s">
        <v>34</v>
      </c>
      <c r="J3874" s="4">
        <v>57.8</v>
      </c>
      <c r="K3874" s="4">
        <v>139</v>
      </c>
      <c r="L3874" s="4">
        <v>29.2</v>
      </c>
      <c r="M3874">
        <v>17</v>
      </c>
      <c r="N3874" t="s">
        <v>47</v>
      </c>
      <c r="O3874">
        <v>4</v>
      </c>
      <c r="P3874" s="4">
        <v>84.7</v>
      </c>
      <c r="Q3874" t="s">
        <v>48</v>
      </c>
      <c r="R3874">
        <v>1</v>
      </c>
      <c r="S3874" t="s">
        <v>38</v>
      </c>
      <c r="T3874">
        <v>0</v>
      </c>
      <c r="U3874">
        <v>0</v>
      </c>
      <c r="V3874" t="s">
        <v>32</v>
      </c>
      <c r="W3874" t="s">
        <v>39</v>
      </c>
      <c r="X3874" s="4">
        <v>11.6</v>
      </c>
      <c r="Y3874">
        <v>12</v>
      </c>
      <c r="Z3874" s="5">
        <v>343.02</v>
      </c>
    </row>
    <row r="3875" spans="1:26">
      <c r="A3875">
        <v>3874</v>
      </c>
      <c r="B3875">
        <v>1268</v>
      </c>
      <c r="C3875" s="2">
        <v>46355</v>
      </c>
      <c r="D3875" t="s">
        <v>58</v>
      </c>
      <c r="E3875">
        <v>11</v>
      </c>
      <c r="F3875" s="3">
        <v>13.34</v>
      </c>
      <c r="G3875" t="s">
        <v>36</v>
      </c>
      <c r="H3875">
        <v>32</v>
      </c>
      <c r="I3875" t="s">
        <v>28</v>
      </c>
      <c r="J3875" s="4">
        <v>66.2</v>
      </c>
      <c r="K3875" s="4">
        <v>169</v>
      </c>
      <c r="L3875" s="4">
        <v>27.3</v>
      </c>
      <c r="M3875">
        <v>15</v>
      </c>
      <c r="N3875" t="s">
        <v>47</v>
      </c>
      <c r="O3875">
        <v>4</v>
      </c>
      <c r="P3875" s="4">
        <v>84.7</v>
      </c>
      <c r="Q3875" t="s">
        <v>48</v>
      </c>
      <c r="R3875">
        <v>1</v>
      </c>
      <c r="S3875" t="s">
        <v>38</v>
      </c>
      <c r="T3875">
        <v>0</v>
      </c>
      <c r="U3875">
        <v>0</v>
      </c>
      <c r="V3875" t="s">
        <v>32</v>
      </c>
      <c r="W3875" t="s">
        <v>39</v>
      </c>
      <c r="X3875" s="4">
        <v>7.6</v>
      </c>
      <c r="Y3875">
        <v>8</v>
      </c>
      <c r="Z3875" s="5">
        <v>265.88</v>
      </c>
    </row>
    <row r="3876" spans="1:26">
      <c r="A3876">
        <v>3875</v>
      </c>
      <c r="B3876">
        <v>1269</v>
      </c>
      <c r="C3876" s="2">
        <v>46246</v>
      </c>
      <c r="D3876" t="s">
        <v>52</v>
      </c>
      <c r="E3876">
        <v>8</v>
      </c>
      <c r="F3876" s="3">
        <v>9.48</v>
      </c>
      <c r="G3876" t="s">
        <v>27</v>
      </c>
      <c r="H3876">
        <v>64</v>
      </c>
      <c r="I3876" t="s">
        <v>28</v>
      </c>
      <c r="J3876" s="4">
        <v>73.5</v>
      </c>
      <c r="K3876" s="4">
        <v>184</v>
      </c>
      <c r="L3876" s="4">
        <v>23.9</v>
      </c>
      <c r="M3876">
        <v>14</v>
      </c>
      <c r="N3876" t="s">
        <v>56</v>
      </c>
      <c r="O3876">
        <v>5</v>
      </c>
      <c r="P3876" s="4">
        <v>302.2</v>
      </c>
      <c r="Q3876" t="s">
        <v>42</v>
      </c>
      <c r="R3876">
        <v>1</v>
      </c>
      <c r="S3876" t="s">
        <v>38</v>
      </c>
      <c r="T3876">
        <v>0</v>
      </c>
      <c r="U3876">
        <v>0</v>
      </c>
      <c r="V3876" t="s">
        <v>32</v>
      </c>
      <c r="W3876" t="s">
        <v>39</v>
      </c>
      <c r="X3876" s="4">
        <v>9.8000000000000007</v>
      </c>
      <c r="Y3876">
        <v>5</v>
      </c>
      <c r="Z3876" s="5">
        <v>414.81</v>
      </c>
    </row>
    <row r="3877" spans="1:26">
      <c r="A3877">
        <v>3876</v>
      </c>
      <c r="B3877">
        <v>1269</v>
      </c>
      <c r="C3877" s="2">
        <v>46246</v>
      </c>
      <c r="D3877" t="s">
        <v>52</v>
      </c>
      <c r="E3877">
        <v>8</v>
      </c>
      <c r="F3877" s="3">
        <v>9.56</v>
      </c>
      <c r="G3877" t="s">
        <v>27</v>
      </c>
      <c r="H3877">
        <v>36</v>
      </c>
      <c r="I3877" t="s">
        <v>28</v>
      </c>
      <c r="J3877" s="4">
        <v>68.3</v>
      </c>
      <c r="K3877" s="4">
        <v>183.1</v>
      </c>
      <c r="L3877" s="4">
        <v>27.6</v>
      </c>
      <c r="M3877">
        <v>17</v>
      </c>
      <c r="N3877" t="s">
        <v>56</v>
      </c>
      <c r="O3877">
        <v>5</v>
      </c>
      <c r="P3877" s="4">
        <v>302.2</v>
      </c>
      <c r="Q3877" t="s">
        <v>42</v>
      </c>
      <c r="R3877">
        <v>1</v>
      </c>
      <c r="S3877" t="s">
        <v>38</v>
      </c>
      <c r="T3877">
        <v>0</v>
      </c>
      <c r="U3877">
        <v>0</v>
      </c>
      <c r="V3877" t="s">
        <v>32</v>
      </c>
      <c r="W3877" t="s">
        <v>39</v>
      </c>
      <c r="X3877" s="4">
        <v>6.3</v>
      </c>
      <c r="Y3877">
        <v>7</v>
      </c>
      <c r="Z3877" s="5">
        <v>229.59</v>
      </c>
    </row>
    <row r="3878" spans="1:26">
      <c r="A3878">
        <v>3877</v>
      </c>
      <c r="B3878">
        <v>1269</v>
      </c>
      <c r="C3878" s="2">
        <v>46246</v>
      </c>
      <c r="D3878" t="s">
        <v>52</v>
      </c>
      <c r="E3878">
        <v>8</v>
      </c>
      <c r="F3878" s="3">
        <v>9.48</v>
      </c>
      <c r="G3878" t="s">
        <v>27</v>
      </c>
      <c r="H3878">
        <v>56</v>
      </c>
      <c r="I3878" t="s">
        <v>28</v>
      </c>
      <c r="J3878" s="4">
        <v>69.2</v>
      </c>
      <c r="K3878" s="4">
        <v>157.4</v>
      </c>
      <c r="L3878" s="4">
        <v>23</v>
      </c>
      <c r="M3878">
        <v>16</v>
      </c>
      <c r="N3878" t="s">
        <v>56</v>
      </c>
      <c r="O3878">
        <v>5</v>
      </c>
      <c r="P3878" s="4">
        <v>302.2</v>
      </c>
      <c r="Q3878" t="s">
        <v>42</v>
      </c>
      <c r="R3878">
        <v>1</v>
      </c>
      <c r="S3878" t="s">
        <v>38</v>
      </c>
      <c r="T3878">
        <v>0</v>
      </c>
      <c r="U3878">
        <v>0</v>
      </c>
      <c r="V3878" t="s">
        <v>32</v>
      </c>
      <c r="W3878" t="s">
        <v>39</v>
      </c>
      <c r="X3878" s="4">
        <v>8</v>
      </c>
      <c r="Y3878">
        <v>8</v>
      </c>
      <c r="Z3878" s="5">
        <v>228.35</v>
      </c>
    </row>
    <row r="3879" spans="1:26">
      <c r="A3879">
        <v>3878</v>
      </c>
      <c r="B3879">
        <v>1269</v>
      </c>
      <c r="C3879" s="2">
        <v>46246</v>
      </c>
      <c r="D3879" t="s">
        <v>52</v>
      </c>
      <c r="E3879">
        <v>8</v>
      </c>
      <c r="F3879" s="3">
        <v>9.42</v>
      </c>
      <c r="G3879" t="s">
        <v>27</v>
      </c>
      <c r="H3879">
        <v>46</v>
      </c>
      <c r="I3879" t="s">
        <v>28</v>
      </c>
      <c r="J3879" s="4">
        <v>71.3</v>
      </c>
      <c r="K3879" s="4">
        <v>245.6</v>
      </c>
      <c r="L3879" s="4">
        <v>34.1</v>
      </c>
      <c r="M3879">
        <v>15</v>
      </c>
      <c r="N3879" t="s">
        <v>56</v>
      </c>
      <c r="O3879">
        <v>5</v>
      </c>
      <c r="P3879" s="4">
        <v>302.2</v>
      </c>
      <c r="Q3879" t="s">
        <v>42</v>
      </c>
      <c r="R3879">
        <v>1</v>
      </c>
      <c r="S3879" t="s">
        <v>38</v>
      </c>
      <c r="T3879">
        <v>0</v>
      </c>
      <c r="U3879">
        <v>0</v>
      </c>
      <c r="V3879" t="s">
        <v>32</v>
      </c>
      <c r="W3879" t="s">
        <v>39</v>
      </c>
      <c r="X3879" s="4">
        <v>10.6</v>
      </c>
      <c r="Y3879">
        <v>13</v>
      </c>
      <c r="Z3879" s="5">
        <v>341.23</v>
      </c>
    </row>
    <row r="3880" spans="1:26">
      <c r="A3880">
        <v>3879</v>
      </c>
      <c r="B3880">
        <v>1269</v>
      </c>
      <c r="C3880" s="2">
        <v>46246</v>
      </c>
      <c r="D3880" t="s">
        <v>52</v>
      </c>
      <c r="E3880">
        <v>8</v>
      </c>
      <c r="F3880" s="3">
        <v>9.4700000000000006</v>
      </c>
      <c r="G3880" t="s">
        <v>27</v>
      </c>
      <c r="H3880">
        <v>27</v>
      </c>
      <c r="I3880" t="s">
        <v>34</v>
      </c>
      <c r="J3880" s="4">
        <v>65.099999999999994</v>
      </c>
      <c r="K3880" s="4">
        <v>143.5</v>
      </c>
      <c r="L3880" s="4">
        <v>23.9</v>
      </c>
      <c r="M3880">
        <v>12</v>
      </c>
      <c r="N3880" t="s">
        <v>56</v>
      </c>
      <c r="O3880">
        <v>5</v>
      </c>
      <c r="P3880" s="4">
        <v>302.2</v>
      </c>
      <c r="Q3880" t="s">
        <v>42</v>
      </c>
      <c r="R3880">
        <v>1</v>
      </c>
      <c r="S3880" t="s">
        <v>38</v>
      </c>
      <c r="T3880">
        <v>0</v>
      </c>
      <c r="U3880">
        <v>0</v>
      </c>
      <c r="V3880" t="s">
        <v>32</v>
      </c>
      <c r="W3880" t="s">
        <v>39</v>
      </c>
      <c r="X3880" s="4">
        <v>8.6</v>
      </c>
      <c r="Y3880">
        <v>14</v>
      </c>
      <c r="Z3880" s="5">
        <v>239.96</v>
      </c>
    </row>
    <row r="3881" spans="1:26">
      <c r="A3881">
        <v>3880</v>
      </c>
      <c r="B3881">
        <v>1270</v>
      </c>
      <c r="C3881" s="2">
        <v>46185</v>
      </c>
      <c r="D3881" t="s">
        <v>26</v>
      </c>
      <c r="E3881">
        <v>6</v>
      </c>
      <c r="F3881" s="3">
        <v>8.82</v>
      </c>
      <c r="G3881" t="s">
        <v>27</v>
      </c>
      <c r="H3881">
        <v>64</v>
      </c>
      <c r="I3881" t="s">
        <v>28</v>
      </c>
      <c r="J3881" s="4">
        <v>64.900000000000006</v>
      </c>
      <c r="K3881" s="4">
        <v>173.1</v>
      </c>
      <c r="L3881" s="4">
        <v>28.9</v>
      </c>
      <c r="M3881">
        <v>20</v>
      </c>
      <c r="N3881" t="s">
        <v>65</v>
      </c>
      <c r="O3881">
        <v>3</v>
      </c>
      <c r="P3881" s="4">
        <v>2057.6</v>
      </c>
      <c r="Q3881" t="s">
        <v>48</v>
      </c>
      <c r="R3881">
        <v>1</v>
      </c>
      <c r="S3881" t="s">
        <v>44</v>
      </c>
      <c r="T3881">
        <v>0</v>
      </c>
      <c r="U3881">
        <v>1</v>
      </c>
      <c r="V3881" t="s">
        <v>32</v>
      </c>
      <c r="W3881" t="s">
        <v>33</v>
      </c>
      <c r="X3881" s="4">
        <v>7.5</v>
      </c>
      <c r="Y3881">
        <v>10</v>
      </c>
      <c r="Z3881" s="5">
        <v>255.75</v>
      </c>
    </row>
    <row r="3882" spans="1:26">
      <c r="A3882">
        <v>3881</v>
      </c>
      <c r="B3882">
        <v>1270</v>
      </c>
      <c r="C3882" s="2">
        <v>46185</v>
      </c>
      <c r="D3882" t="s">
        <v>26</v>
      </c>
      <c r="E3882">
        <v>6</v>
      </c>
      <c r="F3882" s="3">
        <v>8.7100000000000009</v>
      </c>
      <c r="G3882" t="s">
        <v>27</v>
      </c>
      <c r="H3882">
        <v>64</v>
      </c>
      <c r="I3882" t="s">
        <v>28</v>
      </c>
      <c r="J3882" s="4">
        <v>68.400000000000006</v>
      </c>
      <c r="K3882" s="4">
        <v>149.9</v>
      </c>
      <c r="L3882" s="4">
        <v>22.3</v>
      </c>
      <c r="M3882">
        <v>18</v>
      </c>
      <c r="N3882" t="s">
        <v>65</v>
      </c>
      <c r="O3882">
        <v>3</v>
      </c>
      <c r="P3882" s="4">
        <v>2057.6</v>
      </c>
      <c r="Q3882" t="s">
        <v>48</v>
      </c>
      <c r="R3882">
        <v>1</v>
      </c>
      <c r="S3882" t="s">
        <v>44</v>
      </c>
      <c r="T3882">
        <v>0</v>
      </c>
      <c r="U3882">
        <v>1</v>
      </c>
      <c r="V3882" t="s">
        <v>32</v>
      </c>
      <c r="W3882" t="s">
        <v>33</v>
      </c>
      <c r="X3882" s="4">
        <v>11.1</v>
      </c>
      <c r="Y3882">
        <v>9</v>
      </c>
      <c r="Z3882" s="5">
        <v>317.16000000000003</v>
      </c>
    </row>
    <row r="3883" spans="1:26">
      <c r="A3883">
        <v>3882</v>
      </c>
      <c r="B3883">
        <v>1270</v>
      </c>
      <c r="C3883" s="2">
        <v>46185</v>
      </c>
      <c r="D3883" t="s">
        <v>26</v>
      </c>
      <c r="E3883">
        <v>6</v>
      </c>
      <c r="F3883" s="3">
        <v>8.8800000000000008</v>
      </c>
      <c r="G3883" t="s">
        <v>27</v>
      </c>
      <c r="H3883">
        <v>45</v>
      </c>
      <c r="I3883" t="s">
        <v>34</v>
      </c>
      <c r="J3883" s="4">
        <v>65.400000000000006</v>
      </c>
      <c r="K3883" s="4">
        <v>180.5</v>
      </c>
      <c r="L3883" s="4">
        <v>29.4</v>
      </c>
      <c r="M3883">
        <v>16</v>
      </c>
      <c r="N3883" t="s">
        <v>65</v>
      </c>
      <c r="O3883">
        <v>3</v>
      </c>
      <c r="P3883" s="4">
        <v>2057.6</v>
      </c>
      <c r="Q3883" t="s">
        <v>48</v>
      </c>
      <c r="R3883">
        <v>1</v>
      </c>
      <c r="S3883" t="s">
        <v>44</v>
      </c>
      <c r="T3883">
        <v>0</v>
      </c>
      <c r="U3883">
        <v>1</v>
      </c>
      <c r="V3883" t="s">
        <v>32</v>
      </c>
      <c r="W3883" t="s">
        <v>33</v>
      </c>
      <c r="X3883" s="4">
        <v>9.6</v>
      </c>
      <c r="Y3883">
        <v>10</v>
      </c>
      <c r="Z3883" s="5">
        <v>399.09</v>
      </c>
    </row>
    <row r="3884" spans="1:26">
      <c r="A3884">
        <v>3883</v>
      </c>
      <c r="B3884">
        <v>1271</v>
      </c>
      <c r="C3884" s="2">
        <v>46074</v>
      </c>
      <c r="D3884" t="s">
        <v>40</v>
      </c>
      <c r="E3884">
        <v>2</v>
      </c>
      <c r="F3884" s="3">
        <v>10.99</v>
      </c>
      <c r="G3884" t="s">
        <v>27</v>
      </c>
      <c r="H3884">
        <v>55</v>
      </c>
      <c r="I3884" t="s">
        <v>28</v>
      </c>
      <c r="J3884" s="4">
        <v>67.900000000000006</v>
      </c>
      <c r="K3884" s="4">
        <v>177.7</v>
      </c>
      <c r="L3884" s="4">
        <v>27.3</v>
      </c>
      <c r="M3884">
        <v>15</v>
      </c>
      <c r="N3884" t="s">
        <v>54</v>
      </c>
      <c r="O3884">
        <v>3</v>
      </c>
      <c r="P3884" s="4">
        <v>2317</v>
      </c>
      <c r="Q3884" t="s">
        <v>48</v>
      </c>
      <c r="R3884">
        <v>0</v>
      </c>
      <c r="S3884" t="s">
        <v>38</v>
      </c>
      <c r="T3884">
        <v>0</v>
      </c>
      <c r="U3884">
        <v>0</v>
      </c>
      <c r="V3884" t="s">
        <v>32</v>
      </c>
      <c r="W3884" t="s">
        <v>39</v>
      </c>
      <c r="X3884" s="4">
        <v>9.1</v>
      </c>
      <c r="Y3884">
        <v>9</v>
      </c>
      <c r="Z3884" s="5">
        <v>348.79</v>
      </c>
    </row>
    <row r="3885" spans="1:26">
      <c r="A3885">
        <v>3884</v>
      </c>
      <c r="B3885">
        <v>1271</v>
      </c>
      <c r="C3885" s="2">
        <v>46074</v>
      </c>
      <c r="D3885" t="s">
        <v>40</v>
      </c>
      <c r="E3885">
        <v>2</v>
      </c>
      <c r="F3885" s="3">
        <v>11.09</v>
      </c>
      <c r="G3885" t="s">
        <v>36</v>
      </c>
      <c r="H3885">
        <v>5</v>
      </c>
      <c r="I3885" t="s">
        <v>34</v>
      </c>
      <c r="J3885" s="4">
        <v>50.2</v>
      </c>
      <c r="K3885" s="4">
        <v>93.3</v>
      </c>
      <c r="L3885" s="4">
        <v>26.1</v>
      </c>
      <c r="M3885">
        <v>12</v>
      </c>
      <c r="N3885" t="s">
        <v>54</v>
      </c>
      <c r="O3885">
        <v>3</v>
      </c>
      <c r="P3885" s="4">
        <v>2317</v>
      </c>
      <c r="Q3885" t="s">
        <v>48</v>
      </c>
      <c r="R3885">
        <v>0</v>
      </c>
      <c r="S3885" t="s">
        <v>38</v>
      </c>
      <c r="T3885">
        <v>0</v>
      </c>
      <c r="U3885">
        <v>0</v>
      </c>
      <c r="V3885" t="s">
        <v>32</v>
      </c>
      <c r="W3885" t="s">
        <v>39</v>
      </c>
      <c r="X3885" s="4">
        <v>10.4</v>
      </c>
      <c r="Y3885">
        <v>10</v>
      </c>
      <c r="Z3885" s="5">
        <v>267.63</v>
      </c>
    </row>
    <row r="3886" spans="1:26">
      <c r="A3886">
        <v>3885</v>
      </c>
      <c r="B3886">
        <v>1271</v>
      </c>
      <c r="C3886" s="2">
        <v>46074</v>
      </c>
      <c r="D3886" t="s">
        <v>40</v>
      </c>
      <c r="E3886">
        <v>2</v>
      </c>
      <c r="F3886" s="3">
        <v>10.89</v>
      </c>
      <c r="G3886" t="s">
        <v>27</v>
      </c>
      <c r="H3886">
        <v>18</v>
      </c>
      <c r="I3886" t="s">
        <v>28</v>
      </c>
      <c r="J3886" s="4">
        <v>68.599999999999994</v>
      </c>
      <c r="K3886" s="4">
        <v>222.7</v>
      </c>
      <c r="L3886" s="4">
        <v>33.4</v>
      </c>
      <c r="M3886">
        <v>14</v>
      </c>
      <c r="N3886" t="s">
        <v>54</v>
      </c>
      <c r="O3886">
        <v>3</v>
      </c>
      <c r="P3886" s="4">
        <v>2317</v>
      </c>
      <c r="Q3886" t="s">
        <v>48</v>
      </c>
      <c r="R3886">
        <v>0</v>
      </c>
      <c r="S3886" t="s">
        <v>38</v>
      </c>
      <c r="T3886">
        <v>0</v>
      </c>
      <c r="U3886">
        <v>0</v>
      </c>
      <c r="V3886" t="s">
        <v>32</v>
      </c>
      <c r="W3886" t="s">
        <v>39</v>
      </c>
      <c r="X3886" s="4">
        <v>9.6</v>
      </c>
      <c r="Y3886">
        <v>10</v>
      </c>
      <c r="Z3886" s="5">
        <v>374.52</v>
      </c>
    </row>
    <row r="3887" spans="1:26">
      <c r="A3887">
        <v>3886</v>
      </c>
      <c r="B3887">
        <v>1272</v>
      </c>
      <c r="C3887" s="2">
        <v>46286</v>
      </c>
      <c r="D3887" t="s">
        <v>46</v>
      </c>
      <c r="E3887">
        <v>9</v>
      </c>
      <c r="F3887" s="3">
        <v>9.51</v>
      </c>
      <c r="G3887" t="s">
        <v>27</v>
      </c>
      <c r="H3887">
        <v>18</v>
      </c>
      <c r="I3887" t="s">
        <v>28</v>
      </c>
      <c r="J3887" s="4">
        <v>68.400000000000006</v>
      </c>
      <c r="K3887" s="4">
        <v>129.4</v>
      </c>
      <c r="L3887" s="4">
        <v>19.399999999999999</v>
      </c>
      <c r="M3887">
        <v>15</v>
      </c>
      <c r="N3887" t="s">
        <v>53</v>
      </c>
      <c r="O3887">
        <v>3</v>
      </c>
      <c r="P3887" s="4">
        <v>661.3</v>
      </c>
      <c r="Q3887" t="s">
        <v>42</v>
      </c>
      <c r="R3887">
        <v>1</v>
      </c>
      <c r="S3887" t="s">
        <v>44</v>
      </c>
      <c r="T3887">
        <v>0</v>
      </c>
      <c r="U3887">
        <v>1</v>
      </c>
      <c r="V3887" t="s">
        <v>32</v>
      </c>
      <c r="W3887" t="s">
        <v>33</v>
      </c>
      <c r="X3887" s="4">
        <v>10.7</v>
      </c>
      <c r="Y3887">
        <v>16</v>
      </c>
      <c r="Z3887" s="5">
        <v>259.25</v>
      </c>
    </row>
    <row r="3888" spans="1:26">
      <c r="A3888">
        <v>3887</v>
      </c>
      <c r="B3888">
        <v>1272</v>
      </c>
      <c r="C3888" s="2">
        <v>46286</v>
      </c>
      <c r="D3888" t="s">
        <v>46</v>
      </c>
      <c r="E3888">
        <v>9</v>
      </c>
      <c r="F3888" s="3">
        <v>9.8000000000000007</v>
      </c>
      <c r="G3888" t="s">
        <v>27</v>
      </c>
      <c r="H3888">
        <v>29</v>
      </c>
      <c r="I3888" t="s">
        <v>34</v>
      </c>
      <c r="J3888" s="4">
        <v>58.3</v>
      </c>
      <c r="K3888" s="4">
        <v>131.80000000000001</v>
      </c>
      <c r="L3888" s="4">
        <v>27.5</v>
      </c>
      <c r="M3888">
        <v>14</v>
      </c>
      <c r="N3888" t="s">
        <v>53</v>
      </c>
      <c r="O3888">
        <v>3</v>
      </c>
      <c r="P3888" s="4">
        <v>661.3</v>
      </c>
      <c r="Q3888" t="s">
        <v>42</v>
      </c>
      <c r="R3888">
        <v>1</v>
      </c>
      <c r="S3888" t="s">
        <v>44</v>
      </c>
      <c r="T3888">
        <v>0</v>
      </c>
      <c r="U3888">
        <v>1</v>
      </c>
      <c r="V3888" t="s">
        <v>32</v>
      </c>
      <c r="W3888" t="s">
        <v>33</v>
      </c>
      <c r="X3888" s="4">
        <v>11.7</v>
      </c>
      <c r="Y3888">
        <v>11</v>
      </c>
      <c r="Z3888" s="5">
        <v>295.52999999999997</v>
      </c>
    </row>
    <row r="3889" spans="1:26">
      <c r="A3889">
        <v>3888</v>
      </c>
      <c r="B3889">
        <v>1272</v>
      </c>
      <c r="C3889" s="2">
        <v>46286</v>
      </c>
      <c r="D3889" t="s">
        <v>46</v>
      </c>
      <c r="E3889">
        <v>9</v>
      </c>
      <c r="F3889" s="3">
        <v>9.64</v>
      </c>
      <c r="G3889" t="s">
        <v>27</v>
      </c>
      <c r="H3889">
        <v>4</v>
      </c>
      <c r="I3889" t="s">
        <v>28</v>
      </c>
      <c r="J3889" s="4">
        <v>51.6</v>
      </c>
      <c r="K3889" s="4">
        <v>62.2</v>
      </c>
      <c r="L3889" s="4">
        <v>16.3</v>
      </c>
      <c r="M3889">
        <v>11</v>
      </c>
      <c r="N3889" t="s">
        <v>53</v>
      </c>
      <c r="O3889">
        <v>3</v>
      </c>
      <c r="P3889" s="4">
        <v>661.3</v>
      </c>
      <c r="Q3889" t="s">
        <v>42</v>
      </c>
      <c r="R3889">
        <v>1</v>
      </c>
      <c r="S3889" t="s">
        <v>44</v>
      </c>
      <c r="T3889">
        <v>0</v>
      </c>
      <c r="U3889">
        <v>1</v>
      </c>
      <c r="V3889" t="s">
        <v>32</v>
      </c>
      <c r="W3889" t="s">
        <v>33</v>
      </c>
      <c r="X3889" s="4">
        <v>9.1999999999999993</v>
      </c>
      <c r="Y3889">
        <v>3</v>
      </c>
      <c r="Z3889" s="5">
        <v>259.38</v>
      </c>
    </row>
    <row r="3890" spans="1:26">
      <c r="A3890">
        <v>3889</v>
      </c>
      <c r="B3890">
        <v>1273</v>
      </c>
      <c r="C3890" s="2">
        <v>46214</v>
      </c>
      <c r="D3890" t="s">
        <v>40</v>
      </c>
      <c r="E3890">
        <v>7</v>
      </c>
      <c r="F3890" s="3">
        <v>9.65</v>
      </c>
      <c r="G3890" t="s">
        <v>27</v>
      </c>
      <c r="H3890">
        <v>76</v>
      </c>
      <c r="I3890" t="s">
        <v>28</v>
      </c>
      <c r="J3890" s="4">
        <v>68.5</v>
      </c>
      <c r="K3890" s="4">
        <v>181.1</v>
      </c>
      <c r="L3890" s="4">
        <v>27.2</v>
      </c>
      <c r="M3890">
        <v>14</v>
      </c>
      <c r="N3890" t="s">
        <v>60</v>
      </c>
      <c r="O3890">
        <v>1</v>
      </c>
      <c r="P3890" s="4">
        <v>1111.5</v>
      </c>
      <c r="Q3890" t="s">
        <v>30</v>
      </c>
      <c r="R3890">
        <v>1</v>
      </c>
      <c r="S3890" t="s">
        <v>31</v>
      </c>
      <c r="T3890">
        <v>0</v>
      </c>
      <c r="U3890">
        <v>0</v>
      </c>
      <c r="V3890" t="s">
        <v>32</v>
      </c>
      <c r="W3890" t="s">
        <v>39</v>
      </c>
      <c r="X3890" s="4">
        <v>7.1</v>
      </c>
      <c r="Y3890">
        <v>9</v>
      </c>
      <c r="Z3890" s="5">
        <v>131.09</v>
      </c>
    </row>
    <row r="3891" spans="1:26">
      <c r="A3891">
        <v>3890</v>
      </c>
      <c r="B3891">
        <v>1274</v>
      </c>
      <c r="C3891" s="2">
        <v>46296</v>
      </c>
      <c r="D3891" t="s">
        <v>55</v>
      </c>
      <c r="E3891">
        <v>10</v>
      </c>
      <c r="F3891" s="3">
        <v>10.78</v>
      </c>
      <c r="G3891" t="s">
        <v>27</v>
      </c>
      <c r="H3891">
        <v>59</v>
      </c>
      <c r="I3891" t="s">
        <v>34</v>
      </c>
      <c r="J3891" s="4">
        <v>63.7</v>
      </c>
      <c r="K3891" s="4">
        <v>92.6</v>
      </c>
      <c r="L3891" s="4">
        <v>16</v>
      </c>
      <c r="M3891">
        <v>19</v>
      </c>
      <c r="N3891" t="s">
        <v>53</v>
      </c>
      <c r="O3891">
        <v>3</v>
      </c>
      <c r="P3891" s="4">
        <v>1103.7</v>
      </c>
      <c r="Q3891" t="s">
        <v>42</v>
      </c>
      <c r="R3891">
        <v>0</v>
      </c>
      <c r="S3891" t="s">
        <v>44</v>
      </c>
      <c r="T3891">
        <v>0</v>
      </c>
      <c r="U3891">
        <v>0</v>
      </c>
      <c r="V3891" t="s">
        <v>32</v>
      </c>
      <c r="W3891" t="s">
        <v>43</v>
      </c>
      <c r="X3891" s="4">
        <v>8</v>
      </c>
      <c r="Y3891">
        <v>4</v>
      </c>
      <c r="Z3891" s="5">
        <v>194.87</v>
      </c>
    </row>
    <row r="3892" spans="1:26">
      <c r="A3892">
        <v>3891</v>
      </c>
      <c r="B3892">
        <v>1274</v>
      </c>
      <c r="C3892" s="2">
        <v>46296</v>
      </c>
      <c r="D3892" t="s">
        <v>55</v>
      </c>
      <c r="E3892">
        <v>10</v>
      </c>
      <c r="F3892" s="3">
        <v>11.18</v>
      </c>
      <c r="G3892" t="s">
        <v>36</v>
      </c>
      <c r="H3892">
        <v>18</v>
      </c>
      <c r="I3892" t="s">
        <v>28</v>
      </c>
      <c r="J3892" s="4">
        <v>66.5</v>
      </c>
      <c r="K3892" s="4">
        <v>156.19999999999999</v>
      </c>
      <c r="L3892" s="4">
        <v>24.9</v>
      </c>
      <c r="M3892">
        <v>12</v>
      </c>
      <c r="N3892" t="s">
        <v>53</v>
      </c>
      <c r="O3892">
        <v>3</v>
      </c>
      <c r="P3892" s="4">
        <v>1103.7</v>
      </c>
      <c r="Q3892" t="s">
        <v>42</v>
      </c>
      <c r="R3892">
        <v>0</v>
      </c>
      <c r="S3892" t="s">
        <v>44</v>
      </c>
      <c r="T3892">
        <v>0</v>
      </c>
      <c r="U3892">
        <v>0</v>
      </c>
      <c r="V3892" t="s">
        <v>32</v>
      </c>
      <c r="W3892" t="s">
        <v>43</v>
      </c>
      <c r="X3892" s="4">
        <v>7</v>
      </c>
      <c r="Y3892">
        <v>7</v>
      </c>
      <c r="Z3892" s="5">
        <v>162.19</v>
      </c>
    </row>
    <row r="3893" spans="1:26">
      <c r="A3893">
        <v>3892</v>
      </c>
      <c r="B3893">
        <v>1274</v>
      </c>
      <c r="C3893" s="2">
        <v>46296</v>
      </c>
      <c r="D3893" t="s">
        <v>55</v>
      </c>
      <c r="E3893">
        <v>10</v>
      </c>
      <c r="F3893" s="3">
        <v>11.17</v>
      </c>
      <c r="G3893" t="s">
        <v>36</v>
      </c>
      <c r="H3893">
        <v>6</v>
      </c>
      <c r="I3893" t="s">
        <v>34</v>
      </c>
      <c r="J3893" s="4">
        <v>60.2</v>
      </c>
      <c r="K3893" s="4">
        <v>94.2</v>
      </c>
      <c r="L3893" s="4">
        <v>18.399999999999999</v>
      </c>
      <c r="M3893">
        <v>13</v>
      </c>
      <c r="N3893" t="s">
        <v>53</v>
      </c>
      <c r="O3893">
        <v>3</v>
      </c>
      <c r="P3893" s="4">
        <v>1103.7</v>
      </c>
      <c r="Q3893" t="s">
        <v>42</v>
      </c>
      <c r="R3893">
        <v>0</v>
      </c>
      <c r="S3893" t="s">
        <v>44</v>
      </c>
      <c r="T3893">
        <v>0</v>
      </c>
      <c r="U3893">
        <v>0</v>
      </c>
      <c r="V3893" t="s">
        <v>32</v>
      </c>
      <c r="W3893" t="s">
        <v>43</v>
      </c>
      <c r="X3893" s="4">
        <v>7.2</v>
      </c>
      <c r="Y3893">
        <v>5</v>
      </c>
      <c r="Z3893" s="5">
        <v>174.65</v>
      </c>
    </row>
    <row r="3894" spans="1:26">
      <c r="A3894">
        <v>3893</v>
      </c>
      <c r="B3894">
        <v>1275</v>
      </c>
      <c r="C3894" s="2">
        <v>46097</v>
      </c>
      <c r="D3894" t="s">
        <v>46</v>
      </c>
      <c r="E3894">
        <v>3</v>
      </c>
      <c r="F3894" s="3">
        <v>12.25</v>
      </c>
      <c r="G3894" t="s">
        <v>36</v>
      </c>
      <c r="H3894">
        <v>52</v>
      </c>
      <c r="I3894" t="s">
        <v>28</v>
      </c>
      <c r="J3894" s="4">
        <v>69.599999999999994</v>
      </c>
      <c r="K3894" s="4">
        <v>184.9</v>
      </c>
      <c r="L3894" s="4">
        <v>26.9</v>
      </c>
      <c r="M3894">
        <v>16</v>
      </c>
      <c r="N3894" t="s">
        <v>53</v>
      </c>
      <c r="O3894">
        <v>3</v>
      </c>
      <c r="P3894" s="4">
        <v>1357</v>
      </c>
      <c r="Q3894" t="s">
        <v>42</v>
      </c>
      <c r="R3894">
        <v>0</v>
      </c>
      <c r="S3894" t="s">
        <v>44</v>
      </c>
      <c r="T3894">
        <v>1</v>
      </c>
      <c r="U3894">
        <v>1</v>
      </c>
      <c r="V3894" t="s">
        <v>45</v>
      </c>
      <c r="W3894" t="s">
        <v>33</v>
      </c>
      <c r="X3894" s="4">
        <v>8.9</v>
      </c>
      <c r="Y3894">
        <v>10</v>
      </c>
      <c r="Z3894" s="5">
        <v>167.38</v>
      </c>
    </row>
    <row r="3895" spans="1:26">
      <c r="A3895">
        <v>3894</v>
      </c>
      <c r="B3895">
        <v>1275</v>
      </c>
      <c r="C3895" s="2">
        <v>46097</v>
      </c>
      <c r="D3895" t="s">
        <v>46</v>
      </c>
      <c r="E3895">
        <v>3</v>
      </c>
      <c r="F3895" s="3">
        <v>12.35</v>
      </c>
      <c r="G3895" t="s">
        <v>36</v>
      </c>
      <c r="H3895">
        <v>45</v>
      </c>
      <c r="I3895" t="s">
        <v>28</v>
      </c>
      <c r="J3895" s="4">
        <v>67.099999999999994</v>
      </c>
      <c r="K3895" s="4">
        <v>175.8</v>
      </c>
      <c r="L3895" s="4">
        <v>27.5</v>
      </c>
      <c r="M3895">
        <v>11</v>
      </c>
      <c r="N3895" t="s">
        <v>53</v>
      </c>
      <c r="O3895">
        <v>3</v>
      </c>
      <c r="P3895" s="4">
        <v>1357</v>
      </c>
      <c r="Q3895" t="s">
        <v>42</v>
      </c>
      <c r="R3895">
        <v>0</v>
      </c>
      <c r="S3895" t="s">
        <v>44</v>
      </c>
      <c r="T3895">
        <v>1</v>
      </c>
      <c r="U3895">
        <v>1</v>
      </c>
      <c r="V3895" t="s">
        <v>45</v>
      </c>
      <c r="W3895" t="s">
        <v>33</v>
      </c>
      <c r="X3895" s="4">
        <v>9.1</v>
      </c>
      <c r="Y3895">
        <v>3</v>
      </c>
      <c r="Z3895" s="5">
        <v>116.52</v>
      </c>
    </row>
    <row r="3896" spans="1:26">
      <c r="A3896">
        <v>3895</v>
      </c>
      <c r="B3896">
        <v>1275</v>
      </c>
      <c r="C3896" s="2">
        <v>46097</v>
      </c>
      <c r="D3896" t="s">
        <v>46</v>
      </c>
      <c r="E3896">
        <v>3</v>
      </c>
      <c r="F3896" s="3">
        <v>12.46</v>
      </c>
      <c r="G3896" t="s">
        <v>36</v>
      </c>
      <c r="H3896">
        <v>12</v>
      </c>
      <c r="I3896" t="s">
        <v>34</v>
      </c>
      <c r="J3896" s="4">
        <v>68.400000000000006</v>
      </c>
      <c r="K3896" s="4">
        <v>119.5</v>
      </c>
      <c r="L3896" s="4">
        <v>17.899999999999999</v>
      </c>
      <c r="M3896">
        <v>12</v>
      </c>
      <c r="N3896" t="s">
        <v>53</v>
      </c>
      <c r="O3896">
        <v>3</v>
      </c>
      <c r="P3896" s="4">
        <v>1357</v>
      </c>
      <c r="Q3896" t="s">
        <v>42</v>
      </c>
      <c r="R3896">
        <v>0</v>
      </c>
      <c r="S3896" t="s">
        <v>44</v>
      </c>
      <c r="T3896">
        <v>1</v>
      </c>
      <c r="U3896">
        <v>1</v>
      </c>
      <c r="V3896" t="s">
        <v>45</v>
      </c>
      <c r="W3896" t="s">
        <v>33</v>
      </c>
      <c r="X3896" s="4">
        <v>8</v>
      </c>
      <c r="Y3896">
        <v>6</v>
      </c>
      <c r="Z3896" s="5">
        <v>97.58</v>
      </c>
    </row>
    <row r="3897" spans="1:26">
      <c r="A3897">
        <v>3896</v>
      </c>
      <c r="B3897">
        <v>1276</v>
      </c>
      <c r="C3897" s="2">
        <v>46244</v>
      </c>
      <c r="D3897" t="s">
        <v>46</v>
      </c>
      <c r="E3897">
        <v>8</v>
      </c>
      <c r="F3897" s="3">
        <v>9.36</v>
      </c>
      <c r="G3897" t="s">
        <v>27</v>
      </c>
      <c r="H3897">
        <v>25</v>
      </c>
      <c r="I3897" t="s">
        <v>28</v>
      </c>
      <c r="J3897" s="4">
        <v>68.7</v>
      </c>
      <c r="K3897" s="4">
        <v>168.3</v>
      </c>
      <c r="L3897" s="4">
        <v>25</v>
      </c>
      <c r="M3897">
        <v>14</v>
      </c>
      <c r="N3897" t="s">
        <v>56</v>
      </c>
      <c r="O3897">
        <v>2</v>
      </c>
      <c r="P3897" s="4">
        <v>372.3</v>
      </c>
      <c r="Q3897" t="s">
        <v>42</v>
      </c>
      <c r="R3897">
        <v>1</v>
      </c>
      <c r="S3897" t="s">
        <v>44</v>
      </c>
      <c r="T3897">
        <v>0</v>
      </c>
      <c r="U3897">
        <v>0</v>
      </c>
      <c r="V3897" t="s">
        <v>45</v>
      </c>
      <c r="W3897" t="s">
        <v>39</v>
      </c>
      <c r="X3897" s="4">
        <v>8.1999999999999993</v>
      </c>
      <c r="Y3897">
        <v>7</v>
      </c>
      <c r="Z3897" s="5">
        <v>141.05000000000001</v>
      </c>
    </row>
    <row r="3898" spans="1:26">
      <c r="A3898">
        <v>3897</v>
      </c>
      <c r="B3898">
        <v>1276</v>
      </c>
      <c r="C3898" s="2">
        <v>46244</v>
      </c>
      <c r="D3898" t="s">
        <v>46</v>
      </c>
      <c r="E3898">
        <v>8</v>
      </c>
      <c r="F3898" s="3">
        <v>9.3000000000000007</v>
      </c>
      <c r="G3898" t="s">
        <v>27</v>
      </c>
      <c r="H3898">
        <v>46</v>
      </c>
      <c r="I3898" t="s">
        <v>34</v>
      </c>
      <c r="J3898" s="4">
        <v>63.7</v>
      </c>
      <c r="K3898" s="4">
        <v>151</v>
      </c>
      <c r="L3898" s="4">
        <v>26.1</v>
      </c>
      <c r="M3898">
        <v>15</v>
      </c>
      <c r="N3898" t="s">
        <v>56</v>
      </c>
      <c r="O3898">
        <v>2</v>
      </c>
      <c r="P3898" s="4">
        <v>372.3</v>
      </c>
      <c r="Q3898" t="s">
        <v>42</v>
      </c>
      <c r="R3898">
        <v>1</v>
      </c>
      <c r="S3898" t="s">
        <v>44</v>
      </c>
      <c r="T3898">
        <v>0</v>
      </c>
      <c r="U3898">
        <v>0</v>
      </c>
      <c r="V3898" t="s">
        <v>45</v>
      </c>
      <c r="W3898" t="s">
        <v>39</v>
      </c>
      <c r="X3898" s="4">
        <v>9.6</v>
      </c>
      <c r="Y3898">
        <v>3</v>
      </c>
      <c r="Z3898" s="5">
        <v>409.74</v>
      </c>
    </row>
    <row r="3899" spans="1:26">
      <c r="A3899">
        <v>3898</v>
      </c>
      <c r="B3899">
        <v>1277</v>
      </c>
      <c r="C3899" s="2">
        <v>46065</v>
      </c>
      <c r="D3899" t="s">
        <v>55</v>
      </c>
      <c r="E3899">
        <v>2</v>
      </c>
      <c r="F3899" s="3">
        <v>7.78</v>
      </c>
      <c r="G3899" t="s">
        <v>27</v>
      </c>
      <c r="H3899">
        <v>6</v>
      </c>
      <c r="I3899" t="s">
        <v>28</v>
      </c>
      <c r="J3899" s="4">
        <v>51.5</v>
      </c>
      <c r="K3899" s="4">
        <v>73.099999999999994</v>
      </c>
      <c r="L3899" s="4">
        <v>19.2</v>
      </c>
      <c r="M3899">
        <v>18</v>
      </c>
      <c r="N3899" t="s">
        <v>47</v>
      </c>
      <c r="O3899">
        <v>5</v>
      </c>
      <c r="P3899" s="4">
        <v>61.9</v>
      </c>
      <c r="Q3899" t="s">
        <v>48</v>
      </c>
      <c r="R3899">
        <v>1</v>
      </c>
      <c r="S3899" t="s">
        <v>44</v>
      </c>
      <c r="T3899">
        <v>1</v>
      </c>
      <c r="U3899">
        <v>1</v>
      </c>
      <c r="V3899" t="s">
        <v>45</v>
      </c>
      <c r="W3899" t="s">
        <v>33</v>
      </c>
      <c r="X3899" s="4">
        <v>9.1</v>
      </c>
      <c r="Y3899">
        <v>8</v>
      </c>
      <c r="Z3899" s="5">
        <v>373.04</v>
      </c>
    </row>
    <row r="3900" spans="1:26">
      <c r="A3900">
        <v>3899</v>
      </c>
      <c r="B3900">
        <v>1277</v>
      </c>
      <c r="C3900" s="2">
        <v>46065</v>
      </c>
      <c r="D3900" t="s">
        <v>55</v>
      </c>
      <c r="E3900">
        <v>2</v>
      </c>
      <c r="F3900" s="3">
        <v>7.87</v>
      </c>
      <c r="G3900" t="s">
        <v>27</v>
      </c>
      <c r="H3900">
        <v>7</v>
      </c>
      <c r="I3900" t="s">
        <v>28</v>
      </c>
      <c r="J3900" s="4">
        <v>60.9</v>
      </c>
      <c r="K3900" s="4">
        <v>109.9</v>
      </c>
      <c r="L3900" s="4">
        <v>20.9</v>
      </c>
      <c r="M3900">
        <v>16</v>
      </c>
      <c r="N3900" t="s">
        <v>47</v>
      </c>
      <c r="O3900">
        <v>5</v>
      </c>
      <c r="P3900" s="4">
        <v>61.9</v>
      </c>
      <c r="Q3900" t="s">
        <v>48</v>
      </c>
      <c r="R3900">
        <v>1</v>
      </c>
      <c r="S3900" t="s">
        <v>44</v>
      </c>
      <c r="T3900">
        <v>1</v>
      </c>
      <c r="U3900">
        <v>1</v>
      </c>
      <c r="V3900" t="s">
        <v>45</v>
      </c>
      <c r="W3900" t="s">
        <v>33</v>
      </c>
      <c r="X3900" s="4">
        <v>9.8000000000000007</v>
      </c>
      <c r="Y3900">
        <v>9</v>
      </c>
      <c r="Z3900" s="5">
        <v>412.08</v>
      </c>
    </row>
    <row r="3901" spans="1:26">
      <c r="A3901">
        <v>3900</v>
      </c>
      <c r="B3901">
        <v>1277</v>
      </c>
      <c r="C3901" s="2">
        <v>46065</v>
      </c>
      <c r="D3901" t="s">
        <v>55</v>
      </c>
      <c r="E3901">
        <v>2</v>
      </c>
      <c r="F3901" s="3">
        <v>7.68</v>
      </c>
      <c r="G3901" t="s">
        <v>27</v>
      </c>
      <c r="H3901">
        <v>14</v>
      </c>
      <c r="I3901" t="s">
        <v>28</v>
      </c>
      <c r="J3901" s="4">
        <v>69.7</v>
      </c>
      <c r="K3901" s="4">
        <v>117.7</v>
      </c>
      <c r="L3901" s="4">
        <v>16.899999999999999</v>
      </c>
      <c r="M3901">
        <v>16</v>
      </c>
      <c r="N3901" t="s">
        <v>47</v>
      </c>
      <c r="O3901">
        <v>5</v>
      </c>
      <c r="P3901" s="4">
        <v>61.9</v>
      </c>
      <c r="Q3901" t="s">
        <v>48</v>
      </c>
      <c r="R3901">
        <v>1</v>
      </c>
      <c r="S3901" t="s">
        <v>44</v>
      </c>
      <c r="T3901">
        <v>1</v>
      </c>
      <c r="U3901">
        <v>1</v>
      </c>
      <c r="V3901" t="s">
        <v>45</v>
      </c>
      <c r="W3901" t="s">
        <v>33</v>
      </c>
      <c r="X3901" s="4">
        <v>11.5</v>
      </c>
      <c r="Y3901">
        <v>12</v>
      </c>
      <c r="Z3901" s="5">
        <v>396.78</v>
      </c>
    </row>
    <row r="3902" spans="1:26">
      <c r="A3902">
        <v>3901</v>
      </c>
      <c r="B3902">
        <v>1277</v>
      </c>
      <c r="C3902" s="2">
        <v>46065</v>
      </c>
      <c r="D3902" t="s">
        <v>55</v>
      </c>
      <c r="E3902">
        <v>2</v>
      </c>
      <c r="F3902" s="3">
        <v>7.9</v>
      </c>
      <c r="G3902" t="s">
        <v>27</v>
      </c>
      <c r="H3902">
        <v>40</v>
      </c>
      <c r="I3902" t="s">
        <v>28</v>
      </c>
      <c r="J3902" s="4">
        <v>70</v>
      </c>
      <c r="K3902" s="4">
        <v>190.9</v>
      </c>
      <c r="L3902" s="4">
        <v>27.5</v>
      </c>
      <c r="M3902">
        <v>16</v>
      </c>
      <c r="N3902" t="s">
        <v>47</v>
      </c>
      <c r="O3902">
        <v>5</v>
      </c>
      <c r="P3902" s="4">
        <v>61.9</v>
      </c>
      <c r="Q3902" t="s">
        <v>48</v>
      </c>
      <c r="R3902">
        <v>1</v>
      </c>
      <c r="S3902" t="s">
        <v>44</v>
      </c>
      <c r="T3902">
        <v>1</v>
      </c>
      <c r="U3902">
        <v>1</v>
      </c>
      <c r="V3902" t="s">
        <v>45</v>
      </c>
      <c r="W3902" t="s">
        <v>33</v>
      </c>
      <c r="X3902" s="4">
        <v>9</v>
      </c>
      <c r="Y3902">
        <v>11</v>
      </c>
      <c r="Z3902" s="5">
        <v>328.18</v>
      </c>
    </row>
    <row r="3903" spans="1:26">
      <c r="A3903">
        <v>3902</v>
      </c>
      <c r="B3903">
        <v>1277</v>
      </c>
      <c r="C3903" s="2">
        <v>46065</v>
      </c>
      <c r="D3903" t="s">
        <v>55</v>
      </c>
      <c r="E3903">
        <v>2</v>
      </c>
      <c r="F3903" s="3">
        <v>7.7</v>
      </c>
      <c r="G3903" t="s">
        <v>27</v>
      </c>
      <c r="H3903">
        <v>10</v>
      </c>
      <c r="I3903" t="s">
        <v>28</v>
      </c>
      <c r="J3903" s="4">
        <v>59.5</v>
      </c>
      <c r="K3903" s="4">
        <v>108.7</v>
      </c>
      <c r="L3903" s="4">
        <v>21.6</v>
      </c>
      <c r="M3903">
        <v>20</v>
      </c>
      <c r="N3903" t="s">
        <v>47</v>
      </c>
      <c r="O3903">
        <v>5</v>
      </c>
      <c r="P3903" s="4">
        <v>61.9</v>
      </c>
      <c r="Q3903" t="s">
        <v>48</v>
      </c>
      <c r="R3903">
        <v>1</v>
      </c>
      <c r="S3903" t="s">
        <v>44</v>
      </c>
      <c r="T3903">
        <v>1</v>
      </c>
      <c r="U3903">
        <v>1</v>
      </c>
      <c r="V3903" t="s">
        <v>45</v>
      </c>
      <c r="W3903" t="s">
        <v>33</v>
      </c>
      <c r="X3903" s="4">
        <v>11.8</v>
      </c>
      <c r="Y3903">
        <v>13</v>
      </c>
      <c r="Z3903" s="5">
        <v>397.85</v>
      </c>
    </row>
    <row r="3904" spans="1:26">
      <c r="A3904">
        <v>3903</v>
      </c>
      <c r="B3904">
        <v>1278</v>
      </c>
      <c r="C3904" s="2">
        <v>46172</v>
      </c>
      <c r="D3904" t="s">
        <v>40</v>
      </c>
      <c r="E3904">
        <v>5</v>
      </c>
      <c r="F3904" s="3">
        <v>8.94</v>
      </c>
      <c r="G3904" t="s">
        <v>27</v>
      </c>
      <c r="H3904">
        <v>28</v>
      </c>
      <c r="I3904" t="s">
        <v>51</v>
      </c>
      <c r="J3904" s="4">
        <v>69.7</v>
      </c>
      <c r="K3904" s="4">
        <v>193.5</v>
      </c>
      <c r="L3904" s="4">
        <v>28.2</v>
      </c>
      <c r="M3904">
        <v>15</v>
      </c>
      <c r="N3904" t="s">
        <v>47</v>
      </c>
      <c r="O3904">
        <v>4</v>
      </c>
      <c r="P3904" s="4">
        <v>53.2</v>
      </c>
      <c r="Q3904" t="s">
        <v>48</v>
      </c>
      <c r="R3904">
        <v>0</v>
      </c>
      <c r="S3904" t="s">
        <v>31</v>
      </c>
      <c r="T3904">
        <v>0</v>
      </c>
      <c r="U3904">
        <v>0</v>
      </c>
      <c r="V3904" t="s">
        <v>32</v>
      </c>
      <c r="W3904" t="s">
        <v>39</v>
      </c>
      <c r="X3904" s="4">
        <v>8.6</v>
      </c>
      <c r="Y3904">
        <v>4</v>
      </c>
      <c r="Z3904" s="5">
        <v>170.55</v>
      </c>
    </row>
    <row r="3905" spans="1:26">
      <c r="A3905">
        <v>3904</v>
      </c>
      <c r="B3905">
        <v>1278</v>
      </c>
      <c r="C3905" s="2">
        <v>46172</v>
      </c>
      <c r="D3905" t="s">
        <v>40</v>
      </c>
      <c r="E3905">
        <v>5</v>
      </c>
      <c r="F3905" s="3">
        <v>8.8800000000000008</v>
      </c>
      <c r="G3905" t="s">
        <v>27</v>
      </c>
      <c r="H3905">
        <v>42</v>
      </c>
      <c r="I3905" t="s">
        <v>34</v>
      </c>
      <c r="J3905" s="4">
        <v>64.599999999999994</v>
      </c>
      <c r="K3905" s="4">
        <v>183.4</v>
      </c>
      <c r="L3905" s="4">
        <v>30.9</v>
      </c>
      <c r="M3905">
        <v>17</v>
      </c>
      <c r="N3905" t="s">
        <v>47</v>
      </c>
      <c r="O3905">
        <v>4</v>
      </c>
      <c r="P3905" s="4">
        <v>53.2</v>
      </c>
      <c r="Q3905" t="s">
        <v>48</v>
      </c>
      <c r="R3905">
        <v>0</v>
      </c>
      <c r="S3905" t="s">
        <v>31</v>
      </c>
      <c r="T3905">
        <v>0</v>
      </c>
      <c r="U3905">
        <v>0</v>
      </c>
      <c r="V3905" t="s">
        <v>32</v>
      </c>
      <c r="W3905" t="s">
        <v>39</v>
      </c>
      <c r="X3905" s="4">
        <v>9.5</v>
      </c>
      <c r="Y3905">
        <v>6</v>
      </c>
      <c r="Z3905" s="5">
        <v>282.74</v>
      </c>
    </row>
    <row r="3906" spans="1:26">
      <c r="A3906">
        <v>3905</v>
      </c>
      <c r="B3906">
        <v>1278</v>
      </c>
      <c r="C3906" s="2">
        <v>46172</v>
      </c>
      <c r="D3906" t="s">
        <v>40</v>
      </c>
      <c r="E3906">
        <v>5</v>
      </c>
      <c r="F3906" s="3">
        <v>8.81</v>
      </c>
      <c r="G3906" t="s">
        <v>27</v>
      </c>
      <c r="H3906">
        <v>21</v>
      </c>
      <c r="I3906" t="s">
        <v>28</v>
      </c>
      <c r="J3906" s="4">
        <v>70.3</v>
      </c>
      <c r="K3906" s="4">
        <v>155.4</v>
      </c>
      <c r="L3906" s="4">
        <v>22.2</v>
      </c>
      <c r="M3906">
        <v>14</v>
      </c>
      <c r="N3906" t="s">
        <v>47</v>
      </c>
      <c r="O3906">
        <v>4</v>
      </c>
      <c r="P3906" s="4">
        <v>53.2</v>
      </c>
      <c r="Q3906" t="s">
        <v>48</v>
      </c>
      <c r="R3906">
        <v>0</v>
      </c>
      <c r="S3906" t="s">
        <v>31</v>
      </c>
      <c r="T3906">
        <v>0</v>
      </c>
      <c r="U3906">
        <v>0</v>
      </c>
      <c r="V3906" t="s">
        <v>32</v>
      </c>
      <c r="W3906" t="s">
        <v>39</v>
      </c>
      <c r="X3906" s="4">
        <v>7</v>
      </c>
      <c r="Y3906">
        <v>7</v>
      </c>
      <c r="Z3906" s="5">
        <v>207.11</v>
      </c>
    </row>
    <row r="3907" spans="1:26">
      <c r="A3907">
        <v>3906</v>
      </c>
      <c r="B3907">
        <v>1278</v>
      </c>
      <c r="C3907" s="2">
        <v>46172</v>
      </c>
      <c r="D3907" t="s">
        <v>40</v>
      </c>
      <c r="E3907">
        <v>5</v>
      </c>
      <c r="F3907" s="3">
        <v>8.94</v>
      </c>
      <c r="G3907" t="s">
        <v>27</v>
      </c>
      <c r="H3907">
        <v>11</v>
      </c>
      <c r="I3907" t="s">
        <v>34</v>
      </c>
      <c r="J3907" s="4">
        <v>64.7</v>
      </c>
      <c r="K3907" s="4">
        <v>135.1</v>
      </c>
      <c r="L3907" s="4">
        <v>22.5</v>
      </c>
      <c r="M3907">
        <v>15</v>
      </c>
      <c r="N3907" t="s">
        <v>47</v>
      </c>
      <c r="O3907">
        <v>4</v>
      </c>
      <c r="P3907" s="4">
        <v>53.2</v>
      </c>
      <c r="Q3907" t="s">
        <v>48</v>
      </c>
      <c r="R3907">
        <v>0</v>
      </c>
      <c r="S3907" t="s">
        <v>31</v>
      </c>
      <c r="T3907">
        <v>0</v>
      </c>
      <c r="U3907">
        <v>0</v>
      </c>
      <c r="V3907" t="s">
        <v>32</v>
      </c>
      <c r="W3907" t="s">
        <v>39</v>
      </c>
      <c r="X3907" s="4">
        <v>8.1</v>
      </c>
      <c r="Y3907">
        <v>6</v>
      </c>
      <c r="Z3907" s="5">
        <v>157.68</v>
      </c>
    </row>
    <row r="3908" spans="1:26">
      <c r="A3908">
        <v>3907</v>
      </c>
      <c r="B3908">
        <v>1279</v>
      </c>
      <c r="C3908" s="2">
        <v>46248</v>
      </c>
      <c r="D3908" t="s">
        <v>26</v>
      </c>
      <c r="E3908">
        <v>8</v>
      </c>
      <c r="F3908" s="3">
        <v>10.27</v>
      </c>
      <c r="G3908" t="s">
        <v>27</v>
      </c>
      <c r="H3908">
        <v>57</v>
      </c>
      <c r="I3908" t="s">
        <v>34</v>
      </c>
      <c r="J3908" s="4">
        <v>65.599999999999994</v>
      </c>
      <c r="K3908" s="4">
        <v>124.4</v>
      </c>
      <c r="L3908" s="4">
        <v>20.399999999999999</v>
      </c>
      <c r="M3908">
        <v>15</v>
      </c>
      <c r="N3908" t="s">
        <v>47</v>
      </c>
      <c r="O3908">
        <v>4</v>
      </c>
      <c r="P3908" s="4">
        <v>24</v>
      </c>
      <c r="Q3908" t="s">
        <v>42</v>
      </c>
      <c r="R3908">
        <v>0</v>
      </c>
      <c r="S3908" t="s">
        <v>31</v>
      </c>
      <c r="T3908">
        <v>0</v>
      </c>
      <c r="U3908">
        <v>0</v>
      </c>
      <c r="V3908" t="s">
        <v>32</v>
      </c>
      <c r="W3908" t="s">
        <v>43</v>
      </c>
      <c r="X3908" s="4">
        <v>5.9</v>
      </c>
      <c r="Y3908">
        <v>7</v>
      </c>
      <c r="Z3908" s="5">
        <v>141.62</v>
      </c>
    </row>
    <row r="3909" spans="1:26">
      <c r="A3909">
        <v>3908</v>
      </c>
      <c r="B3909">
        <v>1279</v>
      </c>
      <c r="C3909" s="2">
        <v>46248</v>
      </c>
      <c r="D3909" t="s">
        <v>26</v>
      </c>
      <c r="E3909">
        <v>8</v>
      </c>
      <c r="F3909" s="3">
        <v>10.26</v>
      </c>
      <c r="G3909" t="s">
        <v>27</v>
      </c>
      <c r="H3909">
        <v>10</v>
      </c>
      <c r="I3909" t="s">
        <v>34</v>
      </c>
      <c r="J3909" s="4">
        <v>59.3</v>
      </c>
      <c r="K3909" s="4">
        <v>76.900000000000006</v>
      </c>
      <c r="L3909" s="4">
        <v>15.3</v>
      </c>
      <c r="M3909">
        <v>11</v>
      </c>
      <c r="N3909" t="s">
        <v>47</v>
      </c>
      <c r="O3909">
        <v>4</v>
      </c>
      <c r="P3909" s="4">
        <v>24</v>
      </c>
      <c r="Q3909" t="s">
        <v>42</v>
      </c>
      <c r="R3909">
        <v>0</v>
      </c>
      <c r="S3909" t="s">
        <v>31</v>
      </c>
      <c r="T3909">
        <v>0</v>
      </c>
      <c r="U3909">
        <v>0</v>
      </c>
      <c r="V3909" t="s">
        <v>32</v>
      </c>
      <c r="W3909" t="s">
        <v>43</v>
      </c>
      <c r="X3909" s="4">
        <v>10.8</v>
      </c>
      <c r="Y3909">
        <v>5</v>
      </c>
      <c r="Z3909" s="5">
        <v>232.67</v>
      </c>
    </row>
    <row r="3910" spans="1:26">
      <c r="A3910">
        <v>3909</v>
      </c>
      <c r="B3910">
        <v>1279</v>
      </c>
      <c r="C3910" s="2">
        <v>46248</v>
      </c>
      <c r="D3910" t="s">
        <v>26</v>
      </c>
      <c r="E3910">
        <v>8</v>
      </c>
      <c r="F3910" s="3">
        <v>10.31</v>
      </c>
      <c r="G3910" t="s">
        <v>27</v>
      </c>
      <c r="H3910">
        <v>26</v>
      </c>
      <c r="I3910" t="s">
        <v>28</v>
      </c>
      <c r="J3910" s="4">
        <v>61.9</v>
      </c>
      <c r="K3910" s="4">
        <v>167.2</v>
      </c>
      <c r="L3910" s="4">
        <v>30.8</v>
      </c>
      <c r="M3910">
        <v>14</v>
      </c>
      <c r="N3910" t="s">
        <v>47</v>
      </c>
      <c r="O3910">
        <v>4</v>
      </c>
      <c r="P3910" s="4">
        <v>24</v>
      </c>
      <c r="Q3910" t="s">
        <v>42</v>
      </c>
      <c r="R3910">
        <v>0</v>
      </c>
      <c r="S3910" t="s">
        <v>31</v>
      </c>
      <c r="T3910">
        <v>0</v>
      </c>
      <c r="U3910">
        <v>0</v>
      </c>
      <c r="V3910" t="s">
        <v>32</v>
      </c>
      <c r="W3910" t="s">
        <v>43</v>
      </c>
      <c r="X3910" s="4">
        <v>10.7</v>
      </c>
      <c r="Y3910">
        <v>8</v>
      </c>
      <c r="Z3910" s="5">
        <v>236.83</v>
      </c>
    </row>
    <row r="3911" spans="1:26">
      <c r="A3911">
        <v>3910</v>
      </c>
      <c r="B3911">
        <v>1279</v>
      </c>
      <c r="C3911" s="2">
        <v>46248</v>
      </c>
      <c r="D3911" t="s">
        <v>26</v>
      </c>
      <c r="E3911">
        <v>8</v>
      </c>
      <c r="F3911" s="3">
        <v>10.36</v>
      </c>
      <c r="G3911" t="s">
        <v>27</v>
      </c>
      <c r="H3911">
        <v>56</v>
      </c>
      <c r="I3911" t="s">
        <v>28</v>
      </c>
      <c r="J3911" s="4">
        <v>66.5</v>
      </c>
      <c r="K3911" s="4">
        <v>179</v>
      </c>
      <c r="L3911" s="4">
        <v>28.5</v>
      </c>
      <c r="M3911">
        <v>13</v>
      </c>
      <c r="N3911" t="s">
        <v>47</v>
      </c>
      <c r="O3911">
        <v>4</v>
      </c>
      <c r="P3911" s="4">
        <v>24</v>
      </c>
      <c r="Q3911" t="s">
        <v>42</v>
      </c>
      <c r="R3911">
        <v>0</v>
      </c>
      <c r="S3911" t="s">
        <v>31</v>
      </c>
      <c r="T3911">
        <v>0</v>
      </c>
      <c r="U3911">
        <v>0</v>
      </c>
      <c r="V3911" t="s">
        <v>32</v>
      </c>
      <c r="W3911" t="s">
        <v>43</v>
      </c>
      <c r="X3911" s="4">
        <v>8</v>
      </c>
      <c r="Y3911">
        <v>5</v>
      </c>
      <c r="Z3911" s="5">
        <v>174.39</v>
      </c>
    </row>
    <row r="3912" spans="1:26">
      <c r="A3912">
        <v>3911</v>
      </c>
      <c r="B3912">
        <v>1280</v>
      </c>
      <c r="C3912" s="2">
        <v>46062</v>
      </c>
      <c r="D3912" t="s">
        <v>46</v>
      </c>
      <c r="E3912">
        <v>2</v>
      </c>
      <c r="F3912" s="3">
        <v>8.68</v>
      </c>
      <c r="G3912" t="s">
        <v>27</v>
      </c>
      <c r="H3912">
        <v>64</v>
      </c>
      <c r="I3912" t="s">
        <v>51</v>
      </c>
      <c r="J3912" s="4">
        <v>63.3</v>
      </c>
      <c r="K3912" s="4">
        <v>127.7</v>
      </c>
      <c r="L3912" s="4">
        <v>22.4</v>
      </c>
      <c r="M3912">
        <v>18</v>
      </c>
      <c r="N3912" t="s">
        <v>65</v>
      </c>
      <c r="O3912">
        <v>4</v>
      </c>
      <c r="P3912" s="4">
        <v>2561.1999999999998</v>
      </c>
      <c r="Q3912" t="s">
        <v>42</v>
      </c>
      <c r="R3912">
        <v>0</v>
      </c>
      <c r="S3912" t="s">
        <v>44</v>
      </c>
      <c r="T3912">
        <v>0</v>
      </c>
      <c r="U3912">
        <v>0</v>
      </c>
      <c r="V3912" t="s">
        <v>32</v>
      </c>
      <c r="W3912" t="s">
        <v>39</v>
      </c>
      <c r="X3912" s="4">
        <v>10.5</v>
      </c>
      <c r="Y3912">
        <v>10</v>
      </c>
      <c r="Z3912" s="5">
        <v>271.66000000000003</v>
      </c>
    </row>
    <row r="3913" spans="1:26">
      <c r="A3913">
        <v>3912</v>
      </c>
      <c r="B3913">
        <v>1280</v>
      </c>
      <c r="C3913" s="2">
        <v>46062</v>
      </c>
      <c r="D3913" t="s">
        <v>46</v>
      </c>
      <c r="E3913">
        <v>2</v>
      </c>
      <c r="F3913" s="3">
        <v>8.81</v>
      </c>
      <c r="G3913" t="s">
        <v>27</v>
      </c>
      <c r="H3913">
        <v>67</v>
      </c>
      <c r="I3913" t="s">
        <v>34</v>
      </c>
      <c r="J3913" s="4">
        <v>63.8</v>
      </c>
      <c r="K3913" s="4">
        <v>158.4</v>
      </c>
      <c r="L3913" s="4">
        <v>27.5</v>
      </c>
      <c r="M3913">
        <v>17</v>
      </c>
      <c r="N3913" t="s">
        <v>65</v>
      </c>
      <c r="O3913">
        <v>4</v>
      </c>
      <c r="P3913" s="4">
        <v>2561.1999999999998</v>
      </c>
      <c r="Q3913" t="s">
        <v>42</v>
      </c>
      <c r="R3913">
        <v>0</v>
      </c>
      <c r="S3913" t="s">
        <v>44</v>
      </c>
      <c r="T3913">
        <v>0</v>
      </c>
      <c r="U3913">
        <v>0</v>
      </c>
      <c r="V3913" t="s">
        <v>32</v>
      </c>
      <c r="W3913" t="s">
        <v>39</v>
      </c>
      <c r="X3913" s="4">
        <v>8.8000000000000007</v>
      </c>
      <c r="Y3913">
        <v>10</v>
      </c>
      <c r="Z3913" s="5">
        <v>329.57</v>
      </c>
    </row>
    <row r="3914" spans="1:26">
      <c r="A3914">
        <v>3913</v>
      </c>
      <c r="B3914">
        <v>1280</v>
      </c>
      <c r="C3914" s="2">
        <v>46062</v>
      </c>
      <c r="D3914" t="s">
        <v>46</v>
      </c>
      <c r="E3914">
        <v>2</v>
      </c>
      <c r="F3914" s="3">
        <v>8.92</v>
      </c>
      <c r="G3914" t="s">
        <v>27</v>
      </c>
      <c r="H3914">
        <v>35</v>
      </c>
      <c r="I3914" t="s">
        <v>28</v>
      </c>
      <c r="J3914" s="4">
        <v>73.5</v>
      </c>
      <c r="K3914" s="4">
        <v>179.5</v>
      </c>
      <c r="L3914" s="4">
        <v>23.2</v>
      </c>
      <c r="M3914">
        <v>14</v>
      </c>
      <c r="N3914" t="s">
        <v>65</v>
      </c>
      <c r="O3914">
        <v>4</v>
      </c>
      <c r="P3914" s="4">
        <v>2561.1999999999998</v>
      </c>
      <c r="Q3914" t="s">
        <v>42</v>
      </c>
      <c r="R3914">
        <v>0</v>
      </c>
      <c r="S3914" t="s">
        <v>44</v>
      </c>
      <c r="T3914">
        <v>0</v>
      </c>
      <c r="U3914">
        <v>0</v>
      </c>
      <c r="V3914" t="s">
        <v>32</v>
      </c>
      <c r="W3914" t="s">
        <v>39</v>
      </c>
      <c r="X3914" s="4">
        <v>7.5</v>
      </c>
      <c r="Y3914">
        <v>6</v>
      </c>
      <c r="Z3914" s="5">
        <v>162.66</v>
      </c>
    </row>
    <row r="3915" spans="1:26">
      <c r="A3915">
        <v>3914</v>
      </c>
      <c r="B3915">
        <v>1280</v>
      </c>
      <c r="C3915" s="2">
        <v>46062</v>
      </c>
      <c r="D3915" t="s">
        <v>46</v>
      </c>
      <c r="E3915">
        <v>2</v>
      </c>
      <c r="F3915" s="3">
        <v>8.7200000000000006</v>
      </c>
      <c r="G3915" t="s">
        <v>27</v>
      </c>
      <c r="H3915">
        <v>22</v>
      </c>
      <c r="I3915" t="s">
        <v>28</v>
      </c>
      <c r="J3915" s="4">
        <v>69.400000000000006</v>
      </c>
      <c r="K3915" s="4">
        <v>238.9</v>
      </c>
      <c r="L3915" s="4">
        <v>34.799999999999997</v>
      </c>
      <c r="M3915">
        <v>12</v>
      </c>
      <c r="N3915" t="s">
        <v>65</v>
      </c>
      <c r="O3915">
        <v>4</v>
      </c>
      <c r="P3915" s="4">
        <v>2561.1999999999998</v>
      </c>
      <c r="Q3915" t="s">
        <v>42</v>
      </c>
      <c r="R3915">
        <v>0</v>
      </c>
      <c r="S3915" t="s">
        <v>44</v>
      </c>
      <c r="T3915">
        <v>0</v>
      </c>
      <c r="U3915">
        <v>0</v>
      </c>
      <c r="V3915" t="s">
        <v>32</v>
      </c>
      <c r="W3915" t="s">
        <v>39</v>
      </c>
      <c r="X3915" s="4">
        <v>8.5</v>
      </c>
      <c r="Y3915">
        <v>5</v>
      </c>
      <c r="Z3915" s="5">
        <v>146.44999999999999</v>
      </c>
    </row>
    <row r="3916" spans="1:26">
      <c r="A3916">
        <v>3915</v>
      </c>
      <c r="B3916">
        <v>1281</v>
      </c>
      <c r="C3916" s="2">
        <v>46152</v>
      </c>
      <c r="D3916" t="s">
        <v>58</v>
      </c>
      <c r="E3916">
        <v>5</v>
      </c>
      <c r="F3916" s="3">
        <v>11</v>
      </c>
      <c r="G3916" t="s">
        <v>36</v>
      </c>
      <c r="H3916">
        <v>69</v>
      </c>
      <c r="I3916" t="s">
        <v>34</v>
      </c>
      <c r="J3916" s="4">
        <v>61.3</v>
      </c>
      <c r="K3916" s="4">
        <v>141.19999999999999</v>
      </c>
      <c r="L3916" s="4">
        <v>26.4</v>
      </c>
      <c r="M3916">
        <v>14</v>
      </c>
      <c r="N3916" t="s">
        <v>59</v>
      </c>
      <c r="O3916">
        <v>5</v>
      </c>
      <c r="P3916" s="4">
        <v>1065.8</v>
      </c>
      <c r="Q3916" t="s">
        <v>30</v>
      </c>
      <c r="R3916">
        <v>1</v>
      </c>
      <c r="S3916" t="s">
        <v>44</v>
      </c>
      <c r="T3916">
        <v>1</v>
      </c>
      <c r="U3916">
        <v>0</v>
      </c>
      <c r="V3916" t="s">
        <v>32</v>
      </c>
      <c r="W3916" t="s">
        <v>57</v>
      </c>
      <c r="X3916" s="4">
        <v>8.1</v>
      </c>
      <c r="Y3916">
        <v>7</v>
      </c>
      <c r="Z3916" s="5">
        <v>164.54</v>
      </c>
    </row>
    <row r="3917" spans="1:26">
      <c r="A3917">
        <v>3916</v>
      </c>
      <c r="B3917">
        <v>1281</v>
      </c>
      <c r="C3917" s="2">
        <v>46152</v>
      </c>
      <c r="D3917" t="s">
        <v>58</v>
      </c>
      <c r="E3917">
        <v>5</v>
      </c>
      <c r="F3917" s="3">
        <v>10.83</v>
      </c>
      <c r="G3917" t="s">
        <v>27</v>
      </c>
      <c r="H3917">
        <v>63</v>
      </c>
      <c r="I3917" t="s">
        <v>28</v>
      </c>
      <c r="J3917" s="4">
        <v>66.5</v>
      </c>
      <c r="K3917" s="4">
        <v>174</v>
      </c>
      <c r="L3917" s="4">
        <v>27.7</v>
      </c>
      <c r="M3917">
        <v>15</v>
      </c>
      <c r="N3917" t="s">
        <v>59</v>
      </c>
      <c r="O3917">
        <v>5</v>
      </c>
      <c r="P3917" s="4">
        <v>1065.8</v>
      </c>
      <c r="Q3917" t="s">
        <v>30</v>
      </c>
      <c r="R3917">
        <v>1</v>
      </c>
      <c r="S3917" t="s">
        <v>44</v>
      </c>
      <c r="T3917">
        <v>1</v>
      </c>
      <c r="U3917">
        <v>0</v>
      </c>
      <c r="V3917" t="s">
        <v>32</v>
      </c>
      <c r="W3917" t="s">
        <v>57</v>
      </c>
      <c r="X3917" s="4">
        <v>9.3000000000000007</v>
      </c>
      <c r="Y3917">
        <v>12</v>
      </c>
      <c r="Z3917" s="5">
        <v>214.62</v>
      </c>
    </row>
    <row r="3918" spans="1:26">
      <c r="A3918">
        <v>3917</v>
      </c>
      <c r="B3918">
        <v>1281</v>
      </c>
      <c r="C3918" s="2">
        <v>46152</v>
      </c>
      <c r="D3918" t="s">
        <v>58</v>
      </c>
      <c r="E3918">
        <v>5</v>
      </c>
      <c r="F3918" s="3">
        <v>10.78</v>
      </c>
      <c r="G3918" t="s">
        <v>27</v>
      </c>
      <c r="H3918">
        <v>24</v>
      </c>
      <c r="I3918" t="s">
        <v>28</v>
      </c>
      <c r="J3918" s="4">
        <v>71.8</v>
      </c>
      <c r="K3918" s="4">
        <v>186</v>
      </c>
      <c r="L3918" s="4">
        <v>25.6</v>
      </c>
      <c r="M3918">
        <v>14</v>
      </c>
      <c r="N3918" t="s">
        <v>59</v>
      </c>
      <c r="O3918">
        <v>5</v>
      </c>
      <c r="P3918" s="4">
        <v>1065.8</v>
      </c>
      <c r="Q3918" t="s">
        <v>30</v>
      </c>
      <c r="R3918">
        <v>1</v>
      </c>
      <c r="S3918" t="s">
        <v>44</v>
      </c>
      <c r="T3918">
        <v>1</v>
      </c>
      <c r="U3918">
        <v>0</v>
      </c>
      <c r="V3918" t="s">
        <v>32</v>
      </c>
      <c r="W3918" t="s">
        <v>57</v>
      </c>
      <c r="X3918" s="4">
        <v>11</v>
      </c>
      <c r="Y3918">
        <v>17</v>
      </c>
      <c r="Z3918" s="5">
        <v>429.96</v>
      </c>
    </row>
    <row r="3919" spans="1:26">
      <c r="A3919">
        <v>3918</v>
      </c>
      <c r="B3919">
        <v>1281</v>
      </c>
      <c r="C3919" s="2">
        <v>46152</v>
      </c>
      <c r="D3919" t="s">
        <v>58</v>
      </c>
      <c r="E3919">
        <v>5</v>
      </c>
      <c r="F3919" s="3">
        <v>11.01</v>
      </c>
      <c r="G3919" t="s">
        <v>36</v>
      </c>
      <c r="H3919">
        <v>27</v>
      </c>
      <c r="I3919" t="s">
        <v>28</v>
      </c>
      <c r="J3919" s="4">
        <v>74.7</v>
      </c>
      <c r="K3919" s="4">
        <v>260.2</v>
      </c>
      <c r="L3919" s="4">
        <v>32.9</v>
      </c>
      <c r="M3919">
        <v>12</v>
      </c>
      <c r="N3919" t="s">
        <v>59</v>
      </c>
      <c r="O3919">
        <v>5</v>
      </c>
      <c r="P3919" s="4">
        <v>1065.8</v>
      </c>
      <c r="Q3919" t="s">
        <v>30</v>
      </c>
      <c r="R3919">
        <v>1</v>
      </c>
      <c r="S3919" t="s">
        <v>44</v>
      </c>
      <c r="T3919">
        <v>1</v>
      </c>
      <c r="U3919">
        <v>0</v>
      </c>
      <c r="V3919" t="s">
        <v>32</v>
      </c>
      <c r="W3919" t="s">
        <v>57</v>
      </c>
      <c r="X3919" s="4">
        <v>8</v>
      </c>
      <c r="Y3919">
        <v>10</v>
      </c>
      <c r="Z3919" s="5">
        <v>315.60000000000002</v>
      </c>
    </row>
    <row r="3920" spans="1:26">
      <c r="A3920">
        <v>3919</v>
      </c>
      <c r="B3920">
        <v>1281</v>
      </c>
      <c r="C3920" s="2">
        <v>46152</v>
      </c>
      <c r="D3920" t="s">
        <v>58</v>
      </c>
      <c r="E3920">
        <v>5</v>
      </c>
      <c r="F3920" s="3">
        <v>10.94</v>
      </c>
      <c r="G3920" t="s">
        <v>27</v>
      </c>
      <c r="H3920">
        <v>60</v>
      </c>
      <c r="I3920" t="s">
        <v>28</v>
      </c>
      <c r="J3920" s="4">
        <v>70.7</v>
      </c>
      <c r="K3920" s="4">
        <v>176.7</v>
      </c>
      <c r="L3920" s="4">
        <v>24.8</v>
      </c>
      <c r="M3920">
        <v>13</v>
      </c>
      <c r="N3920" t="s">
        <v>59</v>
      </c>
      <c r="O3920">
        <v>5</v>
      </c>
      <c r="P3920" s="4">
        <v>1065.8</v>
      </c>
      <c r="Q3920" t="s">
        <v>30</v>
      </c>
      <c r="R3920">
        <v>1</v>
      </c>
      <c r="S3920" t="s">
        <v>44</v>
      </c>
      <c r="T3920">
        <v>1</v>
      </c>
      <c r="U3920">
        <v>0</v>
      </c>
      <c r="V3920" t="s">
        <v>32</v>
      </c>
      <c r="W3920" t="s">
        <v>57</v>
      </c>
      <c r="X3920" s="4">
        <v>8.8000000000000007</v>
      </c>
      <c r="Y3920">
        <v>7</v>
      </c>
      <c r="Z3920" s="5">
        <v>204.4</v>
      </c>
    </row>
    <row r="3921" spans="1:26">
      <c r="A3921">
        <v>3920</v>
      </c>
      <c r="B3921">
        <v>1282</v>
      </c>
      <c r="C3921" s="2">
        <v>46026</v>
      </c>
      <c r="D3921" t="s">
        <v>58</v>
      </c>
      <c r="E3921">
        <v>1</v>
      </c>
      <c r="F3921" s="3">
        <v>8.8000000000000007</v>
      </c>
      <c r="G3921" t="s">
        <v>27</v>
      </c>
      <c r="H3921">
        <v>65</v>
      </c>
      <c r="I3921" t="s">
        <v>34</v>
      </c>
      <c r="J3921" s="4">
        <v>67.2</v>
      </c>
      <c r="K3921" s="4">
        <v>137.30000000000001</v>
      </c>
      <c r="L3921" s="4">
        <v>21.2</v>
      </c>
      <c r="M3921">
        <v>13</v>
      </c>
      <c r="N3921" t="s">
        <v>47</v>
      </c>
      <c r="O3921">
        <v>1</v>
      </c>
      <c r="P3921" s="4">
        <v>68.8</v>
      </c>
      <c r="Q3921" t="s">
        <v>42</v>
      </c>
      <c r="R3921">
        <v>0</v>
      </c>
      <c r="S3921" t="s">
        <v>38</v>
      </c>
      <c r="T3921">
        <v>0</v>
      </c>
      <c r="U3921">
        <v>0</v>
      </c>
      <c r="V3921" t="s">
        <v>32</v>
      </c>
      <c r="W3921" t="s">
        <v>57</v>
      </c>
      <c r="X3921" s="4">
        <v>10.5</v>
      </c>
      <c r="Y3921">
        <v>8</v>
      </c>
      <c r="Z3921" s="5">
        <v>267.68</v>
      </c>
    </row>
    <row r="3922" spans="1:26">
      <c r="A3922">
        <v>3921</v>
      </c>
      <c r="B3922">
        <v>1283</v>
      </c>
      <c r="C3922" s="2">
        <v>46307</v>
      </c>
      <c r="D3922" t="s">
        <v>46</v>
      </c>
      <c r="E3922">
        <v>10</v>
      </c>
      <c r="F3922" s="3">
        <v>10.95</v>
      </c>
      <c r="G3922" t="s">
        <v>27</v>
      </c>
      <c r="H3922">
        <v>64</v>
      </c>
      <c r="I3922" t="s">
        <v>28</v>
      </c>
      <c r="J3922" s="4">
        <v>65.099999999999994</v>
      </c>
      <c r="K3922" s="4">
        <v>183.1</v>
      </c>
      <c r="L3922" s="4">
        <v>30.2</v>
      </c>
      <c r="M3922">
        <v>16</v>
      </c>
      <c r="N3922" t="s">
        <v>37</v>
      </c>
      <c r="O3922">
        <v>2</v>
      </c>
      <c r="P3922" s="4">
        <v>845.8</v>
      </c>
      <c r="Q3922" t="s">
        <v>30</v>
      </c>
      <c r="R3922">
        <v>1</v>
      </c>
      <c r="S3922" t="s">
        <v>31</v>
      </c>
      <c r="T3922">
        <v>0</v>
      </c>
      <c r="U3922">
        <v>0</v>
      </c>
      <c r="V3922" t="s">
        <v>32</v>
      </c>
      <c r="W3922" t="s">
        <v>43</v>
      </c>
      <c r="X3922" s="4">
        <v>10.1</v>
      </c>
      <c r="Y3922">
        <v>10</v>
      </c>
      <c r="Z3922" s="5">
        <v>216.63</v>
      </c>
    </row>
    <row r="3923" spans="1:26">
      <c r="A3923">
        <v>3922</v>
      </c>
      <c r="B3923">
        <v>1283</v>
      </c>
      <c r="C3923" s="2">
        <v>46307</v>
      </c>
      <c r="D3923" t="s">
        <v>46</v>
      </c>
      <c r="E3923">
        <v>10</v>
      </c>
      <c r="F3923" s="3">
        <v>10.94</v>
      </c>
      <c r="G3923" t="s">
        <v>27</v>
      </c>
      <c r="H3923">
        <v>44</v>
      </c>
      <c r="I3923" t="s">
        <v>28</v>
      </c>
      <c r="J3923" s="4">
        <v>67.2</v>
      </c>
      <c r="K3923" s="4">
        <v>197</v>
      </c>
      <c r="L3923" s="4">
        <v>30.4</v>
      </c>
      <c r="M3923">
        <v>13</v>
      </c>
      <c r="N3923" t="s">
        <v>37</v>
      </c>
      <c r="O3923">
        <v>2</v>
      </c>
      <c r="P3923" s="4">
        <v>845.8</v>
      </c>
      <c r="Q3923" t="s">
        <v>30</v>
      </c>
      <c r="R3923">
        <v>1</v>
      </c>
      <c r="S3923" t="s">
        <v>31</v>
      </c>
      <c r="T3923">
        <v>0</v>
      </c>
      <c r="U3923">
        <v>0</v>
      </c>
      <c r="V3923" t="s">
        <v>32</v>
      </c>
      <c r="W3923" t="s">
        <v>43</v>
      </c>
      <c r="X3923" s="4">
        <v>8.6999999999999993</v>
      </c>
      <c r="Y3923">
        <v>12</v>
      </c>
      <c r="Z3923" s="5">
        <v>223</v>
      </c>
    </row>
    <row r="3924" spans="1:26">
      <c r="A3924">
        <v>3923</v>
      </c>
      <c r="B3924">
        <v>1284</v>
      </c>
      <c r="C3924" s="2">
        <v>46331</v>
      </c>
      <c r="D3924" t="s">
        <v>55</v>
      </c>
      <c r="E3924">
        <v>11</v>
      </c>
      <c r="F3924" s="3">
        <v>12.05</v>
      </c>
      <c r="G3924" t="s">
        <v>36</v>
      </c>
      <c r="H3924">
        <v>3</v>
      </c>
      <c r="I3924" t="s">
        <v>34</v>
      </c>
      <c r="J3924" s="4">
        <v>55.1</v>
      </c>
      <c r="K3924" s="4">
        <v>105.3</v>
      </c>
      <c r="L3924" s="4">
        <v>24.3</v>
      </c>
      <c r="M3924">
        <v>12</v>
      </c>
      <c r="N3924" t="s">
        <v>50</v>
      </c>
      <c r="O3924">
        <v>3</v>
      </c>
      <c r="P3924" s="4">
        <v>438.7</v>
      </c>
      <c r="Q3924" t="s">
        <v>42</v>
      </c>
      <c r="R3924">
        <v>1</v>
      </c>
      <c r="S3924" t="s">
        <v>44</v>
      </c>
      <c r="T3924">
        <v>0</v>
      </c>
      <c r="U3924">
        <v>0</v>
      </c>
      <c r="V3924" t="s">
        <v>32</v>
      </c>
      <c r="W3924" t="s">
        <v>39</v>
      </c>
      <c r="X3924" s="4">
        <v>6.1</v>
      </c>
      <c r="Y3924">
        <v>6</v>
      </c>
      <c r="Z3924" s="5">
        <v>134.09</v>
      </c>
    </row>
    <row r="3925" spans="1:26">
      <c r="A3925">
        <v>3924</v>
      </c>
      <c r="B3925">
        <v>1284</v>
      </c>
      <c r="C3925" s="2">
        <v>46331</v>
      </c>
      <c r="D3925" t="s">
        <v>55</v>
      </c>
      <c r="E3925">
        <v>11</v>
      </c>
      <c r="F3925" s="3">
        <v>11.81</v>
      </c>
      <c r="G3925" t="s">
        <v>36</v>
      </c>
      <c r="H3925">
        <v>18</v>
      </c>
      <c r="I3925" t="s">
        <v>34</v>
      </c>
      <c r="J3925" s="4">
        <v>64.599999999999994</v>
      </c>
      <c r="K3925" s="4">
        <v>93.3</v>
      </c>
      <c r="L3925" s="4">
        <v>15.8</v>
      </c>
      <c r="M3925">
        <v>12</v>
      </c>
      <c r="N3925" t="s">
        <v>50</v>
      </c>
      <c r="O3925">
        <v>3</v>
      </c>
      <c r="P3925" s="4">
        <v>438.7</v>
      </c>
      <c r="Q3925" t="s">
        <v>42</v>
      </c>
      <c r="R3925">
        <v>1</v>
      </c>
      <c r="S3925" t="s">
        <v>44</v>
      </c>
      <c r="T3925">
        <v>0</v>
      </c>
      <c r="U3925">
        <v>0</v>
      </c>
      <c r="V3925" t="s">
        <v>32</v>
      </c>
      <c r="W3925" t="s">
        <v>39</v>
      </c>
      <c r="X3925" s="4">
        <v>9.8000000000000007</v>
      </c>
      <c r="Y3925">
        <v>13</v>
      </c>
      <c r="Z3925" s="5">
        <v>205.44</v>
      </c>
    </row>
    <row r="3926" spans="1:26">
      <c r="A3926">
        <v>3925</v>
      </c>
      <c r="B3926">
        <v>1284</v>
      </c>
      <c r="C3926" s="2">
        <v>46331</v>
      </c>
      <c r="D3926" t="s">
        <v>55</v>
      </c>
      <c r="E3926">
        <v>11</v>
      </c>
      <c r="F3926" s="3">
        <v>11.91</v>
      </c>
      <c r="G3926" t="s">
        <v>36</v>
      </c>
      <c r="H3926">
        <v>23</v>
      </c>
      <c r="I3926" t="s">
        <v>34</v>
      </c>
      <c r="J3926" s="4">
        <v>66.3</v>
      </c>
      <c r="K3926" s="4">
        <v>130.69999999999999</v>
      </c>
      <c r="L3926" s="4">
        <v>21</v>
      </c>
      <c r="M3926">
        <v>15</v>
      </c>
      <c r="N3926" t="s">
        <v>50</v>
      </c>
      <c r="O3926">
        <v>3</v>
      </c>
      <c r="P3926" s="4">
        <v>438.7</v>
      </c>
      <c r="Q3926" t="s">
        <v>42</v>
      </c>
      <c r="R3926">
        <v>1</v>
      </c>
      <c r="S3926" t="s">
        <v>44</v>
      </c>
      <c r="T3926">
        <v>0</v>
      </c>
      <c r="U3926">
        <v>0</v>
      </c>
      <c r="V3926" t="s">
        <v>32</v>
      </c>
      <c r="W3926" t="s">
        <v>39</v>
      </c>
      <c r="X3926" s="4">
        <v>6.2</v>
      </c>
      <c r="Y3926">
        <v>4</v>
      </c>
      <c r="Z3926" s="5">
        <v>172.38</v>
      </c>
    </row>
    <row r="3927" spans="1:26">
      <c r="A3927">
        <v>3926</v>
      </c>
      <c r="B3927">
        <v>1285</v>
      </c>
      <c r="C3927" s="2">
        <v>46337</v>
      </c>
      <c r="D3927" t="s">
        <v>52</v>
      </c>
      <c r="E3927">
        <v>11</v>
      </c>
      <c r="F3927" s="3">
        <v>11.5</v>
      </c>
      <c r="G3927" t="s">
        <v>36</v>
      </c>
      <c r="H3927">
        <v>15</v>
      </c>
      <c r="I3927" t="s">
        <v>34</v>
      </c>
      <c r="J3927" s="4">
        <v>70</v>
      </c>
      <c r="K3927" s="4">
        <v>147.69999999999999</v>
      </c>
      <c r="L3927" s="4">
        <v>21.3</v>
      </c>
      <c r="M3927">
        <v>18</v>
      </c>
      <c r="N3927" t="s">
        <v>47</v>
      </c>
      <c r="O3927">
        <v>5</v>
      </c>
      <c r="P3927" s="4">
        <v>40.5</v>
      </c>
      <c r="Q3927" t="s">
        <v>42</v>
      </c>
      <c r="R3927">
        <v>0</v>
      </c>
      <c r="S3927" t="s">
        <v>44</v>
      </c>
      <c r="T3927">
        <v>0</v>
      </c>
      <c r="U3927">
        <v>0</v>
      </c>
      <c r="V3927" t="s">
        <v>32</v>
      </c>
      <c r="W3927" t="s">
        <v>39</v>
      </c>
      <c r="X3927" s="4">
        <v>6.1</v>
      </c>
      <c r="Y3927">
        <v>7</v>
      </c>
      <c r="Z3927" s="5">
        <v>127.2</v>
      </c>
    </row>
    <row r="3928" spans="1:26">
      <c r="A3928">
        <v>3927</v>
      </c>
      <c r="B3928">
        <v>1285</v>
      </c>
      <c r="C3928" s="2">
        <v>46337</v>
      </c>
      <c r="D3928" t="s">
        <v>52</v>
      </c>
      <c r="E3928">
        <v>11</v>
      </c>
      <c r="F3928" s="3">
        <v>11.75</v>
      </c>
      <c r="G3928" t="s">
        <v>36</v>
      </c>
      <c r="H3928">
        <v>38</v>
      </c>
      <c r="I3928" t="s">
        <v>28</v>
      </c>
      <c r="J3928" s="4">
        <v>71</v>
      </c>
      <c r="K3928" s="4">
        <v>106</v>
      </c>
      <c r="L3928" s="4">
        <v>14.5</v>
      </c>
      <c r="M3928">
        <v>17</v>
      </c>
      <c r="N3928" t="s">
        <v>47</v>
      </c>
      <c r="O3928">
        <v>5</v>
      </c>
      <c r="P3928" s="4">
        <v>40.5</v>
      </c>
      <c r="Q3928" t="s">
        <v>42</v>
      </c>
      <c r="R3928">
        <v>0</v>
      </c>
      <c r="S3928" t="s">
        <v>44</v>
      </c>
      <c r="T3928">
        <v>0</v>
      </c>
      <c r="U3928">
        <v>0</v>
      </c>
      <c r="V3928" t="s">
        <v>32</v>
      </c>
      <c r="W3928" t="s">
        <v>39</v>
      </c>
      <c r="X3928" s="4">
        <v>5.9</v>
      </c>
      <c r="Y3928">
        <v>5</v>
      </c>
      <c r="Z3928" s="5">
        <v>218.59</v>
      </c>
    </row>
    <row r="3929" spans="1:26">
      <c r="A3929">
        <v>3928</v>
      </c>
      <c r="B3929">
        <v>1285</v>
      </c>
      <c r="C3929" s="2">
        <v>46337</v>
      </c>
      <c r="D3929" t="s">
        <v>52</v>
      </c>
      <c r="E3929">
        <v>11</v>
      </c>
      <c r="F3929" s="3">
        <v>11.62</v>
      </c>
      <c r="G3929" t="s">
        <v>36</v>
      </c>
      <c r="H3929">
        <v>28</v>
      </c>
      <c r="I3929" t="s">
        <v>34</v>
      </c>
      <c r="J3929" s="4">
        <v>61.1</v>
      </c>
      <c r="K3929" s="4">
        <v>157.19999999999999</v>
      </c>
      <c r="L3929" s="4">
        <v>29.6</v>
      </c>
      <c r="M3929">
        <v>11</v>
      </c>
      <c r="N3929" t="s">
        <v>47</v>
      </c>
      <c r="O3929">
        <v>5</v>
      </c>
      <c r="P3929" s="4">
        <v>40.5</v>
      </c>
      <c r="Q3929" t="s">
        <v>42</v>
      </c>
      <c r="R3929">
        <v>0</v>
      </c>
      <c r="S3929" t="s">
        <v>44</v>
      </c>
      <c r="T3929">
        <v>0</v>
      </c>
      <c r="U3929">
        <v>0</v>
      </c>
      <c r="V3929" t="s">
        <v>32</v>
      </c>
      <c r="W3929" t="s">
        <v>39</v>
      </c>
      <c r="X3929" s="4">
        <v>8.6999999999999993</v>
      </c>
      <c r="Y3929">
        <v>8</v>
      </c>
      <c r="Z3929" s="5">
        <v>266.08999999999997</v>
      </c>
    </row>
    <row r="3930" spans="1:26">
      <c r="A3930">
        <v>3929</v>
      </c>
      <c r="B3930">
        <v>1285</v>
      </c>
      <c r="C3930" s="2">
        <v>46337</v>
      </c>
      <c r="D3930" t="s">
        <v>52</v>
      </c>
      <c r="E3930">
        <v>11</v>
      </c>
      <c r="F3930" s="3">
        <v>11.23</v>
      </c>
      <c r="G3930" t="s">
        <v>36</v>
      </c>
      <c r="H3930">
        <v>63</v>
      </c>
      <c r="I3930" t="s">
        <v>28</v>
      </c>
      <c r="J3930" s="4">
        <v>68.2</v>
      </c>
      <c r="K3930" s="4">
        <v>176.7</v>
      </c>
      <c r="L3930" s="4">
        <v>26.7</v>
      </c>
      <c r="M3930">
        <v>17</v>
      </c>
      <c r="N3930" t="s">
        <v>47</v>
      </c>
      <c r="O3930">
        <v>5</v>
      </c>
      <c r="P3930" s="4">
        <v>40.5</v>
      </c>
      <c r="Q3930" t="s">
        <v>42</v>
      </c>
      <c r="R3930">
        <v>0</v>
      </c>
      <c r="S3930" t="s">
        <v>44</v>
      </c>
      <c r="T3930">
        <v>0</v>
      </c>
      <c r="U3930">
        <v>0</v>
      </c>
      <c r="V3930" t="s">
        <v>32</v>
      </c>
      <c r="W3930" t="s">
        <v>39</v>
      </c>
      <c r="X3930" s="4">
        <v>5.7</v>
      </c>
      <c r="Y3930">
        <v>8</v>
      </c>
      <c r="Z3930" s="5">
        <v>170.65</v>
      </c>
    </row>
    <row r="3931" spans="1:26">
      <c r="A3931">
        <v>3930</v>
      </c>
      <c r="B3931">
        <v>1285</v>
      </c>
      <c r="C3931" s="2">
        <v>46337</v>
      </c>
      <c r="D3931" t="s">
        <v>52</v>
      </c>
      <c r="E3931">
        <v>11</v>
      </c>
      <c r="F3931" s="3">
        <v>11.61</v>
      </c>
      <c r="G3931" t="s">
        <v>36</v>
      </c>
      <c r="H3931">
        <v>41</v>
      </c>
      <c r="I3931" t="s">
        <v>28</v>
      </c>
      <c r="J3931" s="4">
        <v>65.400000000000006</v>
      </c>
      <c r="K3931" s="4">
        <v>165.2</v>
      </c>
      <c r="L3931" s="4">
        <v>27.3</v>
      </c>
      <c r="M3931">
        <v>15</v>
      </c>
      <c r="N3931" t="s">
        <v>47</v>
      </c>
      <c r="O3931">
        <v>5</v>
      </c>
      <c r="P3931" s="4">
        <v>40.5</v>
      </c>
      <c r="Q3931" t="s">
        <v>42</v>
      </c>
      <c r="R3931">
        <v>0</v>
      </c>
      <c r="S3931" t="s">
        <v>44</v>
      </c>
      <c r="T3931">
        <v>0</v>
      </c>
      <c r="U3931">
        <v>0</v>
      </c>
      <c r="V3931" t="s">
        <v>32</v>
      </c>
      <c r="W3931" t="s">
        <v>39</v>
      </c>
      <c r="X3931" s="4">
        <v>9</v>
      </c>
      <c r="Y3931">
        <v>11</v>
      </c>
      <c r="Z3931" s="5">
        <v>173.03</v>
      </c>
    </row>
    <row r="3932" spans="1:26">
      <c r="A3932">
        <v>3931</v>
      </c>
      <c r="B3932">
        <v>1286</v>
      </c>
      <c r="C3932" s="2">
        <v>46223</v>
      </c>
      <c r="D3932" t="s">
        <v>46</v>
      </c>
      <c r="E3932">
        <v>7</v>
      </c>
      <c r="F3932" s="3">
        <v>7.39</v>
      </c>
      <c r="G3932" t="s">
        <v>27</v>
      </c>
      <c r="H3932">
        <v>72</v>
      </c>
      <c r="I3932" t="s">
        <v>34</v>
      </c>
      <c r="J3932" s="4">
        <v>63.6</v>
      </c>
      <c r="K3932" s="4">
        <v>206.9</v>
      </c>
      <c r="L3932" s="4">
        <v>36</v>
      </c>
      <c r="M3932">
        <v>20</v>
      </c>
      <c r="N3932" t="s">
        <v>59</v>
      </c>
      <c r="O3932">
        <v>6</v>
      </c>
      <c r="P3932" s="4">
        <v>821.6</v>
      </c>
      <c r="Q3932" t="s">
        <v>48</v>
      </c>
      <c r="R3932">
        <v>0</v>
      </c>
      <c r="S3932" t="s">
        <v>44</v>
      </c>
      <c r="T3932">
        <v>0</v>
      </c>
      <c r="U3932">
        <v>1</v>
      </c>
      <c r="V3932" t="s">
        <v>32</v>
      </c>
      <c r="W3932" t="s">
        <v>33</v>
      </c>
      <c r="X3932" s="4">
        <v>7</v>
      </c>
      <c r="Y3932">
        <v>9</v>
      </c>
      <c r="Z3932" s="5">
        <v>253.48</v>
      </c>
    </row>
    <row r="3933" spans="1:26">
      <c r="A3933">
        <v>3932</v>
      </c>
      <c r="B3933">
        <v>1286</v>
      </c>
      <c r="C3933" s="2">
        <v>46223</v>
      </c>
      <c r="D3933" t="s">
        <v>46</v>
      </c>
      <c r="E3933">
        <v>7</v>
      </c>
      <c r="F3933" s="3">
        <v>7.18</v>
      </c>
      <c r="G3933" t="s">
        <v>27</v>
      </c>
      <c r="H3933">
        <v>44</v>
      </c>
      <c r="I3933" t="s">
        <v>34</v>
      </c>
      <c r="J3933" s="4">
        <v>68.5</v>
      </c>
      <c r="K3933" s="4">
        <v>185.6</v>
      </c>
      <c r="L3933" s="4">
        <v>27.9</v>
      </c>
      <c r="M3933">
        <v>14</v>
      </c>
      <c r="N3933" t="s">
        <v>59</v>
      </c>
      <c r="O3933">
        <v>6</v>
      </c>
      <c r="P3933" s="4">
        <v>821.6</v>
      </c>
      <c r="Q3933" t="s">
        <v>48</v>
      </c>
      <c r="R3933">
        <v>0</v>
      </c>
      <c r="S3933" t="s">
        <v>44</v>
      </c>
      <c r="T3933">
        <v>0</v>
      </c>
      <c r="U3933">
        <v>1</v>
      </c>
      <c r="V3933" t="s">
        <v>32</v>
      </c>
      <c r="W3933" t="s">
        <v>33</v>
      </c>
      <c r="X3933" s="4">
        <v>7.5</v>
      </c>
      <c r="Y3933">
        <v>5</v>
      </c>
      <c r="Z3933" s="5">
        <v>308.29000000000002</v>
      </c>
    </row>
    <row r="3934" spans="1:26">
      <c r="A3934">
        <v>3933</v>
      </c>
      <c r="B3934">
        <v>1286</v>
      </c>
      <c r="C3934" s="2">
        <v>46223</v>
      </c>
      <c r="D3934" t="s">
        <v>46</v>
      </c>
      <c r="E3934">
        <v>7</v>
      </c>
      <c r="F3934" s="3">
        <v>7.14</v>
      </c>
      <c r="G3934" t="s">
        <v>27</v>
      </c>
      <c r="H3934">
        <v>51</v>
      </c>
      <c r="I3934" t="s">
        <v>34</v>
      </c>
      <c r="J3934" s="4">
        <v>63.7</v>
      </c>
      <c r="K3934" s="4">
        <v>156.4</v>
      </c>
      <c r="L3934" s="4">
        <v>27.2</v>
      </c>
      <c r="M3934">
        <v>16</v>
      </c>
      <c r="N3934" t="s">
        <v>59</v>
      </c>
      <c r="O3934">
        <v>6</v>
      </c>
      <c r="P3934" s="4">
        <v>821.6</v>
      </c>
      <c r="Q3934" t="s">
        <v>48</v>
      </c>
      <c r="R3934">
        <v>0</v>
      </c>
      <c r="S3934" t="s">
        <v>44</v>
      </c>
      <c r="T3934">
        <v>0</v>
      </c>
      <c r="U3934">
        <v>1</v>
      </c>
      <c r="V3934" t="s">
        <v>32</v>
      </c>
      <c r="W3934" t="s">
        <v>33</v>
      </c>
      <c r="X3934" s="4">
        <v>10.6</v>
      </c>
      <c r="Y3934">
        <v>12</v>
      </c>
      <c r="Z3934" s="5">
        <v>339.49</v>
      </c>
    </row>
    <row r="3935" spans="1:26">
      <c r="A3935">
        <v>3934</v>
      </c>
      <c r="B3935">
        <v>1286</v>
      </c>
      <c r="C3935" s="2">
        <v>46223</v>
      </c>
      <c r="D3935" t="s">
        <v>46</v>
      </c>
      <c r="E3935">
        <v>7</v>
      </c>
      <c r="F3935" s="3">
        <v>7.16</v>
      </c>
      <c r="G3935" t="s">
        <v>27</v>
      </c>
      <c r="H3935">
        <v>58</v>
      </c>
      <c r="I3935" t="s">
        <v>28</v>
      </c>
      <c r="J3935" s="4">
        <v>69.400000000000006</v>
      </c>
      <c r="K3935" s="4">
        <v>197.8</v>
      </c>
      <c r="L3935" s="4">
        <v>28.8</v>
      </c>
      <c r="M3935">
        <v>16</v>
      </c>
      <c r="N3935" t="s">
        <v>59</v>
      </c>
      <c r="O3935">
        <v>6</v>
      </c>
      <c r="P3935" s="4">
        <v>821.6</v>
      </c>
      <c r="Q3935" t="s">
        <v>48</v>
      </c>
      <c r="R3935">
        <v>0</v>
      </c>
      <c r="S3935" t="s">
        <v>44</v>
      </c>
      <c r="T3935">
        <v>0</v>
      </c>
      <c r="U3935">
        <v>1</v>
      </c>
      <c r="V3935" t="s">
        <v>32</v>
      </c>
      <c r="W3935" t="s">
        <v>33</v>
      </c>
      <c r="X3935" s="4">
        <v>8</v>
      </c>
      <c r="Y3935">
        <v>5</v>
      </c>
      <c r="Z3935" s="5">
        <v>186.96</v>
      </c>
    </row>
    <row r="3936" spans="1:26">
      <c r="A3936">
        <v>3935</v>
      </c>
      <c r="B3936">
        <v>1286</v>
      </c>
      <c r="C3936" s="2">
        <v>46223</v>
      </c>
      <c r="D3936" t="s">
        <v>46</v>
      </c>
      <c r="E3936">
        <v>7</v>
      </c>
      <c r="F3936" s="3">
        <v>7.31</v>
      </c>
      <c r="G3936" t="s">
        <v>27</v>
      </c>
      <c r="H3936">
        <v>71</v>
      </c>
      <c r="I3936" t="s">
        <v>34</v>
      </c>
      <c r="J3936" s="4">
        <v>66.7</v>
      </c>
      <c r="K3936" s="4">
        <v>212</v>
      </c>
      <c r="L3936" s="4">
        <v>33.5</v>
      </c>
      <c r="M3936">
        <v>19</v>
      </c>
      <c r="N3936" t="s">
        <v>59</v>
      </c>
      <c r="O3936">
        <v>6</v>
      </c>
      <c r="P3936" s="4">
        <v>821.6</v>
      </c>
      <c r="Q3936" t="s">
        <v>48</v>
      </c>
      <c r="R3936">
        <v>0</v>
      </c>
      <c r="S3936" t="s">
        <v>44</v>
      </c>
      <c r="T3936">
        <v>0</v>
      </c>
      <c r="U3936">
        <v>1</v>
      </c>
      <c r="V3936" t="s">
        <v>32</v>
      </c>
      <c r="W3936" t="s">
        <v>33</v>
      </c>
      <c r="X3936" s="4">
        <v>6.9</v>
      </c>
      <c r="Y3936">
        <v>4</v>
      </c>
      <c r="Z3936" s="5">
        <v>204.69</v>
      </c>
    </row>
    <row r="3937" spans="1:26">
      <c r="A3937">
        <v>3936</v>
      </c>
      <c r="B3937">
        <v>1286</v>
      </c>
      <c r="C3937" s="2">
        <v>46223</v>
      </c>
      <c r="D3937" t="s">
        <v>46</v>
      </c>
      <c r="E3937">
        <v>7</v>
      </c>
      <c r="F3937" s="3">
        <v>7.06</v>
      </c>
      <c r="G3937" t="s">
        <v>27</v>
      </c>
      <c r="H3937">
        <v>58</v>
      </c>
      <c r="I3937" t="s">
        <v>28</v>
      </c>
      <c r="J3937" s="4">
        <v>66.5</v>
      </c>
      <c r="K3937" s="4">
        <v>185.3</v>
      </c>
      <c r="L3937" s="4">
        <v>29.5</v>
      </c>
      <c r="M3937">
        <v>17</v>
      </c>
      <c r="N3937" t="s">
        <v>59</v>
      </c>
      <c r="O3937">
        <v>6</v>
      </c>
      <c r="P3937" s="4">
        <v>821.6</v>
      </c>
      <c r="Q3937" t="s">
        <v>48</v>
      </c>
      <c r="R3937">
        <v>0</v>
      </c>
      <c r="S3937" t="s">
        <v>44</v>
      </c>
      <c r="T3937">
        <v>0</v>
      </c>
      <c r="U3937">
        <v>1</v>
      </c>
      <c r="V3937" t="s">
        <v>32</v>
      </c>
      <c r="W3937" t="s">
        <v>33</v>
      </c>
      <c r="X3937" s="4">
        <v>4.9000000000000004</v>
      </c>
      <c r="Y3937">
        <v>6</v>
      </c>
      <c r="Z3937" s="5">
        <v>162.1</v>
      </c>
    </row>
    <row r="3938" spans="1:26">
      <c r="A3938">
        <v>3937</v>
      </c>
      <c r="B3938">
        <v>1287</v>
      </c>
      <c r="C3938" s="2">
        <v>46283</v>
      </c>
      <c r="D3938" t="s">
        <v>26</v>
      </c>
      <c r="E3938">
        <v>9</v>
      </c>
      <c r="F3938" s="3">
        <v>13.3</v>
      </c>
      <c r="G3938" t="s">
        <v>36</v>
      </c>
      <c r="H3938">
        <v>9</v>
      </c>
      <c r="I3938" t="s">
        <v>28</v>
      </c>
      <c r="J3938" s="4">
        <v>61.1</v>
      </c>
      <c r="K3938" s="4">
        <v>87.9</v>
      </c>
      <c r="L3938" s="4">
        <v>16.399999999999999</v>
      </c>
      <c r="M3938">
        <v>13</v>
      </c>
      <c r="N3938" t="s">
        <v>41</v>
      </c>
      <c r="O3938">
        <v>2</v>
      </c>
      <c r="P3938" s="4">
        <v>3409.4</v>
      </c>
      <c r="Q3938" t="s">
        <v>30</v>
      </c>
      <c r="R3938">
        <v>1</v>
      </c>
      <c r="S3938" t="s">
        <v>44</v>
      </c>
      <c r="T3938">
        <v>1</v>
      </c>
      <c r="U3938">
        <v>0</v>
      </c>
      <c r="V3938" t="s">
        <v>32</v>
      </c>
      <c r="W3938" t="s">
        <v>43</v>
      </c>
      <c r="X3938" s="4">
        <v>8.6</v>
      </c>
      <c r="Y3938">
        <v>8</v>
      </c>
      <c r="Z3938" s="5">
        <v>179.33</v>
      </c>
    </row>
    <row r="3939" spans="1:26">
      <c r="A3939">
        <v>3938</v>
      </c>
      <c r="B3939">
        <v>1287</v>
      </c>
      <c r="C3939" s="2">
        <v>46283</v>
      </c>
      <c r="D3939" t="s">
        <v>26</v>
      </c>
      <c r="E3939">
        <v>9</v>
      </c>
      <c r="F3939" s="3">
        <v>13.07</v>
      </c>
      <c r="G3939" t="s">
        <v>36</v>
      </c>
      <c r="H3939">
        <v>51</v>
      </c>
      <c r="I3939" t="s">
        <v>34</v>
      </c>
      <c r="J3939" s="4">
        <v>63.6</v>
      </c>
      <c r="K3939" s="4">
        <v>131.4</v>
      </c>
      <c r="L3939" s="4">
        <v>23</v>
      </c>
      <c r="M3939">
        <v>15</v>
      </c>
      <c r="N3939" t="s">
        <v>41</v>
      </c>
      <c r="O3939">
        <v>2</v>
      </c>
      <c r="P3939" s="4">
        <v>3409.4</v>
      </c>
      <c r="Q3939" t="s">
        <v>30</v>
      </c>
      <c r="R3939">
        <v>1</v>
      </c>
      <c r="S3939" t="s">
        <v>44</v>
      </c>
      <c r="T3939">
        <v>1</v>
      </c>
      <c r="U3939">
        <v>0</v>
      </c>
      <c r="V3939" t="s">
        <v>32</v>
      </c>
      <c r="W3939" t="s">
        <v>43</v>
      </c>
      <c r="X3939" s="4">
        <v>7.4</v>
      </c>
      <c r="Y3939">
        <v>7</v>
      </c>
      <c r="Z3939" s="5">
        <v>142.36000000000001</v>
      </c>
    </row>
    <row r="3940" spans="1:26">
      <c r="A3940">
        <v>3939</v>
      </c>
      <c r="B3940">
        <v>1288</v>
      </c>
      <c r="C3940" s="2">
        <v>46047</v>
      </c>
      <c r="D3940" t="s">
        <v>58</v>
      </c>
      <c r="E3940">
        <v>1</v>
      </c>
      <c r="F3940" s="3">
        <v>12.34</v>
      </c>
      <c r="G3940" t="s">
        <v>36</v>
      </c>
      <c r="H3940">
        <v>11</v>
      </c>
      <c r="I3940" t="s">
        <v>28</v>
      </c>
      <c r="J3940" s="4">
        <v>65</v>
      </c>
      <c r="K3940" s="4">
        <v>149.80000000000001</v>
      </c>
      <c r="L3940" s="4">
        <v>25.1</v>
      </c>
      <c r="M3940">
        <v>14</v>
      </c>
      <c r="N3940" t="s">
        <v>47</v>
      </c>
      <c r="O3940">
        <v>3</v>
      </c>
      <c r="P3940" s="4">
        <v>41.6</v>
      </c>
      <c r="Q3940" t="s">
        <v>42</v>
      </c>
      <c r="R3940">
        <v>0</v>
      </c>
      <c r="S3940" t="s">
        <v>44</v>
      </c>
      <c r="T3940">
        <v>0</v>
      </c>
      <c r="U3940">
        <v>0</v>
      </c>
      <c r="V3940" t="s">
        <v>32</v>
      </c>
      <c r="W3940" t="s">
        <v>39</v>
      </c>
      <c r="X3940" s="4">
        <v>4.5</v>
      </c>
      <c r="Y3940">
        <v>3</v>
      </c>
      <c r="Z3940" s="5">
        <v>109.49</v>
      </c>
    </row>
    <row r="3941" spans="1:26">
      <c r="A3941">
        <v>3940</v>
      </c>
      <c r="B3941">
        <v>1288</v>
      </c>
      <c r="C3941" s="2">
        <v>46047</v>
      </c>
      <c r="D3941" t="s">
        <v>58</v>
      </c>
      <c r="E3941">
        <v>1</v>
      </c>
      <c r="F3941" s="3">
        <v>12.39</v>
      </c>
      <c r="G3941" t="s">
        <v>36</v>
      </c>
      <c r="H3941">
        <v>61</v>
      </c>
      <c r="I3941" t="s">
        <v>28</v>
      </c>
      <c r="J3941" s="4">
        <v>69.099999999999994</v>
      </c>
      <c r="K3941" s="4">
        <v>164</v>
      </c>
      <c r="L3941" s="4">
        <v>23.9</v>
      </c>
      <c r="M3941">
        <v>18</v>
      </c>
      <c r="N3941" t="s">
        <v>47</v>
      </c>
      <c r="O3941">
        <v>3</v>
      </c>
      <c r="P3941" s="4">
        <v>41.6</v>
      </c>
      <c r="Q3941" t="s">
        <v>42</v>
      </c>
      <c r="R3941">
        <v>0</v>
      </c>
      <c r="S3941" t="s">
        <v>44</v>
      </c>
      <c r="T3941">
        <v>0</v>
      </c>
      <c r="U3941">
        <v>0</v>
      </c>
      <c r="V3941" t="s">
        <v>32</v>
      </c>
      <c r="W3941" t="s">
        <v>39</v>
      </c>
      <c r="X3941" s="4">
        <v>9.8000000000000007</v>
      </c>
      <c r="Y3941">
        <v>8</v>
      </c>
      <c r="Z3941" s="5">
        <v>194</v>
      </c>
    </row>
    <row r="3942" spans="1:26">
      <c r="A3942">
        <v>3941</v>
      </c>
      <c r="B3942">
        <v>1288</v>
      </c>
      <c r="C3942" s="2">
        <v>46047</v>
      </c>
      <c r="D3942" t="s">
        <v>58</v>
      </c>
      <c r="E3942">
        <v>1</v>
      </c>
      <c r="F3942" s="3">
        <v>12.24</v>
      </c>
      <c r="G3942" t="s">
        <v>36</v>
      </c>
      <c r="H3942">
        <v>43</v>
      </c>
      <c r="I3942" t="s">
        <v>34</v>
      </c>
      <c r="J3942" s="4">
        <v>63.2</v>
      </c>
      <c r="K3942" s="4">
        <v>142.30000000000001</v>
      </c>
      <c r="L3942" s="4">
        <v>25.1</v>
      </c>
      <c r="M3942">
        <v>16</v>
      </c>
      <c r="N3942" t="s">
        <v>47</v>
      </c>
      <c r="O3942">
        <v>3</v>
      </c>
      <c r="P3942" s="4">
        <v>41.6</v>
      </c>
      <c r="Q3942" t="s">
        <v>42</v>
      </c>
      <c r="R3942">
        <v>0</v>
      </c>
      <c r="S3942" t="s">
        <v>44</v>
      </c>
      <c r="T3942">
        <v>0</v>
      </c>
      <c r="U3942">
        <v>0</v>
      </c>
      <c r="V3942" t="s">
        <v>32</v>
      </c>
      <c r="W3942" t="s">
        <v>39</v>
      </c>
      <c r="X3942" s="4">
        <v>8.4</v>
      </c>
      <c r="Y3942">
        <v>9</v>
      </c>
      <c r="Z3942" s="5">
        <v>290.49</v>
      </c>
    </row>
    <row r="3943" spans="1:26">
      <c r="A3943">
        <v>3942</v>
      </c>
      <c r="B3943">
        <v>1289</v>
      </c>
      <c r="C3943" s="2">
        <v>46219</v>
      </c>
      <c r="D3943" t="s">
        <v>55</v>
      </c>
      <c r="E3943">
        <v>7</v>
      </c>
      <c r="F3943" s="3">
        <v>8.81</v>
      </c>
      <c r="G3943" t="s">
        <v>27</v>
      </c>
      <c r="H3943">
        <v>60</v>
      </c>
      <c r="I3943" t="s">
        <v>28</v>
      </c>
      <c r="J3943" s="4">
        <v>68.599999999999994</v>
      </c>
      <c r="K3943" s="4">
        <v>170.7</v>
      </c>
      <c r="L3943" s="4">
        <v>25.4</v>
      </c>
      <c r="M3943">
        <v>13</v>
      </c>
      <c r="N3943" t="s">
        <v>60</v>
      </c>
      <c r="O3943">
        <v>4</v>
      </c>
      <c r="P3943" s="4">
        <v>1432.4</v>
      </c>
      <c r="Q3943" t="s">
        <v>30</v>
      </c>
      <c r="R3943">
        <v>1</v>
      </c>
      <c r="S3943" t="s">
        <v>44</v>
      </c>
      <c r="T3943">
        <v>1</v>
      </c>
      <c r="U3943">
        <v>1</v>
      </c>
      <c r="V3943" t="s">
        <v>45</v>
      </c>
      <c r="W3943" t="s">
        <v>39</v>
      </c>
      <c r="X3943" s="4">
        <v>8.6</v>
      </c>
      <c r="Y3943">
        <v>16</v>
      </c>
      <c r="Z3943" s="5">
        <v>429.39</v>
      </c>
    </row>
    <row r="3944" spans="1:26">
      <c r="A3944">
        <v>3943</v>
      </c>
      <c r="B3944">
        <v>1289</v>
      </c>
      <c r="C3944" s="2">
        <v>46219</v>
      </c>
      <c r="D3944" t="s">
        <v>55</v>
      </c>
      <c r="E3944">
        <v>7</v>
      </c>
      <c r="F3944" s="3">
        <v>9.1199999999999992</v>
      </c>
      <c r="G3944" t="s">
        <v>27</v>
      </c>
      <c r="H3944">
        <v>32</v>
      </c>
      <c r="I3944" t="s">
        <v>34</v>
      </c>
      <c r="J3944" s="4">
        <v>64.3</v>
      </c>
      <c r="K3944" s="4">
        <v>158.9</v>
      </c>
      <c r="L3944" s="4">
        <v>27.1</v>
      </c>
      <c r="M3944">
        <v>10</v>
      </c>
      <c r="N3944" t="s">
        <v>60</v>
      </c>
      <c r="O3944">
        <v>4</v>
      </c>
      <c r="P3944" s="4">
        <v>1432.4</v>
      </c>
      <c r="Q3944" t="s">
        <v>30</v>
      </c>
      <c r="R3944">
        <v>1</v>
      </c>
      <c r="S3944" t="s">
        <v>44</v>
      </c>
      <c r="T3944">
        <v>1</v>
      </c>
      <c r="U3944">
        <v>1</v>
      </c>
      <c r="V3944" t="s">
        <v>45</v>
      </c>
      <c r="W3944" t="s">
        <v>39</v>
      </c>
      <c r="X3944" s="4">
        <v>11.3</v>
      </c>
      <c r="Y3944">
        <v>15</v>
      </c>
      <c r="Z3944" s="5">
        <v>355.42</v>
      </c>
    </row>
    <row r="3945" spans="1:26">
      <c r="A3945">
        <v>3944</v>
      </c>
      <c r="B3945">
        <v>1289</v>
      </c>
      <c r="C3945" s="2">
        <v>46219</v>
      </c>
      <c r="D3945" t="s">
        <v>55</v>
      </c>
      <c r="E3945">
        <v>7</v>
      </c>
      <c r="F3945" s="3">
        <v>9.09</v>
      </c>
      <c r="G3945" t="s">
        <v>27</v>
      </c>
      <c r="H3945">
        <v>30</v>
      </c>
      <c r="I3945" t="s">
        <v>34</v>
      </c>
      <c r="J3945" s="4">
        <v>64.900000000000006</v>
      </c>
      <c r="K3945" s="4">
        <v>140.1</v>
      </c>
      <c r="L3945" s="4">
        <v>23.5</v>
      </c>
      <c r="M3945">
        <v>15</v>
      </c>
      <c r="N3945" t="s">
        <v>60</v>
      </c>
      <c r="O3945">
        <v>4</v>
      </c>
      <c r="P3945" s="4">
        <v>1432.4</v>
      </c>
      <c r="Q3945" t="s">
        <v>30</v>
      </c>
      <c r="R3945">
        <v>1</v>
      </c>
      <c r="S3945" t="s">
        <v>44</v>
      </c>
      <c r="T3945">
        <v>1</v>
      </c>
      <c r="U3945">
        <v>1</v>
      </c>
      <c r="V3945" t="s">
        <v>45</v>
      </c>
      <c r="W3945" t="s">
        <v>39</v>
      </c>
      <c r="X3945" s="4">
        <v>10.5</v>
      </c>
      <c r="Y3945">
        <v>12</v>
      </c>
      <c r="Z3945" s="5">
        <v>355.03</v>
      </c>
    </row>
    <row r="3946" spans="1:26">
      <c r="A3946">
        <v>3945</v>
      </c>
      <c r="B3946">
        <v>1289</v>
      </c>
      <c r="C3946" s="2">
        <v>46219</v>
      </c>
      <c r="D3946" t="s">
        <v>55</v>
      </c>
      <c r="E3946">
        <v>7</v>
      </c>
      <c r="F3946" s="3">
        <v>8.94</v>
      </c>
      <c r="G3946" t="s">
        <v>27</v>
      </c>
      <c r="H3946">
        <v>11</v>
      </c>
      <c r="I3946" t="s">
        <v>28</v>
      </c>
      <c r="J3946" s="4">
        <v>58.7</v>
      </c>
      <c r="K3946" s="4">
        <v>65.7</v>
      </c>
      <c r="L3946" s="4">
        <v>13.4</v>
      </c>
      <c r="M3946">
        <v>12</v>
      </c>
      <c r="N3946" t="s">
        <v>60</v>
      </c>
      <c r="O3946">
        <v>4</v>
      </c>
      <c r="P3946" s="4">
        <v>1432.4</v>
      </c>
      <c r="Q3946" t="s">
        <v>30</v>
      </c>
      <c r="R3946">
        <v>1</v>
      </c>
      <c r="S3946" t="s">
        <v>44</v>
      </c>
      <c r="T3946">
        <v>1</v>
      </c>
      <c r="U3946">
        <v>1</v>
      </c>
      <c r="V3946" t="s">
        <v>45</v>
      </c>
      <c r="W3946" t="s">
        <v>39</v>
      </c>
      <c r="X3946" s="4">
        <v>9.5</v>
      </c>
      <c r="Y3946">
        <v>10</v>
      </c>
      <c r="Z3946" s="5">
        <v>236.82</v>
      </c>
    </row>
    <row r="3947" spans="1:26">
      <c r="A3947">
        <v>3946</v>
      </c>
      <c r="B3947">
        <v>1290</v>
      </c>
      <c r="C3947" s="2">
        <v>46237</v>
      </c>
      <c r="D3947" t="s">
        <v>46</v>
      </c>
      <c r="E3947">
        <v>8</v>
      </c>
      <c r="F3947" s="3">
        <v>8.83</v>
      </c>
      <c r="G3947" t="s">
        <v>27</v>
      </c>
      <c r="H3947">
        <v>41</v>
      </c>
      <c r="I3947" t="s">
        <v>28</v>
      </c>
      <c r="J3947" s="4">
        <v>68.3</v>
      </c>
      <c r="K3947" s="4">
        <v>177.2</v>
      </c>
      <c r="L3947" s="4">
        <v>26.9</v>
      </c>
      <c r="M3947">
        <v>15</v>
      </c>
      <c r="N3947" t="s">
        <v>60</v>
      </c>
      <c r="O3947">
        <v>3</v>
      </c>
      <c r="P3947" s="4">
        <v>1588.6</v>
      </c>
      <c r="Q3947" t="s">
        <v>42</v>
      </c>
      <c r="R3947">
        <v>0</v>
      </c>
      <c r="S3947" t="s">
        <v>44</v>
      </c>
      <c r="T3947">
        <v>0</v>
      </c>
      <c r="U3947">
        <v>0</v>
      </c>
      <c r="V3947" t="s">
        <v>32</v>
      </c>
      <c r="W3947" t="s">
        <v>39</v>
      </c>
      <c r="X3947" s="4">
        <v>8.8000000000000007</v>
      </c>
      <c r="Y3947">
        <v>10</v>
      </c>
      <c r="Z3947" s="5">
        <v>205.96</v>
      </c>
    </row>
    <row r="3948" spans="1:26">
      <c r="A3948">
        <v>3947</v>
      </c>
      <c r="B3948">
        <v>1290</v>
      </c>
      <c r="C3948" s="2">
        <v>46237</v>
      </c>
      <c r="D3948" t="s">
        <v>46</v>
      </c>
      <c r="E3948">
        <v>8</v>
      </c>
      <c r="F3948" s="3">
        <v>8.89</v>
      </c>
      <c r="G3948" t="s">
        <v>27</v>
      </c>
      <c r="H3948">
        <v>47</v>
      </c>
      <c r="I3948" t="s">
        <v>34</v>
      </c>
      <c r="J3948" s="4">
        <v>61.8</v>
      </c>
      <c r="K3948" s="4">
        <v>144.19999999999999</v>
      </c>
      <c r="L3948" s="4">
        <v>26.2</v>
      </c>
      <c r="M3948">
        <v>17</v>
      </c>
      <c r="N3948" t="s">
        <v>60</v>
      </c>
      <c r="O3948">
        <v>3</v>
      </c>
      <c r="P3948" s="4">
        <v>1588.6</v>
      </c>
      <c r="Q3948" t="s">
        <v>42</v>
      </c>
      <c r="R3948">
        <v>0</v>
      </c>
      <c r="S3948" t="s">
        <v>44</v>
      </c>
      <c r="T3948">
        <v>0</v>
      </c>
      <c r="U3948">
        <v>0</v>
      </c>
      <c r="V3948" t="s">
        <v>32</v>
      </c>
      <c r="W3948" t="s">
        <v>39</v>
      </c>
      <c r="X3948" s="4">
        <v>5.4</v>
      </c>
      <c r="Y3948">
        <v>5</v>
      </c>
      <c r="Z3948" s="5">
        <v>124.34</v>
      </c>
    </row>
    <row r="3949" spans="1:26">
      <c r="A3949">
        <v>3948</v>
      </c>
      <c r="B3949">
        <v>1290</v>
      </c>
      <c r="C3949" s="2">
        <v>46237</v>
      </c>
      <c r="D3949" t="s">
        <v>46</v>
      </c>
      <c r="E3949">
        <v>8</v>
      </c>
      <c r="F3949" s="3">
        <v>8.77</v>
      </c>
      <c r="G3949" t="s">
        <v>27</v>
      </c>
      <c r="H3949">
        <v>40</v>
      </c>
      <c r="I3949" t="s">
        <v>34</v>
      </c>
      <c r="J3949" s="4">
        <v>67.400000000000006</v>
      </c>
      <c r="K3949" s="4">
        <v>139.4</v>
      </c>
      <c r="L3949" s="4">
        <v>21.5</v>
      </c>
      <c r="M3949">
        <v>14</v>
      </c>
      <c r="N3949" t="s">
        <v>60</v>
      </c>
      <c r="O3949">
        <v>3</v>
      </c>
      <c r="P3949" s="4">
        <v>1588.6</v>
      </c>
      <c r="Q3949" t="s">
        <v>42</v>
      </c>
      <c r="R3949">
        <v>0</v>
      </c>
      <c r="S3949" t="s">
        <v>44</v>
      </c>
      <c r="T3949">
        <v>0</v>
      </c>
      <c r="U3949">
        <v>0</v>
      </c>
      <c r="V3949" t="s">
        <v>32</v>
      </c>
      <c r="W3949" t="s">
        <v>39</v>
      </c>
      <c r="X3949" s="4">
        <v>6.4</v>
      </c>
      <c r="Y3949">
        <v>7</v>
      </c>
      <c r="Z3949" s="5">
        <v>140.53</v>
      </c>
    </row>
    <row r="3950" spans="1:26">
      <c r="A3950">
        <v>3949</v>
      </c>
      <c r="B3950">
        <v>1291</v>
      </c>
      <c r="C3950" s="2">
        <v>46135</v>
      </c>
      <c r="D3950" t="s">
        <v>55</v>
      </c>
      <c r="E3950">
        <v>4</v>
      </c>
      <c r="F3950" s="3">
        <v>8.7100000000000009</v>
      </c>
      <c r="G3950" t="s">
        <v>27</v>
      </c>
      <c r="H3950">
        <v>52</v>
      </c>
      <c r="I3950" t="s">
        <v>28</v>
      </c>
      <c r="J3950" s="4">
        <v>69.599999999999994</v>
      </c>
      <c r="K3950" s="4">
        <v>176.1</v>
      </c>
      <c r="L3950" s="4">
        <v>25.8</v>
      </c>
      <c r="M3950">
        <v>21</v>
      </c>
      <c r="N3950" t="s">
        <v>50</v>
      </c>
      <c r="O3950">
        <v>3</v>
      </c>
      <c r="P3950" s="4">
        <v>492.9</v>
      </c>
      <c r="Q3950" t="s">
        <v>42</v>
      </c>
      <c r="R3950">
        <v>1</v>
      </c>
      <c r="S3950" t="s">
        <v>38</v>
      </c>
      <c r="T3950">
        <v>0</v>
      </c>
      <c r="U3950">
        <v>0</v>
      </c>
      <c r="V3950" t="s">
        <v>32</v>
      </c>
      <c r="W3950" t="s">
        <v>43</v>
      </c>
      <c r="X3950" s="4">
        <v>9.4</v>
      </c>
      <c r="Y3950">
        <v>14</v>
      </c>
      <c r="Z3950" s="5">
        <v>286.67</v>
      </c>
    </row>
    <row r="3951" spans="1:26">
      <c r="A3951">
        <v>3950</v>
      </c>
      <c r="B3951">
        <v>1291</v>
      </c>
      <c r="C3951" s="2">
        <v>46135</v>
      </c>
      <c r="D3951" t="s">
        <v>55</v>
      </c>
      <c r="E3951">
        <v>4</v>
      </c>
      <c r="F3951" s="3">
        <v>8.58</v>
      </c>
      <c r="G3951" t="s">
        <v>27</v>
      </c>
      <c r="H3951">
        <v>37</v>
      </c>
      <c r="I3951" t="s">
        <v>34</v>
      </c>
      <c r="J3951" s="4">
        <v>66.400000000000006</v>
      </c>
      <c r="K3951" s="4">
        <v>129.9</v>
      </c>
      <c r="L3951" s="4">
        <v>20.7</v>
      </c>
      <c r="M3951">
        <v>15</v>
      </c>
      <c r="N3951" t="s">
        <v>50</v>
      </c>
      <c r="O3951">
        <v>3</v>
      </c>
      <c r="P3951" s="4">
        <v>492.9</v>
      </c>
      <c r="Q3951" t="s">
        <v>42</v>
      </c>
      <c r="R3951">
        <v>1</v>
      </c>
      <c r="S3951" t="s">
        <v>38</v>
      </c>
      <c r="T3951">
        <v>0</v>
      </c>
      <c r="U3951">
        <v>0</v>
      </c>
      <c r="V3951" t="s">
        <v>32</v>
      </c>
      <c r="W3951" t="s">
        <v>43</v>
      </c>
      <c r="X3951" s="4">
        <v>7.8</v>
      </c>
      <c r="Y3951">
        <v>6</v>
      </c>
      <c r="Z3951" s="5">
        <v>171.36</v>
      </c>
    </row>
    <row r="3952" spans="1:26">
      <c r="A3952">
        <v>3951</v>
      </c>
      <c r="B3952">
        <v>1291</v>
      </c>
      <c r="C3952" s="2">
        <v>46135</v>
      </c>
      <c r="D3952" t="s">
        <v>55</v>
      </c>
      <c r="E3952">
        <v>4</v>
      </c>
      <c r="F3952" s="3">
        <v>8.52</v>
      </c>
      <c r="G3952" t="s">
        <v>27</v>
      </c>
      <c r="H3952">
        <v>24</v>
      </c>
      <c r="I3952" t="s">
        <v>34</v>
      </c>
      <c r="J3952" s="4">
        <v>67</v>
      </c>
      <c r="K3952" s="4">
        <v>183</v>
      </c>
      <c r="L3952" s="4">
        <v>28.8</v>
      </c>
      <c r="M3952">
        <v>17</v>
      </c>
      <c r="N3952" t="s">
        <v>50</v>
      </c>
      <c r="O3952">
        <v>3</v>
      </c>
      <c r="P3952" s="4">
        <v>492.9</v>
      </c>
      <c r="Q3952" t="s">
        <v>42</v>
      </c>
      <c r="R3952">
        <v>1</v>
      </c>
      <c r="S3952" t="s">
        <v>38</v>
      </c>
      <c r="T3952">
        <v>0</v>
      </c>
      <c r="U3952">
        <v>0</v>
      </c>
      <c r="V3952" t="s">
        <v>32</v>
      </c>
      <c r="W3952" t="s">
        <v>43</v>
      </c>
      <c r="X3952" s="4">
        <v>11.3</v>
      </c>
      <c r="Y3952">
        <v>13</v>
      </c>
      <c r="Z3952" s="5">
        <v>164.89</v>
      </c>
    </row>
    <row r="3953" spans="1:26">
      <c r="A3953">
        <v>3952</v>
      </c>
      <c r="B3953">
        <v>1292</v>
      </c>
      <c r="C3953" s="2">
        <v>46152</v>
      </c>
      <c r="D3953" t="s">
        <v>58</v>
      </c>
      <c r="E3953">
        <v>5</v>
      </c>
      <c r="F3953" s="3">
        <v>11.5</v>
      </c>
      <c r="G3953" t="s">
        <v>36</v>
      </c>
      <c r="H3953">
        <v>64</v>
      </c>
      <c r="I3953" t="s">
        <v>28</v>
      </c>
      <c r="J3953" s="4">
        <v>72.5</v>
      </c>
      <c r="K3953" s="4">
        <v>198.4</v>
      </c>
      <c r="L3953" s="4">
        <v>26.7</v>
      </c>
      <c r="M3953">
        <v>15</v>
      </c>
      <c r="N3953" t="s">
        <v>37</v>
      </c>
      <c r="O3953">
        <v>3</v>
      </c>
      <c r="P3953" s="4">
        <v>1073.5</v>
      </c>
      <c r="Q3953" t="s">
        <v>42</v>
      </c>
      <c r="R3953">
        <v>0</v>
      </c>
      <c r="S3953" t="s">
        <v>38</v>
      </c>
      <c r="T3953">
        <v>0</v>
      </c>
      <c r="U3953">
        <v>1</v>
      </c>
      <c r="V3953" t="s">
        <v>45</v>
      </c>
      <c r="W3953" t="s">
        <v>33</v>
      </c>
      <c r="X3953" s="4">
        <v>8.5</v>
      </c>
      <c r="Y3953">
        <v>10</v>
      </c>
      <c r="Z3953" s="5">
        <v>244.38</v>
      </c>
    </row>
    <row r="3954" spans="1:26">
      <c r="A3954">
        <v>3953</v>
      </c>
      <c r="B3954">
        <v>1292</v>
      </c>
      <c r="C3954" s="2">
        <v>46152</v>
      </c>
      <c r="D3954" t="s">
        <v>58</v>
      </c>
      <c r="E3954">
        <v>5</v>
      </c>
      <c r="F3954" s="3">
        <v>11.4</v>
      </c>
      <c r="G3954" t="s">
        <v>36</v>
      </c>
      <c r="H3954">
        <v>20</v>
      </c>
      <c r="I3954" t="s">
        <v>34</v>
      </c>
      <c r="J3954" s="4">
        <v>65.900000000000006</v>
      </c>
      <c r="K3954" s="4">
        <v>168.5</v>
      </c>
      <c r="L3954" s="4">
        <v>27.3</v>
      </c>
      <c r="M3954">
        <v>15</v>
      </c>
      <c r="N3954" t="s">
        <v>37</v>
      </c>
      <c r="O3954">
        <v>3</v>
      </c>
      <c r="P3954" s="4">
        <v>1073.5</v>
      </c>
      <c r="Q3954" t="s">
        <v>42</v>
      </c>
      <c r="R3954">
        <v>0</v>
      </c>
      <c r="S3954" t="s">
        <v>38</v>
      </c>
      <c r="T3954">
        <v>0</v>
      </c>
      <c r="U3954">
        <v>1</v>
      </c>
      <c r="V3954" t="s">
        <v>45</v>
      </c>
      <c r="W3954" t="s">
        <v>33</v>
      </c>
      <c r="X3954" s="4">
        <v>8.8000000000000007</v>
      </c>
      <c r="Y3954">
        <v>2</v>
      </c>
      <c r="Z3954" s="5">
        <v>381.29</v>
      </c>
    </row>
    <row r="3955" spans="1:26">
      <c r="A3955">
        <v>3954</v>
      </c>
      <c r="B3955">
        <v>1292</v>
      </c>
      <c r="C3955" s="2">
        <v>46152</v>
      </c>
      <c r="D3955" t="s">
        <v>58</v>
      </c>
      <c r="E3955">
        <v>5</v>
      </c>
      <c r="F3955" s="3">
        <v>11.39</v>
      </c>
      <c r="G3955" t="s">
        <v>36</v>
      </c>
      <c r="H3955">
        <v>23</v>
      </c>
      <c r="I3955" t="s">
        <v>34</v>
      </c>
      <c r="J3955" s="4">
        <v>63.8</v>
      </c>
      <c r="K3955" s="4">
        <v>161.5</v>
      </c>
      <c r="L3955" s="4">
        <v>28</v>
      </c>
      <c r="M3955">
        <v>15</v>
      </c>
      <c r="N3955" t="s">
        <v>37</v>
      </c>
      <c r="O3955">
        <v>3</v>
      </c>
      <c r="P3955" s="4">
        <v>1073.5</v>
      </c>
      <c r="Q3955" t="s">
        <v>42</v>
      </c>
      <c r="R3955">
        <v>0</v>
      </c>
      <c r="S3955" t="s">
        <v>38</v>
      </c>
      <c r="T3955">
        <v>0</v>
      </c>
      <c r="U3955">
        <v>1</v>
      </c>
      <c r="V3955" t="s">
        <v>45</v>
      </c>
      <c r="W3955" t="s">
        <v>33</v>
      </c>
      <c r="X3955" s="4">
        <v>9.1999999999999993</v>
      </c>
      <c r="Y3955">
        <v>13</v>
      </c>
      <c r="Z3955" s="5">
        <v>403.55</v>
      </c>
    </row>
    <row r="3956" spans="1:26">
      <c r="A3956">
        <v>3955</v>
      </c>
      <c r="B3956">
        <v>1293</v>
      </c>
      <c r="C3956" s="2">
        <v>46140</v>
      </c>
      <c r="D3956" t="s">
        <v>35</v>
      </c>
      <c r="E3956">
        <v>4</v>
      </c>
      <c r="F3956" s="3">
        <v>10.87</v>
      </c>
      <c r="G3956" t="s">
        <v>27</v>
      </c>
      <c r="H3956">
        <v>42</v>
      </c>
      <c r="I3956" t="s">
        <v>34</v>
      </c>
      <c r="J3956" s="4">
        <v>68.599999999999994</v>
      </c>
      <c r="K3956" s="4">
        <v>117.6</v>
      </c>
      <c r="L3956" s="4">
        <v>17.7</v>
      </c>
      <c r="M3956">
        <v>16</v>
      </c>
      <c r="N3956" t="s">
        <v>47</v>
      </c>
      <c r="O3956">
        <v>3</v>
      </c>
      <c r="P3956" s="4">
        <v>77.7</v>
      </c>
      <c r="Q3956" t="s">
        <v>42</v>
      </c>
      <c r="R3956">
        <v>0</v>
      </c>
      <c r="S3956" t="s">
        <v>44</v>
      </c>
      <c r="T3956">
        <v>0</v>
      </c>
      <c r="U3956">
        <v>0</v>
      </c>
      <c r="V3956" t="s">
        <v>45</v>
      </c>
      <c r="W3956" t="s">
        <v>43</v>
      </c>
      <c r="X3956" s="4">
        <v>7.6</v>
      </c>
      <c r="Y3956">
        <v>5</v>
      </c>
      <c r="Z3956" s="5">
        <v>149.88999999999999</v>
      </c>
    </row>
    <row r="3957" spans="1:26">
      <c r="A3957">
        <v>3956</v>
      </c>
      <c r="B3957">
        <v>1293</v>
      </c>
      <c r="C3957" s="2">
        <v>46140</v>
      </c>
      <c r="D3957" t="s">
        <v>35</v>
      </c>
      <c r="E3957">
        <v>4</v>
      </c>
      <c r="F3957" s="3">
        <v>10.74</v>
      </c>
      <c r="G3957" t="s">
        <v>27</v>
      </c>
      <c r="H3957">
        <v>37</v>
      </c>
      <c r="I3957" t="s">
        <v>34</v>
      </c>
      <c r="J3957" s="4">
        <v>64.7</v>
      </c>
      <c r="K3957" s="4">
        <v>220.4</v>
      </c>
      <c r="L3957" s="4">
        <v>37.1</v>
      </c>
      <c r="M3957">
        <v>13</v>
      </c>
      <c r="N3957" t="s">
        <v>47</v>
      </c>
      <c r="O3957">
        <v>3</v>
      </c>
      <c r="P3957" s="4">
        <v>77.7</v>
      </c>
      <c r="Q3957" t="s">
        <v>42</v>
      </c>
      <c r="R3957">
        <v>0</v>
      </c>
      <c r="S3957" t="s">
        <v>44</v>
      </c>
      <c r="T3957">
        <v>0</v>
      </c>
      <c r="U3957">
        <v>0</v>
      </c>
      <c r="V3957" t="s">
        <v>45</v>
      </c>
      <c r="W3957" t="s">
        <v>43</v>
      </c>
      <c r="X3957" s="4">
        <v>7.7</v>
      </c>
      <c r="Y3957">
        <v>7</v>
      </c>
      <c r="Z3957" s="5">
        <v>145.15</v>
      </c>
    </row>
    <row r="3958" spans="1:26">
      <c r="A3958">
        <v>3957</v>
      </c>
      <c r="B3958">
        <v>1293</v>
      </c>
      <c r="C3958" s="2">
        <v>46140</v>
      </c>
      <c r="D3958" t="s">
        <v>35</v>
      </c>
      <c r="E3958">
        <v>4</v>
      </c>
      <c r="F3958" s="3">
        <v>10.55</v>
      </c>
      <c r="G3958" t="s">
        <v>27</v>
      </c>
      <c r="H3958">
        <v>23</v>
      </c>
      <c r="I3958" t="s">
        <v>34</v>
      </c>
      <c r="J3958" s="4">
        <v>62.4</v>
      </c>
      <c r="K3958" s="4">
        <v>167.1</v>
      </c>
      <c r="L3958" s="4">
        <v>30.2</v>
      </c>
      <c r="M3958">
        <v>15</v>
      </c>
      <c r="N3958" t="s">
        <v>47</v>
      </c>
      <c r="O3958">
        <v>3</v>
      </c>
      <c r="P3958" s="4">
        <v>77.7</v>
      </c>
      <c r="Q3958" t="s">
        <v>42</v>
      </c>
      <c r="R3958">
        <v>0</v>
      </c>
      <c r="S3958" t="s">
        <v>44</v>
      </c>
      <c r="T3958">
        <v>0</v>
      </c>
      <c r="U3958">
        <v>0</v>
      </c>
      <c r="V3958" t="s">
        <v>45</v>
      </c>
      <c r="W3958" t="s">
        <v>43</v>
      </c>
      <c r="X3958" s="4">
        <v>6.7</v>
      </c>
      <c r="Y3958">
        <v>5</v>
      </c>
      <c r="Z3958" s="5">
        <v>207.45</v>
      </c>
    </row>
    <row r="3959" spans="1:26">
      <c r="A3959">
        <v>3958</v>
      </c>
      <c r="B3959">
        <v>1294</v>
      </c>
      <c r="C3959" s="2">
        <v>46281</v>
      </c>
      <c r="D3959" t="s">
        <v>52</v>
      </c>
      <c r="E3959">
        <v>9</v>
      </c>
      <c r="F3959" s="3">
        <v>9.43</v>
      </c>
      <c r="G3959" t="s">
        <v>27</v>
      </c>
      <c r="H3959">
        <v>57</v>
      </c>
      <c r="I3959" t="s">
        <v>34</v>
      </c>
      <c r="J3959" s="4">
        <v>66.2</v>
      </c>
      <c r="K3959" s="4">
        <v>190.7</v>
      </c>
      <c r="L3959" s="4">
        <v>30.6</v>
      </c>
      <c r="M3959">
        <v>17</v>
      </c>
      <c r="N3959" t="s">
        <v>60</v>
      </c>
      <c r="O3959">
        <v>2</v>
      </c>
      <c r="P3959" s="4">
        <v>1532.8</v>
      </c>
      <c r="Q3959" t="s">
        <v>42</v>
      </c>
      <c r="R3959">
        <v>0</v>
      </c>
      <c r="S3959" t="s">
        <v>31</v>
      </c>
      <c r="T3959">
        <v>0</v>
      </c>
      <c r="U3959">
        <v>1</v>
      </c>
      <c r="V3959" t="s">
        <v>32</v>
      </c>
      <c r="W3959" t="s">
        <v>39</v>
      </c>
      <c r="X3959" s="4">
        <v>8</v>
      </c>
      <c r="Y3959">
        <v>9</v>
      </c>
      <c r="Z3959" s="5">
        <v>260.3</v>
      </c>
    </row>
    <row r="3960" spans="1:26">
      <c r="A3960">
        <v>3959</v>
      </c>
      <c r="B3960">
        <v>1294</v>
      </c>
      <c r="C3960" s="2">
        <v>46281</v>
      </c>
      <c r="D3960" t="s">
        <v>52</v>
      </c>
      <c r="E3960">
        <v>9</v>
      </c>
      <c r="F3960" s="3">
        <v>9.43</v>
      </c>
      <c r="G3960" t="s">
        <v>27</v>
      </c>
      <c r="H3960">
        <v>46</v>
      </c>
      <c r="I3960" t="s">
        <v>34</v>
      </c>
      <c r="J3960" s="4">
        <v>63.9</v>
      </c>
      <c r="K3960" s="4">
        <v>141.69999999999999</v>
      </c>
      <c r="L3960" s="4">
        <v>24.5</v>
      </c>
      <c r="M3960">
        <v>17</v>
      </c>
      <c r="N3960" t="s">
        <v>60</v>
      </c>
      <c r="O3960">
        <v>2</v>
      </c>
      <c r="P3960" s="4">
        <v>1532.8</v>
      </c>
      <c r="Q3960" t="s">
        <v>42</v>
      </c>
      <c r="R3960">
        <v>0</v>
      </c>
      <c r="S3960" t="s">
        <v>31</v>
      </c>
      <c r="T3960">
        <v>0</v>
      </c>
      <c r="U3960">
        <v>1</v>
      </c>
      <c r="V3960" t="s">
        <v>32</v>
      </c>
      <c r="W3960" t="s">
        <v>39</v>
      </c>
      <c r="X3960" s="4">
        <v>10.7</v>
      </c>
      <c r="Y3960">
        <v>8</v>
      </c>
      <c r="Z3960" s="5">
        <v>251.74</v>
      </c>
    </row>
    <row r="3961" spans="1:26">
      <c r="A3961">
        <v>3960</v>
      </c>
      <c r="B3961">
        <v>1295</v>
      </c>
      <c r="C3961" s="2">
        <v>46264</v>
      </c>
      <c r="D3961" t="s">
        <v>58</v>
      </c>
      <c r="E3961">
        <v>8</v>
      </c>
      <c r="F3961" s="3">
        <v>10.25</v>
      </c>
      <c r="G3961" t="s">
        <v>27</v>
      </c>
      <c r="H3961">
        <v>3</v>
      </c>
      <c r="I3961" t="s">
        <v>28</v>
      </c>
      <c r="J3961" s="4">
        <v>50.8</v>
      </c>
      <c r="K3961" s="4">
        <v>74.400000000000006</v>
      </c>
      <c r="L3961" s="4">
        <v>20.399999999999999</v>
      </c>
      <c r="M3961">
        <v>9</v>
      </c>
      <c r="N3961" t="s">
        <v>67</v>
      </c>
      <c r="O3961">
        <v>1</v>
      </c>
      <c r="P3961" s="4">
        <v>2531.1999999999998</v>
      </c>
      <c r="Q3961" t="s">
        <v>30</v>
      </c>
      <c r="R3961">
        <v>1</v>
      </c>
      <c r="S3961" t="s">
        <v>44</v>
      </c>
      <c r="T3961">
        <v>0</v>
      </c>
      <c r="U3961">
        <v>0</v>
      </c>
      <c r="V3961" t="s">
        <v>32</v>
      </c>
      <c r="W3961" t="s">
        <v>39</v>
      </c>
      <c r="X3961" s="4">
        <v>9.4</v>
      </c>
      <c r="Y3961">
        <v>8</v>
      </c>
      <c r="Z3961" s="5">
        <v>256.13</v>
      </c>
    </row>
    <row r="3962" spans="1:26">
      <c r="A3962">
        <v>3961</v>
      </c>
      <c r="B3962">
        <v>1296</v>
      </c>
      <c r="C3962" s="2">
        <v>46294</v>
      </c>
      <c r="D3962" t="s">
        <v>35</v>
      </c>
      <c r="E3962">
        <v>9</v>
      </c>
      <c r="F3962" s="3">
        <v>10.29</v>
      </c>
      <c r="G3962" t="s">
        <v>27</v>
      </c>
      <c r="H3962">
        <v>42</v>
      </c>
      <c r="I3962" t="s">
        <v>28</v>
      </c>
      <c r="J3962" s="4">
        <v>70</v>
      </c>
      <c r="K3962" s="4">
        <v>161.30000000000001</v>
      </c>
      <c r="L3962" s="4">
        <v>23.3</v>
      </c>
      <c r="M3962">
        <v>15</v>
      </c>
      <c r="N3962" t="s">
        <v>59</v>
      </c>
      <c r="O3962">
        <v>5</v>
      </c>
      <c r="P3962" s="4">
        <v>859.5</v>
      </c>
      <c r="Q3962" t="s">
        <v>30</v>
      </c>
      <c r="R3962">
        <v>1</v>
      </c>
      <c r="S3962" t="s">
        <v>44</v>
      </c>
      <c r="T3962">
        <v>0</v>
      </c>
      <c r="U3962">
        <v>1</v>
      </c>
      <c r="V3962" t="s">
        <v>32</v>
      </c>
      <c r="W3962" t="s">
        <v>33</v>
      </c>
      <c r="X3962" s="4">
        <v>8.1</v>
      </c>
      <c r="Y3962">
        <v>3</v>
      </c>
      <c r="Z3962" s="5">
        <v>157.57</v>
      </c>
    </row>
    <row r="3963" spans="1:26">
      <c r="A3963">
        <v>3962</v>
      </c>
      <c r="B3963">
        <v>1296</v>
      </c>
      <c r="C3963" s="2">
        <v>46294</v>
      </c>
      <c r="D3963" t="s">
        <v>35</v>
      </c>
      <c r="E3963">
        <v>9</v>
      </c>
      <c r="F3963" s="3">
        <v>10.45</v>
      </c>
      <c r="G3963" t="s">
        <v>27</v>
      </c>
      <c r="H3963">
        <v>11</v>
      </c>
      <c r="I3963" t="s">
        <v>28</v>
      </c>
      <c r="J3963" s="4">
        <v>65.099999999999994</v>
      </c>
      <c r="K3963" s="4">
        <v>122.2</v>
      </c>
      <c r="L3963" s="4">
        <v>20.2</v>
      </c>
      <c r="M3963">
        <v>10</v>
      </c>
      <c r="N3963" t="s">
        <v>59</v>
      </c>
      <c r="O3963">
        <v>5</v>
      </c>
      <c r="P3963" s="4">
        <v>859.5</v>
      </c>
      <c r="Q3963" t="s">
        <v>30</v>
      </c>
      <c r="R3963">
        <v>1</v>
      </c>
      <c r="S3963" t="s">
        <v>44</v>
      </c>
      <c r="T3963">
        <v>0</v>
      </c>
      <c r="U3963">
        <v>1</v>
      </c>
      <c r="V3963" t="s">
        <v>32</v>
      </c>
      <c r="W3963" t="s">
        <v>33</v>
      </c>
      <c r="X3963" s="4">
        <v>11.2</v>
      </c>
      <c r="Y3963">
        <v>10</v>
      </c>
      <c r="Z3963" s="5">
        <v>282</v>
      </c>
    </row>
    <row r="3964" spans="1:26">
      <c r="A3964">
        <v>3963</v>
      </c>
      <c r="B3964">
        <v>1296</v>
      </c>
      <c r="C3964" s="2">
        <v>46294</v>
      </c>
      <c r="D3964" t="s">
        <v>35</v>
      </c>
      <c r="E3964">
        <v>9</v>
      </c>
      <c r="F3964" s="3">
        <v>10.26</v>
      </c>
      <c r="G3964" t="s">
        <v>27</v>
      </c>
      <c r="H3964">
        <v>64</v>
      </c>
      <c r="I3964" t="s">
        <v>28</v>
      </c>
      <c r="J3964" s="4">
        <v>67.7</v>
      </c>
      <c r="K3964" s="4">
        <v>199.5</v>
      </c>
      <c r="L3964" s="4">
        <v>30.7</v>
      </c>
      <c r="M3964">
        <v>16</v>
      </c>
      <c r="N3964" t="s">
        <v>59</v>
      </c>
      <c r="O3964">
        <v>5</v>
      </c>
      <c r="P3964" s="4">
        <v>859.5</v>
      </c>
      <c r="Q3964" t="s">
        <v>30</v>
      </c>
      <c r="R3964">
        <v>1</v>
      </c>
      <c r="S3964" t="s">
        <v>44</v>
      </c>
      <c r="T3964">
        <v>0</v>
      </c>
      <c r="U3964">
        <v>1</v>
      </c>
      <c r="V3964" t="s">
        <v>32</v>
      </c>
      <c r="W3964" t="s">
        <v>33</v>
      </c>
      <c r="X3964" s="4">
        <v>9.8000000000000007</v>
      </c>
      <c r="Y3964">
        <v>8</v>
      </c>
      <c r="Z3964" s="5">
        <v>240.87</v>
      </c>
    </row>
    <row r="3965" spans="1:26">
      <c r="A3965">
        <v>3964</v>
      </c>
      <c r="B3965">
        <v>1296</v>
      </c>
      <c r="C3965" s="2">
        <v>46294</v>
      </c>
      <c r="D3965" t="s">
        <v>35</v>
      </c>
      <c r="E3965">
        <v>9</v>
      </c>
      <c r="F3965" s="3">
        <v>10.33</v>
      </c>
      <c r="G3965" t="s">
        <v>27</v>
      </c>
      <c r="H3965">
        <v>40</v>
      </c>
      <c r="I3965" t="s">
        <v>28</v>
      </c>
      <c r="J3965" s="4">
        <v>71.7</v>
      </c>
      <c r="K3965" s="4">
        <v>176.3</v>
      </c>
      <c r="L3965" s="4">
        <v>23.8</v>
      </c>
      <c r="M3965">
        <v>16</v>
      </c>
      <c r="N3965" t="s">
        <v>59</v>
      </c>
      <c r="O3965">
        <v>5</v>
      </c>
      <c r="P3965" s="4">
        <v>859.5</v>
      </c>
      <c r="Q3965" t="s">
        <v>30</v>
      </c>
      <c r="R3965">
        <v>1</v>
      </c>
      <c r="S3965" t="s">
        <v>44</v>
      </c>
      <c r="T3965">
        <v>0</v>
      </c>
      <c r="U3965">
        <v>1</v>
      </c>
      <c r="V3965" t="s">
        <v>32</v>
      </c>
      <c r="W3965" t="s">
        <v>33</v>
      </c>
      <c r="X3965" s="4">
        <v>6.6</v>
      </c>
      <c r="Y3965">
        <v>11</v>
      </c>
      <c r="Z3965" s="5">
        <v>147.18</v>
      </c>
    </row>
    <row r="3966" spans="1:26">
      <c r="A3966">
        <v>3965</v>
      </c>
      <c r="B3966">
        <v>1296</v>
      </c>
      <c r="C3966" s="2">
        <v>46294</v>
      </c>
      <c r="D3966" t="s">
        <v>35</v>
      </c>
      <c r="E3966">
        <v>9</v>
      </c>
      <c r="F3966" s="3">
        <v>10.25</v>
      </c>
      <c r="G3966" t="s">
        <v>27</v>
      </c>
      <c r="H3966">
        <v>49</v>
      </c>
      <c r="I3966" t="s">
        <v>28</v>
      </c>
      <c r="J3966" s="4">
        <v>68.099999999999994</v>
      </c>
      <c r="K3966" s="4">
        <v>173.3</v>
      </c>
      <c r="L3966" s="4">
        <v>26.3</v>
      </c>
      <c r="M3966">
        <v>11</v>
      </c>
      <c r="N3966" t="s">
        <v>59</v>
      </c>
      <c r="O3966">
        <v>5</v>
      </c>
      <c r="P3966" s="4">
        <v>859.5</v>
      </c>
      <c r="Q3966" t="s">
        <v>30</v>
      </c>
      <c r="R3966">
        <v>1</v>
      </c>
      <c r="S3966" t="s">
        <v>44</v>
      </c>
      <c r="T3966">
        <v>0</v>
      </c>
      <c r="U3966">
        <v>1</v>
      </c>
      <c r="V3966" t="s">
        <v>32</v>
      </c>
      <c r="W3966" t="s">
        <v>33</v>
      </c>
      <c r="X3966" s="4">
        <v>9.8000000000000007</v>
      </c>
      <c r="Y3966">
        <v>8</v>
      </c>
      <c r="Z3966" s="5">
        <v>525.82000000000005</v>
      </c>
    </row>
    <row r="3967" spans="1:26">
      <c r="A3967">
        <v>3966</v>
      </c>
      <c r="B3967">
        <v>1297</v>
      </c>
      <c r="C3967" s="2">
        <v>46074</v>
      </c>
      <c r="D3967" t="s">
        <v>40</v>
      </c>
      <c r="E3967">
        <v>2</v>
      </c>
      <c r="F3967" s="3">
        <v>10.51</v>
      </c>
      <c r="G3967" t="s">
        <v>27</v>
      </c>
      <c r="H3967">
        <v>71</v>
      </c>
      <c r="I3967" t="s">
        <v>34</v>
      </c>
      <c r="J3967" s="4">
        <v>70.400000000000006</v>
      </c>
      <c r="K3967" s="4">
        <v>163.19999999999999</v>
      </c>
      <c r="L3967" s="4">
        <v>23.4</v>
      </c>
      <c r="M3967">
        <v>17</v>
      </c>
      <c r="N3967" t="s">
        <v>61</v>
      </c>
      <c r="O3967">
        <v>2</v>
      </c>
      <c r="P3967" s="4">
        <v>1423.5</v>
      </c>
      <c r="Q3967" t="s">
        <v>42</v>
      </c>
      <c r="R3967">
        <v>1</v>
      </c>
      <c r="S3967" t="s">
        <v>44</v>
      </c>
      <c r="T3967">
        <v>0</v>
      </c>
      <c r="U3967">
        <v>0</v>
      </c>
      <c r="V3967" t="s">
        <v>32</v>
      </c>
      <c r="W3967" t="s">
        <v>49</v>
      </c>
      <c r="X3967" s="4">
        <v>5.8</v>
      </c>
      <c r="Y3967">
        <v>8</v>
      </c>
      <c r="Z3967" s="5">
        <v>147.06</v>
      </c>
    </row>
    <row r="3968" spans="1:26">
      <c r="A3968">
        <v>3967</v>
      </c>
      <c r="B3968">
        <v>1297</v>
      </c>
      <c r="C3968" s="2">
        <v>46074</v>
      </c>
      <c r="D3968" t="s">
        <v>40</v>
      </c>
      <c r="E3968">
        <v>2</v>
      </c>
      <c r="F3968" s="3">
        <v>10.29</v>
      </c>
      <c r="G3968" t="s">
        <v>27</v>
      </c>
      <c r="H3968">
        <v>9</v>
      </c>
      <c r="I3968" t="s">
        <v>28</v>
      </c>
      <c r="J3968" s="4">
        <v>65.099999999999994</v>
      </c>
      <c r="K3968" s="4">
        <v>125.5</v>
      </c>
      <c r="L3968" s="4">
        <v>20.7</v>
      </c>
      <c r="M3968">
        <v>11</v>
      </c>
      <c r="N3968" t="s">
        <v>61</v>
      </c>
      <c r="O3968">
        <v>2</v>
      </c>
      <c r="P3968" s="4">
        <v>1423.5</v>
      </c>
      <c r="Q3968" t="s">
        <v>42</v>
      </c>
      <c r="R3968">
        <v>1</v>
      </c>
      <c r="S3968" t="s">
        <v>44</v>
      </c>
      <c r="T3968">
        <v>0</v>
      </c>
      <c r="U3968">
        <v>0</v>
      </c>
      <c r="V3968" t="s">
        <v>32</v>
      </c>
      <c r="W3968" t="s">
        <v>49</v>
      </c>
      <c r="X3968" s="4">
        <v>9.8000000000000007</v>
      </c>
      <c r="Y3968">
        <v>12</v>
      </c>
      <c r="Z3968" s="5">
        <v>264.27</v>
      </c>
    </row>
    <row r="3969" spans="1:26">
      <c r="A3969">
        <v>3968</v>
      </c>
      <c r="B3969">
        <v>1298</v>
      </c>
      <c r="C3969" s="2">
        <v>46181</v>
      </c>
      <c r="D3969" t="s">
        <v>46</v>
      </c>
      <c r="E3969">
        <v>6</v>
      </c>
      <c r="F3969" s="3">
        <v>9.43</v>
      </c>
      <c r="G3969" t="s">
        <v>27</v>
      </c>
      <c r="H3969">
        <v>34</v>
      </c>
      <c r="I3969" t="s">
        <v>28</v>
      </c>
      <c r="J3969" s="4">
        <v>69</v>
      </c>
      <c r="K3969" s="4">
        <v>188.4</v>
      </c>
      <c r="L3969" s="4">
        <v>28</v>
      </c>
      <c r="M3969">
        <v>20</v>
      </c>
      <c r="N3969" t="s">
        <v>54</v>
      </c>
      <c r="O3969">
        <v>4</v>
      </c>
      <c r="P3969" s="4">
        <v>2600.1999999999998</v>
      </c>
      <c r="Q3969" t="s">
        <v>48</v>
      </c>
      <c r="R3969">
        <v>0</v>
      </c>
      <c r="S3969" t="s">
        <v>44</v>
      </c>
      <c r="T3969">
        <v>1</v>
      </c>
      <c r="U3969">
        <v>1</v>
      </c>
      <c r="V3969" t="s">
        <v>32</v>
      </c>
      <c r="W3969" t="s">
        <v>33</v>
      </c>
      <c r="X3969" s="4">
        <v>8.4</v>
      </c>
      <c r="Y3969">
        <v>8</v>
      </c>
      <c r="Z3969" s="5">
        <v>144.74</v>
      </c>
    </row>
    <row r="3970" spans="1:26">
      <c r="A3970">
        <v>3969</v>
      </c>
      <c r="B3970">
        <v>1298</v>
      </c>
      <c r="C3970" s="2">
        <v>46181</v>
      </c>
      <c r="D3970" t="s">
        <v>46</v>
      </c>
      <c r="E3970">
        <v>6</v>
      </c>
      <c r="F3970" s="3">
        <v>9.3800000000000008</v>
      </c>
      <c r="G3970" t="s">
        <v>27</v>
      </c>
      <c r="H3970">
        <v>57</v>
      </c>
      <c r="I3970" t="s">
        <v>28</v>
      </c>
      <c r="J3970" s="4">
        <v>68.099999999999994</v>
      </c>
      <c r="K3970" s="4">
        <v>184.9</v>
      </c>
      <c r="L3970" s="4">
        <v>28.4</v>
      </c>
      <c r="M3970">
        <v>19</v>
      </c>
      <c r="N3970" t="s">
        <v>54</v>
      </c>
      <c r="O3970">
        <v>4</v>
      </c>
      <c r="P3970" s="4">
        <v>2600.1999999999998</v>
      </c>
      <c r="Q3970" t="s">
        <v>48</v>
      </c>
      <c r="R3970">
        <v>0</v>
      </c>
      <c r="S3970" t="s">
        <v>44</v>
      </c>
      <c r="T3970">
        <v>1</v>
      </c>
      <c r="U3970">
        <v>1</v>
      </c>
      <c r="V3970" t="s">
        <v>32</v>
      </c>
      <c r="W3970" t="s">
        <v>33</v>
      </c>
      <c r="X3970" s="4">
        <v>9.1</v>
      </c>
      <c r="Y3970">
        <v>9</v>
      </c>
      <c r="Z3970" s="5">
        <v>399.49</v>
      </c>
    </row>
    <row r="3971" spans="1:26">
      <c r="A3971">
        <v>3970</v>
      </c>
      <c r="B3971">
        <v>1298</v>
      </c>
      <c r="C3971" s="2">
        <v>46181</v>
      </c>
      <c r="D3971" t="s">
        <v>46</v>
      </c>
      <c r="E3971">
        <v>6</v>
      </c>
      <c r="F3971" s="3">
        <v>9.2200000000000006</v>
      </c>
      <c r="G3971" t="s">
        <v>27</v>
      </c>
      <c r="H3971">
        <v>53</v>
      </c>
      <c r="I3971" t="s">
        <v>34</v>
      </c>
      <c r="J3971" s="4">
        <v>69.400000000000006</v>
      </c>
      <c r="K3971" s="4">
        <v>155.19999999999999</v>
      </c>
      <c r="L3971" s="4">
        <v>22.6</v>
      </c>
      <c r="M3971">
        <v>19</v>
      </c>
      <c r="N3971" t="s">
        <v>54</v>
      </c>
      <c r="O3971">
        <v>4</v>
      </c>
      <c r="P3971" s="4">
        <v>2600.1999999999998</v>
      </c>
      <c r="Q3971" t="s">
        <v>48</v>
      </c>
      <c r="R3971">
        <v>0</v>
      </c>
      <c r="S3971" t="s">
        <v>44</v>
      </c>
      <c r="T3971">
        <v>1</v>
      </c>
      <c r="U3971">
        <v>1</v>
      </c>
      <c r="V3971" t="s">
        <v>32</v>
      </c>
      <c r="W3971" t="s">
        <v>33</v>
      </c>
      <c r="X3971" s="4">
        <v>9.6999999999999993</v>
      </c>
      <c r="Y3971">
        <v>8</v>
      </c>
      <c r="Z3971" s="5">
        <v>314.75</v>
      </c>
    </row>
    <row r="3972" spans="1:26">
      <c r="A3972">
        <v>3971</v>
      </c>
      <c r="B3972">
        <v>1298</v>
      </c>
      <c r="C3972" s="2">
        <v>46181</v>
      </c>
      <c r="D3972" t="s">
        <v>46</v>
      </c>
      <c r="E3972">
        <v>6</v>
      </c>
      <c r="F3972" s="3">
        <v>9.2899999999999991</v>
      </c>
      <c r="G3972" t="s">
        <v>27</v>
      </c>
      <c r="H3972">
        <v>47</v>
      </c>
      <c r="I3972" t="s">
        <v>34</v>
      </c>
      <c r="J3972" s="4">
        <v>57.8</v>
      </c>
      <c r="K3972" s="4">
        <v>112.1</v>
      </c>
      <c r="L3972" s="4">
        <v>23.4</v>
      </c>
      <c r="M3972">
        <v>17</v>
      </c>
      <c r="N3972" t="s">
        <v>54</v>
      </c>
      <c r="O3972">
        <v>4</v>
      </c>
      <c r="P3972" s="4">
        <v>2600.1999999999998</v>
      </c>
      <c r="Q3972" t="s">
        <v>48</v>
      </c>
      <c r="R3972">
        <v>0</v>
      </c>
      <c r="S3972" t="s">
        <v>44</v>
      </c>
      <c r="T3972">
        <v>1</v>
      </c>
      <c r="U3972">
        <v>1</v>
      </c>
      <c r="V3972" t="s">
        <v>32</v>
      </c>
      <c r="W3972" t="s">
        <v>33</v>
      </c>
      <c r="X3972" s="4">
        <v>7.9</v>
      </c>
      <c r="Y3972">
        <v>10</v>
      </c>
      <c r="Z3972" s="5">
        <v>256.7</v>
      </c>
    </row>
    <row r="3973" spans="1:26">
      <c r="A3973">
        <v>3972</v>
      </c>
      <c r="B3973">
        <v>1299</v>
      </c>
      <c r="C3973" s="2">
        <v>46318</v>
      </c>
      <c r="D3973" t="s">
        <v>26</v>
      </c>
      <c r="E3973">
        <v>10</v>
      </c>
      <c r="F3973" s="3">
        <v>12.12</v>
      </c>
      <c r="G3973" t="s">
        <v>36</v>
      </c>
      <c r="H3973">
        <v>70</v>
      </c>
      <c r="I3973" t="s">
        <v>34</v>
      </c>
      <c r="J3973" s="4">
        <v>68.099999999999994</v>
      </c>
      <c r="K3973" s="4">
        <v>181.4</v>
      </c>
      <c r="L3973" s="4">
        <v>27.4</v>
      </c>
      <c r="M3973">
        <v>17</v>
      </c>
      <c r="N3973" t="s">
        <v>56</v>
      </c>
      <c r="O3973">
        <v>5</v>
      </c>
      <c r="P3973" s="4">
        <v>227.1</v>
      </c>
      <c r="Q3973" t="s">
        <v>48</v>
      </c>
      <c r="R3973">
        <v>0</v>
      </c>
      <c r="S3973" t="s">
        <v>38</v>
      </c>
      <c r="T3973">
        <v>1</v>
      </c>
      <c r="U3973">
        <v>1</v>
      </c>
      <c r="V3973" t="s">
        <v>32</v>
      </c>
      <c r="W3973" t="s">
        <v>49</v>
      </c>
      <c r="X3973" s="4">
        <v>10</v>
      </c>
      <c r="Y3973">
        <v>7</v>
      </c>
      <c r="Z3973" s="5">
        <v>247.23</v>
      </c>
    </row>
    <row r="3974" spans="1:26">
      <c r="A3974">
        <v>3973</v>
      </c>
      <c r="B3974">
        <v>1299</v>
      </c>
      <c r="C3974" s="2">
        <v>46318</v>
      </c>
      <c r="D3974" t="s">
        <v>26</v>
      </c>
      <c r="E3974">
        <v>10</v>
      </c>
      <c r="F3974" s="3">
        <v>12.21</v>
      </c>
      <c r="G3974" t="s">
        <v>36</v>
      </c>
      <c r="H3974">
        <v>50</v>
      </c>
      <c r="I3974" t="s">
        <v>34</v>
      </c>
      <c r="J3974" s="4">
        <v>63.4</v>
      </c>
      <c r="K3974" s="4">
        <v>173.2</v>
      </c>
      <c r="L3974" s="4">
        <v>30.2</v>
      </c>
      <c r="M3974">
        <v>20</v>
      </c>
      <c r="N3974" t="s">
        <v>56</v>
      </c>
      <c r="O3974">
        <v>5</v>
      </c>
      <c r="P3974" s="4">
        <v>227.1</v>
      </c>
      <c r="Q3974" t="s">
        <v>48</v>
      </c>
      <c r="R3974">
        <v>0</v>
      </c>
      <c r="S3974" t="s">
        <v>38</v>
      </c>
      <c r="T3974">
        <v>1</v>
      </c>
      <c r="U3974">
        <v>1</v>
      </c>
      <c r="V3974" t="s">
        <v>32</v>
      </c>
      <c r="W3974" t="s">
        <v>49</v>
      </c>
      <c r="X3974" s="4">
        <v>8.6999999999999993</v>
      </c>
      <c r="Y3974">
        <v>7</v>
      </c>
      <c r="Z3974" s="5">
        <v>404.07</v>
      </c>
    </row>
    <row r="3975" spans="1:26">
      <c r="A3975">
        <v>3974</v>
      </c>
      <c r="B3975">
        <v>1299</v>
      </c>
      <c r="C3975" s="2">
        <v>46318</v>
      </c>
      <c r="D3975" t="s">
        <v>26</v>
      </c>
      <c r="E3975">
        <v>10</v>
      </c>
      <c r="F3975" s="3">
        <v>12.36</v>
      </c>
      <c r="G3975" t="s">
        <v>36</v>
      </c>
      <c r="H3975">
        <v>40</v>
      </c>
      <c r="I3975" t="s">
        <v>28</v>
      </c>
      <c r="J3975" s="4">
        <v>69.099999999999994</v>
      </c>
      <c r="K3975" s="4">
        <v>211.5</v>
      </c>
      <c r="L3975" s="4">
        <v>31.2</v>
      </c>
      <c r="M3975">
        <v>17</v>
      </c>
      <c r="N3975" t="s">
        <v>56</v>
      </c>
      <c r="O3975">
        <v>5</v>
      </c>
      <c r="P3975" s="4">
        <v>227.1</v>
      </c>
      <c r="Q3975" t="s">
        <v>48</v>
      </c>
      <c r="R3975">
        <v>0</v>
      </c>
      <c r="S3975" t="s">
        <v>38</v>
      </c>
      <c r="T3975">
        <v>1</v>
      </c>
      <c r="U3975">
        <v>1</v>
      </c>
      <c r="V3975" t="s">
        <v>32</v>
      </c>
      <c r="W3975" t="s">
        <v>49</v>
      </c>
      <c r="X3975" s="4">
        <v>7.9</v>
      </c>
      <c r="Y3975">
        <v>6</v>
      </c>
      <c r="Z3975" s="5">
        <v>211.19</v>
      </c>
    </row>
    <row r="3976" spans="1:26">
      <c r="A3976">
        <v>3975</v>
      </c>
      <c r="B3976">
        <v>1299</v>
      </c>
      <c r="C3976" s="2">
        <v>46318</v>
      </c>
      <c r="D3976" t="s">
        <v>26</v>
      </c>
      <c r="E3976">
        <v>10</v>
      </c>
      <c r="F3976" s="3">
        <v>12.16</v>
      </c>
      <c r="G3976" t="s">
        <v>36</v>
      </c>
      <c r="H3976">
        <v>42</v>
      </c>
      <c r="I3976" t="s">
        <v>28</v>
      </c>
      <c r="J3976" s="4">
        <v>65.099999999999994</v>
      </c>
      <c r="K3976" s="4">
        <v>127.5</v>
      </c>
      <c r="L3976" s="4">
        <v>21.1</v>
      </c>
      <c r="M3976">
        <v>18</v>
      </c>
      <c r="N3976" t="s">
        <v>56</v>
      </c>
      <c r="O3976">
        <v>5</v>
      </c>
      <c r="P3976" s="4">
        <v>227.1</v>
      </c>
      <c r="Q3976" t="s">
        <v>48</v>
      </c>
      <c r="R3976">
        <v>0</v>
      </c>
      <c r="S3976" t="s">
        <v>38</v>
      </c>
      <c r="T3976">
        <v>1</v>
      </c>
      <c r="U3976">
        <v>1</v>
      </c>
      <c r="V3976" t="s">
        <v>32</v>
      </c>
      <c r="W3976" t="s">
        <v>49</v>
      </c>
      <c r="X3976" s="4">
        <v>9.3000000000000007</v>
      </c>
      <c r="Y3976">
        <v>4</v>
      </c>
      <c r="Z3976" s="5">
        <v>312.13</v>
      </c>
    </row>
    <row r="3977" spans="1:26">
      <c r="A3977">
        <v>3976</v>
      </c>
      <c r="B3977">
        <v>1299</v>
      </c>
      <c r="C3977" s="2">
        <v>46318</v>
      </c>
      <c r="D3977" t="s">
        <v>26</v>
      </c>
      <c r="E3977">
        <v>10</v>
      </c>
      <c r="F3977" s="3">
        <v>12.29</v>
      </c>
      <c r="G3977" t="s">
        <v>36</v>
      </c>
      <c r="H3977">
        <v>34</v>
      </c>
      <c r="I3977" t="s">
        <v>28</v>
      </c>
      <c r="J3977" s="4">
        <v>71.8</v>
      </c>
      <c r="K3977" s="4">
        <v>182.5</v>
      </c>
      <c r="L3977" s="4">
        <v>24.9</v>
      </c>
      <c r="M3977">
        <v>18</v>
      </c>
      <c r="N3977" t="s">
        <v>56</v>
      </c>
      <c r="O3977">
        <v>5</v>
      </c>
      <c r="P3977" s="4">
        <v>227.1</v>
      </c>
      <c r="Q3977" t="s">
        <v>48</v>
      </c>
      <c r="R3977">
        <v>0</v>
      </c>
      <c r="S3977" t="s">
        <v>38</v>
      </c>
      <c r="T3977">
        <v>1</v>
      </c>
      <c r="U3977">
        <v>1</v>
      </c>
      <c r="V3977" t="s">
        <v>32</v>
      </c>
      <c r="W3977" t="s">
        <v>49</v>
      </c>
      <c r="X3977" s="4">
        <v>5.9</v>
      </c>
      <c r="Y3977">
        <v>10</v>
      </c>
      <c r="Z3977" s="5">
        <v>344.5</v>
      </c>
    </row>
    <row r="3978" spans="1:26">
      <c r="A3978">
        <v>3977</v>
      </c>
      <c r="B3978">
        <v>1300</v>
      </c>
      <c r="C3978" s="2">
        <v>46239</v>
      </c>
      <c r="D3978" t="s">
        <v>52</v>
      </c>
      <c r="E3978">
        <v>8</v>
      </c>
      <c r="F3978" s="3">
        <v>9.31</v>
      </c>
      <c r="G3978" t="s">
        <v>27</v>
      </c>
      <c r="H3978">
        <v>3</v>
      </c>
      <c r="I3978" t="s">
        <v>34</v>
      </c>
      <c r="J3978" s="4">
        <v>49.4</v>
      </c>
      <c r="K3978" s="4">
        <v>69</v>
      </c>
      <c r="L3978" s="4">
        <v>20</v>
      </c>
      <c r="M3978">
        <v>12</v>
      </c>
      <c r="N3978" t="s">
        <v>56</v>
      </c>
      <c r="O3978">
        <v>1</v>
      </c>
      <c r="P3978" s="4">
        <v>406</v>
      </c>
      <c r="Q3978" t="s">
        <v>42</v>
      </c>
      <c r="R3978">
        <v>0</v>
      </c>
      <c r="S3978" t="s">
        <v>31</v>
      </c>
      <c r="T3978">
        <v>1</v>
      </c>
      <c r="U3978">
        <v>0</v>
      </c>
      <c r="V3978" t="s">
        <v>32</v>
      </c>
      <c r="W3978" t="s">
        <v>39</v>
      </c>
      <c r="X3978" s="4">
        <v>7.7</v>
      </c>
      <c r="Y3978">
        <v>6</v>
      </c>
      <c r="Z3978" s="5">
        <v>191.39</v>
      </c>
    </row>
    <row r="3979" spans="1:26">
      <c r="A3979">
        <v>3978</v>
      </c>
      <c r="B3979">
        <v>1301</v>
      </c>
      <c r="C3979" s="2">
        <v>46294</v>
      </c>
      <c r="D3979" t="s">
        <v>35</v>
      </c>
      <c r="E3979">
        <v>9</v>
      </c>
      <c r="F3979" s="3">
        <v>9.26</v>
      </c>
      <c r="G3979" t="s">
        <v>27</v>
      </c>
      <c r="H3979">
        <v>31</v>
      </c>
      <c r="I3979" t="s">
        <v>28</v>
      </c>
      <c r="J3979" s="4">
        <v>69.8</v>
      </c>
      <c r="K3979" s="4">
        <v>154.19999999999999</v>
      </c>
      <c r="L3979" s="4">
        <v>22</v>
      </c>
      <c r="M3979">
        <v>11</v>
      </c>
      <c r="N3979" t="s">
        <v>47</v>
      </c>
      <c r="O3979">
        <v>4</v>
      </c>
      <c r="P3979" s="4">
        <v>2</v>
      </c>
      <c r="Q3979" t="s">
        <v>30</v>
      </c>
      <c r="R3979">
        <v>0</v>
      </c>
      <c r="S3979" t="s">
        <v>44</v>
      </c>
      <c r="T3979">
        <v>1</v>
      </c>
      <c r="U3979">
        <v>0</v>
      </c>
      <c r="V3979" t="s">
        <v>32</v>
      </c>
      <c r="W3979" t="s">
        <v>39</v>
      </c>
      <c r="X3979" s="4">
        <v>10.4</v>
      </c>
      <c r="Y3979">
        <v>16</v>
      </c>
      <c r="Z3979" s="5">
        <v>242.42</v>
      </c>
    </row>
    <row r="3980" spans="1:26">
      <c r="A3980">
        <v>3979</v>
      </c>
      <c r="B3980">
        <v>1301</v>
      </c>
      <c r="C3980" s="2">
        <v>46294</v>
      </c>
      <c r="D3980" t="s">
        <v>35</v>
      </c>
      <c r="E3980">
        <v>9</v>
      </c>
      <c r="F3980" s="3">
        <v>9.2200000000000006</v>
      </c>
      <c r="G3980" t="s">
        <v>27</v>
      </c>
      <c r="H3980">
        <v>64</v>
      </c>
      <c r="I3980" t="s">
        <v>28</v>
      </c>
      <c r="J3980" s="4">
        <v>76.7</v>
      </c>
      <c r="K3980" s="4">
        <v>240</v>
      </c>
      <c r="L3980" s="4">
        <v>28.8</v>
      </c>
      <c r="M3980">
        <v>15</v>
      </c>
      <c r="N3980" t="s">
        <v>47</v>
      </c>
      <c r="O3980">
        <v>4</v>
      </c>
      <c r="P3980" s="4">
        <v>2</v>
      </c>
      <c r="Q3980" t="s">
        <v>30</v>
      </c>
      <c r="R3980">
        <v>0</v>
      </c>
      <c r="S3980" t="s">
        <v>44</v>
      </c>
      <c r="T3980">
        <v>1</v>
      </c>
      <c r="U3980">
        <v>0</v>
      </c>
      <c r="V3980" t="s">
        <v>32</v>
      </c>
      <c r="W3980" t="s">
        <v>39</v>
      </c>
      <c r="X3980" s="4">
        <v>7.9</v>
      </c>
      <c r="Y3980">
        <v>6</v>
      </c>
      <c r="Z3980" s="5">
        <v>208.13</v>
      </c>
    </row>
    <row r="3981" spans="1:26">
      <c r="A3981">
        <v>3980</v>
      </c>
      <c r="B3981">
        <v>1301</v>
      </c>
      <c r="C3981" s="2">
        <v>46294</v>
      </c>
      <c r="D3981" t="s">
        <v>35</v>
      </c>
      <c r="E3981">
        <v>9</v>
      </c>
      <c r="F3981" s="3">
        <v>9.36</v>
      </c>
      <c r="G3981" t="s">
        <v>27</v>
      </c>
      <c r="H3981">
        <v>30</v>
      </c>
      <c r="I3981" t="s">
        <v>34</v>
      </c>
      <c r="J3981" s="4">
        <v>67.2</v>
      </c>
      <c r="K3981" s="4">
        <v>155</v>
      </c>
      <c r="L3981" s="4">
        <v>24.1</v>
      </c>
      <c r="M3981">
        <v>15</v>
      </c>
      <c r="N3981" t="s">
        <v>47</v>
      </c>
      <c r="O3981">
        <v>4</v>
      </c>
      <c r="P3981" s="4">
        <v>2</v>
      </c>
      <c r="Q3981" t="s">
        <v>30</v>
      </c>
      <c r="R3981">
        <v>0</v>
      </c>
      <c r="S3981" t="s">
        <v>44</v>
      </c>
      <c r="T3981">
        <v>1</v>
      </c>
      <c r="U3981">
        <v>0</v>
      </c>
      <c r="V3981" t="s">
        <v>32</v>
      </c>
      <c r="W3981" t="s">
        <v>39</v>
      </c>
      <c r="X3981" s="4">
        <v>7.6</v>
      </c>
      <c r="Y3981">
        <v>7</v>
      </c>
      <c r="Z3981" s="5">
        <v>118.79</v>
      </c>
    </row>
    <row r="3982" spans="1:26">
      <c r="A3982">
        <v>3981</v>
      </c>
      <c r="B3982">
        <v>1301</v>
      </c>
      <c r="C3982" s="2">
        <v>46294</v>
      </c>
      <c r="D3982" t="s">
        <v>35</v>
      </c>
      <c r="E3982">
        <v>9</v>
      </c>
      <c r="F3982" s="3">
        <v>9.1</v>
      </c>
      <c r="G3982" t="s">
        <v>27</v>
      </c>
      <c r="H3982">
        <v>58</v>
      </c>
      <c r="I3982" t="s">
        <v>34</v>
      </c>
      <c r="J3982" s="4">
        <v>63.4</v>
      </c>
      <c r="K3982" s="4">
        <v>201.5</v>
      </c>
      <c r="L3982" s="4">
        <v>35</v>
      </c>
      <c r="M3982">
        <v>13</v>
      </c>
      <c r="N3982" t="s">
        <v>47</v>
      </c>
      <c r="O3982">
        <v>4</v>
      </c>
      <c r="P3982" s="4">
        <v>2</v>
      </c>
      <c r="Q3982" t="s">
        <v>30</v>
      </c>
      <c r="R3982">
        <v>0</v>
      </c>
      <c r="S3982" t="s">
        <v>44</v>
      </c>
      <c r="T3982">
        <v>1</v>
      </c>
      <c r="U3982">
        <v>0</v>
      </c>
      <c r="V3982" t="s">
        <v>32</v>
      </c>
      <c r="W3982" t="s">
        <v>39</v>
      </c>
      <c r="X3982" s="4">
        <v>9.6999999999999993</v>
      </c>
      <c r="Y3982">
        <v>5</v>
      </c>
      <c r="Z3982" s="5">
        <v>206.25</v>
      </c>
    </row>
    <row r="3983" spans="1:26">
      <c r="A3983">
        <v>3982</v>
      </c>
      <c r="B3983">
        <v>1302</v>
      </c>
      <c r="C3983" s="2">
        <v>46103</v>
      </c>
      <c r="D3983" t="s">
        <v>58</v>
      </c>
      <c r="E3983">
        <v>3</v>
      </c>
      <c r="F3983" s="3">
        <v>11.29</v>
      </c>
      <c r="G3983" t="s">
        <v>36</v>
      </c>
      <c r="H3983">
        <v>31</v>
      </c>
      <c r="I3983" t="s">
        <v>28</v>
      </c>
      <c r="J3983" s="4">
        <v>68.7</v>
      </c>
      <c r="K3983" s="4">
        <v>151.9</v>
      </c>
      <c r="L3983" s="4">
        <v>22.8</v>
      </c>
      <c r="M3983">
        <v>15</v>
      </c>
      <c r="N3983" t="s">
        <v>65</v>
      </c>
      <c r="O3983">
        <v>4</v>
      </c>
      <c r="P3983" s="4">
        <v>1726.9</v>
      </c>
      <c r="Q3983" t="s">
        <v>42</v>
      </c>
      <c r="R3983">
        <v>1</v>
      </c>
      <c r="S3983" t="s">
        <v>44</v>
      </c>
      <c r="T3983">
        <v>0</v>
      </c>
      <c r="U3983">
        <v>0</v>
      </c>
      <c r="V3983" t="s">
        <v>32</v>
      </c>
      <c r="W3983" t="s">
        <v>43</v>
      </c>
      <c r="X3983" s="4">
        <v>8.4</v>
      </c>
      <c r="Y3983">
        <v>8</v>
      </c>
      <c r="Z3983" s="5">
        <v>231.6</v>
      </c>
    </row>
    <row r="3984" spans="1:26">
      <c r="A3984">
        <v>3983</v>
      </c>
      <c r="B3984">
        <v>1302</v>
      </c>
      <c r="C3984" s="2">
        <v>46103</v>
      </c>
      <c r="D3984" t="s">
        <v>58</v>
      </c>
      <c r="E3984">
        <v>3</v>
      </c>
      <c r="F3984" s="3">
        <v>11.32</v>
      </c>
      <c r="G3984" t="s">
        <v>36</v>
      </c>
      <c r="H3984">
        <v>54</v>
      </c>
      <c r="I3984" t="s">
        <v>28</v>
      </c>
      <c r="J3984" s="4">
        <v>71.7</v>
      </c>
      <c r="K3984" s="4">
        <v>200</v>
      </c>
      <c r="L3984" s="4">
        <v>27.3</v>
      </c>
      <c r="M3984">
        <v>13</v>
      </c>
      <c r="N3984" t="s">
        <v>65</v>
      </c>
      <c r="O3984">
        <v>4</v>
      </c>
      <c r="P3984" s="4">
        <v>1726.9</v>
      </c>
      <c r="Q3984" t="s">
        <v>42</v>
      </c>
      <c r="R3984">
        <v>1</v>
      </c>
      <c r="S3984" t="s">
        <v>44</v>
      </c>
      <c r="T3984">
        <v>0</v>
      </c>
      <c r="U3984">
        <v>0</v>
      </c>
      <c r="V3984" t="s">
        <v>32</v>
      </c>
      <c r="W3984" t="s">
        <v>43</v>
      </c>
      <c r="X3984" s="4">
        <v>9.8000000000000007</v>
      </c>
      <c r="Y3984">
        <v>6</v>
      </c>
      <c r="Z3984" s="5">
        <v>244.89</v>
      </c>
    </row>
    <row r="3985" spans="1:26">
      <c r="A3985">
        <v>3984</v>
      </c>
      <c r="B3985">
        <v>1302</v>
      </c>
      <c r="C3985" s="2">
        <v>46103</v>
      </c>
      <c r="D3985" t="s">
        <v>58</v>
      </c>
      <c r="E3985">
        <v>3</v>
      </c>
      <c r="F3985" s="3">
        <v>11.13</v>
      </c>
      <c r="G3985" t="s">
        <v>36</v>
      </c>
      <c r="H3985">
        <v>31</v>
      </c>
      <c r="I3985" t="s">
        <v>34</v>
      </c>
      <c r="J3985" s="4">
        <v>66.900000000000006</v>
      </c>
      <c r="K3985" s="4">
        <v>131.80000000000001</v>
      </c>
      <c r="L3985" s="4">
        <v>21</v>
      </c>
      <c r="M3985">
        <v>15</v>
      </c>
      <c r="N3985" t="s">
        <v>65</v>
      </c>
      <c r="O3985">
        <v>4</v>
      </c>
      <c r="P3985" s="4">
        <v>1726.9</v>
      </c>
      <c r="Q3985" t="s">
        <v>42</v>
      </c>
      <c r="R3985">
        <v>1</v>
      </c>
      <c r="S3985" t="s">
        <v>44</v>
      </c>
      <c r="T3985">
        <v>0</v>
      </c>
      <c r="U3985">
        <v>0</v>
      </c>
      <c r="V3985" t="s">
        <v>32</v>
      </c>
      <c r="W3985" t="s">
        <v>43</v>
      </c>
      <c r="X3985" s="4">
        <v>9.1999999999999993</v>
      </c>
      <c r="Y3985">
        <v>10</v>
      </c>
      <c r="Z3985" s="5">
        <v>155.41999999999999</v>
      </c>
    </row>
    <row r="3986" spans="1:26">
      <c r="A3986">
        <v>3985</v>
      </c>
      <c r="B3986">
        <v>1302</v>
      </c>
      <c r="C3986" s="2">
        <v>46103</v>
      </c>
      <c r="D3986" t="s">
        <v>58</v>
      </c>
      <c r="E3986">
        <v>3</v>
      </c>
      <c r="F3986" s="3">
        <v>11.13</v>
      </c>
      <c r="G3986" t="s">
        <v>36</v>
      </c>
      <c r="H3986">
        <v>35</v>
      </c>
      <c r="I3986" t="s">
        <v>34</v>
      </c>
      <c r="J3986" s="4">
        <v>67.8</v>
      </c>
      <c r="K3986" s="4">
        <v>162.19999999999999</v>
      </c>
      <c r="L3986" s="4">
        <v>24.7</v>
      </c>
      <c r="M3986">
        <v>11</v>
      </c>
      <c r="N3986" t="s">
        <v>65</v>
      </c>
      <c r="O3986">
        <v>4</v>
      </c>
      <c r="P3986" s="4">
        <v>1726.9</v>
      </c>
      <c r="Q3986" t="s">
        <v>42</v>
      </c>
      <c r="R3986">
        <v>1</v>
      </c>
      <c r="S3986" t="s">
        <v>44</v>
      </c>
      <c r="T3986">
        <v>0</v>
      </c>
      <c r="U3986">
        <v>0</v>
      </c>
      <c r="V3986" t="s">
        <v>32</v>
      </c>
      <c r="W3986" t="s">
        <v>43</v>
      </c>
      <c r="X3986" s="4">
        <v>5.4</v>
      </c>
      <c r="Y3986">
        <v>2</v>
      </c>
      <c r="Z3986" s="5">
        <v>185.3</v>
      </c>
    </row>
    <row r="3987" spans="1:26">
      <c r="A3987">
        <v>3986</v>
      </c>
      <c r="B3987">
        <v>1303</v>
      </c>
      <c r="C3987" s="2">
        <v>46348</v>
      </c>
      <c r="D3987" t="s">
        <v>58</v>
      </c>
      <c r="E3987">
        <v>11</v>
      </c>
      <c r="F3987" s="3">
        <v>9.48</v>
      </c>
      <c r="G3987" t="s">
        <v>27</v>
      </c>
      <c r="H3987">
        <v>18</v>
      </c>
      <c r="I3987" t="s">
        <v>28</v>
      </c>
      <c r="J3987" s="4">
        <v>68.7</v>
      </c>
      <c r="K3987" s="4">
        <v>211.1</v>
      </c>
      <c r="L3987" s="4">
        <v>31.5</v>
      </c>
      <c r="M3987">
        <v>12</v>
      </c>
      <c r="N3987" t="s">
        <v>47</v>
      </c>
      <c r="O3987">
        <v>1</v>
      </c>
      <c r="P3987" s="4">
        <v>58</v>
      </c>
      <c r="Q3987" t="s">
        <v>30</v>
      </c>
      <c r="R3987">
        <v>0</v>
      </c>
      <c r="S3987" t="s">
        <v>44</v>
      </c>
      <c r="T3987">
        <v>0</v>
      </c>
      <c r="U3987">
        <v>1</v>
      </c>
      <c r="V3987" t="s">
        <v>45</v>
      </c>
      <c r="W3987" t="s">
        <v>39</v>
      </c>
      <c r="X3987" s="4">
        <v>8.8000000000000007</v>
      </c>
      <c r="Y3987">
        <v>2</v>
      </c>
      <c r="Z3987" s="5">
        <v>196.1</v>
      </c>
    </row>
    <row r="3988" spans="1:26">
      <c r="A3988">
        <v>3987</v>
      </c>
      <c r="B3988">
        <v>1304</v>
      </c>
      <c r="C3988" s="2">
        <v>46189</v>
      </c>
      <c r="D3988" t="s">
        <v>35</v>
      </c>
      <c r="E3988">
        <v>6</v>
      </c>
      <c r="F3988" s="3">
        <v>9.17</v>
      </c>
      <c r="G3988" t="s">
        <v>27</v>
      </c>
      <c r="H3988">
        <v>34</v>
      </c>
      <c r="I3988" t="s">
        <v>28</v>
      </c>
      <c r="J3988" s="4">
        <v>71.2</v>
      </c>
      <c r="K3988" s="4">
        <v>168.3</v>
      </c>
      <c r="L3988" s="4">
        <v>23.2</v>
      </c>
      <c r="M3988">
        <v>16</v>
      </c>
      <c r="N3988" t="s">
        <v>61</v>
      </c>
      <c r="O3988">
        <v>2</v>
      </c>
      <c r="P3988" s="4">
        <v>1473.5</v>
      </c>
      <c r="Q3988" t="s">
        <v>42</v>
      </c>
      <c r="R3988">
        <v>1</v>
      </c>
      <c r="S3988" t="s">
        <v>44</v>
      </c>
      <c r="T3988">
        <v>0</v>
      </c>
      <c r="U3988">
        <v>0</v>
      </c>
      <c r="V3988" t="s">
        <v>45</v>
      </c>
      <c r="W3988" t="s">
        <v>39</v>
      </c>
      <c r="X3988" s="4">
        <v>8.1999999999999993</v>
      </c>
      <c r="Y3988">
        <v>12</v>
      </c>
      <c r="Z3988" s="5">
        <v>134.35</v>
      </c>
    </row>
    <row r="3989" spans="1:26">
      <c r="A3989">
        <v>3988</v>
      </c>
      <c r="B3989">
        <v>1304</v>
      </c>
      <c r="C3989" s="2">
        <v>46189</v>
      </c>
      <c r="D3989" t="s">
        <v>35</v>
      </c>
      <c r="E3989">
        <v>6</v>
      </c>
      <c r="F3989" s="3">
        <v>9.4</v>
      </c>
      <c r="G3989" t="s">
        <v>27</v>
      </c>
      <c r="H3989">
        <v>81</v>
      </c>
      <c r="I3989" t="s">
        <v>28</v>
      </c>
      <c r="J3989" s="4">
        <v>71.3</v>
      </c>
      <c r="K3989" s="4">
        <v>140.9</v>
      </c>
      <c r="L3989" s="4">
        <v>19.600000000000001</v>
      </c>
      <c r="M3989">
        <v>16</v>
      </c>
      <c r="N3989" t="s">
        <v>61</v>
      </c>
      <c r="O3989">
        <v>2</v>
      </c>
      <c r="P3989" s="4">
        <v>1473.5</v>
      </c>
      <c r="Q3989" t="s">
        <v>42</v>
      </c>
      <c r="R3989">
        <v>1</v>
      </c>
      <c r="S3989" t="s">
        <v>44</v>
      </c>
      <c r="T3989">
        <v>0</v>
      </c>
      <c r="U3989">
        <v>0</v>
      </c>
      <c r="V3989" t="s">
        <v>45</v>
      </c>
      <c r="W3989" t="s">
        <v>39</v>
      </c>
      <c r="X3989" s="4">
        <v>6.3</v>
      </c>
      <c r="Y3989">
        <v>4</v>
      </c>
      <c r="Z3989" s="5">
        <v>126.08</v>
      </c>
    </row>
    <row r="3990" spans="1:26">
      <c r="A3990">
        <v>3989</v>
      </c>
      <c r="B3990">
        <v>1305</v>
      </c>
      <c r="C3990" s="2">
        <v>46112</v>
      </c>
      <c r="D3990" t="s">
        <v>35</v>
      </c>
      <c r="E3990">
        <v>3</v>
      </c>
      <c r="F3990" s="3">
        <v>8.18</v>
      </c>
      <c r="G3990" t="s">
        <v>27</v>
      </c>
      <c r="H3990">
        <v>38</v>
      </c>
      <c r="I3990" t="s">
        <v>34</v>
      </c>
      <c r="J3990" s="4">
        <v>65.599999999999994</v>
      </c>
      <c r="K3990" s="4">
        <v>175.8</v>
      </c>
      <c r="L3990" s="4">
        <v>28.6</v>
      </c>
      <c r="M3990">
        <v>15</v>
      </c>
      <c r="N3990" t="s">
        <v>47</v>
      </c>
      <c r="O3990">
        <v>3</v>
      </c>
      <c r="P3990" s="4">
        <v>2</v>
      </c>
      <c r="Q3990" t="s">
        <v>48</v>
      </c>
      <c r="R3990">
        <v>0</v>
      </c>
      <c r="S3990" t="s">
        <v>38</v>
      </c>
      <c r="T3990">
        <v>1</v>
      </c>
      <c r="U3990">
        <v>0</v>
      </c>
      <c r="V3990" t="s">
        <v>45</v>
      </c>
      <c r="W3990" t="s">
        <v>49</v>
      </c>
      <c r="X3990" s="4">
        <v>9.5</v>
      </c>
      <c r="Y3990">
        <v>10</v>
      </c>
      <c r="Z3990" s="5">
        <v>336.11</v>
      </c>
    </row>
    <row r="3991" spans="1:26">
      <c r="A3991">
        <v>3990</v>
      </c>
      <c r="B3991">
        <v>1305</v>
      </c>
      <c r="C3991" s="2">
        <v>46112</v>
      </c>
      <c r="D3991" t="s">
        <v>35</v>
      </c>
      <c r="E3991">
        <v>3</v>
      </c>
      <c r="F3991" s="3">
        <v>8.26</v>
      </c>
      <c r="G3991" t="s">
        <v>27</v>
      </c>
      <c r="H3991">
        <v>14</v>
      </c>
      <c r="I3991" t="s">
        <v>28</v>
      </c>
      <c r="J3991" s="4">
        <v>69.599999999999994</v>
      </c>
      <c r="K3991" s="4">
        <v>91.2</v>
      </c>
      <c r="L3991" s="4">
        <v>13.2</v>
      </c>
      <c r="M3991">
        <v>13</v>
      </c>
      <c r="N3991" t="s">
        <v>47</v>
      </c>
      <c r="O3991">
        <v>3</v>
      </c>
      <c r="P3991" s="4">
        <v>2</v>
      </c>
      <c r="Q3991" t="s">
        <v>48</v>
      </c>
      <c r="R3991">
        <v>0</v>
      </c>
      <c r="S3991" t="s">
        <v>38</v>
      </c>
      <c r="T3991">
        <v>1</v>
      </c>
      <c r="U3991">
        <v>0</v>
      </c>
      <c r="V3991" t="s">
        <v>45</v>
      </c>
      <c r="W3991" t="s">
        <v>49</v>
      </c>
      <c r="X3991" s="4">
        <v>10.199999999999999</v>
      </c>
      <c r="Y3991">
        <v>11</v>
      </c>
      <c r="Z3991" s="5">
        <v>211.56</v>
      </c>
    </row>
    <row r="3992" spans="1:26">
      <c r="A3992">
        <v>3991</v>
      </c>
      <c r="B3992">
        <v>1305</v>
      </c>
      <c r="C3992" s="2">
        <v>46112</v>
      </c>
      <c r="D3992" t="s">
        <v>35</v>
      </c>
      <c r="E3992">
        <v>3</v>
      </c>
      <c r="F3992" s="3">
        <v>8.2899999999999991</v>
      </c>
      <c r="G3992" t="s">
        <v>27</v>
      </c>
      <c r="H3992">
        <v>69</v>
      </c>
      <c r="I3992" t="s">
        <v>28</v>
      </c>
      <c r="J3992" s="4">
        <v>68.099999999999994</v>
      </c>
      <c r="K3992" s="4">
        <v>123.2</v>
      </c>
      <c r="L3992" s="4">
        <v>18.7</v>
      </c>
      <c r="M3992">
        <v>20</v>
      </c>
      <c r="N3992" t="s">
        <v>47</v>
      </c>
      <c r="O3992">
        <v>3</v>
      </c>
      <c r="P3992" s="4">
        <v>2</v>
      </c>
      <c r="Q3992" t="s">
        <v>48</v>
      </c>
      <c r="R3992">
        <v>0</v>
      </c>
      <c r="S3992" t="s">
        <v>38</v>
      </c>
      <c r="T3992">
        <v>1</v>
      </c>
      <c r="U3992">
        <v>0</v>
      </c>
      <c r="V3992" t="s">
        <v>45</v>
      </c>
      <c r="W3992" t="s">
        <v>49</v>
      </c>
      <c r="X3992" s="4">
        <v>7.6</v>
      </c>
      <c r="Y3992">
        <v>11</v>
      </c>
      <c r="Z3992" s="5">
        <v>153.68</v>
      </c>
    </row>
    <row r="3993" spans="1:26">
      <c r="A3993">
        <v>3992</v>
      </c>
      <c r="B3993">
        <v>1306</v>
      </c>
      <c r="C3993" s="2">
        <v>46234</v>
      </c>
      <c r="D3993" t="s">
        <v>26</v>
      </c>
      <c r="E3993">
        <v>7</v>
      </c>
      <c r="F3993" s="3">
        <v>9.81</v>
      </c>
      <c r="G3993" t="s">
        <v>27</v>
      </c>
      <c r="H3993">
        <v>20</v>
      </c>
      <c r="I3993" t="s">
        <v>34</v>
      </c>
      <c r="J3993" s="4">
        <v>64.7</v>
      </c>
      <c r="K3993" s="4">
        <v>155.80000000000001</v>
      </c>
      <c r="L3993" s="4">
        <v>26.3</v>
      </c>
      <c r="M3993">
        <v>12</v>
      </c>
      <c r="N3993" t="s">
        <v>56</v>
      </c>
      <c r="O3993">
        <v>2</v>
      </c>
      <c r="P3993" s="4">
        <v>246.6</v>
      </c>
      <c r="Q3993" t="s">
        <v>42</v>
      </c>
      <c r="R3993">
        <v>0</v>
      </c>
      <c r="S3993" t="s">
        <v>38</v>
      </c>
      <c r="T3993">
        <v>1</v>
      </c>
      <c r="U3993">
        <v>0</v>
      </c>
      <c r="V3993" t="s">
        <v>32</v>
      </c>
      <c r="W3993" t="s">
        <v>39</v>
      </c>
      <c r="X3993" s="4">
        <v>10.4</v>
      </c>
      <c r="Y3993">
        <v>7</v>
      </c>
      <c r="Z3993" s="5">
        <v>161.88999999999999</v>
      </c>
    </row>
    <row r="3994" spans="1:26">
      <c r="A3994">
        <v>3993</v>
      </c>
      <c r="B3994">
        <v>1306</v>
      </c>
      <c r="C3994" s="2">
        <v>46234</v>
      </c>
      <c r="D3994" t="s">
        <v>26</v>
      </c>
      <c r="E3994">
        <v>7</v>
      </c>
      <c r="F3994" s="3">
        <v>9.82</v>
      </c>
      <c r="G3994" t="s">
        <v>27</v>
      </c>
      <c r="H3994">
        <v>12</v>
      </c>
      <c r="I3994" t="s">
        <v>28</v>
      </c>
      <c r="J3994" s="4">
        <v>67.900000000000006</v>
      </c>
      <c r="K3994" s="4">
        <v>96.8</v>
      </c>
      <c r="L3994" s="4">
        <v>14.7</v>
      </c>
      <c r="M3994">
        <v>9</v>
      </c>
      <c r="N3994" t="s">
        <v>56</v>
      </c>
      <c r="O3994">
        <v>2</v>
      </c>
      <c r="P3994" s="4">
        <v>246.6</v>
      </c>
      <c r="Q3994" t="s">
        <v>42</v>
      </c>
      <c r="R3994">
        <v>0</v>
      </c>
      <c r="S3994" t="s">
        <v>38</v>
      </c>
      <c r="T3994">
        <v>1</v>
      </c>
      <c r="U3994">
        <v>0</v>
      </c>
      <c r="V3994" t="s">
        <v>32</v>
      </c>
      <c r="W3994" t="s">
        <v>39</v>
      </c>
      <c r="X3994" s="4">
        <v>10.4</v>
      </c>
      <c r="Y3994">
        <v>12</v>
      </c>
      <c r="Z3994" s="5">
        <v>293.38</v>
      </c>
    </row>
    <row r="3995" spans="1:26">
      <c r="A3995">
        <v>3994</v>
      </c>
      <c r="B3995">
        <v>1307</v>
      </c>
      <c r="C3995" s="2">
        <v>46096</v>
      </c>
      <c r="D3995" t="s">
        <v>58</v>
      </c>
      <c r="E3995">
        <v>3</v>
      </c>
      <c r="F3995" s="3">
        <v>12.01</v>
      </c>
      <c r="G3995" t="s">
        <v>36</v>
      </c>
      <c r="H3995">
        <v>58</v>
      </c>
      <c r="I3995" t="s">
        <v>34</v>
      </c>
      <c r="J3995" s="4">
        <v>67</v>
      </c>
      <c r="K3995" s="4">
        <v>195.6</v>
      </c>
      <c r="L3995" s="4">
        <v>30.8</v>
      </c>
      <c r="M3995">
        <v>16</v>
      </c>
      <c r="N3995" t="s">
        <v>50</v>
      </c>
      <c r="O3995">
        <v>2</v>
      </c>
      <c r="P3995" s="4">
        <v>537.79999999999995</v>
      </c>
      <c r="Q3995" t="s">
        <v>42</v>
      </c>
      <c r="R3995">
        <v>1</v>
      </c>
      <c r="S3995" t="s">
        <v>44</v>
      </c>
      <c r="T3995">
        <v>1</v>
      </c>
      <c r="U3995">
        <v>0</v>
      </c>
      <c r="V3995" t="s">
        <v>32</v>
      </c>
      <c r="W3995" t="s">
        <v>39</v>
      </c>
      <c r="X3995" s="4">
        <v>5.9</v>
      </c>
      <c r="Y3995">
        <v>4</v>
      </c>
      <c r="Z3995" s="5">
        <v>184.52</v>
      </c>
    </row>
    <row r="3996" spans="1:26">
      <c r="A3996">
        <v>3995</v>
      </c>
      <c r="B3996">
        <v>1307</v>
      </c>
      <c r="C3996" s="2">
        <v>46096</v>
      </c>
      <c r="D3996" t="s">
        <v>58</v>
      </c>
      <c r="E3996">
        <v>3</v>
      </c>
      <c r="F3996" s="3">
        <v>11.97</v>
      </c>
      <c r="G3996" t="s">
        <v>36</v>
      </c>
      <c r="H3996">
        <v>31</v>
      </c>
      <c r="I3996" t="s">
        <v>34</v>
      </c>
      <c r="J3996" s="4">
        <v>69.400000000000006</v>
      </c>
      <c r="K3996" s="4">
        <v>196.9</v>
      </c>
      <c r="L3996" s="4">
        <v>28.5</v>
      </c>
      <c r="M3996">
        <v>17</v>
      </c>
      <c r="N3996" t="s">
        <v>50</v>
      </c>
      <c r="O3996">
        <v>2</v>
      </c>
      <c r="P3996" s="4">
        <v>537.79999999999995</v>
      </c>
      <c r="Q3996" t="s">
        <v>42</v>
      </c>
      <c r="R3996">
        <v>1</v>
      </c>
      <c r="S3996" t="s">
        <v>44</v>
      </c>
      <c r="T3996">
        <v>1</v>
      </c>
      <c r="U3996">
        <v>0</v>
      </c>
      <c r="V3996" t="s">
        <v>32</v>
      </c>
      <c r="W3996" t="s">
        <v>39</v>
      </c>
      <c r="X3996" s="4">
        <v>8.6999999999999993</v>
      </c>
      <c r="Y3996">
        <v>4</v>
      </c>
      <c r="Z3996" s="5">
        <v>226.22</v>
      </c>
    </row>
    <row r="3997" spans="1:26">
      <c r="A3997">
        <v>3996</v>
      </c>
      <c r="B3997">
        <v>1308</v>
      </c>
      <c r="C3997" s="2">
        <v>46387</v>
      </c>
      <c r="D3997" t="s">
        <v>55</v>
      </c>
      <c r="E3997">
        <v>12</v>
      </c>
      <c r="F3997" s="3">
        <v>10.28</v>
      </c>
      <c r="G3997" t="s">
        <v>27</v>
      </c>
      <c r="H3997">
        <v>29</v>
      </c>
      <c r="I3997" t="s">
        <v>28</v>
      </c>
      <c r="J3997" s="4">
        <v>68.599999999999994</v>
      </c>
      <c r="K3997" s="4">
        <v>179.4</v>
      </c>
      <c r="L3997" s="4">
        <v>26.6</v>
      </c>
      <c r="M3997">
        <v>15</v>
      </c>
      <c r="N3997" t="s">
        <v>47</v>
      </c>
      <c r="O3997">
        <v>3</v>
      </c>
      <c r="P3997" s="4">
        <v>108</v>
      </c>
      <c r="Q3997" t="s">
        <v>48</v>
      </c>
      <c r="R3997">
        <v>0</v>
      </c>
      <c r="S3997" t="s">
        <v>31</v>
      </c>
      <c r="T3997">
        <v>0</v>
      </c>
      <c r="U3997">
        <v>0</v>
      </c>
      <c r="V3997" t="s">
        <v>32</v>
      </c>
      <c r="W3997" t="s">
        <v>43</v>
      </c>
      <c r="X3997" s="4">
        <v>6.4</v>
      </c>
      <c r="Y3997">
        <v>4</v>
      </c>
      <c r="Z3997" s="5">
        <v>148.24</v>
      </c>
    </row>
    <row r="3998" spans="1:26">
      <c r="A3998">
        <v>3997</v>
      </c>
      <c r="B3998">
        <v>1308</v>
      </c>
      <c r="C3998" s="2">
        <v>46387</v>
      </c>
      <c r="D3998" t="s">
        <v>55</v>
      </c>
      <c r="E3998">
        <v>12</v>
      </c>
      <c r="F3998" s="3">
        <v>10.38</v>
      </c>
      <c r="G3998" t="s">
        <v>27</v>
      </c>
      <c r="H3998">
        <v>26</v>
      </c>
      <c r="I3998" t="s">
        <v>34</v>
      </c>
      <c r="J3998" s="4">
        <v>61.7</v>
      </c>
      <c r="K3998" s="4">
        <v>98.9</v>
      </c>
      <c r="L3998" s="4">
        <v>18.3</v>
      </c>
      <c r="M3998">
        <v>15</v>
      </c>
      <c r="N3998" t="s">
        <v>47</v>
      </c>
      <c r="O3998">
        <v>3</v>
      </c>
      <c r="P3998" s="4">
        <v>108</v>
      </c>
      <c r="Q3998" t="s">
        <v>48</v>
      </c>
      <c r="R3998">
        <v>0</v>
      </c>
      <c r="S3998" t="s">
        <v>31</v>
      </c>
      <c r="T3998">
        <v>0</v>
      </c>
      <c r="U3998">
        <v>0</v>
      </c>
      <c r="V3998" t="s">
        <v>32</v>
      </c>
      <c r="W3998" t="s">
        <v>43</v>
      </c>
      <c r="X3998" s="4">
        <v>7.8</v>
      </c>
      <c r="Y3998">
        <v>11</v>
      </c>
      <c r="Z3998" s="5">
        <v>212</v>
      </c>
    </row>
    <row r="3999" spans="1:26">
      <c r="A3999">
        <v>3998</v>
      </c>
      <c r="B3999">
        <v>1308</v>
      </c>
      <c r="C3999" s="2">
        <v>46387</v>
      </c>
      <c r="D3999" t="s">
        <v>55</v>
      </c>
      <c r="E3999">
        <v>12</v>
      </c>
      <c r="F3999" s="3">
        <v>10.25</v>
      </c>
      <c r="G3999" t="s">
        <v>27</v>
      </c>
      <c r="H3999">
        <v>43</v>
      </c>
      <c r="I3999" t="s">
        <v>34</v>
      </c>
      <c r="J3999" s="4">
        <v>61.9</v>
      </c>
      <c r="K3999" s="4">
        <v>121.3</v>
      </c>
      <c r="L3999" s="4">
        <v>22.2</v>
      </c>
      <c r="M3999">
        <v>17</v>
      </c>
      <c r="N3999" t="s">
        <v>47</v>
      </c>
      <c r="O3999">
        <v>3</v>
      </c>
      <c r="P3999" s="4">
        <v>108</v>
      </c>
      <c r="Q3999" t="s">
        <v>48</v>
      </c>
      <c r="R3999">
        <v>0</v>
      </c>
      <c r="S3999" t="s">
        <v>31</v>
      </c>
      <c r="T3999">
        <v>0</v>
      </c>
      <c r="U3999">
        <v>0</v>
      </c>
      <c r="V3999" t="s">
        <v>32</v>
      </c>
      <c r="W3999" t="s">
        <v>43</v>
      </c>
      <c r="X3999" s="4">
        <v>9.4</v>
      </c>
      <c r="Y3999">
        <v>5</v>
      </c>
      <c r="Z3999" s="5">
        <v>296.58</v>
      </c>
    </row>
    <row r="4000" spans="1:26">
      <c r="A4000">
        <v>3999</v>
      </c>
      <c r="B4000">
        <v>1309</v>
      </c>
      <c r="C4000" s="2">
        <v>46083</v>
      </c>
      <c r="D4000" t="s">
        <v>46</v>
      </c>
      <c r="E4000">
        <v>3</v>
      </c>
      <c r="F4000" s="3">
        <v>10.61</v>
      </c>
      <c r="G4000" t="s">
        <v>27</v>
      </c>
      <c r="H4000">
        <v>18</v>
      </c>
      <c r="I4000" t="s">
        <v>51</v>
      </c>
      <c r="J4000" s="4">
        <v>68.3</v>
      </c>
      <c r="K4000" s="4">
        <v>221.7</v>
      </c>
      <c r="L4000" s="4">
        <v>33.6</v>
      </c>
      <c r="M4000">
        <v>17</v>
      </c>
      <c r="N4000" t="s">
        <v>53</v>
      </c>
      <c r="O4000">
        <v>3</v>
      </c>
      <c r="P4000" s="4">
        <v>948.7</v>
      </c>
      <c r="Q4000" t="s">
        <v>48</v>
      </c>
      <c r="R4000">
        <v>1</v>
      </c>
      <c r="S4000" t="s">
        <v>31</v>
      </c>
      <c r="T4000">
        <v>0</v>
      </c>
      <c r="U4000">
        <v>1</v>
      </c>
      <c r="V4000" t="s">
        <v>32</v>
      </c>
      <c r="W4000" t="s">
        <v>33</v>
      </c>
      <c r="X4000" s="4">
        <v>8.4</v>
      </c>
      <c r="Y4000">
        <v>15</v>
      </c>
      <c r="Z4000" s="5">
        <v>407.43</v>
      </c>
    </row>
    <row r="4001" spans="1:26">
      <c r="A4001">
        <v>4000</v>
      </c>
      <c r="B4001">
        <v>1309</v>
      </c>
      <c r="C4001" s="2">
        <v>46083</v>
      </c>
      <c r="D4001" t="s">
        <v>46</v>
      </c>
      <c r="E4001">
        <v>3</v>
      </c>
      <c r="F4001" s="3">
        <v>10.53</v>
      </c>
      <c r="G4001" t="s">
        <v>27</v>
      </c>
      <c r="H4001">
        <v>30</v>
      </c>
      <c r="I4001" t="s">
        <v>34</v>
      </c>
      <c r="J4001" s="4">
        <v>68.3</v>
      </c>
      <c r="K4001" s="4">
        <v>156.19999999999999</v>
      </c>
      <c r="L4001" s="4">
        <v>23.8</v>
      </c>
      <c r="M4001">
        <v>16</v>
      </c>
      <c r="N4001" t="s">
        <v>53</v>
      </c>
      <c r="O4001">
        <v>3</v>
      </c>
      <c r="P4001" s="4">
        <v>948.7</v>
      </c>
      <c r="Q4001" t="s">
        <v>48</v>
      </c>
      <c r="R4001">
        <v>1</v>
      </c>
      <c r="S4001" t="s">
        <v>31</v>
      </c>
      <c r="T4001">
        <v>0</v>
      </c>
      <c r="U4001">
        <v>1</v>
      </c>
      <c r="V4001" t="s">
        <v>32</v>
      </c>
      <c r="W4001" t="s">
        <v>33</v>
      </c>
      <c r="X4001" s="4">
        <v>9.1</v>
      </c>
      <c r="Y4001">
        <v>7</v>
      </c>
      <c r="Z4001" s="5">
        <v>369.71</v>
      </c>
    </row>
    <row r="4002" spans="1:26">
      <c r="A4002">
        <v>4001</v>
      </c>
      <c r="B4002">
        <v>1309</v>
      </c>
      <c r="C4002" s="2">
        <v>46083</v>
      </c>
      <c r="D4002" t="s">
        <v>46</v>
      </c>
      <c r="E4002">
        <v>3</v>
      </c>
      <c r="F4002" s="3">
        <v>10.66</v>
      </c>
      <c r="G4002" t="s">
        <v>27</v>
      </c>
      <c r="H4002">
        <v>63</v>
      </c>
      <c r="I4002" t="s">
        <v>28</v>
      </c>
      <c r="J4002" s="4">
        <v>70.2</v>
      </c>
      <c r="K4002" s="4">
        <v>172.9</v>
      </c>
      <c r="L4002" s="4">
        <v>24.7</v>
      </c>
      <c r="M4002">
        <v>17</v>
      </c>
      <c r="N4002" t="s">
        <v>53</v>
      </c>
      <c r="O4002">
        <v>3</v>
      </c>
      <c r="P4002" s="4">
        <v>948.7</v>
      </c>
      <c r="Q4002" t="s">
        <v>48</v>
      </c>
      <c r="R4002">
        <v>1</v>
      </c>
      <c r="S4002" t="s">
        <v>31</v>
      </c>
      <c r="T4002">
        <v>0</v>
      </c>
      <c r="U4002">
        <v>1</v>
      </c>
      <c r="V4002" t="s">
        <v>32</v>
      </c>
      <c r="W4002" t="s">
        <v>33</v>
      </c>
      <c r="X4002" s="4">
        <v>7.3</v>
      </c>
      <c r="Y4002">
        <v>4</v>
      </c>
      <c r="Z4002" s="5">
        <v>263.24</v>
      </c>
    </row>
    <row r="4003" spans="1:26">
      <c r="A4003">
        <v>4002</v>
      </c>
      <c r="B4003">
        <v>1310</v>
      </c>
      <c r="C4003" s="2">
        <v>46227</v>
      </c>
      <c r="D4003" t="s">
        <v>26</v>
      </c>
      <c r="E4003">
        <v>7</v>
      </c>
      <c r="F4003" s="3">
        <v>9.73</v>
      </c>
      <c r="G4003" t="s">
        <v>27</v>
      </c>
      <c r="H4003">
        <v>32</v>
      </c>
      <c r="I4003" t="s">
        <v>28</v>
      </c>
      <c r="J4003" s="4">
        <v>74.2</v>
      </c>
      <c r="K4003" s="4">
        <v>182.1</v>
      </c>
      <c r="L4003" s="4">
        <v>23.3</v>
      </c>
      <c r="M4003">
        <v>15</v>
      </c>
      <c r="N4003" t="s">
        <v>47</v>
      </c>
      <c r="O4003">
        <v>4</v>
      </c>
      <c r="P4003" s="4">
        <v>82.4</v>
      </c>
      <c r="Q4003" t="s">
        <v>30</v>
      </c>
      <c r="R4003">
        <v>0</v>
      </c>
      <c r="S4003" t="s">
        <v>44</v>
      </c>
      <c r="T4003">
        <v>0</v>
      </c>
      <c r="U4003">
        <v>1</v>
      </c>
      <c r="V4003" t="s">
        <v>45</v>
      </c>
      <c r="W4003" t="s">
        <v>33</v>
      </c>
      <c r="X4003" s="4">
        <v>9.1</v>
      </c>
      <c r="Y4003">
        <v>15</v>
      </c>
      <c r="Z4003" s="5">
        <v>204.4</v>
      </c>
    </row>
    <row r="4004" spans="1:26">
      <c r="A4004">
        <v>4003</v>
      </c>
      <c r="B4004">
        <v>1310</v>
      </c>
      <c r="C4004" s="2">
        <v>46227</v>
      </c>
      <c r="D4004" t="s">
        <v>26</v>
      </c>
      <c r="E4004">
        <v>7</v>
      </c>
      <c r="F4004" s="3">
        <v>9.9499999999999993</v>
      </c>
      <c r="G4004" t="s">
        <v>27</v>
      </c>
      <c r="H4004">
        <v>64</v>
      </c>
      <c r="I4004" t="s">
        <v>28</v>
      </c>
      <c r="J4004" s="4">
        <v>70.5</v>
      </c>
      <c r="K4004" s="4">
        <v>221.4</v>
      </c>
      <c r="L4004" s="4">
        <v>31.4</v>
      </c>
      <c r="M4004">
        <v>12</v>
      </c>
      <c r="N4004" t="s">
        <v>47</v>
      </c>
      <c r="O4004">
        <v>4</v>
      </c>
      <c r="P4004" s="4">
        <v>82.4</v>
      </c>
      <c r="Q4004" t="s">
        <v>30</v>
      </c>
      <c r="R4004">
        <v>0</v>
      </c>
      <c r="S4004" t="s">
        <v>44</v>
      </c>
      <c r="T4004">
        <v>0</v>
      </c>
      <c r="U4004">
        <v>1</v>
      </c>
      <c r="V4004" t="s">
        <v>45</v>
      </c>
      <c r="W4004" t="s">
        <v>33</v>
      </c>
      <c r="X4004" s="4">
        <v>13.3</v>
      </c>
      <c r="Y4004">
        <v>12</v>
      </c>
      <c r="Z4004" s="5">
        <v>266.3</v>
      </c>
    </row>
    <row r="4005" spans="1:26">
      <c r="A4005">
        <v>4004</v>
      </c>
      <c r="B4005">
        <v>1310</v>
      </c>
      <c r="C4005" s="2">
        <v>46227</v>
      </c>
      <c r="D4005" t="s">
        <v>26</v>
      </c>
      <c r="E4005">
        <v>7</v>
      </c>
      <c r="F4005" s="3">
        <v>9.7899999999999991</v>
      </c>
      <c r="G4005" t="s">
        <v>27</v>
      </c>
      <c r="H4005">
        <v>28</v>
      </c>
      <c r="I4005" t="s">
        <v>28</v>
      </c>
      <c r="J4005" s="4">
        <v>69.400000000000006</v>
      </c>
      <c r="K4005" s="4">
        <v>198.4</v>
      </c>
      <c r="L4005" s="4">
        <v>29.3</v>
      </c>
      <c r="M4005">
        <v>13</v>
      </c>
      <c r="N4005" t="s">
        <v>47</v>
      </c>
      <c r="O4005">
        <v>4</v>
      </c>
      <c r="P4005" s="4">
        <v>82.4</v>
      </c>
      <c r="Q4005" t="s">
        <v>30</v>
      </c>
      <c r="R4005">
        <v>0</v>
      </c>
      <c r="S4005" t="s">
        <v>44</v>
      </c>
      <c r="T4005">
        <v>0</v>
      </c>
      <c r="U4005">
        <v>1</v>
      </c>
      <c r="V4005" t="s">
        <v>45</v>
      </c>
      <c r="W4005" t="s">
        <v>33</v>
      </c>
      <c r="X4005" s="4">
        <v>10.1</v>
      </c>
      <c r="Y4005">
        <v>12</v>
      </c>
      <c r="Z4005" s="5">
        <v>230.22</v>
      </c>
    </row>
    <row r="4006" spans="1:26">
      <c r="A4006">
        <v>4005</v>
      </c>
      <c r="B4006">
        <v>1310</v>
      </c>
      <c r="C4006" s="2">
        <v>46227</v>
      </c>
      <c r="D4006" t="s">
        <v>26</v>
      </c>
      <c r="E4006">
        <v>7</v>
      </c>
      <c r="F4006" s="3">
        <v>9.8000000000000007</v>
      </c>
      <c r="G4006" t="s">
        <v>27</v>
      </c>
      <c r="H4006">
        <v>42</v>
      </c>
      <c r="I4006" t="s">
        <v>28</v>
      </c>
      <c r="J4006" s="4">
        <v>71.599999999999994</v>
      </c>
      <c r="K4006" s="4">
        <v>174.7</v>
      </c>
      <c r="L4006" s="4">
        <v>24</v>
      </c>
      <c r="M4006">
        <v>13</v>
      </c>
      <c r="N4006" t="s">
        <v>47</v>
      </c>
      <c r="O4006">
        <v>4</v>
      </c>
      <c r="P4006" s="4">
        <v>82.4</v>
      </c>
      <c r="Q4006" t="s">
        <v>30</v>
      </c>
      <c r="R4006">
        <v>0</v>
      </c>
      <c r="S4006" t="s">
        <v>44</v>
      </c>
      <c r="T4006">
        <v>0</v>
      </c>
      <c r="U4006">
        <v>1</v>
      </c>
      <c r="V4006" t="s">
        <v>45</v>
      </c>
      <c r="W4006" t="s">
        <v>33</v>
      </c>
      <c r="X4006" s="4">
        <v>10.6</v>
      </c>
      <c r="Y4006">
        <v>10</v>
      </c>
      <c r="Z4006" s="5">
        <v>205.61</v>
      </c>
    </row>
    <row r="4007" spans="1:26">
      <c r="A4007">
        <v>4006</v>
      </c>
      <c r="B4007">
        <v>1311</v>
      </c>
      <c r="C4007" s="2">
        <v>46324</v>
      </c>
      <c r="D4007" t="s">
        <v>55</v>
      </c>
      <c r="E4007">
        <v>10</v>
      </c>
      <c r="F4007" s="3">
        <v>9.2100000000000009</v>
      </c>
      <c r="G4007" t="s">
        <v>27</v>
      </c>
      <c r="H4007">
        <v>22</v>
      </c>
      <c r="I4007" t="s">
        <v>28</v>
      </c>
      <c r="J4007" s="4">
        <v>69.8</v>
      </c>
      <c r="K4007" s="4">
        <v>177.7</v>
      </c>
      <c r="L4007" s="4">
        <v>25.9</v>
      </c>
      <c r="M4007">
        <v>13</v>
      </c>
      <c r="N4007" t="s">
        <v>61</v>
      </c>
      <c r="O4007">
        <v>1</v>
      </c>
      <c r="P4007" s="4">
        <v>1582.7</v>
      </c>
      <c r="Q4007" t="s">
        <v>48</v>
      </c>
      <c r="R4007">
        <v>1</v>
      </c>
      <c r="S4007" t="s">
        <v>44</v>
      </c>
      <c r="T4007">
        <v>0</v>
      </c>
      <c r="U4007">
        <v>0</v>
      </c>
      <c r="V4007" t="s">
        <v>45</v>
      </c>
      <c r="W4007" t="s">
        <v>49</v>
      </c>
      <c r="X4007" s="4">
        <v>8.4</v>
      </c>
      <c r="Y4007">
        <v>10</v>
      </c>
      <c r="Z4007" s="5">
        <v>197.52</v>
      </c>
    </row>
    <row r="4008" spans="1:26">
      <c r="A4008">
        <v>4007</v>
      </c>
      <c r="B4008">
        <v>1312</v>
      </c>
      <c r="C4008" s="2">
        <v>46282</v>
      </c>
      <c r="D4008" t="s">
        <v>55</v>
      </c>
      <c r="E4008">
        <v>9</v>
      </c>
      <c r="F4008" s="3">
        <v>8.14</v>
      </c>
      <c r="G4008" t="s">
        <v>27</v>
      </c>
      <c r="H4008">
        <v>25</v>
      </c>
      <c r="I4008" t="s">
        <v>28</v>
      </c>
      <c r="J4008" s="4">
        <v>71.3</v>
      </c>
      <c r="K4008" s="4">
        <v>166.1</v>
      </c>
      <c r="L4008" s="4">
        <v>22.6</v>
      </c>
      <c r="M4008">
        <v>18</v>
      </c>
      <c r="N4008" t="s">
        <v>60</v>
      </c>
      <c r="O4008">
        <v>1</v>
      </c>
      <c r="P4008" s="4">
        <v>2017.4</v>
      </c>
      <c r="Q4008" t="s">
        <v>48</v>
      </c>
      <c r="R4008">
        <v>0</v>
      </c>
      <c r="S4008" t="s">
        <v>44</v>
      </c>
      <c r="T4008">
        <v>0</v>
      </c>
      <c r="U4008">
        <v>1</v>
      </c>
      <c r="V4008" t="s">
        <v>32</v>
      </c>
      <c r="W4008" t="s">
        <v>33</v>
      </c>
      <c r="X4008" s="4">
        <v>11.5</v>
      </c>
      <c r="Y4008">
        <v>2</v>
      </c>
      <c r="Z4008" s="5">
        <v>168.99</v>
      </c>
    </row>
    <row r="4009" spans="1:26">
      <c r="A4009">
        <v>4008</v>
      </c>
      <c r="B4009">
        <v>1313</v>
      </c>
      <c r="C4009" s="2">
        <v>46223</v>
      </c>
      <c r="D4009" t="s">
        <v>46</v>
      </c>
      <c r="E4009">
        <v>7</v>
      </c>
      <c r="F4009" s="3">
        <v>11.4</v>
      </c>
      <c r="G4009" t="s">
        <v>36</v>
      </c>
      <c r="H4009">
        <v>59</v>
      </c>
      <c r="I4009" t="s">
        <v>28</v>
      </c>
      <c r="J4009" s="4">
        <v>77</v>
      </c>
      <c r="K4009" s="4">
        <v>220.4</v>
      </c>
      <c r="L4009" s="4">
        <v>26.2</v>
      </c>
      <c r="M4009">
        <v>14</v>
      </c>
      <c r="N4009" t="s">
        <v>37</v>
      </c>
      <c r="O4009">
        <v>4</v>
      </c>
      <c r="P4009" s="4">
        <v>1166.8</v>
      </c>
      <c r="Q4009" t="s">
        <v>42</v>
      </c>
      <c r="R4009">
        <v>1</v>
      </c>
      <c r="S4009" t="s">
        <v>31</v>
      </c>
      <c r="T4009">
        <v>1</v>
      </c>
      <c r="U4009">
        <v>1</v>
      </c>
      <c r="V4009" t="s">
        <v>32</v>
      </c>
      <c r="W4009" t="s">
        <v>39</v>
      </c>
      <c r="X4009" s="4">
        <v>8.6</v>
      </c>
      <c r="Y4009">
        <v>6</v>
      </c>
      <c r="Z4009" s="5">
        <v>180.64</v>
      </c>
    </row>
    <row r="4010" spans="1:26">
      <c r="A4010">
        <v>4009</v>
      </c>
      <c r="B4010">
        <v>1313</v>
      </c>
      <c r="C4010" s="2">
        <v>46223</v>
      </c>
      <c r="D4010" t="s">
        <v>46</v>
      </c>
      <c r="E4010">
        <v>7</v>
      </c>
      <c r="F4010" s="3">
        <v>11.66</v>
      </c>
      <c r="G4010" t="s">
        <v>36</v>
      </c>
      <c r="H4010">
        <v>16</v>
      </c>
      <c r="I4010" t="s">
        <v>28</v>
      </c>
      <c r="J4010" s="4">
        <v>70</v>
      </c>
      <c r="K4010" s="4">
        <v>127.2</v>
      </c>
      <c r="L4010" s="4">
        <v>18.3</v>
      </c>
      <c r="M4010">
        <v>14</v>
      </c>
      <c r="N4010" t="s">
        <v>37</v>
      </c>
      <c r="O4010">
        <v>4</v>
      </c>
      <c r="P4010" s="4">
        <v>1166.8</v>
      </c>
      <c r="Q4010" t="s">
        <v>42</v>
      </c>
      <c r="R4010">
        <v>1</v>
      </c>
      <c r="S4010" t="s">
        <v>31</v>
      </c>
      <c r="T4010">
        <v>1</v>
      </c>
      <c r="U4010">
        <v>1</v>
      </c>
      <c r="V4010" t="s">
        <v>32</v>
      </c>
      <c r="W4010" t="s">
        <v>39</v>
      </c>
      <c r="X4010" s="4">
        <v>9.1</v>
      </c>
      <c r="Y4010">
        <v>10</v>
      </c>
      <c r="Z4010" s="5">
        <v>258.08</v>
      </c>
    </row>
    <row r="4011" spans="1:26">
      <c r="A4011">
        <v>4010</v>
      </c>
      <c r="B4011">
        <v>1313</v>
      </c>
      <c r="C4011" s="2">
        <v>46223</v>
      </c>
      <c r="D4011" t="s">
        <v>46</v>
      </c>
      <c r="E4011">
        <v>7</v>
      </c>
      <c r="F4011" s="3">
        <v>11.41</v>
      </c>
      <c r="G4011" t="s">
        <v>36</v>
      </c>
      <c r="H4011">
        <v>67</v>
      </c>
      <c r="I4011" t="s">
        <v>28</v>
      </c>
      <c r="J4011" s="4">
        <v>67.400000000000006</v>
      </c>
      <c r="K4011" s="4">
        <v>182.3</v>
      </c>
      <c r="L4011" s="4">
        <v>28.4</v>
      </c>
      <c r="M4011">
        <v>19</v>
      </c>
      <c r="N4011" t="s">
        <v>37</v>
      </c>
      <c r="O4011">
        <v>4</v>
      </c>
      <c r="P4011" s="4">
        <v>1166.8</v>
      </c>
      <c r="Q4011" t="s">
        <v>42</v>
      </c>
      <c r="R4011">
        <v>1</v>
      </c>
      <c r="S4011" t="s">
        <v>31</v>
      </c>
      <c r="T4011">
        <v>1</v>
      </c>
      <c r="U4011">
        <v>1</v>
      </c>
      <c r="V4011" t="s">
        <v>32</v>
      </c>
      <c r="W4011" t="s">
        <v>39</v>
      </c>
      <c r="X4011" s="4">
        <v>10.6</v>
      </c>
      <c r="Y4011">
        <v>13</v>
      </c>
      <c r="Z4011" s="5">
        <v>370.93</v>
      </c>
    </row>
    <row r="4012" spans="1:26">
      <c r="A4012">
        <v>4011</v>
      </c>
      <c r="B4012">
        <v>1313</v>
      </c>
      <c r="C4012" s="2">
        <v>46223</v>
      </c>
      <c r="D4012" t="s">
        <v>46</v>
      </c>
      <c r="E4012">
        <v>7</v>
      </c>
      <c r="F4012" s="3">
        <v>11.25</v>
      </c>
      <c r="G4012" t="s">
        <v>36</v>
      </c>
      <c r="H4012">
        <v>66</v>
      </c>
      <c r="I4012" t="s">
        <v>28</v>
      </c>
      <c r="J4012" s="4">
        <v>68</v>
      </c>
      <c r="K4012" s="4">
        <v>183.4</v>
      </c>
      <c r="L4012" s="4">
        <v>27.8</v>
      </c>
      <c r="M4012">
        <v>15</v>
      </c>
      <c r="N4012" t="s">
        <v>37</v>
      </c>
      <c r="O4012">
        <v>4</v>
      </c>
      <c r="P4012" s="4">
        <v>1166.8</v>
      </c>
      <c r="Q4012" t="s">
        <v>42</v>
      </c>
      <c r="R4012">
        <v>1</v>
      </c>
      <c r="S4012" t="s">
        <v>31</v>
      </c>
      <c r="T4012">
        <v>1</v>
      </c>
      <c r="U4012">
        <v>1</v>
      </c>
      <c r="V4012" t="s">
        <v>32</v>
      </c>
      <c r="W4012" t="s">
        <v>39</v>
      </c>
      <c r="X4012" s="4">
        <v>9.3000000000000007</v>
      </c>
      <c r="Y4012">
        <v>5</v>
      </c>
      <c r="Z4012" s="5">
        <v>480.22</v>
      </c>
    </row>
    <row r="4013" spans="1:26">
      <c r="A4013">
        <v>4012</v>
      </c>
      <c r="B4013">
        <v>1314</v>
      </c>
      <c r="C4013" s="2">
        <v>46355</v>
      </c>
      <c r="D4013" t="s">
        <v>58</v>
      </c>
      <c r="E4013">
        <v>11</v>
      </c>
      <c r="F4013" s="3">
        <v>8.51</v>
      </c>
      <c r="G4013" t="s">
        <v>27</v>
      </c>
      <c r="H4013">
        <v>58</v>
      </c>
      <c r="I4013" t="s">
        <v>28</v>
      </c>
      <c r="J4013" s="4">
        <v>66.7</v>
      </c>
      <c r="K4013" s="4">
        <v>141.30000000000001</v>
      </c>
      <c r="L4013" s="4">
        <v>22.4</v>
      </c>
      <c r="M4013">
        <v>19</v>
      </c>
      <c r="N4013" t="s">
        <v>47</v>
      </c>
      <c r="O4013">
        <v>1</v>
      </c>
      <c r="P4013" s="4">
        <v>42.9</v>
      </c>
      <c r="Q4013" t="s">
        <v>30</v>
      </c>
      <c r="R4013">
        <v>0</v>
      </c>
      <c r="S4013" t="s">
        <v>31</v>
      </c>
      <c r="T4013">
        <v>0</v>
      </c>
      <c r="U4013">
        <v>1</v>
      </c>
      <c r="V4013" t="s">
        <v>32</v>
      </c>
      <c r="W4013" t="s">
        <v>33</v>
      </c>
      <c r="X4013" s="4">
        <v>6.1</v>
      </c>
      <c r="Y4013">
        <v>5</v>
      </c>
      <c r="Z4013" s="5">
        <v>135.88</v>
      </c>
    </row>
    <row r="4014" spans="1:26">
      <c r="A4014">
        <v>4013</v>
      </c>
      <c r="B4014">
        <v>1315</v>
      </c>
      <c r="C4014" s="2">
        <v>46071</v>
      </c>
      <c r="D4014" t="s">
        <v>52</v>
      </c>
      <c r="E4014">
        <v>2</v>
      </c>
      <c r="F4014" s="3">
        <v>10.63</v>
      </c>
      <c r="G4014" t="s">
        <v>27</v>
      </c>
      <c r="H4014">
        <v>6</v>
      </c>
      <c r="I4014" t="s">
        <v>28</v>
      </c>
      <c r="J4014" s="4">
        <v>63.3</v>
      </c>
      <c r="K4014" s="4">
        <v>118.5</v>
      </c>
      <c r="L4014" s="4">
        <v>20.7</v>
      </c>
      <c r="M4014">
        <v>13</v>
      </c>
      <c r="N4014" t="s">
        <v>47</v>
      </c>
      <c r="O4014">
        <v>2</v>
      </c>
      <c r="P4014" s="4">
        <v>96.8</v>
      </c>
      <c r="Q4014" t="s">
        <v>42</v>
      </c>
      <c r="R4014">
        <v>0</v>
      </c>
      <c r="S4014" t="s">
        <v>38</v>
      </c>
      <c r="T4014">
        <v>0</v>
      </c>
      <c r="U4014">
        <v>0</v>
      </c>
      <c r="V4014" t="s">
        <v>45</v>
      </c>
      <c r="W4014" t="s">
        <v>39</v>
      </c>
      <c r="X4014" s="4">
        <v>7</v>
      </c>
      <c r="Y4014">
        <v>9</v>
      </c>
      <c r="Z4014" s="5">
        <v>216.25</v>
      </c>
    </row>
    <row r="4015" spans="1:26">
      <c r="A4015">
        <v>4014</v>
      </c>
      <c r="B4015">
        <v>1315</v>
      </c>
      <c r="C4015" s="2">
        <v>46071</v>
      </c>
      <c r="D4015" t="s">
        <v>52</v>
      </c>
      <c r="E4015">
        <v>2</v>
      </c>
      <c r="F4015" s="3">
        <v>10.53</v>
      </c>
      <c r="G4015" t="s">
        <v>27</v>
      </c>
      <c r="H4015">
        <v>35</v>
      </c>
      <c r="I4015" t="s">
        <v>28</v>
      </c>
      <c r="J4015" s="4">
        <v>65.599999999999994</v>
      </c>
      <c r="K4015" s="4">
        <v>168.2</v>
      </c>
      <c r="L4015" s="4">
        <v>27.2</v>
      </c>
      <c r="M4015">
        <v>14</v>
      </c>
      <c r="N4015" t="s">
        <v>47</v>
      </c>
      <c r="O4015">
        <v>2</v>
      </c>
      <c r="P4015" s="4">
        <v>96.8</v>
      </c>
      <c r="Q4015" t="s">
        <v>42</v>
      </c>
      <c r="R4015">
        <v>0</v>
      </c>
      <c r="S4015" t="s">
        <v>38</v>
      </c>
      <c r="T4015">
        <v>0</v>
      </c>
      <c r="U4015">
        <v>0</v>
      </c>
      <c r="V4015" t="s">
        <v>45</v>
      </c>
      <c r="W4015" t="s">
        <v>39</v>
      </c>
      <c r="X4015" s="4">
        <v>8.1999999999999993</v>
      </c>
      <c r="Y4015">
        <v>8</v>
      </c>
      <c r="Z4015" s="5">
        <v>212.29</v>
      </c>
    </row>
    <row r="4016" spans="1:26">
      <c r="A4016">
        <v>4015</v>
      </c>
      <c r="B4016">
        <v>1316</v>
      </c>
      <c r="C4016" s="2">
        <v>46064</v>
      </c>
      <c r="D4016" t="s">
        <v>52</v>
      </c>
      <c r="E4016">
        <v>2</v>
      </c>
      <c r="F4016" s="3">
        <v>12.82</v>
      </c>
      <c r="G4016" t="s">
        <v>36</v>
      </c>
      <c r="H4016">
        <v>66</v>
      </c>
      <c r="I4016" t="s">
        <v>28</v>
      </c>
      <c r="J4016" s="4">
        <v>69.2</v>
      </c>
      <c r="K4016" s="4">
        <v>169.7</v>
      </c>
      <c r="L4016" s="4">
        <v>25.4</v>
      </c>
      <c r="M4016">
        <v>14</v>
      </c>
      <c r="N4016" t="s">
        <v>47</v>
      </c>
      <c r="O4016">
        <v>1</v>
      </c>
      <c r="P4016" s="4">
        <v>181</v>
      </c>
      <c r="Q4016" t="s">
        <v>42</v>
      </c>
      <c r="R4016">
        <v>0</v>
      </c>
      <c r="S4016" t="s">
        <v>31</v>
      </c>
      <c r="T4016">
        <v>0</v>
      </c>
      <c r="U4016">
        <v>0</v>
      </c>
      <c r="V4016" t="s">
        <v>32</v>
      </c>
      <c r="W4016" t="s">
        <v>49</v>
      </c>
      <c r="X4016" s="4">
        <v>5.9</v>
      </c>
      <c r="Y4016">
        <v>10</v>
      </c>
      <c r="Z4016" s="5">
        <v>261.75</v>
      </c>
    </row>
    <row r="4017" spans="1:26">
      <c r="A4017">
        <v>4016</v>
      </c>
      <c r="B4017">
        <v>1317</v>
      </c>
      <c r="C4017" s="2">
        <v>46114</v>
      </c>
      <c r="D4017" t="s">
        <v>55</v>
      </c>
      <c r="E4017">
        <v>4</v>
      </c>
      <c r="F4017" s="3">
        <v>14.35</v>
      </c>
      <c r="G4017" t="s">
        <v>36</v>
      </c>
      <c r="H4017">
        <v>81</v>
      </c>
      <c r="I4017" t="s">
        <v>34</v>
      </c>
      <c r="J4017" s="4">
        <v>66.400000000000006</v>
      </c>
      <c r="K4017" s="4">
        <v>210.2</v>
      </c>
      <c r="L4017" s="4">
        <v>33.6</v>
      </c>
      <c r="M4017">
        <v>19</v>
      </c>
      <c r="N4017" t="s">
        <v>63</v>
      </c>
      <c r="O4017">
        <v>6</v>
      </c>
      <c r="P4017" s="4">
        <v>1507.1</v>
      </c>
      <c r="Q4017" t="s">
        <v>48</v>
      </c>
      <c r="R4017">
        <v>0</v>
      </c>
      <c r="S4017" t="s">
        <v>44</v>
      </c>
      <c r="T4017">
        <v>1</v>
      </c>
      <c r="U4017">
        <v>0</v>
      </c>
      <c r="V4017" t="s">
        <v>32</v>
      </c>
      <c r="W4017" t="s">
        <v>43</v>
      </c>
      <c r="X4017" s="4">
        <v>5.7</v>
      </c>
      <c r="Y4017">
        <v>6</v>
      </c>
      <c r="Z4017" s="5">
        <v>165.97</v>
      </c>
    </row>
    <row r="4018" spans="1:26">
      <c r="A4018">
        <v>4017</v>
      </c>
      <c r="B4018">
        <v>1317</v>
      </c>
      <c r="C4018" s="2">
        <v>46114</v>
      </c>
      <c r="D4018" t="s">
        <v>55</v>
      </c>
      <c r="E4018">
        <v>4</v>
      </c>
      <c r="F4018" s="3">
        <v>14.31</v>
      </c>
      <c r="G4018" t="s">
        <v>36</v>
      </c>
      <c r="H4018">
        <v>12</v>
      </c>
      <c r="I4018" t="s">
        <v>34</v>
      </c>
      <c r="J4018" s="4">
        <v>70</v>
      </c>
      <c r="K4018" s="4">
        <v>133.30000000000001</v>
      </c>
      <c r="L4018" s="4">
        <v>19.100000000000001</v>
      </c>
      <c r="M4018">
        <v>14</v>
      </c>
      <c r="N4018" t="s">
        <v>63</v>
      </c>
      <c r="O4018">
        <v>6</v>
      </c>
      <c r="P4018" s="4">
        <v>1507.1</v>
      </c>
      <c r="Q4018" t="s">
        <v>48</v>
      </c>
      <c r="R4018">
        <v>0</v>
      </c>
      <c r="S4018" t="s">
        <v>44</v>
      </c>
      <c r="T4018">
        <v>1</v>
      </c>
      <c r="U4018">
        <v>0</v>
      </c>
      <c r="V4018" t="s">
        <v>32</v>
      </c>
      <c r="W4018" t="s">
        <v>43</v>
      </c>
      <c r="X4018" s="4">
        <v>4.5999999999999996</v>
      </c>
      <c r="Y4018">
        <v>4</v>
      </c>
      <c r="Z4018" s="5">
        <v>101.43</v>
      </c>
    </row>
    <row r="4019" spans="1:26">
      <c r="A4019">
        <v>4018</v>
      </c>
      <c r="B4019">
        <v>1317</v>
      </c>
      <c r="C4019" s="2">
        <v>46114</v>
      </c>
      <c r="D4019" t="s">
        <v>55</v>
      </c>
      <c r="E4019">
        <v>4</v>
      </c>
      <c r="F4019" s="3">
        <v>14.25</v>
      </c>
      <c r="G4019" t="s">
        <v>36</v>
      </c>
      <c r="H4019">
        <v>5</v>
      </c>
      <c r="I4019" t="s">
        <v>34</v>
      </c>
      <c r="J4019" s="4">
        <v>51.7</v>
      </c>
      <c r="K4019" s="4">
        <v>71.8</v>
      </c>
      <c r="L4019" s="4">
        <v>19</v>
      </c>
      <c r="M4019">
        <v>16</v>
      </c>
      <c r="N4019" t="s">
        <v>63</v>
      </c>
      <c r="O4019">
        <v>6</v>
      </c>
      <c r="P4019" s="4">
        <v>1507.1</v>
      </c>
      <c r="Q4019" t="s">
        <v>48</v>
      </c>
      <c r="R4019">
        <v>0</v>
      </c>
      <c r="S4019" t="s">
        <v>44</v>
      </c>
      <c r="T4019">
        <v>1</v>
      </c>
      <c r="U4019">
        <v>0</v>
      </c>
      <c r="V4019" t="s">
        <v>32</v>
      </c>
      <c r="W4019" t="s">
        <v>43</v>
      </c>
      <c r="X4019" s="4">
        <v>6.5</v>
      </c>
      <c r="Y4019">
        <v>8</v>
      </c>
      <c r="Z4019" s="5">
        <v>224.57</v>
      </c>
    </row>
    <row r="4020" spans="1:26">
      <c r="A4020">
        <v>4019</v>
      </c>
      <c r="B4020">
        <v>1317</v>
      </c>
      <c r="C4020" s="2">
        <v>46114</v>
      </c>
      <c r="D4020" t="s">
        <v>55</v>
      </c>
      <c r="E4020">
        <v>4</v>
      </c>
      <c r="F4020" s="3">
        <v>14.28</v>
      </c>
      <c r="G4020" t="s">
        <v>36</v>
      </c>
      <c r="H4020">
        <v>31</v>
      </c>
      <c r="I4020" t="s">
        <v>28</v>
      </c>
      <c r="J4020" s="4">
        <v>68.3</v>
      </c>
      <c r="K4020" s="4">
        <v>168</v>
      </c>
      <c r="L4020" s="4">
        <v>25.5</v>
      </c>
      <c r="M4020">
        <v>19</v>
      </c>
      <c r="N4020" t="s">
        <v>63</v>
      </c>
      <c r="O4020">
        <v>6</v>
      </c>
      <c r="P4020" s="4">
        <v>1507.1</v>
      </c>
      <c r="Q4020" t="s">
        <v>48</v>
      </c>
      <c r="R4020">
        <v>0</v>
      </c>
      <c r="S4020" t="s">
        <v>44</v>
      </c>
      <c r="T4020">
        <v>1</v>
      </c>
      <c r="U4020">
        <v>0</v>
      </c>
      <c r="V4020" t="s">
        <v>32</v>
      </c>
      <c r="W4020" t="s">
        <v>43</v>
      </c>
      <c r="X4020" s="4">
        <v>6.5</v>
      </c>
      <c r="Y4020">
        <v>10</v>
      </c>
      <c r="Z4020" s="5">
        <v>214.84</v>
      </c>
    </row>
    <row r="4021" spans="1:26">
      <c r="A4021">
        <v>4020</v>
      </c>
      <c r="B4021">
        <v>1317</v>
      </c>
      <c r="C4021" s="2">
        <v>46114</v>
      </c>
      <c r="D4021" t="s">
        <v>55</v>
      </c>
      <c r="E4021">
        <v>4</v>
      </c>
      <c r="F4021" s="3">
        <v>14.26</v>
      </c>
      <c r="G4021" t="s">
        <v>36</v>
      </c>
      <c r="H4021">
        <v>67</v>
      </c>
      <c r="I4021" t="s">
        <v>34</v>
      </c>
      <c r="J4021" s="4">
        <v>58</v>
      </c>
      <c r="K4021" s="4">
        <v>119.4</v>
      </c>
      <c r="L4021" s="4">
        <v>24.9</v>
      </c>
      <c r="M4021">
        <v>19</v>
      </c>
      <c r="N4021" t="s">
        <v>63</v>
      </c>
      <c r="O4021">
        <v>6</v>
      </c>
      <c r="P4021" s="4">
        <v>1507.1</v>
      </c>
      <c r="Q4021" t="s">
        <v>48</v>
      </c>
      <c r="R4021">
        <v>0</v>
      </c>
      <c r="S4021" t="s">
        <v>44</v>
      </c>
      <c r="T4021">
        <v>1</v>
      </c>
      <c r="U4021">
        <v>0</v>
      </c>
      <c r="V4021" t="s">
        <v>32</v>
      </c>
      <c r="W4021" t="s">
        <v>43</v>
      </c>
      <c r="X4021" s="4">
        <v>5.5</v>
      </c>
      <c r="Y4021">
        <v>7</v>
      </c>
      <c r="Z4021" s="5">
        <v>171.59</v>
      </c>
    </row>
    <row r="4022" spans="1:26">
      <c r="A4022">
        <v>4021</v>
      </c>
      <c r="B4022">
        <v>1317</v>
      </c>
      <c r="C4022" s="2">
        <v>46114</v>
      </c>
      <c r="D4022" t="s">
        <v>55</v>
      </c>
      <c r="E4022">
        <v>4</v>
      </c>
      <c r="F4022" s="3">
        <v>14.32</v>
      </c>
      <c r="G4022" t="s">
        <v>36</v>
      </c>
      <c r="H4022">
        <v>10</v>
      </c>
      <c r="I4022" t="s">
        <v>34</v>
      </c>
      <c r="J4022" s="4">
        <v>64.099999999999994</v>
      </c>
      <c r="K4022" s="4">
        <v>88.5</v>
      </c>
      <c r="L4022" s="4">
        <v>14.9</v>
      </c>
      <c r="M4022">
        <v>13</v>
      </c>
      <c r="N4022" t="s">
        <v>63</v>
      </c>
      <c r="O4022">
        <v>6</v>
      </c>
      <c r="P4022" s="4">
        <v>1507.1</v>
      </c>
      <c r="Q4022" t="s">
        <v>48</v>
      </c>
      <c r="R4022">
        <v>0</v>
      </c>
      <c r="S4022" t="s">
        <v>44</v>
      </c>
      <c r="T4022">
        <v>1</v>
      </c>
      <c r="U4022">
        <v>0</v>
      </c>
      <c r="V4022" t="s">
        <v>32</v>
      </c>
      <c r="W4022" t="s">
        <v>43</v>
      </c>
      <c r="X4022" s="4">
        <v>3.6</v>
      </c>
      <c r="Y4022">
        <v>2</v>
      </c>
      <c r="Z4022" s="5">
        <v>164.88</v>
      </c>
    </row>
    <row r="4023" spans="1:26">
      <c r="A4023">
        <v>4022</v>
      </c>
      <c r="B4023">
        <v>1318</v>
      </c>
      <c r="C4023" s="2">
        <v>46129</v>
      </c>
      <c r="D4023" t="s">
        <v>26</v>
      </c>
      <c r="E4023">
        <v>4</v>
      </c>
      <c r="F4023" s="3">
        <v>10.26</v>
      </c>
      <c r="G4023" t="s">
        <v>27</v>
      </c>
      <c r="H4023">
        <v>35</v>
      </c>
      <c r="I4023" t="s">
        <v>28</v>
      </c>
      <c r="J4023" s="4">
        <v>72.7</v>
      </c>
      <c r="K4023" s="4">
        <v>218.6</v>
      </c>
      <c r="L4023" s="4">
        <v>28.9</v>
      </c>
      <c r="M4023">
        <v>15</v>
      </c>
      <c r="N4023" t="s">
        <v>59</v>
      </c>
      <c r="O4023">
        <v>3</v>
      </c>
      <c r="P4023" s="4">
        <v>1064.7</v>
      </c>
      <c r="Q4023" t="s">
        <v>48</v>
      </c>
      <c r="R4023">
        <v>1</v>
      </c>
      <c r="S4023" t="s">
        <v>38</v>
      </c>
      <c r="T4023">
        <v>1</v>
      </c>
      <c r="U4023">
        <v>1</v>
      </c>
      <c r="V4023" t="s">
        <v>45</v>
      </c>
      <c r="W4023" t="s">
        <v>33</v>
      </c>
      <c r="X4023" s="4">
        <v>11.9</v>
      </c>
      <c r="Y4023">
        <v>16</v>
      </c>
      <c r="Z4023" s="5">
        <v>504.81</v>
      </c>
    </row>
    <row r="4024" spans="1:26">
      <c r="A4024">
        <v>4023</v>
      </c>
      <c r="B4024">
        <v>1318</v>
      </c>
      <c r="C4024" s="2">
        <v>46129</v>
      </c>
      <c r="D4024" t="s">
        <v>26</v>
      </c>
      <c r="E4024">
        <v>4</v>
      </c>
      <c r="F4024" s="3">
        <v>10.199999999999999</v>
      </c>
      <c r="G4024" t="s">
        <v>27</v>
      </c>
      <c r="H4024">
        <v>18</v>
      </c>
      <c r="I4024" t="s">
        <v>34</v>
      </c>
      <c r="J4024" s="4">
        <v>63.3</v>
      </c>
      <c r="K4024" s="4">
        <v>150.4</v>
      </c>
      <c r="L4024" s="4">
        <v>26.4</v>
      </c>
      <c r="M4024">
        <v>14</v>
      </c>
      <c r="N4024" t="s">
        <v>59</v>
      </c>
      <c r="O4024">
        <v>3</v>
      </c>
      <c r="P4024" s="4">
        <v>1064.7</v>
      </c>
      <c r="Q4024" t="s">
        <v>48</v>
      </c>
      <c r="R4024">
        <v>1</v>
      </c>
      <c r="S4024" t="s">
        <v>38</v>
      </c>
      <c r="T4024">
        <v>1</v>
      </c>
      <c r="U4024">
        <v>1</v>
      </c>
      <c r="V4024" t="s">
        <v>45</v>
      </c>
      <c r="W4024" t="s">
        <v>33</v>
      </c>
      <c r="X4024" s="4">
        <v>10.1</v>
      </c>
      <c r="Y4024">
        <v>15</v>
      </c>
      <c r="Z4024" s="5">
        <v>305.97000000000003</v>
      </c>
    </row>
    <row r="4025" spans="1:26">
      <c r="A4025">
        <v>4024</v>
      </c>
      <c r="B4025">
        <v>1318</v>
      </c>
      <c r="C4025" s="2">
        <v>46129</v>
      </c>
      <c r="D4025" t="s">
        <v>26</v>
      </c>
      <c r="E4025">
        <v>4</v>
      </c>
      <c r="F4025" s="3">
        <v>10.34</v>
      </c>
      <c r="G4025" t="s">
        <v>27</v>
      </c>
      <c r="H4025">
        <v>13</v>
      </c>
      <c r="I4025" t="s">
        <v>28</v>
      </c>
      <c r="J4025" s="4">
        <v>70</v>
      </c>
      <c r="K4025" s="4">
        <v>104.2</v>
      </c>
      <c r="L4025" s="4">
        <v>14.9</v>
      </c>
      <c r="M4025">
        <v>12</v>
      </c>
      <c r="N4025" t="s">
        <v>59</v>
      </c>
      <c r="O4025">
        <v>3</v>
      </c>
      <c r="P4025" s="4">
        <v>1064.7</v>
      </c>
      <c r="Q4025" t="s">
        <v>48</v>
      </c>
      <c r="R4025">
        <v>1</v>
      </c>
      <c r="S4025" t="s">
        <v>38</v>
      </c>
      <c r="T4025">
        <v>1</v>
      </c>
      <c r="U4025">
        <v>1</v>
      </c>
      <c r="V4025" t="s">
        <v>45</v>
      </c>
      <c r="W4025" t="s">
        <v>33</v>
      </c>
      <c r="X4025" s="4">
        <v>10.5</v>
      </c>
      <c r="Y4025">
        <v>12</v>
      </c>
      <c r="Z4025" s="5">
        <v>509.98</v>
      </c>
    </row>
    <row r="4026" spans="1:26">
      <c r="A4026">
        <v>4025</v>
      </c>
      <c r="B4026">
        <v>1319</v>
      </c>
      <c r="C4026" s="2">
        <v>46314</v>
      </c>
      <c r="D4026" t="s">
        <v>46</v>
      </c>
      <c r="E4026">
        <v>10</v>
      </c>
      <c r="F4026" s="3">
        <v>11.45</v>
      </c>
      <c r="G4026" t="s">
        <v>36</v>
      </c>
      <c r="H4026">
        <v>5</v>
      </c>
      <c r="I4026" t="s">
        <v>34</v>
      </c>
      <c r="J4026" s="4">
        <v>57.5</v>
      </c>
      <c r="K4026" s="4">
        <v>86.8</v>
      </c>
      <c r="L4026" s="4">
        <v>18.399999999999999</v>
      </c>
      <c r="M4026">
        <v>12</v>
      </c>
      <c r="N4026" t="s">
        <v>60</v>
      </c>
      <c r="O4026">
        <v>4</v>
      </c>
      <c r="P4026" s="4">
        <v>1619.3</v>
      </c>
      <c r="Q4026" t="s">
        <v>30</v>
      </c>
      <c r="R4026">
        <v>0</v>
      </c>
      <c r="S4026" t="s">
        <v>44</v>
      </c>
      <c r="T4026">
        <v>0</v>
      </c>
      <c r="U4026">
        <v>0</v>
      </c>
      <c r="V4026" t="s">
        <v>32</v>
      </c>
      <c r="W4026" t="s">
        <v>49</v>
      </c>
      <c r="X4026" s="4">
        <v>7.5</v>
      </c>
      <c r="Y4026">
        <v>6</v>
      </c>
      <c r="Z4026" s="5">
        <v>97.42</v>
      </c>
    </row>
    <row r="4027" spans="1:26">
      <c r="A4027">
        <v>4026</v>
      </c>
      <c r="B4027">
        <v>1319</v>
      </c>
      <c r="C4027" s="2">
        <v>46314</v>
      </c>
      <c r="D4027" t="s">
        <v>46</v>
      </c>
      <c r="E4027">
        <v>10</v>
      </c>
      <c r="F4027" s="3">
        <v>11.44</v>
      </c>
      <c r="G4027" t="s">
        <v>36</v>
      </c>
      <c r="H4027">
        <v>29</v>
      </c>
      <c r="I4027" t="s">
        <v>34</v>
      </c>
      <c r="J4027" s="4">
        <v>65</v>
      </c>
      <c r="K4027" s="4">
        <v>172.4</v>
      </c>
      <c r="L4027" s="4">
        <v>28.5</v>
      </c>
      <c r="M4027">
        <v>13</v>
      </c>
      <c r="N4027" t="s">
        <v>60</v>
      </c>
      <c r="O4027">
        <v>4</v>
      </c>
      <c r="P4027" s="4">
        <v>1619.3</v>
      </c>
      <c r="Q4027" t="s">
        <v>30</v>
      </c>
      <c r="R4027">
        <v>0</v>
      </c>
      <c r="S4027" t="s">
        <v>44</v>
      </c>
      <c r="T4027">
        <v>0</v>
      </c>
      <c r="U4027">
        <v>0</v>
      </c>
      <c r="V4027" t="s">
        <v>32</v>
      </c>
      <c r="W4027" t="s">
        <v>49</v>
      </c>
      <c r="X4027" s="4">
        <v>8.1999999999999993</v>
      </c>
      <c r="Y4027">
        <v>9</v>
      </c>
      <c r="Z4027" s="5">
        <v>184.59</v>
      </c>
    </row>
    <row r="4028" spans="1:26">
      <c r="A4028">
        <v>4027</v>
      </c>
      <c r="B4028">
        <v>1319</v>
      </c>
      <c r="C4028" s="2">
        <v>46314</v>
      </c>
      <c r="D4028" t="s">
        <v>46</v>
      </c>
      <c r="E4028">
        <v>10</v>
      </c>
      <c r="F4028" s="3">
        <v>11.38</v>
      </c>
      <c r="G4028" t="s">
        <v>36</v>
      </c>
      <c r="H4028">
        <v>33</v>
      </c>
      <c r="I4028" t="s">
        <v>28</v>
      </c>
      <c r="J4028" s="4">
        <v>60</v>
      </c>
      <c r="K4028" s="4">
        <v>136.6</v>
      </c>
      <c r="L4028" s="4">
        <v>26.6</v>
      </c>
      <c r="M4028">
        <v>14</v>
      </c>
      <c r="N4028" t="s">
        <v>60</v>
      </c>
      <c r="O4028">
        <v>4</v>
      </c>
      <c r="P4028" s="4">
        <v>1619.3</v>
      </c>
      <c r="Q4028" t="s">
        <v>30</v>
      </c>
      <c r="R4028">
        <v>0</v>
      </c>
      <c r="S4028" t="s">
        <v>44</v>
      </c>
      <c r="T4028">
        <v>0</v>
      </c>
      <c r="U4028">
        <v>0</v>
      </c>
      <c r="V4028" t="s">
        <v>32</v>
      </c>
      <c r="W4028" t="s">
        <v>49</v>
      </c>
      <c r="X4028" s="4">
        <v>7.8</v>
      </c>
      <c r="Y4028">
        <v>10</v>
      </c>
      <c r="Z4028" s="5">
        <v>181.92</v>
      </c>
    </row>
    <row r="4029" spans="1:26">
      <c r="A4029">
        <v>4028</v>
      </c>
      <c r="B4029">
        <v>1319</v>
      </c>
      <c r="C4029" s="2">
        <v>46314</v>
      </c>
      <c r="D4029" t="s">
        <v>46</v>
      </c>
      <c r="E4029">
        <v>10</v>
      </c>
      <c r="F4029" s="3">
        <v>11.43</v>
      </c>
      <c r="G4029" t="s">
        <v>36</v>
      </c>
      <c r="H4029">
        <v>73</v>
      </c>
      <c r="I4029" t="s">
        <v>28</v>
      </c>
      <c r="J4029" s="4">
        <v>70.099999999999994</v>
      </c>
      <c r="K4029" s="4">
        <v>163</v>
      </c>
      <c r="L4029" s="4">
        <v>23.3</v>
      </c>
      <c r="M4029">
        <v>13</v>
      </c>
      <c r="N4029" t="s">
        <v>60</v>
      </c>
      <c r="O4029">
        <v>4</v>
      </c>
      <c r="P4029" s="4">
        <v>1619.3</v>
      </c>
      <c r="Q4029" t="s">
        <v>30</v>
      </c>
      <c r="R4029">
        <v>0</v>
      </c>
      <c r="S4029" t="s">
        <v>44</v>
      </c>
      <c r="T4029">
        <v>0</v>
      </c>
      <c r="U4029">
        <v>0</v>
      </c>
      <c r="V4029" t="s">
        <v>32</v>
      </c>
      <c r="W4029" t="s">
        <v>49</v>
      </c>
      <c r="X4029" s="4">
        <v>6.7</v>
      </c>
      <c r="Y4029">
        <v>5</v>
      </c>
      <c r="Z4029" s="5">
        <v>116.34</v>
      </c>
    </row>
    <row r="4030" spans="1:26">
      <c r="A4030">
        <v>4029</v>
      </c>
      <c r="B4030">
        <v>1320</v>
      </c>
      <c r="C4030" s="2">
        <v>46335</v>
      </c>
      <c r="D4030" t="s">
        <v>46</v>
      </c>
      <c r="E4030">
        <v>11</v>
      </c>
      <c r="F4030" s="3">
        <v>11.29</v>
      </c>
      <c r="G4030" t="s">
        <v>36</v>
      </c>
      <c r="H4030">
        <v>18</v>
      </c>
      <c r="I4030" t="s">
        <v>34</v>
      </c>
      <c r="J4030" s="4">
        <v>64.8</v>
      </c>
      <c r="K4030" s="4">
        <v>155.9</v>
      </c>
      <c r="L4030" s="4">
        <v>26.2</v>
      </c>
      <c r="M4030">
        <v>14</v>
      </c>
      <c r="N4030" t="s">
        <v>60</v>
      </c>
      <c r="O4030">
        <v>5</v>
      </c>
      <c r="P4030" s="4">
        <v>1368.5</v>
      </c>
      <c r="Q4030" t="s">
        <v>42</v>
      </c>
      <c r="R4030">
        <v>1</v>
      </c>
      <c r="S4030" t="s">
        <v>44</v>
      </c>
      <c r="T4030">
        <v>0</v>
      </c>
      <c r="U4030">
        <v>0</v>
      </c>
      <c r="V4030" t="s">
        <v>32</v>
      </c>
      <c r="W4030" t="s">
        <v>43</v>
      </c>
      <c r="X4030" s="4">
        <v>11</v>
      </c>
      <c r="Y4030">
        <v>5</v>
      </c>
      <c r="Z4030" s="5">
        <v>272.92</v>
      </c>
    </row>
    <row r="4031" spans="1:26">
      <c r="A4031">
        <v>4030</v>
      </c>
      <c r="B4031">
        <v>1320</v>
      </c>
      <c r="C4031" s="2">
        <v>46335</v>
      </c>
      <c r="D4031" t="s">
        <v>46</v>
      </c>
      <c r="E4031">
        <v>11</v>
      </c>
      <c r="F4031" s="3">
        <v>11.57</v>
      </c>
      <c r="G4031" t="s">
        <v>36</v>
      </c>
      <c r="H4031">
        <v>38</v>
      </c>
      <c r="I4031" t="s">
        <v>28</v>
      </c>
      <c r="J4031" s="4">
        <v>67.099999999999994</v>
      </c>
      <c r="K4031" s="4">
        <v>179.4</v>
      </c>
      <c r="L4031" s="4">
        <v>27.9</v>
      </c>
      <c r="M4031">
        <v>16</v>
      </c>
      <c r="N4031" t="s">
        <v>60</v>
      </c>
      <c r="O4031">
        <v>5</v>
      </c>
      <c r="P4031" s="4">
        <v>1368.5</v>
      </c>
      <c r="Q4031" t="s">
        <v>42</v>
      </c>
      <c r="R4031">
        <v>1</v>
      </c>
      <c r="S4031" t="s">
        <v>44</v>
      </c>
      <c r="T4031">
        <v>0</v>
      </c>
      <c r="U4031">
        <v>0</v>
      </c>
      <c r="V4031" t="s">
        <v>32</v>
      </c>
      <c r="W4031" t="s">
        <v>43</v>
      </c>
      <c r="X4031" s="4">
        <v>7.1</v>
      </c>
      <c r="Y4031">
        <v>9</v>
      </c>
      <c r="Z4031" s="5">
        <v>204.01</v>
      </c>
    </row>
    <row r="4032" spans="1:26">
      <c r="A4032">
        <v>4031</v>
      </c>
      <c r="B4032">
        <v>1320</v>
      </c>
      <c r="C4032" s="2">
        <v>46335</v>
      </c>
      <c r="D4032" t="s">
        <v>46</v>
      </c>
      <c r="E4032">
        <v>11</v>
      </c>
      <c r="F4032" s="3">
        <v>11.45</v>
      </c>
      <c r="G4032" t="s">
        <v>36</v>
      </c>
      <c r="H4032">
        <v>8</v>
      </c>
      <c r="I4032" t="s">
        <v>34</v>
      </c>
      <c r="J4032" s="4">
        <v>51.9</v>
      </c>
      <c r="K4032" s="4">
        <v>92</v>
      </c>
      <c r="L4032" s="4">
        <v>24.3</v>
      </c>
      <c r="M4032">
        <v>12</v>
      </c>
      <c r="N4032" t="s">
        <v>60</v>
      </c>
      <c r="O4032">
        <v>5</v>
      </c>
      <c r="P4032" s="4">
        <v>1368.5</v>
      </c>
      <c r="Q4032" t="s">
        <v>42</v>
      </c>
      <c r="R4032">
        <v>1</v>
      </c>
      <c r="S4032" t="s">
        <v>44</v>
      </c>
      <c r="T4032">
        <v>0</v>
      </c>
      <c r="U4032">
        <v>0</v>
      </c>
      <c r="V4032" t="s">
        <v>32</v>
      </c>
      <c r="W4032" t="s">
        <v>43</v>
      </c>
      <c r="X4032" s="4">
        <v>10.9</v>
      </c>
      <c r="Y4032">
        <v>10</v>
      </c>
      <c r="Z4032" s="5">
        <v>314.58</v>
      </c>
    </row>
    <row r="4033" spans="1:26">
      <c r="A4033">
        <v>4032</v>
      </c>
      <c r="B4033">
        <v>1320</v>
      </c>
      <c r="C4033" s="2">
        <v>46335</v>
      </c>
      <c r="D4033" t="s">
        <v>46</v>
      </c>
      <c r="E4033">
        <v>11</v>
      </c>
      <c r="F4033" s="3">
        <v>11.19</v>
      </c>
      <c r="G4033" t="s">
        <v>36</v>
      </c>
      <c r="H4033">
        <v>11</v>
      </c>
      <c r="I4033" t="s">
        <v>34</v>
      </c>
      <c r="J4033" s="4">
        <v>61.4</v>
      </c>
      <c r="K4033" s="4">
        <v>94.4</v>
      </c>
      <c r="L4033" s="4">
        <v>17.600000000000001</v>
      </c>
      <c r="M4033">
        <v>11</v>
      </c>
      <c r="N4033" t="s">
        <v>60</v>
      </c>
      <c r="O4033">
        <v>5</v>
      </c>
      <c r="P4033" s="4">
        <v>1368.5</v>
      </c>
      <c r="Q4033" t="s">
        <v>42</v>
      </c>
      <c r="R4033">
        <v>1</v>
      </c>
      <c r="S4033" t="s">
        <v>44</v>
      </c>
      <c r="T4033">
        <v>0</v>
      </c>
      <c r="U4033">
        <v>0</v>
      </c>
      <c r="V4033" t="s">
        <v>32</v>
      </c>
      <c r="W4033" t="s">
        <v>43</v>
      </c>
      <c r="X4033" s="4">
        <v>9.6999999999999993</v>
      </c>
      <c r="Y4033">
        <v>13</v>
      </c>
      <c r="Z4033" s="5">
        <v>348.28</v>
      </c>
    </row>
    <row r="4034" spans="1:26">
      <c r="A4034">
        <v>4033</v>
      </c>
      <c r="B4034">
        <v>1320</v>
      </c>
      <c r="C4034" s="2">
        <v>46335</v>
      </c>
      <c r="D4034" t="s">
        <v>46</v>
      </c>
      <c r="E4034">
        <v>11</v>
      </c>
      <c r="F4034" s="3">
        <v>11.4</v>
      </c>
      <c r="G4034" t="s">
        <v>36</v>
      </c>
      <c r="H4034">
        <v>63</v>
      </c>
      <c r="I4034" t="s">
        <v>28</v>
      </c>
      <c r="J4034" s="4">
        <v>68.400000000000006</v>
      </c>
      <c r="K4034" s="4">
        <v>127.5</v>
      </c>
      <c r="L4034" s="4">
        <v>19.3</v>
      </c>
      <c r="M4034">
        <v>16</v>
      </c>
      <c r="N4034" t="s">
        <v>60</v>
      </c>
      <c r="O4034">
        <v>5</v>
      </c>
      <c r="P4034" s="4">
        <v>1368.5</v>
      </c>
      <c r="Q4034" t="s">
        <v>42</v>
      </c>
      <c r="R4034">
        <v>1</v>
      </c>
      <c r="S4034" t="s">
        <v>44</v>
      </c>
      <c r="T4034">
        <v>0</v>
      </c>
      <c r="U4034">
        <v>0</v>
      </c>
      <c r="V4034" t="s">
        <v>32</v>
      </c>
      <c r="W4034" t="s">
        <v>43</v>
      </c>
      <c r="X4034" s="4">
        <v>8.6999999999999993</v>
      </c>
      <c r="Y4034">
        <v>5</v>
      </c>
      <c r="Z4034" s="5">
        <v>313.22000000000003</v>
      </c>
    </row>
    <row r="4035" spans="1:26">
      <c r="A4035">
        <v>4034</v>
      </c>
      <c r="B4035">
        <v>1321</v>
      </c>
      <c r="C4035" s="2">
        <v>46223</v>
      </c>
      <c r="D4035" t="s">
        <v>46</v>
      </c>
      <c r="E4035">
        <v>7</v>
      </c>
      <c r="F4035" s="3">
        <v>10.16</v>
      </c>
      <c r="G4035" t="s">
        <v>27</v>
      </c>
      <c r="H4035">
        <v>48</v>
      </c>
      <c r="I4035" t="s">
        <v>34</v>
      </c>
      <c r="J4035" s="4">
        <v>65.8</v>
      </c>
      <c r="K4035" s="4">
        <v>228.8</v>
      </c>
      <c r="L4035" s="4">
        <v>37.299999999999997</v>
      </c>
      <c r="M4035">
        <v>13</v>
      </c>
      <c r="N4035" t="s">
        <v>37</v>
      </c>
      <c r="O4035">
        <v>2</v>
      </c>
      <c r="P4035" s="4">
        <v>895.6</v>
      </c>
      <c r="Q4035" t="s">
        <v>42</v>
      </c>
      <c r="R4035">
        <v>1</v>
      </c>
      <c r="S4035" t="s">
        <v>31</v>
      </c>
      <c r="T4035">
        <v>0</v>
      </c>
      <c r="U4035">
        <v>0</v>
      </c>
      <c r="V4035" t="s">
        <v>32</v>
      </c>
      <c r="W4035" t="s">
        <v>39</v>
      </c>
      <c r="X4035" s="4">
        <v>9.3000000000000007</v>
      </c>
      <c r="Y4035">
        <v>12</v>
      </c>
      <c r="Z4035" s="5">
        <v>327.9</v>
      </c>
    </row>
    <row r="4036" spans="1:26">
      <c r="A4036">
        <v>4035</v>
      </c>
      <c r="B4036">
        <v>1321</v>
      </c>
      <c r="C4036" s="2">
        <v>46223</v>
      </c>
      <c r="D4036" t="s">
        <v>46</v>
      </c>
      <c r="E4036">
        <v>7</v>
      </c>
      <c r="F4036" s="3">
        <v>10.17</v>
      </c>
      <c r="G4036" t="s">
        <v>27</v>
      </c>
      <c r="H4036">
        <v>9</v>
      </c>
      <c r="I4036" t="s">
        <v>28</v>
      </c>
      <c r="J4036" s="4">
        <v>61</v>
      </c>
      <c r="K4036" s="4">
        <v>104</v>
      </c>
      <c r="L4036" s="4">
        <v>19.3</v>
      </c>
      <c r="M4036">
        <v>14</v>
      </c>
      <c r="N4036" t="s">
        <v>37</v>
      </c>
      <c r="O4036">
        <v>2</v>
      </c>
      <c r="P4036" s="4">
        <v>895.6</v>
      </c>
      <c r="Q4036" t="s">
        <v>42</v>
      </c>
      <c r="R4036">
        <v>1</v>
      </c>
      <c r="S4036" t="s">
        <v>31</v>
      </c>
      <c r="T4036">
        <v>0</v>
      </c>
      <c r="U4036">
        <v>0</v>
      </c>
      <c r="V4036" t="s">
        <v>32</v>
      </c>
      <c r="W4036" t="s">
        <v>39</v>
      </c>
      <c r="X4036" s="4">
        <v>8.8000000000000007</v>
      </c>
      <c r="Y4036">
        <v>14</v>
      </c>
      <c r="Z4036" s="5">
        <v>141.38</v>
      </c>
    </row>
    <row r="4037" spans="1:26">
      <c r="A4037">
        <v>4036</v>
      </c>
      <c r="B4037">
        <v>1322</v>
      </c>
      <c r="C4037" s="2">
        <v>46289</v>
      </c>
      <c r="D4037" t="s">
        <v>55</v>
      </c>
      <c r="E4037">
        <v>9</v>
      </c>
      <c r="F4037" s="3">
        <v>10.98</v>
      </c>
      <c r="G4037" t="s">
        <v>27</v>
      </c>
      <c r="H4037">
        <v>13</v>
      </c>
      <c r="I4037" t="s">
        <v>34</v>
      </c>
      <c r="J4037" s="4">
        <v>68.5</v>
      </c>
      <c r="K4037" s="4">
        <v>133.80000000000001</v>
      </c>
      <c r="L4037" s="4">
        <v>19.8</v>
      </c>
      <c r="M4037">
        <v>11</v>
      </c>
      <c r="N4037" t="s">
        <v>54</v>
      </c>
      <c r="O4037">
        <v>3</v>
      </c>
      <c r="P4037" s="4">
        <v>2044.6</v>
      </c>
      <c r="Q4037" t="s">
        <v>30</v>
      </c>
      <c r="R4037">
        <v>1</v>
      </c>
      <c r="S4037" t="s">
        <v>44</v>
      </c>
      <c r="T4037">
        <v>0</v>
      </c>
      <c r="U4037">
        <v>1</v>
      </c>
      <c r="V4037" t="s">
        <v>32</v>
      </c>
      <c r="W4037" t="s">
        <v>49</v>
      </c>
      <c r="X4037" s="4">
        <v>9</v>
      </c>
      <c r="Y4037">
        <v>6</v>
      </c>
      <c r="Z4037" s="5">
        <v>160.59</v>
      </c>
    </row>
    <row r="4038" spans="1:26">
      <c r="A4038">
        <v>4037</v>
      </c>
      <c r="B4038">
        <v>1322</v>
      </c>
      <c r="C4038" s="2">
        <v>46289</v>
      </c>
      <c r="D4038" t="s">
        <v>55</v>
      </c>
      <c r="E4038">
        <v>9</v>
      </c>
      <c r="F4038" s="3">
        <v>11.01</v>
      </c>
      <c r="G4038" t="s">
        <v>36</v>
      </c>
      <c r="H4038">
        <v>47</v>
      </c>
      <c r="I4038" t="s">
        <v>28</v>
      </c>
      <c r="J4038" s="4">
        <v>69</v>
      </c>
      <c r="K4038" s="4">
        <v>129</v>
      </c>
      <c r="L4038" s="4">
        <v>19.3</v>
      </c>
      <c r="M4038">
        <v>16</v>
      </c>
      <c r="N4038" t="s">
        <v>54</v>
      </c>
      <c r="O4038">
        <v>3</v>
      </c>
      <c r="P4038" s="4">
        <v>2044.6</v>
      </c>
      <c r="Q4038" t="s">
        <v>30</v>
      </c>
      <c r="R4038">
        <v>1</v>
      </c>
      <c r="S4038" t="s">
        <v>44</v>
      </c>
      <c r="T4038">
        <v>0</v>
      </c>
      <c r="U4038">
        <v>1</v>
      </c>
      <c r="V4038" t="s">
        <v>32</v>
      </c>
      <c r="W4038" t="s">
        <v>49</v>
      </c>
      <c r="X4038" s="4">
        <v>12.3</v>
      </c>
      <c r="Y4038">
        <v>14</v>
      </c>
      <c r="Z4038" s="5">
        <v>367.36</v>
      </c>
    </row>
    <row r="4039" spans="1:26">
      <c r="A4039">
        <v>4038</v>
      </c>
      <c r="B4039">
        <v>1322</v>
      </c>
      <c r="C4039" s="2">
        <v>46289</v>
      </c>
      <c r="D4039" t="s">
        <v>55</v>
      </c>
      <c r="E4039">
        <v>9</v>
      </c>
      <c r="F4039" s="3">
        <v>10.78</v>
      </c>
      <c r="G4039" t="s">
        <v>27</v>
      </c>
      <c r="H4039">
        <v>43</v>
      </c>
      <c r="I4039" t="s">
        <v>28</v>
      </c>
      <c r="J4039" s="4">
        <v>74.099999999999994</v>
      </c>
      <c r="K4039" s="4">
        <v>248.5</v>
      </c>
      <c r="L4039" s="4">
        <v>31.7</v>
      </c>
      <c r="M4039">
        <v>14</v>
      </c>
      <c r="N4039" t="s">
        <v>54</v>
      </c>
      <c r="O4039">
        <v>3</v>
      </c>
      <c r="P4039" s="4">
        <v>2044.6</v>
      </c>
      <c r="Q4039" t="s">
        <v>30</v>
      </c>
      <c r="R4039">
        <v>1</v>
      </c>
      <c r="S4039" t="s">
        <v>44</v>
      </c>
      <c r="T4039">
        <v>0</v>
      </c>
      <c r="U4039">
        <v>1</v>
      </c>
      <c r="V4039" t="s">
        <v>32</v>
      </c>
      <c r="W4039" t="s">
        <v>49</v>
      </c>
      <c r="X4039" s="4">
        <v>8.6999999999999993</v>
      </c>
      <c r="Y4039">
        <v>10</v>
      </c>
      <c r="Z4039" s="5">
        <v>206.36</v>
      </c>
    </row>
    <row r="4040" spans="1:26">
      <c r="A4040">
        <v>4039</v>
      </c>
      <c r="B4040">
        <v>1323</v>
      </c>
      <c r="C4040" s="2">
        <v>46170</v>
      </c>
      <c r="D4040" t="s">
        <v>55</v>
      </c>
      <c r="E4040">
        <v>5</v>
      </c>
      <c r="F4040" s="3">
        <v>12.87</v>
      </c>
      <c r="G4040" t="s">
        <v>36</v>
      </c>
      <c r="H4040">
        <v>66</v>
      </c>
      <c r="I4040" t="s">
        <v>34</v>
      </c>
      <c r="J4040" s="4">
        <v>65</v>
      </c>
      <c r="K4040" s="4">
        <v>145.19999999999999</v>
      </c>
      <c r="L4040" s="4">
        <v>23.9</v>
      </c>
      <c r="M4040">
        <v>19</v>
      </c>
      <c r="N4040" t="s">
        <v>47</v>
      </c>
      <c r="O4040">
        <v>5</v>
      </c>
      <c r="P4040" s="4">
        <v>127</v>
      </c>
      <c r="Q4040" t="s">
        <v>48</v>
      </c>
      <c r="R4040">
        <v>0</v>
      </c>
      <c r="S4040" t="s">
        <v>31</v>
      </c>
      <c r="T4040">
        <v>0</v>
      </c>
      <c r="U4040">
        <v>0</v>
      </c>
      <c r="V4040" t="s">
        <v>32</v>
      </c>
      <c r="W4040" t="s">
        <v>39</v>
      </c>
      <c r="X4040" s="4">
        <v>8.1</v>
      </c>
      <c r="Y4040">
        <v>10</v>
      </c>
      <c r="Z4040" s="5">
        <v>267.44</v>
      </c>
    </row>
    <row r="4041" spans="1:26">
      <c r="A4041">
        <v>4040</v>
      </c>
      <c r="B4041">
        <v>1323</v>
      </c>
      <c r="C4041" s="2">
        <v>46170</v>
      </c>
      <c r="D4041" t="s">
        <v>55</v>
      </c>
      <c r="E4041">
        <v>5</v>
      </c>
      <c r="F4041" s="3">
        <v>12.95</v>
      </c>
      <c r="G4041" t="s">
        <v>36</v>
      </c>
      <c r="H4041">
        <v>9</v>
      </c>
      <c r="I4041" t="s">
        <v>28</v>
      </c>
      <c r="J4041" s="4">
        <v>58.1</v>
      </c>
      <c r="K4041" s="4">
        <v>101.2</v>
      </c>
      <c r="L4041" s="4">
        <v>20.7</v>
      </c>
      <c r="M4041">
        <v>14</v>
      </c>
      <c r="N4041" t="s">
        <v>47</v>
      </c>
      <c r="O4041">
        <v>5</v>
      </c>
      <c r="P4041" s="4">
        <v>127</v>
      </c>
      <c r="Q4041" t="s">
        <v>48</v>
      </c>
      <c r="R4041">
        <v>0</v>
      </c>
      <c r="S4041" t="s">
        <v>31</v>
      </c>
      <c r="T4041">
        <v>0</v>
      </c>
      <c r="U4041">
        <v>0</v>
      </c>
      <c r="V4041" t="s">
        <v>32</v>
      </c>
      <c r="W4041" t="s">
        <v>39</v>
      </c>
      <c r="X4041" s="4">
        <v>8.1</v>
      </c>
      <c r="Y4041">
        <v>7</v>
      </c>
      <c r="Z4041" s="5">
        <v>260.01</v>
      </c>
    </row>
    <row r="4042" spans="1:26">
      <c r="A4042">
        <v>4041</v>
      </c>
      <c r="B4042">
        <v>1323</v>
      </c>
      <c r="C4042" s="2">
        <v>46170</v>
      </c>
      <c r="D4042" t="s">
        <v>55</v>
      </c>
      <c r="E4042">
        <v>5</v>
      </c>
      <c r="F4042" s="3">
        <v>12.87</v>
      </c>
      <c r="G4042" t="s">
        <v>36</v>
      </c>
      <c r="H4042">
        <v>70</v>
      </c>
      <c r="I4042" t="s">
        <v>28</v>
      </c>
      <c r="J4042" s="4">
        <v>66.099999999999994</v>
      </c>
      <c r="K4042" s="4">
        <v>148</v>
      </c>
      <c r="L4042" s="4">
        <v>23.9</v>
      </c>
      <c r="M4042">
        <v>18</v>
      </c>
      <c r="N4042" t="s">
        <v>47</v>
      </c>
      <c r="O4042">
        <v>5</v>
      </c>
      <c r="P4042" s="4">
        <v>127</v>
      </c>
      <c r="Q4042" t="s">
        <v>48</v>
      </c>
      <c r="R4042">
        <v>0</v>
      </c>
      <c r="S4042" t="s">
        <v>31</v>
      </c>
      <c r="T4042">
        <v>0</v>
      </c>
      <c r="U4042">
        <v>0</v>
      </c>
      <c r="V4042" t="s">
        <v>32</v>
      </c>
      <c r="W4042" t="s">
        <v>39</v>
      </c>
      <c r="X4042" s="4">
        <v>7</v>
      </c>
      <c r="Y4042">
        <v>8</v>
      </c>
      <c r="Z4042" s="5">
        <v>170.7</v>
      </c>
    </row>
    <row r="4043" spans="1:26">
      <c r="A4043">
        <v>4042</v>
      </c>
      <c r="B4043">
        <v>1323</v>
      </c>
      <c r="C4043" s="2">
        <v>46170</v>
      </c>
      <c r="D4043" t="s">
        <v>55</v>
      </c>
      <c r="E4043">
        <v>5</v>
      </c>
      <c r="F4043" s="3">
        <v>12.72</v>
      </c>
      <c r="G4043" t="s">
        <v>36</v>
      </c>
      <c r="H4043">
        <v>55</v>
      </c>
      <c r="I4043" t="s">
        <v>34</v>
      </c>
      <c r="J4043" s="4">
        <v>66.400000000000006</v>
      </c>
      <c r="K4043" s="4">
        <v>164</v>
      </c>
      <c r="L4043" s="4">
        <v>26</v>
      </c>
      <c r="M4043">
        <v>16</v>
      </c>
      <c r="N4043" t="s">
        <v>47</v>
      </c>
      <c r="O4043">
        <v>5</v>
      </c>
      <c r="P4043" s="4">
        <v>127</v>
      </c>
      <c r="Q4043" t="s">
        <v>48</v>
      </c>
      <c r="R4043">
        <v>0</v>
      </c>
      <c r="S4043" t="s">
        <v>31</v>
      </c>
      <c r="T4043">
        <v>0</v>
      </c>
      <c r="U4043">
        <v>0</v>
      </c>
      <c r="V4043" t="s">
        <v>32</v>
      </c>
      <c r="W4043" t="s">
        <v>39</v>
      </c>
      <c r="X4043" s="4">
        <v>7.3</v>
      </c>
      <c r="Y4043">
        <v>12</v>
      </c>
      <c r="Z4043" s="5">
        <v>287.51</v>
      </c>
    </row>
    <row r="4044" spans="1:26">
      <c r="A4044">
        <v>4043</v>
      </c>
      <c r="B4044">
        <v>1323</v>
      </c>
      <c r="C4044" s="2">
        <v>46170</v>
      </c>
      <c r="D4044" t="s">
        <v>55</v>
      </c>
      <c r="E4044">
        <v>5</v>
      </c>
      <c r="F4044" s="3">
        <v>12.68</v>
      </c>
      <c r="G4044" t="s">
        <v>36</v>
      </c>
      <c r="H4044">
        <v>52</v>
      </c>
      <c r="I4044" t="s">
        <v>28</v>
      </c>
      <c r="J4044" s="4">
        <v>69.8</v>
      </c>
      <c r="K4044" s="4">
        <v>206.4</v>
      </c>
      <c r="L4044" s="4">
        <v>29.8</v>
      </c>
      <c r="M4044">
        <v>18</v>
      </c>
      <c r="N4044" t="s">
        <v>47</v>
      </c>
      <c r="O4044">
        <v>5</v>
      </c>
      <c r="P4044" s="4">
        <v>127</v>
      </c>
      <c r="Q4044" t="s">
        <v>48</v>
      </c>
      <c r="R4044">
        <v>0</v>
      </c>
      <c r="S4044" t="s">
        <v>31</v>
      </c>
      <c r="T4044">
        <v>0</v>
      </c>
      <c r="U4044">
        <v>0</v>
      </c>
      <c r="V4044" t="s">
        <v>32</v>
      </c>
      <c r="W4044" t="s">
        <v>39</v>
      </c>
      <c r="X4044" s="4">
        <v>7.9</v>
      </c>
      <c r="Y4044">
        <v>13</v>
      </c>
      <c r="Z4044" s="5">
        <v>243.89</v>
      </c>
    </row>
    <row r="4045" spans="1:26">
      <c r="A4045">
        <v>4044</v>
      </c>
      <c r="B4045">
        <v>1324</v>
      </c>
      <c r="C4045" s="2">
        <v>46314</v>
      </c>
      <c r="D4045" t="s">
        <v>46</v>
      </c>
      <c r="E4045">
        <v>10</v>
      </c>
      <c r="F4045" s="3">
        <v>10.92</v>
      </c>
      <c r="G4045" t="s">
        <v>27</v>
      </c>
      <c r="H4045">
        <v>38</v>
      </c>
      <c r="I4045" t="s">
        <v>34</v>
      </c>
      <c r="J4045" s="4">
        <v>61.8</v>
      </c>
      <c r="K4045" s="4">
        <v>137.19999999999999</v>
      </c>
      <c r="L4045" s="4">
        <v>25.1</v>
      </c>
      <c r="M4045">
        <v>8</v>
      </c>
      <c r="N4045" t="s">
        <v>41</v>
      </c>
      <c r="O4045">
        <v>4</v>
      </c>
      <c r="P4045" s="4">
        <v>2305.1999999999998</v>
      </c>
      <c r="Q4045" t="s">
        <v>30</v>
      </c>
      <c r="R4045">
        <v>1</v>
      </c>
      <c r="S4045" t="s">
        <v>44</v>
      </c>
      <c r="T4045">
        <v>0</v>
      </c>
      <c r="U4045">
        <v>1</v>
      </c>
      <c r="V4045" t="s">
        <v>32</v>
      </c>
      <c r="W4045" t="s">
        <v>39</v>
      </c>
      <c r="X4045" s="4">
        <v>8.6</v>
      </c>
      <c r="Y4045">
        <v>6</v>
      </c>
      <c r="Z4045" s="5">
        <v>134.26</v>
      </c>
    </row>
    <row r="4046" spans="1:26">
      <c r="A4046">
        <v>4045</v>
      </c>
      <c r="B4046">
        <v>1324</v>
      </c>
      <c r="C4046" s="2">
        <v>46314</v>
      </c>
      <c r="D4046" t="s">
        <v>46</v>
      </c>
      <c r="E4046">
        <v>10</v>
      </c>
      <c r="F4046" s="3">
        <v>11.01</v>
      </c>
      <c r="G4046" t="s">
        <v>36</v>
      </c>
      <c r="H4046">
        <v>13</v>
      </c>
      <c r="I4046" t="s">
        <v>28</v>
      </c>
      <c r="J4046" s="4">
        <v>66.3</v>
      </c>
      <c r="K4046" s="4">
        <v>135.6</v>
      </c>
      <c r="L4046" s="4">
        <v>21.9</v>
      </c>
      <c r="M4046">
        <v>11</v>
      </c>
      <c r="N4046" t="s">
        <v>41</v>
      </c>
      <c r="O4046">
        <v>4</v>
      </c>
      <c r="P4046" s="4">
        <v>2305.1999999999998</v>
      </c>
      <c r="Q4046" t="s">
        <v>30</v>
      </c>
      <c r="R4046">
        <v>1</v>
      </c>
      <c r="S4046" t="s">
        <v>44</v>
      </c>
      <c r="T4046">
        <v>0</v>
      </c>
      <c r="U4046">
        <v>1</v>
      </c>
      <c r="V4046" t="s">
        <v>32</v>
      </c>
      <c r="W4046" t="s">
        <v>39</v>
      </c>
      <c r="X4046" s="4">
        <v>8.6</v>
      </c>
      <c r="Y4046">
        <v>10</v>
      </c>
      <c r="Z4046" s="5">
        <v>210.62</v>
      </c>
    </row>
    <row r="4047" spans="1:26">
      <c r="A4047">
        <v>4046</v>
      </c>
      <c r="B4047">
        <v>1324</v>
      </c>
      <c r="C4047" s="2">
        <v>46314</v>
      </c>
      <c r="D4047" t="s">
        <v>46</v>
      </c>
      <c r="E4047">
        <v>10</v>
      </c>
      <c r="F4047" s="3">
        <v>11.05</v>
      </c>
      <c r="G4047" t="s">
        <v>36</v>
      </c>
      <c r="H4047">
        <v>63</v>
      </c>
      <c r="I4047" t="s">
        <v>28</v>
      </c>
      <c r="J4047" s="4">
        <v>76.599999999999994</v>
      </c>
      <c r="K4047" s="4">
        <v>221.6</v>
      </c>
      <c r="L4047" s="4">
        <v>26.5</v>
      </c>
      <c r="M4047">
        <v>12</v>
      </c>
      <c r="N4047" t="s">
        <v>41</v>
      </c>
      <c r="O4047">
        <v>4</v>
      </c>
      <c r="P4047" s="4">
        <v>2305.1999999999998</v>
      </c>
      <c r="Q4047" t="s">
        <v>30</v>
      </c>
      <c r="R4047">
        <v>1</v>
      </c>
      <c r="S4047" t="s">
        <v>44</v>
      </c>
      <c r="T4047">
        <v>0</v>
      </c>
      <c r="U4047">
        <v>1</v>
      </c>
      <c r="V4047" t="s">
        <v>32</v>
      </c>
      <c r="W4047" t="s">
        <v>39</v>
      </c>
      <c r="X4047" s="4">
        <v>9</v>
      </c>
      <c r="Y4047">
        <v>3</v>
      </c>
      <c r="Z4047" s="5">
        <v>251.98</v>
      </c>
    </row>
    <row r="4048" spans="1:26">
      <c r="A4048">
        <v>4047</v>
      </c>
      <c r="B4048">
        <v>1324</v>
      </c>
      <c r="C4048" s="2">
        <v>46314</v>
      </c>
      <c r="D4048" t="s">
        <v>46</v>
      </c>
      <c r="E4048">
        <v>10</v>
      </c>
      <c r="F4048" s="3">
        <v>11.13</v>
      </c>
      <c r="G4048" t="s">
        <v>36</v>
      </c>
      <c r="H4048">
        <v>35</v>
      </c>
      <c r="I4048" t="s">
        <v>28</v>
      </c>
      <c r="J4048" s="4">
        <v>73.5</v>
      </c>
      <c r="K4048" s="4">
        <v>219.2</v>
      </c>
      <c r="L4048" s="4">
        <v>28.5</v>
      </c>
      <c r="M4048">
        <v>13</v>
      </c>
      <c r="N4048" t="s">
        <v>41</v>
      </c>
      <c r="O4048">
        <v>4</v>
      </c>
      <c r="P4048" s="4">
        <v>2305.1999999999998</v>
      </c>
      <c r="Q4048" t="s">
        <v>30</v>
      </c>
      <c r="R4048">
        <v>1</v>
      </c>
      <c r="S4048" t="s">
        <v>44</v>
      </c>
      <c r="T4048">
        <v>0</v>
      </c>
      <c r="U4048">
        <v>1</v>
      </c>
      <c r="V4048" t="s">
        <v>32</v>
      </c>
      <c r="W4048" t="s">
        <v>39</v>
      </c>
      <c r="X4048" s="4">
        <v>13.4</v>
      </c>
      <c r="Y4048">
        <v>6</v>
      </c>
      <c r="Z4048" s="5">
        <v>328.67</v>
      </c>
    </row>
    <row r="4049" spans="1:26">
      <c r="A4049">
        <v>4048</v>
      </c>
      <c r="B4049">
        <v>1325</v>
      </c>
      <c r="C4049" s="2">
        <v>46298</v>
      </c>
      <c r="D4049" t="s">
        <v>40</v>
      </c>
      <c r="E4049">
        <v>10</v>
      </c>
      <c r="F4049" s="3">
        <v>8.92</v>
      </c>
      <c r="G4049" t="s">
        <v>27</v>
      </c>
      <c r="H4049">
        <v>10</v>
      </c>
      <c r="I4049" t="s">
        <v>28</v>
      </c>
      <c r="J4049" s="4">
        <v>61.9</v>
      </c>
      <c r="K4049" s="4">
        <v>106.7</v>
      </c>
      <c r="L4049" s="4">
        <v>19.5</v>
      </c>
      <c r="M4049">
        <v>12</v>
      </c>
      <c r="N4049" t="s">
        <v>50</v>
      </c>
      <c r="O4049">
        <v>2</v>
      </c>
      <c r="P4049" s="4">
        <v>380</v>
      </c>
      <c r="Q4049" t="s">
        <v>48</v>
      </c>
      <c r="R4049">
        <v>0</v>
      </c>
      <c r="S4049" t="s">
        <v>31</v>
      </c>
      <c r="T4049">
        <v>0</v>
      </c>
      <c r="U4049">
        <v>0</v>
      </c>
      <c r="V4049" t="s">
        <v>32</v>
      </c>
      <c r="W4049" t="s">
        <v>43</v>
      </c>
      <c r="X4049" s="4">
        <v>7.2</v>
      </c>
      <c r="Y4049">
        <v>7</v>
      </c>
      <c r="Z4049" s="5">
        <v>143.86000000000001</v>
      </c>
    </row>
    <row r="4050" spans="1:26">
      <c r="A4050">
        <v>4049</v>
      </c>
      <c r="B4050">
        <v>1325</v>
      </c>
      <c r="C4050" s="2">
        <v>46298</v>
      </c>
      <c r="D4050" t="s">
        <v>40</v>
      </c>
      <c r="E4050">
        <v>10</v>
      </c>
      <c r="F4050" s="3">
        <v>8.74</v>
      </c>
      <c r="G4050" t="s">
        <v>27</v>
      </c>
      <c r="H4050">
        <v>19</v>
      </c>
      <c r="I4050" t="s">
        <v>34</v>
      </c>
      <c r="J4050" s="4">
        <v>69.400000000000006</v>
      </c>
      <c r="K4050" s="4">
        <v>183.4</v>
      </c>
      <c r="L4050" s="4">
        <v>26.7</v>
      </c>
      <c r="M4050">
        <v>15</v>
      </c>
      <c r="N4050" t="s">
        <v>50</v>
      </c>
      <c r="O4050">
        <v>2</v>
      </c>
      <c r="P4050" s="4">
        <v>380</v>
      </c>
      <c r="Q4050" t="s">
        <v>48</v>
      </c>
      <c r="R4050">
        <v>0</v>
      </c>
      <c r="S4050" t="s">
        <v>31</v>
      </c>
      <c r="T4050">
        <v>0</v>
      </c>
      <c r="U4050">
        <v>0</v>
      </c>
      <c r="V4050" t="s">
        <v>32</v>
      </c>
      <c r="W4050" t="s">
        <v>43</v>
      </c>
      <c r="X4050" s="4">
        <v>6.6</v>
      </c>
      <c r="Y4050">
        <v>9</v>
      </c>
      <c r="Z4050" s="5">
        <v>207.88</v>
      </c>
    </row>
    <row r="4051" spans="1:26">
      <c r="A4051">
        <v>4050</v>
      </c>
      <c r="B4051">
        <v>1326</v>
      </c>
      <c r="C4051" s="2">
        <v>46264</v>
      </c>
      <c r="D4051" t="s">
        <v>58</v>
      </c>
      <c r="E4051">
        <v>8</v>
      </c>
      <c r="F4051" s="3">
        <v>10.39</v>
      </c>
      <c r="G4051" t="s">
        <v>27</v>
      </c>
      <c r="H4051">
        <v>9</v>
      </c>
      <c r="I4051" t="s">
        <v>28</v>
      </c>
      <c r="J4051" s="4">
        <v>56.1</v>
      </c>
      <c r="K4051" s="4">
        <v>81.099999999999994</v>
      </c>
      <c r="L4051" s="4">
        <v>18.100000000000001</v>
      </c>
      <c r="M4051">
        <v>10</v>
      </c>
      <c r="N4051" t="s">
        <v>59</v>
      </c>
      <c r="O4051">
        <v>2</v>
      </c>
      <c r="P4051" s="4">
        <v>950.5</v>
      </c>
      <c r="Q4051" t="s">
        <v>30</v>
      </c>
      <c r="R4051">
        <v>1</v>
      </c>
      <c r="S4051" t="s">
        <v>44</v>
      </c>
      <c r="T4051">
        <v>0</v>
      </c>
      <c r="U4051">
        <v>1</v>
      </c>
      <c r="V4051" t="s">
        <v>32</v>
      </c>
      <c r="W4051" t="s">
        <v>33</v>
      </c>
      <c r="X4051" s="4">
        <v>8.6</v>
      </c>
      <c r="Y4051">
        <v>9</v>
      </c>
      <c r="Z4051" s="5">
        <v>209.39</v>
      </c>
    </row>
    <row r="4052" spans="1:26">
      <c r="A4052">
        <v>4051</v>
      </c>
      <c r="B4052">
        <v>1326</v>
      </c>
      <c r="C4052" s="2">
        <v>46264</v>
      </c>
      <c r="D4052" t="s">
        <v>58</v>
      </c>
      <c r="E4052">
        <v>8</v>
      </c>
      <c r="F4052" s="3">
        <v>10.25</v>
      </c>
      <c r="G4052" t="s">
        <v>27</v>
      </c>
      <c r="H4052">
        <v>18</v>
      </c>
      <c r="I4052" t="s">
        <v>28</v>
      </c>
      <c r="J4052" s="4">
        <v>70</v>
      </c>
      <c r="K4052" s="4">
        <v>177.1</v>
      </c>
      <c r="L4052" s="4">
        <v>25.7</v>
      </c>
      <c r="M4052">
        <v>11</v>
      </c>
      <c r="N4052" t="s">
        <v>59</v>
      </c>
      <c r="O4052">
        <v>2</v>
      </c>
      <c r="P4052" s="4">
        <v>950.5</v>
      </c>
      <c r="Q4052" t="s">
        <v>30</v>
      </c>
      <c r="R4052">
        <v>1</v>
      </c>
      <c r="S4052" t="s">
        <v>44</v>
      </c>
      <c r="T4052">
        <v>0</v>
      </c>
      <c r="U4052">
        <v>1</v>
      </c>
      <c r="V4052" t="s">
        <v>32</v>
      </c>
      <c r="W4052" t="s">
        <v>33</v>
      </c>
      <c r="X4052" s="4">
        <v>8.3000000000000007</v>
      </c>
      <c r="Y4052">
        <v>8</v>
      </c>
      <c r="Z4052" s="5">
        <v>209.82</v>
      </c>
    </row>
    <row r="4053" spans="1:26">
      <c r="A4053">
        <v>4052</v>
      </c>
      <c r="B4053">
        <v>1327</v>
      </c>
      <c r="C4053" s="2">
        <v>46352</v>
      </c>
      <c r="D4053" t="s">
        <v>55</v>
      </c>
      <c r="E4053">
        <v>11</v>
      </c>
      <c r="F4053" s="3">
        <v>10.1</v>
      </c>
      <c r="G4053" t="s">
        <v>27</v>
      </c>
      <c r="H4053">
        <v>26</v>
      </c>
      <c r="I4053" t="s">
        <v>28</v>
      </c>
      <c r="J4053" s="4">
        <v>64.3</v>
      </c>
      <c r="K4053" s="4">
        <v>136.80000000000001</v>
      </c>
      <c r="L4053" s="4">
        <v>23.2</v>
      </c>
      <c r="M4053">
        <v>15</v>
      </c>
      <c r="N4053" t="s">
        <v>62</v>
      </c>
      <c r="O4053">
        <v>3</v>
      </c>
      <c r="P4053" s="4">
        <v>2083.6</v>
      </c>
      <c r="Q4053" t="s">
        <v>30</v>
      </c>
      <c r="R4053">
        <v>1</v>
      </c>
      <c r="S4053" t="s">
        <v>44</v>
      </c>
      <c r="T4053">
        <v>0</v>
      </c>
      <c r="U4053">
        <v>1</v>
      </c>
      <c r="V4053" t="s">
        <v>64</v>
      </c>
      <c r="W4053" t="s">
        <v>33</v>
      </c>
      <c r="X4053" s="4">
        <v>8.6</v>
      </c>
      <c r="Y4053">
        <v>12</v>
      </c>
      <c r="Z4053" s="5">
        <v>285.44</v>
      </c>
    </row>
    <row r="4054" spans="1:26">
      <c r="A4054">
        <v>4053</v>
      </c>
      <c r="B4054">
        <v>1327</v>
      </c>
      <c r="C4054" s="2">
        <v>46352</v>
      </c>
      <c r="D4054" t="s">
        <v>55</v>
      </c>
      <c r="E4054">
        <v>11</v>
      </c>
      <c r="F4054" s="3">
        <v>10.119999999999999</v>
      </c>
      <c r="G4054" t="s">
        <v>27</v>
      </c>
      <c r="H4054">
        <v>11</v>
      </c>
      <c r="I4054" t="s">
        <v>28</v>
      </c>
      <c r="J4054" s="4">
        <v>63.5</v>
      </c>
      <c r="K4054" s="4">
        <v>130.80000000000001</v>
      </c>
      <c r="L4054" s="4">
        <v>22.8</v>
      </c>
      <c r="M4054">
        <v>14</v>
      </c>
      <c r="N4054" t="s">
        <v>62</v>
      </c>
      <c r="O4054">
        <v>3</v>
      </c>
      <c r="P4054" s="4">
        <v>2083.6</v>
      </c>
      <c r="Q4054" t="s">
        <v>30</v>
      </c>
      <c r="R4054">
        <v>1</v>
      </c>
      <c r="S4054" t="s">
        <v>44</v>
      </c>
      <c r="T4054">
        <v>0</v>
      </c>
      <c r="U4054">
        <v>1</v>
      </c>
      <c r="V4054" t="s">
        <v>64</v>
      </c>
      <c r="W4054" t="s">
        <v>33</v>
      </c>
      <c r="X4054" s="4">
        <v>9.5</v>
      </c>
      <c r="Y4054">
        <v>9</v>
      </c>
      <c r="Z4054" s="5">
        <v>204.11</v>
      </c>
    </row>
    <row r="4055" spans="1:26">
      <c r="A4055">
        <v>4054</v>
      </c>
      <c r="B4055">
        <v>1327</v>
      </c>
      <c r="C4055" s="2">
        <v>46352</v>
      </c>
      <c r="D4055" t="s">
        <v>55</v>
      </c>
      <c r="E4055">
        <v>11</v>
      </c>
      <c r="F4055" s="3">
        <v>10.15</v>
      </c>
      <c r="G4055" t="s">
        <v>27</v>
      </c>
      <c r="H4055">
        <v>7</v>
      </c>
      <c r="I4055" t="s">
        <v>28</v>
      </c>
      <c r="J4055" s="4">
        <v>52.5</v>
      </c>
      <c r="K4055" s="4">
        <v>87.6</v>
      </c>
      <c r="L4055" s="4">
        <v>22.5</v>
      </c>
      <c r="M4055">
        <v>11</v>
      </c>
      <c r="N4055" t="s">
        <v>62</v>
      </c>
      <c r="O4055">
        <v>3</v>
      </c>
      <c r="P4055" s="4">
        <v>2083.6</v>
      </c>
      <c r="Q4055" t="s">
        <v>30</v>
      </c>
      <c r="R4055">
        <v>1</v>
      </c>
      <c r="S4055" t="s">
        <v>44</v>
      </c>
      <c r="T4055">
        <v>0</v>
      </c>
      <c r="U4055">
        <v>1</v>
      </c>
      <c r="V4055" t="s">
        <v>64</v>
      </c>
      <c r="W4055" t="s">
        <v>33</v>
      </c>
      <c r="X4055" s="4">
        <v>10.1</v>
      </c>
      <c r="Y4055">
        <v>10</v>
      </c>
      <c r="Z4055" s="5">
        <v>219.45</v>
      </c>
    </row>
    <row r="4056" spans="1:26">
      <c r="A4056">
        <v>4055</v>
      </c>
      <c r="B4056">
        <v>1328</v>
      </c>
      <c r="C4056" s="2">
        <v>46138</v>
      </c>
      <c r="D4056" t="s">
        <v>58</v>
      </c>
      <c r="E4056">
        <v>4</v>
      </c>
      <c r="F4056" s="3">
        <v>13.83</v>
      </c>
      <c r="G4056" t="s">
        <v>36</v>
      </c>
      <c r="H4056">
        <v>56</v>
      </c>
      <c r="I4056" t="s">
        <v>28</v>
      </c>
      <c r="J4056" s="4">
        <v>67.8</v>
      </c>
      <c r="K4056" s="4">
        <v>174.2</v>
      </c>
      <c r="L4056" s="4">
        <v>26.4</v>
      </c>
      <c r="M4056">
        <v>11</v>
      </c>
      <c r="N4056" t="s">
        <v>47</v>
      </c>
      <c r="O4056">
        <v>2</v>
      </c>
      <c r="P4056" s="4">
        <v>33.1</v>
      </c>
      <c r="Q4056" t="s">
        <v>30</v>
      </c>
      <c r="R4056">
        <v>0</v>
      </c>
      <c r="S4056" t="s">
        <v>44</v>
      </c>
      <c r="T4056">
        <v>1</v>
      </c>
      <c r="U4056">
        <v>0</v>
      </c>
      <c r="V4056" t="s">
        <v>32</v>
      </c>
      <c r="W4056" t="s">
        <v>39</v>
      </c>
      <c r="X4056" s="4">
        <v>4.2</v>
      </c>
      <c r="Y4056">
        <v>5</v>
      </c>
      <c r="Z4056" s="5">
        <v>183.48</v>
      </c>
    </row>
    <row r="4057" spans="1:26">
      <c r="A4057">
        <v>4056</v>
      </c>
      <c r="B4057">
        <v>1328</v>
      </c>
      <c r="C4057" s="2">
        <v>46138</v>
      </c>
      <c r="D4057" t="s">
        <v>58</v>
      </c>
      <c r="E4057">
        <v>4</v>
      </c>
      <c r="F4057" s="3">
        <v>14.07</v>
      </c>
      <c r="G4057" t="s">
        <v>36</v>
      </c>
      <c r="H4057">
        <v>44</v>
      </c>
      <c r="I4057" t="s">
        <v>34</v>
      </c>
      <c r="J4057" s="4">
        <v>63.9</v>
      </c>
      <c r="K4057" s="4">
        <v>166.4</v>
      </c>
      <c r="L4057" s="4">
        <v>28.6</v>
      </c>
      <c r="M4057">
        <v>12</v>
      </c>
      <c r="N4057" t="s">
        <v>47</v>
      </c>
      <c r="O4057">
        <v>2</v>
      </c>
      <c r="P4057" s="4">
        <v>33.1</v>
      </c>
      <c r="Q4057" t="s">
        <v>30</v>
      </c>
      <c r="R4057">
        <v>0</v>
      </c>
      <c r="S4057" t="s">
        <v>44</v>
      </c>
      <c r="T4057">
        <v>1</v>
      </c>
      <c r="U4057">
        <v>0</v>
      </c>
      <c r="V4057" t="s">
        <v>32</v>
      </c>
      <c r="W4057" t="s">
        <v>39</v>
      </c>
      <c r="X4057" s="4">
        <v>6.9</v>
      </c>
      <c r="Y4057">
        <v>8</v>
      </c>
      <c r="Z4057" s="5">
        <v>121.15</v>
      </c>
    </row>
    <row r="4058" spans="1:26">
      <c r="A4058">
        <v>4057</v>
      </c>
      <c r="B4058">
        <v>1329</v>
      </c>
      <c r="C4058" s="2">
        <v>46126</v>
      </c>
      <c r="D4058" t="s">
        <v>35</v>
      </c>
      <c r="E4058">
        <v>4</v>
      </c>
      <c r="F4058" s="3">
        <v>10.44</v>
      </c>
      <c r="G4058" t="s">
        <v>27</v>
      </c>
      <c r="H4058">
        <v>31</v>
      </c>
      <c r="I4058" t="s">
        <v>28</v>
      </c>
      <c r="J4058" s="4">
        <v>68.8</v>
      </c>
      <c r="K4058" s="4">
        <v>155.30000000000001</v>
      </c>
      <c r="L4058" s="4">
        <v>23.1</v>
      </c>
      <c r="M4058">
        <v>14</v>
      </c>
      <c r="N4058" t="s">
        <v>47</v>
      </c>
      <c r="O4058">
        <v>5</v>
      </c>
      <c r="P4058" s="4">
        <v>149.80000000000001</v>
      </c>
      <c r="Q4058" t="s">
        <v>48</v>
      </c>
      <c r="R4058">
        <v>0</v>
      </c>
      <c r="S4058" t="s">
        <v>31</v>
      </c>
      <c r="T4058">
        <v>1</v>
      </c>
      <c r="U4058">
        <v>0</v>
      </c>
      <c r="V4058" t="s">
        <v>32</v>
      </c>
      <c r="W4058" t="s">
        <v>43</v>
      </c>
      <c r="X4058" s="4">
        <v>7.5</v>
      </c>
      <c r="Y4058">
        <v>10</v>
      </c>
      <c r="Z4058" s="5">
        <v>260.42</v>
      </c>
    </row>
    <row r="4059" spans="1:26">
      <c r="A4059">
        <v>4058</v>
      </c>
      <c r="B4059">
        <v>1329</v>
      </c>
      <c r="C4059" s="2">
        <v>46126</v>
      </c>
      <c r="D4059" t="s">
        <v>35</v>
      </c>
      <c r="E4059">
        <v>4</v>
      </c>
      <c r="F4059" s="3">
        <v>10.35</v>
      </c>
      <c r="G4059" t="s">
        <v>27</v>
      </c>
      <c r="H4059">
        <v>41</v>
      </c>
      <c r="I4059" t="s">
        <v>34</v>
      </c>
      <c r="J4059" s="4">
        <v>62.9</v>
      </c>
      <c r="K4059" s="4">
        <v>123.9</v>
      </c>
      <c r="L4059" s="4">
        <v>22</v>
      </c>
      <c r="M4059">
        <v>17</v>
      </c>
      <c r="N4059" t="s">
        <v>47</v>
      </c>
      <c r="O4059">
        <v>5</v>
      </c>
      <c r="P4059" s="4">
        <v>149.80000000000001</v>
      </c>
      <c r="Q4059" t="s">
        <v>48</v>
      </c>
      <c r="R4059">
        <v>0</v>
      </c>
      <c r="S4059" t="s">
        <v>31</v>
      </c>
      <c r="T4059">
        <v>1</v>
      </c>
      <c r="U4059">
        <v>0</v>
      </c>
      <c r="V4059" t="s">
        <v>32</v>
      </c>
      <c r="W4059" t="s">
        <v>43</v>
      </c>
      <c r="X4059" s="4">
        <v>6.2</v>
      </c>
      <c r="Y4059">
        <v>3</v>
      </c>
      <c r="Z4059" s="5">
        <v>244.88</v>
      </c>
    </row>
    <row r="4060" spans="1:26">
      <c r="A4060">
        <v>4059</v>
      </c>
      <c r="B4060">
        <v>1329</v>
      </c>
      <c r="C4060" s="2">
        <v>46126</v>
      </c>
      <c r="D4060" t="s">
        <v>35</v>
      </c>
      <c r="E4060">
        <v>4</v>
      </c>
      <c r="F4060" s="3">
        <v>10.33</v>
      </c>
      <c r="G4060" t="s">
        <v>27</v>
      </c>
      <c r="H4060">
        <v>66</v>
      </c>
      <c r="I4060" t="s">
        <v>34</v>
      </c>
      <c r="J4060" s="4">
        <v>64.900000000000006</v>
      </c>
      <c r="K4060" s="4">
        <v>119.4</v>
      </c>
      <c r="L4060" s="4">
        <v>19.899999999999999</v>
      </c>
      <c r="M4060">
        <v>17</v>
      </c>
      <c r="N4060" t="s">
        <v>47</v>
      </c>
      <c r="O4060">
        <v>5</v>
      </c>
      <c r="P4060" s="4">
        <v>149.80000000000001</v>
      </c>
      <c r="Q4060" t="s">
        <v>48</v>
      </c>
      <c r="R4060">
        <v>0</v>
      </c>
      <c r="S4060" t="s">
        <v>31</v>
      </c>
      <c r="T4060">
        <v>1</v>
      </c>
      <c r="U4060">
        <v>0</v>
      </c>
      <c r="V4060" t="s">
        <v>32</v>
      </c>
      <c r="W4060" t="s">
        <v>43</v>
      </c>
      <c r="X4060" s="4">
        <v>9.6999999999999993</v>
      </c>
      <c r="Y4060">
        <v>11</v>
      </c>
      <c r="Z4060" s="5">
        <v>229.49</v>
      </c>
    </row>
    <row r="4061" spans="1:26">
      <c r="A4061">
        <v>4060</v>
      </c>
      <c r="B4061">
        <v>1329</v>
      </c>
      <c r="C4061" s="2">
        <v>46126</v>
      </c>
      <c r="D4061" t="s">
        <v>35</v>
      </c>
      <c r="E4061">
        <v>4</v>
      </c>
      <c r="F4061" s="3">
        <v>10.59</v>
      </c>
      <c r="G4061" t="s">
        <v>27</v>
      </c>
      <c r="H4061">
        <v>34</v>
      </c>
      <c r="I4061" t="s">
        <v>34</v>
      </c>
      <c r="J4061" s="4">
        <v>65.400000000000006</v>
      </c>
      <c r="K4061" s="4">
        <v>118</v>
      </c>
      <c r="L4061" s="4">
        <v>19.2</v>
      </c>
      <c r="M4061">
        <v>14</v>
      </c>
      <c r="N4061" t="s">
        <v>47</v>
      </c>
      <c r="O4061">
        <v>5</v>
      </c>
      <c r="P4061" s="4">
        <v>149.80000000000001</v>
      </c>
      <c r="Q4061" t="s">
        <v>48</v>
      </c>
      <c r="R4061">
        <v>0</v>
      </c>
      <c r="S4061" t="s">
        <v>31</v>
      </c>
      <c r="T4061">
        <v>1</v>
      </c>
      <c r="U4061">
        <v>0</v>
      </c>
      <c r="V4061" t="s">
        <v>32</v>
      </c>
      <c r="W4061" t="s">
        <v>43</v>
      </c>
      <c r="X4061" s="4">
        <v>4.3</v>
      </c>
      <c r="Y4061">
        <v>6</v>
      </c>
      <c r="Z4061" s="5">
        <v>204.97</v>
      </c>
    </row>
    <row r="4062" spans="1:26">
      <c r="A4062">
        <v>4061</v>
      </c>
      <c r="B4062">
        <v>1329</v>
      </c>
      <c r="C4062" s="2">
        <v>46126</v>
      </c>
      <c r="D4062" t="s">
        <v>35</v>
      </c>
      <c r="E4062">
        <v>4</v>
      </c>
      <c r="F4062" s="3">
        <v>10.34</v>
      </c>
      <c r="G4062" t="s">
        <v>27</v>
      </c>
      <c r="H4062">
        <v>46</v>
      </c>
      <c r="I4062" t="s">
        <v>28</v>
      </c>
      <c r="J4062" s="4">
        <v>73</v>
      </c>
      <c r="K4062" s="4">
        <v>149.69999999999999</v>
      </c>
      <c r="L4062" s="4">
        <v>19.8</v>
      </c>
      <c r="M4062">
        <v>14</v>
      </c>
      <c r="N4062" t="s">
        <v>47</v>
      </c>
      <c r="O4062">
        <v>5</v>
      </c>
      <c r="P4062" s="4">
        <v>149.80000000000001</v>
      </c>
      <c r="Q4062" t="s">
        <v>48</v>
      </c>
      <c r="R4062">
        <v>0</v>
      </c>
      <c r="S4062" t="s">
        <v>31</v>
      </c>
      <c r="T4062">
        <v>1</v>
      </c>
      <c r="U4062">
        <v>0</v>
      </c>
      <c r="V4062" t="s">
        <v>32</v>
      </c>
      <c r="W4062" t="s">
        <v>43</v>
      </c>
      <c r="X4062" s="4">
        <v>7.5</v>
      </c>
      <c r="Y4062">
        <v>6</v>
      </c>
      <c r="Z4062" s="5">
        <v>143.26</v>
      </c>
    </row>
    <row r="4063" spans="1:26">
      <c r="A4063">
        <v>4062</v>
      </c>
      <c r="B4063">
        <v>1330</v>
      </c>
      <c r="C4063" s="2">
        <v>46073</v>
      </c>
      <c r="D4063" t="s">
        <v>26</v>
      </c>
      <c r="E4063">
        <v>2</v>
      </c>
      <c r="F4063" s="3">
        <v>9.8000000000000007</v>
      </c>
      <c r="G4063" t="s">
        <v>27</v>
      </c>
      <c r="H4063">
        <v>5</v>
      </c>
      <c r="I4063" t="s">
        <v>28</v>
      </c>
      <c r="J4063" s="4">
        <v>56.9</v>
      </c>
      <c r="K4063" s="4">
        <v>122.4</v>
      </c>
      <c r="L4063" s="4">
        <v>26.5</v>
      </c>
      <c r="M4063">
        <v>12</v>
      </c>
      <c r="N4063" t="s">
        <v>47</v>
      </c>
      <c r="O4063">
        <v>5</v>
      </c>
      <c r="P4063" s="4">
        <v>2</v>
      </c>
      <c r="Q4063" t="s">
        <v>48</v>
      </c>
      <c r="R4063">
        <v>0</v>
      </c>
      <c r="S4063" t="s">
        <v>38</v>
      </c>
      <c r="T4063">
        <v>0</v>
      </c>
      <c r="U4063">
        <v>1</v>
      </c>
      <c r="V4063" t="s">
        <v>32</v>
      </c>
      <c r="W4063" t="s">
        <v>33</v>
      </c>
      <c r="X4063" s="4">
        <v>9.6</v>
      </c>
      <c r="Y4063">
        <v>10</v>
      </c>
      <c r="Z4063" s="5">
        <v>330.77</v>
      </c>
    </row>
    <row r="4064" spans="1:26">
      <c r="A4064">
        <v>4063</v>
      </c>
      <c r="B4064">
        <v>1330</v>
      </c>
      <c r="C4064" s="2">
        <v>46073</v>
      </c>
      <c r="D4064" t="s">
        <v>26</v>
      </c>
      <c r="E4064">
        <v>2</v>
      </c>
      <c r="F4064" s="3">
        <v>9.7899999999999991</v>
      </c>
      <c r="G4064" t="s">
        <v>27</v>
      </c>
      <c r="H4064">
        <v>7</v>
      </c>
      <c r="I4064" t="s">
        <v>34</v>
      </c>
      <c r="J4064" s="4">
        <v>60.4</v>
      </c>
      <c r="K4064" s="4">
        <v>100.4</v>
      </c>
      <c r="L4064" s="4">
        <v>19.2</v>
      </c>
      <c r="M4064">
        <v>15</v>
      </c>
      <c r="N4064" t="s">
        <v>47</v>
      </c>
      <c r="O4064">
        <v>5</v>
      </c>
      <c r="P4064" s="4">
        <v>2</v>
      </c>
      <c r="Q4064" t="s">
        <v>48</v>
      </c>
      <c r="R4064">
        <v>0</v>
      </c>
      <c r="S4064" t="s">
        <v>38</v>
      </c>
      <c r="T4064">
        <v>0</v>
      </c>
      <c r="U4064">
        <v>1</v>
      </c>
      <c r="V4064" t="s">
        <v>32</v>
      </c>
      <c r="W4064" t="s">
        <v>33</v>
      </c>
      <c r="X4064" s="4">
        <v>9</v>
      </c>
      <c r="Y4064">
        <v>8</v>
      </c>
      <c r="Z4064" s="5">
        <v>230.96</v>
      </c>
    </row>
    <row r="4065" spans="1:26">
      <c r="A4065">
        <v>4064</v>
      </c>
      <c r="B4065">
        <v>1330</v>
      </c>
      <c r="C4065" s="2">
        <v>46073</v>
      </c>
      <c r="D4065" t="s">
        <v>26</v>
      </c>
      <c r="E4065">
        <v>2</v>
      </c>
      <c r="F4065" s="3">
        <v>9.9600000000000009</v>
      </c>
      <c r="G4065" t="s">
        <v>27</v>
      </c>
      <c r="H4065">
        <v>16</v>
      </c>
      <c r="I4065" t="s">
        <v>28</v>
      </c>
      <c r="J4065" s="4">
        <v>70</v>
      </c>
      <c r="K4065" s="4">
        <v>163</v>
      </c>
      <c r="L4065" s="4">
        <v>23.4</v>
      </c>
      <c r="M4065">
        <v>10</v>
      </c>
      <c r="N4065" t="s">
        <v>47</v>
      </c>
      <c r="O4065">
        <v>5</v>
      </c>
      <c r="P4065" s="4">
        <v>2</v>
      </c>
      <c r="Q4065" t="s">
        <v>48</v>
      </c>
      <c r="R4065">
        <v>0</v>
      </c>
      <c r="S4065" t="s">
        <v>38</v>
      </c>
      <c r="T4065">
        <v>0</v>
      </c>
      <c r="U4065">
        <v>1</v>
      </c>
      <c r="V4065" t="s">
        <v>32</v>
      </c>
      <c r="W4065" t="s">
        <v>33</v>
      </c>
      <c r="X4065" s="4">
        <v>9</v>
      </c>
      <c r="Y4065">
        <v>11</v>
      </c>
      <c r="Z4065" s="5">
        <v>247.95</v>
      </c>
    </row>
    <row r="4066" spans="1:26">
      <c r="A4066">
        <v>4065</v>
      </c>
      <c r="B4066">
        <v>1330</v>
      </c>
      <c r="C4066" s="2">
        <v>46073</v>
      </c>
      <c r="D4066" t="s">
        <v>26</v>
      </c>
      <c r="E4066">
        <v>2</v>
      </c>
      <c r="F4066" s="3">
        <v>10.08</v>
      </c>
      <c r="G4066" t="s">
        <v>27</v>
      </c>
      <c r="H4066">
        <v>26</v>
      </c>
      <c r="I4066" t="s">
        <v>34</v>
      </c>
      <c r="J4066" s="4">
        <v>64.8</v>
      </c>
      <c r="K4066" s="4">
        <v>177.8</v>
      </c>
      <c r="L4066" s="4">
        <v>29.8</v>
      </c>
      <c r="M4066">
        <v>19</v>
      </c>
      <c r="N4066" t="s">
        <v>47</v>
      </c>
      <c r="O4066">
        <v>5</v>
      </c>
      <c r="P4066" s="4">
        <v>2</v>
      </c>
      <c r="Q4066" t="s">
        <v>48</v>
      </c>
      <c r="R4066">
        <v>0</v>
      </c>
      <c r="S4066" t="s">
        <v>38</v>
      </c>
      <c r="T4066">
        <v>0</v>
      </c>
      <c r="U4066">
        <v>1</v>
      </c>
      <c r="V4066" t="s">
        <v>32</v>
      </c>
      <c r="W4066" t="s">
        <v>33</v>
      </c>
      <c r="X4066" s="4">
        <v>9.1999999999999993</v>
      </c>
      <c r="Y4066">
        <v>12</v>
      </c>
      <c r="Z4066" s="5">
        <v>464.42</v>
      </c>
    </row>
    <row r="4067" spans="1:26">
      <c r="A4067">
        <v>4066</v>
      </c>
      <c r="B4067">
        <v>1330</v>
      </c>
      <c r="C4067" s="2">
        <v>46073</v>
      </c>
      <c r="D4067" t="s">
        <v>26</v>
      </c>
      <c r="E4067">
        <v>2</v>
      </c>
      <c r="F4067" s="3">
        <v>9.81</v>
      </c>
      <c r="G4067" t="s">
        <v>27</v>
      </c>
      <c r="H4067">
        <v>19</v>
      </c>
      <c r="I4067" t="s">
        <v>34</v>
      </c>
      <c r="J4067" s="4">
        <v>63.1</v>
      </c>
      <c r="K4067" s="4">
        <v>144.1</v>
      </c>
      <c r="L4067" s="4">
        <v>25.4</v>
      </c>
      <c r="M4067">
        <v>9</v>
      </c>
      <c r="N4067" t="s">
        <v>47</v>
      </c>
      <c r="O4067">
        <v>5</v>
      </c>
      <c r="P4067" s="4">
        <v>2</v>
      </c>
      <c r="Q4067" t="s">
        <v>48</v>
      </c>
      <c r="R4067">
        <v>0</v>
      </c>
      <c r="S4067" t="s">
        <v>38</v>
      </c>
      <c r="T4067">
        <v>0</v>
      </c>
      <c r="U4067">
        <v>1</v>
      </c>
      <c r="V4067" t="s">
        <v>32</v>
      </c>
      <c r="W4067" t="s">
        <v>33</v>
      </c>
      <c r="X4067" s="4">
        <v>10.4</v>
      </c>
      <c r="Y4067">
        <v>11</v>
      </c>
      <c r="Z4067" s="5">
        <v>392.09</v>
      </c>
    </row>
    <row r="4068" spans="1:26">
      <c r="A4068">
        <v>4067</v>
      </c>
      <c r="B4068">
        <v>1331</v>
      </c>
      <c r="C4068" s="2">
        <v>46056</v>
      </c>
      <c r="D4068" t="s">
        <v>35</v>
      </c>
      <c r="E4068">
        <v>2</v>
      </c>
      <c r="F4068" s="3">
        <v>10.220000000000001</v>
      </c>
      <c r="G4068" t="s">
        <v>27</v>
      </c>
      <c r="H4068">
        <v>38</v>
      </c>
      <c r="I4068" t="s">
        <v>34</v>
      </c>
      <c r="J4068" s="4">
        <v>68.900000000000006</v>
      </c>
      <c r="K4068" s="4">
        <v>169.7</v>
      </c>
      <c r="L4068" s="4">
        <v>24.9</v>
      </c>
      <c r="M4068">
        <v>13</v>
      </c>
      <c r="N4068" t="s">
        <v>50</v>
      </c>
      <c r="O4068">
        <v>3</v>
      </c>
      <c r="P4068" s="4">
        <v>430.7</v>
      </c>
      <c r="Q4068" t="s">
        <v>42</v>
      </c>
      <c r="R4068">
        <v>1</v>
      </c>
      <c r="S4068" t="s">
        <v>44</v>
      </c>
      <c r="T4068">
        <v>0</v>
      </c>
      <c r="U4068">
        <v>1</v>
      </c>
      <c r="V4068" t="s">
        <v>32</v>
      </c>
      <c r="W4068" t="s">
        <v>33</v>
      </c>
      <c r="X4068" s="4">
        <v>11.8</v>
      </c>
      <c r="Y4068">
        <v>12</v>
      </c>
      <c r="Z4068" s="5">
        <v>261.88</v>
      </c>
    </row>
    <row r="4069" spans="1:26">
      <c r="A4069">
        <v>4068</v>
      </c>
      <c r="B4069">
        <v>1331</v>
      </c>
      <c r="C4069" s="2">
        <v>46056</v>
      </c>
      <c r="D4069" t="s">
        <v>35</v>
      </c>
      <c r="E4069">
        <v>2</v>
      </c>
      <c r="F4069" s="3">
        <v>10.31</v>
      </c>
      <c r="G4069" t="s">
        <v>27</v>
      </c>
      <c r="H4069">
        <v>35</v>
      </c>
      <c r="I4069" t="s">
        <v>34</v>
      </c>
      <c r="J4069" s="4">
        <v>63.8</v>
      </c>
      <c r="K4069" s="4">
        <v>142.69999999999999</v>
      </c>
      <c r="L4069" s="4">
        <v>24.7</v>
      </c>
      <c r="M4069">
        <v>15</v>
      </c>
      <c r="N4069" t="s">
        <v>50</v>
      </c>
      <c r="O4069">
        <v>3</v>
      </c>
      <c r="P4069" s="4">
        <v>430.7</v>
      </c>
      <c r="Q4069" t="s">
        <v>42</v>
      </c>
      <c r="R4069">
        <v>1</v>
      </c>
      <c r="S4069" t="s">
        <v>44</v>
      </c>
      <c r="T4069">
        <v>0</v>
      </c>
      <c r="U4069">
        <v>1</v>
      </c>
      <c r="V4069" t="s">
        <v>32</v>
      </c>
      <c r="W4069" t="s">
        <v>33</v>
      </c>
      <c r="X4069" s="4">
        <v>11.2</v>
      </c>
      <c r="Y4069">
        <v>13</v>
      </c>
      <c r="Z4069" s="5">
        <v>194.62</v>
      </c>
    </row>
    <row r="4070" spans="1:26">
      <c r="A4070">
        <v>4069</v>
      </c>
      <c r="B4070">
        <v>1331</v>
      </c>
      <c r="C4070" s="2">
        <v>46056</v>
      </c>
      <c r="D4070" t="s">
        <v>35</v>
      </c>
      <c r="E4070">
        <v>2</v>
      </c>
      <c r="F4070" s="3">
        <v>10.08</v>
      </c>
      <c r="G4070" t="s">
        <v>27</v>
      </c>
      <c r="H4070">
        <v>71</v>
      </c>
      <c r="I4070" t="s">
        <v>28</v>
      </c>
      <c r="J4070" s="4">
        <v>67.400000000000006</v>
      </c>
      <c r="K4070" s="4">
        <v>193.1</v>
      </c>
      <c r="L4070" s="4">
        <v>29.9</v>
      </c>
      <c r="M4070">
        <v>15</v>
      </c>
      <c r="N4070" t="s">
        <v>50</v>
      </c>
      <c r="O4070">
        <v>3</v>
      </c>
      <c r="P4070" s="4">
        <v>430.7</v>
      </c>
      <c r="Q4070" t="s">
        <v>42</v>
      </c>
      <c r="R4070">
        <v>1</v>
      </c>
      <c r="S4070" t="s">
        <v>44</v>
      </c>
      <c r="T4070">
        <v>0</v>
      </c>
      <c r="U4070">
        <v>1</v>
      </c>
      <c r="V4070" t="s">
        <v>32</v>
      </c>
      <c r="W4070" t="s">
        <v>33</v>
      </c>
      <c r="X4070" s="4">
        <v>12.7</v>
      </c>
      <c r="Y4070">
        <v>11</v>
      </c>
      <c r="Z4070" s="5">
        <v>293.35000000000002</v>
      </c>
    </row>
    <row r="4071" spans="1:26">
      <c r="A4071">
        <v>4070</v>
      </c>
      <c r="B4071">
        <v>1332</v>
      </c>
      <c r="C4071" s="2">
        <v>46061</v>
      </c>
      <c r="D4071" t="s">
        <v>58</v>
      </c>
      <c r="E4071">
        <v>2</v>
      </c>
      <c r="F4071" s="3">
        <v>8.61</v>
      </c>
      <c r="G4071" t="s">
        <v>27</v>
      </c>
      <c r="H4071">
        <v>45</v>
      </c>
      <c r="I4071" t="s">
        <v>34</v>
      </c>
      <c r="J4071" s="4">
        <v>60</v>
      </c>
      <c r="K4071" s="4">
        <v>100.1</v>
      </c>
      <c r="L4071" s="4">
        <v>19.600000000000001</v>
      </c>
      <c r="M4071">
        <v>16</v>
      </c>
      <c r="N4071" t="s">
        <v>41</v>
      </c>
      <c r="O4071">
        <v>2</v>
      </c>
      <c r="P4071" s="4">
        <v>2145.3000000000002</v>
      </c>
      <c r="Q4071" t="s">
        <v>48</v>
      </c>
      <c r="R4071">
        <v>1</v>
      </c>
      <c r="S4071" t="s">
        <v>31</v>
      </c>
      <c r="T4071">
        <v>0</v>
      </c>
      <c r="U4071">
        <v>0</v>
      </c>
      <c r="V4071" t="s">
        <v>32</v>
      </c>
      <c r="W4071" t="s">
        <v>39</v>
      </c>
      <c r="X4071" s="4">
        <v>7.4</v>
      </c>
      <c r="Y4071">
        <v>9</v>
      </c>
      <c r="Z4071" s="5">
        <v>277.57</v>
      </c>
    </row>
    <row r="4072" spans="1:26">
      <c r="A4072">
        <v>4071</v>
      </c>
      <c r="B4072">
        <v>1332</v>
      </c>
      <c r="C4072" s="2">
        <v>46061</v>
      </c>
      <c r="D4072" t="s">
        <v>58</v>
      </c>
      <c r="E4072">
        <v>2</v>
      </c>
      <c r="F4072" s="3">
        <v>8.69</v>
      </c>
      <c r="G4072" t="s">
        <v>27</v>
      </c>
      <c r="H4072">
        <v>36</v>
      </c>
      <c r="I4072" t="s">
        <v>34</v>
      </c>
      <c r="J4072" s="4">
        <v>66.3</v>
      </c>
      <c r="K4072" s="4">
        <v>159</v>
      </c>
      <c r="L4072" s="4">
        <v>25.6</v>
      </c>
      <c r="M4072">
        <v>17</v>
      </c>
      <c r="N4072" t="s">
        <v>41</v>
      </c>
      <c r="O4072">
        <v>2</v>
      </c>
      <c r="P4072" s="4">
        <v>2145.3000000000002</v>
      </c>
      <c r="Q4072" t="s">
        <v>48</v>
      </c>
      <c r="R4072">
        <v>1</v>
      </c>
      <c r="S4072" t="s">
        <v>31</v>
      </c>
      <c r="T4072">
        <v>0</v>
      </c>
      <c r="U4072">
        <v>0</v>
      </c>
      <c r="V4072" t="s">
        <v>32</v>
      </c>
      <c r="W4072" t="s">
        <v>39</v>
      </c>
      <c r="X4072" s="4">
        <v>10.8</v>
      </c>
      <c r="Y4072">
        <v>7</v>
      </c>
      <c r="Z4072" s="5">
        <v>217.18</v>
      </c>
    </row>
    <row r="4073" spans="1:26">
      <c r="A4073">
        <v>4072</v>
      </c>
      <c r="B4073">
        <v>1333</v>
      </c>
      <c r="C4073" s="2">
        <v>46284</v>
      </c>
      <c r="D4073" t="s">
        <v>40</v>
      </c>
      <c r="E4073">
        <v>9</v>
      </c>
      <c r="F4073" s="3">
        <v>12.37</v>
      </c>
      <c r="G4073" t="s">
        <v>36</v>
      </c>
      <c r="H4073">
        <v>49</v>
      </c>
      <c r="I4073" t="s">
        <v>51</v>
      </c>
      <c r="J4073" s="4">
        <v>63.3</v>
      </c>
      <c r="K4073" s="4">
        <v>130.30000000000001</v>
      </c>
      <c r="L4073" s="4">
        <v>22.9</v>
      </c>
      <c r="M4073">
        <v>13</v>
      </c>
      <c r="N4073" t="s">
        <v>47</v>
      </c>
      <c r="O4073">
        <v>4</v>
      </c>
      <c r="P4073" s="4">
        <v>2</v>
      </c>
      <c r="Q4073" t="s">
        <v>42</v>
      </c>
      <c r="R4073">
        <v>1</v>
      </c>
      <c r="S4073" t="s">
        <v>38</v>
      </c>
      <c r="T4073">
        <v>1</v>
      </c>
      <c r="U4073">
        <v>0</v>
      </c>
      <c r="V4073" t="s">
        <v>32</v>
      </c>
      <c r="W4073" t="s">
        <v>43</v>
      </c>
      <c r="X4073" s="4">
        <v>9.3000000000000007</v>
      </c>
      <c r="Y4073">
        <v>14</v>
      </c>
      <c r="Z4073" s="5">
        <v>194.49</v>
      </c>
    </row>
    <row r="4074" spans="1:26">
      <c r="A4074">
        <v>4073</v>
      </c>
      <c r="B4074">
        <v>1333</v>
      </c>
      <c r="C4074" s="2">
        <v>46284</v>
      </c>
      <c r="D4074" t="s">
        <v>40</v>
      </c>
      <c r="E4074">
        <v>9</v>
      </c>
      <c r="F4074" s="3">
        <v>12.49</v>
      </c>
      <c r="G4074" t="s">
        <v>36</v>
      </c>
      <c r="H4074">
        <v>43</v>
      </c>
      <c r="I4074" t="s">
        <v>34</v>
      </c>
      <c r="J4074" s="4">
        <v>64.900000000000006</v>
      </c>
      <c r="K4074" s="4">
        <v>174.9</v>
      </c>
      <c r="L4074" s="4">
        <v>29.4</v>
      </c>
      <c r="M4074">
        <v>17</v>
      </c>
      <c r="N4074" t="s">
        <v>47</v>
      </c>
      <c r="O4074">
        <v>4</v>
      </c>
      <c r="P4074" s="4">
        <v>2</v>
      </c>
      <c r="Q4074" t="s">
        <v>42</v>
      </c>
      <c r="R4074">
        <v>1</v>
      </c>
      <c r="S4074" t="s">
        <v>38</v>
      </c>
      <c r="T4074">
        <v>1</v>
      </c>
      <c r="U4074">
        <v>0</v>
      </c>
      <c r="V4074" t="s">
        <v>32</v>
      </c>
      <c r="W4074" t="s">
        <v>43</v>
      </c>
      <c r="X4074" s="4">
        <v>8.1</v>
      </c>
      <c r="Y4074">
        <v>8</v>
      </c>
      <c r="Z4074" s="5">
        <v>137.47</v>
      </c>
    </row>
    <row r="4075" spans="1:26">
      <c r="A4075">
        <v>4074</v>
      </c>
      <c r="B4075">
        <v>1333</v>
      </c>
      <c r="C4075" s="2">
        <v>46284</v>
      </c>
      <c r="D4075" t="s">
        <v>40</v>
      </c>
      <c r="E4075">
        <v>9</v>
      </c>
      <c r="F4075" s="3">
        <v>12.74</v>
      </c>
      <c r="G4075" t="s">
        <v>36</v>
      </c>
      <c r="H4075">
        <v>15</v>
      </c>
      <c r="I4075" t="s">
        <v>28</v>
      </c>
      <c r="J4075" s="4">
        <v>70</v>
      </c>
      <c r="K4075" s="4">
        <v>140.9</v>
      </c>
      <c r="L4075" s="4">
        <v>20.3</v>
      </c>
      <c r="M4075">
        <v>13</v>
      </c>
      <c r="N4075" t="s">
        <v>47</v>
      </c>
      <c r="O4075">
        <v>4</v>
      </c>
      <c r="P4075" s="4">
        <v>2</v>
      </c>
      <c r="Q4075" t="s">
        <v>42</v>
      </c>
      <c r="R4075">
        <v>1</v>
      </c>
      <c r="S4075" t="s">
        <v>38</v>
      </c>
      <c r="T4075">
        <v>1</v>
      </c>
      <c r="U4075">
        <v>0</v>
      </c>
      <c r="V4075" t="s">
        <v>32</v>
      </c>
      <c r="W4075" t="s">
        <v>43</v>
      </c>
      <c r="X4075" s="4">
        <v>6.3</v>
      </c>
      <c r="Y4075">
        <v>9</v>
      </c>
      <c r="Z4075" s="5">
        <v>215.67</v>
      </c>
    </row>
    <row r="4076" spans="1:26">
      <c r="A4076">
        <v>4075</v>
      </c>
      <c r="B4076">
        <v>1333</v>
      </c>
      <c r="C4076" s="2">
        <v>46284</v>
      </c>
      <c r="D4076" t="s">
        <v>40</v>
      </c>
      <c r="E4076">
        <v>9</v>
      </c>
      <c r="F4076" s="3">
        <v>12.6</v>
      </c>
      <c r="G4076" t="s">
        <v>36</v>
      </c>
      <c r="H4076">
        <v>18</v>
      </c>
      <c r="I4076" t="s">
        <v>34</v>
      </c>
      <c r="J4076" s="4">
        <v>64.900000000000006</v>
      </c>
      <c r="K4076" s="4">
        <v>141.5</v>
      </c>
      <c r="L4076" s="4">
        <v>23.6</v>
      </c>
      <c r="M4076">
        <v>9</v>
      </c>
      <c r="N4076" t="s">
        <v>47</v>
      </c>
      <c r="O4076">
        <v>4</v>
      </c>
      <c r="P4076" s="4">
        <v>2</v>
      </c>
      <c r="Q4076" t="s">
        <v>42</v>
      </c>
      <c r="R4076">
        <v>1</v>
      </c>
      <c r="S4076" t="s">
        <v>38</v>
      </c>
      <c r="T4076">
        <v>1</v>
      </c>
      <c r="U4076">
        <v>0</v>
      </c>
      <c r="V4076" t="s">
        <v>32</v>
      </c>
      <c r="W4076" t="s">
        <v>43</v>
      </c>
      <c r="X4076" s="4">
        <v>7.9</v>
      </c>
      <c r="Y4076">
        <v>7</v>
      </c>
      <c r="Z4076" s="5">
        <v>230.62</v>
      </c>
    </row>
    <row r="4077" spans="1:26">
      <c r="A4077">
        <v>4076</v>
      </c>
      <c r="B4077">
        <v>1334</v>
      </c>
      <c r="C4077" s="2">
        <v>46306</v>
      </c>
      <c r="D4077" t="s">
        <v>58</v>
      </c>
      <c r="E4077">
        <v>10</v>
      </c>
      <c r="F4077" s="3">
        <v>10.98</v>
      </c>
      <c r="G4077" t="s">
        <v>27</v>
      </c>
      <c r="H4077">
        <v>38</v>
      </c>
      <c r="I4077" t="s">
        <v>28</v>
      </c>
      <c r="J4077" s="4">
        <v>72.400000000000006</v>
      </c>
      <c r="K4077" s="4">
        <v>184.3</v>
      </c>
      <c r="L4077" s="4">
        <v>24.8</v>
      </c>
      <c r="M4077">
        <v>12</v>
      </c>
      <c r="N4077" t="s">
        <v>61</v>
      </c>
      <c r="O4077">
        <v>2</v>
      </c>
      <c r="P4077" s="4">
        <v>1294.0999999999999</v>
      </c>
      <c r="Q4077" t="s">
        <v>42</v>
      </c>
      <c r="R4077">
        <v>1</v>
      </c>
      <c r="S4077" t="s">
        <v>31</v>
      </c>
      <c r="T4077">
        <v>1</v>
      </c>
      <c r="U4077">
        <v>0</v>
      </c>
      <c r="V4077" t="s">
        <v>32</v>
      </c>
      <c r="W4077" t="s">
        <v>43</v>
      </c>
      <c r="X4077" s="4">
        <v>9</v>
      </c>
      <c r="Y4077">
        <v>13</v>
      </c>
      <c r="Z4077" s="5">
        <v>338.75</v>
      </c>
    </row>
    <row r="4078" spans="1:26">
      <c r="A4078">
        <v>4077</v>
      </c>
      <c r="B4078">
        <v>1334</v>
      </c>
      <c r="C4078" s="2">
        <v>46306</v>
      </c>
      <c r="D4078" t="s">
        <v>58</v>
      </c>
      <c r="E4078">
        <v>10</v>
      </c>
      <c r="F4078" s="3">
        <v>11.13</v>
      </c>
      <c r="G4078" t="s">
        <v>36</v>
      </c>
      <c r="H4078">
        <v>44</v>
      </c>
      <c r="I4078" t="s">
        <v>34</v>
      </c>
      <c r="J4078" s="4">
        <v>56</v>
      </c>
      <c r="K4078" s="4">
        <v>149.5</v>
      </c>
      <c r="L4078" s="4">
        <v>33.299999999999997</v>
      </c>
      <c r="M4078">
        <v>14</v>
      </c>
      <c r="N4078" t="s">
        <v>61</v>
      </c>
      <c r="O4078">
        <v>2</v>
      </c>
      <c r="P4078" s="4">
        <v>1294.0999999999999</v>
      </c>
      <c r="Q4078" t="s">
        <v>42</v>
      </c>
      <c r="R4078">
        <v>1</v>
      </c>
      <c r="S4078" t="s">
        <v>31</v>
      </c>
      <c r="T4078">
        <v>1</v>
      </c>
      <c r="U4078">
        <v>0</v>
      </c>
      <c r="V4078" t="s">
        <v>32</v>
      </c>
      <c r="W4078" t="s">
        <v>43</v>
      </c>
      <c r="X4078" s="4">
        <v>9.6</v>
      </c>
      <c r="Y4078">
        <v>11</v>
      </c>
      <c r="Z4078" s="5">
        <v>370.5</v>
      </c>
    </row>
    <row r="4079" spans="1:26">
      <c r="A4079">
        <v>4078</v>
      </c>
      <c r="B4079">
        <v>1335</v>
      </c>
      <c r="C4079" s="2">
        <v>46236</v>
      </c>
      <c r="D4079" t="s">
        <v>58</v>
      </c>
      <c r="E4079">
        <v>8</v>
      </c>
      <c r="F4079" s="3">
        <v>10.62</v>
      </c>
      <c r="G4079" t="s">
        <v>27</v>
      </c>
      <c r="H4079">
        <v>40</v>
      </c>
      <c r="I4079" t="s">
        <v>34</v>
      </c>
      <c r="J4079" s="4">
        <v>66.400000000000006</v>
      </c>
      <c r="K4079" s="4">
        <v>195.8</v>
      </c>
      <c r="L4079" s="4">
        <v>31.2</v>
      </c>
      <c r="M4079">
        <v>17</v>
      </c>
      <c r="N4079" t="s">
        <v>62</v>
      </c>
      <c r="O4079">
        <v>1</v>
      </c>
      <c r="P4079" s="4">
        <v>1453.4</v>
      </c>
      <c r="Q4079" t="s">
        <v>30</v>
      </c>
      <c r="R4079">
        <v>0</v>
      </c>
      <c r="S4079" t="s">
        <v>38</v>
      </c>
      <c r="T4079">
        <v>0</v>
      </c>
      <c r="U4079">
        <v>1</v>
      </c>
      <c r="V4079" t="s">
        <v>32</v>
      </c>
      <c r="W4079" t="s">
        <v>39</v>
      </c>
      <c r="X4079" s="4">
        <v>9.4</v>
      </c>
      <c r="Y4079">
        <v>3</v>
      </c>
      <c r="Z4079" s="5">
        <v>147.81</v>
      </c>
    </row>
    <row r="4080" spans="1:26">
      <c r="A4080">
        <v>4079</v>
      </c>
      <c r="B4080">
        <v>1336</v>
      </c>
      <c r="C4080" s="2">
        <v>46371</v>
      </c>
      <c r="D4080" t="s">
        <v>35</v>
      </c>
      <c r="E4080">
        <v>12</v>
      </c>
      <c r="F4080" s="3">
        <v>8.4700000000000006</v>
      </c>
      <c r="G4080" t="s">
        <v>27</v>
      </c>
      <c r="H4080">
        <v>65</v>
      </c>
      <c r="I4080" t="s">
        <v>28</v>
      </c>
      <c r="J4080" s="4">
        <v>67.599999999999994</v>
      </c>
      <c r="K4080" s="4">
        <v>155.4</v>
      </c>
      <c r="L4080" s="4">
        <v>24</v>
      </c>
      <c r="M4080">
        <v>15</v>
      </c>
      <c r="N4080" t="s">
        <v>47</v>
      </c>
      <c r="O4080">
        <v>3</v>
      </c>
      <c r="P4080" s="4">
        <v>133.80000000000001</v>
      </c>
      <c r="Q4080" t="s">
        <v>42</v>
      </c>
      <c r="R4080">
        <v>0</v>
      </c>
      <c r="S4080" t="s">
        <v>31</v>
      </c>
      <c r="T4080">
        <v>0</v>
      </c>
      <c r="U4080">
        <v>0</v>
      </c>
      <c r="V4080" t="s">
        <v>45</v>
      </c>
      <c r="W4080" t="s">
        <v>39</v>
      </c>
      <c r="X4080" s="4">
        <v>9.8000000000000007</v>
      </c>
      <c r="Y4080">
        <v>8</v>
      </c>
      <c r="Z4080" s="5">
        <v>227.83</v>
      </c>
    </row>
    <row r="4081" spans="1:26">
      <c r="A4081">
        <v>4080</v>
      </c>
      <c r="B4081">
        <v>1336</v>
      </c>
      <c r="C4081" s="2">
        <v>46371</v>
      </c>
      <c r="D4081" t="s">
        <v>35</v>
      </c>
      <c r="E4081">
        <v>12</v>
      </c>
      <c r="F4081" s="3">
        <v>8.43</v>
      </c>
      <c r="G4081" t="s">
        <v>27</v>
      </c>
      <c r="H4081">
        <v>32</v>
      </c>
      <c r="I4081" t="s">
        <v>34</v>
      </c>
      <c r="J4081" s="4">
        <v>68.099999999999994</v>
      </c>
      <c r="K4081" s="4">
        <v>120.2</v>
      </c>
      <c r="L4081" s="4">
        <v>18.3</v>
      </c>
      <c r="M4081">
        <v>14</v>
      </c>
      <c r="N4081" t="s">
        <v>47</v>
      </c>
      <c r="O4081">
        <v>3</v>
      </c>
      <c r="P4081" s="4">
        <v>133.80000000000001</v>
      </c>
      <c r="Q4081" t="s">
        <v>42</v>
      </c>
      <c r="R4081">
        <v>0</v>
      </c>
      <c r="S4081" t="s">
        <v>31</v>
      </c>
      <c r="T4081">
        <v>0</v>
      </c>
      <c r="U4081">
        <v>0</v>
      </c>
      <c r="V4081" t="s">
        <v>45</v>
      </c>
      <c r="W4081" t="s">
        <v>39</v>
      </c>
      <c r="X4081" s="4">
        <v>6.2</v>
      </c>
      <c r="Y4081">
        <v>4</v>
      </c>
      <c r="Z4081" s="5">
        <v>148.34</v>
      </c>
    </row>
    <row r="4082" spans="1:26">
      <c r="A4082">
        <v>4081</v>
      </c>
      <c r="B4082">
        <v>1336</v>
      </c>
      <c r="C4082" s="2">
        <v>46371</v>
      </c>
      <c r="D4082" t="s">
        <v>35</v>
      </c>
      <c r="E4082">
        <v>12</v>
      </c>
      <c r="F4082" s="3">
        <v>8.33</v>
      </c>
      <c r="G4082" t="s">
        <v>27</v>
      </c>
      <c r="H4082">
        <v>28</v>
      </c>
      <c r="I4082" t="s">
        <v>28</v>
      </c>
      <c r="J4082" s="4">
        <v>72.5</v>
      </c>
      <c r="K4082" s="4">
        <v>193.8</v>
      </c>
      <c r="L4082" s="4">
        <v>25.9</v>
      </c>
      <c r="M4082">
        <v>17</v>
      </c>
      <c r="N4082" t="s">
        <v>47</v>
      </c>
      <c r="O4082">
        <v>3</v>
      </c>
      <c r="P4082" s="4">
        <v>133.80000000000001</v>
      </c>
      <c r="Q4082" t="s">
        <v>42</v>
      </c>
      <c r="R4082">
        <v>0</v>
      </c>
      <c r="S4082" t="s">
        <v>31</v>
      </c>
      <c r="T4082">
        <v>0</v>
      </c>
      <c r="U4082">
        <v>0</v>
      </c>
      <c r="V4082" t="s">
        <v>45</v>
      </c>
      <c r="W4082" t="s">
        <v>39</v>
      </c>
      <c r="X4082" s="4">
        <v>8.8000000000000007</v>
      </c>
      <c r="Y4082">
        <v>7</v>
      </c>
      <c r="Z4082" s="5">
        <v>252.38</v>
      </c>
    </row>
    <row r="4083" spans="1:26">
      <c r="A4083">
        <v>4082</v>
      </c>
      <c r="B4083">
        <v>1337</v>
      </c>
      <c r="C4083" s="2">
        <v>46182</v>
      </c>
      <c r="D4083" t="s">
        <v>35</v>
      </c>
      <c r="E4083">
        <v>6</v>
      </c>
      <c r="F4083" s="3">
        <v>12.29</v>
      </c>
      <c r="G4083" t="s">
        <v>36</v>
      </c>
      <c r="H4083">
        <v>50</v>
      </c>
      <c r="I4083" t="s">
        <v>34</v>
      </c>
      <c r="J4083" s="4">
        <v>65.400000000000006</v>
      </c>
      <c r="K4083" s="4">
        <v>128.4</v>
      </c>
      <c r="L4083" s="4">
        <v>20.9</v>
      </c>
      <c r="M4083">
        <v>15</v>
      </c>
      <c r="N4083" t="s">
        <v>47</v>
      </c>
      <c r="O4083">
        <v>2</v>
      </c>
      <c r="P4083" s="4">
        <v>83.1</v>
      </c>
      <c r="Q4083" t="s">
        <v>30</v>
      </c>
      <c r="R4083">
        <v>0</v>
      </c>
      <c r="S4083" t="s">
        <v>44</v>
      </c>
      <c r="T4083">
        <v>1</v>
      </c>
      <c r="U4083">
        <v>0</v>
      </c>
      <c r="V4083" t="s">
        <v>32</v>
      </c>
      <c r="W4083" t="s">
        <v>43</v>
      </c>
      <c r="X4083" s="4">
        <v>7.5</v>
      </c>
      <c r="Y4083">
        <v>3</v>
      </c>
      <c r="Z4083" s="5">
        <v>182.45</v>
      </c>
    </row>
    <row r="4084" spans="1:26">
      <c r="A4084">
        <v>4083</v>
      </c>
      <c r="B4084">
        <v>1337</v>
      </c>
      <c r="C4084" s="2">
        <v>46182</v>
      </c>
      <c r="D4084" t="s">
        <v>35</v>
      </c>
      <c r="E4084">
        <v>6</v>
      </c>
      <c r="F4084" s="3">
        <v>11.97</v>
      </c>
      <c r="G4084" t="s">
        <v>36</v>
      </c>
      <c r="H4084">
        <v>70</v>
      </c>
      <c r="I4084" t="s">
        <v>34</v>
      </c>
      <c r="J4084" s="4">
        <v>62.6</v>
      </c>
      <c r="K4084" s="4">
        <v>165</v>
      </c>
      <c r="L4084" s="4">
        <v>29.7</v>
      </c>
      <c r="M4084">
        <v>15</v>
      </c>
      <c r="N4084" t="s">
        <v>47</v>
      </c>
      <c r="O4084">
        <v>2</v>
      </c>
      <c r="P4084" s="4">
        <v>83.1</v>
      </c>
      <c r="Q4084" t="s">
        <v>30</v>
      </c>
      <c r="R4084">
        <v>0</v>
      </c>
      <c r="S4084" t="s">
        <v>44</v>
      </c>
      <c r="T4084">
        <v>1</v>
      </c>
      <c r="U4084">
        <v>0</v>
      </c>
      <c r="V4084" t="s">
        <v>32</v>
      </c>
      <c r="W4084" t="s">
        <v>43</v>
      </c>
      <c r="X4084" s="4">
        <v>7.1</v>
      </c>
      <c r="Y4084">
        <v>5</v>
      </c>
      <c r="Z4084" s="5">
        <v>139.46</v>
      </c>
    </row>
    <row r="4085" spans="1:26">
      <c r="A4085">
        <v>4084</v>
      </c>
      <c r="B4085">
        <v>1338</v>
      </c>
      <c r="C4085" s="2">
        <v>46203</v>
      </c>
      <c r="D4085" t="s">
        <v>35</v>
      </c>
      <c r="E4085">
        <v>6</v>
      </c>
      <c r="F4085" s="3">
        <v>12.41</v>
      </c>
      <c r="G4085" t="s">
        <v>36</v>
      </c>
      <c r="H4085">
        <v>49</v>
      </c>
      <c r="I4085" t="s">
        <v>28</v>
      </c>
      <c r="J4085" s="4">
        <v>69.3</v>
      </c>
      <c r="K4085" s="4">
        <v>167.1</v>
      </c>
      <c r="L4085" s="4">
        <v>24.5</v>
      </c>
      <c r="M4085">
        <v>16</v>
      </c>
      <c r="N4085" t="s">
        <v>53</v>
      </c>
      <c r="O4085">
        <v>4</v>
      </c>
      <c r="P4085" s="4">
        <v>1047.5999999999999</v>
      </c>
      <c r="Q4085" t="s">
        <v>48</v>
      </c>
      <c r="R4085">
        <v>0</v>
      </c>
      <c r="S4085" t="s">
        <v>31</v>
      </c>
      <c r="T4085">
        <v>1</v>
      </c>
      <c r="U4085">
        <v>0</v>
      </c>
      <c r="V4085" t="s">
        <v>32</v>
      </c>
      <c r="W4085" t="s">
        <v>57</v>
      </c>
      <c r="X4085" s="4">
        <v>8</v>
      </c>
      <c r="Y4085">
        <v>11</v>
      </c>
      <c r="Z4085" s="5">
        <v>308.97000000000003</v>
      </c>
    </row>
    <row r="4086" spans="1:26">
      <c r="A4086">
        <v>4085</v>
      </c>
      <c r="B4086">
        <v>1338</v>
      </c>
      <c r="C4086" s="2">
        <v>46203</v>
      </c>
      <c r="D4086" t="s">
        <v>35</v>
      </c>
      <c r="E4086">
        <v>6</v>
      </c>
      <c r="F4086" s="3">
        <v>12.45</v>
      </c>
      <c r="G4086" t="s">
        <v>36</v>
      </c>
      <c r="H4086">
        <v>42</v>
      </c>
      <c r="I4086" t="s">
        <v>28</v>
      </c>
      <c r="J4086" s="4">
        <v>70.599999999999994</v>
      </c>
      <c r="K4086" s="4">
        <v>178.8</v>
      </c>
      <c r="L4086" s="4">
        <v>25.3</v>
      </c>
      <c r="M4086">
        <v>13</v>
      </c>
      <c r="N4086" t="s">
        <v>53</v>
      </c>
      <c r="O4086">
        <v>4</v>
      </c>
      <c r="P4086" s="4">
        <v>1047.5999999999999</v>
      </c>
      <c r="Q4086" t="s">
        <v>48</v>
      </c>
      <c r="R4086">
        <v>0</v>
      </c>
      <c r="S4086" t="s">
        <v>31</v>
      </c>
      <c r="T4086">
        <v>1</v>
      </c>
      <c r="U4086">
        <v>0</v>
      </c>
      <c r="V4086" t="s">
        <v>32</v>
      </c>
      <c r="W4086" t="s">
        <v>57</v>
      </c>
      <c r="X4086" s="4">
        <v>8.3000000000000007</v>
      </c>
      <c r="Y4086">
        <v>11</v>
      </c>
      <c r="Z4086" s="5">
        <v>287.87</v>
      </c>
    </row>
    <row r="4087" spans="1:26">
      <c r="A4087">
        <v>4086</v>
      </c>
      <c r="B4087">
        <v>1338</v>
      </c>
      <c r="C4087" s="2">
        <v>46203</v>
      </c>
      <c r="D4087" t="s">
        <v>35</v>
      </c>
      <c r="E4087">
        <v>6</v>
      </c>
      <c r="F4087" s="3">
        <v>12.62</v>
      </c>
      <c r="G4087" t="s">
        <v>36</v>
      </c>
      <c r="H4087">
        <v>56</v>
      </c>
      <c r="I4087" t="s">
        <v>34</v>
      </c>
      <c r="J4087" s="4">
        <v>67.5</v>
      </c>
      <c r="K4087" s="4">
        <v>174.4</v>
      </c>
      <c r="L4087" s="4">
        <v>26.7</v>
      </c>
      <c r="M4087">
        <v>17</v>
      </c>
      <c r="N4087" t="s">
        <v>53</v>
      </c>
      <c r="O4087">
        <v>4</v>
      </c>
      <c r="P4087" s="4">
        <v>1047.5999999999999</v>
      </c>
      <c r="Q4087" t="s">
        <v>48</v>
      </c>
      <c r="R4087">
        <v>0</v>
      </c>
      <c r="S4087" t="s">
        <v>31</v>
      </c>
      <c r="T4087">
        <v>1</v>
      </c>
      <c r="U4087">
        <v>0</v>
      </c>
      <c r="V4087" t="s">
        <v>32</v>
      </c>
      <c r="W4087" t="s">
        <v>57</v>
      </c>
      <c r="X4087" s="4">
        <v>8.5</v>
      </c>
      <c r="Y4087">
        <v>8</v>
      </c>
      <c r="Z4087" s="5">
        <v>199.95</v>
      </c>
    </row>
    <row r="4088" spans="1:26">
      <c r="A4088">
        <v>4087</v>
      </c>
      <c r="B4088">
        <v>1338</v>
      </c>
      <c r="C4088" s="2">
        <v>46203</v>
      </c>
      <c r="D4088" t="s">
        <v>35</v>
      </c>
      <c r="E4088">
        <v>6</v>
      </c>
      <c r="F4088" s="3">
        <v>12.33</v>
      </c>
      <c r="G4088" t="s">
        <v>36</v>
      </c>
      <c r="H4088">
        <v>20</v>
      </c>
      <c r="I4088" t="s">
        <v>28</v>
      </c>
      <c r="J4088" s="4">
        <v>68.900000000000006</v>
      </c>
      <c r="K4088" s="4">
        <v>192.1</v>
      </c>
      <c r="L4088" s="4">
        <v>28.3</v>
      </c>
      <c r="M4088">
        <v>12</v>
      </c>
      <c r="N4088" t="s">
        <v>53</v>
      </c>
      <c r="O4088">
        <v>4</v>
      </c>
      <c r="P4088" s="4">
        <v>1047.5999999999999</v>
      </c>
      <c r="Q4088" t="s">
        <v>48</v>
      </c>
      <c r="R4088">
        <v>0</v>
      </c>
      <c r="S4088" t="s">
        <v>31</v>
      </c>
      <c r="T4088">
        <v>1</v>
      </c>
      <c r="U4088">
        <v>0</v>
      </c>
      <c r="V4088" t="s">
        <v>32</v>
      </c>
      <c r="W4088" t="s">
        <v>57</v>
      </c>
      <c r="X4088" s="4">
        <v>6.4</v>
      </c>
      <c r="Y4088">
        <v>6</v>
      </c>
      <c r="Z4088" s="5">
        <v>195.74</v>
      </c>
    </row>
    <row r="4089" spans="1:26">
      <c r="A4089">
        <v>4088</v>
      </c>
      <c r="B4089">
        <v>1339</v>
      </c>
      <c r="C4089" s="2">
        <v>46052</v>
      </c>
      <c r="D4089" t="s">
        <v>26</v>
      </c>
      <c r="E4089">
        <v>1</v>
      </c>
      <c r="F4089" s="3">
        <v>12.99</v>
      </c>
      <c r="G4089" t="s">
        <v>36</v>
      </c>
      <c r="H4089">
        <v>57</v>
      </c>
      <c r="I4089" t="s">
        <v>28</v>
      </c>
      <c r="J4089" s="4">
        <v>68.7</v>
      </c>
      <c r="K4089" s="4">
        <v>133.19999999999999</v>
      </c>
      <c r="L4089" s="4">
        <v>19.8</v>
      </c>
      <c r="M4089">
        <v>15</v>
      </c>
      <c r="N4089" t="s">
        <v>50</v>
      </c>
      <c r="O4089">
        <v>2</v>
      </c>
      <c r="P4089" s="4">
        <v>493.7</v>
      </c>
      <c r="Q4089" t="s">
        <v>30</v>
      </c>
      <c r="R4089">
        <v>1</v>
      </c>
      <c r="S4089" t="s">
        <v>44</v>
      </c>
      <c r="T4089">
        <v>0</v>
      </c>
      <c r="U4089">
        <v>0</v>
      </c>
      <c r="V4089" t="s">
        <v>32</v>
      </c>
      <c r="W4089" t="s">
        <v>57</v>
      </c>
      <c r="X4089" s="4">
        <v>7.2</v>
      </c>
      <c r="Y4089">
        <v>9</v>
      </c>
      <c r="Z4089" s="5">
        <v>267.72000000000003</v>
      </c>
    </row>
    <row r="4090" spans="1:26">
      <c r="A4090">
        <v>4089</v>
      </c>
      <c r="B4090">
        <v>1339</v>
      </c>
      <c r="C4090" s="2">
        <v>46052</v>
      </c>
      <c r="D4090" t="s">
        <v>26</v>
      </c>
      <c r="E4090">
        <v>1</v>
      </c>
      <c r="F4090" s="3">
        <v>12.98</v>
      </c>
      <c r="G4090" t="s">
        <v>36</v>
      </c>
      <c r="H4090">
        <v>49</v>
      </c>
      <c r="I4090" t="s">
        <v>28</v>
      </c>
      <c r="J4090" s="4">
        <v>73.900000000000006</v>
      </c>
      <c r="K4090" s="4">
        <v>216.8</v>
      </c>
      <c r="L4090" s="4">
        <v>27.8</v>
      </c>
      <c r="M4090">
        <v>17</v>
      </c>
      <c r="N4090" t="s">
        <v>50</v>
      </c>
      <c r="O4090">
        <v>2</v>
      </c>
      <c r="P4090" s="4">
        <v>493.7</v>
      </c>
      <c r="Q4090" t="s">
        <v>30</v>
      </c>
      <c r="R4090">
        <v>1</v>
      </c>
      <c r="S4090" t="s">
        <v>44</v>
      </c>
      <c r="T4090">
        <v>0</v>
      </c>
      <c r="U4090">
        <v>0</v>
      </c>
      <c r="V4090" t="s">
        <v>32</v>
      </c>
      <c r="W4090" t="s">
        <v>57</v>
      </c>
      <c r="X4090" s="4">
        <v>8.6</v>
      </c>
      <c r="Y4090">
        <v>6</v>
      </c>
      <c r="Z4090" s="5">
        <v>173.51</v>
      </c>
    </row>
    <row r="4091" spans="1:26">
      <c r="A4091">
        <v>4090</v>
      </c>
      <c r="B4091">
        <v>1340</v>
      </c>
      <c r="C4091" s="2">
        <v>46379</v>
      </c>
      <c r="D4091" t="s">
        <v>52</v>
      </c>
      <c r="E4091">
        <v>12</v>
      </c>
      <c r="F4091" s="3">
        <v>9.25</v>
      </c>
      <c r="G4091" t="s">
        <v>27</v>
      </c>
      <c r="H4091">
        <v>65</v>
      </c>
      <c r="I4091" t="s">
        <v>34</v>
      </c>
      <c r="J4091" s="4">
        <v>64.7</v>
      </c>
      <c r="K4091" s="4">
        <v>202.9</v>
      </c>
      <c r="L4091" s="4">
        <v>34.200000000000003</v>
      </c>
      <c r="M4091">
        <v>17</v>
      </c>
      <c r="N4091" t="s">
        <v>56</v>
      </c>
      <c r="O4091">
        <v>4</v>
      </c>
      <c r="P4091" s="4">
        <v>126.7</v>
      </c>
      <c r="Q4091" t="s">
        <v>42</v>
      </c>
      <c r="R4091">
        <v>0</v>
      </c>
      <c r="S4091" t="s">
        <v>44</v>
      </c>
      <c r="T4091">
        <v>0</v>
      </c>
      <c r="U4091">
        <v>0</v>
      </c>
      <c r="V4091" t="s">
        <v>32</v>
      </c>
      <c r="W4091" t="s">
        <v>43</v>
      </c>
      <c r="X4091" s="4">
        <v>8</v>
      </c>
      <c r="Y4091">
        <v>7</v>
      </c>
      <c r="Z4091" s="5">
        <v>256.23</v>
      </c>
    </row>
    <row r="4092" spans="1:26">
      <c r="A4092">
        <v>4091</v>
      </c>
      <c r="B4092">
        <v>1340</v>
      </c>
      <c r="C4092" s="2">
        <v>46379</v>
      </c>
      <c r="D4092" t="s">
        <v>52</v>
      </c>
      <c r="E4092">
        <v>12</v>
      </c>
      <c r="F4092" s="3">
        <v>9.14</v>
      </c>
      <c r="G4092" t="s">
        <v>27</v>
      </c>
      <c r="H4092">
        <v>68</v>
      </c>
      <c r="I4092" t="s">
        <v>34</v>
      </c>
      <c r="J4092" s="4">
        <v>63.5</v>
      </c>
      <c r="K4092" s="4">
        <v>181</v>
      </c>
      <c r="L4092" s="4">
        <v>31.6</v>
      </c>
      <c r="M4092">
        <v>12</v>
      </c>
      <c r="N4092" t="s">
        <v>56</v>
      </c>
      <c r="O4092">
        <v>4</v>
      </c>
      <c r="P4092" s="4">
        <v>126.7</v>
      </c>
      <c r="Q4092" t="s">
        <v>42</v>
      </c>
      <c r="R4092">
        <v>0</v>
      </c>
      <c r="S4092" t="s">
        <v>44</v>
      </c>
      <c r="T4092">
        <v>0</v>
      </c>
      <c r="U4092">
        <v>0</v>
      </c>
      <c r="V4092" t="s">
        <v>32</v>
      </c>
      <c r="W4092" t="s">
        <v>43</v>
      </c>
      <c r="X4092" s="4">
        <v>9.6</v>
      </c>
      <c r="Y4092">
        <v>8</v>
      </c>
      <c r="Z4092" s="5">
        <v>206.95</v>
      </c>
    </row>
    <row r="4093" spans="1:26">
      <c r="A4093">
        <v>4092</v>
      </c>
      <c r="B4093">
        <v>1340</v>
      </c>
      <c r="C4093" s="2">
        <v>46379</v>
      </c>
      <c r="D4093" t="s">
        <v>52</v>
      </c>
      <c r="E4093">
        <v>12</v>
      </c>
      <c r="F4093" s="3">
        <v>9.4499999999999993</v>
      </c>
      <c r="G4093" t="s">
        <v>27</v>
      </c>
      <c r="H4093">
        <v>13</v>
      </c>
      <c r="I4093" t="s">
        <v>34</v>
      </c>
      <c r="J4093" s="4">
        <v>67.900000000000006</v>
      </c>
      <c r="K4093" s="4">
        <v>122.1</v>
      </c>
      <c r="L4093" s="4">
        <v>18.5</v>
      </c>
      <c r="M4093">
        <v>16</v>
      </c>
      <c r="N4093" t="s">
        <v>56</v>
      </c>
      <c r="O4093">
        <v>4</v>
      </c>
      <c r="P4093" s="4">
        <v>126.7</v>
      </c>
      <c r="Q4093" t="s">
        <v>42</v>
      </c>
      <c r="R4093">
        <v>0</v>
      </c>
      <c r="S4093" t="s">
        <v>44</v>
      </c>
      <c r="T4093">
        <v>0</v>
      </c>
      <c r="U4093">
        <v>0</v>
      </c>
      <c r="V4093" t="s">
        <v>32</v>
      </c>
      <c r="W4093" t="s">
        <v>43</v>
      </c>
      <c r="X4093" s="4">
        <v>7.4</v>
      </c>
      <c r="Y4093">
        <v>6</v>
      </c>
      <c r="Z4093" s="5">
        <v>194.33</v>
      </c>
    </row>
    <row r="4094" spans="1:26">
      <c r="A4094">
        <v>4093</v>
      </c>
      <c r="B4094">
        <v>1340</v>
      </c>
      <c r="C4094" s="2">
        <v>46379</v>
      </c>
      <c r="D4094" t="s">
        <v>52</v>
      </c>
      <c r="E4094">
        <v>12</v>
      </c>
      <c r="F4094" s="3">
        <v>9.2799999999999994</v>
      </c>
      <c r="G4094" t="s">
        <v>27</v>
      </c>
      <c r="H4094">
        <v>71</v>
      </c>
      <c r="I4094" t="s">
        <v>34</v>
      </c>
      <c r="J4094" s="4">
        <v>63.4</v>
      </c>
      <c r="K4094" s="4">
        <v>116.3</v>
      </c>
      <c r="L4094" s="4">
        <v>20</v>
      </c>
      <c r="M4094">
        <v>16</v>
      </c>
      <c r="N4094" t="s">
        <v>56</v>
      </c>
      <c r="O4094">
        <v>4</v>
      </c>
      <c r="P4094" s="4">
        <v>126.7</v>
      </c>
      <c r="Q4094" t="s">
        <v>42</v>
      </c>
      <c r="R4094">
        <v>0</v>
      </c>
      <c r="S4094" t="s">
        <v>44</v>
      </c>
      <c r="T4094">
        <v>0</v>
      </c>
      <c r="U4094">
        <v>0</v>
      </c>
      <c r="V4094" t="s">
        <v>32</v>
      </c>
      <c r="W4094" t="s">
        <v>43</v>
      </c>
      <c r="X4094" s="4">
        <v>6.8</v>
      </c>
      <c r="Y4094">
        <v>6</v>
      </c>
      <c r="Z4094" s="5">
        <v>157.19999999999999</v>
      </c>
    </row>
    <row r="4095" spans="1:26">
      <c r="A4095">
        <v>4094</v>
      </c>
      <c r="B4095">
        <v>1341</v>
      </c>
      <c r="C4095" s="2">
        <v>46183</v>
      </c>
      <c r="D4095" t="s">
        <v>52</v>
      </c>
      <c r="E4095">
        <v>6</v>
      </c>
      <c r="F4095" s="3">
        <v>10.45</v>
      </c>
      <c r="G4095" t="s">
        <v>27</v>
      </c>
      <c r="H4095">
        <v>59</v>
      </c>
      <c r="I4095" t="s">
        <v>34</v>
      </c>
      <c r="J4095" s="4">
        <v>68.900000000000006</v>
      </c>
      <c r="K4095" s="4">
        <v>210.5</v>
      </c>
      <c r="L4095" s="4">
        <v>31.1</v>
      </c>
      <c r="M4095">
        <v>19</v>
      </c>
      <c r="N4095" t="s">
        <v>56</v>
      </c>
      <c r="O4095">
        <v>2</v>
      </c>
      <c r="P4095" s="4">
        <v>294.5</v>
      </c>
      <c r="Q4095" t="s">
        <v>48</v>
      </c>
      <c r="R4095">
        <v>1</v>
      </c>
      <c r="S4095" t="s">
        <v>44</v>
      </c>
      <c r="T4095">
        <v>0</v>
      </c>
      <c r="U4095">
        <v>0</v>
      </c>
      <c r="V4095" t="s">
        <v>32</v>
      </c>
      <c r="W4095" t="s">
        <v>39</v>
      </c>
      <c r="X4095" s="4">
        <v>8.9</v>
      </c>
      <c r="Y4095">
        <v>9</v>
      </c>
      <c r="Z4095" s="5">
        <v>244.8</v>
      </c>
    </row>
    <row r="4096" spans="1:26">
      <c r="A4096">
        <v>4095</v>
      </c>
      <c r="B4096">
        <v>1341</v>
      </c>
      <c r="C4096" s="2">
        <v>46183</v>
      </c>
      <c r="D4096" t="s">
        <v>52</v>
      </c>
      <c r="E4096">
        <v>6</v>
      </c>
      <c r="F4096" s="3">
        <v>10.039999999999999</v>
      </c>
      <c r="G4096" t="s">
        <v>27</v>
      </c>
      <c r="H4096">
        <v>12</v>
      </c>
      <c r="I4096" t="s">
        <v>34</v>
      </c>
      <c r="J4096" s="4">
        <v>60.1</v>
      </c>
      <c r="K4096" s="4">
        <v>120.2</v>
      </c>
      <c r="L4096" s="4">
        <v>23.2</v>
      </c>
      <c r="M4096">
        <v>18</v>
      </c>
      <c r="N4096" t="s">
        <v>56</v>
      </c>
      <c r="O4096">
        <v>2</v>
      </c>
      <c r="P4096" s="4">
        <v>294.5</v>
      </c>
      <c r="Q4096" t="s">
        <v>48</v>
      </c>
      <c r="R4096">
        <v>1</v>
      </c>
      <c r="S4096" t="s">
        <v>44</v>
      </c>
      <c r="T4096">
        <v>0</v>
      </c>
      <c r="U4096">
        <v>0</v>
      </c>
      <c r="V4096" t="s">
        <v>32</v>
      </c>
      <c r="W4096" t="s">
        <v>39</v>
      </c>
      <c r="X4096" s="4">
        <v>7.8</v>
      </c>
      <c r="Y4096">
        <v>7</v>
      </c>
      <c r="Z4096" s="5">
        <v>211.98</v>
      </c>
    </row>
    <row r="4097" spans="1:26">
      <c r="A4097">
        <v>4096</v>
      </c>
      <c r="B4097">
        <v>1342</v>
      </c>
      <c r="C4097" s="2">
        <v>46305</v>
      </c>
      <c r="D4097" t="s">
        <v>40</v>
      </c>
      <c r="E4097">
        <v>10</v>
      </c>
      <c r="F4097" s="3">
        <v>11.83</v>
      </c>
      <c r="G4097" t="s">
        <v>36</v>
      </c>
      <c r="H4097">
        <v>38</v>
      </c>
      <c r="I4097" t="s">
        <v>34</v>
      </c>
      <c r="J4097" s="4">
        <v>60.4</v>
      </c>
      <c r="K4097" s="4">
        <v>106.4</v>
      </c>
      <c r="L4097" s="4">
        <v>20.399999999999999</v>
      </c>
      <c r="M4097">
        <v>15</v>
      </c>
      <c r="N4097" t="s">
        <v>66</v>
      </c>
      <c r="O4097">
        <v>2</v>
      </c>
      <c r="P4097" s="4">
        <v>523.5</v>
      </c>
      <c r="Q4097" t="s">
        <v>30</v>
      </c>
      <c r="R4097">
        <v>1</v>
      </c>
      <c r="S4097" t="s">
        <v>31</v>
      </c>
      <c r="T4097">
        <v>1</v>
      </c>
      <c r="U4097">
        <v>1</v>
      </c>
      <c r="V4097" t="s">
        <v>32</v>
      </c>
      <c r="W4097" t="s">
        <v>33</v>
      </c>
      <c r="X4097" s="4">
        <v>9.3000000000000007</v>
      </c>
      <c r="Y4097">
        <v>8</v>
      </c>
      <c r="Z4097" s="5">
        <v>235.02</v>
      </c>
    </row>
    <row r="4098" spans="1:26">
      <c r="A4098">
        <v>4097</v>
      </c>
      <c r="B4098">
        <v>1342</v>
      </c>
      <c r="C4098" s="2">
        <v>46305</v>
      </c>
      <c r="D4098" t="s">
        <v>40</v>
      </c>
      <c r="E4098">
        <v>10</v>
      </c>
      <c r="F4098" s="3">
        <v>11.59</v>
      </c>
      <c r="G4098" t="s">
        <v>36</v>
      </c>
      <c r="H4098">
        <v>59</v>
      </c>
      <c r="I4098" t="s">
        <v>28</v>
      </c>
      <c r="J4098" s="4">
        <v>71.2</v>
      </c>
      <c r="K4098" s="4">
        <v>150.69999999999999</v>
      </c>
      <c r="L4098" s="4">
        <v>20.6</v>
      </c>
      <c r="M4098">
        <v>15</v>
      </c>
      <c r="N4098" t="s">
        <v>66</v>
      </c>
      <c r="O4098">
        <v>2</v>
      </c>
      <c r="P4098" s="4">
        <v>523.5</v>
      </c>
      <c r="Q4098" t="s">
        <v>30</v>
      </c>
      <c r="R4098">
        <v>1</v>
      </c>
      <c r="S4098" t="s">
        <v>31</v>
      </c>
      <c r="T4098">
        <v>1</v>
      </c>
      <c r="U4098">
        <v>1</v>
      </c>
      <c r="V4098" t="s">
        <v>32</v>
      </c>
      <c r="W4098" t="s">
        <v>33</v>
      </c>
      <c r="X4098" s="4">
        <v>7.1</v>
      </c>
      <c r="Y4098">
        <v>11</v>
      </c>
      <c r="Z4098" s="5">
        <v>274.42</v>
      </c>
    </row>
    <row r="4099" spans="1:26">
      <c r="A4099">
        <v>4098</v>
      </c>
      <c r="B4099">
        <v>1343</v>
      </c>
      <c r="C4099" s="2">
        <v>46032</v>
      </c>
      <c r="D4099" t="s">
        <v>40</v>
      </c>
      <c r="E4099">
        <v>1</v>
      </c>
      <c r="F4099" s="3">
        <v>9.8000000000000007</v>
      </c>
      <c r="G4099" t="s">
        <v>27</v>
      </c>
      <c r="H4099">
        <v>36</v>
      </c>
      <c r="I4099" t="s">
        <v>34</v>
      </c>
      <c r="J4099" s="4">
        <v>61.2</v>
      </c>
      <c r="K4099" s="4">
        <v>154.5</v>
      </c>
      <c r="L4099" s="4">
        <v>29</v>
      </c>
      <c r="M4099">
        <v>19</v>
      </c>
      <c r="N4099" t="s">
        <v>50</v>
      </c>
      <c r="O4099">
        <v>1</v>
      </c>
      <c r="P4099" s="4">
        <v>390.5</v>
      </c>
      <c r="Q4099" t="s">
        <v>48</v>
      </c>
      <c r="R4099">
        <v>1</v>
      </c>
      <c r="S4099" t="s">
        <v>31</v>
      </c>
      <c r="T4099">
        <v>0</v>
      </c>
      <c r="U4099">
        <v>1</v>
      </c>
      <c r="V4099" t="s">
        <v>32</v>
      </c>
      <c r="W4099" t="s">
        <v>49</v>
      </c>
      <c r="X4099" s="4">
        <v>9.5</v>
      </c>
      <c r="Y4099">
        <v>15</v>
      </c>
      <c r="Z4099" s="5">
        <v>363.28</v>
      </c>
    </row>
    <row r="4100" spans="1:26">
      <c r="A4100">
        <v>4099</v>
      </c>
      <c r="B4100">
        <v>1344</v>
      </c>
      <c r="C4100" s="2">
        <v>46156</v>
      </c>
      <c r="D4100" t="s">
        <v>55</v>
      </c>
      <c r="E4100">
        <v>5</v>
      </c>
      <c r="F4100" s="3">
        <v>12.02</v>
      </c>
      <c r="G4100" t="s">
        <v>36</v>
      </c>
      <c r="H4100">
        <v>26</v>
      </c>
      <c r="I4100" t="s">
        <v>34</v>
      </c>
      <c r="J4100" s="4">
        <v>66.3</v>
      </c>
      <c r="K4100" s="4">
        <v>168.1</v>
      </c>
      <c r="L4100" s="4">
        <v>26.8</v>
      </c>
      <c r="M4100">
        <v>14</v>
      </c>
      <c r="N4100" t="s">
        <v>61</v>
      </c>
      <c r="O4100">
        <v>4</v>
      </c>
      <c r="P4100" s="4">
        <v>1487.8</v>
      </c>
      <c r="Q4100" t="s">
        <v>42</v>
      </c>
      <c r="R4100">
        <v>1</v>
      </c>
      <c r="S4100" t="s">
        <v>44</v>
      </c>
      <c r="T4100">
        <v>1</v>
      </c>
      <c r="U4100">
        <v>0</v>
      </c>
      <c r="V4100" t="s">
        <v>32</v>
      </c>
      <c r="W4100" t="s">
        <v>49</v>
      </c>
      <c r="X4100" s="4">
        <v>4.3</v>
      </c>
      <c r="Y4100">
        <v>10</v>
      </c>
      <c r="Z4100" s="5">
        <v>167.19</v>
      </c>
    </row>
    <row r="4101" spans="1:26">
      <c r="A4101">
        <v>4100</v>
      </c>
      <c r="B4101">
        <v>1344</v>
      </c>
      <c r="C4101" s="2">
        <v>46156</v>
      </c>
      <c r="D4101" t="s">
        <v>55</v>
      </c>
      <c r="E4101">
        <v>5</v>
      </c>
      <c r="F4101" s="3">
        <v>11.71</v>
      </c>
      <c r="G4101" t="s">
        <v>36</v>
      </c>
      <c r="H4101">
        <v>24</v>
      </c>
      <c r="I4101" t="s">
        <v>34</v>
      </c>
      <c r="J4101" s="4">
        <v>62.6</v>
      </c>
      <c r="K4101" s="4">
        <v>170.3</v>
      </c>
      <c r="L4101" s="4">
        <v>30.6</v>
      </c>
      <c r="M4101">
        <v>15</v>
      </c>
      <c r="N4101" t="s">
        <v>61</v>
      </c>
      <c r="O4101">
        <v>4</v>
      </c>
      <c r="P4101" s="4">
        <v>1487.8</v>
      </c>
      <c r="Q4101" t="s">
        <v>42</v>
      </c>
      <c r="R4101">
        <v>1</v>
      </c>
      <c r="S4101" t="s">
        <v>44</v>
      </c>
      <c r="T4101">
        <v>1</v>
      </c>
      <c r="U4101">
        <v>0</v>
      </c>
      <c r="V4101" t="s">
        <v>32</v>
      </c>
      <c r="W4101" t="s">
        <v>49</v>
      </c>
      <c r="X4101" s="4">
        <v>7.6</v>
      </c>
      <c r="Y4101">
        <v>10</v>
      </c>
      <c r="Z4101" s="5">
        <v>203.35</v>
      </c>
    </row>
    <row r="4102" spans="1:26">
      <c r="A4102">
        <v>4101</v>
      </c>
      <c r="B4102">
        <v>1344</v>
      </c>
      <c r="C4102" s="2">
        <v>46156</v>
      </c>
      <c r="D4102" t="s">
        <v>55</v>
      </c>
      <c r="E4102">
        <v>5</v>
      </c>
      <c r="F4102" s="3">
        <v>11.7</v>
      </c>
      <c r="G4102" t="s">
        <v>36</v>
      </c>
      <c r="H4102">
        <v>31</v>
      </c>
      <c r="I4102" t="s">
        <v>34</v>
      </c>
      <c r="J4102" s="4">
        <v>67.599999999999994</v>
      </c>
      <c r="K4102" s="4">
        <v>209.5</v>
      </c>
      <c r="L4102" s="4">
        <v>32.4</v>
      </c>
      <c r="M4102">
        <v>16</v>
      </c>
      <c r="N4102" t="s">
        <v>61</v>
      </c>
      <c r="O4102">
        <v>4</v>
      </c>
      <c r="P4102" s="4">
        <v>1487.8</v>
      </c>
      <c r="Q4102" t="s">
        <v>42</v>
      </c>
      <c r="R4102">
        <v>1</v>
      </c>
      <c r="S4102" t="s">
        <v>44</v>
      </c>
      <c r="T4102">
        <v>1</v>
      </c>
      <c r="U4102">
        <v>0</v>
      </c>
      <c r="V4102" t="s">
        <v>32</v>
      </c>
      <c r="W4102" t="s">
        <v>49</v>
      </c>
      <c r="X4102" s="4">
        <v>8.3000000000000007</v>
      </c>
      <c r="Y4102">
        <v>14</v>
      </c>
      <c r="Z4102" s="5">
        <v>332.86</v>
      </c>
    </row>
    <row r="4103" spans="1:26">
      <c r="A4103">
        <v>4102</v>
      </c>
      <c r="B4103">
        <v>1344</v>
      </c>
      <c r="C4103" s="2">
        <v>46156</v>
      </c>
      <c r="D4103" t="s">
        <v>55</v>
      </c>
      <c r="E4103">
        <v>5</v>
      </c>
      <c r="F4103" s="3">
        <v>11.68</v>
      </c>
      <c r="G4103" t="s">
        <v>36</v>
      </c>
      <c r="H4103">
        <v>8</v>
      </c>
      <c r="I4103" t="s">
        <v>28</v>
      </c>
      <c r="J4103" s="4">
        <v>65.400000000000006</v>
      </c>
      <c r="K4103" s="4">
        <v>123.6</v>
      </c>
      <c r="L4103" s="4">
        <v>20.3</v>
      </c>
      <c r="M4103">
        <v>10</v>
      </c>
      <c r="N4103" t="s">
        <v>61</v>
      </c>
      <c r="O4103">
        <v>4</v>
      </c>
      <c r="P4103" s="4">
        <v>1487.8</v>
      </c>
      <c r="Q4103" t="s">
        <v>42</v>
      </c>
      <c r="R4103">
        <v>1</v>
      </c>
      <c r="S4103" t="s">
        <v>44</v>
      </c>
      <c r="T4103">
        <v>1</v>
      </c>
      <c r="U4103">
        <v>0</v>
      </c>
      <c r="V4103" t="s">
        <v>32</v>
      </c>
      <c r="W4103" t="s">
        <v>49</v>
      </c>
      <c r="X4103" s="4">
        <v>8.6999999999999993</v>
      </c>
      <c r="Y4103">
        <v>6</v>
      </c>
      <c r="Z4103" s="5">
        <v>193.37</v>
      </c>
    </row>
    <row r="4104" spans="1:26">
      <c r="A4104">
        <v>4103</v>
      </c>
      <c r="B4104">
        <v>1345</v>
      </c>
      <c r="C4104" s="2">
        <v>46331</v>
      </c>
      <c r="D4104" t="s">
        <v>55</v>
      </c>
      <c r="E4104">
        <v>11</v>
      </c>
      <c r="F4104" s="3">
        <v>10.72</v>
      </c>
      <c r="G4104" t="s">
        <v>27</v>
      </c>
      <c r="H4104">
        <v>35</v>
      </c>
      <c r="I4104" t="s">
        <v>34</v>
      </c>
      <c r="J4104" s="4">
        <v>66.3</v>
      </c>
      <c r="K4104" s="4">
        <v>175.6</v>
      </c>
      <c r="L4104" s="4">
        <v>28</v>
      </c>
      <c r="M4104">
        <v>16</v>
      </c>
      <c r="N4104" t="s">
        <v>47</v>
      </c>
      <c r="O4104">
        <v>3</v>
      </c>
      <c r="P4104" s="4">
        <v>67.2</v>
      </c>
      <c r="Q4104" t="s">
        <v>42</v>
      </c>
      <c r="R4104">
        <v>0</v>
      </c>
      <c r="S4104" t="s">
        <v>44</v>
      </c>
      <c r="T4104">
        <v>0</v>
      </c>
      <c r="U4104">
        <v>0</v>
      </c>
      <c r="V4104" t="s">
        <v>32</v>
      </c>
      <c r="W4104" t="s">
        <v>43</v>
      </c>
      <c r="X4104" s="4">
        <v>8.5</v>
      </c>
      <c r="Y4104">
        <v>12</v>
      </c>
      <c r="Z4104" s="5">
        <v>250.61</v>
      </c>
    </row>
    <row r="4105" spans="1:26">
      <c r="A4105">
        <v>4104</v>
      </c>
      <c r="B4105">
        <v>1345</v>
      </c>
      <c r="C4105" s="2">
        <v>46331</v>
      </c>
      <c r="D4105" t="s">
        <v>55</v>
      </c>
      <c r="E4105">
        <v>11</v>
      </c>
      <c r="F4105" s="3">
        <v>10.56</v>
      </c>
      <c r="G4105" t="s">
        <v>27</v>
      </c>
      <c r="H4105">
        <v>24</v>
      </c>
      <c r="I4105" t="s">
        <v>34</v>
      </c>
      <c r="J4105" s="4">
        <v>61.1</v>
      </c>
      <c r="K4105" s="4">
        <v>138.69999999999999</v>
      </c>
      <c r="L4105" s="4">
        <v>25.8</v>
      </c>
      <c r="M4105">
        <v>20</v>
      </c>
      <c r="N4105" t="s">
        <v>47</v>
      </c>
      <c r="O4105">
        <v>3</v>
      </c>
      <c r="P4105" s="4">
        <v>67.2</v>
      </c>
      <c r="Q4105" t="s">
        <v>42</v>
      </c>
      <c r="R4105">
        <v>0</v>
      </c>
      <c r="S4105" t="s">
        <v>44</v>
      </c>
      <c r="T4105">
        <v>0</v>
      </c>
      <c r="U4105">
        <v>0</v>
      </c>
      <c r="V4105" t="s">
        <v>32</v>
      </c>
      <c r="W4105" t="s">
        <v>43</v>
      </c>
      <c r="X4105" s="4">
        <v>6.6</v>
      </c>
      <c r="Y4105">
        <v>7</v>
      </c>
      <c r="Z4105" s="5">
        <v>285.58</v>
      </c>
    </row>
    <row r="4106" spans="1:26">
      <c r="A4106">
        <v>4105</v>
      </c>
      <c r="B4106">
        <v>1345</v>
      </c>
      <c r="C4106" s="2">
        <v>46331</v>
      </c>
      <c r="D4106" t="s">
        <v>55</v>
      </c>
      <c r="E4106">
        <v>11</v>
      </c>
      <c r="F4106" s="3">
        <v>10.65</v>
      </c>
      <c r="G4106" t="s">
        <v>27</v>
      </c>
      <c r="H4106">
        <v>48</v>
      </c>
      <c r="I4106" t="s">
        <v>28</v>
      </c>
      <c r="J4106" s="4">
        <v>64.7</v>
      </c>
      <c r="K4106" s="4">
        <v>165.1</v>
      </c>
      <c r="L4106" s="4">
        <v>27.6</v>
      </c>
      <c r="M4106">
        <v>15</v>
      </c>
      <c r="N4106" t="s">
        <v>47</v>
      </c>
      <c r="O4106">
        <v>3</v>
      </c>
      <c r="P4106" s="4">
        <v>67.2</v>
      </c>
      <c r="Q4106" t="s">
        <v>42</v>
      </c>
      <c r="R4106">
        <v>0</v>
      </c>
      <c r="S4106" t="s">
        <v>44</v>
      </c>
      <c r="T4106">
        <v>0</v>
      </c>
      <c r="U4106">
        <v>0</v>
      </c>
      <c r="V4106" t="s">
        <v>32</v>
      </c>
      <c r="W4106" t="s">
        <v>43</v>
      </c>
      <c r="X4106" s="4">
        <v>9.8000000000000007</v>
      </c>
      <c r="Y4106">
        <v>4</v>
      </c>
      <c r="Z4106" s="5">
        <v>178.61</v>
      </c>
    </row>
    <row r="4107" spans="1:26">
      <c r="A4107">
        <v>4106</v>
      </c>
      <c r="B4107">
        <v>1346</v>
      </c>
      <c r="C4107" s="2">
        <v>46085</v>
      </c>
      <c r="D4107" t="s">
        <v>52</v>
      </c>
      <c r="E4107">
        <v>3</v>
      </c>
      <c r="F4107" s="3">
        <v>8.2100000000000009</v>
      </c>
      <c r="G4107" t="s">
        <v>27</v>
      </c>
      <c r="H4107">
        <v>63</v>
      </c>
      <c r="I4107" t="s">
        <v>34</v>
      </c>
      <c r="J4107" s="4">
        <v>63.9</v>
      </c>
      <c r="K4107" s="4">
        <v>167.8</v>
      </c>
      <c r="L4107" s="4">
        <v>29</v>
      </c>
      <c r="M4107">
        <v>15</v>
      </c>
      <c r="N4107" t="s">
        <v>29</v>
      </c>
      <c r="O4107">
        <v>6</v>
      </c>
      <c r="P4107" s="4">
        <v>1559</v>
      </c>
      <c r="Q4107" t="s">
        <v>30</v>
      </c>
      <c r="R4107">
        <v>0</v>
      </c>
      <c r="S4107" t="s">
        <v>44</v>
      </c>
      <c r="T4107">
        <v>0</v>
      </c>
      <c r="U4107">
        <v>0</v>
      </c>
      <c r="V4107" t="s">
        <v>32</v>
      </c>
      <c r="W4107" t="s">
        <v>39</v>
      </c>
      <c r="X4107" s="4">
        <v>8.6</v>
      </c>
      <c r="Y4107">
        <v>14</v>
      </c>
      <c r="Z4107" s="5">
        <v>141.62</v>
      </c>
    </row>
    <row r="4108" spans="1:26">
      <c r="A4108">
        <v>4107</v>
      </c>
      <c r="B4108">
        <v>1346</v>
      </c>
      <c r="C4108" s="2">
        <v>46085</v>
      </c>
      <c r="D4108" t="s">
        <v>52</v>
      </c>
      <c r="E4108">
        <v>3</v>
      </c>
      <c r="F4108" s="3">
        <v>8.51</v>
      </c>
      <c r="G4108" t="s">
        <v>27</v>
      </c>
      <c r="H4108">
        <v>26</v>
      </c>
      <c r="I4108" t="s">
        <v>34</v>
      </c>
      <c r="J4108" s="4">
        <v>66.2</v>
      </c>
      <c r="K4108" s="4">
        <v>194.6</v>
      </c>
      <c r="L4108" s="4">
        <v>31.3</v>
      </c>
      <c r="M4108">
        <v>11</v>
      </c>
      <c r="N4108" t="s">
        <v>29</v>
      </c>
      <c r="O4108">
        <v>6</v>
      </c>
      <c r="P4108" s="4">
        <v>1559</v>
      </c>
      <c r="Q4108" t="s">
        <v>30</v>
      </c>
      <c r="R4108">
        <v>0</v>
      </c>
      <c r="S4108" t="s">
        <v>44</v>
      </c>
      <c r="T4108">
        <v>0</v>
      </c>
      <c r="U4108">
        <v>0</v>
      </c>
      <c r="V4108" t="s">
        <v>32</v>
      </c>
      <c r="W4108" t="s">
        <v>39</v>
      </c>
      <c r="X4108" s="4">
        <v>8.5</v>
      </c>
      <c r="Y4108">
        <v>11</v>
      </c>
      <c r="Z4108" s="5">
        <v>116.41</v>
      </c>
    </row>
    <row r="4109" spans="1:26">
      <c r="A4109">
        <v>4108</v>
      </c>
      <c r="B4109">
        <v>1346</v>
      </c>
      <c r="C4109" s="2">
        <v>46085</v>
      </c>
      <c r="D4109" t="s">
        <v>52</v>
      </c>
      <c r="E4109">
        <v>3</v>
      </c>
      <c r="F4109" s="3">
        <v>8.3800000000000008</v>
      </c>
      <c r="G4109" t="s">
        <v>27</v>
      </c>
      <c r="H4109">
        <v>12</v>
      </c>
      <c r="I4109" t="s">
        <v>34</v>
      </c>
      <c r="J4109" s="4">
        <v>67</v>
      </c>
      <c r="K4109" s="4">
        <v>162.6</v>
      </c>
      <c r="L4109" s="4">
        <v>25.3</v>
      </c>
      <c r="M4109">
        <v>11</v>
      </c>
      <c r="N4109" t="s">
        <v>29</v>
      </c>
      <c r="O4109">
        <v>6</v>
      </c>
      <c r="P4109" s="4">
        <v>1559</v>
      </c>
      <c r="Q4109" t="s">
        <v>30</v>
      </c>
      <c r="R4109">
        <v>0</v>
      </c>
      <c r="S4109" t="s">
        <v>44</v>
      </c>
      <c r="T4109">
        <v>0</v>
      </c>
      <c r="U4109">
        <v>0</v>
      </c>
      <c r="V4109" t="s">
        <v>32</v>
      </c>
      <c r="W4109" t="s">
        <v>39</v>
      </c>
      <c r="X4109" s="4">
        <v>8.1</v>
      </c>
      <c r="Y4109">
        <v>6</v>
      </c>
      <c r="Z4109" s="5">
        <v>95.02</v>
      </c>
    </row>
    <row r="4110" spans="1:26">
      <c r="A4110">
        <v>4109</v>
      </c>
      <c r="B4110">
        <v>1346</v>
      </c>
      <c r="C4110" s="2">
        <v>46085</v>
      </c>
      <c r="D4110" t="s">
        <v>52</v>
      </c>
      <c r="E4110">
        <v>3</v>
      </c>
      <c r="F4110" s="3">
        <v>8.34</v>
      </c>
      <c r="G4110" t="s">
        <v>27</v>
      </c>
      <c r="H4110">
        <v>5</v>
      </c>
      <c r="I4110" t="s">
        <v>28</v>
      </c>
      <c r="J4110" s="4">
        <v>58.1</v>
      </c>
      <c r="K4110" s="4">
        <v>83.7</v>
      </c>
      <c r="L4110" s="4">
        <v>17.399999999999999</v>
      </c>
      <c r="M4110">
        <v>10</v>
      </c>
      <c r="N4110" t="s">
        <v>29</v>
      </c>
      <c r="O4110">
        <v>6</v>
      </c>
      <c r="P4110" s="4">
        <v>1559</v>
      </c>
      <c r="Q4110" t="s">
        <v>30</v>
      </c>
      <c r="R4110">
        <v>0</v>
      </c>
      <c r="S4110" t="s">
        <v>44</v>
      </c>
      <c r="T4110">
        <v>0</v>
      </c>
      <c r="U4110">
        <v>0</v>
      </c>
      <c r="V4110" t="s">
        <v>32</v>
      </c>
      <c r="W4110" t="s">
        <v>39</v>
      </c>
      <c r="X4110" s="4">
        <v>7.8</v>
      </c>
      <c r="Y4110">
        <v>8</v>
      </c>
      <c r="Z4110" s="5">
        <v>155.37</v>
      </c>
    </row>
    <row r="4111" spans="1:26">
      <c r="A4111">
        <v>4110</v>
      </c>
      <c r="B4111">
        <v>1346</v>
      </c>
      <c r="C4111" s="2">
        <v>46085</v>
      </c>
      <c r="D4111" t="s">
        <v>52</v>
      </c>
      <c r="E4111">
        <v>3</v>
      </c>
      <c r="F4111" s="3">
        <v>8.07</v>
      </c>
      <c r="G4111" t="s">
        <v>27</v>
      </c>
      <c r="H4111">
        <v>30</v>
      </c>
      <c r="I4111" t="s">
        <v>34</v>
      </c>
      <c r="J4111" s="4">
        <v>61.7</v>
      </c>
      <c r="K4111" s="4">
        <v>157.80000000000001</v>
      </c>
      <c r="L4111" s="4">
        <v>29</v>
      </c>
      <c r="M4111">
        <v>12</v>
      </c>
      <c r="N4111" t="s">
        <v>29</v>
      </c>
      <c r="O4111">
        <v>6</v>
      </c>
      <c r="P4111" s="4">
        <v>1559</v>
      </c>
      <c r="Q4111" t="s">
        <v>30</v>
      </c>
      <c r="R4111">
        <v>0</v>
      </c>
      <c r="S4111" t="s">
        <v>44</v>
      </c>
      <c r="T4111">
        <v>0</v>
      </c>
      <c r="U4111">
        <v>0</v>
      </c>
      <c r="V4111" t="s">
        <v>32</v>
      </c>
      <c r="W4111" t="s">
        <v>39</v>
      </c>
      <c r="X4111" s="4">
        <v>8.6999999999999993</v>
      </c>
      <c r="Y4111">
        <v>13</v>
      </c>
      <c r="Z4111" s="5">
        <v>321.97000000000003</v>
      </c>
    </row>
    <row r="4112" spans="1:26">
      <c r="A4112">
        <v>4111</v>
      </c>
      <c r="B4112">
        <v>1346</v>
      </c>
      <c r="C4112" s="2">
        <v>46085</v>
      </c>
      <c r="D4112" t="s">
        <v>52</v>
      </c>
      <c r="E4112">
        <v>3</v>
      </c>
      <c r="F4112" s="3">
        <v>8.15</v>
      </c>
      <c r="G4112" t="s">
        <v>27</v>
      </c>
      <c r="H4112">
        <v>3</v>
      </c>
      <c r="I4112" t="s">
        <v>34</v>
      </c>
      <c r="J4112" s="4">
        <v>56.1</v>
      </c>
      <c r="K4112" s="4">
        <v>80.900000000000006</v>
      </c>
      <c r="L4112" s="4">
        <v>18.3</v>
      </c>
      <c r="M4112">
        <v>12</v>
      </c>
      <c r="N4112" t="s">
        <v>29</v>
      </c>
      <c r="O4112">
        <v>6</v>
      </c>
      <c r="P4112" s="4">
        <v>1559</v>
      </c>
      <c r="Q4112" t="s">
        <v>30</v>
      </c>
      <c r="R4112">
        <v>0</v>
      </c>
      <c r="S4112" t="s">
        <v>44</v>
      </c>
      <c r="T4112">
        <v>0</v>
      </c>
      <c r="U4112">
        <v>0</v>
      </c>
      <c r="V4112" t="s">
        <v>32</v>
      </c>
      <c r="W4112" t="s">
        <v>39</v>
      </c>
      <c r="X4112" s="4">
        <v>7.1</v>
      </c>
      <c r="Y4112">
        <v>5</v>
      </c>
      <c r="Z4112" s="5">
        <v>137.69</v>
      </c>
    </row>
    <row r="4113" spans="1:26">
      <c r="A4113">
        <v>4112</v>
      </c>
      <c r="B4113">
        <v>1347</v>
      </c>
      <c r="C4113" s="2">
        <v>46182</v>
      </c>
      <c r="D4113" t="s">
        <v>35</v>
      </c>
      <c r="E4113">
        <v>6</v>
      </c>
      <c r="F4113" s="3">
        <v>9.99</v>
      </c>
      <c r="G4113" t="s">
        <v>27</v>
      </c>
      <c r="H4113">
        <v>44</v>
      </c>
      <c r="I4113" t="s">
        <v>28</v>
      </c>
      <c r="J4113" s="4">
        <v>66.3</v>
      </c>
      <c r="K4113" s="4">
        <v>167.8</v>
      </c>
      <c r="L4113" s="4">
        <v>26.7</v>
      </c>
      <c r="M4113">
        <v>18</v>
      </c>
      <c r="N4113" t="s">
        <v>50</v>
      </c>
      <c r="O4113">
        <v>2</v>
      </c>
      <c r="P4113" s="4">
        <v>388.9</v>
      </c>
      <c r="Q4113" t="s">
        <v>48</v>
      </c>
      <c r="R4113">
        <v>1</v>
      </c>
      <c r="S4113" t="s">
        <v>38</v>
      </c>
      <c r="T4113">
        <v>1</v>
      </c>
      <c r="U4113">
        <v>1</v>
      </c>
      <c r="V4113" t="s">
        <v>32</v>
      </c>
      <c r="W4113" t="s">
        <v>39</v>
      </c>
      <c r="X4113" s="4">
        <v>9.6</v>
      </c>
      <c r="Y4113">
        <v>12</v>
      </c>
      <c r="Z4113" s="5">
        <v>202.67</v>
      </c>
    </row>
    <row r="4114" spans="1:26">
      <c r="A4114">
        <v>4113</v>
      </c>
      <c r="B4114">
        <v>1347</v>
      </c>
      <c r="C4114" s="2">
        <v>46182</v>
      </c>
      <c r="D4114" t="s">
        <v>35</v>
      </c>
      <c r="E4114">
        <v>6</v>
      </c>
      <c r="F4114" s="3">
        <v>10.11</v>
      </c>
      <c r="G4114" t="s">
        <v>27</v>
      </c>
      <c r="H4114">
        <v>39</v>
      </c>
      <c r="I4114" t="s">
        <v>28</v>
      </c>
      <c r="J4114" s="4">
        <v>68.2</v>
      </c>
      <c r="K4114" s="4">
        <v>186.4</v>
      </c>
      <c r="L4114" s="4">
        <v>28</v>
      </c>
      <c r="M4114">
        <v>17</v>
      </c>
      <c r="N4114" t="s">
        <v>50</v>
      </c>
      <c r="O4114">
        <v>2</v>
      </c>
      <c r="P4114" s="4">
        <v>388.9</v>
      </c>
      <c r="Q4114" t="s">
        <v>48</v>
      </c>
      <c r="R4114">
        <v>1</v>
      </c>
      <c r="S4114" t="s">
        <v>38</v>
      </c>
      <c r="T4114">
        <v>1</v>
      </c>
      <c r="U4114">
        <v>1</v>
      </c>
      <c r="V4114" t="s">
        <v>32</v>
      </c>
      <c r="W4114" t="s">
        <v>39</v>
      </c>
      <c r="X4114" s="4">
        <v>9.1999999999999993</v>
      </c>
      <c r="Y4114">
        <v>9</v>
      </c>
      <c r="Z4114" s="5">
        <v>449.39</v>
      </c>
    </row>
    <row r="4115" spans="1:26">
      <c r="A4115">
        <v>4114</v>
      </c>
      <c r="B4115">
        <v>1348</v>
      </c>
      <c r="C4115" s="2">
        <v>46093</v>
      </c>
      <c r="D4115" t="s">
        <v>55</v>
      </c>
      <c r="E4115">
        <v>3</v>
      </c>
      <c r="F4115" s="3">
        <v>11.51</v>
      </c>
      <c r="G4115" t="s">
        <v>36</v>
      </c>
      <c r="H4115">
        <v>23</v>
      </c>
      <c r="I4115" t="s">
        <v>28</v>
      </c>
      <c r="J4115" s="4">
        <v>72.3</v>
      </c>
      <c r="K4115" s="4">
        <v>158.6</v>
      </c>
      <c r="L4115" s="4">
        <v>21.2</v>
      </c>
      <c r="M4115">
        <v>15</v>
      </c>
      <c r="N4115" t="s">
        <v>50</v>
      </c>
      <c r="O4115">
        <v>3</v>
      </c>
      <c r="P4115" s="4">
        <v>475</v>
      </c>
      <c r="Q4115" t="s">
        <v>48</v>
      </c>
      <c r="R4115">
        <v>0</v>
      </c>
      <c r="S4115" t="s">
        <v>44</v>
      </c>
      <c r="T4115">
        <v>0</v>
      </c>
      <c r="U4115">
        <v>0</v>
      </c>
      <c r="V4115" t="s">
        <v>32</v>
      </c>
      <c r="W4115" t="s">
        <v>39</v>
      </c>
      <c r="X4115" s="4">
        <v>8</v>
      </c>
      <c r="Y4115">
        <v>11</v>
      </c>
      <c r="Z4115" s="5">
        <v>260.17</v>
      </c>
    </row>
    <row r="4116" spans="1:26">
      <c r="A4116">
        <v>4115</v>
      </c>
      <c r="B4116">
        <v>1348</v>
      </c>
      <c r="C4116" s="2">
        <v>46093</v>
      </c>
      <c r="D4116" t="s">
        <v>55</v>
      </c>
      <c r="E4116">
        <v>3</v>
      </c>
      <c r="F4116" s="3">
        <v>11.15</v>
      </c>
      <c r="G4116" t="s">
        <v>36</v>
      </c>
      <c r="H4116">
        <v>35</v>
      </c>
      <c r="I4116" t="s">
        <v>34</v>
      </c>
      <c r="J4116" s="4">
        <v>65.2</v>
      </c>
      <c r="K4116" s="4">
        <v>188.9</v>
      </c>
      <c r="L4116" s="4">
        <v>31.3</v>
      </c>
      <c r="M4116">
        <v>16</v>
      </c>
      <c r="N4116" t="s">
        <v>50</v>
      </c>
      <c r="O4116">
        <v>3</v>
      </c>
      <c r="P4116" s="4">
        <v>475</v>
      </c>
      <c r="Q4116" t="s">
        <v>48</v>
      </c>
      <c r="R4116">
        <v>0</v>
      </c>
      <c r="S4116" t="s">
        <v>44</v>
      </c>
      <c r="T4116">
        <v>0</v>
      </c>
      <c r="U4116">
        <v>0</v>
      </c>
      <c r="V4116" t="s">
        <v>32</v>
      </c>
      <c r="W4116" t="s">
        <v>39</v>
      </c>
      <c r="X4116" s="4">
        <v>6.4</v>
      </c>
      <c r="Y4116">
        <v>9</v>
      </c>
      <c r="Z4116" s="5">
        <v>243.82</v>
      </c>
    </row>
    <row r="4117" spans="1:26">
      <c r="A4117">
        <v>4116</v>
      </c>
      <c r="B4117">
        <v>1348</v>
      </c>
      <c r="C4117" s="2">
        <v>46093</v>
      </c>
      <c r="D4117" t="s">
        <v>55</v>
      </c>
      <c r="E4117">
        <v>3</v>
      </c>
      <c r="F4117" s="3">
        <v>11.35</v>
      </c>
      <c r="G4117" t="s">
        <v>36</v>
      </c>
      <c r="H4117">
        <v>49</v>
      </c>
      <c r="I4117" t="s">
        <v>34</v>
      </c>
      <c r="J4117" s="4">
        <v>63.9</v>
      </c>
      <c r="K4117" s="4">
        <v>167.3</v>
      </c>
      <c r="L4117" s="4">
        <v>28.8</v>
      </c>
      <c r="M4117">
        <v>20</v>
      </c>
      <c r="N4117" t="s">
        <v>50</v>
      </c>
      <c r="O4117">
        <v>3</v>
      </c>
      <c r="P4117" s="4">
        <v>475</v>
      </c>
      <c r="Q4117" t="s">
        <v>48</v>
      </c>
      <c r="R4117">
        <v>0</v>
      </c>
      <c r="S4117" t="s">
        <v>44</v>
      </c>
      <c r="T4117">
        <v>0</v>
      </c>
      <c r="U4117">
        <v>0</v>
      </c>
      <c r="V4117" t="s">
        <v>32</v>
      </c>
      <c r="W4117" t="s">
        <v>39</v>
      </c>
      <c r="X4117" s="4">
        <v>8.8000000000000007</v>
      </c>
      <c r="Y4117">
        <v>4</v>
      </c>
      <c r="Z4117" s="5">
        <v>286.08</v>
      </c>
    </row>
    <row r="4118" spans="1:26">
      <c r="A4118">
        <v>4117</v>
      </c>
      <c r="B4118">
        <v>1349</v>
      </c>
      <c r="C4118" s="2">
        <v>46162</v>
      </c>
      <c r="D4118" t="s">
        <v>52</v>
      </c>
      <c r="E4118">
        <v>5</v>
      </c>
      <c r="F4118" s="3">
        <v>9.4499999999999993</v>
      </c>
      <c r="G4118" t="s">
        <v>27</v>
      </c>
      <c r="H4118">
        <v>7</v>
      </c>
      <c r="I4118" t="s">
        <v>34</v>
      </c>
      <c r="J4118" s="4">
        <v>57.1</v>
      </c>
      <c r="K4118" s="4">
        <v>108.1</v>
      </c>
      <c r="L4118" s="4">
        <v>23.3</v>
      </c>
      <c r="M4118">
        <v>18</v>
      </c>
      <c r="N4118" t="s">
        <v>47</v>
      </c>
      <c r="O4118">
        <v>4</v>
      </c>
      <c r="P4118" s="4">
        <v>2</v>
      </c>
      <c r="Q4118" t="s">
        <v>48</v>
      </c>
      <c r="R4118">
        <v>0</v>
      </c>
      <c r="S4118" t="s">
        <v>44</v>
      </c>
      <c r="T4118">
        <v>1</v>
      </c>
      <c r="U4118">
        <v>1</v>
      </c>
      <c r="V4118" t="s">
        <v>32</v>
      </c>
      <c r="W4118" t="s">
        <v>39</v>
      </c>
      <c r="X4118" s="4">
        <v>8.5</v>
      </c>
      <c r="Y4118">
        <v>10</v>
      </c>
      <c r="Z4118" s="5">
        <v>450.32</v>
      </c>
    </row>
    <row r="4119" spans="1:26">
      <c r="A4119">
        <v>4118</v>
      </c>
      <c r="B4119">
        <v>1349</v>
      </c>
      <c r="C4119" s="2">
        <v>46162</v>
      </c>
      <c r="D4119" t="s">
        <v>52</v>
      </c>
      <c r="E4119">
        <v>5</v>
      </c>
      <c r="F4119" s="3">
        <v>9.33</v>
      </c>
      <c r="G4119" t="s">
        <v>27</v>
      </c>
      <c r="H4119">
        <v>29</v>
      </c>
      <c r="I4119" t="s">
        <v>34</v>
      </c>
      <c r="J4119" s="4">
        <v>65.3</v>
      </c>
      <c r="K4119" s="4">
        <v>196.7</v>
      </c>
      <c r="L4119" s="4">
        <v>32.5</v>
      </c>
      <c r="M4119">
        <v>17</v>
      </c>
      <c r="N4119" t="s">
        <v>47</v>
      </c>
      <c r="O4119">
        <v>4</v>
      </c>
      <c r="P4119" s="4">
        <v>2</v>
      </c>
      <c r="Q4119" t="s">
        <v>48</v>
      </c>
      <c r="R4119">
        <v>0</v>
      </c>
      <c r="S4119" t="s">
        <v>44</v>
      </c>
      <c r="T4119">
        <v>1</v>
      </c>
      <c r="U4119">
        <v>1</v>
      </c>
      <c r="V4119" t="s">
        <v>32</v>
      </c>
      <c r="W4119" t="s">
        <v>39</v>
      </c>
      <c r="X4119" s="4">
        <v>8.1</v>
      </c>
      <c r="Y4119">
        <v>9</v>
      </c>
      <c r="Z4119" s="5">
        <v>278.3</v>
      </c>
    </row>
    <row r="4120" spans="1:26">
      <c r="A4120">
        <v>4119</v>
      </c>
      <c r="B4120">
        <v>1349</v>
      </c>
      <c r="C4120" s="2">
        <v>46162</v>
      </c>
      <c r="D4120" t="s">
        <v>52</v>
      </c>
      <c r="E4120">
        <v>5</v>
      </c>
      <c r="F4120" s="3">
        <v>9.27</v>
      </c>
      <c r="G4120" t="s">
        <v>27</v>
      </c>
      <c r="H4120">
        <v>22</v>
      </c>
      <c r="I4120" t="s">
        <v>34</v>
      </c>
      <c r="J4120" s="4">
        <v>59.5</v>
      </c>
      <c r="K4120" s="4">
        <v>159.5</v>
      </c>
      <c r="L4120" s="4">
        <v>32</v>
      </c>
      <c r="M4120">
        <v>13</v>
      </c>
      <c r="N4120" t="s">
        <v>47</v>
      </c>
      <c r="O4120">
        <v>4</v>
      </c>
      <c r="P4120" s="4">
        <v>2</v>
      </c>
      <c r="Q4120" t="s">
        <v>48</v>
      </c>
      <c r="R4120">
        <v>0</v>
      </c>
      <c r="S4120" t="s">
        <v>44</v>
      </c>
      <c r="T4120">
        <v>1</v>
      </c>
      <c r="U4120">
        <v>1</v>
      </c>
      <c r="V4120" t="s">
        <v>32</v>
      </c>
      <c r="W4120" t="s">
        <v>39</v>
      </c>
      <c r="X4120" s="4">
        <v>8.9</v>
      </c>
      <c r="Y4120">
        <v>5</v>
      </c>
      <c r="Z4120" s="5">
        <v>317.04000000000002</v>
      </c>
    </row>
    <row r="4121" spans="1:26">
      <c r="A4121">
        <v>4120</v>
      </c>
      <c r="B4121">
        <v>1349</v>
      </c>
      <c r="C4121" s="2">
        <v>46162</v>
      </c>
      <c r="D4121" t="s">
        <v>52</v>
      </c>
      <c r="E4121">
        <v>5</v>
      </c>
      <c r="F4121" s="3">
        <v>9.36</v>
      </c>
      <c r="G4121" t="s">
        <v>27</v>
      </c>
      <c r="H4121">
        <v>15</v>
      </c>
      <c r="I4121" t="s">
        <v>28</v>
      </c>
      <c r="J4121" s="4">
        <v>70</v>
      </c>
      <c r="K4121" s="4">
        <v>143.19999999999999</v>
      </c>
      <c r="L4121" s="4">
        <v>20.5</v>
      </c>
      <c r="M4121">
        <v>14</v>
      </c>
      <c r="N4121" t="s">
        <v>47</v>
      </c>
      <c r="O4121">
        <v>4</v>
      </c>
      <c r="P4121" s="4">
        <v>2</v>
      </c>
      <c r="Q4121" t="s">
        <v>48</v>
      </c>
      <c r="R4121">
        <v>0</v>
      </c>
      <c r="S4121" t="s">
        <v>44</v>
      </c>
      <c r="T4121">
        <v>1</v>
      </c>
      <c r="U4121">
        <v>1</v>
      </c>
      <c r="V4121" t="s">
        <v>32</v>
      </c>
      <c r="W4121" t="s">
        <v>39</v>
      </c>
      <c r="X4121" s="4">
        <v>8</v>
      </c>
      <c r="Y4121">
        <v>13</v>
      </c>
      <c r="Z4121" s="5">
        <v>595.04</v>
      </c>
    </row>
    <row r="4122" spans="1:26">
      <c r="A4122">
        <v>4121</v>
      </c>
      <c r="B4122">
        <v>1350</v>
      </c>
      <c r="C4122" s="2">
        <v>46220</v>
      </c>
      <c r="D4122" t="s">
        <v>26</v>
      </c>
      <c r="E4122">
        <v>7</v>
      </c>
      <c r="F4122" s="3">
        <v>10.85</v>
      </c>
      <c r="G4122" t="s">
        <v>27</v>
      </c>
      <c r="H4122">
        <v>59</v>
      </c>
      <c r="I4122" t="s">
        <v>34</v>
      </c>
      <c r="J4122" s="4">
        <v>58.9</v>
      </c>
      <c r="K4122" s="4">
        <v>149</v>
      </c>
      <c r="L4122" s="4">
        <v>30.2</v>
      </c>
      <c r="M4122">
        <v>16</v>
      </c>
      <c r="N4122" t="s">
        <v>47</v>
      </c>
      <c r="O4122">
        <v>1</v>
      </c>
      <c r="P4122" s="4">
        <v>114.1</v>
      </c>
      <c r="Q4122" t="s">
        <v>42</v>
      </c>
      <c r="R4122">
        <v>0</v>
      </c>
      <c r="S4122" t="s">
        <v>44</v>
      </c>
      <c r="T4122">
        <v>1</v>
      </c>
      <c r="U4122">
        <v>1</v>
      </c>
      <c r="V4122" t="s">
        <v>32</v>
      </c>
      <c r="W4122" t="s">
        <v>39</v>
      </c>
      <c r="X4122" s="4">
        <v>5.2</v>
      </c>
      <c r="Y4122">
        <v>6</v>
      </c>
      <c r="Z4122" s="5">
        <v>104.2</v>
      </c>
    </row>
    <row r="4123" spans="1:26">
      <c r="A4123">
        <v>4122</v>
      </c>
      <c r="B4123">
        <v>1351</v>
      </c>
      <c r="C4123" s="2">
        <v>46339</v>
      </c>
      <c r="D4123" t="s">
        <v>26</v>
      </c>
      <c r="E4123">
        <v>11</v>
      </c>
      <c r="F4123" s="3">
        <v>10.5</v>
      </c>
      <c r="G4123" t="s">
        <v>27</v>
      </c>
      <c r="H4123">
        <v>3</v>
      </c>
      <c r="I4123" t="s">
        <v>28</v>
      </c>
      <c r="J4123" s="4">
        <v>53.3</v>
      </c>
      <c r="K4123" s="4">
        <v>67.2</v>
      </c>
      <c r="L4123" s="4">
        <v>16.399999999999999</v>
      </c>
      <c r="M4123">
        <v>11</v>
      </c>
      <c r="N4123" t="s">
        <v>47</v>
      </c>
      <c r="O4123">
        <v>3</v>
      </c>
      <c r="P4123" s="4">
        <v>139.30000000000001</v>
      </c>
      <c r="Q4123" t="s">
        <v>42</v>
      </c>
      <c r="R4123">
        <v>0</v>
      </c>
      <c r="S4123" t="s">
        <v>44</v>
      </c>
      <c r="T4123">
        <v>0</v>
      </c>
      <c r="U4123">
        <v>0</v>
      </c>
      <c r="V4123" t="s">
        <v>32</v>
      </c>
      <c r="W4123" t="s">
        <v>49</v>
      </c>
      <c r="X4123" s="4">
        <v>9.1</v>
      </c>
      <c r="Y4123">
        <v>7</v>
      </c>
      <c r="Z4123" s="5">
        <v>95.05</v>
      </c>
    </row>
    <row r="4124" spans="1:26">
      <c r="A4124">
        <v>4123</v>
      </c>
      <c r="B4124">
        <v>1351</v>
      </c>
      <c r="C4124" s="2">
        <v>46339</v>
      </c>
      <c r="D4124" t="s">
        <v>26</v>
      </c>
      <c r="E4124">
        <v>11</v>
      </c>
      <c r="F4124" s="3">
        <v>10.55</v>
      </c>
      <c r="G4124" t="s">
        <v>27</v>
      </c>
      <c r="H4124">
        <v>26</v>
      </c>
      <c r="I4124" t="s">
        <v>28</v>
      </c>
      <c r="J4124" s="4">
        <v>65.900000000000006</v>
      </c>
      <c r="K4124" s="4">
        <v>159.80000000000001</v>
      </c>
      <c r="L4124" s="4">
        <v>26</v>
      </c>
      <c r="M4124">
        <v>12</v>
      </c>
      <c r="N4124" t="s">
        <v>47</v>
      </c>
      <c r="O4124">
        <v>3</v>
      </c>
      <c r="P4124" s="4">
        <v>139.30000000000001</v>
      </c>
      <c r="Q4124" t="s">
        <v>42</v>
      </c>
      <c r="R4124">
        <v>0</v>
      </c>
      <c r="S4124" t="s">
        <v>44</v>
      </c>
      <c r="T4124">
        <v>0</v>
      </c>
      <c r="U4124">
        <v>0</v>
      </c>
      <c r="V4124" t="s">
        <v>32</v>
      </c>
      <c r="W4124" t="s">
        <v>49</v>
      </c>
      <c r="X4124" s="4">
        <v>9</v>
      </c>
      <c r="Y4124">
        <v>6</v>
      </c>
      <c r="Z4124" s="5">
        <v>245.77</v>
      </c>
    </row>
    <row r="4125" spans="1:26">
      <c r="A4125">
        <v>4124</v>
      </c>
      <c r="B4125">
        <v>1351</v>
      </c>
      <c r="C4125" s="2">
        <v>46339</v>
      </c>
      <c r="D4125" t="s">
        <v>26</v>
      </c>
      <c r="E4125">
        <v>11</v>
      </c>
      <c r="F4125" s="3">
        <v>10.36</v>
      </c>
      <c r="G4125" t="s">
        <v>27</v>
      </c>
      <c r="H4125">
        <v>57</v>
      </c>
      <c r="I4125" t="s">
        <v>34</v>
      </c>
      <c r="J4125" s="4">
        <v>64.400000000000006</v>
      </c>
      <c r="K4125" s="4">
        <v>174.8</v>
      </c>
      <c r="L4125" s="4">
        <v>29.8</v>
      </c>
      <c r="M4125">
        <v>19</v>
      </c>
      <c r="N4125" t="s">
        <v>47</v>
      </c>
      <c r="O4125">
        <v>3</v>
      </c>
      <c r="P4125" s="4">
        <v>139.30000000000001</v>
      </c>
      <c r="Q4125" t="s">
        <v>42</v>
      </c>
      <c r="R4125">
        <v>0</v>
      </c>
      <c r="S4125" t="s">
        <v>44</v>
      </c>
      <c r="T4125">
        <v>0</v>
      </c>
      <c r="U4125">
        <v>0</v>
      </c>
      <c r="V4125" t="s">
        <v>32</v>
      </c>
      <c r="W4125" t="s">
        <v>49</v>
      </c>
      <c r="X4125" s="4">
        <v>8.4</v>
      </c>
      <c r="Y4125">
        <v>11</v>
      </c>
      <c r="Z4125" s="5">
        <v>179.39</v>
      </c>
    </row>
    <row r="4126" spans="1:26">
      <c r="A4126">
        <v>4125</v>
      </c>
      <c r="B4126">
        <v>1352</v>
      </c>
      <c r="C4126" s="2">
        <v>46233</v>
      </c>
      <c r="D4126" t="s">
        <v>55</v>
      </c>
      <c r="E4126">
        <v>7</v>
      </c>
      <c r="F4126" s="3">
        <v>13.31</v>
      </c>
      <c r="G4126" t="s">
        <v>36</v>
      </c>
      <c r="H4126">
        <v>50</v>
      </c>
      <c r="I4126" t="s">
        <v>28</v>
      </c>
      <c r="J4126" s="4">
        <v>63.1</v>
      </c>
      <c r="K4126" s="4">
        <v>176.5</v>
      </c>
      <c r="L4126" s="4">
        <v>31.1</v>
      </c>
      <c r="M4126">
        <v>13</v>
      </c>
      <c r="N4126" t="s">
        <v>66</v>
      </c>
      <c r="O4126">
        <v>3</v>
      </c>
      <c r="P4126" s="4">
        <v>526.1</v>
      </c>
      <c r="Q4126" t="s">
        <v>42</v>
      </c>
      <c r="R4126">
        <v>0</v>
      </c>
      <c r="S4126" t="s">
        <v>44</v>
      </c>
      <c r="T4126">
        <v>1</v>
      </c>
      <c r="U4126">
        <v>0</v>
      </c>
      <c r="V4126" t="s">
        <v>32</v>
      </c>
      <c r="W4126" t="s">
        <v>49</v>
      </c>
      <c r="X4126" s="4">
        <v>7.9</v>
      </c>
      <c r="Y4126">
        <v>11</v>
      </c>
      <c r="Z4126" s="5">
        <v>190.68</v>
      </c>
    </row>
    <row r="4127" spans="1:26">
      <c r="A4127">
        <v>4126</v>
      </c>
      <c r="B4127">
        <v>1352</v>
      </c>
      <c r="C4127" s="2">
        <v>46233</v>
      </c>
      <c r="D4127" t="s">
        <v>55</v>
      </c>
      <c r="E4127">
        <v>7</v>
      </c>
      <c r="F4127" s="3">
        <v>13.27</v>
      </c>
      <c r="G4127" t="s">
        <v>36</v>
      </c>
      <c r="H4127">
        <v>9</v>
      </c>
      <c r="I4127" t="s">
        <v>34</v>
      </c>
      <c r="J4127" s="4">
        <v>62.9</v>
      </c>
      <c r="K4127" s="4">
        <v>131.1</v>
      </c>
      <c r="L4127" s="4">
        <v>23.2</v>
      </c>
      <c r="M4127">
        <v>14</v>
      </c>
      <c r="N4127" t="s">
        <v>66</v>
      </c>
      <c r="O4127">
        <v>3</v>
      </c>
      <c r="P4127" s="4">
        <v>526.1</v>
      </c>
      <c r="Q4127" t="s">
        <v>42</v>
      </c>
      <c r="R4127">
        <v>0</v>
      </c>
      <c r="S4127" t="s">
        <v>44</v>
      </c>
      <c r="T4127">
        <v>1</v>
      </c>
      <c r="U4127">
        <v>0</v>
      </c>
      <c r="V4127" t="s">
        <v>32</v>
      </c>
      <c r="W4127" t="s">
        <v>49</v>
      </c>
      <c r="X4127" s="4">
        <v>6.5</v>
      </c>
      <c r="Y4127">
        <v>5</v>
      </c>
      <c r="Z4127" s="5">
        <v>119</v>
      </c>
    </row>
    <row r="4128" spans="1:26">
      <c r="A4128">
        <v>4127</v>
      </c>
      <c r="B4128">
        <v>1352</v>
      </c>
      <c r="C4128" s="2">
        <v>46233</v>
      </c>
      <c r="D4128" t="s">
        <v>55</v>
      </c>
      <c r="E4128">
        <v>7</v>
      </c>
      <c r="F4128" s="3">
        <v>13.41</v>
      </c>
      <c r="G4128" t="s">
        <v>36</v>
      </c>
      <c r="H4128">
        <v>69</v>
      </c>
      <c r="I4128" t="s">
        <v>34</v>
      </c>
      <c r="J4128" s="4">
        <v>62</v>
      </c>
      <c r="K4128" s="4">
        <v>123.4</v>
      </c>
      <c r="L4128" s="4">
        <v>22.6</v>
      </c>
      <c r="M4128">
        <v>17</v>
      </c>
      <c r="N4128" t="s">
        <v>66</v>
      </c>
      <c r="O4128">
        <v>3</v>
      </c>
      <c r="P4128" s="4">
        <v>526.1</v>
      </c>
      <c r="Q4128" t="s">
        <v>42</v>
      </c>
      <c r="R4128">
        <v>0</v>
      </c>
      <c r="S4128" t="s">
        <v>44</v>
      </c>
      <c r="T4128">
        <v>1</v>
      </c>
      <c r="U4128">
        <v>0</v>
      </c>
      <c r="V4128" t="s">
        <v>32</v>
      </c>
      <c r="W4128" t="s">
        <v>49</v>
      </c>
      <c r="X4128" s="4">
        <v>6.6</v>
      </c>
      <c r="Y4128">
        <v>11</v>
      </c>
      <c r="Z4128" s="5">
        <v>211.21</v>
      </c>
    </row>
    <row r="4129" spans="1:26">
      <c r="A4129">
        <v>4128</v>
      </c>
      <c r="B4129">
        <v>1353</v>
      </c>
      <c r="C4129" s="2">
        <v>46369</v>
      </c>
      <c r="D4129" t="s">
        <v>58</v>
      </c>
      <c r="E4129">
        <v>12</v>
      </c>
      <c r="F4129" s="3">
        <v>10.57</v>
      </c>
      <c r="G4129" t="s">
        <v>27</v>
      </c>
      <c r="H4129">
        <v>57</v>
      </c>
      <c r="I4129" t="s">
        <v>28</v>
      </c>
      <c r="J4129" s="4">
        <v>71.599999999999994</v>
      </c>
      <c r="K4129" s="4">
        <v>143.1</v>
      </c>
      <c r="L4129" s="4">
        <v>19.600000000000001</v>
      </c>
      <c r="M4129">
        <v>17</v>
      </c>
      <c r="N4129" t="s">
        <v>60</v>
      </c>
      <c r="O4129">
        <v>2</v>
      </c>
      <c r="P4129" s="4">
        <v>1683.2</v>
      </c>
      <c r="Q4129" t="s">
        <v>48</v>
      </c>
      <c r="R4129">
        <v>0</v>
      </c>
      <c r="S4129" t="s">
        <v>44</v>
      </c>
      <c r="T4129">
        <v>0</v>
      </c>
      <c r="U4129">
        <v>0</v>
      </c>
      <c r="V4129" t="s">
        <v>45</v>
      </c>
      <c r="W4129" t="s">
        <v>49</v>
      </c>
      <c r="X4129" s="4">
        <v>7.1</v>
      </c>
      <c r="Y4129">
        <v>5</v>
      </c>
      <c r="Z4129" s="5">
        <v>171.58</v>
      </c>
    </row>
    <row r="4130" spans="1:26">
      <c r="A4130">
        <v>4129</v>
      </c>
      <c r="B4130">
        <v>1353</v>
      </c>
      <c r="C4130" s="2">
        <v>46369</v>
      </c>
      <c r="D4130" t="s">
        <v>58</v>
      </c>
      <c r="E4130">
        <v>12</v>
      </c>
      <c r="F4130" s="3">
        <v>10.5</v>
      </c>
      <c r="G4130" t="s">
        <v>27</v>
      </c>
      <c r="H4130">
        <v>64</v>
      </c>
      <c r="I4130" t="s">
        <v>28</v>
      </c>
      <c r="J4130" s="4">
        <v>68.3</v>
      </c>
      <c r="K4130" s="4">
        <v>179</v>
      </c>
      <c r="L4130" s="4">
        <v>27.2</v>
      </c>
      <c r="M4130">
        <v>20</v>
      </c>
      <c r="N4130" t="s">
        <v>60</v>
      </c>
      <c r="O4130">
        <v>2</v>
      </c>
      <c r="P4130" s="4">
        <v>1683.2</v>
      </c>
      <c r="Q4130" t="s">
        <v>48</v>
      </c>
      <c r="R4130">
        <v>0</v>
      </c>
      <c r="S4130" t="s">
        <v>44</v>
      </c>
      <c r="T4130">
        <v>0</v>
      </c>
      <c r="U4130">
        <v>0</v>
      </c>
      <c r="V4130" t="s">
        <v>45</v>
      </c>
      <c r="W4130" t="s">
        <v>49</v>
      </c>
      <c r="X4130" s="4">
        <v>7.5</v>
      </c>
      <c r="Y4130">
        <v>9</v>
      </c>
      <c r="Z4130" s="5">
        <v>229.38</v>
      </c>
    </row>
    <row r="4131" spans="1:26">
      <c r="A4131">
        <v>4130</v>
      </c>
      <c r="B4131">
        <v>1354</v>
      </c>
      <c r="C4131" s="2">
        <v>46356</v>
      </c>
      <c r="D4131" t="s">
        <v>46</v>
      </c>
      <c r="E4131">
        <v>11</v>
      </c>
      <c r="F4131" s="3">
        <v>12.52</v>
      </c>
      <c r="G4131" t="s">
        <v>36</v>
      </c>
      <c r="H4131">
        <v>30</v>
      </c>
      <c r="I4131" t="s">
        <v>28</v>
      </c>
      <c r="J4131" s="4">
        <v>71.7</v>
      </c>
      <c r="K4131" s="4">
        <v>187.1</v>
      </c>
      <c r="L4131" s="4">
        <v>25.5</v>
      </c>
      <c r="M4131">
        <v>17</v>
      </c>
      <c r="N4131" t="s">
        <v>56</v>
      </c>
      <c r="O4131">
        <v>3</v>
      </c>
      <c r="P4131" s="4">
        <v>303.5</v>
      </c>
      <c r="Q4131" t="s">
        <v>42</v>
      </c>
      <c r="R4131">
        <v>1</v>
      </c>
      <c r="S4131" t="s">
        <v>44</v>
      </c>
      <c r="T4131">
        <v>0</v>
      </c>
      <c r="U4131">
        <v>0</v>
      </c>
      <c r="V4131" t="s">
        <v>32</v>
      </c>
      <c r="W4131" t="s">
        <v>43</v>
      </c>
      <c r="X4131" s="4">
        <v>7.5</v>
      </c>
      <c r="Y4131">
        <v>7</v>
      </c>
      <c r="Z4131" s="5">
        <v>207.79</v>
      </c>
    </row>
    <row r="4132" spans="1:26">
      <c r="A4132">
        <v>4131</v>
      </c>
      <c r="B4132">
        <v>1354</v>
      </c>
      <c r="C4132" s="2">
        <v>46356</v>
      </c>
      <c r="D4132" t="s">
        <v>46</v>
      </c>
      <c r="E4132">
        <v>11</v>
      </c>
      <c r="F4132" s="3">
        <v>12.58</v>
      </c>
      <c r="G4132" t="s">
        <v>36</v>
      </c>
      <c r="H4132">
        <v>21</v>
      </c>
      <c r="I4132" t="s">
        <v>28</v>
      </c>
      <c r="J4132" s="4">
        <v>69.099999999999994</v>
      </c>
      <c r="K4132" s="4">
        <v>192.8</v>
      </c>
      <c r="L4132" s="4">
        <v>28.4</v>
      </c>
      <c r="M4132">
        <v>16</v>
      </c>
      <c r="N4132" t="s">
        <v>56</v>
      </c>
      <c r="O4132">
        <v>3</v>
      </c>
      <c r="P4132" s="4">
        <v>303.5</v>
      </c>
      <c r="Q4132" t="s">
        <v>42</v>
      </c>
      <c r="R4132">
        <v>1</v>
      </c>
      <c r="S4132" t="s">
        <v>44</v>
      </c>
      <c r="T4132">
        <v>0</v>
      </c>
      <c r="U4132">
        <v>0</v>
      </c>
      <c r="V4132" t="s">
        <v>32</v>
      </c>
      <c r="W4132" t="s">
        <v>43</v>
      </c>
      <c r="X4132" s="4">
        <v>7.8</v>
      </c>
      <c r="Y4132">
        <v>4</v>
      </c>
      <c r="Z4132" s="5">
        <v>170.94</v>
      </c>
    </row>
    <row r="4133" spans="1:26">
      <c r="A4133">
        <v>4132</v>
      </c>
      <c r="B4133">
        <v>1354</v>
      </c>
      <c r="C4133" s="2">
        <v>46356</v>
      </c>
      <c r="D4133" t="s">
        <v>46</v>
      </c>
      <c r="E4133">
        <v>11</v>
      </c>
      <c r="F4133" s="3">
        <v>12.49</v>
      </c>
      <c r="G4133" t="s">
        <v>36</v>
      </c>
      <c r="H4133">
        <v>8</v>
      </c>
      <c r="I4133" t="s">
        <v>28</v>
      </c>
      <c r="J4133" s="4">
        <v>56.5</v>
      </c>
      <c r="K4133" s="4">
        <v>72.099999999999994</v>
      </c>
      <c r="L4133" s="4">
        <v>16</v>
      </c>
      <c r="M4133">
        <v>13</v>
      </c>
      <c r="N4133" t="s">
        <v>56</v>
      </c>
      <c r="O4133">
        <v>3</v>
      </c>
      <c r="P4133" s="4">
        <v>303.5</v>
      </c>
      <c r="Q4133" t="s">
        <v>42</v>
      </c>
      <c r="R4133">
        <v>1</v>
      </c>
      <c r="S4133" t="s">
        <v>44</v>
      </c>
      <c r="T4133">
        <v>0</v>
      </c>
      <c r="U4133">
        <v>0</v>
      </c>
      <c r="V4133" t="s">
        <v>32</v>
      </c>
      <c r="W4133" t="s">
        <v>43</v>
      </c>
      <c r="X4133" s="4">
        <v>9</v>
      </c>
      <c r="Y4133">
        <v>10</v>
      </c>
      <c r="Z4133" s="5">
        <v>164.36</v>
      </c>
    </row>
    <row r="4134" spans="1:26">
      <c r="A4134">
        <v>4133</v>
      </c>
      <c r="B4134">
        <v>1355</v>
      </c>
      <c r="C4134" s="2">
        <v>46201</v>
      </c>
      <c r="D4134" t="s">
        <v>58</v>
      </c>
      <c r="E4134">
        <v>6</v>
      </c>
      <c r="F4134" s="3">
        <v>9.6300000000000008</v>
      </c>
      <c r="G4134" t="s">
        <v>27</v>
      </c>
      <c r="H4134">
        <v>59</v>
      </c>
      <c r="I4134" t="s">
        <v>28</v>
      </c>
      <c r="J4134" s="4">
        <v>64.7</v>
      </c>
      <c r="K4134" s="4">
        <v>131.5</v>
      </c>
      <c r="L4134" s="4">
        <v>22</v>
      </c>
      <c r="M4134">
        <v>13</v>
      </c>
      <c r="N4134" t="s">
        <v>65</v>
      </c>
      <c r="O4134">
        <v>2</v>
      </c>
      <c r="P4134" s="4">
        <v>1605</v>
      </c>
      <c r="Q4134" t="s">
        <v>30</v>
      </c>
      <c r="R4134">
        <v>0</v>
      </c>
      <c r="S4134" t="s">
        <v>38</v>
      </c>
      <c r="T4134">
        <v>0</v>
      </c>
      <c r="U4134">
        <v>1</v>
      </c>
      <c r="V4134" t="s">
        <v>32</v>
      </c>
      <c r="W4134" t="s">
        <v>33</v>
      </c>
      <c r="X4134" s="4">
        <v>8.1999999999999993</v>
      </c>
      <c r="Y4134">
        <v>2</v>
      </c>
      <c r="Z4134" s="5">
        <v>224.29</v>
      </c>
    </row>
    <row r="4135" spans="1:26">
      <c r="A4135">
        <v>4134</v>
      </c>
      <c r="B4135">
        <v>1355</v>
      </c>
      <c r="C4135" s="2">
        <v>46201</v>
      </c>
      <c r="D4135" t="s">
        <v>58</v>
      </c>
      <c r="E4135">
        <v>6</v>
      </c>
      <c r="F4135" s="3">
        <v>9.51</v>
      </c>
      <c r="G4135" t="s">
        <v>27</v>
      </c>
      <c r="H4135">
        <v>62</v>
      </c>
      <c r="I4135" t="s">
        <v>34</v>
      </c>
      <c r="J4135" s="4">
        <v>62.1</v>
      </c>
      <c r="K4135" s="4">
        <v>201.3</v>
      </c>
      <c r="L4135" s="4">
        <v>36.9</v>
      </c>
      <c r="M4135">
        <v>13</v>
      </c>
      <c r="N4135" t="s">
        <v>65</v>
      </c>
      <c r="O4135">
        <v>2</v>
      </c>
      <c r="P4135" s="4">
        <v>1605</v>
      </c>
      <c r="Q4135" t="s">
        <v>30</v>
      </c>
      <c r="R4135">
        <v>0</v>
      </c>
      <c r="S4135" t="s">
        <v>38</v>
      </c>
      <c r="T4135">
        <v>0</v>
      </c>
      <c r="U4135">
        <v>1</v>
      </c>
      <c r="V4135" t="s">
        <v>32</v>
      </c>
      <c r="W4135" t="s">
        <v>33</v>
      </c>
      <c r="X4135" s="4">
        <v>7.8</v>
      </c>
      <c r="Y4135">
        <v>8</v>
      </c>
      <c r="Z4135" s="5">
        <v>161.22</v>
      </c>
    </row>
    <row r="4136" spans="1:26">
      <c r="A4136">
        <v>4135</v>
      </c>
      <c r="B4136">
        <v>1356</v>
      </c>
      <c r="C4136" s="2">
        <v>46060</v>
      </c>
      <c r="D4136" t="s">
        <v>40</v>
      </c>
      <c r="E4136">
        <v>2</v>
      </c>
      <c r="F4136" s="3">
        <v>8.93</v>
      </c>
      <c r="G4136" t="s">
        <v>27</v>
      </c>
      <c r="H4136">
        <v>47</v>
      </c>
      <c r="I4136" t="s">
        <v>34</v>
      </c>
      <c r="J4136" s="4">
        <v>63.5</v>
      </c>
      <c r="K4136" s="4">
        <v>138.19999999999999</v>
      </c>
      <c r="L4136" s="4">
        <v>24.2</v>
      </c>
      <c r="M4136">
        <v>18</v>
      </c>
      <c r="N4136" t="s">
        <v>59</v>
      </c>
      <c r="O4136">
        <v>3</v>
      </c>
      <c r="P4136" s="4">
        <v>871.6</v>
      </c>
      <c r="Q4136" t="s">
        <v>42</v>
      </c>
      <c r="R4136">
        <v>1</v>
      </c>
      <c r="S4136" t="s">
        <v>31</v>
      </c>
      <c r="T4136">
        <v>0</v>
      </c>
      <c r="U4136">
        <v>0</v>
      </c>
      <c r="V4136" t="s">
        <v>32</v>
      </c>
      <c r="W4136" t="s">
        <v>49</v>
      </c>
      <c r="X4136" s="4">
        <v>10.6</v>
      </c>
      <c r="Y4136">
        <v>14</v>
      </c>
      <c r="Z4136" s="5">
        <v>232.07</v>
      </c>
    </row>
    <row r="4137" spans="1:26">
      <c r="A4137">
        <v>4136</v>
      </c>
      <c r="B4137">
        <v>1356</v>
      </c>
      <c r="C4137" s="2">
        <v>46060</v>
      </c>
      <c r="D4137" t="s">
        <v>40</v>
      </c>
      <c r="E4137">
        <v>2</v>
      </c>
      <c r="F4137" s="3">
        <v>8.82</v>
      </c>
      <c r="G4137" t="s">
        <v>27</v>
      </c>
      <c r="H4137">
        <v>75</v>
      </c>
      <c r="I4137" t="s">
        <v>28</v>
      </c>
      <c r="J4137" s="4">
        <v>65</v>
      </c>
      <c r="K4137" s="4">
        <v>218.5</v>
      </c>
      <c r="L4137" s="4">
        <v>36.5</v>
      </c>
      <c r="M4137">
        <v>14</v>
      </c>
      <c r="N4137" t="s">
        <v>59</v>
      </c>
      <c r="O4137">
        <v>3</v>
      </c>
      <c r="P4137" s="4">
        <v>871.6</v>
      </c>
      <c r="Q4137" t="s">
        <v>42</v>
      </c>
      <c r="R4137">
        <v>1</v>
      </c>
      <c r="S4137" t="s">
        <v>31</v>
      </c>
      <c r="T4137">
        <v>0</v>
      </c>
      <c r="U4137">
        <v>0</v>
      </c>
      <c r="V4137" t="s">
        <v>32</v>
      </c>
      <c r="W4137" t="s">
        <v>49</v>
      </c>
      <c r="X4137" s="4">
        <v>11.2</v>
      </c>
      <c r="Y4137">
        <v>7</v>
      </c>
      <c r="Z4137" s="5">
        <v>328.74</v>
      </c>
    </row>
    <row r="4138" spans="1:26">
      <c r="A4138">
        <v>4137</v>
      </c>
      <c r="B4138">
        <v>1356</v>
      </c>
      <c r="C4138" s="2">
        <v>46060</v>
      </c>
      <c r="D4138" t="s">
        <v>40</v>
      </c>
      <c r="E4138">
        <v>2</v>
      </c>
      <c r="F4138" s="3">
        <v>8.81</v>
      </c>
      <c r="G4138" t="s">
        <v>27</v>
      </c>
      <c r="H4138">
        <v>20</v>
      </c>
      <c r="I4138" t="s">
        <v>28</v>
      </c>
      <c r="J4138" s="4">
        <v>66.7</v>
      </c>
      <c r="K4138" s="4">
        <v>170.6</v>
      </c>
      <c r="L4138" s="4">
        <v>27.1</v>
      </c>
      <c r="M4138">
        <v>10</v>
      </c>
      <c r="N4138" t="s">
        <v>59</v>
      </c>
      <c r="O4138">
        <v>3</v>
      </c>
      <c r="P4138" s="4">
        <v>871.6</v>
      </c>
      <c r="Q4138" t="s">
        <v>42</v>
      </c>
      <c r="R4138">
        <v>1</v>
      </c>
      <c r="S4138" t="s">
        <v>31</v>
      </c>
      <c r="T4138">
        <v>0</v>
      </c>
      <c r="U4138">
        <v>0</v>
      </c>
      <c r="V4138" t="s">
        <v>32</v>
      </c>
      <c r="W4138" t="s">
        <v>49</v>
      </c>
      <c r="X4138" s="4">
        <v>10.5</v>
      </c>
      <c r="Y4138">
        <v>7</v>
      </c>
      <c r="Z4138" s="5">
        <v>308.73</v>
      </c>
    </row>
    <row r="4139" spans="1:26">
      <c r="A4139">
        <v>4138</v>
      </c>
      <c r="B4139">
        <v>1357</v>
      </c>
      <c r="C4139" s="2">
        <v>46028</v>
      </c>
      <c r="D4139" t="s">
        <v>35</v>
      </c>
      <c r="E4139">
        <v>1</v>
      </c>
      <c r="F4139" s="3">
        <v>9.14</v>
      </c>
      <c r="G4139" t="s">
        <v>27</v>
      </c>
      <c r="H4139">
        <v>63</v>
      </c>
      <c r="I4139" t="s">
        <v>28</v>
      </c>
      <c r="J4139" s="4">
        <v>68</v>
      </c>
      <c r="K4139" s="4">
        <v>141.80000000000001</v>
      </c>
      <c r="L4139" s="4">
        <v>21.4</v>
      </c>
      <c r="M4139">
        <v>13</v>
      </c>
      <c r="N4139" t="s">
        <v>47</v>
      </c>
      <c r="O4139">
        <v>2</v>
      </c>
      <c r="P4139" s="4">
        <v>40.200000000000003</v>
      </c>
      <c r="Q4139" t="s">
        <v>30</v>
      </c>
      <c r="R4139">
        <v>0</v>
      </c>
      <c r="S4139" t="s">
        <v>44</v>
      </c>
      <c r="T4139">
        <v>0</v>
      </c>
      <c r="U4139">
        <v>0</v>
      </c>
      <c r="V4139" t="s">
        <v>45</v>
      </c>
      <c r="W4139" t="s">
        <v>43</v>
      </c>
      <c r="X4139" s="4">
        <v>7.8</v>
      </c>
      <c r="Y4139">
        <v>5</v>
      </c>
      <c r="Z4139" s="5">
        <v>145.69999999999999</v>
      </c>
    </row>
    <row r="4140" spans="1:26">
      <c r="A4140">
        <v>4139</v>
      </c>
      <c r="B4140">
        <v>1357</v>
      </c>
      <c r="C4140" s="2">
        <v>46028</v>
      </c>
      <c r="D4140" t="s">
        <v>35</v>
      </c>
      <c r="E4140">
        <v>1</v>
      </c>
      <c r="F4140" s="3">
        <v>9.35</v>
      </c>
      <c r="G4140" t="s">
        <v>27</v>
      </c>
      <c r="H4140">
        <v>23</v>
      </c>
      <c r="I4140" t="s">
        <v>34</v>
      </c>
      <c r="J4140" s="4">
        <v>65.5</v>
      </c>
      <c r="K4140" s="4">
        <v>141.69999999999999</v>
      </c>
      <c r="L4140" s="4">
        <v>23.2</v>
      </c>
      <c r="M4140">
        <v>9</v>
      </c>
      <c r="N4140" t="s">
        <v>47</v>
      </c>
      <c r="O4140">
        <v>2</v>
      </c>
      <c r="P4140" s="4">
        <v>40.200000000000003</v>
      </c>
      <c r="Q4140" t="s">
        <v>30</v>
      </c>
      <c r="R4140">
        <v>0</v>
      </c>
      <c r="S4140" t="s">
        <v>44</v>
      </c>
      <c r="T4140">
        <v>0</v>
      </c>
      <c r="U4140">
        <v>0</v>
      </c>
      <c r="V4140" t="s">
        <v>45</v>
      </c>
      <c r="W4140" t="s">
        <v>43</v>
      </c>
      <c r="X4140" s="4">
        <v>5.0999999999999996</v>
      </c>
      <c r="Y4140">
        <v>6</v>
      </c>
      <c r="Z4140" s="5">
        <v>101.91</v>
      </c>
    </row>
    <row r="4141" spans="1:26">
      <c r="A4141">
        <v>4140</v>
      </c>
      <c r="B4141">
        <v>1358</v>
      </c>
      <c r="C4141" s="2">
        <v>46036</v>
      </c>
      <c r="D4141" t="s">
        <v>52</v>
      </c>
      <c r="E4141">
        <v>1</v>
      </c>
      <c r="F4141" s="3">
        <v>11.66</v>
      </c>
      <c r="G4141" t="s">
        <v>36</v>
      </c>
      <c r="H4141">
        <v>46</v>
      </c>
      <c r="I4141" t="s">
        <v>34</v>
      </c>
      <c r="J4141" s="4">
        <v>59.6</v>
      </c>
      <c r="K4141" s="4">
        <v>116.4</v>
      </c>
      <c r="L4141" s="4">
        <v>23.4</v>
      </c>
      <c r="M4141">
        <v>19</v>
      </c>
      <c r="N4141" t="s">
        <v>65</v>
      </c>
      <c r="O4141">
        <v>3</v>
      </c>
      <c r="P4141" s="4">
        <v>1621.1</v>
      </c>
      <c r="Q4141" t="s">
        <v>48</v>
      </c>
      <c r="R4141">
        <v>0</v>
      </c>
      <c r="S4141" t="s">
        <v>31</v>
      </c>
      <c r="T4141">
        <v>1</v>
      </c>
      <c r="U4141">
        <v>1</v>
      </c>
      <c r="V4141" t="s">
        <v>64</v>
      </c>
      <c r="W4141" t="s">
        <v>33</v>
      </c>
      <c r="X4141" s="4">
        <v>6.9</v>
      </c>
      <c r="Y4141">
        <v>15</v>
      </c>
      <c r="Z4141" s="5">
        <v>358.94</v>
      </c>
    </row>
    <row r="4142" spans="1:26">
      <c r="A4142">
        <v>4141</v>
      </c>
      <c r="B4142">
        <v>1358</v>
      </c>
      <c r="C4142" s="2">
        <v>46036</v>
      </c>
      <c r="D4142" t="s">
        <v>52</v>
      </c>
      <c r="E4142">
        <v>1</v>
      </c>
      <c r="F4142" s="3">
        <v>11.87</v>
      </c>
      <c r="G4142" t="s">
        <v>36</v>
      </c>
      <c r="H4142">
        <v>55</v>
      </c>
      <c r="I4142" t="s">
        <v>28</v>
      </c>
      <c r="J4142" s="4">
        <v>74</v>
      </c>
      <c r="K4142" s="4">
        <v>188.1</v>
      </c>
      <c r="L4142" s="4">
        <v>24.3</v>
      </c>
      <c r="M4142">
        <v>16</v>
      </c>
      <c r="N4142" t="s">
        <v>65</v>
      </c>
      <c r="O4142">
        <v>3</v>
      </c>
      <c r="P4142" s="4">
        <v>1621.1</v>
      </c>
      <c r="Q4142" t="s">
        <v>48</v>
      </c>
      <c r="R4142">
        <v>0</v>
      </c>
      <c r="S4142" t="s">
        <v>31</v>
      </c>
      <c r="T4142">
        <v>1</v>
      </c>
      <c r="U4142">
        <v>1</v>
      </c>
      <c r="V4142" t="s">
        <v>64</v>
      </c>
      <c r="W4142" t="s">
        <v>33</v>
      </c>
      <c r="X4142" s="4">
        <v>10.3</v>
      </c>
      <c r="Y4142">
        <v>12</v>
      </c>
      <c r="Z4142" s="5">
        <v>363.96</v>
      </c>
    </row>
    <row r="4143" spans="1:26">
      <c r="A4143">
        <v>4142</v>
      </c>
      <c r="B4143">
        <v>1358</v>
      </c>
      <c r="C4143" s="2">
        <v>46036</v>
      </c>
      <c r="D4143" t="s">
        <v>52</v>
      </c>
      <c r="E4143">
        <v>1</v>
      </c>
      <c r="F4143" s="3">
        <v>11.74</v>
      </c>
      <c r="G4143" t="s">
        <v>36</v>
      </c>
      <c r="H4143">
        <v>27</v>
      </c>
      <c r="I4143" t="s">
        <v>34</v>
      </c>
      <c r="J4143" s="4">
        <v>56</v>
      </c>
      <c r="K4143" s="4">
        <v>101.8</v>
      </c>
      <c r="L4143" s="4">
        <v>22.9</v>
      </c>
      <c r="M4143">
        <v>19</v>
      </c>
      <c r="N4143" t="s">
        <v>65</v>
      </c>
      <c r="O4143">
        <v>3</v>
      </c>
      <c r="P4143" s="4">
        <v>1621.1</v>
      </c>
      <c r="Q4143" t="s">
        <v>48</v>
      </c>
      <c r="R4143">
        <v>0</v>
      </c>
      <c r="S4143" t="s">
        <v>31</v>
      </c>
      <c r="T4143">
        <v>1</v>
      </c>
      <c r="U4143">
        <v>1</v>
      </c>
      <c r="V4143" t="s">
        <v>64</v>
      </c>
      <c r="W4143" t="s">
        <v>33</v>
      </c>
      <c r="X4143" s="4">
        <v>8.8000000000000007</v>
      </c>
      <c r="Y4143">
        <v>8</v>
      </c>
      <c r="Z4143" s="5">
        <v>210.17</v>
      </c>
    </row>
    <row r="4144" spans="1:26">
      <c r="A4144">
        <v>4143</v>
      </c>
      <c r="B4144">
        <v>1359</v>
      </c>
      <c r="C4144" s="2">
        <v>46185</v>
      </c>
      <c r="D4144" t="s">
        <v>26</v>
      </c>
      <c r="E4144">
        <v>6</v>
      </c>
      <c r="F4144" s="3">
        <v>11.11</v>
      </c>
      <c r="G4144" t="s">
        <v>36</v>
      </c>
      <c r="H4144">
        <v>65</v>
      </c>
      <c r="I4144" t="s">
        <v>34</v>
      </c>
      <c r="J4144" s="4">
        <v>63.1</v>
      </c>
      <c r="K4144" s="4">
        <v>98.2</v>
      </c>
      <c r="L4144" s="4">
        <v>17.3</v>
      </c>
      <c r="M4144">
        <v>20</v>
      </c>
      <c r="N4144" t="s">
        <v>50</v>
      </c>
      <c r="O4144">
        <v>1</v>
      </c>
      <c r="P4144" s="4">
        <v>337.7</v>
      </c>
      <c r="Q4144" t="s">
        <v>48</v>
      </c>
      <c r="R4144">
        <v>0</v>
      </c>
      <c r="S4144" t="s">
        <v>44</v>
      </c>
      <c r="T4144">
        <v>0</v>
      </c>
      <c r="U4144">
        <v>0</v>
      </c>
      <c r="V4144" t="s">
        <v>32</v>
      </c>
      <c r="W4144" t="s">
        <v>43</v>
      </c>
      <c r="X4144" s="4">
        <v>6.2</v>
      </c>
      <c r="Y4144">
        <v>7</v>
      </c>
      <c r="Z4144" s="5">
        <v>167.15</v>
      </c>
    </row>
    <row r="4145" spans="1:26">
      <c r="A4145">
        <v>4144</v>
      </c>
      <c r="B4145">
        <v>1360</v>
      </c>
      <c r="C4145" s="2">
        <v>46190</v>
      </c>
      <c r="D4145" t="s">
        <v>52</v>
      </c>
      <c r="E4145">
        <v>6</v>
      </c>
      <c r="F4145" s="3">
        <v>10.06</v>
      </c>
      <c r="G4145" t="s">
        <v>27</v>
      </c>
      <c r="H4145">
        <v>34</v>
      </c>
      <c r="I4145" t="s">
        <v>34</v>
      </c>
      <c r="J4145" s="4">
        <v>62</v>
      </c>
      <c r="K4145" s="4">
        <v>179.9</v>
      </c>
      <c r="L4145" s="4">
        <v>33</v>
      </c>
      <c r="M4145">
        <v>16</v>
      </c>
      <c r="N4145" t="s">
        <v>47</v>
      </c>
      <c r="O4145">
        <v>5</v>
      </c>
      <c r="P4145" s="4">
        <v>9.9</v>
      </c>
      <c r="Q4145" t="s">
        <v>48</v>
      </c>
      <c r="R4145">
        <v>0</v>
      </c>
      <c r="S4145" t="s">
        <v>44</v>
      </c>
      <c r="T4145">
        <v>0</v>
      </c>
      <c r="U4145">
        <v>1</v>
      </c>
      <c r="V4145" t="s">
        <v>64</v>
      </c>
      <c r="W4145" t="s">
        <v>49</v>
      </c>
      <c r="X4145" s="4">
        <v>6.3</v>
      </c>
      <c r="Y4145">
        <v>4</v>
      </c>
      <c r="Z4145" s="5">
        <v>167.46</v>
      </c>
    </row>
    <row r="4146" spans="1:26">
      <c r="A4146">
        <v>4145</v>
      </c>
      <c r="B4146">
        <v>1360</v>
      </c>
      <c r="C4146" s="2">
        <v>46190</v>
      </c>
      <c r="D4146" t="s">
        <v>52</v>
      </c>
      <c r="E4146">
        <v>6</v>
      </c>
      <c r="F4146" s="3">
        <v>10.02</v>
      </c>
      <c r="G4146" t="s">
        <v>27</v>
      </c>
      <c r="H4146">
        <v>43</v>
      </c>
      <c r="I4146" t="s">
        <v>34</v>
      </c>
      <c r="J4146" s="4">
        <v>64.3</v>
      </c>
      <c r="K4146" s="4">
        <v>150.19999999999999</v>
      </c>
      <c r="L4146" s="4">
        <v>25.7</v>
      </c>
      <c r="M4146">
        <v>18</v>
      </c>
      <c r="N4146" t="s">
        <v>47</v>
      </c>
      <c r="O4146">
        <v>5</v>
      </c>
      <c r="P4146" s="4">
        <v>9.9</v>
      </c>
      <c r="Q4146" t="s">
        <v>48</v>
      </c>
      <c r="R4146">
        <v>0</v>
      </c>
      <c r="S4146" t="s">
        <v>44</v>
      </c>
      <c r="T4146">
        <v>0</v>
      </c>
      <c r="U4146">
        <v>1</v>
      </c>
      <c r="V4146" t="s">
        <v>64</v>
      </c>
      <c r="W4146" t="s">
        <v>49</v>
      </c>
      <c r="X4146" s="4">
        <v>7.9</v>
      </c>
      <c r="Y4146">
        <v>11</v>
      </c>
      <c r="Z4146" s="5">
        <v>232.51</v>
      </c>
    </row>
    <row r="4147" spans="1:26">
      <c r="A4147">
        <v>4146</v>
      </c>
      <c r="B4147">
        <v>1360</v>
      </c>
      <c r="C4147" s="2">
        <v>46190</v>
      </c>
      <c r="D4147" t="s">
        <v>52</v>
      </c>
      <c r="E4147">
        <v>6</v>
      </c>
      <c r="F4147" s="3">
        <v>9.98</v>
      </c>
      <c r="G4147" t="s">
        <v>27</v>
      </c>
      <c r="H4147">
        <v>68</v>
      </c>
      <c r="I4147" t="s">
        <v>34</v>
      </c>
      <c r="J4147" s="4">
        <v>65.7</v>
      </c>
      <c r="K4147" s="4">
        <v>179</v>
      </c>
      <c r="L4147" s="4">
        <v>29</v>
      </c>
      <c r="M4147">
        <v>16</v>
      </c>
      <c r="N4147" t="s">
        <v>47</v>
      </c>
      <c r="O4147">
        <v>5</v>
      </c>
      <c r="P4147" s="4">
        <v>9.9</v>
      </c>
      <c r="Q4147" t="s">
        <v>48</v>
      </c>
      <c r="R4147">
        <v>0</v>
      </c>
      <c r="S4147" t="s">
        <v>44</v>
      </c>
      <c r="T4147">
        <v>0</v>
      </c>
      <c r="U4147">
        <v>1</v>
      </c>
      <c r="V4147" t="s">
        <v>64</v>
      </c>
      <c r="W4147" t="s">
        <v>49</v>
      </c>
      <c r="X4147" s="4">
        <v>10</v>
      </c>
      <c r="Y4147">
        <v>7</v>
      </c>
      <c r="Z4147" s="5">
        <v>223.22</v>
      </c>
    </row>
    <row r="4148" spans="1:26">
      <c r="A4148">
        <v>4147</v>
      </c>
      <c r="B4148">
        <v>1360</v>
      </c>
      <c r="C4148" s="2">
        <v>46190</v>
      </c>
      <c r="D4148" t="s">
        <v>52</v>
      </c>
      <c r="E4148">
        <v>6</v>
      </c>
      <c r="F4148" s="3">
        <v>9.7200000000000006</v>
      </c>
      <c r="G4148" t="s">
        <v>27</v>
      </c>
      <c r="H4148">
        <v>67</v>
      </c>
      <c r="I4148" t="s">
        <v>28</v>
      </c>
      <c r="J4148" s="4">
        <v>68.7</v>
      </c>
      <c r="K4148" s="4">
        <v>150.69999999999999</v>
      </c>
      <c r="L4148" s="4">
        <v>22.2</v>
      </c>
      <c r="M4148">
        <v>17</v>
      </c>
      <c r="N4148" t="s">
        <v>47</v>
      </c>
      <c r="O4148">
        <v>5</v>
      </c>
      <c r="P4148" s="4">
        <v>9.9</v>
      </c>
      <c r="Q4148" t="s">
        <v>48</v>
      </c>
      <c r="R4148">
        <v>0</v>
      </c>
      <c r="S4148" t="s">
        <v>44</v>
      </c>
      <c r="T4148">
        <v>0</v>
      </c>
      <c r="U4148">
        <v>1</v>
      </c>
      <c r="V4148" t="s">
        <v>64</v>
      </c>
      <c r="W4148" t="s">
        <v>49</v>
      </c>
      <c r="X4148" s="4">
        <v>6</v>
      </c>
      <c r="Y4148">
        <v>10</v>
      </c>
      <c r="Z4148" s="5">
        <v>167.94</v>
      </c>
    </row>
    <row r="4149" spans="1:26">
      <c r="A4149">
        <v>4148</v>
      </c>
      <c r="B4149">
        <v>1360</v>
      </c>
      <c r="C4149" s="2">
        <v>46190</v>
      </c>
      <c r="D4149" t="s">
        <v>52</v>
      </c>
      <c r="E4149">
        <v>6</v>
      </c>
      <c r="F4149" s="3">
        <v>9.85</v>
      </c>
      <c r="G4149" t="s">
        <v>27</v>
      </c>
      <c r="H4149">
        <v>43</v>
      </c>
      <c r="I4149" t="s">
        <v>34</v>
      </c>
      <c r="J4149" s="4">
        <v>65.5</v>
      </c>
      <c r="K4149" s="4">
        <v>157.80000000000001</v>
      </c>
      <c r="L4149" s="4">
        <v>26</v>
      </c>
      <c r="M4149">
        <v>16</v>
      </c>
      <c r="N4149" t="s">
        <v>47</v>
      </c>
      <c r="O4149">
        <v>5</v>
      </c>
      <c r="P4149" s="4">
        <v>9.9</v>
      </c>
      <c r="Q4149" t="s">
        <v>48</v>
      </c>
      <c r="R4149">
        <v>0</v>
      </c>
      <c r="S4149" t="s">
        <v>44</v>
      </c>
      <c r="T4149">
        <v>0</v>
      </c>
      <c r="U4149">
        <v>1</v>
      </c>
      <c r="V4149" t="s">
        <v>64</v>
      </c>
      <c r="W4149" t="s">
        <v>49</v>
      </c>
      <c r="X4149" s="4">
        <v>10.4</v>
      </c>
      <c r="Y4149">
        <v>5</v>
      </c>
      <c r="Z4149" s="5">
        <v>273.52999999999997</v>
      </c>
    </row>
    <row r="4150" spans="1:26">
      <c r="A4150">
        <v>4149</v>
      </c>
      <c r="B4150">
        <v>1361</v>
      </c>
      <c r="C4150" s="2">
        <v>46235</v>
      </c>
      <c r="D4150" t="s">
        <v>40</v>
      </c>
      <c r="E4150">
        <v>8</v>
      </c>
      <c r="F4150" s="3">
        <v>11.39</v>
      </c>
      <c r="G4150" t="s">
        <v>36</v>
      </c>
      <c r="H4150">
        <v>34</v>
      </c>
      <c r="I4150" t="s">
        <v>34</v>
      </c>
      <c r="J4150" s="4">
        <v>63.8</v>
      </c>
      <c r="K4150" s="4">
        <v>128.80000000000001</v>
      </c>
      <c r="L4150" s="4">
        <v>22.4</v>
      </c>
      <c r="M4150">
        <v>17</v>
      </c>
      <c r="N4150" t="s">
        <v>60</v>
      </c>
      <c r="O4150">
        <v>1</v>
      </c>
      <c r="P4150" s="4">
        <v>1919.3</v>
      </c>
      <c r="Q4150" t="s">
        <v>42</v>
      </c>
      <c r="R4150">
        <v>1</v>
      </c>
      <c r="S4150" t="s">
        <v>44</v>
      </c>
      <c r="T4150">
        <v>0</v>
      </c>
      <c r="U4150">
        <v>0</v>
      </c>
      <c r="V4150" t="s">
        <v>32</v>
      </c>
      <c r="W4150" t="s">
        <v>39</v>
      </c>
      <c r="X4150" s="4">
        <v>7.3</v>
      </c>
      <c r="Y4150">
        <v>3</v>
      </c>
      <c r="Z4150" s="5">
        <v>266.95999999999998</v>
      </c>
    </row>
    <row r="4151" spans="1:26">
      <c r="A4151">
        <v>4150</v>
      </c>
      <c r="B4151">
        <v>1362</v>
      </c>
      <c r="C4151" s="2">
        <v>46329</v>
      </c>
      <c r="D4151" t="s">
        <v>35</v>
      </c>
      <c r="E4151">
        <v>11</v>
      </c>
      <c r="F4151" s="3">
        <v>9.14</v>
      </c>
      <c r="G4151" t="s">
        <v>27</v>
      </c>
      <c r="H4151">
        <v>10</v>
      </c>
      <c r="I4151" t="s">
        <v>34</v>
      </c>
      <c r="J4151" s="4">
        <v>65.099999999999994</v>
      </c>
      <c r="K4151" s="4">
        <v>104.1</v>
      </c>
      <c r="L4151" s="4">
        <v>17.3</v>
      </c>
      <c r="M4151">
        <v>12</v>
      </c>
      <c r="N4151" t="s">
        <v>50</v>
      </c>
      <c r="O4151">
        <v>5</v>
      </c>
      <c r="P4151" s="4">
        <v>363.2</v>
      </c>
      <c r="Q4151" t="s">
        <v>30</v>
      </c>
      <c r="R4151">
        <v>1</v>
      </c>
      <c r="S4151" t="s">
        <v>31</v>
      </c>
      <c r="T4151">
        <v>0</v>
      </c>
      <c r="U4151">
        <v>0</v>
      </c>
      <c r="V4151" t="s">
        <v>32</v>
      </c>
      <c r="W4151" t="s">
        <v>49</v>
      </c>
      <c r="X4151" s="4">
        <v>9</v>
      </c>
      <c r="Y4151">
        <v>13</v>
      </c>
      <c r="Z4151" s="5">
        <v>183.12</v>
      </c>
    </row>
    <row r="4152" spans="1:26">
      <c r="A4152">
        <v>4151</v>
      </c>
      <c r="B4152">
        <v>1362</v>
      </c>
      <c r="C4152" s="2">
        <v>46329</v>
      </c>
      <c r="D4152" t="s">
        <v>35</v>
      </c>
      <c r="E4152">
        <v>11</v>
      </c>
      <c r="F4152" s="3">
        <v>9.39</v>
      </c>
      <c r="G4152" t="s">
        <v>27</v>
      </c>
      <c r="H4152">
        <v>15</v>
      </c>
      <c r="I4152" t="s">
        <v>34</v>
      </c>
      <c r="J4152" s="4">
        <v>70</v>
      </c>
      <c r="K4152" s="4">
        <v>180.6</v>
      </c>
      <c r="L4152" s="4">
        <v>26</v>
      </c>
      <c r="M4152">
        <v>8</v>
      </c>
      <c r="N4152" t="s">
        <v>50</v>
      </c>
      <c r="O4152">
        <v>5</v>
      </c>
      <c r="P4152" s="4">
        <v>363.2</v>
      </c>
      <c r="Q4152" t="s">
        <v>30</v>
      </c>
      <c r="R4152">
        <v>1</v>
      </c>
      <c r="S4152" t="s">
        <v>31</v>
      </c>
      <c r="T4152">
        <v>0</v>
      </c>
      <c r="U4152">
        <v>0</v>
      </c>
      <c r="V4152" t="s">
        <v>32</v>
      </c>
      <c r="W4152" t="s">
        <v>49</v>
      </c>
      <c r="X4152" s="4">
        <v>10.4</v>
      </c>
      <c r="Y4152">
        <v>2</v>
      </c>
      <c r="Z4152" s="5">
        <v>209.7</v>
      </c>
    </row>
    <row r="4153" spans="1:26">
      <c r="A4153">
        <v>4152</v>
      </c>
      <c r="B4153">
        <v>1362</v>
      </c>
      <c r="C4153" s="2">
        <v>46329</v>
      </c>
      <c r="D4153" t="s">
        <v>35</v>
      </c>
      <c r="E4153">
        <v>11</v>
      </c>
      <c r="F4153" s="3">
        <v>9.31</v>
      </c>
      <c r="G4153" t="s">
        <v>27</v>
      </c>
      <c r="H4153">
        <v>29</v>
      </c>
      <c r="I4153" t="s">
        <v>28</v>
      </c>
      <c r="J4153" s="4">
        <v>68.2</v>
      </c>
      <c r="K4153" s="4">
        <v>201.9</v>
      </c>
      <c r="L4153" s="4">
        <v>30.6</v>
      </c>
      <c r="M4153">
        <v>11</v>
      </c>
      <c r="N4153" t="s">
        <v>50</v>
      </c>
      <c r="O4153">
        <v>5</v>
      </c>
      <c r="P4153" s="4">
        <v>363.2</v>
      </c>
      <c r="Q4153" t="s">
        <v>30</v>
      </c>
      <c r="R4153">
        <v>1</v>
      </c>
      <c r="S4153" t="s">
        <v>31</v>
      </c>
      <c r="T4153">
        <v>0</v>
      </c>
      <c r="U4153">
        <v>0</v>
      </c>
      <c r="V4153" t="s">
        <v>32</v>
      </c>
      <c r="W4153" t="s">
        <v>49</v>
      </c>
      <c r="X4153" s="4">
        <v>11</v>
      </c>
      <c r="Y4153">
        <v>10</v>
      </c>
      <c r="Z4153" s="5">
        <v>258.19</v>
      </c>
    </row>
    <row r="4154" spans="1:26">
      <c r="A4154">
        <v>4153</v>
      </c>
      <c r="B4154">
        <v>1362</v>
      </c>
      <c r="C4154" s="2">
        <v>46329</v>
      </c>
      <c r="D4154" t="s">
        <v>35</v>
      </c>
      <c r="E4154">
        <v>11</v>
      </c>
      <c r="F4154" s="3">
        <v>9.25</v>
      </c>
      <c r="G4154" t="s">
        <v>27</v>
      </c>
      <c r="H4154">
        <v>18</v>
      </c>
      <c r="I4154" t="s">
        <v>34</v>
      </c>
      <c r="J4154" s="4">
        <v>61.9</v>
      </c>
      <c r="K4154" s="4">
        <v>168.6</v>
      </c>
      <c r="L4154" s="4">
        <v>31</v>
      </c>
      <c r="M4154">
        <v>11</v>
      </c>
      <c r="N4154" t="s">
        <v>50</v>
      </c>
      <c r="O4154">
        <v>5</v>
      </c>
      <c r="P4154" s="4">
        <v>363.2</v>
      </c>
      <c r="Q4154" t="s">
        <v>30</v>
      </c>
      <c r="R4154">
        <v>1</v>
      </c>
      <c r="S4154" t="s">
        <v>31</v>
      </c>
      <c r="T4154">
        <v>0</v>
      </c>
      <c r="U4154">
        <v>0</v>
      </c>
      <c r="V4154" t="s">
        <v>32</v>
      </c>
      <c r="W4154" t="s">
        <v>49</v>
      </c>
      <c r="X4154" s="4">
        <v>7.1</v>
      </c>
      <c r="Y4154">
        <v>6</v>
      </c>
      <c r="Z4154" s="5">
        <v>179.24</v>
      </c>
    </row>
    <row r="4155" spans="1:26">
      <c r="A4155">
        <v>4154</v>
      </c>
      <c r="B4155">
        <v>1362</v>
      </c>
      <c r="C4155" s="2">
        <v>46329</v>
      </c>
      <c r="D4155" t="s">
        <v>35</v>
      </c>
      <c r="E4155">
        <v>11</v>
      </c>
      <c r="F4155" s="3">
        <v>9.23</v>
      </c>
      <c r="G4155" t="s">
        <v>27</v>
      </c>
      <c r="H4155">
        <v>73</v>
      </c>
      <c r="I4155" t="s">
        <v>28</v>
      </c>
      <c r="J4155" s="4">
        <v>74.3</v>
      </c>
      <c r="K4155" s="4">
        <v>161.9</v>
      </c>
      <c r="L4155" s="4">
        <v>20.5</v>
      </c>
      <c r="M4155">
        <v>14</v>
      </c>
      <c r="N4155" t="s">
        <v>50</v>
      </c>
      <c r="O4155">
        <v>5</v>
      </c>
      <c r="P4155" s="4">
        <v>363.2</v>
      </c>
      <c r="Q4155" t="s">
        <v>30</v>
      </c>
      <c r="R4155">
        <v>1</v>
      </c>
      <c r="S4155" t="s">
        <v>31</v>
      </c>
      <c r="T4155">
        <v>0</v>
      </c>
      <c r="U4155">
        <v>0</v>
      </c>
      <c r="V4155" t="s">
        <v>32</v>
      </c>
      <c r="W4155" t="s">
        <v>49</v>
      </c>
      <c r="X4155" s="4">
        <v>7.6</v>
      </c>
      <c r="Y4155">
        <v>7</v>
      </c>
      <c r="Z4155" s="5">
        <v>178.47</v>
      </c>
    </row>
    <row r="4156" spans="1:26">
      <c r="A4156">
        <v>4155</v>
      </c>
      <c r="B4156">
        <v>1363</v>
      </c>
      <c r="C4156" s="2">
        <v>46374</v>
      </c>
      <c r="D4156" t="s">
        <v>26</v>
      </c>
      <c r="E4156">
        <v>12</v>
      </c>
      <c r="F4156" s="3">
        <v>9.5399999999999991</v>
      </c>
      <c r="G4156" t="s">
        <v>27</v>
      </c>
      <c r="H4156">
        <v>41</v>
      </c>
      <c r="I4156" t="s">
        <v>28</v>
      </c>
      <c r="J4156" s="4">
        <v>72.900000000000006</v>
      </c>
      <c r="K4156" s="4">
        <v>199.2</v>
      </c>
      <c r="L4156" s="4">
        <v>26.3</v>
      </c>
      <c r="M4156">
        <v>17</v>
      </c>
      <c r="N4156" t="s">
        <v>65</v>
      </c>
      <c r="O4156">
        <v>6</v>
      </c>
      <c r="P4156" s="4">
        <v>2416.9</v>
      </c>
      <c r="Q4156" t="s">
        <v>42</v>
      </c>
      <c r="R4156">
        <v>0</v>
      </c>
      <c r="S4156" t="s">
        <v>31</v>
      </c>
      <c r="T4156">
        <v>1</v>
      </c>
      <c r="U4156">
        <v>0</v>
      </c>
      <c r="V4156" t="s">
        <v>32</v>
      </c>
      <c r="W4156" t="s">
        <v>43</v>
      </c>
      <c r="X4156" s="4">
        <v>5.9</v>
      </c>
      <c r="Y4156">
        <v>6</v>
      </c>
      <c r="Z4156" s="5">
        <v>355.26</v>
      </c>
    </row>
    <row r="4157" spans="1:26">
      <c r="A4157">
        <v>4156</v>
      </c>
      <c r="B4157">
        <v>1363</v>
      </c>
      <c r="C4157" s="2">
        <v>46374</v>
      </c>
      <c r="D4157" t="s">
        <v>26</v>
      </c>
      <c r="E4157">
        <v>12</v>
      </c>
      <c r="F4157" s="3">
        <v>9.67</v>
      </c>
      <c r="G4157" t="s">
        <v>27</v>
      </c>
      <c r="H4157">
        <v>51</v>
      </c>
      <c r="I4157" t="s">
        <v>28</v>
      </c>
      <c r="J4157" s="4">
        <v>72.7</v>
      </c>
      <c r="K4157" s="4">
        <v>209.6</v>
      </c>
      <c r="L4157" s="4">
        <v>27.9</v>
      </c>
      <c r="M4157">
        <v>19</v>
      </c>
      <c r="N4157" t="s">
        <v>65</v>
      </c>
      <c r="O4157">
        <v>6</v>
      </c>
      <c r="P4157" s="4">
        <v>2416.9</v>
      </c>
      <c r="Q4157" t="s">
        <v>42</v>
      </c>
      <c r="R4157">
        <v>0</v>
      </c>
      <c r="S4157" t="s">
        <v>31</v>
      </c>
      <c r="T4157">
        <v>1</v>
      </c>
      <c r="U4157">
        <v>0</v>
      </c>
      <c r="V4157" t="s">
        <v>32</v>
      </c>
      <c r="W4157" t="s">
        <v>43</v>
      </c>
      <c r="X4157" s="4">
        <v>7.5</v>
      </c>
      <c r="Y4157">
        <v>11</v>
      </c>
      <c r="Z4157" s="5">
        <v>422.57</v>
      </c>
    </row>
    <row r="4158" spans="1:26">
      <c r="A4158">
        <v>4157</v>
      </c>
      <c r="B4158">
        <v>1363</v>
      </c>
      <c r="C4158" s="2">
        <v>46374</v>
      </c>
      <c r="D4158" t="s">
        <v>26</v>
      </c>
      <c r="E4158">
        <v>12</v>
      </c>
      <c r="F4158" s="3">
        <v>9.56</v>
      </c>
      <c r="G4158" t="s">
        <v>27</v>
      </c>
      <c r="H4158">
        <v>35</v>
      </c>
      <c r="I4158" t="s">
        <v>28</v>
      </c>
      <c r="J4158" s="4">
        <v>69.2</v>
      </c>
      <c r="K4158" s="4">
        <v>152.9</v>
      </c>
      <c r="L4158" s="4">
        <v>22.4</v>
      </c>
      <c r="M4158">
        <v>14</v>
      </c>
      <c r="N4158" t="s">
        <v>65</v>
      </c>
      <c r="O4158">
        <v>6</v>
      </c>
      <c r="P4158" s="4">
        <v>2416.9</v>
      </c>
      <c r="Q4158" t="s">
        <v>42</v>
      </c>
      <c r="R4158">
        <v>0</v>
      </c>
      <c r="S4158" t="s">
        <v>31</v>
      </c>
      <c r="T4158">
        <v>1</v>
      </c>
      <c r="U4158">
        <v>0</v>
      </c>
      <c r="V4158" t="s">
        <v>32</v>
      </c>
      <c r="W4158" t="s">
        <v>43</v>
      </c>
      <c r="X4158" s="4">
        <v>10.4</v>
      </c>
      <c r="Y4158">
        <v>13</v>
      </c>
      <c r="Z4158" s="5">
        <v>293.8</v>
      </c>
    </row>
    <row r="4159" spans="1:26">
      <c r="A4159">
        <v>4158</v>
      </c>
      <c r="B4159">
        <v>1363</v>
      </c>
      <c r="C4159" s="2">
        <v>46374</v>
      </c>
      <c r="D4159" t="s">
        <v>26</v>
      </c>
      <c r="E4159">
        <v>12</v>
      </c>
      <c r="F4159" s="3">
        <v>9.2799999999999994</v>
      </c>
      <c r="G4159" t="s">
        <v>27</v>
      </c>
      <c r="H4159">
        <v>61</v>
      </c>
      <c r="I4159" t="s">
        <v>34</v>
      </c>
      <c r="J4159" s="4">
        <v>65.7</v>
      </c>
      <c r="K4159" s="4">
        <v>162.30000000000001</v>
      </c>
      <c r="L4159" s="4">
        <v>26.5</v>
      </c>
      <c r="M4159">
        <v>13</v>
      </c>
      <c r="N4159" t="s">
        <v>65</v>
      </c>
      <c r="O4159">
        <v>6</v>
      </c>
      <c r="P4159" s="4">
        <v>2416.9</v>
      </c>
      <c r="Q4159" t="s">
        <v>42</v>
      </c>
      <c r="R4159">
        <v>0</v>
      </c>
      <c r="S4159" t="s">
        <v>31</v>
      </c>
      <c r="T4159">
        <v>1</v>
      </c>
      <c r="U4159">
        <v>0</v>
      </c>
      <c r="V4159" t="s">
        <v>32</v>
      </c>
      <c r="W4159" t="s">
        <v>43</v>
      </c>
      <c r="X4159" s="4">
        <v>8</v>
      </c>
      <c r="Y4159">
        <v>7</v>
      </c>
      <c r="Z4159" s="5">
        <v>357.01</v>
      </c>
    </row>
    <row r="4160" spans="1:26">
      <c r="A4160">
        <v>4159</v>
      </c>
      <c r="B4160">
        <v>1363</v>
      </c>
      <c r="C4160" s="2">
        <v>46374</v>
      </c>
      <c r="D4160" t="s">
        <v>26</v>
      </c>
      <c r="E4160">
        <v>12</v>
      </c>
      <c r="F4160" s="3">
        <v>9.52</v>
      </c>
      <c r="G4160" t="s">
        <v>27</v>
      </c>
      <c r="H4160">
        <v>69</v>
      </c>
      <c r="I4160" t="s">
        <v>28</v>
      </c>
      <c r="J4160" s="4">
        <v>70.599999999999994</v>
      </c>
      <c r="K4160" s="4">
        <v>226.1</v>
      </c>
      <c r="L4160" s="4">
        <v>32</v>
      </c>
      <c r="M4160">
        <v>16</v>
      </c>
      <c r="N4160" t="s">
        <v>65</v>
      </c>
      <c r="O4160">
        <v>6</v>
      </c>
      <c r="P4160" s="4">
        <v>2416.9</v>
      </c>
      <c r="Q4160" t="s">
        <v>42</v>
      </c>
      <c r="R4160">
        <v>0</v>
      </c>
      <c r="S4160" t="s">
        <v>31</v>
      </c>
      <c r="T4160">
        <v>1</v>
      </c>
      <c r="U4160">
        <v>0</v>
      </c>
      <c r="V4160" t="s">
        <v>32</v>
      </c>
      <c r="W4160" t="s">
        <v>43</v>
      </c>
      <c r="X4160" s="4">
        <v>5.0999999999999996</v>
      </c>
      <c r="Y4160">
        <v>8</v>
      </c>
      <c r="Z4160" s="5">
        <v>106.38</v>
      </c>
    </row>
    <row r="4161" spans="1:26">
      <c r="A4161">
        <v>4160</v>
      </c>
      <c r="B4161">
        <v>1363</v>
      </c>
      <c r="C4161" s="2">
        <v>46374</v>
      </c>
      <c r="D4161" t="s">
        <v>26</v>
      </c>
      <c r="E4161">
        <v>12</v>
      </c>
      <c r="F4161" s="3">
        <v>9.52</v>
      </c>
      <c r="G4161" t="s">
        <v>27</v>
      </c>
      <c r="H4161">
        <v>11</v>
      </c>
      <c r="I4161" t="s">
        <v>34</v>
      </c>
      <c r="J4161" s="4">
        <v>61.2</v>
      </c>
      <c r="K4161" s="4">
        <v>99.1</v>
      </c>
      <c r="L4161" s="4">
        <v>18.5</v>
      </c>
      <c r="M4161">
        <v>13</v>
      </c>
      <c r="N4161" t="s">
        <v>65</v>
      </c>
      <c r="O4161">
        <v>6</v>
      </c>
      <c r="P4161" s="4">
        <v>2416.9</v>
      </c>
      <c r="Q4161" t="s">
        <v>42</v>
      </c>
      <c r="R4161">
        <v>0</v>
      </c>
      <c r="S4161" t="s">
        <v>31</v>
      </c>
      <c r="T4161">
        <v>1</v>
      </c>
      <c r="U4161">
        <v>0</v>
      </c>
      <c r="V4161" t="s">
        <v>32</v>
      </c>
      <c r="W4161" t="s">
        <v>43</v>
      </c>
      <c r="X4161" s="4">
        <v>9.1</v>
      </c>
      <c r="Y4161">
        <v>14</v>
      </c>
      <c r="Z4161" s="5">
        <v>122.85</v>
      </c>
    </row>
    <row r="4162" spans="1:26">
      <c r="A4162">
        <v>4161</v>
      </c>
      <c r="B4162">
        <v>1364</v>
      </c>
      <c r="C4162" s="2">
        <v>46206</v>
      </c>
      <c r="D4162" t="s">
        <v>26</v>
      </c>
      <c r="E4162">
        <v>7</v>
      </c>
      <c r="F4162" s="3">
        <v>10.53</v>
      </c>
      <c r="G4162" t="s">
        <v>27</v>
      </c>
      <c r="H4162">
        <v>22</v>
      </c>
      <c r="I4162" t="s">
        <v>28</v>
      </c>
      <c r="J4162" s="4">
        <v>71.5</v>
      </c>
      <c r="K4162" s="4">
        <v>184.7</v>
      </c>
      <c r="L4162" s="4">
        <v>25.6</v>
      </c>
      <c r="M4162">
        <v>15</v>
      </c>
      <c r="N4162" t="s">
        <v>65</v>
      </c>
      <c r="O4162">
        <v>3</v>
      </c>
      <c r="P4162" s="4">
        <v>1738.5</v>
      </c>
      <c r="Q4162" t="s">
        <v>42</v>
      </c>
      <c r="R4162">
        <v>1</v>
      </c>
      <c r="S4162" t="s">
        <v>44</v>
      </c>
      <c r="T4162">
        <v>1</v>
      </c>
      <c r="U4162">
        <v>0</v>
      </c>
      <c r="V4162" t="s">
        <v>32</v>
      </c>
      <c r="W4162" t="s">
        <v>49</v>
      </c>
      <c r="X4162" s="4">
        <v>11.9</v>
      </c>
      <c r="Y4162">
        <v>15</v>
      </c>
      <c r="Z4162" s="5">
        <v>274.70999999999998</v>
      </c>
    </row>
    <row r="4163" spans="1:26">
      <c r="A4163">
        <v>4162</v>
      </c>
      <c r="B4163">
        <v>1364</v>
      </c>
      <c r="C4163" s="2">
        <v>46206</v>
      </c>
      <c r="D4163" t="s">
        <v>26</v>
      </c>
      <c r="E4163">
        <v>7</v>
      </c>
      <c r="F4163" s="3">
        <v>10.69</v>
      </c>
      <c r="G4163" t="s">
        <v>27</v>
      </c>
      <c r="H4163">
        <v>60</v>
      </c>
      <c r="I4163" t="s">
        <v>34</v>
      </c>
      <c r="J4163" s="4">
        <v>61.1</v>
      </c>
      <c r="K4163" s="4">
        <v>143.1</v>
      </c>
      <c r="L4163" s="4">
        <v>26.8</v>
      </c>
      <c r="M4163">
        <v>14</v>
      </c>
      <c r="N4163" t="s">
        <v>65</v>
      </c>
      <c r="O4163">
        <v>3</v>
      </c>
      <c r="P4163" s="4">
        <v>1738.5</v>
      </c>
      <c r="Q4163" t="s">
        <v>42</v>
      </c>
      <c r="R4163">
        <v>1</v>
      </c>
      <c r="S4163" t="s">
        <v>44</v>
      </c>
      <c r="T4163">
        <v>1</v>
      </c>
      <c r="U4163">
        <v>0</v>
      </c>
      <c r="V4163" t="s">
        <v>32</v>
      </c>
      <c r="W4163" t="s">
        <v>49</v>
      </c>
      <c r="X4163" s="4">
        <v>8.5</v>
      </c>
      <c r="Y4163">
        <v>13</v>
      </c>
      <c r="Z4163" s="5">
        <v>268.64999999999998</v>
      </c>
    </row>
    <row r="4164" spans="1:26">
      <c r="A4164">
        <v>4163</v>
      </c>
      <c r="B4164">
        <v>1364</v>
      </c>
      <c r="C4164" s="2">
        <v>46206</v>
      </c>
      <c r="D4164" t="s">
        <v>26</v>
      </c>
      <c r="E4164">
        <v>7</v>
      </c>
      <c r="F4164" s="3">
        <v>10.35</v>
      </c>
      <c r="G4164" t="s">
        <v>27</v>
      </c>
      <c r="H4164">
        <v>9</v>
      </c>
      <c r="I4164" t="s">
        <v>28</v>
      </c>
      <c r="J4164" s="4">
        <v>58.3</v>
      </c>
      <c r="K4164" s="4">
        <v>120.6</v>
      </c>
      <c r="L4164" s="4">
        <v>24.7</v>
      </c>
      <c r="M4164">
        <v>14</v>
      </c>
      <c r="N4164" t="s">
        <v>65</v>
      </c>
      <c r="O4164">
        <v>3</v>
      </c>
      <c r="P4164" s="4">
        <v>1738.5</v>
      </c>
      <c r="Q4164" t="s">
        <v>42</v>
      </c>
      <c r="R4164">
        <v>1</v>
      </c>
      <c r="S4164" t="s">
        <v>44</v>
      </c>
      <c r="T4164">
        <v>1</v>
      </c>
      <c r="U4164">
        <v>0</v>
      </c>
      <c r="V4164" t="s">
        <v>32</v>
      </c>
      <c r="W4164" t="s">
        <v>49</v>
      </c>
      <c r="X4164" s="4">
        <v>7</v>
      </c>
      <c r="Y4164">
        <v>8</v>
      </c>
      <c r="Z4164" s="5">
        <v>206.61</v>
      </c>
    </row>
    <row r="4165" spans="1:26">
      <c r="A4165">
        <v>4164</v>
      </c>
      <c r="B4165">
        <v>1365</v>
      </c>
      <c r="C4165" s="2">
        <v>46138</v>
      </c>
      <c r="D4165" t="s">
        <v>58</v>
      </c>
      <c r="E4165">
        <v>4</v>
      </c>
      <c r="F4165" s="3">
        <v>10.48</v>
      </c>
      <c r="G4165" t="s">
        <v>27</v>
      </c>
      <c r="H4165">
        <v>18</v>
      </c>
      <c r="I4165" t="s">
        <v>28</v>
      </c>
      <c r="J4165" s="4">
        <v>66</v>
      </c>
      <c r="K4165" s="4">
        <v>175</v>
      </c>
      <c r="L4165" s="4">
        <v>28.2</v>
      </c>
      <c r="M4165">
        <v>13</v>
      </c>
      <c r="N4165" t="s">
        <v>47</v>
      </c>
      <c r="O4165">
        <v>2</v>
      </c>
      <c r="P4165" s="4">
        <v>45.7</v>
      </c>
      <c r="Q4165" t="s">
        <v>42</v>
      </c>
      <c r="R4165">
        <v>0</v>
      </c>
      <c r="S4165" t="s">
        <v>44</v>
      </c>
      <c r="T4165">
        <v>0</v>
      </c>
      <c r="U4165">
        <v>0</v>
      </c>
      <c r="V4165" t="s">
        <v>64</v>
      </c>
      <c r="W4165" t="s">
        <v>39</v>
      </c>
      <c r="X4165" s="4">
        <v>8.1999999999999993</v>
      </c>
      <c r="Y4165">
        <v>11</v>
      </c>
      <c r="Z4165" s="5">
        <v>149.15</v>
      </c>
    </row>
    <row r="4166" spans="1:26">
      <c r="A4166">
        <v>4165</v>
      </c>
      <c r="B4166">
        <v>1365</v>
      </c>
      <c r="C4166" s="2">
        <v>46138</v>
      </c>
      <c r="D4166" t="s">
        <v>58</v>
      </c>
      <c r="E4166">
        <v>4</v>
      </c>
      <c r="F4166" s="3">
        <v>10.58</v>
      </c>
      <c r="G4166" t="s">
        <v>27</v>
      </c>
      <c r="H4166">
        <v>35</v>
      </c>
      <c r="I4166" t="s">
        <v>28</v>
      </c>
      <c r="J4166" s="4">
        <v>69.900000000000006</v>
      </c>
      <c r="K4166" s="4">
        <v>187.6</v>
      </c>
      <c r="L4166" s="4">
        <v>27.3</v>
      </c>
      <c r="M4166">
        <v>14</v>
      </c>
      <c r="N4166" t="s">
        <v>47</v>
      </c>
      <c r="O4166">
        <v>2</v>
      </c>
      <c r="P4166" s="4">
        <v>45.7</v>
      </c>
      <c r="Q4166" t="s">
        <v>42</v>
      </c>
      <c r="R4166">
        <v>0</v>
      </c>
      <c r="S4166" t="s">
        <v>44</v>
      </c>
      <c r="T4166">
        <v>0</v>
      </c>
      <c r="U4166">
        <v>0</v>
      </c>
      <c r="V4166" t="s">
        <v>64</v>
      </c>
      <c r="W4166" t="s">
        <v>39</v>
      </c>
      <c r="X4166" s="4">
        <v>7.5</v>
      </c>
      <c r="Y4166">
        <v>7</v>
      </c>
      <c r="Z4166" s="5">
        <v>109.84</v>
      </c>
    </row>
    <row r="4167" spans="1:26">
      <c r="A4167">
        <v>4166</v>
      </c>
      <c r="B4167">
        <v>1366</v>
      </c>
      <c r="C4167" s="2">
        <v>46067</v>
      </c>
      <c r="D4167" t="s">
        <v>40</v>
      </c>
      <c r="E4167">
        <v>2</v>
      </c>
      <c r="F4167" s="3">
        <v>12.33</v>
      </c>
      <c r="G4167" t="s">
        <v>36</v>
      </c>
      <c r="H4167">
        <v>63</v>
      </c>
      <c r="I4167" t="s">
        <v>28</v>
      </c>
      <c r="J4167" s="4">
        <v>68.2</v>
      </c>
      <c r="K4167" s="4">
        <v>170.2</v>
      </c>
      <c r="L4167" s="4">
        <v>26</v>
      </c>
      <c r="M4167">
        <v>16</v>
      </c>
      <c r="N4167" t="s">
        <v>47</v>
      </c>
      <c r="O4167">
        <v>3</v>
      </c>
      <c r="P4167" s="4">
        <v>179.9</v>
      </c>
      <c r="Q4167" t="s">
        <v>42</v>
      </c>
      <c r="R4167">
        <v>0</v>
      </c>
      <c r="S4167" t="s">
        <v>44</v>
      </c>
      <c r="T4167">
        <v>1</v>
      </c>
      <c r="U4167">
        <v>0</v>
      </c>
      <c r="V4167" t="s">
        <v>32</v>
      </c>
      <c r="W4167" t="s">
        <v>49</v>
      </c>
      <c r="X4167" s="4">
        <v>9</v>
      </c>
      <c r="Y4167">
        <v>15</v>
      </c>
      <c r="Z4167" s="5">
        <v>192.99</v>
      </c>
    </row>
    <row r="4168" spans="1:26">
      <c r="A4168">
        <v>4167</v>
      </c>
      <c r="B4168">
        <v>1366</v>
      </c>
      <c r="C4168" s="2">
        <v>46067</v>
      </c>
      <c r="D4168" t="s">
        <v>40</v>
      </c>
      <c r="E4168">
        <v>2</v>
      </c>
      <c r="F4168" s="3">
        <v>12.53</v>
      </c>
      <c r="G4168" t="s">
        <v>36</v>
      </c>
      <c r="H4168">
        <v>63</v>
      </c>
      <c r="I4168" t="s">
        <v>28</v>
      </c>
      <c r="J4168" s="4">
        <v>72.099999999999994</v>
      </c>
      <c r="K4168" s="4">
        <v>220.9</v>
      </c>
      <c r="L4168" s="4">
        <v>29.8</v>
      </c>
      <c r="M4168">
        <v>16</v>
      </c>
      <c r="N4168" t="s">
        <v>47</v>
      </c>
      <c r="O4168">
        <v>3</v>
      </c>
      <c r="P4168" s="4">
        <v>179.9</v>
      </c>
      <c r="Q4168" t="s">
        <v>42</v>
      </c>
      <c r="R4168">
        <v>0</v>
      </c>
      <c r="S4168" t="s">
        <v>44</v>
      </c>
      <c r="T4168">
        <v>1</v>
      </c>
      <c r="U4168">
        <v>0</v>
      </c>
      <c r="V4168" t="s">
        <v>32</v>
      </c>
      <c r="W4168" t="s">
        <v>49</v>
      </c>
      <c r="X4168" s="4">
        <v>7.9</v>
      </c>
      <c r="Y4168">
        <v>5</v>
      </c>
      <c r="Z4168" s="5">
        <v>104.49</v>
      </c>
    </row>
    <row r="4169" spans="1:26">
      <c r="A4169">
        <v>4168</v>
      </c>
      <c r="B4169">
        <v>1366</v>
      </c>
      <c r="C4169" s="2">
        <v>46067</v>
      </c>
      <c r="D4169" t="s">
        <v>40</v>
      </c>
      <c r="E4169">
        <v>2</v>
      </c>
      <c r="F4169" s="3">
        <v>12.45</v>
      </c>
      <c r="G4169" t="s">
        <v>36</v>
      </c>
      <c r="H4169">
        <v>64</v>
      </c>
      <c r="I4169" t="s">
        <v>34</v>
      </c>
      <c r="J4169" s="4">
        <v>62.2</v>
      </c>
      <c r="K4169" s="4">
        <v>159.5</v>
      </c>
      <c r="L4169" s="4">
        <v>28.8</v>
      </c>
      <c r="M4169">
        <v>14</v>
      </c>
      <c r="N4169" t="s">
        <v>47</v>
      </c>
      <c r="O4169">
        <v>3</v>
      </c>
      <c r="P4169" s="4">
        <v>179.9</v>
      </c>
      <c r="Q4169" t="s">
        <v>42</v>
      </c>
      <c r="R4169">
        <v>0</v>
      </c>
      <c r="S4169" t="s">
        <v>44</v>
      </c>
      <c r="T4169">
        <v>1</v>
      </c>
      <c r="U4169">
        <v>0</v>
      </c>
      <c r="V4169" t="s">
        <v>32</v>
      </c>
      <c r="W4169" t="s">
        <v>49</v>
      </c>
      <c r="X4169" s="4">
        <v>7</v>
      </c>
      <c r="Y4169">
        <v>6</v>
      </c>
      <c r="Z4169" s="5">
        <v>213.03</v>
      </c>
    </row>
    <row r="4170" spans="1:26">
      <c r="A4170">
        <v>4169</v>
      </c>
      <c r="B4170">
        <v>1367</v>
      </c>
      <c r="C4170" s="2">
        <v>46173</v>
      </c>
      <c r="D4170" t="s">
        <v>58</v>
      </c>
      <c r="E4170">
        <v>5</v>
      </c>
      <c r="F4170" s="3">
        <v>11.62</v>
      </c>
      <c r="G4170" t="s">
        <v>36</v>
      </c>
      <c r="H4170">
        <v>66</v>
      </c>
      <c r="I4170" t="s">
        <v>28</v>
      </c>
      <c r="J4170" s="4">
        <v>64.900000000000006</v>
      </c>
      <c r="K4170" s="4">
        <v>148.19999999999999</v>
      </c>
      <c r="L4170" s="4">
        <v>24.9</v>
      </c>
      <c r="M4170">
        <v>22</v>
      </c>
      <c r="N4170" t="s">
        <v>50</v>
      </c>
      <c r="O4170">
        <v>4</v>
      </c>
      <c r="P4170" s="4">
        <v>356.2</v>
      </c>
      <c r="Q4170" t="s">
        <v>48</v>
      </c>
      <c r="R4170">
        <v>1</v>
      </c>
      <c r="S4170" t="s">
        <v>44</v>
      </c>
      <c r="T4170">
        <v>0</v>
      </c>
      <c r="U4170">
        <v>1</v>
      </c>
      <c r="V4170" t="s">
        <v>64</v>
      </c>
      <c r="W4170" t="s">
        <v>33</v>
      </c>
      <c r="X4170" s="4">
        <v>8.3000000000000007</v>
      </c>
      <c r="Y4170">
        <v>5</v>
      </c>
      <c r="Z4170" s="5">
        <v>423.21</v>
      </c>
    </row>
    <row r="4171" spans="1:26">
      <c r="A4171">
        <v>4170</v>
      </c>
      <c r="B4171">
        <v>1367</v>
      </c>
      <c r="C4171" s="2">
        <v>46173</v>
      </c>
      <c r="D4171" t="s">
        <v>58</v>
      </c>
      <c r="E4171">
        <v>5</v>
      </c>
      <c r="F4171" s="3">
        <v>11.2</v>
      </c>
      <c r="G4171" t="s">
        <v>36</v>
      </c>
      <c r="H4171">
        <v>46</v>
      </c>
      <c r="I4171" t="s">
        <v>28</v>
      </c>
      <c r="J4171" s="4">
        <v>66.400000000000006</v>
      </c>
      <c r="K4171" s="4">
        <v>110.4</v>
      </c>
      <c r="L4171" s="4">
        <v>17.5</v>
      </c>
      <c r="M4171">
        <v>20</v>
      </c>
      <c r="N4171" t="s">
        <v>50</v>
      </c>
      <c r="O4171">
        <v>4</v>
      </c>
      <c r="P4171" s="4">
        <v>356.2</v>
      </c>
      <c r="Q4171" t="s">
        <v>48</v>
      </c>
      <c r="R4171">
        <v>1</v>
      </c>
      <c r="S4171" t="s">
        <v>44</v>
      </c>
      <c r="T4171">
        <v>0</v>
      </c>
      <c r="U4171">
        <v>1</v>
      </c>
      <c r="V4171" t="s">
        <v>64</v>
      </c>
      <c r="W4171" t="s">
        <v>33</v>
      </c>
      <c r="X4171" s="4">
        <v>9.9</v>
      </c>
      <c r="Y4171">
        <v>11</v>
      </c>
      <c r="Z4171" s="5">
        <v>272.66000000000003</v>
      </c>
    </row>
    <row r="4172" spans="1:26">
      <c r="A4172">
        <v>4171</v>
      </c>
      <c r="B4172">
        <v>1367</v>
      </c>
      <c r="C4172" s="2">
        <v>46173</v>
      </c>
      <c r="D4172" t="s">
        <v>58</v>
      </c>
      <c r="E4172">
        <v>5</v>
      </c>
      <c r="F4172" s="3">
        <v>11.19</v>
      </c>
      <c r="G4172" t="s">
        <v>36</v>
      </c>
      <c r="H4172">
        <v>49</v>
      </c>
      <c r="I4172" t="s">
        <v>34</v>
      </c>
      <c r="J4172" s="4">
        <v>61.2</v>
      </c>
      <c r="K4172" s="4">
        <v>104</v>
      </c>
      <c r="L4172" s="4">
        <v>19.2</v>
      </c>
      <c r="M4172">
        <v>15</v>
      </c>
      <c r="N4172" t="s">
        <v>50</v>
      </c>
      <c r="O4172">
        <v>4</v>
      </c>
      <c r="P4172" s="4">
        <v>356.2</v>
      </c>
      <c r="Q4172" t="s">
        <v>48</v>
      </c>
      <c r="R4172">
        <v>1</v>
      </c>
      <c r="S4172" t="s">
        <v>44</v>
      </c>
      <c r="T4172">
        <v>0</v>
      </c>
      <c r="U4172">
        <v>1</v>
      </c>
      <c r="V4172" t="s">
        <v>64</v>
      </c>
      <c r="W4172" t="s">
        <v>33</v>
      </c>
      <c r="X4172" s="4">
        <v>8.6999999999999993</v>
      </c>
      <c r="Y4172">
        <v>4</v>
      </c>
      <c r="Z4172" s="5">
        <v>304.73</v>
      </c>
    </row>
    <row r="4173" spans="1:26">
      <c r="A4173">
        <v>4172</v>
      </c>
      <c r="B4173">
        <v>1367</v>
      </c>
      <c r="C4173" s="2">
        <v>46173</v>
      </c>
      <c r="D4173" t="s">
        <v>58</v>
      </c>
      <c r="E4173">
        <v>5</v>
      </c>
      <c r="F4173" s="3">
        <v>11.54</v>
      </c>
      <c r="G4173" t="s">
        <v>36</v>
      </c>
      <c r="H4173">
        <v>3</v>
      </c>
      <c r="I4173" t="s">
        <v>34</v>
      </c>
      <c r="J4173" s="4">
        <v>51.3</v>
      </c>
      <c r="K4173" s="4">
        <v>63.1</v>
      </c>
      <c r="L4173" s="4">
        <v>16.8</v>
      </c>
      <c r="M4173">
        <v>14</v>
      </c>
      <c r="N4173" t="s">
        <v>50</v>
      </c>
      <c r="O4173">
        <v>4</v>
      </c>
      <c r="P4173" s="4">
        <v>356.2</v>
      </c>
      <c r="Q4173" t="s">
        <v>48</v>
      </c>
      <c r="R4173">
        <v>1</v>
      </c>
      <c r="S4173" t="s">
        <v>44</v>
      </c>
      <c r="T4173">
        <v>0</v>
      </c>
      <c r="U4173">
        <v>1</v>
      </c>
      <c r="V4173" t="s">
        <v>64</v>
      </c>
      <c r="W4173" t="s">
        <v>33</v>
      </c>
      <c r="X4173" s="4">
        <v>8.4</v>
      </c>
      <c r="Y4173">
        <v>6</v>
      </c>
      <c r="Z4173" s="5">
        <v>303.61</v>
      </c>
    </row>
    <row r="4174" spans="1:26">
      <c r="A4174">
        <v>4173</v>
      </c>
      <c r="B4174">
        <v>1368</v>
      </c>
      <c r="C4174" s="2">
        <v>46219</v>
      </c>
      <c r="D4174" t="s">
        <v>55</v>
      </c>
      <c r="E4174">
        <v>7</v>
      </c>
      <c r="F4174" s="3">
        <v>9.65</v>
      </c>
      <c r="G4174" t="s">
        <v>27</v>
      </c>
      <c r="H4174">
        <v>57</v>
      </c>
      <c r="I4174" t="s">
        <v>28</v>
      </c>
      <c r="J4174" s="4">
        <v>72.599999999999994</v>
      </c>
      <c r="K4174" s="4">
        <v>193.6</v>
      </c>
      <c r="L4174" s="4">
        <v>25.8</v>
      </c>
      <c r="M4174">
        <v>15</v>
      </c>
      <c r="N4174" t="s">
        <v>47</v>
      </c>
      <c r="O4174">
        <v>5</v>
      </c>
      <c r="P4174" s="4">
        <v>175.6</v>
      </c>
      <c r="Q4174" t="s">
        <v>48</v>
      </c>
      <c r="R4174">
        <v>0</v>
      </c>
      <c r="S4174" t="s">
        <v>44</v>
      </c>
      <c r="T4174">
        <v>1</v>
      </c>
      <c r="U4174">
        <v>0</v>
      </c>
      <c r="V4174" t="s">
        <v>32</v>
      </c>
      <c r="W4174" t="s">
        <v>57</v>
      </c>
      <c r="X4174" s="4">
        <v>7.3</v>
      </c>
      <c r="Y4174">
        <v>7</v>
      </c>
      <c r="Z4174" s="5">
        <v>180.81</v>
      </c>
    </row>
    <row r="4175" spans="1:26">
      <c r="A4175">
        <v>4174</v>
      </c>
      <c r="B4175">
        <v>1368</v>
      </c>
      <c r="C4175" s="2">
        <v>46219</v>
      </c>
      <c r="D4175" t="s">
        <v>55</v>
      </c>
      <c r="E4175">
        <v>7</v>
      </c>
      <c r="F4175" s="3">
        <v>9.64</v>
      </c>
      <c r="G4175" t="s">
        <v>27</v>
      </c>
      <c r="H4175">
        <v>41</v>
      </c>
      <c r="I4175" t="s">
        <v>28</v>
      </c>
      <c r="J4175" s="4">
        <v>67.900000000000006</v>
      </c>
      <c r="K4175" s="4">
        <v>173.9</v>
      </c>
      <c r="L4175" s="4">
        <v>26.6</v>
      </c>
      <c r="M4175">
        <v>18</v>
      </c>
      <c r="N4175" t="s">
        <v>47</v>
      </c>
      <c r="O4175">
        <v>5</v>
      </c>
      <c r="P4175" s="4">
        <v>175.6</v>
      </c>
      <c r="Q4175" t="s">
        <v>48</v>
      </c>
      <c r="R4175">
        <v>0</v>
      </c>
      <c r="S4175" t="s">
        <v>44</v>
      </c>
      <c r="T4175">
        <v>1</v>
      </c>
      <c r="U4175">
        <v>0</v>
      </c>
      <c r="V4175" t="s">
        <v>32</v>
      </c>
      <c r="W4175" t="s">
        <v>57</v>
      </c>
      <c r="X4175" s="4">
        <v>6.5</v>
      </c>
      <c r="Y4175">
        <v>8</v>
      </c>
      <c r="Z4175" s="5">
        <v>210.17</v>
      </c>
    </row>
    <row r="4176" spans="1:26">
      <c r="A4176">
        <v>4175</v>
      </c>
      <c r="B4176">
        <v>1368</v>
      </c>
      <c r="C4176" s="2">
        <v>46219</v>
      </c>
      <c r="D4176" t="s">
        <v>55</v>
      </c>
      <c r="E4176">
        <v>7</v>
      </c>
      <c r="F4176" s="3">
        <v>9.74</v>
      </c>
      <c r="G4176" t="s">
        <v>27</v>
      </c>
      <c r="H4176">
        <v>66</v>
      </c>
      <c r="I4176" t="s">
        <v>28</v>
      </c>
      <c r="J4176" s="4">
        <v>71.400000000000006</v>
      </c>
      <c r="K4176" s="4">
        <v>193.9</v>
      </c>
      <c r="L4176" s="4">
        <v>26.9</v>
      </c>
      <c r="M4176">
        <v>20</v>
      </c>
      <c r="N4176" t="s">
        <v>47</v>
      </c>
      <c r="O4176">
        <v>5</v>
      </c>
      <c r="P4176" s="4">
        <v>175.6</v>
      </c>
      <c r="Q4176" t="s">
        <v>48</v>
      </c>
      <c r="R4176">
        <v>0</v>
      </c>
      <c r="S4176" t="s">
        <v>44</v>
      </c>
      <c r="T4176">
        <v>1</v>
      </c>
      <c r="U4176">
        <v>0</v>
      </c>
      <c r="V4176" t="s">
        <v>32</v>
      </c>
      <c r="W4176" t="s">
        <v>57</v>
      </c>
      <c r="X4176" s="4">
        <v>10.3</v>
      </c>
      <c r="Y4176">
        <v>11</v>
      </c>
      <c r="Z4176" s="5">
        <v>195.45</v>
      </c>
    </row>
    <row r="4177" spans="1:26">
      <c r="A4177">
        <v>4176</v>
      </c>
      <c r="B4177">
        <v>1368</v>
      </c>
      <c r="C4177" s="2">
        <v>46219</v>
      </c>
      <c r="D4177" t="s">
        <v>55</v>
      </c>
      <c r="E4177">
        <v>7</v>
      </c>
      <c r="F4177" s="3">
        <v>9.75</v>
      </c>
      <c r="G4177" t="s">
        <v>27</v>
      </c>
      <c r="H4177">
        <v>41</v>
      </c>
      <c r="I4177" t="s">
        <v>28</v>
      </c>
      <c r="J4177" s="4">
        <v>65.8</v>
      </c>
      <c r="K4177" s="4">
        <v>134.30000000000001</v>
      </c>
      <c r="L4177" s="4">
        <v>21.9</v>
      </c>
      <c r="M4177">
        <v>18</v>
      </c>
      <c r="N4177" t="s">
        <v>47</v>
      </c>
      <c r="O4177">
        <v>5</v>
      </c>
      <c r="P4177" s="4">
        <v>175.6</v>
      </c>
      <c r="Q4177" t="s">
        <v>48</v>
      </c>
      <c r="R4177">
        <v>0</v>
      </c>
      <c r="S4177" t="s">
        <v>44</v>
      </c>
      <c r="T4177">
        <v>1</v>
      </c>
      <c r="U4177">
        <v>0</v>
      </c>
      <c r="V4177" t="s">
        <v>32</v>
      </c>
      <c r="W4177" t="s">
        <v>57</v>
      </c>
      <c r="X4177" s="4">
        <v>9.9</v>
      </c>
      <c r="Y4177">
        <v>10</v>
      </c>
      <c r="Z4177" s="5">
        <v>200.54</v>
      </c>
    </row>
    <row r="4178" spans="1:26">
      <c r="A4178">
        <v>4177</v>
      </c>
      <c r="B4178">
        <v>1368</v>
      </c>
      <c r="C4178" s="2">
        <v>46219</v>
      </c>
      <c r="D4178" t="s">
        <v>55</v>
      </c>
      <c r="E4178">
        <v>7</v>
      </c>
      <c r="F4178" s="3">
        <v>9.5399999999999991</v>
      </c>
      <c r="G4178" t="s">
        <v>27</v>
      </c>
      <c r="H4178">
        <v>38</v>
      </c>
      <c r="I4178" t="s">
        <v>28</v>
      </c>
      <c r="J4178" s="4">
        <v>66.8</v>
      </c>
      <c r="K4178" s="4">
        <v>185.7</v>
      </c>
      <c r="L4178" s="4">
        <v>29.5</v>
      </c>
      <c r="M4178">
        <v>14</v>
      </c>
      <c r="N4178" t="s">
        <v>47</v>
      </c>
      <c r="O4178">
        <v>5</v>
      </c>
      <c r="P4178" s="4">
        <v>175.6</v>
      </c>
      <c r="Q4178" t="s">
        <v>48</v>
      </c>
      <c r="R4178">
        <v>0</v>
      </c>
      <c r="S4178" t="s">
        <v>44</v>
      </c>
      <c r="T4178">
        <v>1</v>
      </c>
      <c r="U4178">
        <v>0</v>
      </c>
      <c r="V4178" t="s">
        <v>32</v>
      </c>
      <c r="W4178" t="s">
        <v>57</v>
      </c>
      <c r="X4178" s="4">
        <v>9.4</v>
      </c>
      <c r="Y4178">
        <v>11</v>
      </c>
      <c r="Z4178" s="5">
        <v>236.94</v>
      </c>
    </row>
    <row r="4179" spans="1:26">
      <c r="A4179">
        <v>4178</v>
      </c>
      <c r="B4179">
        <v>1369</v>
      </c>
      <c r="C4179" s="2">
        <v>46149</v>
      </c>
      <c r="D4179" t="s">
        <v>55</v>
      </c>
      <c r="E4179">
        <v>5</v>
      </c>
      <c r="F4179" s="3">
        <v>8.4499999999999993</v>
      </c>
      <c r="G4179" t="s">
        <v>27</v>
      </c>
      <c r="H4179">
        <v>66</v>
      </c>
      <c r="I4179" t="s">
        <v>34</v>
      </c>
      <c r="J4179" s="4">
        <v>66.400000000000006</v>
      </c>
      <c r="K4179" s="4">
        <v>220</v>
      </c>
      <c r="L4179" s="4">
        <v>35.1</v>
      </c>
      <c r="M4179">
        <v>17</v>
      </c>
      <c r="N4179" t="s">
        <v>47</v>
      </c>
      <c r="O4179">
        <v>3</v>
      </c>
      <c r="P4179" s="4">
        <v>119.6</v>
      </c>
      <c r="Q4179" t="s">
        <v>48</v>
      </c>
      <c r="R4179">
        <v>0</v>
      </c>
      <c r="S4179" t="s">
        <v>31</v>
      </c>
      <c r="T4179">
        <v>0</v>
      </c>
      <c r="U4179">
        <v>1</v>
      </c>
      <c r="V4179" t="s">
        <v>32</v>
      </c>
      <c r="W4179" t="s">
        <v>39</v>
      </c>
      <c r="X4179" s="4">
        <v>7.9</v>
      </c>
      <c r="Y4179">
        <v>11</v>
      </c>
      <c r="Z4179" s="5">
        <v>325.45999999999998</v>
      </c>
    </row>
    <row r="4180" spans="1:26">
      <c r="A4180">
        <v>4179</v>
      </c>
      <c r="B4180">
        <v>1369</v>
      </c>
      <c r="C4180" s="2">
        <v>46149</v>
      </c>
      <c r="D4180" t="s">
        <v>55</v>
      </c>
      <c r="E4180">
        <v>5</v>
      </c>
      <c r="F4180" s="3">
        <v>8.65</v>
      </c>
      <c r="G4180" t="s">
        <v>27</v>
      </c>
      <c r="H4180">
        <v>40</v>
      </c>
      <c r="I4180" t="s">
        <v>34</v>
      </c>
      <c r="J4180" s="4">
        <v>63.9</v>
      </c>
      <c r="K4180" s="4">
        <v>117</v>
      </c>
      <c r="L4180" s="4">
        <v>20.3</v>
      </c>
      <c r="M4180">
        <v>16</v>
      </c>
      <c r="N4180" t="s">
        <v>47</v>
      </c>
      <c r="O4180">
        <v>3</v>
      </c>
      <c r="P4180" s="4">
        <v>119.6</v>
      </c>
      <c r="Q4180" t="s">
        <v>48</v>
      </c>
      <c r="R4180">
        <v>0</v>
      </c>
      <c r="S4180" t="s">
        <v>31</v>
      </c>
      <c r="T4180">
        <v>0</v>
      </c>
      <c r="U4180">
        <v>1</v>
      </c>
      <c r="V4180" t="s">
        <v>32</v>
      </c>
      <c r="W4180" t="s">
        <v>39</v>
      </c>
      <c r="X4180" s="4">
        <v>9.1999999999999993</v>
      </c>
      <c r="Y4180">
        <v>4</v>
      </c>
      <c r="Z4180" s="5">
        <v>186</v>
      </c>
    </row>
    <row r="4181" spans="1:26">
      <c r="A4181">
        <v>4180</v>
      </c>
      <c r="B4181">
        <v>1369</v>
      </c>
      <c r="C4181" s="2">
        <v>46149</v>
      </c>
      <c r="D4181" t="s">
        <v>55</v>
      </c>
      <c r="E4181">
        <v>5</v>
      </c>
      <c r="F4181" s="3">
        <v>8.5399999999999991</v>
      </c>
      <c r="G4181" t="s">
        <v>27</v>
      </c>
      <c r="H4181">
        <v>41</v>
      </c>
      <c r="I4181" t="s">
        <v>28</v>
      </c>
      <c r="J4181" s="4">
        <v>68.400000000000006</v>
      </c>
      <c r="K4181" s="4">
        <v>198.7</v>
      </c>
      <c r="L4181" s="4">
        <v>29.9</v>
      </c>
      <c r="M4181">
        <v>17</v>
      </c>
      <c r="N4181" t="s">
        <v>47</v>
      </c>
      <c r="O4181">
        <v>3</v>
      </c>
      <c r="P4181" s="4">
        <v>119.6</v>
      </c>
      <c r="Q4181" t="s">
        <v>48</v>
      </c>
      <c r="R4181">
        <v>0</v>
      </c>
      <c r="S4181" t="s">
        <v>31</v>
      </c>
      <c r="T4181">
        <v>0</v>
      </c>
      <c r="U4181">
        <v>1</v>
      </c>
      <c r="V4181" t="s">
        <v>32</v>
      </c>
      <c r="W4181" t="s">
        <v>39</v>
      </c>
      <c r="X4181" s="4">
        <v>11</v>
      </c>
      <c r="Y4181">
        <v>13</v>
      </c>
      <c r="Z4181" s="5">
        <v>306.45</v>
      </c>
    </row>
    <row r="4182" spans="1:26">
      <c r="A4182">
        <v>4181</v>
      </c>
      <c r="B4182">
        <v>1370</v>
      </c>
      <c r="C4182" s="2">
        <v>46259</v>
      </c>
      <c r="D4182" t="s">
        <v>35</v>
      </c>
      <c r="E4182">
        <v>8</v>
      </c>
      <c r="F4182" s="3">
        <v>10.87</v>
      </c>
      <c r="G4182" t="s">
        <v>27</v>
      </c>
      <c r="H4182">
        <v>37</v>
      </c>
      <c r="I4182" t="s">
        <v>28</v>
      </c>
      <c r="J4182" s="4">
        <v>67.599999999999994</v>
      </c>
      <c r="K4182" s="4">
        <v>168.2</v>
      </c>
      <c r="L4182" s="4">
        <v>25.8</v>
      </c>
      <c r="M4182">
        <v>12</v>
      </c>
      <c r="N4182" t="s">
        <v>67</v>
      </c>
      <c r="O4182">
        <v>3</v>
      </c>
      <c r="P4182" s="4">
        <v>1299.0999999999999</v>
      </c>
      <c r="Q4182" t="s">
        <v>30</v>
      </c>
      <c r="R4182">
        <v>1</v>
      </c>
      <c r="S4182" t="s">
        <v>31</v>
      </c>
      <c r="T4182">
        <v>1</v>
      </c>
      <c r="U4182">
        <v>0</v>
      </c>
      <c r="V4182" t="s">
        <v>32</v>
      </c>
      <c r="W4182" t="s">
        <v>43</v>
      </c>
      <c r="X4182" s="4">
        <v>9.5</v>
      </c>
      <c r="Y4182">
        <v>12</v>
      </c>
      <c r="Z4182" s="5">
        <v>184.4</v>
      </c>
    </row>
    <row r="4183" spans="1:26">
      <c r="A4183">
        <v>4182</v>
      </c>
      <c r="B4183">
        <v>1370</v>
      </c>
      <c r="C4183" s="2">
        <v>46259</v>
      </c>
      <c r="D4183" t="s">
        <v>35</v>
      </c>
      <c r="E4183">
        <v>8</v>
      </c>
      <c r="F4183" s="3">
        <v>10.93</v>
      </c>
      <c r="G4183" t="s">
        <v>27</v>
      </c>
      <c r="H4183">
        <v>15</v>
      </c>
      <c r="I4183" t="s">
        <v>28</v>
      </c>
      <c r="J4183" s="4">
        <v>70</v>
      </c>
      <c r="K4183" s="4">
        <v>136.5</v>
      </c>
      <c r="L4183" s="4">
        <v>19.7</v>
      </c>
      <c r="M4183">
        <v>9</v>
      </c>
      <c r="N4183" t="s">
        <v>67</v>
      </c>
      <c r="O4183">
        <v>3</v>
      </c>
      <c r="P4183" s="4">
        <v>1299.0999999999999</v>
      </c>
      <c r="Q4183" t="s">
        <v>30</v>
      </c>
      <c r="R4183">
        <v>1</v>
      </c>
      <c r="S4183" t="s">
        <v>31</v>
      </c>
      <c r="T4183">
        <v>1</v>
      </c>
      <c r="U4183">
        <v>0</v>
      </c>
      <c r="V4183" t="s">
        <v>32</v>
      </c>
      <c r="W4183" t="s">
        <v>43</v>
      </c>
      <c r="X4183" s="4">
        <v>8</v>
      </c>
      <c r="Y4183">
        <v>11</v>
      </c>
      <c r="Z4183" s="5">
        <v>253.85</v>
      </c>
    </row>
    <row r="4184" spans="1:26">
      <c r="A4184">
        <v>4183</v>
      </c>
      <c r="B4184">
        <v>1370</v>
      </c>
      <c r="C4184" s="2">
        <v>46259</v>
      </c>
      <c r="D4184" t="s">
        <v>35</v>
      </c>
      <c r="E4184">
        <v>8</v>
      </c>
      <c r="F4184" s="3">
        <v>11</v>
      </c>
      <c r="G4184" t="s">
        <v>36</v>
      </c>
      <c r="H4184">
        <v>36</v>
      </c>
      <c r="I4184" t="s">
        <v>34</v>
      </c>
      <c r="J4184" s="4">
        <v>62.2</v>
      </c>
      <c r="K4184" s="4">
        <v>109.2</v>
      </c>
      <c r="L4184" s="4">
        <v>20</v>
      </c>
      <c r="M4184">
        <v>14</v>
      </c>
      <c r="N4184" t="s">
        <v>67</v>
      </c>
      <c r="O4184">
        <v>3</v>
      </c>
      <c r="P4184" s="4">
        <v>1299.0999999999999</v>
      </c>
      <c r="Q4184" t="s">
        <v>30</v>
      </c>
      <c r="R4184">
        <v>1</v>
      </c>
      <c r="S4184" t="s">
        <v>31</v>
      </c>
      <c r="T4184">
        <v>1</v>
      </c>
      <c r="U4184">
        <v>0</v>
      </c>
      <c r="V4184" t="s">
        <v>32</v>
      </c>
      <c r="W4184" t="s">
        <v>43</v>
      </c>
      <c r="X4184" s="4">
        <v>6.3</v>
      </c>
      <c r="Y4184">
        <v>2</v>
      </c>
      <c r="Z4184" s="5">
        <v>188.55</v>
      </c>
    </row>
    <row r="4185" spans="1:26">
      <c r="A4185">
        <v>4184</v>
      </c>
      <c r="B4185">
        <v>1371</v>
      </c>
      <c r="C4185" s="2">
        <v>46148</v>
      </c>
      <c r="D4185" t="s">
        <v>52</v>
      </c>
      <c r="E4185">
        <v>5</v>
      </c>
      <c r="F4185" s="3">
        <v>12.9</v>
      </c>
      <c r="G4185" t="s">
        <v>36</v>
      </c>
      <c r="H4185">
        <v>58</v>
      </c>
      <c r="I4185" t="s">
        <v>34</v>
      </c>
      <c r="J4185" s="4">
        <v>61.5</v>
      </c>
      <c r="K4185" s="4">
        <v>148.80000000000001</v>
      </c>
      <c r="L4185" s="4">
        <v>27.7</v>
      </c>
      <c r="M4185">
        <v>12</v>
      </c>
      <c r="N4185" t="s">
        <v>47</v>
      </c>
      <c r="O4185">
        <v>1</v>
      </c>
      <c r="P4185" s="4">
        <v>150.5</v>
      </c>
      <c r="Q4185" t="s">
        <v>30</v>
      </c>
      <c r="R4185">
        <v>0</v>
      </c>
      <c r="S4185" t="s">
        <v>44</v>
      </c>
      <c r="T4185">
        <v>0</v>
      </c>
      <c r="U4185">
        <v>0</v>
      </c>
      <c r="V4185" t="s">
        <v>32</v>
      </c>
      <c r="W4185" t="s">
        <v>49</v>
      </c>
      <c r="X4185" s="4">
        <v>6.4</v>
      </c>
      <c r="Y4185">
        <v>0</v>
      </c>
      <c r="Z4185" s="5">
        <v>106.81</v>
      </c>
    </row>
    <row r="4186" spans="1:26">
      <c r="A4186">
        <v>4185</v>
      </c>
      <c r="B4186">
        <v>1372</v>
      </c>
      <c r="C4186" s="2">
        <v>46376</v>
      </c>
      <c r="D4186" t="s">
        <v>58</v>
      </c>
      <c r="E4186">
        <v>12</v>
      </c>
      <c r="F4186" s="3">
        <v>10.56</v>
      </c>
      <c r="G4186" t="s">
        <v>27</v>
      </c>
      <c r="H4186">
        <v>61</v>
      </c>
      <c r="I4186" t="s">
        <v>34</v>
      </c>
      <c r="J4186" s="4">
        <v>64</v>
      </c>
      <c r="K4186" s="4">
        <v>136.69999999999999</v>
      </c>
      <c r="L4186" s="4">
        <v>23.3</v>
      </c>
      <c r="M4186">
        <v>18</v>
      </c>
      <c r="N4186" t="s">
        <v>66</v>
      </c>
      <c r="O4186">
        <v>4</v>
      </c>
      <c r="P4186" s="4">
        <v>1163.5999999999999</v>
      </c>
      <c r="Q4186" t="s">
        <v>42</v>
      </c>
      <c r="R4186">
        <v>0</v>
      </c>
      <c r="S4186" t="s">
        <v>44</v>
      </c>
      <c r="T4186">
        <v>0</v>
      </c>
      <c r="U4186">
        <v>0</v>
      </c>
      <c r="V4186" t="s">
        <v>64</v>
      </c>
      <c r="W4186" t="s">
        <v>39</v>
      </c>
      <c r="X4186" s="4">
        <v>6.7</v>
      </c>
      <c r="Y4186">
        <v>4</v>
      </c>
      <c r="Z4186" s="5">
        <v>163.35</v>
      </c>
    </row>
    <row r="4187" spans="1:26">
      <c r="A4187">
        <v>4186</v>
      </c>
      <c r="B4187">
        <v>1372</v>
      </c>
      <c r="C4187" s="2">
        <v>46376</v>
      </c>
      <c r="D4187" t="s">
        <v>58</v>
      </c>
      <c r="E4187">
        <v>12</v>
      </c>
      <c r="F4187" s="3">
        <v>10.66</v>
      </c>
      <c r="G4187" t="s">
        <v>27</v>
      </c>
      <c r="H4187">
        <v>26</v>
      </c>
      <c r="I4187" t="s">
        <v>28</v>
      </c>
      <c r="J4187" s="4">
        <v>67.7</v>
      </c>
      <c r="K4187" s="4">
        <v>191.9</v>
      </c>
      <c r="L4187" s="4">
        <v>29.4</v>
      </c>
      <c r="M4187">
        <v>15</v>
      </c>
      <c r="N4187" t="s">
        <v>66</v>
      </c>
      <c r="O4187">
        <v>4</v>
      </c>
      <c r="P4187" s="4">
        <v>1163.5999999999999</v>
      </c>
      <c r="Q4187" t="s">
        <v>42</v>
      </c>
      <c r="R4187">
        <v>0</v>
      </c>
      <c r="S4187" t="s">
        <v>44</v>
      </c>
      <c r="T4187">
        <v>0</v>
      </c>
      <c r="U4187">
        <v>0</v>
      </c>
      <c r="V4187" t="s">
        <v>64</v>
      </c>
      <c r="W4187" t="s">
        <v>39</v>
      </c>
      <c r="X4187" s="4">
        <v>7.7</v>
      </c>
      <c r="Y4187">
        <v>10</v>
      </c>
      <c r="Z4187" s="5">
        <v>125.31</v>
      </c>
    </row>
    <row r="4188" spans="1:26">
      <c r="A4188">
        <v>4187</v>
      </c>
      <c r="B4188">
        <v>1372</v>
      </c>
      <c r="C4188" s="2">
        <v>46376</v>
      </c>
      <c r="D4188" t="s">
        <v>58</v>
      </c>
      <c r="E4188">
        <v>12</v>
      </c>
      <c r="F4188" s="3">
        <v>10.5</v>
      </c>
      <c r="G4188" t="s">
        <v>27</v>
      </c>
      <c r="H4188">
        <v>56</v>
      </c>
      <c r="I4188" t="s">
        <v>28</v>
      </c>
      <c r="J4188" s="4">
        <v>68.599999999999994</v>
      </c>
      <c r="K4188" s="4">
        <v>193.5</v>
      </c>
      <c r="L4188" s="4">
        <v>28.7</v>
      </c>
      <c r="M4188">
        <v>19</v>
      </c>
      <c r="N4188" t="s">
        <v>66</v>
      </c>
      <c r="O4188">
        <v>4</v>
      </c>
      <c r="P4188" s="4">
        <v>1163.5999999999999</v>
      </c>
      <c r="Q4188" t="s">
        <v>42</v>
      </c>
      <c r="R4188">
        <v>0</v>
      </c>
      <c r="S4188" t="s">
        <v>44</v>
      </c>
      <c r="T4188">
        <v>0</v>
      </c>
      <c r="U4188">
        <v>0</v>
      </c>
      <c r="V4188" t="s">
        <v>64</v>
      </c>
      <c r="W4188" t="s">
        <v>39</v>
      </c>
      <c r="X4188" s="4">
        <v>4.9000000000000004</v>
      </c>
      <c r="Y4188">
        <v>7</v>
      </c>
      <c r="Z4188" s="5">
        <v>156.83000000000001</v>
      </c>
    </row>
    <row r="4189" spans="1:26">
      <c r="A4189">
        <v>4188</v>
      </c>
      <c r="B4189">
        <v>1372</v>
      </c>
      <c r="C4189" s="2">
        <v>46376</v>
      </c>
      <c r="D4189" t="s">
        <v>58</v>
      </c>
      <c r="E4189">
        <v>12</v>
      </c>
      <c r="F4189" s="3">
        <v>10.41</v>
      </c>
      <c r="G4189" t="s">
        <v>27</v>
      </c>
      <c r="H4189">
        <v>13</v>
      </c>
      <c r="I4189" t="s">
        <v>28</v>
      </c>
      <c r="J4189" s="4">
        <v>70</v>
      </c>
      <c r="K4189" s="4">
        <v>95.6</v>
      </c>
      <c r="L4189" s="4">
        <v>13.8</v>
      </c>
      <c r="M4189">
        <v>16</v>
      </c>
      <c r="N4189" t="s">
        <v>66</v>
      </c>
      <c r="O4189">
        <v>4</v>
      </c>
      <c r="P4189" s="4">
        <v>1163.5999999999999</v>
      </c>
      <c r="Q4189" t="s">
        <v>42</v>
      </c>
      <c r="R4189">
        <v>0</v>
      </c>
      <c r="S4189" t="s">
        <v>44</v>
      </c>
      <c r="T4189">
        <v>0</v>
      </c>
      <c r="U4189">
        <v>0</v>
      </c>
      <c r="V4189" t="s">
        <v>64</v>
      </c>
      <c r="W4189" t="s">
        <v>39</v>
      </c>
      <c r="X4189" s="4">
        <v>5.9</v>
      </c>
      <c r="Y4189">
        <v>8</v>
      </c>
      <c r="Z4189" s="5">
        <v>155.04</v>
      </c>
    </row>
    <row r="4190" spans="1:26">
      <c r="A4190">
        <v>4189</v>
      </c>
      <c r="B4190">
        <v>1373</v>
      </c>
      <c r="C4190" s="2">
        <v>46038</v>
      </c>
      <c r="D4190" t="s">
        <v>26</v>
      </c>
      <c r="E4190">
        <v>1</v>
      </c>
      <c r="F4190" s="3">
        <v>13.53</v>
      </c>
      <c r="G4190" t="s">
        <v>36</v>
      </c>
      <c r="H4190">
        <v>37</v>
      </c>
      <c r="I4190" t="s">
        <v>28</v>
      </c>
      <c r="J4190" s="4">
        <v>68.5</v>
      </c>
      <c r="K4190" s="4">
        <v>161</v>
      </c>
      <c r="L4190" s="4">
        <v>24.2</v>
      </c>
      <c r="M4190">
        <v>15</v>
      </c>
      <c r="N4190" t="s">
        <v>61</v>
      </c>
      <c r="O4190">
        <v>6</v>
      </c>
      <c r="P4190" s="4">
        <v>1040.8</v>
      </c>
      <c r="Q4190" t="s">
        <v>30</v>
      </c>
      <c r="R4190">
        <v>1</v>
      </c>
      <c r="S4190" t="s">
        <v>38</v>
      </c>
      <c r="T4190">
        <v>0</v>
      </c>
      <c r="U4190">
        <v>1</v>
      </c>
      <c r="V4190" t="s">
        <v>45</v>
      </c>
      <c r="W4190" t="s">
        <v>33</v>
      </c>
      <c r="X4190" s="4">
        <v>11</v>
      </c>
      <c r="Y4190">
        <v>7</v>
      </c>
      <c r="Z4190" s="5">
        <v>192.41</v>
      </c>
    </row>
    <row r="4191" spans="1:26">
      <c r="A4191">
        <v>4190</v>
      </c>
      <c r="B4191">
        <v>1373</v>
      </c>
      <c r="C4191" s="2">
        <v>46038</v>
      </c>
      <c r="D4191" t="s">
        <v>26</v>
      </c>
      <c r="E4191">
        <v>1</v>
      </c>
      <c r="F4191" s="3">
        <v>13.62</v>
      </c>
      <c r="G4191" t="s">
        <v>36</v>
      </c>
      <c r="H4191">
        <v>4</v>
      </c>
      <c r="I4191" t="s">
        <v>34</v>
      </c>
      <c r="J4191" s="4">
        <v>57.1</v>
      </c>
      <c r="K4191" s="4">
        <v>93.6</v>
      </c>
      <c r="L4191" s="4">
        <v>20.100000000000001</v>
      </c>
      <c r="M4191">
        <v>11</v>
      </c>
      <c r="N4191" t="s">
        <v>61</v>
      </c>
      <c r="O4191">
        <v>6</v>
      </c>
      <c r="P4191" s="4">
        <v>1040.8</v>
      </c>
      <c r="Q4191" t="s">
        <v>30</v>
      </c>
      <c r="R4191">
        <v>1</v>
      </c>
      <c r="S4191" t="s">
        <v>38</v>
      </c>
      <c r="T4191">
        <v>0</v>
      </c>
      <c r="U4191">
        <v>1</v>
      </c>
      <c r="V4191" t="s">
        <v>45</v>
      </c>
      <c r="W4191" t="s">
        <v>33</v>
      </c>
      <c r="X4191" s="4">
        <v>5.8</v>
      </c>
      <c r="Y4191">
        <v>8</v>
      </c>
      <c r="Z4191" s="5">
        <v>223.64</v>
      </c>
    </row>
    <row r="4192" spans="1:26">
      <c r="A4192">
        <v>4191</v>
      </c>
      <c r="B4192">
        <v>1373</v>
      </c>
      <c r="C4192" s="2">
        <v>46038</v>
      </c>
      <c r="D4192" t="s">
        <v>26</v>
      </c>
      <c r="E4192">
        <v>1</v>
      </c>
      <c r="F4192" s="3">
        <v>13.43</v>
      </c>
      <c r="G4192" t="s">
        <v>36</v>
      </c>
      <c r="H4192">
        <v>37</v>
      </c>
      <c r="I4192" t="s">
        <v>34</v>
      </c>
      <c r="J4192" s="4">
        <v>61.8</v>
      </c>
      <c r="K4192" s="4">
        <v>98.6</v>
      </c>
      <c r="L4192" s="4">
        <v>18.2</v>
      </c>
      <c r="M4192">
        <v>14</v>
      </c>
      <c r="N4192" t="s">
        <v>61</v>
      </c>
      <c r="O4192">
        <v>6</v>
      </c>
      <c r="P4192" s="4">
        <v>1040.8</v>
      </c>
      <c r="Q4192" t="s">
        <v>30</v>
      </c>
      <c r="R4192">
        <v>1</v>
      </c>
      <c r="S4192" t="s">
        <v>38</v>
      </c>
      <c r="T4192">
        <v>0</v>
      </c>
      <c r="U4192">
        <v>1</v>
      </c>
      <c r="V4192" t="s">
        <v>45</v>
      </c>
      <c r="W4192" t="s">
        <v>33</v>
      </c>
      <c r="X4192" s="4">
        <v>10</v>
      </c>
      <c r="Y4192">
        <v>9</v>
      </c>
      <c r="Z4192" s="5">
        <v>201.29</v>
      </c>
    </row>
    <row r="4193" spans="1:26">
      <c r="A4193">
        <v>4192</v>
      </c>
      <c r="B4193">
        <v>1373</v>
      </c>
      <c r="C4193" s="2">
        <v>46038</v>
      </c>
      <c r="D4193" t="s">
        <v>26</v>
      </c>
      <c r="E4193">
        <v>1</v>
      </c>
      <c r="F4193" s="3">
        <v>13.65</v>
      </c>
      <c r="G4193" t="s">
        <v>36</v>
      </c>
      <c r="H4193">
        <v>9</v>
      </c>
      <c r="I4193" t="s">
        <v>28</v>
      </c>
      <c r="J4193" s="4">
        <v>67</v>
      </c>
      <c r="K4193" s="4">
        <v>105.8</v>
      </c>
      <c r="L4193" s="4">
        <v>16.600000000000001</v>
      </c>
      <c r="M4193">
        <v>13</v>
      </c>
      <c r="N4193" t="s">
        <v>61</v>
      </c>
      <c r="O4193">
        <v>6</v>
      </c>
      <c r="P4193" s="4">
        <v>1040.8</v>
      </c>
      <c r="Q4193" t="s">
        <v>30</v>
      </c>
      <c r="R4193">
        <v>1</v>
      </c>
      <c r="S4193" t="s">
        <v>38</v>
      </c>
      <c r="T4193">
        <v>0</v>
      </c>
      <c r="U4193">
        <v>1</v>
      </c>
      <c r="V4193" t="s">
        <v>45</v>
      </c>
      <c r="W4193" t="s">
        <v>33</v>
      </c>
      <c r="X4193" s="4">
        <v>7.1</v>
      </c>
      <c r="Y4193">
        <v>8</v>
      </c>
      <c r="Z4193" s="5">
        <v>348.86</v>
      </c>
    </row>
    <row r="4194" spans="1:26">
      <c r="A4194">
        <v>4193</v>
      </c>
      <c r="B4194">
        <v>1373</v>
      </c>
      <c r="C4194" s="2">
        <v>46038</v>
      </c>
      <c r="D4194" t="s">
        <v>26</v>
      </c>
      <c r="E4194">
        <v>1</v>
      </c>
      <c r="F4194" s="3">
        <v>13.51</v>
      </c>
      <c r="G4194" t="s">
        <v>36</v>
      </c>
      <c r="H4194">
        <v>20</v>
      </c>
      <c r="I4194" t="s">
        <v>34</v>
      </c>
      <c r="J4194" s="4">
        <v>66.5</v>
      </c>
      <c r="K4194" s="4">
        <v>187.1</v>
      </c>
      <c r="L4194" s="4">
        <v>29.7</v>
      </c>
      <c r="M4194">
        <v>11</v>
      </c>
      <c r="N4194" t="s">
        <v>61</v>
      </c>
      <c r="O4194">
        <v>6</v>
      </c>
      <c r="P4194" s="4">
        <v>1040.8</v>
      </c>
      <c r="Q4194" t="s">
        <v>30</v>
      </c>
      <c r="R4194">
        <v>1</v>
      </c>
      <c r="S4194" t="s">
        <v>38</v>
      </c>
      <c r="T4194">
        <v>0</v>
      </c>
      <c r="U4194">
        <v>1</v>
      </c>
      <c r="V4194" t="s">
        <v>45</v>
      </c>
      <c r="W4194" t="s">
        <v>33</v>
      </c>
      <c r="X4194" s="4">
        <v>6.5</v>
      </c>
      <c r="Y4194">
        <v>7</v>
      </c>
      <c r="Z4194" s="5">
        <v>173.08</v>
      </c>
    </row>
    <row r="4195" spans="1:26">
      <c r="A4195">
        <v>4194</v>
      </c>
      <c r="B4195">
        <v>1373</v>
      </c>
      <c r="C4195" s="2">
        <v>46038</v>
      </c>
      <c r="D4195" t="s">
        <v>26</v>
      </c>
      <c r="E4195">
        <v>1</v>
      </c>
      <c r="F4195" s="3">
        <v>13.32</v>
      </c>
      <c r="G4195" t="s">
        <v>36</v>
      </c>
      <c r="H4195">
        <v>58</v>
      </c>
      <c r="I4195" t="s">
        <v>34</v>
      </c>
      <c r="J4195" s="4">
        <v>67.099999999999994</v>
      </c>
      <c r="K4195" s="4">
        <v>174.7</v>
      </c>
      <c r="L4195" s="4">
        <v>27.4</v>
      </c>
      <c r="M4195">
        <v>14</v>
      </c>
      <c r="N4195" t="s">
        <v>61</v>
      </c>
      <c r="O4195">
        <v>6</v>
      </c>
      <c r="P4195" s="4">
        <v>1040.8</v>
      </c>
      <c r="Q4195" t="s">
        <v>30</v>
      </c>
      <c r="R4195">
        <v>1</v>
      </c>
      <c r="S4195" t="s">
        <v>38</v>
      </c>
      <c r="T4195">
        <v>0</v>
      </c>
      <c r="U4195">
        <v>1</v>
      </c>
      <c r="V4195" t="s">
        <v>45</v>
      </c>
      <c r="W4195" t="s">
        <v>33</v>
      </c>
      <c r="X4195" s="4">
        <v>8.4</v>
      </c>
      <c r="Y4195">
        <v>6</v>
      </c>
      <c r="Z4195" s="5">
        <v>158.29</v>
      </c>
    </row>
    <row r="4196" spans="1:26">
      <c r="A4196">
        <v>4195</v>
      </c>
      <c r="B4196">
        <v>1374</v>
      </c>
      <c r="C4196" s="2">
        <v>46381</v>
      </c>
      <c r="D4196" t="s">
        <v>26</v>
      </c>
      <c r="E4196">
        <v>12</v>
      </c>
      <c r="F4196" s="3">
        <v>8.49</v>
      </c>
      <c r="G4196" t="s">
        <v>27</v>
      </c>
      <c r="H4196">
        <v>3</v>
      </c>
      <c r="I4196" t="s">
        <v>28</v>
      </c>
      <c r="J4196" s="4">
        <v>53.6</v>
      </c>
      <c r="K4196" s="4">
        <v>88.1</v>
      </c>
      <c r="L4196" s="4">
        <v>21.9</v>
      </c>
      <c r="M4196">
        <v>11</v>
      </c>
      <c r="N4196" t="s">
        <v>47</v>
      </c>
      <c r="O4196">
        <v>3</v>
      </c>
      <c r="P4196" s="4">
        <v>57.4</v>
      </c>
      <c r="Q4196" t="s">
        <v>42</v>
      </c>
      <c r="R4196">
        <v>1</v>
      </c>
      <c r="S4196" t="s">
        <v>44</v>
      </c>
      <c r="T4196">
        <v>0</v>
      </c>
      <c r="U4196">
        <v>0</v>
      </c>
      <c r="V4196" t="s">
        <v>45</v>
      </c>
      <c r="W4196" t="s">
        <v>43</v>
      </c>
      <c r="X4196" s="4">
        <v>8.6999999999999993</v>
      </c>
      <c r="Y4196">
        <v>8</v>
      </c>
      <c r="Z4196" s="5">
        <v>245.25</v>
      </c>
    </row>
    <row r="4197" spans="1:26">
      <c r="A4197">
        <v>4196</v>
      </c>
      <c r="B4197">
        <v>1374</v>
      </c>
      <c r="C4197" s="2">
        <v>46381</v>
      </c>
      <c r="D4197" t="s">
        <v>26</v>
      </c>
      <c r="E4197">
        <v>12</v>
      </c>
      <c r="F4197" s="3">
        <v>8.31</v>
      </c>
      <c r="G4197" t="s">
        <v>27</v>
      </c>
      <c r="H4197">
        <v>67</v>
      </c>
      <c r="I4197" t="s">
        <v>34</v>
      </c>
      <c r="J4197" s="4">
        <v>64.900000000000006</v>
      </c>
      <c r="K4197" s="4">
        <v>127.7</v>
      </c>
      <c r="L4197" s="4">
        <v>21.6</v>
      </c>
      <c r="M4197">
        <v>20</v>
      </c>
      <c r="N4197" t="s">
        <v>47</v>
      </c>
      <c r="O4197">
        <v>3</v>
      </c>
      <c r="P4197" s="4">
        <v>57.4</v>
      </c>
      <c r="Q4197" t="s">
        <v>42</v>
      </c>
      <c r="R4197">
        <v>1</v>
      </c>
      <c r="S4197" t="s">
        <v>44</v>
      </c>
      <c r="T4197">
        <v>0</v>
      </c>
      <c r="U4197">
        <v>0</v>
      </c>
      <c r="V4197" t="s">
        <v>45</v>
      </c>
      <c r="W4197" t="s">
        <v>43</v>
      </c>
      <c r="X4197" s="4">
        <v>8.8000000000000007</v>
      </c>
      <c r="Y4197">
        <v>10</v>
      </c>
      <c r="Z4197" s="5">
        <v>152.47999999999999</v>
      </c>
    </row>
    <row r="4198" spans="1:26">
      <c r="A4198">
        <v>4197</v>
      </c>
      <c r="B4198">
        <v>1374</v>
      </c>
      <c r="C4198" s="2">
        <v>46381</v>
      </c>
      <c r="D4198" t="s">
        <v>26</v>
      </c>
      <c r="E4198">
        <v>12</v>
      </c>
      <c r="F4198" s="3">
        <v>8.58</v>
      </c>
      <c r="G4198" t="s">
        <v>27</v>
      </c>
      <c r="H4198">
        <v>9</v>
      </c>
      <c r="I4198" t="s">
        <v>28</v>
      </c>
      <c r="J4198" s="4">
        <v>64.599999999999994</v>
      </c>
      <c r="K4198" s="4">
        <v>76</v>
      </c>
      <c r="L4198" s="4">
        <v>12.7</v>
      </c>
      <c r="M4198">
        <v>13</v>
      </c>
      <c r="N4198" t="s">
        <v>47</v>
      </c>
      <c r="O4198">
        <v>3</v>
      </c>
      <c r="P4198" s="4">
        <v>57.4</v>
      </c>
      <c r="Q4198" t="s">
        <v>42</v>
      </c>
      <c r="R4198">
        <v>1</v>
      </c>
      <c r="S4198" t="s">
        <v>44</v>
      </c>
      <c r="T4198">
        <v>0</v>
      </c>
      <c r="U4198">
        <v>0</v>
      </c>
      <c r="V4198" t="s">
        <v>45</v>
      </c>
      <c r="W4198" t="s">
        <v>43</v>
      </c>
      <c r="X4198" s="4">
        <v>5.4</v>
      </c>
      <c r="Y4198">
        <v>7</v>
      </c>
      <c r="Z4198" s="5">
        <v>124.73</v>
      </c>
    </row>
    <row r="4199" spans="1:26">
      <c r="A4199">
        <v>4198</v>
      </c>
      <c r="B4199">
        <v>1375</v>
      </c>
      <c r="C4199" s="2">
        <v>46191</v>
      </c>
      <c r="D4199" t="s">
        <v>55</v>
      </c>
      <c r="E4199">
        <v>6</v>
      </c>
      <c r="F4199" s="3">
        <v>10.63</v>
      </c>
      <c r="G4199" t="s">
        <v>27</v>
      </c>
      <c r="H4199">
        <v>12</v>
      </c>
      <c r="I4199" t="s">
        <v>34</v>
      </c>
      <c r="J4199" s="4">
        <v>70</v>
      </c>
      <c r="K4199" s="4">
        <v>128.80000000000001</v>
      </c>
      <c r="L4199" s="4">
        <v>18.399999999999999</v>
      </c>
      <c r="M4199">
        <v>12</v>
      </c>
      <c r="N4199" t="s">
        <v>47</v>
      </c>
      <c r="O4199">
        <v>2</v>
      </c>
      <c r="P4199" s="4">
        <v>64.2</v>
      </c>
      <c r="Q4199" t="s">
        <v>42</v>
      </c>
      <c r="R4199">
        <v>0</v>
      </c>
      <c r="S4199" t="s">
        <v>44</v>
      </c>
      <c r="T4199">
        <v>0</v>
      </c>
      <c r="U4199">
        <v>0</v>
      </c>
      <c r="V4199" t="s">
        <v>32</v>
      </c>
      <c r="W4199" t="s">
        <v>43</v>
      </c>
      <c r="X4199" s="4">
        <v>9.1999999999999993</v>
      </c>
      <c r="Y4199">
        <v>10</v>
      </c>
      <c r="Z4199" s="5">
        <v>178.57</v>
      </c>
    </row>
    <row r="4200" spans="1:26">
      <c r="A4200">
        <v>4199</v>
      </c>
      <c r="B4200">
        <v>1375</v>
      </c>
      <c r="C4200" s="2">
        <v>46191</v>
      </c>
      <c r="D4200" t="s">
        <v>55</v>
      </c>
      <c r="E4200">
        <v>6</v>
      </c>
      <c r="F4200" s="3">
        <v>10.7</v>
      </c>
      <c r="G4200" t="s">
        <v>27</v>
      </c>
      <c r="H4200">
        <v>31</v>
      </c>
      <c r="I4200" t="s">
        <v>34</v>
      </c>
      <c r="J4200" s="4">
        <v>69.5</v>
      </c>
      <c r="K4200" s="4">
        <v>148</v>
      </c>
      <c r="L4200" s="4">
        <v>21.7</v>
      </c>
      <c r="M4200">
        <v>13</v>
      </c>
      <c r="N4200" t="s">
        <v>47</v>
      </c>
      <c r="O4200">
        <v>2</v>
      </c>
      <c r="P4200" s="4">
        <v>64.2</v>
      </c>
      <c r="Q4200" t="s">
        <v>42</v>
      </c>
      <c r="R4200">
        <v>0</v>
      </c>
      <c r="S4200" t="s">
        <v>44</v>
      </c>
      <c r="T4200">
        <v>0</v>
      </c>
      <c r="U4200">
        <v>0</v>
      </c>
      <c r="V4200" t="s">
        <v>32</v>
      </c>
      <c r="W4200" t="s">
        <v>43</v>
      </c>
      <c r="X4200" s="4">
        <v>12.7</v>
      </c>
      <c r="Y4200">
        <v>9</v>
      </c>
      <c r="Z4200" s="5">
        <v>251.07</v>
      </c>
    </row>
    <row r="4201" spans="1:26">
      <c r="A4201">
        <v>4200</v>
      </c>
      <c r="B4201">
        <v>1376</v>
      </c>
      <c r="C4201" s="2">
        <v>46334</v>
      </c>
      <c r="D4201" t="s">
        <v>58</v>
      </c>
      <c r="E4201">
        <v>11</v>
      </c>
      <c r="F4201" s="3">
        <v>13.03</v>
      </c>
      <c r="G4201" t="s">
        <v>36</v>
      </c>
      <c r="H4201">
        <v>38</v>
      </c>
      <c r="I4201" t="s">
        <v>34</v>
      </c>
      <c r="J4201" s="4">
        <v>59.2</v>
      </c>
      <c r="K4201" s="4">
        <v>117.7</v>
      </c>
      <c r="L4201" s="4">
        <v>23.6</v>
      </c>
      <c r="M4201">
        <v>14</v>
      </c>
      <c r="N4201" t="s">
        <v>63</v>
      </c>
      <c r="O4201">
        <v>6</v>
      </c>
      <c r="P4201" s="4">
        <v>2062.4</v>
      </c>
      <c r="Q4201" t="s">
        <v>48</v>
      </c>
      <c r="R4201">
        <v>1</v>
      </c>
      <c r="S4201" t="s">
        <v>31</v>
      </c>
      <c r="T4201">
        <v>1</v>
      </c>
      <c r="U4201">
        <v>0</v>
      </c>
      <c r="V4201" t="s">
        <v>32</v>
      </c>
      <c r="W4201" t="s">
        <v>49</v>
      </c>
      <c r="X4201" s="4">
        <v>5.9</v>
      </c>
      <c r="Y4201">
        <v>13</v>
      </c>
      <c r="Z4201" s="5">
        <v>334.95</v>
      </c>
    </row>
    <row r="4202" spans="1:26">
      <c r="A4202">
        <v>4201</v>
      </c>
      <c r="B4202">
        <v>1376</v>
      </c>
      <c r="C4202" s="2">
        <v>46334</v>
      </c>
      <c r="D4202" t="s">
        <v>58</v>
      </c>
      <c r="E4202">
        <v>11</v>
      </c>
      <c r="F4202" s="3">
        <v>13.08</v>
      </c>
      <c r="G4202" t="s">
        <v>36</v>
      </c>
      <c r="H4202">
        <v>18</v>
      </c>
      <c r="I4202" t="s">
        <v>34</v>
      </c>
      <c r="J4202" s="4">
        <v>67.099999999999994</v>
      </c>
      <c r="K4202" s="4">
        <v>209.6</v>
      </c>
      <c r="L4202" s="4">
        <v>32.799999999999997</v>
      </c>
      <c r="M4202">
        <v>13</v>
      </c>
      <c r="N4202" t="s">
        <v>63</v>
      </c>
      <c r="O4202">
        <v>6</v>
      </c>
      <c r="P4202" s="4">
        <v>2062.4</v>
      </c>
      <c r="Q4202" t="s">
        <v>48</v>
      </c>
      <c r="R4202">
        <v>1</v>
      </c>
      <c r="S4202" t="s">
        <v>31</v>
      </c>
      <c r="T4202">
        <v>1</v>
      </c>
      <c r="U4202">
        <v>0</v>
      </c>
      <c r="V4202" t="s">
        <v>32</v>
      </c>
      <c r="W4202" t="s">
        <v>49</v>
      </c>
      <c r="X4202" s="4">
        <v>5.8</v>
      </c>
      <c r="Y4202">
        <v>6</v>
      </c>
      <c r="Z4202" s="5">
        <v>254.28</v>
      </c>
    </row>
    <row r="4203" spans="1:26">
      <c r="A4203">
        <v>4202</v>
      </c>
      <c r="B4203">
        <v>1376</v>
      </c>
      <c r="C4203" s="2">
        <v>46334</v>
      </c>
      <c r="D4203" t="s">
        <v>58</v>
      </c>
      <c r="E4203">
        <v>11</v>
      </c>
      <c r="F4203" s="3">
        <v>12.89</v>
      </c>
      <c r="G4203" t="s">
        <v>36</v>
      </c>
      <c r="H4203">
        <v>40</v>
      </c>
      <c r="I4203" t="s">
        <v>34</v>
      </c>
      <c r="J4203" s="4">
        <v>64</v>
      </c>
      <c r="K4203" s="4">
        <v>153.69999999999999</v>
      </c>
      <c r="L4203" s="4">
        <v>26.5</v>
      </c>
      <c r="M4203">
        <v>20</v>
      </c>
      <c r="N4203" t="s">
        <v>63</v>
      </c>
      <c r="O4203">
        <v>6</v>
      </c>
      <c r="P4203" s="4">
        <v>2062.4</v>
      </c>
      <c r="Q4203" t="s">
        <v>48</v>
      </c>
      <c r="R4203">
        <v>1</v>
      </c>
      <c r="S4203" t="s">
        <v>31</v>
      </c>
      <c r="T4203">
        <v>1</v>
      </c>
      <c r="U4203">
        <v>0</v>
      </c>
      <c r="V4203" t="s">
        <v>32</v>
      </c>
      <c r="W4203" t="s">
        <v>49</v>
      </c>
      <c r="X4203" s="4">
        <v>8.4</v>
      </c>
      <c r="Y4203">
        <v>5</v>
      </c>
      <c r="Z4203" s="5">
        <v>260.22000000000003</v>
      </c>
    </row>
    <row r="4204" spans="1:26">
      <c r="A4204">
        <v>4203</v>
      </c>
      <c r="B4204">
        <v>1376</v>
      </c>
      <c r="C4204" s="2">
        <v>46334</v>
      </c>
      <c r="D4204" t="s">
        <v>58</v>
      </c>
      <c r="E4204">
        <v>11</v>
      </c>
      <c r="F4204" s="3">
        <v>13.26</v>
      </c>
      <c r="G4204" t="s">
        <v>36</v>
      </c>
      <c r="H4204">
        <v>4</v>
      </c>
      <c r="I4204" t="s">
        <v>28</v>
      </c>
      <c r="J4204" s="4">
        <v>52.4</v>
      </c>
      <c r="K4204" s="4">
        <v>95.3</v>
      </c>
      <c r="L4204" s="4">
        <v>24.4</v>
      </c>
      <c r="M4204">
        <v>15</v>
      </c>
      <c r="N4204" t="s">
        <v>63</v>
      </c>
      <c r="O4204">
        <v>6</v>
      </c>
      <c r="P4204" s="4">
        <v>2062.4</v>
      </c>
      <c r="Q4204" t="s">
        <v>48</v>
      </c>
      <c r="R4204">
        <v>1</v>
      </c>
      <c r="S4204" t="s">
        <v>31</v>
      </c>
      <c r="T4204">
        <v>1</v>
      </c>
      <c r="U4204">
        <v>0</v>
      </c>
      <c r="V4204" t="s">
        <v>32</v>
      </c>
      <c r="W4204" t="s">
        <v>49</v>
      </c>
      <c r="X4204" s="4">
        <v>7.1</v>
      </c>
      <c r="Y4204">
        <v>15</v>
      </c>
      <c r="Z4204" s="5">
        <v>301.08999999999997</v>
      </c>
    </row>
    <row r="4205" spans="1:26">
      <c r="A4205">
        <v>4204</v>
      </c>
      <c r="B4205">
        <v>1376</v>
      </c>
      <c r="C4205" s="2">
        <v>46334</v>
      </c>
      <c r="D4205" t="s">
        <v>58</v>
      </c>
      <c r="E4205">
        <v>11</v>
      </c>
      <c r="F4205" s="3">
        <v>13.1</v>
      </c>
      <c r="G4205" t="s">
        <v>36</v>
      </c>
      <c r="H4205">
        <v>46</v>
      </c>
      <c r="I4205" t="s">
        <v>34</v>
      </c>
      <c r="J4205" s="4">
        <v>66.400000000000006</v>
      </c>
      <c r="K4205" s="4">
        <v>168</v>
      </c>
      <c r="L4205" s="4">
        <v>26.8</v>
      </c>
      <c r="M4205">
        <v>14</v>
      </c>
      <c r="N4205" t="s">
        <v>63</v>
      </c>
      <c r="O4205">
        <v>6</v>
      </c>
      <c r="P4205" s="4">
        <v>2062.4</v>
      </c>
      <c r="Q4205" t="s">
        <v>48</v>
      </c>
      <c r="R4205">
        <v>1</v>
      </c>
      <c r="S4205" t="s">
        <v>31</v>
      </c>
      <c r="T4205">
        <v>1</v>
      </c>
      <c r="U4205">
        <v>0</v>
      </c>
      <c r="V4205" t="s">
        <v>32</v>
      </c>
      <c r="W4205" t="s">
        <v>49</v>
      </c>
      <c r="X4205" s="4">
        <v>9.9</v>
      </c>
      <c r="Y4205">
        <v>10</v>
      </c>
      <c r="Z4205" s="5">
        <v>283.39999999999998</v>
      </c>
    </row>
    <row r="4206" spans="1:26">
      <c r="A4206">
        <v>4205</v>
      </c>
      <c r="B4206">
        <v>1376</v>
      </c>
      <c r="C4206" s="2">
        <v>46334</v>
      </c>
      <c r="D4206" t="s">
        <v>58</v>
      </c>
      <c r="E4206">
        <v>11</v>
      </c>
      <c r="F4206" s="3">
        <v>13.06</v>
      </c>
      <c r="G4206" t="s">
        <v>36</v>
      </c>
      <c r="H4206">
        <v>69</v>
      </c>
      <c r="I4206" t="s">
        <v>28</v>
      </c>
      <c r="J4206" s="4">
        <v>64.2</v>
      </c>
      <c r="K4206" s="4">
        <v>161.5</v>
      </c>
      <c r="L4206" s="4">
        <v>27.4</v>
      </c>
      <c r="M4206">
        <v>14</v>
      </c>
      <c r="N4206" t="s">
        <v>63</v>
      </c>
      <c r="O4206">
        <v>6</v>
      </c>
      <c r="P4206" s="4">
        <v>2062.4</v>
      </c>
      <c r="Q4206" t="s">
        <v>48</v>
      </c>
      <c r="R4206">
        <v>1</v>
      </c>
      <c r="S4206" t="s">
        <v>31</v>
      </c>
      <c r="T4206">
        <v>1</v>
      </c>
      <c r="U4206">
        <v>0</v>
      </c>
      <c r="V4206" t="s">
        <v>32</v>
      </c>
      <c r="W4206" t="s">
        <v>49</v>
      </c>
      <c r="X4206" s="4">
        <v>9.1999999999999993</v>
      </c>
      <c r="Y4206">
        <v>12</v>
      </c>
      <c r="Z4206" s="5">
        <v>284.82</v>
      </c>
    </row>
    <row r="4207" spans="1:26">
      <c r="A4207">
        <v>4206</v>
      </c>
      <c r="B4207">
        <v>1377</v>
      </c>
      <c r="C4207" s="2">
        <v>46168</v>
      </c>
      <c r="D4207" t="s">
        <v>35</v>
      </c>
      <c r="E4207">
        <v>5</v>
      </c>
      <c r="F4207" s="3">
        <v>9.8000000000000007</v>
      </c>
      <c r="G4207" t="s">
        <v>27</v>
      </c>
      <c r="H4207">
        <v>42</v>
      </c>
      <c r="I4207" t="s">
        <v>28</v>
      </c>
      <c r="J4207" s="4">
        <v>70.099999999999994</v>
      </c>
      <c r="K4207" s="4">
        <v>249.2</v>
      </c>
      <c r="L4207" s="4">
        <v>35.700000000000003</v>
      </c>
      <c r="M4207">
        <v>16</v>
      </c>
      <c r="N4207" t="s">
        <v>41</v>
      </c>
      <c r="O4207">
        <v>3</v>
      </c>
      <c r="P4207" s="4">
        <v>2006.1</v>
      </c>
      <c r="Q4207" t="s">
        <v>42</v>
      </c>
      <c r="R4207">
        <v>0</v>
      </c>
      <c r="S4207" t="s">
        <v>31</v>
      </c>
      <c r="T4207">
        <v>1</v>
      </c>
      <c r="U4207">
        <v>1</v>
      </c>
      <c r="V4207" t="s">
        <v>32</v>
      </c>
      <c r="W4207" t="s">
        <v>33</v>
      </c>
      <c r="X4207" s="4">
        <v>8.6999999999999993</v>
      </c>
      <c r="Y4207">
        <v>10</v>
      </c>
      <c r="Z4207" s="5">
        <v>262.55</v>
      </c>
    </row>
    <row r="4208" spans="1:26">
      <c r="A4208">
        <v>4207</v>
      </c>
      <c r="B4208">
        <v>1377</v>
      </c>
      <c r="C4208" s="2">
        <v>46168</v>
      </c>
      <c r="D4208" t="s">
        <v>35</v>
      </c>
      <c r="E4208">
        <v>5</v>
      </c>
      <c r="F4208" s="3">
        <v>9.7100000000000009</v>
      </c>
      <c r="G4208" t="s">
        <v>27</v>
      </c>
      <c r="H4208">
        <v>60</v>
      </c>
      <c r="I4208" t="s">
        <v>28</v>
      </c>
      <c r="J4208" s="4">
        <v>64.5</v>
      </c>
      <c r="K4208" s="4">
        <v>145.9</v>
      </c>
      <c r="L4208" s="4">
        <v>24.8</v>
      </c>
      <c r="M4208">
        <v>13</v>
      </c>
      <c r="N4208" t="s">
        <v>41</v>
      </c>
      <c r="O4208">
        <v>3</v>
      </c>
      <c r="P4208" s="4">
        <v>2006.1</v>
      </c>
      <c r="Q4208" t="s">
        <v>42</v>
      </c>
      <c r="R4208">
        <v>0</v>
      </c>
      <c r="S4208" t="s">
        <v>31</v>
      </c>
      <c r="T4208">
        <v>1</v>
      </c>
      <c r="U4208">
        <v>1</v>
      </c>
      <c r="V4208" t="s">
        <v>32</v>
      </c>
      <c r="W4208" t="s">
        <v>33</v>
      </c>
      <c r="X4208" s="4">
        <v>9.9</v>
      </c>
      <c r="Y4208">
        <v>5</v>
      </c>
      <c r="Z4208" s="5">
        <v>231.37</v>
      </c>
    </row>
    <row r="4209" spans="1:26">
      <c r="A4209">
        <v>4208</v>
      </c>
      <c r="B4209">
        <v>1377</v>
      </c>
      <c r="C4209" s="2">
        <v>46168</v>
      </c>
      <c r="D4209" t="s">
        <v>35</v>
      </c>
      <c r="E4209">
        <v>5</v>
      </c>
      <c r="F4209" s="3">
        <v>9.89</v>
      </c>
      <c r="G4209" t="s">
        <v>27</v>
      </c>
      <c r="H4209">
        <v>54</v>
      </c>
      <c r="I4209" t="s">
        <v>34</v>
      </c>
      <c r="J4209" s="4">
        <v>66</v>
      </c>
      <c r="K4209" s="4">
        <v>139</v>
      </c>
      <c r="L4209" s="4">
        <v>22.4</v>
      </c>
      <c r="M4209">
        <v>15</v>
      </c>
      <c r="N4209" t="s">
        <v>41</v>
      </c>
      <c r="O4209">
        <v>3</v>
      </c>
      <c r="P4209" s="4">
        <v>2006.1</v>
      </c>
      <c r="Q4209" t="s">
        <v>42</v>
      </c>
      <c r="R4209">
        <v>0</v>
      </c>
      <c r="S4209" t="s">
        <v>31</v>
      </c>
      <c r="T4209">
        <v>1</v>
      </c>
      <c r="U4209">
        <v>1</v>
      </c>
      <c r="V4209" t="s">
        <v>32</v>
      </c>
      <c r="W4209" t="s">
        <v>33</v>
      </c>
      <c r="X4209" s="4">
        <v>7.8</v>
      </c>
      <c r="Y4209">
        <v>8</v>
      </c>
      <c r="Z4209" s="5">
        <v>223.81</v>
      </c>
    </row>
    <row r="4210" spans="1:26">
      <c r="A4210">
        <v>4209</v>
      </c>
      <c r="B4210">
        <v>1378</v>
      </c>
      <c r="C4210" s="2">
        <v>46359</v>
      </c>
      <c r="D4210" t="s">
        <v>55</v>
      </c>
      <c r="E4210">
        <v>12</v>
      </c>
      <c r="F4210" s="3">
        <v>10.41</v>
      </c>
      <c r="G4210" t="s">
        <v>27</v>
      </c>
      <c r="H4210">
        <v>67</v>
      </c>
      <c r="I4210" t="s">
        <v>34</v>
      </c>
      <c r="J4210" s="4">
        <v>59.4</v>
      </c>
      <c r="K4210" s="4">
        <v>111.2</v>
      </c>
      <c r="L4210" s="4">
        <v>22.2</v>
      </c>
      <c r="M4210">
        <v>14</v>
      </c>
      <c r="N4210" t="s">
        <v>66</v>
      </c>
      <c r="O4210">
        <v>3</v>
      </c>
      <c r="P4210" s="4">
        <v>622.29999999999995</v>
      </c>
      <c r="Q4210" t="s">
        <v>42</v>
      </c>
      <c r="R4210">
        <v>0</v>
      </c>
      <c r="S4210" t="s">
        <v>31</v>
      </c>
      <c r="T4210">
        <v>0</v>
      </c>
      <c r="U4210">
        <v>0</v>
      </c>
      <c r="V4210" t="s">
        <v>32</v>
      </c>
      <c r="W4210" t="s">
        <v>43</v>
      </c>
      <c r="X4210" s="4">
        <v>8.8000000000000007</v>
      </c>
      <c r="Y4210">
        <v>6</v>
      </c>
      <c r="Z4210" s="5">
        <v>242.43</v>
      </c>
    </row>
    <row r="4211" spans="1:26">
      <c r="A4211">
        <v>4210</v>
      </c>
      <c r="B4211">
        <v>1378</v>
      </c>
      <c r="C4211" s="2">
        <v>46359</v>
      </c>
      <c r="D4211" t="s">
        <v>55</v>
      </c>
      <c r="E4211">
        <v>12</v>
      </c>
      <c r="F4211" s="3">
        <v>10.46</v>
      </c>
      <c r="G4211" t="s">
        <v>27</v>
      </c>
      <c r="H4211">
        <v>57</v>
      </c>
      <c r="I4211" t="s">
        <v>28</v>
      </c>
      <c r="J4211" s="4">
        <v>73.900000000000006</v>
      </c>
      <c r="K4211" s="4">
        <v>209.3</v>
      </c>
      <c r="L4211" s="4">
        <v>27.2</v>
      </c>
      <c r="M4211">
        <v>17</v>
      </c>
      <c r="N4211" t="s">
        <v>66</v>
      </c>
      <c r="O4211">
        <v>3</v>
      </c>
      <c r="P4211" s="4">
        <v>622.29999999999995</v>
      </c>
      <c r="Q4211" t="s">
        <v>42</v>
      </c>
      <c r="R4211">
        <v>0</v>
      </c>
      <c r="S4211" t="s">
        <v>31</v>
      </c>
      <c r="T4211">
        <v>0</v>
      </c>
      <c r="U4211">
        <v>0</v>
      </c>
      <c r="V4211" t="s">
        <v>32</v>
      </c>
      <c r="W4211" t="s">
        <v>43</v>
      </c>
      <c r="X4211" s="4">
        <v>6.5</v>
      </c>
      <c r="Y4211">
        <v>8</v>
      </c>
      <c r="Z4211" s="5">
        <v>170.81</v>
      </c>
    </row>
    <row r="4212" spans="1:26">
      <c r="A4212">
        <v>4211</v>
      </c>
      <c r="B4212">
        <v>1378</v>
      </c>
      <c r="C4212" s="2">
        <v>46359</v>
      </c>
      <c r="D4212" t="s">
        <v>55</v>
      </c>
      <c r="E4212">
        <v>12</v>
      </c>
      <c r="F4212" s="3">
        <v>10.31</v>
      </c>
      <c r="G4212" t="s">
        <v>27</v>
      </c>
      <c r="H4212">
        <v>33</v>
      </c>
      <c r="I4212" t="s">
        <v>34</v>
      </c>
      <c r="J4212" s="4">
        <v>60.1</v>
      </c>
      <c r="K4212" s="4">
        <v>123.1</v>
      </c>
      <c r="L4212" s="4">
        <v>24</v>
      </c>
      <c r="M4212">
        <v>14</v>
      </c>
      <c r="N4212" t="s">
        <v>66</v>
      </c>
      <c r="O4212">
        <v>3</v>
      </c>
      <c r="P4212" s="4">
        <v>622.29999999999995</v>
      </c>
      <c r="Q4212" t="s">
        <v>42</v>
      </c>
      <c r="R4212">
        <v>0</v>
      </c>
      <c r="S4212" t="s">
        <v>31</v>
      </c>
      <c r="T4212">
        <v>0</v>
      </c>
      <c r="U4212">
        <v>0</v>
      </c>
      <c r="V4212" t="s">
        <v>32</v>
      </c>
      <c r="W4212" t="s">
        <v>43</v>
      </c>
      <c r="X4212" s="4">
        <v>7.5</v>
      </c>
      <c r="Y4212">
        <v>8</v>
      </c>
      <c r="Z4212" s="5">
        <v>141.63999999999999</v>
      </c>
    </row>
    <row r="4213" spans="1:26">
      <c r="A4213">
        <v>4212</v>
      </c>
      <c r="B4213">
        <v>1379</v>
      </c>
      <c r="C4213" s="2">
        <v>46221</v>
      </c>
      <c r="D4213" t="s">
        <v>40</v>
      </c>
      <c r="E4213">
        <v>7</v>
      </c>
      <c r="F4213" s="3">
        <v>13.53</v>
      </c>
      <c r="G4213" t="s">
        <v>36</v>
      </c>
      <c r="H4213">
        <v>72</v>
      </c>
      <c r="I4213" t="s">
        <v>34</v>
      </c>
      <c r="J4213" s="4">
        <v>65.400000000000006</v>
      </c>
      <c r="K4213" s="4">
        <v>156.4</v>
      </c>
      <c r="L4213" s="4">
        <v>25.8</v>
      </c>
      <c r="M4213">
        <v>14</v>
      </c>
      <c r="N4213" t="s">
        <v>65</v>
      </c>
      <c r="O4213">
        <v>4</v>
      </c>
      <c r="P4213" s="4">
        <v>1712.6</v>
      </c>
      <c r="Q4213" t="s">
        <v>30</v>
      </c>
      <c r="R4213">
        <v>0</v>
      </c>
      <c r="S4213" t="s">
        <v>38</v>
      </c>
      <c r="T4213">
        <v>0</v>
      </c>
      <c r="U4213">
        <v>0</v>
      </c>
      <c r="V4213" t="s">
        <v>32</v>
      </c>
      <c r="W4213" t="s">
        <v>49</v>
      </c>
      <c r="X4213" s="4">
        <v>7.8</v>
      </c>
      <c r="Y4213">
        <v>8</v>
      </c>
      <c r="Z4213" s="5">
        <v>123.64</v>
      </c>
    </row>
    <row r="4214" spans="1:26">
      <c r="A4214">
        <v>4213</v>
      </c>
      <c r="B4214">
        <v>1379</v>
      </c>
      <c r="C4214" s="2">
        <v>46221</v>
      </c>
      <c r="D4214" t="s">
        <v>40</v>
      </c>
      <c r="E4214">
        <v>7</v>
      </c>
      <c r="F4214" s="3">
        <v>13.69</v>
      </c>
      <c r="G4214" t="s">
        <v>36</v>
      </c>
      <c r="H4214">
        <v>45</v>
      </c>
      <c r="I4214" t="s">
        <v>28</v>
      </c>
      <c r="J4214" s="4">
        <v>69.5</v>
      </c>
      <c r="K4214" s="4">
        <v>171.5</v>
      </c>
      <c r="L4214" s="4">
        <v>25</v>
      </c>
      <c r="M4214">
        <v>17</v>
      </c>
      <c r="N4214" t="s">
        <v>65</v>
      </c>
      <c r="O4214">
        <v>4</v>
      </c>
      <c r="P4214" s="4">
        <v>1712.6</v>
      </c>
      <c r="Q4214" t="s">
        <v>30</v>
      </c>
      <c r="R4214">
        <v>0</v>
      </c>
      <c r="S4214" t="s">
        <v>38</v>
      </c>
      <c r="T4214">
        <v>0</v>
      </c>
      <c r="U4214">
        <v>0</v>
      </c>
      <c r="V4214" t="s">
        <v>32</v>
      </c>
      <c r="W4214" t="s">
        <v>49</v>
      </c>
      <c r="X4214" s="4">
        <v>7.7</v>
      </c>
      <c r="Y4214">
        <v>12</v>
      </c>
      <c r="Z4214" s="5">
        <v>141.08000000000001</v>
      </c>
    </row>
    <row r="4215" spans="1:26">
      <c r="A4215">
        <v>4214</v>
      </c>
      <c r="B4215">
        <v>1379</v>
      </c>
      <c r="C4215" s="2">
        <v>46221</v>
      </c>
      <c r="D4215" t="s">
        <v>40</v>
      </c>
      <c r="E4215">
        <v>7</v>
      </c>
      <c r="F4215" s="3">
        <v>13.64</v>
      </c>
      <c r="G4215" t="s">
        <v>36</v>
      </c>
      <c r="H4215">
        <v>18</v>
      </c>
      <c r="I4215" t="s">
        <v>34</v>
      </c>
      <c r="J4215" s="4">
        <v>60.5</v>
      </c>
      <c r="K4215" s="4">
        <v>145.6</v>
      </c>
      <c r="L4215" s="4">
        <v>27.8</v>
      </c>
      <c r="M4215">
        <v>10</v>
      </c>
      <c r="N4215" t="s">
        <v>65</v>
      </c>
      <c r="O4215">
        <v>4</v>
      </c>
      <c r="P4215" s="4">
        <v>1712.6</v>
      </c>
      <c r="Q4215" t="s">
        <v>30</v>
      </c>
      <c r="R4215">
        <v>0</v>
      </c>
      <c r="S4215" t="s">
        <v>38</v>
      </c>
      <c r="T4215">
        <v>0</v>
      </c>
      <c r="U4215">
        <v>0</v>
      </c>
      <c r="V4215" t="s">
        <v>32</v>
      </c>
      <c r="W4215" t="s">
        <v>49</v>
      </c>
      <c r="X4215" s="4">
        <v>6.6</v>
      </c>
      <c r="Y4215">
        <v>6</v>
      </c>
      <c r="Z4215" s="5">
        <v>268.3</v>
      </c>
    </row>
    <row r="4216" spans="1:26">
      <c r="A4216">
        <v>4215</v>
      </c>
      <c r="B4216">
        <v>1379</v>
      </c>
      <c r="C4216" s="2">
        <v>46221</v>
      </c>
      <c r="D4216" t="s">
        <v>40</v>
      </c>
      <c r="E4216">
        <v>7</v>
      </c>
      <c r="F4216" s="3">
        <v>13.78</v>
      </c>
      <c r="G4216" t="s">
        <v>36</v>
      </c>
      <c r="H4216">
        <v>29</v>
      </c>
      <c r="I4216" t="s">
        <v>34</v>
      </c>
      <c r="J4216" s="4">
        <v>62.5</v>
      </c>
      <c r="K4216" s="4">
        <v>135.1</v>
      </c>
      <c r="L4216" s="4">
        <v>24.5</v>
      </c>
      <c r="M4216">
        <v>11</v>
      </c>
      <c r="N4216" t="s">
        <v>65</v>
      </c>
      <c r="O4216">
        <v>4</v>
      </c>
      <c r="P4216" s="4">
        <v>1712.6</v>
      </c>
      <c r="Q4216" t="s">
        <v>30</v>
      </c>
      <c r="R4216">
        <v>0</v>
      </c>
      <c r="S4216" t="s">
        <v>38</v>
      </c>
      <c r="T4216">
        <v>0</v>
      </c>
      <c r="U4216">
        <v>0</v>
      </c>
      <c r="V4216" t="s">
        <v>32</v>
      </c>
      <c r="W4216" t="s">
        <v>49</v>
      </c>
      <c r="X4216" s="4">
        <v>7.8</v>
      </c>
      <c r="Y4216">
        <v>9</v>
      </c>
      <c r="Z4216" s="5">
        <v>208.03</v>
      </c>
    </row>
    <row r="4217" spans="1:26">
      <c r="A4217">
        <v>4216</v>
      </c>
      <c r="B4217">
        <v>1380</v>
      </c>
      <c r="C4217" s="2">
        <v>46047</v>
      </c>
      <c r="D4217" t="s">
        <v>58</v>
      </c>
      <c r="E4217">
        <v>1</v>
      </c>
      <c r="F4217" s="3">
        <v>12.33</v>
      </c>
      <c r="G4217" t="s">
        <v>36</v>
      </c>
      <c r="H4217">
        <v>52</v>
      </c>
      <c r="I4217" t="s">
        <v>28</v>
      </c>
      <c r="J4217" s="4">
        <v>68.5</v>
      </c>
      <c r="K4217" s="4">
        <v>193.1</v>
      </c>
      <c r="L4217" s="4">
        <v>28.7</v>
      </c>
      <c r="M4217">
        <v>16</v>
      </c>
      <c r="N4217" t="s">
        <v>50</v>
      </c>
      <c r="O4217">
        <v>4</v>
      </c>
      <c r="P4217" s="4">
        <v>423.3</v>
      </c>
      <c r="Q4217" t="s">
        <v>42</v>
      </c>
      <c r="R4217">
        <v>1</v>
      </c>
      <c r="S4217" t="s">
        <v>31</v>
      </c>
      <c r="T4217">
        <v>0</v>
      </c>
      <c r="U4217">
        <v>0</v>
      </c>
      <c r="V4217" t="s">
        <v>32</v>
      </c>
      <c r="W4217" t="s">
        <v>39</v>
      </c>
      <c r="X4217" s="4">
        <v>6.2</v>
      </c>
      <c r="Y4217">
        <v>5</v>
      </c>
      <c r="Z4217" s="5">
        <v>157.53</v>
      </c>
    </row>
    <row r="4218" spans="1:26">
      <c r="A4218">
        <v>4217</v>
      </c>
      <c r="B4218">
        <v>1380</v>
      </c>
      <c r="C4218" s="2">
        <v>46047</v>
      </c>
      <c r="D4218" t="s">
        <v>58</v>
      </c>
      <c r="E4218">
        <v>1</v>
      </c>
      <c r="F4218" s="3">
        <v>12.34</v>
      </c>
      <c r="G4218" t="s">
        <v>36</v>
      </c>
      <c r="H4218">
        <v>9</v>
      </c>
      <c r="I4218" t="s">
        <v>34</v>
      </c>
      <c r="J4218" s="4">
        <v>64.8</v>
      </c>
      <c r="K4218" s="4">
        <v>132.4</v>
      </c>
      <c r="L4218" s="4">
        <v>22.1</v>
      </c>
      <c r="M4218">
        <v>10</v>
      </c>
      <c r="N4218" t="s">
        <v>50</v>
      </c>
      <c r="O4218">
        <v>4</v>
      </c>
      <c r="P4218" s="4">
        <v>423.3</v>
      </c>
      <c r="Q4218" t="s">
        <v>42</v>
      </c>
      <c r="R4218">
        <v>1</v>
      </c>
      <c r="S4218" t="s">
        <v>31</v>
      </c>
      <c r="T4218">
        <v>0</v>
      </c>
      <c r="U4218">
        <v>0</v>
      </c>
      <c r="V4218" t="s">
        <v>32</v>
      </c>
      <c r="W4218" t="s">
        <v>39</v>
      </c>
      <c r="X4218" s="4">
        <v>8.6999999999999993</v>
      </c>
      <c r="Y4218">
        <v>4</v>
      </c>
      <c r="Z4218" s="5">
        <v>161.88999999999999</v>
      </c>
    </row>
    <row r="4219" spans="1:26">
      <c r="A4219">
        <v>4218</v>
      </c>
      <c r="B4219">
        <v>1380</v>
      </c>
      <c r="C4219" s="2">
        <v>46047</v>
      </c>
      <c r="D4219" t="s">
        <v>58</v>
      </c>
      <c r="E4219">
        <v>1</v>
      </c>
      <c r="F4219" s="3">
        <v>12.29</v>
      </c>
      <c r="G4219" t="s">
        <v>36</v>
      </c>
      <c r="H4219">
        <v>12</v>
      </c>
      <c r="I4219" t="s">
        <v>28</v>
      </c>
      <c r="J4219" s="4">
        <v>65</v>
      </c>
      <c r="K4219" s="4">
        <v>124.4</v>
      </c>
      <c r="L4219" s="4">
        <v>20.399999999999999</v>
      </c>
      <c r="M4219">
        <v>10</v>
      </c>
      <c r="N4219" t="s">
        <v>50</v>
      </c>
      <c r="O4219">
        <v>4</v>
      </c>
      <c r="P4219" s="4">
        <v>423.3</v>
      </c>
      <c r="Q4219" t="s">
        <v>42</v>
      </c>
      <c r="R4219">
        <v>1</v>
      </c>
      <c r="S4219" t="s">
        <v>31</v>
      </c>
      <c r="T4219">
        <v>0</v>
      </c>
      <c r="U4219">
        <v>0</v>
      </c>
      <c r="V4219" t="s">
        <v>32</v>
      </c>
      <c r="W4219" t="s">
        <v>39</v>
      </c>
      <c r="X4219" s="4">
        <v>8.6</v>
      </c>
      <c r="Y4219">
        <v>3</v>
      </c>
      <c r="Z4219" s="5">
        <v>188.06</v>
      </c>
    </row>
    <row r="4220" spans="1:26">
      <c r="A4220">
        <v>4219</v>
      </c>
      <c r="B4220">
        <v>1380</v>
      </c>
      <c r="C4220" s="2">
        <v>46047</v>
      </c>
      <c r="D4220" t="s">
        <v>58</v>
      </c>
      <c r="E4220">
        <v>1</v>
      </c>
      <c r="F4220" s="3">
        <v>12.46</v>
      </c>
      <c r="G4220" t="s">
        <v>36</v>
      </c>
      <c r="H4220">
        <v>31</v>
      </c>
      <c r="I4220" t="s">
        <v>28</v>
      </c>
      <c r="J4220" s="4">
        <v>71.599999999999994</v>
      </c>
      <c r="K4220" s="4">
        <v>147.30000000000001</v>
      </c>
      <c r="L4220" s="4">
        <v>20.2</v>
      </c>
      <c r="M4220">
        <v>12</v>
      </c>
      <c r="N4220" t="s">
        <v>50</v>
      </c>
      <c r="O4220">
        <v>4</v>
      </c>
      <c r="P4220" s="4">
        <v>423.3</v>
      </c>
      <c r="Q4220" t="s">
        <v>42</v>
      </c>
      <c r="R4220">
        <v>1</v>
      </c>
      <c r="S4220" t="s">
        <v>31</v>
      </c>
      <c r="T4220">
        <v>0</v>
      </c>
      <c r="U4220">
        <v>0</v>
      </c>
      <c r="V4220" t="s">
        <v>32</v>
      </c>
      <c r="W4220" t="s">
        <v>39</v>
      </c>
      <c r="X4220" s="4">
        <v>9</v>
      </c>
      <c r="Y4220">
        <v>9</v>
      </c>
      <c r="Z4220" s="5">
        <v>206.15</v>
      </c>
    </row>
    <row r="4221" spans="1:26">
      <c r="A4221">
        <v>4220</v>
      </c>
      <c r="B4221">
        <v>1381</v>
      </c>
      <c r="C4221" s="2">
        <v>46135</v>
      </c>
      <c r="D4221" t="s">
        <v>55</v>
      </c>
      <c r="E4221">
        <v>4</v>
      </c>
      <c r="F4221" s="3">
        <v>10.61</v>
      </c>
      <c r="G4221" t="s">
        <v>27</v>
      </c>
      <c r="H4221">
        <v>35</v>
      </c>
      <c r="I4221" t="s">
        <v>34</v>
      </c>
      <c r="J4221" s="4">
        <v>64.599999999999994</v>
      </c>
      <c r="K4221" s="4">
        <v>173.1</v>
      </c>
      <c r="L4221" s="4">
        <v>29.2</v>
      </c>
      <c r="M4221">
        <v>14</v>
      </c>
      <c r="N4221" t="s">
        <v>50</v>
      </c>
      <c r="O4221">
        <v>2</v>
      </c>
      <c r="P4221" s="4">
        <v>449.4</v>
      </c>
      <c r="Q4221" t="s">
        <v>48</v>
      </c>
      <c r="R4221">
        <v>1</v>
      </c>
      <c r="S4221" t="s">
        <v>44</v>
      </c>
      <c r="T4221">
        <v>0</v>
      </c>
      <c r="U4221">
        <v>0</v>
      </c>
      <c r="V4221" t="s">
        <v>45</v>
      </c>
      <c r="W4221" t="s">
        <v>39</v>
      </c>
      <c r="X4221" s="4">
        <v>7.7</v>
      </c>
      <c r="Y4221">
        <v>9</v>
      </c>
      <c r="Z4221" s="5">
        <v>264.29000000000002</v>
      </c>
    </row>
    <row r="4222" spans="1:26">
      <c r="A4222">
        <v>4221</v>
      </c>
      <c r="B4222">
        <v>1381</v>
      </c>
      <c r="C4222" s="2">
        <v>46135</v>
      </c>
      <c r="D4222" t="s">
        <v>55</v>
      </c>
      <c r="E4222">
        <v>4</v>
      </c>
      <c r="F4222" s="3">
        <v>10.66</v>
      </c>
      <c r="G4222" t="s">
        <v>27</v>
      </c>
      <c r="H4222">
        <v>36</v>
      </c>
      <c r="I4222" t="s">
        <v>34</v>
      </c>
      <c r="J4222" s="4">
        <v>63.8</v>
      </c>
      <c r="K4222" s="4">
        <v>158.9</v>
      </c>
      <c r="L4222" s="4">
        <v>27.3</v>
      </c>
      <c r="M4222">
        <v>17</v>
      </c>
      <c r="N4222" t="s">
        <v>50</v>
      </c>
      <c r="O4222">
        <v>2</v>
      </c>
      <c r="P4222" s="4">
        <v>449.4</v>
      </c>
      <c r="Q4222" t="s">
        <v>48</v>
      </c>
      <c r="R4222">
        <v>1</v>
      </c>
      <c r="S4222" t="s">
        <v>44</v>
      </c>
      <c r="T4222">
        <v>0</v>
      </c>
      <c r="U4222">
        <v>0</v>
      </c>
      <c r="V4222" t="s">
        <v>45</v>
      </c>
      <c r="W4222" t="s">
        <v>39</v>
      </c>
      <c r="X4222" s="4">
        <v>9.9</v>
      </c>
      <c r="Y4222">
        <v>14</v>
      </c>
      <c r="Z4222" s="5">
        <v>369.38</v>
      </c>
    </row>
    <row r="4223" spans="1:26">
      <c r="A4223">
        <v>4222</v>
      </c>
      <c r="B4223">
        <v>1382</v>
      </c>
      <c r="C4223" s="2">
        <v>46127</v>
      </c>
      <c r="D4223" t="s">
        <v>52</v>
      </c>
      <c r="E4223">
        <v>4</v>
      </c>
      <c r="F4223" s="3">
        <v>11.02</v>
      </c>
      <c r="G4223" t="s">
        <v>36</v>
      </c>
      <c r="H4223">
        <v>69</v>
      </c>
      <c r="I4223" t="s">
        <v>28</v>
      </c>
      <c r="J4223" s="4">
        <v>69.599999999999994</v>
      </c>
      <c r="K4223" s="4">
        <v>185.9</v>
      </c>
      <c r="L4223" s="4">
        <v>27.3</v>
      </c>
      <c r="M4223">
        <v>14</v>
      </c>
      <c r="N4223" t="s">
        <v>56</v>
      </c>
      <c r="O4223">
        <v>1</v>
      </c>
      <c r="P4223" s="4">
        <v>427.4</v>
      </c>
      <c r="Q4223" t="s">
        <v>30</v>
      </c>
      <c r="R4223">
        <v>0</v>
      </c>
      <c r="S4223" t="s">
        <v>44</v>
      </c>
      <c r="T4223">
        <v>0</v>
      </c>
      <c r="U4223">
        <v>0</v>
      </c>
      <c r="V4223" t="s">
        <v>32</v>
      </c>
      <c r="W4223" t="s">
        <v>43</v>
      </c>
      <c r="X4223" s="4">
        <v>6.7</v>
      </c>
      <c r="Y4223">
        <v>10</v>
      </c>
      <c r="Z4223" s="5">
        <v>168.25</v>
      </c>
    </row>
    <row r="4224" spans="1:26">
      <c r="A4224">
        <v>4223</v>
      </c>
      <c r="B4224">
        <v>1383</v>
      </c>
      <c r="C4224" s="2">
        <v>46261</v>
      </c>
      <c r="D4224" t="s">
        <v>55</v>
      </c>
      <c r="E4224">
        <v>8</v>
      </c>
      <c r="F4224" s="3">
        <v>12.57</v>
      </c>
      <c r="G4224" t="s">
        <v>36</v>
      </c>
      <c r="H4224">
        <v>43</v>
      </c>
      <c r="I4224" t="s">
        <v>34</v>
      </c>
      <c r="J4224" s="4">
        <v>60.2</v>
      </c>
      <c r="K4224" s="4">
        <v>149.9</v>
      </c>
      <c r="L4224" s="4">
        <v>29.1</v>
      </c>
      <c r="M4224">
        <v>16</v>
      </c>
      <c r="N4224" t="s">
        <v>47</v>
      </c>
      <c r="O4224">
        <v>2</v>
      </c>
      <c r="P4224" s="4">
        <v>201.9</v>
      </c>
      <c r="Q4224" t="s">
        <v>42</v>
      </c>
      <c r="R4224">
        <v>0</v>
      </c>
      <c r="S4224" t="s">
        <v>44</v>
      </c>
      <c r="T4224">
        <v>1</v>
      </c>
      <c r="U4224">
        <v>0</v>
      </c>
      <c r="V4224" t="s">
        <v>32</v>
      </c>
      <c r="W4224" t="s">
        <v>49</v>
      </c>
      <c r="X4224" s="4">
        <v>7.9</v>
      </c>
      <c r="Y4224">
        <v>13</v>
      </c>
      <c r="Z4224" s="5">
        <v>236.77</v>
      </c>
    </row>
    <row r="4225" spans="1:26">
      <c r="A4225">
        <v>4224</v>
      </c>
      <c r="B4225">
        <v>1383</v>
      </c>
      <c r="C4225" s="2">
        <v>46261</v>
      </c>
      <c r="D4225" t="s">
        <v>55</v>
      </c>
      <c r="E4225">
        <v>8</v>
      </c>
      <c r="F4225" s="3">
        <v>12.53</v>
      </c>
      <c r="G4225" t="s">
        <v>36</v>
      </c>
      <c r="H4225">
        <v>50</v>
      </c>
      <c r="I4225" t="s">
        <v>34</v>
      </c>
      <c r="J4225" s="4">
        <v>65.8</v>
      </c>
      <c r="K4225" s="4">
        <v>176</v>
      </c>
      <c r="L4225" s="4">
        <v>28.7</v>
      </c>
      <c r="M4225">
        <v>17</v>
      </c>
      <c r="N4225" t="s">
        <v>47</v>
      </c>
      <c r="O4225">
        <v>2</v>
      </c>
      <c r="P4225" s="4">
        <v>201.9</v>
      </c>
      <c r="Q4225" t="s">
        <v>42</v>
      </c>
      <c r="R4225">
        <v>0</v>
      </c>
      <c r="S4225" t="s">
        <v>44</v>
      </c>
      <c r="T4225">
        <v>1</v>
      </c>
      <c r="U4225">
        <v>0</v>
      </c>
      <c r="V4225" t="s">
        <v>32</v>
      </c>
      <c r="W4225" t="s">
        <v>49</v>
      </c>
      <c r="X4225" s="4">
        <v>7.2</v>
      </c>
      <c r="Y4225">
        <v>11</v>
      </c>
      <c r="Z4225" s="5">
        <v>187.75</v>
      </c>
    </row>
    <row r="4226" spans="1:26">
      <c r="A4226">
        <v>4225</v>
      </c>
      <c r="B4226">
        <v>1384</v>
      </c>
      <c r="C4226" s="2">
        <v>46337</v>
      </c>
      <c r="D4226" t="s">
        <v>52</v>
      </c>
      <c r="E4226">
        <v>11</v>
      </c>
      <c r="F4226" s="3">
        <v>9.68</v>
      </c>
      <c r="G4226" t="s">
        <v>27</v>
      </c>
      <c r="H4226">
        <v>61</v>
      </c>
      <c r="I4226" t="s">
        <v>28</v>
      </c>
      <c r="J4226" s="4">
        <v>69.099999999999994</v>
      </c>
      <c r="K4226" s="4">
        <v>177.1</v>
      </c>
      <c r="L4226" s="4">
        <v>26.2</v>
      </c>
      <c r="M4226">
        <v>16</v>
      </c>
      <c r="N4226" t="s">
        <v>59</v>
      </c>
      <c r="O4226">
        <v>2</v>
      </c>
      <c r="P4226" s="4">
        <v>835.4</v>
      </c>
      <c r="Q4226" t="s">
        <v>30</v>
      </c>
      <c r="R4226">
        <v>1</v>
      </c>
      <c r="S4226" t="s">
        <v>44</v>
      </c>
      <c r="T4226">
        <v>0</v>
      </c>
      <c r="U4226">
        <v>1</v>
      </c>
      <c r="V4226" t="s">
        <v>32</v>
      </c>
      <c r="W4226" t="s">
        <v>33</v>
      </c>
      <c r="X4226" s="4">
        <v>8.9</v>
      </c>
      <c r="Y4226">
        <v>9</v>
      </c>
      <c r="Z4226" s="5">
        <v>191.12</v>
      </c>
    </row>
    <row r="4227" spans="1:26">
      <c r="A4227">
        <v>4226</v>
      </c>
      <c r="B4227">
        <v>1384</v>
      </c>
      <c r="C4227" s="2">
        <v>46337</v>
      </c>
      <c r="D4227" t="s">
        <v>52</v>
      </c>
      <c r="E4227">
        <v>11</v>
      </c>
      <c r="F4227" s="3">
        <v>9.48</v>
      </c>
      <c r="G4227" t="s">
        <v>27</v>
      </c>
      <c r="H4227">
        <v>73</v>
      </c>
      <c r="I4227" t="s">
        <v>28</v>
      </c>
      <c r="J4227" s="4">
        <v>66.900000000000006</v>
      </c>
      <c r="K4227" s="4">
        <v>183</v>
      </c>
      <c r="L4227" s="4">
        <v>28.7</v>
      </c>
      <c r="M4227">
        <v>14</v>
      </c>
      <c r="N4227" t="s">
        <v>59</v>
      </c>
      <c r="O4227">
        <v>2</v>
      </c>
      <c r="P4227" s="4">
        <v>835.4</v>
      </c>
      <c r="Q4227" t="s">
        <v>30</v>
      </c>
      <c r="R4227">
        <v>1</v>
      </c>
      <c r="S4227" t="s">
        <v>44</v>
      </c>
      <c r="T4227">
        <v>0</v>
      </c>
      <c r="U4227">
        <v>1</v>
      </c>
      <c r="V4227" t="s">
        <v>32</v>
      </c>
      <c r="W4227" t="s">
        <v>33</v>
      </c>
      <c r="X4227" s="4">
        <v>9.6999999999999993</v>
      </c>
      <c r="Y4227">
        <v>13</v>
      </c>
      <c r="Z4227" s="5">
        <v>241.61</v>
      </c>
    </row>
    <row r="4228" spans="1:26">
      <c r="A4228">
        <v>4227</v>
      </c>
      <c r="B4228">
        <v>1385</v>
      </c>
      <c r="C4228" s="2">
        <v>46149</v>
      </c>
      <c r="D4228" t="s">
        <v>55</v>
      </c>
      <c r="E4228">
        <v>5</v>
      </c>
      <c r="F4228" s="3">
        <v>11.09</v>
      </c>
      <c r="G4228" t="s">
        <v>36</v>
      </c>
      <c r="H4228">
        <v>58</v>
      </c>
      <c r="I4228" t="s">
        <v>28</v>
      </c>
      <c r="J4228" s="4">
        <v>70</v>
      </c>
      <c r="K4228" s="4">
        <v>179.2</v>
      </c>
      <c r="L4228" s="4">
        <v>25.8</v>
      </c>
      <c r="M4228">
        <v>15</v>
      </c>
      <c r="N4228" t="s">
        <v>56</v>
      </c>
      <c r="O4228">
        <v>3</v>
      </c>
      <c r="P4228" s="4">
        <v>310.10000000000002</v>
      </c>
      <c r="Q4228" t="s">
        <v>48</v>
      </c>
      <c r="R4228">
        <v>0</v>
      </c>
      <c r="S4228" t="s">
        <v>44</v>
      </c>
      <c r="T4228">
        <v>1</v>
      </c>
      <c r="U4228">
        <v>0</v>
      </c>
      <c r="V4228" t="s">
        <v>32</v>
      </c>
      <c r="W4228" t="s">
        <v>39</v>
      </c>
      <c r="X4228" s="4">
        <v>5.2</v>
      </c>
      <c r="Y4228">
        <v>9</v>
      </c>
      <c r="Z4228" s="5">
        <v>378.76</v>
      </c>
    </row>
    <row r="4229" spans="1:26">
      <c r="A4229">
        <v>4228</v>
      </c>
      <c r="B4229">
        <v>1385</v>
      </c>
      <c r="C4229" s="2">
        <v>46149</v>
      </c>
      <c r="D4229" t="s">
        <v>55</v>
      </c>
      <c r="E4229">
        <v>5</v>
      </c>
      <c r="F4229" s="3">
        <v>11.06</v>
      </c>
      <c r="G4229" t="s">
        <v>36</v>
      </c>
      <c r="H4229">
        <v>10</v>
      </c>
      <c r="I4229" t="s">
        <v>34</v>
      </c>
      <c r="J4229" s="4">
        <v>60.6</v>
      </c>
      <c r="K4229" s="4">
        <v>89.2</v>
      </c>
      <c r="L4229" s="4">
        <v>17</v>
      </c>
      <c r="M4229">
        <v>16</v>
      </c>
      <c r="N4229" t="s">
        <v>56</v>
      </c>
      <c r="O4229">
        <v>3</v>
      </c>
      <c r="P4229" s="4">
        <v>310.10000000000002</v>
      </c>
      <c r="Q4229" t="s">
        <v>48</v>
      </c>
      <c r="R4229">
        <v>0</v>
      </c>
      <c r="S4229" t="s">
        <v>44</v>
      </c>
      <c r="T4229">
        <v>1</v>
      </c>
      <c r="U4229">
        <v>0</v>
      </c>
      <c r="V4229" t="s">
        <v>32</v>
      </c>
      <c r="W4229" t="s">
        <v>39</v>
      </c>
      <c r="X4229" s="4">
        <v>11.2</v>
      </c>
      <c r="Y4229">
        <v>13</v>
      </c>
      <c r="Z4229" s="5">
        <v>355.08</v>
      </c>
    </row>
    <row r="4230" spans="1:26">
      <c r="A4230">
        <v>4229</v>
      </c>
      <c r="B4230">
        <v>1385</v>
      </c>
      <c r="C4230" s="2">
        <v>46149</v>
      </c>
      <c r="D4230" t="s">
        <v>55</v>
      </c>
      <c r="E4230">
        <v>5</v>
      </c>
      <c r="F4230" s="3">
        <v>10.95</v>
      </c>
      <c r="G4230" t="s">
        <v>27</v>
      </c>
      <c r="H4230">
        <v>46</v>
      </c>
      <c r="I4230" t="s">
        <v>34</v>
      </c>
      <c r="J4230" s="4">
        <v>69.8</v>
      </c>
      <c r="K4230" s="4">
        <v>222.6</v>
      </c>
      <c r="L4230" s="4">
        <v>32.299999999999997</v>
      </c>
      <c r="M4230">
        <v>18</v>
      </c>
      <c r="N4230" t="s">
        <v>56</v>
      </c>
      <c r="O4230">
        <v>3</v>
      </c>
      <c r="P4230" s="4">
        <v>310.10000000000002</v>
      </c>
      <c r="Q4230" t="s">
        <v>48</v>
      </c>
      <c r="R4230">
        <v>0</v>
      </c>
      <c r="S4230" t="s">
        <v>44</v>
      </c>
      <c r="T4230">
        <v>1</v>
      </c>
      <c r="U4230">
        <v>0</v>
      </c>
      <c r="V4230" t="s">
        <v>32</v>
      </c>
      <c r="W4230" t="s">
        <v>39</v>
      </c>
      <c r="X4230" s="4">
        <v>11.7</v>
      </c>
      <c r="Y4230">
        <v>10</v>
      </c>
      <c r="Z4230" s="5">
        <v>347.6</v>
      </c>
    </row>
    <row r="4231" spans="1:26">
      <c r="A4231">
        <v>4230</v>
      </c>
      <c r="B4231">
        <v>1386</v>
      </c>
      <c r="C4231" s="2">
        <v>46297</v>
      </c>
      <c r="D4231" t="s">
        <v>26</v>
      </c>
      <c r="E4231">
        <v>10</v>
      </c>
      <c r="F4231" s="3">
        <v>11.86</v>
      </c>
      <c r="G4231" t="s">
        <v>36</v>
      </c>
      <c r="H4231">
        <v>12</v>
      </c>
      <c r="I4231" t="s">
        <v>34</v>
      </c>
      <c r="J4231" s="4">
        <v>62</v>
      </c>
      <c r="K4231" s="4">
        <v>98.3</v>
      </c>
      <c r="L4231" s="4">
        <v>18.2</v>
      </c>
      <c r="M4231">
        <v>11</v>
      </c>
      <c r="N4231" t="s">
        <v>56</v>
      </c>
      <c r="O4231">
        <v>4</v>
      </c>
      <c r="P4231" s="4">
        <v>162.6</v>
      </c>
      <c r="Q4231" t="s">
        <v>30</v>
      </c>
      <c r="R4231">
        <v>1</v>
      </c>
      <c r="S4231" t="s">
        <v>38</v>
      </c>
      <c r="T4231">
        <v>0</v>
      </c>
      <c r="U4231">
        <v>0</v>
      </c>
      <c r="V4231" t="s">
        <v>32</v>
      </c>
      <c r="W4231" t="s">
        <v>49</v>
      </c>
      <c r="X4231" s="4">
        <v>7.3</v>
      </c>
      <c r="Y4231">
        <v>9</v>
      </c>
      <c r="Z4231" s="5">
        <v>269.70999999999998</v>
      </c>
    </row>
    <row r="4232" spans="1:26">
      <c r="A4232">
        <v>4231</v>
      </c>
      <c r="B4232">
        <v>1386</v>
      </c>
      <c r="C4232" s="2">
        <v>46297</v>
      </c>
      <c r="D4232" t="s">
        <v>26</v>
      </c>
      <c r="E4232">
        <v>10</v>
      </c>
      <c r="F4232" s="3">
        <v>11.83</v>
      </c>
      <c r="G4232" t="s">
        <v>36</v>
      </c>
      <c r="H4232">
        <v>61</v>
      </c>
      <c r="I4232" t="s">
        <v>28</v>
      </c>
      <c r="J4232" s="4">
        <v>77.7</v>
      </c>
      <c r="K4232" s="4">
        <v>228.6</v>
      </c>
      <c r="L4232" s="4">
        <v>26.6</v>
      </c>
      <c r="M4232">
        <v>11</v>
      </c>
      <c r="N4232" t="s">
        <v>56</v>
      </c>
      <c r="O4232">
        <v>4</v>
      </c>
      <c r="P4232" s="4">
        <v>162.6</v>
      </c>
      <c r="Q4232" t="s">
        <v>30</v>
      </c>
      <c r="R4232">
        <v>1</v>
      </c>
      <c r="S4232" t="s">
        <v>38</v>
      </c>
      <c r="T4232">
        <v>0</v>
      </c>
      <c r="U4232">
        <v>0</v>
      </c>
      <c r="V4232" t="s">
        <v>32</v>
      </c>
      <c r="W4232" t="s">
        <v>49</v>
      </c>
      <c r="X4232" s="4">
        <v>4.9000000000000004</v>
      </c>
      <c r="Y4232">
        <v>7</v>
      </c>
      <c r="Z4232" s="5">
        <v>169.97</v>
      </c>
    </row>
    <row r="4233" spans="1:26">
      <c r="A4233">
        <v>4232</v>
      </c>
      <c r="B4233">
        <v>1386</v>
      </c>
      <c r="C4233" s="2">
        <v>46297</v>
      </c>
      <c r="D4233" t="s">
        <v>26</v>
      </c>
      <c r="E4233">
        <v>10</v>
      </c>
      <c r="F4233" s="3">
        <v>12.19</v>
      </c>
      <c r="G4233" t="s">
        <v>36</v>
      </c>
      <c r="H4233">
        <v>22</v>
      </c>
      <c r="I4233" t="s">
        <v>28</v>
      </c>
      <c r="J4233" s="4">
        <v>67</v>
      </c>
      <c r="K4233" s="4">
        <v>147</v>
      </c>
      <c r="L4233" s="4">
        <v>23.1</v>
      </c>
      <c r="M4233">
        <v>14</v>
      </c>
      <c r="N4233" t="s">
        <v>56</v>
      </c>
      <c r="O4233">
        <v>4</v>
      </c>
      <c r="P4233" s="4">
        <v>162.6</v>
      </c>
      <c r="Q4233" t="s">
        <v>30</v>
      </c>
      <c r="R4233">
        <v>1</v>
      </c>
      <c r="S4233" t="s">
        <v>38</v>
      </c>
      <c r="T4233">
        <v>0</v>
      </c>
      <c r="U4233">
        <v>0</v>
      </c>
      <c r="V4233" t="s">
        <v>32</v>
      </c>
      <c r="W4233" t="s">
        <v>49</v>
      </c>
      <c r="X4233" s="4">
        <v>9.3000000000000007</v>
      </c>
      <c r="Y4233">
        <v>12</v>
      </c>
      <c r="Z4233" s="5">
        <v>214.07</v>
      </c>
    </row>
    <row r="4234" spans="1:26">
      <c r="A4234">
        <v>4233</v>
      </c>
      <c r="B4234">
        <v>1386</v>
      </c>
      <c r="C4234" s="2">
        <v>46297</v>
      </c>
      <c r="D4234" t="s">
        <v>26</v>
      </c>
      <c r="E4234">
        <v>10</v>
      </c>
      <c r="F4234" s="3">
        <v>11.97</v>
      </c>
      <c r="G4234" t="s">
        <v>36</v>
      </c>
      <c r="H4234">
        <v>33</v>
      </c>
      <c r="I4234" t="s">
        <v>34</v>
      </c>
      <c r="J4234" s="4">
        <v>65.400000000000006</v>
      </c>
      <c r="K4234" s="4">
        <v>134.6</v>
      </c>
      <c r="L4234" s="4">
        <v>22.1</v>
      </c>
      <c r="M4234">
        <v>15</v>
      </c>
      <c r="N4234" t="s">
        <v>56</v>
      </c>
      <c r="O4234">
        <v>4</v>
      </c>
      <c r="P4234" s="4">
        <v>162.6</v>
      </c>
      <c r="Q4234" t="s">
        <v>30</v>
      </c>
      <c r="R4234">
        <v>1</v>
      </c>
      <c r="S4234" t="s">
        <v>38</v>
      </c>
      <c r="T4234">
        <v>0</v>
      </c>
      <c r="U4234">
        <v>0</v>
      </c>
      <c r="V4234" t="s">
        <v>32</v>
      </c>
      <c r="W4234" t="s">
        <v>49</v>
      </c>
      <c r="X4234" s="4">
        <v>7.3</v>
      </c>
      <c r="Y4234">
        <v>7</v>
      </c>
      <c r="Z4234" s="5">
        <v>109.85</v>
      </c>
    </row>
    <row r="4235" spans="1:26">
      <c r="A4235">
        <v>4234</v>
      </c>
      <c r="B4235">
        <v>1387</v>
      </c>
      <c r="C4235" s="2">
        <v>46297</v>
      </c>
      <c r="D4235" t="s">
        <v>26</v>
      </c>
      <c r="E4235">
        <v>10</v>
      </c>
      <c r="F4235" s="3">
        <v>11.82</v>
      </c>
      <c r="G4235" t="s">
        <v>36</v>
      </c>
      <c r="H4235">
        <v>28</v>
      </c>
      <c r="I4235" t="s">
        <v>34</v>
      </c>
      <c r="J4235" s="4">
        <v>66.2</v>
      </c>
      <c r="K4235" s="4">
        <v>119.1</v>
      </c>
      <c r="L4235" s="4">
        <v>19</v>
      </c>
      <c r="M4235">
        <v>16</v>
      </c>
      <c r="N4235" t="s">
        <v>66</v>
      </c>
      <c r="O4235">
        <v>3</v>
      </c>
      <c r="P4235" s="4">
        <v>775.1</v>
      </c>
      <c r="Q4235" t="s">
        <v>48</v>
      </c>
      <c r="R4235">
        <v>0</v>
      </c>
      <c r="S4235" t="s">
        <v>31</v>
      </c>
      <c r="T4235">
        <v>1</v>
      </c>
      <c r="U4235">
        <v>0</v>
      </c>
      <c r="V4235" t="s">
        <v>32</v>
      </c>
      <c r="W4235" t="s">
        <v>49</v>
      </c>
      <c r="X4235" s="4">
        <v>9.1</v>
      </c>
      <c r="Y4235">
        <v>7</v>
      </c>
      <c r="Z4235" s="5">
        <v>171.74</v>
      </c>
    </row>
    <row r="4236" spans="1:26">
      <c r="A4236">
        <v>4235</v>
      </c>
      <c r="B4236">
        <v>1387</v>
      </c>
      <c r="C4236" s="2">
        <v>46297</v>
      </c>
      <c r="D4236" t="s">
        <v>26</v>
      </c>
      <c r="E4236">
        <v>10</v>
      </c>
      <c r="F4236" s="3">
        <v>11.85</v>
      </c>
      <c r="G4236" t="s">
        <v>36</v>
      </c>
      <c r="H4236">
        <v>3</v>
      </c>
      <c r="I4236" t="s">
        <v>28</v>
      </c>
      <c r="J4236" s="4">
        <v>51.5</v>
      </c>
      <c r="K4236" s="4">
        <v>69.5</v>
      </c>
      <c r="L4236" s="4">
        <v>18.600000000000001</v>
      </c>
      <c r="M4236">
        <v>15</v>
      </c>
      <c r="N4236" t="s">
        <v>66</v>
      </c>
      <c r="O4236">
        <v>3</v>
      </c>
      <c r="P4236" s="4">
        <v>775.1</v>
      </c>
      <c r="Q4236" t="s">
        <v>48</v>
      </c>
      <c r="R4236">
        <v>0</v>
      </c>
      <c r="S4236" t="s">
        <v>31</v>
      </c>
      <c r="T4236">
        <v>1</v>
      </c>
      <c r="U4236">
        <v>0</v>
      </c>
      <c r="V4236" t="s">
        <v>32</v>
      </c>
      <c r="W4236" t="s">
        <v>49</v>
      </c>
      <c r="X4236" s="4">
        <v>9.1</v>
      </c>
      <c r="Y4236">
        <v>9</v>
      </c>
      <c r="Z4236" s="5">
        <v>421.57</v>
      </c>
    </row>
    <row r="4237" spans="1:26">
      <c r="A4237">
        <v>4236</v>
      </c>
      <c r="B4237">
        <v>1387</v>
      </c>
      <c r="C4237" s="2">
        <v>46297</v>
      </c>
      <c r="D4237" t="s">
        <v>26</v>
      </c>
      <c r="E4237">
        <v>10</v>
      </c>
      <c r="F4237" s="3">
        <v>11.82</v>
      </c>
      <c r="G4237" t="s">
        <v>36</v>
      </c>
      <c r="H4237">
        <v>65</v>
      </c>
      <c r="I4237" t="s">
        <v>34</v>
      </c>
      <c r="J4237" s="4">
        <v>62.4</v>
      </c>
      <c r="K4237" s="4">
        <v>123.6</v>
      </c>
      <c r="L4237" s="4">
        <v>22.2</v>
      </c>
      <c r="M4237">
        <v>18</v>
      </c>
      <c r="N4237" t="s">
        <v>66</v>
      </c>
      <c r="O4237">
        <v>3</v>
      </c>
      <c r="P4237" s="4">
        <v>775.1</v>
      </c>
      <c r="Q4237" t="s">
        <v>48</v>
      </c>
      <c r="R4237">
        <v>0</v>
      </c>
      <c r="S4237" t="s">
        <v>31</v>
      </c>
      <c r="T4237">
        <v>1</v>
      </c>
      <c r="U4237">
        <v>0</v>
      </c>
      <c r="V4237" t="s">
        <v>32</v>
      </c>
      <c r="W4237" t="s">
        <v>49</v>
      </c>
      <c r="X4237" s="4">
        <v>8.1999999999999993</v>
      </c>
      <c r="Y4237">
        <v>6</v>
      </c>
      <c r="Z4237" s="5">
        <v>225.8</v>
      </c>
    </row>
    <row r="4238" spans="1:26">
      <c r="A4238">
        <v>4237</v>
      </c>
      <c r="B4238">
        <v>1388</v>
      </c>
      <c r="C4238" s="2">
        <v>46046</v>
      </c>
      <c r="D4238" t="s">
        <v>40</v>
      </c>
      <c r="E4238">
        <v>1</v>
      </c>
      <c r="F4238" s="3">
        <v>11.88</v>
      </c>
      <c r="G4238" t="s">
        <v>36</v>
      </c>
      <c r="H4238">
        <v>9</v>
      </c>
      <c r="I4238" t="s">
        <v>28</v>
      </c>
      <c r="J4238" s="4">
        <v>68.099999999999994</v>
      </c>
      <c r="K4238" s="4">
        <v>160</v>
      </c>
      <c r="L4238" s="4">
        <v>24.2</v>
      </c>
      <c r="M4238">
        <v>13</v>
      </c>
      <c r="N4238" t="s">
        <v>61</v>
      </c>
      <c r="O4238">
        <v>1</v>
      </c>
      <c r="P4238" s="4">
        <v>1227.8</v>
      </c>
      <c r="Q4238" t="s">
        <v>42</v>
      </c>
      <c r="R4238">
        <v>0</v>
      </c>
      <c r="S4238" t="s">
        <v>38</v>
      </c>
      <c r="T4238">
        <v>0</v>
      </c>
      <c r="U4238">
        <v>0</v>
      </c>
      <c r="V4238" t="s">
        <v>32</v>
      </c>
      <c r="W4238" t="s">
        <v>39</v>
      </c>
      <c r="X4238" s="4">
        <v>10</v>
      </c>
      <c r="Y4238">
        <v>11</v>
      </c>
      <c r="Z4238" s="5">
        <v>221.56</v>
      </c>
    </row>
    <row r="4239" spans="1:26">
      <c r="A4239">
        <v>4238</v>
      </c>
      <c r="B4239">
        <v>1389</v>
      </c>
      <c r="C4239" s="2">
        <v>46116</v>
      </c>
      <c r="D4239" t="s">
        <v>40</v>
      </c>
      <c r="E4239">
        <v>4</v>
      </c>
      <c r="F4239" s="3">
        <v>9.98</v>
      </c>
      <c r="G4239" t="s">
        <v>27</v>
      </c>
      <c r="H4239">
        <v>30</v>
      </c>
      <c r="I4239" t="s">
        <v>34</v>
      </c>
      <c r="J4239" s="4">
        <v>63.1</v>
      </c>
      <c r="K4239" s="4">
        <v>133.5</v>
      </c>
      <c r="L4239" s="4">
        <v>23.6</v>
      </c>
      <c r="M4239">
        <v>14</v>
      </c>
      <c r="N4239" t="s">
        <v>47</v>
      </c>
      <c r="O4239">
        <v>2</v>
      </c>
      <c r="P4239" s="4">
        <v>130.69999999999999</v>
      </c>
      <c r="Q4239" t="s">
        <v>42</v>
      </c>
      <c r="R4239">
        <v>1</v>
      </c>
      <c r="S4239" t="s">
        <v>38</v>
      </c>
      <c r="T4239">
        <v>1</v>
      </c>
      <c r="U4239">
        <v>0</v>
      </c>
      <c r="V4239" t="s">
        <v>32</v>
      </c>
      <c r="W4239" t="s">
        <v>39</v>
      </c>
      <c r="X4239" s="4">
        <v>9.1999999999999993</v>
      </c>
      <c r="Y4239">
        <v>10</v>
      </c>
      <c r="Z4239" s="5">
        <v>441.51</v>
      </c>
    </row>
    <row r="4240" spans="1:26">
      <c r="A4240">
        <v>4239</v>
      </c>
      <c r="B4240">
        <v>1389</v>
      </c>
      <c r="C4240" s="2">
        <v>46116</v>
      </c>
      <c r="D4240" t="s">
        <v>40</v>
      </c>
      <c r="E4240">
        <v>4</v>
      </c>
      <c r="F4240" s="3">
        <v>10.210000000000001</v>
      </c>
      <c r="G4240" t="s">
        <v>27</v>
      </c>
      <c r="H4240">
        <v>61</v>
      </c>
      <c r="I4240" t="s">
        <v>34</v>
      </c>
      <c r="J4240" s="4">
        <v>65.599999999999994</v>
      </c>
      <c r="K4240" s="4">
        <v>159.1</v>
      </c>
      <c r="L4240" s="4">
        <v>26.1</v>
      </c>
      <c r="M4240">
        <v>16</v>
      </c>
      <c r="N4240" t="s">
        <v>47</v>
      </c>
      <c r="O4240">
        <v>2</v>
      </c>
      <c r="P4240" s="4">
        <v>130.69999999999999</v>
      </c>
      <c r="Q4240" t="s">
        <v>42</v>
      </c>
      <c r="R4240">
        <v>1</v>
      </c>
      <c r="S4240" t="s">
        <v>38</v>
      </c>
      <c r="T4240">
        <v>1</v>
      </c>
      <c r="U4240">
        <v>0</v>
      </c>
      <c r="V4240" t="s">
        <v>32</v>
      </c>
      <c r="W4240" t="s">
        <v>39</v>
      </c>
      <c r="X4240" s="4">
        <v>11</v>
      </c>
      <c r="Y4240">
        <v>13</v>
      </c>
      <c r="Z4240" s="5">
        <v>282.8</v>
      </c>
    </row>
    <row r="4241" spans="1:26">
      <c r="A4241">
        <v>4240</v>
      </c>
      <c r="B4241">
        <v>1390</v>
      </c>
      <c r="C4241" s="2">
        <v>46338</v>
      </c>
      <c r="D4241" t="s">
        <v>55</v>
      </c>
      <c r="E4241">
        <v>11</v>
      </c>
      <c r="F4241" s="3">
        <v>9.2799999999999994</v>
      </c>
      <c r="G4241" t="s">
        <v>27</v>
      </c>
      <c r="H4241">
        <v>62</v>
      </c>
      <c r="I4241" t="s">
        <v>28</v>
      </c>
      <c r="J4241" s="4">
        <v>70.900000000000006</v>
      </c>
      <c r="K4241" s="4">
        <v>195.8</v>
      </c>
      <c r="L4241" s="4">
        <v>27.3</v>
      </c>
      <c r="M4241">
        <v>20</v>
      </c>
      <c r="N4241" t="s">
        <v>47</v>
      </c>
      <c r="O4241">
        <v>1</v>
      </c>
      <c r="P4241" s="4">
        <v>60.3</v>
      </c>
      <c r="Q4241" t="s">
        <v>48</v>
      </c>
      <c r="R4241">
        <v>1</v>
      </c>
      <c r="S4241" t="s">
        <v>38</v>
      </c>
      <c r="T4241">
        <v>1</v>
      </c>
      <c r="U4241">
        <v>0</v>
      </c>
      <c r="V4241" t="s">
        <v>32</v>
      </c>
      <c r="W4241" t="s">
        <v>39</v>
      </c>
      <c r="X4241" s="4">
        <v>9</v>
      </c>
      <c r="Y4241">
        <v>12</v>
      </c>
      <c r="Z4241" s="5">
        <v>441.43</v>
      </c>
    </row>
    <row r="4242" spans="1:26">
      <c r="A4242">
        <v>4241</v>
      </c>
      <c r="B4242">
        <v>1391</v>
      </c>
      <c r="C4242" s="2">
        <v>46047</v>
      </c>
      <c r="D4242" t="s">
        <v>58</v>
      </c>
      <c r="E4242">
        <v>1</v>
      </c>
      <c r="F4242" s="3">
        <v>9.9499999999999993</v>
      </c>
      <c r="G4242" t="s">
        <v>27</v>
      </c>
      <c r="H4242">
        <v>25</v>
      </c>
      <c r="I4242" t="s">
        <v>34</v>
      </c>
      <c r="J4242" s="4">
        <v>67.3</v>
      </c>
      <c r="K4242" s="4">
        <v>154</v>
      </c>
      <c r="L4242" s="4">
        <v>23.9</v>
      </c>
      <c r="M4242">
        <v>13</v>
      </c>
      <c r="N4242" t="s">
        <v>47</v>
      </c>
      <c r="O4242">
        <v>6</v>
      </c>
      <c r="P4242" s="4">
        <v>198.2</v>
      </c>
      <c r="Q4242" t="s">
        <v>30</v>
      </c>
      <c r="R4242">
        <v>0</v>
      </c>
      <c r="S4242" t="s">
        <v>44</v>
      </c>
      <c r="T4242">
        <v>1</v>
      </c>
      <c r="U4242">
        <v>0</v>
      </c>
      <c r="V4242" t="s">
        <v>32</v>
      </c>
      <c r="W4242" t="s">
        <v>43</v>
      </c>
      <c r="X4242" s="4">
        <v>8.1</v>
      </c>
      <c r="Y4242">
        <v>8</v>
      </c>
      <c r="Z4242" s="5">
        <v>150.44</v>
      </c>
    </row>
    <row r="4243" spans="1:26">
      <c r="A4243">
        <v>4242</v>
      </c>
      <c r="B4243">
        <v>1391</v>
      </c>
      <c r="C4243" s="2">
        <v>46047</v>
      </c>
      <c r="D4243" t="s">
        <v>58</v>
      </c>
      <c r="E4243">
        <v>1</v>
      </c>
      <c r="F4243" s="3">
        <v>10.02</v>
      </c>
      <c r="G4243" t="s">
        <v>27</v>
      </c>
      <c r="H4243">
        <v>25</v>
      </c>
      <c r="I4243" t="s">
        <v>28</v>
      </c>
      <c r="J4243" s="4">
        <v>74.8</v>
      </c>
      <c r="K4243" s="4">
        <v>253</v>
      </c>
      <c r="L4243" s="4">
        <v>31.5</v>
      </c>
      <c r="M4243">
        <v>14</v>
      </c>
      <c r="N4243" t="s">
        <v>47</v>
      </c>
      <c r="O4243">
        <v>6</v>
      </c>
      <c r="P4243" s="4">
        <v>198.2</v>
      </c>
      <c r="Q4243" t="s">
        <v>30</v>
      </c>
      <c r="R4243">
        <v>0</v>
      </c>
      <c r="S4243" t="s">
        <v>44</v>
      </c>
      <c r="T4243">
        <v>1</v>
      </c>
      <c r="U4243">
        <v>0</v>
      </c>
      <c r="V4243" t="s">
        <v>32</v>
      </c>
      <c r="W4243" t="s">
        <v>43</v>
      </c>
      <c r="X4243" s="4">
        <v>8.9</v>
      </c>
      <c r="Y4243">
        <v>13</v>
      </c>
      <c r="Z4243" s="5">
        <v>297.17</v>
      </c>
    </row>
    <row r="4244" spans="1:26">
      <c r="A4244">
        <v>4243</v>
      </c>
      <c r="B4244">
        <v>1391</v>
      </c>
      <c r="C4244" s="2">
        <v>46047</v>
      </c>
      <c r="D4244" t="s">
        <v>58</v>
      </c>
      <c r="E4244">
        <v>1</v>
      </c>
      <c r="F4244" s="3">
        <v>10</v>
      </c>
      <c r="G4244" t="s">
        <v>27</v>
      </c>
      <c r="H4244">
        <v>22</v>
      </c>
      <c r="I4244" t="s">
        <v>28</v>
      </c>
      <c r="J4244" s="4">
        <v>68.900000000000006</v>
      </c>
      <c r="K4244" s="4">
        <v>197.2</v>
      </c>
      <c r="L4244" s="4">
        <v>29.4</v>
      </c>
      <c r="M4244">
        <v>11</v>
      </c>
      <c r="N4244" t="s">
        <v>47</v>
      </c>
      <c r="O4244">
        <v>6</v>
      </c>
      <c r="P4244" s="4">
        <v>198.2</v>
      </c>
      <c r="Q4244" t="s">
        <v>30</v>
      </c>
      <c r="R4244">
        <v>0</v>
      </c>
      <c r="S4244" t="s">
        <v>44</v>
      </c>
      <c r="T4244">
        <v>1</v>
      </c>
      <c r="U4244">
        <v>0</v>
      </c>
      <c r="V4244" t="s">
        <v>32</v>
      </c>
      <c r="W4244" t="s">
        <v>43</v>
      </c>
      <c r="X4244" s="4">
        <v>7.8</v>
      </c>
      <c r="Y4244">
        <v>9</v>
      </c>
      <c r="Z4244" s="5">
        <v>141.9</v>
      </c>
    </row>
    <row r="4245" spans="1:26">
      <c r="A4245">
        <v>4244</v>
      </c>
      <c r="B4245">
        <v>1391</v>
      </c>
      <c r="C4245" s="2">
        <v>46047</v>
      </c>
      <c r="D4245" t="s">
        <v>58</v>
      </c>
      <c r="E4245">
        <v>1</v>
      </c>
      <c r="F4245" s="3">
        <v>9.9700000000000006</v>
      </c>
      <c r="G4245" t="s">
        <v>27</v>
      </c>
      <c r="H4245">
        <v>50</v>
      </c>
      <c r="I4245" t="s">
        <v>34</v>
      </c>
      <c r="J4245" s="4">
        <v>67.7</v>
      </c>
      <c r="K4245" s="4">
        <v>187.7</v>
      </c>
      <c r="L4245" s="4">
        <v>28.7</v>
      </c>
      <c r="M4245">
        <v>9</v>
      </c>
      <c r="N4245" t="s">
        <v>47</v>
      </c>
      <c r="O4245">
        <v>6</v>
      </c>
      <c r="P4245" s="4">
        <v>198.2</v>
      </c>
      <c r="Q4245" t="s">
        <v>30</v>
      </c>
      <c r="R4245">
        <v>0</v>
      </c>
      <c r="S4245" t="s">
        <v>44</v>
      </c>
      <c r="T4245">
        <v>1</v>
      </c>
      <c r="U4245">
        <v>0</v>
      </c>
      <c r="V4245" t="s">
        <v>32</v>
      </c>
      <c r="W4245" t="s">
        <v>43</v>
      </c>
      <c r="X4245" s="4">
        <v>8.1</v>
      </c>
      <c r="Y4245">
        <v>9</v>
      </c>
      <c r="Z4245" s="5">
        <v>177.63</v>
      </c>
    </row>
    <row r="4246" spans="1:26">
      <c r="A4246">
        <v>4245</v>
      </c>
      <c r="B4246">
        <v>1391</v>
      </c>
      <c r="C4246" s="2">
        <v>46047</v>
      </c>
      <c r="D4246" t="s">
        <v>58</v>
      </c>
      <c r="E4246">
        <v>1</v>
      </c>
      <c r="F4246" s="3">
        <v>10</v>
      </c>
      <c r="G4246" t="s">
        <v>27</v>
      </c>
      <c r="H4246">
        <v>56</v>
      </c>
      <c r="I4246" t="s">
        <v>28</v>
      </c>
      <c r="J4246" s="4">
        <v>69.3</v>
      </c>
      <c r="K4246" s="4">
        <v>163.5</v>
      </c>
      <c r="L4246" s="4">
        <v>23.6</v>
      </c>
      <c r="M4246">
        <v>15</v>
      </c>
      <c r="N4246" t="s">
        <v>47</v>
      </c>
      <c r="O4246">
        <v>6</v>
      </c>
      <c r="P4246" s="4">
        <v>198.2</v>
      </c>
      <c r="Q4246" t="s">
        <v>30</v>
      </c>
      <c r="R4246">
        <v>0</v>
      </c>
      <c r="S4246" t="s">
        <v>44</v>
      </c>
      <c r="T4246">
        <v>1</v>
      </c>
      <c r="U4246">
        <v>0</v>
      </c>
      <c r="V4246" t="s">
        <v>32</v>
      </c>
      <c r="W4246" t="s">
        <v>43</v>
      </c>
      <c r="X4246" s="4">
        <v>9.9</v>
      </c>
      <c r="Y4246">
        <v>9</v>
      </c>
      <c r="Z4246" s="5">
        <v>279.52999999999997</v>
      </c>
    </row>
    <row r="4247" spans="1:26">
      <c r="A4247">
        <v>4246</v>
      </c>
      <c r="B4247">
        <v>1391</v>
      </c>
      <c r="C4247" s="2">
        <v>46047</v>
      </c>
      <c r="D4247" t="s">
        <v>58</v>
      </c>
      <c r="E4247">
        <v>1</v>
      </c>
      <c r="F4247" s="3">
        <v>10.029999999999999</v>
      </c>
      <c r="G4247" t="s">
        <v>27</v>
      </c>
      <c r="H4247">
        <v>67</v>
      </c>
      <c r="I4247" t="s">
        <v>28</v>
      </c>
      <c r="J4247" s="4">
        <v>72.8</v>
      </c>
      <c r="K4247" s="4">
        <v>153</v>
      </c>
      <c r="L4247" s="4">
        <v>20.2</v>
      </c>
      <c r="M4247">
        <v>19</v>
      </c>
      <c r="N4247" t="s">
        <v>47</v>
      </c>
      <c r="O4247">
        <v>6</v>
      </c>
      <c r="P4247" s="4">
        <v>198.2</v>
      </c>
      <c r="Q4247" t="s">
        <v>30</v>
      </c>
      <c r="R4247">
        <v>0</v>
      </c>
      <c r="S4247" t="s">
        <v>44</v>
      </c>
      <c r="T4247">
        <v>1</v>
      </c>
      <c r="U4247">
        <v>0</v>
      </c>
      <c r="V4247" t="s">
        <v>32</v>
      </c>
      <c r="W4247" t="s">
        <v>43</v>
      </c>
      <c r="X4247" s="4">
        <v>8.9</v>
      </c>
      <c r="Y4247">
        <v>9</v>
      </c>
      <c r="Z4247" s="5">
        <v>206.53</v>
      </c>
    </row>
    <row r="4248" spans="1:26">
      <c r="A4248">
        <v>4247</v>
      </c>
      <c r="B4248">
        <v>1392</v>
      </c>
      <c r="C4248" s="2">
        <v>46050</v>
      </c>
      <c r="D4248" t="s">
        <v>52</v>
      </c>
      <c r="E4248">
        <v>1</v>
      </c>
      <c r="F4248" s="3">
        <v>10.029999999999999</v>
      </c>
      <c r="G4248" t="s">
        <v>27</v>
      </c>
      <c r="H4248">
        <v>38</v>
      </c>
      <c r="I4248" t="s">
        <v>34</v>
      </c>
      <c r="J4248" s="4">
        <v>59.3</v>
      </c>
      <c r="K4248" s="4">
        <v>119.3</v>
      </c>
      <c r="L4248" s="4">
        <v>23.8</v>
      </c>
      <c r="M4248">
        <v>13</v>
      </c>
      <c r="N4248" t="s">
        <v>59</v>
      </c>
      <c r="O4248">
        <v>1</v>
      </c>
      <c r="P4248" s="4">
        <v>809.2</v>
      </c>
      <c r="Q4248" t="s">
        <v>42</v>
      </c>
      <c r="R4248">
        <v>1</v>
      </c>
      <c r="S4248" t="s">
        <v>38</v>
      </c>
      <c r="T4248">
        <v>0</v>
      </c>
      <c r="U4248">
        <v>1</v>
      </c>
      <c r="V4248" t="s">
        <v>45</v>
      </c>
      <c r="W4248" t="s">
        <v>33</v>
      </c>
      <c r="X4248" s="4">
        <v>11.9</v>
      </c>
      <c r="Y4248">
        <v>5</v>
      </c>
      <c r="Z4248" s="5">
        <v>210.7</v>
      </c>
    </row>
    <row r="4249" spans="1:26">
      <c r="A4249">
        <v>4248</v>
      </c>
      <c r="B4249">
        <v>1393</v>
      </c>
      <c r="C4249" s="2">
        <v>46087</v>
      </c>
      <c r="D4249" t="s">
        <v>26</v>
      </c>
      <c r="E4249">
        <v>3</v>
      </c>
      <c r="F4249" s="3">
        <v>10.47</v>
      </c>
      <c r="G4249" t="s">
        <v>27</v>
      </c>
      <c r="H4249">
        <v>33</v>
      </c>
      <c r="I4249" t="s">
        <v>28</v>
      </c>
      <c r="J4249" s="4">
        <v>71.7</v>
      </c>
      <c r="K4249" s="4">
        <v>196.5</v>
      </c>
      <c r="L4249" s="4">
        <v>27.3</v>
      </c>
      <c r="M4249">
        <v>15</v>
      </c>
      <c r="N4249" t="s">
        <v>47</v>
      </c>
      <c r="O4249">
        <v>2</v>
      </c>
      <c r="P4249" s="4">
        <v>160.4</v>
      </c>
      <c r="Q4249" t="s">
        <v>42</v>
      </c>
      <c r="R4249">
        <v>1</v>
      </c>
      <c r="S4249" t="s">
        <v>44</v>
      </c>
      <c r="T4249">
        <v>1</v>
      </c>
      <c r="U4249">
        <v>0</v>
      </c>
      <c r="V4249" t="s">
        <v>32</v>
      </c>
      <c r="W4249" t="s">
        <v>43</v>
      </c>
      <c r="X4249" s="4">
        <v>10.8</v>
      </c>
      <c r="Y4249">
        <v>11</v>
      </c>
      <c r="Z4249" s="5">
        <v>288.77</v>
      </c>
    </row>
    <row r="4250" spans="1:26">
      <c r="A4250">
        <v>4249</v>
      </c>
      <c r="B4250">
        <v>1393</v>
      </c>
      <c r="C4250" s="2">
        <v>46087</v>
      </c>
      <c r="D4250" t="s">
        <v>26</v>
      </c>
      <c r="E4250">
        <v>3</v>
      </c>
      <c r="F4250" s="3">
        <v>10.64</v>
      </c>
      <c r="G4250" t="s">
        <v>27</v>
      </c>
      <c r="H4250">
        <v>18</v>
      </c>
      <c r="I4250" t="s">
        <v>34</v>
      </c>
      <c r="J4250" s="4">
        <v>62.2</v>
      </c>
      <c r="K4250" s="4">
        <v>99</v>
      </c>
      <c r="L4250" s="4">
        <v>17.600000000000001</v>
      </c>
      <c r="M4250">
        <v>11</v>
      </c>
      <c r="N4250" t="s">
        <v>47</v>
      </c>
      <c r="O4250">
        <v>2</v>
      </c>
      <c r="P4250" s="4">
        <v>160.4</v>
      </c>
      <c r="Q4250" t="s">
        <v>42</v>
      </c>
      <c r="R4250">
        <v>1</v>
      </c>
      <c r="S4250" t="s">
        <v>44</v>
      </c>
      <c r="T4250">
        <v>1</v>
      </c>
      <c r="U4250">
        <v>0</v>
      </c>
      <c r="V4250" t="s">
        <v>32</v>
      </c>
      <c r="W4250" t="s">
        <v>43</v>
      </c>
      <c r="X4250" s="4">
        <v>8.6999999999999993</v>
      </c>
      <c r="Y4250">
        <v>11</v>
      </c>
      <c r="Z4250" s="5">
        <v>377.22</v>
      </c>
    </row>
    <row r="4251" spans="1:26">
      <c r="A4251">
        <v>4250</v>
      </c>
      <c r="B4251">
        <v>1394</v>
      </c>
      <c r="C4251" s="2">
        <v>46055</v>
      </c>
      <c r="D4251" t="s">
        <v>46</v>
      </c>
      <c r="E4251">
        <v>2</v>
      </c>
      <c r="F4251" s="3">
        <v>11.24</v>
      </c>
      <c r="G4251" t="s">
        <v>36</v>
      </c>
      <c r="H4251">
        <v>11</v>
      </c>
      <c r="I4251" t="s">
        <v>28</v>
      </c>
      <c r="J4251" s="4">
        <v>66.3</v>
      </c>
      <c r="K4251" s="4">
        <v>110.7</v>
      </c>
      <c r="L4251" s="4">
        <v>17.8</v>
      </c>
      <c r="M4251">
        <v>10</v>
      </c>
      <c r="N4251" t="s">
        <v>47</v>
      </c>
      <c r="O4251">
        <v>5</v>
      </c>
      <c r="P4251" s="4">
        <v>65.8</v>
      </c>
      <c r="Q4251" t="s">
        <v>30</v>
      </c>
      <c r="R4251">
        <v>0</v>
      </c>
      <c r="S4251" t="s">
        <v>44</v>
      </c>
      <c r="T4251">
        <v>0</v>
      </c>
      <c r="U4251">
        <v>0</v>
      </c>
      <c r="V4251" t="s">
        <v>32</v>
      </c>
      <c r="W4251" t="s">
        <v>39</v>
      </c>
      <c r="X4251" s="4">
        <v>10.8</v>
      </c>
      <c r="Y4251">
        <v>8</v>
      </c>
      <c r="Z4251" s="5">
        <v>284.83999999999997</v>
      </c>
    </row>
    <row r="4252" spans="1:26">
      <c r="A4252">
        <v>4251</v>
      </c>
      <c r="B4252">
        <v>1394</v>
      </c>
      <c r="C4252" s="2">
        <v>46055</v>
      </c>
      <c r="D4252" t="s">
        <v>46</v>
      </c>
      <c r="E4252">
        <v>2</v>
      </c>
      <c r="F4252" s="3">
        <v>11.4</v>
      </c>
      <c r="G4252" t="s">
        <v>36</v>
      </c>
      <c r="H4252">
        <v>24</v>
      </c>
      <c r="I4252" t="s">
        <v>34</v>
      </c>
      <c r="J4252" s="4">
        <v>67.8</v>
      </c>
      <c r="K4252" s="4">
        <v>178.8</v>
      </c>
      <c r="L4252" s="4">
        <v>27.2</v>
      </c>
      <c r="M4252">
        <v>10</v>
      </c>
      <c r="N4252" t="s">
        <v>47</v>
      </c>
      <c r="O4252">
        <v>5</v>
      </c>
      <c r="P4252" s="4">
        <v>65.8</v>
      </c>
      <c r="Q4252" t="s">
        <v>30</v>
      </c>
      <c r="R4252">
        <v>0</v>
      </c>
      <c r="S4252" t="s">
        <v>44</v>
      </c>
      <c r="T4252">
        <v>0</v>
      </c>
      <c r="U4252">
        <v>0</v>
      </c>
      <c r="V4252" t="s">
        <v>32</v>
      </c>
      <c r="W4252" t="s">
        <v>39</v>
      </c>
      <c r="X4252" s="4">
        <v>6.8</v>
      </c>
      <c r="Y4252">
        <v>7</v>
      </c>
      <c r="Z4252" s="5">
        <v>188.91</v>
      </c>
    </row>
    <row r="4253" spans="1:26">
      <c r="A4253">
        <v>4252</v>
      </c>
      <c r="B4253">
        <v>1394</v>
      </c>
      <c r="C4253" s="2">
        <v>46055</v>
      </c>
      <c r="D4253" t="s">
        <v>46</v>
      </c>
      <c r="E4253">
        <v>2</v>
      </c>
      <c r="F4253" s="3">
        <v>11.4</v>
      </c>
      <c r="G4253" t="s">
        <v>36</v>
      </c>
      <c r="H4253">
        <v>40</v>
      </c>
      <c r="I4253" t="s">
        <v>28</v>
      </c>
      <c r="J4253" s="4">
        <v>69</v>
      </c>
      <c r="K4253" s="4">
        <v>200.6</v>
      </c>
      <c r="L4253" s="4">
        <v>29.5</v>
      </c>
      <c r="M4253">
        <v>14</v>
      </c>
      <c r="N4253" t="s">
        <v>47</v>
      </c>
      <c r="O4253">
        <v>5</v>
      </c>
      <c r="P4253" s="4">
        <v>65.8</v>
      </c>
      <c r="Q4253" t="s">
        <v>30</v>
      </c>
      <c r="R4253">
        <v>0</v>
      </c>
      <c r="S4253" t="s">
        <v>44</v>
      </c>
      <c r="T4253">
        <v>0</v>
      </c>
      <c r="U4253">
        <v>0</v>
      </c>
      <c r="V4253" t="s">
        <v>32</v>
      </c>
      <c r="W4253" t="s">
        <v>39</v>
      </c>
      <c r="X4253" s="4">
        <v>8.1999999999999993</v>
      </c>
      <c r="Y4253">
        <v>5</v>
      </c>
      <c r="Z4253" s="5">
        <v>117.15</v>
      </c>
    </row>
    <row r="4254" spans="1:26">
      <c r="A4254">
        <v>4253</v>
      </c>
      <c r="B4254">
        <v>1394</v>
      </c>
      <c r="C4254" s="2">
        <v>46055</v>
      </c>
      <c r="D4254" t="s">
        <v>46</v>
      </c>
      <c r="E4254">
        <v>2</v>
      </c>
      <c r="F4254" s="3">
        <v>11.31</v>
      </c>
      <c r="G4254" t="s">
        <v>36</v>
      </c>
      <c r="H4254">
        <v>62</v>
      </c>
      <c r="I4254" t="s">
        <v>34</v>
      </c>
      <c r="J4254" s="4">
        <v>64.8</v>
      </c>
      <c r="K4254" s="4">
        <v>125.9</v>
      </c>
      <c r="L4254" s="4">
        <v>21</v>
      </c>
      <c r="M4254">
        <v>16</v>
      </c>
      <c r="N4254" t="s">
        <v>47</v>
      </c>
      <c r="O4254">
        <v>5</v>
      </c>
      <c r="P4254" s="4">
        <v>65.8</v>
      </c>
      <c r="Q4254" t="s">
        <v>30</v>
      </c>
      <c r="R4254">
        <v>0</v>
      </c>
      <c r="S4254" t="s">
        <v>44</v>
      </c>
      <c r="T4254">
        <v>0</v>
      </c>
      <c r="U4254">
        <v>0</v>
      </c>
      <c r="V4254" t="s">
        <v>32</v>
      </c>
      <c r="W4254" t="s">
        <v>39</v>
      </c>
      <c r="X4254" s="4">
        <v>6.7</v>
      </c>
      <c r="Y4254">
        <v>2</v>
      </c>
      <c r="Z4254" s="5">
        <v>126.23</v>
      </c>
    </row>
    <row r="4255" spans="1:26">
      <c r="A4255">
        <v>4254</v>
      </c>
      <c r="B4255">
        <v>1394</v>
      </c>
      <c r="C4255" s="2">
        <v>46055</v>
      </c>
      <c r="D4255" t="s">
        <v>46</v>
      </c>
      <c r="E4255">
        <v>2</v>
      </c>
      <c r="F4255" s="3">
        <v>11.29</v>
      </c>
      <c r="G4255" t="s">
        <v>36</v>
      </c>
      <c r="H4255">
        <v>38</v>
      </c>
      <c r="I4255" t="s">
        <v>34</v>
      </c>
      <c r="J4255" s="4">
        <v>65.400000000000006</v>
      </c>
      <c r="K4255" s="4">
        <v>177.8</v>
      </c>
      <c r="L4255" s="4">
        <v>29</v>
      </c>
      <c r="M4255">
        <v>17</v>
      </c>
      <c r="N4255" t="s">
        <v>47</v>
      </c>
      <c r="O4255">
        <v>5</v>
      </c>
      <c r="P4255" s="4">
        <v>65.8</v>
      </c>
      <c r="Q4255" t="s">
        <v>30</v>
      </c>
      <c r="R4255">
        <v>0</v>
      </c>
      <c r="S4255" t="s">
        <v>44</v>
      </c>
      <c r="T4255">
        <v>0</v>
      </c>
      <c r="U4255">
        <v>0</v>
      </c>
      <c r="V4255" t="s">
        <v>32</v>
      </c>
      <c r="W4255" t="s">
        <v>39</v>
      </c>
      <c r="X4255" s="4">
        <v>8.9</v>
      </c>
      <c r="Y4255">
        <v>7</v>
      </c>
      <c r="Z4255" s="5">
        <v>135.51</v>
      </c>
    </row>
    <row r="4256" spans="1:26">
      <c r="A4256">
        <v>4255</v>
      </c>
      <c r="B4256">
        <v>1395</v>
      </c>
      <c r="C4256" s="2">
        <v>46040</v>
      </c>
      <c r="D4256" t="s">
        <v>58</v>
      </c>
      <c r="E4256">
        <v>1</v>
      </c>
      <c r="F4256" s="3">
        <v>11.89</v>
      </c>
      <c r="G4256" t="s">
        <v>36</v>
      </c>
      <c r="H4256">
        <v>11</v>
      </c>
      <c r="I4256" t="s">
        <v>28</v>
      </c>
      <c r="J4256" s="4">
        <v>64</v>
      </c>
      <c r="K4256" s="4">
        <v>121</v>
      </c>
      <c r="L4256" s="4">
        <v>20.6</v>
      </c>
      <c r="M4256">
        <v>14</v>
      </c>
      <c r="N4256" t="s">
        <v>50</v>
      </c>
      <c r="O4256">
        <v>6</v>
      </c>
      <c r="P4256" s="4">
        <v>422.5</v>
      </c>
      <c r="Q4256" t="s">
        <v>30</v>
      </c>
      <c r="R4256">
        <v>1</v>
      </c>
      <c r="S4256" t="s">
        <v>38</v>
      </c>
      <c r="T4256">
        <v>1</v>
      </c>
      <c r="U4256">
        <v>0</v>
      </c>
      <c r="V4256" t="s">
        <v>32</v>
      </c>
      <c r="W4256" t="s">
        <v>49</v>
      </c>
      <c r="X4256" s="4">
        <v>7.4</v>
      </c>
      <c r="Y4256">
        <v>8</v>
      </c>
      <c r="Z4256" s="5">
        <v>151.46</v>
      </c>
    </row>
    <row r="4257" spans="1:26">
      <c r="A4257">
        <v>4256</v>
      </c>
      <c r="B4257">
        <v>1395</v>
      </c>
      <c r="C4257" s="2">
        <v>46040</v>
      </c>
      <c r="D4257" t="s">
        <v>58</v>
      </c>
      <c r="E4257">
        <v>1</v>
      </c>
      <c r="F4257" s="3">
        <v>11.65</v>
      </c>
      <c r="G4257" t="s">
        <v>36</v>
      </c>
      <c r="H4257">
        <v>65</v>
      </c>
      <c r="I4257" t="s">
        <v>28</v>
      </c>
      <c r="J4257" s="4">
        <v>70.5</v>
      </c>
      <c r="K4257" s="4">
        <v>267.3</v>
      </c>
      <c r="L4257" s="4">
        <v>37.799999999999997</v>
      </c>
      <c r="M4257">
        <v>13</v>
      </c>
      <c r="N4257" t="s">
        <v>50</v>
      </c>
      <c r="O4257">
        <v>6</v>
      </c>
      <c r="P4257" s="4">
        <v>422.5</v>
      </c>
      <c r="Q4257" t="s">
        <v>30</v>
      </c>
      <c r="R4257">
        <v>1</v>
      </c>
      <c r="S4257" t="s">
        <v>38</v>
      </c>
      <c r="T4257">
        <v>1</v>
      </c>
      <c r="U4257">
        <v>0</v>
      </c>
      <c r="V4257" t="s">
        <v>32</v>
      </c>
      <c r="W4257" t="s">
        <v>49</v>
      </c>
      <c r="X4257" s="4">
        <v>7.6</v>
      </c>
      <c r="Y4257">
        <v>1</v>
      </c>
      <c r="Z4257" s="5">
        <v>125.94</v>
      </c>
    </row>
    <row r="4258" spans="1:26">
      <c r="A4258">
        <v>4257</v>
      </c>
      <c r="B4258">
        <v>1395</v>
      </c>
      <c r="C4258" s="2">
        <v>46040</v>
      </c>
      <c r="D4258" t="s">
        <v>58</v>
      </c>
      <c r="E4258">
        <v>1</v>
      </c>
      <c r="F4258" s="3">
        <v>11.65</v>
      </c>
      <c r="G4258" t="s">
        <v>36</v>
      </c>
      <c r="H4258">
        <v>18</v>
      </c>
      <c r="I4258" t="s">
        <v>34</v>
      </c>
      <c r="J4258" s="4">
        <v>58</v>
      </c>
      <c r="K4258" s="4">
        <v>153.69999999999999</v>
      </c>
      <c r="L4258" s="4">
        <v>32.200000000000003</v>
      </c>
      <c r="M4258">
        <v>10</v>
      </c>
      <c r="N4258" t="s">
        <v>50</v>
      </c>
      <c r="O4258">
        <v>6</v>
      </c>
      <c r="P4258" s="4">
        <v>422.5</v>
      </c>
      <c r="Q4258" t="s">
        <v>30</v>
      </c>
      <c r="R4258">
        <v>1</v>
      </c>
      <c r="S4258" t="s">
        <v>38</v>
      </c>
      <c r="T4258">
        <v>1</v>
      </c>
      <c r="U4258">
        <v>0</v>
      </c>
      <c r="V4258" t="s">
        <v>32</v>
      </c>
      <c r="W4258" t="s">
        <v>49</v>
      </c>
      <c r="X4258" s="4">
        <v>9.5</v>
      </c>
      <c r="Y4258">
        <v>13</v>
      </c>
      <c r="Z4258" s="5">
        <v>201.13</v>
      </c>
    </row>
    <row r="4259" spans="1:26">
      <c r="A4259">
        <v>4258</v>
      </c>
      <c r="B4259">
        <v>1395</v>
      </c>
      <c r="C4259" s="2">
        <v>46040</v>
      </c>
      <c r="D4259" t="s">
        <v>58</v>
      </c>
      <c r="E4259">
        <v>1</v>
      </c>
      <c r="F4259" s="3">
        <v>11.58</v>
      </c>
      <c r="G4259" t="s">
        <v>36</v>
      </c>
      <c r="H4259">
        <v>42</v>
      </c>
      <c r="I4259" t="s">
        <v>34</v>
      </c>
      <c r="J4259" s="4">
        <v>63.4</v>
      </c>
      <c r="K4259" s="4">
        <v>136.5</v>
      </c>
      <c r="L4259" s="4">
        <v>24</v>
      </c>
      <c r="M4259">
        <v>15</v>
      </c>
      <c r="N4259" t="s">
        <v>50</v>
      </c>
      <c r="O4259">
        <v>6</v>
      </c>
      <c r="P4259" s="4">
        <v>422.5</v>
      </c>
      <c r="Q4259" t="s">
        <v>30</v>
      </c>
      <c r="R4259">
        <v>1</v>
      </c>
      <c r="S4259" t="s">
        <v>38</v>
      </c>
      <c r="T4259">
        <v>1</v>
      </c>
      <c r="U4259">
        <v>0</v>
      </c>
      <c r="V4259" t="s">
        <v>32</v>
      </c>
      <c r="W4259" t="s">
        <v>49</v>
      </c>
      <c r="X4259" s="4">
        <v>10.1</v>
      </c>
      <c r="Y4259">
        <v>8</v>
      </c>
      <c r="Z4259" s="5">
        <v>213.33</v>
      </c>
    </row>
    <row r="4260" spans="1:26">
      <c r="A4260">
        <v>4259</v>
      </c>
      <c r="B4260">
        <v>1395</v>
      </c>
      <c r="C4260" s="2">
        <v>46040</v>
      </c>
      <c r="D4260" t="s">
        <v>58</v>
      </c>
      <c r="E4260">
        <v>1</v>
      </c>
      <c r="F4260" s="3">
        <v>11.69</v>
      </c>
      <c r="G4260" t="s">
        <v>36</v>
      </c>
      <c r="H4260">
        <v>47</v>
      </c>
      <c r="I4260" t="s">
        <v>34</v>
      </c>
      <c r="J4260" s="4">
        <v>60.7</v>
      </c>
      <c r="K4260" s="4">
        <v>114.7</v>
      </c>
      <c r="L4260" s="4">
        <v>22.1</v>
      </c>
      <c r="M4260">
        <v>12</v>
      </c>
      <c r="N4260" t="s">
        <v>50</v>
      </c>
      <c r="O4260">
        <v>6</v>
      </c>
      <c r="P4260" s="4">
        <v>422.5</v>
      </c>
      <c r="Q4260" t="s">
        <v>30</v>
      </c>
      <c r="R4260">
        <v>1</v>
      </c>
      <c r="S4260" t="s">
        <v>38</v>
      </c>
      <c r="T4260">
        <v>1</v>
      </c>
      <c r="U4260">
        <v>0</v>
      </c>
      <c r="V4260" t="s">
        <v>32</v>
      </c>
      <c r="W4260" t="s">
        <v>49</v>
      </c>
      <c r="X4260" s="4">
        <v>10.8</v>
      </c>
      <c r="Y4260">
        <v>7</v>
      </c>
      <c r="Z4260" s="5">
        <v>277.19</v>
      </c>
    </row>
    <row r="4261" spans="1:26">
      <c r="A4261">
        <v>4260</v>
      </c>
      <c r="B4261">
        <v>1395</v>
      </c>
      <c r="C4261" s="2">
        <v>46040</v>
      </c>
      <c r="D4261" t="s">
        <v>58</v>
      </c>
      <c r="E4261">
        <v>1</v>
      </c>
      <c r="F4261" s="3">
        <v>11.58</v>
      </c>
      <c r="G4261" t="s">
        <v>36</v>
      </c>
      <c r="H4261">
        <v>58</v>
      </c>
      <c r="I4261" t="s">
        <v>34</v>
      </c>
      <c r="J4261" s="4">
        <v>65.2</v>
      </c>
      <c r="K4261" s="4">
        <v>183.8</v>
      </c>
      <c r="L4261" s="4">
        <v>30.2</v>
      </c>
      <c r="M4261">
        <v>15</v>
      </c>
      <c r="N4261" t="s">
        <v>50</v>
      </c>
      <c r="O4261">
        <v>6</v>
      </c>
      <c r="P4261" s="4">
        <v>422.5</v>
      </c>
      <c r="Q4261" t="s">
        <v>30</v>
      </c>
      <c r="R4261">
        <v>1</v>
      </c>
      <c r="S4261" t="s">
        <v>38</v>
      </c>
      <c r="T4261">
        <v>1</v>
      </c>
      <c r="U4261">
        <v>0</v>
      </c>
      <c r="V4261" t="s">
        <v>32</v>
      </c>
      <c r="W4261" t="s">
        <v>49</v>
      </c>
      <c r="X4261" s="4">
        <v>8</v>
      </c>
      <c r="Y4261">
        <v>6</v>
      </c>
      <c r="Z4261" s="5">
        <v>131.85</v>
      </c>
    </row>
    <row r="4262" spans="1:26">
      <c r="A4262">
        <v>4261</v>
      </c>
      <c r="B4262">
        <v>1396</v>
      </c>
      <c r="C4262" s="2">
        <v>46046</v>
      </c>
      <c r="D4262" t="s">
        <v>40</v>
      </c>
      <c r="E4262">
        <v>1</v>
      </c>
      <c r="F4262" s="3">
        <v>11.05</v>
      </c>
      <c r="G4262" t="s">
        <v>36</v>
      </c>
      <c r="H4262">
        <v>33</v>
      </c>
      <c r="I4262" t="s">
        <v>34</v>
      </c>
      <c r="J4262" s="4">
        <v>64</v>
      </c>
      <c r="K4262" s="4">
        <v>144.5</v>
      </c>
      <c r="L4262" s="4">
        <v>25</v>
      </c>
      <c r="M4262">
        <v>19</v>
      </c>
      <c r="N4262" t="s">
        <v>66</v>
      </c>
      <c r="O4262">
        <v>2</v>
      </c>
      <c r="P4262" s="4">
        <v>440.9</v>
      </c>
      <c r="Q4262" t="s">
        <v>48</v>
      </c>
      <c r="R4262">
        <v>1</v>
      </c>
      <c r="S4262" t="s">
        <v>44</v>
      </c>
      <c r="T4262">
        <v>0</v>
      </c>
      <c r="U4262">
        <v>0</v>
      </c>
      <c r="V4262" t="s">
        <v>45</v>
      </c>
      <c r="W4262" t="s">
        <v>43</v>
      </c>
      <c r="X4262" s="4">
        <v>8.5</v>
      </c>
      <c r="Y4262">
        <v>5</v>
      </c>
      <c r="Z4262" s="5">
        <v>208.58</v>
      </c>
    </row>
    <row r="4263" spans="1:26">
      <c r="A4263">
        <v>4262</v>
      </c>
      <c r="B4263">
        <v>1396</v>
      </c>
      <c r="C4263" s="2">
        <v>46046</v>
      </c>
      <c r="D4263" t="s">
        <v>40</v>
      </c>
      <c r="E4263">
        <v>1</v>
      </c>
      <c r="F4263" s="3">
        <v>10.97</v>
      </c>
      <c r="G4263" t="s">
        <v>27</v>
      </c>
      <c r="H4263">
        <v>43</v>
      </c>
      <c r="I4263" t="s">
        <v>28</v>
      </c>
      <c r="J4263" s="4">
        <v>73.900000000000006</v>
      </c>
      <c r="K4263" s="4">
        <v>222.5</v>
      </c>
      <c r="L4263" s="4">
        <v>28.8</v>
      </c>
      <c r="M4263">
        <v>17</v>
      </c>
      <c r="N4263" t="s">
        <v>66</v>
      </c>
      <c r="O4263">
        <v>2</v>
      </c>
      <c r="P4263" s="4">
        <v>440.9</v>
      </c>
      <c r="Q4263" t="s">
        <v>48</v>
      </c>
      <c r="R4263">
        <v>1</v>
      </c>
      <c r="S4263" t="s">
        <v>44</v>
      </c>
      <c r="T4263">
        <v>0</v>
      </c>
      <c r="U4263">
        <v>0</v>
      </c>
      <c r="V4263" t="s">
        <v>45</v>
      </c>
      <c r="W4263" t="s">
        <v>43</v>
      </c>
      <c r="X4263" s="4">
        <v>7.1</v>
      </c>
      <c r="Y4263">
        <v>12</v>
      </c>
      <c r="Z4263" s="5">
        <v>189.5</v>
      </c>
    </row>
    <row r="4264" spans="1:26">
      <c r="A4264">
        <v>4263</v>
      </c>
      <c r="B4264">
        <v>1397</v>
      </c>
      <c r="C4264" s="2">
        <v>46110</v>
      </c>
      <c r="D4264" t="s">
        <v>58</v>
      </c>
      <c r="E4264">
        <v>3</v>
      </c>
      <c r="F4264" s="3">
        <v>11.47</v>
      </c>
      <c r="G4264" t="s">
        <v>36</v>
      </c>
      <c r="H4264">
        <v>23</v>
      </c>
      <c r="I4264" t="s">
        <v>28</v>
      </c>
      <c r="J4264" s="4">
        <v>66</v>
      </c>
      <c r="K4264" s="4">
        <v>223.7</v>
      </c>
      <c r="L4264" s="4">
        <v>36.200000000000003</v>
      </c>
      <c r="M4264">
        <v>16</v>
      </c>
      <c r="N4264" t="s">
        <v>59</v>
      </c>
      <c r="O4264">
        <v>4</v>
      </c>
      <c r="P4264" s="4">
        <v>765.5</v>
      </c>
      <c r="Q4264" t="s">
        <v>48</v>
      </c>
      <c r="R4264">
        <v>0</v>
      </c>
      <c r="S4264" t="s">
        <v>31</v>
      </c>
      <c r="T4264">
        <v>0</v>
      </c>
      <c r="U4264">
        <v>0</v>
      </c>
      <c r="V4264" t="s">
        <v>32</v>
      </c>
      <c r="W4264" t="s">
        <v>57</v>
      </c>
      <c r="X4264" s="4">
        <v>7.5</v>
      </c>
      <c r="Y4264">
        <v>1</v>
      </c>
      <c r="Z4264" s="5">
        <v>155.84</v>
      </c>
    </row>
    <row r="4265" spans="1:26">
      <c r="A4265">
        <v>4264</v>
      </c>
      <c r="B4265">
        <v>1397</v>
      </c>
      <c r="C4265" s="2">
        <v>46110</v>
      </c>
      <c r="D4265" t="s">
        <v>58</v>
      </c>
      <c r="E4265">
        <v>3</v>
      </c>
      <c r="F4265" s="3">
        <v>11.36</v>
      </c>
      <c r="G4265" t="s">
        <v>36</v>
      </c>
      <c r="H4265">
        <v>61</v>
      </c>
      <c r="I4265" t="s">
        <v>28</v>
      </c>
      <c r="J4265" s="4">
        <v>69.2</v>
      </c>
      <c r="K4265" s="4">
        <v>156.4</v>
      </c>
      <c r="L4265" s="4">
        <v>23.1</v>
      </c>
      <c r="M4265">
        <v>16</v>
      </c>
      <c r="N4265" t="s">
        <v>59</v>
      </c>
      <c r="O4265">
        <v>4</v>
      </c>
      <c r="P4265" s="4">
        <v>765.5</v>
      </c>
      <c r="Q4265" t="s">
        <v>48</v>
      </c>
      <c r="R4265">
        <v>0</v>
      </c>
      <c r="S4265" t="s">
        <v>31</v>
      </c>
      <c r="T4265">
        <v>0</v>
      </c>
      <c r="U4265">
        <v>0</v>
      </c>
      <c r="V4265" t="s">
        <v>32</v>
      </c>
      <c r="W4265" t="s">
        <v>57</v>
      </c>
      <c r="X4265" s="4">
        <v>4.5999999999999996</v>
      </c>
      <c r="Y4265">
        <v>3</v>
      </c>
      <c r="Z4265" s="5">
        <v>154.68</v>
      </c>
    </row>
    <row r="4266" spans="1:26">
      <c r="A4266">
        <v>4265</v>
      </c>
      <c r="B4266">
        <v>1397</v>
      </c>
      <c r="C4266" s="2">
        <v>46110</v>
      </c>
      <c r="D4266" t="s">
        <v>58</v>
      </c>
      <c r="E4266">
        <v>3</v>
      </c>
      <c r="F4266" s="3">
        <v>11.54</v>
      </c>
      <c r="G4266" t="s">
        <v>36</v>
      </c>
      <c r="H4266">
        <v>33</v>
      </c>
      <c r="I4266" t="s">
        <v>28</v>
      </c>
      <c r="J4266" s="4">
        <v>71.599999999999994</v>
      </c>
      <c r="K4266" s="4">
        <v>225.6</v>
      </c>
      <c r="L4266" s="4">
        <v>30.7</v>
      </c>
      <c r="M4266">
        <v>17</v>
      </c>
      <c r="N4266" t="s">
        <v>59</v>
      </c>
      <c r="O4266">
        <v>4</v>
      </c>
      <c r="P4266" s="4">
        <v>765.5</v>
      </c>
      <c r="Q4266" t="s">
        <v>48</v>
      </c>
      <c r="R4266">
        <v>0</v>
      </c>
      <c r="S4266" t="s">
        <v>31</v>
      </c>
      <c r="T4266">
        <v>0</v>
      </c>
      <c r="U4266">
        <v>0</v>
      </c>
      <c r="V4266" t="s">
        <v>32</v>
      </c>
      <c r="W4266" t="s">
        <v>57</v>
      </c>
      <c r="X4266" s="4">
        <v>8.1</v>
      </c>
      <c r="Y4266">
        <v>4</v>
      </c>
      <c r="Z4266" s="5">
        <v>237.86</v>
      </c>
    </row>
    <row r="4267" spans="1:26">
      <c r="A4267">
        <v>4266</v>
      </c>
      <c r="B4267">
        <v>1397</v>
      </c>
      <c r="C4267" s="2">
        <v>46110</v>
      </c>
      <c r="D4267" t="s">
        <v>58</v>
      </c>
      <c r="E4267">
        <v>3</v>
      </c>
      <c r="F4267" s="3">
        <v>11.57</v>
      </c>
      <c r="G4267" t="s">
        <v>36</v>
      </c>
      <c r="H4267">
        <v>45</v>
      </c>
      <c r="I4267" t="s">
        <v>34</v>
      </c>
      <c r="J4267" s="4">
        <v>68.900000000000006</v>
      </c>
      <c r="K4267" s="4">
        <v>216.3</v>
      </c>
      <c r="L4267" s="4">
        <v>32</v>
      </c>
      <c r="M4267">
        <v>17</v>
      </c>
      <c r="N4267" t="s">
        <v>59</v>
      </c>
      <c r="O4267">
        <v>4</v>
      </c>
      <c r="P4267" s="4">
        <v>765.5</v>
      </c>
      <c r="Q4267" t="s">
        <v>48</v>
      </c>
      <c r="R4267">
        <v>0</v>
      </c>
      <c r="S4267" t="s">
        <v>31</v>
      </c>
      <c r="T4267">
        <v>0</v>
      </c>
      <c r="U4267">
        <v>0</v>
      </c>
      <c r="V4267" t="s">
        <v>32</v>
      </c>
      <c r="W4267" t="s">
        <v>57</v>
      </c>
      <c r="X4267" s="4">
        <v>9.1</v>
      </c>
      <c r="Y4267">
        <v>7</v>
      </c>
      <c r="Z4267" s="5">
        <v>313.29000000000002</v>
      </c>
    </row>
    <row r="4268" spans="1:26">
      <c r="A4268">
        <v>4267</v>
      </c>
      <c r="B4268">
        <v>1398</v>
      </c>
      <c r="C4268" s="2">
        <v>46137</v>
      </c>
      <c r="D4268" t="s">
        <v>40</v>
      </c>
      <c r="E4268">
        <v>4</v>
      </c>
      <c r="F4268" s="3">
        <v>13.65</v>
      </c>
      <c r="G4268" t="s">
        <v>36</v>
      </c>
      <c r="H4268">
        <v>68</v>
      </c>
      <c r="I4268" t="s">
        <v>28</v>
      </c>
      <c r="J4268" s="4">
        <v>74.7</v>
      </c>
      <c r="K4268" s="4">
        <v>163</v>
      </c>
      <c r="L4268" s="4">
        <v>20.3</v>
      </c>
      <c r="M4268">
        <v>15</v>
      </c>
      <c r="N4268" t="s">
        <v>37</v>
      </c>
      <c r="O4268">
        <v>2</v>
      </c>
      <c r="P4268" s="4">
        <v>788</v>
      </c>
      <c r="Q4268" t="s">
        <v>42</v>
      </c>
      <c r="R4268">
        <v>1</v>
      </c>
      <c r="S4268" t="s">
        <v>44</v>
      </c>
      <c r="T4268">
        <v>0</v>
      </c>
      <c r="U4268">
        <v>0</v>
      </c>
      <c r="V4268" t="s">
        <v>32</v>
      </c>
      <c r="W4268" t="s">
        <v>49</v>
      </c>
      <c r="X4268" s="4">
        <v>7.5</v>
      </c>
      <c r="Y4268">
        <v>2</v>
      </c>
      <c r="Z4268" s="5">
        <v>221.72</v>
      </c>
    </row>
    <row r="4269" spans="1:26">
      <c r="A4269">
        <v>4268</v>
      </c>
      <c r="B4269">
        <v>1398</v>
      </c>
      <c r="C4269" s="2">
        <v>46137</v>
      </c>
      <c r="D4269" t="s">
        <v>40</v>
      </c>
      <c r="E4269">
        <v>4</v>
      </c>
      <c r="F4269" s="3">
        <v>13.71</v>
      </c>
      <c r="G4269" t="s">
        <v>36</v>
      </c>
      <c r="H4269">
        <v>30</v>
      </c>
      <c r="I4269" t="s">
        <v>34</v>
      </c>
      <c r="J4269" s="4">
        <v>63.1</v>
      </c>
      <c r="K4269" s="4">
        <v>153.4</v>
      </c>
      <c r="L4269" s="4">
        <v>27</v>
      </c>
      <c r="M4269">
        <v>18</v>
      </c>
      <c r="N4269" t="s">
        <v>37</v>
      </c>
      <c r="O4269">
        <v>2</v>
      </c>
      <c r="P4269" s="4">
        <v>788</v>
      </c>
      <c r="Q4269" t="s">
        <v>42</v>
      </c>
      <c r="R4269">
        <v>1</v>
      </c>
      <c r="S4269" t="s">
        <v>44</v>
      </c>
      <c r="T4269">
        <v>0</v>
      </c>
      <c r="U4269">
        <v>0</v>
      </c>
      <c r="V4269" t="s">
        <v>32</v>
      </c>
      <c r="W4269" t="s">
        <v>49</v>
      </c>
      <c r="X4269" s="4">
        <v>7</v>
      </c>
      <c r="Y4269">
        <v>6</v>
      </c>
      <c r="Z4269" s="5">
        <v>199.54</v>
      </c>
    </row>
    <row r="4270" spans="1:26">
      <c r="A4270">
        <v>4269</v>
      </c>
      <c r="B4270">
        <v>1399</v>
      </c>
      <c r="C4270" s="2">
        <v>46041</v>
      </c>
      <c r="D4270" t="s">
        <v>46</v>
      </c>
      <c r="E4270">
        <v>1</v>
      </c>
      <c r="F4270" s="3">
        <v>9.48</v>
      </c>
      <c r="G4270" t="s">
        <v>27</v>
      </c>
      <c r="H4270">
        <v>64</v>
      </c>
      <c r="I4270" t="s">
        <v>28</v>
      </c>
      <c r="J4270" s="4">
        <v>71.7</v>
      </c>
      <c r="K4270" s="4">
        <v>148.9</v>
      </c>
      <c r="L4270" s="4">
        <v>20.9</v>
      </c>
      <c r="M4270">
        <v>12</v>
      </c>
      <c r="N4270" t="s">
        <v>47</v>
      </c>
      <c r="O4270">
        <v>4</v>
      </c>
      <c r="P4270" s="4">
        <v>48.4</v>
      </c>
      <c r="Q4270" t="s">
        <v>30</v>
      </c>
      <c r="R4270">
        <v>0</v>
      </c>
      <c r="S4270" t="s">
        <v>44</v>
      </c>
      <c r="T4270">
        <v>0</v>
      </c>
      <c r="U4270">
        <v>0</v>
      </c>
      <c r="V4270" t="s">
        <v>32</v>
      </c>
      <c r="W4270" t="s">
        <v>43</v>
      </c>
      <c r="X4270" s="4">
        <v>7.6</v>
      </c>
      <c r="Y4270">
        <v>11</v>
      </c>
      <c r="Z4270" s="5">
        <v>163.68</v>
      </c>
    </row>
    <row r="4271" spans="1:26">
      <c r="A4271">
        <v>4270</v>
      </c>
      <c r="B4271">
        <v>1399</v>
      </c>
      <c r="C4271" s="2">
        <v>46041</v>
      </c>
      <c r="D4271" t="s">
        <v>46</v>
      </c>
      <c r="E4271">
        <v>1</v>
      </c>
      <c r="F4271" s="3">
        <v>9.59</v>
      </c>
      <c r="G4271" t="s">
        <v>27</v>
      </c>
      <c r="H4271">
        <v>49</v>
      </c>
      <c r="I4271" t="s">
        <v>34</v>
      </c>
      <c r="J4271" s="4">
        <v>64.3</v>
      </c>
      <c r="K4271" s="4">
        <v>148.6</v>
      </c>
      <c r="L4271" s="4">
        <v>25.3</v>
      </c>
      <c r="M4271">
        <v>13</v>
      </c>
      <c r="N4271" t="s">
        <v>47</v>
      </c>
      <c r="O4271">
        <v>4</v>
      </c>
      <c r="P4271" s="4">
        <v>48.4</v>
      </c>
      <c r="Q4271" t="s">
        <v>30</v>
      </c>
      <c r="R4271">
        <v>0</v>
      </c>
      <c r="S4271" t="s">
        <v>44</v>
      </c>
      <c r="T4271">
        <v>0</v>
      </c>
      <c r="U4271">
        <v>0</v>
      </c>
      <c r="V4271" t="s">
        <v>32</v>
      </c>
      <c r="W4271" t="s">
        <v>43</v>
      </c>
      <c r="X4271" s="4">
        <v>7.4</v>
      </c>
      <c r="Y4271">
        <v>11</v>
      </c>
      <c r="Z4271" s="5">
        <v>306.42</v>
      </c>
    </row>
    <row r="4272" spans="1:26">
      <c r="A4272">
        <v>4271</v>
      </c>
      <c r="B4272">
        <v>1399</v>
      </c>
      <c r="C4272" s="2">
        <v>46041</v>
      </c>
      <c r="D4272" t="s">
        <v>46</v>
      </c>
      <c r="E4272">
        <v>1</v>
      </c>
      <c r="F4272" s="3">
        <v>9.49</v>
      </c>
      <c r="G4272" t="s">
        <v>27</v>
      </c>
      <c r="H4272">
        <v>47</v>
      </c>
      <c r="I4272" t="s">
        <v>28</v>
      </c>
      <c r="J4272" s="4">
        <v>70.5</v>
      </c>
      <c r="K4272" s="4">
        <v>140.9</v>
      </c>
      <c r="L4272" s="4">
        <v>19.899999999999999</v>
      </c>
      <c r="M4272">
        <v>10</v>
      </c>
      <c r="N4272" t="s">
        <v>47</v>
      </c>
      <c r="O4272">
        <v>4</v>
      </c>
      <c r="P4272" s="4">
        <v>48.4</v>
      </c>
      <c r="Q4272" t="s">
        <v>30</v>
      </c>
      <c r="R4272">
        <v>0</v>
      </c>
      <c r="S4272" t="s">
        <v>44</v>
      </c>
      <c r="T4272">
        <v>0</v>
      </c>
      <c r="U4272">
        <v>0</v>
      </c>
      <c r="V4272" t="s">
        <v>32</v>
      </c>
      <c r="W4272" t="s">
        <v>43</v>
      </c>
      <c r="X4272" s="4">
        <v>7.3</v>
      </c>
      <c r="Y4272">
        <v>5</v>
      </c>
      <c r="Z4272" s="5">
        <v>160.96</v>
      </c>
    </row>
    <row r="4273" spans="1:26">
      <c r="A4273">
        <v>4272</v>
      </c>
      <c r="B4273">
        <v>1399</v>
      </c>
      <c r="C4273" s="2">
        <v>46041</v>
      </c>
      <c r="D4273" t="s">
        <v>46</v>
      </c>
      <c r="E4273">
        <v>1</v>
      </c>
      <c r="F4273" s="3">
        <v>9.6199999999999992</v>
      </c>
      <c r="G4273" t="s">
        <v>27</v>
      </c>
      <c r="H4273">
        <v>26</v>
      </c>
      <c r="I4273" t="s">
        <v>34</v>
      </c>
      <c r="J4273" s="4">
        <v>66.900000000000006</v>
      </c>
      <c r="K4273" s="4">
        <v>199.8</v>
      </c>
      <c r="L4273" s="4">
        <v>31.8</v>
      </c>
      <c r="M4273">
        <v>12</v>
      </c>
      <c r="N4273" t="s">
        <v>47</v>
      </c>
      <c r="O4273">
        <v>4</v>
      </c>
      <c r="P4273" s="4">
        <v>48.4</v>
      </c>
      <c r="Q4273" t="s">
        <v>30</v>
      </c>
      <c r="R4273">
        <v>0</v>
      </c>
      <c r="S4273" t="s">
        <v>44</v>
      </c>
      <c r="T4273">
        <v>0</v>
      </c>
      <c r="U4273">
        <v>0</v>
      </c>
      <c r="V4273" t="s">
        <v>32</v>
      </c>
      <c r="W4273" t="s">
        <v>43</v>
      </c>
      <c r="X4273" s="4">
        <v>7</v>
      </c>
      <c r="Y4273">
        <v>7</v>
      </c>
      <c r="Z4273" s="5">
        <v>134.91</v>
      </c>
    </row>
    <row r="4274" spans="1:26">
      <c r="A4274">
        <v>4273</v>
      </c>
      <c r="B4274">
        <v>1400</v>
      </c>
      <c r="C4274" s="2">
        <v>46209</v>
      </c>
      <c r="D4274" t="s">
        <v>46</v>
      </c>
      <c r="E4274">
        <v>7</v>
      </c>
      <c r="F4274" s="3">
        <v>10.029999999999999</v>
      </c>
      <c r="G4274" t="s">
        <v>27</v>
      </c>
      <c r="H4274">
        <v>22</v>
      </c>
      <c r="I4274" t="s">
        <v>28</v>
      </c>
      <c r="J4274" s="4">
        <v>70.599999999999994</v>
      </c>
      <c r="K4274" s="4">
        <v>180.6</v>
      </c>
      <c r="L4274" s="4">
        <v>25.4</v>
      </c>
      <c r="M4274">
        <v>13</v>
      </c>
      <c r="N4274" t="s">
        <v>60</v>
      </c>
      <c r="O4274">
        <v>4</v>
      </c>
      <c r="P4274" s="4">
        <v>1213.8</v>
      </c>
      <c r="Q4274" t="s">
        <v>42</v>
      </c>
      <c r="R4274">
        <v>1</v>
      </c>
      <c r="S4274" t="s">
        <v>31</v>
      </c>
      <c r="T4274">
        <v>1</v>
      </c>
      <c r="U4274">
        <v>0</v>
      </c>
      <c r="V4274" t="s">
        <v>64</v>
      </c>
      <c r="W4274" t="s">
        <v>43</v>
      </c>
      <c r="X4274" s="4">
        <v>10</v>
      </c>
      <c r="Y4274">
        <v>11</v>
      </c>
      <c r="Z4274" s="5">
        <v>306.64</v>
      </c>
    </row>
    <row r="4275" spans="1:26">
      <c r="A4275">
        <v>4274</v>
      </c>
      <c r="B4275">
        <v>1400</v>
      </c>
      <c r="C4275" s="2">
        <v>46209</v>
      </c>
      <c r="D4275" t="s">
        <v>46</v>
      </c>
      <c r="E4275">
        <v>7</v>
      </c>
      <c r="F4275" s="3">
        <v>10.28</v>
      </c>
      <c r="G4275" t="s">
        <v>27</v>
      </c>
      <c r="H4275">
        <v>8</v>
      </c>
      <c r="I4275" t="s">
        <v>34</v>
      </c>
      <c r="J4275" s="4">
        <v>62.7</v>
      </c>
      <c r="K4275" s="4">
        <v>108.7</v>
      </c>
      <c r="L4275" s="4">
        <v>19.3</v>
      </c>
      <c r="M4275">
        <v>14</v>
      </c>
      <c r="N4275" t="s">
        <v>60</v>
      </c>
      <c r="O4275">
        <v>4</v>
      </c>
      <c r="P4275" s="4">
        <v>1213.8</v>
      </c>
      <c r="Q4275" t="s">
        <v>42</v>
      </c>
      <c r="R4275">
        <v>1</v>
      </c>
      <c r="S4275" t="s">
        <v>31</v>
      </c>
      <c r="T4275">
        <v>1</v>
      </c>
      <c r="U4275">
        <v>0</v>
      </c>
      <c r="V4275" t="s">
        <v>64</v>
      </c>
      <c r="W4275" t="s">
        <v>43</v>
      </c>
      <c r="X4275" s="4">
        <v>7</v>
      </c>
      <c r="Y4275">
        <v>5</v>
      </c>
      <c r="Z4275" s="5">
        <v>157.05000000000001</v>
      </c>
    </row>
    <row r="4276" spans="1:26">
      <c r="A4276">
        <v>4275</v>
      </c>
      <c r="B4276">
        <v>1400</v>
      </c>
      <c r="C4276" s="2">
        <v>46209</v>
      </c>
      <c r="D4276" t="s">
        <v>46</v>
      </c>
      <c r="E4276">
        <v>7</v>
      </c>
      <c r="F4276" s="3">
        <v>10.210000000000001</v>
      </c>
      <c r="G4276" t="s">
        <v>27</v>
      </c>
      <c r="H4276">
        <v>7</v>
      </c>
      <c r="I4276" t="s">
        <v>34</v>
      </c>
      <c r="J4276" s="4">
        <v>63.7</v>
      </c>
      <c r="K4276" s="4">
        <v>88.9</v>
      </c>
      <c r="L4276" s="4">
        <v>15.3</v>
      </c>
      <c r="M4276">
        <v>13</v>
      </c>
      <c r="N4276" t="s">
        <v>60</v>
      </c>
      <c r="O4276">
        <v>4</v>
      </c>
      <c r="P4276" s="4">
        <v>1213.8</v>
      </c>
      <c r="Q4276" t="s">
        <v>42</v>
      </c>
      <c r="R4276">
        <v>1</v>
      </c>
      <c r="S4276" t="s">
        <v>31</v>
      </c>
      <c r="T4276">
        <v>1</v>
      </c>
      <c r="U4276">
        <v>0</v>
      </c>
      <c r="V4276" t="s">
        <v>64</v>
      </c>
      <c r="W4276" t="s">
        <v>43</v>
      </c>
      <c r="X4276" s="4">
        <v>9.9</v>
      </c>
      <c r="Y4276">
        <v>9</v>
      </c>
      <c r="Z4276" s="5">
        <v>171.88</v>
      </c>
    </row>
    <row r="4277" spans="1:26">
      <c r="A4277">
        <v>4276</v>
      </c>
      <c r="B4277">
        <v>1400</v>
      </c>
      <c r="C4277" s="2">
        <v>46209</v>
      </c>
      <c r="D4277" t="s">
        <v>46</v>
      </c>
      <c r="E4277">
        <v>7</v>
      </c>
      <c r="F4277" s="3">
        <v>10.130000000000001</v>
      </c>
      <c r="G4277" t="s">
        <v>27</v>
      </c>
      <c r="H4277">
        <v>51</v>
      </c>
      <c r="I4277" t="s">
        <v>28</v>
      </c>
      <c r="J4277" s="4">
        <v>66.900000000000006</v>
      </c>
      <c r="K4277" s="4">
        <v>155.9</v>
      </c>
      <c r="L4277" s="4">
        <v>24.7</v>
      </c>
      <c r="M4277">
        <v>18</v>
      </c>
      <c r="N4277" t="s">
        <v>60</v>
      </c>
      <c r="O4277">
        <v>4</v>
      </c>
      <c r="P4277" s="4">
        <v>1213.8</v>
      </c>
      <c r="Q4277" t="s">
        <v>42</v>
      </c>
      <c r="R4277">
        <v>1</v>
      </c>
      <c r="S4277" t="s">
        <v>31</v>
      </c>
      <c r="T4277">
        <v>1</v>
      </c>
      <c r="U4277">
        <v>0</v>
      </c>
      <c r="V4277" t="s">
        <v>64</v>
      </c>
      <c r="W4277" t="s">
        <v>43</v>
      </c>
      <c r="X4277" s="4">
        <v>6.2</v>
      </c>
      <c r="Y4277">
        <v>7</v>
      </c>
      <c r="Z4277" s="5">
        <v>139.04</v>
      </c>
    </row>
    <row r="4278" spans="1:26">
      <c r="A4278">
        <v>4277</v>
      </c>
      <c r="B4278">
        <v>1401</v>
      </c>
      <c r="C4278" s="2">
        <v>46230</v>
      </c>
      <c r="D4278" t="s">
        <v>46</v>
      </c>
      <c r="E4278">
        <v>7</v>
      </c>
      <c r="F4278" s="3">
        <v>11.17</v>
      </c>
      <c r="G4278" t="s">
        <v>36</v>
      </c>
      <c r="H4278">
        <v>49</v>
      </c>
      <c r="I4278" t="s">
        <v>28</v>
      </c>
      <c r="J4278" s="4">
        <v>72.8</v>
      </c>
      <c r="K4278" s="4">
        <v>234.3</v>
      </c>
      <c r="L4278" s="4">
        <v>30.9</v>
      </c>
      <c r="M4278">
        <v>15</v>
      </c>
      <c r="N4278" t="s">
        <v>47</v>
      </c>
      <c r="O4278">
        <v>2</v>
      </c>
      <c r="P4278" s="4">
        <v>3.5</v>
      </c>
      <c r="Q4278" t="s">
        <v>30</v>
      </c>
      <c r="R4278">
        <v>1</v>
      </c>
      <c r="S4278" t="s">
        <v>44</v>
      </c>
      <c r="T4278">
        <v>0</v>
      </c>
      <c r="U4278">
        <v>0</v>
      </c>
      <c r="V4278" t="s">
        <v>32</v>
      </c>
      <c r="W4278" t="s">
        <v>57</v>
      </c>
      <c r="X4278" s="4">
        <v>8.5</v>
      </c>
      <c r="Y4278">
        <v>13</v>
      </c>
      <c r="Z4278" s="5">
        <v>151.03</v>
      </c>
    </row>
    <row r="4279" spans="1:26">
      <c r="A4279">
        <v>4278</v>
      </c>
      <c r="B4279">
        <v>1401</v>
      </c>
      <c r="C4279" s="2">
        <v>46230</v>
      </c>
      <c r="D4279" t="s">
        <v>46</v>
      </c>
      <c r="E4279">
        <v>7</v>
      </c>
      <c r="F4279" s="3">
        <v>11.14</v>
      </c>
      <c r="G4279" t="s">
        <v>36</v>
      </c>
      <c r="H4279">
        <v>51</v>
      </c>
      <c r="I4279" t="s">
        <v>34</v>
      </c>
      <c r="J4279" s="4">
        <v>66.2</v>
      </c>
      <c r="K4279" s="4">
        <v>163.80000000000001</v>
      </c>
      <c r="L4279" s="4">
        <v>26</v>
      </c>
      <c r="M4279">
        <v>12</v>
      </c>
      <c r="N4279" t="s">
        <v>47</v>
      </c>
      <c r="O4279">
        <v>2</v>
      </c>
      <c r="P4279" s="4">
        <v>3.5</v>
      </c>
      <c r="Q4279" t="s">
        <v>30</v>
      </c>
      <c r="R4279">
        <v>1</v>
      </c>
      <c r="S4279" t="s">
        <v>44</v>
      </c>
      <c r="T4279">
        <v>0</v>
      </c>
      <c r="U4279">
        <v>0</v>
      </c>
      <c r="V4279" t="s">
        <v>32</v>
      </c>
      <c r="W4279" t="s">
        <v>57</v>
      </c>
      <c r="X4279" s="4">
        <v>9.9</v>
      </c>
      <c r="Y4279">
        <v>6</v>
      </c>
      <c r="Z4279" s="5">
        <v>384.35</v>
      </c>
    </row>
    <row r="4280" spans="1:26">
      <c r="A4280">
        <v>4279</v>
      </c>
      <c r="B4280">
        <v>1402</v>
      </c>
      <c r="C4280" s="2">
        <v>46042</v>
      </c>
      <c r="D4280" t="s">
        <v>35</v>
      </c>
      <c r="E4280">
        <v>1</v>
      </c>
      <c r="F4280" s="3">
        <v>9.82</v>
      </c>
      <c r="G4280" t="s">
        <v>27</v>
      </c>
      <c r="H4280">
        <v>23</v>
      </c>
      <c r="I4280" t="s">
        <v>28</v>
      </c>
      <c r="J4280" s="4">
        <v>70.8</v>
      </c>
      <c r="K4280" s="4">
        <v>163.69999999999999</v>
      </c>
      <c r="L4280" s="4">
        <v>23.1</v>
      </c>
      <c r="M4280">
        <v>12</v>
      </c>
      <c r="N4280" t="s">
        <v>47</v>
      </c>
      <c r="O4280">
        <v>3</v>
      </c>
      <c r="P4280" s="4">
        <v>123.5</v>
      </c>
      <c r="Q4280" t="s">
        <v>42</v>
      </c>
      <c r="R4280">
        <v>1</v>
      </c>
      <c r="S4280" t="s">
        <v>44</v>
      </c>
      <c r="T4280">
        <v>1</v>
      </c>
      <c r="U4280">
        <v>1</v>
      </c>
      <c r="V4280" t="s">
        <v>32</v>
      </c>
      <c r="W4280" t="s">
        <v>39</v>
      </c>
      <c r="X4280" s="4">
        <v>6</v>
      </c>
      <c r="Y4280">
        <v>9</v>
      </c>
      <c r="Z4280" s="5">
        <v>390.55</v>
      </c>
    </row>
    <row r="4281" spans="1:26">
      <c r="A4281">
        <v>4280</v>
      </c>
      <c r="B4281">
        <v>1402</v>
      </c>
      <c r="C4281" s="2">
        <v>46042</v>
      </c>
      <c r="D4281" t="s">
        <v>35</v>
      </c>
      <c r="E4281">
        <v>1</v>
      </c>
      <c r="F4281" s="3">
        <v>9.8000000000000007</v>
      </c>
      <c r="G4281" t="s">
        <v>27</v>
      </c>
      <c r="H4281">
        <v>3</v>
      </c>
      <c r="I4281" t="s">
        <v>28</v>
      </c>
      <c r="J4281" s="4">
        <v>54.3</v>
      </c>
      <c r="K4281" s="4">
        <v>82.1</v>
      </c>
      <c r="L4281" s="4">
        <v>19.8</v>
      </c>
      <c r="M4281">
        <v>14</v>
      </c>
      <c r="N4281" t="s">
        <v>47</v>
      </c>
      <c r="O4281">
        <v>3</v>
      </c>
      <c r="P4281" s="4">
        <v>123.5</v>
      </c>
      <c r="Q4281" t="s">
        <v>42</v>
      </c>
      <c r="R4281">
        <v>1</v>
      </c>
      <c r="S4281" t="s">
        <v>44</v>
      </c>
      <c r="T4281">
        <v>1</v>
      </c>
      <c r="U4281">
        <v>1</v>
      </c>
      <c r="V4281" t="s">
        <v>32</v>
      </c>
      <c r="W4281" t="s">
        <v>39</v>
      </c>
      <c r="X4281" s="4">
        <v>10.7</v>
      </c>
      <c r="Y4281">
        <v>7</v>
      </c>
      <c r="Z4281" s="5">
        <v>353.69</v>
      </c>
    </row>
    <row r="4282" spans="1:26">
      <c r="A4282">
        <v>4281</v>
      </c>
      <c r="B4282">
        <v>1402</v>
      </c>
      <c r="C4282" s="2">
        <v>46042</v>
      </c>
      <c r="D4282" t="s">
        <v>35</v>
      </c>
      <c r="E4282">
        <v>1</v>
      </c>
      <c r="F4282" s="3">
        <v>9.85</v>
      </c>
      <c r="G4282" t="s">
        <v>27</v>
      </c>
      <c r="H4282">
        <v>18</v>
      </c>
      <c r="I4282" t="s">
        <v>34</v>
      </c>
      <c r="J4282" s="4">
        <v>65.599999999999994</v>
      </c>
      <c r="K4282" s="4">
        <v>111.6</v>
      </c>
      <c r="L4282" s="4">
        <v>18.2</v>
      </c>
      <c r="M4282">
        <v>15</v>
      </c>
      <c r="N4282" t="s">
        <v>47</v>
      </c>
      <c r="O4282">
        <v>3</v>
      </c>
      <c r="P4282" s="4">
        <v>123.5</v>
      </c>
      <c r="Q4282" t="s">
        <v>42</v>
      </c>
      <c r="R4282">
        <v>1</v>
      </c>
      <c r="S4282" t="s">
        <v>44</v>
      </c>
      <c r="T4282">
        <v>1</v>
      </c>
      <c r="U4282">
        <v>1</v>
      </c>
      <c r="V4282" t="s">
        <v>32</v>
      </c>
      <c r="W4282" t="s">
        <v>39</v>
      </c>
      <c r="X4282" s="4">
        <v>6.8</v>
      </c>
      <c r="Y4282">
        <v>11</v>
      </c>
      <c r="Z4282" s="5">
        <v>157.76</v>
      </c>
    </row>
    <row r="4283" spans="1:26">
      <c r="A4283">
        <v>4282</v>
      </c>
      <c r="B4283">
        <v>1403</v>
      </c>
      <c r="C4283" s="2">
        <v>46128</v>
      </c>
      <c r="D4283" t="s">
        <v>55</v>
      </c>
      <c r="E4283">
        <v>4</v>
      </c>
      <c r="F4283" s="3">
        <v>13.27</v>
      </c>
      <c r="G4283" t="s">
        <v>36</v>
      </c>
      <c r="H4283">
        <v>15</v>
      </c>
      <c r="I4283" t="s">
        <v>34</v>
      </c>
      <c r="J4283" s="4">
        <v>70</v>
      </c>
      <c r="K4283" s="4">
        <v>146.30000000000001</v>
      </c>
      <c r="L4283" s="4">
        <v>21.2</v>
      </c>
      <c r="M4283">
        <v>8</v>
      </c>
      <c r="N4283" t="s">
        <v>50</v>
      </c>
      <c r="O4283">
        <v>4</v>
      </c>
      <c r="P4283" s="4">
        <v>463.8</v>
      </c>
      <c r="Q4283" t="s">
        <v>30</v>
      </c>
      <c r="R4283">
        <v>0</v>
      </c>
      <c r="S4283" t="s">
        <v>44</v>
      </c>
      <c r="T4283">
        <v>0</v>
      </c>
      <c r="U4283">
        <v>0</v>
      </c>
      <c r="V4283" t="s">
        <v>45</v>
      </c>
      <c r="W4283" t="s">
        <v>57</v>
      </c>
      <c r="X4283" s="4">
        <v>6.9</v>
      </c>
      <c r="Y4283">
        <v>2</v>
      </c>
      <c r="Z4283" s="5">
        <v>152.63</v>
      </c>
    </row>
    <row r="4284" spans="1:26">
      <c r="A4284">
        <v>4283</v>
      </c>
      <c r="B4284">
        <v>1403</v>
      </c>
      <c r="C4284" s="2">
        <v>46128</v>
      </c>
      <c r="D4284" t="s">
        <v>55</v>
      </c>
      <c r="E4284">
        <v>4</v>
      </c>
      <c r="F4284" s="3">
        <v>13.5</v>
      </c>
      <c r="G4284" t="s">
        <v>36</v>
      </c>
      <c r="H4284">
        <v>7</v>
      </c>
      <c r="I4284" t="s">
        <v>28</v>
      </c>
      <c r="J4284" s="4">
        <v>70</v>
      </c>
      <c r="K4284" s="4">
        <v>113.3</v>
      </c>
      <c r="L4284" s="4">
        <v>16.2</v>
      </c>
      <c r="M4284">
        <v>8</v>
      </c>
      <c r="N4284" t="s">
        <v>50</v>
      </c>
      <c r="O4284">
        <v>4</v>
      </c>
      <c r="P4284" s="4">
        <v>463.8</v>
      </c>
      <c r="Q4284" t="s">
        <v>30</v>
      </c>
      <c r="R4284">
        <v>0</v>
      </c>
      <c r="S4284" t="s">
        <v>44</v>
      </c>
      <c r="T4284">
        <v>0</v>
      </c>
      <c r="U4284">
        <v>0</v>
      </c>
      <c r="V4284" t="s">
        <v>45</v>
      </c>
      <c r="W4284" t="s">
        <v>57</v>
      </c>
      <c r="X4284" s="4">
        <v>7.3</v>
      </c>
      <c r="Y4284">
        <v>5</v>
      </c>
      <c r="Z4284" s="5">
        <v>146.81</v>
      </c>
    </row>
    <row r="4285" spans="1:26">
      <c r="A4285">
        <v>4284</v>
      </c>
      <c r="B4285">
        <v>1403</v>
      </c>
      <c r="C4285" s="2">
        <v>46128</v>
      </c>
      <c r="D4285" t="s">
        <v>55</v>
      </c>
      <c r="E4285">
        <v>4</v>
      </c>
      <c r="F4285" s="3">
        <v>13.54</v>
      </c>
      <c r="G4285" t="s">
        <v>36</v>
      </c>
      <c r="H4285">
        <v>38</v>
      </c>
      <c r="I4285" t="s">
        <v>34</v>
      </c>
      <c r="J4285" s="4">
        <v>63.3</v>
      </c>
      <c r="K4285" s="4">
        <v>134.9</v>
      </c>
      <c r="L4285" s="4">
        <v>23.8</v>
      </c>
      <c r="M4285">
        <v>10</v>
      </c>
      <c r="N4285" t="s">
        <v>50</v>
      </c>
      <c r="O4285">
        <v>4</v>
      </c>
      <c r="P4285" s="4">
        <v>463.8</v>
      </c>
      <c r="Q4285" t="s">
        <v>30</v>
      </c>
      <c r="R4285">
        <v>0</v>
      </c>
      <c r="S4285" t="s">
        <v>44</v>
      </c>
      <c r="T4285">
        <v>0</v>
      </c>
      <c r="U4285">
        <v>0</v>
      </c>
      <c r="V4285" t="s">
        <v>45</v>
      </c>
      <c r="W4285" t="s">
        <v>57</v>
      </c>
      <c r="X4285" s="4">
        <v>6.4</v>
      </c>
      <c r="Y4285">
        <v>7</v>
      </c>
      <c r="Z4285" s="5">
        <v>125.01</v>
      </c>
    </row>
    <row r="4286" spans="1:26">
      <c r="A4286">
        <v>4285</v>
      </c>
      <c r="B4286">
        <v>1403</v>
      </c>
      <c r="C4286" s="2">
        <v>46128</v>
      </c>
      <c r="D4286" t="s">
        <v>55</v>
      </c>
      <c r="E4286">
        <v>4</v>
      </c>
      <c r="F4286" s="3">
        <v>13.73</v>
      </c>
      <c r="G4286" t="s">
        <v>36</v>
      </c>
      <c r="H4286">
        <v>34</v>
      </c>
      <c r="I4286" t="s">
        <v>34</v>
      </c>
      <c r="J4286" s="4">
        <v>64.5</v>
      </c>
      <c r="K4286" s="4">
        <v>157.80000000000001</v>
      </c>
      <c r="L4286" s="4">
        <v>26.6</v>
      </c>
      <c r="M4286">
        <v>14</v>
      </c>
      <c r="N4286" t="s">
        <v>50</v>
      </c>
      <c r="O4286">
        <v>4</v>
      </c>
      <c r="P4286" s="4">
        <v>463.8</v>
      </c>
      <c r="Q4286" t="s">
        <v>30</v>
      </c>
      <c r="R4286">
        <v>0</v>
      </c>
      <c r="S4286" t="s">
        <v>44</v>
      </c>
      <c r="T4286">
        <v>0</v>
      </c>
      <c r="U4286">
        <v>0</v>
      </c>
      <c r="V4286" t="s">
        <v>45</v>
      </c>
      <c r="W4286" t="s">
        <v>57</v>
      </c>
      <c r="X4286" s="4">
        <v>6.3</v>
      </c>
      <c r="Y4286">
        <v>6</v>
      </c>
      <c r="Z4286" s="5">
        <v>90.3</v>
      </c>
    </row>
    <row r="4287" spans="1:26">
      <c r="A4287">
        <v>4286</v>
      </c>
      <c r="B4287">
        <v>1404</v>
      </c>
      <c r="C4287" s="2">
        <v>46193</v>
      </c>
      <c r="D4287" t="s">
        <v>40</v>
      </c>
      <c r="E4287">
        <v>6</v>
      </c>
      <c r="F4287" s="3">
        <v>9.08</v>
      </c>
      <c r="G4287" t="s">
        <v>27</v>
      </c>
      <c r="H4287">
        <v>38</v>
      </c>
      <c r="I4287" t="s">
        <v>34</v>
      </c>
      <c r="J4287" s="4">
        <v>68.3</v>
      </c>
      <c r="K4287" s="4">
        <v>194.2</v>
      </c>
      <c r="L4287" s="4">
        <v>29.2</v>
      </c>
      <c r="M4287">
        <v>14</v>
      </c>
      <c r="N4287" t="s">
        <v>47</v>
      </c>
      <c r="O4287">
        <v>1</v>
      </c>
      <c r="P4287" s="4">
        <v>74.8</v>
      </c>
      <c r="Q4287" t="s">
        <v>30</v>
      </c>
      <c r="R4287">
        <v>0</v>
      </c>
      <c r="S4287" t="s">
        <v>44</v>
      </c>
      <c r="T4287">
        <v>0</v>
      </c>
      <c r="U4287">
        <v>0</v>
      </c>
      <c r="V4287" t="s">
        <v>32</v>
      </c>
      <c r="W4287" t="s">
        <v>57</v>
      </c>
      <c r="X4287" s="4">
        <v>5.3</v>
      </c>
      <c r="Y4287">
        <v>6</v>
      </c>
      <c r="Z4287" s="5">
        <v>172.74</v>
      </c>
    </row>
    <row r="4288" spans="1:26">
      <c r="A4288">
        <v>4287</v>
      </c>
      <c r="B4288">
        <v>1405</v>
      </c>
      <c r="C4288" s="2">
        <v>46260</v>
      </c>
      <c r="D4288" t="s">
        <v>52</v>
      </c>
      <c r="E4288">
        <v>8</v>
      </c>
      <c r="F4288" s="3">
        <v>9.9600000000000009</v>
      </c>
      <c r="G4288" t="s">
        <v>27</v>
      </c>
      <c r="H4288">
        <v>51</v>
      </c>
      <c r="I4288" t="s">
        <v>34</v>
      </c>
      <c r="J4288" s="4">
        <v>68.599999999999994</v>
      </c>
      <c r="K4288" s="4">
        <v>128.19999999999999</v>
      </c>
      <c r="L4288" s="4">
        <v>19.100000000000001</v>
      </c>
      <c r="M4288">
        <v>17</v>
      </c>
      <c r="N4288" t="s">
        <v>60</v>
      </c>
      <c r="O4288">
        <v>2</v>
      </c>
      <c r="P4288" s="4">
        <v>1025.5999999999999</v>
      </c>
      <c r="Q4288" t="s">
        <v>42</v>
      </c>
      <c r="R4288">
        <v>1</v>
      </c>
      <c r="S4288" t="s">
        <v>44</v>
      </c>
      <c r="T4288">
        <v>1</v>
      </c>
      <c r="U4288">
        <v>1</v>
      </c>
      <c r="V4288" t="s">
        <v>64</v>
      </c>
      <c r="W4288" t="s">
        <v>33</v>
      </c>
      <c r="X4288" s="4">
        <v>9.1</v>
      </c>
      <c r="Y4288">
        <v>8</v>
      </c>
      <c r="Z4288" s="5">
        <v>308.08</v>
      </c>
    </row>
    <row r="4289" spans="1:26">
      <c r="A4289">
        <v>4288</v>
      </c>
      <c r="B4289">
        <v>1405</v>
      </c>
      <c r="C4289" s="2">
        <v>46260</v>
      </c>
      <c r="D4289" t="s">
        <v>52</v>
      </c>
      <c r="E4289">
        <v>8</v>
      </c>
      <c r="F4289" s="3">
        <v>9.99</v>
      </c>
      <c r="G4289" t="s">
        <v>27</v>
      </c>
      <c r="H4289">
        <v>58</v>
      </c>
      <c r="I4289" t="s">
        <v>28</v>
      </c>
      <c r="J4289" s="4">
        <v>72.3</v>
      </c>
      <c r="K4289" s="4">
        <v>170.5</v>
      </c>
      <c r="L4289" s="4">
        <v>23</v>
      </c>
      <c r="M4289">
        <v>16</v>
      </c>
      <c r="N4289" t="s">
        <v>60</v>
      </c>
      <c r="O4289">
        <v>2</v>
      </c>
      <c r="P4289" s="4">
        <v>1025.5999999999999</v>
      </c>
      <c r="Q4289" t="s">
        <v>42</v>
      </c>
      <c r="R4289">
        <v>1</v>
      </c>
      <c r="S4289" t="s">
        <v>44</v>
      </c>
      <c r="T4289">
        <v>1</v>
      </c>
      <c r="U4289">
        <v>1</v>
      </c>
      <c r="V4289" t="s">
        <v>64</v>
      </c>
      <c r="W4289" t="s">
        <v>33</v>
      </c>
      <c r="X4289" s="4">
        <v>10.5</v>
      </c>
      <c r="Y4289">
        <v>4</v>
      </c>
      <c r="Z4289" s="5">
        <v>200.07</v>
      </c>
    </row>
    <row r="4290" spans="1:26">
      <c r="A4290">
        <v>4289</v>
      </c>
      <c r="B4290">
        <v>1406</v>
      </c>
      <c r="C4290" s="2">
        <v>46228</v>
      </c>
      <c r="D4290" t="s">
        <v>40</v>
      </c>
      <c r="E4290">
        <v>7</v>
      </c>
      <c r="F4290" s="3">
        <v>8.58</v>
      </c>
      <c r="G4290" t="s">
        <v>27</v>
      </c>
      <c r="H4290">
        <v>32</v>
      </c>
      <c r="I4290" t="s">
        <v>34</v>
      </c>
      <c r="J4290" s="4">
        <v>63.3</v>
      </c>
      <c r="K4290" s="4">
        <v>183</v>
      </c>
      <c r="L4290" s="4">
        <v>31.9</v>
      </c>
      <c r="M4290">
        <v>14</v>
      </c>
      <c r="N4290" t="s">
        <v>53</v>
      </c>
      <c r="O4290">
        <v>2</v>
      </c>
      <c r="P4290" s="4">
        <v>1160.5999999999999</v>
      </c>
      <c r="Q4290" t="s">
        <v>42</v>
      </c>
      <c r="R4290">
        <v>0</v>
      </c>
      <c r="S4290" t="s">
        <v>44</v>
      </c>
      <c r="T4290">
        <v>0</v>
      </c>
      <c r="U4290">
        <v>1</v>
      </c>
      <c r="V4290" t="s">
        <v>32</v>
      </c>
      <c r="W4290" t="s">
        <v>39</v>
      </c>
      <c r="X4290" s="4">
        <v>8</v>
      </c>
      <c r="Y4290">
        <v>5</v>
      </c>
      <c r="Z4290" s="5">
        <v>162.26</v>
      </c>
    </row>
    <row r="4291" spans="1:26">
      <c r="A4291">
        <v>4290</v>
      </c>
      <c r="B4291">
        <v>1406</v>
      </c>
      <c r="C4291" s="2">
        <v>46228</v>
      </c>
      <c r="D4291" t="s">
        <v>40</v>
      </c>
      <c r="E4291">
        <v>7</v>
      </c>
      <c r="F4291" s="3">
        <v>8.81</v>
      </c>
      <c r="G4291" t="s">
        <v>27</v>
      </c>
      <c r="H4291">
        <v>3</v>
      </c>
      <c r="I4291" t="s">
        <v>34</v>
      </c>
      <c r="J4291" s="4">
        <v>53.4</v>
      </c>
      <c r="K4291" s="4">
        <v>73.8</v>
      </c>
      <c r="L4291" s="4">
        <v>18</v>
      </c>
      <c r="M4291">
        <v>12</v>
      </c>
      <c r="N4291" t="s">
        <v>53</v>
      </c>
      <c r="O4291">
        <v>2</v>
      </c>
      <c r="P4291" s="4">
        <v>1160.5999999999999</v>
      </c>
      <c r="Q4291" t="s">
        <v>42</v>
      </c>
      <c r="R4291">
        <v>0</v>
      </c>
      <c r="S4291" t="s">
        <v>44</v>
      </c>
      <c r="T4291">
        <v>0</v>
      </c>
      <c r="U4291">
        <v>1</v>
      </c>
      <c r="V4291" t="s">
        <v>32</v>
      </c>
      <c r="W4291" t="s">
        <v>39</v>
      </c>
      <c r="X4291" s="4">
        <v>8.8000000000000007</v>
      </c>
      <c r="Y4291">
        <v>9</v>
      </c>
      <c r="Z4291" s="5">
        <v>218.48</v>
      </c>
    </row>
    <row r="4292" spans="1:26">
      <c r="A4292">
        <v>4291</v>
      </c>
      <c r="B4292">
        <v>1407</v>
      </c>
      <c r="C4292" s="2">
        <v>46242</v>
      </c>
      <c r="D4292" t="s">
        <v>40</v>
      </c>
      <c r="E4292">
        <v>8</v>
      </c>
      <c r="F4292" s="3">
        <v>12.4</v>
      </c>
      <c r="G4292" t="s">
        <v>36</v>
      </c>
      <c r="H4292">
        <v>34</v>
      </c>
      <c r="I4292" t="s">
        <v>34</v>
      </c>
      <c r="J4292" s="4">
        <v>64.5</v>
      </c>
      <c r="K4292" s="4">
        <v>140.30000000000001</v>
      </c>
      <c r="L4292" s="4">
        <v>23.6</v>
      </c>
      <c r="M4292">
        <v>12</v>
      </c>
      <c r="N4292" t="s">
        <v>66</v>
      </c>
      <c r="O4292">
        <v>3</v>
      </c>
      <c r="P4292" s="4">
        <v>812.9</v>
      </c>
      <c r="Q4292" t="s">
        <v>30</v>
      </c>
      <c r="R4292">
        <v>1</v>
      </c>
      <c r="S4292" t="s">
        <v>44</v>
      </c>
      <c r="T4292">
        <v>0</v>
      </c>
      <c r="U4292">
        <v>0</v>
      </c>
      <c r="V4292" t="s">
        <v>32</v>
      </c>
      <c r="W4292" t="s">
        <v>39</v>
      </c>
      <c r="X4292" s="4">
        <v>6.7</v>
      </c>
      <c r="Y4292">
        <v>6</v>
      </c>
      <c r="Z4292" s="5">
        <v>132.72</v>
      </c>
    </row>
    <row r="4293" spans="1:26">
      <c r="A4293">
        <v>4292</v>
      </c>
      <c r="B4293">
        <v>1407</v>
      </c>
      <c r="C4293" s="2">
        <v>46242</v>
      </c>
      <c r="D4293" t="s">
        <v>40</v>
      </c>
      <c r="E4293">
        <v>8</v>
      </c>
      <c r="F4293" s="3">
        <v>12.55</v>
      </c>
      <c r="G4293" t="s">
        <v>36</v>
      </c>
      <c r="H4293">
        <v>31</v>
      </c>
      <c r="I4293" t="s">
        <v>34</v>
      </c>
      <c r="J4293" s="4">
        <v>61</v>
      </c>
      <c r="K4293" s="4">
        <v>102.4</v>
      </c>
      <c r="L4293" s="4">
        <v>19.2</v>
      </c>
      <c r="M4293">
        <v>16</v>
      </c>
      <c r="N4293" t="s">
        <v>66</v>
      </c>
      <c r="O4293">
        <v>3</v>
      </c>
      <c r="P4293" s="4">
        <v>812.9</v>
      </c>
      <c r="Q4293" t="s">
        <v>30</v>
      </c>
      <c r="R4293">
        <v>1</v>
      </c>
      <c r="S4293" t="s">
        <v>44</v>
      </c>
      <c r="T4293">
        <v>0</v>
      </c>
      <c r="U4293">
        <v>0</v>
      </c>
      <c r="V4293" t="s">
        <v>32</v>
      </c>
      <c r="W4293" t="s">
        <v>39</v>
      </c>
      <c r="X4293" s="4">
        <v>6.4</v>
      </c>
      <c r="Y4293">
        <v>5</v>
      </c>
      <c r="Z4293" s="5">
        <v>161.52000000000001</v>
      </c>
    </row>
    <row r="4294" spans="1:26">
      <c r="A4294">
        <v>4293</v>
      </c>
      <c r="B4294">
        <v>1407</v>
      </c>
      <c r="C4294" s="2">
        <v>46242</v>
      </c>
      <c r="D4294" t="s">
        <v>40</v>
      </c>
      <c r="E4294">
        <v>8</v>
      </c>
      <c r="F4294" s="3">
        <v>12.47</v>
      </c>
      <c r="G4294" t="s">
        <v>36</v>
      </c>
      <c r="H4294">
        <v>59</v>
      </c>
      <c r="I4294" t="s">
        <v>34</v>
      </c>
      <c r="J4294" s="4">
        <v>64.7</v>
      </c>
      <c r="K4294" s="4">
        <v>203.6</v>
      </c>
      <c r="L4294" s="4">
        <v>34.1</v>
      </c>
      <c r="M4294">
        <v>16</v>
      </c>
      <c r="N4294" t="s">
        <v>66</v>
      </c>
      <c r="O4294">
        <v>3</v>
      </c>
      <c r="P4294" s="4">
        <v>812.9</v>
      </c>
      <c r="Q4294" t="s">
        <v>30</v>
      </c>
      <c r="R4294">
        <v>1</v>
      </c>
      <c r="S4294" t="s">
        <v>44</v>
      </c>
      <c r="T4294">
        <v>0</v>
      </c>
      <c r="U4294">
        <v>0</v>
      </c>
      <c r="V4294" t="s">
        <v>32</v>
      </c>
      <c r="W4294" t="s">
        <v>39</v>
      </c>
      <c r="X4294" s="4">
        <v>9.1</v>
      </c>
      <c r="Y4294">
        <v>3</v>
      </c>
      <c r="Z4294" s="5">
        <v>146.58000000000001</v>
      </c>
    </row>
    <row r="4295" spans="1:26">
      <c r="A4295">
        <v>4294</v>
      </c>
      <c r="B4295">
        <v>1408</v>
      </c>
      <c r="C4295" s="2">
        <v>46255</v>
      </c>
      <c r="D4295" t="s">
        <v>26</v>
      </c>
      <c r="E4295">
        <v>8</v>
      </c>
      <c r="F4295" s="3">
        <v>11.08</v>
      </c>
      <c r="G4295" t="s">
        <v>36</v>
      </c>
      <c r="H4295">
        <v>47</v>
      </c>
      <c r="I4295" t="s">
        <v>34</v>
      </c>
      <c r="J4295" s="4">
        <v>65.099999999999994</v>
      </c>
      <c r="K4295" s="4">
        <v>137.9</v>
      </c>
      <c r="L4295" s="4">
        <v>22.7</v>
      </c>
      <c r="M4295">
        <v>16</v>
      </c>
      <c r="N4295" t="s">
        <v>56</v>
      </c>
      <c r="O4295">
        <v>3</v>
      </c>
      <c r="P4295" s="4">
        <v>115.3</v>
      </c>
      <c r="Q4295" t="s">
        <v>30</v>
      </c>
      <c r="R4295">
        <v>0</v>
      </c>
      <c r="S4295" t="s">
        <v>44</v>
      </c>
      <c r="T4295">
        <v>1</v>
      </c>
      <c r="U4295">
        <v>0</v>
      </c>
      <c r="V4295" t="s">
        <v>32</v>
      </c>
      <c r="W4295" t="s">
        <v>49</v>
      </c>
      <c r="X4295" s="4">
        <v>6.2</v>
      </c>
      <c r="Y4295">
        <v>7</v>
      </c>
      <c r="Z4295" s="5">
        <v>135.69</v>
      </c>
    </row>
    <row r="4296" spans="1:26">
      <c r="A4296">
        <v>4295</v>
      </c>
      <c r="B4296">
        <v>1408</v>
      </c>
      <c r="C4296" s="2">
        <v>46255</v>
      </c>
      <c r="D4296" t="s">
        <v>26</v>
      </c>
      <c r="E4296">
        <v>8</v>
      </c>
      <c r="F4296" s="3">
        <v>10.98</v>
      </c>
      <c r="G4296" t="s">
        <v>27</v>
      </c>
      <c r="H4296">
        <v>58</v>
      </c>
      <c r="I4296" t="s">
        <v>34</v>
      </c>
      <c r="J4296" s="4">
        <v>62.1</v>
      </c>
      <c r="K4296" s="4">
        <v>182.8</v>
      </c>
      <c r="L4296" s="4">
        <v>33.4</v>
      </c>
      <c r="M4296">
        <v>17</v>
      </c>
      <c r="N4296" t="s">
        <v>56</v>
      </c>
      <c r="O4296">
        <v>3</v>
      </c>
      <c r="P4296" s="4">
        <v>115.3</v>
      </c>
      <c r="Q4296" t="s">
        <v>30</v>
      </c>
      <c r="R4296">
        <v>0</v>
      </c>
      <c r="S4296" t="s">
        <v>44</v>
      </c>
      <c r="T4296">
        <v>1</v>
      </c>
      <c r="U4296">
        <v>0</v>
      </c>
      <c r="V4296" t="s">
        <v>32</v>
      </c>
      <c r="W4296" t="s">
        <v>49</v>
      </c>
      <c r="X4296" s="4">
        <v>5.0999999999999996</v>
      </c>
      <c r="Y4296">
        <v>4</v>
      </c>
      <c r="Z4296" s="5">
        <v>137.62</v>
      </c>
    </row>
    <row r="4297" spans="1:26">
      <c r="A4297">
        <v>4296</v>
      </c>
      <c r="B4297">
        <v>1408</v>
      </c>
      <c r="C4297" s="2">
        <v>46255</v>
      </c>
      <c r="D4297" t="s">
        <v>26</v>
      </c>
      <c r="E4297">
        <v>8</v>
      </c>
      <c r="F4297" s="3">
        <v>11</v>
      </c>
      <c r="G4297" t="s">
        <v>27</v>
      </c>
      <c r="H4297">
        <v>39</v>
      </c>
      <c r="I4297" t="s">
        <v>34</v>
      </c>
      <c r="J4297" s="4">
        <v>64.099999999999994</v>
      </c>
      <c r="K4297" s="4">
        <v>146.4</v>
      </c>
      <c r="L4297" s="4">
        <v>25</v>
      </c>
      <c r="M4297">
        <v>18</v>
      </c>
      <c r="N4297" t="s">
        <v>56</v>
      </c>
      <c r="O4297">
        <v>3</v>
      </c>
      <c r="P4297" s="4">
        <v>115.3</v>
      </c>
      <c r="Q4297" t="s">
        <v>30</v>
      </c>
      <c r="R4297">
        <v>0</v>
      </c>
      <c r="S4297" t="s">
        <v>44</v>
      </c>
      <c r="T4297">
        <v>1</v>
      </c>
      <c r="U4297">
        <v>0</v>
      </c>
      <c r="V4297" t="s">
        <v>32</v>
      </c>
      <c r="W4297" t="s">
        <v>49</v>
      </c>
      <c r="X4297" s="4">
        <v>9.9</v>
      </c>
      <c r="Y4297">
        <v>10</v>
      </c>
      <c r="Z4297" s="5">
        <v>131.16999999999999</v>
      </c>
    </row>
    <row r="4298" spans="1:26">
      <c r="A4298">
        <v>4297</v>
      </c>
      <c r="B4298">
        <v>1409</v>
      </c>
      <c r="C4298" s="2">
        <v>46371</v>
      </c>
      <c r="D4298" t="s">
        <v>35</v>
      </c>
      <c r="E4298">
        <v>12</v>
      </c>
      <c r="F4298" s="3">
        <v>10.06</v>
      </c>
      <c r="G4298" t="s">
        <v>27</v>
      </c>
      <c r="H4298">
        <v>39</v>
      </c>
      <c r="I4298" t="s">
        <v>28</v>
      </c>
      <c r="J4298" s="4">
        <v>71.5</v>
      </c>
      <c r="K4298" s="4">
        <v>203.8</v>
      </c>
      <c r="L4298" s="4">
        <v>28.2</v>
      </c>
      <c r="M4298">
        <v>11</v>
      </c>
      <c r="N4298" t="s">
        <v>56</v>
      </c>
      <c r="O4298">
        <v>3</v>
      </c>
      <c r="P4298" s="4">
        <v>144.80000000000001</v>
      </c>
      <c r="Q4298" t="s">
        <v>30</v>
      </c>
      <c r="R4298">
        <v>1</v>
      </c>
      <c r="S4298" t="s">
        <v>31</v>
      </c>
      <c r="T4298">
        <v>1</v>
      </c>
      <c r="U4298">
        <v>0</v>
      </c>
      <c r="V4298" t="s">
        <v>32</v>
      </c>
      <c r="W4298" t="s">
        <v>39</v>
      </c>
      <c r="X4298" s="4">
        <v>11.9</v>
      </c>
      <c r="Y4298">
        <v>7</v>
      </c>
      <c r="Z4298" s="5">
        <v>193.57</v>
      </c>
    </row>
    <row r="4299" spans="1:26">
      <c r="A4299">
        <v>4298</v>
      </c>
      <c r="B4299">
        <v>1409</v>
      </c>
      <c r="C4299" s="2">
        <v>46371</v>
      </c>
      <c r="D4299" t="s">
        <v>35</v>
      </c>
      <c r="E4299">
        <v>12</v>
      </c>
      <c r="F4299" s="3">
        <v>9.84</v>
      </c>
      <c r="G4299" t="s">
        <v>27</v>
      </c>
      <c r="H4299">
        <v>70</v>
      </c>
      <c r="I4299" t="s">
        <v>34</v>
      </c>
      <c r="J4299" s="4">
        <v>68.099999999999994</v>
      </c>
      <c r="K4299" s="4">
        <v>205.6</v>
      </c>
      <c r="L4299" s="4">
        <v>31.2</v>
      </c>
      <c r="M4299">
        <v>14</v>
      </c>
      <c r="N4299" t="s">
        <v>56</v>
      </c>
      <c r="O4299">
        <v>3</v>
      </c>
      <c r="P4299" s="4">
        <v>144.80000000000001</v>
      </c>
      <c r="Q4299" t="s">
        <v>30</v>
      </c>
      <c r="R4299">
        <v>1</v>
      </c>
      <c r="S4299" t="s">
        <v>31</v>
      </c>
      <c r="T4299">
        <v>1</v>
      </c>
      <c r="U4299">
        <v>0</v>
      </c>
      <c r="V4299" t="s">
        <v>32</v>
      </c>
      <c r="W4299" t="s">
        <v>39</v>
      </c>
      <c r="X4299" s="4">
        <v>9.6999999999999993</v>
      </c>
      <c r="Y4299">
        <v>10</v>
      </c>
      <c r="Z4299" s="5">
        <v>263.23</v>
      </c>
    </row>
    <row r="4300" spans="1:26">
      <c r="A4300">
        <v>4299</v>
      </c>
      <c r="B4300">
        <v>1409</v>
      </c>
      <c r="C4300" s="2">
        <v>46371</v>
      </c>
      <c r="D4300" t="s">
        <v>35</v>
      </c>
      <c r="E4300">
        <v>12</v>
      </c>
      <c r="F4300" s="3">
        <v>9.85</v>
      </c>
      <c r="G4300" t="s">
        <v>27</v>
      </c>
      <c r="H4300">
        <v>6</v>
      </c>
      <c r="I4300" t="s">
        <v>34</v>
      </c>
      <c r="J4300" s="4">
        <v>57.1</v>
      </c>
      <c r="K4300" s="4">
        <v>115.3</v>
      </c>
      <c r="L4300" s="4">
        <v>24.9</v>
      </c>
      <c r="M4300">
        <v>11</v>
      </c>
      <c r="N4300" t="s">
        <v>56</v>
      </c>
      <c r="O4300">
        <v>3</v>
      </c>
      <c r="P4300" s="4">
        <v>144.80000000000001</v>
      </c>
      <c r="Q4300" t="s">
        <v>30</v>
      </c>
      <c r="R4300">
        <v>1</v>
      </c>
      <c r="S4300" t="s">
        <v>31</v>
      </c>
      <c r="T4300">
        <v>1</v>
      </c>
      <c r="U4300">
        <v>0</v>
      </c>
      <c r="V4300" t="s">
        <v>32</v>
      </c>
      <c r="W4300" t="s">
        <v>39</v>
      </c>
      <c r="X4300" s="4">
        <v>9.6</v>
      </c>
      <c r="Y4300">
        <v>10</v>
      </c>
      <c r="Z4300" s="5">
        <v>297.95999999999998</v>
      </c>
    </row>
    <row r="4301" spans="1:26">
      <c r="A4301">
        <v>4300</v>
      </c>
      <c r="B4301">
        <v>1410</v>
      </c>
      <c r="C4301" s="2">
        <v>46083</v>
      </c>
      <c r="D4301" t="s">
        <v>46</v>
      </c>
      <c r="E4301">
        <v>3</v>
      </c>
      <c r="F4301" s="3">
        <v>8.85</v>
      </c>
      <c r="G4301" t="s">
        <v>27</v>
      </c>
      <c r="H4301">
        <v>7</v>
      </c>
      <c r="I4301" t="s">
        <v>34</v>
      </c>
      <c r="J4301" s="4">
        <v>56.2</v>
      </c>
      <c r="K4301" s="4">
        <v>85.6</v>
      </c>
      <c r="L4301" s="4">
        <v>19.100000000000001</v>
      </c>
      <c r="M4301">
        <v>14</v>
      </c>
      <c r="N4301" t="s">
        <v>47</v>
      </c>
      <c r="O4301">
        <v>1</v>
      </c>
      <c r="P4301" s="4">
        <v>139.69999999999999</v>
      </c>
      <c r="Q4301" t="s">
        <v>42</v>
      </c>
      <c r="R4301">
        <v>0</v>
      </c>
      <c r="S4301" t="s">
        <v>38</v>
      </c>
      <c r="T4301">
        <v>1</v>
      </c>
      <c r="U4301">
        <v>0</v>
      </c>
      <c r="V4301" t="s">
        <v>32</v>
      </c>
      <c r="W4301" t="s">
        <v>39</v>
      </c>
      <c r="X4301" s="4">
        <v>7.3</v>
      </c>
      <c r="Y4301">
        <v>11</v>
      </c>
      <c r="Z4301" s="5">
        <v>225.52</v>
      </c>
    </row>
    <row r="4302" spans="1:26">
      <c r="A4302">
        <v>4301</v>
      </c>
      <c r="B4302">
        <v>1411</v>
      </c>
      <c r="C4302" s="2">
        <v>46316</v>
      </c>
      <c r="D4302" t="s">
        <v>52</v>
      </c>
      <c r="E4302">
        <v>10</v>
      </c>
      <c r="F4302" s="3">
        <v>8.92</v>
      </c>
      <c r="G4302" t="s">
        <v>27</v>
      </c>
      <c r="H4302">
        <v>48</v>
      </c>
      <c r="I4302" t="s">
        <v>28</v>
      </c>
      <c r="J4302" s="4">
        <v>63</v>
      </c>
      <c r="K4302" s="4">
        <v>164.3</v>
      </c>
      <c r="L4302" s="4">
        <v>29.3</v>
      </c>
      <c r="M4302">
        <v>12</v>
      </c>
      <c r="N4302" t="s">
        <v>60</v>
      </c>
      <c r="O4302">
        <v>2</v>
      </c>
      <c r="P4302" s="4">
        <v>1562</v>
      </c>
      <c r="Q4302" t="s">
        <v>42</v>
      </c>
      <c r="R4302">
        <v>0</v>
      </c>
      <c r="S4302" t="s">
        <v>38</v>
      </c>
      <c r="T4302">
        <v>1</v>
      </c>
      <c r="U4302">
        <v>0</v>
      </c>
      <c r="V4302" t="s">
        <v>32</v>
      </c>
      <c r="W4302" t="s">
        <v>57</v>
      </c>
      <c r="X4302" s="4">
        <v>11.1</v>
      </c>
      <c r="Y4302">
        <v>12</v>
      </c>
      <c r="Z4302" s="5">
        <v>287.36</v>
      </c>
    </row>
    <row r="4303" spans="1:26">
      <c r="A4303">
        <v>4302</v>
      </c>
      <c r="B4303">
        <v>1411</v>
      </c>
      <c r="C4303" s="2">
        <v>46316</v>
      </c>
      <c r="D4303" t="s">
        <v>52</v>
      </c>
      <c r="E4303">
        <v>10</v>
      </c>
      <c r="F4303" s="3">
        <v>9.02</v>
      </c>
      <c r="G4303" t="s">
        <v>27</v>
      </c>
      <c r="H4303">
        <v>10</v>
      </c>
      <c r="I4303" t="s">
        <v>28</v>
      </c>
      <c r="J4303" s="4">
        <v>56.7</v>
      </c>
      <c r="K4303" s="4">
        <v>95</v>
      </c>
      <c r="L4303" s="4">
        <v>20.8</v>
      </c>
      <c r="M4303">
        <v>8</v>
      </c>
      <c r="N4303" t="s">
        <v>60</v>
      </c>
      <c r="O4303">
        <v>2</v>
      </c>
      <c r="P4303" s="4">
        <v>1562</v>
      </c>
      <c r="Q4303" t="s">
        <v>42</v>
      </c>
      <c r="R4303">
        <v>0</v>
      </c>
      <c r="S4303" t="s">
        <v>38</v>
      </c>
      <c r="T4303">
        <v>1</v>
      </c>
      <c r="U4303">
        <v>0</v>
      </c>
      <c r="V4303" t="s">
        <v>32</v>
      </c>
      <c r="W4303" t="s">
        <v>57</v>
      </c>
      <c r="X4303" s="4">
        <v>6.6</v>
      </c>
      <c r="Y4303">
        <v>8</v>
      </c>
      <c r="Z4303" s="5">
        <v>274.52</v>
      </c>
    </row>
    <row r="4304" spans="1:26">
      <c r="A4304">
        <v>4303</v>
      </c>
      <c r="B4304">
        <v>1412</v>
      </c>
      <c r="C4304" s="2">
        <v>46165</v>
      </c>
      <c r="D4304" t="s">
        <v>40</v>
      </c>
      <c r="E4304">
        <v>5</v>
      </c>
      <c r="F4304" s="3">
        <v>10.98</v>
      </c>
      <c r="G4304" t="s">
        <v>27</v>
      </c>
      <c r="H4304">
        <v>64</v>
      </c>
      <c r="I4304" t="s">
        <v>34</v>
      </c>
      <c r="J4304" s="4">
        <v>63.5</v>
      </c>
      <c r="K4304" s="4">
        <v>162.5</v>
      </c>
      <c r="L4304" s="4">
        <v>28.1</v>
      </c>
      <c r="M4304">
        <v>18</v>
      </c>
      <c r="N4304" t="s">
        <v>29</v>
      </c>
      <c r="O4304">
        <v>4</v>
      </c>
      <c r="P4304" s="4">
        <v>2272.4</v>
      </c>
      <c r="Q4304" t="s">
        <v>42</v>
      </c>
      <c r="R4304">
        <v>1</v>
      </c>
      <c r="S4304" t="s">
        <v>31</v>
      </c>
      <c r="T4304">
        <v>0</v>
      </c>
      <c r="U4304">
        <v>0</v>
      </c>
      <c r="V4304" t="s">
        <v>32</v>
      </c>
      <c r="W4304" t="s">
        <v>43</v>
      </c>
      <c r="X4304" s="4">
        <v>9.8000000000000007</v>
      </c>
      <c r="Y4304">
        <v>9</v>
      </c>
      <c r="Z4304" s="5">
        <v>197.11</v>
      </c>
    </row>
    <row r="4305" spans="1:26">
      <c r="A4305">
        <v>4304</v>
      </c>
      <c r="B4305">
        <v>1412</v>
      </c>
      <c r="C4305" s="2">
        <v>46165</v>
      </c>
      <c r="D4305" t="s">
        <v>40</v>
      </c>
      <c r="E4305">
        <v>5</v>
      </c>
      <c r="F4305" s="3">
        <v>10.98</v>
      </c>
      <c r="G4305" t="s">
        <v>27</v>
      </c>
      <c r="H4305">
        <v>18</v>
      </c>
      <c r="I4305" t="s">
        <v>34</v>
      </c>
      <c r="J4305" s="4">
        <v>67.5</v>
      </c>
      <c r="K4305" s="4">
        <v>139.5</v>
      </c>
      <c r="L4305" s="4">
        <v>21.8</v>
      </c>
      <c r="M4305">
        <v>12</v>
      </c>
      <c r="N4305" t="s">
        <v>29</v>
      </c>
      <c r="O4305">
        <v>4</v>
      </c>
      <c r="P4305" s="4">
        <v>2272.4</v>
      </c>
      <c r="Q4305" t="s">
        <v>42</v>
      </c>
      <c r="R4305">
        <v>1</v>
      </c>
      <c r="S4305" t="s">
        <v>31</v>
      </c>
      <c r="T4305">
        <v>0</v>
      </c>
      <c r="U4305">
        <v>0</v>
      </c>
      <c r="V4305" t="s">
        <v>32</v>
      </c>
      <c r="W4305" t="s">
        <v>43</v>
      </c>
      <c r="X4305" s="4">
        <v>10.1</v>
      </c>
      <c r="Y4305">
        <v>7</v>
      </c>
      <c r="Z4305" s="5">
        <v>170.44</v>
      </c>
    </row>
    <row r="4306" spans="1:26">
      <c r="A4306">
        <v>4305</v>
      </c>
      <c r="B4306">
        <v>1412</v>
      </c>
      <c r="C4306" s="2">
        <v>46165</v>
      </c>
      <c r="D4306" t="s">
        <v>40</v>
      </c>
      <c r="E4306">
        <v>5</v>
      </c>
      <c r="F4306" s="3">
        <v>10.74</v>
      </c>
      <c r="G4306" t="s">
        <v>27</v>
      </c>
      <c r="H4306">
        <v>18</v>
      </c>
      <c r="I4306" t="s">
        <v>28</v>
      </c>
      <c r="J4306" s="4">
        <v>68.900000000000006</v>
      </c>
      <c r="K4306" s="4">
        <v>129.6</v>
      </c>
      <c r="L4306" s="4">
        <v>19.3</v>
      </c>
      <c r="M4306">
        <v>11</v>
      </c>
      <c r="N4306" t="s">
        <v>29</v>
      </c>
      <c r="O4306">
        <v>4</v>
      </c>
      <c r="P4306" s="4">
        <v>2272.4</v>
      </c>
      <c r="Q4306" t="s">
        <v>42</v>
      </c>
      <c r="R4306">
        <v>1</v>
      </c>
      <c r="S4306" t="s">
        <v>31</v>
      </c>
      <c r="T4306">
        <v>0</v>
      </c>
      <c r="U4306">
        <v>0</v>
      </c>
      <c r="V4306" t="s">
        <v>32</v>
      </c>
      <c r="W4306" t="s">
        <v>43</v>
      </c>
      <c r="X4306" s="4">
        <v>8.6</v>
      </c>
      <c r="Y4306">
        <v>7</v>
      </c>
      <c r="Z4306" s="5">
        <v>223.16</v>
      </c>
    </row>
    <row r="4307" spans="1:26">
      <c r="A4307">
        <v>4306</v>
      </c>
      <c r="B4307">
        <v>1412</v>
      </c>
      <c r="C4307" s="2">
        <v>46165</v>
      </c>
      <c r="D4307" t="s">
        <v>40</v>
      </c>
      <c r="E4307">
        <v>5</v>
      </c>
      <c r="F4307" s="3">
        <v>10.77</v>
      </c>
      <c r="G4307" t="s">
        <v>27</v>
      </c>
      <c r="H4307">
        <v>45</v>
      </c>
      <c r="I4307" t="s">
        <v>28</v>
      </c>
      <c r="J4307" s="4">
        <v>68.5</v>
      </c>
      <c r="K4307" s="4">
        <v>171.6</v>
      </c>
      <c r="L4307" s="4">
        <v>25.4</v>
      </c>
      <c r="M4307">
        <v>14</v>
      </c>
      <c r="N4307" t="s">
        <v>29</v>
      </c>
      <c r="O4307">
        <v>4</v>
      </c>
      <c r="P4307" s="4">
        <v>2272.4</v>
      </c>
      <c r="Q4307" t="s">
        <v>42</v>
      </c>
      <c r="R4307">
        <v>1</v>
      </c>
      <c r="S4307" t="s">
        <v>31</v>
      </c>
      <c r="T4307">
        <v>0</v>
      </c>
      <c r="U4307">
        <v>0</v>
      </c>
      <c r="V4307" t="s">
        <v>32</v>
      </c>
      <c r="W4307" t="s">
        <v>43</v>
      </c>
      <c r="X4307" s="4">
        <v>6.1</v>
      </c>
      <c r="Y4307">
        <v>7</v>
      </c>
      <c r="Z4307" s="5">
        <v>222.37</v>
      </c>
    </row>
    <row r="4308" spans="1:26">
      <c r="A4308">
        <v>4307</v>
      </c>
      <c r="B4308">
        <v>1413</v>
      </c>
      <c r="C4308" s="2">
        <v>46361</v>
      </c>
      <c r="D4308" t="s">
        <v>40</v>
      </c>
      <c r="E4308">
        <v>12</v>
      </c>
      <c r="F4308" s="3">
        <v>9.6199999999999992</v>
      </c>
      <c r="G4308" t="s">
        <v>27</v>
      </c>
      <c r="H4308">
        <v>37</v>
      </c>
      <c r="I4308" t="s">
        <v>28</v>
      </c>
      <c r="J4308" s="4">
        <v>74.599999999999994</v>
      </c>
      <c r="K4308" s="4">
        <v>244.2</v>
      </c>
      <c r="L4308" s="4">
        <v>31</v>
      </c>
      <c r="M4308">
        <v>9</v>
      </c>
      <c r="N4308" t="s">
        <v>56</v>
      </c>
      <c r="O4308">
        <v>4</v>
      </c>
      <c r="P4308" s="4">
        <v>103.6</v>
      </c>
      <c r="Q4308" t="s">
        <v>42</v>
      </c>
      <c r="R4308">
        <v>0</v>
      </c>
      <c r="S4308" t="s">
        <v>44</v>
      </c>
      <c r="T4308">
        <v>0</v>
      </c>
      <c r="U4308">
        <v>0</v>
      </c>
      <c r="V4308" t="s">
        <v>32</v>
      </c>
      <c r="W4308" t="s">
        <v>39</v>
      </c>
      <c r="X4308" s="4">
        <v>7.3</v>
      </c>
      <c r="Y4308">
        <v>10</v>
      </c>
      <c r="Z4308" s="5">
        <v>348.06</v>
      </c>
    </row>
    <row r="4309" spans="1:26">
      <c r="A4309">
        <v>4308</v>
      </c>
      <c r="B4309">
        <v>1413</v>
      </c>
      <c r="C4309" s="2">
        <v>46361</v>
      </c>
      <c r="D4309" t="s">
        <v>40</v>
      </c>
      <c r="E4309">
        <v>12</v>
      </c>
      <c r="F4309" s="3">
        <v>9.66</v>
      </c>
      <c r="G4309" t="s">
        <v>27</v>
      </c>
      <c r="H4309">
        <v>34</v>
      </c>
      <c r="I4309" t="s">
        <v>28</v>
      </c>
      <c r="J4309" s="4">
        <v>64.8</v>
      </c>
      <c r="K4309" s="4">
        <v>154.80000000000001</v>
      </c>
      <c r="L4309" s="4">
        <v>25.7</v>
      </c>
      <c r="M4309">
        <v>14</v>
      </c>
      <c r="N4309" t="s">
        <v>56</v>
      </c>
      <c r="O4309">
        <v>4</v>
      </c>
      <c r="P4309" s="4">
        <v>103.6</v>
      </c>
      <c r="Q4309" t="s">
        <v>42</v>
      </c>
      <c r="R4309">
        <v>0</v>
      </c>
      <c r="S4309" t="s">
        <v>44</v>
      </c>
      <c r="T4309">
        <v>0</v>
      </c>
      <c r="U4309">
        <v>0</v>
      </c>
      <c r="V4309" t="s">
        <v>32</v>
      </c>
      <c r="W4309" t="s">
        <v>39</v>
      </c>
      <c r="X4309" s="4">
        <v>9.8000000000000007</v>
      </c>
      <c r="Y4309">
        <v>15</v>
      </c>
      <c r="Z4309" s="5">
        <v>214.56</v>
      </c>
    </row>
    <row r="4310" spans="1:26">
      <c r="A4310">
        <v>4309</v>
      </c>
      <c r="B4310">
        <v>1413</v>
      </c>
      <c r="C4310" s="2">
        <v>46361</v>
      </c>
      <c r="D4310" t="s">
        <v>40</v>
      </c>
      <c r="E4310">
        <v>12</v>
      </c>
      <c r="F4310" s="3">
        <v>9.49</v>
      </c>
      <c r="G4310" t="s">
        <v>27</v>
      </c>
      <c r="H4310">
        <v>13</v>
      </c>
      <c r="I4310" t="s">
        <v>34</v>
      </c>
      <c r="J4310" s="4">
        <v>70</v>
      </c>
      <c r="K4310" s="4">
        <v>131.6</v>
      </c>
      <c r="L4310" s="4">
        <v>18.8</v>
      </c>
      <c r="M4310">
        <v>16</v>
      </c>
      <c r="N4310" t="s">
        <v>56</v>
      </c>
      <c r="O4310">
        <v>4</v>
      </c>
      <c r="P4310" s="4">
        <v>103.6</v>
      </c>
      <c r="Q4310" t="s">
        <v>42</v>
      </c>
      <c r="R4310">
        <v>0</v>
      </c>
      <c r="S4310" t="s">
        <v>44</v>
      </c>
      <c r="T4310">
        <v>0</v>
      </c>
      <c r="U4310">
        <v>0</v>
      </c>
      <c r="V4310" t="s">
        <v>32</v>
      </c>
      <c r="W4310" t="s">
        <v>39</v>
      </c>
      <c r="X4310" s="4">
        <v>8.1999999999999993</v>
      </c>
      <c r="Y4310">
        <v>14</v>
      </c>
      <c r="Z4310" s="5">
        <v>190.87</v>
      </c>
    </row>
    <row r="4311" spans="1:26">
      <c r="A4311">
        <v>4310</v>
      </c>
      <c r="B4311">
        <v>1413</v>
      </c>
      <c r="C4311" s="2">
        <v>46361</v>
      </c>
      <c r="D4311" t="s">
        <v>40</v>
      </c>
      <c r="E4311">
        <v>12</v>
      </c>
      <c r="F4311" s="3">
        <v>9.48</v>
      </c>
      <c r="G4311" t="s">
        <v>27</v>
      </c>
      <c r="H4311">
        <v>6</v>
      </c>
      <c r="I4311" t="s">
        <v>34</v>
      </c>
      <c r="J4311" s="4">
        <v>56.6</v>
      </c>
      <c r="K4311" s="4">
        <v>103.4</v>
      </c>
      <c r="L4311" s="4">
        <v>23</v>
      </c>
      <c r="M4311">
        <v>16</v>
      </c>
      <c r="N4311" t="s">
        <v>56</v>
      </c>
      <c r="O4311">
        <v>4</v>
      </c>
      <c r="P4311" s="4">
        <v>103.6</v>
      </c>
      <c r="Q4311" t="s">
        <v>42</v>
      </c>
      <c r="R4311">
        <v>0</v>
      </c>
      <c r="S4311" t="s">
        <v>44</v>
      </c>
      <c r="T4311">
        <v>0</v>
      </c>
      <c r="U4311">
        <v>0</v>
      </c>
      <c r="V4311" t="s">
        <v>32</v>
      </c>
      <c r="W4311" t="s">
        <v>39</v>
      </c>
      <c r="X4311" s="4">
        <v>7.5</v>
      </c>
      <c r="Y4311">
        <v>8</v>
      </c>
      <c r="Z4311" s="5">
        <v>295.52</v>
      </c>
    </row>
    <row r="4312" spans="1:26">
      <c r="A4312">
        <v>4311</v>
      </c>
      <c r="B4312">
        <v>1414</v>
      </c>
      <c r="C4312" s="2">
        <v>46138</v>
      </c>
      <c r="D4312" t="s">
        <v>58</v>
      </c>
      <c r="E4312">
        <v>4</v>
      </c>
      <c r="F4312" s="3">
        <v>10.62</v>
      </c>
      <c r="G4312" t="s">
        <v>27</v>
      </c>
      <c r="H4312">
        <v>55</v>
      </c>
      <c r="I4312" t="s">
        <v>28</v>
      </c>
      <c r="J4312" s="4">
        <v>73.8</v>
      </c>
      <c r="K4312" s="4">
        <v>205</v>
      </c>
      <c r="L4312" s="4">
        <v>26.5</v>
      </c>
      <c r="M4312">
        <v>18</v>
      </c>
      <c r="N4312" t="s">
        <v>47</v>
      </c>
      <c r="O4312">
        <v>3</v>
      </c>
      <c r="P4312" s="4">
        <v>22.7</v>
      </c>
      <c r="Q4312" t="s">
        <v>42</v>
      </c>
      <c r="R4312">
        <v>0</v>
      </c>
      <c r="S4312" t="s">
        <v>31</v>
      </c>
      <c r="T4312">
        <v>0</v>
      </c>
      <c r="U4312">
        <v>0</v>
      </c>
      <c r="V4312" t="s">
        <v>32</v>
      </c>
      <c r="W4312" t="s">
        <v>39</v>
      </c>
      <c r="X4312" s="4">
        <v>12.5</v>
      </c>
      <c r="Y4312">
        <v>16</v>
      </c>
      <c r="Z4312" s="5">
        <v>337.97</v>
      </c>
    </row>
    <row r="4313" spans="1:26">
      <c r="A4313">
        <v>4312</v>
      </c>
      <c r="B4313">
        <v>1414</v>
      </c>
      <c r="C4313" s="2">
        <v>46138</v>
      </c>
      <c r="D4313" t="s">
        <v>58</v>
      </c>
      <c r="E4313">
        <v>4</v>
      </c>
      <c r="F4313" s="3">
        <v>10.42</v>
      </c>
      <c r="G4313" t="s">
        <v>27</v>
      </c>
      <c r="H4313">
        <v>60</v>
      </c>
      <c r="I4313" t="s">
        <v>34</v>
      </c>
      <c r="J4313" s="4">
        <v>68.099999999999994</v>
      </c>
      <c r="K4313" s="4">
        <v>150.80000000000001</v>
      </c>
      <c r="L4313" s="4">
        <v>22.7</v>
      </c>
      <c r="M4313">
        <v>15</v>
      </c>
      <c r="N4313" t="s">
        <v>47</v>
      </c>
      <c r="O4313">
        <v>3</v>
      </c>
      <c r="P4313" s="4">
        <v>22.7</v>
      </c>
      <c r="Q4313" t="s">
        <v>42</v>
      </c>
      <c r="R4313">
        <v>0</v>
      </c>
      <c r="S4313" t="s">
        <v>31</v>
      </c>
      <c r="T4313">
        <v>0</v>
      </c>
      <c r="U4313">
        <v>0</v>
      </c>
      <c r="V4313" t="s">
        <v>32</v>
      </c>
      <c r="W4313" t="s">
        <v>39</v>
      </c>
      <c r="X4313" s="4">
        <v>7.8</v>
      </c>
      <c r="Y4313">
        <v>2</v>
      </c>
      <c r="Z4313" s="5">
        <v>188.23</v>
      </c>
    </row>
    <row r="4314" spans="1:26">
      <c r="A4314">
        <v>4313</v>
      </c>
      <c r="B4314">
        <v>1414</v>
      </c>
      <c r="C4314" s="2">
        <v>46138</v>
      </c>
      <c r="D4314" t="s">
        <v>58</v>
      </c>
      <c r="E4314">
        <v>4</v>
      </c>
      <c r="F4314" s="3">
        <v>10.69</v>
      </c>
      <c r="G4314" t="s">
        <v>27</v>
      </c>
      <c r="H4314">
        <v>56</v>
      </c>
      <c r="I4314" t="s">
        <v>34</v>
      </c>
      <c r="J4314" s="4">
        <v>68.099999999999994</v>
      </c>
      <c r="K4314" s="4">
        <v>170.8</v>
      </c>
      <c r="L4314" s="4">
        <v>25.8</v>
      </c>
      <c r="M4314">
        <v>17</v>
      </c>
      <c r="N4314" t="s">
        <v>47</v>
      </c>
      <c r="O4314">
        <v>3</v>
      </c>
      <c r="P4314" s="4">
        <v>22.7</v>
      </c>
      <c r="Q4314" t="s">
        <v>42</v>
      </c>
      <c r="R4314">
        <v>0</v>
      </c>
      <c r="S4314" t="s">
        <v>31</v>
      </c>
      <c r="T4314">
        <v>0</v>
      </c>
      <c r="U4314">
        <v>0</v>
      </c>
      <c r="V4314" t="s">
        <v>32</v>
      </c>
      <c r="W4314" t="s">
        <v>39</v>
      </c>
      <c r="X4314" s="4">
        <v>8.1</v>
      </c>
      <c r="Y4314">
        <v>9</v>
      </c>
      <c r="Z4314" s="5">
        <v>198.75</v>
      </c>
    </row>
    <row r="4315" spans="1:26">
      <c r="A4315">
        <v>4314</v>
      </c>
      <c r="B4315">
        <v>1415</v>
      </c>
      <c r="C4315" s="2">
        <v>46251</v>
      </c>
      <c r="D4315" t="s">
        <v>46</v>
      </c>
      <c r="E4315">
        <v>8</v>
      </c>
      <c r="F4315" s="3">
        <v>11.56</v>
      </c>
      <c r="G4315" t="s">
        <v>36</v>
      </c>
      <c r="H4315">
        <v>53</v>
      </c>
      <c r="I4315" t="s">
        <v>34</v>
      </c>
      <c r="J4315" s="4">
        <v>58.5</v>
      </c>
      <c r="K4315" s="4">
        <v>106.6</v>
      </c>
      <c r="L4315" s="4">
        <v>21.9</v>
      </c>
      <c r="M4315">
        <v>14</v>
      </c>
      <c r="N4315" t="s">
        <v>54</v>
      </c>
      <c r="O4315">
        <v>3</v>
      </c>
      <c r="P4315" s="4">
        <v>3257.8</v>
      </c>
      <c r="Q4315" t="s">
        <v>42</v>
      </c>
      <c r="R4315">
        <v>1</v>
      </c>
      <c r="S4315" t="s">
        <v>38</v>
      </c>
      <c r="T4315">
        <v>0</v>
      </c>
      <c r="U4315">
        <v>0</v>
      </c>
      <c r="V4315" t="s">
        <v>32</v>
      </c>
      <c r="W4315" t="s">
        <v>43</v>
      </c>
      <c r="X4315" s="4">
        <v>7.9</v>
      </c>
      <c r="Y4315">
        <v>1</v>
      </c>
      <c r="Z4315" s="5">
        <v>167.82</v>
      </c>
    </row>
    <row r="4316" spans="1:26">
      <c r="A4316">
        <v>4315</v>
      </c>
      <c r="B4316">
        <v>1415</v>
      </c>
      <c r="C4316" s="2">
        <v>46251</v>
      </c>
      <c r="D4316" t="s">
        <v>46</v>
      </c>
      <c r="E4316">
        <v>8</v>
      </c>
      <c r="F4316" s="3">
        <v>11.96</v>
      </c>
      <c r="G4316" t="s">
        <v>36</v>
      </c>
      <c r="H4316">
        <v>40</v>
      </c>
      <c r="I4316" t="s">
        <v>28</v>
      </c>
      <c r="J4316" s="4">
        <v>72.8</v>
      </c>
      <c r="K4316" s="4">
        <v>201.3</v>
      </c>
      <c r="L4316" s="4">
        <v>26.8</v>
      </c>
      <c r="M4316">
        <v>16</v>
      </c>
      <c r="N4316" t="s">
        <v>54</v>
      </c>
      <c r="O4316">
        <v>3</v>
      </c>
      <c r="P4316" s="4">
        <v>3257.8</v>
      </c>
      <c r="Q4316" t="s">
        <v>42</v>
      </c>
      <c r="R4316">
        <v>1</v>
      </c>
      <c r="S4316" t="s">
        <v>38</v>
      </c>
      <c r="T4316">
        <v>0</v>
      </c>
      <c r="U4316">
        <v>0</v>
      </c>
      <c r="V4316" t="s">
        <v>32</v>
      </c>
      <c r="W4316" t="s">
        <v>43</v>
      </c>
      <c r="X4316" s="4">
        <v>9.9</v>
      </c>
      <c r="Y4316">
        <v>5</v>
      </c>
      <c r="Z4316" s="5">
        <v>208.58</v>
      </c>
    </row>
    <row r="4317" spans="1:26">
      <c r="A4317">
        <v>4316</v>
      </c>
      <c r="B4317">
        <v>1415</v>
      </c>
      <c r="C4317" s="2">
        <v>46251</v>
      </c>
      <c r="D4317" t="s">
        <v>46</v>
      </c>
      <c r="E4317">
        <v>8</v>
      </c>
      <c r="F4317" s="3">
        <v>11.76</v>
      </c>
      <c r="G4317" t="s">
        <v>36</v>
      </c>
      <c r="H4317">
        <v>57</v>
      </c>
      <c r="I4317" t="s">
        <v>28</v>
      </c>
      <c r="J4317" s="4">
        <v>70.3</v>
      </c>
      <c r="K4317" s="4">
        <v>196.4</v>
      </c>
      <c r="L4317" s="4">
        <v>28</v>
      </c>
      <c r="M4317">
        <v>16</v>
      </c>
      <c r="N4317" t="s">
        <v>54</v>
      </c>
      <c r="O4317">
        <v>3</v>
      </c>
      <c r="P4317" s="4">
        <v>3257.8</v>
      </c>
      <c r="Q4317" t="s">
        <v>42</v>
      </c>
      <c r="R4317">
        <v>1</v>
      </c>
      <c r="S4317" t="s">
        <v>38</v>
      </c>
      <c r="T4317">
        <v>0</v>
      </c>
      <c r="U4317">
        <v>0</v>
      </c>
      <c r="V4317" t="s">
        <v>32</v>
      </c>
      <c r="W4317" t="s">
        <v>43</v>
      </c>
      <c r="X4317" s="4">
        <v>8.9</v>
      </c>
      <c r="Y4317">
        <v>8</v>
      </c>
      <c r="Z4317" s="5">
        <v>239.9</v>
      </c>
    </row>
    <row r="4318" spans="1:26">
      <c r="A4318">
        <v>4317</v>
      </c>
      <c r="B4318">
        <v>1416</v>
      </c>
      <c r="C4318" s="2">
        <v>46069</v>
      </c>
      <c r="D4318" t="s">
        <v>46</v>
      </c>
      <c r="E4318">
        <v>2</v>
      </c>
      <c r="F4318" s="3">
        <v>9.5500000000000007</v>
      </c>
      <c r="G4318" t="s">
        <v>27</v>
      </c>
      <c r="H4318">
        <v>64</v>
      </c>
      <c r="I4318" t="s">
        <v>28</v>
      </c>
      <c r="J4318" s="4">
        <v>62.9</v>
      </c>
      <c r="K4318" s="4">
        <v>190.4</v>
      </c>
      <c r="L4318" s="4">
        <v>33.9</v>
      </c>
      <c r="M4318">
        <v>15</v>
      </c>
      <c r="N4318" t="s">
        <v>47</v>
      </c>
      <c r="O4318">
        <v>1</v>
      </c>
      <c r="P4318" s="4">
        <v>14.7</v>
      </c>
      <c r="Q4318" t="s">
        <v>42</v>
      </c>
      <c r="R4318">
        <v>0</v>
      </c>
      <c r="S4318" t="s">
        <v>44</v>
      </c>
      <c r="T4318">
        <v>0</v>
      </c>
      <c r="U4318">
        <v>0</v>
      </c>
      <c r="V4318" t="s">
        <v>32</v>
      </c>
      <c r="W4318" t="s">
        <v>43</v>
      </c>
      <c r="X4318" s="4">
        <v>8.8000000000000007</v>
      </c>
      <c r="Y4318">
        <v>7</v>
      </c>
      <c r="Z4318" s="5">
        <v>275.79000000000002</v>
      </c>
    </row>
    <row r="4319" spans="1:26">
      <c r="A4319">
        <v>4318</v>
      </c>
      <c r="B4319">
        <v>1417</v>
      </c>
      <c r="C4319" s="2">
        <v>46062</v>
      </c>
      <c r="D4319" t="s">
        <v>46</v>
      </c>
      <c r="E4319">
        <v>2</v>
      </c>
      <c r="F4319" s="3">
        <v>10.73</v>
      </c>
      <c r="G4319" t="s">
        <v>27</v>
      </c>
      <c r="H4319">
        <v>12</v>
      </c>
      <c r="I4319" t="s">
        <v>28</v>
      </c>
      <c r="J4319" s="4">
        <v>70</v>
      </c>
      <c r="K4319" s="4">
        <v>135.5</v>
      </c>
      <c r="L4319" s="4">
        <v>19.3</v>
      </c>
      <c r="M4319">
        <v>13</v>
      </c>
      <c r="N4319" t="s">
        <v>37</v>
      </c>
      <c r="O4319">
        <v>2</v>
      </c>
      <c r="P4319" s="4">
        <v>636.29999999999995</v>
      </c>
      <c r="Q4319" t="s">
        <v>30</v>
      </c>
      <c r="R4319">
        <v>1</v>
      </c>
      <c r="S4319" t="s">
        <v>44</v>
      </c>
      <c r="T4319">
        <v>0</v>
      </c>
      <c r="U4319">
        <v>0</v>
      </c>
      <c r="V4319" t="s">
        <v>32</v>
      </c>
      <c r="W4319" t="s">
        <v>39</v>
      </c>
      <c r="X4319" s="4">
        <v>7.5</v>
      </c>
      <c r="Y4319">
        <v>8</v>
      </c>
      <c r="Z4319" s="5">
        <v>302.92</v>
      </c>
    </row>
    <row r="4320" spans="1:26">
      <c r="A4320">
        <v>4319</v>
      </c>
      <c r="B4320">
        <v>1417</v>
      </c>
      <c r="C4320" s="2">
        <v>46062</v>
      </c>
      <c r="D4320" t="s">
        <v>46</v>
      </c>
      <c r="E4320">
        <v>2</v>
      </c>
      <c r="F4320" s="3">
        <v>10.96</v>
      </c>
      <c r="G4320" t="s">
        <v>27</v>
      </c>
      <c r="H4320">
        <v>56</v>
      </c>
      <c r="I4320" t="s">
        <v>28</v>
      </c>
      <c r="J4320" s="4">
        <v>67.7</v>
      </c>
      <c r="K4320" s="4">
        <v>148.4</v>
      </c>
      <c r="L4320" s="4">
        <v>22.9</v>
      </c>
      <c r="M4320">
        <v>15</v>
      </c>
      <c r="N4320" t="s">
        <v>37</v>
      </c>
      <c r="O4320">
        <v>2</v>
      </c>
      <c r="P4320" s="4">
        <v>636.29999999999995</v>
      </c>
      <c r="Q4320" t="s">
        <v>30</v>
      </c>
      <c r="R4320">
        <v>1</v>
      </c>
      <c r="S4320" t="s">
        <v>44</v>
      </c>
      <c r="T4320">
        <v>0</v>
      </c>
      <c r="U4320">
        <v>0</v>
      </c>
      <c r="V4320" t="s">
        <v>32</v>
      </c>
      <c r="W4320" t="s">
        <v>39</v>
      </c>
      <c r="X4320" s="4">
        <v>10.3</v>
      </c>
      <c r="Y4320">
        <v>7</v>
      </c>
      <c r="Z4320" s="5">
        <v>187.54</v>
      </c>
    </row>
    <row r="4321" spans="1:26">
      <c r="A4321">
        <v>4320</v>
      </c>
      <c r="B4321">
        <v>1418</v>
      </c>
      <c r="C4321" s="2">
        <v>46291</v>
      </c>
      <c r="D4321" t="s">
        <v>40</v>
      </c>
      <c r="E4321">
        <v>9</v>
      </c>
      <c r="F4321" s="3">
        <v>8.1</v>
      </c>
      <c r="G4321" t="s">
        <v>27</v>
      </c>
      <c r="H4321">
        <v>29</v>
      </c>
      <c r="I4321" t="s">
        <v>28</v>
      </c>
      <c r="J4321" s="4">
        <v>68.400000000000006</v>
      </c>
      <c r="K4321" s="4">
        <v>217.5</v>
      </c>
      <c r="L4321" s="4">
        <v>32.6</v>
      </c>
      <c r="M4321">
        <v>14</v>
      </c>
      <c r="N4321" t="s">
        <v>47</v>
      </c>
      <c r="O4321">
        <v>6</v>
      </c>
      <c r="P4321" s="4">
        <v>92.9</v>
      </c>
      <c r="Q4321" t="s">
        <v>42</v>
      </c>
      <c r="R4321">
        <v>0</v>
      </c>
      <c r="S4321" t="s">
        <v>38</v>
      </c>
      <c r="T4321">
        <v>0</v>
      </c>
      <c r="U4321">
        <v>1</v>
      </c>
      <c r="V4321" t="s">
        <v>32</v>
      </c>
      <c r="W4321" t="s">
        <v>33</v>
      </c>
      <c r="X4321" s="4">
        <v>11.7</v>
      </c>
      <c r="Y4321">
        <v>13</v>
      </c>
      <c r="Z4321" s="5">
        <v>226.75</v>
      </c>
    </row>
    <row r="4322" spans="1:26">
      <c r="A4322">
        <v>4321</v>
      </c>
      <c r="B4322">
        <v>1418</v>
      </c>
      <c r="C4322" s="2">
        <v>46291</v>
      </c>
      <c r="D4322" t="s">
        <v>40</v>
      </c>
      <c r="E4322">
        <v>9</v>
      </c>
      <c r="F4322" s="3">
        <v>7.9</v>
      </c>
      <c r="G4322" t="s">
        <v>27</v>
      </c>
      <c r="H4322">
        <v>32</v>
      </c>
      <c r="I4322" t="s">
        <v>28</v>
      </c>
      <c r="J4322" s="4">
        <v>68.2</v>
      </c>
      <c r="K4322" s="4">
        <v>203.4</v>
      </c>
      <c r="L4322" s="4">
        <v>30.7</v>
      </c>
      <c r="M4322">
        <v>12</v>
      </c>
      <c r="N4322" t="s">
        <v>47</v>
      </c>
      <c r="O4322">
        <v>6</v>
      </c>
      <c r="P4322" s="4">
        <v>92.9</v>
      </c>
      <c r="Q4322" t="s">
        <v>42</v>
      </c>
      <c r="R4322">
        <v>0</v>
      </c>
      <c r="S4322" t="s">
        <v>38</v>
      </c>
      <c r="T4322">
        <v>0</v>
      </c>
      <c r="U4322">
        <v>1</v>
      </c>
      <c r="V4322" t="s">
        <v>32</v>
      </c>
      <c r="W4322" t="s">
        <v>33</v>
      </c>
      <c r="X4322" s="4">
        <v>10.5</v>
      </c>
      <c r="Y4322">
        <v>12</v>
      </c>
      <c r="Z4322" s="5">
        <v>259.63</v>
      </c>
    </row>
    <row r="4323" spans="1:26">
      <c r="A4323">
        <v>4322</v>
      </c>
      <c r="B4323">
        <v>1418</v>
      </c>
      <c r="C4323" s="2">
        <v>46291</v>
      </c>
      <c r="D4323" t="s">
        <v>40</v>
      </c>
      <c r="E4323">
        <v>9</v>
      </c>
      <c r="F4323" s="3">
        <v>7.93</v>
      </c>
      <c r="G4323" t="s">
        <v>27</v>
      </c>
      <c r="H4323">
        <v>13</v>
      </c>
      <c r="I4323" t="s">
        <v>34</v>
      </c>
      <c r="J4323" s="4">
        <v>70</v>
      </c>
      <c r="K4323" s="4">
        <v>142</v>
      </c>
      <c r="L4323" s="4">
        <v>20.399999999999999</v>
      </c>
      <c r="M4323">
        <v>10</v>
      </c>
      <c r="N4323" t="s">
        <v>47</v>
      </c>
      <c r="O4323">
        <v>6</v>
      </c>
      <c r="P4323" s="4">
        <v>92.9</v>
      </c>
      <c r="Q4323" t="s">
        <v>42</v>
      </c>
      <c r="R4323">
        <v>0</v>
      </c>
      <c r="S4323" t="s">
        <v>38</v>
      </c>
      <c r="T4323">
        <v>0</v>
      </c>
      <c r="U4323">
        <v>1</v>
      </c>
      <c r="V4323" t="s">
        <v>32</v>
      </c>
      <c r="W4323" t="s">
        <v>33</v>
      </c>
      <c r="X4323" s="4">
        <v>10.1</v>
      </c>
      <c r="Y4323">
        <v>8</v>
      </c>
      <c r="Z4323" s="5">
        <v>181.39</v>
      </c>
    </row>
    <row r="4324" spans="1:26">
      <c r="A4324">
        <v>4323</v>
      </c>
      <c r="B4324">
        <v>1418</v>
      </c>
      <c r="C4324" s="2">
        <v>46291</v>
      </c>
      <c r="D4324" t="s">
        <v>40</v>
      </c>
      <c r="E4324">
        <v>9</v>
      </c>
      <c r="F4324" s="3">
        <v>8.11</v>
      </c>
      <c r="G4324" t="s">
        <v>27</v>
      </c>
      <c r="H4324">
        <v>21</v>
      </c>
      <c r="I4324" t="s">
        <v>28</v>
      </c>
      <c r="J4324" s="4">
        <v>69.7</v>
      </c>
      <c r="K4324" s="4">
        <v>213.7</v>
      </c>
      <c r="L4324" s="4">
        <v>30.8</v>
      </c>
      <c r="M4324">
        <v>14</v>
      </c>
      <c r="N4324" t="s">
        <v>47</v>
      </c>
      <c r="O4324">
        <v>6</v>
      </c>
      <c r="P4324" s="4">
        <v>92.9</v>
      </c>
      <c r="Q4324" t="s">
        <v>42</v>
      </c>
      <c r="R4324">
        <v>0</v>
      </c>
      <c r="S4324" t="s">
        <v>38</v>
      </c>
      <c r="T4324">
        <v>0</v>
      </c>
      <c r="U4324">
        <v>1</v>
      </c>
      <c r="V4324" t="s">
        <v>32</v>
      </c>
      <c r="W4324" t="s">
        <v>33</v>
      </c>
      <c r="X4324" s="4">
        <v>6</v>
      </c>
      <c r="Y4324">
        <v>6</v>
      </c>
      <c r="Z4324" s="5">
        <v>174.46</v>
      </c>
    </row>
    <row r="4325" spans="1:26">
      <c r="A4325">
        <v>4324</v>
      </c>
      <c r="B4325">
        <v>1418</v>
      </c>
      <c r="C4325" s="2">
        <v>46291</v>
      </c>
      <c r="D4325" t="s">
        <v>40</v>
      </c>
      <c r="E4325">
        <v>9</v>
      </c>
      <c r="F4325" s="3">
        <v>7.85</v>
      </c>
      <c r="G4325" t="s">
        <v>27</v>
      </c>
      <c r="H4325">
        <v>29</v>
      </c>
      <c r="I4325" t="s">
        <v>28</v>
      </c>
      <c r="J4325" s="4">
        <v>66.099999999999994</v>
      </c>
      <c r="K4325" s="4">
        <v>161.4</v>
      </c>
      <c r="L4325" s="4">
        <v>26.1</v>
      </c>
      <c r="M4325">
        <v>14</v>
      </c>
      <c r="N4325" t="s">
        <v>47</v>
      </c>
      <c r="O4325">
        <v>6</v>
      </c>
      <c r="P4325" s="4">
        <v>92.9</v>
      </c>
      <c r="Q4325" t="s">
        <v>42</v>
      </c>
      <c r="R4325">
        <v>0</v>
      </c>
      <c r="S4325" t="s">
        <v>38</v>
      </c>
      <c r="T4325">
        <v>0</v>
      </c>
      <c r="U4325">
        <v>1</v>
      </c>
      <c r="V4325" t="s">
        <v>32</v>
      </c>
      <c r="W4325" t="s">
        <v>33</v>
      </c>
      <c r="X4325" s="4">
        <v>10.1</v>
      </c>
      <c r="Y4325">
        <v>2</v>
      </c>
      <c r="Z4325" s="5">
        <v>278.08</v>
      </c>
    </row>
    <row r="4326" spans="1:26">
      <c r="A4326">
        <v>4325</v>
      </c>
      <c r="B4326">
        <v>1418</v>
      </c>
      <c r="C4326" s="2">
        <v>46291</v>
      </c>
      <c r="D4326" t="s">
        <v>40</v>
      </c>
      <c r="E4326">
        <v>9</v>
      </c>
      <c r="F4326" s="3">
        <v>7.86</v>
      </c>
      <c r="G4326" t="s">
        <v>27</v>
      </c>
      <c r="H4326">
        <v>13</v>
      </c>
      <c r="I4326" t="s">
        <v>28</v>
      </c>
      <c r="J4326" s="4">
        <v>66.7</v>
      </c>
      <c r="K4326" s="4">
        <v>126.4</v>
      </c>
      <c r="L4326" s="4">
        <v>20</v>
      </c>
      <c r="M4326">
        <v>12</v>
      </c>
      <c r="N4326" t="s">
        <v>47</v>
      </c>
      <c r="O4326">
        <v>6</v>
      </c>
      <c r="P4326" s="4">
        <v>92.9</v>
      </c>
      <c r="Q4326" t="s">
        <v>42</v>
      </c>
      <c r="R4326">
        <v>0</v>
      </c>
      <c r="S4326" t="s">
        <v>38</v>
      </c>
      <c r="T4326">
        <v>0</v>
      </c>
      <c r="U4326">
        <v>1</v>
      </c>
      <c r="V4326" t="s">
        <v>32</v>
      </c>
      <c r="W4326" t="s">
        <v>33</v>
      </c>
      <c r="X4326" s="4">
        <v>10</v>
      </c>
      <c r="Y4326">
        <v>13</v>
      </c>
      <c r="Z4326" s="5">
        <v>276.58999999999997</v>
      </c>
    </row>
    <row r="4327" spans="1:26">
      <c r="A4327">
        <v>4326</v>
      </c>
      <c r="B4327">
        <v>1419</v>
      </c>
      <c r="C4327" s="2">
        <v>46158</v>
      </c>
      <c r="D4327" t="s">
        <v>40</v>
      </c>
      <c r="E4327">
        <v>5</v>
      </c>
      <c r="F4327" s="3">
        <v>9.69</v>
      </c>
      <c r="G4327" t="s">
        <v>27</v>
      </c>
      <c r="H4327">
        <v>10</v>
      </c>
      <c r="I4327" t="s">
        <v>34</v>
      </c>
      <c r="J4327" s="4">
        <v>65</v>
      </c>
      <c r="K4327" s="4">
        <v>77.099999999999994</v>
      </c>
      <c r="L4327" s="4">
        <v>12.9</v>
      </c>
      <c r="M4327">
        <v>15</v>
      </c>
      <c r="N4327" t="s">
        <v>47</v>
      </c>
      <c r="O4327">
        <v>2</v>
      </c>
      <c r="P4327" s="4">
        <v>89.2</v>
      </c>
      <c r="Q4327" t="s">
        <v>48</v>
      </c>
      <c r="R4327">
        <v>1</v>
      </c>
      <c r="S4327" t="s">
        <v>44</v>
      </c>
      <c r="T4327">
        <v>1</v>
      </c>
      <c r="U4327">
        <v>0</v>
      </c>
      <c r="V4327" t="s">
        <v>45</v>
      </c>
      <c r="W4327" t="s">
        <v>39</v>
      </c>
      <c r="X4327" s="4">
        <v>8.6999999999999993</v>
      </c>
      <c r="Y4327">
        <v>11</v>
      </c>
      <c r="Z4327" s="5">
        <v>289.08999999999997</v>
      </c>
    </row>
    <row r="4328" spans="1:26">
      <c r="A4328">
        <v>4327</v>
      </c>
      <c r="B4328">
        <v>1419</v>
      </c>
      <c r="C4328" s="2">
        <v>46158</v>
      </c>
      <c r="D4328" t="s">
        <v>40</v>
      </c>
      <c r="E4328">
        <v>5</v>
      </c>
      <c r="F4328" s="3">
        <v>9.66</v>
      </c>
      <c r="G4328" t="s">
        <v>27</v>
      </c>
      <c r="H4328">
        <v>42</v>
      </c>
      <c r="I4328" t="s">
        <v>28</v>
      </c>
      <c r="J4328" s="4">
        <v>69.7</v>
      </c>
      <c r="K4328" s="4">
        <v>192.9</v>
      </c>
      <c r="L4328" s="4">
        <v>27.9</v>
      </c>
      <c r="M4328">
        <v>14</v>
      </c>
      <c r="N4328" t="s">
        <v>47</v>
      </c>
      <c r="O4328">
        <v>2</v>
      </c>
      <c r="P4328" s="4">
        <v>89.2</v>
      </c>
      <c r="Q4328" t="s">
        <v>48</v>
      </c>
      <c r="R4328">
        <v>1</v>
      </c>
      <c r="S4328" t="s">
        <v>44</v>
      </c>
      <c r="T4328">
        <v>1</v>
      </c>
      <c r="U4328">
        <v>0</v>
      </c>
      <c r="V4328" t="s">
        <v>45</v>
      </c>
      <c r="W4328" t="s">
        <v>39</v>
      </c>
      <c r="X4328" s="4">
        <v>7.8</v>
      </c>
      <c r="Y4328">
        <v>13</v>
      </c>
      <c r="Z4328" s="5">
        <v>275.47000000000003</v>
      </c>
    </row>
    <row r="4329" spans="1:26">
      <c r="A4329">
        <v>4328</v>
      </c>
      <c r="B4329">
        <v>1420</v>
      </c>
      <c r="C4329" s="2">
        <v>46238</v>
      </c>
      <c r="D4329" t="s">
        <v>35</v>
      </c>
      <c r="E4329">
        <v>8</v>
      </c>
      <c r="F4329" s="3">
        <v>8.3800000000000008</v>
      </c>
      <c r="G4329" t="s">
        <v>27</v>
      </c>
      <c r="H4329">
        <v>18</v>
      </c>
      <c r="I4329" t="s">
        <v>34</v>
      </c>
      <c r="J4329" s="4">
        <v>62.1</v>
      </c>
      <c r="K4329" s="4">
        <v>119.2</v>
      </c>
      <c r="L4329" s="4">
        <v>21.6</v>
      </c>
      <c r="M4329">
        <v>9</v>
      </c>
      <c r="N4329" t="s">
        <v>50</v>
      </c>
      <c r="O4329">
        <v>5</v>
      </c>
      <c r="P4329" s="4">
        <v>241.3</v>
      </c>
      <c r="Q4329" t="s">
        <v>30</v>
      </c>
      <c r="R4329">
        <v>1</v>
      </c>
      <c r="S4329" t="s">
        <v>44</v>
      </c>
      <c r="T4329">
        <v>0</v>
      </c>
      <c r="U4329">
        <v>0</v>
      </c>
      <c r="V4329" t="s">
        <v>45</v>
      </c>
      <c r="W4329" t="s">
        <v>39</v>
      </c>
      <c r="X4329" s="4">
        <v>6.8</v>
      </c>
      <c r="Y4329">
        <v>6</v>
      </c>
      <c r="Z4329" s="5">
        <v>86.48</v>
      </c>
    </row>
    <row r="4330" spans="1:26">
      <c r="A4330">
        <v>4329</v>
      </c>
      <c r="B4330">
        <v>1420</v>
      </c>
      <c r="C4330" s="2">
        <v>46238</v>
      </c>
      <c r="D4330" t="s">
        <v>35</v>
      </c>
      <c r="E4330">
        <v>8</v>
      </c>
      <c r="F4330" s="3">
        <v>8.44</v>
      </c>
      <c r="G4330" t="s">
        <v>27</v>
      </c>
      <c r="H4330">
        <v>18</v>
      </c>
      <c r="I4330" t="s">
        <v>34</v>
      </c>
      <c r="J4330" s="4">
        <v>62.4</v>
      </c>
      <c r="K4330" s="4">
        <v>194</v>
      </c>
      <c r="L4330" s="4">
        <v>34.799999999999997</v>
      </c>
      <c r="M4330">
        <v>11</v>
      </c>
      <c r="N4330" t="s">
        <v>50</v>
      </c>
      <c r="O4330">
        <v>5</v>
      </c>
      <c r="P4330" s="4">
        <v>241.3</v>
      </c>
      <c r="Q4330" t="s">
        <v>30</v>
      </c>
      <c r="R4330">
        <v>1</v>
      </c>
      <c r="S4330" t="s">
        <v>44</v>
      </c>
      <c r="T4330">
        <v>0</v>
      </c>
      <c r="U4330">
        <v>0</v>
      </c>
      <c r="V4330" t="s">
        <v>45</v>
      </c>
      <c r="W4330" t="s">
        <v>39</v>
      </c>
      <c r="X4330" s="4">
        <v>9.6999999999999993</v>
      </c>
      <c r="Y4330">
        <v>6</v>
      </c>
      <c r="Z4330" s="5">
        <v>220.11</v>
      </c>
    </row>
    <row r="4331" spans="1:26">
      <c r="A4331">
        <v>4330</v>
      </c>
      <c r="B4331">
        <v>1420</v>
      </c>
      <c r="C4331" s="2">
        <v>46238</v>
      </c>
      <c r="D4331" t="s">
        <v>35</v>
      </c>
      <c r="E4331">
        <v>8</v>
      </c>
      <c r="F4331" s="3">
        <v>8.2200000000000006</v>
      </c>
      <c r="G4331" t="s">
        <v>27</v>
      </c>
      <c r="H4331">
        <v>67</v>
      </c>
      <c r="I4331" t="s">
        <v>34</v>
      </c>
      <c r="J4331" s="4">
        <v>61.7</v>
      </c>
      <c r="K4331" s="4">
        <v>144.6</v>
      </c>
      <c r="L4331" s="4">
        <v>26.6</v>
      </c>
      <c r="M4331">
        <v>16</v>
      </c>
      <c r="N4331" t="s">
        <v>50</v>
      </c>
      <c r="O4331">
        <v>5</v>
      </c>
      <c r="P4331" s="4">
        <v>241.3</v>
      </c>
      <c r="Q4331" t="s">
        <v>30</v>
      </c>
      <c r="R4331">
        <v>1</v>
      </c>
      <c r="S4331" t="s">
        <v>44</v>
      </c>
      <c r="T4331">
        <v>0</v>
      </c>
      <c r="U4331">
        <v>0</v>
      </c>
      <c r="V4331" t="s">
        <v>45</v>
      </c>
      <c r="W4331" t="s">
        <v>39</v>
      </c>
      <c r="X4331" s="4">
        <v>7.7</v>
      </c>
      <c r="Y4331">
        <v>10</v>
      </c>
      <c r="Z4331" s="5">
        <v>158.81</v>
      </c>
    </row>
    <row r="4332" spans="1:26">
      <c r="A4332">
        <v>4331</v>
      </c>
      <c r="B4332">
        <v>1420</v>
      </c>
      <c r="C4332" s="2">
        <v>46238</v>
      </c>
      <c r="D4332" t="s">
        <v>35</v>
      </c>
      <c r="E4332">
        <v>8</v>
      </c>
      <c r="F4332" s="3">
        <v>8.4</v>
      </c>
      <c r="G4332" t="s">
        <v>27</v>
      </c>
      <c r="H4332">
        <v>23</v>
      </c>
      <c r="I4332" t="s">
        <v>34</v>
      </c>
      <c r="J4332" s="4">
        <v>65</v>
      </c>
      <c r="K4332" s="4">
        <v>204.1</v>
      </c>
      <c r="L4332" s="4">
        <v>33.6</v>
      </c>
      <c r="M4332">
        <v>15</v>
      </c>
      <c r="N4332" t="s">
        <v>50</v>
      </c>
      <c r="O4332">
        <v>5</v>
      </c>
      <c r="P4332" s="4">
        <v>241.3</v>
      </c>
      <c r="Q4332" t="s">
        <v>30</v>
      </c>
      <c r="R4332">
        <v>1</v>
      </c>
      <c r="S4332" t="s">
        <v>44</v>
      </c>
      <c r="T4332">
        <v>0</v>
      </c>
      <c r="U4332">
        <v>0</v>
      </c>
      <c r="V4332" t="s">
        <v>45</v>
      </c>
      <c r="W4332" t="s">
        <v>39</v>
      </c>
      <c r="X4332" s="4">
        <v>8.6999999999999993</v>
      </c>
      <c r="Y4332">
        <v>11</v>
      </c>
      <c r="Z4332" s="5">
        <v>221.61</v>
      </c>
    </row>
    <row r="4333" spans="1:26">
      <c r="A4333">
        <v>4332</v>
      </c>
      <c r="B4333">
        <v>1420</v>
      </c>
      <c r="C4333" s="2">
        <v>46238</v>
      </c>
      <c r="D4333" t="s">
        <v>35</v>
      </c>
      <c r="E4333">
        <v>8</v>
      </c>
      <c r="F4333" s="3">
        <v>8.36</v>
      </c>
      <c r="G4333" t="s">
        <v>27</v>
      </c>
      <c r="H4333">
        <v>56</v>
      </c>
      <c r="I4333" t="s">
        <v>34</v>
      </c>
      <c r="J4333" s="4">
        <v>64.099999999999994</v>
      </c>
      <c r="K4333" s="4">
        <v>123.2</v>
      </c>
      <c r="L4333" s="4">
        <v>21.1</v>
      </c>
      <c r="M4333">
        <v>14</v>
      </c>
      <c r="N4333" t="s">
        <v>50</v>
      </c>
      <c r="O4333">
        <v>5</v>
      </c>
      <c r="P4333" s="4">
        <v>241.3</v>
      </c>
      <c r="Q4333" t="s">
        <v>30</v>
      </c>
      <c r="R4333">
        <v>1</v>
      </c>
      <c r="S4333" t="s">
        <v>44</v>
      </c>
      <c r="T4333">
        <v>0</v>
      </c>
      <c r="U4333">
        <v>0</v>
      </c>
      <c r="V4333" t="s">
        <v>45</v>
      </c>
      <c r="W4333" t="s">
        <v>39</v>
      </c>
      <c r="X4333" s="4">
        <v>10.9</v>
      </c>
      <c r="Y4333">
        <v>9</v>
      </c>
      <c r="Z4333" s="5">
        <v>151.78</v>
      </c>
    </row>
    <row r="4334" spans="1:26">
      <c r="A4334">
        <v>4333</v>
      </c>
      <c r="B4334">
        <v>1421</v>
      </c>
      <c r="C4334" s="2">
        <v>46217</v>
      </c>
      <c r="D4334" t="s">
        <v>35</v>
      </c>
      <c r="E4334">
        <v>7</v>
      </c>
      <c r="F4334" s="3">
        <v>11.02</v>
      </c>
      <c r="G4334" t="s">
        <v>36</v>
      </c>
      <c r="H4334">
        <v>18</v>
      </c>
      <c r="I4334" t="s">
        <v>34</v>
      </c>
      <c r="J4334" s="4">
        <v>61.7</v>
      </c>
      <c r="K4334" s="4">
        <v>148.69999999999999</v>
      </c>
      <c r="L4334" s="4">
        <v>27.6</v>
      </c>
      <c r="M4334">
        <v>12</v>
      </c>
      <c r="N4334" t="s">
        <v>47</v>
      </c>
      <c r="O4334">
        <v>2</v>
      </c>
      <c r="P4334" s="4">
        <v>70.2</v>
      </c>
      <c r="Q4334" t="s">
        <v>42</v>
      </c>
      <c r="R4334">
        <v>1</v>
      </c>
      <c r="S4334" t="s">
        <v>38</v>
      </c>
      <c r="T4334">
        <v>0</v>
      </c>
      <c r="U4334">
        <v>0</v>
      </c>
      <c r="V4334" t="s">
        <v>32</v>
      </c>
      <c r="W4334" t="s">
        <v>49</v>
      </c>
      <c r="X4334" s="4">
        <v>5.8</v>
      </c>
      <c r="Y4334">
        <v>6</v>
      </c>
      <c r="Z4334" s="5">
        <v>134.91999999999999</v>
      </c>
    </row>
    <row r="4335" spans="1:26">
      <c r="A4335">
        <v>4334</v>
      </c>
      <c r="B4335">
        <v>1421</v>
      </c>
      <c r="C4335" s="2">
        <v>46217</v>
      </c>
      <c r="D4335" t="s">
        <v>35</v>
      </c>
      <c r="E4335">
        <v>7</v>
      </c>
      <c r="F4335" s="3">
        <v>11.15</v>
      </c>
      <c r="G4335" t="s">
        <v>36</v>
      </c>
      <c r="H4335">
        <v>72</v>
      </c>
      <c r="I4335" t="s">
        <v>34</v>
      </c>
      <c r="J4335" s="4">
        <v>62.7</v>
      </c>
      <c r="K4335" s="4">
        <v>159.80000000000001</v>
      </c>
      <c r="L4335" s="4">
        <v>28.9</v>
      </c>
      <c r="M4335">
        <v>14</v>
      </c>
      <c r="N4335" t="s">
        <v>47</v>
      </c>
      <c r="O4335">
        <v>2</v>
      </c>
      <c r="P4335" s="4">
        <v>70.2</v>
      </c>
      <c r="Q4335" t="s">
        <v>42</v>
      </c>
      <c r="R4335">
        <v>1</v>
      </c>
      <c r="S4335" t="s">
        <v>38</v>
      </c>
      <c r="T4335">
        <v>0</v>
      </c>
      <c r="U4335">
        <v>0</v>
      </c>
      <c r="V4335" t="s">
        <v>32</v>
      </c>
      <c r="W4335" t="s">
        <v>49</v>
      </c>
      <c r="X4335" s="4">
        <v>11.1</v>
      </c>
      <c r="Y4335">
        <v>10</v>
      </c>
      <c r="Z4335" s="5">
        <v>337.77</v>
      </c>
    </row>
    <row r="4336" spans="1:26">
      <c r="A4336">
        <v>4335</v>
      </c>
      <c r="B4336">
        <v>1422</v>
      </c>
      <c r="C4336" s="2">
        <v>46126</v>
      </c>
      <c r="D4336" t="s">
        <v>35</v>
      </c>
      <c r="E4336">
        <v>4</v>
      </c>
      <c r="F4336" s="3">
        <v>10.39</v>
      </c>
      <c r="G4336" t="s">
        <v>27</v>
      </c>
      <c r="H4336">
        <v>34</v>
      </c>
      <c r="I4336" t="s">
        <v>34</v>
      </c>
      <c r="J4336" s="4">
        <v>64</v>
      </c>
      <c r="K4336" s="4">
        <v>147.4</v>
      </c>
      <c r="L4336" s="4">
        <v>25.2</v>
      </c>
      <c r="M4336">
        <v>18</v>
      </c>
      <c r="N4336" t="s">
        <v>47</v>
      </c>
      <c r="O4336">
        <v>4</v>
      </c>
      <c r="P4336" s="4">
        <v>127.9</v>
      </c>
      <c r="Q4336" t="s">
        <v>48</v>
      </c>
      <c r="R4336">
        <v>0</v>
      </c>
      <c r="S4336" t="s">
        <v>44</v>
      </c>
      <c r="T4336">
        <v>1</v>
      </c>
      <c r="U4336">
        <v>0</v>
      </c>
      <c r="V4336" t="s">
        <v>32</v>
      </c>
      <c r="W4336" t="s">
        <v>57</v>
      </c>
      <c r="X4336" s="4">
        <v>11.8</v>
      </c>
      <c r="Y4336">
        <v>11</v>
      </c>
      <c r="Z4336" s="5">
        <v>350.1</v>
      </c>
    </row>
    <row r="4337" spans="1:26">
      <c r="A4337">
        <v>4336</v>
      </c>
      <c r="B4337">
        <v>1422</v>
      </c>
      <c r="C4337" s="2">
        <v>46126</v>
      </c>
      <c r="D4337" t="s">
        <v>35</v>
      </c>
      <c r="E4337">
        <v>4</v>
      </c>
      <c r="F4337" s="3">
        <v>10.29</v>
      </c>
      <c r="G4337" t="s">
        <v>27</v>
      </c>
      <c r="H4337">
        <v>9</v>
      </c>
      <c r="I4337" t="s">
        <v>34</v>
      </c>
      <c r="J4337" s="4">
        <v>59.5</v>
      </c>
      <c r="K4337" s="4">
        <v>115.8</v>
      </c>
      <c r="L4337" s="4">
        <v>22.9</v>
      </c>
      <c r="M4337">
        <v>12</v>
      </c>
      <c r="N4337" t="s">
        <v>47</v>
      </c>
      <c r="O4337">
        <v>4</v>
      </c>
      <c r="P4337" s="4">
        <v>127.9</v>
      </c>
      <c r="Q4337" t="s">
        <v>48</v>
      </c>
      <c r="R4337">
        <v>0</v>
      </c>
      <c r="S4337" t="s">
        <v>44</v>
      </c>
      <c r="T4337">
        <v>1</v>
      </c>
      <c r="U4337">
        <v>0</v>
      </c>
      <c r="V4337" t="s">
        <v>32</v>
      </c>
      <c r="W4337" t="s">
        <v>57</v>
      </c>
      <c r="X4337" s="4">
        <v>11</v>
      </c>
      <c r="Y4337">
        <v>12</v>
      </c>
      <c r="Z4337" s="5">
        <v>188.1</v>
      </c>
    </row>
    <row r="4338" spans="1:26">
      <c r="A4338">
        <v>4337</v>
      </c>
      <c r="B4338">
        <v>1422</v>
      </c>
      <c r="C4338" s="2">
        <v>46126</v>
      </c>
      <c r="D4338" t="s">
        <v>35</v>
      </c>
      <c r="E4338">
        <v>4</v>
      </c>
      <c r="F4338" s="3">
        <v>10.43</v>
      </c>
      <c r="G4338" t="s">
        <v>27</v>
      </c>
      <c r="H4338">
        <v>3</v>
      </c>
      <c r="I4338" t="s">
        <v>28</v>
      </c>
      <c r="J4338" s="4">
        <v>57.4</v>
      </c>
      <c r="K4338" s="4">
        <v>87.2</v>
      </c>
      <c r="L4338" s="4">
        <v>18.5</v>
      </c>
      <c r="M4338">
        <v>16</v>
      </c>
      <c r="N4338" t="s">
        <v>47</v>
      </c>
      <c r="O4338">
        <v>4</v>
      </c>
      <c r="P4338" s="4">
        <v>127.9</v>
      </c>
      <c r="Q4338" t="s">
        <v>48</v>
      </c>
      <c r="R4338">
        <v>0</v>
      </c>
      <c r="S4338" t="s">
        <v>44</v>
      </c>
      <c r="T4338">
        <v>1</v>
      </c>
      <c r="U4338">
        <v>0</v>
      </c>
      <c r="V4338" t="s">
        <v>32</v>
      </c>
      <c r="W4338" t="s">
        <v>57</v>
      </c>
      <c r="X4338" s="4">
        <v>7.5</v>
      </c>
      <c r="Y4338">
        <v>6</v>
      </c>
      <c r="Z4338" s="5">
        <v>181.95</v>
      </c>
    </row>
    <row r="4339" spans="1:26">
      <c r="A4339">
        <v>4338</v>
      </c>
      <c r="B4339">
        <v>1422</v>
      </c>
      <c r="C4339" s="2">
        <v>46126</v>
      </c>
      <c r="D4339" t="s">
        <v>35</v>
      </c>
      <c r="E4339">
        <v>4</v>
      </c>
      <c r="F4339" s="3">
        <v>10.42</v>
      </c>
      <c r="G4339" t="s">
        <v>27</v>
      </c>
      <c r="H4339">
        <v>38</v>
      </c>
      <c r="I4339" t="s">
        <v>28</v>
      </c>
      <c r="J4339" s="4">
        <v>68</v>
      </c>
      <c r="K4339" s="4">
        <v>170.9</v>
      </c>
      <c r="L4339" s="4">
        <v>26</v>
      </c>
      <c r="M4339">
        <v>17</v>
      </c>
      <c r="N4339" t="s">
        <v>47</v>
      </c>
      <c r="O4339">
        <v>4</v>
      </c>
      <c r="P4339" s="4">
        <v>127.9</v>
      </c>
      <c r="Q4339" t="s">
        <v>48</v>
      </c>
      <c r="R4339">
        <v>0</v>
      </c>
      <c r="S4339" t="s">
        <v>44</v>
      </c>
      <c r="T4339">
        <v>1</v>
      </c>
      <c r="U4339">
        <v>0</v>
      </c>
      <c r="V4339" t="s">
        <v>32</v>
      </c>
      <c r="W4339" t="s">
        <v>57</v>
      </c>
      <c r="X4339" s="4">
        <v>6.3</v>
      </c>
      <c r="Y4339">
        <v>7</v>
      </c>
      <c r="Z4339" s="5">
        <v>261.43</v>
      </c>
    </row>
    <row r="4340" spans="1:26">
      <c r="A4340">
        <v>4339</v>
      </c>
      <c r="B4340">
        <v>1423</v>
      </c>
      <c r="C4340" s="2">
        <v>46299</v>
      </c>
      <c r="D4340" t="s">
        <v>58</v>
      </c>
      <c r="E4340">
        <v>10</v>
      </c>
      <c r="F4340" s="3">
        <v>12.65</v>
      </c>
      <c r="G4340" t="s">
        <v>36</v>
      </c>
      <c r="H4340">
        <v>9</v>
      </c>
      <c r="I4340" t="s">
        <v>34</v>
      </c>
      <c r="J4340" s="4">
        <v>66.400000000000006</v>
      </c>
      <c r="K4340" s="4">
        <v>136.30000000000001</v>
      </c>
      <c r="L4340" s="4">
        <v>22.1</v>
      </c>
      <c r="M4340">
        <v>14</v>
      </c>
      <c r="N4340" t="s">
        <v>61</v>
      </c>
      <c r="O4340">
        <v>4</v>
      </c>
      <c r="P4340" s="4">
        <v>1063.3</v>
      </c>
      <c r="Q4340" t="s">
        <v>42</v>
      </c>
      <c r="R4340">
        <v>1</v>
      </c>
      <c r="S4340" t="s">
        <v>44</v>
      </c>
      <c r="T4340">
        <v>0</v>
      </c>
      <c r="U4340">
        <v>0</v>
      </c>
      <c r="V4340" t="s">
        <v>32</v>
      </c>
      <c r="W4340" t="s">
        <v>39</v>
      </c>
      <c r="X4340" s="4">
        <v>10.5</v>
      </c>
      <c r="Y4340">
        <v>6</v>
      </c>
      <c r="Z4340" s="5">
        <v>223.3</v>
      </c>
    </row>
    <row r="4341" spans="1:26">
      <c r="A4341">
        <v>4340</v>
      </c>
      <c r="B4341">
        <v>1423</v>
      </c>
      <c r="C4341" s="2">
        <v>46299</v>
      </c>
      <c r="D4341" t="s">
        <v>58</v>
      </c>
      <c r="E4341">
        <v>10</v>
      </c>
      <c r="F4341" s="3">
        <v>12.89</v>
      </c>
      <c r="G4341" t="s">
        <v>36</v>
      </c>
      <c r="H4341">
        <v>8</v>
      </c>
      <c r="I4341" t="s">
        <v>34</v>
      </c>
      <c r="J4341" s="4">
        <v>59.2</v>
      </c>
      <c r="K4341" s="4">
        <v>95.1</v>
      </c>
      <c r="L4341" s="4">
        <v>19</v>
      </c>
      <c r="M4341">
        <v>16</v>
      </c>
      <c r="N4341" t="s">
        <v>61</v>
      </c>
      <c r="O4341">
        <v>4</v>
      </c>
      <c r="P4341" s="4">
        <v>1063.3</v>
      </c>
      <c r="Q4341" t="s">
        <v>42</v>
      </c>
      <c r="R4341">
        <v>1</v>
      </c>
      <c r="S4341" t="s">
        <v>44</v>
      </c>
      <c r="T4341">
        <v>0</v>
      </c>
      <c r="U4341">
        <v>0</v>
      </c>
      <c r="V4341" t="s">
        <v>32</v>
      </c>
      <c r="W4341" t="s">
        <v>39</v>
      </c>
      <c r="X4341" s="4">
        <v>6.7</v>
      </c>
      <c r="Y4341">
        <v>7</v>
      </c>
      <c r="Z4341" s="5">
        <v>180.29</v>
      </c>
    </row>
    <row r="4342" spans="1:26">
      <c r="A4342">
        <v>4341</v>
      </c>
      <c r="B4342">
        <v>1423</v>
      </c>
      <c r="C4342" s="2">
        <v>46299</v>
      </c>
      <c r="D4342" t="s">
        <v>58</v>
      </c>
      <c r="E4342">
        <v>10</v>
      </c>
      <c r="F4342" s="3">
        <v>12.72</v>
      </c>
      <c r="G4342" t="s">
        <v>36</v>
      </c>
      <c r="H4342">
        <v>64</v>
      </c>
      <c r="I4342" t="s">
        <v>34</v>
      </c>
      <c r="J4342" s="4">
        <v>61.8</v>
      </c>
      <c r="K4342" s="4">
        <v>99.2</v>
      </c>
      <c r="L4342" s="4">
        <v>18.3</v>
      </c>
      <c r="M4342">
        <v>19</v>
      </c>
      <c r="N4342" t="s">
        <v>61</v>
      </c>
      <c r="O4342">
        <v>4</v>
      </c>
      <c r="P4342" s="4">
        <v>1063.3</v>
      </c>
      <c r="Q4342" t="s">
        <v>42</v>
      </c>
      <c r="R4342">
        <v>1</v>
      </c>
      <c r="S4342" t="s">
        <v>44</v>
      </c>
      <c r="T4342">
        <v>0</v>
      </c>
      <c r="U4342">
        <v>0</v>
      </c>
      <c r="V4342" t="s">
        <v>32</v>
      </c>
      <c r="W4342" t="s">
        <v>39</v>
      </c>
      <c r="X4342" s="4">
        <v>6.2</v>
      </c>
      <c r="Y4342">
        <v>8</v>
      </c>
      <c r="Z4342" s="5">
        <v>175.98</v>
      </c>
    </row>
    <row r="4343" spans="1:26">
      <c r="A4343">
        <v>4342</v>
      </c>
      <c r="B4343">
        <v>1423</v>
      </c>
      <c r="C4343" s="2">
        <v>46299</v>
      </c>
      <c r="D4343" t="s">
        <v>58</v>
      </c>
      <c r="E4343">
        <v>10</v>
      </c>
      <c r="F4343" s="3">
        <v>12.76</v>
      </c>
      <c r="G4343" t="s">
        <v>36</v>
      </c>
      <c r="H4343">
        <v>67</v>
      </c>
      <c r="I4343" t="s">
        <v>28</v>
      </c>
      <c r="J4343" s="4">
        <v>69.3</v>
      </c>
      <c r="K4343" s="4">
        <v>195.9</v>
      </c>
      <c r="L4343" s="4">
        <v>28.6</v>
      </c>
      <c r="M4343">
        <v>16</v>
      </c>
      <c r="N4343" t="s">
        <v>61</v>
      </c>
      <c r="O4343">
        <v>4</v>
      </c>
      <c r="P4343" s="4">
        <v>1063.3</v>
      </c>
      <c r="Q4343" t="s">
        <v>42</v>
      </c>
      <c r="R4343">
        <v>1</v>
      </c>
      <c r="S4343" t="s">
        <v>44</v>
      </c>
      <c r="T4343">
        <v>0</v>
      </c>
      <c r="U4343">
        <v>0</v>
      </c>
      <c r="V4343" t="s">
        <v>32</v>
      </c>
      <c r="W4343" t="s">
        <v>39</v>
      </c>
      <c r="X4343" s="4">
        <v>8.1999999999999993</v>
      </c>
      <c r="Y4343">
        <v>6</v>
      </c>
      <c r="Z4343" s="5">
        <v>167.12</v>
      </c>
    </row>
    <row r="4344" spans="1:26">
      <c r="A4344">
        <v>4343</v>
      </c>
      <c r="B4344">
        <v>1424</v>
      </c>
      <c r="C4344" s="2">
        <v>46262</v>
      </c>
      <c r="D4344" t="s">
        <v>26</v>
      </c>
      <c r="E4344">
        <v>8</v>
      </c>
      <c r="F4344" s="3">
        <v>10.59</v>
      </c>
      <c r="G4344" t="s">
        <v>27</v>
      </c>
      <c r="H4344">
        <v>21</v>
      </c>
      <c r="I4344" t="s">
        <v>34</v>
      </c>
      <c r="J4344" s="4">
        <v>66.599999999999994</v>
      </c>
      <c r="K4344" s="4">
        <v>156.5</v>
      </c>
      <c r="L4344" s="4">
        <v>24.9</v>
      </c>
      <c r="M4344">
        <v>11</v>
      </c>
      <c r="N4344" t="s">
        <v>47</v>
      </c>
      <c r="O4344">
        <v>2</v>
      </c>
      <c r="P4344" s="4">
        <v>4.2</v>
      </c>
      <c r="Q4344" t="s">
        <v>42</v>
      </c>
      <c r="R4344">
        <v>1</v>
      </c>
      <c r="S4344" t="s">
        <v>44</v>
      </c>
      <c r="T4344">
        <v>1</v>
      </c>
      <c r="U4344">
        <v>0</v>
      </c>
      <c r="V4344" t="s">
        <v>32</v>
      </c>
      <c r="W4344" t="s">
        <v>43</v>
      </c>
      <c r="X4344" s="4">
        <v>6.7</v>
      </c>
      <c r="Y4344">
        <v>13</v>
      </c>
      <c r="Z4344" s="5">
        <v>260.11</v>
      </c>
    </row>
    <row r="4345" spans="1:26">
      <c r="A4345">
        <v>4344</v>
      </c>
      <c r="B4345">
        <v>1424</v>
      </c>
      <c r="C4345" s="2">
        <v>46262</v>
      </c>
      <c r="D4345" t="s">
        <v>26</v>
      </c>
      <c r="E4345">
        <v>8</v>
      </c>
      <c r="F4345" s="3">
        <v>10.87</v>
      </c>
      <c r="G4345" t="s">
        <v>27</v>
      </c>
      <c r="H4345">
        <v>19</v>
      </c>
      <c r="I4345" t="s">
        <v>34</v>
      </c>
      <c r="J4345" s="4">
        <v>62.3</v>
      </c>
      <c r="K4345" s="4">
        <v>139.80000000000001</v>
      </c>
      <c r="L4345" s="4">
        <v>25.3</v>
      </c>
      <c r="M4345">
        <v>10</v>
      </c>
      <c r="N4345" t="s">
        <v>47</v>
      </c>
      <c r="O4345">
        <v>2</v>
      </c>
      <c r="P4345" s="4">
        <v>4.2</v>
      </c>
      <c r="Q4345" t="s">
        <v>42</v>
      </c>
      <c r="R4345">
        <v>1</v>
      </c>
      <c r="S4345" t="s">
        <v>44</v>
      </c>
      <c r="T4345">
        <v>1</v>
      </c>
      <c r="U4345">
        <v>0</v>
      </c>
      <c r="V4345" t="s">
        <v>32</v>
      </c>
      <c r="W4345" t="s">
        <v>43</v>
      </c>
      <c r="X4345" s="4">
        <v>6.9</v>
      </c>
      <c r="Y4345">
        <v>2</v>
      </c>
      <c r="Z4345" s="5">
        <v>138.28</v>
      </c>
    </row>
    <row r="4346" spans="1:26">
      <c r="A4346">
        <v>4345</v>
      </c>
      <c r="B4346">
        <v>1425</v>
      </c>
      <c r="C4346" s="2">
        <v>46295</v>
      </c>
      <c r="D4346" t="s">
        <v>52</v>
      </c>
      <c r="E4346">
        <v>9</v>
      </c>
      <c r="F4346" s="3">
        <v>9.36</v>
      </c>
      <c r="G4346" t="s">
        <v>27</v>
      </c>
      <c r="H4346">
        <v>43</v>
      </c>
      <c r="I4346" t="s">
        <v>28</v>
      </c>
      <c r="J4346" s="4">
        <v>65.7</v>
      </c>
      <c r="K4346" s="4">
        <v>187.5</v>
      </c>
      <c r="L4346" s="4">
        <v>30.7</v>
      </c>
      <c r="M4346">
        <v>13</v>
      </c>
      <c r="N4346" t="s">
        <v>69</v>
      </c>
      <c r="O4346">
        <v>4</v>
      </c>
      <c r="P4346" s="4">
        <v>1347</v>
      </c>
      <c r="Q4346" t="s">
        <v>30</v>
      </c>
      <c r="R4346">
        <v>1</v>
      </c>
      <c r="S4346" t="s">
        <v>31</v>
      </c>
      <c r="T4346">
        <v>0</v>
      </c>
      <c r="U4346">
        <v>0</v>
      </c>
      <c r="V4346" t="s">
        <v>32</v>
      </c>
      <c r="W4346" t="s">
        <v>39</v>
      </c>
      <c r="X4346" s="4">
        <v>7.8</v>
      </c>
      <c r="Y4346">
        <v>9</v>
      </c>
      <c r="Z4346" s="5">
        <v>160.34</v>
      </c>
    </row>
    <row r="4347" spans="1:26">
      <c r="A4347">
        <v>4346</v>
      </c>
      <c r="B4347">
        <v>1425</v>
      </c>
      <c r="C4347" s="2">
        <v>46295</v>
      </c>
      <c r="D4347" t="s">
        <v>52</v>
      </c>
      <c r="E4347">
        <v>9</v>
      </c>
      <c r="F4347" s="3">
        <v>9.25</v>
      </c>
      <c r="G4347" t="s">
        <v>27</v>
      </c>
      <c r="H4347">
        <v>29</v>
      </c>
      <c r="I4347" t="s">
        <v>28</v>
      </c>
      <c r="J4347" s="4">
        <v>69</v>
      </c>
      <c r="K4347" s="4">
        <v>206.8</v>
      </c>
      <c r="L4347" s="4">
        <v>30.4</v>
      </c>
      <c r="M4347">
        <v>13</v>
      </c>
      <c r="N4347" t="s">
        <v>69</v>
      </c>
      <c r="O4347">
        <v>4</v>
      </c>
      <c r="P4347" s="4">
        <v>1347</v>
      </c>
      <c r="Q4347" t="s">
        <v>30</v>
      </c>
      <c r="R4347">
        <v>1</v>
      </c>
      <c r="S4347" t="s">
        <v>31</v>
      </c>
      <c r="T4347">
        <v>0</v>
      </c>
      <c r="U4347">
        <v>0</v>
      </c>
      <c r="V4347" t="s">
        <v>32</v>
      </c>
      <c r="W4347" t="s">
        <v>39</v>
      </c>
      <c r="X4347" s="4">
        <v>7.3</v>
      </c>
      <c r="Y4347">
        <v>7</v>
      </c>
      <c r="Z4347" s="5">
        <v>226.41</v>
      </c>
    </row>
    <row r="4348" spans="1:26">
      <c r="A4348">
        <v>4347</v>
      </c>
      <c r="B4348">
        <v>1425</v>
      </c>
      <c r="C4348" s="2">
        <v>46295</v>
      </c>
      <c r="D4348" t="s">
        <v>52</v>
      </c>
      <c r="E4348">
        <v>9</v>
      </c>
      <c r="F4348" s="3">
        <v>9.23</v>
      </c>
      <c r="G4348" t="s">
        <v>27</v>
      </c>
      <c r="H4348">
        <v>4</v>
      </c>
      <c r="I4348" t="s">
        <v>28</v>
      </c>
      <c r="J4348" s="4">
        <v>54.1</v>
      </c>
      <c r="K4348" s="4">
        <v>71.599999999999994</v>
      </c>
      <c r="L4348" s="4">
        <v>17.100000000000001</v>
      </c>
      <c r="M4348">
        <v>10</v>
      </c>
      <c r="N4348" t="s">
        <v>69</v>
      </c>
      <c r="O4348">
        <v>4</v>
      </c>
      <c r="P4348" s="4">
        <v>1347</v>
      </c>
      <c r="Q4348" t="s">
        <v>30</v>
      </c>
      <c r="R4348">
        <v>1</v>
      </c>
      <c r="S4348" t="s">
        <v>31</v>
      </c>
      <c r="T4348">
        <v>0</v>
      </c>
      <c r="U4348">
        <v>0</v>
      </c>
      <c r="V4348" t="s">
        <v>32</v>
      </c>
      <c r="W4348" t="s">
        <v>39</v>
      </c>
      <c r="X4348" s="4">
        <v>9.1</v>
      </c>
      <c r="Y4348">
        <v>5</v>
      </c>
      <c r="Z4348" s="5">
        <v>203.94</v>
      </c>
    </row>
    <row r="4349" spans="1:26">
      <c r="A4349">
        <v>4348</v>
      </c>
      <c r="B4349">
        <v>1425</v>
      </c>
      <c r="C4349" s="2">
        <v>46295</v>
      </c>
      <c r="D4349" t="s">
        <v>52</v>
      </c>
      <c r="E4349">
        <v>9</v>
      </c>
      <c r="F4349" s="3">
        <v>9.3699999999999992</v>
      </c>
      <c r="G4349" t="s">
        <v>27</v>
      </c>
      <c r="H4349">
        <v>48</v>
      </c>
      <c r="I4349" t="s">
        <v>34</v>
      </c>
      <c r="J4349" s="4">
        <v>63.1</v>
      </c>
      <c r="K4349" s="4">
        <v>114.5</v>
      </c>
      <c r="L4349" s="4">
        <v>19.899999999999999</v>
      </c>
      <c r="M4349">
        <v>16</v>
      </c>
      <c r="N4349" t="s">
        <v>69</v>
      </c>
      <c r="O4349">
        <v>4</v>
      </c>
      <c r="P4349" s="4">
        <v>1347</v>
      </c>
      <c r="Q4349" t="s">
        <v>30</v>
      </c>
      <c r="R4349">
        <v>1</v>
      </c>
      <c r="S4349" t="s">
        <v>31</v>
      </c>
      <c r="T4349">
        <v>0</v>
      </c>
      <c r="U4349">
        <v>0</v>
      </c>
      <c r="V4349" t="s">
        <v>32</v>
      </c>
      <c r="W4349" t="s">
        <v>39</v>
      </c>
      <c r="X4349" s="4">
        <v>9.1</v>
      </c>
      <c r="Y4349">
        <v>7</v>
      </c>
      <c r="Z4349" s="5">
        <v>171.32</v>
      </c>
    </row>
    <row r="4350" spans="1:26">
      <c r="A4350">
        <v>4349</v>
      </c>
      <c r="B4350">
        <v>1426</v>
      </c>
      <c r="C4350" s="2">
        <v>46066</v>
      </c>
      <c r="D4350" t="s">
        <v>26</v>
      </c>
      <c r="E4350">
        <v>2</v>
      </c>
      <c r="F4350" s="3">
        <v>10.029999999999999</v>
      </c>
      <c r="G4350" t="s">
        <v>27</v>
      </c>
      <c r="H4350">
        <v>8</v>
      </c>
      <c r="I4350" t="s">
        <v>34</v>
      </c>
      <c r="J4350" s="4">
        <v>59.8</v>
      </c>
      <c r="K4350" s="4">
        <v>91.5</v>
      </c>
      <c r="L4350" s="4">
        <v>18.2</v>
      </c>
      <c r="M4350">
        <v>14</v>
      </c>
      <c r="N4350" t="s">
        <v>53</v>
      </c>
      <c r="O4350">
        <v>3</v>
      </c>
      <c r="P4350" s="4">
        <v>1263.0999999999999</v>
      </c>
      <c r="Q4350" t="s">
        <v>48</v>
      </c>
      <c r="R4350">
        <v>0</v>
      </c>
      <c r="S4350" t="s">
        <v>44</v>
      </c>
      <c r="T4350">
        <v>1</v>
      </c>
      <c r="U4350">
        <v>1</v>
      </c>
      <c r="V4350" t="s">
        <v>32</v>
      </c>
      <c r="W4350" t="s">
        <v>43</v>
      </c>
      <c r="X4350" s="4">
        <v>7.3</v>
      </c>
      <c r="Y4350">
        <v>8</v>
      </c>
      <c r="Z4350" s="5">
        <v>287.04000000000002</v>
      </c>
    </row>
    <row r="4351" spans="1:26">
      <c r="A4351">
        <v>4350</v>
      </c>
      <c r="B4351">
        <v>1426</v>
      </c>
      <c r="C4351" s="2">
        <v>46066</v>
      </c>
      <c r="D4351" t="s">
        <v>26</v>
      </c>
      <c r="E4351">
        <v>2</v>
      </c>
      <c r="F4351" s="3">
        <v>10.050000000000001</v>
      </c>
      <c r="G4351" t="s">
        <v>27</v>
      </c>
      <c r="H4351">
        <v>36</v>
      </c>
      <c r="I4351" t="s">
        <v>28</v>
      </c>
      <c r="J4351" s="4">
        <v>68.599999999999994</v>
      </c>
      <c r="K4351" s="4">
        <v>183.8</v>
      </c>
      <c r="L4351" s="4">
        <v>27.6</v>
      </c>
      <c r="M4351">
        <v>15</v>
      </c>
      <c r="N4351" t="s">
        <v>53</v>
      </c>
      <c r="O4351">
        <v>3</v>
      </c>
      <c r="P4351" s="4">
        <v>1263.0999999999999</v>
      </c>
      <c r="Q4351" t="s">
        <v>48</v>
      </c>
      <c r="R4351">
        <v>0</v>
      </c>
      <c r="S4351" t="s">
        <v>44</v>
      </c>
      <c r="T4351">
        <v>1</v>
      </c>
      <c r="U4351">
        <v>1</v>
      </c>
      <c r="V4351" t="s">
        <v>32</v>
      </c>
      <c r="W4351" t="s">
        <v>43</v>
      </c>
      <c r="X4351" s="4">
        <v>9.4</v>
      </c>
      <c r="Y4351">
        <v>18</v>
      </c>
      <c r="Z4351" s="5">
        <v>313.10000000000002</v>
      </c>
    </row>
    <row r="4352" spans="1:26">
      <c r="A4352">
        <v>4351</v>
      </c>
      <c r="B4352">
        <v>1426</v>
      </c>
      <c r="C4352" s="2">
        <v>46066</v>
      </c>
      <c r="D4352" t="s">
        <v>26</v>
      </c>
      <c r="E4352">
        <v>2</v>
      </c>
      <c r="F4352" s="3">
        <v>10.02</v>
      </c>
      <c r="G4352" t="s">
        <v>27</v>
      </c>
      <c r="H4352">
        <v>19</v>
      </c>
      <c r="I4352" t="s">
        <v>34</v>
      </c>
      <c r="J4352" s="4">
        <v>64.8</v>
      </c>
      <c r="K4352" s="4">
        <v>156.5</v>
      </c>
      <c r="L4352" s="4">
        <v>26.2</v>
      </c>
      <c r="M4352">
        <v>12</v>
      </c>
      <c r="N4352" t="s">
        <v>53</v>
      </c>
      <c r="O4352">
        <v>3</v>
      </c>
      <c r="P4352" s="4">
        <v>1263.0999999999999</v>
      </c>
      <c r="Q4352" t="s">
        <v>48</v>
      </c>
      <c r="R4352">
        <v>0</v>
      </c>
      <c r="S4352" t="s">
        <v>44</v>
      </c>
      <c r="T4352">
        <v>1</v>
      </c>
      <c r="U4352">
        <v>1</v>
      </c>
      <c r="V4352" t="s">
        <v>32</v>
      </c>
      <c r="W4352" t="s">
        <v>43</v>
      </c>
      <c r="X4352" s="4">
        <v>9.6</v>
      </c>
      <c r="Y4352">
        <v>11</v>
      </c>
      <c r="Z4352" s="5">
        <v>236.54</v>
      </c>
    </row>
    <row r="4353" spans="1:26">
      <c r="A4353">
        <v>4352</v>
      </c>
      <c r="B4353">
        <v>1427</v>
      </c>
      <c r="C4353" s="2">
        <v>46349</v>
      </c>
      <c r="D4353" t="s">
        <v>46</v>
      </c>
      <c r="E4353">
        <v>11</v>
      </c>
      <c r="F4353" s="3">
        <v>8.42</v>
      </c>
      <c r="G4353" t="s">
        <v>27</v>
      </c>
      <c r="H4353">
        <v>13</v>
      </c>
      <c r="I4353" t="s">
        <v>34</v>
      </c>
      <c r="J4353" s="4">
        <v>70</v>
      </c>
      <c r="K4353" s="4">
        <v>159.30000000000001</v>
      </c>
      <c r="L4353" s="4">
        <v>23</v>
      </c>
      <c r="M4353">
        <v>11</v>
      </c>
      <c r="N4353" t="s">
        <v>60</v>
      </c>
      <c r="O4353">
        <v>4</v>
      </c>
      <c r="P4353" s="4">
        <v>1515.8</v>
      </c>
      <c r="Q4353" t="s">
        <v>42</v>
      </c>
      <c r="R4353">
        <v>1</v>
      </c>
      <c r="S4353" t="s">
        <v>44</v>
      </c>
      <c r="T4353">
        <v>1</v>
      </c>
      <c r="U4353">
        <v>1</v>
      </c>
      <c r="V4353" t="s">
        <v>32</v>
      </c>
      <c r="W4353" t="s">
        <v>43</v>
      </c>
      <c r="X4353" s="4">
        <v>9.3000000000000007</v>
      </c>
      <c r="Y4353">
        <v>6</v>
      </c>
      <c r="Z4353" s="5">
        <v>404.86</v>
      </c>
    </row>
    <row r="4354" spans="1:26">
      <c r="A4354">
        <v>4353</v>
      </c>
      <c r="B4354">
        <v>1427</v>
      </c>
      <c r="C4354" s="2">
        <v>46349</v>
      </c>
      <c r="D4354" t="s">
        <v>46</v>
      </c>
      <c r="E4354">
        <v>11</v>
      </c>
      <c r="F4354" s="3">
        <v>8.43</v>
      </c>
      <c r="G4354" t="s">
        <v>27</v>
      </c>
      <c r="H4354">
        <v>11</v>
      </c>
      <c r="I4354" t="s">
        <v>28</v>
      </c>
      <c r="J4354" s="4">
        <v>65.599999999999994</v>
      </c>
      <c r="K4354" s="4">
        <v>115.2</v>
      </c>
      <c r="L4354" s="4">
        <v>18.899999999999999</v>
      </c>
      <c r="M4354">
        <v>15</v>
      </c>
      <c r="N4354" t="s">
        <v>60</v>
      </c>
      <c r="O4354">
        <v>4</v>
      </c>
      <c r="P4354" s="4">
        <v>1515.8</v>
      </c>
      <c r="Q4354" t="s">
        <v>42</v>
      </c>
      <c r="R4354">
        <v>1</v>
      </c>
      <c r="S4354" t="s">
        <v>44</v>
      </c>
      <c r="T4354">
        <v>1</v>
      </c>
      <c r="U4354">
        <v>1</v>
      </c>
      <c r="V4354" t="s">
        <v>32</v>
      </c>
      <c r="W4354" t="s">
        <v>43</v>
      </c>
      <c r="X4354" s="4">
        <v>10</v>
      </c>
      <c r="Y4354">
        <v>9</v>
      </c>
      <c r="Z4354" s="5">
        <v>337.11</v>
      </c>
    </row>
    <row r="4355" spans="1:26">
      <c r="A4355">
        <v>4354</v>
      </c>
      <c r="B4355">
        <v>1427</v>
      </c>
      <c r="C4355" s="2">
        <v>46349</v>
      </c>
      <c r="D4355" t="s">
        <v>46</v>
      </c>
      <c r="E4355">
        <v>11</v>
      </c>
      <c r="F4355" s="3">
        <v>8.5299999999999994</v>
      </c>
      <c r="G4355" t="s">
        <v>27</v>
      </c>
      <c r="H4355">
        <v>41</v>
      </c>
      <c r="I4355" t="s">
        <v>34</v>
      </c>
      <c r="J4355" s="4">
        <v>65.7</v>
      </c>
      <c r="K4355" s="4">
        <v>108.7</v>
      </c>
      <c r="L4355" s="4">
        <v>17.8</v>
      </c>
      <c r="M4355">
        <v>14</v>
      </c>
      <c r="N4355" t="s">
        <v>60</v>
      </c>
      <c r="O4355">
        <v>4</v>
      </c>
      <c r="P4355" s="4">
        <v>1515.8</v>
      </c>
      <c r="Q4355" t="s">
        <v>42</v>
      </c>
      <c r="R4355">
        <v>1</v>
      </c>
      <c r="S4355" t="s">
        <v>44</v>
      </c>
      <c r="T4355">
        <v>1</v>
      </c>
      <c r="U4355">
        <v>1</v>
      </c>
      <c r="V4355" t="s">
        <v>32</v>
      </c>
      <c r="W4355" t="s">
        <v>43</v>
      </c>
      <c r="X4355" s="4">
        <v>8.6</v>
      </c>
      <c r="Y4355">
        <v>15</v>
      </c>
      <c r="Z4355" s="5">
        <v>310.56</v>
      </c>
    </row>
    <row r="4356" spans="1:26">
      <c r="A4356">
        <v>4355</v>
      </c>
      <c r="B4356">
        <v>1427</v>
      </c>
      <c r="C4356" s="2">
        <v>46349</v>
      </c>
      <c r="D4356" t="s">
        <v>46</v>
      </c>
      <c r="E4356">
        <v>11</v>
      </c>
      <c r="F4356" s="3">
        <v>8.32</v>
      </c>
      <c r="G4356" t="s">
        <v>27</v>
      </c>
      <c r="H4356">
        <v>42</v>
      </c>
      <c r="I4356" t="s">
        <v>28</v>
      </c>
      <c r="J4356" s="4">
        <v>72.099999999999994</v>
      </c>
      <c r="K4356" s="4">
        <v>181.8</v>
      </c>
      <c r="L4356" s="4">
        <v>24.8</v>
      </c>
      <c r="M4356">
        <v>16</v>
      </c>
      <c r="N4356" t="s">
        <v>60</v>
      </c>
      <c r="O4356">
        <v>4</v>
      </c>
      <c r="P4356" s="4">
        <v>1515.8</v>
      </c>
      <c r="Q4356" t="s">
        <v>42</v>
      </c>
      <c r="R4356">
        <v>1</v>
      </c>
      <c r="S4356" t="s">
        <v>44</v>
      </c>
      <c r="T4356">
        <v>1</v>
      </c>
      <c r="U4356">
        <v>1</v>
      </c>
      <c r="V4356" t="s">
        <v>32</v>
      </c>
      <c r="W4356" t="s">
        <v>43</v>
      </c>
      <c r="X4356" s="4">
        <v>6.6</v>
      </c>
      <c r="Y4356">
        <v>9</v>
      </c>
      <c r="Z4356" s="5">
        <v>309.92</v>
      </c>
    </row>
    <row r="4357" spans="1:26">
      <c r="A4357">
        <v>4356</v>
      </c>
      <c r="B4357">
        <v>1428</v>
      </c>
      <c r="C4357" s="2">
        <v>46207</v>
      </c>
      <c r="D4357" t="s">
        <v>40</v>
      </c>
      <c r="E4357">
        <v>7</v>
      </c>
      <c r="F4357" s="3">
        <v>11.7</v>
      </c>
      <c r="G4357" t="s">
        <v>36</v>
      </c>
      <c r="H4357">
        <v>12</v>
      </c>
      <c r="I4357" t="s">
        <v>34</v>
      </c>
      <c r="J4357" s="4">
        <v>64.5</v>
      </c>
      <c r="K4357" s="4">
        <v>140.1</v>
      </c>
      <c r="L4357" s="4">
        <v>24</v>
      </c>
      <c r="M4357">
        <v>11</v>
      </c>
      <c r="N4357" t="s">
        <v>50</v>
      </c>
      <c r="O4357">
        <v>2</v>
      </c>
      <c r="P4357" s="4">
        <v>175.5</v>
      </c>
      <c r="Q4357" t="s">
        <v>42</v>
      </c>
      <c r="R4357">
        <v>1</v>
      </c>
      <c r="S4357" t="s">
        <v>44</v>
      </c>
      <c r="T4357">
        <v>0</v>
      </c>
      <c r="U4357">
        <v>0</v>
      </c>
      <c r="V4357" t="s">
        <v>32</v>
      </c>
      <c r="W4357" t="s">
        <v>43</v>
      </c>
      <c r="X4357" s="4">
        <v>8.1999999999999993</v>
      </c>
      <c r="Y4357">
        <v>7</v>
      </c>
      <c r="Z4357" s="5">
        <v>210.5</v>
      </c>
    </row>
    <row r="4358" spans="1:26">
      <c r="A4358">
        <v>4357</v>
      </c>
      <c r="B4358">
        <v>1428</v>
      </c>
      <c r="C4358" s="2">
        <v>46207</v>
      </c>
      <c r="D4358" t="s">
        <v>40</v>
      </c>
      <c r="E4358">
        <v>7</v>
      </c>
      <c r="F4358" s="3">
        <v>11.5</v>
      </c>
      <c r="G4358" t="s">
        <v>36</v>
      </c>
      <c r="H4358">
        <v>65</v>
      </c>
      <c r="I4358" t="s">
        <v>34</v>
      </c>
      <c r="J4358" s="4">
        <v>61.6</v>
      </c>
      <c r="K4358" s="4">
        <v>124.3</v>
      </c>
      <c r="L4358" s="4">
        <v>23.1</v>
      </c>
      <c r="M4358">
        <v>18</v>
      </c>
      <c r="N4358" t="s">
        <v>50</v>
      </c>
      <c r="O4358">
        <v>2</v>
      </c>
      <c r="P4358" s="4">
        <v>175.5</v>
      </c>
      <c r="Q4358" t="s">
        <v>42</v>
      </c>
      <c r="R4358">
        <v>1</v>
      </c>
      <c r="S4358" t="s">
        <v>44</v>
      </c>
      <c r="T4358">
        <v>0</v>
      </c>
      <c r="U4358">
        <v>0</v>
      </c>
      <c r="V4358" t="s">
        <v>32</v>
      </c>
      <c r="W4358" t="s">
        <v>43</v>
      </c>
      <c r="X4358" s="4">
        <v>9.4</v>
      </c>
      <c r="Y4358">
        <v>12</v>
      </c>
      <c r="Z4358" s="5">
        <v>311.43</v>
      </c>
    </row>
    <row r="4359" spans="1:26">
      <c r="A4359">
        <v>4358</v>
      </c>
      <c r="B4359">
        <v>1429</v>
      </c>
      <c r="C4359" s="2">
        <v>46143</v>
      </c>
      <c r="D4359" t="s">
        <v>26</v>
      </c>
      <c r="E4359">
        <v>5</v>
      </c>
      <c r="F4359" s="3">
        <v>9.57</v>
      </c>
      <c r="G4359" t="s">
        <v>27</v>
      </c>
      <c r="H4359">
        <v>80</v>
      </c>
      <c r="I4359" t="s">
        <v>28</v>
      </c>
      <c r="J4359" s="4">
        <v>68.599999999999994</v>
      </c>
      <c r="K4359" s="4">
        <v>195.3</v>
      </c>
      <c r="L4359" s="4">
        <v>29.4</v>
      </c>
      <c r="M4359">
        <v>18</v>
      </c>
      <c r="N4359" t="s">
        <v>47</v>
      </c>
      <c r="O4359">
        <v>4</v>
      </c>
      <c r="P4359" s="4">
        <v>88.2</v>
      </c>
      <c r="Q4359" t="s">
        <v>42</v>
      </c>
      <c r="R4359">
        <v>0</v>
      </c>
      <c r="S4359" t="s">
        <v>44</v>
      </c>
      <c r="T4359">
        <v>0</v>
      </c>
      <c r="U4359">
        <v>0</v>
      </c>
      <c r="V4359" t="s">
        <v>32</v>
      </c>
      <c r="W4359" t="s">
        <v>57</v>
      </c>
      <c r="X4359" s="4">
        <v>5.7</v>
      </c>
      <c r="Y4359">
        <v>2</v>
      </c>
      <c r="Z4359" s="5">
        <v>169.26</v>
      </c>
    </row>
    <row r="4360" spans="1:26">
      <c r="A4360">
        <v>4359</v>
      </c>
      <c r="B4360">
        <v>1429</v>
      </c>
      <c r="C4360" s="2">
        <v>46143</v>
      </c>
      <c r="D4360" t="s">
        <v>26</v>
      </c>
      <c r="E4360">
        <v>5</v>
      </c>
      <c r="F4360" s="3">
        <v>9.27</v>
      </c>
      <c r="G4360" t="s">
        <v>27</v>
      </c>
      <c r="H4360">
        <v>18</v>
      </c>
      <c r="I4360" t="s">
        <v>34</v>
      </c>
      <c r="J4360" s="4">
        <v>60.6</v>
      </c>
      <c r="K4360" s="4">
        <v>103.1</v>
      </c>
      <c r="L4360" s="4">
        <v>19.899999999999999</v>
      </c>
      <c r="M4360">
        <v>16</v>
      </c>
      <c r="N4360" t="s">
        <v>47</v>
      </c>
      <c r="O4360">
        <v>4</v>
      </c>
      <c r="P4360" s="4">
        <v>88.2</v>
      </c>
      <c r="Q4360" t="s">
        <v>42</v>
      </c>
      <c r="R4360">
        <v>0</v>
      </c>
      <c r="S4360" t="s">
        <v>44</v>
      </c>
      <c r="T4360">
        <v>0</v>
      </c>
      <c r="U4360">
        <v>0</v>
      </c>
      <c r="V4360" t="s">
        <v>32</v>
      </c>
      <c r="W4360" t="s">
        <v>57</v>
      </c>
      <c r="X4360" s="4">
        <v>7.5</v>
      </c>
      <c r="Y4360">
        <v>8</v>
      </c>
      <c r="Z4360" s="5">
        <v>155.02000000000001</v>
      </c>
    </row>
    <row r="4361" spans="1:26">
      <c r="A4361">
        <v>4360</v>
      </c>
      <c r="B4361">
        <v>1429</v>
      </c>
      <c r="C4361" s="2">
        <v>46143</v>
      </c>
      <c r="D4361" t="s">
        <v>26</v>
      </c>
      <c r="E4361">
        <v>5</v>
      </c>
      <c r="F4361" s="3">
        <v>9.44</v>
      </c>
      <c r="G4361" t="s">
        <v>27</v>
      </c>
      <c r="H4361">
        <v>45</v>
      </c>
      <c r="I4361" t="s">
        <v>28</v>
      </c>
      <c r="J4361" s="4">
        <v>71.400000000000006</v>
      </c>
      <c r="K4361" s="4">
        <v>170.6</v>
      </c>
      <c r="L4361" s="4">
        <v>23.6</v>
      </c>
      <c r="M4361">
        <v>15</v>
      </c>
      <c r="N4361" t="s">
        <v>47</v>
      </c>
      <c r="O4361">
        <v>4</v>
      </c>
      <c r="P4361" s="4">
        <v>88.2</v>
      </c>
      <c r="Q4361" t="s">
        <v>42</v>
      </c>
      <c r="R4361">
        <v>0</v>
      </c>
      <c r="S4361" t="s">
        <v>44</v>
      </c>
      <c r="T4361">
        <v>0</v>
      </c>
      <c r="U4361">
        <v>0</v>
      </c>
      <c r="V4361" t="s">
        <v>32</v>
      </c>
      <c r="W4361" t="s">
        <v>57</v>
      </c>
      <c r="X4361" s="4">
        <v>9.8000000000000007</v>
      </c>
      <c r="Y4361">
        <v>4</v>
      </c>
      <c r="Z4361" s="5">
        <v>211.09</v>
      </c>
    </row>
    <row r="4362" spans="1:26">
      <c r="A4362">
        <v>4361</v>
      </c>
      <c r="B4362">
        <v>1429</v>
      </c>
      <c r="C4362" s="2">
        <v>46143</v>
      </c>
      <c r="D4362" t="s">
        <v>26</v>
      </c>
      <c r="E4362">
        <v>5</v>
      </c>
      <c r="F4362" s="3">
        <v>9.5500000000000007</v>
      </c>
      <c r="G4362" t="s">
        <v>27</v>
      </c>
      <c r="H4362">
        <v>48</v>
      </c>
      <c r="I4362" t="s">
        <v>28</v>
      </c>
      <c r="J4362" s="4">
        <v>68.599999999999994</v>
      </c>
      <c r="K4362" s="4">
        <v>140.6</v>
      </c>
      <c r="L4362" s="4">
        <v>21</v>
      </c>
      <c r="M4362">
        <v>18</v>
      </c>
      <c r="N4362" t="s">
        <v>47</v>
      </c>
      <c r="O4362">
        <v>4</v>
      </c>
      <c r="P4362" s="4">
        <v>88.2</v>
      </c>
      <c r="Q4362" t="s">
        <v>42</v>
      </c>
      <c r="R4362">
        <v>0</v>
      </c>
      <c r="S4362" t="s">
        <v>44</v>
      </c>
      <c r="T4362">
        <v>0</v>
      </c>
      <c r="U4362">
        <v>0</v>
      </c>
      <c r="V4362" t="s">
        <v>32</v>
      </c>
      <c r="W4362" t="s">
        <v>57</v>
      </c>
      <c r="X4362" s="4">
        <v>8.3000000000000007</v>
      </c>
      <c r="Y4362">
        <v>7</v>
      </c>
      <c r="Z4362" s="5">
        <v>197.41</v>
      </c>
    </row>
    <row r="4363" spans="1:26">
      <c r="A4363">
        <v>4362</v>
      </c>
      <c r="B4363">
        <v>1430</v>
      </c>
      <c r="C4363" s="2">
        <v>46217</v>
      </c>
      <c r="D4363" t="s">
        <v>35</v>
      </c>
      <c r="E4363">
        <v>7</v>
      </c>
      <c r="F4363" s="3">
        <v>10.19</v>
      </c>
      <c r="G4363" t="s">
        <v>27</v>
      </c>
      <c r="H4363">
        <v>47</v>
      </c>
      <c r="I4363" t="s">
        <v>34</v>
      </c>
      <c r="J4363" s="4">
        <v>61.1</v>
      </c>
      <c r="K4363" s="4">
        <v>144.1</v>
      </c>
      <c r="L4363" s="4">
        <v>27</v>
      </c>
      <c r="M4363">
        <v>12</v>
      </c>
      <c r="N4363" t="s">
        <v>37</v>
      </c>
      <c r="O4363">
        <v>3</v>
      </c>
      <c r="P4363" s="4">
        <v>1058.9000000000001</v>
      </c>
      <c r="Q4363" t="s">
        <v>42</v>
      </c>
      <c r="R4363">
        <v>1</v>
      </c>
      <c r="S4363" t="s">
        <v>31</v>
      </c>
      <c r="T4363">
        <v>1</v>
      </c>
      <c r="U4363">
        <v>1</v>
      </c>
      <c r="V4363" t="s">
        <v>32</v>
      </c>
      <c r="W4363" t="s">
        <v>39</v>
      </c>
      <c r="X4363" s="4">
        <v>9.5</v>
      </c>
      <c r="Y4363">
        <v>10</v>
      </c>
      <c r="Z4363" s="5">
        <v>403.69</v>
      </c>
    </row>
    <row r="4364" spans="1:26">
      <c r="A4364">
        <v>4363</v>
      </c>
      <c r="B4364">
        <v>1430</v>
      </c>
      <c r="C4364" s="2">
        <v>46217</v>
      </c>
      <c r="D4364" t="s">
        <v>35</v>
      </c>
      <c r="E4364">
        <v>7</v>
      </c>
      <c r="F4364" s="3">
        <v>10.14</v>
      </c>
      <c r="G4364" t="s">
        <v>27</v>
      </c>
      <c r="H4364">
        <v>25</v>
      </c>
      <c r="I4364" t="s">
        <v>34</v>
      </c>
      <c r="J4364" s="4">
        <v>67.7</v>
      </c>
      <c r="K4364" s="4">
        <v>226</v>
      </c>
      <c r="L4364" s="4">
        <v>34.799999999999997</v>
      </c>
      <c r="M4364">
        <v>14</v>
      </c>
      <c r="N4364" t="s">
        <v>37</v>
      </c>
      <c r="O4364">
        <v>3</v>
      </c>
      <c r="P4364" s="4">
        <v>1058.9000000000001</v>
      </c>
      <c r="Q4364" t="s">
        <v>42</v>
      </c>
      <c r="R4364">
        <v>1</v>
      </c>
      <c r="S4364" t="s">
        <v>31</v>
      </c>
      <c r="T4364">
        <v>1</v>
      </c>
      <c r="U4364">
        <v>1</v>
      </c>
      <c r="V4364" t="s">
        <v>32</v>
      </c>
      <c r="W4364" t="s">
        <v>39</v>
      </c>
      <c r="X4364" s="4">
        <v>9.5</v>
      </c>
      <c r="Y4364">
        <v>10</v>
      </c>
      <c r="Z4364" s="5">
        <v>290.57</v>
      </c>
    </row>
    <row r="4365" spans="1:26">
      <c r="A4365">
        <v>4364</v>
      </c>
      <c r="B4365">
        <v>1430</v>
      </c>
      <c r="C4365" s="2">
        <v>46217</v>
      </c>
      <c r="D4365" t="s">
        <v>35</v>
      </c>
      <c r="E4365">
        <v>7</v>
      </c>
      <c r="F4365" s="3">
        <v>10.06</v>
      </c>
      <c r="G4365" t="s">
        <v>27</v>
      </c>
      <c r="H4365">
        <v>51</v>
      </c>
      <c r="I4365" t="s">
        <v>34</v>
      </c>
      <c r="J4365" s="4">
        <v>63.3</v>
      </c>
      <c r="K4365" s="4">
        <v>139</v>
      </c>
      <c r="L4365" s="4">
        <v>24.5</v>
      </c>
      <c r="M4365">
        <v>19</v>
      </c>
      <c r="N4365" t="s">
        <v>37</v>
      </c>
      <c r="O4365">
        <v>3</v>
      </c>
      <c r="P4365" s="4">
        <v>1058.9000000000001</v>
      </c>
      <c r="Q4365" t="s">
        <v>42</v>
      </c>
      <c r="R4365">
        <v>1</v>
      </c>
      <c r="S4365" t="s">
        <v>31</v>
      </c>
      <c r="T4365">
        <v>1</v>
      </c>
      <c r="U4365">
        <v>1</v>
      </c>
      <c r="V4365" t="s">
        <v>32</v>
      </c>
      <c r="W4365" t="s">
        <v>39</v>
      </c>
      <c r="X4365" s="4">
        <v>8.8000000000000007</v>
      </c>
      <c r="Y4365">
        <v>7</v>
      </c>
      <c r="Z4365" s="5">
        <v>225.08</v>
      </c>
    </row>
    <row r="4366" spans="1:26">
      <c r="A4366">
        <v>4365</v>
      </c>
      <c r="B4366">
        <v>1431</v>
      </c>
      <c r="C4366" s="2">
        <v>46274</v>
      </c>
      <c r="D4366" t="s">
        <v>52</v>
      </c>
      <c r="E4366">
        <v>9</v>
      </c>
      <c r="F4366" s="3">
        <v>10.48</v>
      </c>
      <c r="G4366" t="s">
        <v>27</v>
      </c>
      <c r="H4366">
        <v>6</v>
      </c>
      <c r="I4366" t="s">
        <v>34</v>
      </c>
      <c r="J4366" s="4">
        <v>59</v>
      </c>
      <c r="K4366" s="4">
        <v>97.7</v>
      </c>
      <c r="L4366" s="4">
        <v>19.899999999999999</v>
      </c>
      <c r="M4366">
        <v>10</v>
      </c>
      <c r="N4366" t="s">
        <v>56</v>
      </c>
      <c r="O4366">
        <v>5</v>
      </c>
      <c r="P4366" s="4">
        <v>312.10000000000002</v>
      </c>
      <c r="Q4366" t="s">
        <v>30</v>
      </c>
      <c r="R4366">
        <v>1</v>
      </c>
      <c r="S4366" t="s">
        <v>44</v>
      </c>
      <c r="T4366">
        <v>1</v>
      </c>
      <c r="U4366">
        <v>1</v>
      </c>
      <c r="V4366" t="s">
        <v>32</v>
      </c>
      <c r="W4366" t="s">
        <v>33</v>
      </c>
      <c r="X4366" s="4">
        <v>8.5</v>
      </c>
      <c r="Y4366">
        <v>7</v>
      </c>
      <c r="Z4366" s="5">
        <v>148.11000000000001</v>
      </c>
    </row>
    <row r="4367" spans="1:26">
      <c r="A4367">
        <v>4366</v>
      </c>
      <c r="B4367">
        <v>1431</v>
      </c>
      <c r="C4367" s="2">
        <v>46274</v>
      </c>
      <c r="D4367" t="s">
        <v>52</v>
      </c>
      <c r="E4367">
        <v>9</v>
      </c>
      <c r="F4367" s="3">
        <v>10.35</v>
      </c>
      <c r="G4367" t="s">
        <v>27</v>
      </c>
      <c r="H4367">
        <v>43</v>
      </c>
      <c r="I4367" t="s">
        <v>34</v>
      </c>
      <c r="J4367" s="4">
        <v>64.900000000000006</v>
      </c>
      <c r="K4367" s="4">
        <v>179.9</v>
      </c>
      <c r="L4367" s="4">
        <v>30.3</v>
      </c>
      <c r="M4367">
        <v>14</v>
      </c>
      <c r="N4367" t="s">
        <v>56</v>
      </c>
      <c r="O4367">
        <v>5</v>
      </c>
      <c r="P4367" s="4">
        <v>312.10000000000002</v>
      </c>
      <c r="Q4367" t="s">
        <v>30</v>
      </c>
      <c r="R4367">
        <v>1</v>
      </c>
      <c r="S4367" t="s">
        <v>44</v>
      </c>
      <c r="T4367">
        <v>1</v>
      </c>
      <c r="U4367">
        <v>1</v>
      </c>
      <c r="V4367" t="s">
        <v>32</v>
      </c>
      <c r="W4367" t="s">
        <v>33</v>
      </c>
      <c r="X4367" s="4">
        <v>6.5</v>
      </c>
      <c r="Y4367">
        <v>5</v>
      </c>
      <c r="Z4367" s="5">
        <v>133.36000000000001</v>
      </c>
    </row>
    <row r="4368" spans="1:26">
      <c r="A4368">
        <v>4367</v>
      </c>
      <c r="B4368">
        <v>1431</v>
      </c>
      <c r="C4368" s="2">
        <v>46274</v>
      </c>
      <c r="D4368" t="s">
        <v>52</v>
      </c>
      <c r="E4368">
        <v>9</v>
      </c>
      <c r="F4368" s="3">
        <v>10.37</v>
      </c>
      <c r="G4368" t="s">
        <v>27</v>
      </c>
      <c r="H4368">
        <v>60</v>
      </c>
      <c r="I4368" t="s">
        <v>28</v>
      </c>
      <c r="J4368" s="4">
        <v>70.2</v>
      </c>
      <c r="K4368" s="4">
        <v>188</v>
      </c>
      <c r="L4368" s="4">
        <v>26.8</v>
      </c>
      <c r="M4368">
        <v>15</v>
      </c>
      <c r="N4368" t="s">
        <v>56</v>
      </c>
      <c r="O4368">
        <v>5</v>
      </c>
      <c r="P4368" s="4">
        <v>312.10000000000002</v>
      </c>
      <c r="Q4368" t="s">
        <v>30</v>
      </c>
      <c r="R4368">
        <v>1</v>
      </c>
      <c r="S4368" t="s">
        <v>44</v>
      </c>
      <c r="T4368">
        <v>1</v>
      </c>
      <c r="U4368">
        <v>1</v>
      </c>
      <c r="V4368" t="s">
        <v>32</v>
      </c>
      <c r="W4368" t="s">
        <v>33</v>
      </c>
      <c r="X4368" s="4">
        <v>5.0999999999999996</v>
      </c>
      <c r="Y4368">
        <v>6</v>
      </c>
      <c r="Z4368" s="5">
        <v>187.54</v>
      </c>
    </row>
    <row r="4369" spans="1:26">
      <c r="A4369">
        <v>4368</v>
      </c>
      <c r="B4369">
        <v>1431</v>
      </c>
      <c r="C4369" s="2">
        <v>46274</v>
      </c>
      <c r="D4369" t="s">
        <v>52</v>
      </c>
      <c r="E4369">
        <v>9</v>
      </c>
      <c r="F4369" s="3">
        <v>10.17</v>
      </c>
      <c r="G4369" t="s">
        <v>27</v>
      </c>
      <c r="H4369">
        <v>18</v>
      </c>
      <c r="I4369" t="s">
        <v>28</v>
      </c>
      <c r="J4369" s="4">
        <v>68.400000000000006</v>
      </c>
      <c r="K4369" s="4">
        <v>126.8</v>
      </c>
      <c r="L4369" s="4">
        <v>19</v>
      </c>
      <c r="M4369">
        <v>8</v>
      </c>
      <c r="N4369" t="s">
        <v>56</v>
      </c>
      <c r="O4369">
        <v>5</v>
      </c>
      <c r="P4369" s="4">
        <v>312.10000000000002</v>
      </c>
      <c r="Q4369" t="s">
        <v>30</v>
      </c>
      <c r="R4369">
        <v>1</v>
      </c>
      <c r="S4369" t="s">
        <v>44</v>
      </c>
      <c r="T4369">
        <v>1</v>
      </c>
      <c r="U4369">
        <v>1</v>
      </c>
      <c r="V4369" t="s">
        <v>32</v>
      </c>
      <c r="W4369" t="s">
        <v>33</v>
      </c>
      <c r="X4369" s="4">
        <v>9.5</v>
      </c>
      <c r="Y4369">
        <v>11</v>
      </c>
      <c r="Z4369" s="5">
        <v>199.94</v>
      </c>
    </row>
    <row r="4370" spans="1:26">
      <c r="A4370">
        <v>4369</v>
      </c>
      <c r="B4370">
        <v>1431</v>
      </c>
      <c r="C4370" s="2">
        <v>46274</v>
      </c>
      <c r="D4370" t="s">
        <v>52</v>
      </c>
      <c r="E4370">
        <v>9</v>
      </c>
      <c r="F4370" s="3">
        <v>10.51</v>
      </c>
      <c r="G4370" t="s">
        <v>27</v>
      </c>
      <c r="H4370">
        <v>3</v>
      </c>
      <c r="I4370" t="s">
        <v>34</v>
      </c>
      <c r="J4370" s="4">
        <v>49.1</v>
      </c>
      <c r="K4370" s="4">
        <v>50.4</v>
      </c>
      <c r="L4370" s="4">
        <v>14.7</v>
      </c>
      <c r="M4370">
        <v>13</v>
      </c>
      <c r="N4370" t="s">
        <v>56</v>
      </c>
      <c r="O4370">
        <v>5</v>
      </c>
      <c r="P4370" s="4">
        <v>312.10000000000002</v>
      </c>
      <c r="Q4370" t="s">
        <v>30</v>
      </c>
      <c r="R4370">
        <v>1</v>
      </c>
      <c r="S4370" t="s">
        <v>44</v>
      </c>
      <c r="T4370">
        <v>1</v>
      </c>
      <c r="U4370">
        <v>1</v>
      </c>
      <c r="V4370" t="s">
        <v>32</v>
      </c>
      <c r="W4370" t="s">
        <v>33</v>
      </c>
      <c r="X4370" s="4">
        <v>9.1999999999999993</v>
      </c>
      <c r="Y4370">
        <v>11</v>
      </c>
      <c r="Z4370" s="5">
        <v>263.11</v>
      </c>
    </row>
    <row r="4371" spans="1:26">
      <c r="A4371">
        <v>4370</v>
      </c>
      <c r="B4371">
        <v>1432</v>
      </c>
      <c r="C4371" s="2">
        <v>46118</v>
      </c>
      <c r="D4371" t="s">
        <v>46</v>
      </c>
      <c r="E4371">
        <v>4</v>
      </c>
      <c r="F4371" s="3">
        <v>8.99</v>
      </c>
      <c r="G4371" t="s">
        <v>27</v>
      </c>
      <c r="H4371">
        <v>58</v>
      </c>
      <c r="I4371" t="s">
        <v>28</v>
      </c>
      <c r="J4371" s="4">
        <v>70.400000000000006</v>
      </c>
      <c r="K4371" s="4">
        <v>240.4</v>
      </c>
      <c r="L4371" s="4">
        <v>34.1</v>
      </c>
      <c r="M4371">
        <v>18</v>
      </c>
      <c r="N4371" t="s">
        <v>60</v>
      </c>
      <c r="O4371">
        <v>4</v>
      </c>
      <c r="P4371" s="4">
        <v>2033.1</v>
      </c>
      <c r="Q4371" t="s">
        <v>42</v>
      </c>
      <c r="R4371">
        <v>0</v>
      </c>
      <c r="S4371" t="s">
        <v>31</v>
      </c>
      <c r="T4371">
        <v>0</v>
      </c>
      <c r="U4371">
        <v>1</v>
      </c>
      <c r="V4371" t="s">
        <v>32</v>
      </c>
      <c r="W4371" t="s">
        <v>33</v>
      </c>
      <c r="X4371" s="4">
        <v>11</v>
      </c>
      <c r="Y4371">
        <v>9</v>
      </c>
      <c r="Z4371" s="5">
        <v>295.72000000000003</v>
      </c>
    </row>
    <row r="4372" spans="1:26">
      <c r="A4372">
        <v>4371</v>
      </c>
      <c r="B4372">
        <v>1432</v>
      </c>
      <c r="C4372" s="2">
        <v>46118</v>
      </c>
      <c r="D4372" t="s">
        <v>46</v>
      </c>
      <c r="E4372">
        <v>4</v>
      </c>
      <c r="F4372" s="3">
        <v>8.9700000000000006</v>
      </c>
      <c r="G4372" t="s">
        <v>27</v>
      </c>
      <c r="H4372">
        <v>3</v>
      </c>
      <c r="I4372" t="s">
        <v>34</v>
      </c>
      <c r="J4372" s="4">
        <v>52.9</v>
      </c>
      <c r="K4372" s="4">
        <v>69.400000000000006</v>
      </c>
      <c r="L4372" s="4">
        <v>17.600000000000001</v>
      </c>
      <c r="M4372">
        <v>13</v>
      </c>
      <c r="N4372" t="s">
        <v>60</v>
      </c>
      <c r="O4372">
        <v>4</v>
      </c>
      <c r="P4372" s="4">
        <v>2033.1</v>
      </c>
      <c r="Q4372" t="s">
        <v>42</v>
      </c>
      <c r="R4372">
        <v>0</v>
      </c>
      <c r="S4372" t="s">
        <v>31</v>
      </c>
      <c r="T4372">
        <v>0</v>
      </c>
      <c r="U4372">
        <v>1</v>
      </c>
      <c r="V4372" t="s">
        <v>32</v>
      </c>
      <c r="W4372" t="s">
        <v>33</v>
      </c>
      <c r="X4372" s="4">
        <v>9.5</v>
      </c>
      <c r="Y4372">
        <v>7</v>
      </c>
      <c r="Z4372" s="5">
        <v>335.86</v>
      </c>
    </row>
    <row r="4373" spans="1:26">
      <c r="A4373">
        <v>4372</v>
      </c>
      <c r="B4373">
        <v>1432</v>
      </c>
      <c r="C4373" s="2">
        <v>46118</v>
      </c>
      <c r="D4373" t="s">
        <v>46</v>
      </c>
      <c r="E4373">
        <v>4</v>
      </c>
      <c r="F4373" s="3">
        <v>9.32</v>
      </c>
      <c r="G4373" t="s">
        <v>27</v>
      </c>
      <c r="H4373">
        <v>38</v>
      </c>
      <c r="I4373" t="s">
        <v>28</v>
      </c>
      <c r="J4373" s="4">
        <v>66.099999999999994</v>
      </c>
      <c r="K4373" s="4">
        <v>174.5</v>
      </c>
      <c r="L4373" s="4">
        <v>28.2</v>
      </c>
      <c r="M4373">
        <v>17</v>
      </c>
      <c r="N4373" t="s">
        <v>60</v>
      </c>
      <c r="O4373">
        <v>4</v>
      </c>
      <c r="P4373" s="4">
        <v>2033.1</v>
      </c>
      <c r="Q4373" t="s">
        <v>42</v>
      </c>
      <c r="R4373">
        <v>0</v>
      </c>
      <c r="S4373" t="s">
        <v>31</v>
      </c>
      <c r="T4373">
        <v>0</v>
      </c>
      <c r="U4373">
        <v>1</v>
      </c>
      <c r="V4373" t="s">
        <v>32</v>
      </c>
      <c r="W4373" t="s">
        <v>33</v>
      </c>
      <c r="X4373" s="4">
        <v>9.9</v>
      </c>
      <c r="Y4373">
        <v>9</v>
      </c>
      <c r="Z4373" s="5">
        <v>177.64</v>
      </c>
    </row>
    <row r="4374" spans="1:26">
      <c r="A4374">
        <v>4373</v>
      </c>
      <c r="B4374">
        <v>1432</v>
      </c>
      <c r="C4374" s="2">
        <v>46118</v>
      </c>
      <c r="D4374" t="s">
        <v>46</v>
      </c>
      <c r="E4374">
        <v>4</v>
      </c>
      <c r="F4374" s="3">
        <v>9.14</v>
      </c>
      <c r="G4374" t="s">
        <v>27</v>
      </c>
      <c r="H4374">
        <v>54</v>
      </c>
      <c r="I4374" t="s">
        <v>34</v>
      </c>
      <c r="J4374" s="4">
        <v>63.3</v>
      </c>
      <c r="K4374" s="4">
        <v>119.9</v>
      </c>
      <c r="L4374" s="4">
        <v>21</v>
      </c>
      <c r="M4374">
        <v>14</v>
      </c>
      <c r="N4374" t="s">
        <v>60</v>
      </c>
      <c r="O4374">
        <v>4</v>
      </c>
      <c r="P4374" s="4">
        <v>2033.1</v>
      </c>
      <c r="Q4374" t="s">
        <v>42</v>
      </c>
      <c r="R4374">
        <v>0</v>
      </c>
      <c r="S4374" t="s">
        <v>31</v>
      </c>
      <c r="T4374">
        <v>0</v>
      </c>
      <c r="U4374">
        <v>1</v>
      </c>
      <c r="V4374" t="s">
        <v>32</v>
      </c>
      <c r="W4374" t="s">
        <v>33</v>
      </c>
      <c r="X4374" s="4">
        <v>9.9</v>
      </c>
      <c r="Y4374">
        <v>8</v>
      </c>
      <c r="Z4374" s="5">
        <v>221.88</v>
      </c>
    </row>
    <row r="4375" spans="1:26">
      <c r="A4375">
        <v>4374</v>
      </c>
      <c r="B4375">
        <v>1433</v>
      </c>
      <c r="C4375" s="2">
        <v>46386</v>
      </c>
      <c r="D4375" t="s">
        <v>52</v>
      </c>
      <c r="E4375">
        <v>12</v>
      </c>
      <c r="F4375" s="3">
        <v>10.210000000000001</v>
      </c>
      <c r="G4375" t="s">
        <v>27</v>
      </c>
      <c r="H4375">
        <v>56</v>
      </c>
      <c r="I4375" t="s">
        <v>28</v>
      </c>
      <c r="J4375" s="4">
        <v>64.2</v>
      </c>
      <c r="K4375" s="4">
        <v>169.3</v>
      </c>
      <c r="L4375" s="4">
        <v>28.8</v>
      </c>
      <c r="M4375">
        <v>16</v>
      </c>
      <c r="N4375" t="s">
        <v>50</v>
      </c>
      <c r="O4375">
        <v>2</v>
      </c>
      <c r="P4375" s="4">
        <v>437</v>
      </c>
      <c r="Q4375" t="s">
        <v>42</v>
      </c>
      <c r="R4375">
        <v>1</v>
      </c>
      <c r="S4375" t="s">
        <v>31</v>
      </c>
      <c r="T4375">
        <v>1</v>
      </c>
      <c r="U4375">
        <v>0</v>
      </c>
      <c r="V4375" t="s">
        <v>45</v>
      </c>
      <c r="W4375" t="s">
        <v>49</v>
      </c>
      <c r="X4375" s="4">
        <v>7.3</v>
      </c>
      <c r="Y4375">
        <v>7</v>
      </c>
      <c r="Z4375" s="5">
        <v>172.24</v>
      </c>
    </row>
    <row r="4376" spans="1:26">
      <c r="A4376">
        <v>4375</v>
      </c>
      <c r="B4376">
        <v>1433</v>
      </c>
      <c r="C4376" s="2">
        <v>46386</v>
      </c>
      <c r="D4376" t="s">
        <v>52</v>
      </c>
      <c r="E4376">
        <v>12</v>
      </c>
      <c r="F4376" s="3">
        <v>10.47</v>
      </c>
      <c r="G4376" t="s">
        <v>27</v>
      </c>
      <c r="H4376">
        <v>37</v>
      </c>
      <c r="I4376" t="s">
        <v>34</v>
      </c>
      <c r="J4376" s="4">
        <v>63.2</v>
      </c>
      <c r="K4376" s="4">
        <v>141.80000000000001</v>
      </c>
      <c r="L4376" s="4">
        <v>25</v>
      </c>
      <c r="M4376">
        <v>19</v>
      </c>
      <c r="N4376" t="s">
        <v>50</v>
      </c>
      <c r="O4376">
        <v>2</v>
      </c>
      <c r="P4376" s="4">
        <v>437</v>
      </c>
      <c r="Q4376" t="s">
        <v>42</v>
      </c>
      <c r="R4376">
        <v>1</v>
      </c>
      <c r="S4376" t="s">
        <v>31</v>
      </c>
      <c r="T4376">
        <v>1</v>
      </c>
      <c r="U4376">
        <v>0</v>
      </c>
      <c r="V4376" t="s">
        <v>45</v>
      </c>
      <c r="W4376" t="s">
        <v>49</v>
      </c>
      <c r="X4376" s="4">
        <v>5.8</v>
      </c>
      <c r="Y4376">
        <v>11</v>
      </c>
      <c r="Z4376" s="5">
        <v>188.96</v>
      </c>
    </row>
    <row r="4377" spans="1:26">
      <c r="A4377">
        <v>4376</v>
      </c>
      <c r="B4377">
        <v>1434</v>
      </c>
      <c r="C4377" s="2">
        <v>46093</v>
      </c>
      <c r="D4377" t="s">
        <v>55</v>
      </c>
      <c r="E4377">
        <v>3</v>
      </c>
      <c r="F4377" s="3">
        <v>10.220000000000001</v>
      </c>
      <c r="G4377" t="s">
        <v>27</v>
      </c>
      <c r="H4377">
        <v>35</v>
      </c>
      <c r="I4377" t="s">
        <v>28</v>
      </c>
      <c r="J4377" s="4">
        <v>72.2</v>
      </c>
      <c r="K4377" s="4">
        <v>147.4</v>
      </c>
      <c r="L4377" s="4">
        <v>19.899999999999999</v>
      </c>
      <c r="M4377">
        <v>16</v>
      </c>
      <c r="N4377" t="s">
        <v>47</v>
      </c>
      <c r="O4377">
        <v>1</v>
      </c>
      <c r="P4377" s="4">
        <v>80.7</v>
      </c>
      <c r="Q4377" t="s">
        <v>48</v>
      </c>
      <c r="R4377">
        <v>0</v>
      </c>
      <c r="S4377" t="s">
        <v>44</v>
      </c>
      <c r="T4377">
        <v>0</v>
      </c>
      <c r="U4377">
        <v>1</v>
      </c>
      <c r="V4377" t="s">
        <v>32</v>
      </c>
      <c r="W4377" t="s">
        <v>33</v>
      </c>
      <c r="X4377" s="4">
        <v>9.1</v>
      </c>
      <c r="Y4377">
        <v>4</v>
      </c>
      <c r="Z4377" s="5">
        <v>173.09</v>
      </c>
    </row>
    <row r="4378" spans="1:26">
      <c r="A4378">
        <v>4377</v>
      </c>
      <c r="B4378">
        <v>1435</v>
      </c>
      <c r="C4378" s="2">
        <v>46187</v>
      </c>
      <c r="D4378" t="s">
        <v>58</v>
      </c>
      <c r="E4378">
        <v>6</v>
      </c>
      <c r="F4378" s="3">
        <v>10</v>
      </c>
      <c r="G4378" t="s">
        <v>27</v>
      </c>
      <c r="H4378">
        <v>49</v>
      </c>
      <c r="I4378" t="s">
        <v>28</v>
      </c>
      <c r="J4378" s="4">
        <v>68</v>
      </c>
      <c r="K4378" s="4">
        <v>168.1</v>
      </c>
      <c r="L4378" s="4">
        <v>25.5</v>
      </c>
      <c r="M4378">
        <v>15</v>
      </c>
      <c r="N4378" t="s">
        <v>53</v>
      </c>
      <c r="O4378">
        <v>4</v>
      </c>
      <c r="P4378" s="4">
        <v>1094.5</v>
      </c>
      <c r="Q4378" t="s">
        <v>42</v>
      </c>
      <c r="R4378">
        <v>1</v>
      </c>
      <c r="S4378" t="s">
        <v>31</v>
      </c>
      <c r="T4378">
        <v>1</v>
      </c>
      <c r="U4378">
        <v>0</v>
      </c>
      <c r="V4378" t="s">
        <v>32</v>
      </c>
      <c r="W4378" t="s">
        <v>39</v>
      </c>
      <c r="X4378" s="4">
        <v>11</v>
      </c>
      <c r="Y4378">
        <v>11</v>
      </c>
      <c r="Z4378" s="5">
        <v>179.68</v>
      </c>
    </row>
    <row r="4379" spans="1:26">
      <c r="A4379">
        <v>4378</v>
      </c>
      <c r="B4379">
        <v>1435</v>
      </c>
      <c r="C4379" s="2">
        <v>46187</v>
      </c>
      <c r="D4379" t="s">
        <v>58</v>
      </c>
      <c r="E4379">
        <v>6</v>
      </c>
      <c r="F4379" s="3">
        <v>10.050000000000001</v>
      </c>
      <c r="G4379" t="s">
        <v>27</v>
      </c>
      <c r="H4379">
        <v>48</v>
      </c>
      <c r="I4379" t="s">
        <v>34</v>
      </c>
      <c r="J4379" s="4">
        <v>64.599999999999994</v>
      </c>
      <c r="K4379" s="4">
        <v>162.69999999999999</v>
      </c>
      <c r="L4379" s="4">
        <v>27.5</v>
      </c>
      <c r="M4379">
        <v>16</v>
      </c>
      <c r="N4379" t="s">
        <v>53</v>
      </c>
      <c r="O4379">
        <v>4</v>
      </c>
      <c r="P4379" s="4">
        <v>1094.5</v>
      </c>
      <c r="Q4379" t="s">
        <v>42</v>
      </c>
      <c r="R4379">
        <v>1</v>
      </c>
      <c r="S4379" t="s">
        <v>31</v>
      </c>
      <c r="T4379">
        <v>1</v>
      </c>
      <c r="U4379">
        <v>0</v>
      </c>
      <c r="V4379" t="s">
        <v>32</v>
      </c>
      <c r="W4379" t="s">
        <v>39</v>
      </c>
      <c r="X4379" s="4">
        <v>10</v>
      </c>
      <c r="Y4379">
        <v>9</v>
      </c>
      <c r="Z4379" s="5">
        <v>238.42</v>
      </c>
    </row>
    <row r="4380" spans="1:26">
      <c r="A4380">
        <v>4379</v>
      </c>
      <c r="B4380">
        <v>1435</v>
      </c>
      <c r="C4380" s="2">
        <v>46187</v>
      </c>
      <c r="D4380" t="s">
        <v>58</v>
      </c>
      <c r="E4380">
        <v>6</v>
      </c>
      <c r="F4380" s="3">
        <v>10.029999999999999</v>
      </c>
      <c r="G4380" t="s">
        <v>27</v>
      </c>
      <c r="H4380">
        <v>58</v>
      </c>
      <c r="I4380" t="s">
        <v>34</v>
      </c>
      <c r="J4380" s="4">
        <v>63.3</v>
      </c>
      <c r="K4380" s="4">
        <v>150.19999999999999</v>
      </c>
      <c r="L4380" s="4">
        <v>26.3</v>
      </c>
      <c r="M4380">
        <v>16</v>
      </c>
      <c r="N4380" t="s">
        <v>53</v>
      </c>
      <c r="O4380">
        <v>4</v>
      </c>
      <c r="P4380" s="4">
        <v>1094.5</v>
      </c>
      <c r="Q4380" t="s">
        <v>42</v>
      </c>
      <c r="R4380">
        <v>1</v>
      </c>
      <c r="S4380" t="s">
        <v>31</v>
      </c>
      <c r="T4380">
        <v>1</v>
      </c>
      <c r="U4380">
        <v>0</v>
      </c>
      <c r="V4380" t="s">
        <v>32</v>
      </c>
      <c r="W4380" t="s">
        <v>39</v>
      </c>
      <c r="X4380" s="4">
        <v>8.9</v>
      </c>
      <c r="Y4380">
        <v>10</v>
      </c>
      <c r="Z4380" s="5">
        <v>186.11</v>
      </c>
    </row>
    <row r="4381" spans="1:26">
      <c r="A4381">
        <v>4380</v>
      </c>
      <c r="B4381">
        <v>1435</v>
      </c>
      <c r="C4381" s="2">
        <v>46187</v>
      </c>
      <c r="D4381" t="s">
        <v>58</v>
      </c>
      <c r="E4381">
        <v>6</v>
      </c>
      <c r="F4381" s="3">
        <v>10.28</v>
      </c>
      <c r="G4381" t="s">
        <v>27</v>
      </c>
      <c r="H4381">
        <v>70</v>
      </c>
      <c r="I4381" t="s">
        <v>34</v>
      </c>
      <c r="J4381" s="4">
        <v>65.2</v>
      </c>
      <c r="K4381" s="4">
        <v>141.69999999999999</v>
      </c>
      <c r="L4381" s="4">
        <v>23.4</v>
      </c>
      <c r="M4381">
        <v>15</v>
      </c>
      <c r="N4381" t="s">
        <v>53</v>
      </c>
      <c r="O4381">
        <v>4</v>
      </c>
      <c r="P4381" s="4">
        <v>1094.5</v>
      </c>
      <c r="Q4381" t="s">
        <v>42</v>
      </c>
      <c r="R4381">
        <v>1</v>
      </c>
      <c r="S4381" t="s">
        <v>31</v>
      </c>
      <c r="T4381">
        <v>1</v>
      </c>
      <c r="U4381">
        <v>0</v>
      </c>
      <c r="V4381" t="s">
        <v>32</v>
      </c>
      <c r="W4381" t="s">
        <v>39</v>
      </c>
      <c r="X4381" s="4">
        <v>8.8000000000000007</v>
      </c>
      <c r="Y4381">
        <v>9</v>
      </c>
      <c r="Z4381" s="5">
        <v>242.57</v>
      </c>
    </row>
    <row r="4382" spans="1:26">
      <c r="A4382">
        <v>4381</v>
      </c>
      <c r="B4382">
        <v>1436</v>
      </c>
      <c r="C4382" s="2">
        <v>46112</v>
      </c>
      <c r="D4382" t="s">
        <v>35</v>
      </c>
      <c r="E4382">
        <v>3</v>
      </c>
      <c r="F4382" s="3">
        <v>11.26</v>
      </c>
      <c r="G4382" t="s">
        <v>36</v>
      </c>
      <c r="H4382">
        <v>10</v>
      </c>
      <c r="I4382" t="s">
        <v>28</v>
      </c>
      <c r="J4382" s="4">
        <v>64.400000000000006</v>
      </c>
      <c r="K4382" s="4">
        <v>111.5</v>
      </c>
      <c r="L4382" s="4">
        <v>19.100000000000001</v>
      </c>
      <c r="M4382">
        <v>11</v>
      </c>
      <c r="N4382" t="s">
        <v>47</v>
      </c>
      <c r="O4382">
        <v>2</v>
      </c>
      <c r="P4382" s="4">
        <v>95.3</v>
      </c>
      <c r="Q4382" t="s">
        <v>30</v>
      </c>
      <c r="R4382">
        <v>1</v>
      </c>
      <c r="S4382" t="s">
        <v>44</v>
      </c>
      <c r="T4382">
        <v>0</v>
      </c>
      <c r="U4382">
        <v>1</v>
      </c>
      <c r="V4382" t="s">
        <v>32</v>
      </c>
      <c r="W4382" t="s">
        <v>33</v>
      </c>
      <c r="X4382" s="4">
        <v>9.1</v>
      </c>
      <c r="Y4382">
        <v>7</v>
      </c>
      <c r="Z4382" s="5">
        <v>211.72</v>
      </c>
    </row>
    <row r="4383" spans="1:26">
      <c r="A4383">
        <v>4382</v>
      </c>
      <c r="B4383">
        <v>1436</v>
      </c>
      <c r="C4383" s="2">
        <v>46112</v>
      </c>
      <c r="D4383" t="s">
        <v>35</v>
      </c>
      <c r="E4383">
        <v>3</v>
      </c>
      <c r="F4383" s="3">
        <v>11.04</v>
      </c>
      <c r="G4383" t="s">
        <v>36</v>
      </c>
      <c r="H4383">
        <v>64</v>
      </c>
      <c r="I4383" t="s">
        <v>28</v>
      </c>
      <c r="J4383" s="4">
        <v>70.3</v>
      </c>
      <c r="K4383" s="4">
        <v>153.1</v>
      </c>
      <c r="L4383" s="4">
        <v>21.7</v>
      </c>
      <c r="M4383">
        <v>16</v>
      </c>
      <c r="N4383" t="s">
        <v>47</v>
      </c>
      <c r="O4383">
        <v>2</v>
      </c>
      <c r="P4383" s="4">
        <v>95.3</v>
      </c>
      <c r="Q4383" t="s">
        <v>30</v>
      </c>
      <c r="R4383">
        <v>1</v>
      </c>
      <c r="S4383" t="s">
        <v>44</v>
      </c>
      <c r="T4383">
        <v>0</v>
      </c>
      <c r="U4383">
        <v>1</v>
      </c>
      <c r="V4383" t="s">
        <v>32</v>
      </c>
      <c r="W4383" t="s">
        <v>33</v>
      </c>
      <c r="X4383" s="4">
        <v>9.4</v>
      </c>
      <c r="Y4383">
        <v>9</v>
      </c>
      <c r="Z4383" s="5">
        <v>318.60000000000002</v>
      </c>
    </row>
    <row r="4384" spans="1:26">
      <c r="A4384">
        <v>4383</v>
      </c>
      <c r="B4384">
        <v>1437</v>
      </c>
      <c r="C4384" s="2">
        <v>46336</v>
      </c>
      <c r="D4384" t="s">
        <v>35</v>
      </c>
      <c r="E4384">
        <v>11</v>
      </c>
      <c r="F4384" s="3">
        <v>13.23</v>
      </c>
      <c r="G4384" t="s">
        <v>36</v>
      </c>
      <c r="H4384">
        <v>5</v>
      </c>
      <c r="I4384" t="s">
        <v>34</v>
      </c>
      <c r="J4384" s="4">
        <v>55</v>
      </c>
      <c r="K4384" s="4">
        <v>74.3</v>
      </c>
      <c r="L4384" s="4">
        <v>17.5</v>
      </c>
      <c r="M4384">
        <v>12</v>
      </c>
      <c r="N4384" t="s">
        <v>47</v>
      </c>
      <c r="O4384">
        <v>5</v>
      </c>
      <c r="P4384" s="4">
        <v>176.1</v>
      </c>
      <c r="Q4384" t="s">
        <v>42</v>
      </c>
      <c r="R4384">
        <v>0</v>
      </c>
      <c r="S4384" t="s">
        <v>44</v>
      </c>
      <c r="T4384">
        <v>0</v>
      </c>
      <c r="U4384">
        <v>1</v>
      </c>
      <c r="V4384" t="s">
        <v>64</v>
      </c>
      <c r="W4384" t="s">
        <v>49</v>
      </c>
      <c r="X4384" s="4">
        <v>5.8</v>
      </c>
      <c r="Y4384">
        <v>7</v>
      </c>
      <c r="Z4384" s="5">
        <v>198.85</v>
      </c>
    </row>
    <row r="4385" spans="1:26">
      <c r="A4385">
        <v>4384</v>
      </c>
      <c r="B4385">
        <v>1437</v>
      </c>
      <c r="C4385" s="2">
        <v>46336</v>
      </c>
      <c r="D4385" t="s">
        <v>35</v>
      </c>
      <c r="E4385">
        <v>11</v>
      </c>
      <c r="F4385" s="3">
        <v>13.33</v>
      </c>
      <c r="G4385" t="s">
        <v>36</v>
      </c>
      <c r="H4385">
        <v>25</v>
      </c>
      <c r="I4385" t="s">
        <v>28</v>
      </c>
      <c r="J4385" s="4">
        <v>75.400000000000006</v>
      </c>
      <c r="K4385" s="4">
        <v>233.5</v>
      </c>
      <c r="L4385" s="4">
        <v>29</v>
      </c>
      <c r="M4385">
        <v>16</v>
      </c>
      <c r="N4385" t="s">
        <v>47</v>
      </c>
      <c r="O4385">
        <v>5</v>
      </c>
      <c r="P4385" s="4">
        <v>176.1</v>
      </c>
      <c r="Q4385" t="s">
        <v>42</v>
      </c>
      <c r="R4385">
        <v>0</v>
      </c>
      <c r="S4385" t="s">
        <v>44</v>
      </c>
      <c r="T4385">
        <v>0</v>
      </c>
      <c r="U4385">
        <v>1</v>
      </c>
      <c r="V4385" t="s">
        <v>64</v>
      </c>
      <c r="W4385" t="s">
        <v>49</v>
      </c>
      <c r="X4385" s="4">
        <v>7</v>
      </c>
      <c r="Y4385">
        <v>5</v>
      </c>
      <c r="Z4385" s="5">
        <v>142.72</v>
      </c>
    </row>
    <row r="4386" spans="1:26">
      <c r="A4386">
        <v>4385</v>
      </c>
      <c r="B4386">
        <v>1437</v>
      </c>
      <c r="C4386" s="2">
        <v>46336</v>
      </c>
      <c r="D4386" t="s">
        <v>35</v>
      </c>
      <c r="E4386">
        <v>11</v>
      </c>
      <c r="F4386" s="3">
        <v>13.31</v>
      </c>
      <c r="G4386" t="s">
        <v>36</v>
      </c>
      <c r="H4386">
        <v>51</v>
      </c>
      <c r="I4386" t="s">
        <v>34</v>
      </c>
      <c r="J4386" s="4">
        <v>62.5</v>
      </c>
      <c r="K4386" s="4">
        <v>140.1</v>
      </c>
      <c r="L4386" s="4">
        <v>25.3</v>
      </c>
      <c r="M4386">
        <v>17</v>
      </c>
      <c r="N4386" t="s">
        <v>47</v>
      </c>
      <c r="O4386">
        <v>5</v>
      </c>
      <c r="P4386" s="4">
        <v>176.1</v>
      </c>
      <c r="Q4386" t="s">
        <v>42</v>
      </c>
      <c r="R4386">
        <v>0</v>
      </c>
      <c r="S4386" t="s">
        <v>44</v>
      </c>
      <c r="T4386">
        <v>0</v>
      </c>
      <c r="U4386">
        <v>1</v>
      </c>
      <c r="V4386" t="s">
        <v>64</v>
      </c>
      <c r="W4386" t="s">
        <v>49</v>
      </c>
      <c r="X4386" s="4">
        <v>4.5999999999999996</v>
      </c>
      <c r="Y4386">
        <v>8</v>
      </c>
      <c r="Z4386" s="5">
        <v>172.3</v>
      </c>
    </row>
    <row r="4387" spans="1:26">
      <c r="A4387">
        <v>4386</v>
      </c>
      <c r="B4387">
        <v>1437</v>
      </c>
      <c r="C4387" s="2">
        <v>46336</v>
      </c>
      <c r="D4387" t="s">
        <v>35</v>
      </c>
      <c r="E4387">
        <v>11</v>
      </c>
      <c r="F4387" s="3">
        <v>13.37</v>
      </c>
      <c r="G4387" t="s">
        <v>36</v>
      </c>
      <c r="H4387">
        <v>52</v>
      </c>
      <c r="I4387" t="s">
        <v>34</v>
      </c>
      <c r="J4387" s="4">
        <v>70.599999999999994</v>
      </c>
      <c r="K4387" s="4">
        <v>281</v>
      </c>
      <c r="L4387" s="4">
        <v>39.700000000000003</v>
      </c>
      <c r="M4387">
        <v>19</v>
      </c>
      <c r="N4387" t="s">
        <v>47</v>
      </c>
      <c r="O4387">
        <v>5</v>
      </c>
      <c r="P4387" s="4">
        <v>176.1</v>
      </c>
      <c r="Q4387" t="s">
        <v>42</v>
      </c>
      <c r="R4387">
        <v>0</v>
      </c>
      <c r="S4387" t="s">
        <v>44</v>
      </c>
      <c r="T4387">
        <v>0</v>
      </c>
      <c r="U4387">
        <v>1</v>
      </c>
      <c r="V4387" t="s">
        <v>64</v>
      </c>
      <c r="W4387" t="s">
        <v>49</v>
      </c>
      <c r="X4387" s="4">
        <v>7.1</v>
      </c>
      <c r="Y4387">
        <v>7</v>
      </c>
      <c r="Z4387" s="5">
        <v>209.01</v>
      </c>
    </row>
    <row r="4388" spans="1:26">
      <c r="A4388">
        <v>4387</v>
      </c>
      <c r="B4388">
        <v>1437</v>
      </c>
      <c r="C4388" s="2">
        <v>46336</v>
      </c>
      <c r="D4388" t="s">
        <v>35</v>
      </c>
      <c r="E4388">
        <v>11</v>
      </c>
      <c r="F4388" s="3">
        <v>13.26</v>
      </c>
      <c r="G4388" t="s">
        <v>36</v>
      </c>
      <c r="H4388">
        <v>38</v>
      </c>
      <c r="I4388" t="s">
        <v>28</v>
      </c>
      <c r="J4388" s="4">
        <v>71.400000000000006</v>
      </c>
      <c r="K4388" s="4">
        <v>201.3</v>
      </c>
      <c r="L4388" s="4">
        <v>27.7</v>
      </c>
      <c r="M4388">
        <v>14</v>
      </c>
      <c r="N4388" t="s">
        <v>47</v>
      </c>
      <c r="O4388">
        <v>5</v>
      </c>
      <c r="P4388" s="4">
        <v>176.1</v>
      </c>
      <c r="Q4388" t="s">
        <v>42</v>
      </c>
      <c r="R4388">
        <v>0</v>
      </c>
      <c r="S4388" t="s">
        <v>44</v>
      </c>
      <c r="T4388">
        <v>0</v>
      </c>
      <c r="U4388">
        <v>1</v>
      </c>
      <c r="V4388" t="s">
        <v>64</v>
      </c>
      <c r="W4388" t="s">
        <v>49</v>
      </c>
      <c r="X4388" s="4">
        <v>6.1</v>
      </c>
      <c r="Y4388">
        <v>7</v>
      </c>
      <c r="Z4388" s="5">
        <v>253.58</v>
      </c>
    </row>
    <row r="4389" spans="1:26">
      <c r="A4389">
        <v>4388</v>
      </c>
      <c r="B4389">
        <v>1438</v>
      </c>
      <c r="C4389" s="2">
        <v>46277</v>
      </c>
      <c r="D4389" t="s">
        <v>40</v>
      </c>
      <c r="E4389">
        <v>9</v>
      </c>
      <c r="F4389" s="3">
        <v>10.58</v>
      </c>
      <c r="G4389" t="s">
        <v>27</v>
      </c>
      <c r="H4389">
        <v>59</v>
      </c>
      <c r="I4389" t="s">
        <v>28</v>
      </c>
      <c r="J4389" s="4">
        <v>68.400000000000006</v>
      </c>
      <c r="K4389" s="4">
        <v>173.9</v>
      </c>
      <c r="L4389" s="4">
        <v>26.1</v>
      </c>
      <c r="M4389">
        <v>17</v>
      </c>
      <c r="N4389" t="s">
        <v>61</v>
      </c>
      <c r="O4389">
        <v>4</v>
      </c>
      <c r="P4389" s="4">
        <v>1457.2</v>
      </c>
      <c r="Q4389" t="s">
        <v>42</v>
      </c>
      <c r="R4389">
        <v>1</v>
      </c>
      <c r="S4389" t="s">
        <v>31</v>
      </c>
      <c r="T4389">
        <v>0</v>
      </c>
      <c r="U4389">
        <v>0</v>
      </c>
      <c r="V4389" t="s">
        <v>32</v>
      </c>
      <c r="W4389" t="s">
        <v>49</v>
      </c>
      <c r="X4389" s="4">
        <v>8.4</v>
      </c>
      <c r="Y4389">
        <v>9</v>
      </c>
      <c r="Z4389" s="5">
        <v>311.57</v>
      </c>
    </row>
    <row r="4390" spans="1:26">
      <c r="A4390">
        <v>4389</v>
      </c>
      <c r="B4390">
        <v>1438</v>
      </c>
      <c r="C4390" s="2">
        <v>46277</v>
      </c>
      <c r="D4390" t="s">
        <v>40</v>
      </c>
      <c r="E4390">
        <v>9</v>
      </c>
      <c r="F4390" s="3">
        <v>10.43</v>
      </c>
      <c r="G4390" t="s">
        <v>27</v>
      </c>
      <c r="H4390">
        <v>49</v>
      </c>
      <c r="I4390" t="s">
        <v>51</v>
      </c>
      <c r="J4390" s="4">
        <v>67.3</v>
      </c>
      <c r="K4390" s="4">
        <v>186.1</v>
      </c>
      <c r="L4390" s="4">
        <v>29.1</v>
      </c>
      <c r="M4390">
        <v>16</v>
      </c>
      <c r="N4390" t="s">
        <v>61</v>
      </c>
      <c r="O4390">
        <v>4</v>
      </c>
      <c r="P4390" s="4">
        <v>1457.2</v>
      </c>
      <c r="Q4390" t="s">
        <v>42</v>
      </c>
      <c r="R4390">
        <v>1</v>
      </c>
      <c r="S4390" t="s">
        <v>31</v>
      </c>
      <c r="T4390">
        <v>0</v>
      </c>
      <c r="U4390">
        <v>0</v>
      </c>
      <c r="V4390" t="s">
        <v>32</v>
      </c>
      <c r="W4390" t="s">
        <v>49</v>
      </c>
      <c r="X4390" s="4">
        <v>11.4</v>
      </c>
      <c r="Y4390">
        <v>11</v>
      </c>
      <c r="Z4390" s="5">
        <v>214.64</v>
      </c>
    </row>
    <row r="4391" spans="1:26">
      <c r="A4391">
        <v>4390</v>
      </c>
      <c r="B4391">
        <v>1438</v>
      </c>
      <c r="C4391" s="2">
        <v>46277</v>
      </c>
      <c r="D4391" t="s">
        <v>40</v>
      </c>
      <c r="E4391">
        <v>9</v>
      </c>
      <c r="F4391" s="3">
        <v>10.39</v>
      </c>
      <c r="G4391" t="s">
        <v>27</v>
      </c>
      <c r="H4391">
        <v>37</v>
      </c>
      <c r="I4391" t="s">
        <v>28</v>
      </c>
      <c r="J4391" s="4">
        <v>73.7</v>
      </c>
      <c r="K4391" s="4">
        <v>177.9</v>
      </c>
      <c r="L4391" s="4">
        <v>22.9</v>
      </c>
      <c r="M4391">
        <v>12</v>
      </c>
      <c r="N4391" t="s">
        <v>61</v>
      </c>
      <c r="O4391">
        <v>4</v>
      </c>
      <c r="P4391" s="4">
        <v>1457.2</v>
      </c>
      <c r="Q4391" t="s">
        <v>42</v>
      </c>
      <c r="R4391">
        <v>1</v>
      </c>
      <c r="S4391" t="s">
        <v>31</v>
      </c>
      <c r="T4391">
        <v>0</v>
      </c>
      <c r="U4391">
        <v>0</v>
      </c>
      <c r="V4391" t="s">
        <v>32</v>
      </c>
      <c r="W4391" t="s">
        <v>49</v>
      </c>
      <c r="X4391" s="4">
        <v>7.3</v>
      </c>
      <c r="Y4391">
        <v>5</v>
      </c>
      <c r="Z4391" s="5">
        <v>160.47</v>
      </c>
    </row>
    <row r="4392" spans="1:26">
      <c r="A4392">
        <v>4391</v>
      </c>
      <c r="B4392">
        <v>1438</v>
      </c>
      <c r="C4392" s="2">
        <v>46277</v>
      </c>
      <c r="D4392" t="s">
        <v>40</v>
      </c>
      <c r="E4392">
        <v>9</v>
      </c>
      <c r="F4392" s="3">
        <v>10.5</v>
      </c>
      <c r="G4392" t="s">
        <v>27</v>
      </c>
      <c r="H4392">
        <v>21</v>
      </c>
      <c r="I4392" t="s">
        <v>34</v>
      </c>
      <c r="J4392" s="4">
        <v>62.1</v>
      </c>
      <c r="K4392" s="4">
        <v>128.69999999999999</v>
      </c>
      <c r="L4392" s="4">
        <v>23.7</v>
      </c>
      <c r="M4392">
        <v>13</v>
      </c>
      <c r="N4392" t="s">
        <v>61</v>
      </c>
      <c r="O4392">
        <v>4</v>
      </c>
      <c r="P4392" s="4">
        <v>1457.2</v>
      </c>
      <c r="Q4392" t="s">
        <v>42</v>
      </c>
      <c r="R4392">
        <v>1</v>
      </c>
      <c r="S4392" t="s">
        <v>31</v>
      </c>
      <c r="T4392">
        <v>0</v>
      </c>
      <c r="U4392">
        <v>0</v>
      </c>
      <c r="V4392" t="s">
        <v>32</v>
      </c>
      <c r="W4392" t="s">
        <v>49</v>
      </c>
      <c r="X4392" s="4">
        <v>9.3000000000000007</v>
      </c>
      <c r="Y4392">
        <v>10</v>
      </c>
      <c r="Z4392" s="5">
        <v>414.68</v>
      </c>
    </row>
    <row r="4393" spans="1:26">
      <c r="A4393">
        <v>4392</v>
      </c>
      <c r="B4393">
        <v>1439</v>
      </c>
      <c r="C4393" s="2">
        <v>46202</v>
      </c>
      <c r="D4393" t="s">
        <v>46</v>
      </c>
      <c r="E4393">
        <v>6</v>
      </c>
      <c r="F4393" s="3">
        <v>10.33</v>
      </c>
      <c r="G4393" t="s">
        <v>27</v>
      </c>
      <c r="H4393">
        <v>18</v>
      </c>
      <c r="I4393" t="s">
        <v>28</v>
      </c>
      <c r="J4393" s="4">
        <v>67.5</v>
      </c>
      <c r="K4393" s="4">
        <v>162.1</v>
      </c>
      <c r="L4393" s="4">
        <v>24.6</v>
      </c>
      <c r="M4393">
        <v>13</v>
      </c>
      <c r="N4393" t="s">
        <v>47</v>
      </c>
      <c r="O4393">
        <v>1</v>
      </c>
      <c r="P4393" s="4">
        <v>167</v>
      </c>
      <c r="Q4393" t="s">
        <v>42</v>
      </c>
      <c r="R4393">
        <v>0</v>
      </c>
      <c r="S4393" t="s">
        <v>44</v>
      </c>
      <c r="T4393">
        <v>0</v>
      </c>
      <c r="U4393">
        <v>1</v>
      </c>
      <c r="V4393" t="s">
        <v>32</v>
      </c>
      <c r="W4393" t="s">
        <v>33</v>
      </c>
      <c r="X4393" s="4">
        <v>9.8000000000000007</v>
      </c>
      <c r="Y4393">
        <v>4</v>
      </c>
      <c r="Z4393" s="5">
        <v>347.07</v>
      </c>
    </row>
    <row r="4394" spans="1:26">
      <c r="A4394">
        <v>4393</v>
      </c>
      <c r="B4394">
        <v>1440</v>
      </c>
      <c r="C4394" s="2">
        <v>46078</v>
      </c>
      <c r="D4394" t="s">
        <v>52</v>
      </c>
      <c r="E4394">
        <v>2</v>
      </c>
      <c r="F4394" s="3">
        <v>12.04</v>
      </c>
      <c r="G4394" t="s">
        <v>36</v>
      </c>
      <c r="H4394">
        <v>43</v>
      </c>
      <c r="I4394" t="s">
        <v>28</v>
      </c>
      <c r="J4394" s="4">
        <v>64.400000000000006</v>
      </c>
      <c r="K4394" s="4">
        <v>200.7</v>
      </c>
      <c r="L4394" s="4">
        <v>34.1</v>
      </c>
      <c r="M4394">
        <v>18</v>
      </c>
      <c r="N4394" t="s">
        <v>47</v>
      </c>
      <c r="O4394">
        <v>4</v>
      </c>
      <c r="P4394" s="4">
        <v>65.7</v>
      </c>
      <c r="Q4394" t="s">
        <v>48</v>
      </c>
      <c r="R4394">
        <v>0</v>
      </c>
      <c r="S4394" t="s">
        <v>44</v>
      </c>
      <c r="T4394">
        <v>1</v>
      </c>
      <c r="U4394">
        <v>0</v>
      </c>
      <c r="V4394" t="s">
        <v>32</v>
      </c>
      <c r="W4394" t="s">
        <v>39</v>
      </c>
      <c r="X4394" s="4">
        <v>8.6999999999999993</v>
      </c>
      <c r="Y4394">
        <v>7</v>
      </c>
      <c r="Z4394" s="5">
        <v>310.24</v>
      </c>
    </row>
    <row r="4395" spans="1:26">
      <c r="A4395">
        <v>4394</v>
      </c>
      <c r="B4395">
        <v>1440</v>
      </c>
      <c r="C4395" s="2">
        <v>46078</v>
      </c>
      <c r="D4395" t="s">
        <v>52</v>
      </c>
      <c r="E4395">
        <v>2</v>
      </c>
      <c r="F4395" s="3">
        <v>11.96</v>
      </c>
      <c r="G4395" t="s">
        <v>36</v>
      </c>
      <c r="H4395">
        <v>44</v>
      </c>
      <c r="I4395" t="s">
        <v>34</v>
      </c>
      <c r="J4395" s="4">
        <v>67.900000000000006</v>
      </c>
      <c r="K4395" s="4">
        <v>160.1</v>
      </c>
      <c r="L4395" s="4">
        <v>24.3</v>
      </c>
      <c r="M4395">
        <v>16</v>
      </c>
      <c r="N4395" t="s">
        <v>47</v>
      </c>
      <c r="O4395">
        <v>4</v>
      </c>
      <c r="P4395" s="4">
        <v>65.7</v>
      </c>
      <c r="Q4395" t="s">
        <v>48</v>
      </c>
      <c r="R4395">
        <v>0</v>
      </c>
      <c r="S4395" t="s">
        <v>44</v>
      </c>
      <c r="T4395">
        <v>1</v>
      </c>
      <c r="U4395">
        <v>0</v>
      </c>
      <c r="V4395" t="s">
        <v>32</v>
      </c>
      <c r="W4395" t="s">
        <v>39</v>
      </c>
      <c r="X4395" s="4">
        <v>8.9</v>
      </c>
      <c r="Y4395">
        <v>6</v>
      </c>
      <c r="Z4395" s="5">
        <v>292.89999999999998</v>
      </c>
    </row>
    <row r="4396" spans="1:26">
      <c r="A4396">
        <v>4395</v>
      </c>
      <c r="B4396">
        <v>1440</v>
      </c>
      <c r="C4396" s="2">
        <v>46078</v>
      </c>
      <c r="D4396" t="s">
        <v>52</v>
      </c>
      <c r="E4396">
        <v>2</v>
      </c>
      <c r="F4396" s="3">
        <v>12.24</v>
      </c>
      <c r="G4396" t="s">
        <v>36</v>
      </c>
      <c r="H4396">
        <v>70</v>
      </c>
      <c r="I4396" t="s">
        <v>28</v>
      </c>
      <c r="J4396" s="4">
        <v>68</v>
      </c>
      <c r="K4396" s="4">
        <v>166.2</v>
      </c>
      <c r="L4396" s="4">
        <v>25.1</v>
      </c>
      <c r="M4396">
        <v>16</v>
      </c>
      <c r="N4396" t="s">
        <v>47</v>
      </c>
      <c r="O4396">
        <v>4</v>
      </c>
      <c r="P4396" s="4">
        <v>65.7</v>
      </c>
      <c r="Q4396" t="s">
        <v>48</v>
      </c>
      <c r="R4396">
        <v>0</v>
      </c>
      <c r="S4396" t="s">
        <v>44</v>
      </c>
      <c r="T4396">
        <v>1</v>
      </c>
      <c r="U4396">
        <v>0</v>
      </c>
      <c r="V4396" t="s">
        <v>32</v>
      </c>
      <c r="W4396" t="s">
        <v>39</v>
      </c>
      <c r="X4396" s="4">
        <v>8.6</v>
      </c>
      <c r="Y4396">
        <v>10</v>
      </c>
      <c r="Z4396" s="5">
        <v>243.04</v>
      </c>
    </row>
    <row r="4397" spans="1:26">
      <c r="A4397">
        <v>4396</v>
      </c>
      <c r="B4397">
        <v>1440</v>
      </c>
      <c r="C4397" s="2">
        <v>46078</v>
      </c>
      <c r="D4397" t="s">
        <v>52</v>
      </c>
      <c r="E4397">
        <v>2</v>
      </c>
      <c r="F4397" s="3">
        <v>12.08</v>
      </c>
      <c r="G4397" t="s">
        <v>36</v>
      </c>
      <c r="H4397">
        <v>31</v>
      </c>
      <c r="I4397" t="s">
        <v>34</v>
      </c>
      <c r="J4397" s="4">
        <v>65.7</v>
      </c>
      <c r="K4397" s="4">
        <v>165.7</v>
      </c>
      <c r="L4397" s="4">
        <v>27</v>
      </c>
      <c r="M4397">
        <v>15</v>
      </c>
      <c r="N4397" t="s">
        <v>47</v>
      </c>
      <c r="O4397">
        <v>4</v>
      </c>
      <c r="P4397" s="4">
        <v>65.7</v>
      </c>
      <c r="Q4397" t="s">
        <v>48</v>
      </c>
      <c r="R4397">
        <v>0</v>
      </c>
      <c r="S4397" t="s">
        <v>44</v>
      </c>
      <c r="T4397">
        <v>1</v>
      </c>
      <c r="U4397">
        <v>0</v>
      </c>
      <c r="V4397" t="s">
        <v>32</v>
      </c>
      <c r="W4397" t="s">
        <v>39</v>
      </c>
      <c r="X4397" s="4">
        <v>10.199999999999999</v>
      </c>
      <c r="Y4397">
        <v>7</v>
      </c>
      <c r="Z4397" s="5">
        <v>194.36</v>
      </c>
    </row>
    <row r="4398" spans="1:26">
      <c r="A4398">
        <v>4397</v>
      </c>
      <c r="B4398">
        <v>1441</v>
      </c>
      <c r="C4398" s="2">
        <v>46065</v>
      </c>
      <c r="D4398" t="s">
        <v>55</v>
      </c>
      <c r="E4398">
        <v>2</v>
      </c>
      <c r="F4398" s="3">
        <v>8.02</v>
      </c>
      <c r="G4398" t="s">
        <v>27</v>
      </c>
      <c r="H4398">
        <v>32</v>
      </c>
      <c r="I4398" t="s">
        <v>28</v>
      </c>
      <c r="J4398" s="4">
        <v>65.2</v>
      </c>
      <c r="K4398" s="4">
        <v>148.69999999999999</v>
      </c>
      <c r="L4398" s="4">
        <v>24.7</v>
      </c>
      <c r="M4398">
        <v>13</v>
      </c>
      <c r="N4398" t="s">
        <v>47</v>
      </c>
      <c r="O4398">
        <v>3</v>
      </c>
      <c r="P4398" s="4">
        <v>99.9</v>
      </c>
      <c r="Q4398" t="s">
        <v>42</v>
      </c>
      <c r="R4398">
        <v>0</v>
      </c>
      <c r="S4398" t="s">
        <v>38</v>
      </c>
      <c r="T4398">
        <v>1</v>
      </c>
      <c r="U4398">
        <v>0</v>
      </c>
      <c r="V4398" t="s">
        <v>45</v>
      </c>
      <c r="W4398" t="s">
        <v>39</v>
      </c>
      <c r="X4398" s="4">
        <v>11.2</v>
      </c>
      <c r="Y4398">
        <v>9</v>
      </c>
      <c r="Z4398" s="5">
        <v>120.58</v>
      </c>
    </row>
    <row r="4399" spans="1:26">
      <c r="A4399">
        <v>4398</v>
      </c>
      <c r="B4399">
        <v>1441</v>
      </c>
      <c r="C4399" s="2">
        <v>46065</v>
      </c>
      <c r="D4399" t="s">
        <v>55</v>
      </c>
      <c r="E4399">
        <v>2</v>
      </c>
      <c r="F4399" s="3">
        <v>8.1</v>
      </c>
      <c r="G4399" t="s">
        <v>27</v>
      </c>
      <c r="H4399">
        <v>29</v>
      </c>
      <c r="I4399" t="s">
        <v>28</v>
      </c>
      <c r="J4399" s="4">
        <v>67.900000000000006</v>
      </c>
      <c r="K4399" s="4">
        <v>174.7</v>
      </c>
      <c r="L4399" s="4">
        <v>26.8</v>
      </c>
      <c r="M4399">
        <v>16</v>
      </c>
      <c r="N4399" t="s">
        <v>47</v>
      </c>
      <c r="O4399">
        <v>3</v>
      </c>
      <c r="P4399" s="4">
        <v>99.9</v>
      </c>
      <c r="Q4399" t="s">
        <v>42</v>
      </c>
      <c r="R4399">
        <v>0</v>
      </c>
      <c r="S4399" t="s">
        <v>38</v>
      </c>
      <c r="T4399">
        <v>1</v>
      </c>
      <c r="U4399">
        <v>0</v>
      </c>
      <c r="V4399" t="s">
        <v>45</v>
      </c>
      <c r="W4399" t="s">
        <v>39</v>
      </c>
      <c r="X4399" s="4">
        <v>7.9</v>
      </c>
      <c r="Y4399">
        <v>11</v>
      </c>
      <c r="Z4399" s="5">
        <v>239.46</v>
      </c>
    </row>
    <row r="4400" spans="1:26">
      <c r="A4400">
        <v>4399</v>
      </c>
      <c r="B4400">
        <v>1441</v>
      </c>
      <c r="C4400" s="2">
        <v>46065</v>
      </c>
      <c r="D4400" t="s">
        <v>55</v>
      </c>
      <c r="E4400">
        <v>2</v>
      </c>
      <c r="F4400" s="3">
        <v>8.0299999999999994</v>
      </c>
      <c r="G4400" t="s">
        <v>27</v>
      </c>
      <c r="H4400">
        <v>54</v>
      </c>
      <c r="I4400" t="s">
        <v>34</v>
      </c>
      <c r="J4400" s="4">
        <v>66.2</v>
      </c>
      <c r="K4400" s="4">
        <v>153.19999999999999</v>
      </c>
      <c r="L4400" s="4">
        <v>24.7</v>
      </c>
      <c r="M4400">
        <v>13</v>
      </c>
      <c r="N4400" t="s">
        <v>47</v>
      </c>
      <c r="O4400">
        <v>3</v>
      </c>
      <c r="P4400" s="4">
        <v>99.9</v>
      </c>
      <c r="Q4400" t="s">
        <v>42</v>
      </c>
      <c r="R4400">
        <v>0</v>
      </c>
      <c r="S4400" t="s">
        <v>38</v>
      </c>
      <c r="T4400">
        <v>1</v>
      </c>
      <c r="U4400">
        <v>0</v>
      </c>
      <c r="V4400" t="s">
        <v>45</v>
      </c>
      <c r="W4400" t="s">
        <v>39</v>
      </c>
      <c r="X4400" s="4">
        <v>8.4</v>
      </c>
      <c r="Y4400">
        <v>8</v>
      </c>
      <c r="Z4400" s="5">
        <v>294.54000000000002</v>
      </c>
    </row>
    <row r="4401" spans="1:26">
      <c r="A4401">
        <v>4400</v>
      </c>
      <c r="B4401">
        <v>1442</v>
      </c>
      <c r="C4401" s="2">
        <v>46327</v>
      </c>
      <c r="D4401" t="s">
        <v>58</v>
      </c>
      <c r="E4401">
        <v>11</v>
      </c>
      <c r="F4401" s="3">
        <v>11.36</v>
      </c>
      <c r="G4401" t="s">
        <v>36</v>
      </c>
      <c r="H4401">
        <v>43</v>
      </c>
      <c r="I4401" t="s">
        <v>28</v>
      </c>
      <c r="J4401" s="4">
        <v>67.2</v>
      </c>
      <c r="K4401" s="4">
        <v>176.2</v>
      </c>
      <c r="L4401" s="4">
        <v>27.6</v>
      </c>
      <c r="M4401">
        <v>16</v>
      </c>
      <c r="N4401" t="s">
        <v>54</v>
      </c>
      <c r="O4401">
        <v>4</v>
      </c>
      <c r="P4401" s="4">
        <v>3196.2</v>
      </c>
      <c r="Q4401" t="s">
        <v>48</v>
      </c>
      <c r="R4401">
        <v>1</v>
      </c>
      <c r="S4401" t="s">
        <v>44</v>
      </c>
      <c r="T4401">
        <v>1</v>
      </c>
      <c r="U4401">
        <v>0</v>
      </c>
      <c r="V4401" t="s">
        <v>32</v>
      </c>
      <c r="W4401" t="s">
        <v>39</v>
      </c>
      <c r="X4401" s="4">
        <v>8</v>
      </c>
      <c r="Y4401">
        <v>8</v>
      </c>
      <c r="Z4401" s="5">
        <v>400.49</v>
      </c>
    </row>
    <row r="4402" spans="1:26">
      <c r="A4402">
        <v>4401</v>
      </c>
      <c r="B4402">
        <v>1442</v>
      </c>
      <c r="C4402" s="2">
        <v>46327</v>
      </c>
      <c r="D4402" t="s">
        <v>58</v>
      </c>
      <c r="E4402">
        <v>11</v>
      </c>
      <c r="F4402" s="3">
        <v>11.15</v>
      </c>
      <c r="G4402" t="s">
        <v>36</v>
      </c>
      <c r="H4402">
        <v>39</v>
      </c>
      <c r="I4402" t="s">
        <v>34</v>
      </c>
      <c r="J4402" s="4">
        <v>61.2</v>
      </c>
      <c r="K4402" s="4">
        <v>122.3</v>
      </c>
      <c r="L4402" s="4">
        <v>23.1</v>
      </c>
      <c r="M4402">
        <v>17</v>
      </c>
      <c r="N4402" t="s">
        <v>54</v>
      </c>
      <c r="O4402">
        <v>4</v>
      </c>
      <c r="P4402" s="4">
        <v>3196.2</v>
      </c>
      <c r="Q4402" t="s">
        <v>48</v>
      </c>
      <c r="R4402">
        <v>1</v>
      </c>
      <c r="S4402" t="s">
        <v>44</v>
      </c>
      <c r="T4402">
        <v>1</v>
      </c>
      <c r="U4402">
        <v>0</v>
      </c>
      <c r="V4402" t="s">
        <v>32</v>
      </c>
      <c r="W4402" t="s">
        <v>39</v>
      </c>
      <c r="X4402" s="4">
        <v>4.4000000000000004</v>
      </c>
      <c r="Y4402">
        <v>11</v>
      </c>
      <c r="Z4402" s="5">
        <v>214.37</v>
      </c>
    </row>
    <row r="4403" spans="1:26">
      <c r="A4403">
        <v>4402</v>
      </c>
      <c r="B4403">
        <v>1442</v>
      </c>
      <c r="C4403" s="2">
        <v>46327</v>
      </c>
      <c r="D4403" t="s">
        <v>58</v>
      </c>
      <c r="E4403">
        <v>11</v>
      </c>
      <c r="F4403" s="3">
        <v>11.33</v>
      </c>
      <c r="G4403" t="s">
        <v>36</v>
      </c>
      <c r="H4403">
        <v>56</v>
      </c>
      <c r="I4403" t="s">
        <v>34</v>
      </c>
      <c r="J4403" s="4">
        <v>62.7</v>
      </c>
      <c r="K4403" s="4">
        <v>153</v>
      </c>
      <c r="L4403" s="4">
        <v>27.4</v>
      </c>
      <c r="M4403">
        <v>17</v>
      </c>
      <c r="N4403" t="s">
        <v>54</v>
      </c>
      <c r="O4403">
        <v>4</v>
      </c>
      <c r="P4403" s="4">
        <v>3196.2</v>
      </c>
      <c r="Q4403" t="s">
        <v>48</v>
      </c>
      <c r="R4403">
        <v>1</v>
      </c>
      <c r="S4403" t="s">
        <v>44</v>
      </c>
      <c r="T4403">
        <v>1</v>
      </c>
      <c r="U4403">
        <v>0</v>
      </c>
      <c r="V4403" t="s">
        <v>32</v>
      </c>
      <c r="W4403" t="s">
        <v>39</v>
      </c>
      <c r="X4403" s="4">
        <v>8.1</v>
      </c>
      <c r="Y4403">
        <v>10</v>
      </c>
      <c r="Z4403" s="5">
        <v>275.86</v>
      </c>
    </row>
    <row r="4404" spans="1:26">
      <c r="A4404">
        <v>4403</v>
      </c>
      <c r="B4404">
        <v>1442</v>
      </c>
      <c r="C4404" s="2">
        <v>46327</v>
      </c>
      <c r="D4404" t="s">
        <v>58</v>
      </c>
      <c r="E4404">
        <v>11</v>
      </c>
      <c r="F4404" s="3">
        <v>11.18</v>
      </c>
      <c r="G4404" t="s">
        <v>36</v>
      </c>
      <c r="H4404">
        <v>43</v>
      </c>
      <c r="I4404" t="s">
        <v>34</v>
      </c>
      <c r="J4404" s="4">
        <v>65.2</v>
      </c>
      <c r="K4404" s="4">
        <v>152.19999999999999</v>
      </c>
      <c r="L4404" s="4">
        <v>25.4</v>
      </c>
      <c r="M4404">
        <v>19</v>
      </c>
      <c r="N4404" t="s">
        <v>54</v>
      </c>
      <c r="O4404">
        <v>4</v>
      </c>
      <c r="P4404" s="4">
        <v>3196.2</v>
      </c>
      <c r="Q4404" t="s">
        <v>48</v>
      </c>
      <c r="R4404">
        <v>1</v>
      </c>
      <c r="S4404" t="s">
        <v>44</v>
      </c>
      <c r="T4404">
        <v>1</v>
      </c>
      <c r="U4404">
        <v>0</v>
      </c>
      <c r="V4404" t="s">
        <v>32</v>
      </c>
      <c r="W4404" t="s">
        <v>39</v>
      </c>
      <c r="X4404" s="4">
        <v>8.6999999999999993</v>
      </c>
      <c r="Y4404">
        <v>11</v>
      </c>
      <c r="Z4404" s="5">
        <v>352.76</v>
      </c>
    </row>
    <row r="4405" spans="1:26">
      <c r="A4405">
        <v>4404</v>
      </c>
      <c r="B4405">
        <v>1443</v>
      </c>
      <c r="C4405" s="2">
        <v>46097</v>
      </c>
      <c r="D4405" t="s">
        <v>46</v>
      </c>
      <c r="E4405">
        <v>3</v>
      </c>
      <c r="F4405" s="3">
        <v>10.27</v>
      </c>
      <c r="G4405" t="s">
        <v>27</v>
      </c>
      <c r="H4405">
        <v>37</v>
      </c>
      <c r="I4405" t="s">
        <v>28</v>
      </c>
      <c r="J4405" s="4">
        <v>70.900000000000006</v>
      </c>
      <c r="K4405" s="4">
        <v>182.3</v>
      </c>
      <c r="L4405" s="4">
        <v>25.3</v>
      </c>
      <c r="M4405">
        <v>13</v>
      </c>
      <c r="N4405" t="s">
        <v>60</v>
      </c>
      <c r="O4405">
        <v>2</v>
      </c>
      <c r="P4405" s="4">
        <v>1602.2</v>
      </c>
      <c r="Q4405" t="s">
        <v>30</v>
      </c>
      <c r="R4405">
        <v>0</v>
      </c>
      <c r="S4405" t="s">
        <v>44</v>
      </c>
      <c r="T4405">
        <v>0</v>
      </c>
      <c r="U4405">
        <v>0</v>
      </c>
      <c r="V4405" t="s">
        <v>32</v>
      </c>
      <c r="W4405" t="s">
        <v>49</v>
      </c>
      <c r="X4405" s="4">
        <v>6.2</v>
      </c>
      <c r="Y4405">
        <v>9</v>
      </c>
      <c r="Z4405" s="5">
        <v>116.54</v>
      </c>
    </row>
    <row r="4406" spans="1:26">
      <c r="A4406">
        <v>4405</v>
      </c>
      <c r="B4406">
        <v>1443</v>
      </c>
      <c r="C4406" s="2">
        <v>46097</v>
      </c>
      <c r="D4406" t="s">
        <v>46</v>
      </c>
      <c r="E4406">
        <v>3</v>
      </c>
      <c r="F4406" s="3">
        <v>10.45</v>
      </c>
      <c r="G4406" t="s">
        <v>27</v>
      </c>
      <c r="H4406">
        <v>66</v>
      </c>
      <c r="I4406" t="s">
        <v>34</v>
      </c>
      <c r="J4406" s="4">
        <v>60.3</v>
      </c>
      <c r="K4406" s="4">
        <v>147.80000000000001</v>
      </c>
      <c r="L4406" s="4">
        <v>28.7</v>
      </c>
      <c r="M4406">
        <v>14</v>
      </c>
      <c r="N4406" t="s">
        <v>60</v>
      </c>
      <c r="O4406">
        <v>2</v>
      </c>
      <c r="P4406" s="4">
        <v>1602.2</v>
      </c>
      <c r="Q4406" t="s">
        <v>30</v>
      </c>
      <c r="R4406">
        <v>0</v>
      </c>
      <c r="S4406" t="s">
        <v>44</v>
      </c>
      <c r="T4406">
        <v>0</v>
      </c>
      <c r="U4406">
        <v>0</v>
      </c>
      <c r="V4406" t="s">
        <v>32</v>
      </c>
      <c r="W4406" t="s">
        <v>49</v>
      </c>
      <c r="X4406" s="4">
        <v>7.5</v>
      </c>
      <c r="Y4406">
        <v>5</v>
      </c>
      <c r="Z4406" s="5">
        <v>116.02</v>
      </c>
    </row>
    <row r="4407" spans="1:26">
      <c r="A4407">
        <v>4406</v>
      </c>
      <c r="B4407">
        <v>1444</v>
      </c>
      <c r="C4407" s="2">
        <v>46025</v>
      </c>
      <c r="D4407" t="s">
        <v>40</v>
      </c>
      <c r="E4407">
        <v>1</v>
      </c>
      <c r="F4407" s="3">
        <v>11.32</v>
      </c>
      <c r="G4407" t="s">
        <v>36</v>
      </c>
      <c r="H4407">
        <v>32</v>
      </c>
      <c r="I4407" t="s">
        <v>28</v>
      </c>
      <c r="J4407" s="4">
        <v>70.400000000000006</v>
      </c>
      <c r="K4407" s="4">
        <v>174.6</v>
      </c>
      <c r="L4407" s="4">
        <v>24.7</v>
      </c>
      <c r="M4407">
        <v>12</v>
      </c>
      <c r="N4407" t="s">
        <v>29</v>
      </c>
      <c r="O4407">
        <v>4</v>
      </c>
      <c r="P4407" s="4">
        <v>2343.1</v>
      </c>
      <c r="Q4407" t="s">
        <v>30</v>
      </c>
      <c r="R4407">
        <v>1</v>
      </c>
      <c r="S4407" t="s">
        <v>31</v>
      </c>
      <c r="T4407">
        <v>0</v>
      </c>
      <c r="U4407">
        <v>0</v>
      </c>
      <c r="V4407" t="s">
        <v>32</v>
      </c>
      <c r="W4407" t="s">
        <v>39</v>
      </c>
      <c r="X4407" s="4">
        <v>8.1999999999999993</v>
      </c>
      <c r="Y4407">
        <v>4</v>
      </c>
      <c r="Z4407" s="5">
        <v>185.91</v>
      </c>
    </row>
    <row r="4408" spans="1:26">
      <c r="A4408">
        <v>4407</v>
      </c>
      <c r="B4408">
        <v>1444</v>
      </c>
      <c r="C4408" s="2">
        <v>46025</v>
      </c>
      <c r="D4408" t="s">
        <v>40</v>
      </c>
      <c r="E4408">
        <v>1</v>
      </c>
      <c r="F4408" s="3">
        <v>11.23</v>
      </c>
      <c r="G4408" t="s">
        <v>36</v>
      </c>
      <c r="H4408">
        <v>50</v>
      </c>
      <c r="I4408" t="s">
        <v>28</v>
      </c>
      <c r="J4408" s="4">
        <v>69.2</v>
      </c>
      <c r="K4408" s="4">
        <v>201.8</v>
      </c>
      <c r="L4408" s="4">
        <v>29.7</v>
      </c>
      <c r="M4408">
        <v>12</v>
      </c>
      <c r="N4408" t="s">
        <v>29</v>
      </c>
      <c r="O4408">
        <v>4</v>
      </c>
      <c r="P4408" s="4">
        <v>2343.1</v>
      </c>
      <c r="Q4408" t="s">
        <v>30</v>
      </c>
      <c r="R4408">
        <v>1</v>
      </c>
      <c r="S4408" t="s">
        <v>31</v>
      </c>
      <c r="T4408">
        <v>0</v>
      </c>
      <c r="U4408">
        <v>0</v>
      </c>
      <c r="V4408" t="s">
        <v>32</v>
      </c>
      <c r="W4408" t="s">
        <v>39</v>
      </c>
      <c r="X4408" s="4">
        <v>8.6999999999999993</v>
      </c>
      <c r="Y4408">
        <v>7</v>
      </c>
      <c r="Z4408" s="5">
        <v>107.43</v>
      </c>
    </row>
    <row r="4409" spans="1:26">
      <c r="A4409">
        <v>4408</v>
      </c>
      <c r="B4409">
        <v>1444</v>
      </c>
      <c r="C4409" s="2">
        <v>46025</v>
      </c>
      <c r="D4409" t="s">
        <v>40</v>
      </c>
      <c r="E4409">
        <v>1</v>
      </c>
      <c r="F4409" s="3">
        <v>10.92</v>
      </c>
      <c r="G4409" t="s">
        <v>27</v>
      </c>
      <c r="H4409">
        <v>74</v>
      </c>
      <c r="I4409" t="s">
        <v>28</v>
      </c>
      <c r="J4409" s="4">
        <v>68.3</v>
      </c>
      <c r="K4409" s="4">
        <v>135.9</v>
      </c>
      <c r="L4409" s="4">
        <v>20.5</v>
      </c>
      <c r="M4409">
        <v>14</v>
      </c>
      <c r="N4409" t="s">
        <v>29</v>
      </c>
      <c r="O4409">
        <v>4</v>
      </c>
      <c r="P4409" s="4">
        <v>2343.1</v>
      </c>
      <c r="Q4409" t="s">
        <v>30</v>
      </c>
      <c r="R4409">
        <v>1</v>
      </c>
      <c r="S4409" t="s">
        <v>31</v>
      </c>
      <c r="T4409">
        <v>0</v>
      </c>
      <c r="U4409">
        <v>0</v>
      </c>
      <c r="V4409" t="s">
        <v>32</v>
      </c>
      <c r="W4409" t="s">
        <v>39</v>
      </c>
      <c r="X4409" s="4">
        <v>8.1</v>
      </c>
      <c r="Y4409">
        <v>10</v>
      </c>
      <c r="Z4409" s="5">
        <v>262.29000000000002</v>
      </c>
    </row>
    <row r="4410" spans="1:26">
      <c r="A4410">
        <v>4409</v>
      </c>
      <c r="B4410">
        <v>1444</v>
      </c>
      <c r="C4410" s="2">
        <v>46025</v>
      </c>
      <c r="D4410" t="s">
        <v>40</v>
      </c>
      <c r="E4410">
        <v>1</v>
      </c>
      <c r="F4410" s="3">
        <v>11.05</v>
      </c>
      <c r="G4410" t="s">
        <v>36</v>
      </c>
      <c r="H4410">
        <v>62</v>
      </c>
      <c r="I4410" t="s">
        <v>28</v>
      </c>
      <c r="J4410" s="4">
        <v>64.7</v>
      </c>
      <c r="K4410" s="4">
        <v>145.30000000000001</v>
      </c>
      <c r="L4410" s="4">
        <v>24.3</v>
      </c>
      <c r="M4410">
        <v>18</v>
      </c>
      <c r="N4410" t="s">
        <v>29</v>
      </c>
      <c r="O4410">
        <v>4</v>
      </c>
      <c r="P4410" s="4">
        <v>2343.1</v>
      </c>
      <c r="Q4410" t="s">
        <v>30</v>
      </c>
      <c r="R4410">
        <v>1</v>
      </c>
      <c r="S4410" t="s">
        <v>31</v>
      </c>
      <c r="T4410">
        <v>0</v>
      </c>
      <c r="U4410">
        <v>0</v>
      </c>
      <c r="V4410" t="s">
        <v>32</v>
      </c>
      <c r="W4410" t="s">
        <v>39</v>
      </c>
      <c r="X4410" s="4">
        <v>9.6</v>
      </c>
      <c r="Y4410">
        <v>2</v>
      </c>
      <c r="Z4410" s="5">
        <v>188.54</v>
      </c>
    </row>
    <row r="4411" spans="1:26">
      <c r="A4411">
        <v>4410</v>
      </c>
      <c r="B4411">
        <v>1445</v>
      </c>
      <c r="C4411" s="2">
        <v>46232</v>
      </c>
      <c r="D4411" t="s">
        <v>52</v>
      </c>
      <c r="E4411">
        <v>7</v>
      </c>
      <c r="F4411" s="3">
        <v>9.25</v>
      </c>
      <c r="G4411" t="s">
        <v>27</v>
      </c>
      <c r="H4411">
        <v>7</v>
      </c>
      <c r="I4411" t="s">
        <v>34</v>
      </c>
      <c r="J4411" s="4">
        <v>55.6</v>
      </c>
      <c r="K4411" s="4">
        <v>67.099999999999994</v>
      </c>
      <c r="L4411" s="4">
        <v>15.3</v>
      </c>
      <c r="M4411">
        <v>9</v>
      </c>
      <c r="N4411" t="s">
        <v>61</v>
      </c>
      <c r="O4411">
        <v>2</v>
      </c>
      <c r="P4411" s="4">
        <v>1518.2</v>
      </c>
      <c r="Q4411" t="s">
        <v>30</v>
      </c>
      <c r="R4411">
        <v>1</v>
      </c>
      <c r="S4411" t="s">
        <v>44</v>
      </c>
      <c r="T4411">
        <v>1</v>
      </c>
      <c r="U4411">
        <v>1</v>
      </c>
      <c r="V4411" t="s">
        <v>64</v>
      </c>
      <c r="W4411" t="s">
        <v>39</v>
      </c>
      <c r="X4411" s="4">
        <v>9.5</v>
      </c>
      <c r="Y4411">
        <v>6</v>
      </c>
      <c r="Z4411" s="5">
        <v>241.9</v>
      </c>
    </row>
    <row r="4412" spans="1:26">
      <c r="A4412">
        <v>4411</v>
      </c>
      <c r="B4412">
        <v>1445</v>
      </c>
      <c r="C4412" s="2">
        <v>46232</v>
      </c>
      <c r="D4412" t="s">
        <v>52</v>
      </c>
      <c r="E4412">
        <v>7</v>
      </c>
      <c r="F4412" s="3">
        <v>9.2899999999999991</v>
      </c>
      <c r="G4412" t="s">
        <v>27</v>
      </c>
      <c r="H4412">
        <v>3</v>
      </c>
      <c r="I4412" t="s">
        <v>28</v>
      </c>
      <c r="J4412" s="4">
        <v>54.2</v>
      </c>
      <c r="K4412" s="4">
        <v>88.9</v>
      </c>
      <c r="L4412" s="4">
        <v>21.1</v>
      </c>
      <c r="M4412">
        <v>12</v>
      </c>
      <c r="N4412" t="s">
        <v>61</v>
      </c>
      <c r="O4412">
        <v>2</v>
      </c>
      <c r="P4412" s="4">
        <v>1518.2</v>
      </c>
      <c r="Q4412" t="s">
        <v>30</v>
      </c>
      <c r="R4412">
        <v>1</v>
      </c>
      <c r="S4412" t="s">
        <v>44</v>
      </c>
      <c r="T4412">
        <v>1</v>
      </c>
      <c r="U4412">
        <v>1</v>
      </c>
      <c r="V4412" t="s">
        <v>64</v>
      </c>
      <c r="W4412" t="s">
        <v>39</v>
      </c>
      <c r="X4412" s="4">
        <v>9.3000000000000007</v>
      </c>
      <c r="Y4412">
        <v>6</v>
      </c>
      <c r="Z4412" s="5">
        <v>232.57</v>
      </c>
    </row>
    <row r="4413" spans="1:26">
      <c r="A4413">
        <v>4412</v>
      </c>
      <c r="B4413">
        <v>1446</v>
      </c>
      <c r="C4413" s="2">
        <v>46040</v>
      </c>
      <c r="D4413" t="s">
        <v>58</v>
      </c>
      <c r="E4413">
        <v>1</v>
      </c>
      <c r="F4413" s="3">
        <v>10.58</v>
      </c>
      <c r="G4413" t="s">
        <v>27</v>
      </c>
      <c r="H4413">
        <v>7</v>
      </c>
      <c r="I4413" t="s">
        <v>34</v>
      </c>
      <c r="J4413" s="4">
        <v>56.7</v>
      </c>
      <c r="K4413" s="4">
        <v>113.7</v>
      </c>
      <c r="L4413" s="4">
        <v>24.9</v>
      </c>
      <c r="M4413">
        <v>15</v>
      </c>
      <c r="N4413" t="s">
        <v>41</v>
      </c>
      <c r="O4413">
        <v>4</v>
      </c>
      <c r="P4413" s="4">
        <v>2197.1999999999998</v>
      </c>
      <c r="Q4413" t="s">
        <v>42</v>
      </c>
      <c r="R4413">
        <v>1</v>
      </c>
      <c r="S4413" t="s">
        <v>38</v>
      </c>
      <c r="T4413">
        <v>1</v>
      </c>
      <c r="U4413">
        <v>1</v>
      </c>
      <c r="V4413" t="s">
        <v>32</v>
      </c>
      <c r="W4413" t="s">
        <v>39</v>
      </c>
      <c r="X4413" s="4">
        <v>7</v>
      </c>
      <c r="Y4413">
        <v>10</v>
      </c>
      <c r="Z4413" s="5">
        <v>361.79</v>
      </c>
    </row>
    <row r="4414" spans="1:26">
      <c r="A4414">
        <v>4413</v>
      </c>
      <c r="B4414">
        <v>1446</v>
      </c>
      <c r="C4414" s="2">
        <v>46040</v>
      </c>
      <c r="D4414" t="s">
        <v>58</v>
      </c>
      <c r="E4414">
        <v>1</v>
      </c>
      <c r="F4414" s="3">
        <v>10.61</v>
      </c>
      <c r="G4414" t="s">
        <v>27</v>
      </c>
      <c r="H4414">
        <v>31</v>
      </c>
      <c r="I4414" t="s">
        <v>34</v>
      </c>
      <c r="J4414" s="4">
        <v>60.1</v>
      </c>
      <c r="K4414" s="4">
        <v>135.80000000000001</v>
      </c>
      <c r="L4414" s="4">
        <v>26.4</v>
      </c>
      <c r="M4414">
        <v>13</v>
      </c>
      <c r="N4414" t="s">
        <v>41</v>
      </c>
      <c r="O4414">
        <v>4</v>
      </c>
      <c r="P4414" s="4">
        <v>2197.1999999999998</v>
      </c>
      <c r="Q4414" t="s">
        <v>42</v>
      </c>
      <c r="R4414">
        <v>1</v>
      </c>
      <c r="S4414" t="s">
        <v>38</v>
      </c>
      <c r="T4414">
        <v>1</v>
      </c>
      <c r="U4414">
        <v>1</v>
      </c>
      <c r="V4414" t="s">
        <v>32</v>
      </c>
      <c r="W4414" t="s">
        <v>39</v>
      </c>
      <c r="X4414" s="4">
        <v>6.4</v>
      </c>
      <c r="Y4414">
        <v>3</v>
      </c>
      <c r="Z4414" s="5">
        <v>187.12</v>
      </c>
    </row>
    <row r="4415" spans="1:26">
      <c r="A4415">
        <v>4414</v>
      </c>
      <c r="B4415">
        <v>1446</v>
      </c>
      <c r="C4415" s="2">
        <v>46040</v>
      </c>
      <c r="D4415" t="s">
        <v>58</v>
      </c>
      <c r="E4415">
        <v>1</v>
      </c>
      <c r="F4415" s="3">
        <v>10.62</v>
      </c>
      <c r="G4415" t="s">
        <v>27</v>
      </c>
      <c r="H4415">
        <v>22</v>
      </c>
      <c r="I4415" t="s">
        <v>34</v>
      </c>
      <c r="J4415" s="4">
        <v>65.099999999999994</v>
      </c>
      <c r="K4415" s="4">
        <v>151.30000000000001</v>
      </c>
      <c r="L4415" s="4">
        <v>25.2</v>
      </c>
      <c r="M4415">
        <v>16</v>
      </c>
      <c r="N4415" t="s">
        <v>41</v>
      </c>
      <c r="O4415">
        <v>4</v>
      </c>
      <c r="P4415" s="4">
        <v>2197.1999999999998</v>
      </c>
      <c r="Q4415" t="s">
        <v>42</v>
      </c>
      <c r="R4415">
        <v>1</v>
      </c>
      <c r="S4415" t="s">
        <v>38</v>
      </c>
      <c r="T4415">
        <v>1</v>
      </c>
      <c r="U4415">
        <v>1</v>
      </c>
      <c r="V4415" t="s">
        <v>32</v>
      </c>
      <c r="W4415" t="s">
        <v>39</v>
      </c>
      <c r="X4415" s="4">
        <v>10.1</v>
      </c>
      <c r="Y4415">
        <v>11</v>
      </c>
      <c r="Z4415" s="5">
        <v>171.51</v>
      </c>
    </row>
    <row r="4416" spans="1:26">
      <c r="A4416">
        <v>4415</v>
      </c>
      <c r="B4416">
        <v>1446</v>
      </c>
      <c r="C4416" s="2">
        <v>46040</v>
      </c>
      <c r="D4416" t="s">
        <v>58</v>
      </c>
      <c r="E4416">
        <v>1</v>
      </c>
      <c r="F4416" s="3">
        <v>10.41</v>
      </c>
      <c r="G4416" t="s">
        <v>27</v>
      </c>
      <c r="H4416">
        <v>9</v>
      </c>
      <c r="I4416" t="s">
        <v>34</v>
      </c>
      <c r="J4416" s="4">
        <v>63.8</v>
      </c>
      <c r="K4416" s="4">
        <v>109.1</v>
      </c>
      <c r="L4416" s="4">
        <v>19.100000000000001</v>
      </c>
      <c r="M4416">
        <v>14</v>
      </c>
      <c r="N4416" t="s">
        <v>41</v>
      </c>
      <c r="O4416">
        <v>4</v>
      </c>
      <c r="P4416" s="4">
        <v>2197.1999999999998</v>
      </c>
      <c r="Q4416" t="s">
        <v>42</v>
      </c>
      <c r="R4416">
        <v>1</v>
      </c>
      <c r="S4416" t="s">
        <v>38</v>
      </c>
      <c r="T4416">
        <v>1</v>
      </c>
      <c r="U4416">
        <v>1</v>
      </c>
      <c r="V4416" t="s">
        <v>32</v>
      </c>
      <c r="W4416" t="s">
        <v>39</v>
      </c>
      <c r="X4416" s="4">
        <v>7.7</v>
      </c>
      <c r="Y4416">
        <v>12</v>
      </c>
      <c r="Z4416" s="5">
        <v>229.67</v>
      </c>
    </row>
    <row r="4417" spans="1:26">
      <c r="A4417">
        <v>4416</v>
      </c>
      <c r="B4417">
        <v>1447</v>
      </c>
      <c r="C4417" s="2">
        <v>46057</v>
      </c>
      <c r="D4417" t="s">
        <v>52</v>
      </c>
      <c r="E4417">
        <v>2</v>
      </c>
      <c r="F4417" s="3">
        <v>11.75</v>
      </c>
      <c r="G4417" t="s">
        <v>36</v>
      </c>
      <c r="H4417">
        <v>64</v>
      </c>
      <c r="I4417" t="s">
        <v>28</v>
      </c>
      <c r="J4417" s="4">
        <v>70.5</v>
      </c>
      <c r="K4417" s="4">
        <v>202</v>
      </c>
      <c r="L4417" s="4">
        <v>28.5</v>
      </c>
      <c r="M4417">
        <v>18</v>
      </c>
      <c r="N4417" t="s">
        <v>60</v>
      </c>
      <c r="O4417">
        <v>2</v>
      </c>
      <c r="P4417" s="4">
        <v>1301.2</v>
      </c>
      <c r="Q4417" t="s">
        <v>42</v>
      </c>
      <c r="R4417">
        <v>1</v>
      </c>
      <c r="S4417" t="s">
        <v>44</v>
      </c>
      <c r="T4417">
        <v>0</v>
      </c>
      <c r="U4417">
        <v>0</v>
      </c>
      <c r="V4417" t="s">
        <v>32</v>
      </c>
      <c r="W4417" t="s">
        <v>39</v>
      </c>
      <c r="X4417" s="4">
        <v>7.3</v>
      </c>
      <c r="Y4417">
        <v>9</v>
      </c>
      <c r="Z4417" s="5">
        <v>226.67</v>
      </c>
    </row>
    <row r="4418" spans="1:26">
      <c r="A4418">
        <v>4417</v>
      </c>
      <c r="B4418">
        <v>1447</v>
      </c>
      <c r="C4418" s="2">
        <v>46057</v>
      </c>
      <c r="D4418" t="s">
        <v>52</v>
      </c>
      <c r="E4418">
        <v>2</v>
      </c>
      <c r="F4418" s="3">
        <v>11.87</v>
      </c>
      <c r="G4418" t="s">
        <v>36</v>
      </c>
      <c r="H4418">
        <v>43</v>
      </c>
      <c r="I4418" t="s">
        <v>28</v>
      </c>
      <c r="J4418" s="4">
        <v>71.7</v>
      </c>
      <c r="K4418" s="4">
        <v>143.5</v>
      </c>
      <c r="L4418" s="4">
        <v>19.8</v>
      </c>
      <c r="M4418">
        <v>19</v>
      </c>
      <c r="N4418" t="s">
        <v>60</v>
      </c>
      <c r="O4418">
        <v>2</v>
      </c>
      <c r="P4418" s="4">
        <v>1301.2</v>
      </c>
      <c r="Q4418" t="s">
        <v>42</v>
      </c>
      <c r="R4418">
        <v>1</v>
      </c>
      <c r="S4418" t="s">
        <v>44</v>
      </c>
      <c r="T4418">
        <v>0</v>
      </c>
      <c r="U4418">
        <v>0</v>
      </c>
      <c r="V4418" t="s">
        <v>32</v>
      </c>
      <c r="W4418" t="s">
        <v>39</v>
      </c>
      <c r="X4418" s="4">
        <v>5.9</v>
      </c>
      <c r="Y4418">
        <v>10</v>
      </c>
      <c r="Z4418" s="5">
        <v>189.93</v>
      </c>
    </row>
    <row r="4419" spans="1:26">
      <c r="A4419">
        <v>4418</v>
      </c>
      <c r="B4419">
        <v>1448</v>
      </c>
      <c r="C4419" s="2">
        <v>46084</v>
      </c>
      <c r="D4419" t="s">
        <v>35</v>
      </c>
      <c r="E4419">
        <v>3</v>
      </c>
      <c r="F4419" s="3">
        <v>8.5299999999999994</v>
      </c>
      <c r="G4419" t="s">
        <v>27</v>
      </c>
      <c r="H4419">
        <v>27</v>
      </c>
      <c r="I4419" t="s">
        <v>34</v>
      </c>
      <c r="J4419" s="4">
        <v>67.7</v>
      </c>
      <c r="K4419" s="4">
        <v>190.6</v>
      </c>
      <c r="L4419" s="4">
        <v>29.3</v>
      </c>
      <c r="M4419">
        <v>15</v>
      </c>
      <c r="N4419" t="s">
        <v>29</v>
      </c>
      <c r="O4419">
        <v>3</v>
      </c>
      <c r="P4419" s="4">
        <v>2157.4</v>
      </c>
      <c r="Q4419" t="s">
        <v>48</v>
      </c>
      <c r="R4419">
        <v>1</v>
      </c>
      <c r="S4419" t="s">
        <v>38</v>
      </c>
      <c r="T4419">
        <v>1</v>
      </c>
      <c r="U4419">
        <v>0</v>
      </c>
      <c r="V4419" t="s">
        <v>64</v>
      </c>
      <c r="W4419" t="s">
        <v>43</v>
      </c>
      <c r="X4419" s="4">
        <v>9.1</v>
      </c>
      <c r="Y4419">
        <v>11</v>
      </c>
      <c r="Z4419" s="5">
        <v>268.89</v>
      </c>
    </row>
    <row r="4420" spans="1:26">
      <c r="A4420">
        <v>4419</v>
      </c>
      <c r="B4420">
        <v>1448</v>
      </c>
      <c r="C4420" s="2">
        <v>46084</v>
      </c>
      <c r="D4420" t="s">
        <v>35</v>
      </c>
      <c r="E4420">
        <v>3</v>
      </c>
      <c r="F4420" s="3">
        <v>8.6199999999999992</v>
      </c>
      <c r="G4420" t="s">
        <v>27</v>
      </c>
      <c r="H4420">
        <v>6</v>
      </c>
      <c r="I4420" t="s">
        <v>28</v>
      </c>
      <c r="J4420" s="4">
        <v>52.2</v>
      </c>
      <c r="K4420" s="4">
        <v>81.900000000000006</v>
      </c>
      <c r="L4420" s="4">
        <v>21.1</v>
      </c>
      <c r="M4420">
        <v>14</v>
      </c>
      <c r="N4420" t="s">
        <v>29</v>
      </c>
      <c r="O4420">
        <v>3</v>
      </c>
      <c r="P4420" s="4">
        <v>2157.4</v>
      </c>
      <c r="Q4420" t="s">
        <v>48</v>
      </c>
      <c r="R4420">
        <v>1</v>
      </c>
      <c r="S4420" t="s">
        <v>38</v>
      </c>
      <c r="T4420">
        <v>1</v>
      </c>
      <c r="U4420">
        <v>0</v>
      </c>
      <c r="V4420" t="s">
        <v>64</v>
      </c>
      <c r="W4420" t="s">
        <v>43</v>
      </c>
      <c r="X4420" s="4">
        <v>8.6999999999999993</v>
      </c>
      <c r="Y4420">
        <v>5</v>
      </c>
      <c r="Z4420" s="5">
        <v>193.5</v>
      </c>
    </row>
    <row r="4421" spans="1:26">
      <c r="A4421">
        <v>4420</v>
      </c>
      <c r="B4421">
        <v>1448</v>
      </c>
      <c r="C4421" s="2">
        <v>46084</v>
      </c>
      <c r="D4421" t="s">
        <v>35</v>
      </c>
      <c r="E4421">
        <v>3</v>
      </c>
      <c r="F4421" s="3">
        <v>8.39</v>
      </c>
      <c r="G4421" t="s">
        <v>27</v>
      </c>
      <c r="H4421">
        <v>46</v>
      </c>
      <c r="I4421" t="s">
        <v>34</v>
      </c>
      <c r="J4421" s="4">
        <v>65.3</v>
      </c>
      <c r="K4421" s="4">
        <v>155.80000000000001</v>
      </c>
      <c r="L4421" s="4">
        <v>25.6</v>
      </c>
      <c r="M4421">
        <v>15</v>
      </c>
      <c r="N4421" t="s">
        <v>29</v>
      </c>
      <c r="O4421">
        <v>3</v>
      </c>
      <c r="P4421" s="4">
        <v>2157.4</v>
      </c>
      <c r="Q4421" t="s">
        <v>48</v>
      </c>
      <c r="R4421">
        <v>1</v>
      </c>
      <c r="S4421" t="s">
        <v>38</v>
      </c>
      <c r="T4421">
        <v>1</v>
      </c>
      <c r="U4421">
        <v>0</v>
      </c>
      <c r="V4421" t="s">
        <v>64</v>
      </c>
      <c r="W4421" t="s">
        <v>43</v>
      </c>
      <c r="X4421" s="4">
        <v>9.1999999999999993</v>
      </c>
      <c r="Y4421">
        <v>8</v>
      </c>
      <c r="Z4421" s="5">
        <v>453.96</v>
      </c>
    </row>
    <row r="4422" spans="1:26">
      <c r="A4422">
        <v>4421</v>
      </c>
      <c r="B4422">
        <v>1449</v>
      </c>
      <c r="C4422" s="2">
        <v>46026</v>
      </c>
      <c r="D4422" t="s">
        <v>58</v>
      </c>
      <c r="E4422">
        <v>1</v>
      </c>
      <c r="F4422" s="3">
        <v>11.69</v>
      </c>
      <c r="G4422" t="s">
        <v>36</v>
      </c>
      <c r="H4422">
        <v>72</v>
      </c>
      <c r="I4422" t="s">
        <v>34</v>
      </c>
      <c r="J4422" s="4">
        <v>68.5</v>
      </c>
      <c r="K4422" s="4">
        <v>198.4</v>
      </c>
      <c r="L4422" s="4">
        <v>29.6</v>
      </c>
      <c r="M4422">
        <v>14</v>
      </c>
      <c r="N4422" t="s">
        <v>50</v>
      </c>
      <c r="O4422">
        <v>3</v>
      </c>
      <c r="P4422" s="4">
        <v>377.6</v>
      </c>
      <c r="Q4422" t="s">
        <v>42</v>
      </c>
      <c r="R4422">
        <v>0</v>
      </c>
      <c r="S4422" t="s">
        <v>31</v>
      </c>
      <c r="T4422">
        <v>0</v>
      </c>
      <c r="U4422">
        <v>1</v>
      </c>
      <c r="V4422" t="s">
        <v>32</v>
      </c>
      <c r="W4422" t="s">
        <v>33</v>
      </c>
      <c r="X4422" s="4">
        <v>10.9</v>
      </c>
      <c r="Y4422">
        <v>11</v>
      </c>
      <c r="Z4422" s="5">
        <v>222.27</v>
      </c>
    </row>
    <row r="4423" spans="1:26">
      <c r="A4423">
        <v>4422</v>
      </c>
      <c r="B4423">
        <v>1449</v>
      </c>
      <c r="C4423" s="2">
        <v>46026</v>
      </c>
      <c r="D4423" t="s">
        <v>58</v>
      </c>
      <c r="E4423">
        <v>1</v>
      </c>
      <c r="F4423" s="3">
        <v>11.74</v>
      </c>
      <c r="G4423" t="s">
        <v>36</v>
      </c>
      <c r="H4423">
        <v>48</v>
      </c>
      <c r="I4423" t="s">
        <v>28</v>
      </c>
      <c r="J4423" s="4">
        <v>69.400000000000006</v>
      </c>
      <c r="K4423" s="4">
        <v>197.8</v>
      </c>
      <c r="L4423" s="4">
        <v>29</v>
      </c>
      <c r="M4423">
        <v>13</v>
      </c>
      <c r="N4423" t="s">
        <v>50</v>
      </c>
      <c r="O4423">
        <v>3</v>
      </c>
      <c r="P4423" s="4">
        <v>377.6</v>
      </c>
      <c r="Q4423" t="s">
        <v>42</v>
      </c>
      <c r="R4423">
        <v>0</v>
      </c>
      <c r="S4423" t="s">
        <v>31</v>
      </c>
      <c r="T4423">
        <v>0</v>
      </c>
      <c r="U4423">
        <v>1</v>
      </c>
      <c r="V4423" t="s">
        <v>32</v>
      </c>
      <c r="W4423" t="s">
        <v>33</v>
      </c>
      <c r="X4423" s="4">
        <v>9.1</v>
      </c>
      <c r="Y4423">
        <v>10</v>
      </c>
      <c r="Z4423" s="5">
        <v>289.36</v>
      </c>
    </row>
    <row r="4424" spans="1:26">
      <c r="A4424">
        <v>4423</v>
      </c>
      <c r="B4424">
        <v>1449</v>
      </c>
      <c r="C4424" s="2">
        <v>46026</v>
      </c>
      <c r="D4424" t="s">
        <v>58</v>
      </c>
      <c r="E4424">
        <v>1</v>
      </c>
      <c r="F4424" s="3">
        <v>11.83</v>
      </c>
      <c r="G4424" t="s">
        <v>36</v>
      </c>
      <c r="H4424">
        <v>44</v>
      </c>
      <c r="I4424" t="s">
        <v>34</v>
      </c>
      <c r="J4424" s="4">
        <v>62.7</v>
      </c>
      <c r="K4424" s="4">
        <v>189.3</v>
      </c>
      <c r="L4424" s="4">
        <v>33.700000000000003</v>
      </c>
      <c r="M4424">
        <v>17</v>
      </c>
      <c r="N4424" t="s">
        <v>50</v>
      </c>
      <c r="O4424">
        <v>3</v>
      </c>
      <c r="P4424" s="4">
        <v>377.6</v>
      </c>
      <c r="Q4424" t="s">
        <v>42</v>
      </c>
      <c r="R4424">
        <v>0</v>
      </c>
      <c r="S4424" t="s">
        <v>31</v>
      </c>
      <c r="T4424">
        <v>0</v>
      </c>
      <c r="U4424">
        <v>1</v>
      </c>
      <c r="V4424" t="s">
        <v>32</v>
      </c>
      <c r="W4424" t="s">
        <v>33</v>
      </c>
      <c r="X4424" s="4">
        <v>9.1</v>
      </c>
      <c r="Y4424">
        <v>8</v>
      </c>
      <c r="Z4424" s="5">
        <v>301.42</v>
      </c>
    </row>
    <row r="4425" spans="1:26">
      <c r="A4425">
        <v>4424</v>
      </c>
      <c r="B4425">
        <v>1450</v>
      </c>
      <c r="C4425" s="2">
        <v>46171</v>
      </c>
      <c r="D4425" t="s">
        <v>26</v>
      </c>
      <c r="E4425">
        <v>5</v>
      </c>
      <c r="F4425" s="3">
        <v>12.68</v>
      </c>
      <c r="G4425" t="s">
        <v>36</v>
      </c>
      <c r="H4425">
        <v>53</v>
      </c>
      <c r="I4425" t="s">
        <v>28</v>
      </c>
      <c r="J4425" s="4">
        <v>67.900000000000006</v>
      </c>
      <c r="K4425" s="4">
        <v>156.30000000000001</v>
      </c>
      <c r="L4425" s="4">
        <v>23.8</v>
      </c>
      <c r="M4425">
        <v>12</v>
      </c>
      <c r="N4425" t="s">
        <v>47</v>
      </c>
      <c r="O4425">
        <v>1</v>
      </c>
      <c r="P4425" s="4">
        <v>19.600000000000001</v>
      </c>
      <c r="Q4425" t="s">
        <v>42</v>
      </c>
      <c r="R4425">
        <v>0</v>
      </c>
      <c r="S4425" t="s">
        <v>44</v>
      </c>
      <c r="T4425">
        <v>0</v>
      </c>
      <c r="U4425">
        <v>0</v>
      </c>
      <c r="V4425" t="s">
        <v>32</v>
      </c>
      <c r="W4425" t="s">
        <v>43</v>
      </c>
      <c r="X4425" s="4">
        <v>9.8000000000000007</v>
      </c>
      <c r="Y4425">
        <v>2</v>
      </c>
      <c r="Z4425" s="5">
        <v>351.08</v>
      </c>
    </row>
    <row r="4426" spans="1:26">
      <c r="A4426">
        <v>4425</v>
      </c>
      <c r="B4426">
        <v>1451</v>
      </c>
      <c r="C4426" s="2">
        <v>46130</v>
      </c>
      <c r="D4426" t="s">
        <v>40</v>
      </c>
      <c r="E4426">
        <v>4</v>
      </c>
      <c r="F4426" s="3">
        <v>9.91</v>
      </c>
      <c r="G4426" t="s">
        <v>27</v>
      </c>
      <c r="H4426">
        <v>24</v>
      </c>
      <c r="I4426" t="s">
        <v>34</v>
      </c>
      <c r="J4426" s="4">
        <v>65</v>
      </c>
      <c r="K4426" s="4">
        <v>146.69999999999999</v>
      </c>
      <c r="L4426" s="4">
        <v>24.3</v>
      </c>
      <c r="M4426">
        <v>13</v>
      </c>
      <c r="N4426" t="s">
        <v>50</v>
      </c>
      <c r="O4426">
        <v>3</v>
      </c>
      <c r="P4426" s="4">
        <v>423.6</v>
      </c>
      <c r="Q4426" t="s">
        <v>42</v>
      </c>
      <c r="R4426">
        <v>0</v>
      </c>
      <c r="S4426" t="s">
        <v>44</v>
      </c>
      <c r="T4426">
        <v>0</v>
      </c>
      <c r="U4426">
        <v>0</v>
      </c>
      <c r="V4426" t="s">
        <v>32</v>
      </c>
      <c r="W4426" t="s">
        <v>57</v>
      </c>
      <c r="X4426" s="4">
        <v>7.5</v>
      </c>
      <c r="Y4426">
        <v>10</v>
      </c>
      <c r="Z4426" s="5">
        <v>176.97</v>
      </c>
    </row>
    <row r="4427" spans="1:26">
      <c r="A4427">
        <v>4426</v>
      </c>
      <c r="B4427">
        <v>1451</v>
      </c>
      <c r="C4427" s="2">
        <v>46130</v>
      </c>
      <c r="D4427" t="s">
        <v>40</v>
      </c>
      <c r="E4427">
        <v>4</v>
      </c>
      <c r="F4427" s="3">
        <v>9.91</v>
      </c>
      <c r="G4427" t="s">
        <v>27</v>
      </c>
      <c r="H4427">
        <v>8</v>
      </c>
      <c r="I4427" t="s">
        <v>28</v>
      </c>
      <c r="J4427" s="4">
        <v>63.7</v>
      </c>
      <c r="K4427" s="4">
        <v>122</v>
      </c>
      <c r="L4427" s="4">
        <v>21.1</v>
      </c>
      <c r="M4427">
        <v>11</v>
      </c>
      <c r="N4427" t="s">
        <v>50</v>
      </c>
      <c r="O4427">
        <v>3</v>
      </c>
      <c r="P4427" s="4">
        <v>423.6</v>
      </c>
      <c r="Q4427" t="s">
        <v>42</v>
      </c>
      <c r="R4427">
        <v>0</v>
      </c>
      <c r="S4427" t="s">
        <v>44</v>
      </c>
      <c r="T4427">
        <v>0</v>
      </c>
      <c r="U4427">
        <v>0</v>
      </c>
      <c r="V4427" t="s">
        <v>32</v>
      </c>
      <c r="W4427" t="s">
        <v>57</v>
      </c>
      <c r="X4427" s="4">
        <v>4.7</v>
      </c>
      <c r="Y4427">
        <v>7</v>
      </c>
      <c r="Z4427" s="5">
        <v>116.07</v>
      </c>
    </row>
    <row r="4428" spans="1:26">
      <c r="A4428">
        <v>4427</v>
      </c>
      <c r="B4428">
        <v>1451</v>
      </c>
      <c r="C4428" s="2">
        <v>46130</v>
      </c>
      <c r="D4428" t="s">
        <v>40</v>
      </c>
      <c r="E4428">
        <v>4</v>
      </c>
      <c r="F4428" s="3">
        <v>9.77</v>
      </c>
      <c r="G4428" t="s">
        <v>27</v>
      </c>
      <c r="H4428">
        <v>39</v>
      </c>
      <c r="I4428" t="s">
        <v>34</v>
      </c>
      <c r="J4428" s="4">
        <v>68</v>
      </c>
      <c r="K4428" s="4">
        <v>180.9</v>
      </c>
      <c r="L4428" s="4">
        <v>27.4</v>
      </c>
      <c r="M4428">
        <v>14</v>
      </c>
      <c r="N4428" t="s">
        <v>50</v>
      </c>
      <c r="O4428">
        <v>3</v>
      </c>
      <c r="P4428" s="4">
        <v>423.6</v>
      </c>
      <c r="Q4428" t="s">
        <v>42</v>
      </c>
      <c r="R4428">
        <v>0</v>
      </c>
      <c r="S4428" t="s">
        <v>44</v>
      </c>
      <c r="T4428">
        <v>0</v>
      </c>
      <c r="U4428">
        <v>0</v>
      </c>
      <c r="V4428" t="s">
        <v>32</v>
      </c>
      <c r="W4428" t="s">
        <v>57</v>
      </c>
      <c r="X4428" s="4">
        <v>8.1</v>
      </c>
      <c r="Y4428">
        <v>7</v>
      </c>
      <c r="Z4428" s="5">
        <v>253.22</v>
      </c>
    </row>
    <row r="4429" spans="1:26">
      <c r="A4429">
        <v>4428</v>
      </c>
      <c r="B4429">
        <v>1452</v>
      </c>
      <c r="C4429" s="2">
        <v>46229</v>
      </c>
      <c r="D4429" t="s">
        <v>58</v>
      </c>
      <c r="E4429">
        <v>7</v>
      </c>
      <c r="F4429" s="3">
        <v>12.42</v>
      </c>
      <c r="G4429" t="s">
        <v>36</v>
      </c>
      <c r="H4429">
        <v>11</v>
      </c>
      <c r="I4429" t="s">
        <v>34</v>
      </c>
      <c r="J4429" s="4">
        <v>65</v>
      </c>
      <c r="K4429" s="4">
        <v>121</v>
      </c>
      <c r="L4429" s="4">
        <v>20.2</v>
      </c>
      <c r="M4429">
        <v>14</v>
      </c>
      <c r="N4429" t="s">
        <v>47</v>
      </c>
      <c r="O4429">
        <v>4</v>
      </c>
      <c r="P4429" s="4">
        <v>8.1999999999999993</v>
      </c>
      <c r="Q4429" t="s">
        <v>48</v>
      </c>
      <c r="R4429">
        <v>1</v>
      </c>
      <c r="S4429" t="s">
        <v>38</v>
      </c>
      <c r="T4429">
        <v>1</v>
      </c>
      <c r="U4429">
        <v>0</v>
      </c>
      <c r="V4429" t="s">
        <v>32</v>
      </c>
      <c r="W4429" t="s">
        <v>43</v>
      </c>
      <c r="X4429" s="4">
        <v>9.1</v>
      </c>
      <c r="Y4429">
        <v>12</v>
      </c>
      <c r="Z4429" s="5">
        <v>382.71</v>
      </c>
    </row>
    <row r="4430" spans="1:26">
      <c r="A4430">
        <v>4429</v>
      </c>
      <c r="B4430">
        <v>1452</v>
      </c>
      <c r="C4430" s="2">
        <v>46229</v>
      </c>
      <c r="D4430" t="s">
        <v>58</v>
      </c>
      <c r="E4430">
        <v>7</v>
      </c>
      <c r="F4430" s="3">
        <v>12.38</v>
      </c>
      <c r="G4430" t="s">
        <v>36</v>
      </c>
      <c r="H4430">
        <v>37</v>
      </c>
      <c r="I4430" t="s">
        <v>28</v>
      </c>
      <c r="J4430" s="4">
        <v>71.3</v>
      </c>
      <c r="K4430" s="4">
        <v>185.7</v>
      </c>
      <c r="L4430" s="4">
        <v>25.5</v>
      </c>
      <c r="M4430">
        <v>19</v>
      </c>
      <c r="N4430" t="s">
        <v>47</v>
      </c>
      <c r="O4430">
        <v>4</v>
      </c>
      <c r="P4430" s="4">
        <v>8.1999999999999993</v>
      </c>
      <c r="Q4430" t="s">
        <v>48</v>
      </c>
      <c r="R4430">
        <v>1</v>
      </c>
      <c r="S4430" t="s">
        <v>38</v>
      </c>
      <c r="T4430">
        <v>1</v>
      </c>
      <c r="U4430">
        <v>0</v>
      </c>
      <c r="V4430" t="s">
        <v>32</v>
      </c>
      <c r="W4430" t="s">
        <v>43</v>
      </c>
      <c r="X4430" s="4">
        <v>7.3</v>
      </c>
      <c r="Y4430">
        <v>6</v>
      </c>
      <c r="Z4430" s="5">
        <v>211.04</v>
      </c>
    </row>
    <row r="4431" spans="1:26">
      <c r="A4431">
        <v>4430</v>
      </c>
      <c r="B4431">
        <v>1452</v>
      </c>
      <c r="C4431" s="2">
        <v>46229</v>
      </c>
      <c r="D4431" t="s">
        <v>58</v>
      </c>
      <c r="E4431">
        <v>7</v>
      </c>
      <c r="F4431" s="3">
        <v>12.33</v>
      </c>
      <c r="G4431" t="s">
        <v>36</v>
      </c>
      <c r="H4431">
        <v>42</v>
      </c>
      <c r="I4431" t="s">
        <v>34</v>
      </c>
      <c r="J4431" s="4">
        <v>67.099999999999994</v>
      </c>
      <c r="K4431" s="4">
        <v>147.19999999999999</v>
      </c>
      <c r="L4431" s="4">
        <v>23.2</v>
      </c>
      <c r="M4431">
        <v>18</v>
      </c>
      <c r="N4431" t="s">
        <v>47</v>
      </c>
      <c r="O4431">
        <v>4</v>
      </c>
      <c r="P4431" s="4">
        <v>8.1999999999999993</v>
      </c>
      <c r="Q4431" t="s">
        <v>48</v>
      </c>
      <c r="R4431">
        <v>1</v>
      </c>
      <c r="S4431" t="s">
        <v>38</v>
      </c>
      <c r="T4431">
        <v>1</v>
      </c>
      <c r="U4431">
        <v>0</v>
      </c>
      <c r="V4431" t="s">
        <v>32</v>
      </c>
      <c r="W4431" t="s">
        <v>43</v>
      </c>
      <c r="X4431" s="4">
        <v>8.1</v>
      </c>
      <c r="Y4431">
        <v>11</v>
      </c>
      <c r="Z4431" s="5">
        <v>248.1</v>
      </c>
    </row>
    <row r="4432" spans="1:26">
      <c r="A4432">
        <v>4431</v>
      </c>
      <c r="B4432">
        <v>1452</v>
      </c>
      <c r="C4432" s="2">
        <v>46229</v>
      </c>
      <c r="D4432" t="s">
        <v>58</v>
      </c>
      <c r="E4432">
        <v>7</v>
      </c>
      <c r="F4432" s="3">
        <v>12.57</v>
      </c>
      <c r="G4432" t="s">
        <v>36</v>
      </c>
      <c r="H4432">
        <v>20</v>
      </c>
      <c r="I4432" t="s">
        <v>28</v>
      </c>
      <c r="J4432" s="4">
        <v>70.400000000000006</v>
      </c>
      <c r="K4432" s="4">
        <v>152.9</v>
      </c>
      <c r="L4432" s="4">
        <v>21.8</v>
      </c>
      <c r="M4432">
        <v>17</v>
      </c>
      <c r="N4432" t="s">
        <v>47</v>
      </c>
      <c r="O4432">
        <v>4</v>
      </c>
      <c r="P4432" s="4">
        <v>8.1999999999999993</v>
      </c>
      <c r="Q4432" t="s">
        <v>48</v>
      </c>
      <c r="R4432">
        <v>1</v>
      </c>
      <c r="S4432" t="s">
        <v>38</v>
      </c>
      <c r="T4432">
        <v>1</v>
      </c>
      <c r="U4432">
        <v>0</v>
      </c>
      <c r="V4432" t="s">
        <v>32</v>
      </c>
      <c r="W4432" t="s">
        <v>43</v>
      </c>
      <c r="X4432" s="4">
        <v>7.9</v>
      </c>
      <c r="Y4432">
        <v>9</v>
      </c>
      <c r="Z4432" s="5">
        <v>165.98</v>
      </c>
    </row>
    <row r="4433" spans="1:26">
      <c r="A4433">
        <v>4432</v>
      </c>
      <c r="B4433">
        <v>1453</v>
      </c>
      <c r="C4433" s="2">
        <v>46359</v>
      </c>
      <c r="D4433" t="s">
        <v>55</v>
      </c>
      <c r="E4433">
        <v>12</v>
      </c>
      <c r="F4433" s="3">
        <v>10.050000000000001</v>
      </c>
      <c r="G4433" t="s">
        <v>27</v>
      </c>
      <c r="H4433">
        <v>14</v>
      </c>
      <c r="I4433" t="s">
        <v>28</v>
      </c>
      <c r="J4433" s="4">
        <v>70</v>
      </c>
      <c r="K4433" s="4">
        <v>160.80000000000001</v>
      </c>
      <c r="L4433" s="4">
        <v>22.9</v>
      </c>
      <c r="M4433">
        <v>12</v>
      </c>
      <c r="N4433" t="s">
        <v>47</v>
      </c>
      <c r="O4433">
        <v>3</v>
      </c>
      <c r="P4433" s="4">
        <v>108.1</v>
      </c>
      <c r="Q4433" t="s">
        <v>42</v>
      </c>
      <c r="R4433">
        <v>0</v>
      </c>
      <c r="S4433" t="s">
        <v>31</v>
      </c>
      <c r="T4433">
        <v>1</v>
      </c>
      <c r="U4433">
        <v>0</v>
      </c>
      <c r="V4433" t="s">
        <v>32</v>
      </c>
      <c r="W4433" t="s">
        <v>49</v>
      </c>
      <c r="X4433" s="4">
        <v>7.3</v>
      </c>
      <c r="Y4433">
        <v>7</v>
      </c>
      <c r="Z4433" s="5">
        <v>202.47</v>
      </c>
    </row>
    <row r="4434" spans="1:26">
      <c r="A4434">
        <v>4433</v>
      </c>
      <c r="B4434">
        <v>1453</v>
      </c>
      <c r="C4434" s="2">
        <v>46359</v>
      </c>
      <c r="D4434" t="s">
        <v>55</v>
      </c>
      <c r="E4434">
        <v>12</v>
      </c>
      <c r="F4434" s="3">
        <v>9.81</v>
      </c>
      <c r="G4434" t="s">
        <v>27</v>
      </c>
      <c r="H4434">
        <v>59</v>
      </c>
      <c r="I4434" t="s">
        <v>34</v>
      </c>
      <c r="J4434" s="4">
        <v>62.4</v>
      </c>
      <c r="K4434" s="4">
        <v>107.4</v>
      </c>
      <c r="L4434" s="4">
        <v>19.399999999999999</v>
      </c>
      <c r="M4434">
        <v>14</v>
      </c>
      <c r="N4434" t="s">
        <v>47</v>
      </c>
      <c r="O4434">
        <v>3</v>
      </c>
      <c r="P4434" s="4">
        <v>108.1</v>
      </c>
      <c r="Q4434" t="s">
        <v>42</v>
      </c>
      <c r="R4434">
        <v>0</v>
      </c>
      <c r="S4434" t="s">
        <v>31</v>
      </c>
      <c r="T4434">
        <v>1</v>
      </c>
      <c r="U4434">
        <v>0</v>
      </c>
      <c r="V4434" t="s">
        <v>32</v>
      </c>
      <c r="W4434" t="s">
        <v>49</v>
      </c>
      <c r="X4434" s="4">
        <v>7.7</v>
      </c>
      <c r="Y4434">
        <v>12</v>
      </c>
      <c r="Z4434" s="5">
        <v>223.61</v>
      </c>
    </row>
    <row r="4435" spans="1:26">
      <c r="A4435">
        <v>4434</v>
      </c>
      <c r="B4435">
        <v>1453</v>
      </c>
      <c r="C4435" s="2">
        <v>46359</v>
      </c>
      <c r="D4435" t="s">
        <v>55</v>
      </c>
      <c r="E4435">
        <v>12</v>
      </c>
      <c r="F4435" s="3">
        <v>9.7899999999999991</v>
      </c>
      <c r="G4435" t="s">
        <v>27</v>
      </c>
      <c r="H4435">
        <v>29</v>
      </c>
      <c r="I4435" t="s">
        <v>28</v>
      </c>
      <c r="J4435" s="4">
        <v>69.5</v>
      </c>
      <c r="K4435" s="4">
        <v>192.9</v>
      </c>
      <c r="L4435" s="4">
        <v>28.2</v>
      </c>
      <c r="M4435">
        <v>15</v>
      </c>
      <c r="N4435" t="s">
        <v>47</v>
      </c>
      <c r="O4435">
        <v>3</v>
      </c>
      <c r="P4435" s="4">
        <v>108.1</v>
      </c>
      <c r="Q4435" t="s">
        <v>42</v>
      </c>
      <c r="R4435">
        <v>0</v>
      </c>
      <c r="S4435" t="s">
        <v>31</v>
      </c>
      <c r="T4435">
        <v>1</v>
      </c>
      <c r="U4435">
        <v>0</v>
      </c>
      <c r="V4435" t="s">
        <v>32</v>
      </c>
      <c r="W4435" t="s">
        <v>49</v>
      </c>
      <c r="X4435" s="4">
        <v>9.1999999999999993</v>
      </c>
      <c r="Y4435">
        <v>10</v>
      </c>
      <c r="Z4435" s="5">
        <v>217.36</v>
      </c>
    </row>
    <row r="4436" spans="1:26">
      <c r="A4436">
        <v>4435</v>
      </c>
      <c r="B4436">
        <v>1454</v>
      </c>
      <c r="C4436" s="2">
        <v>46166</v>
      </c>
      <c r="D4436" t="s">
        <v>58</v>
      </c>
      <c r="E4436">
        <v>5</v>
      </c>
      <c r="F4436" s="3">
        <v>10.98</v>
      </c>
      <c r="G4436" t="s">
        <v>27</v>
      </c>
      <c r="H4436">
        <v>53</v>
      </c>
      <c r="I4436" t="s">
        <v>28</v>
      </c>
      <c r="J4436" s="4">
        <v>64.5</v>
      </c>
      <c r="K4436" s="4">
        <v>168.2</v>
      </c>
      <c r="L4436" s="4">
        <v>28.6</v>
      </c>
      <c r="M4436">
        <v>18</v>
      </c>
      <c r="N4436" t="s">
        <v>41</v>
      </c>
      <c r="O4436">
        <v>2</v>
      </c>
      <c r="P4436" s="4">
        <v>3478.7</v>
      </c>
      <c r="Q4436" t="s">
        <v>42</v>
      </c>
      <c r="R4436">
        <v>0</v>
      </c>
      <c r="S4436" t="s">
        <v>44</v>
      </c>
      <c r="T4436">
        <v>0</v>
      </c>
      <c r="U4436">
        <v>1</v>
      </c>
      <c r="V4436" t="s">
        <v>32</v>
      </c>
      <c r="W4436" t="s">
        <v>33</v>
      </c>
      <c r="X4436" s="4">
        <v>9.6999999999999993</v>
      </c>
      <c r="Y4436">
        <v>7</v>
      </c>
      <c r="Z4436" s="5">
        <v>349.23</v>
      </c>
    </row>
    <row r="4437" spans="1:26">
      <c r="A4437">
        <v>4436</v>
      </c>
      <c r="B4437">
        <v>1454</v>
      </c>
      <c r="C4437" s="2">
        <v>46166</v>
      </c>
      <c r="D4437" t="s">
        <v>58</v>
      </c>
      <c r="E4437">
        <v>5</v>
      </c>
      <c r="F4437" s="3">
        <v>11.01</v>
      </c>
      <c r="G4437" t="s">
        <v>36</v>
      </c>
      <c r="H4437">
        <v>5</v>
      </c>
      <c r="I4437" t="s">
        <v>28</v>
      </c>
      <c r="J4437" s="4">
        <v>60.9</v>
      </c>
      <c r="K4437" s="4">
        <v>116.7</v>
      </c>
      <c r="L4437" s="4">
        <v>21.9</v>
      </c>
      <c r="M4437">
        <v>11</v>
      </c>
      <c r="N4437" t="s">
        <v>41</v>
      </c>
      <c r="O4437">
        <v>2</v>
      </c>
      <c r="P4437" s="4">
        <v>3478.7</v>
      </c>
      <c r="Q4437" t="s">
        <v>42</v>
      </c>
      <c r="R4437">
        <v>0</v>
      </c>
      <c r="S4437" t="s">
        <v>44</v>
      </c>
      <c r="T4437">
        <v>0</v>
      </c>
      <c r="U4437">
        <v>1</v>
      </c>
      <c r="V4437" t="s">
        <v>32</v>
      </c>
      <c r="W4437" t="s">
        <v>33</v>
      </c>
      <c r="X4437" s="4">
        <v>9.1</v>
      </c>
      <c r="Y4437">
        <v>9</v>
      </c>
      <c r="Z4437" s="5">
        <v>233</v>
      </c>
    </row>
    <row r="4438" spans="1:26">
      <c r="A4438">
        <v>4437</v>
      </c>
      <c r="B4438">
        <v>1455</v>
      </c>
      <c r="C4438" s="2">
        <v>46276</v>
      </c>
      <c r="D4438" t="s">
        <v>26</v>
      </c>
      <c r="E4438">
        <v>9</v>
      </c>
      <c r="F4438" s="3">
        <v>11.27</v>
      </c>
      <c r="G4438" t="s">
        <v>36</v>
      </c>
      <c r="H4438">
        <v>71</v>
      </c>
      <c r="I4438" t="s">
        <v>34</v>
      </c>
      <c r="J4438" s="4">
        <v>68.2</v>
      </c>
      <c r="K4438" s="4">
        <v>137.4</v>
      </c>
      <c r="L4438" s="4">
        <v>21.3</v>
      </c>
      <c r="M4438">
        <v>15</v>
      </c>
      <c r="N4438" t="s">
        <v>47</v>
      </c>
      <c r="O4438">
        <v>1</v>
      </c>
      <c r="P4438" s="4">
        <v>27</v>
      </c>
      <c r="Q4438" t="s">
        <v>30</v>
      </c>
      <c r="R4438">
        <v>0</v>
      </c>
      <c r="S4438" t="s">
        <v>38</v>
      </c>
      <c r="T4438">
        <v>0</v>
      </c>
      <c r="U4438">
        <v>0</v>
      </c>
      <c r="V4438" t="s">
        <v>32</v>
      </c>
      <c r="W4438" t="s">
        <v>43</v>
      </c>
      <c r="X4438" s="4">
        <v>7.7</v>
      </c>
      <c r="Y4438">
        <v>11</v>
      </c>
      <c r="Z4438" s="5">
        <v>124.5</v>
      </c>
    </row>
    <row r="4439" spans="1:26">
      <c r="A4439">
        <v>4438</v>
      </c>
      <c r="B4439">
        <v>1456</v>
      </c>
      <c r="C4439" s="2">
        <v>46131</v>
      </c>
      <c r="D4439" t="s">
        <v>58</v>
      </c>
      <c r="E4439">
        <v>4</v>
      </c>
      <c r="F4439" s="3">
        <v>11.01</v>
      </c>
      <c r="G4439" t="s">
        <v>36</v>
      </c>
      <c r="H4439">
        <v>70</v>
      </c>
      <c r="I4439" t="s">
        <v>34</v>
      </c>
      <c r="J4439" s="4">
        <v>62.4</v>
      </c>
      <c r="K4439" s="4">
        <v>141.4</v>
      </c>
      <c r="L4439" s="4">
        <v>25.6</v>
      </c>
      <c r="M4439">
        <v>14</v>
      </c>
      <c r="N4439" t="s">
        <v>60</v>
      </c>
      <c r="O4439">
        <v>4</v>
      </c>
      <c r="P4439" s="4">
        <v>1305.2</v>
      </c>
      <c r="Q4439" t="s">
        <v>42</v>
      </c>
      <c r="R4439">
        <v>0</v>
      </c>
      <c r="S4439" t="s">
        <v>44</v>
      </c>
      <c r="T4439">
        <v>0</v>
      </c>
      <c r="U4439">
        <v>1</v>
      </c>
      <c r="V4439" t="s">
        <v>32</v>
      </c>
      <c r="W4439" t="s">
        <v>49</v>
      </c>
      <c r="X4439" s="4">
        <v>9.8000000000000007</v>
      </c>
      <c r="Y4439">
        <v>9</v>
      </c>
      <c r="Z4439" s="5">
        <v>365.61</v>
      </c>
    </row>
    <row r="4440" spans="1:26">
      <c r="A4440">
        <v>4439</v>
      </c>
      <c r="B4440">
        <v>1456</v>
      </c>
      <c r="C4440" s="2">
        <v>46131</v>
      </c>
      <c r="D4440" t="s">
        <v>58</v>
      </c>
      <c r="E4440">
        <v>4</v>
      </c>
      <c r="F4440" s="3">
        <v>10.81</v>
      </c>
      <c r="G4440" t="s">
        <v>27</v>
      </c>
      <c r="H4440">
        <v>18</v>
      </c>
      <c r="I4440" t="s">
        <v>34</v>
      </c>
      <c r="J4440" s="4">
        <v>61.7</v>
      </c>
      <c r="K4440" s="4">
        <v>141.4</v>
      </c>
      <c r="L4440" s="4">
        <v>26</v>
      </c>
      <c r="M4440">
        <v>10</v>
      </c>
      <c r="N4440" t="s">
        <v>60</v>
      </c>
      <c r="O4440">
        <v>4</v>
      </c>
      <c r="P4440" s="4">
        <v>1305.2</v>
      </c>
      <c r="Q4440" t="s">
        <v>42</v>
      </c>
      <c r="R4440">
        <v>0</v>
      </c>
      <c r="S4440" t="s">
        <v>44</v>
      </c>
      <c r="T4440">
        <v>0</v>
      </c>
      <c r="U4440">
        <v>1</v>
      </c>
      <c r="V4440" t="s">
        <v>32</v>
      </c>
      <c r="W4440" t="s">
        <v>49</v>
      </c>
      <c r="X4440" s="4">
        <v>10.8</v>
      </c>
      <c r="Y4440">
        <v>5</v>
      </c>
      <c r="Z4440" s="5">
        <v>360.27</v>
      </c>
    </row>
    <row r="4441" spans="1:26">
      <c r="A4441">
        <v>4440</v>
      </c>
      <c r="B4441">
        <v>1456</v>
      </c>
      <c r="C4441" s="2">
        <v>46131</v>
      </c>
      <c r="D4441" t="s">
        <v>58</v>
      </c>
      <c r="E4441">
        <v>4</v>
      </c>
      <c r="F4441" s="3">
        <v>10.81</v>
      </c>
      <c r="G4441" t="s">
        <v>27</v>
      </c>
      <c r="H4441">
        <v>24</v>
      </c>
      <c r="I4441" t="s">
        <v>34</v>
      </c>
      <c r="J4441" s="4">
        <v>64.400000000000006</v>
      </c>
      <c r="K4441" s="4">
        <v>92.3</v>
      </c>
      <c r="L4441" s="4">
        <v>15.5</v>
      </c>
      <c r="M4441">
        <v>14</v>
      </c>
      <c r="N4441" t="s">
        <v>60</v>
      </c>
      <c r="O4441">
        <v>4</v>
      </c>
      <c r="P4441" s="4">
        <v>1305.2</v>
      </c>
      <c r="Q4441" t="s">
        <v>42</v>
      </c>
      <c r="R4441">
        <v>0</v>
      </c>
      <c r="S4441" t="s">
        <v>44</v>
      </c>
      <c r="T4441">
        <v>0</v>
      </c>
      <c r="U4441">
        <v>1</v>
      </c>
      <c r="V4441" t="s">
        <v>32</v>
      </c>
      <c r="W4441" t="s">
        <v>49</v>
      </c>
      <c r="X4441" s="4">
        <v>7.2</v>
      </c>
      <c r="Y4441">
        <v>7</v>
      </c>
      <c r="Z4441" s="5">
        <v>169.18</v>
      </c>
    </row>
    <row r="4442" spans="1:26">
      <c r="A4442">
        <v>4441</v>
      </c>
      <c r="B4442">
        <v>1456</v>
      </c>
      <c r="C4442" s="2">
        <v>46131</v>
      </c>
      <c r="D4442" t="s">
        <v>58</v>
      </c>
      <c r="E4442">
        <v>4</v>
      </c>
      <c r="F4442" s="3">
        <v>10.92</v>
      </c>
      <c r="G4442" t="s">
        <v>27</v>
      </c>
      <c r="H4442">
        <v>40</v>
      </c>
      <c r="I4442" t="s">
        <v>28</v>
      </c>
      <c r="J4442" s="4">
        <v>70</v>
      </c>
      <c r="K4442" s="4">
        <v>207.3</v>
      </c>
      <c r="L4442" s="4">
        <v>29.7</v>
      </c>
      <c r="M4442">
        <v>13</v>
      </c>
      <c r="N4442" t="s">
        <v>60</v>
      </c>
      <c r="O4442">
        <v>4</v>
      </c>
      <c r="P4442" s="4">
        <v>1305.2</v>
      </c>
      <c r="Q4442" t="s">
        <v>42</v>
      </c>
      <c r="R4442">
        <v>0</v>
      </c>
      <c r="S4442" t="s">
        <v>44</v>
      </c>
      <c r="T4442">
        <v>0</v>
      </c>
      <c r="U4442">
        <v>1</v>
      </c>
      <c r="V4442" t="s">
        <v>32</v>
      </c>
      <c r="W4442" t="s">
        <v>49</v>
      </c>
      <c r="X4442" s="4">
        <v>6.5</v>
      </c>
      <c r="Y4442">
        <v>1</v>
      </c>
      <c r="Z4442" s="5">
        <v>261.33</v>
      </c>
    </row>
    <row r="4443" spans="1:26">
      <c r="A4443">
        <v>4442</v>
      </c>
      <c r="B4443">
        <v>1457</v>
      </c>
      <c r="C4443" s="2">
        <v>46024</v>
      </c>
      <c r="D4443" t="s">
        <v>26</v>
      </c>
      <c r="E4443">
        <v>1</v>
      </c>
      <c r="F4443" s="3">
        <v>7.6</v>
      </c>
      <c r="G4443" t="s">
        <v>27</v>
      </c>
      <c r="H4443">
        <v>81</v>
      </c>
      <c r="I4443" t="s">
        <v>34</v>
      </c>
      <c r="J4443" s="4">
        <v>60.4</v>
      </c>
      <c r="K4443" s="4">
        <v>131.30000000000001</v>
      </c>
      <c r="L4443" s="4">
        <v>25.2</v>
      </c>
      <c r="M4443">
        <v>14</v>
      </c>
      <c r="N4443" t="s">
        <v>47</v>
      </c>
      <c r="O4443">
        <v>4</v>
      </c>
      <c r="P4443" s="4">
        <v>133.30000000000001</v>
      </c>
      <c r="Q4443" t="s">
        <v>30</v>
      </c>
      <c r="R4443">
        <v>0</v>
      </c>
      <c r="S4443" t="s">
        <v>44</v>
      </c>
      <c r="T4443">
        <v>0</v>
      </c>
      <c r="U4443">
        <v>0</v>
      </c>
      <c r="V4443" t="s">
        <v>32</v>
      </c>
      <c r="W4443" t="s">
        <v>49</v>
      </c>
      <c r="X4443" s="4">
        <v>9.3000000000000007</v>
      </c>
      <c r="Y4443">
        <v>7</v>
      </c>
      <c r="Z4443" s="5">
        <v>156.56</v>
      </c>
    </row>
    <row r="4444" spans="1:26">
      <c r="A4444">
        <v>4443</v>
      </c>
      <c r="B4444">
        <v>1457</v>
      </c>
      <c r="C4444" s="2">
        <v>46024</v>
      </c>
      <c r="D4444" t="s">
        <v>26</v>
      </c>
      <c r="E4444">
        <v>1</v>
      </c>
      <c r="F4444" s="3">
        <v>7.62</v>
      </c>
      <c r="G4444" t="s">
        <v>27</v>
      </c>
      <c r="H4444">
        <v>22</v>
      </c>
      <c r="I4444" t="s">
        <v>28</v>
      </c>
      <c r="J4444" s="4">
        <v>70.3</v>
      </c>
      <c r="K4444" s="4">
        <v>191.8</v>
      </c>
      <c r="L4444" s="4">
        <v>27.4</v>
      </c>
      <c r="M4444">
        <v>13</v>
      </c>
      <c r="N4444" t="s">
        <v>47</v>
      </c>
      <c r="O4444">
        <v>4</v>
      </c>
      <c r="P4444" s="4">
        <v>133.30000000000001</v>
      </c>
      <c r="Q4444" t="s">
        <v>30</v>
      </c>
      <c r="R4444">
        <v>0</v>
      </c>
      <c r="S4444" t="s">
        <v>44</v>
      </c>
      <c r="T4444">
        <v>0</v>
      </c>
      <c r="U4444">
        <v>0</v>
      </c>
      <c r="V4444" t="s">
        <v>32</v>
      </c>
      <c r="W4444" t="s">
        <v>49</v>
      </c>
      <c r="X4444" s="4">
        <v>7.8</v>
      </c>
      <c r="Y4444">
        <v>6</v>
      </c>
      <c r="Z4444" s="5">
        <v>82.19</v>
      </c>
    </row>
    <row r="4445" spans="1:26">
      <c r="A4445">
        <v>4444</v>
      </c>
      <c r="B4445">
        <v>1457</v>
      </c>
      <c r="C4445" s="2">
        <v>46024</v>
      </c>
      <c r="D4445" t="s">
        <v>26</v>
      </c>
      <c r="E4445">
        <v>1</v>
      </c>
      <c r="F4445" s="3">
        <v>7.52</v>
      </c>
      <c r="G4445" t="s">
        <v>27</v>
      </c>
      <c r="H4445">
        <v>50</v>
      </c>
      <c r="I4445" t="s">
        <v>34</v>
      </c>
      <c r="J4445" s="4">
        <v>62.4</v>
      </c>
      <c r="K4445" s="4">
        <v>151.6</v>
      </c>
      <c r="L4445" s="4">
        <v>27.5</v>
      </c>
      <c r="M4445">
        <v>15</v>
      </c>
      <c r="N4445" t="s">
        <v>47</v>
      </c>
      <c r="O4445">
        <v>4</v>
      </c>
      <c r="P4445" s="4">
        <v>133.30000000000001</v>
      </c>
      <c r="Q4445" t="s">
        <v>30</v>
      </c>
      <c r="R4445">
        <v>0</v>
      </c>
      <c r="S4445" t="s">
        <v>44</v>
      </c>
      <c r="T4445">
        <v>0</v>
      </c>
      <c r="U4445">
        <v>0</v>
      </c>
      <c r="V4445" t="s">
        <v>32</v>
      </c>
      <c r="W4445" t="s">
        <v>49</v>
      </c>
      <c r="X4445" s="4">
        <v>10.1</v>
      </c>
      <c r="Y4445">
        <v>10</v>
      </c>
      <c r="Z4445" s="5">
        <v>245.67</v>
      </c>
    </row>
    <row r="4446" spans="1:26">
      <c r="A4446">
        <v>4445</v>
      </c>
      <c r="B4446">
        <v>1457</v>
      </c>
      <c r="C4446" s="2">
        <v>46024</v>
      </c>
      <c r="D4446" t="s">
        <v>26</v>
      </c>
      <c r="E4446">
        <v>1</v>
      </c>
      <c r="F4446" s="3">
        <v>7.61</v>
      </c>
      <c r="G4446" t="s">
        <v>27</v>
      </c>
      <c r="H4446">
        <v>25</v>
      </c>
      <c r="I4446" t="s">
        <v>34</v>
      </c>
      <c r="J4446" s="4">
        <v>60</v>
      </c>
      <c r="K4446" s="4">
        <v>150.1</v>
      </c>
      <c r="L4446" s="4">
        <v>29.4</v>
      </c>
      <c r="M4446">
        <v>14</v>
      </c>
      <c r="N4446" t="s">
        <v>47</v>
      </c>
      <c r="O4446">
        <v>4</v>
      </c>
      <c r="P4446" s="4">
        <v>133.30000000000001</v>
      </c>
      <c r="Q4446" t="s">
        <v>30</v>
      </c>
      <c r="R4446">
        <v>0</v>
      </c>
      <c r="S4446" t="s">
        <v>44</v>
      </c>
      <c r="T4446">
        <v>0</v>
      </c>
      <c r="U4446">
        <v>0</v>
      </c>
      <c r="V4446" t="s">
        <v>32</v>
      </c>
      <c r="W4446" t="s">
        <v>49</v>
      </c>
      <c r="X4446" s="4">
        <v>12.8</v>
      </c>
      <c r="Y4446">
        <v>12</v>
      </c>
      <c r="Z4446" s="5">
        <v>376.1</v>
      </c>
    </row>
    <row r="4447" spans="1:26">
      <c r="A4447">
        <v>4446</v>
      </c>
      <c r="B4447">
        <v>1458</v>
      </c>
      <c r="C4447" s="2">
        <v>46349</v>
      </c>
      <c r="D4447" t="s">
        <v>46</v>
      </c>
      <c r="E4447">
        <v>11</v>
      </c>
      <c r="F4447" s="3">
        <v>11.81</v>
      </c>
      <c r="G4447" t="s">
        <v>36</v>
      </c>
      <c r="H4447">
        <v>37</v>
      </c>
      <c r="I4447" t="s">
        <v>34</v>
      </c>
      <c r="J4447" s="4">
        <v>63.9</v>
      </c>
      <c r="K4447" s="4">
        <v>157.1</v>
      </c>
      <c r="L4447" s="4">
        <v>27.4</v>
      </c>
      <c r="M4447">
        <v>14</v>
      </c>
      <c r="N4447" t="s">
        <v>47</v>
      </c>
      <c r="O4447">
        <v>5</v>
      </c>
      <c r="P4447" s="4">
        <v>230</v>
      </c>
      <c r="Q4447" t="s">
        <v>42</v>
      </c>
      <c r="R4447">
        <v>0</v>
      </c>
      <c r="S4447" t="s">
        <v>31</v>
      </c>
      <c r="T4447">
        <v>1</v>
      </c>
      <c r="U4447">
        <v>0</v>
      </c>
      <c r="V4447" t="s">
        <v>32</v>
      </c>
      <c r="W4447" t="s">
        <v>39</v>
      </c>
      <c r="X4447" s="4">
        <v>7.7</v>
      </c>
      <c r="Y4447">
        <v>5</v>
      </c>
      <c r="Z4447" s="5">
        <v>117.17</v>
      </c>
    </row>
    <row r="4448" spans="1:26">
      <c r="A4448">
        <v>4447</v>
      </c>
      <c r="B4448">
        <v>1458</v>
      </c>
      <c r="C4448" s="2">
        <v>46349</v>
      </c>
      <c r="D4448" t="s">
        <v>46</v>
      </c>
      <c r="E4448">
        <v>11</v>
      </c>
      <c r="F4448" s="3">
        <v>11.59</v>
      </c>
      <c r="G4448" t="s">
        <v>36</v>
      </c>
      <c r="H4448">
        <v>23</v>
      </c>
      <c r="I4448" t="s">
        <v>34</v>
      </c>
      <c r="J4448" s="4">
        <v>67.3</v>
      </c>
      <c r="K4448" s="4">
        <v>133.19999999999999</v>
      </c>
      <c r="L4448" s="4">
        <v>20.7</v>
      </c>
      <c r="M4448">
        <v>15</v>
      </c>
      <c r="N4448" t="s">
        <v>47</v>
      </c>
      <c r="O4448">
        <v>5</v>
      </c>
      <c r="P4448" s="4">
        <v>230</v>
      </c>
      <c r="Q4448" t="s">
        <v>42</v>
      </c>
      <c r="R4448">
        <v>0</v>
      </c>
      <c r="S4448" t="s">
        <v>31</v>
      </c>
      <c r="T4448">
        <v>1</v>
      </c>
      <c r="U4448">
        <v>0</v>
      </c>
      <c r="V4448" t="s">
        <v>32</v>
      </c>
      <c r="W4448" t="s">
        <v>39</v>
      </c>
      <c r="X4448" s="4">
        <v>8.5</v>
      </c>
      <c r="Y4448">
        <v>6</v>
      </c>
      <c r="Z4448" s="5">
        <v>213.96</v>
      </c>
    </row>
    <row r="4449" spans="1:26">
      <c r="A4449">
        <v>4448</v>
      </c>
      <c r="B4449">
        <v>1458</v>
      </c>
      <c r="C4449" s="2">
        <v>46349</v>
      </c>
      <c r="D4449" t="s">
        <v>46</v>
      </c>
      <c r="E4449">
        <v>11</v>
      </c>
      <c r="F4449" s="3">
        <v>11.68</v>
      </c>
      <c r="G4449" t="s">
        <v>36</v>
      </c>
      <c r="H4449">
        <v>67</v>
      </c>
      <c r="I4449" t="s">
        <v>28</v>
      </c>
      <c r="J4449" s="4">
        <v>70.8</v>
      </c>
      <c r="K4449" s="4">
        <v>166.8</v>
      </c>
      <c r="L4449" s="4">
        <v>23.5</v>
      </c>
      <c r="M4449">
        <v>13</v>
      </c>
      <c r="N4449" t="s">
        <v>47</v>
      </c>
      <c r="O4449">
        <v>5</v>
      </c>
      <c r="P4449" s="4">
        <v>230</v>
      </c>
      <c r="Q4449" t="s">
        <v>42</v>
      </c>
      <c r="R4449">
        <v>0</v>
      </c>
      <c r="S4449" t="s">
        <v>31</v>
      </c>
      <c r="T4449">
        <v>1</v>
      </c>
      <c r="U4449">
        <v>0</v>
      </c>
      <c r="V4449" t="s">
        <v>32</v>
      </c>
      <c r="W4449" t="s">
        <v>39</v>
      </c>
      <c r="X4449" s="4">
        <v>7.6</v>
      </c>
      <c r="Y4449">
        <v>8</v>
      </c>
      <c r="Z4449" s="5">
        <v>284.47000000000003</v>
      </c>
    </row>
    <row r="4450" spans="1:26">
      <c r="A4450">
        <v>4449</v>
      </c>
      <c r="B4450">
        <v>1458</v>
      </c>
      <c r="C4450" s="2">
        <v>46349</v>
      </c>
      <c r="D4450" t="s">
        <v>46</v>
      </c>
      <c r="E4450">
        <v>11</v>
      </c>
      <c r="F4450" s="3">
        <v>11.7</v>
      </c>
      <c r="G4450" t="s">
        <v>36</v>
      </c>
      <c r="H4450">
        <v>69</v>
      </c>
      <c r="I4450" t="s">
        <v>34</v>
      </c>
      <c r="J4450" s="4">
        <v>66.599999999999994</v>
      </c>
      <c r="K4450" s="4">
        <v>137.80000000000001</v>
      </c>
      <c r="L4450" s="4">
        <v>21.8</v>
      </c>
      <c r="M4450">
        <v>16</v>
      </c>
      <c r="N4450" t="s">
        <v>47</v>
      </c>
      <c r="O4450">
        <v>5</v>
      </c>
      <c r="P4450" s="4">
        <v>230</v>
      </c>
      <c r="Q4450" t="s">
        <v>42</v>
      </c>
      <c r="R4450">
        <v>0</v>
      </c>
      <c r="S4450" t="s">
        <v>31</v>
      </c>
      <c r="T4450">
        <v>1</v>
      </c>
      <c r="U4450">
        <v>0</v>
      </c>
      <c r="V4450" t="s">
        <v>32</v>
      </c>
      <c r="W4450" t="s">
        <v>39</v>
      </c>
      <c r="X4450" s="4">
        <v>8.3000000000000007</v>
      </c>
      <c r="Y4450">
        <v>3</v>
      </c>
      <c r="Z4450" s="5">
        <v>108.19</v>
      </c>
    </row>
    <row r="4451" spans="1:26">
      <c r="A4451">
        <v>4450</v>
      </c>
      <c r="B4451">
        <v>1458</v>
      </c>
      <c r="C4451" s="2">
        <v>46349</v>
      </c>
      <c r="D4451" t="s">
        <v>46</v>
      </c>
      <c r="E4451">
        <v>11</v>
      </c>
      <c r="F4451" s="3">
        <v>11.93</v>
      </c>
      <c r="G4451" t="s">
        <v>36</v>
      </c>
      <c r="H4451">
        <v>47</v>
      </c>
      <c r="I4451" t="s">
        <v>34</v>
      </c>
      <c r="J4451" s="4">
        <v>66.400000000000006</v>
      </c>
      <c r="K4451" s="4">
        <v>217.5</v>
      </c>
      <c r="L4451" s="4">
        <v>34.700000000000003</v>
      </c>
      <c r="M4451">
        <v>17</v>
      </c>
      <c r="N4451" t="s">
        <v>47</v>
      </c>
      <c r="O4451">
        <v>5</v>
      </c>
      <c r="P4451" s="4">
        <v>230</v>
      </c>
      <c r="Q4451" t="s">
        <v>42</v>
      </c>
      <c r="R4451">
        <v>0</v>
      </c>
      <c r="S4451" t="s">
        <v>31</v>
      </c>
      <c r="T4451">
        <v>1</v>
      </c>
      <c r="U4451">
        <v>0</v>
      </c>
      <c r="V4451" t="s">
        <v>32</v>
      </c>
      <c r="W4451" t="s">
        <v>39</v>
      </c>
      <c r="X4451" s="4">
        <v>7.9</v>
      </c>
      <c r="Y4451">
        <v>9</v>
      </c>
      <c r="Z4451" s="5">
        <v>126.55</v>
      </c>
    </row>
    <row r="4452" spans="1:26">
      <c r="A4452">
        <v>4451</v>
      </c>
      <c r="B4452">
        <v>1459</v>
      </c>
      <c r="C4452" s="2">
        <v>46387</v>
      </c>
      <c r="D4452" t="s">
        <v>55</v>
      </c>
      <c r="E4452">
        <v>12</v>
      </c>
      <c r="F4452" s="3">
        <v>13.21</v>
      </c>
      <c r="G4452" t="s">
        <v>36</v>
      </c>
      <c r="H4452">
        <v>10</v>
      </c>
      <c r="I4452" t="s">
        <v>28</v>
      </c>
      <c r="J4452" s="4">
        <v>59.2</v>
      </c>
      <c r="K4452" s="4">
        <v>89.6</v>
      </c>
      <c r="L4452" s="4">
        <v>18.100000000000001</v>
      </c>
      <c r="M4452">
        <v>15</v>
      </c>
      <c r="N4452" t="s">
        <v>37</v>
      </c>
      <c r="O4452">
        <v>4</v>
      </c>
      <c r="P4452" s="4">
        <v>1157.0999999999999</v>
      </c>
      <c r="Q4452" t="s">
        <v>30</v>
      </c>
      <c r="R4452">
        <v>1</v>
      </c>
      <c r="S4452" t="s">
        <v>44</v>
      </c>
      <c r="T4452">
        <v>0</v>
      </c>
      <c r="U4452">
        <v>0</v>
      </c>
      <c r="V4452" t="s">
        <v>32</v>
      </c>
      <c r="W4452" t="s">
        <v>43</v>
      </c>
      <c r="X4452" s="4">
        <v>7.3</v>
      </c>
      <c r="Y4452">
        <v>11</v>
      </c>
      <c r="Z4452" s="5">
        <v>194.72</v>
      </c>
    </row>
    <row r="4453" spans="1:26">
      <c r="A4453">
        <v>4452</v>
      </c>
      <c r="B4453">
        <v>1459</v>
      </c>
      <c r="C4453" s="2">
        <v>46387</v>
      </c>
      <c r="D4453" t="s">
        <v>55</v>
      </c>
      <c r="E4453">
        <v>12</v>
      </c>
      <c r="F4453" s="3">
        <v>13.36</v>
      </c>
      <c r="G4453" t="s">
        <v>36</v>
      </c>
      <c r="H4453">
        <v>40</v>
      </c>
      <c r="I4453" t="s">
        <v>28</v>
      </c>
      <c r="J4453" s="4">
        <v>65.5</v>
      </c>
      <c r="K4453" s="4">
        <v>150.1</v>
      </c>
      <c r="L4453" s="4">
        <v>24.7</v>
      </c>
      <c r="M4453">
        <v>14</v>
      </c>
      <c r="N4453" t="s">
        <v>37</v>
      </c>
      <c r="O4453">
        <v>4</v>
      </c>
      <c r="P4453" s="4">
        <v>1157.0999999999999</v>
      </c>
      <c r="Q4453" t="s">
        <v>30</v>
      </c>
      <c r="R4453">
        <v>1</v>
      </c>
      <c r="S4453" t="s">
        <v>44</v>
      </c>
      <c r="T4453">
        <v>0</v>
      </c>
      <c r="U4453">
        <v>0</v>
      </c>
      <c r="V4453" t="s">
        <v>32</v>
      </c>
      <c r="W4453" t="s">
        <v>43</v>
      </c>
      <c r="X4453" s="4">
        <v>5.9</v>
      </c>
      <c r="Y4453">
        <v>2</v>
      </c>
      <c r="Z4453" s="5">
        <v>167.23</v>
      </c>
    </row>
    <row r="4454" spans="1:26">
      <c r="A4454">
        <v>4453</v>
      </c>
      <c r="B4454">
        <v>1459</v>
      </c>
      <c r="C4454" s="2">
        <v>46387</v>
      </c>
      <c r="D4454" t="s">
        <v>55</v>
      </c>
      <c r="E4454">
        <v>12</v>
      </c>
      <c r="F4454" s="3">
        <v>13.47</v>
      </c>
      <c r="G4454" t="s">
        <v>36</v>
      </c>
      <c r="H4454">
        <v>60</v>
      </c>
      <c r="I4454" t="s">
        <v>34</v>
      </c>
      <c r="J4454" s="4">
        <v>63</v>
      </c>
      <c r="K4454" s="4">
        <v>110</v>
      </c>
      <c r="L4454" s="4">
        <v>19.2</v>
      </c>
      <c r="M4454">
        <v>17</v>
      </c>
      <c r="N4454" t="s">
        <v>37</v>
      </c>
      <c r="O4454">
        <v>4</v>
      </c>
      <c r="P4454" s="4">
        <v>1157.0999999999999</v>
      </c>
      <c r="Q4454" t="s">
        <v>30</v>
      </c>
      <c r="R4454">
        <v>1</v>
      </c>
      <c r="S4454" t="s">
        <v>44</v>
      </c>
      <c r="T4454">
        <v>0</v>
      </c>
      <c r="U4454">
        <v>0</v>
      </c>
      <c r="V4454" t="s">
        <v>32</v>
      </c>
      <c r="W4454" t="s">
        <v>43</v>
      </c>
      <c r="X4454" s="4">
        <v>8.3000000000000007</v>
      </c>
      <c r="Y4454">
        <v>5</v>
      </c>
      <c r="Z4454" s="5">
        <v>112.75</v>
      </c>
    </row>
    <row r="4455" spans="1:26">
      <c r="A4455">
        <v>4454</v>
      </c>
      <c r="B4455">
        <v>1459</v>
      </c>
      <c r="C4455" s="2">
        <v>46387</v>
      </c>
      <c r="D4455" t="s">
        <v>55</v>
      </c>
      <c r="E4455">
        <v>12</v>
      </c>
      <c r="F4455" s="3">
        <v>13.5</v>
      </c>
      <c r="G4455" t="s">
        <v>36</v>
      </c>
      <c r="H4455">
        <v>49</v>
      </c>
      <c r="I4455" t="s">
        <v>34</v>
      </c>
      <c r="J4455" s="4">
        <v>62.2</v>
      </c>
      <c r="K4455" s="4">
        <v>148.6</v>
      </c>
      <c r="L4455" s="4">
        <v>27</v>
      </c>
      <c r="M4455">
        <v>15</v>
      </c>
      <c r="N4455" t="s">
        <v>37</v>
      </c>
      <c r="O4455">
        <v>4</v>
      </c>
      <c r="P4455" s="4">
        <v>1157.0999999999999</v>
      </c>
      <c r="Q4455" t="s">
        <v>30</v>
      </c>
      <c r="R4455">
        <v>1</v>
      </c>
      <c r="S4455" t="s">
        <v>44</v>
      </c>
      <c r="T4455">
        <v>0</v>
      </c>
      <c r="U4455">
        <v>0</v>
      </c>
      <c r="V4455" t="s">
        <v>32</v>
      </c>
      <c r="W4455" t="s">
        <v>43</v>
      </c>
      <c r="X4455" s="4">
        <v>6.5</v>
      </c>
      <c r="Y4455">
        <v>11</v>
      </c>
      <c r="Z4455" s="5">
        <v>224.81</v>
      </c>
    </row>
    <row r="4456" spans="1:26">
      <c r="A4456">
        <v>4455</v>
      </c>
      <c r="B4456">
        <v>1460</v>
      </c>
      <c r="C4456" s="2">
        <v>46214</v>
      </c>
      <c r="D4456" t="s">
        <v>40</v>
      </c>
      <c r="E4456">
        <v>7</v>
      </c>
      <c r="F4456" s="3">
        <v>11.61</v>
      </c>
      <c r="G4456" t="s">
        <v>36</v>
      </c>
      <c r="H4456">
        <v>50</v>
      </c>
      <c r="I4456" t="s">
        <v>28</v>
      </c>
      <c r="J4456" s="4">
        <v>69.5</v>
      </c>
      <c r="K4456" s="4">
        <v>156</v>
      </c>
      <c r="L4456" s="4">
        <v>22.6</v>
      </c>
      <c r="M4456">
        <v>16</v>
      </c>
      <c r="N4456" t="s">
        <v>47</v>
      </c>
      <c r="O4456">
        <v>4</v>
      </c>
      <c r="P4456" s="4">
        <v>6.2</v>
      </c>
      <c r="Q4456" t="s">
        <v>48</v>
      </c>
      <c r="R4456">
        <v>0</v>
      </c>
      <c r="S4456" t="s">
        <v>31</v>
      </c>
      <c r="T4456">
        <v>1</v>
      </c>
      <c r="U4456">
        <v>0</v>
      </c>
      <c r="V4456" t="s">
        <v>32</v>
      </c>
      <c r="W4456" t="s">
        <v>57</v>
      </c>
      <c r="X4456" s="4">
        <v>7.3</v>
      </c>
      <c r="Y4456">
        <v>11</v>
      </c>
      <c r="Z4456" s="5">
        <v>177.08</v>
      </c>
    </row>
    <row r="4457" spans="1:26">
      <c r="A4457">
        <v>4456</v>
      </c>
      <c r="B4457">
        <v>1460</v>
      </c>
      <c r="C4457" s="2">
        <v>46214</v>
      </c>
      <c r="D4457" t="s">
        <v>40</v>
      </c>
      <c r="E4457">
        <v>7</v>
      </c>
      <c r="F4457" s="3">
        <v>11.47</v>
      </c>
      <c r="G4457" t="s">
        <v>36</v>
      </c>
      <c r="H4457">
        <v>47</v>
      </c>
      <c r="I4457" t="s">
        <v>28</v>
      </c>
      <c r="J4457" s="4">
        <v>67.7</v>
      </c>
      <c r="K4457" s="4">
        <v>173.5</v>
      </c>
      <c r="L4457" s="4">
        <v>26.8</v>
      </c>
      <c r="M4457">
        <v>17</v>
      </c>
      <c r="N4457" t="s">
        <v>47</v>
      </c>
      <c r="O4457">
        <v>4</v>
      </c>
      <c r="P4457" s="4">
        <v>6.2</v>
      </c>
      <c r="Q4457" t="s">
        <v>48</v>
      </c>
      <c r="R4457">
        <v>0</v>
      </c>
      <c r="S4457" t="s">
        <v>31</v>
      </c>
      <c r="T4457">
        <v>1</v>
      </c>
      <c r="U4457">
        <v>0</v>
      </c>
      <c r="V4457" t="s">
        <v>32</v>
      </c>
      <c r="W4457" t="s">
        <v>57</v>
      </c>
      <c r="X4457" s="4">
        <v>9</v>
      </c>
      <c r="Y4457">
        <v>7</v>
      </c>
      <c r="Z4457" s="5">
        <v>248.47</v>
      </c>
    </row>
    <row r="4458" spans="1:26">
      <c r="A4458">
        <v>4457</v>
      </c>
      <c r="B4458">
        <v>1460</v>
      </c>
      <c r="C4458" s="2">
        <v>46214</v>
      </c>
      <c r="D4458" t="s">
        <v>40</v>
      </c>
      <c r="E4458">
        <v>7</v>
      </c>
      <c r="F4458" s="3">
        <v>11.58</v>
      </c>
      <c r="G4458" t="s">
        <v>36</v>
      </c>
      <c r="H4458">
        <v>64</v>
      </c>
      <c r="I4458" t="s">
        <v>28</v>
      </c>
      <c r="J4458" s="4">
        <v>70.099999999999994</v>
      </c>
      <c r="K4458" s="4">
        <v>129.6</v>
      </c>
      <c r="L4458" s="4">
        <v>18.3</v>
      </c>
      <c r="M4458">
        <v>20</v>
      </c>
      <c r="N4458" t="s">
        <v>47</v>
      </c>
      <c r="O4458">
        <v>4</v>
      </c>
      <c r="P4458" s="4">
        <v>6.2</v>
      </c>
      <c r="Q4458" t="s">
        <v>48</v>
      </c>
      <c r="R4458">
        <v>0</v>
      </c>
      <c r="S4458" t="s">
        <v>31</v>
      </c>
      <c r="T4458">
        <v>1</v>
      </c>
      <c r="U4458">
        <v>0</v>
      </c>
      <c r="V4458" t="s">
        <v>32</v>
      </c>
      <c r="W4458" t="s">
        <v>57</v>
      </c>
      <c r="X4458" s="4">
        <v>5.4</v>
      </c>
      <c r="Y4458">
        <v>9</v>
      </c>
      <c r="Z4458" s="5">
        <v>123.97</v>
      </c>
    </row>
    <row r="4459" spans="1:26">
      <c r="A4459">
        <v>4458</v>
      </c>
      <c r="B4459">
        <v>1460</v>
      </c>
      <c r="C4459" s="2">
        <v>46214</v>
      </c>
      <c r="D4459" t="s">
        <v>40</v>
      </c>
      <c r="E4459">
        <v>7</v>
      </c>
      <c r="F4459" s="3">
        <v>11.59</v>
      </c>
      <c r="G4459" t="s">
        <v>36</v>
      </c>
      <c r="H4459">
        <v>70</v>
      </c>
      <c r="I4459" t="s">
        <v>34</v>
      </c>
      <c r="J4459" s="4">
        <v>59.5</v>
      </c>
      <c r="K4459" s="4">
        <v>136.9</v>
      </c>
      <c r="L4459" s="4">
        <v>27.2</v>
      </c>
      <c r="M4459">
        <v>16</v>
      </c>
      <c r="N4459" t="s">
        <v>47</v>
      </c>
      <c r="O4459">
        <v>4</v>
      </c>
      <c r="P4459" s="4">
        <v>6.2</v>
      </c>
      <c r="Q4459" t="s">
        <v>48</v>
      </c>
      <c r="R4459">
        <v>0</v>
      </c>
      <c r="S4459" t="s">
        <v>31</v>
      </c>
      <c r="T4459">
        <v>1</v>
      </c>
      <c r="U4459">
        <v>0</v>
      </c>
      <c r="V4459" t="s">
        <v>32</v>
      </c>
      <c r="W4459" t="s">
        <v>57</v>
      </c>
      <c r="X4459" s="4">
        <v>8.8000000000000007</v>
      </c>
      <c r="Y4459">
        <v>3</v>
      </c>
      <c r="Z4459" s="5">
        <v>154.79</v>
      </c>
    </row>
    <row r="4460" spans="1:26">
      <c r="A4460">
        <v>4459</v>
      </c>
      <c r="B4460">
        <v>1461</v>
      </c>
      <c r="C4460" s="2">
        <v>46386</v>
      </c>
      <c r="D4460" t="s">
        <v>52</v>
      </c>
      <c r="E4460">
        <v>12</v>
      </c>
      <c r="F4460" s="3">
        <v>10.99</v>
      </c>
      <c r="G4460" t="s">
        <v>27</v>
      </c>
      <c r="H4460">
        <v>64</v>
      </c>
      <c r="I4460" t="s">
        <v>34</v>
      </c>
      <c r="J4460" s="4">
        <v>64.099999999999994</v>
      </c>
      <c r="K4460" s="4">
        <v>146.9</v>
      </c>
      <c r="L4460" s="4">
        <v>24.9</v>
      </c>
      <c r="M4460">
        <v>13</v>
      </c>
      <c r="N4460" t="s">
        <v>61</v>
      </c>
      <c r="O4460">
        <v>3</v>
      </c>
      <c r="P4460" s="4">
        <v>1674.3</v>
      </c>
      <c r="Q4460" t="s">
        <v>30</v>
      </c>
      <c r="R4460">
        <v>1</v>
      </c>
      <c r="S4460" t="s">
        <v>31</v>
      </c>
      <c r="T4460">
        <v>0</v>
      </c>
      <c r="U4460">
        <v>0</v>
      </c>
      <c r="V4460" t="s">
        <v>45</v>
      </c>
      <c r="W4460" t="s">
        <v>39</v>
      </c>
      <c r="X4460" s="4">
        <v>6.2</v>
      </c>
      <c r="Y4460">
        <v>8</v>
      </c>
      <c r="Z4460" s="5">
        <v>131.41</v>
      </c>
    </row>
    <row r="4461" spans="1:26">
      <c r="A4461">
        <v>4460</v>
      </c>
      <c r="B4461">
        <v>1461</v>
      </c>
      <c r="C4461" s="2">
        <v>46386</v>
      </c>
      <c r="D4461" t="s">
        <v>52</v>
      </c>
      <c r="E4461">
        <v>12</v>
      </c>
      <c r="F4461" s="3">
        <v>10.89</v>
      </c>
      <c r="G4461" t="s">
        <v>27</v>
      </c>
      <c r="H4461">
        <v>5</v>
      </c>
      <c r="I4461" t="s">
        <v>28</v>
      </c>
      <c r="J4461" s="4">
        <v>55.1</v>
      </c>
      <c r="K4461" s="4">
        <v>83.9</v>
      </c>
      <c r="L4461" s="4">
        <v>19.5</v>
      </c>
      <c r="M4461">
        <v>13</v>
      </c>
      <c r="N4461" t="s">
        <v>61</v>
      </c>
      <c r="O4461">
        <v>3</v>
      </c>
      <c r="P4461" s="4">
        <v>1674.3</v>
      </c>
      <c r="Q4461" t="s">
        <v>30</v>
      </c>
      <c r="R4461">
        <v>1</v>
      </c>
      <c r="S4461" t="s">
        <v>31</v>
      </c>
      <c r="T4461">
        <v>0</v>
      </c>
      <c r="U4461">
        <v>0</v>
      </c>
      <c r="V4461" t="s">
        <v>45</v>
      </c>
      <c r="W4461" t="s">
        <v>39</v>
      </c>
      <c r="X4461" s="4">
        <v>10.4</v>
      </c>
      <c r="Y4461">
        <v>12</v>
      </c>
      <c r="Z4461" s="5">
        <v>288.39</v>
      </c>
    </row>
    <row r="4462" spans="1:26">
      <c r="A4462">
        <v>4461</v>
      </c>
      <c r="B4462">
        <v>1461</v>
      </c>
      <c r="C4462" s="2">
        <v>46386</v>
      </c>
      <c r="D4462" t="s">
        <v>52</v>
      </c>
      <c r="E4462">
        <v>12</v>
      </c>
      <c r="F4462" s="3">
        <v>10.81</v>
      </c>
      <c r="G4462" t="s">
        <v>27</v>
      </c>
      <c r="H4462">
        <v>11</v>
      </c>
      <c r="I4462" t="s">
        <v>34</v>
      </c>
      <c r="J4462" s="4">
        <v>70</v>
      </c>
      <c r="K4462" s="4">
        <v>112</v>
      </c>
      <c r="L4462" s="4">
        <v>16</v>
      </c>
      <c r="M4462">
        <v>12</v>
      </c>
      <c r="N4462" t="s">
        <v>61</v>
      </c>
      <c r="O4462">
        <v>3</v>
      </c>
      <c r="P4462" s="4">
        <v>1674.3</v>
      </c>
      <c r="Q4462" t="s">
        <v>30</v>
      </c>
      <c r="R4462">
        <v>1</v>
      </c>
      <c r="S4462" t="s">
        <v>31</v>
      </c>
      <c r="T4462">
        <v>0</v>
      </c>
      <c r="U4462">
        <v>0</v>
      </c>
      <c r="V4462" t="s">
        <v>45</v>
      </c>
      <c r="W4462" t="s">
        <v>39</v>
      </c>
      <c r="X4462" s="4">
        <v>9.4</v>
      </c>
      <c r="Y4462">
        <v>13</v>
      </c>
      <c r="Z4462" s="5">
        <v>254.04</v>
      </c>
    </row>
    <row r="4463" spans="1:26">
      <c r="A4463">
        <v>4462</v>
      </c>
      <c r="B4463">
        <v>1462</v>
      </c>
      <c r="C4463" s="2">
        <v>46065</v>
      </c>
      <c r="D4463" t="s">
        <v>55</v>
      </c>
      <c r="E4463">
        <v>2</v>
      </c>
      <c r="F4463" s="3">
        <v>12.14</v>
      </c>
      <c r="G4463" t="s">
        <v>36</v>
      </c>
      <c r="H4463">
        <v>41</v>
      </c>
      <c r="I4463" t="s">
        <v>34</v>
      </c>
      <c r="J4463" s="4">
        <v>63.2</v>
      </c>
      <c r="K4463" s="4">
        <v>101.1</v>
      </c>
      <c r="L4463" s="4">
        <v>18.100000000000001</v>
      </c>
      <c r="M4463">
        <v>15</v>
      </c>
      <c r="N4463" t="s">
        <v>69</v>
      </c>
      <c r="O4463">
        <v>2</v>
      </c>
      <c r="P4463" s="4">
        <v>2350.5</v>
      </c>
      <c r="Q4463" t="s">
        <v>42</v>
      </c>
      <c r="R4463">
        <v>1</v>
      </c>
      <c r="S4463" t="s">
        <v>44</v>
      </c>
      <c r="T4463">
        <v>0</v>
      </c>
      <c r="U4463">
        <v>0</v>
      </c>
      <c r="V4463" t="s">
        <v>32</v>
      </c>
      <c r="W4463" t="s">
        <v>49</v>
      </c>
      <c r="X4463" s="4">
        <v>9.5</v>
      </c>
      <c r="Y4463">
        <v>11</v>
      </c>
      <c r="Z4463" s="5">
        <v>295.51</v>
      </c>
    </row>
    <row r="4464" spans="1:26">
      <c r="A4464">
        <v>4463</v>
      </c>
      <c r="B4464">
        <v>1462</v>
      </c>
      <c r="C4464" s="2">
        <v>46065</v>
      </c>
      <c r="D4464" t="s">
        <v>55</v>
      </c>
      <c r="E4464">
        <v>2</v>
      </c>
      <c r="F4464" s="3">
        <v>12.13</v>
      </c>
      <c r="G4464" t="s">
        <v>36</v>
      </c>
      <c r="H4464">
        <v>53</v>
      </c>
      <c r="I4464" t="s">
        <v>28</v>
      </c>
      <c r="J4464" s="4">
        <v>68.3</v>
      </c>
      <c r="K4464" s="4">
        <v>165.4</v>
      </c>
      <c r="L4464" s="4">
        <v>25</v>
      </c>
      <c r="M4464">
        <v>16</v>
      </c>
      <c r="N4464" t="s">
        <v>69</v>
      </c>
      <c r="O4464">
        <v>2</v>
      </c>
      <c r="P4464" s="4">
        <v>2350.5</v>
      </c>
      <c r="Q4464" t="s">
        <v>42</v>
      </c>
      <c r="R4464">
        <v>1</v>
      </c>
      <c r="S4464" t="s">
        <v>44</v>
      </c>
      <c r="T4464">
        <v>0</v>
      </c>
      <c r="U4464">
        <v>0</v>
      </c>
      <c r="V4464" t="s">
        <v>32</v>
      </c>
      <c r="W4464" t="s">
        <v>49</v>
      </c>
      <c r="X4464" s="4">
        <v>8.6999999999999993</v>
      </c>
      <c r="Y4464">
        <v>11</v>
      </c>
      <c r="Z4464" s="5">
        <v>393.26</v>
      </c>
    </row>
    <row r="4465" spans="1:26">
      <c r="A4465">
        <v>4464</v>
      </c>
      <c r="B4465">
        <v>1463</v>
      </c>
      <c r="C4465" s="2">
        <v>46048</v>
      </c>
      <c r="D4465" t="s">
        <v>46</v>
      </c>
      <c r="E4465">
        <v>1</v>
      </c>
      <c r="F4465" s="3">
        <v>7.04</v>
      </c>
      <c r="G4465" t="s">
        <v>27</v>
      </c>
      <c r="H4465">
        <v>39</v>
      </c>
      <c r="I4465" t="s">
        <v>28</v>
      </c>
      <c r="J4465" s="4">
        <v>64.599999999999994</v>
      </c>
      <c r="K4465" s="4">
        <v>160.6</v>
      </c>
      <c r="L4465" s="4">
        <v>27.1</v>
      </c>
      <c r="M4465">
        <v>16</v>
      </c>
      <c r="N4465" t="s">
        <v>47</v>
      </c>
      <c r="O4465">
        <v>1</v>
      </c>
      <c r="P4465" s="4">
        <v>32.5</v>
      </c>
      <c r="Q4465" t="s">
        <v>48</v>
      </c>
      <c r="R4465">
        <v>0</v>
      </c>
      <c r="S4465" t="s">
        <v>31</v>
      </c>
      <c r="T4465">
        <v>0</v>
      </c>
      <c r="U4465">
        <v>0</v>
      </c>
      <c r="V4465" t="s">
        <v>32</v>
      </c>
      <c r="W4465" t="s">
        <v>43</v>
      </c>
      <c r="X4465" s="4">
        <v>11.3</v>
      </c>
      <c r="Y4465">
        <v>13</v>
      </c>
      <c r="Z4465" s="5">
        <v>248.43</v>
      </c>
    </row>
    <row r="4466" spans="1:26">
      <c r="A4466">
        <v>4465</v>
      </c>
      <c r="B4466">
        <v>1464</v>
      </c>
      <c r="C4466" s="2">
        <v>46127</v>
      </c>
      <c r="D4466" t="s">
        <v>52</v>
      </c>
      <c r="E4466">
        <v>4</v>
      </c>
      <c r="F4466" s="3">
        <v>10.8</v>
      </c>
      <c r="G4466" t="s">
        <v>27</v>
      </c>
      <c r="H4466">
        <v>69</v>
      </c>
      <c r="I4466" t="s">
        <v>28</v>
      </c>
      <c r="J4466" s="4">
        <v>72.7</v>
      </c>
      <c r="K4466" s="4">
        <v>220.4</v>
      </c>
      <c r="L4466" s="4">
        <v>29.4</v>
      </c>
      <c r="M4466">
        <v>20</v>
      </c>
      <c r="N4466" t="s">
        <v>56</v>
      </c>
      <c r="O4466">
        <v>2</v>
      </c>
      <c r="P4466" s="4">
        <v>265.7</v>
      </c>
      <c r="Q4466" t="s">
        <v>42</v>
      </c>
      <c r="R4466">
        <v>1</v>
      </c>
      <c r="S4466" t="s">
        <v>31</v>
      </c>
      <c r="T4466">
        <v>0</v>
      </c>
      <c r="U4466">
        <v>0</v>
      </c>
      <c r="V4466" t="s">
        <v>45</v>
      </c>
      <c r="W4466" t="s">
        <v>49</v>
      </c>
      <c r="X4466" s="4">
        <v>8.1999999999999993</v>
      </c>
      <c r="Y4466">
        <v>11</v>
      </c>
      <c r="Z4466" s="5">
        <v>323.13</v>
      </c>
    </row>
    <row r="4467" spans="1:26">
      <c r="A4467">
        <v>4466</v>
      </c>
      <c r="B4467">
        <v>1464</v>
      </c>
      <c r="C4467" s="2">
        <v>46127</v>
      </c>
      <c r="D4467" t="s">
        <v>52</v>
      </c>
      <c r="E4467">
        <v>4</v>
      </c>
      <c r="F4467" s="3">
        <v>10.91</v>
      </c>
      <c r="G4467" t="s">
        <v>27</v>
      </c>
      <c r="H4467">
        <v>37</v>
      </c>
      <c r="I4467" t="s">
        <v>34</v>
      </c>
      <c r="J4467" s="4">
        <v>65.3</v>
      </c>
      <c r="K4467" s="4">
        <v>156.6</v>
      </c>
      <c r="L4467" s="4">
        <v>25.6</v>
      </c>
      <c r="M4467">
        <v>13</v>
      </c>
      <c r="N4467" t="s">
        <v>56</v>
      </c>
      <c r="O4467">
        <v>2</v>
      </c>
      <c r="P4467" s="4">
        <v>265.7</v>
      </c>
      <c r="Q4467" t="s">
        <v>42</v>
      </c>
      <c r="R4467">
        <v>1</v>
      </c>
      <c r="S4467" t="s">
        <v>31</v>
      </c>
      <c r="T4467">
        <v>0</v>
      </c>
      <c r="U4467">
        <v>0</v>
      </c>
      <c r="V4467" t="s">
        <v>45</v>
      </c>
      <c r="W4467" t="s">
        <v>49</v>
      </c>
      <c r="X4467" s="4">
        <v>6.9</v>
      </c>
      <c r="Y4467">
        <v>5</v>
      </c>
      <c r="Z4467" s="5">
        <v>271.75</v>
      </c>
    </row>
    <row r="4468" spans="1:26">
      <c r="A4468">
        <v>4467</v>
      </c>
      <c r="B4468">
        <v>1465</v>
      </c>
      <c r="C4468" s="2">
        <v>46073</v>
      </c>
      <c r="D4468" t="s">
        <v>26</v>
      </c>
      <c r="E4468">
        <v>2</v>
      </c>
      <c r="F4468" s="3">
        <v>9.42</v>
      </c>
      <c r="G4468" t="s">
        <v>27</v>
      </c>
      <c r="H4468">
        <v>40</v>
      </c>
      <c r="I4468" t="s">
        <v>28</v>
      </c>
      <c r="J4468" s="4">
        <v>67.400000000000006</v>
      </c>
      <c r="K4468" s="4">
        <v>97.7</v>
      </c>
      <c r="L4468" s="4">
        <v>14.9</v>
      </c>
      <c r="M4468">
        <v>17</v>
      </c>
      <c r="N4468" t="s">
        <v>50</v>
      </c>
      <c r="O4468">
        <v>4</v>
      </c>
      <c r="P4468" s="4">
        <v>392.6</v>
      </c>
      <c r="Q4468" t="s">
        <v>30</v>
      </c>
      <c r="R4468">
        <v>1</v>
      </c>
      <c r="S4468" t="s">
        <v>44</v>
      </c>
      <c r="T4468">
        <v>0</v>
      </c>
      <c r="U4468">
        <v>0</v>
      </c>
      <c r="V4468" t="s">
        <v>32</v>
      </c>
      <c r="W4468" t="s">
        <v>49</v>
      </c>
      <c r="X4468" s="4">
        <v>10.6</v>
      </c>
      <c r="Y4468">
        <v>6</v>
      </c>
      <c r="Z4468" s="5">
        <v>237.85</v>
      </c>
    </row>
    <row r="4469" spans="1:26">
      <c r="A4469">
        <v>4468</v>
      </c>
      <c r="B4469">
        <v>1465</v>
      </c>
      <c r="C4469" s="2">
        <v>46073</v>
      </c>
      <c r="D4469" t="s">
        <v>26</v>
      </c>
      <c r="E4469">
        <v>2</v>
      </c>
      <c r="F4469" s="3">
        <v>9.48</v>
      </c>
      <c r="G4469" t="s">
        <v>27</v>
      </c>
      <c r="H4469">
        <v>9</v>
      </c>
      <c r="I4469" t="s">
        <v>34</v>
      </c>
      <c r="J4469" s="4">
        <v>58.6</v>
      </c>
      <c r="K4469" s="4">
        <v>78.900000000000006</v>
      </c>
      <c r="L4469" s="4">
        <v>15.9</v>
      </c>
      <c r="M4469">
        <v>6</v>
      </c>
      <c r="N4469" t="s">
        <v>50</v>
      </c>
      <c r="O4469">
        <v>4</v>
      </c>
      <c r="P4469" s="4">
        <v>392.6</v>
      </c>
      <c r="Q4469" t="s">
        <v>30</v>
      </c>
      <c r="R4469">
        <v>1</v>
      </c>
      <c r="S4469" t="s">
        <v>44</v>
      </c>
      <c r="T4469">
        <v>0</v>
      </c>
      <c r="U4469">
        <v>0</v>
      </c>
      <c r="V4469" t="s">
        <v>32</v>
      </c>
      <c r="W4469" t="s">
        <v>49</v>
      </c>
      <c r="X4469" s="4">
        <v>7.9</v>
      </c>
      <c r="Y4469">
        <v>6</v>
      </c>
      <c r="Z4469" s="5">
        <v>181.7</v>
      </c>
    </row>
    <row r="4470" spans="1:26">
      <c r="A4470">
        <v>4469</v>
      </c>
      <c r="B4470">
        <v>1465</v>
      </c>
      <c r="C4470" s="2">
        <v>46073</v>
      </c>
      <c r="D4470" t="s">
        <v>26</v>
      </c>
      <c r="E4470">
        <v>2</v>
      </c>
      <c r="F4470" s="3">
        <v>9.52</v>
      </c>
      <c r="G4470" t="s">
        <v>27</v>
      </c>
      <c r="H4470">
        <v>20</v>
      </c>
      <c r="I4470" t="s">
        <v>28</v>
      </c>
      <c r="J4470" s="4">
        <v>70.8</v>
      </c>
      <c r="K4470" s="4">
        <v>199.5</v>
      </c>
      <c r="L4470" s="4">
        <v>27.8</v>
      </c>
      <c r="M4470">
        <v>7</v>
      </c>
      <c r="N4470" t="s">
        <v>50</v>
      </c>
      <c r="O4470">
        <v>4</v>
      </c>
      <c r="P4470" s="4">
        <v>392.6</v>
      </c>
      <c r="Q4470" t="s">
        <v>30</v>
      </c>
      <c r="R4470">
        <v>1</v>
      </c>
      <c r="S4470" t="s">
        <v>44</v>
      </c>
      <c r="T4470">
        <v>0</v>
      </c>
      <c r="U4470">
        <v>0</v>
      </c>
      <c r="V4470" t="s">
        <v>32</v>
      </c>
      <c r="W4470" t="s">
        <v>49</v>
      </c>
      <c r="X4470" s="4">
        <v>8.8000000000000007</v>
      </c>
      <c r="Y4470">
        <v>10</v>
      </c>
      <c r="Z4470" s="5">
        <v>262.8</v>
      </c>
    </row>
    <row r="4471" spans="1:26">
      <c r="A4471">
        <v>4470</v>
      </c>
      <c r="B4471">
        <v>1465</v>
      </c>
      <c r="C4471" s="2">
        <v>46073</v>
      </c>
      <c r="D4471" t="s">
        <v>26</v>
      </c>
      <c r="E4471">
        <v>2</v>
      </c>
      <c r="F4471" s="3">
        <v>9.44</v>
      </c>
      <c r="G4471" t="s">
        <v>27</v>
      </c>
      <c r="H4471">
        <v>39</v>
      </c>
      <c r="I4471" t="s">
        <v>28</v>
      </c>
      <c r="J4471" s="4">
        <v>68.3</v>
      </c>
      <c r="K4471" s="4">
        <v>136.69999999999999</v>
      </c>
      <c r="L4471" s="4">
        <v>20.5</v>
      </c>
      <c r="M4471">
        <v>9</v>
      </c>
      <c r="N4471" t="s">
        <v>50</v>
      </c>
      <c r="O4471">
        <v>4</v>
      </c>
      <c r="P4471" s="4">
        <v>392.6</v>
      </c>
      <c r="Q4471" t="s">
        <v>30</v>
      </c>
      <c r="R4471">
        <v>1</v>
      </c>
      <c r="S4471" t="s">
        <v>44</v>
      </c>
      <c r="T4471">
        <v>0</v>
      </c>
      <c r="U4471">
        <v>0</v>
      </c>
      <c r="V4471" t="s">
        <v>32</v>
      </c>
      <c r="W4471" t="s">
        <v>49</v>
      </c>
      <c r="X4471" s="4">
        <v>8.3000000000000007</v>
      </c>
      <c r="Y4471">
        <v>5</v>
      </c>
      <c r="Z4471" s="5">
        <v>236.1</v>
      </c>
    </row>
    <row r="4472" spans="1:26">
      <c r="A4472">
        <v>4471</v>
      </c>
      <c r="B4472">
        <v>1466</v>
      </c>
      <c r="C4472" s="2">
        <v>46280</v>
      </c>
      <c r="D4472" t="s">
        <v>35</v>
      </c>
      <c r="E4472">
        <v>9</v>
      </c>
      <c r="F4472" s="3">
        <v>9.7799999999999994</v>
      </c>
      <c r="G4472" t="s">
        <v>27</v>
      </c>
      <c r="H4472">
        <v>39</v>
      </c>
      <c r="I4472" t="s">
        <v>34</v>
      </c>
      <c r="J4472" s="4">
        <v>61.6</v>
      </c>
      <c r="K4472" s="4">
        <v>142</v>
      </c>
      <c r="L4472" s="4">
        <v>26.3</v>
      </c>
      <c r="M4472">
        <v>14</v>
      </c>
      <c r="N4472" t="s">
        <v>47</v>
      </c>
      <c r="O4472">
        <v>3</v>
      </c>
      <c r="P4472" s="4">
        <v>94</v>
      </c>
      <c r="Q4472" t="s">
        <v>30</v>
      </c>
      <c r="R4472">
        <v>1</v>
      </c>
      <c r="S4472" t="s">
        <v>44</v>
      </c>
      <c r="T4472">
        <v>0</v>
      </c>
      <c r="U4472">
        <v>0</v>
      </c>
      <c r="V4472" t="s">
        <v>32</v>
      </c>
      <c r="W4472" t="s">
        <v>43</v>
      </c>
      <c r="X4472" s="4">
        <v>8.5</v>
      </c>
      <c r="Y4472">
        <v>6</v>
      </c>
      <c r="Z4472" s="5">
        <v>164.54</v>
      </c>
    </row>
    <row r="4473" spans="1:26">
      <c r="A4473">
        <v>4472</v>
      </c>
      <c r="B4473">
        <v>1466</v>
      </c>
      <c r="C4473" s="2">
        <v>46280</v>
      </c>
      <c r="D4473" t="s">
        <v>35</v>
      </c>
      <c r="E4473">
        <v>9</v>
      </c>
      <c r="F4473" s="3">
        <v>9.77</v>
      </c>
      <c r="G4473" t="s">
        <v>27</v>
      </c>
      <c r="H4473">
        <v>58</v>
      </c>
      <c r="I4473" t="s">
        <v>34</v>
      </c>
      <c r="J4473" s="4">
        <v>65.900000000000006</v>
      </c>
      <c r="K4473" s="4">
        <v>252.6</v>
      </c>
      <c r="L4473" s="4">
        <v>40.4</v>
      </c>
      <c r="M4473">
        <v>16</v>
      </c>
      <c r="N4473" t="s">
        <v>47</v>
      </c>
      <c r="O4473">
        <v>3</v>
      </c>
      <c r="P4473" s="4">
        <v>94</v>
      </c>
      <c r="Q4473" t="s">
        <v>30</v>
      </c>
      <c r="R4473">
        <v>1</v>
      </c>
      <c r="S4473" t="s">
        <v>44</v>
      </c>
      <c r="T4473">
        <v>0</v>
      </c>
      <c r="U4473">
        <v>0</v>
      </c>
      <c r="V4473" t="s">
        <v>32</v>
      </c>
      <c r="W4473" t="s">
        <v>43</v>
      </c>
      <c r="X4473" s="4">
        <v>9.4</v>
      </c>
      <c r="Y4473">
        <v>7</v>
      </c>
      <c r="Z4473" s="5">
        <v>288.02</v>
      </c>
    </row>
    <row r="4474" spans="1:26">
      <c r="A4474">
        <v>4473</v>
      </c>
      <c r="B4474">
        <v>1466</v>
      </c>
      <c r="C4474" s="2">
        <v>46280</v>
      </c>
      <c r="D4474" t="s">
        <v>35</v>
      </c>
      <c r="E4474">
        <v>9</v>
      </c>
      <c r="F4474" s="3">
        <v>9.82</v>
      </c>
      <c r="G4474" t="s">
        <v>27</v>
      </c>
      <c r="H4474">
        <v>35</v>
      </c>
      <c r="I4474" t="s">
        <v>28</v>
      </c>
      <c r="J4474" s="4">
        <v>68.2</v>
      </c>
      <c r="K4474" s="4">
        <v>184.1</v>
      </c>
      <c r="L4474" s="4">
        <v>27.6</v>
      </c>
      <c r="M4474">
        <v>14</v>
      </c>
      <c r="N4474" t="s">
        <v>47</v>
      </c>
      <c r="O4474">
        <v>3</v>
      </c>
      <c r="P4474" s="4">
        <v>94</v>
      </c>
      <c r="Q4474" t="s">
        <v>30</v>
      </c>
      <c r="R4474">
        <v>1</v>
      </c>
      <c r="S4474" t="s">
        <v>44</v>
      </c>
      <c r="T4474">
        <v>0</v>
      </c>
      <c r="U4474">
        <v>0</v>
      </c>
      <c r="V4474" t="s">
        <v>32</v>
      </c>
      <c r="W4474" t="s">
        <v>43</v>
      </c>
      <c r="X4474" s="4">
        <v>9.6999999999999993</v>
      </c>
      <c r="Y4474">
        <v>8</v>
      </c>
      <c r="Z4474" s="5">
        <v>157.66</v>
      </c>
    </row>
    <row r="4475" spans="1:26">
      <c r="A4475">
        <v>4474</v>
      </c>
      <c r="B4475">
        <v>1467</v>
      </c>
      <c r="C4475" s="2">
        <v>46187</v>
      </c>
      <c r="D4475" t="s">
        <v>58</v>
      </c>
      <c r="E4475">
        <v>6</v>
      </c>
      <c r="F4475" s="3">
        <v>9.36</v>
      </c>
      <c r="G4475" t="s">
        <v>27</v>
      </c>
      <c r="H4475">
        <v>38</v>
      </c>
      <c r="I4475" t="s">
        <v>28</v>
      </c>
      <c r="J4475" s="4">
        <v>66.3</v>
      </c>
      <c r="K4475" s="4">
        <v>144</v>
      </c>
      <c r="L4475" s="4">
        <v>23.1</v>
      </c>
      <c r="M4475">
        <v>16</v>
      </c>
      <c r="N4475" t="s">
        <v>47</v>
      </c>
      <c r="O4475">
        <v>2</v>
      </c>
      <c r="P4475" s="4">
        <v>80.400000000000006</v>
      </c>
      <c r="Q4475" t="s">
        <v>48</v>
      </c>
      <c r="R4475">
        <v>0</v>
      </c>
      <c r="S4475" t="s">
        <v>44</v>
      </c>
      <c r="T4475">
        <v>0</v>
      </c>
      <c r="U4475">
        <v>0</v>
      </c>
      <c r="V4475" t="s">
        <v>32</v>
      </c>
      <c r="W4475" t="s">
        <v>43</v>
      </c>
      <c r="X4475" s="4">
        <v>8.8000000000000007</v>
      </c>
      <c r="Y4475">
        <v>6</v>
      </c>
      <c r="Z4475" s="5">
        <v>362.56</v>
      </c>
    </row>
    <row r="4476" spans="1:26">
      <c r="A4476">
        <v>4475</v>
      </c>
      <c r="B4476">
        <v>1467</v>
      </c>
      <c r="C4476" s="2">
        <v>46187</v>
      </c>
      <c r="D4476" t="s">
        <v>58</v>
      </c>
      <c r="E4476">
        <v>6</v>
      </c>
      <c r="F4476" s="3">
        <v>9.24</v>
      </c>
      <c r="G4476" t="s">
        <v>27</v>
      </c>
      <c r="H4476">
        <v>63</v>
      </c>
      <c r="I4476" t="s">
        <v>34</v>
      </c>
      <c r="J4476" s="4">
        <v>61</v>
      </c>
      <c r="K4476" s="4">
        <v>159.1</v>
      </c>
      <c r="L4476" s="4">
        <v>29.8</v>
      </c>
      <c r="M4476">
        <v>18</v>
      </c>
      <c r="N4476" t="s">
        <v>47</v>
      </c>
      <c r="O4476">
        <v>2</v>
      </c>
      <c r="P4476" s="4">
        <v>80.400000000000006</v>
      </c>
      <c r="Q4476" t="s">
        <v>48</v>
      </c>
      <c r="R4476">
        <v>0</v>
      </c>
      <c r="S4476" t="s">
        <v>44</v>
      </c>
      <c r="T4476">
        <v>0</v>
      </c>
      <c r="U4476">
        <v>0</v>
      </c>
      <c r="V4476" t="s">
        <v>32</v>
      </c>
      <c r="W4476" t="s">
        <v>43</v>
      </c>
      <c r="X4476" s="4">
        <v>7.5</v>
      </c>
      <c r="Y4476">
        <v>6</v>
      </c>
      <c r="Z4476" s="5">
        <v>205.11</v>
      </c>
    </row>
    <row r="4477" spans="1:26">
      <c r="A4477">
        <v>4476</v>
      </c>
      <c r="B4477">
        <v>1468</v>
      </c>
      <c r="C4477" s="2">
        <v>46340</v>
      </c>
      <c r="D4477" t="s">
        <v>40</v>
      </c>
      <c r="E4477">
        <v>11</v>
      </c>
      <c r="F4477" s="3">
        <v>11.59</v>
      </c>
      <c r="G4477" t="s">
        <v>36</v>
      </c>
      <c r="H4477">
        <v>34</v>
      </c>
      <c r="I4477" t="s">
        <v>34</v>
      </c>
      <c r="J4477" s="4">
        <v>63.5</v>
      </c>
      <c r="K4477" s="4">
        <v>172.3</v>
      </c>
      <c r="L4477" s="4">
        <v>30.1</v>
      </c>
      <c r="M4477">
        <v>13</v>
      </c>
      <c r="N4477" t="s">
        <v>53</v>
      </c>
      <c r="O4477">
        <v>1</v>
      </c>
      <c r="P4477" s="4">
        <v>756.1</v>
      </c>
      <c r="Q4477" t="s">
        <v>42</v>
      </c>
      <c r="R4477">
        <v>0</v>
      </c>
      <c r="S4477" t="s">
        <v>44</v>
      </c>
      <c r="T4477">
        <v>0</v>
      </c>
      <c r="U4477">
        <v>1</v>
      </c>
      <c r="V4477" t="s">
        <v>32</v>
      </c>
      <c r="W4477" t="s">
        <v>33</v>
      </c>
      <c r="X4477" s="4">
        <v>9.3000000000000007</v>
      </c>
      <c r="Y4477">
        <v>6</v>
      </c>
      <c r="Z4477" s="5">
        <v>310.24</v>
      </c>
    </row>
    <row r="4478" spans="1:26">
      <c r="A4478">
        <v>4477</v>
      </c>
      <c r="B4478">
        <v>1469</v>
      </c>
      <c r="C4478" s="2">
        <v>46247</v>
      </c>
      <c r="D4478" t="s">
        <v>55</v>
      </c>
      <c r="E4478">
        <v>8</v>
      </c>
      <c r="F4478" s="3">
        <v>12.04</v>
      </c>
      <c r="G4478" t="s">
        <v>36</v>
      </c>
      <c r="H4478">
        <v>65</v>
      </c>
      <c r="I4478" t="s">
        <v>28</v>
      </c>
      <c r="J4478" s="4">
        <v>71.2</v>
      </c>
      <c r="K4478" s="4">
        <v>212.4</v>
      </c>
      <c r="L4478" s="4">
        <v>29.3</v>
      </c>
      <c r="M4478">
        <v>17</v>
      </c>
      <c r="N4478" t="s">
        <v>56</v>
      </c>
      <c r="O4478">
        <v>3</v>
      </c>
      <c r="P4478" s="4">
        <v>299.89999999999998</v>
      </c>
      <c r="Q4478" t="s">
        <v>42</v>
      </c>
      <c r="R4478">
        <v>1</v>
      </c>
      <c r="S4478" t="s">
        <v>38</v>
      </c>
      <c r="T4478">
        <v>1</v>
      </c>
      <c r="U4478">
        <v>0</v>
      </c>
      <c r="V4478" t="s">
        <v>32</v>
      </c>
      <c r="W4478" t="s">
        <v>39</v>
      </c>
      <c r="X4478" s="4">
        <v>7</v>
      </c>
      <c r="Y4478">
        <v>12</v>
      </c>
      <c r="Z4478" s="5">
        <v>250.93</v>
      </c>
    </row>
    <row r="4479" spans="1:26">
      <c r="A4479">
        <v>4478</v>
      </c>
      <c r="B4479">
        <v>1469</v>
      </c>
      <c r="C4479" s="2">
        <v>46247</v>
      </c>
      <c r="D4479" t="s">
        <v>55</v>
      </c>
      <c r="E4479">
        <v>8</v>
      </c>
      <c r="F4479" s="3">
        <v>12.39</v>
      </c>
      <c r="G4479" t="s">
        <v>36</v>
      </c>
      <c r="H4479">
        <v>8</v>
      </c>
      <c r="I4479" t="s">
        <v>28</v>
      </c>
      <c r="J4479" s="4">
        <v>52.6</v>
      </c>
      <c r="K4479" s="4">
        <v>76.3</v>
      </c>
      <c r="L4479" s="4">
        <v>19.3</v>
      </c>
      <c r="M4479">
        <v>13</v>
      </c>
      <c r="N4479" t="s">
        <v>56</v>
      </c>
      <c r="O4479">
        <v>3</v>
      </c>
      <c r="P4479" s="4">
        <v>299.89999999999998</v>
      </c>
      <c r="Q4479" t="s">
        <v>42</v>
      </c>
      <c r="R4479">
        <v>1</v>
      </c>
      <c r="S4479" t="s">
        <v>38</v>
      </c>
      <c r="T4479">
        <v>1</v>
      </c>
      <c r="U4479">
        <v>0</v>
      </c>
      <c r="V4479" t="s">
        <v>32</v>
      </c>
      <c r="W4479" t="s">
        <v>39</v>
      </c>
      <c r="X4479" s="4">
        <v>10.9</v>
      </c>
      <c r="Y4479">
        <v>15</v>
      </c>
      <c r="Z4479" s="5">
        <v>265.64</v>
      </c>
    </row>
    <row r="4480" spans="1:26">
      <c r="A4480">
        <v>4479</v>
      </c>
      <c r="B4480">
        <v>1469</v>
      </c>
      <c r="C4480" s="2">
        <v>46247</v>
      </c>
      <c r="D4480" t="s">
        <v>55</v>
      </c>
      <c r="E4480">
        <v>8</v>
      </c>
      <c r="F4480" s="3">
        <v>12.1</v>
      </c>
      <c r="G4480" t="s">
        <v>36</v>
      </c>
      <c r="H4480">
        <v>57</v>
      </c>
      <c r="I4480" t="s">
        <v>34</v>
      </c>
      <c r="J4480" s="4">
        <v>63.5</v>
      </c>
      <c r="K4480" s="4">
        <v>180.1</v>
      </c>
      <c r="L4480" s="4">
        <v>31.4</v>
      </c>
      <c r="M4480">
        <v>19</v>
      </c>
      <c r="N4480" t="s">
        <v>56</v>
      </c>
      <c r="O4480">
        <v>3</v>
      </c>
      <c r="P4480" s="4">
        <v>299.89999999999998</v>
      </c>
      <c r="Q4480" t="s">
        <v>42</v>
      </c>
      <c r="R4480">
        <v>1</v>
      </c>
      <c r="S4480" t="s">
        <v>38</v>
      </c>
      <c r="T4480">
        <v>1</v>
      </c>
      <c r="U4480">
        <v>0</v>
      </c>
      <c r="V4480" t="s">
        <v>32</v>
      </c>
      <c r="W4480" t="s">
        <v>39</v>
      </c>
      <c r="X4480" s="4">
        <v>9.9</v>
      </c>
      <c r="Y4480">
        <v>11</v>
      </c>
      <c r="Z4480" s="5">
        <v>360.93</v>
      </c>
    </row>
    <row r="4481" spans="1:26">
      <c r="A4481">
        <v>4480</v>
      </c>
      <c r="B4481">
        <v>1470</v>
      </c>
      <c r="C4481" s="2">
        <v>46340</v>
      </c>
      <c r="D4481" t="s">
        <v>40</v>
      </c>
      <c r="E4481">
        <v>11</v>
      </c>
      <c r="F4481" s="3">
        <v>11.96</v>
      </c>
      <c r="G4481" t="s">
        <v>36</v>
      </c>
      <c r="H4481">
        <v>23</v>
      </c>
      <c r="I4481" t="s">
        <v>34</v>
      </c>
      <c r="J4481" s="4">
        <v>59.9</v>
      </c>
      <c r="K4481" s="4">
        <v>85.1</v>
      </c>
      <c r="L4481" s="4">
        <v>16.5</v>
      </c>
      <c r="M4481">
        <v>16</v>
      </c>
      <c r="N4481" t="s">
        <v>61</v>
      </c>
      <c r="O4481">
        <v>4</v>
      </c>
      <c r="P4481" s="4">
        <v>1641.6</v>
      </c>
      <c r="Q4481" t="s">
        <v>42</v>
      </c>
      <c r="R4481">
        <v>0</v>
      </c>
      <c r="S4481" t="s">
        <v>44</v>
      </c>
      <c r="T4481">
        <v>0</v>
      </c>
      <c r="U4481">
        <v>0</v>
      </c>
      <c r="V4481" t="s">
        <v>32</v>
      </c>
      <c r="W4481" t="s">
        <v>49</v>
      </c>
      <c r="X4481" s="4">
        <v>10.199999999999999</v>
      </c>
      <c r="Y4481">
        <v>7</v>
      </c>
      <c r="Z4481" s="5">
        <v>278.24</v>
      </c>
    </row>
    <row r="4482" spans="1:26">
      <c r="A4482">
        <v>4481</v>
      </c>
      <c r="B4482">
        <v>1470</v>
      </c>
      <c r="C4482" s="2">
        <v>46340</v>
      </c>
      <c r="D4482" t="s">
        <v>40</v>
      </c>
      <c r="E4482">
        <v>11</v>
      </c>
      <c r="F4482" s="3">
        <v>12.06</v>
      </c>
      <c r="G4482" t="s">
        <v>36</v>
      </c>
      <c r="H4482">
        <v>27</v>
      </c>
      <c r="I4482" t="s">
        <v>51</v>
      </c>
      <c r="J4482" s="4">
        <v>67.3</v>
      </c>
      <c r="K4482" s="4">
        <v>192.7</v>
      </c>
      <c r="L4482" s="4">
        <v>29.8</v>
      </c>
      <c r="M4482">
        <v>15</v>
      </c>
      <c r="N4482" t="s">
        <v>61</v>
      </c>
      <c r="O4482">
        <v>4</v>
      </c>
      <c r="P4482" s="4">
        <v>1641.6</v>
      </c>
      <c r="Q4482" t="s">
        <v>42</v>
      </c>
      <c r="R4482">
        <v>0</v>
      </c>
      <c r="S4482" t="s">
        <v>44</v>
      </c>
      <c r="T4482">
        <v>0</v>
      </c>
      <c r="U4482">
        <v>0</v>
      </c>
      <c r="V4482" t="s">
        <v>32</v>
      </c>
      <c r="W4482" t="s">
        <v>49</v>
      </c>
      <c r="X4482" s="4">
        <v>8.8000000000000007</v>
      </c>
      <c r="Y4482">
        <v>16</v>
      </c>
      <c r="Z4482" s="5">
        <v>130.87</v>
      </c>
    </row>
    <row r="4483" spans="1:26">
      <c r="A4483">
        <v>4482</v>
      </c>
      <c r="B4483">
        <v>1470</v>
      </c>
      <c r="C4483" s="2">
        <v>46340</v>
      </c>
      <c r="D4483" t="s">
        <v>40</v>
      </c>
      <c r="E4483">
        <v>11</v>
      </c>
      <c r="F4483" s="3">
        <v>12.17</v>
      </c>
      <c r="G4483" t="s">
        <v>36</v>
      </c>
      <c r="H4483">
        <v>38</v>
      </c>
      <c r="I4483" t="s">
        <v>28</v>
      </c>
      <c r="J4483" s="4">
        <v>62.3</v>
      </c>
      <c r="K4483" s="4">
        <v>107.3</v>
      </c>
      <c r="L4483" s="4">
        <v>19.399999999999999</v>
      </c>
      <c r="M4483">
        <v>14</v>
      </c>
      <c r="N4483" t="s">
        <v>61</v>
      </c>
      <c r="O4483">
        <v>4</v>
      </c>
      <c r="P4483" s="4">
        <v>1641.6</v>
      </c>
      <c r="Q4483" t="s">
        <v>42</v>
      </c>
      <c r="R4483">
        <v>0</v>
      </c>
      <c r="S4483" t="s">
        <v>44</v>
      </c>
      <c r="T4483">
        <v>0</v>
      </c>
      <c r="U4483">
        <v>0</v>
      </c>
      <c r="V4483" t="s">
        <v>32</v>
      </c>
      <c r="W4483" t="s">
        <v>49</v>
      </c>
      <c r="X4483" s="4">
        <v>8.4</v>
      </c>
      <c r="Y4483">
        <v>10</v>
      </c>
      <c r="Z4483" s="5">
        <v>231.93</v>
      </c>
    </row>
    <row r="4484" spans="1:26">
      <c r="A4484">
        <v>4483</v>
      </c>
      <c r="B4484">
        <v>1470</v>
      </c>
      <c r="C4484" s="2">
        <v>46340</v>
      </c>
      <c r="D4484" t="s">
        <v>40</v>
      </c>
      <c r="E4484">
        <v>11</v>
      </c>
      <c r="F4484" s="3">
        <v>12</v>
      </c>
      <c r="G4484" t="s">
        <v>36</v>
      </c>
      <c r="H4484">
        <v>55</v>
      </c>
      <c r="I4484" t="s">
        <v>28</v>
      </c>
      <c r="J4484" s="4">
        <v>72.2</v>
      </c>
      <c r="K4484" s="4">
        <v>226.2</v>
      </c>
      <c r="L4484" s="4">
        <v>30.6</v>
      </c>
      <c r="M4484">
        <v>15</v>
      </c>
      <c r="N4484" t="s">
        <v>61</v>
      </c>
      <c r="O4484">
        <v>4</v>
      </c>
      <c r="P4484" s="4">
        <v>1641.6</v>
      </c>
      <c r="Q4484" t="s">
        <v>42</v>
      </c>
      <c r="R4484">
        <v>0</v>
      </c>
      <c r="S4484" t="s">
        <v>44</v>
      </c>
      <c r="T4484">
        <v>0</v>
      </c>
      <c r="U4484">
        <v>0</v>
      </c>
      <c r="V4484" t="s">
        <v>32</v>
      </c>
      <c r="W4484" t="s">
        <v>49</v>
      </c>
      <c r="X4484" s="4">
        <v>9.9</v>
      </c>
      <c r="Y4484">
        <v>9</v>
      </c>
      <c r="Z4484" s="5">
        <v>194.08</v>
      </c>
    </row>
    <row r="4485" spans="1:26">
      <c r="A4485">
        <v>4484</v>
      </c>
      <c r="B4485">
        <v>1471</v>
      </c>
      <c r="C4485" s="2">
        <v>46166</v>
      </c>
      <c r="D4485" t="s">
        <v>58</v>
      </c>
      <c r="E4485">
        <v>5</v>
      </c>
      <c r="F4485" s="3">
        <v>11.62</v>
      </c>
      <c r="G4485" t="s">
        <v>36</v>
      </c>
      <c r="H4485">
        <v>46</v>
      </c>
      <c r="I4485" t="s">
        <v>34</v>
      </c>
      <c r="J4485" s="4">
        <v>66.3</v>
      </c>
      <c r="K4485" s="4">
        <v>95.2</v>
      </c>
      <c r="L4485" s="4">
        <v>15.3</v>
      </c>
      <c r="M4485">
        <v>14</v>
      </c>
      <c r="N4485" t="s">
        <v>37</v>
      </c>
      <c r="O4485">
        <v>3</v>
      </c>
      <c r="P4485" s="4">
        <v>940.8</v>
      </c>
      <c r="Q4485" t="s">
        <v>42</v>
      </c>
      <c r="R4485">
        <v>1</v>
      </c>
      <c r="S4485" t="s">
        <v>44</v>
      </c>
      <c r="T4485">
        <v>0</v>
      </c>
      <c r="U4485">
        <v>1</v>
      </c>
      <c r="V4485" t="s">
        <v>32</v>
      </c>
      <c r="W4485" t="s">
        <v>39</v>
      </c>
      <c r="X4485" s="4">
        <v>6.8</v>
      </c>
      <c r="Y4485">
        <v>7</v>
      </c>
      <c r="Z4485" s="5">
        <v>282.75</v>
      </c>
    </row>
    <row r="4486" spans="1:26">
      <c r="A4486">
        <v>4485</v>
      </c>
      <c r="B4486">
        <v>1471</v>
      </c>
      <c r="C4486" s="2">
        <v>46166</v>
      </c>
      <c r="D4486" t="s">
        <v>58</v>
      </c>
      <c r="E4486">
        <v>5</v>
      </c>
      <c r="F4486" s="3">
        <v>11.63</v>
      </c>
      <c r="G4486" t="s">
        <v>36</v>
      </c>
      <c r="H4486">
        <v>32</v>
      </c>
      <c r="I4486" t="s">
        <v>28</v>
      </c>
      <c r="J4486" s="4">
        <v>71.2</v>
      </c>
      <c r="K4486" s="4">
        <v>203.2</v>
      </c>
      <c r="L4486" s="4">
        <v>28.2</v>
      </c>
      <c r="M4486">
        <v>14</v>
      </c>
      <c r="N4486" t="s">
        <v>37</v>
      </c>
      <c r="O4486">
        <v>3</v>
      </c>
      <c r="P4486" s="4">
        <v>940.8</v>
      </c>
      <c r="Q4486" t="s">
        <v>42</v>
      </c>
      <c r="R4486">
        <v>1</v>
      </c>
      <c r="S4486" t="s">
        <v>44</v>
      </c>
      <c r="T4486">
        <v>0</v>
      </c>
      <c r="U4486">
        <v>1</v>
      </c>
      <c r="V4486" t="s">
        <v>32</v>
      </c>
      <c r="W4486" t="s">
        <v>39</v>
      </c>
      <c r="X4486" s="4">
        <v>8.4</v>
      </c>
      <c r="Y4486">
        <v>8</v>
      </c>
      <c r="Z4486" s="5">
        <v>261.88</v>
      </c>
    </row>
    <row r="4487" spans="1:26">
      <c r="A4487">
        <v>4486</v>
      </c>
      <c r="B4487">
        <v>1471</v>
      </c>
      <c r="C4487" s="2">
        <v>46166</v>
      </c>
      <c r="D4487" t="s">
        <v>58</v>
      </c>
      <c r="E4487">
        <v>5</v>
      </c>
      <c r="F4487" s="3">
        <v>11.81</v>
      </c>
      <c r="G4487" t="s">
        <v>36</v>
      </c>
      <c r="H4487">
        <v>64</v>
      </c>
      <c r="I4487" t="s">
        <v>28</v>
      </c>
      <c r="J4487" s="4">
        <v>70</v>
      </c>
      <c r="K4487" s="4">
        <v>231.9</v>
      </c>
      <c r="L4487" s="4">
        <v>33.5</v>
      </c>
      <c r="M4487">
        <v>15</v>
      </c>
      <c r="N4487" t="s">
        <v>37</v>
      </c>
      <c r="O4487">
        <v>3</v>
      </c>
      <c r="P4487" s="4">
        <v>940.8</v>
      </c>
      <c r="Q4487" t="s">
        <v>42</v>
      </c>
      <c r="R4487">
        <v>1</v>
      </c>
      <c r="S4487" t="s">
        <v>44</v>
      </c>
      <c r="T4487">
        <v>0</v>
      </c>
      <c r="U4487">
        <v>1</v>
      </c>
      <c r="V4487" t="s">
        <v>32</v>
      </c>
      <c r="W4487" t="s">
        <v>39</v>
      </c>
      <c r="X4487" s="4">
        <v>10</v>
      </c>
      <c r="Y4487">
        <v>10</v>
      </c>
      <c r="Z4487" s="5">
        <v>297.07</v>
      </c>
    </row>
    <row r="4488" spans="1:26">
      <c r="A4488">
        <v>4487</v>
      </c>
      <c r="B4488">
        <v>1472</v>
      </c>
      <c r="C4488" s="2">
        <v>46227</v>
      </c>
      <c r="D4488" t="s">
        <v>26</v>
      </c>
      <c r="E4488">
        <v>7</v>
      </c>
      <c r="F4488" s="3">
        <v>7.2</v>
      </c>
      <c r="G4488" t="s">
        <v>27</v>
      </c>
      <c r="H4488">
        <v>48</v>
      </c>
      <c r="I4488" t="s">
        <v>28</v>
      </c>
      <c r="J4488" s="4">
        <v>70.8</v>
      </c>
      <c r="K4488" s="4">
        <v>183.2</v>
      </c>
      <c r="L4488" s="4">
        <v>25.7</v>
      </c>
      <c r="M4488">
        <v>17</v>
      </c>
      <c r="N4488" t="s">
        <v>47</v>
      </c>
      <c r="O4488">
        <v>2</v>
      </c>
      <c r="P4488" s="4">
        <v>126.5</v>
      </c>
      <c r="Q4488" t="s">
        <v>48</v>
      </c>
      <c r="R4488">
        <v>1</v>
      </c>
      <c r="S4488" t="s">
        <v>31</v>
      </c>
      <c r="T4488">
        <v>1</v>
      </c>
      <c r="U4488">
        <v>1</v>
      </c>
      <c r="V4488" t="s">
        <v>45</v>
      </c>
      <c r="W4488" t="s">
        <v>33</v>
      </c>
      <c r="X4488" s="4">
        <v>9.6</v>
      </c>
      <c r="Y4488">
        <v>15</v>
      </c>
      <c r="Z4488" s="5">
        <v>311.73</v>
      </c>
    </row>
    <row r="4489" spans="1:26">
      <c r="A4489">
        <v>4488</v>
      </c>
      <c r="B4489">
        <v>1472</v>
      </c>
      <c r="C4489" s="2">
        <v>46227</v>
      </c>
      <c r="D4489" t="s">
        <v>26</v>
      </c>
      <c r="E4489">
        <v>7</v>
      </c>
      <c r="F4489" s="3">
        <v>7</v>
      </c>
      <c r="G4489" t="s">
        <v>27</v>
      </c>
      <c r="H4489">
        <v>45</v>
      </c>
      <c r="I4489" t="s">
        <v>28</v>
      </c>
      <c r="J4489" s="4">
        <v>68.099999999999994</v>
      </c>
      <c r="K4489" s="4">
        <v>194.8</v>
      </c>
      <c r="L4489" s="4">
        <v>29.4</v>
      </c>
      <c r="M4489">
        <v>13</v>
      </c>
      <c r="N4489" t="s">
        <v>47</v>
      </c>
      <c r="O4489">
        <v>2</v>
      </c>
      <c r="P4489" s="4">
        <v>126.5</v>
      </c>
      <c r="Q4489" t="s">
        <v>48</v>
      </c>
      <c r="R4489">
        <v>1</v>
      </c>
      <c r="S4489" t="s">
        <v>31</v>
      </c>
      <c r="T4489">
        <v>1</v>
      </c>
      <c r="U4489">
        <v>1</v>
      </c>
      <c r="V4489" t="s">
        <v>45</v>
      </c>
      <c r="W4489" t="s">
        <v>33</v>
      </c>
      <c r="X4489" s="4">
        <v>10.1</v>
      </c>
      <c r="Y4489">
        <v>7</v>
      </c>
      <c r="Z4489" s="5">
        <v>441.17</v>
      </c>
    </row>
    <row r="4490" spans="1:26">
      <c r="A4490">
        <v>4489</v>
      </c>
      <c r="B4490">
        <v>1473</v>
      </c>
      <c r="C4490" s="2">
        <v>46251</v>
      </c>
      <c r="D4490" t="s">
        <v>46</v>
      </c>
      <c r="E4490">
        <v>8</v>
      </c>
      <c r="F4490" s="3">
        <v>10.47</v>
      </c>
      <c r="G4490" t="s">
        <v>27</v>
      </c>
      <c r="H4490">
        <v>69</v>
      </c>
      <c r="I4490" t="s">
        <v>28</v>
      </c>
      <c r="J4490" s="4">
        <v>69.900000000000006</v>
      </c>
      <c r="K4490" s="4">
        <v>201.4</v>
      </c>
      <c r="L4490" s="4">
        <v>29.1</v>
      </c>
      <c r="M4490">
        <v>15</v>
      </c>
      <c r="N4490" t="s">
        <v>60</v>
      </c>
      <c r="O4490">
        <v>5</v>
      </c>
      <c r="P4490" s="4">
        <v>1145</v>
      </c>
      <c r="Q4490" t="s">
        <v>30</v>
      </c>
      <c r="R4490">
        <v>0</v>
      </c>
      <c r="S4490" t="s">
        <v>38</v>
      </c>
      <c r="T4490">
        <v>0</v>
      </c>
      <c r="U4490">
        <v>1</v>
      </c>
      <c r="V4490" t="s">
        <v>32</v>
      </c>
      <c r="W4490" t="s">
        <v>33</v>
      </c>
      <c r="X4490" s="4">
        <v>8.3000000000000007</v>
      </c>
      <c r="Y4490">
        <v>8</v>
      </c>
      <c r="Z4490" s="5">
        <v>159.13999999999999</v>
      </c>
    </row>
    <row r="4491" spans="1:26">
      <c r="A4491">
        <v>4490</v>
      </c>
      <c r="B4491">
        <v>1473</v>
      </c>
      <c r="C4491" s="2">
        <v>46251</v>
      </c>
      <c r="D4491" t="s">
        <v>46</v>
      </c>
      <c r="E4491">
        <v>8</v>
      </c>
      <c r="F4491" s="3">
        <v>10.26</v>
      </c>
      <c r="G4491" t="s">
        <v>27</v>
      </c>
      <c r="H4491">
        <v>47</v>
      </c>
      <c r="I4491" t="s">
        <v>28</v>
      </c>
      <c r="J4491" s="4">
        <v>70.099999999999994</v>
      </c>
      <c r="K4491" s="4">
        <v>157.5</v>
      </c>
      <c r="L4491" s="4">
        <v>22.6</v>
      </c>
      <c r="M4491">
        <v>13</v>
      </c>
      <c r="N4491" t="s">
        <v>60</v>
      </c>
      <c r="O4491">
        <v>5</v>
      </c>
      <c r="P4491" s="4">
        <v>1145</v>
      </c>
      <c r="Q4491" t="s">
        <v>30</v>
      </c>
      <c r="R4491">
        <v>0</v>
      </c>
      <c r="S4491" t="s">
        <v>38</v>
      </c>
      <c r="T4491">
        <v>0</v>
      </c>
      <c r="U4491">
        <v>1</v>
      </c>
      <c r="V4491" t="s">
        <v>32</v>
      </c>
      <c r="W4491" t="s">
        <v>33</v>
      </c>
      <c r="X4491" s="4">
        <v>8.9</v>
      </c>
      <c r="Y4491">
        <v>9</v>
      </c>
      <c r="Z4491" s="5">
        <v>186.48</v>
      </c>
    </row>
    <row r="4492" spans="1:26">
      <c r="A4492">
        <v>4491</v>
      </c>
      <c r="B4492">
        <v>1473</v>
      </c>
      <c r="C4492" s="2">
        <v>46251</v>
      </c>
      <c r="D4492" t="s">
        <v>46</v>
      </c>
      <c r="E4492">
        <v>8</v>
      </c>
      <c r="F4492" s="3">
        <v>10.11</v>
      </c>
      <c r="G4492" t="s">
        <v>27</v>
      </c>
      <c r="H4492">
        <v>40</v>
      </c>
      <c r="I4492" t="s">
        <v>34</v>
      </c>
      <c r="J4492" s="4">
        <v>65.900000000000006</v>
      </c>
      <c r="K4492" s="4">
        <v>129.5</v>
      </c>
      <c r="L4492" s="4">
        <v>20.7</v>
      </c>
      <c r="M4492">
        <v>13</v>
      </c>
      <c r="N4492" t="s">
        <v>60</v>
      </c>
      <c r="O4492">
        <v>5</v>
      </c>
      <c r="P4492" s="4">
        <v>1145</v>
      </c>
      <c r="Q4492" t="s">
        <v>30</v>
      </c>
      <c r="R4492">
        <v>0</v>
      </c>
      <c r="S4492" t="s">
        <v>38</v>
      </c>
      <c r="T4492">
        <v>0</v>
      </c>
      <c r="U4492">
        <v>1</v>
      </c>
      <c r="V4492" t="s">
        <v>32</v>
      </c>
      <c r="W4492" t="s">
        <v>33</v>
      </c>
      <c r="X4492" s="4">
        <v>8.5</v>
      </c>
      <c r="Y4492">
        <v>7</v>
      </c>
      <c r="Z4492" s="5">
        <v>251.79</v>
      </c>
    </row>
    <row r="4493" spans="1:26">
      <c r="A4493">
        <v>4492</v>
      </c>
      <c r="B4493">
        <v>1473</v>
      </c>
      <c r="C4493" s="2">
        <v>46251</v>
      </c>
      <c r="D4493" t="s">
        <v>46</v>
      </c>
      <c r="E4493">
        <v>8</v>
      </c>
      <c r="F4493" s="3">
        <v>10.119999999999999</v>
      </c>
      <c r="G4493" t="s">
        <v>27</v>
      </c>
      <c r="H4493">
        <v>25</v>
      </c>
      <c r="I4493" t="s">
        <v>28</v>
      </c>
      <c r="J4493" s="4">
        <v>73.900000000000006</v>
      </c>
      <c r="K4493" s="4">
        <v>191.5</v>
      </c>
      <c r="L4493" s="4">
        <v>24.9</v>
      </c>
      <c r="M4493">
        <v>13</v>
      </c>
      <c r="N4493" t="s">
        <v>60</v>
      </c>
      <c r="O4493">
        <v>5</v>
      </c>
      <c r="P4493" s="4">
        <v>1145</v>
      </c>
      <c r="Q4493" t="s">
        <v>30</v>
      </c>
      <c r="R4493">
        <v>0</v>
      </c>
      <c r="S4493" t="s">
        <v>38</v>
      </c>
      <c r="T4493">
        <v>0</v>
      </c>
      <c r="U4493">
        <v>1</v>
      </c>
      <c r="V4493" t="s">
        <v>32</v>
      </c>
      <c r="W4493" t="s">
        <v>33</v>
      </c>
      <c r="X4493" s="4">
        <v>9.6</v>
      </c>
      <c r="Y4493">
        <v>12</v>
      </c>
      <c r="Z4493" s="5">
        <v>193.31</v>
      </c>
    </row>
    <row r="4494" spans="1:26">
      <c r="A4494">
        <v>4493</v>
      </c>
      <c r="B4494">
        <v>1473</v>
      </c>
      <c r="C4494" s="2">
        <v>46251</v>
      </c>
      <c r="D4494" t="s">
        <v>46</v>
      </c>
      <c r="E4494">
        <v>8</v>
      </c>
      <c r="F4494" s="3">
        <v>10.199999999999999</v>
      </c>
      <c r="G4494" t="s">
        <v>27</v>
      </c>
      <c r="H4494">
        <v>65</v>
      </c>
      <c r="I4494" t="s">
        <v>28</v>
      </c>
      <c r="J4494" s="4">
        <v>63.1</v>
      </c>
      <c r="K4494" s="4">
        <v>138.69999999999999</v>
      </c>
      <c r="L4494" s="4">
        <v>24.6</v>
      </c>
      <c r="M4494">
        <v>15</v>
      </c>
      <c r="N4494" t="s">
        <v>60</v>
      </c>
      <c r="O4494">
        <v>5</v>
      </c>
      <c r="P4494" s="4">
        <v>1145</v>
      </c>
      <c r="Q4494" t="s">
        <v>30</v>
      </c>
      <c r="R4494">
        <v>0</v>
      </c>
      <c r="S4494" t="s">
        <v>38</v>
      </c>
      <c r="T4494">
        <v>0</v>
      </c>
      <c r="U4494">
        <v>1</v>
      </c>
      <c r="V4494" t="s">
        <v>32</v>
      </c>
      <c r="W4494" t="s">
        <v>33</v>
      </c>
      <c r="X4494" s="4">
        <v>7.7</v>
      </c>
      <c r="Y4494">
        <v>7</v>
      </c>
      <c r="Z4494" s="5">
        <v>164.71</v>
      </c>
    </row>
    <row r="4495" spans="1:26">
      <c r="A4495">
        <v>4494</v>
      </c>
      <c r="B4495">
        <v>1474</v>
      </c>
      <c r="C4495" s="2">
        <v>46173</v>
      </c>
      <c r="D4495" t="s">
        <v>58</v>
      </c>
      <c r="E4495">
        <v>5</v>
      </c>
      <c r="F4495" s="3">
        <v>9.91</v>
      </c>
      <c r="G4495" t="s">
        <v>27</v>
      </c>
      <c r="H4495">
        <v>52</v>
      </c>
      <c r="I4495" t="s">
        <v>28</v>
      </c>
      <c r="J4495" s="4">
        <v>69.2</v>
      </c>
      <c r="K4495" s="4">
        <v>190.4</v>
      </c>
      <c r="L4495" s="4">
        <v>28</v>
      </c>
      <c r="M4495">
        <v>17</v>
      </c>
      <c r="N4495" t="s">
        <v>60</v>
      </c>
      <c r="O4495">
        <v>3</v>
      </c>
      <c r="P4495" s="4">
        <v>1303.2</v>
      </c>
      <c r="Q4495" t="s">
        <v>42</v>
      </c>
      <c r="R4495">
        <v>1</v>
      </c>
      <c r="S4495" t="s">
        <v>44</v>
      </c>
      <c r="T4495">
        <v>0</v>
      </c>
      <c r="U4495">
        <v>0</v>
      </c>
      <c r="V4495" t="s">
        <v>64</v>
      </c>
      <c r="W4495" t="s">
        <v>49</v>
      </c>
      <c r="X4495" s="4">
        <v>6.9</v>
      </c>
      <c r="Y4495">
        <v>8</v>
      </c>
      <c r="Z4495" s="5">
        <v>220.75</v>
      </c>
    </row>
    <row r="4496" spans="1:26">
      <c r="A4496">
        <v>4495</v>
      </c>
      <c r="B4496">
        <v>1474</v>
      </c>
      <c r="C4496" s="2">
        <v>46173</v>
      </c>
      <c r="D4496" t="s">
        <v>58</v>
      </c>
      <c r="E4496">
        <v>5</v>
      </c>
      <c r="F4496" s="3">
        <v>10.3</v>
      </c>
      <c r="G4496" t="s">
        <v>27</v>
      </c>
      <c r="H4496">
        <v>43</v>
      </c>
      <c r="I4496" t="s">
        <v>28</v>
      </c>
      <c r="J4496" s="4">
        <v>65.599999999999994</v>
      </c>
      <c r="K4496" s="4">
        <v>99.9</v>
      </c>
      <c r="L4496" s="4">
        <v>16.100000000000001</v>
      </c>
      <c r="M4496">
        <v>18</v>
      </c>
      <c r="N4496" t="s">
        <v>60</v>
      </c>
      <c r="O4496">
        <v>3</v>
      </c>
      <c r="P4496" s="4">
        <v>1303.2</v>
      </c>
      <c r="Q4496" t="s">
        <v>42</v>
      </c>
      <c r="R4496">
        <v>1</v>
      </c>
      <c r="S4496" t="s">
        <v>44</v>
      </c>
      <c r="T4496">
        <v>0</v>
      </c>
      <c r="U4496">
        <v>0</v>
      </c>
      <c r="V4496" t="s">
        <v>64</v>
      </c>
      <c r="W4496" t="s">
        <v>49</v>
      </c>
      <c r="X4496" s="4">
        <v>8.1</v>
      </c>
      <c r="Y4496">
        <v>6</v>
      </c>
      <c r="Z4496" s="5">
        <v>216.53</v>
      </c>
    </row>
    <row r="4497" spans="1:26">
      <c r="A4497">
        <v>4496</v>
      </c>
      <c r="B4497">
        <v>1474</v>
      </c>
      <c r="C4497" s="2">
        <v>46173</v>
      </c>
      <c r="D4497" t="s">
        <v>58</v>
      </c>
      <c r="E4497">
        <v>5</v>
      </c>
      <c r="F4497" s="3">
        <v>10.34</v>
      </c>
      <c r="G4497" t="s">
        <v>27</v>
      </c>
      <c r="H4497">
        <v>49</v>
      </c>
      <c r="I4497" t="s">
        <v>28</v>
      </c>
      <c r="J4497" s="4">
        <v>61.4</v>
      </c>
      <c r="K4497" s="4">
        <v>149.5</v>
      </c>
      <c r="L4497" s="4">
        <v>27.8</v>
      </c>
      <c r="M4497">
        <v>19</v>
      </c>
      <c r="N4497" t="s">
        <v>60</v>
      </c>
      <c r="O4497">
        <v>3</v>
      </c>
      <c r="P4497" s="4">
        <v>1303.2</v>
      </c>
      <c r="Q4497" t="s">
        <v>42</v>
      </c>
      <c r="R4497">
        <v>1</v>
      </c>
      <c r="S4497" t="s">
        <v>44</v>
      </c>
      <c r="T4497">
        <v>0</v>
      </c>
      <c r="U4497">
        <v>0</v>
      </c>
      <c r="V4497" t="s">
        <v>64</v>
      </c>
      <c r="W4497" t="s">
        <v>49</v>
      </c>
      <c r="X4497" s="4">
        <v>8</v>
      </c>
      <c r="Y4497">
        <v>7</v>
      </c>
      <c r="Z4497" s="5">
        <v>267</v>
      </c>
    </row>
    <row r="4498" spans="1:26">
      <c r="A4498">
        <v>4497</v>
      </c>
      <c r="B4498">
        <v>1475</v>
      </c>
      <c r="C4498" s="2">
        <v>46182</v>
      </c>
      <c r="D4498" t="s">
        <v>35</v>
      </c>
      <c r="E4498">
        <v>6</v>
      </c>
      <c r="F4498" s="3">
        <v>9.3000000000000007</v>
      </c>
      <c r="G4498" t="s">
        <v>27</v>
      </c>
      <c r="H4498">
        <v>33</v>
      </c>
      <c r="I4498" t="s">
        <v>34</v>
      </c>
      <c r="J4498" s="4">
        <v>64.599999999999994</v>
      </c>
      <c r="K4498" s="4">
        <v>185.7</v>
      </c>
      <c r="L4498" s="4">
        <v>31.2</v>
      </c>
      <c r="M4498">
        <v>15</v>
      </c>
      <c r="N4498" t="s">
        <v>47</v>
      </c>
      <c r="O4498">
        <v>3</v>
      </c>
      <c r="P4498" s="4">
        <v>105.7</v>
      </c>
      <c r="Q4498" t="s">
        <v>48</v>
      </c>
      <c r="R4498">
        <v>1</v>
      </c>
      <c r="S4498" t="s">
        <v>38</v>
      </c>
      <c r="T4498">
        <v>0</v>
      </c>
      <c r="U4498">
        <v>0</v>
      </c>
      <c r="V4498" t="s">
        <v>32</v>
      </c>
      <c r="W4498" t="s">
        <v>43</v>
      </c>
      <c r="X4498" s="4">
        <v>8.6</v>
      </c>
      <c r="Y4498">
        <v>9</v>
      </c>
      <c r="Z4498" s="5">
        <v>183</v>
      </c>
    </row>
    <row r="4499" spans="1:26">
      <c r="A4499">
        <v>4498</v>
      </c>
      <c r="B4499">
        <v>1475</v>
      </c>
      <c r="C4499" s="2">
        <v>46182</v>
      </c>
      <c r="D4499" t="s">
        <v>35</v>
      </c>
      <c r="E4499">
        <v>6</v>
      </c>
      <c r="F4499" s="3">
        <v>9.15</v>
      </c>
      <c r="G4499" t="s">
        <v>27</v>
      </c>
      <c r="H4499">
        <v>6</v>
      </c>
      <c r="I4499" t="s">
        <v>28</v>
      </c>
      <c r="J4499" s="4">
        <v>65.900000000000006</v>
      </c>
      <c r="K4499" s="4">
        <v>117.9</v>
      </c>
      <c r="L4499" s="4">
        <v>18.899999999999999</v>
      </c>
      <c r="M4499">
        <v>17</v>
      </c>
      <c r="N4499" t="s">
        <v>47</v>
      </c>
      <c r="O4499">
        <v>3</v>
      </c>
      <c r="P4499" s="4">
        <v>105.7</v>
      </c>
      <c r="Q4499" t="s">
        <v>48</v>
      </c>
      <c r="R4499">
        <v>1</v>
      </c>
      <c r="S4499" t="s">
        <v>38</v>
      </c>
      <c r="T4499">
        <v>0</v>
      </c>
      <c r="U4499">
        <v>0</v>
      </c>
      <c r="V4499" t="s">
        <v>32</v>
      </c>
      <c r="W4499" t="s">
        <v>43</v>
      </c>
      <c r="X4499" s="4">
        <v>7.2</v>
      </c>
      <c r="Y4499">
        <v>7</v>
      </c>
      <c r="Z4499" s="5">
        <v>337.97</v>
      </c>
    </row>
    <row r="4500" spans="1:26">
      <c r="A4500">
        <v>4499</v>
      </c>
      <c r="B4500">
        <v>1475</v>
      </c>
      <c r="C4500" s="2">
        <v>46182</v>
      </c>
      <c r="D4500" t="s">
        <v>35</v>
      </c>
      <c r="E4500">
        <v>6</v>
      </c>
      <c r="F4500" s="3">
        <v>9.34</v>
      </c>
      <c r="G4500" t="s">
        <v>27</v>
      </c>
      <c r="H4500">
        <v>43</v>
      </c>
      <c r="I4500" t="s">
        <v>34</v>
      </c>
      <c r="J4500" s="4">
        <v>63.2</v>
      </c>
      <c r="K4500" s="4">
        <v>150.30000000000001</v>
      </c>
      <c r="L4500" s="4">
        <v>26.7</v>
      </c>
      <c r="M4500">
        <v>16</v>
      </c>
      <c r="N4500" t="s">
        <v>47</v>
      </c>
      <c r="O4500">
        <v>3</v>
      </c>
      <c r="P4500" s="4">
        <v>105.7</v>
      </c>
      <c r="Q4500" t="s">
        <v>48</v>
      </c>
      <c r="R4500">
        <v>1</v>
      </c>
      <c r="S4500" t="s">
        <v>38</v>
      </c>
      <c r="T4500">
        <v>0</v>
      </c>
      <c r="U4500">
        <v>0</v>
      </c>
      <c r="V4500" t="s">
        <v>32</v>
      </c>
      <c r="W4500" t="s">
        <v>43</v>
      </c>
      <c r="X4500" s="4">
        <v>13.2</v>
      </c>
      <c r="Y4500">
        <v>14</v>
      </c>
      <c r="Z4500" s="5">
        <v>385.83</v>
      </c>
    </row>
    <row r="4501" spans="1:26">
      <c r="A4501">
        <v>4500</v>
      </c>
      <c r="B4501">
        <v>1476</v>
      </c>
      <c r="C4501" s="2">
        <v>46024</v>
      </c>
      <c r="D4501" t="s">
        <v>26</v>
      </c>
      <c r="E4501">
        <v>1</v>
      </c>
      <c r="F4501" s="3">
        <v>12.05</v>
      </c>
      <c r="G4501" t="s">
        <v>36</v>
      </c>
      <c r="H4501">
        <v>65</v>
      </c>
      <c r="I4501" t="s">
        <v>34</v>
      </c>
      <c r="J4501" s="4">
        <v>60.7</v>
      </c>
      <c r="K4501" s="4">
        <v>142.30000000000001</v>
      </c>
      <c r="L4501" s="4">
        <v>27.2</v>
      </c>
      <c r="M4501">
        <v>18</v>
      </c>
      <c r="N4501" t="s">
        <v>37</v>
      </c>
      <c r="O4501">
        <v>3</v>
      </c>
      <c r="P4501" s="4">
        <v>933.3</v>
      </c>
      <c r="Q4501" t="s">
        <v>30</v>
      </c>
      <c r="R4501">
        <v>1</v>
      </c>
      <c r="S4501" t="s">
        <v>38</v>
      </c>
      <c r="T4501">
        <v>0</v>
      </c>
      <c r="U4501">
        <v>0</v>
      </c>
      <c r="V4501" t="s">
        <v>32</v>
      </c>
      <c r="W4501" t="s">
        <v>43</v>
      </c>
      <c r="X4501" s="4">
        <v>6.6</v>
      </c>
      <c r="Y4501">
        <v>5</v>
      </c>
      <c r="Z4501" s="5">
        <v>80</v>
      </c>
    </row>
    <row r="4502" spans="1:26">
      <c r="A4502">
        <v>4501</v>
      </c>
      <c r="B4502">
        <v>1476</v>
      </c>
      <c r="C4502" s="2">
        <v>46024</v>
      </c>
      <c r="D4502" t="s">
        <v>26</v>
      </c>
      <c r="E4502">
        <v>1</v>
      </c>
      <c r="F4502" s="3">
        <v>12.57</v>
      </c>
      <c r="G4502" t="s">
        <v>36</v>
      </c>
      <c r="H4502">
        <v>68</v>
      </c>
      <c r="I4502" t="s">
        <v>28</v>
      </c>
      <c r="J4502" s="4">
        <v>66.7</v>
      </c>
      <c r="K4502" s="4">
        <v>160.80000000000001</v>
      </c>
      <c r="L4502" s="4">
        <v>25.2</v>
      </c>
      <c r="M4502">
        <v>15</v>
      </c>
      <c r="N4502" t="s">
        <v>37</v>
      </c>
      <c r="O4502">
        <v>3</v>
      </c>
      <c r="P4502" s="4">
        <v>933.3</v>
      </c>
      <c r="Q4502" t="s">
        <v>30</v>
      </c>
      <c r="R4502">
        <v>1</v>
      </c>
      <c r="S4502" t="s">
        <v>38</v>
      </c>
      <c r="T4502">
        <v>0</v>
      </c>
      <c r="U4502">
        <v>0</v>
      </c>
      <c r="V4502" t="s">
        <v>32</v>
      </c>
      <c r="W4502" t="s">
        <v>43</v>
      </c>
      <c r="X4502" s="4">
        <v>5.8</v>
      </c>
      <c r="Y4502">
        <v>7</v>
      </c>
      <c r="Z4502" s="5">
        <v>175.82</v>
      </c>
    </row>
    <row r="4503" spans="1:26">
      <c r="A4503">
        <v>4502</v>
      </c>
      <c r="B4503">
        <v>1476</v>
      </c>
      <c r="C4503" s="2">
        <v>46024</v>
      </c>
      <c r="D4503" t="s">
        <v>26</v>
      </c>
      <c r="E4503">
        <v>1</v>
      </c>
      <c r="F4503" s="3">
        <v>12.06</v>
      </c>
      <c r="G4503" t="s">
        <v>36</v>
      </c>
      <c r="H4503">
        <v>11</v>
      </c>
      <c r="I4503" t="s">
        <v>28</v>
      </c>
      <c r="J4503" s="4">
        <v>64.599999999999994</v>
      </c>
      <c r="K4503" s="4">
        <v>84.3</v>
      </c>
      <c r="L4503" s="4">
        <v>14.1</v>
      </c>
      <c r="M4503">
        <v>7</v>
      </c>
      <c r="N4503" t="s">
        <v>37</v>
      </c>
      <c r="O4503">
        <v>3</v>
      </c>
      <c r="P4503" s="4">
        <v>933.3</v>
      </c>
      <c r="Q4503" t="s">
        <v>30</v>
      </c>
      <c r="R4503">
        <v>1</v>
      </c>
      <c r="S4503" t="s">
        <v>38</v>
      </c>
      <c r="T4503">
        <v>0</v>
      </c>
      <c r="U4503">
        <v>0</v>
      </c>
      <c r="V4503" t="s">
        <v>32</v>
      </c>
      <c r="W4503" t="s">
        <v>43</v>
      </c>
      <c r="X4503" s="4">
        <v>10.4</v>
      </c>
      <c r="Y4503">
        <v>11</v>
      </c>
      <c r="Z4503" s="5">
        <v>322.75</v>
      </c>
    </row>
    <row r="4504" spans="1:26">
      <c r="A4504">
        <v>4503</v>
      </c>
      <c r="B4504">
        <v>1477</v>
      </c>
      <c r="C4504" s="2">
        <v>46215</v>
      </c>
      <c r="D4504" t="s">
        <v>58</v>
      </c>
      <c r="E4504">
        <v>7</v>
      </c>
      <c r="F4504" s="3">
        <v>8.69</v>
      </c>
      <c r="G4504" t="s">
        <v>27</v>
      </c>
      <c r="H4504">
        <v>38</v>
      </c>
      <c r="I4504" t="s">
        <v>28</v>
      </c>
      <c r="J4504" s="4">
        <v>66.8</v>
      </c>
      <c r="K4504" s="4">
        <v>136.4</v>
      </c>
      <c r="L4504" s="4">
        <v>21.6</v>
      </c>
      <c r="M4504">
        <v>13</v>
      </c>
      <c r="N4504" t="s">
        <v>65</v>
      </c>
      <c r="O4504">
        <v>3</v>
      </c>
      <c r="P4504" s="4">
        <v>2150.5</v>
      </c>
      <c r="Q4504" t="s">
        <v>42</v>
      </c>
      <c r="R4504">
        <v>1</v>
      </c>
      <c r="S4504" t="s">
        <v>31</v>
      </c>
      <c r="T4504">
        <v>0</v>
      </c>
      <c r="U4504">
        <v>0</v>
      </c>
      <c r="V4504" t="s">
        <v>45</v>
      </c>
      <c r="W4504" t="s">
        <v>49</v>
      </c>
      <c r="X4504" s="4">
        <v>7.6</v>
      </c>
      <c r="Y4504">
        <v>2</v>
      </c>
      <c r="Z4504" s="5">
        <v>108.45</v>
      </c>
    </row>
    <row r="4505" spans="1:26">
      <c r="A4505">
        <v>4504</v>
      </c>
      <c r="B4505">
        <v>1477</v>
      </c>
      <c r="C4505" s="2">
        <v>46215</v>
      </c>
      <c r="D4505" t="s">
        <v>58</v>
      </c>
      <c r="E4505">
        <v>7</v>
      </c>
      <c r="F4505" s="3">
        <v>8.8800000000000008</v>
      </c>
      <c r="G4505" t="s">
        <v>27</v>
      </c>
      <c r="H4505">
        <v>18</v>
      </c>
      <c r="I4505" t="s">
        <v>34</v>
      </c>
      <c r="J4505" s="4">
        <v>62.8</v>
      </c>
      <c r="K4505" s="4">
        <v>136.5</v>
      </c>
      <c r="L4505" s="4">
        <v>24.4</v>
      </c>
      <c r="M4505">
        <v>14</v>
      </c>
      <c r="N4505" t="s">
        <v>65</v>
      </c>
      <c r="O4505">
        <v>3</v>
      </c>
      <c r="P4505" s="4">
        <v>2150.5</v>
      </c>
      <c r="Q4505" t="s">
        <v>42</v>
      </c>
      <c r="R4505">
        <v>1</v>
      </c>
      <c r="S4505" t="s">
        <v>31</v>
      </c>
      <c r="T4505">
        <v>0</v>
      </c>
      <c r="U4505">
        <v>0</v>
      </c>
      <c r="V4505" t="s">
        <v>45</v>
      </c>
      <c r="W4505" t="s">
        <v>49</v>
      </c>
      <c r="X4505" s="4">
        <v>8.1999999999999993</v>
      </c>
      <c r="Y4505">
        <v>3</v>
      </c>
      <c r="Z4505" s="5">
        <v>179.96</v>
      </c>
    </row>
    <row r="4506" spans="1:26">
      <c r="A4506">
        <v>4505</v>
      </c>
      <c r="B4506">
        <v>1477</v>
      </c>
      <c r="C4506" s="2">
        <v>46215</v>
      </c>
      <c r="D4506" t="s">
        <v>58</v>
      </c>
      <c r="E4506">
        <v>7</v>
      </c>
      <c r="F4506" s="3">
        <v>8.67</v>
      </c>
      <c r="G4506" t="s">
        <v>27</v>
      </c>
      <c r="H4506">
        <v>24</v>
      </c>
      <c r="I4506" t="s">
        <v>28</v>
      </c>
      <c r="J4506" s="4">
        <v>70.5</v>
      </c>
      <c r="K4506" s="4">
        <v>166.7</v>
      </c>
      <c r="L4506" s="4">
        <v>23.8</v>
      </c>
      <c r="M4506">
        <v>17</v>
      </c>
      <c r="N4506" t="s">
        <v>65</v>
      </c>
      <c r="O4506">
        <v>3</v>
      </c>
      <c r="P4506" s="4">
        <v>2150.5</v>
      </c>
      <c r="Q4506" t="s">
        <v>42</v>
      </c>
      <c r="R4506">
        <v>1</v>
      </c>
      <c r="S4506" t="s">
        <v>31</v>
      </c>
      <c r="T4506">
        <v>0</v>
      </c>
      <c r="U4506">
        <v>0</v>
      </c>
      <c r="V4506" t="s">
        <v>45</v>
      </c>
      <c r="W4506" t="s">
        <v>49</v>
      </c>
      <c r="X4506" s="4">
        <v>9.1999999999999993</v>
      </c>
      <c r="Y4506">
        <v>5</v>
      </c>
      <c r="Z4506" s="5">
        <v>143.54</v>
      </c>
    </row>
    <row r="4507" spans="1:26">
      <c r="A4507">
        <v>4506</v>
      </c>
      <c r="B4507">
        <v>1478</v>
      </c>
      <c r="C4507" s="2">
        <v>46057</v>
      </c>
      <c r="D4507" t="s">
        <v>52</v>
      </c>
      <c r="E4507">
        <v>2</v>
      </c>
      <c r="F4507" s="3">
        <v>11.08</v>
      </c>
      <c r="G4507" t="s">
        <v>36</v>
      </c>
      <c r="H4507">
        <v>4</v>
      </c>
      <c r="I4507" t="s">
        <v>34</v>
      </c>
      <c r="J4507" s="4">
        <v>52.5</v>
      </c>
      <c r="K4507" s="4">
        <v>76.5</v>
      </c>
      <c r="L4507" s="4">
        <v>19.399999999999999</v>
      </c>
      <c r="M4507">
        <v>15</v>
      </c>
      <c r="N4507" t="s">
        <v>60</v>
      </c>
      <c r="O4507">
        <v>2</v>
      </c>
      <c r="P4507" s="4">
        <v>1411.9</v>
      </c>
      <c r="Q4507" t="s">
        <v>48</v>
      </c>
      <c r="R4507">
        <v>0</v>
      </c>
      <c r="S4507" t="s">
        <v>31</v>
      </c>
      <c r="T4507">
        <v>1</v>
      </c>
      <c r="U4507">
        <v>1</v>
      </c>
      <c r="V4507" t="s">
        <v>32</v>
      </c>
      <c r="W4507" t="s">
        <v>33</v>
      </c>
      <c r="X4507" s="4">
        <v>6.3</v>
      </c>
      <c r="Y4507">
        <v>10</v>
      </c>
      <c r="Z4507" s="5">
        <v>285.83999999999997</v>
      </c>
    </row>
    <row r="4508" spans="1:26">
      <c r="A4508">
        <v>4507</v>
      </c>
      <c r="B4508">
        <v>1478</v>
      </c>
      <c r="C4508" s="2">
        <v>46057</v>
      </c>
      <c r="D4508" t="s">
        <v>52</v>
      </c>
      <c r="E4508">
        <v>2</v>
      </c>
      <c r="F4508" s="3">
        <v>11.04</v>
      </c>
      <c r="G4508" t="s">
        <v>36</v>
      </c>
      <c r="H4508">
        <v>27</v>
      </c>
      <c r="I4508" t="s">
        <v>28</v>
      </c>
      <c r="J4508" s="4">
        <v>72.099999999999994</v>
      </c>
      <c r="K4508" s="4">
        <v>148.69999999999999</v>
      </c>
      <c r="L4508" s="4">
        <v>20.5</v>
      </c>
      <c r="M4508">
        <v>17</v>
      </c>
      <c r="N4508" t="s">
        <v>60</v>
      </c>
      <c r="O4508">
        <v>2</v>
      </c>
      <c r="P4508" s="4">
        <v>1411.9</v>
      </c>
      <c r="Q4508" t="s">
        <v>48</v>
      </c>
      <c r="R4508">
        <v>0</v>
      </c>
      <c r="S4508" t="s">
        <v>31</v>
      </c>
      <c r="T4508">
        <v>1</v>
      </c>
      <c r="U4508">
        <v>1</v>
      </c>
      <c r="V4508" t="s">
        <v>32</v>
      </c>
      <c r="W4508" t="s">
        <v>33</v>
      </c>
      <c r="X4508" s="4">
        <v>9.9</v>
      </c>
      <c r="Y4508">
        <v>6</v>
      </c>
      <c r="Z4508" s="5">
        <v>216.7</v>
      </c>
    </row>
    <row r="4509" spans="1:26">
      <c r="A4509">
        <v>4508</v>
      </c>
      <c r="B4509">
        <v>1479</v>
      </c>
      <c r="C4509" s="2">
        <v>46201</v>
      </c>
      <c r="D4509" t="s">
        <v>58</v>
      </c>
      <c r="E4509">
        <v>6</v>
      </c>
      <c r="F4509" s="3">
        <v>9.36</v>
      </c>
      <c r="G4509" t="s">
        <v>27</v>
      </c>
      <c r="H4509">
        <v>10</v>
      </c>
      <c r="I4509" t="s">
        <v>34</v>
      </c>
      <c r="J4509" s="4">
        <v>64.2</v>
      </c>
      <c r="K4509" s="4">
        <v>128.19999999999999</v>
      </c>
      <c r="L4509" s="4">
        <v>21.8</v>
      </c>
      <c r="M4509">
        <v>12</v>
      </c>
      <c r="N4509" t="s">
        <v>47</v>
      </c>
      <c r="O4509">
        <v>2</v>
      </c>
      <c r="P4509" s="4">
        <v>91.3</v>
      </c>
      <c r="Q4509" t="s">
        <v>42</v>
      </c>
      <c r="R4509">
        <v>0</v>
      </c>
      <c r="S4509" t="s">
        <v>44</v>
      </c>
      <c r="T4509">
        <v>0</v>
      </c>
      <c r="U4509">
        <v>0</v>
      </c>
      <c r="V4509" t="s">
        <v>32</v>
      </c>
      <c r="W4509" t="s">
        <v>49</v>
      </c>
      <c r="X4509" s="4">
        <v>6</v>
      </c>
      <c r="Y4509">
        <v>4</v>
      </c>
      <c r="Z4509" s="5">
        <v>170.91</v>
      </c>
    </row>
    <row r="4510" spans="1:26">
      <c r="A4510">
        <v>4509</v>
      </c>
      <c r="B4510">
        <v>1479</v>
      </c>
      <c r="C4510" s="2">
        <v>46201</v>
      </c>
      <c r="D4510" t="s">
        <v>58</v>
      </c>
      <c r="E4510">
        <v>6</v>
      </c>
      <c r="F4510" s="3">
        <v>9.68</v>
      </c>
      <c r="G4510" t="s">
        <v>27</v>
      </c>
      <c r="H4510">
        <v>67</v>
      </c>
      <c r="I4510" t="s">
        <v>34</v>
      </c>
      <c r="J4510" s="4">
        <v>61.1</v>
      </c>
      <c r="K4510" s="4">
        <v>96.5</v>
      </c>
      <c r="L4510" s="4">
        <v>18.100000000000001</v>
      </c>
      <c r="M4510">
        <v>15</v>
      </c>
      <c r="N4510" t="s">
        <v>47</v>
      </c>
      <c r="O4510">
        <v>2</v>
      </c>
      <c r="P4510" s="4">
        <v>91.3</v>
      </c>
      <c r="Q4510" t="s">
        <v>42</v>
      </c>
      <c r="R4510">
        <v>0</v>
      </c>
      <c r="S4510" t="s">
        <v>44</v>
      </c>
      <c r="T4510">
        <v>0</v>
      </c>
      <c r="U4510">
        <v>0</v>
      </c>
      <c r="V4510" t="s">
        <v>32</v>
      </c>
      <c r="W4510" t="s">
        <v>49</v>
      </c>
      <c r="X4510" s="4">
        <v>9.1</v>
      </c>
      <c r="Y4510">
        <v>9</v>
      </c>
      <c r="Z4510" s="5">
        <v>125.49</v>
      </c>
    </row>
    <row r="4511" spans="1:26">
      <c r="A4511">
        <v>4510</v>
      </c>
      <c r="B4511">
        <v>1480</v>
      </c>
      <c r="C4511" s="2">
        <v>46230</v>
      </c>
      <c r="D4511" t="s">
        <v>46</v>
      </c>
      <c r="E4511">
        <v>7</v>
      </c>
      <c r="F4511" s="3">
        <v>13.55</v>
      </c>
      <c r="G4511" t="s">
        <v>36</v>
      </c>
      <c r="H4511">
        <v>31</v>
      </c>
      <c r="I4511" t="s">
        <v>34</v>
      </c>
      <c r="J4511" s="4">
        <v>71.2</v>
      </c>
      <c r="K4511" s="4">
        <v>143.19999999999999</v>
      </c>
      <c r="L4511" s="4">
        <v>19.8</v>
      </c>
      <c r="M4511">
        <v>15</v>
      </c>
      <c r="N4511" t="s">
        <v>65</v>
      </c>
      <c r="O4511">
        <v>3</v>
      </c>
      <c r="P4511" s="4">
        <v>2485.5</v>
      </c>
      <c r="Q4511" t="s">
        <v>48</v>
      </c>
      <c r="R4511">
        <v>0</v>
      </c>
      <c r="S4511" t="s">
        <v>44</v>
      </c>
      <c r="T4511">
        <v>1</v>
      </c>
      <c r="U4511">
        <v>1</v>
      </c>
      <c r="V4511" t="s">
        <v>32</v>
      </c>
      <c r="W4511" t="s">
        <v>49</v>
      </c>
      <c r="X4511" s="4">
        <v>7.5</v>
      </c>
      <c r="Y4511">
        <v>9</v>
      </c>
      <c r="Z4511" s="5">
        <v>276.27</v>
      </c>
    </row>
    <row r="4512" spans="1:26">
      <c r="A4512">
        <v>4511</v>
      </c>
      <c r="B4512">
        <v>1480</v>
      </c>
      <c r="C4512" s="2">
        <v>46230</v>
      </c>
      <c r="D4512" t="s">
        <v>46</v>
      </c>
      <c r="E4512">
        <v>7</v>
      </c>
      <c r="F4512" s="3">
        <v>13.54</v>
      </c>
      <c r="G4512" t="s">
        <v>36</v>
      </c>
      <c r="H4512">
        <v>76</v>
      </c>
      <c r="I4512" t="s">
        <v>34</v>
      </c>
      <c r="J4512" s="4">
        <v>66.7</v>
      </c>
      <c r="K4512" s="4">
        <v>204.9</v>
      </c>
      <c r="L4512" s="4">
        <v>32.1</v>
      </c>
      <c r="M4512">
        <v>19</v>
      </c>
      <c r="N4512" t="s">
        <v>65</v>
      </c>
      <c r="O4512">
        <v>3</v>
      </c>
      <c r="P4512" s="4">
        <v>2485.5</v>
      </c>
      <c r="Q4512" t="s">
        <v>48</v>
      </c>
      <c r="R4512">
        <v>0</v>
      </c>
      <c r="S4512" t="s">
        <v>44</v>
      </c>
      <c r="T4512">
        <v>1</v>
      </c>
      <c r="U4512">
        <v>1</v>
      </c>
      <c r="V4512" t="s">
        <v>32</v>
      </c>
      <c r="W4512" t="s">
        <v>49</v>
      </c>
      <c r="X4512" s="4">
        <v>7.9</v>
      </c>
      <c r="Y4512">
        <v>10</v>
      </c>
      <c r="Z4512" s="5">
        <v>180.39</v>
      </c>
    </row>
    <row r="4513" spans="1:26">
      <c r="A4513">
        <v>4512</v>
      </c>
      <c r="B4513">
        <v>1480</v>
      </c>
      <c r="C4513" s="2">
        <v>46230</v>
      </c>
      <c r="D4513" t="s">
        <v>46</v>
      </c>
      <c r="E4513">
        <v>7</v>
      </c>
      <c r="F4513" s="3">
        <v>13.42</v>
      </c>
      <c r="G4513" t="s">
        <v>36</v>
      </c>
      <c r="H4513">
        <v>23</v>
      </c>
      <c r="I4513" t="s">
        <v>28</v>
      </c>
      <c r="J4513" s="4">
        <v>69</v>
      </c>
      <c r="K4513" s="4">
        <v>129.19999999999999</v>
      </c>
      <c r="L4513" s="4">
        <v>18.899999999999999</v>
      </c>
      <c r="M4513">
        <v>19</v>
      </c>
      <c r="N4513" t="s">
        <v>65</v>
      </c>
      <c r="O4513">
        <v>3</v>
      </c>
      <c r="P4513" s="4">
        <v>2485.5</v>
      </c>
      <c r="Q4513" t="s">
        <v>48</v>
      </c>
      <c r="R4513">
        <v>0</v>
      </c>
      <c r="S4513" t="s">
        <v>44</v>
      </c>
      <c r="T4513">
        <v>1</v>
      </c>
      <c r="U4513">
        <v>1</v>
      </c>
      <c r="V4513" t="s">
        <v>32</v>
      </c>
      <c r="W4513" t="s">
        <v>49</v>
      </c>
      <c r="X4513" s="4">
        <v>6.5</v>
      </c>
      <c r="Y4513">
        <v>11</v>
      </c>
      <c r="Z4513" s="5">
        <v>262.89</v>
      </c>
    </row>
    <row r="4514" spans="1:26">
      <c r="A4514">
        <v>4513</v>
      </c>
      <c r="B4514">
        <v>1481</v>
      </c>
      <c r="C4514" s="2">
        <v>46359</v>
      </c>
      <c r="D4514" t="s">
        <v>55</v>
      </c>
      <c r="E4514">
        <v>12</v>
      </c>
      <c r="F4514" s="3">
        <v>12.57</v>
      </c>
      <c r="G4514" t="s">
        <v>36</v>
      </c>
      <c r="H4514">
        <v>48</v>
      </c>
      <c r="I4514" t="s">
        <v>34</v>
      </c>
      <c r="J4514" s="4">
        <v>58.8</v>
      </c>
      <c r="K4514" s="4">
        <v>129.6</v>
      </c>
      <c r="L4514" s="4">
        <v>26.7</v>
      </c>
      <c r="M4514">
        <v>16</v>
      </c>
      <c r="N4514" t="s">
        <v>61</v>
      </c>
      <c r="O4514">
        <v>2</v>
      </c>
      <c r="P4514" s="4">
        <v>1543</v>
      </c>
      <c r="Q4514" t="s">
        <v>42</v>
      </c>
      <c r="R4514">
        <v>1</v>
      </c>
      <c r="S4514" t="s">
        <v>31</v>
      </c>
      <c r="T4514">
        <v>0</v>
      </c>
      <c r="U4514">
        <v>1</v>
      </c>
      <c r="V4514" t="s">
        <v>32</v>
      </c>
      <c r="W4514" t="s">
        <v>33</v>
      </c>
      <c r="X4514" s="4">
        <v>6.9</v>
      </c>
      <c r="Y4514">
        <v>3</v>
      </c>
      <c r="Z4514" s="5">
        <v>256.44</v>
      </c>
    </row>
    <row r="4515" spans="1:26">
      <c r="A4515">
        <v>4514</v>
      </c>
      <c r="B4515">
        <v>1481</v>
      </c>
      <c r="C4515" s="2">
        <v>46359</v>
      </c>
      <c r="D4515" t="s">
        <v>55</v>
      </c>
      <c r="E4515">
        <v>12</v>
      </c>
      <c r="F4515" s="3">
        <v>12.64</v>
      </c>
      <c r="G4515" t="s">
        <v>36</v>
      </c>
      <c r="H4515">
        <v>56</v>
      </c>
      <c r="I4515" t="s">
        <v>28</v>
      </c>
      <c r="J4515" s="4">
        <v>71.900000000000006</v>
      </c>
      <c r="K4515" s="4">
        <v>229.4</v>
      </c>
      <c r="L4515" s="4">
        <v>31.2</v>
      </c>
      <c r="M4515">
        <v>17</v>
      </c>
      <c r="N4515" t="s">
        <v>61</v>
      </c>
      <c r="O4515">
        <v>2</v>
      </c>
      <c r="P4515" s="4">
        <v>1543</v>
      </c>
      <c r="Q4515" t="s">
        <v>42</v>
      </c>
      <c r="R4515">
        <v>1</v>
      </c>
      <c r="S4515" t="s">
        <v>31</v>
      </c>
      <c r="T4515">
        <v>0</v>
      </c>
      <c r="U4515">
        <v>1</v>
      </c>
      <c r="V4515" t="s">
        <v>32</v>
      </c>
      <c r="W4515" t="s">
        <v>33</v>
      </c>
      <c r="X4515" s="4">
        <v>9.6999999999999993</v>
      </c>
      <c r="Y4515">
        <v>5</v>
      </c>
      <c r="Z4515" s="5">
        <v>206.95</v>
      </c>
    </row>
    <row r="4516" spans="1:26">
      <c r="A4516">
        <v>4515</v>
      </c>
      <c r="B4516">
        <v>1482</v>
      </c>
      <c r="C4516" s="2">
        <v>46086</v>
      </c>
      <c r="D4516" t="s">
        <v>55</v>
      </c>
      <c r="E4516">
        <v>3</v>
      </c>
      <c r="F4516" s="3">
        <v>9.92</v>
      </c>
      <c r="G4516" t="s">
        <v>27</v>
      </c>
      <c r="H4516">
        <v>38</v>
      </c>
      <c r="I4516" t="s">
        <v>34</v>
      </c>
      <c r="J4516" s="4">
        <v>64.5</v>
      </c>
      <c r="K4516" s="4">
        <v>155.9</v>
      </c>
      <c r="L4516" s="4">
        <v>26.2</v>
      </c>
      <c r="M4516">
        <v>15</v>
      </c>
      <c r="N4516" t="s">
        <v>56</v>
      </c>
      <c r="O4516">
        <v>5</v>
      </c>
      <c r="P4516" s="4">
        <v>244.9</v>
      </c>
      <c r="Q4516" t="s">
        <v>42</v>
      </c>
      <c r="R4516">
        <v>0</v>
      </c>
      <c r="S4516" t="s">
        <v>38</v>
      </c>
      <c r="T4516">
        <v>0</v>
      </c>
      <c r="U4516">
        <v>1</v>
      </c>
      <c r="V4516" t="s">
        <v>64</v>
      </c>
      <c r="W4516" t="s">
        <v>33</v>
      </c>
      <c r="X4516" s="4">
        <v>7.8</v>
      </c>
      <c r="Y4516">
        <v>10</v>
      </c>
      <c r="Z4516" s="5">
        <v>263.39999999999998</v>
      </c>
    </row>
    <row r="4517" spans="1:26">
      <c r="A4517">
        <v>4516</v>
      </c>
      <c r="B4517">
        <v>1482</v>
      </c>
      <c r="C4517" s="2">
        <v>46086</v>
      </c>
      <c r="D4517" t="s">
        <v>55</v>
      </c>
      <c r="E4517">
        <v>3</v>
      </c>
      <c r="F4517" s="3">
        <v>9.83</v>
      </c>
      <c r="G4517" t="s">
        <v>27</v>
      </c>
      <c r="H4517">
        <v>18</v>
      </c>
      <c r="I4517" t="s">
        <v>34</v>
      </c>
      <c r="J4517" s="4">
        <v>64.5</v>
      </c>
      <c r="K4517" s="4">
        <v>179.7</v>
      </c>
      <c r="L4517" s="4">
        <v>30.3</v>
      </c>
      <c r="M4517">
        <v>12</v>
      </c>
      <c r="N4517" t="s">
        <v>56</v>
      </c>
      <c r="O4517">
        <v>5</v>
      </c>
      <c r="P4517" s="4">
        <v>244.9</v>
      </c>
      <c r="Q4517" t="s">
        <v>42</v>
      </c>
      <c r="R4517">
        <v>0</v>
      </c>
      <c r="S4517" t="s">
        <v>38</v>
      </c>
      <c r="T4517">
        <v>0</v>
      </c>
      <c r="U4517">
        <v>1</v>
      </c>
      <c r="V4517" t="s">
        <v>64</v>
      </c>
      <c r="W4517" t="s">
        <v>33</v>
      </c>
      <c r="X4517" s="4">
        <v>8</v>
      </c>
      <c r="Y4517">
        <v>10</v>
      </c>
      <c r="Z4517" s="5">
        <v>299.33</v>
      </c>
    </row>
    <row r="4518" spans="1:26">
      <c r="A4518">
        <v>4517</v>
      </c>
      <c r="B4518">
        <v>1482</v>
      </c>
      <c r="C4518" s="2">
        <v>46086</v>
      </c>
      <c r="D4518" t="s">
        <v>55</v>
      </c>
      <c r="E4518">
        <v>3</v>
      </c>
      <c r="F4518" s="3">
        <v>9.93</v>
      </c>
      <c r="G4518" t="s">
        <v>27</v>
      </c>
      <c r="H4518">
        <v>40</v>
      </c>
      <c r="I4518" t="s">
        <v>34</v>
      </c>
      <c r="J4518" s="4">
        <v>66</v>
      </c>
      <c r="K4518" s="4">
        <v>109</v>
      </c>
      <c r="L4518" s="4">
        <v>17.600000000000001</v>
      </c>
      <c r="M4518">
        <v>14</v>
      </c>
      <c r="N4518" t="s">
        <v>56</v>
      </c>
      <c r="O4518">
        <v>5</v>
      </c>
      <c r="P4518" s="4">
        <v>244.9</v>
      </c>
      <c r="Q4518" t="s">
        <v>42</v>
      </c>
      <c r="R4518">
        <v>0</v>
      </c>
      <c r="S4518" t="s">
        <v>38</v>
      </c>
      <c r="T4518">
        <v>0</v>
      </c>
      <c r="U4518">
        <v>1</v>
      </c>
      <c r="V4518" t="s">
        <v>64</v>
      </c>
      <c r="W4518" t="s">
        <v>33</v>
      </c>
      <c r="X4518" s="4">
        <v>7.7</v>
      </c>
      <c r="Y4518">
        <v>9</v>
      </c>
      <c r="Z4518" s="5">
        <v>276.07</v>
      </c>
    </row>
    <row r="4519" spans="1:26">
      <c r="A4519">
        <v>4518</v>
      </c>
      <c r="B4519">
        <v>1482</v>
      </c>
      <c r="C4519" s="2">
        <v>46086</v>
      </c>
      <c r="D4519" t="s">
        <v>55</v>
      </c>
      <c r="E4519">
        <v>3</v>
      </c>
      <c r="F4519" s="3">
        <v>9.77</v>
      </c>
      <c r="G4519" t="s">
        <v>27</v>
      </c>
      <c r="H4519">
        <v>48</v>
      </c>
      <c r="I4519" t="s">
        <v>28</v>
      </c>
      <c r="J4519" s="4">
        <v>73.099999999999994</v>
      </c>
      <c r="K4519" s="4">
        <v>216.2</v>
      </c>
      <c r="L4519" s="4">
        <v>28.6</v>
      </c>
      <c r="M4519">
        <v>13</v>
      </c>
      <c r="N4519" t="s">
        <v>56</v>
      </c>
      <c r="O4519">
        <v>5</v>
      </c>
      <c r="P4519" s="4">
        <v>244.9</v>
      </c>
      <c r="Q4519" t="s">
        <v>42</v>
      </c>
      <c r="R4519">
        <v>0</v>
      </c>
      <c r="S4519" t="s">
        <v>38</v>
      </c>
      <c r="T4519">
        <v>0</v>
      </c>
      <c r="U4519">
        <v>1</v>
      </c>
      <c r="V4519" t="s">
        <v>64</v>
      </c>
      <c r="W4519" t="s">
        <v>33</v>
      </c>
      <c r="X4519" s="4">
        <v>10.1</v>
      </c>
      <c r="Y4519">
        <v>15</v>
      </c>
      <c r="Z4519" s="5">
        <v>175.82</v>
      </c>
    </row>
    <row r="4520" spans="1:26">
      <c r="A4520">
        <v>4519</v>
      </c>
      <c r="B4520">
        <v>1482</v>
      </c>
      <c r="C4520" s="2">
        <v>46086</v>
      </c>
      <c r="D4520" t="s">
        <v>55</v>
      </c>
      <c r="E4520">
        <v>3</v>
      </c>
      <c r="F4520" s="3">
        <v>9.81</v>
      </c>
      <c r="G4520" t="s">
        <v>27</v>
      </c>
      <c r="H4520">
        <v>18</v>
      </c>
      <c r="I4520" t="s">
        <v>34</v>
      </c>
      <c r="J4520" s="4">
        <v>63.2</v>
      </c>
      <c r="K4520" s="4">
        <v>119.2</v>
      </c>
      <c r="L4520" s="4">
        <v>21</v>
      </c>
      <c r="M4520">
        <v>11</v>
      </c>
      <c r="N4520" t="s">
        <v>56</v>
      </c>
      <c r="O4520">
        <v>5</v>
      </c>
      <c r="P4520" s="4">
        <v>244.9</v>
      </c>
      <c r="Q4520" t="s">
        <v>42</v>
      </c>
      <c r="R4520">
        <v>0</v>
      </c>
      <c r="S4520" t="s">
        <v>38</v>
      </c>
      <c r="T4520">
        <v>0</v>
      </c>
      <c r="U4520">
        <v>1</v>
      </c>
      <c r="V4520" t="s">
        <v>64</v>
      </c>
      <c r="W4520" t="s">
        <v>33</v>
      </c>
      <c r="X4520" s="4">
        <v>8.3000000000000007</v>
      </c>
      <c r="Y4520">
        <v>7</v>
      </c>
      <c r="Z4520" s="5">
        <v>269.69</v>
      </c>
    </row>
    <row r="4521" spans="1:26">
      <c r="A4521">
        <v>4520</v>
      </c>
      <c r="B4521">
        <v>1483</v>
      </c>
      <c r="C4521" s="2">
        <v>46187</v>
      </c>
      <c r="D4521" t="s">
        <v>58</v>
      </c>
      <c r="E4521">
        <v>6</v>
      </c>
      <c r="F4521" s="3">
        <v>7.38</v>
      </c>
      <c r="G4521" t="s">
        <v>27</v>
      </c>
      <c r="H4521">
        <v>34</v>
      </c>
      <c r="I4521" t="s">
        <v>34</v>
      </c>
      <c r="J4521" s="4">
        <v>62.2</v>
      </c>
      <c r="K4521" s="4">
        <v>169.7</v>
      </c>
      <c r="L4521" s="4">
        <v>30.8</v>
      </c>
      <c r="M4521">
        <v>17</v>
      </c>
      <c r="N4521" t="s">
        <v>47</v>
      </c>
      <c r="O4521">
        <v>3</v>
      </c>
      <c r="P4521" s="4">
        <v>2</v>
      </c>
      <c r="Q4521" t="s">
        <v>48</v>
      </c>
      <c r="R4521">
        <v>0</v>
      </c>
      <c r="S4521" t="s">
        <v>44</v>
      </c>
      <c r="T4521">
        <v>1</v>
      </c>
      <c r="U4521">
        <v>1</v>
      </c>
      <c r="V4521" t="s">
        <v>32</v>
      </c>
      <c r="W4521" t="s">
        <v>33</v>
      </c>
      <c r="X4521" s="4">
        <v>13</v>
      </c>
      <c r="Y4521">
        <v>2</v>
      </c>
      <c r="Z4521" s="5">
        <v>270.41000000000003</v>
      </c>
    </row>
    <row r="4522" spans="1:26">
      <c r="A4522">
        <v>4521</v>
      </c>
      <c r="B4522">
        <v>1483</v>
      </c>
      <c r="C4522" s="2">
        <v>46187</v>
      </c>
      <c r="D4522" t="s">
        <v>58</v>
      </c>
      <c r="E4522">
        <v>6</v>
      </c>
      <c r="F4522" s="3">
        <v>7.21</v>
      </c>
      <c r="G4522" t="s">
        <v>27</v>
      </c>
      <c r="H4522">
        <v>19</v>
      </c>
      <c r="I4522" t="s">
        <v>28</v>
      </c>
      <c r="J4522" s="4">
        <v>70.2</v>
      </c>
      <c r="K4522" s="4">
        <v>161.4</v>
      </c>
      <c r="L4522" s="4">
        <v>23.2</v>
      </c>
      <c r="M4522">
        <v>16</v>
      </c>
      <c r="N4522" t="s">
        <v>47</v>
      </c>
      <c r="O4522">
        <v>3</v>
      </c>
      <c r="P4522" s="4">
        <v>2</v>
      </c>
      <c r="Q4522" t="s">
        <v>48</v>
      </c>
      <c r="R4522">
        <v>0</v>
      </c>
      <c r="S4522" t="s">
        <v>44</v>
      </c>
      <c r="T4522">
        <v>1</v>
      </c>
      <c r="U4522">
        <v>1</v>
      </c>
      <c r="V4522" t="s">
        <v>32</v>
      </c>
      <c r="W4522" t="s">
        <v>33</v>
      </c>
      <c r="X4522" s="4">
        <v>8.6</v>
      </c>
      <c r="Y4522">
        <v>9</v>
      </c>
      <c r="Z4522" s="5">
        <v>257.61</v>
      </c>
    </row>
    <row r="4523" spans="1:26">
      <c r="A4523">
        <v>4522</v>
      </c>
      <c r="B4523">
        <v>1483</v>
      </c>
      <c r="C4523" s="2">
        <v>46187</v>
      </c>
      <c r="D4523" t="s">
        <v>58</v>
      </c>
      <c r="E4523">
        <v>6</v>
      </c>
      <c r="F4523" s="3">
        <v>7.61</v>
      </c>
      <c r="G4523" t="s">
        <v>27</v>
      </c>
      <c r="H4523">
        <v>18</v>
      </c>
      <c r="I4523" t="s">
        <v>34</v>
      </c>
      <c r="J4523" s="4">
        <v>64.2</v>
      </c>
      <c r="K4523" s="4">
        <v>107.6</v>
      </c>
      <c r="L4523" s="4">
        <v>18.2</v>
      </c>
      <c r="M4523">
        <v>14</v>
      </c>
      <c r="N4523" t="s">
        <v>47</v>
      </c>
      <c r="O4523">
        <v>3</v>
      </c>
      <c r="P4523" s="4">
        <v>2</v>
      </c>
      <c r="Q4523" t="s">
        <v>48</v>
      </c>
      <c r="R4523">
        <v>0</v>
      </c>
      <c r="S4523" t="s">
        <v>44</v>
      </c>
      <c r="T4523">
        <v>1</v>
      </c>
      <c r="U4523">
        <v>1</v>
      </c>
      <c r="V4523" t="s">
        <v>32</v>
      </c>
      <c r="W4523" t="s">
        <v>33</v>
      </c>
      <c r="X4523" s="4">
        <v>7.2</v>
      </c>
      <c r="Y4523">
        <v>6</v>
      </c>
      <c r="Z4523" s="5">
        <v>168.83</v>
      </c>
    </row>
    <row r="4524" spans="1:26">
      <c r="A4524">
        <v>4523</v>
      </c>
      <c r="B4524">
        <v>1484</v>
      </c>
      <c r="C4524" s="2">
        <v>46173</v>
      </c>
      <c r="D4524" t="s">
        <v>58</v>
      </c>
      <c r="E4524">
        <v>5</v>
      </c>
      <c r="F4524" s="3">
        <v>13.11</v>
      </c>
      <c r="G4524" t="s">
        <v>36</v>
      </c>
      <c r="H4524">
        <v>46</v>
      </c>
      <c r="I4524" t="s">
        <v>34</v>
      </c>
      <c r="J4524" s="4">
        <v>67.8</v>
      </c>
      <c r="K4524" s="4">
        <v>144.69999999999999</v>
      </c>
      <c r="L4524" s="4">
        <v>22.1</v>
      </c>
      <c r="M4524">
        <v>8</v>
      </c>
      <c r="N4524" t="s">
        <v>59</v>
      </c>
      <c r="O4524">
        <v>2</v>
      </c>
      <c r="P4524" s="4">
        <v>1290.5999999999999</v>
      </c>
      <c r="Q4524" t="s">
        <v>30</v>
      </c>
      <c r="R4524">
        <v>1</v>
      </c>
      <c r="S4524" t="s">
        <v>31</v>
      </c>
      <c r="T4524">
        <v>0</v>
      </c>
      <c r="U4524">
        <v>0</v>
      </c>
      <c r="V4524" t="s">
        <v>32</v>
      </c>
      <c r="W4524" t="s">
        <v>49</v>
      </c>
      <c r="X4524" s="4">
        <v>7</v>
      </c>
      <c r="Y4524">
        <v>9</v>
      </c>
      <c r="Z4524" s="5">
        <v>236.46</v>
      </c>
    </row>
    <row r="4525" spans="1:26">
      <c r="A4525">
        <v>4524</v>
      </c>
      <c r="B4525">
        <v>1484</v>
      </c>
      <c r="C4525" s="2">
        <v>46173</v>
      </c>
      <c r="D4525" t="s">
        <v>58</v>
      </c>
      <c r="E4525">
        <v>5</v>
      </c>
      <c r="F4525" s="3">
        <v>12.8</v>
      </c>
      <c r="G4525" t="s">
        <v>36</v>
      </c>
      <c r="H4525">
        <v>27</v>
      </c>
      <c r="I4525" t="s">
        <v>34</v>
      </c>
      <c r="J4525" s="4">
        <v>63.3</v>
      </c>
      <c r="K4525" s="4">
        <v>126</v>
      </c>
      <c r="L4525" s="4">
        <v>21.9</v>
      </c>
      <c r="M4525">
        <v>10</v>
      </c>
      <c r="N4525" t="s">
        <v>59</v>
      </c>
      <c r="O4525">
        <v>2</v>
      </c>
      <c r="P4525" s="4">
        <v>1290.5999999999999</v>
      </c>
      <c r="Q4525" t="s">
        <v>30</v>
      </c>
      <c r="R4525">
        <v>1</v>
      </c>
      <c r="S4525" t="s">
        <v>31</v>
      </c>
      <c r="T4525">
        <v>0</v>
      </c>
      <c r="U4525">
        <v>0</v>
      </c>
      <c r="V4525" t="s">
        <v>32</v>
      </c>
      <c r="W4525" t="s">
        <v>49</v>
      </c>
      <c r="X4525" s="4">
        <v>6.7</v>
      </c>
      <c r="Y4525">
        <v>6</v>
      </c>
      <c r="Z4525" s="5">
        <v>175.43</v>
      </c>
    </row>
    <row r="4526" spans="1:26">
      <c r="A4526">
        <v>4525</v>
      </c>
      <c r="B4526">
        <v>1485</v>
      </c>
      <c r="C4526" s="2">
        <v>46317</v>
      </c>
      <c r="D4526" t="s">
        <v>55</v>
      </c>
      <c r="E4526">
        <v>10</v>
      </c>
      <c r="F4526" s="3">
        <v>10.67</v>
      </c>
      <c r="G4526" t="s">
        <v>27</v>
      </c>
      <c r="H4526">
        <v>3</v>
      </c>
      <c r="I4526" t="s">
        <v>28</v>
      </c>
      <c r="J4526" s="4">
        <v>49.5</v>
      </c>
      <c r="K4526" s="4">
        <v>56.5</v>
      </c>
      <c r="L4526" s="4">
        <v>16.100000000000001</v>
      </c>
      <c r="M4526">
        <v>14</v>
      </c>
      <c r="N4526" t="s">
        <v>61</v>
      </c>
      <c r="O4526">
        <v>4</v>
      </c>
      <c r="P4526" s="4">
        <v>1289.0999999999999</v>
      </c>
      <c r="Q4526" t="s">
        <v>42</v>
      </c>
      <c r="R4526">
        <v>1</v>
      </c>
      <c r="S4526" t="s">
        <v>44</v>
      </c>
      <c r="T4526">
        <v>0</v>
      </c>
      <c r="U4526">
        <v>1</v>
      </c>
      <c r="V4526" t="s">
        <v>32</v>
      </c>
      <c r="W4526" t="s">
        <v>33</v>
      </c>
      <c r="X4526" s="4">
        <v>9.1999999999999993</v>
      </c>
      <c r="Y4526">
        <v>2</v>
      </c>
      <c r="Z4526" s="5">
        <v>255.83</v>
      </c>
    </row>
    <row r="4527" spans="1:26">
      <c r="A4527">
        <v>4526</v>
      </c>
      <c r="B4527">
        <v>1485</v>
      </c>
      <c r="C4527" s="2">
        <v>46317</v>
      </c>
      <c r="D4527" t="s">
        <v>55</v>
      </c>
      <c r="E4527">
        <v>10</v>
      </c>
      <c r="F4527" s="3">
        <v>10.77</v>
      </c>
      <c r="G4527" t="s">
        <v>27</v>
      </c>
      <c r="H4527">
        <v>59</v>
      </c>
      <c r="I4527" t="s">
        <v>28</v>
      </c>
      <c r="J4527" s="4">
        <v>70.8</v>
      </c>
      <c r="K4527" s="4">
        <v>208.2</v>
      </c>
      <c r="L4527" s="4">
        <v>28.9</v>
      </c>
      <c r="M4527">
        <v>17</v>
      </c>
      <c r="N4527" t="s">
        <v>61</v>
      </c>
      <c r="O4527">
        <v>4</v>
      </c>
      <c r="P4527" s="4">
        <v>1289.0999999999999</v>
      </c>
      <c r="Q4527" t="s">
        <v>42</v>
      </c>
      <c r="R4527">
        <v>1</v>
      </c>
      <c r="S4527" t="s">
        <v>44</v>
      </c>
      <c r="T4527">
        <v>0</v>
      </c>
      <c r="U4527">
        <v>1</v>
      </c>
      <c r="V4527" t="s">
        <v>32</v>
      </c>
      <c r="W4527" t="s">
        <v>33</v>
      </c>
      <c r="X4527" s="4">
        <v>8.9</v>
      </c>
      <c r="Y4527">
        <v>11</v>
      </c>
      <c r="Z4527" s="5">
        <v>292.81</v>
      </c>
    </row>
    <row r="4528" spans="1:26">
      <c r="A4528">
        <v>4527</v>
      </c>
      <c r="B4528">
        <v>1485</v>
      </c>
      <c r="C4528" s="2">
        <v>46317</v>
      </c>
      <c r="D4528" t="s">
        <v>55</v>
      </c>
      <c r="E4528">
        <v>10</v>
      </c>
      <c r="F4528" s="3">
        <v>10.83</v>
      </c>
      <c r="G4528" t="s">
        <v>27</v>
      </c>
      <c r="H4528">
        <v>62</v>
      </c>
      <c r="I4528" t="s">
        <v>28</v>
      </c>
      <c r="J4528" s="4">
        <v>73.3</v>
      </c>
      <c r="K4528" s="4">
        <v>194.4</v>
      </c>
      <c r="L4528" s="4">
        <v>25.3</v>
      </c>
      <c r="M4528">
        <v>17</v>
      </c>
      <c r="N4528" t="s">
        <v>61</v>
      </c>
      <c r="O4528">
        <v>4</v>
      </c>
      <c r="P4528" s="4">
        <v>1289.0999999999999</v>
      </c>
      <c r="Q4528" t="s">
        <v>42</v>
      </c>
      <c r="R4528">
        <v>1</v>
      </c>
      <c r="S4528" t="s">
        <v>44</v>
      </c>
      <c r="T4528">
        <v>0</v>
      </c>
      <c r="U4528">
        <v>1</v>
      </c>
      <c r="V4528" t="s">
        <v>32</v>
      </c>
      <c r="W4528" t="s">
        <v>33</v>
      </c>
      <c r="X4528" s="4">
        <v>7.1</v>
      </c>
      <c r="Y4528">
        <v>6</v>
      </c>
      <c r="Z4528" s="5">
        <v>257.31</v>
      </c>
    </row>
    <row r="4529" spans="1:26">
      <c r="A4529">
        <v>4528</v>
      </c>
      <c r="B4529">
        <v>1485</v>
      </c>
      <c r="C4529" s="2">
        <v>46317</v>
      </c>
      <c r="D4529" t="s">
        <v>55</v>
      </c>
      <c r="E4529">
        <v>10</v>
      </c>
      <c r="F4529" s="3">
        <v>10.55</v>
      </c>
      <c r="G4529" t="s">
        <v>27</v>
      </c>
      <c r="H4529">
        <v>32</v>
      </c>
      <c r="I4529" t="s">
        <v>28</v>
      </c>
      <c r="J4529" s="4">
        <v>66.3</v>
      </c>
      <c r="K4529" s="4">
        <v>149.5</v>
      </c>
      <c r="L4529" s="4">
        <v>23.8</v>
      </c>
      <c r="M4529">
        <v>17</v>
      </c>
      <c r="N4529" t="s">
        <v>61</v>
      </c>
      <c r="O4529">
        <v>4</v>
      </c>
      <c r="P4529" s="4">
        <v>1289.0999999999999</v>
      </c>
      <c r="Q4529" t="s">
        <v>42</v>
      </c>
      <c r="R4529">
        <v>1</v>
      </c>
      <c r="S4529" t="s">
        <v>44</v>
      </c>
      <c r="T4529">
        <v>0</v>
      </c>
      <c r="U4529">
        <v>1</v>
      </c>
      <c r="V4529" t="s">
        <v>32</v>
      </c>
      <c r="W4529" t="s">
        <v>33</v>
      </c>
      <c r="X4529" s="4">
        <v>8.6999999999999993</v>
      </c>
      <c r="Y4529">
        <v>6</v>
      </c>
      <c r="Z4529" s="5">
        <v>239.76</v>
      </c>
    </row>
    <row r="4530" spans="1:26">
      <c r="A4530">
        <v>4529</v>
      </c>
      <c r="B4530">
        <v>1486</v>
      </c>
      <c r="C4530" s="2">
        <v>46271</v>
      </c>
      <c r="D4530" t="s">
        <v>58</v>
      </c>
      <c r="E4530">
        <v>9</v>
      </c>
      <c r="F4530" s="3">
        <v>7.12</v>
      </c>
      <c r="G4530" t="s">
        <v>27</v>
      </c>
      <c r="H4530">
        <v>7</v>
      </c>
      <c r="I4530" t="s">
        <v>28</v>
      </c>
      <c r="J4530" s="4">
        <v>61.3</v>
      </c>
      <c r="K4530" s="4">
        <v>74.3</v>
      </c>
      <c r="L4530" s="4">
        <v>13.8</v>
      </c>
      <c r="M4530">
        <v>11</v>
      </c>
      <c r="N4530" t="s">
        <v>69</v>
      </c>
      <c r="O4530">
        <v>2</v>
      </c>
      <c r="P4530" s="4">
        <v>2070.9</v>
      </c>
      <c r="Q4530" t="s">
        <v>30</v>
      </c>
      <c r="R4530">
        <v>1</v>
      </c>
      <c r="S4530" t="s">
        <v>38</v>
      </c>
      <c r="T4530">
        <v>1</v>
      </c>
      <c r="U4530">
        <v>1</v>
      </c>
      <c r="V4530" t="s">
        <v>32</v>
      </c>
      <c r="W4530" t="s">
        <v>33</v>
      </c>
      <c r="X4530" s="4">
        <v>9.9</v>
      </c>
      <c r="Y4530">
        <v>12</v>
      </c>
      <c r="Z4530" s="5">
        <v>189.69</v>
      </c>
    </row>
    <row r="4531" spans="1:26">
      <c r="A4531">
        <v>4530</v>
      </c>
      <c r="B4531">
        <v>1486</v>
      </c>
      <c r="C4531" s="2">
        <v>46271</v>
      </c>
      <c r="D4531" t="s">
        <v>58</v>
      </c>
      <c r="E4531">
        <v>9</v>
      </c>
      <c r="F4531" s="3">
        <v>7</v>
      </c>
      <c r="G4531" t="s">
        <v>27</v>
      </c>
      <c r="H4531">
        <v>44</v>
      </c>
      <c r="I4531" t="s">
        <v>28</v>
      </c>
      <c r="J4531" s="4">
        <v>71.900000000000006</v>
      </c>
      <c r="K4531" s="4">
        <v>173.1</v>
      </c>
      <c r="L4531" s="4">
        <v>23.6</v>
      </c>
      <c r="M4531">
        <v>14</v>
      </c>
      <c r="N4531" t="s">
        <v>69</v>
      </c>
      <c r="O4531">
        <v>2</v>
      </c>
      <c r="P4531" s="4">
        <v>2070.9</v>
      </c>
      <c r="Q4531" t="s">
        <v>30</v>
      </c>
      <c r="R4531">
        <v>1</v>
      </c>
      <c r="S4531" t="s">
        <v>38</v>
      </c>
      <c r="T4531">
        <v>1</v>
      </c>
      <c r="U4531">
        <v>1</v>
      </c>
      <c r="V4531" t="s">
        <v>32</v>
      </c>
      <c r="W4531" t="s">
        <v>33</v>
      </c>
      <c r="X4531" s="4">
        <v>12.7</v>
      </c>
      <c r="Y4531">
        <v>14</v>
      </c>
      <c r="Z4531" s="5">
        <v>419.92</v>
      </c>
    </row>
    <row r="4532" spans="1:26">
      <c r="A4532">
        <v>4531</v>
      </c>
      <c r="B4532">
        <v>1487</v>
      </c>
      <c r="C4532" s="2">
        <v>46341</v>
      </c>
      <c r="D4532" t="s">
        <v>58</v>
      </c>
      <c r="E4532">
        <v>11</v>
      </c>
      <c r="F4532" s="3">
        <v>12.16</v>
      </c>
      <c r="G4532" t="s">
        <v>36</v>
      </c>
      <c r="H4532">
        <v>67</v>
      </c>
      <c r="I4532" t="s">
        <v>34</v>
      </c>
      <c r="J4532" s="4">
        <v>68.400000000000006</v>
      </c>
      <c r="K4532" s="4">
        <v>170.1</v>
      </c>
      <c r="L4532" s="4">
        <v>25.6</v>
      </c>
      <c r="M4532">
        <v>13</v>
      </c>
      <c r="N4532" t="s">
        <v>47</v>
      </c>
      <c r="O4532">
        <v>4</v>
      </c>
      <c r="P4532" s="4">
        <v>9.8000000000000007</v>
      </c>
      <c r="Q4532" t="s">
        <v>30</v>
      </c>
      <c r="R4532">
        <v>0</v>
      </c>
      <c r="S4532" t="s">
        <v>38</v>
      </c>
      <c r="T4532">
        <v>1</v>
      </c>
      <c r="U4532">
        <v>0</v>
      </c>
      <c r="V4532" t="s">
        <v>32</v>
      </c>
      <c r="W4532" t="s">
        <v>43</v>
      </c>
      <c r="X4532" s="4">
        <v>10.1</v>
      </c>
      <c r="Y4532">
        <v>17</v>
      </c>
      <c r="Z4532" s="5">
        <v>166.7</v>
      </c>
    </row>
    <row r="4533" spans="1:26">
      <c r="A4533">
        <v>4532</v>
      </c>
      <c r="B4533">
        <v>1487</v>
      </c>
      <c r="C4533" s="2">
        <v>46341</v>
      </c>
      <c r="D4533" t="s">
        <v>58</v>
      </c>
      <c r="E4533">
        <v>11</v>
      </c>
      <c r="F4533" s="3">
        <v>12.38</v>
      </c>
      <c r="G4533" t="s">
        <v>36</v>
      </c>
      <c r="H4533">
        <v>7</v>
      </c>
      <c r="I4533" t="s">
        <v>34</v>
      </c>
      <c r="J4533" s="4">
        <v>60.4</v>
      </c>
      <c r="K4533" s="4">
        <v>113.5</v>
      </c>
      <c r="L4533" s="4">
        <v>21.8</v>
      </c>
      <c r="M4533">
        <v>14</v>
      </c>
      <c r="N4533" t="s">
        <v>47</v>
      </c>
      <c r="O4533">
        <v>4</v>
      </c>
      <c r="P4533" s="4">
        <v>9.8000000000000007</v>
      </c>
      <c r="Q4533" t="s">
        <v>30</v>
      </c>
      <c r="R4533">
        <v>0</v>
      </c>
      <c r="S4533" t="s">
        <v>38</v>
      </c>
      <c r="T4533">
        <v>1</v>
      </c>
      <c r="U4533">
        <v>0</v>
      </c>
      <c r="V4533" t="s">
        <v>32</v>
      </c>
      <c r="W4533" t="s">
        <v>43</v>
      </c>
      <c r="X4533" s="4">
        <v>8.6999999999999993</v>
      </c>
      <c r="Y4533">
        <v>10</v>
      </c>
      <c r="Z4533" s="5">
        <v>156.11000000000001</v>
      </c>
    </row>
    <row r="4534" spans="1:26">
      <c r="A4534">
        <v>4533</v>
      </c>
      <c r="B4534">
        <v>1487</v>
      </c>
      <c r="C4534" s="2">
        <v>46341</v>
      </c>
      <c r="D4534" t="s">
        <v>58</v>
      </c>
      <c r="E4534">
        <v>11</v>
      </c>
      <c r="F4534" s="3">
        <v>12.43</v>
      </c>
      <c r="G4534" t="s">
        <v>36</v>
      </c>
      <c r="H4534">
        <v>11</v>
      </c>
      <c r="I4534" t="s">
        <v>34</v>
      </c>
      <c r="J4534" s="4">
        <v>69.3</v>
      </c>
      <c r="K4534" s="4">
        <v>131</v>
      </c>
      <c r="L4534" s="4">
        <v>19.2</v>
      </c>
      <c r="M4534">
        <v>10</v>
      </c>
      <c r="N4534" t="s">
        <v>47</v>
      </c>
      <c r="O4534">
        <v>4</v>
      </c>
      <c r="P4534" s="4">
        <v>9.8000000000000007</v>
      </c>
      <c r="Q4534" t="s">
        <v>30</v>
      </c>
      <c r="R4534">
        <v>0</v>
      </c>
      <c r="S4534" t="s">
        <v>38</v>
      </c>
      <c r="T4534">
        <v>1</v>
      </c>
      <c r="U4534">
        <v>0</v>
      </c>
      <c r="V4534" t="s">
        <v>32</v>
      </c>
      <c r="W4534" t="s">
        <v>43</v>
      </c>
      <c r="X4534" s="4">
        <v>8</v>
      </c>
      <c r="Y4534">
        <v>7</v>
      </c>
      <c r="Z4534" s="5">
        <v>69.98</v>
      </c>
    </row>
    <row r="4535" spans="1:26">
      <c r="A4535">
        <v>4534</v>
      </c>
      <c r="B4535">
        <v>1487</v>
      </c>
      <c r="C4535" s="2">
        <v>46341</v>
      </c>
      <c r="D4535" t="s">
        <v>58</v>
      </c>
      <c r="E4535">
        <v>11</v>
      </c>
      <c r="F4535" s="3">
        <v>12.1</v>
      </c>
      <c r="G4535" t="s">
        <v>36</v>
      </c>
      <c r="H4535">
        <v>5</v>
      </c>
      <c r="I4535" t="s">
        <v>28</v>
      </c>
      <c r="J4535" s="4">
        <v>61</v>
      </c>
      <c r="K4535" s="4">
        <v>85.7</v>
      </c>
      <c r="L4535" s="4">
        <v>16.2</v>
      </c>
      <c r="M4535">
        <v>8</v>
      </c>
      <c r="N4535" t="s">
        <v>47</v>
      </c>
      <c r="O4535">
        <v>4</v>
      </c>
      <c r="P4535" s="4">
        <v>9.8000000000000007</v>
      </c>
      <c r="Q4535" t="s">
        <v>30</v>
      </c>
      <c r="R4535">
        <v>0</v>
      </c>
      <c r="S4535" t="s">
        <v>38</v>
      </c>
      <c r="T4535">
        <v>1</v>
      </c>
      <c r="U4535">
        <v>0</v>
      </c>
      <c r="V4535" t="s">
        <v>32</v>
      </c>
      <c r="W4535" t="s">
        <v>43</v>
      </c>
      <c r="X4535" s="4">
        <v>7.6</v>
      </c>
      <c r="Y4535">
        <v>6</v>
      </c>
      <c r="Z4535" s="5">
        <v>233.84</v>
      </c>
    </row>
    <row r="4536" spans="1:26">
      <c r="A4536">
        <v>4535</v>
      </c>
      <c r="B4536">
        <v>1488</v>
      </c>
      <c r="C4536" s="2">
        <v>46325</v>
      </c>
      <c r="D4536" t="s">
        <v>26</v>
      </c>
      <c r="E4536">
        <v>10</v>
      </c>
      <c r="F4536" s="3">
        <v>7.03</v>
      </c>
      <c r="G4536" t="s">
        <v>27</v>
      </c>
      <c r="H4536">
        <v>76</v>
      </c>
      <c r="I4536" t="s">
        <v>34</v>
      </c>
      <c r="J4536" s="4">
        <v>63.7</v>
      </c>
      <c r="K4536" s="4">
        <v>146.69999999999999</v>
      </c>
      <c r="L4536" s="4">
        <v>25.8</v>
      </c>
      <c r="M4536">
        <v>12</v>
      </c>
      <c r="N4536" t="s">
        <v>54</v>
      </c>
      <c r="O4536">
        <v>4</v>
      </c>
      <c r="P4536" s="4">
        <v>3010</v>
      </c>
      <c r="Q4536" t="s">
        <v>30</v>
      </c>
      <c r="R4536">
        <v>0</v>
      </c>
      <c r="S4536" t="s">
        <v>31</v>
      </c>
      <c r="T4536">
        <v>0</v>
      </c>
      <c r="U4536">
        <v>1</v>
      </c>
      <c r="V4536" t="s">
        <v>45</v>
      </c>
      <c r="W4536" t="s">
        <v>43</v>
      </c>
      <c r="X4536" s="4">
        <v>9.1999999999999993</v>
      </c>
      <c r="Y4536">
        <v>5</v>
      </c>
      <c r="Z4536" s="5">
        <v>204.98</v>
      </c>
    </row>
    <row r="4537" spans="1:26">
      <c r="A4537">
        <v>4536</v>
      </c>
      <c r="B4537">
        <v>1488</v>
      </c>
      <c r="C4537" s="2">
        <v>46325</v>
      </c>
      <c r="D4537" t="s">
        <v>26</v>
      </c>
      <c r="E4537">
        <v>10</v>
      </c>
      <c r="F4537" s="3">
        <v>7</v>
      </c>
      <c r="G4537" t="s">
        <v>27</v>
      </c>
      <c r="H4537">
        <v>7</v>
      </c>
      <c r="I4537" t="s">
        <v>28</v>
      </c>
      <c r="J4537" s="4">
        <v>49.9</v>
      </c>
      <c r="K4537" s="4">
        <v>71.900000000000006</v>
      </c>
      <c r="L4537" s="4">
        <v>20.3</v>
      </c>
      <c r="M4537">
        <v>13</v>
      </c>
      <c r="N4537" t="s">
        <v>54</v>
      </c>
      <c r="O4537">
        <v>4</v>
      </c>
      <c r="P4537" s="4">
        <v>3010</v>
      </c>
      <c r="Q4537" t="s">
        <v>30</v>
      </c>
      <c r="R4537">
        <v>0</v>
      </c>
      <c r="S4537" t="s">
        <v>31</v>
      </c>
      <c r="T4537">
        <v>0</v>
      </c>
      <c r="U4537">
        <v>1</v>
      </c>
      <c r="V4537" t="s">
        <v>45</v>
      </c>
      <c r="W4537" t="s">
        <v>43</v>
      </c>
      <c r="X4537" s="4">
        <v>6.9</v>
      </c>
      <c r="Y4537">
        <v>12</v>
      </c>
      <c r="Z4537" s="5">
        <v>144.52000000000001</v>
      </c>
    </row>
    <row r="4538" spans="1:26">
      <c r="A4538">
        <v>4537</v>
      </c>
      <c r="B4538">
        <v>1488</v>
      </c>
      <c r="C4538" s="2">
        <v>46325</v>
      </c>
      <c r="D4538" t="s">
        <v>26</v>
      </c>
      <c r="E4538">
        <v>10</v>
      </c>
      <c r="F4538" s="3">
        <v>7</v>
      </c>
      <c r="G4538" t="s">
        <v>27</v>
      </c>
      <c r="H4538">
        <v>65</v>
      </c>
      <c r="I4538" t="s">
        <v>28</v>
      </c>
      <c r="J4538" s="4">
        <v>73.599999999999994</v>
      </c>
      <c r="K4538" s="4">
        <v>137.6</v>
      </c>
      <c r="L4538" s="4">
        <v>17.8</v>
      </c>
      <c r="M4538">
        <v>14</v>
      </c>
      <c r="N4538" t="s">
        <v>54</v>
      </c>
      <c r="O4538">
        <v>4</v>
      </c>
      <c r="P4538" s="4">
        <v>3010</v>
      </c>
      <c r="Q4538" t="s">
        <v>30</v>
      </c>
      <c r="R4538">
        <v>0</v>
      </c>
      <c r="S4538" t="s">
        <v>31</v>
      </c>
      <c r="T4538">
        <v>0</v>
      </c>
      <c r="U4538">
        <v>1</v>
      </c>
      <c r="V4538" t="s">
        <v>45</v>
      </c>
      <c r="W4538" t="s">
        <v>43</v>
      </c>
      <c r="X4538" s="4">
        <v>9.3000000000000007</v>
      </c>
      <c r="Y4538">
        <v>12</v>
      </c>
      <c r="Z4538" s="5">
        <v>241.58</v>
      </c>
    </row>
    <row r="4539" spans="1:26">
      <c r="A4539">
        <v>4538</v>
      </c>
      <c r="B4539">
        <v>1488</v>
      </c>
      <c r="C4539" s="2">
        <v>46325</v>
      </c>
      <c r="D4539" t="s">
        <v>26</v>
      </c>
      <c r="E4539">
        <v>10</v>
      </c>
      <c r="F4539" s="3">
        <v>7.06</v>
      </c>
      <c r="G4539" t="s">
        <v>27</v>
      </c>
      <c r="H4539">
        <v>18</v>
      </c>
      <c r="I4539" t="s">
        <v>34</v>
      </c>
      <c r="J4539" s="4">
        <v>63.6</v>
      </c>
      <c r="K4539" s="4">
        <v>88.9</v>
      </c>
      <c r="L4539" s="4">
        <v>15.6</v>
      </c>
      <c r="M4539">
        <v>9</v>
      </c>
      <c r="N4539" t="s">
        <v>54</v>
      </c>
      <c r="O4539">
        <v>4</v>
      </c>
      <c r="P4539" s="4">
        <v>3010</v>
      </c>
      <c r="Q4539" t="s">
        <v>30</v>
      </c>
      <c r="R4539">
        <v>0</v>
      </c>
      <c r="S4539" t="s">
        <v>31</v>
      </c>
      <c r="T4539">
        <v>0</v>
      </c>
      <c r="U4539">
        <v>1</v>
      </c>
      <c r="V4539" t="s">
        <v>45</v>
      </c>
      <c r="W4539" t="s">
        <v>43</v>
      </c>
      <c r="X4539" s="4">
        <v>7.3</v>
      </c>
      <c r="Y4539">
        <v>8</v>
      </c>
      <c r="Z4539" s="5">
        <v>206.16</v>
      </c>
    </row>
    <row r="4540" spans="1:26">
      <c r="A4540">
        <v>4539</v>
      </c>
      <c r="B4540">
        <v>1489</v>
      </c>
      <c r="C4540" s="2">
        <v>46075</v>
      </c>
      <c r="D4540" t="s">
        <v>58</v>
      </c>
      <c r="E4540">
        <v>2</v>
      </c>
      <c r="F4540" s="3">
        <v>8.0299999999999994</v>
      </c>
      <c r="G4540" t="s">
        <v>27</v>
      </c>
      <c r="H4540">
        <v>33</v>
      </c>
      <c r="I4540" t="s">
        <v>34</v>
      </c>
      <c r="J4540" s="4">
        <v>65.2</v>
      </c>
      <c r="K4540" s="4">
        <v>121</v>
      </c>
      <c r="L4540" s="4">
        <v>19.899999999999999</v>
      </c>
      <c r="M4540">
        <v>13</v>
      </c>
      <c r="N4540" t="s">
        <v>37</v>
      </c>
      <c r="O4540">
        <v>3</v>
      </c>
      <c r="P4540" s="4">
        <v>1075.9000000000001</v>
      </c>
      <c r="Q4540" t="s">
        <v>42</v>
      </c>
      <c r="R4540">
        <v>0</v>
      </c>
      <c r="S4540" t="s">
        <v>44</v>
      </c>
      <c r="T4540">
        <v>0</v>
      </c>
      <c r="U4540">
        <v>1</v>
      </c>
      <c r="V4540" t="s">
        <v>32</v>
      </c>
      <c r="W4540" t="s">
        <v>49</v>
      </c>
      <c r="X4540" s="4">
        <v>9.8000000000000007</v>
      </c>
      <c r="Y4540">
        <v>7</v>
      </c>
      <c r="Z4540" s="5">
        <v>268.58999999999997</v>
      </c>
    </row>
    <row r="4541" spans="1:26">
      <c r="A4541">
        <v>4540</v>
      </c>
      <c r="B4541">
        <v>1489</v>
      </c>
      <c r="C4541" s="2">
        <v>46075</v>
      </c>
      <c r="D4541" t="s">
        <v>58</v>
      </c>
      <c r="E4541">
        <v>2</v>
      </c>
      <c r="F4541" s="3">
        <v>8</v>
      </c>
      <c r="G4541" t="s">
        <v>27</v>
      </c>
      <c r="H4541">
        <v>5</v>
      </c>
      <c r="I4541" t="s">
        <v>34</v>
      </c>
      <c r="J4541" s="4">
        <v>52.2</v>
      </c>
      <c r="K4541" s="4">
        <v>78.099999999999994</v>
      </c>
      <c r="L4541" s="4">
        <v>20.2</v>
      </c>
      <c r="M4541">
        <v>14</v>
      </c>
      <c r="N4541" t="s">
        <v>37</v>
      </c>
      <c r="O4541">
        <v>3</v>
      </c>
      <c r="P4541" s="4">
        <v>1075.9000000000001</v>
      </c>
      <c r="Q4541" t="s">
        <v>42</v>
      </c>
      <c r="R4541">
        <v>0</v>
      </c>
      <c r="S4541" t="s">
        <v>44</v>
      </c>
      <c r="T4541">
        <v>0</v>
      </c>
      <c r="U4541">
        <v>1</v>
      </c>
      <c r="V4541" t="s">
        <v>32</v>
      </c>
      <c r="W4541" t="s">
        <v>49</v>
      </c>
      <c r="X4541" s="4">
        <v>7.7</v>
      </c>
      <c r="Y4541">
        <v>5</v>
      </c>
      <c r="Z4541" s="5">
        <v>238.5</v>
      </c>
    </row>
    <row r="4542" spans="1:26">
      <c r="A4542">
        <v>4541</v>
      </c>
      <c r="B4542">
        <v>1489</v>
      </c>
      <c r="C4542" s="2">
        <v>46075</v>
      </c>
      <c r="D4542" t="s">
        <v>58</v>
      </c>
      <c r="E4542">
        <v>2</v>
      </c>
      <c r="F4542" s="3">
        <v>8.1199999999999992</v>
      </c>
      <c r="G4542" t="s">
        <v>27</v>
      </c>
      <c r="H4542">
        <v>35</v>
      </c>
      <c r="I4542" t="s">
        <v>34</v>
      </c>
      <c r="J4542" s="4">
        <v>60</v>
      </c>
      <c r="K4542" s="4">
        <v>120.4</v>
      </c>
      <c r="L4542" s="4">
        <v>23.7</v>
      </c>
      <c r="M4542">
        <v>16</v>
      </c>
      <c r="N4542" t="s">
        <v>37</v>
      </c>
      <c r="O4542">
        <v>3</v>
      </c>
      <c r="P4542" s="4">
        <v>1075.9000000000001</v>
      </c>
      <c r="Q4542" t="s">
        <v>42</v>
      </c>
      <c r="R4542">
        <v>0</v>
      </c>
      <c r="S4542" t="s">
        <v>44</v>
      </c>
      <c r="T4542">
        <v>0</v>
      </c>
      <c r="U4542">
        <v>1</v>
      </c>
      <c r="V4542" t="s">
        <v>32</v>
      </c>
      <c r="W4542" t="s">
        <v>49</v>
      </c>
      <c r="X4542" s="4">
        <v>10.199999999999999</v>
      </c>
      <c r="Y4542">
        <v>4</v>
      </c>
      <c r="Z4542" s="5">
        <v>192.25</v>
      </c>
    </row>
    <row r="4543" spans="1:26">
      <c r="A4543">
        <v>4542</v>
      </c>
      <c r="B4543">
        <v>1490</v>
      </c>
      <c r="C4543" s="2">
        <v>46240</v>
      </c>
      <c r="D4543" t="s">
        <v>55</v>
      </c>
      <c r="E4543">
        <v>8</v>
      </c>
      <c r="F4543" s="3">
        <v>10.93</v>
      </c>
      <c r="G4543" t="s">
        <v>27</v>
      </c>
      <c r="H4543">
        <v>78</v>
      </c>
      <c r="I4543" t="s">
        <v>28</v>
      </c>
      <c r="J4543" s="4">
        <v>69.099999999999994</v>
      </c>
      <c r="K4543" s="4">
        <v>123.6</v>
      </c>
      <c r="L4543" s="4">
        <v>18.100000000000001</v>
      </c>
      <c r="M4543">
        <v>18</v>
      </c>
      <c r="N4543" t="s">
        <v>47</v>
      </c>
      <c r="O4543">
        <v>3</v>
      </c>
      <c r="P4543" s="4">
        <v>83.1</v>
      </c>
      <c r="Q4543" t="s">
        <v>42</v>
      </c>
      <c r="R4543">
        <v>0</v>
      </c>
      <c r="S4543" t="s">
        <v>44</v>
      </c>
      <c r="T4543">
        <v>0</v>
      </c>
      <c r="U4543">
        <v>0</v>
      </c>
      <c r="V4543" t="s">
        <v>32</v>
      </c>
      <c r="W4543" t="s">
        <v>39</v>
      </c>
      <c r="X4543" s="4">
        <v>8.6</v>
      </c>
      <c r="Y4543">
        <v>4</v>
      </c>
      <c r="Z4543" s="5">
        <v>208.26</v>
      </c>
    </row>
    <row r="4544" spans="1:26">
      <c r="A4544">
        <v>4543</v>
      </c>
      <c r="B4544">
        <v>1490</v>
      </c>
      <c r="C4544" s="2">
        <v>46240</v>
      </c>
      <c r="D4544" t="s">
        <v>55</v>
      </c>
      <c r="E4544">
        <v>8</v>
      </c>
      <c r="F4544" s="3">
        <v>10.89</v>
      </c>
      <c r="G4544" t="s">
        <v>27</v>
      </c>
      <c r="H4544">
        <v>12</v>
      </c>
      <c r="I4544" t="s">
        <v>28</v>
      </c>
      <c r="J4544" s="4">
        <v>70</v>
      </c>
      <c r="K4544" s="4">
        <v>91.8</v>
      </c>
      <c r="L4544" s="4">
        <v>12.7</v>
      </c>
      <c r="M4544">
        <v>13</v>
      </c>
      <c r="N4544" t="s">
        <v>47</v>
      </c>
      <c r="O4544">
        <v>3</v>
      </c>
      <c r="P4544" s="4">
        <v>83.1</v>
      </c>
      <c r="Q4544" t="s">
        <v>42</v>
      </c>
      <c r="R4544">
        <v>0</v>
      </c>
      <c r="S4544" t="s">
        <v>44</v>
      </c>
      <c r="T4544">
        <v>0</v>
      </c>
      <c r="U4544">
        <v>0</v>
      </c>
      <c r="V4544" t="s">
        <v>32</v>
      </c>
      <c r="W4544" t="s">
        <v>39</v>
      </c>
      <c r="X4544" s="4">
        <v>8.3000000000000007</v>
      </c>
      <c r="Y4544">
        <v>5</v>
      </c>
      <c r="Z4544" s="5">
        <v>110.31</v>
      </c>
    </row>
    <row r="4545" spans="1:26">
      <c r="A4545">
        <v>4544</v>
      </c>
      <c r="B4545">
        <v>1490</v>
      </c>
      <c r="C4545" s="2">
        <v>46240</v>
      </c>
      <c r="D4545" t="s">
        <v>55</v>
      </c>
      <c r="E4545">
        <v>8</v>
      </c>
      <c r="F4545" s="3">
        <v>11.04</v>
      </c>
      <c r="G4545" t="s">
        <v>36</v>
      </c>
      <c r="H4545">
        <v>61</v>
      </c>
      <c r="I4545" t="s">
        <v>34</v>
      </c>
      <c r="J4545" s="4">
        <v>64</v>
      </c>
      <c r="K4545" s="4">
        <v>185</v>
      </c>
      <c r="L4545" s="4">
        <v>31.8</v>
      </c>
      <c r="M4545">
        <v>16</v>
      </c>
      <c r="N4545" t="s">
        <v>47</v>
      </c>
      <c r="O4545">
        <v>3</v>
      </c>
      <c r="P4545" s="4">
        <v>83.1</v>
      </c>
      <c r="Q4545" t="s">
        <v>42</v>
      </c>
      <c r="R4545">
        <v>0</v>
      </c>
      <c r="S4545" t="s">
        <v>44</v>
      </c>
      <c r="T4545">
        <v>0</v>
      </c>
      <c r="U4545">
        <v>0</v>
      </c>
      <c r="V4545" t="s">
        <v>32</v>
      </c>
      <c r="W4545" t="s">
        <v>39</v>
      </c>
      <c r="X4545" s="4">
        <v>7.5</v>
      </c>
      <c r="Y4545">
        <v>6</v>
      </c>
      <c r="Z4545" s="5">
        <v>169.59</v>
      </c>
    </row>
    <row r="4546" spans="1:26">
      <c r="A4546">
        <v>4545</v>
      </c>
      <c r="B4546">
        <v>1491</v>
      </c>
      <c r="C4546" s="2">
        <v>46218</v>
      </c>
      <c r="D4546" t="s">
        <v>52</v>
      </c>
      <c r="E4546">
        <v>7</v>
      </c>
      <c r="F4546" s="3">
        <v>10.43</v>
      </c>
      <c r="G4546" t="s">
        <v>27</v>
      </c>
      <c r="H4546">
        <v>59</v>
      </c>
      <c r="I4546" t="s">
        <v>34</v>
      </c>
      <c r="J4546" s="4">
        <v>64.900000000000006</v>
      </c>
      <c r="K4546" s="4">
        <v>137.6</v>
      </c>
      <c r="L4546" s="4">
        <v>22.9</v>
      </c>
      <c r="M4546">
        <v>17</v>
      </c>
      <c r="N4546" t="s">
        <v>54</v>
      </c>
      <c r="O4546">
        <v>4</v>
      </c>
      <c r="P4546" s="4">
        <v>2192.6999999999998</v>
      </c>
      <c r="Q4546" t="s">
        <v>48</v>
      </c>
      <c r="R4546">
        <v>0</v>
      </c>
      <c r="S4546" t="s">
        <v>38</v>
      </c>
      <c r="T4546">
        <v>1</v>
      </c>
      <c r="U4546">
        <v>1</v>
      </c>
      <c r="V4546" t="s">
        <v>32</v>
      </c>
      <c r="W4546" t="s">
        <v>39</v>
      </c>
      <c r="X4546" s="4">
        <v>8.1</v>
      </c>
      <c r="Y4546">
        <v>6</v>
      </c>
      <c r="Z4546" s="5">
        <v>263.11</v>
      </c>
    </row>
    <row r="4547" spans="1:26">
      <c r="A4547">
        <v>4546</v>
      </c>
      <c r="B4547">
        <v>1491</v>
      </c>
      <c r="C4547" s="2">
        <v>46218</v>
      </c>
      <c r="D4547" t="s">
        <v>52</v>
      </c>
      <c r="E4547">
        <v>7</v>
      </c>
      <c r="F4547" s="3">
        <v>10.36</v>
      </c>
      <c r="G4547" t="s">
        <v>27</v>
      </c>
      <c r="H4547">
        <v>18</v>
      </c>
      <c r="I4547" t="s">
        <v>34</v>
      </c>
      <c r="J4547" s="4">
        <v>65</v>
      </c>
      <c r="K4547" s="4">
        <v>138.30000000000001</v>
      </c>
      <c r="L4547" s="4">
        <v>23.3</v>
      </c>
      <c r="M4547">
        <v>13</v>
      </c>
      <c r="N4547" t="s">
        <v>54</v>
      </c>
      <c r="O4547">
        <v>4</v>
      </c>
      <c r="P4547" s="4">
        <v>2192.6999999999998</v>
      </c>
      <c r="Q4547" t="s">
        <v>48</v>
      </c>
      <c r="R4547">
        <v>0</v>
      </c>
      <c r="S4547" t="s">
        <v>38</v>
      </c>
      <c r="T4547">
        <v>1</v>
      </c>
      <c r="U4547">
        <v>1</v>
      </c>
      <c r="V4547" t="s">
        <v>32</v>
      </c>
      <c r="W4547" t="s">
        <v>39</v>
      </c>
      <c r="X4547" s="4">
        <v>10.9</v>
      </c>
      <c r="Y4547">
        <v>10</v>
      </c>
      <c r="Z4547" s="5">
        <v>308.55</v>
      </c>
    </row>
    <row r="4548" spans="1:26">
      <c r="A4548">
        <v>4547</v>
      </c>
      <c r="B4548">
        <v>1491</v>
      </c>
      <c r="C4548" s="2">
        <v>46218</v>
      </c>
      <c r="D4548" t="s">
        <v>52</v>
      </c>
      <c r="E4548">
        <v>7</v>
      </c>
      <c r="F4548" s="3">
        <v>10.33</v>
      </c>
      <c r="G4548" t="s">
        <v>27</v>
      </c>
      <c r="H4548">
        <v>22</v>
      </c>
      <c r="I4548" t="s">
        <v>28</v>
      </c>
      <c r="J4548" s="4">
        <v>64.3</v>
      </c>
      <c r="K4548" s="4">
        <v>174</v>
      </c>
      <c r="L4548" s="4">
        <v>29.7</v>
      </c>
      <c r="M4548">
        <v>14</v>
      </c>
      <c r="N4548" t="s">
        <v>54</v>
      </c>
      <c r="O4548">
        <v>4</v>
      </c>
      <c r="P4548" s="4">
        <v>2192.6999999999998</v>
      </c>
      <c r="Q4548" t="s">
        <v>48</v>
      </c>
      <c r="R4548">
        <v>0</v>
      </c>
      <c r="S4548" t="s">
        <v>38</v>
      </c>
      <c r="T4548">
        <v>1</v>
      </c>
      <c r="U4548">
        <v>1</v>
      </c>
      <c r="V4548" t="s">
        <v>32</v>
      </c>
      <c r="W4548" t="s">
        <v>39</v>
      </c>
      <c r="X4548" s="4">
        <v>8</v>
      </c>
      <c r="Y4548">
        <v>11</v>
      </c>
      <c r="Z4548" s="5">
        <v>300.8</v>
      </c>
    </row>
    <row r="4549" spans="1:26">
      <c r="A4549">
        <v>4548</v>
      </c>
      <c r="B4549">
        <v>1491</v>
      </c>
      <c r="C4549" s="2">
        <v>46218</v>
      </c>
      <c r="D4549" t="s">
        <v>52</v>
      </c>
      <c r="E4549">
        <v>7</v>
      </c>
      <c r="F4549" s="3">
        <v>10.35</v>
      </c>
      <c r="G4549" t="s">
        <v>27</v>
      </c>
      <c r="H4549">
        <v>41</v>
      </c>
      <c r="I4549" t="s">
        <v>28</v>
      </c>
      <c r="J4549" s="4">
        <v>71.3</v>
      </c>
      <c r="K4549" s="4">
        <v>198</v>
      </c>
      <c r="L4549" s="4">
        <v>27.3</v>
      </c>
      <c r="M4549">
        <v>18</v>
      </c>
      <c r="N4549" t="s">
        <v>54</v>
      </c>
      <c r="O4549">
        <v>4</v>
      </c>
      <c r="P4549" s="4">
        <v>2192.6999999999998</v>
      </c>
      <c r="Q4549" t="s">
        <v>48</v>
      </c>
      <c r="R4549">
        <v>0</v>
      </c>
      <c r="S4549" t="s">
        <v>38</v>
      </c>
      <c r="T4549">
        <v>1</v>
      </c>
      <c r="U4549">
        <v>1</v>
      </c>
      <c r="V4549" t="s">
        <v>32</v>
      </c>
      <c r="W4549" t="s">
        <v>39</v>
      </c>
      <c r="X4549" s="4">
        <v>9.4</v>
      </c>
      <c r="Y4549">
        <v>14</v>
      </c>
      <c r="Z4549" s="5">
        <v>326.69</v>
      </c>
    </row>
    <row r="4550" spans="1:26">
      <c r="A4550">
        <v>4549</v>
      </c>
      <c r="B4550">
        <v>1492</v>
      </c>
      <c r="C4550" s="2">
        <v>46155</v>
      </c>
      <c r="D4550" t="s">
        <v>52</v>
      </c>
      <c r="E4550">
        <v>5</v>
      </c>
      <c r="F4550" s="3">
        <v>10.18</v>
      </c>
      <c r="G4550" t="s">
        <v>27</v>
      </c>
      <c r="H4550">
        <v>6</v>
      </c>
      <c r="I4550" t="s">
        <v>34</v>
      </c>
      <c r="J4550" s="4">
        <v>53.7</v>
      </c>
      <c r="K4550" s="4">
        <v>67.5</v>
      </c>
      <c r="L4550" s="4">
        <v>16.5</v>
      </c>
      <c r="M4550">
        <v>13</v>
      </c>
      <c r="N4550" t="s">
        <v>56</v>
      </c>
      <c r="O4550">
        <v>2</v>
      </c>
      <c r="P4550" s="4">
        <v>270.39999999999998</v>
      </c>
      <c r="Q4550" t="s">
        <v>42</v>
      </c>
      <c r="R4550">
        <v>1</v>
      </c>
      <c r="S4550" t="s">
        <v>44</v>
      </c>
      <c r="T4550">
        <v>0</v>
      </c>
      <c r="U4550">
        <v>0</v>
      </c>
      <c r="V4550" t="s">
        <v>32</v>
      </c>
      <c r="W4550" t="s">
        <v>39</v>
      </c>
      <c r="X4550" s="4">
        <v>8</v>
      </c>
      <c r="Y4550">
        <v>6</v>
      </c>
      <c r="Z4550" s="5">
        <v>288.64999999999998</v>
      </c>
    </row>
    <row r="4551" spans="1:26">
      <c r="A4551">
        <v>4550</v>
      </c>
      <c r="B4551">
        <v>1492</v>
      </c>
      <c r="C4551" s="2">
        <v>46155</v>
      </c>
      <c r="D4551" t="s">
        <v>52</v>
      </c>
      <c r="E4551">
        <v>5</v>
      </c>
      <c r="F4551" s="3">
        <v>10.199999999999999</v>
      </c>
      <c r="G4551" t="s">
        <v>27</v>
      </c>
      <c r="H4551">
        <v>46</v>
      </c>
      <c r="I4551" t="s">
        <v>28</v>
      </c>
      <c r="J4551" s="4">
        <v>72.7</v>
      </c>
      <c r="K4551" s="4">
        <v>204.5</v>
      </c>
      <c r="L4551" s="4">
        <v>27.5</v>
      </c>
      <c r="M4551">
        <v>15</v>
      </c>
      <c r="N4551" t="s">
        <v>56</v>
      </c>
      <c r="O4551">
        <v>2</v>
      </c>
      <c r="P4551" s="4">
        <v>270.39999999999998</v>
      </c>
      <c r="Q4551" t="s">
        <v>42</v>
      </c>
      <c r="R4551">
        <v>1</v>
      </c>
      <c r="S4551" t="s">
        <v>44</v>
      </c>
      <c r="T4551">
        <v>0</v>
      </c>
      <c r="U4551">
        <v>0</v>
      </c>
      <c r="V4551" t="s">
        <v>32</v>
      </c>
      <c r="W4551" t="s">
        <v>39</v>
      </c>
      <c r="X4551" s="4">
        <v>8.5</v>
      </c>
      <c r="Y4551">
        <v>10</v>
      </c>
      <c r="Z4551" s="5">
        <v>398.69</v>
      </c>
    </row>
    <row r="4552" spans="1:26">
      <c r="A4552">
        <v>4551</v>
      </c>
      <c r="B4552">
        <v>1493</v>
      </c>
      <c r="C4552" s="2">
        <v>46083</v>
      </c>
      <c r="D4552" t="s">
        <v>46</v>
      </c>
      <c r="E4552">
        <v>3</v>
      </c>
      <c r="F4552" s="3">
        <v>11.04</v>
      </c>
      <c r="G4552" t="s">
        <v>36</v>
      </c>
      <c r="H4552">
        <v>13</v>
      </c>
      <c r="I4552" t="s">
        <v>28</v>
      </c>
      <c r="J4552" s="4">
        <v>60.9</v>
      </c>
      <c r="K4552" s="4">
        <v>82.6</v>
      </c>
      <c r="L4552" s="4">
        <v>15.8</v>
      </c>
      <c r="M4552">
        <v>10</v>
      </c>
      <c r="N4552" t="s">
        <v>47</v>
      </c>
      <c r="O4552">
        <v>3</v>
      </c>
      <c r="P4552" s="4">
        <v>32.299999999999997</v>
      </c>
      <c r="Q4552" t="s">
        <v>42</v>
      </c>
      <c r="R4552">
        <v>0</v>
      </c>
      <c r="S4552" t="s">
        <v>44</v>
      </c>
      <c r="T4552">
        <v>0</v>
      </c>
      <c r="U4552">
        <v>0</v>
      </c>
      <c r="V4552" t="s">
        <v>32</v>
      </c>
      <c r="W4552" t="s">
        <v>57</v>
      </c>
      <c r="X4552" s="4">
        <v>10.8</v>
      </c>
      <c r="Y4552">
        <v>10</v>
      </c>
      <c r="Z4552" s="5">
        <v>202.76</v>
      </c>
    </row>
    <row r="4553" spans="1:26">
      <c r="A4553">
        <v>4552</v>
      </c>
      <c r="B4553">
        <v>1493</v>
      </c>
      <c r="C4553" s="2">
        <v>46083</v>
      </c>
      <c r="D4553" t="s">
        <v>46</v>
      </c>
      <c r="E4553">
        <v>3</v>
      </c>
      <c r="F4553" s="3">
        <v>11.07</v>
      </c>
      <c r="G4553" t="s">
        <v>36</v>
      </c>
      <c r="H4553">
        <v>8</v>
      </c>
      <c r="I4553" t="s">
        <v>34</v>
      </c>
      <c r="J4553" s="4">
        <v>62.4</v>
      </c>
      <c r="K4553" s="4">
        <v>115.8</v>
      </c>
      <c r="L4553" s="4">
        <v>20.8</v>
      </c>
      <c r="M4553">
        <v>10</v>
      </c>
      <c r="N4553" t="s">
        <v>47</v>
      </c>
      <c r="O4553">
        <v>3</v>
      </c>
      <c r="P4553" s="4">
        <v>32.299999999999997</v>
      </c>
      <c r="Q4553" t="s">
        <v>42</v>
      </c>
      <c r="R4553">
        <v>0</v>
      </c>
      <c r="S4553" t="s">
        <v>44</v>
      </c>
      <c r="T4553">
        <v>0</v>
      </c>
      <c r="U4553">
        <v>0</v>
      </c>
      <c r="V4553" t="s">
        <v>32</v>
      </c>
      <c r="W4553" t="s">
        <v>57</v>
      </c>
      <c r="X4553" s="4">
        <v>7.5</v>
      </c>
      <c r="Y4553">
        <v>2</v>
      </c>
      <c r="Z4553" s="5">
        <v>196.19</v>
      </c>
    </row>
    <row r="4554" spans="1:26">
      <c r="A4554">
        <v>4553</v>
      </c>
      <c r="B4554">
        <v>1493</v>
      </c>
      <c r="C4554" s="2">
        <v>46083</v>
      </c>
      <c r="D4554" t="s">
        <v>46</v>
      </c>
      <c r="E4554">
        <v>3</v>
      </c>
      <c r="F4554" s="3">
        <v>11.03</v>
      </c>
      <c r="G4554" t="s">
        <v>36</v>
      </c>
      <c r="H4554">
        <v>21</v>
      </c>
      <c r="I4554" t="s">
        <v>28</v>
      </c>
      <c r="J4554" s="4">
        <v>73.7</v>
      </c>
      <c r="K4554" s="4">
        <v>159.1</v>
      </c>
      <c r="L4554" s="4">
        <v>20.3</v>
      </c>
      <c r="M4554">
        <v>16</v>
      </c>
      <c r="N4554" t="s">
        <v>47</v>
      </c>
      <c r="O4554">
        <v>3</v>
      </c>
      <c r="P4554" s="4">
        <v>32.299999999999997</v>
      </c>
      <c r="Q4554" t="s">
        <v>42</v>
      </c>
      <c r="R4554">
        <v>0</v>
      </c>
      <c r="S4554" t="s">
        <v>44</v>
      </c>
      <c r="T4554">
        <v>0</v>
      </c>
      <c r="U4554">
        <v>0</v>
      </c>
      <c r="V4554" t="s">
        <v>32</v>
      </c>
      <c r="W4554" t="s">
        <v>57</v>
      </c>
      <c r="X4554" s="4">
        <v>8.5</v>
      </c>
      <c r="Y4554">
        <v>6</v>
      </c>
      <c r="Z4554" s="5">
        <v>269.7</v>
      </c>
    </row>
    <row r="4555" spans="1:26">
      <c r="A4555">
        <v>4554</v>
      </c>
      <c r="B4555">
        <v>1494</v>
      </c>
      <c r="C4555" s="2">
        <v>46229</v>
      </c>
      <c r="D4555" t="s">
        <v>58</v>
      </c>
      <c r="E4555">
        <v>7</v>
      </c>
      <c r="F4555" s="3">
        <v>11.06</v>
      </c>
      <c r="G4555" t="s">
        <v>36</v>
      </c>
      <c r="H4555">
        <v>9</v>
      </c>
      <c r="I4555" t="s">
        <v>34</v>
      </c>
      <c r="J4555" s="4">
        <v>61.6</v>
      </c>
      <c r="K4555" s="4">
        <v>102.9</v>
      </c>
      <c r="L4555" s="4">
        <v>19</v>
      </c>
      <c r="M4555">
        <v>18</v>
      </c>
      <c r="N4555" t="s">
        <v>56</v>
      </c>
      <c r="O4555">
        <v>3</v>
      </c>
      <c r="P4555" s="4">
        <v>461.1</v>
      </c>
      <c r="Q4555" t="s">
        <v>48</v>
      </c>
      <c r="R4555">
        <v>0</v>
      </c>
      <c r="S4555" t="s">
        <v>38</v>
      </c>
      <c r="T4555">
        <v>1</v>
      </c>
      <c r="U4555">
        <v>1</v>
      </c>
      <c r="V4555" t="s">
        <v>32</v>
      </c>
      <c r="W4555" t="s">
        <v>43</v>
      </c>
      <c r="X4555" s="4">
        <v>8.8000000000000007</v>
      </c>
      <c r="Y4555">
        <v>4</v>
      </c>
      <c r="Z4555" s="5">
        <v>268.10000000000002</v>
      </c>
    </row>
    <row r="4556" spans="1:26">
      <c r="A4556">
        <v>4555</v>
      </c>
      <c r="B4556">
        <v>1494</v>
      </c>
      <c r="C4556" s="2">
        <v>46229</v>
      </c>
      <c r="D4556" t="s">
        <v>58</v>
      </c>
      <c r="E4556">
        <v>7</v>
      </c>
      <c r="F4556" s="3">
        <v>11.27</v>
      </c>
      <c r="G4556" t="s">
        <v>36</v>
      </c>
      <c r="H4556">
        <v>6</v>
      </c>
      <c r="I4556" t="s">
        <v>28</v>
      </c>
      <c r="J4556" s="4">
        <v>55.3</v>
      </c>
      <c r="K4556" s="4">
        <v>91.3</v>
      </c>
      <c r="L4556" s="4">
        <v>21.1</v>
      </c>
      <c r="M4556">
        <v>11</v>
      </c>
      <c r="N4556" t="s">
        <v>56</v>
      </c>
      <c r="O4556">
        <v>3</v>
      </c>
      <c r="P4556" s="4">
        <v>461.1</v>
      </c>
      <c r="Q4556" t="s">
        <v>48</v>
      </c>
      <c r="R4556">
        <v>0</v>
      </c>
      <c r="S4556" t="s">
        <v>38</v>
      </c>
      <c r="T4556">
        <v>1</v>
      </c>
      <c r="U4556">
        <v>1</v>
      </c>
      <c r="V4556" t="s">
        <v>32</v>
      </c>
      <c r="W4556" t="s">
        <v>43</v>
      </c>
      <c r="X4556" s="4">
        <v>6.6</v>
      </c>
      <c r="Y4556">
        <v>8</v>
      </c>
      <c r="Z4556" s="5">
        <v>193.49</v>
      </c>
    </row>
    <row r="4557" spans="1:26">
      <c r="A4557">
        <v>4556</v>
      </c>
      <c r="B4557">
        <v>1494</v>
      </c>
      <c r="C4557" s="2">
        <v>46229</v>
      </c>
      <c r="D4557" t="s">
        <v>58</v>
      </c>
      <c r="E4557">
        <v>7</v>
      </c>
      <c r="F4557" s="3">
        <v>11.23</v>
      </c>
      <c r="G4557" t="s">
        <v>36</v>
      </c>
      <c r="H4557">
        <v>18</v>
      </c>
      <c r="I4557" t="s">
        <v>28</v>
      </c>
      <c r="J4557" s="4">
        <v>66.099999999999994</v>
      </c>
      <c r="K4557" s="4">
        <v>106.5</v>
      </c>
      <c r="L4557" s="4">
        <v>17.2</v>
      </c>
      <c r="M4557">
        <v>15</v>
      </c>
      <c r="N4557" t="s">
        <v>56</v>
      </c>
      <c r="O4557">
        <v>3</v>
      </c>
      <c r="P4557" s="4">
        <v>461.1</v>
      </c>
      <c r="Q4557" t="s">
        <v>48</v>
      </c>
      <c r="R4557">
        <v>0</v>
      </c>
      <c r="S4557" t="s">
        <v>38</v>
      </c>
      <c r="T4557">
        <v>1</v>
      </c>
      <c r="U4557">
        <v>1</v>
      </c>
      <c r="V4557" t="s">
        <v>32</v>
      </c>
      <c r="W4557" t="s">
        <v>43</v>
      </c>
      <c r="X4557" s="4">
        <v>8.1999999999999993</v>
      </c>
      <c r="Y4557">
        <v>7</v>
      </c>
      <c r="Z4557" s="5">
        <v>291.23</v>
      </c>
    </row>
    <row r="4558" spans="1:26">
      <c r="A4558">
        <v>4557</v>
      </c>
      <c r="B4558">
        <v>1495</v>
      </c>
      <c r="C4558" s="2">
        <v>46343</v>
      </c>
      <c r="D4558" t="s">
        <v>35</v>
      </c>
      <c r="E4558">
        <v>11</v>
      </c>
      <c r="F4558" s="3">
        <v>12.51</v>
      </c>
      <c r="G4558" t="s">
        <v>36</v>
      </c>
      <c r="H4558">
        <v>67</v>
      </c>
      <c r="I4558" t="s">
        <v>34</v>
      </c>
      <c r="J4558" s="4">
        <v>67.3</v>
      </c>
      <c r="K4558" s="4">
        <v>160.5</v>
      </c>
      <c r="L4558" s="4">
        <v>24.7</v>
      </c>
      <c r="M4558">
        <v>16</v>
      </c>
      <c r="N4558" t="s">
        <v>47</v>
      </c>
      <c r="O4558">
        <v>4</v>
      </c>
      <c r="P4558" s="4">
        <v>156.30000000000001</v>
      </c>
      <c r="Q4558" t="s">
        <v>48</v>
      </c>
      <c r="R4558">
        <v>1</v>
      </c>
      <c r="S4558" t="s">
        <v>44</v>
      </c>
      <c r="T4558">
        <v>1</v>
      </c>
      <c r="U4558">
        <v>0</v>
      </c>
      <c r="V4558" t="s">
        <v>32</v>
      </c>
      <c r="W4558" t="s">
        <v>39</v>
      </c>
      <c r="X4558" s="4">
        <v>6.3</v>
      </c>
      <c r="Y4558">
        <v>11</v>
      </c>
      <c r="Z4558" s="5">
        <v>423.85</v>
      </c>
    </row>
    <row r="4559" spans="1:26">
      <c r="A4559">
        <v>4558</v>
      </c>
      <c r="B4559">
        <v>1495</v>
      </c>
      <c r="C4559" s="2">
        <v>46343</v>
      </c>
      <c r="D4559" t="s">
        <v>35</v>
      </c>
      <c r="E4559">
        <v>11</v>
      </c>
      <c r="F4559" s="3">
        <v>12.64</v>
      </c>
      <c r="G4559" t="s">
        <v>36</v>
      </c>
      <c r="H4559">
        <v>70</v>
      </c>
      <c r="I4559" t="s">
        <v>28</v>
      </c>
      <c r="J4559" s="4">
        <v>71.5</v>
      </c>
      <c r="K4559" s="4">
        <v>173.6</v>
      </c>
      <c r="L4559" s="4">
        <v>24</v>
      </c>
      <c r="M4559">
        <v>18</v>
      </c>
      <c r="N4559" t="s">
        <v>47</v>
      </c>
      <c r="O4559">
        <v>4</v>
      </c>
      <c r="P4559" s="4">
        <v>156.30000000000001</v>
      </c>
      <c r="Q4559" t="s">
        <v>48</v>
      </c>
      <c r="R4559">
        <v>1</v>
      </c>
      <c r="S4559" t="s">
        <v>44</v>
      </c>
      <c r="T4559">
        <v>1</v>
      </c>
      <c r="U4559">
        <v>0</v>
      </c>
      <c r="V4559" t="s">
        <v>32</v>
      </c>
      <c r="W4559" t="s">
        <v>39</v>
      </c>
      <c r="X4559" s="4">
        <v>8</v>
      </c>
      <c r="Y4559">
        <v>11</v>
      </c>
      <c r="Z4559" s="5">
        <v>178.42</v>
      </c>
    </row>
    <row r="4560" spans="1:26">
      <c r="A4560">
        <v>4559</v>
      </c>
      <c r="B4560">
        <v>1495</v>
      </c>
      <c r="C4560" s="2">
        <v>46343</v>
      </c>
      <c r="D4560" t="s">
        <v>35</v>
      </c>
      <c r="E4560">
        <v>11</v>
      </c>
      <c r="F4560" s="3">
        <v>12.57</v>
      </c>
      <c r="G4560" t="s">
        <v>36</v>
      </c>
      <c r="H4560">
        <v>32</v>
      </c>
      <c r="I4560" t="s">
        <v>34</v>
      </c>
      <c r="J4560" s="4">
        <v>67</v>
      </c>
      <c r="K4560" s="4">
        <v>205.5</v>
      </c>
      <c r="L4560" s="4">
        <v>32.4</v>
      </c>
      <c r="M4560">
        <v>18</v>
      </c>
      <c r="N4560" t="s">
        <v>47</v>
      </c>
      <c r="O4560">
        <v>4</v>
      </c>
      <c r="P4560" s="4">
        <v>156.30000000000001</v>
      </c>
      <c r="Q4560" t="s">
        <v>48</v>
      </c>
      <c r="R4560">
        <v>1</v>
      </c>
      <c r="S4560" t="s">
        <v>44</v>
      </c>
      <c r="T4560">
        <v>1</v>
      </c>
      <c r="U4560">
        <v>0</v>
      </c>
      <c r="V4560" t="s">
        <v>32</v>
      </c>
      <c r="W4560" t="s">
        <v>39</v>
      </c>
      <c r="X4560" s="4">
        <v>7.4</v>
      </c>
      <c r="Y4560">
        <v>10</v>
      </c>
      <c r="Z4560" s="5">
        <v>324.47000000000003</v>
      </c>
    </row>
    <row r="4561" spans="1:26">
      <c r="A4561">
        <v>4560</v>
      </c>
      <c r="B4561">
        <v>1495</v>
      </c>
      <c r="C4561" s="2">
        <v>46343</v>
      </c>
      <c r="D4561" t="s">
        <v>35</v>
      </c>
      <c r="E4561">
        <v>11</v>
      </c>
      <c r="F4561" s="3">
        <v>12.41</v>
      </c>
      <c r="G4561" t="s">
        <v>36</v>
      </c>
      <c r="H4561">
        <v>11</v>
      </c>
      <c r="I4561" t="s">
        <v>34</v>
      </c>
      <c r="J4561" s="4">
        <v>61.1</v>
      </c>
      <c r="K4561" s="4">
        <v>104.1</v>
      </c>
      <c r="L4561" s="4">
        <v>19.7</v>
      </c>
      <c r="M4561">
        <v>15</v>
      </c>
      <c r="N4561" t="s">
        <v>47</v>
      </c>
      <c r="O4561">
        <v>4</v>
      </c>
      <c r="P4561" s="4">
        <v>156.30000000000001</v>
      </c>
      <c r="Q4561" t="s">
        <v>48</v>
      </c>
      <c r="R4561">
        <v>1</v>
      </c>
      <c r="S4561" t="s">
        <v>44</v>
      </c>
      <c r="T4561">
        <v>1</v>
      </c>
      <c r="U4561">
        <v>0</v>
      </c>
      <c r="V4561" t="s">
        <v>32</v>
      </c>
      <c r="W4561" t="s">
        <v>39</v>
      </c>
      <c r="X4561" s="4">
        <v>6.8</v>
      </c>
      <c r="Y4561">
        <v>9</v>
      </c>
      <c r="Z4561" s="5">
        <v>239.15</v>
      </c>
    </row>
    <row r="4562" spans="1:26">
      <c r="A4562">
        <v>4561</v>
      </c>
      <c r="B4562">
        <v>1496</v>
      </c>
      <c r="C4562" s="2">
        <v>46328</v>
      </c>
      <c r="D4562" t="s">
        <v>46</v>
      </c>
      <c r="E4562">
        <v>11</v>
      </c>
      <c r="F4562" s="3">
        <v>12</v>
      </c>
      <c r="G4562" t="s">
        <v>36</v>
      </c>
      <c r="H4562">
        <v>35</v>
      </c>
      <c r="I4562" t="s">
        <v>34</v>
      </c>
      <c r="J4562" s="4">
        <v>65.900000000000006</v>
      </c>
      <c r="K4562" s="4">
        <v>151.4</v>
      </c>
      <c r="L4562" s="4">
        <v>24.7</v>
      </c>
      <c r="M4562">
        <v>16</v>
      </c>
      <c r="N4562" t="s">
        <v>47</v>
      </c>
      <c r="O4562">
        <v>5</v>
      </c>
      <c r="P4562" s="4">
        <v>101.3</v>
      </c>
      <c r="Q4562" t="s">
        <v>42</v>
      </c>
      <c r="R4562">
        <v>1</v>
      </c>
      <c r="S4562" t="s">
        <v>31</v>
      </c>
      <c r="T4562">
        <v>0</v>
      </c>
      <c r="U4562">
        <v>0</v>
      </c>
      <c r="V4562" t="s">
        <v>45</v>
      </c>
      <c r="W4562" t="s">
        <v>39</v>
      </c>
      <c r="X4562" s="4">
        <v>9</v>
      </c>
      <c r="Y4562">
        <v>7</v>
      </c>
      <c r="Z4562" s="5">
        <v>238.87</v>
      </c>
    </row>
    <row r="4563" spans="1:26">
      <c r="A4563">
        <v>4562</v>
      </c>
      <c r="B4563">
        <v>1496</v>
      </c>
      <c r="C4563" s="2">
        <v>46328</v>
      </c>
      <c r="D4563" t="s">
        <v>46</v>
      </c>
      <c r="E4563">
        <v>11</v>
      </c>
      <c r="F4563" s="3">
        <v>11.81</v>
      </c>
      <c r="G4563" t="s">
        <v>36</v>
      </c>
      <c r="H4563">
        <v>45</v>
      </c>
      <c r="I4563" t="s">
        <v>34</v>
      </c>
      <c r="J4563" s="4">
        <v>66.900000000000006</v>
      </c>
      <c r="K4563" s="4">
        <v>161.80000000000001</v>
      </c>
      <c r="L4563" s="4">
        <v>25.5</v>
      </c>
      <c r="M4563">
        <v>18</v>
      </c>
      <c r="N4563" t="s">
        <v>47</v>
      </c>
      <c r="O4563">
        <v>5</v>
      </c>
      <c r="P4563" s="4">
        <v>101.3</v>
      </c>
      <c r="Q4563" t="s">
        <v>42</v>
      </c>
      <c r="R4563">
        <v>1</v>
      </c>
      <c r="S4563" t="s">
        <v>31</v>
      </c>
      <c r="T4563">
        <v>0</v>
      </c>
      <c r="U4563">
        <v>0</v>
      </c>
      <c r="V4563" t="s">
        <v>45</v>
      </c>
      <c r="W4563" t="s">
        <v>39</v>
      </c>
      <c r="X4563" s="4">
        <v>9.4</v>
      </c>
      <c r="Y4563">
        <v>12</v>
      </c>
      <c r="Z4563" s="5">
        <v>211.75</v>
      </c>
    </row>
    <row r="4564" spans="1:26">
      <c r="A4564">
        <v>4563</v>
      </c>
      <c r="B4564">
        <v>1496</v>
      </c>
      <c r="C4564" s="2">
        <v>46328</v>
      </c>
      <c r="D4564" t="s">
        <v>46</v>
      </c>
      <c r="E4564">
        <v>11</v>
      </c>
      <c r="F4564" s="3">
        <v>11.95</v>
      </c>
      <c r="G4564" t="s">
        <v>36</v>
      </c>
      <c r="H4564">
        <v>60</v>
      </c>
      <c r="I4564" t="s">
        <v>28</v>
      </c>
      <c r="J4564" s="4">
        <v>67.7</v>
      </c>
      <c r="K4564" s="4">
        <v>201.4</v>
      </c>
      <c r="L4564" s="4">
        <v>31</v>
      </c>
      <c r="M4564">
        <v>17</v>
      </c>
      <c r="N4564" t="s">
        <v>47</v>
      </c>
      <c r="O4564">
        <v>5</v>
      </c>
      <c r="P4564" s="4">
        <v>101.3</v>
      </c>
      <c r="Q4564" t="s">
        <v>42</v>
      </c>
      <c r="R4564">
        <v>1</v>
      </c>
      <c r="S4564" t="s">
        <v>31</v>
      </c>
      <c r="T4564">
        <v>0</v>
      </c>
      <c r="U4564">
        <v>0</v>
      </c>
      <c r="V4564" t="s">
        <v>45</v>
      </c>
      <c r="W4564" t="s">
        <v>39</v>
      </c>
      <c r="X4564" s="4">
        <v>9</v>
      </c>
      <c r="Y4564">
        <v>10</v>
      </c>
      <c r="Z4564" s="5">
        <v>184.96</v>
      </c>
    </row>
    <row r="4565" spans="1:26">
      <c r="A4565">
        <v>4564</v>
      </c>
      <c r="B4565">
        <v>1496</v>
      </c>
      <c r="C4565" s="2">
        <v>46328</v>
      </c>
      <c r="D4565" t="s">
        <v>46</v>
      </c>
      <c r="E4565">
        <v>11</v>
      </c>
      <c r="F4565" s="3">
        <v>11.79</v>
      </c>
      <c r="G4565" t="s">
        <v>36</v>
      </c>
      <c r="H4565">
        <v>70</v>
      </c>
      <c r="I4565" t="s">
        <v>28</v>
      </c>
      <c r="J4565" s="4">
        <v>63.7</v>
      </c>
      <c r="K4565" s="4">
        <v>150</v>
      </c>
      <c r="L4565" s="4">
        <v>26.2</v>
      </c>
      <c r="M4565">
        <v>16</v>
      </c>
      <c r="N4565" t="s">
        <v>47</v>
      </c>
      <c r="O4565">
        <v>5</v>
      </c>
      <c r="P4565" s="4">
        <v>101.3</v>
      </c>
      <c r="Q4565" t="s">
        <v>42</v>
      </c>
      <c r="R4565">
        <v>1</v>
      </c>
      <c r="S4565" t="s">
        <v>31</v>
      </c>
      <c r="T4565">
        <v>0</v>
      </c>
      <c r="U4565">
        <v>0</v>
      </c>
      <c r="V4565" t="s">
        <v>45</v>
      </c>
      <c r="W4565" t="s">
        <v>39</v>
      </c>
      <c r="X4565" s="4">
        <v>10.5</v>
      </c>
      <c r="Y4565">
        <v>9</v>
      </c>
      <c r="Z4565" s="5">
        <v>237.77</v>
      </c>
    </row>
    <row r="4566" spans="1:26">
      <c r="A4566">
        <v>4565</v>
      </c>
      <c r="B4566">
        <v>1496</v>
      </c>
      <c r="C4566" s="2">
        <v>46328</v>
      </c>
      <c r="D4566" t="s">
        <v>46</v>
      </c>
      <c r="E4566">
        <v>11</v>
      </c>
      <c r="F4566" s="3">
        <v>11.63</v>
      </c>
      <c r="G4566" t="s">
        <v>36</v>
      </c>
      <c r="H4566">
        <v>65</v>
      </c>
      <c r="I4566" t="s">
        <v>28</v>
      </c>
      <c r="J4566" s="4">
        <v>66.099999999999994</v>
      </c>
      <c r="K4566" s="4">
        <v>186.5</v>
      </c>
      <c r="L4566" s="4">
        <v>30</v>
      </c>
      <c r="M4566">
        <v>17</v>
      </c>
      <c r="N4566" t="s">
        <v>47</v>
      </c>
      <c r="O4566">
        <v>5</v>
      </c>
      <c r="P4566" s="4">
        <v>101.3</v>
      </c>
      <c r="Q4566" t="s">
        <v>42</v>
      </c>
      <c r="R4566">
        <v>1</v>
      </c>
      <c r="S4566" t="s">
        <v>31</v>
      </c>
      <c r="T4566">
        <v>0</v>
      </c>
      <c r="U4566">
        <v>0</v>
      </c>
      <c r="V4566" t="s">
        <v>45</v>
      </c>
      <c r="W4566" t="s">
        <v>39</v>
      </c>
      <c r="X4566" s="4">
        <v>8.1999999999999993</v>
      </c>
      <c r="Y4566">
        <v>9</v>
      </c>
      <c r="Z4566" s="5">
        <v>313.17</v>
      </c>
    </row>
    <row r="4567" spans="1:26">
      <c r="A4567">
        <v>4566</v>
      </c>
      <c r="B4567">
        <v>1497</v>
      </c>
      <c r="C4567" s="2">
        <v>46317</v>
      </c>
      <c r="D4567" t="s">
        <v>55</v>
      </c>
      <c r="E4567">
        <v>10</v>
      </c>
      <c r="F4567" s="3">
        <v>10.41</v>
      </c>
      <c r="G4567" t="s">
        <v>27</v>
      </c>
      <c r="H4567">
        <v>34</v>
      </c>
      <c r="I4567" t="s">
        <v>34</v>
      </c>
      <c r="J4567" s="4">
        <v>69</v>
      </c>
      <c r="K4567" s="4">
        <v>142</v>
      </c>
      <c r="L4567" s="4">
        <v>21.2</v>
      </c>
      <c r="M4567">
        <v>16</v>
      </c>
      <c r="N4567" t="s">
        <v>50</v>
      </c>
      <c r="O4567">
        <v>4</v>
      </c>
      <c r="P4567" s="4">
        <v>599</v>
      </c>
      <c r="Q4567" t="s">
        <v>48</v>
      </c>
      <c r="R4567">
        <v>1</v>
      </c>
      <c r="S4567" t="s">
        <v>44</v>
      </c>
      <c r="T4567">
        <v>0</v>
      </c>
      <c r="U4567">
        <v>0</v>
      </c>
      <c r="V4567" t="s">
        <v>32</v>
      </c>
      <c r="W4567" t="s">
        <v>39</v>
      </c>
      <c r="X4567" s="4">
        <v>11.8</v>
      </c>
      <c r="Y4567">
        <v>13</v>
      </c>
      <c r="Z4567" s="5">
        <v>248.95</v>
      </c>
    </row>
    <row r="4568" spans="1:26">
      <c r="A4568">
        <v>4567</v>
      </c>
      <c r="B4568">
        <v>1497</v>
      </c>
      <c r="C4568" s="2">
        <v>46317</v>
      </c>
      <c r="D4568" t="s">
        <v>55</v>
      </c>
      <c r="E4568">
        <v>10</v>
      </c>
      <c r="F4568" s="3">
        <v>10.47</v>
      </c>
      <c r="G4568" t="s">
        <v>27</v>
      </c>
      <c r="H4568">
        <v>45</v>
      </c>
      <c r="I4568" t="s">
        <v>28</v>
      </c>
      <c r="J4568" s="4">
        <v>69</v>
      </c>
      <c r="K4568" s="4">
        <v>217.2</v>
      </c>
      <c r="L4568" s="4">
        <v>32.1</v>
      </c>
      <c r="M4568">
        <v>17</v>
      </c>
      <c r="N4568" t="s">
        <v>50</v>
      </c>
      <c r="O4568">
        <v>4</v>
      </c>
      <c r="P4568" s="4">
        <v>599</v>
      </c>
      <c r="Q4568" t="s">
        <v>48</v>
      </c>
      <c r="R4568">
        <v>1</v>
      </c>
      <c r="S4568" t="s">
        <v>44</v>
      </c>
      <c r="T4568">
        <v>0</v>
      </c>
      <c r="U4568">
        <v>0</v>
      </c>
      <c r="V4568" t="s">
        <v>32</v>
      </c>
      <c r="W4568" t="s">
        <v>39</v>
      </c>
      <c r="X4568" s="4">
        <v>5.9</v>
      </c>
      <c r="Y4568">
        <v>10</v>
      </c>
      <c r="Z4568" s="5">
        <v>454.68</v>
      </c>
    </row>
    <row r="4569" spans="1:26">
      <c r="A4569">
        <v>4568</v>
      </c>
      <c r="B4569">
        <v>1497</v>
      </c>
      <c r="C4569" s="2">
        <v>46317</v>
      </c>
      <c r="D4569" t="s">
        <v>55</v>
      </c>
      <c r="E4569">
        <v>10</v>
      </c>
      <c r="F4569" s="3">
        <v>10.58</v>
      </c>
      <c r="G4569" t="s">
        <v>27</v>
      </c>
      <c r="H4569">
        <v>19</v>
      </c>
      <c r="I4569" t="s">
        <v>34</v>
      </c>
      <c r="J4569" s="4">
        <v>64.599999999999994</v>
      </c>
      <c r="K4569" s="4">
        <v>122.3</v>
      </c>
      <c r="L4569" s="4">
        <v>20.6</v>
      </c>
      <c r="M4569">
        <v>19</v>
      </c>
      <c r="N4569" t="s">
        <v>50</v>
      </c>
      <c r="O4569">
        <v>4</v>
      </c>
      <c r="P4569" s="4">
        <v>599</v>
      </c>
      <c r="Q4569" t="s">
        <v>48</v>
      </c>
      <c r="R4569">
        <v>1</v>
      </c>
      <c r="S4569" t="s">
        <v>44</v>
      </c>
      <c r="T4569">
        <v>0</v>
      </c>
      <c r="U4569">
        <v>0</v>
      </c>
      <c r="V4569" t="s">
        <v>32</v>
      </c>
      <c r="W4569" t="s">
        <v>39</v>
      </c>
      <c r="X4569" s="4">
        <v>6.9</v>
      </c>
      <c r="Y4569">
        <v>11</v>
      </c>
      <c r="Z4569" s="5">
        <v>293.52</v>
      </c>
    </row>
    <row r="4570" spans="1:26">
      <c r="A4570">
        <v>4569</v>
      </c>
      <c r="B4570">
        <v>1497</v>
      </c>
      <c r="C4570" s="2">
        <v>46317</v>
      </c>
      <c r="D4570" t="s">
        <v>55</v>
      </c>
      <c r="E4570">
        <v>10</v>
      </c>
      <c r="F4570" s="3">
        <v>10.67</v>
      </c>
      <c r="G4570" t="s">
        <v>27</v>
      </c>
      <c r="H4570">
        <v>7</v>
      </c>
      <c r="I4570" t="s">
        <v>28</v>
      </c>
      <c r="J4570" s="4">
        <v>58</v>
      </c>
      <c r="K4570" s="4">
        <v>81.900000000000006</v>
      </c>
      <c r="L4570" s="4">
        <v>17.100000000000001</v>
      </c>
      <c r="M4570">
        <v>16</v>
      </c>
      <c r="N4570" t="s">
        <v>50</v>
      </c>
      <c r="O4570">
        <v>4</v>
      </c>
      <c r="P4570" s="4">
        <v>599</v>
      </c>
      <c r="Q4570" t="s">
        <v>48</v>
      </c>
      <c r="R4570">
        <v>1</v>
      </c>
      <c r="S4570" t="s">
        <v>44</v>
      </c>
      <c r="T4570">
        <v>0</v>
      </c>
      <c r="U4570">
        <v>0</v>
      </c>
      <c r="V4570" t="s">
        <v>32</v>
      </c>
      <c r="W4570" t="s">
        <v>39</v>
      </c>
      <c r="X4570" s="4">
        <v>8.5</v>
      </c>
      <c r="Y4570">
        <v>13</v>
      </c>
      <c r="Z4570" s="5">
        <v>413.64</v>
      </c>
    </row>
    <row r="4571" spans="1:26">
      <c r="A4571">
        <v>4570</v>
      </c>
      <c r="B4571">
        <v>1498</v>
      </c>
      <c r="C4571" s="2">
        <v>46237</v>
      </c>
      <c r="D4571" t="s">
        <v>46</v>
      </c>
      <c r="E4571">
        <v>8</v>
      </c>
      <c r="F4571" s="3">
        <v>8.6</v>
      </c>
      <c r="G4571" t="s">
        <v>27</v>
      </c>
      <c r="H4571">
        <v>25</v>
      </c>
      <c r="I4571" t="s">
        <v>34</v>
      </c>
      <c r="J4571" s="4">
        <v>64.8</v>
      </c>
      <c r="K4571" s="4">
        <v>191.3</v>
      </c>
      <c r="L4571" s="4">
        <v>32</v>
      </c>
      <c r="M4571">
        <v>16</v>
      </c>
      <c r="N4571" t="s">
        <v>47</v>
      </c>
      <c r="O4571">
        <v>2</v>
      </c>
      <c r="P4571" s="4">
        <v>135.9</v>
      </c>
      <c r="Q4571" t="s">
        <v>42</v>
      </c>
      <c r="R4571">
        <v>0</v>
      </c>
      <c r="S4571" t="s">
        <v>44</v>
      </c>
      <c r="T4571">
        <v>0</v>
      </c>
      <c r="U4571">
        <v>1</v>
      </c>
      <c r="V4571" t="s">
        <v>45</v>
      </c>
      <c r="W4571" t="s">
        <v>43</v>
      </c>
      <c r="X4571" s="4">
        <v>7.9</v>
      </c>
      <c r="Y4571">
        <v>10</v>
      </c>
      <c r="Z4571" s="5">
        <v>210.53</v>
      </c>
    </row>
    <row r="4572" spans="1:26">
      <c r="A4572">
        <v>4571</v>
      </c>
      <c r="B4572">
        <v>1498</v>
      </c>
      <c r="C4572" s="2">
        <v>46237</v>
      </c>
      <c r="D4572" t="s">
        <v>46</v>
      </c>
      <c r="E4572">
        <v>8</v>
      </c>
      <c r="F4572" s="3">
        <v>8.35</v>
      </c>
      <c r="G4572" t="s">
        <v>27</v>
      </c>
      <c r="H4572">
        <v>32</v>
      </c>
      <c r="I4572" t="s">
        <v>28</v>
      </c>
      <c r="J4572" s="4">
        <v>73.5</v>
      </c>
      <c r="K4572" s="4">
        <v>219.5</v>
      </c>
      <c r="L4572" s="4">
        <v>28.6</v>
      </c>
      <c r="M4572">
        <v>15</v>
      </c>
      <c r="N4572" t="s">
        <v>47</v>
      </c>
      <c r="O4572">
        <v>2</v>
      </c>
      <c r="P4572" s="4">
        <v>135.9</v>
      </c>
      <c r="Q4572" t="s">
        <v>42</v>
      </c>
      <c r="R4572">
        <v>0</v>
      </c>
      <c r="S4572" t="s">
        <v>44</v>
      </c>
      <c r="T4572">
        <v>0</v>
      </c>
      <c r="U4572">
        <v>1</v>
      </c>
      <c r="V4572" t="s">
        <v>45</v>
      </c>
      <c r="W4572" t="s">
        <v>43</v>
      </c>
      <c r="X4572" s="4">
        <v>10.1</v>
      </c>
      <c r="Y4572">
        <v>11</v>
      </c>
      <c r="Z4572" s="5">
        <v>288.52999999999997</v>
      </c>
    </row>
    <row r="4573" spans="1:26">
      <c r="A4573">
        <v>4572</v>
      </c>
      <c r="B4573">
        <v>1499</v>
      </c>
      <c r="C4573" s="2">
        <v>46264</v>
      </c>
      <c r="D4573" t="s">
        <v>58</v>
      </c>
      <c r="E4573">
        <v>8</v>
      </c>
      <c r="F4573" s="3">
        <v>8.35</v>
      </c>
      <c r="G4573" t="s">
        <v>27</v>
      </c>
      <c r="H4573">
        <v>6</v>
      </c>
      <c r="I4573" t="s">
        <v>28</v>
      </c>
      <c r="J4573" s="4">
        <v>59.7</v>
      </c>
      <c r="K4573" s="4">
        <v>78.3</v>
      </c>
      <c r="L4573" s="4">
        <v>15.6</v>
      </c>
      <c r="M4573">
        <v>10</v>
      </c>
      <c r="N4573" t="s">
        <v>47</v>
      </c>
      <c r="O4573">
        <v>2</v>
      </c>
      <c r="P4573" s="4">
        <v>92.8</v>
      </c>
      <c r="Q4573" t="s">
        <v>30</v>
      </c>
      <c r="R4573">
        <v>0</v>
      </c>
      <c r="S4573" t="s">
        <v>44</v>
      </c>
      <c r="T4573">
        <v>0</v>
      </c>
      <c r="U4573">
        <v>0</v>
      </c>
      <c r="V4573" t="s">
        <v>32</v>
      </c>
      <c r="W4573" t="s">
        <v>39</v>
      </c>
      <c r="X4573" s="4">
        <v>7.1</v>
      </c>
      <c r="Y4573">
        <v>8</v>
      </c>
      <c r="Z4573" s="5">
        <v>169.31</v>
      </c>
    </row>
    <row r="4574" spans="1:26">
      <c r="A4574">
        <v>4573</v>
      </c>
      <c r="B4574">
        <v>1499</v>
      </c>
      <c r="C4574" s="2">
        <v>46264</v>
      </c>
      <c r="D4574" t="s">
        <v>58</v>
      </c>
      <c r="E4574">
        <v>8</v>
      </c>
      <c r="F4574" s="3">
        <v>8.11</v>
      </c>
      <c r="G4574" t="s">
        <v>27</v>
      </c>
      <c r="H4574">
        <v>18</v>
      </c>
      <c r="I4574" t="s">
        <v>28</v>
      </c>
      <c r="J4574" s="4">
        <v>67.599999999999994</v>
      </c>
      <c r="K4574" s="4">
        <v>170.7</v>
      </c>
      <c r="L4574" s="4">
        <v>26.2</v>
      </c>
      <c r="M4574">
        <v>10</v>
      </c>
      <c r="N4574" t="s">
        <v>47</v>
      </c>
      <c r="O4574">
        <v>2</v>
      </c>
      <c r="P4574" s="4">
        <v>92.8</v>
      </c>
      <c r="Q4574" t="s">
        <v>30</v>
      </c>
      <c r="R4574">
        <v>0</v>
      </c>
      <c r="S4574" t="s">
        <v>44</v>
      </c>
      <c r="T4574">
        <v>0</v>
      </c>
      <c r="U4574">
        <v>0</v>
      </c>
      <c r="V4574" t="s">
        <v>32</v>
      </c>
      <c r="W4574" t="s">
        <v>39</v>
      </c>
      <c r="X4574" s="4">
        <v>10.8</v>
      </c>
      <c r="Y4574">
        <v>7</v>
      </c>
      <c r="Z4574" s="5">
        <v>170.62</v>
      </c>
    </row>
    <row r="4575" spans="1:26">
      <c r="A4575">
        <v>4574</v>
      </c>
      <c r="B4575">
        <v>1500</v>
      </c>
      <c r="C4575" s="2">
        <v>46098</v>
      </c>
      <c r="D4575" t="s">
        <v>35</v>
      </c>
      <c r="E4575">
        <v>3</v>
      </c>
      <c r="F4575" s="3">
        <v>10.35</v>
      </c>
      <c r="G4575" t="s">
        <v>27</v>
      </c>
      <c r="H4575">
        <v>32</v>
      </c>
      <c r="I4575" t="s">
        <v>28</v>
      </c>
      <c r="J4575" s="4">
        <v>66.400000000000006</v>
      </c>
      <c r="K4575" s="4">
        <v>172.6</v>
      </c>
      <c r="L4575" s="4">
        <v>27.4</v>
      </c>
      <c r="M4575">
        <v>17</v>
      </c>
      <c r="N4575" t="s">
        <v>47</v>
      </c>
      <c r="O4575">
        <v>2</v>
      </c>
      <c r="P4575" s="4">
        <v>88.2</v>
      </c>
      <c r="Q4575" t="s">
        <v>48</v>
      </c>
      <c r="R4575">
        <v>1</v>
      </c>
      <c r="S4575" t="s">
        <v>38</v>
      </c>
      <c r="T4575">
        <v>1</v>
      </c>
      <c r="U4575">
        <v>1</v>
      </c>
      <c r="V4575" t="s">
        <v>32</v>
      </c>
      <c r="W4575" t="s">
        <v>39</v>
      </c>
      <c r="X4575" s="4">
        <v>8</v>
      </c>
      <c r="Y4575">
        <v>12</v>
      </c>
      <c r="Z4575" s="5">
        <v>302.42</v>
      </c>
    </row>
    <row r="4576" spans="1:26">
      <c r="A4576">
        <v>4575</v>
      </c>
      <c r="B4576">
        <v>1500</v>
      </c>
      <c r="C4576" s="2">
        <v>46098</v>
      </c>
      <c r="D4576" t="s">
        <v>35</v>
      </c>
      <c r="E4576">
        <v>3</v>
      </c>
      <c r="F4576" s="3">
        <v>10.26</v>
      </c>
      <c r="G4576" t="s">
        <v>27</v>
      </c>
      <c r="H4576">
        <v>63</v>
      </c>
      <c r="I4576" t="s">
        <v>34</v>
      </c>
      <c r="J4576" s="4">
        <v>61.8</v>
      </c>
      <c r="K4576" s="4">
        <v>160.80000000000001</v>
      </c>
      <c r="L4576" s="4">
        <v>29.7</v>
      </c>
      <c r="M4576">
        <v>15</v>
      </c>
      <c r="N4576" t="s">
        <v>47</v>
      </c>
      <c r="O4576">
        <v>2</v>
      </c>
      <c r="P4576" s="4">
        <v>88.2</v>
      </c>
      <c r="Q4576" t="s">
        <v>48</v>
      </c>
      <c r="R4576">
        <v>1</v>
      </c>
      <c r="S4576" t="s">
        <v>38</v>
      </c>
      <c r="T4576">
        <v>1</v>
      </c>
      <c r="U4576">
        <v>1</v>
      </c>
      <c r="V4576" t="s">
        <v>32</v>
      </c>
      <c r="W4576" t="s">
        <v>39</v>
      </c>
      <c r="X4576" s="4">
        <v>10.3</v>
      </c>
      <c r="Y4576">
        <v>1</v>
      </c>
      <c r="Z4576" s="5">
        <v>294.62</v>
      </c>
    </row>
    <row r="4577" spans="1:26">
      <c r="A4577">
        <v>4576</v>
      </c>
      <c r="B4577">
        <v>1501</v>
      </c>
      <c r="C4577" s="2">
        <v>46114</v>
      </c>
      <c r="D4577" t="s">
        <v>55</v>
      </c>
      <c r="E4577">
        <v>4</v>
      </c>
      <c r="F4577" s="3">
        <v>12.02</v>
      </c>
      <c r="G4577" t="s">
        <v>36</v>
      </c>
      <c r="H4577">
        <v>49</v>
      </c>
      <c r="I4577" t="s">
        <v>34</v>
      </c>
      <c r="J4577" s="4">
        <v>72.3</v>
      </c>
      <c r="K4577" s="4">
        <v>177.7</v>
      </c>
      <c r="L4577" s="4">
        <v>23.9</v>
      </c>
      <c r="M4577">
        <v>14</v>
      </c>
      <c r="N4577" t="s">
        <v>59</v>
      </c>
      <c r="O4577">
        <v>3</v>
      </c>
      <c r="P4577" s="4">
        <v>701.2</v>
      </c>
      <c r="Q4577" t="s">
        <v>42</v>
      </c>
      <c r="R4577">
        <v>1</v>
      </c>
      <c r="S4577" t="s">
        <v>44</v>
      </c>
      <c r="T4577">
        <v>1</v>
      </c>
      <c r="U4577">
        <v>1</v>
      </c>
      <c r="V4577" t="s">
        <v>32</v>
      </c>
      <c r="W4577" t="s">
        <v>33</v>
      </c>
      <c r="X4577" s="4">
        <v>7.8</v>
      </c>
      <c r="Y4577">
        <v>12</v>
      </c>
      <c r="Z4577" s="5">
        <v>251.57</v>
      </c>
    </row>
    <row r="4578" spans="1:26">
      <c r="A4578">
        <v>4577</v>
      </c>
      <c r="B4578">
        <v>1501</v>
      </c>
      <c r="C4578" s="2">
        <v>46114</v>
      </c>
      <c r="D4578" t="s">
        <v>55</v>
      </c>
      <c r="E4578">
        <v>4</v>
      </c>
      <c r="F4578" s="3">
        <v>12.13</v>
      </c>
      <c r="G4578" t="s">
        <v>36</v>
      </c>
      <c r="H4578">
        <v>77</v>
      </c>
      <c r="I4578" t="s">
        <v>34</v>
      </c>
      <c r="J4578" s="4">
        <v>66.400000000000006</v>
      </c>
      <c r="K4578" s="4">
        <v>190.1</v>
      </c>
      <c r="L4578" s="4">
        <v>30.3</v>
      </c>
      <c r="M4578">
        <v>18</v>
      </c>
      <c r="N4578" t="s">
        <v>59</v>
      </c>
      <c r="O4578">
        <v>3</v>
      </c>
      <c r="P4578" s="4">
        <v>701.2</v>
      </c>
      <c r="Q4578" t="s">
        <v>42</v>
      </c>
      <c r="R4578">
        <v>1</v>
      </c>
      <c r="S4578" t="s">
        <v>44</v>
      </c>
      <c r="T4578">
        <v>1</v>
      </c>
      <c r="U4578">
        <v>1</v>
      </c>
      <c r="V4578" t="s">
        <v>32</v>
      </c>
      <c r="W4578" t="s">
        <v>33</v>
      </c>
      <c r="X4578" s="4">
        <v>9.8000000000000007</v>
      </c>
      <c r="Y4578">
        <v>9</v>
      </c>
      <c r="Z4578" s="5">
        <v>287.54000000000002</v>
      </c>
    </row>
    <row r="4579" spans="1:26">
      <c r="A4579">
        <v>4578</v>
      </c>
      <c r="B4579">
        <v>1501</v>
      </c>
      <c r="C4579" s="2">
        <v>46114</v>
      </c>
      <c r="D4579" t="s">
        <v>55</v>
      </c>
      <c r="E4579">
        <v>4</v>
      </c>
      <c r="F4579" s="3">
        <v>11.99</v>
      </c>
      <c r="G4579" t="s">
        <v>36</v>
      </c>
      <c r="H4579">
        <v>7</v>
      </c>
      <c r="I4579" t="s">
        <v>28</v>
      </c>
      <c r="J4579" s="4">
        <v>63.6</v>
      </c>
      <c r="K4579" s="4">
        <v>131.9</v>
      </c>
      <c r="L4579" s="4">
        <v>22.8</v>
      </c>
      <c r="M4579">
        <v>13</v>
      </c>
      <c r="N4579" t="s">
        <v>59</v>
      </c>
      <c r="O4579">
        <v>3</v>
      </c>
      <c r="P4579" s="4">
        <v>701.2</v>
      </c>
      <c r="Q4579" t="s">
        <v>42</v>
      </c>
      <c r="R4579">
        <v>1</v>
      </c>
      <c r="S4579" t="s">
        <v>44</v>
      </c>
      <c r="T4579">
        <v>1</v>
      </c>
      <c r="U4579">
        <v>1</v>
      </c>
      <c r="V4579" t="s">
        <v>32</v>
      </c>
      <c r="W4579" t="s">
        <v>33</v>
      </c>
      <c r="X4579" s="4">
        <v>11.2</v>
      </c>
      <c r="Y4579">
        <v>10</v>
      </c>
      <c r="Z4579" s="5">
        <v>346.88</v>
      </c>
    </row>
    <row r="4580" spans="1:26">
      <c r="A4580">
        <v>4579</v>
      </c>
      <c r="B4580">
        <v>1502</v>
      </c>
      <c r="C4580" s="2">
        <v>46387</v>
      </c>
      <c r="D4580" t="s">
        <v>55</v>
      </c>
      <c r="E4580">
        <v>12</v>
      </c>
      <c r="F4580" s="3">
        <v>10.24</v>
      </c>
      <c r="G4580" t="s">
        <v>27</v>
      </c>
      <c r="H4580">
        <v>41</v>
      </c>
      <c r="I4580" t="s">
        <v>34</v>
      </c>
      <c r="J4580" s="4">
        <v>65.599999999999994</v>
      </c>
      <c r="K4580" s="4">
        <v>100.8</v>
      </c>
      <c r="L4580" s="4">
        <v>16.399999999999999</v>
      </c>
      <c r="M4580">
        <v>14</v>
      </c>
      <c r="N4580" t="s">
        <v>61</v>
      </c>
      <c r="O4580">
        <v>5</v>
      </c>
      <c r="P4580" s="4">
        <v>1960.1</v>
      </c>
      <c r="Q4580" t="s">
        <v>48</v>
      </c>
      <c r="R4580">
        <v>0</v>
      </c>
      <c r="S4580" t="s">
        <v>44</v>
      </c>
      <c r="T4580">
        <v>0</v>
      </c>
      <c r="U4580">
        <v>0</v>
      </c>
      <c r="V4580" t="s">
        <v>32</v>
      </c>
      <c r="W4580" t="s">
        <v>57</v>
      </c>
      <c r="X4580" s="4">
        <v>8.3000000000000007</v>
      </c>
      <c r="Y4580">
        <v>7</v>
      </c>
      <c r="Z4580" s="5">
        <v>250.07</v>
      </c>
    </row>
    <row r="4581" spans="1:26">
      <c r="A4581">
        <v>4580</v>
      </c>
      <c r="B4581">
        <v>1502</v>
      </c>
      <c r="C4581" s="2">
        <v>46387</v>
      </c>
      <c r="D4581" t="s">
        <v>55</v>
      </c>
      <c r="E4581">
        <v>12</v>
      </c>
      <c r="F4581" s="3">
        <v>10.3</v>
      </c>
      <c r="G4581" t="s">
        <v>27</v>
      </c>
      <c r="H4581">
        <v>38</v>
      </c>
      <c r="I4581" t="s">
        <v>28</v>
      </c>
      <c r="J4581" s="4">
        <v>69.599999999999994</v>
      </c>
      <c r="K4581" s="4">
        <v>147.69999999999999</v>
      </c>
      <c r="L4581" s="4">
        <v>21.5</v>
      </c>
      <c r="M4581">
        <v>19</v>
      </c>
      <c r="N4581" t="s">
        <v>61</v>
      </c>
      <c r="O4581">
        <v>5</v>
      </c>
      <c r="P4581" s="4">
        <v>1960.1</v>
      </c>
      <c r="Q4581" t="s">
        <v>48</v>
      </c>
      <c r="R4581">
        <v>0</v>
      </c>
      <c r="S4581" t="s">
        <v>44</v>
      </c>
      <c r="T4581">
        <v>0</v>
      </c>
      <c r="U4581">
        <v>0</v>
      </c>
      <c r="V4581" t="s">
        <v>32</v>
      </c>
      <c r="W4581" t="s">
        <v>57</v>
      </c>
      <c r="X4581" s="4">
        <v>8.6</v>
      </c>
      <c r="Y4581">
        <v>9</v>
      </c>
      <c r="Z4581" s="5">
        <v>256.58999999999997</v>
      </c>
    </row>
    <row r="4582" spans="1:26">
      <c r="A4582">
        <v>4581</v>
      </c>
      <c r="B4582">
        <v>1502</v>
      </c>
      <c r="C4582" s="2">
        <v>46387</v>
      </c>
      <c r="D4582" t="s">
        <v>55</v>
      </c>
      <c r="E4582">
        <v>12</v>
      </c>
      <c r="F4582" s="3">
        <v>10.26</v>
      </c>
      <c r="G4582" t="s">
        <v>27</v>
      </c>
      <c r="H4582">
        <v>29</v>
      </c>
      <c r="I4582" t="s">
        <v>28</v>
      </c>
      <c r="J4582" s="4">
        <v>65.7</v>
      </c>
      <c r="K4582" s="4">
        <v>166.6</v>
      </c>
      <c r="L4582" s="4">
        <v>27.1</v>
      </c>
      <c r="M4582">
        <v>17</v>
      </c>
      <c r="N4582" t="s">
        <v>61</v>
      </c>
      <c r="O4582">
        <v>5</v>
      </c>
      <c r="P4582" s="4">
        <v>1960.1</v>
      </c>
      <c r="Q4582" t="s">
        <v>48</v>
      </c>
      <c r="R4582">
        <v>0</v>
      </c>
      <c r="S4582" t="s">
        <v>44</v>
      </c>
      <c r="T4582">
        <v>0</v>
      </c>
      <c r="U4582">
        <v>0</v>
      </c>
      <c r="V4582" t="s">
        <v>32</v>
      </c>
      <c r="W4582" t="s">
        <v>57</v>
      </c>
      <c r="X4582" s="4">
        <v>4.8</v>
      </c>
      <c r="Y4582">
        <v>5</v>
      </c>
      <c r="Z4582" s="5">
        <v>116.56</v>
      </c>
    </row>
    <row r="4583" spans="1:26">
      <c r="A4583">
        <v>4582</v>
      </c>
      <c r="B4583">
        <v>1502</v>
      </c>
      <c r="C4583" s="2">
        <v>46387</v>
      </c>
      <c r="D4583" t="s">
        <v>55</v>
      </c>
      <c r="E4583">
        <v>12</v>
      </c>
      <c r="F4583" s="3">
        <v>10.11</v>
      </c>
      <c r="G4583" t="s">
        <v>27</v>
      </c>
      <c r="H4583">
        <v>63</v>
      </c>
      <c r="I4583" t="s">
        <v>34</v>
      </c>
      <c r="J4583" s="4">
        <v>66.400000000000006</v>
      </c>
      <c r="K4583" s="4">
        <v>172.2</v>
      </c>
      <c r="L4583" s="4">
        <v>27.2</v>
      </c>
      <c r="M4583">
        <v>19</v>
      </c>
      <c r="N4583" t="s">
        <v>61</v>
      </c>
      <c r="O4583">
        <v>5</v>
      </c>
      <c r="P4583" s="4">
        <v>1960.1</v>
      </c>
      <c r="Q4583" t="s">
        <v>48</v>
      </c>
      <c r="R4583">
        <v>0</v>
      </c>
      <c r="S4583" t="s">
        <v>44</v>
      </c>
      <c r="T4583">
        <v>0</v>
      </c>
      <c r="U4583">
        <v>0</v>
      </c>
      <c r="V4583" t="s">
        <v>32</v>
      </c>
      <c r="W4583" t="s">
        <v>57</v>
      </c>
      <c r="X4583" s="4">
        <v>7</v>
      </c>
      <c r="Y4583">
        <v>10</v>
      </c>
      <c r="Z4583" s="5">
        <v>313.35000000000002</v>
      </c>
    </row>
    <row r="4584" spans="1:26">
      <c r="A4584">
        <v>4583</v>
      </c>
      <c r="B4584">
        <v>1502</v>
      </c>
      <c r="C4584" s="2">
        <v>46387</v>
      </c>
      <c r="D4584" t="s">
        <v>55</v>
      </c>
      <c r="E4584">
        <v>12</v>
      </c>
      <c r="F4584" s="3">
        <v>10.23</v>
      </c>
      <c r="G4584" t="s">
        <v>27</v>
      </c>
      <c r="H4584">
        <v>51</v>
      </c>
      <c r="I4584" t="s">
        <v>34</v>
      </c>
      <c r="J4584" s="4">
        <v>64.099999999999994</v>
      </c>
      <c r="K4584" s="4">
        <v>141.6</v>
      </c>
      <c r="L4584" s="4">
        <v>24.3</v>
      </c>
      <c r="M4584">
        <v>15</v>
      </c>
      <c r="N4584" t="s">
        <v>61</v>
      </c>
      <c r="O4584">
        <v>5</v>
      </c>
      <c r="P4584" s="4">
        <v>1960.1</v>
      </c>
      <c r="Q4584" t="s">
        <v>48</v>
      </c>
      <c r="R4584">
        <v>0</v>
      </c>
      <c r="S4584" t="s">
        <v>44</v>
      </c>
      <c r="T4584">
        <v>0</v>
      </c>
      <c r="U4584">
        <v>0</v>
      </c>
      <c r="V4584" t="s">
        <v>32</v>
      </c>
      <c r="W4584" t="s">
        <v>57</v>
      </c>
      <c r="X4584" s="4">
        <v>10.9</v>
      </c>
      <c r="Y4584">
        <v>10</v>
      </c>
      <c r="Z4584" s="5">
        <v>265.29000000000002</v>
      </c>
    </row>
    <row r="4585" spans="1:26">
      <c r="A4585">
        <v>4584</v>
      </c>
      <c r="B4585">
        <v>1503</v>
      </c>
      <c r="C4585" s="2">
        <v>46355</v>
      </c>
      <c r="D4585" t="s">
        <v>58</v>
      </c>
      <c r="E4585">
        <v>11</v>
      </c>
      <c r="F4585" s="3">
        <v>9.57</v>
      </c>
      <c r="G4585" t="s">
        <v>27</v>
      </c>
      <c r="H4585">
        <v>6</v>
      </c>
      <c r="I4585" t="s">
        <v>28</v>
      </c>
      <c r="J4585" s="4">
        <v>51.9</v>
      </c>
      <c r="K4585" s="4">
        <v>91.1</v>
      </c>
      <c r="L4585" s="4">
        <v>23.7</v>
      </c>
      <c r="M4585">
        <v>11</v>
      </c>
      <c r="N4585" t="s">
        <v>50</v>
      </c>
      <c r="O4585">
        <v>3</v>
      </c>
      <c r="P4585" s="4">
        <v>499</v>
      </c>
      <c r="Q4585" t="s">
        <v>30</v>
      </c>
      <c r="R4585">
        <v>1</v>
      </c>
      <c r="S4585" t="s">
        <v>38</v>
      </c>
      <c r="T4585">
        <v>0</v>
      </c>
      <c r="U4585">
        <v>0</v>
      </c>
      <c r="V4585" t="s">
        <v>45</v>
      </c>
      <c r="W4585" t="s">
        <v>49</v>
      </c>
      <c r="X4585" s="4">
        <v>12</v>
      </c>
      <c r="Y4585">
        <v>9</v>
      </c>
      <c r="Z4585" s="5">
        <v>248.6</v>
      </c>
    </row>
    <row r="4586" spans="1:26">
      <c r="A4586">
        <v>4585</v>
      </c>
      <c r="B4586">
        <v>1503</v>
      </c>
      <c r="C4586" s="2">
        <v>46355</v>
      </c>
      <c r="D4586" t="s">
        <v>58</v>
      </c>
      <c r="E4586">
        <v>11</v>
      </c>
      <c r="F4586" s="3">
        <v>9.77</v>
      </c>
      <c r="G4586" t="s">
        <v>27</v>
      </c>
      <c r="H4586">
        <v>7</v>
      </c>
      <c r="I4586" t="s">
        <v>34</v>
      </c>
      <c r="J4586" s="4">
        <v>48.4</v>
      </c>
      <c r="K4586" s="4">
        <v>60.4</v>
      </c>
      <c r="L4586" s="4">
        <v>17.899999999999999</v>
      </c>
      <c r="M4586">
        <v>12</v>
      </c>
      <c r="N4586" t="s">
        <v>50</v>
      </c>
      <c r="O4586">
        <v>3</v>
      </c>
      <c r="P4586" s="4">
        <v>499</v>
      </c>
      <c r="Q4586" t="s">
        <v>30</v>
      </c>
      <c r="R4586">
        <v>1</v>
      </c>
      <c r="S4586" t="s">
        <v>38</v>
      </c>
      <c r="T4586">
        <v>0</v>
      </c>
      <c r="U4586">
        <v>0</v>
      </c>
      <c r="V4586" t="s">
        <v>45</v>
      </c>
      <c r="W4586" t="s">
        <v>49</v>
      </c>
      <c r="X4586" s="4">
        <v>7.6</v>
      </c>
      <c r="Y4586">
        <v>8</v>
      </c>
      <c r="Z4586" s="5">
        <v>174.62</v>
      </c>
    </row>
    <row r="4587" spans="1:26">
      <c r="A4587">
        <v>4586</v>
      </c>
      <c r="B4587">
        <v>1503</v>
      </c>
      <c r="C4587" s="2">
        <v>46355</v>
      </c>
      <c r="D4587" t="s">
        <v>58</v>
      </c>
      <c r="E4587">
        <v>11</v>
      </c>
      <c r="F4587" s="3">
        <v>9.64</v>
      </c>
      <c r="G4587" t="s">
        <v>27</v>
      </c>
      <c r="H4587">
        <v>18</v>
      </c>
      <c r="I4587" t="s">
        <v>34</v>
      </c>
      <c r="J4587" s="4">
        <v>66.8</v>
      </c>
      <c r="K4587" s="4">
        <v>160.69999999999999</v>
      </c>
      <c r="L4587" s="4">
        <v>25.3</v>
      </c>
      <c r="M4587">
        <v>9</v>
      </c>
      <c r="N4587" t="s">
        <v>50</v>
      </c>
      <c r="O4587">
        <v>3</v>
      </c>
      <c r="P4587" s="4">
        <v>499</v>
      </c>
      <c r="Q4587" t="s">
        <v>30</v>
      </c>
      <c r="R4587">
        <v>1</v>
      </c>
      <c r="S4587" t="s">
        <v>38</v>
      </c>
      <c r="T4587">
        <v>0</v>
      </c>
      <c r="U4587">
        <v>0</v>
      </c>
      <c r="V4587" t="s">
        <v>45</v>
      </c>
      <c r="W4587" t="s">
        <v>49</v>
      </c>
      <c r="X4587" s="4">
        <v>9.6999999999999993</v>
      </c>
      <c r="Y4587">
        <v>7</v>
      </c>
      <c r="Z4587" s="5">
        <v>157.44</v>
      </c>
    </row>
    <row r="4588" spans="1:26">
      <c r="A4588">
        <v>4587</v>
      </c>
      <c r="B4588">
        <v>1504</v>
      </c>
      <c r="C4588" s="2">
        <v>46209</v>
      </c>
      <c r="D4588" t="s">
        <v>46</v>
      </c>
      <c r="E4588">
        <v>7</v>
      </c>
      <c r="F4588" s="3">
        <v>7.17</v>
      </c>
      <c r="G4588" t="s">
        <v>27</v>
      </c>
      <c r="H4588">
        <v>42</v>
      </c>
      <c r="I4588" t="s">
        <v>34</v>
      </c>
      <c r="J4588" s="4">
        <v>63</v>
      </c>
      <c r="K4588" s="4">
        <v>156.6</v>
      </c>
      <c r="L4588" s="4">
        <v>27.5</v>
      </c>
      <c r="M4588">
        <v>13</v>
      </c>
      <c r="N4588" t="s">
        <v>59</v>
      </c>
      <c r="O4588">
        <v>3</v>
      </c>
      <c r="P4588" s="4">
        <v>1072.7</v>
      </c>
      <c r="Q4588" t="s">
        <v>30</v>
      </c>
      <c r="R4588">
        <v>0</v>
      </c>
      <c r="S4588" t="s">
        <v>44</v>
      </c>
      <c r="T4588">
        <v>0</v>
      </c>
      <c r="U4588">
        <v>0</v>
      </c>
      <c r="V4588" t="s">
        <v>32</v>
      </c>
      <c r="W4588" t="s">
        <v>43</v>
      </c>
      <c r="X4588" s="4">
        <v>6.6</v>
      </c>
      <c r="Y4588">
        <v>5</v>
      </c>
      <c r="Z4588" s="5">
        <v>141.02000000000001</v>
      </c>
    </row>
    <row r="4589" spans="1:26">
      <c r="A4589">
        <v>4588</v>
      </c>
      <c r="B4589">
        <v>1504</v>
      </c>
      <c r="C4589" s="2">
        <v>46209</v>
      </c>
      <c r="D4589" t="s">
        <v>46</v>
      </c>
      <c r="E4589">
        <v>7</v>
      </c>
      <c r="F4589" s="3">
        <v>7.04</v>
      </c>
      <c r="G4589" t="s">
        <v>27</v>
      </c>
      <c r="H4589">
        <v>19</v>
      </c>
      <c r="I4589" t="s">
        <v>28</v>
      </c>
      <c r="J4589" s="4">
        <v>66.400000000000006</v>
      </c>
      <c r="K4589" s="4">
        <v>141.5</v>
      </c>
      <c r="L4589" s="4">
        <v>22.2</v>
      </c>
      <c r="M4589">
        <v>10</v>
      </c>
      <c r="N4589" t="s">
        <v>59</v>
      </c>
      <c r="O4589">
        <v>3</v>
      </c>
      <c r="P4589" s="4">
        <v>1072.7</v>
      </c>
      <c r="Q4589" t="s">
        <v>30</v>
      </c>
      <c r="R4589">
        <v>0</v>
      </c>
      <c r="S4589" t="s">
        <v>44</v>
      </c>
      <c r="T4589">
        <v>0</v>
      </c>
      <c r="U4589">
        <v>0</v>
      </c>
      <c r="V4589" t="s">
        <v>32</v>
      </c>
      <c r="W4589" t="s">
        <v>43</v>
      </c>
      <c r="X4589" s="4">
        <v>9.5</v>
      </c>
      <c r="Y4589">
        <v>10</v>
      </c>
      <c r="Z4589" s="5">
        <v>246.79</v>
      </c>
    </row>
    <row r="4590" spans="1:26">
      <c r="A4590">
        <v>4589</v>
      </c>
      <c r="B4590">
        <v>1504</v>
      </c>
      <c r="C4590" s="2">
        <v>46209</v>
      </c>
      <c r="D4590" t="s">
        <v>46</v>
      </c>
      <c r="E4590">
        <v>7</v>
      </c>
      <c r="F4590" s="3">
        <v>7</v>
      </c>
      <c r="G4590" t="s">
        <v>27</v>
      </c>
      <c r="H4590">
        <v>36</v>
      </c>
      <c r="I4590" t="s">
        <v>28</v>
      </c>
      <c r="J4590" s="4">
        <v>74.599999999999994</v>
      </c>
      <c r="K4590" s="4">
        <v>131.1</v>
      </c>
      <c r="L4590" s="4">
        <v>16.7</v>
      </c>
      <c r="M4590">
        <v>15</v>
      </c>
      <c r="N4590" t="s">
        <v>59</v>
      </c>
      <c r="O4590">
        <v>3</v>
      </c>
      <c r="P4590" s="4">
        <v>1072.7</v>
      </c>
      <c r="Q4590" t="s">
        <v>30</v>
      </c>
      <c r="R4590">
        <v>0</v>
      </c>
      <c r="S4590" t="s">
        <v>44</v>
      </c>
      <c r="T4590">
        <v>0</v>
      </c>
      <c r="U4590">
        <v>0</v>
      </c>
      <c r="V4590" t="s">
        <v>32</v>
      </c>
      <c r="W4590" t="s">
        <v>43</v>
      </c>
      <c r="X4590" s="4">
        <v>11.6</v>
      </c>
      <c r="Y4590">
        <v>3</v>
      </c>
      <c r="Z4590" s="5">
        <v>185.88</v>
      </c>
    </row>
    <row r="4591" spans="1:26">
      <c r="A4591">
        <v>4590</v>
      </c>
      <c r="B4591">
        <v>1505</v>
      </c>
      <c r="C4591" s="2">
        <v>46227</v>
      </c>
      <c r="D4591" t="s">
        <v>26</v>
      </c>
      <c r="E4591">
        <v>7</v>
      </c>
      <c r="F4591" s="3">
        <v>12.7</v>
      </c>
      <c r="G4591" t="s">
        <v>36</v>
      </c>
      <c r="H4591">
        <v>33</v>
      </c>
      <c r="I4591" t="s">
        <v>28</v>
      </c>
      <c r="J4591" s="4">
        <v>67</v>
      </c>
      <c r="K4591" s="4">
        <v>178.1</v>
      </c>
      <c r="L4591" s="4">
        <v>28</v>
      </c>
      <c r="M4591">
        <v>15</v>
      </c>
      <c r="N4591" t="s">
        <v>47</v>
      </c>
      <c r="O4591">
        <v>6</v>
      </c>
      <c r="P4591" s="4">
        <v>79.5</v>
      </c>
      <c r="Q4591" t="s">
        <v>42</v>
      </c>
      <c r="R4591">
        <v>0</v>
      </c>
      <c r="S4591" t="s">
        <v>44</v>
      </c>
      <c r="T4591">
        <v>0</v>
      </c>
      <c r="U4591">
        <v>0</v>
      </c>
      <c r="V4591" t="s">
        <v>32</v>
      </c>
      <c r="W4591" t="s">
        <v>39</v>
      </c>
      <c r="X4591" s="4">
        <v>6.4</v>
      </c>
      <c r="Y4591">
        <v>5</v>
      </c>
      <c r="Z4591" s="5">
        <v>130.55000000000001</v>
      </c>
    </row>
    <row r="4592" spans="1:26">
      <c r="A4592">
        <v>4591</v>
      </c>
      <c r="B4592">
        <v>1505</v>
      </c>
      <c r="C4592" s="2">
        <v>46227</v>
      </c>
      <c r="D4592" t="s">
        <v>26</v>
      </c>
      <c r="E4592">
        <v>7</v>
      </c>
      <c r="F4592" s="3">
        <v>12.75</v>
      </c>
      <c r="G4592" t="s">
        <v>36</v>
      </c>
      <c r="H4592">
        <v>47</v>
      </c>
      <c r="I4592" t="s">
        <v>28</v>
      </c>
      <c r="J4592" s="4">
        <v>67.3</v>
      </c>
      <c r="K4592" s="4">
        <v>188.9</v>
      </c>
      <c r="L4592" s="4">
        <v>28.9</v>
      </c>
      <c r="M4592">
        <v>15</v>
      </c>
      <c r="N4592" t="s">
        <v>47</v>
      </c>
      <c r="O4592">
        <v>6</v>
      </c>
      <c r="P4592" s="4">
        <v>79.5</v>
      </c>
      <c r="Q4592" t="s">
        <v>42</v>
      </c>
      <c r="R4592">
        <v>0</v>
      </c>
      <c r="S4592" t="s">
        <v>44</v>
      </c>
      <c r="T4592">
        <v>0</v>
      </c>
      <c r="U4592">
        <v>0</v>
      </c>
      <c r="V4592" t="s">
        <v>32</v>
      </c>
      <c r="W4592" t="s">
        <v>39</v>
      </c>
      <c r="X4592" s="4">
        <v>8.1999999999999993</v>
      </c>
      <c r="Y4592">
        <v>9</v>
      </c>
      <c r="Z4592" s="5">
        <v>174.87</v>
      </c>
    </row>
    <row r="4593" spans="1:26">
      <c r="A4593">
        <v>4592</v>
      </c>
      <c r="B4593">
        <v>1505</v>
      </c>
      <c r="C4593" s="2">
        <v>46227</v>
      </c>
      <c r="D4593" t="s">
        <v>26</v>
      </c>
      <c r="E4593">
        <v>7</v>
      </c>
      <c r="F4593" s="3">
        <v>12.76</v>
      </c>
      <c r="G4593" t="s">
        <v>36</v>
      </c>
      <c r="H4593">
        <v>52</v>
      </c>
      <c r="I4593" t="s">
        <v>34</v>
      </c>
      <c r="J4593" s="4">
        <v>70.5</v>
      </c>
      <c r="K4593" s="4">
        <v>244</v>
      </c>
      <c r="L4593" s="4">
        <v>34.5</v>
      </c>
      <c r="M4593">
        <v>12</v>
      </c>
      <c r="N4593" t="s">
        <v>47</v>
      </c>
      <c r="O4593">
        <v>6</v>
      </c>
      <c r="P4593" s="4">
        <v>79.5</v>
      </c>
      <c r="Q4593" t="s">
        <v>42</v>
      </c>
      <c r="R4593">
        <v>0</v>
      </c>
      <c r="S4593" t="s">
        <v>44</v>
      </c>
      <c r="T4593">
        <v>0</v>
      </c>
      <c r="U4593">
        <v>0</v>
      </c>
      <c r="V4593" t="s">
        <v>32</v>
      </c>
      <c r="W4593" t="s">
        <v>39</v>
      </c>
      <c r="X4593" s="4">
        <v>8</v>
      </c>
      <c r="Y4593">
        <v>7</v>
      </c>
      <c r="Z4593" s="5">
        <v>155.22</v>
      </c>
    </row>
    <row r="4594" spans="1:26">
      <c r="A4594">
        <v>4593</v>
      </c>
      <c r="B4594">
        <v>1505</v>
      </c>
      <c r="C4594" s="2">
        <v>46227</v>
      </c>
      <c r="D4594" t="s">
        <v>26</v>
      </c>
      <c r="E4594">
        <v>7</v>
      </c>
      <c r="F4594" s="3">
        <v>12.66</v>
      </c>
      <c r="G4594" t="s">
        <v>36</v>
      </c>
      <c r="H4594">
        <v>22</v>
      </c>
      <c r="I4594" t="s">
        <v>34</v>
      </c>
      <c r="J4594" s="4">
        <v>64.3</v>
      </c>
      <c r="K4594" s="4">
        <v>160.30000000000001</v>
      </c>
      <c r="L4594" s="4">
        <v>27.2</v>
      </c>
      <c r="M4594">
        <v>13</v>
      </c>
      <c r="N4594" t="s">
        <v>47</v>
      </c>
      <c r="O4594">
        <v>6</v>
      </c>
      <c r="P4594" s="4">
        <v>79.5</v>
      </c>
      <c r="Q4594" t="s">
        <v>42</v>
      </c>
      <c r="R4594">
        <v>0</v>
      </c>
      <c r="S4594" t="s">
        <v>44</v>
      </c>
      <c r="T4594">
        <v>0</v>
      </c>
      <c r="U4594">
        <v>0</v>
      </c>
      <c r="V4594" t="s">
        <v>32</v>
      </c>
      <c r="W4594" t="s">
        <v>39</v>
      </c>
      <c r="X4594" s="4">
        <v>8.1999999999999993</v>
      </c>
      <c r="Y4594">
        <v>9</v>
      </c>
      <c r="Z4594" s="5">
        <v>118.4</v>
      </c>
    </row>
    <row r="4595" spans="1:26">
      <c r="A4595">
        <v>4594</v>
      </c>
      <c r="B4595">
        <v>1505</v>
      </c>
      <c r="C4595" s="2">
        <v>46227</v>
      </c>
      <c r="D4595" t="s">
        <v>26</v>
      </c>
      <c r="E4595">
        <v>7</v>
      </c>
      <c r="F4595" s="3">
        <v>12.75</v>
      </c>
      <c r="G4595" t="s">
        <v>36</v>
      </c>
      <c r="H4595">
        <v>9</v>
      </c>
      <c r="I4595" t="s">
        <v>28</v>
      </c>
      <c r="J4595" s="4">
        <v>60.1</v>
      </c>
      <c r="K4595" s="4">
        <v>105.6</v>
      </c>
      <c r="L4595" s="4">
        <v>20.5</v>
      </c>
      <c r="M4595">
        <v>13</v>
      </c>
      <c r="N4595" t="s">
        <v>47</v>
      </c>
      <c r="O4595">
        <v>6</v>
      </c>
      <c r="P4595" s="4">
        <v>79.5</v>
      </c>
      <c r="Q4595" t="s">
        <v>42</v>
      </c>
      <c r="R4595">
        <v>0</v>
      </c>
      <c r="S4595" t="s">
        <v>44</v>
      </c>
      <c r="T4595">
        <v>0</v>
      </c>
      <c r="U4595">
        <v>0</v>
      </c>
      <c r="V4595" t="s">
        <v>32</v>
      </c>
      <c r="W4595" t="s">
        <v>39</v>
      </c>
      <c r="X4595" s="4">
        <v>8.6</v>
      </c>
      <c r="Y4595">
        <v>4</v>
      </c>
      <c r="Z4595" s="5">
        <v>259.93</v>
      </c>
    </row>
    <row r="4596" spans="1:26">
      <c r="A4596">
        <v>4595</v>
      </c>
      <c r="B4596">
        <v>1505</v>
      </c>
      <c r="C4596" s="2">
        <v>46227</v>
      </c>
      <c r="D4596" t="s">
        <v>26</v>
      </c>
      <c r="E4596">
        <v>7</v>
      </c>
      <c r="F4596" s="3">
        <v>12.94</v>
      </c>
      <c r="G4596" t="s">
        <v>36</v>
      </c>
      <c r="H4596">
        <v>48</v>
      </c>
      <c r="I4596" t="s">
        <v>28</v>
      </c>
      <c r="J4596" s="4">
        <v>68.2</v>
      </c>
      <c r="K4596" s="4">
        <v>136.69999999999999</v>
      </c>
      <c r="L4596" s="4">
        <v>20.5</v>
      </c>
      <c r="M4596">
        <v>15</v>
      </c>
      <c r="N4596" t="s">
        <v>47</v>
      </c>
      <c r="O4596">
        <v>6</v>
      </c>
      <c r="P4596" s="4">
        <v>79.5</v>
      </c>
      <c r="Q4596" t="s">
        <v>42</v>
      </c>
      <c r="R4596">
        <v>0</v>
      </c>
      <c r="S4596" t="s">
        <v>44</v>
      </c>
      <c r="T4596">
        <v>0</v>
      </c>
      <c r="U4596">
        <v>0</v>
      </c>
      <c r="V4596" t="s">
        <v>32</v>
      </c>
      <c r="W4596" t="s">
        <v>39</v>
      </c>
      <c r="X4596" s="4">
        <v>7.5</v>
      </c>
      <c r="Y4596">
        <v>6</v>
      </c>
      <c r="Z4596" s="5">
        <v>157.27000000000001</v>
      </c>
    </row>
    <row r="4597" spans="1:26">
      <c r="A4597">
        <v>4596</v>
      </c>
      <c r="B4597">
        <v>1506</v>
      </c>
      <c r="C4597" s="2">
        <v>46039</v>
      </c>
      <c r="D4597" t="s">
        <v>40</v>
      </c>
      <c r="E4597">
        <v>1</v>
      </c>
      <c r="F4597" s="3">
        <v>11.36</v>
      </c>
      <c r="G4597" t="s">
        <v>36</v>
      </c>
      <c r="H4597">
        <v>29</v>
      </c>
      <c r="I4597" t="s">
        <v>28</v>
      </c>
      <c r="J4597" s="4">
        <v>67.599999999999994</v>
      </c>
      <c r="K4597" s="4">
        <v>140.5</v>
      </c>
      <c r="L4597" s="4">
        <v>21.5</v>
      </c>
      <c r="M4597">
        <v>16</v>
      </c>
      <c r="N4597" t="s">
        <v>56</v>
      </c>
      <c r="O4597">
        <v>4</v>
      </c>
      <c r="P4597" s="4">
        <v>226.4</v>
      </c>
      <c r="Q4597" t="s">
        <v>42</v>
      </c>
      <c r="R4597">
        <v>0</v>
      </c>
      <c r="S4597" t="s">
        <v>44</v>
      </c>
      <c r="T4597">
        <v>1</v>
      </c>
      <c r="U4597">
        <v>0</v>
      </c>
      <c r="V4597" t="s">
        <v>32</v>
      </c>
      <c r="W4597" t="s">
        <v>43</v>
      </c>
      <c r="X4597" s="4">
        <v>6.8</v>
      </c>
      <c r="Y4597">
        <v>8</v>
      </c>
      <c r="Z4597" s="5">
        <v>134.31</v>
      </c>
    </row>
    <row r="4598" spans="1:26">
      <c r="A4598">
        <v>4597</v>
      </c>
      <c r="B4598">
        <v>1506</v>
      </c>
      <c r="C4598" s="2">
        <v>46039</v>
      </c>
      <c r="D4598" t="s">
        <v>40</v>
      </c>
      <c r="E4598">
        <v>1</v>
      </c>
      <c r="F4598" s="3">
        <v>11.59</v>
      </c>
      <c r="G4598" t="s">
        <v>36</v>
      </c>
      <c r="H4598">
        <v>19</v>
      </c>
      <c r="I4598" t="s">
        <v>28</v>
      </c>
      <c r="J4598" s="4">
        <v>65.5</v>
      </c>
      <c r="K4598" s="4">
        <v>137.80000000000001</v>
      </c>
      <c r="L4598" s="4">
        <v>22.7</v>
      </c>
      <c r="M4598">
        <v>13</v>
      </c>
      <c r="N4598" t="s">
        <v>56</v>
      </c>
      <c r="O4598">
        <v>4</v>
      </c>
      <c r="P4598" s="4">
        <v>226.4</v>
      </c>
      <c r="Q4598" t="s">
        <v>42</v>
      </c>
      <c r="R4598">
        <v>0</v>
      </c>
      <c r="S4598" t="s">
        <v>44</v>
      </c>
      <c r="T4598">
        <v>1</v>
      </c>
      <c r="U4598">
        <v>0</v>
      </c>
      <c r="V4598" t="s">
        <v>32</v>
      </c>
      <c r="W4598" t="s">
        <v>43</v>
      </c>
      <c r="X4598" s="4">
        <v>7.8</v>
      </c>
      <c r="Y4598">
        <v>2</v>
      </c>
      <c r="Z4598" s="5">
        <v>170.92</v>
      </c>
    </row>
    <row r="4599" spans="1:26">
      <c r="A4599">
        <v>4598</v>
      </c>
      <c r="B4599">
        <v>1506</v>
      </c>
      <c r="C4599" s="2">
        <v>46039</v>
      </c>
      <c r="D4599" t="s">
        <v>40</v>
      </c>
      <c r="E4599">
        <v>1</v>
      </c>
      <c r="F4599" s="3">
        <v>11.41</v>
      </c>
      <c r="G4599" t="s">
        <v>36</v>
      </c>
      <c r="H4599">
        <v>7</v>
      </c>
      <c r="I4599" t="s">
        <v>34</v>
      </c>
      <c r="J4599" s="4">
        <v>64.900000000000006</v>
      </c>
      <c r="K4599" s="4">
        <v>124.3</v>
      </c>
      <c r="L4599" s="4">
        <v>20.7</v>
      </c>
      <c r="M4599">
        <v>13</v>
      </c>
      <c r="N4599" t="s">
        <v>56</v>
      </c>
      <c r="O4599">
        <v>4</v>
      </c>
      <c r="P4599" s="4">
        <v>226.4</v>
      </c>
      <c r="Q4599" t="s">
        <v>42</v>
      </c>
      <c r="R4599">
        <v>0</v>
      </c>
      <c r="S4599" t="s">
        <v>44</v>
      </c>
      <c r="T4599">
        <v>1</v>
      </c>
      <c r="U4599">
        <v>0</v>
      </c>
      <c r="V4599" t="s">
        <v>32</v>
      </c>
      <c r="W4599" t="s">
        <v>43</v>
      </c>
      <c r="X4599" s="4">
        <v>9.6999999999999993</v>
      </c>
      <c r="Y4599">
        <v>8</v>
      </c>
      <c r="Z4599" s="5">
        <v>180.56</v>
      </c>
    </row>
    <row r="4600" spans="1:26">
      <c r="A4600">
        <v>4599</v>
      </c>
      <c r="B4600">
        <v>1506</v>
      </c>
      <c r="C4600" s="2">
        <v>46039</v>
      </c>
      <c r="D4600" t="s">
        <v>40</v>
      </c>
      <c r="E4600">
        <v>1</v>
      </c>
      <c r="F4600" s="3">
        <v>11.27</v>
      </c>
      <c r="G4600" t="s">
        <v>36</v>
      </c>
      <c r="H4600">
        <v>52</v>
      </c>
      <c r="I4600" t="s">
        <v>28</v>
      </c>
      <c r="J4600" s="4">
        <v>70.2</v>
      </c>
      <c r="K4600" s="4">
        <v>168.7</v>
      </c>
      <c r="L4600" s="4">
        <v>23.9</v>
      </c>
      <c r="M4600">
        <v>17</v>
      </c>
      <c r="N4600" t="s">
        <v>56</v>
      </c>
      <c r="O4600">
        <v>4</v>
      </c>
      <c r="P4600" s="4">
        <v>226.4</v>
      </c>
      <c r="Q4600" t="s">
        <v>42</v>
      </c>
      <c r="R4600">
        <v>0</v>
      </c>
      <c r="S4600" t="s">
        <v>44</v>
      </c>
      <c r="T4600">
        <v>1</v>
      </c>
      <c r="U4600">
        <v>0</v>
      </c>
      <c r="V4600" t="s">
        <v>32</v>
      </c>
      <c r="W4600" t="s">
        <v>43</v>
      </c>
      <c r="X4600" s="4">
        <v>7.8</v>
      </c>
      <c r="Y4600">
        <v>4</v>
      </c>
      <c r="Z4600" s="5">
        <v>117</v>
      </c>
    </row>
    <row r="4601" spans="1:26">
      <c r="A4601">
        <v>4600</v>
      </c>
      <c r="B4601">
        <v>1507</v>
      </c>
      <c r="C4601" s="2">
        <v>46310</v>
      </c>
      <c r="D4601" t="s">
        <v>55</v>
      </c>
      <c r="E4601">
        <v>10</v>
      </c>
      <c r="F4601" s="3">
        <v>8.57</v>
      </c>
      <c r="G4601" t="s">
        <v>27</v>
      </c>
      <c r="H4601">
        <v>39</v>
      </c>
      <c r="I4601" t="s">
        <v>34</v>
      </c>
      <c r="J4601" s="4">
        <v>61.6</v>
      </c>
      <c r="K4601" s="4">
        <v>148</v>
      </c>
      <c r="L4601" s="4">
        <v>27.5</v>
      </c>
      <c r="M4601">
        <v>14</v>
      </c>
      <c r="N4601" t="s">
        <v>59</v>
      </c>
      <c r="O4601">
        <v>2</v>
      </c>
      <c r="P4601" s="4">
        <v>1064</v>
      </c>
      <c r="Q4601" t="s">
        <v>30</v>
      </c>
      <c r="R4601">
        <v>1</v>
      </c>
      <c r="S4601" t="s">
        <v>44</v>
      </c>
      <c r="T4601">
        <v>1</v>
      </c>
      <c r="U4601">
        <v>0</v>
      </c>
      <c r="V4601" t="s">
        <v>32</v>
      </c>
      <c r="W4601" t="s">
        <v>49</v>
      </c>
      <c r="X4601" s="4">
        <v>7.6</v>
      </c>
      <c r="Y4601">
        <v>6</v>
      </c>
      <c r="Z4601" s="5">
        <v>234.99</v>
      </c>
    </row>
    <row r="4602" spans="1:26">
      <c r="A4602">
        <v>4601</v>
      </c>
      <c r="B4602">
        <v>1507</v>
      </c>
      <c r="C4602" s="2">
        <v>46310</v>
      </c>
      <c r="D4602" t="s">
        <v>55</v>
      </c>
      <c r="E4602">
        <v>10</v>
      </c>
      <c r="F4602" s="3">
        <v>8.69</v>
      </c>
      <c r="G4602" t="s">
        <v>27</v>
      </c>
      <c r="H4602">
        <v>49</v>
      </c>
      <c r="I4602" t="s">
        <v>28</v>
      </c>
      <c r="J4602" s="4">
        <v>70.400000000000006</v>
      </c>
      <c r="K4602" s="4">
        <v>192.5</v>
      </c>
      <c r="L4602" s="4">
        <v>27.1</v>
      </c>
      <c r="M4602">
        <v>12</v>
      </c>
      <c r="N4602" t="s">
        <v>59</v>
      </c>
      <c r="O4602">
        <v>2</v>
      </c>
      <c r="P4602" s="4">
        <v>1064</v>
      </c>
      <c r="Q4602" t="s">
        <v>30</v>
      </c>
      <c r="R4602">
        <v>1</v>
      </c>
      <c r="S4602" t="s">
        <v>44</v>
      </c>
      <c r="T4602">
        <v>1</v>
      </c>
      <c r="U4602">
        <v>0</v>
      </c>
      <c r="V4602" t="s">
        <v>32</v>
      </c>
      <c r="W4602" t="s">
        <v>49</v>
      </c>
      <c r="X4602" s="4">
        <v>10.7</v>
      </c>
      <c r="Y4602">
        <v>11</v>
      </c>
      <c r="Z4602" s="5">
        <v>221.2</v>
      </c>
    </row>
    <row r="4603" spans="1:26">
      <c r="A4603">
        <v>4602</v>
      </c>
      <c r="B4603">
        <v>1508</v>
      </c>
      <c r="C4603" s="2">
        <v>46231</v>
      </c>
      <c r="D4603" t="s">
        <v>35</v>
      </c>
      <c r="E4603">
        <v>7</v>
      </c>
      <c r="F4603" s="3">
        <v>12.8</v>
      </c>
      <c r="G4603" t="s">
        <v>36</v>
      </c>
      <c r="H4603">
        <v>38</v>
      </c>
      <c r="I4603" t="s">
        <v>34</v>
      </c>
      <c r="J4603" s="4">
        <v>66.7</v>
      </c>
      <c r="K4603" s="4">
        <v>198.5</v>
      </c>
      <c r="L4603" s="4">
        <v>31.4</v>
      </c>
      <c r="M4603">
        <v>14</v>
      </c>
      <c r="N4603" t="s">
        <v>37</v>
      </c>
      <c r="O4603">
        <v>2</v>
      </c>
      <c r="P4603" s="4">
        <v>1462.7</v>
      </c>
      <c r="Q4603" t="s">
        <v>42</v>
      </c>
      <c r="R4603">
        <v>1</v>
      </c>
      <c r="S4603" t="s">
        <v>38</v>
      </c>
      <c r="T4603">
        <v>1</v>
      </c>
      <c r="U4603">
        <v>0</v>
      </c>
      <c r="V4603" t="s">
        <v>32</v>
      </c>
      <c r="W4603" t="s">
        <v>43</v>
      </c>
      <c r="X4603" s="4">
        <v>8.5</v>
      </c>
      <c r="Y4603">
        <v>9</v>
      </c>
      <c r="Z4603" s="5">
        <v>226.66</v>
      </c>
    </row>
    <row r="4604" spans="1:26">
      <c r="A4604">
        <v>4603</v>
      </c>
      <c r="B4604">
        <v>1508</v>
      </c>
      <c r="C4604" s="2">
        <v>46231</v>
      </c>
      <c r="D4604" t="s">
        <v>35</v>
      </c>
      <c r="E4604">
        <v>7</v>
      </c>
      <c r="F4604" s="3">
        <v>12.68</v>
      </c>
      <c r="G4604" t="s">
        <v>36</v>
      </c>
      <c r="H4604">
        <v>18</v>
      </c>
      <c r="I4604" t="s">
        <v>28</v>
      </c>
      <c r="J4604" s="4">
        <v>70.400000000000006</v>
      </c>
      <c r="K4604" s="4">
        <v>184.6</v>
      </c>
      <c r="L4604" s="4">
        <v>26.2</v>
      </c>
      <c r="M4604">
        <v>14</v>
      </c>
      <c r="N4604" t="s">
        <v>37</v>
      </c>
      <c r="O4604">
        <v>2</v>
      </c>
      <c r="P4604" s="4">
        <v>1462.7</v>
      </c>
      <c r="Q4604" t="s">
        <v>42</v>
      </c>
      <c r="R4604">
        <v>1</v>
      </c>
      <c r="S4604" t="s">
        <v>38</v>
      </c>
      <c r="T4604">
        <v>1</v>
      </c>
      <c r="U4604">
        <v>0</v>
      </c>
      <c r="V4604" t="s">
        <v>32</v>
      </c>
      <c r="W4604" t="s">
        <v>43</v>
      </c>
      <c r="X4604" s="4">
        <v>8</v>
      </c>
      <c r="Y4604">
        <v>5</v>
      </c>
      <c r="Z4604" s="5">
        <v>249.86</v>
      </c>
    </row>
    <row r="4605" spans="1:26">
      <c r="A4605">
        <v>4604</v>
      </c>
      <c r="B4605">
        <v>1509</v>
      </c>
      <c r="C4605" s="2">
        <v>46168</v>
      </c>
      <c r="D4605" t="s">
        <v>35</v>
      </c>
      <c r="E4605">
        <v>5</v>
      </c>
      <c r="F4605" s="3">
        <v>11.14</v>
      </c>
      <c r="G4605" t="s">
        <v>36</v>
      </c>
      <c r="H4605">
        <v>61</v>
      </c>
      <c r="I4605" t="s">
        <v>34</v>
      </c>
      <c r="J4605" s="4">
        <v>66</v>
      </c>
      <c r="K4605" s="4">
        <v>140.5</v>
      </c>
      <c r="L4605" s="4">
        <v>22.8</v>
      </c>
      <c r="M4605">
        <v>18</v>
      </c>
      <c r="N4605" t="s">
        <v>47</v>
      </c>
      <c r="O4605">
        <v>4</v>
      </c>
      <c r="P4605" s="4">
        <v>177.3</v>
      </c>
      <c r="Q4605" t="s">
        <v>42</v>
      </c>
      <c r="R4605">
        <v>0</v>
      </c>
      <c r="S4605" t="s">
        <v>31</v>
      </c>
      <c r="T4605">
        <v>1</v>
      </c>
      <c r="U4605">
        <v>0</v>
      </c>
      <c r="V4605" t="s">
        <v>32</v>
      </c>
      <c r="W4605" t="s">
        <v>49</v>
      </c>
      <c r="X4605" s="4">
        <v>10.7</v>
      </c>
      <c r="Y4605">
        <v>12</v>
      </c>
      <c r="Z4605" s="5">
        <v>209.6</v>
      </c>
    </row>
    <row r="4606" spans="1:26">
      <c r="A4606">
        <v>4605</v>
      </c>
      <c r="B4606">
        <v>1509</v>
      </c>
      <c r="C4606" s="2">
        <v>46168</v>
      </c>
      <c r="D4606" t="s">
        <v>35</v>
      </c>
      <c r="E4606">
        <v>5</v>
      </c>
      <c r="F4606" s="3">
        <v>11.11</v>
      </c>
      <c r="G4606" t="s">
        <v>36</v>
      </c>
      <c r="H4606">
        <v>61</v>
      </c>
      <c r="I4606" t="s">
        <v>28</v>
      </c>
      <c r="J4606" s="4">
        <v>71</v>
      </c>
      <c r="K4606" s="4">
        <v>180.6</v>
      </c>
      <c r="L4606" s="4">
        <v>25.2</v>
      </c>
      <c r="M4606">
        <v>16</v>
      </c>
      <c r="N4606" t="s">
        <v>47</v>
      </c>
      <c r="O4606">
        <v>4</v>
      </c>
      <c r="P4606" s="4">
        <v>177.3</v>
      </c>
      <c r="Q4606" t="s">
        <v>42</v>
      </c>
      <c r="R4606">
        <v>0</v>
      </c>
      <c r="S4606" t="s">
        <v>31</v>
      </c>
      <c r="T4606">
        <v>1</v>
      </c>
      <c r="U4606">
        <v>0</v>
      </c>
      <c r="V4606" t="s">
        <v>32</v>
      </c>
      <c r="W4606" t="s">
        <v>49</v>
      </c>
      <c r="X4606" s="4">
        <v>4.4000000000000004</v>
      </c>
      <c r="Y4606">
        <v>10</v>
      </c>
      <c r="Z4606" s="5">
        <v>141.87</v>
      </c>
    </row>
    <row r="4607" spans="1:26">
      <c r="A4607">
        <v>4606</v>
      </c>
      <c r="B4607">
        <v>1509</v>
      </c>
      <c r="C4607" s="2">
        <v>46168</v>
      </c>
      <c r="D4607" t="s">
        <v>35</v>
      </c>
      <c r="E4607">
        <v>5</v>
      </c>
      <c r="F4607" s="3">
        <v>11.22</v>
      </c>
      <c r="G4607" t="s">
        <v>36</v>
      </c>
      <c r="H4607">
        <v>32</v>
      </c>
      <c r="I4607" t="s">
        <v>34</v>
      </c>
      <c r="J4607" s="4">
        <v>66.400000000000006</v>
      </c>
      <c r="K4607" s="4">
        <v>160.9</v>
      </c>
      <c r="L4607" s="4">
        <v>25.5</v>
      </c>
      <c r="M4607">
        <v>16</v>
      </c>
      <c r="N4607" t="s">
        <v>47</v>
      </c>
      <c r="O4607">
        <v>4</v>
      </c>
      <c r="P4607" s="4">
        <v>177.3</v>
      </c>
      <c r="Q4607" t="s">
        <v>42</v>
      </c>
      <c r="R4607">
        <v>0</v>
      </c>
      <c r="S4607" t="s">
        <v>31</v>
      </c>
      <c r="T4607">
        <v>1</v>
      </c>
      <c r="U4607">
        <v>0</v>
      </c>
      <c r="V4607" t="s">
        <v>32</v>
      </c>
      <c r="W4607" t="s">
        <v>49</v>
      </c>
      <c r="X4607" s="4">
        <v>11.3</v>
      </c>
      <c r="Y4607">
        <v>16</v>
      </c>
      <c r="Z4607" s="5">
        <v>302</v>
      </c>
    </row>
    <row r="4608" spans="1:26">
      <c r="A4608">
        <v>4607</v>
      </c>
      <c r="B4608">
        <v>1509</v>
      </c>
      <c r="C4608" s="2">
        <v>46168</v>
      </c>
      <c r="D4608" t="s">
        <v>35</v>
      </c>
      <c r="E4608">
        <v>5</v>
      </c>
      <c r="F4608" s="3">
        <v>11.05</v>
      </c>
      <c r="G4608" t="s">
        <v>36</v>
      </c>
      <c r="H4608">
        <v>30</v>
      </c>
      <c r="I4608" t="s">
        <v>28</v>
      </c>
      <c r="J4608" s="4">
        <v>65.7</v>
      </c>
      <c r="K4608" s="4">
        <v>180.5</v>
      </c>
      <c r="L4608" s="4">
        <v>29.2</v>
      </c>
      <c r="M4608">
        <v>11</v>
      </c>
      <c r="N4608" t="s">
        <v>47</v>
      </c>
      <c r="O4608">
        <v>4</v>
      </c>
      <c r="P4608" s="4">
        <v>177.3</v>
      </c>
      <c r="Q4608" t="s">
        <v>42</v>
      </c>
      <c r="R4608">
        <v>0</v>
      </c>
      <c r="S4608" t="s">
        <v>31</v>
      </c>
      <c r="T4608">
        <v>1</v>
      </c>
      <c r="U4608">
        <v>0</v>
      </c>
      <c r="V4608" t="s">
        <v>32</v>
      </c>
      <c r="W4608" t="s">
        <v>49</v>
      </c>
      <c r="X4608" s="4">
        <v>8.1</v>
      </c>
      <c r="Y4608">
        <v>7</v>
      </c>
      <c r="Z4608" s="5">
        <v>162.53</v>
      </c>
    </row>
    <row r="4609" spans="1:26">
      <c r="A4609">
        <v>4608</v>
      </c>
      <c r="B4609">
        <v>1510</v>
      </c>
      <c r="C4609" s="2">
        <v>46339</v>
      </c>
      <c r="D4609" t="s">
        <v>26</v>
      </c>
      <c r="E4609">
        <v>11</v>
      </c>
      <c r="F4609" s="3">
        <v>10.7</v>
      </c>
      <c r="G4609" t="s">
        <v>27</v>
      </c>
      <c r="H4609">
        <v>37</v>
      </c>
      <c r="I4609" t="s">
        <v>28</v>
      </c>
      <c r="J4609" s="4">
        <v>68.8</v>
      </c>
      <c r="K4609" s="4">
        <v>148</v>
      </c>
      <c r="L4609" s="4">
        <v>21.9</v>
      </c>
      <c r="M4609">
        <v>13</v>
      </c>
      <c r="N4609" t="s">
        <v>60</v>
      </c>
      <c r="O4609">
        <v>4</v>
      </c>
      <c r="P4609" s="4">
        <v>1416.9</v>
      </c>
      <c r="Q4609" t="s">
        <v>30</v>
      </c>
      <c r="R4609">
        <v>1</v>
      </c>
      <c r="S4609" t="s">
        <v>38</v>
      </c>
      <c r="T4609">
        <v>0</v>
      </c>
      <c r="U4609">
        <v>0</v>
      </c>
      <c r="V4609" t="s">
        <v>32</v>
      </c>
      <c r="W4609" t="s">
        <v>57</v>
      </c>
      <c r="X4609" s="4">
        <v>5.0999999999999996</v>
      </c>
      <c r="Y4609">
        <v>10</v>
      </c>
      <c r="Z4609" s="5">
        <v>118.33</v>
      </c>
    </row>
    <row r="4610" spans="1:26">
      <c r="A4610">
        <v>4609</v>
      </c>
      <c r="B4610">
        <v>1510</v>
      </c>
      <c r="C4610" s="2">
        <v>46339</v>
      </c>
      <c r="D4610" t="s">
        <v>26</v>
      </c>
      <c r="E4610">
        <v>11</v>
      </c>
      <c r="F4610" s="3">
        <v>10.67</v>
      </c>
      <c r="G4610" t="s">
        <v>27</v>
      </c>
      <c r="H4610">
        <v>56</v>
      </c>
      <c r="I4610" t="s">
        <v>34</v>
      </c>
      <c r="J4610" s="4">
        <v>63.9</v>
      </c>
      <c r="K4610" s="4">
        <v>164</v>
      </c>
      <c r="L4610" s="4">
        <v>28.2</v>
      </c>
      <c r="M4610">
        <v>12</v>
      </c>
      <c r="N4610" t="s">
        <v>60</v>
      </c>
      <c r="O4610">
        <v>4</v>
      </c>
      <c r="P4610" s="4">
        <v>1416.9</v>
      </c>
      <c r="Q4610" t="s">
        <v>30</v>
      </c>
      <c r="R4610">
        <v>1</v>
      </c>
      <c r="S4610" t="s">
        <v>38</v>
      </c>
      <c r="T4610">
        <v>0</v>
      </c>
      <c r="U4610">
        <v>0</v>
      </c>
      <c r="V4610" t="s">
        <v>32</v>
      </c>
      <c r="W4610" t="s">
        <v>57</v>
      </c>
      <c r="X4610" s="4">
        <v>6</v>
      </c>
      <c r="Y4610">
        <v>10</v>
      </c>
      <c r="Z4610" s="5">
        <v>389.04</v>
      </c>
    </row>
    <row r="4611" spans="1:26">
      <c r="A4611">
        <v>4610</v>
      </c>
      <c r="B4611">
        <v>1510</v>
      </c>
      <c r="C4611" s="2">
        <v>46339</v>
      </c>
      <c r="D4611" t="s">
        <v>26</v>
      </c>
      <c r="E4611">
        <v>11</v>
      </c>
      <c r="F4611" s="3">
        <v>10.81</v>
      </c>
      <c r="G4611" t="s">
        <v>27</v>
      </c>
      <c r="H4611">
        <v>60</v>
      </c>
      <c r="I4611" t="s">
        <v>28</v>
      </c>
      <c r="J4611" s="4">
        <v>67.3</v>
      </c>
      <c r="K4611" s="4">
        <v>157.6</v>
      </c>
      <c r="L4611" s="4">
        <v>24.4</v>
      </c>
      <c r="M4611">
        <v>13</v>
      </c>
      <c r="N4611" t="s">
        <v>60</v>
      </c>
      <c r="O4611">
        <v>4</v>
      </c>
      <c r="P4611" s="4">
        <v>1416.9</v>
      </c>
      <c r="Q4611" t="s">
        <v>30</v>
      </c>
      <c r="R4611">
        <v>1</v>
      </c>
      <c r="S4611" t="s">
        <v>38</v>
      </c>
      <c r="T4611">
        <v>0</v>
      </c>
      <c r="U4611">
        <v>0</v>
      </c>
      <c r="V4611" t="s">
        <v>32</v>
      </c>
      <c r="W4611" t="s">
        <v>57</v>
      </c>
      <c r="X4611" s="4">
        <v>9</v>
      </c>
      <c r="Y4611">
        <v>15</v>
      </c>
      <c r="Z4611" s="5">
        <v>199.59</v>
      </c>
    </row>
    <row r="4612" spans="1:26">
      <c r="A4612">
        <v>4611</v>
      </c>
      <c r="B4612">
        <v>1510</v>
      </c>
      <c r="C4612" s="2">
        <v>46339</v>
      </c>
      <c r="D4612" t="s">
        <v>26</v>
      </c>
      <c r="E4612">
        <v>11</v>
      </c>
      <c r="F4612" s="3">
        <v>10.87</v>
      </c>
      <c r="G4612" t="s">
        <v>27</v>
      </c>
      <c r="H4612">
        <v>69</v>
      </c>
      <c r="I4612" t="s">
        <v>28</v>
      </c>
      <c r="J4612" s="4">
        <v>68.7</v>
      </c>
      <c r="K4612" s="4">
        <v>183.5</v>
      </c>
      <c r="L4612" s="4">
        <v>27.2</v>
      </c>
      <c r="M4612">
        <v>14</v>
      </c>
      <c r="N4612" t="s">
        <v>60</v>
      </c>
      <c r="O4612">
        <v>4</v>
      </c>
      <c r="P4612" s="4">
        <v>1416.9</v>
      </c>
      <c r="Q4612" t="s">
        <v>30</v>
      </c>
      <c r="R4612">
        <v>1</v>
      </c>
      <c r="S4612" t="s">
        <v>38</v>
      </c>
      <c r="T4612">
        <v>0</v>
      </c>
      <c r="U4612">
        <v>0</v>
      </c>
      <c r="V4612" t="s">
        <v>32</v>
      </c>
      <c r="W4612" t="s">
        <v>57</v>
      </c>
      <c r="X4612" s="4">
        <v>9</v>
      </c>
      <c r="Y4612">
        <v>5</v>
      </c>
      <c r="Z4612" s="5">
        <v>295.27999999999997</v>
      </c>
    </row>
    <row r="4613" spans="1:26">
      <c r="A4613">
        <v>4612</v>
      </c>
      <c r="B4613">
        <v>1511</v>
      </c>
      <c r="C4613" s="2">
        <v>46220</v>
      </c>
      <c r="D4613" t="s">
        <v>26</v>
      </c>
      <c r="E4613">
        <v>7</v>
      </c>
      <c r="F4613" s="3">
        <v>10.25</v>
      </c>
      <c r="G4613" t="s">
        <v>27</v>
      </c>
      <c r="H4613">
        <v>45</v>
      </c>
      <c r="I4613" t="s">
        <v>28</v>
      </c>
      <c r="J4613" s="4">
        <v>75.5</v>
      </c>
      <c r="K4613" s="4">
        <v>200.9</v>
      </c>
      <c r="L4613" s="4">
        <v>24.7</v>
      </c>
      <c r="M4613">
        <v>13</v>
      </c>
      <c r="N4613" t="s">
        <v>60</v>
      </c>
      <c r="O4613">
        <v>1</v>
      </c>
      <c r="P4613" s="4">
        <v>1842.4</v>
      </c>
      <c r="Q4613" t="s">
        <v>42</v>
      </c>
      <c r="R4613">
        <v>0</v>
      </c>
      <c r="S4613" t="s">
        <v>31</v>
      </c>
      <c r="T4613">
        <v>0</v>
      </c>
      <c r="U4613">
        <v>0</v>
      </c>
      <c r="V4613" t="s">
        <v>32</v>
      </c>
      <c r="W4613" t="s">
        <v>43</v>
      </c>
      <c r="X4613" s="4">
        <v>7.9</v>
      </c>
      <c r="Y4613">
        <v>9</v>
      </c>
      <c r="Z4613" s="5">
        <v>124.88</v>
      </c>
    </row>
    <row r="4614" spans="1:26">
      <c r="A4614">
        <v>4613</v>
      </c>
      <c r="B4614">
        <v>1512</v>
      </c>
      <c r="C4614" s="2">
        <v>46226</v>
      </c>
      <c r="D4614" t="s">
        <v>55</v>
      </c>
      <c r="E4614">
        <v>7</v>
      </c>
      <c r="F4614" s="3">
        <v>8.6</v>
      </c>
      <c r="G4614" t="s">
        <v>27</v>
      </c>
      <c r="H4614">
        <v>8</v>
      </c>
      <c r="I4614" t="s">
        <v>34</v>
      </c>
      <c r="J4614" s="4">
        <v>62.1</v>
      </c>
      <c r="K4614" s="4">
        <v>100.4</v>
      </c>
      <c r="L4614" s="4">
        <v>18.3</v>
      </c>
      <c r="M4614">
        <v>10</v>
      </c>
      <c r="N4614" t="s">
        <v>41</v>
      </c>
      <c r="O4614">
        <v>4</v>
      </c>
      <c r="P4614" s="4">
        <v>1512.1</v>
      </c>
      <c r="Q4614" t="s">
        <v>42</v>
      </c>
      <c r="R4614">
        <v>1</v>
      </c>
      <c r="S4614" t="s">
        <v>44</v>
      </c>
      <c r="T4614">
        <v>0</v>
      </c>
      <c r="U4614">
        <v>1</v>
      </c>
      <c r="V4614" t="s">
        <v>32</v>
      </c>
      <c r="W4614" t="s">
        <v>33</v>
      </c>
      <c r="X4614" s="4">
        <v>9.3000000000000007</v>
      </c>
      <c r="Y4614">
        <v>6</v>
      </c>
      <c r="Z4614" s="5">
        <v>211.38</v>
      </c>
    </row>
    <row r="4615" spans="1:26">
      <c r="A4615">
        <v>4614</v>
      </c>
      <c r="B4615">
        <v>1512</v>
      </c>
      <c r="C4615" s="2">
        <v>46226</v>
      </c>
      <c r="D4615" t="s">
        <v>55</v>
      </c>
      <c r="E4615">
        <v>7</v>
      </c>
      <c r="F4615" s="3">
        <v>8.5</v>
      </c>
      <c r="G4615" t="s">
        <v>27</v>
      </c>
      <c r="H4615">
        <v>59</v>
      </c>
      <c r="I4615" t="s">
        <v>34</v>
      </c>
      <c r="J4615" s="4">
        <v>67.599999999999994</v>
      </c>
      <c r="K4615" s="4">
        <v>161.9</v>
      </c>
      <c r="L4615" s="4">
        <v>24.9</v>
      </c>
      <c r="M4615">
        <v>18</v>
      </c>
      <c r="N4615" t="s">
        <v>41</v>
      </c>
      <c r="O4615">
        <v>4</v>
      </c>
      <c r="P4615" s="4">
        <v>1512.1</v>
      </c>
      <c r="Q4615" t="s">
        <v>42</v>
      </c>
      <c r="R4615">
        <v>1</v>
      </c>
      <c r="S4615" t="s">
        <v>44</v>
      </c>
      <c r="T4615">
        <v>0</v>
      </c>
      <c r="U4615">
        <v>1</v>
      </c>
      <c r="V4615" t="s">
        <v>32</v>
      </c>
      <c r="W4615" t="s">
        <v>33</v>
      </c>
      <c r="X4615" s="4">
        <v>10.7</v>
      </c>
      <c r="Y4615">
        <v>10</v>
      </c>
      <c r="Z4615" s="5">
        <v>243.4</v>
      </c>
    </row>
    <row r="4616" spans="1:26">
      <c r="A4616">
        <v>4615</v>
      </c>
      <c r="B4616">
        <v>1512</v>
      </c>
      <c r="C4616" s="2">
        <v>46226</v>
      </c>
      <c r="D4616" t="s">
        <v>55</v>
      </c>
      <c r="E4616">
        <v>7</v>
      </c>
      <c r="F4616" s="3">
        <v>8.5299999999999994</v>
      </c>
      <c r="G4616" t="s">
        <v>27</v>
      </c>
      <c r="H4616">
        <v>58</v>
      </c>
      <c r="I4616" t="s">
        <v>34</v>
      </c>
      <c r="J4616" s="4">
        <v>66.400000000000006</v>
      </c>
      <c r="K4616" s="4">
        <v>158.6</v>
      </c>
      <c r="L4616" s="4">
        <v>25.1</v>
      </c>
      <c r="M4616">
        <v>13</v>
      </c>
      <c r="N4616" t="s">
        <v>41</v>
      </c>
      <c r="O4616">
        <v>4</v>
      </c>
      <c r="P4616" s="4">
        <v>1512.1</v>
      </c>
      <c r="Q4616" t="s">
        <v>42</v>
      </c>
      <c r="R4616">
        <v>1</v>
      </c>
      <c r="S4616" t="s">
        <v>44</v>
      </c>
      <c r="T4616">
        <v>0</v>
      </c>
      <c r="U4616">
        <v>1</v>
      </c>
      <c r="V4616" t="s">
        <v>32</v>
      </c>
      <c r="W4616" t="s">
        <v>33</v>
      </c>
      <c r="X4616" s="4">
        <v>9.5</v>
      </c>
      <c r="Y4616">
        <v>12</v>
      </c>
      <c r="Z4616" s="5">
        <v>292.01</v>
      </c>
    </row>
    <row r="4617" spans="1:26">
      <c r="A4617">
        <v>4616</v>
      </c>
      <c r="B4617">
        <v>1512</v>
      </c>
      <c r="C4617" s="2">
        <v>46226</v>
      </c>
      <c r="D4617" t="s">
        <v>55</v>
      </c>
      <c r="E4617">
        <v>7</v>
      </c>
      <c r="F4617" s="3">
        <v>8.74</v>
      </c>
      <c r="G4617" t="s">
        <v>27</v>
      </c>
      <c r="H4617">
        <v>40</v>
      </c>
      <c r="I4617" t="s">
        <v>34</v>
      </c>
      <c r="J4617" s="4">
        <v>58.8</v>
      </c>
      <c r="K4617" s="4">
        <v>103.7</v>
      </c>
      <c r="L4617" s="4">
        <v>21</v>
      </c>
      <c r="M4617">
        <v>19</v>
      </c>
      <c r="N4617" t="s">
        <v>41</v>
      </c>
      <c r="O4617">
        <v>4</v>
      </c>
      <c r="P4617" s="4">
        <v>1512.1</v>
      </c>
      <c r="Q4617" t="s">
        <v>42</v>
      </c>
      <c r="R4617">
        <v>1</v>
      </c>
      <c r="S4617" t="s">
        <v>44</v>
      </c>
      <c r="T4617">
        <v>0</v>
      </c>
      <c r="U4617">
        <v>1</v>
      </c>
      <c r="V4617" t="s">
        <v>32</v>
      </c>
      <c r="W4617" t="s">
        <v>33</v>
      </c>
      <c r="X4617" s="4">
        <v>9.1</v>
      </c>
      <c r="Y4617">
        <v>5</v>
      </c>
      <c r="Z4617" s="5">
        <v>134.05000000000001</v>
      </c>
    </row>
    <row r="4618" spans="1:26">
      <c r="A4618">
        <v>4617</v>
      </c>
      <c r="B4618">
        <v>1513</v>
      </c>
      <c r="C4618" s="2">
        <v>46295</v>
      </c>
      <c r="D4618" t="s">
        <v>52</v>
      </c>
      <c r="E4618">
        <v>9</v>
      </c>
      <c r="F4618" s="3">
        <v>10.02</v>
      </c>
      <c r="G4618" t="s">
        <v>27</v>
      </c>
      <c r="H4618">
        <v>61</v>
      </c>
      <c r="I4618" t="s">
        <v>28</v>
      </c>
      <c r="J4618" s="4">
        <v>76.7</v>
      </c>
      <c r="K4618" s="4">
        <v>177.9</v>
      </c>
      <c r="L4618" s="4">
        <v>21.3</v>
      </c>
      <c r="M4618">
        <v>15</v>
      </c>
      <c r="N4618" t="s">
        <v>47</v>
      </c>
      <c r="O4618">
        <v>1</v>
      </c>
      <c r="P4618" s="4">
        <v>2</v>
      </c>
      <c r="Q4618" t="s">
        <v>42</v>
      </c>
      <c r="R4618">
        <v>0</v>
      </c>
      <c r="S4618" t="s">
        <v>44</v>
      </c>
      <c r="T4618">
        <v>0</v>
      </c>
      <c r="U4618">
        <v>0</v>
      </c>
      <c r="V4618" t="s">
        <v>32</v>
      </c>
      <c r="W4618" t="s">
        <v>49</v>
      </c>
      <c r="X4618" s="4">
        <v>7.3</v>
      </c>
      <c r="Y4618">
        <v>7</v>
      </c>
      <c r="Z4618" s="5">
        <v>215</v>
      </c>
    </row>
    <row r="4619" spans="1:26">
      <c r="A4619">
        <v>4618</v>
      </c>
      <c r="B4619">
        <v>1514</v>
      </c>
      <c r="C4619" s="2">
        <v>46087</v>
      </c>
      <c r="D4619" t="s">
        <v>26</v>
      </c>
      <c r="E4619">
        <v>3</v>
      </c>
      <c r="F4619" s="3">
        <v>15.06</v>
      </c>
      <c r="G4619" t="s">
        <v>68</v>
      </c>
      <c r="H4619">
        <v>37</v>
      </c>
      <c r="I4619" t="s">
        <v>51</v>
      </c>
      <c r="J4619" s="4">
        <v>72.599999999999994</v>
      </c>
      <c r="K4619" s="4">
        <v>151.5</v>
      </c>
      <c r="L4619" s="4">
        <v>20.399999999999999</v>
      </c>
      <c r="M4619">
        <v>12</v>
      </c>
      <c r="N4619" t="s">
        <v>47</v>
      </c>
      <c r="O4619">
        <v>4</v>
      </c>
      <c r="P4619" s="4">
        <v>27.4</v>
      </c>
      <c r="Q4619" t="s">
        <v>30</v>
      </c>
      <c r="R4619">
        <v>0</v>
      </c>
      <c r="S4619" t="s">
        <v>44</v>
      </c>
      <c r="T4619">
        <v>0</v>
      </c>
      <c r="U4619">
        <v>0</v>
      </c>
      <c r="V4619" t="s">
        <v>32</v>
      </c>
      <c r="W4619" t="s">
        <v>49</v>
      </c>
      <c r="X4619" s="4">
        <v>7.6</v>
      </c>
      <c r="Y4619">
        <v>9</v>
      </c>
      <c r="Z4619" s="5">
        <v>118.96</v>
      </c>
    </row>
    <row r="4620" spans="1:26">
      <c r="A4620">
        <v>4619</v>
      </c>
      <c r="B4620">
        <v>1514</v>
      </c>
      <c r="C4620" s="2">
        <v>46087</v>
      </c>
      <c r="D4620" t="s">
        <v>26</v>
      </c>
      <c r="E4620">
        <v>3</v>
      </c>
      <c r="F4620" s="3">
        <v>15.19</v>
      </c>
      <c r="G4620" t="s">
        <v>68</v>
      </c>
      <c r="H4620">
        <v>8</v>
      </c>
      <c r="I4620" t="s">
        <v>34</v>
      </c>
      <c r="J4620" s="4">
        <v>59.7</v>
      </c>
      <c r="K4620" s="4">
        <v>74.8</v>
      </c>
      <c r="L4620" s="4">
        <v>14.8</v>
      </c>
      <c r="M4620">
        <v>9</v>
      </c>
      <c r="N4620" t="s">
        <v>47</v>
      </c>
      <c r="O4620">
        <v>4</v>
      </c>
      <c r="P4620" s="4">
        <v>27.4</v>
      </c>
      <c r="Q4620" t="s">
        <v>30</v>
      </c>
      <c r="R4620">
        <v>0</v>
      </c>
      <c r="S4620" t="s">
        <v>44</v>
      </c>
      <c r="T4620">
        <v>0</v>
      </c>
      <c r="U4620">
        <v>0</v>
      </c>
      <c r="V4620" t="s">
        <v>32</v>
      </c>
      <c r="W4620" t="s">
        <v>49</v>
      </c>
      <c r="X4620" s="4">
        <v>6.1</v>
      </c>
      <c r="Y4620">
        <v>4</v>
      </c>
      <c r="Z4620" s="5">
        <v>74.849999999999994</v>
      </c>
    </row>
    <row r="4621" spans="1:26">
      <c r="A4621">
        <v>4620</v>
      </c>
      <c r="B4621">
        <v>1514</v>
      </c>
      <c r="C4621" s="2">
        <v>46087</v>
      </c>
      <c r="D4621" t="s">
        <v>26</v>
      </c>
      <c r="E4621">
        <v>3</v>
      </c>
      <c r="F4621" s="3">
        <v>15.35</v>
      </c>
      <c r="G4621" t="s">
        <v>68</v>
      </c>
      <c r="H4621">
        <v>43</v>
      </c>
      <c r="I4621" t="s">
        <v>28</v>
      </c>
      <c r="J4621" s="4">
        <v>62.6</v>
      </c>
      <c r="K4621" s="4">
        <v>185.1</v>
      </c>
      <c r="L4621" s="4">
        <v>33.299999999999997</v>
      </c>
      <c r="M4621">
        <v>11</v>
      </c>
      <c r="N4621" t="s">
        <v>47</v>
      </c>
      <c r="O4621">
        <v>4</v>
      </c>
      <c r="P4621" s="4">
        <v>27.4</v>
      </c>
      <c r="Q4621" t="s">
        <v>30</v>
      </c>
      <c r="R4621">
        <v>0</v>
      </c>
      <c r="S4621" t="s">
        <v>44</v>
      </c>
      <c r="T4621">
        <v>0</v>
      </c>
      <c r="U4621">
        <v>0</v>
      </c>
      <c r="V4621" t="s">
        <v>32</v>
      </c>
      <c r="W4621" t="s">
        <v>49</v>
      </c>
      <c r="X4621" s="4">
        <v>5.2</v>
      </c>
      <c r="Y4621">
        <v>7</v>
      </c>
      <c r="Z4621" s="5">
        <v>117.91</v>
      </c>
    </row>
    <row r="4622" spans="1:26">
      <c r="A4622">
        <v>4621</v>
      </c>
      <c r="B4622">
        <v>1514</v>
      </c>
      <c r="C4622" s="2">
        <v>46087</v>
      </c>
      <c r="D4622" t="s">
        <v>26</v>
      </c>
      <c r="E4622">
        <v>3</v>
      </c>
      <c r="F4622" s="3">
        <v>15.21</v>
      </c>
      <c r="G4622" t="s">
        <v>68</v>
      </c>
      <c r="H4622">
        <v>49</v>
      </c>
      <c r="I4622" t="s">
        <v>34</v>
      </c>
      <c r="J4622" s="4">
        <v>62.2</v>
      </c>
      <c r="K4622" s="4">
        <v>108.9</v>
      </c>
      <c r="L4622" s="4">
        <v>19.8</v>
      </c>
      <c r="M4622">
        <v>16</v>
      </c>
      <c r="N4622" t="s">
        <v>47</v>
      </c>
      <c r="O4622">
        <v>4</v>
      </c>
      <c r="P4622" s="4">
        <v>27.4</v>
      </c>
      <c r="Q4622" t="s">
        <v>30</v>
      </c>
      <c r="R4622">
        <v>0</v>
      </c>
      <c r="S4622" t="s">
        <v>44</v>
      </c>
      <c r="T4622">
        <v>0</v>
      </c>
      <c r="U4622">
        <v>0</v>
      </c>
      <c r="V4622" t="s">
        <v>32</v>
      </c>
      <c r="W4622" t="s">
        <v>49</v>
      </c>
      <c r="X4622" s="4">
        <v>9.5</v>
      </c>
      <c r="Y4622">
        <v>15</v>
      </c>
      <c r="Z4622" s="5">
        <v>303.52999999999997</v>
      </c>
    </row>
    <row r="4623" spans="1:26">
      <c r="A4623">
        <v>4622</v>
      </c>
      <c r="B4623">
        <v>1515</v>
      </c>
      <c r="C4623" s="2">
        <v>46095</v>
      </c>
      <c r="D4623" t="s">
        <v>40</v>
      </c>
      <c r="E4623">
        <v>3</v>
      </c>
      <c r="F4623" s="3">
        <v>9.14</v>
      </c>
      <c r="G4623" t="s">
        <v>27</v>
      </c>
      <c r="H4623">
        <v>52</v>
      </c>
      <c r="I4623" t="s">
        <v>28</v>
      </c>
      <c r="J4623" s="4">
        <v>70.7</v>
      </c>
      <c r="K4623" s="4">
        <v>150.9</v>
      </c>
      <c r="L4623" s="4">
        <v>21.3</v>
      </c>
      <c r="M4623">
        <v>19</v>
      </c>
      <c r="N4623" t="s">
        <v>56</v>
      </c>
      <c r="O4623">
        <v>3</v>
      </c>
      <c r="P4623" s="4">
        <v>2</v>
      </c>
      <c r="Q4623" t="s">
        <v>48</v>
      </c>
      <c r="R4623">
        <v>1</v>
      </c>
      <c r="S4623" t="s">
        <v>44</v>
      </c>
      <c r="T4623">
        <v>0</v>
      </c>
      <c r="U4623">
        <v>0</v>
      </c>
      <c r="V4623" t="s">
        <v>32</v>
      </c>
      <c r="W4623" t="s">
        <v>57</v>
      </c>
      <c r="X4623" s="4">
        <v>9.9</v>
      </c>
      <c r="Y4623">
        <v>7</v>
      </c>
      <c r="Z4623" s="5">
        <v>316.74</v>
      </c>
    </row>
    <row r="4624" spans="1:26">
      <c r="A4624">
        <v>4623</v>
      </c>
      <c r="B4624">
        <v>1515</v>
      </c>
      <c r="C4624" s="2">
        <v>46095</v>
      </c>
      <c r="D4624" t="s">
        <v>40</v>
      </c>
      <c r="E4624">
        <v>3</v>
      </c>
      <c r="F4624" s="3">
        <v>9.18</v>
      </c>
      <c r="G4624" t="s">
        <v>27</v>
      </c>
      <c r="H4624">
        <v>52</v>
      </c>
      <c r="I4624" t="s">
        <v>28</v>
      </c>
      <c r="J4624" s="4">
        <v>67.2</v>
      </c>
      <c r="K4624" s="4">
        <v>144.69999999999999</v>
      </c>
      <c r="L4624" s="4">
        <v>22.3</v>
      </c>
      <c r="M4624">
        <v>16</v>
      </c>
      <c r="N4624" t="s">
        <v>56</v>
      </c>
      <c r="O4624">
        <v>3</v>
      </c>
      <c r="P4624" s="4">
        <v>2</v>
      </c>
      <c r="Q4624" t="s">
        <v>48</v>
      </c>
      <c r="R4624">
        <v>1</v>
      </c>
      <c r="S4624" t="s">
        <v>44</v>
      </c>
      <c r="T4624">
        <v>0</v>
      </c>
      <c r="U4624">
        <v>0</v>
      </c>
      <c r="V4624" t="s">
        <v>32</v>
      </c>
      <c r="W4624" t="s">
        <v>57</v>
      </c>
      <c r="X4624" s="4">
        <v>8.3000000000000007</v>
      </c>
      <c r="Y4624">
        <v>9</v>
      </c>
      <c r="Z4624" s="5">
        <v>234.38</v>
      </c>
    </row>
    <row r="4625" spans="1:26">
      <c r="A4625">
        <v>4624</v>
      </c>
      <c r="B4625">
        <v>1515</v>
      </c>
      <c r="C4625" s="2">
        <v>46095</v>
      </c>
      <c r="D4625" t="s">
        <v>40</v>
      </c>
      <c r="E4625">
        <v>3</v>
      </c>
      <c r="F4625" s="3">
        <v>9.0399999999999991</v>
      </c>
      <c r="G4625" t="s">
        <v>27</v>
      </c>
      <c r="H4625">
        <v>20</v>
      </c>
      <c r="I4625" t="s">
        <v>28</v>
      </c>
      <c r="J4625" s="4">
        <v>69.5</v>
      </c>
      <c r="K4625" s="4">
        <v>196.3</v>
      </c>
      <c r="L4625" s="4">
        <v>28.8</v>
      </c>
      <c r="M4625">
        <v>15</v>
      </c>
      <c r="N4625" t="s">
        <v>56</v>
      </c>
      <c r="O4625">
        <v>3</v>
      </c>
      <c r="P4625" s="4">
        <v>2</v>
      </c>
      <c r="Q4625" t="s">
        <v>48</v>
      </c>
      <c r="R4625">
        <v>1</v>
      </c>
      <c r="S4625" t="s">
        <v>44</v>
      </c>
      <c r="T4625">
        <v>0</v>
      </c>
      <c r="U4625">
        <v>0</v>
      </c>
      <c r="V4625" t="s">
        <v>32</v>
      </c>
      <c r="W4625" t="s">
        <v>57</v>
      </c>
      <c r="X4625" s="4">
        <v>8</v>
      </c>
      <c r="Y4625">
        <v>12</v>
      </c>
      <c r="Z4625" s="5">
        <v>302.14</v>
      </c>
    </row>
    <row r="4626" spans="1:26">
      <c r="A4626">
        <v>4625</v>
      </c>
      <c r="B4626">
        <v>1516</v>
      </c>
      <c r="C4626" s="2">
        <v>46050</v>
      </c>
      <c r="D4626" t="s">
        <v>52</v>
      </c>
      <c r="E4626">
        <v>1</v>
      </c>
      <c r="F4626" s="3">
        <v>8.6300000000000008</v>
      </c>
      <c r="G4626" t="s">
        <v>27</v>
      </c>
      <c r="H4626">
        <v>52</v>
      </c>
      <c r="I4626" t="s">
        <v>28</v>
      </c>
      <c r="J4626" s="4">
        <v>66</v>
      </c>
      <c r="K4626" s="4">
        <v>196.3</v>
      </c>
      <c r="L4626" s="4">
        <v>31.7</v>
      </c>
      <c r="M4626">
        <v>15</v>
      </c>
      <c r="N4626" t="s">
        <v>47</v>
      </c>
      <c r="O4626">
        <v>3</v>
      </c>
      <c r="P4626" s="4">
        <v>49.8</v>
      </c>
      <c r="Q4626" t="s">
        <v>48</v>
      </c>
      <c r="R4626">
        <v>0</v>
      </c>
      <c r="S4626" t="s">
        <v>38</v>
      </c>
      <c r="T4626">
        <v>0</v>
      </c>
      <c r="U4626">
        <v>0</v>
      </c>
      <c r="V4626" t="s">
        <v>32</v>
      </c>
      <c r="W4626" t="s">
        <v>49</v>
      </c>
      <c r="X4626" s="4">
        <v>9.6</v>
      </c>
      <c r="Y4626">
        <v>7</v>
      </c>
      <c r="Z4626" s="5">
        <v>206.37</v>
      </c>
    </row>
    <row r="4627" spans="1:26">
      <c r="A4627">
        <v>4626</v>
      </c>
      <c r="B4627">
        <v>1516</v>
      </c>
      <c r="C4627" s="2">
        <v>46050</v>
      </c>
      <c r="D4627" t="s">
        <v>52</v>
      </c>
      <c r="E4627">
        <v>1</v>
      </c>
      <c r="F4627" s="3">
        <v>8.7899999999999991</v>
      </c>
      <c r="G4627" t="s">
        <v>27</v>
      </c>
      <c r="H4627">
        <v>66</v>
      </c>
      <c r="I4627" t="s">
        <v>28</v>
      </c>
      <c r="J4627" s="4">
        <v>66.900000000000006</v>
      </c>
      <c r="K4627" s="4">
        <v>129.4</v>
      </c>
      <c r="L4627" s="4">
        <v>20.100000000000001</v>
      </c>
      <c r="M4627">
        <v>20</v>
      </c>
      <c r="N4627" t="s">
        <v>47</v>
      </c>
      <c r="O4627">
        <v>3</v>
      </c>
      <c r="P4627" s="4">
        <v>49.8</v>
      </c>
      <c r="Q4627" t="s">
        <v>48</v>
      </c>
      <c r="R4627">
        <v>0</v>
      </c>
      <c r="S4627" t="s">
        <v>38</v>
      </c>
      <c r="T4627">
        <v>0</v>
      </c>
      <c r="U4627">
        <v>0</v>
      </c>
      <c r="V4627" t="s">
        <v>32</v>
      </c>
      <c r="W4627" t="s">
        <v>49</v>
      </c>
      <c r="X4627" s="4">
        <v>6.3</v>
      </c>
      <c r="Y4627">
        <v>3</v>
      </c>
      <c r="Z4627" s="5">
        <v>204.67</v>
      </c>
    </row>
    <row r="4628" spans="1:26">
      <c r="A4628">
        <v>4627</v>
      </c>
      <c r="B4628">
        <v>1516</v>
      </c>
      <c r="C4628" s="2">
        <v>46050</v>
      </c>
      <c r="D4628" t="s">
        <v>52</v>
      </c>
      <c r="E4628">
        <v>1</v>
      </c>
      <c r="F4628" s="3">
        <v>9.11</v>
      </c>
      <c r="G4628" t="s">
        <v>27</v>
      </c>
      <c r="H4628">
        <v>7</v>
      </c>
      <c r="I4628" t="s">
        <v>34</v>
      </c>
      <c r="J4628" s="4">
        <v>55.8</v>
      </c>
      <c r="K4628" s="4">
        <v>104.8</v>
      </c>
      <c r="L4628" s="4">
        <v>23.6</v>
      </c>
      <c r="M4628">
        <v>15</v>
      </c>
      <c r="N4628" t="s">
        <v>47</v>
      </c>
      <c r="O4628">
        <v>3</v>
      </c>
      <c r="P4628" s="4">
        <v>49.8</v>
      </c>
      <c r="Q4628" t="s">
        <v>48</v>
      </c>
      <c r="R4628">
        <v>0</v>
      </c>
      <c r="S4628" t="s">
        <v>38</v>
      </c>
      <c r="T4628">
        <v>0</v>
      </c>
      <c r="U4628">
        <v>0</v>
      </c>
      <c r="V4628" t="s">
        <v>32</v>
      </c>
      <c r="W4628" t="s">
        <v>49</v>
      </c>
      <c r="X4628" s="4">
        <v>5.0999999999999996</v>
      </c>
      <c r="Y4628">
        <v>8</v>
      </c>
      <c r="Z4628" s="5">
        <v>266.70999999999998</v>
      </c>
    </row>
    <row r="4629" spans="1:26">
      <c r="A4629">
        <v>4628</v>
      </c>
      <c r="B4629">
        <v>1517</v>
      </c>
      <c r="C4629" s="2">
        <v>46187</v>
      </c>
      <c r="D4629" t="s">
        <v>58</v>
      </c>
      <c r="E4629">
        <v>6</v>
      </c>
      <c r="F4629" s="3">
        <v>8.52</v>
      </c>
      <c r="G4629" t="s">
        <v>27</v>
      </c>
      <c r="H4629">
        <v>23</v>
      </c>
      <c r="I4629" t="s">
        <v>28</v>
      </c>
      <c r="J4629" s="4">
        <v>68</v>
      </c>
      <c r="K4629" s="4">
        <v>224.2</v>
      </c>
      <c r="L4629" s="4">
        <v>33.9</v>
      </c>
      <c r="M4629">
        <v>19</v>
      </c>
      <c r="N4629" t="s">
        <v>54</v>
      </c>
      <c r="O4629">
        <v>2</v>
      </c>
      <c r="P4629" s="4">
        <v>2646.6</v>
      </c>
      <c r="Q4629" t="s">
        <v>42</v>
      </c>
      <c r="R4629">
        <v>0</v>
      </c>
      <c r="S4629" t="s">
        <v>38</v>
      </c>
      <c r="T4629">
        <v>0</v>
      </c>
      <c r="U4629">
        <v>1</v>
      </c>
      <c r="V4629" t="s">
        <v>32</v>
      </c>
      <c r="W4629" t="s">
        <v>33</v>
      </c>
      <c r="X4629" s="4">
        <v>9.1</v>
      </c>
      <c r="Y4629">
        <v>9</v>
      </c>
      <c r="Z4629" s="5">
        <v>287.3</v>
      </c>
    </row>
    <row r="4630" spans="1:26">
      <c r="A4630">
        <v>4629</v>
      </c>
      <c r="B4630">
        <v>1517</v>
      </c>
      <c r="C4630" s="2">
        <v>46187</v>
      </c>
      <c r="D4630" t="s">
        <v>58</v>
      </c>
      <c r="E4630">
        <v>6</v>
      </c>
      <c r="F4630" s="3">
        <v>8.4499999999999993</v>
      </c>
      <c r="G4630" t="s">
        <v>27</v>
      </c>
      <c r="H4630">
        <v>9</v>
      </c>
      <c r="I4630" t="s">
        <v>34</v>
      </c>
      <c r="J4630" s="4">
        <v>55</v>
      </c>
      <c r="K4630" s="4">
        <v>92.2</v>
      </c>
      <c r="L4630" s="4">
        <v>21.4</v>
      </c>
      <c r="M4630">
        <v>12</v>
      </c>
      <c r="N4630" t="s">
        <v>54</v>
      </c>
      <c r="O4630">
        <v>2</v>
      </c>
      <c r="P4630" s="4">
        <v>2646.6</v>
      </c>
      <c r="Q4630" t="s">
        <v>42</v>
      </c>
      <c r="R4630">
        <v>0</v>
      </c>
      <c r="S4630" t="s">
        <v>38</v>
      </c>
      <c r="T4630">
        <v>0</v>
      </c>
      <c r="U4630">
        <v>1</v>
      </c>
      <c r="V4630" t="s">
        <v>32</v>
      </c>
      <c r="W4630" t="s">
        <v>33</v>
      </c>
      <c r="X4630" s="4">
        <v>9.4</v>
      </c>
      <c r="Y4630">
        <v>4</v>
      </c>
      <c r="Z4630" s="5">
        <v>264.49</v>
      </c>
    </row>
    <row r="4631" spans="1:26">
      <c r="A4631">
        <v>4630</v>
      </c>
      <c r="B4631">
        <v>1518</v>
      </c>
      <c r="C4631" s="2">
        <v>46128</v>
      </c>
      <c r="D4631" t="s">
        <v>55</v>
      </c>
      <c r="E4631">
        <v>4</v>
      </c>
      <c r="F4631" s="3">
        <v>10.220000000000001</v>
      </c>
      <c r="G4631" t="s">
        <v>27</v>
      </c>
      <c r="H4631">
        <v>53</v>
      </c>
      <c r="I4631" t="s">
        <v>28</v>
      </c>
      <c r="J4631" s="4">
        <v>71.5</v>
      </c>
      <c r="K4631" s="4">
        <v>149.80000000000001</v>
      </c>
      <c r="L4631" s="4">
        <v>20.399999999999999</v>
      </c>
      <c r="M4631">
        <v>15</v>
      </c>
      <c r="N4631" t="s">
        <v>60</v>
      </c>
      <c r="O4631">
        <v>3</v>
      </c>
      <c r="P4631" s="4">
        <v>1237.3</v>
      </c>
      <c r="Q4631" t="s">
        <v>30</v>
      </c>
      <c r="R4631">
        <v>1</v>
      </c>
      <c r="S4631" t="s">
        <v>31</v>
      </c>
      <c r="T4631">
        <v>0</v>
      </c>
      <c r="U4631">
        <v>1</v>
      </c>
      <c r="V4631" t="s">
        <v>32</v>
      </c>
      <c r="W4631" t="s">
        <v>33</v>
      </c>
      <c r="X4631" s="4">
        <v>10.8</v>
      </c>
      <c r="Y4631">
        <v>2</v>
      </c>
      <c r="Z4631" s="5">
        <v>160.18</v>
      </c>
    </row>
    <row r="4632" spans="1:26">
      <c r="A4632">
        <v>4631</v>
      </c>
      <c r="B4632">
        <v>1518</v>
      </c>
      <c r="C4632" s="2">
        <v>46128</v>
      </c>
      <c r="D4632" t="s">
        <v>55</v>
      </c>
      <c r="E4632">
        <v>4</v>
      </c>
      <c r="F4632" s="3">
        <v>10.11</v>
      </c>
      <c r="G4632" t="s">
        <v>27</v>
      </c>
      <c r="H4632">
        <v>54</v>
      </c>
      <c r="I4632" t="s">
        <v>34</v>
      </c>
      <c r="J4632" s="4">
        <v>58.5</v>
      </c>
      <c r="K4632" s="4">
        <v>113.4</v>
      </c>
      <c r="L4632" s="4">
        <v>23.1</v>
      </c>
      <c r="M4632">
        <v>15</v>
      </c>
      <c r="N4632" t="s">
        <v>60</v>
      </c>
      <c r="O4632">
        <v>3</v>
      </c>
      <c r="P4632" s="4">
        <v>1237.3</v>
      </c>
      <c r="Q4632" t="s">
        <v>30</v>
      </c>
      <c r="R4632">
        <v>1</v>
      </c>
      <c r="S4632" t="s">
        <v>31</v>
      </c>
      <c r="T4632">
        <v>0</v>
      </c>
      <c r="U4632">
        <v>1</v>
      </c>
      <c r="V4632" t="s">
        <v>32</v>
      </c>
      <c r="W4632" t="s">
        <v>33</v>
      </c>
      <c r="X4632" s="4">
        <v>7.7</v>
      </c>
      <c r="Y4632">
        <v>14</v>
      </c>
      <c r="Z4632" s="5">
        <v>164</v>
      </c>
    </row>
    <row r="4633" spans="1:26">
      <c r="A4633">
        <v>4632</v>
      </c>
      <c r="B4633">
        <v>1518</v>
      </c>
      <c r="C4633" s="2">
        <v>46128</v>
      </c>
      <c r="D4633" t="s">
        <v>55</v>
      </c>
      <c r="E4633">
        <v>4</v>
      </c>
      <c r="F4633" s="3">
        <v>10.24</v>
      </c>
      <c r="G4633" t="s">
        <v>27</v>
      </c>
      <c r="H4633">
        <v>18</v>
      </c>
      <c r="I4633" t="s">
        <v>34</v>
      </c>
      <c r="J4633" s="4">
        <v>64.5</v>
      </c>
      <c r="K4633" s="4">
        <v>152.1</v>
      </c>
      <c r="L4633" s="4">
        <v>25.6</v>
      </c>
      <c r="M4633">
        <v>8</v>
      </c>
      <c r="N4633" t="s">
        <v>60</v>
      </c>
      <c r="O4633">
        <v>3</v>
      </c>
      <c r="P4633" s="4">
        <v>1237.3</v>
      </c>
      <c r="Q4633" t="s">
        <v>30</v>
      </c>
      <c r="R4633">
        <v>1</v>
      </c>
      <c r="S4633" t="s">
        <v>31</v>
      </c>
      <c r="T4633">
        <v>0</v>
      </c>
      <c r="U4633">
        <v>1</v>
      </c>
      <c r="V4633" t="s">
        <v>32</v>
      </c>
      <c r="W4633" t="s">
        <v>33</v>
      </c>
      <c r="X4633" s="4">
        <v>10.1</v>
      </c>
      <c r="Y4633">
        <v>9</v>
      </c>
      <c r="Z4633" s="5">
        <v>172.8</v>
      </c>
    </row>
    <row r="4634" spans="1:26">
      <c r="A4634">
        <v>4633</v>
      </c>
      <c r="B4634">
        <v>1519</v>
      </c>
      <c r="C4634" s="2">
        <v>46254</v>
      </c>
      <c r="D4634" t="s">
        <v>55</v>
      </c>
      <c r="E4634">
        <v>8</v>
      </c>
      <c r="F4634" s="3">
        <v>8.64</v>
      </c>
      <c r="G4634" t="s">
        <v>27</v>
      </c>
      <c r="H4634">
        <v>26</v>
      </c>
      <c r="I4634" t="s">
        <v>28</v>
      </c>
      <c r="J4634" s="4">
        <v>68.7</v>
      </c>
      <c r="K4634" s="4">
        <v>202.4</v>
      </c>
      <c r="L4634" s="4">
        <v>30.4</v>
      </c>
      <c r="M4634">
        <v>15</v>
      </c>
      <c r="N4634" t="s">
        <v>60</v>
      </c>
      <c r="O4634">
        <v>2</v>
      </c>
      <c r="P4634" s="4">
        <v>1686.8</v>
      </c>
      <c r="Q4634" t="s">
        <v>30</v>
      </c>
      <c r="R4634">
        <v>1</v>
      </c>
      <c r="S4634" t="s">
        <v>38</v>
      </c>
      <c r="T4634">
        <v>0</v>
      </c>
      <c r="U4634">
        <v>1</v>
      </c>
      <c r="V4634" t="s">
        <v>32</v>
      </c>
      <c r="W4634" t="s">
        <v>33</v>
      </c>
      <c r="X4634" s="4">
        <v>11</v>
      </c>
      <c r="Y4634">
        <v>10</v>
      </c>
      <c r="Z4634" s="5">
        <v>231.67</v>
      </c>
    </row>
    <row r="4635" spans="1:26">
      <c r="A4635">
        <v>4634</v>
      </c>
      <c r="B4635">
        <v>1519</v>
      </c>
      <c r="C4635" s="2">
        <v>46254</v>
      </c>
      <c r="D4635" t="s">
        <v>55</v>
      </c>
      <c r="E4635">
        <v>8</v>
      </c>
      <c r="F4635" s="3">
        <v>8.89</v>
      </c>
      <c r="G4635" t="s">
        <v>27</v>
      </c>
      <c r="H4635">
        <v>70</v>
      </c>
      <c r="I4635" t="s">
        <v>34</v>
      </c>
      <c r="J4635" s="4">
        <v>64.099999999999994</v>
      </c>
      <c r="K4635" s="4">
        <v>121.2</v>
      </c>
      <c r="L4635" s="4">
        <v>21</v>
      </c>
      <c r="M4635">
        <v>15</v>
      </c>
      <c r="N4635" t="s">
        <v>60</v>
      </c>
      <c r="O4635">
        <v>2</v>
      </c>
      <c r="P4635" s="4">
        <v>1686.8</v>
      </c>
      <c r="Q4635" t="s">
        <v>30</v>
      </c>
      <c r="R4635">
        <v>1</v>
      </c>
      <c r="S4635" t="s">
        <v>38</v>
      </c>
      <c r="T4635">
        <v>0</v>
      </c>
      <c r="U4635">
        <v>1</v>
      </c>
      <c r="V4635" t="s">
        <v>32</v>
      </c>
      <c r="W4635" t="s">
        <v>33</v>
      </c>
      <c r="X4635" s="4">
        <v>7.7</v>
      </c>
      <c r="Y4635">
        <v>2</v>
      </c>
      <c r="Z4635" s="5">
        <v>170.77</v>
      </c>
    </row>
    <row r="4636" spans="1:26">
      <c r="A4636">
        <v>4635</v>
      </c>
      <c r="B4636">
        <v>1520</v>
      </c>
      <c r="C4636" s="2">
        <v>46107</v>
      </c>
      <c r="D4636" t="s">
        <v>55</v>
      </c>
      <c r="E4636">
        <v>3</v>
      </c>
      <c r="F4636" s="3">
        <v>8.0399999999999991</v>
      </c>
      <c r="G4636" t="s">
        <v>27</v>
      </c>
      <c r="H4636">
        <v>8</v>
      </c>
      <c r="I4636" t="s">
        <v>28</v>
      </c>
      <c r="J4636" s="4">
        <v>59.1</v>
      </c>
      <c r="K4636" s="4">
        <v>94.9</v>
      </c>
      <c r="L4636" s="4">
        <v>19</v>
      </c>
      <c r="M4636">
        <v>15</v>
      </c>
      <c r="N4636" t="s">
        <v>47</v>
      </c>
      <c r="O4636">
        <v>5</v>
      </c>
      <c r="P4636" s="4">
        <v>108.3</v>
      </c>
      <c r="Q4636" t="s">
        <v>48</v>
      </c>
      <c r="R4636">
        <v>1</v>
      </c>
      <c r="S4636" t="s">
        <v>44</v>
      </c>
      <c r="T4636">
        <v>1</v>
      </c>
      <c r="U4636">
        <v>0</v>
      </c>
      <c r="V4636" t="s">
        <v>32</v>
      </c>
      <c r="W4636" t="s">
        <v>39</v>
      </c>
      <c r="X4636" s="4">
        <v>6.6</v>
      </c>
      <c r="Y4636">
        <v>10</v>
      </c>
      <c r="Z4636" s="5">
        <v>362.39</v>
      </c>
    </row>
    <row r="4637" spans="1:26">
      <c r="A4637">
        <v>4636</v>
      </c>
      <c r="B4637">
        <v>1520</v>
      </c>
      <c r="C4637" s="2">
        <v>46107</v>
      </c>
      <c r="D4637" t="s">
        <v>55</v>
      </c>
      <c r="E4637">
        <v>3</v>
      </c>
      <c r="F4637" s="3">
        <v>7.96</v>
      </c>
      <c r="G4637" t="s">
        <v>27</v>
      </c>
      <c r="H4637">
        <v>70</v>
      </c>
      <c r="I4637" t="s">
        <v>34</v>
      </c>
      <c r="J4637" s="4">
        <v>62.8</v>
      </c>
      <c r="K4637" s="4">
        <v>135.30000000000001</v>
      </c>
      <c r="L4637" s="4">
        <v>24.1</v>
      </c>
      <c r="M4637">
        <v>18</v>
      </c>
      <c r="N4637" t="s">
        <v>47</v>
      </c>
      <c r="O4637">
        <v>5</v>
      </c>
      <c r="P4637" s="4">
        <v>108.3</v>
      </c>
      <c r="Q4637" t="s">
        <v>48</v>
      </c>
      <c r="R4637">
        <v>1</v>
      </c>
      <c r="S4637" t="s">
        <v>44</v>
      </c>
      <c r="T4637">
        <v>1</v>
      </c>
      <c r="U4637">
        <v>0</v>
      </c>
      <c r="V4637" t="s">
        <v>32</v>
      </c>
      <c r="W4637" t="s">
        <v>39</v>
      </c>
      <c r="X4637" s="4">
        <v>9.4</v>
      </c>
      <c r="Y4637">
        <v>13</v>
      </c>
      <c r="Z4637" s="5">
        <v>333.15</v>
      </c>
    </row>
    <row r="4638" spans="1:26">
      <c r="A4638">
        <v>4637</v>
      </c>
      <c r="B4638">
        <v>1520</v>
      </c>
      <c r="C4638" s="2">
        <v>46107</v>
      </c>
      <c r="D4638" t="s">
        <v>55</v>
      </c>
      <c r="E4638">
        <v>3</v>
      </c>
      <c r="F4638" s="3">
        <v>7.98</v>
      </c>
      <c r="G4638" t="s">
        <v>27</v>
      </c>
      <c r="H4638">
        <v>18</v>
      </c>
      <c r="I4638" t="s">
        <v>34</v>
      </c>
      <c r="J4638" s="4">
        <v>61.6</v>
      </c>
      <c r="K4638" s="4">
        <v>181.6</v>
      </c>
      <c r="L4638" s="4">
        <v>33.4</v>
      </c>
      <c r="M4638">
        <v>12</v>
      </c>
      <c r="N4638" t="s">
        <v>47</v>
      </c>
      <c r="O4638">
        <v>5</v>
      </c>
      <c r="P4638" s="4">
        <v>108.3</v>
      </c>
      <c r="Q4638" t="s">
        <v>48</v>
      </c>
      <c r="R4638">
        <v>1</v>
      </c>
      <c r="S4638" t="s">
        <v>44</v>
      </c>
      <c r="T4638">
        <v>1</v>
      </c>
      <c r="U4638">
        <v>0</v>
      </c>
      <c r="V4638" t="s">
        <v>32</v>
      </c>
      <c r="W4638" t="s">
        <v>39</v>
      </c>
      <c r="X4638" s="4">
        <v>5.4</v>
      </c>
      <c r="Y4638">
        <v>7</v>
      </c>
      <c r="Z4638" s="5">
        <v>196.82</v>
      </c>
    </row>
    <row r="4639" spans="1:26">
      <c r="A4639">
        <v>4638</v>
      </c>
      <c r="B4639">
        <v>1520</v>
      </c>
      <c r="C4639" s="2">
        <v>46107</v>
      </c>
      <c r="D4639" t="s">
        <v>55</v>
      </c>
      <c r="E4639">
        <v>3</v>
      </c>
      <c r="F4639" s="3">
        <v>8.07</v>
      </c>
      <c r="G4639" t="s">
        <v>27</v>
      </c>
      <c r="H4639">
        <v>42</v>
      </c>
      <c r="I4639" t="s">
        <v>28</v>
      </c>
      <c r="J4639" s="4">
        <v>71.599999999999994</v>
      </c>
      <c r="K4639" s="4">
        <v>162.4</v>
      </c>
      <c r="L4639" s="4">
        <v>22.1</v>
      </c>
      <c r="M4639">
        <v>18</v>
      </c>
      <c r="N4639" t="s">
        <v>47</v>
      </c>
      <c r="O4639">
        <v>5</v>
      </c>
      <c r="P4639" s="4">
        <v>108.3</v>
      </c>
      <c r="Q4639" t="s">
        <v>48</v>
      </c>
      <c r="R4639">
        <v>1</v>
      </c>
      <c r="S4639" t="s">
        <v>44</v>
      </c>
      <c r="T4639">
        <v>1</v>
      </c>
      <c r="U4639">
        <v>0</v>
      </c>
      <c r="V4639" t="s">
        <v>32</v>
      </c>
      <c r="W4639" t="s">
        <v>39</v>
      </c>
      <c r="X4639" s="4">
        <v>10.4</v>
      </c>
      <c r="Y4639">
        <v>11</v>
      </c>
      <c r="Z4639" s="5">
        <v>273.47000000000003</v>
      </c>
    </row>
    <row r="4640" spans="1:26">
      <c r="A4640">
        <v>4639</v>
      </c>
      <c r="B4640">
        <v>1520</v>
      </c>
      <c r="C4640" s="2">
        <v>46107</v>
      </c>
      <c r="D4640" t="s">
        <v>55</v>
      </c>
      <c r="E4640">
        <v>3</v>
      </c>
      <c r="F4640" s="3">
        <v>7.86</v>
      </c>
      <c r="G4640" t="s">
        <v>27</v>
      </c>
      <c r="H4640">
        <v>18</v>
      </c>
      <c r="I4640" t="s">
        <v>34</v>
      </c>
      <c r="J4640" s="4">
        <v>67.2</v>
      </c>
      <c r="K4640" s="4">
        <v>155.69999999999999</v>
      </c>
      <c r="L4640" s="4">
        <v>24.1</v>
      </c>
      <c r="M4640">
        <v>13</v>
      </c>
      <c r="N4640" t="s">
        <v>47</v>
      </c>
      <c r="O4640">
        <v>5</v>
      </c>
      <c r="P4640" s="4">
        <v>108.3</v>
      </c>
      <c r="Q4640" t="s">
        <v>48</v>
      </c>
      <c r="R4640">
        <v>1</v>
      </c>
      <c r="S4640" t="s">
        <v>44</v>
      </c>
      <c r="T4640">
        <v>1</v>
      </c>
      <c r="U4640">
        <v>0</v>
      </c>
      <c r="V4640" t="s">
        <v>32</v>
      </c>
      <c r="W4640" t="s">
        <v>39</v>
      </c>
      <c r="X4640" s="4">
        <v>9.3000000000000007</v>
      </c>
      <c r="Y4640">
        <v>9</v>
      </c>
      <c r="Z4640" s="5">
        <v>310.83999999999997</v>
      </c>
    </row>
    <row r="4641" spans="1:26">
      <c r="A4641">
        <v>4640</v>
      </c>
      <c r="B4641">
        <v>1521</v>
      </c>
      <c r="C4641" s="2">
        <v>46064</v>
      </c>
      <c r="D4641" t="s">
        <v>52</v>
      </c>
      <c r="E4641">
        <v>2</v>
      </c>
      <c r="F4641" s="3">
        <v>11.12</v>
      </c>
      <c r="G4641" t="s">
        <v>36</v>
      </c>
      <c r="H4641">
        <v>26</v>
      </c>
      <c r="I4641" t="s">
        <v>34</v>
      </c>
      <c r="J4641" s="4">
        <v>64.099999999999994</v>
      </c>
      <c r="K4641" s="4">
        <v>150.4</v>
      </c>
      <c r="L4641" s="4">
        <v>25.8</v>
      </c>
      <c r="M4641">
        <v>16</v>
      </c>
      <c r="N4641" t="s">
        <v>56</v>
      </c>
      <c r="O4641">
        <v>5</v>
      </c>
      <c r="P4641" s="4">
        <v>243</v>
      </c>
      <c r="Q4641" t="s">
        <v>42</v>
      </c>
      <c r="R4641">
        <v>0</v>
      </c>
      <c r="S4641" t="s">
        <v>44</v>
      </c>
      <c r="T4641">
        <v>0</v>
      </c>
      <c r="U4641">
        <v>0</v>
      </c>
      <c r="V4641" t="s">
        <v>45</v>
      </c>
      <c r="W4641" t="s">
        <v>39</v>
      </c>
      <c r="X4641" s="4">
        <v>8.6999999999999993</v>
      </c>
      <c r="Y4641">
        <v>1</v>
      </c>
      <c r="Z4641" s="5">
        <v>118.28</v>
      </c>
    </row>
    <row r="4642" spans="1:26">
      <c r="A4642">
        <v>4641</v>
      </c>
      <c r="B4642">
        <v>1521</v>
      </c>
      <c r="C4642" s="2">
        <v>46064</v>
      </c>
      <c r="D4642" t="s">
        <v>52</v>
      </c>
      <c r="E4642">
        <v>2</v>
      </c>
      <c r="F4642" s="3">
        <v>10.97</v>
      </c>
      <c r="G4642" t="s">
        <v>27</v>
      </c>
      <c r="H4642">
        <v>55</v>
      </c>
      <c r="I4642" t="s">
        <v>34</v>
      </c>
      <c r="J4642" s="4">
        <v>62.6</v>
      </c>
      <c r="K4642" s="4">
        <v>132.30000000000001</v>
      </c>
      <c r="L4642" s="4">
        <v>23.7</v>
      </c>
      <c r="M4642">
        <v>15</v>
      </c>
      <c r="N4642" t="s">
        <v>56</v>
      </c>
      <c r="O4642">
        <v>5</v>
      </c>
      <c r="P4642" s="4">
        <v>243</v>
      </c>
      <c r="Q4642" t="s">
        <v>42</v>
      </c>
      <c r="R4642">
        <v>0</v>
      </c>
      <c r="S4642" t="s">
        <v>44</v>
      </c>
      <c r="T4642">
        <v>0</v>
      </c>
      <c r="U4642">
        <v>0</v>
      </c>
      <c r="V4642" t="s">
        <v>45</v>
      </c>
      <c r="W4642" t="s">
        <v>39</v>
      </c>
      <c r="X4642" s="4">
        <v>7.5</v>
      </c>
      <c r="Y4642">
        <v>8</v>
      </c>
      <c r="Z4642" s="5">
        <v>154.1</v>
      </c>
    </row>
    <row r="4643" spans="1:26">
      <c r="A4643">
        <v>4642</v>
      </c>
      <c r="B4643">
        <v>1521</v>
      </c>
      <c r="C4643" s="2">
        <v>46064</v>
      </c>
      <c r="D4643" t="s">
        <v>52</v>
      </c>
      <c r="E4643">
        <v>2</v>
      </c>
      <c r="F4643" s="3">
        <v>11.09</v>
      </c>
      <c r="G4643" t="s">
        <v>36</v>
      </c>
      <c r="H4643">
        <v>59</v>
      </c>
      <c r="I4643" t="s">
        <v>34</v>
      </c>
      <c r="J4643" s="4">
        <v>60.7</v>
      </c>
      <c r="K4643" s="4">
        <v>102.3</v>
      </c>
      <c r="L4643" s="4">
        <v>19.399999999999999</v>
      </c>
      <c r="M4643">
        <v>20</v>
      </c>
      <c r="N4643" t="s">
        <v>56</v>
      </c>
      <c r="O4643">
        <v>5</v>
      </c>
      <c r="P4643" s="4">
        <v>243</v>
      </c>
      <c r="Q4643" t="s">
        <v>42</v>
      </c>
      <c r="R4643">
        <v>0</v>
      </c>
      <c r="S4643" t="s">
        <v>44</v>
      </c>
      <c r="T4643">
        <v>0</v>
      </c>
      <c r="U4643">
        <v>0</v>
      </c>
      <c r="V4643" t="s">
        <v>45</v>
      </c>
      <c r="W4643" t="s">
        <v>39</v>
      </c>
      <c r="X4643" s="4">
        <v>5.0999999999999996</v>
      </c>
      <c r="Y4643">
        <v>6</v>
      </c>
      <c r="Z4643" s="5">
        <v>132.46</v>
      </c>
    </row>
    <row r="4644" spans="1:26">
      <c r="A4644">
        <v>4643</v>
      </c>
      <c r="B4644">
        <v>1521</v>
      </c>
      <c r="C4644" s="2">
        <v>46064</v>
      </c>
      <c r="D4644" t="s">
        <v>52</v>
      </c>
      <c r="E4644">
        <v>2</v>
      </c>
      <c r="F4644" s="3">
        <v>10.81</v>
      </c>
      <c r="G4644" t="s">
        <v>27</v>
      </c>
      <c r="H4644">
        <v>41</v>
      </c>
      <c r="I4644" t="s">
        <v>28</v>
      </c>
      <c r="J4644" s="4">
        <v>69.7</v>
      </c>
      <c r="K4644" s="4">
        <v>142.1</v>
      </c>
      <c r="L4644" s="4">
        <v>20.399999999999999</v>
      </c>
      <c r="M4644">
        <v>11</v>
      </c>
      <c r="N4644" t="s">
        <v>56</v>
      </c>
      <c r="O4644">
        <v>5</v>
      </c>
      <c r="P4644" s="4">
        <v>243</v>
      </c>
      <c r="Q4644" t="s">
        <v>42</v>
      </c>
      <c r="R4644">
        <v>0</v>
      </c>
      <c r="S4644" t="s">
        <v>44</v>
      </c>
      <c r="T4644">
        <v>0</v>
      </c>
      <c r="U4644">
        <v>0</v>
      </c>
      <c r="V4644" t="s">
        <v>45</v>
      </c>
      <c r="W4644" t="s">
        <v>39</v>
      </c>
      <c r="X4644" s="4">
        <v>7.9</v>
      </c>
      <c r="Y4644">
        <v>7</v>
      </c>
      <c r="Z4644" s="5">
        <v>194.65</v>
      </c>
    </row>
    <row r="4645" spans="1:26">
      <c r="A4645">
        <v>4644</v>
      </c>
      <c r="B4645">
        <v>1521</v>
      </c>
      <c r="C4645" s="2">
        <v>46064</v>
      </c>
      <c r="D4645" t="s">
        <v>52</v>
      </c>
      <c r="E4645">
        <v>2</v>
      </c>
      <c r="F4645" s="3">
        <v>11.05</v>
      </c>
      <c r="G4645" t="s">
        <v>36</v>
      </c>
      <c r="H4645">
        <v>37</v>
      </c>
      <c r="I4645" t="s">
        <v>34</v>
      </c>
      <c r="J4645" s="4">
        <v>63.6</v>
      </c>
      <c r="K4645" s="4">
        <v>139.30000000000001</v>
      </c>
      <c r="L4645" s="4">
        <v>24.3</v>
      </c>
      <c r="M4645">
        <v>17</v>
      </c>
      <c r="N4645" t="s">
        <v>56</v>
      </c>
      <c r="O4645">
        <v>5</v>
      </c>
      <c r="P4645" s="4">
        <v>243</v>
      </c>
      <c r="Q4645" t="s">
        <v>42</v>
      </c>
      <c r="R4645">
        <v>0</v>
      </c>
      <c r="S4645" t="s">
        <v>44</v>
      </c>
      <c r="T4645">
        <v>0</v>
      </c>
      <c r="U4645">
        <v>0</v>
      </c>
      <c r="V4645" t="s">
        <v>45</v>
      </c>
      <c r="W4645" t="s">
        <v>39</v>
      </c>
      <c r="X4645" s="4">
        <v>9.6</v>
      </c>
      <c r="Y4645">
        <v>13</v>
      </c>
      <c r="Z4645" s="5">
        <v>297.27</v>
      </c>
    </row>
    <row r="4646" spans="1:26">
      <c r="A4646">
        <v>4645</v>
      </c>
      <c r="B4646">
        <v>1522</v>
      </c>
      <c r="C4646" s="2">
        <v>46119</v>
      </c>
      <c r="D4646" t="s">
        <v>35</v>
      </c>
      <c r="E4646">
        <v>4</v>
      </c>
      <c r="F4646" s="3">
        <v>7.16</v>
      </c>
      <c r="G4646" t="s">
        <v>27</v>
      </c>
      <c r="H4646">
        <v>22</v>
      </c>
      <c r="I4646" t="s">
        <v>34</v>
      </c>
      <c r="J4646" s="4">
        <v>61.8</v>
      </c>
      <c r="K4646" s="4">
        <v>139.80000000000001</v>
      </c>
      <c r="L4646" s="4">
        <v>25.4</v>
      </c>
      <c r="M4646">
        <v>17</v>
      </c>
      <c r="N4646" t="s">
        <v>67</v>
      </c>
      <c r="O4646">
        <v>2</v>
      </c>
      <c r="P4646" s="4">
        <v>959.4</v>
      </c>
      <c r="Q4646" t="s">
        <v>42</v>
      </c>
      <c r="R4646">
        <v>1</v>
      </c>
      <c r="S4646" t="s">
        <v>44</v>
      </c>
      <c r="T4646">
        <v>1</v>
      </c>
      <c r="U4646">
        <v>1</v>
      </c>
      <c r="V4646" t="s">
        <v>45</v>
      </c>
      <c r="W4646" t="s">
        <v>33</v>
      </c>
      <c r="X4646" s="4">
        <v>11.5</v>
      </c>
      <c r="Y4646">
        <v>8</v>
      </c>
      <c r="Z4646" s="5">
        <v>300.54000000000002</v>
      </c>
    </row>
    <row r="4647" spans="1:26">
      <c r="A4647">
        <v>4646</v>
      </c>
      <c r="B4647">
        <v>1522</v>
      </c>
      <c r="C4647" s="2">
        <v>46119</v>
      </c>
      <c r="D4647" t="s">
        <v>35</v>
      </c>
      <c r="E4647">
        <v>4</v>
      </c>
      <c r="F4647" s="3">
        <v>7.15</v>
      </c>
      <c r="G4647" t="s">
        <v>27</v>
      </c>
      <c r="H4647">
        <v>21</v>
      </c>
      <c r="I4647" t="s">
        <v>28</v>
      </c>
      <c r="J4647" s="4">
        <v>67.900000000000006</v>
      </c>
      <c r="K4647" s="4">
        <v>215.5</v>
      </c>
      <c r="L4647" s="4">
        <v>32.799999999999997</v>
      </c>
      <c r="M4647">
        <v>13</v>
      </c>
      <c r="N4647" t="s">
        <v>67</v>
      </c>
      <c r="O4647">
        <v>2</v>
      </c>
      <c r="P4647" s="4">
        <v>959.4</v>
      </c>
      <c r="Q4647" t="s">
        <v>42</v>
      </c>
      <c r="R4647">
        <v>1</v>
      </c>
      <c r="S4647" t="s">
        <v>44</v>
      </c>
      <c r="T4647">
        <v>1</v>
      </c>
      <c r="U4647">
        <v>1</v>
      </c>
      <c r="V4647" t="s">
        <v>45</v>
      </c>
      <c r="W4647" t="s">
        <v>33</v>
      </c>
      <c r="X4647" s="4">
        <v>8.1</v>
      </c>
      <c r="Y4647">
        <v>8</v>
      </c>
      <c r="Z4647" s="5">
        <v>197.79</v>
      </c>
    </row>
    <row r="4648" spans="1:26">
      <c r="A4648">
        <v>4647</v>
      </c>
      <c r="B4648">
        <v>1523</v>
      </c>
      <c r="C4648" s="2">
        <v>46270</v>
      </c>
      <c r="D4648" t="s">
        <v>40</v>
      </c>
      <c r="E4648">
        <v>9</v>
      </c>
      <c r="F4648" s="3">
        <v>9.6300000000000008</v>
      </c>
      <c r="G4648" t="s">
        <v>27</v>
      </c>
      <c r="H4648">
        <v>59</v>
      </c>
      <c r="I4648" t="s">
        <v>34</v>
      </c>
      <c r="J4648" s="4">
        <v>64.599999999999994</v>
      </c>
      <c r="K4648" s="4">
        <v>131.4</v>
      </c>
      <c r="L4648" s="4">
        <v>21.8</v>
      </c>
      <c r="M4648">
        <v>14</v>
      </c>
      <c r="N4648" t="s">
        <v>47</v>
      </c>
      <c r="O4648">
        <v>4</v>
      </c>
      <c r="P4648" s="4">
        <v>123.2</v>
      </c>
      <c r="Q4648" t="s">
        <v>42</v>
      </c>
      <c r="R4648">
        <v>0</v>
      </c>
      <c r="S4648" t="s">
        <v>44</v>
      </c>
      <c r="T4648">
        <v>0</v>
      </c>
      <c r="U4648">
        <v>1</v>
      </c>
      <c r="V4648" t="s">
        <v>32</v>
      </c>
      <c r="W4648" t="s">
        <v>33</v>
      </c>
      <c r="X4648" s="4">
        <v>7</v>
      </c>
      <c r="Y4648">
        <v>5</v>
      </c>
      <c r="Z4648" s="5">
        <v>181.38</v>
      </c>
    </row>
    <row r="4649" spans="1:26">
      <c r="A4649">
        <v>4648</v>
      </c>
      <c r="B4649">
        <v>1523</v>
      </c>
      <c r="C4649" s="2">
        <v>46270</v>
      </c>
      <c r="D4649" t="s">
        <v>40</v>
      </c>
      <c r="E4649">
        <v>9</v>
      </c>
      <c r="F4649" s="3">
        <v>9.69</v>
      </c>
      <c r="G4649" t="s">
        <v>27</v>
      </c>
      <c r="H4649">
        <v>19</v>
      </c>
      <c r="I4649" t="s">
        <v>34</v>
      </c>
      <c r="J4649" s="4">
        <v>62.8</v>
      </c>
      <c r="K4649" s="4">
        <v>191.1</v>
      </c>
      <c r="L4649" s="4">
        <v>33.9</v>
      </c>
      <c r="M4649">
        <v>14</v>
      </c>
      <c r="N4649" t="s">
        <v>47</v>
      </c>
      <c r="O4649">
        <v>4</v>
      </c>
      <c r="P4649" s="4">
        <v>123.2</v>
      </c>
      <c r="Q4649" t="s">
        <v>42</v>
      </c>
      <c r="R4649">
        <v>0</v>
      </c>
      <c r="S4649" t="s">
        <v>44</v>
      </c>
      <c r="T4649">
        <v>0</v>
      </c>
      <c r="U4649">
        <v>1</v>
      </c>
      <c r="V4649" t="s">
        <v>32</v>
      </c>
      <c r="W4649" t="s">
        <v>33</v>
      </c>
      <c r="X4649" s="4">
        <v>7.9</v>
      </c>
      <c r="Y4649">
        <v>6</v>
      </c>
      <c r="Z4649" s="5">
        <v>220.92</v>
      </c>
    </row>
    <row r="4650" spans="1:26">
      <c r="A4650">
        <v>4649</v>
      </c>
      <c r="B4650">
        <v>1523</v>
      </c>
      <c r="C4650" s="2">
        <v>46270</v>
      </c>
      <c r="D4650" t="s">
        <v>40</v>
      </c>
      <c r="E4650">
        <v>9</v>
      </c>
      <c r="F4650" s="3">
        <v>9.75</v>
      </c>
      <c r="G4650" t="s">
        <v>27</v>
      </c>
      <c r="H4650">
        <v>45</v>
      </c>
      <c r="I4650" t="s">
        <v>28</v>
      </c>
      <c r="J4650" s="4">
        <v>74.7</v>
      </c>
      <c r="K4650" s="4">
        <v>147</v>
      </c>
      <c r="L4650" s="4">
        <v>18.600000000000001</v>
      </c>
      <c r="M4650">
        <v>14</v>
      </c>
      <c r="N4650" t="s">
        <v>47</v>
      </c>
      <c r="O4650">
        <v>4</v>
      </c>
      <c r="P4650" s="4">
        <v>123.2</v>
      </c>
      <c r="Q4650" t="s">
        <v>42</v>
      </c>
      <c r="R4650">
        <v>0</v>
      </c>
      <c r="S4650" t="s">
        <v>44</v>
      </c>
      <c r="T4650">
        <v>0</v>
      </c>
      <c r="U4650">
        <v>1</v>
      </c>
      <c r="V4650" t="s">
        <v>32</v>
      </c>
      <c r="W4650" t="s">
        <v>33</v>
      </c>
      <c r="X4650" s="4">
        <v>11</v>
      </c>
      <c r="Y4650">
        <v>9</v>
      </c>
      <c r="Z4650" s="5">
        <v>281.77</v>
      </c>
    </row>
    <row r="4651" spans="1:26">
      <c r="A4651">
        <v>4650</v>
      </c>
      <c r="B4651">
        <v>1523</v>
      </c>
      <c r="C4651" s="2">
        <v>46270</v>
      </c>
      <c r="D4651" t="s">
        <v>40</v>
      </c>
      <c r="E4651">
        <v>9</v>
      </c>
      <c r="F4651" s="3">
        <v>9.57</v>
      </c>
      <c r="G4651" t="s">
        <v>27</v>
      </c>
      <c r="H4651">
        <v>29</v>
      </c>
      <c r="I4651" t="s">
        <v>34</v>
      </c>
      <c r="J4651" s="4">
        <v>68.7</v>
      </c>
      <c r="K4651" s="4">
        <v>177</v>
      </c>
      <c r="L4651" s="4">
        <v>26.5</v>
      </c>
      <c r="M4651">
        <v>14</v>
      </c>
      <c r="N4651" t="s">
        <v>47</v>
      </c>
      <c r="O4651">
        <v>4</v>
      </c>
      <c r="P4651" s="4">
        <v>123.2</v>
      </c>
      <c r="Q4651" t="s">
        <v>42</v>
      </c>
      <c r="R4651">
        <v>0</v>
      </c>
      <c r="S4651" t="s">
        <v>44</v>
      </c>
      <c r="T4651">
        <v>0</v>
      </c>
      <c r="U4651">
        <v>1</v>
      </c>
      <c r="V4651" t="s">
        <v>32</v>
      </c>
      <c r="W4651" t="s">
        <v>33</v>
      </c>
      <c r="X4651" s="4">
        <v>7.2</v>
      </c>
      <c r="Y4651">
        <v>7</v>
      </c>
      <c r="Z4651" s="5">
        <v>231.07</v>
      </c>
    </row>
    <row r="4652" spans="1:26">
      <c r="A4652">
        <v>4651</v>
      </c>
      <c r="B4652">
        <v>1524</v>
      </c>
      <c r="C4652" s="2">
        <v>46169</v>
      </c>
      <c r="D4652" t="s">
        <v>52</v>
      </c>
      <c r="E4652">
        <v>5</v>
      </c>
      <c r="F4652" s="3">
        <v>9.8699999999999992</v>
      </c>
      <c r="G4652" t="s">
        <v>27</v>
      </c>
      <c r="H4652">
        <v>8</v>
      </c>
      <c r="I4652" t="s">
        <v>34</v>
      </c>
      <c r="J4652" s="4">
        <v>60.2</v>
      </c>
      <c r="K4652" s="4">
        <v>94.2</v>
      </c>
      <c r="L4652" s="4">
        <v>18.100000000000001</v>
      </c>
      <c r="M4652">
        <v>9</v>
      </c>
      <c r="N4652" t="s">
        <v>37</v>
      </c>
      <c r="O4652">
        <v>2</v>
      </c>
      <c r="P4652" s="4">
        <v>1095</v>
      </c>
      <c r="Q4652" t="s">
        <v>30</v>
      </c>
      <c r="R4652">
        <v>1</v>
      </c>
      <c r="S4652" t="s">
        <v>38</v>
      </c>
      <c r="T4652">
        <v>1</v>
      </c>
      <c r="U4652">
        <v>0</v>
      </c>
      <c r="V4652" t="s">
        <v>32</v>
      </c>
      <c r="W4652" t="s">
        <v>39</v>
      </c>
      <c r="X4652" s="4">
        <v>8.9</v>
      </c>
      <c r="Y4652">
        <v>6</v>
      </c>
      <c r="Z4652" s="5">
        <v>178.35</v>
      </c>
    </row>
    <row r="4653" spans="1:26">
      <c r="A4653">
        <v>4652</v>
      </c>
      <c r="B4653">
        <v>1524</v>
      </c>
      <c r="C4653" s="2">
        <v>46169</v>
      </c>
      <c r="D4653" t="s">
        <v>52</v>
      </c>
      <c r="E4653">
        <v>5</v>
      </c>
      <c r="F4653" s="3">
        <v>9.8699999999999992</v>
      </c>
      <c r="G4653" t="s">
        <v>27</v>
      </c>
      <c r="H4653">
        <v>40</v>
      </c>
      <c r="I4653" t="s">
        <v>34</v>
      </c>
      <c r="J4653" s="4">
        <v>63.9</v>
      </c>
      <c r="K4653" s="4">
        <v>182.8</v>
      </c>
      <c r="L4653" s="4">
        <v>31.1</v>
      </c>
      <c r="M4653">
        <v>12</v>
      </c>
      <c r="N4653" t="s">
        <v>37</v>
      </c>
      <c r="O4653">
        <v>2</v>
      </c>
      <c r="P4653" s="4">
        <v>1095</v>
      </c>
      <c r="Q4653" t="s">
        <v>30</v>
      </c>
      <c r="R4653">
        <v>1</v>
      </c>
      <c r="S4653" t="s">
        <v>38</v>
      </c>
      <c r="T4653">
        <v>1</v>
      </c>
      <c r="U4653">
        <v>0</v>
      </c>
      <c r="V4653" t="s">
        <v>32</v>
      </c>
      <c r="W4653" t="s">
        <v>39</v>
      </c>
      <c r="X4653" s="4">
        <v>8.1</v>
      </c>
      <c r="Y4653">
        <v>7</v>
      </c>
      <c r="Z4653" s="5">
        <v>224.47</v>
      </c>
    </row>
    <row r="4654" spans="1:26">
      <c r="A4654">
        <v>4653</v>
      </c>
      <c r="B4654">
        <v>1525</v>
      </c>
      <c r="C4654" s="2">
        <v>46353</v>
      </c>
      <c r="D4654" t="s">
        <v>26</v>
      </c>
      <c r="E4654">
        <v>11</v>
      </c>
      <c r="F4654" s="3">
        <v>9.7899999999999991</v>
      </c>
      <c r="G4654" t="s">
        <v>27</v>
      </c>
      <c r="H4654">
        <v>4</v>
      </c>
      <c r="I4654" t="s">
        <v>28</v>
      </c>
      <c r="J4654" s="4">
        <v>52.6</v>
      </c>
      <c r="K4654" s="4">
        <v>82.8</v>
      </c>
      <c r="L4654" s="4">
        <v>21.2</v>
      </c>
      <c r="M4654">
        <v>13</v>
      </c>
      <c r="N4654" t="s">
        <v>29</v>
      </c>
      <c r="O4654">
        <v>2</v>
      </c>
      <c r="P4654" s="4">
        <v>1944.7</v>
      </c>
      <c r="Q4654" t="s">
        <v>42</v>
      </c>
      <c r="R4654">
        <v>1</v>
      </c>
      <c r="S4654" t="s">
        <v>44</v>
      </c>
      <c r="T4654">
        <v>1</v>
      </c>
      <c r="U4654">
        <v>1</v>
      </c>
      <c r="V4654" t="s">
        <v>32</v>
      </c>
      <c r="W4654" t="s">
        <v>33</v>
      </c>
      <c r="X4654" s="4">
        <v>8.1999999999999993</v>
      </c>
      <c r="Y4654">
        <v>9</v>
      </c>
      <c r="Z4654" s="5">
        <v>255.06</v>
      </c>
    </row>
    <row r="4655" spans="1:26">
      <c r="A4655">
        <v>4654</v>
      </c>
      <c r="B4655">
        <v>1525</v>
      </c>
      <c r="C4655" s="2">
        <v>46353</v>
      </c>
      <c r="D4655" t="s">
        <v>26</v>
      </c>
      <c r="E4655">
        <v>11</v>
      </c>
      <c r="F4655" s="3">
        <v>9.8699999999999992</v>
      </c>
      <c r="G4655" t="s">
        <v>27</v>
      </c>
      <c r="H4655">
        <v>56</v>
      </c>
      <c r="I4655" t="s">
        <v>28</v>
      </c>
      <c r="J4655" s="4">
        <v>66.599999999999994</v>
      </c>
      <c r="K4655" s="4">
        <v>178.9</v>
      </c>
      <c r="L4655" s="4">
        <v>28.2</v>
      </c>
      <c r="M4655">
        <v>15</v>
      </c>
      <c r="N4655" t="s">
        <v>29</v>
      </c>
      <c r="O4655">
        <v>2</v>
      </c>
      <c r="P4655" s="4">
        <v>1944.7</v>
      </c>
      <c r="Q4655" t="s">
        <v>42</v>
      </c>
      <c r="R4655">
        <v>1</v>
      </c>
      <c r="S4655" t="s">
        <v>44</v>
      </c>
      <c r="T4655">
        <v>1</v>
      </c>
      <c r="U4655">
        <v>1</v>
      </c>
      <c r="V4655" t="s">
        <v>32</v>
      </c>
      <c r="W4655" t="s">
        <v>33</v>
      </c>
      <c r="X4655" s="4">
        <v>8.3000000000000007</v>
      </c>
      <c r="Y4655">
        <v>9</v>
      </c>
      <c r="Z4655" s="5">
        <v>261.54000000000002</v>
      </c>
    </row>
    <row r="4656" spans="1:26">
      <c r="A4656">
        <v>4655</v>
      </c>
      <c r="B4656">
        <v>1526</v>
      </c>
      <c r="C4656" s="2">
        <v>46034</v>
      </c>
      <c r="D4656" t="s">
        <v>46</v>
      </c>
      <c r="E4656">
        <v>1</v>
      </c>
      <c r="F4656" s="3">
        <v>12.06</v>
      </c>
      <c r="G4656" t="s">
        <v>36</v>
      </c>
      <c r="H4656">
        <v>61</v>
      </c>
      <c r="I4656" t="s">
        <v>28</v>
      </c>
      <c r="J4656" s="4">
        <v>64.3</v>
      </c>
      <c r="K4656" s="4">
        <v>142.4</v>
      </c>
      <c r="L4656" s="4">
        <v>24.3</v>
      </c>
      <c r="M4656">
        <v>18</v>
      </c>
      <c r="N4656" t="s">
        <v>47</v>
      </c>
      <c r="O4656">
        <v>3</v>
      </c>
      <c r="P4656" s="4">
        <v>25.3</v>
      </c>
      <c r="Q4656" t="s">
        <v>48</v>
      </c>
      <c r="R4656">
        <v>1</v>
      </c>
      <c r="S4656" t="s">
        <v>44</v>
      </c>
      <c r="T4656">
        <v>0</v>
      </c>
      <c r="U4656">
        <v>0</v>
      </c>
      <c r="V4656" t="s">
        <v>32</v>
      </c>
      <c r="W4656" t="s">
        <v>57</v>
      </c>
      <c r="X4656" s="4">
        <v>5.0999999999999996</v>
      </c>
      <c r="Y4656">
        <v>12</v>
      </c>
      <c r="Z4656" s="5">
        <v>222.76</v>
      </c>
    </row>
    <row r="4657" spans="1:26">
      <c r="A4657">
        <v>4656</v>
      </c>
      <c r="B4657">
        <v>1526</v>
      </c>
      <c r="C4657" s="2">
        <v>46034</v>
      </c>
      <c r="D4657" t="s">
        <v>46</v>
      </c>
      <c r="E4657">
        <v>1</v>
      </c>
      <c r="F4657" s="3">
        <v>12.05</v>
      </c>
      <c r="G4657" t="s">
        <v>36</v>
      </c>
      <c r="H4657">
        <v>55</v>
      </c>
      <c r="I4657" t="s">
        <v>28</v>
      </c>
      <c r="J4657" s="4">
        <v>66.3</v>
      </c>
      <c r="K4657" s="4">
        <v>120.4</v>
      </c>
      <c r="L4657" s="4">
        <v>19.2</v>
      </c>
      <c r="M4657">
        <v>17</v>
      </c>
      <c r="N4657" t="s">
        <v>47</v>
      </c>
      <c r="O4657">
        <v>3</v>
      </c>
      <c r="P4657" s="4">
        <v>25.3</v>
      </c>
      <c r="Q4657" t="s">
        <v>48</v>
      </c>
      <c r="R4657">
        <v>1</v>
      </c>
      <c r="S4657" t="s">
        <v>44</v>
      </c>
      <c r="T4657">
        <v>0</v>
      </c>
      <c r="U4657">
        <v>0</v>
      </c>
      <c r="V4657" t="s">
        <v>32</v>
      </c>
      <c r="W4657" t="s">
        <v>57</v>
      </c>
      <c r="X4657" s="4">
        <v>7.2</v>
      </c>
      <c r="Y4657">
        <v>6</v>
      </c>
      <c r="Z4657" s="5">
        <v>221.41</v>
      </c>
    </row>
    <row r="4658" spans="1:26">
      <c r="A4658">
        <v>4657</v>
      </c>
      <c r="B4658">
        <v>1526</v>
      </c>
      <c r="C4658" s="2">
        <v>46034</v>
      </c>
      <c r="D4658" t="s">
        <v>46</v>
      </c>
      <c r="E4658">
        <v>1</v>
      </c>
      <c r="F4658" s="3">
        <v>12.18</v>
      </c>
      <c r="G4658" t="s">
        <v>36</v>
      </c>
      <c r="H4658">
        <v>47</v>
      </c>
      <c r="I4658" t="s">
        <v>34</v>
      </c>
      <c r="J4658" s="4">
        <v>65.5</v>
      </c>
      <c r="K4658" s="4">
        <v>148.6</v>
      </c>
      <c r="L4658" s="4">
        <v>24.6</v>
      </c>
      <c r="M4658">
        <v>16</v>
      </c>
      <c r="N4658" t="s">
        <v>47</v>
      </c>
      <c r="O4658">
        <v>3</v>
      </c>
      <c r="P4658" s="4">
        <v>25.3</v>
      </c>
      <c r="Q4658" t="s">
        <v>48</v>
      </c>
      <c r="R4658">
        <v>1</v>
      </c>
      <c r="S4658" t="s">
        <v>44</v>
      </c>
      <c r="T4658">
        <v>0</v>
      </c>
      <c r="U4658">
        <v>0</v>
      </c>
      <c r="V4658" t="s">
        <v>32</v>
      </c>
      <c r="W4658" t="s">
        <v>57</v>
      </c>
      <c r="X4658" s="4">
        <v>9.1</v>
      </c>
      <c r="Y4658">
        <v>12</v>
      </c>
      <c r="Z4658" s="5">
        <v>357.26</v>
      </c>
    </row>
    <row r="4659" spans="1:26">
      <c r="A4659">
        <v>4658</v>
      </c>
      <c r="B4659">
        <v>1527</v>
      </c>
      <c r="C4659" s="2">
        <v>46342</v>
      </c>
      <c r="D4659" t="s">
        <v>46</v>
      </c>
      <c r="E4659">
        <v>11</v>
      </c>
      <c r="F4659" s="3">
        <v>12.77</v>
      </c>
      <c r="G4659" t="s">
        <v>36</v>
      </c>
      <c r="H4659">
        <v>43</v>
      </c>
      <c r="I4659" t="s">
        <v>34</v>
      </c>
      <c r="J4659" s="4">
        <v>62.7</v>
      </c>
      <c r="K4659" s="4">
        <v>137.4</v>
      </c>
      <c r="L4659" s="4">
        <v>24.7</v>
      </c>
      <c r="M4659">
        <v>16</v>
      </c>
      <c r="N4659" t="s">
        <v>47</v>
      </c>
      <c r="O4659">
        <v>5</v>
      </c>
      <c r="P4659" s="4">
        <v>123.8</v>
      </c>
      <c r="Q4659" t="s">
        <v>30</v>
      </c>
      <c r="R4659">
        <v>0</v>
      </c>
      <c r="S4659" t="s">
        <v>44</v>
      </c>
      <c r="T4659">
        <v>0</v>
      </c>
      <c r="U4659">
        <v>0</v>
      </c>
      <c r="V4659" t="s">
        <v>32</v>
      </c>
      <c r="W4659" t="s">
        <v>43</v>
      </c>
      <c r="X4659" s="4">
        <v>4.2</v>
      </c>
      <c r="Y4659">
        <v>5</v>
      </c>
      <c r="Z4659" s="5">
        <v>82.78</v>
      </c>
    </row>
    <row r="4660" spans="1:26">
      <c r="A4660">
        <v>4659</v>
      </c>
      <c r="B4660">
        <v>1527</v>
      </c>
      <c r="C4660" s="2">
        <v>46342</v>
      </c>
      <c r="D4660" t="s">
        <v>46</v>
      </c>
      <c r="E4660">
        <v>11</v>
      </c>
      <c r="F4660" s="3">
        <v>12.7</v>
      </c>
      <c r="G4660" t="s">
        <v>36</v>
      </c>
      <c r="H4660">
        <v>30</v>
      </c>
      <c r="I4660" t="s">
        <v>28</v>
      </c>
      <c r="J4660" s="4">
        <v>66.900000000000006</v>
      </c>
      <c r="K4660" s="4">
        <v>139.6</v>
      </c>
      <c r="L4660" s="4">
        <v>22.1</v>
      </c>
      <c r="M4660">
        <v>13</v>
      </c>
      <c r="N4660" t="s">
        <v>47</v>
      </c>
      <c r="O4660">
        <v>5</v>
      </c>
      <c r="P4660" s="4">
        <v>123.8</v>
      </c>
      <c r="Q4660" t="s">
        <v>30</v>
      </c>
      <c r="R4660">
        <v>0</v>
      </c>
      <c r="S4660" t="s">
        <v>44</v>
      </c>
      <c r="T4660">
        <v>0</v>
      </c>
      <c r="U4660">
        <v>0</v>
      </c>
      <c r="V4660" t="s">
        <v>32</v>
      </c>
      <c r="W4660" t="s">
        <v>43</v>
      </c>
      <c r="X4660" s="4">
        <v>8.3000000000000007</v>
      </c>
      <c r="Y4660">
        <v>6</v>
      </c>
      <c r="Z4660" s="5">
        <v>123.32</v>
      </c>
    </row>
    <row r="4661" spans="1:26">
      <c r="A4661">
        <v>4660</v>
      </c>
      <c r="B4661">
        <v>1527</v>
      </c>
      <c r="C4661" s="2">
        <v>46342</v>
      </c>
      <c r="D4661" t="s">
        <v>46</v>
      </c>
      <c r="E4661">
        <v>11</v>
      </c>
      <c r="F4661" s="3">
        <v>12.78</v>
      </c>
      <c r="G4661" t="s">
        <v>36</v>
      </c>
      <c r="H4661">
        <v>69</v>
      </c>
      <c r="I4661" t="s">
        <v>28</v>
      </c>
      <c r="J4661" s="4">
        <v>64.2</v>
      </c>
      <c r="K4661" s="4">
        <v>157.69999999999999</v>
      </c>
      <c r="L4661" s="4">
        <v>26.7</v>
      </c>
      <c r="M4661">
        <v>15</v>
      </c>
      <c r="N4661" t="s">
        <v>47</v>
      </c>
      <c r="O4661">
        <v>5</v>
      </c>
      <c r="P4661" s="4">
        <v>123.8</v>
      </c>
      <c r="Q4661" t="s">
        <v>30</v>
      </c>
      <c r="R4661">
        <v>0</v>
      </c>
      <c r="S4661" t="s">
        <v>44</v>
      </c>
      <c r="T4661">
        <v>0</v>
      </c>
      <c r="U4661">
        <v>0</v>
      </c>
      <c r="V4661" t="s">
        <v>32</v>
      </c>
      <c r="W4661" t="s">
        <v>43</v>
      </c>
      <c r="X4661" s="4">
        <v>3.9</v>
      </c>
      <c r="Y4661">
        <v>0</v>
      </c>
      <c r="Z4661" s="5">
        <v>67.06</v>
      </c>
    </row>
    <row r="4662" spans="1:26">
      <c r="A4662">
        <v>4661</v>
      </c>
      <c r="B4662">
        <v>1527</v>
      </c>
      <c r="C4662" s="2">
        <v>46342</v>
      </c>
      <c r="D4662" t="s">
        <v>46</v>
      </c>
      <c r="E4662">
        <v>11</v>
      </c>
      <c r="F4662" s="3">
        <v>12.65</v>
      </c>
      <c r="G4662" t="s">
        <v>36</v>
      </c>
      <c r="H4662">
        <v>78</v>
      </c>
      <c r="I4662" t="s">
        <v>28</v>
      </c>
      <c r="J4662" s="4">
        <v>68.8</v>
      </c>
      <c r="K4662" s="4">
        <v>143.1</v>
      </c>
      <c r="L4662" s="4">
        <v>21.2</v>
      </c>
      <c r="M4662">
        <v>17</v>
      </c>
      <c r="N4662" t="s">
        <v>47</v>
      </c>
      <c r="O4662">
        <v>5</v>
      </c>
      <c r="P4662" s="4">
        <v>123.8</v>
      </c>
      <c r="Q4662" t="s">
        <v>30</v>
      </c>
      <c r="R4662">
        <v>0</v>
      </c>
      <c r="S4662" t="s">
        <v>44</v>
      </c>
      <c r="T4662">
        <v>0</v>
      </c>
      <c r="U4662">
        <v>0</v>
      </c>
      <c r="V4662" t="s">
        <v>32</v>
      </c>
      <c r="W4662" t="s">
        <v>43</v>
      </c>
      <c r="X4662" s="4">
        <v>7.7</v>
      </c>
      <c r="Y4662">
        <v>6</v>
      </c>
      <c r="Z4662" s="5">
        <v>235.51</v>
      </c>
    </row>
    <row r="4663" spans="1:26">
      <c r="A4663">
        <v>4662</v>
      </c>
      <c r="B4663">
        <v>1527</v>
      </c>
      <c r="C4663" s="2">
        <v>46342</v>
      </c>
      <c r="D4663" t="s">
        <v>46</v>
      </c>
      <c r="E4663">
        <v>11</v>
      </c>
      <c r="F4663" s="3">
        <v>12.78</v>
      </c>
      <c r="G4663" t="s">
        <v>36</v>
      </c>
      <c r="H4663">
        <v>53</v>
      </c>
      <c r="I4663" t="s">
        <v>28</v>
      </c>
      <c r="J4663" s="4">
        <v>70.099999999999994</v>
      </c>
      <c r="K4663" s="4">
        <v>197.1</v>
      </c>
      <c r="L4663" s="4">
        <v>28.4</v>
      </c>
      <c r="M4663">
        <v>12</v>
      </c>
      <c r="N4663" t="s">
        <v>47</v>
      </c>
      <c r="O4663">
        <v>5</v>
      </c>
      <c r="P4663" s="4">
        <v>123.8</v>
      </c>
      <c r="Q4663" t="s">
        <v>30</v>
      </c>
      <c r="R4663">
        <v>0</v>
      </c>
      <c r="S4663" t="s">
        <v>44</v>
      </c>
      <c r="T4663">
        <v>0</v>
      </c>
      <c r="U4663">
        <v>0</v>
      </c>
      <c r="V4663" t="s">
        <v>32</v>
      </c>
      <c r="W4663" t="s">
        <v>43</v>
      </c>
      <c r="X4663" s="4">
        <v>7.5</v>
      </c>
      <c r="Y4663">
        <v>7</v>
      </c>
      <c r="Z4663" s="5">
        <v>282.63</v>
      </c>
    </row>
    <row r="4664" spans="1:26">
      <c r="A4664">
        <v>4663</v>
      </c>
      <c r="B4664">
        <v>1528</v>
      </c>
      <c r="C4664" s="2">
        <v>46133</v>
      </c>
      <c r="D4664" t="s">
        <v>35</v>
      </c>
      <c r="E4664">
        <v>4</v>
      </c>
      <c r="F4664" s="3">
        <v>12.35</v>
      </c>
      <c r="G4664" t="s">
        <v>36</v>
      </c>
      <c r="H4664">
        <v>13</v>
      </c>
      <c r="I4664" t="s">
        <v>34</v>
      </c>
      <c r="J4664" s="4">
        <v>70</v>
      </c>
      <c r="K4664" s="4">
        <v>121.7</v>
      </c>
      <c r="L4664" s="4">
        <v>17.5</v>
      </c>
      <c r="M4664">
        <v>15</v>
      </c>
      <c r="N4664" t="s">
        <v>47</v>
      </c>
      <c r="O4664">
        <v>1</v>
      </c>
      <c r="P4664" s="4">
        <v>21.6</v>
      </c>
      <c r="Q4664" t="s">
        <v>48</v>
      </c>
      <c r="R4664">
        <v>0</v>
      </c>
      <c r="S4664" t="s">
        <v>38</v>
      </c>
      <c r="T4664">
        <v>1</v>
      </c>
      <c r="U4664">
        <v>1</v>
      </c>
      <c r="V4664" t="s">
        <v>32</v>
      </c>
      <c r="W4664" t="s">
        <v>33</v>
      </c>
      <c r="X4664" s="4">
        <v>8.1999999999999993</v>
      </c>
      <c r="Y4664">
        <v>12</v>
      </c>
      <c r="Z4664" s="5">
        <v>344.36</v>
      </c>
    </row>
    <row r="4665" spans="1:26">
      <c r="A4665">
        <v>4664</v>
      </c>
      <c r="B4665">
        <v>1529</v>
      </c>
      <c r="C4665" s="2">
        <v>46229</v>
      </c>
      <c r="D4665" t="s">
        <v>58</v>
      </c>
      <c r="E4665">
        <v>7</v>
      </c>
      <c r="F4665" s="3">
        <v>10.82</v>
      </c>
      <c r="G4665" t="s">
        <v>27</v>
      </c>
      <c r="H4665">
        <v>76</v>
      </c>
      <c r="I4665" t="s">
        <v>34</v>
      </c>
      <c r="J4665" s="4">
        <v>61</v>
      </c>
      <c r="K4665" s="4">
        <v>127.6</v>
      </c>
      <c r="L4665" s="4">
        <v>24.1</v>
      </c>
      <c r="M4665">
        <v>18</v>
      </c>
      <c r="N4665" t="s">
        <v>56</v>
      </c>
      <c r="O4665">
        <v>2</v>
      </c>
      <c r="P4665" s="4">
        <v>310.2</v>
      </c>
      <c r="Q4665" t="s">
        <v>42</v>
      </c>
      <c r="R4665">
        <v>0</v>
      </c>
      <c r="S4665" t="s">
        <v>44</v>
      </c>
      <c r="T4665">
        <v>0</v>
      </c>
      <c r="U4665">
        <v>1</v>
      </c>
      <c r="V4665" t="s">
        <v>32</v>
      </c>
      <c r="W4665" t="s">
        <v>33</v>
      </c>
      <c r="X4665" s="4">
        <v>9</v>
      </c>
      <c r="Y4665">
        <v>8</v>
      </c>
      <c r="Z4665" s="5">
        <v>170.63</v>
      </c>
    </row>
    <row r="4666" spans="1:26">
      <c r="A4666">
        <v>4665</v>
      </c>
      <c r="B4666">
        <v>1529</v>
      </c>
      <c r="C4666" s="2">
        <v>46229</v>
      </c>
      <c r="D4666" t="s">
        <v>58</v>
      </c>
      <c r="E4666">
        <v>7</v>
      </c>
      <c r="F4666" s="3">
        <v>10.81</v>
      </c>
      <c r="G4666" t="s">
        <v>27</v>
      </c>
      <c r="H4666">
        <v>40</v>
      </c>
      <c r="I4666" t="s">
        <v>28</v>
      </c>
      <c r="J4666" s="4">
        <v>64</v>
      </c>
      <c r="K4666" s="4">
        <v>138.6</v>
      </c>
      <c r="L4666" s="4">
        <v>24</v>
      </c>
      <c r="M4666">
        <v>18</v>
      </c>
      <c r="N4666" t="s">
        <v>56</v>
      </c>
      <c r="O4666">
        <v>2</v>
      </c>
      <c r="P4666" s="4">
        <v>310.2</v>
      </c>
      <c r="Q4666" t="s">
        <v>42</v>
      </c>
      <c r="R4666">
        <v>0</v>
      </c>
      <c r="S4666" t="s">
        <v>44</v>
      </c>
      <c r="T4666">
        <v>0</v>
      </c>
      <c r="U4666">
        <v>1</v>
      </c>
      <c r="V4666" t="s">
        <v>32</v>
      </c>
      <c r="W4666" t="s">
        <v>33</v>
      </c>
      <c r="X4666" s="4">
        <v>8.6999999999999993</v>
      </c>
      <c r="Y4666">
        <v>3</v>
      </c>
      <c r="Z4666" s="5">
        <v>319.77999999999997</v>
      </c>
    </row>
    <row r="4667" spans="1:26">
      <c r="A4667">
        <v>4666</v>
      </c>
      <c r="B4667">
        <v>1530</v>
      </c>
      <c r="C4667" s="2">
        <v>46312</v>
      </c>
      <c r="D4667" t="s">
        <v>40</v>
      </c>
      <c r="E4667">
        <v>10</v>
      </c>
      <c r="F4667" s="3">
        <v>12.48</v>
      </c>
      <c r="G4667" t="s">
        <v>36</v>
      </c>
      <c r="H4667">
        <v>37</v>
      </c>
      <c r="I4667" t="s">
        <v>28</v>
      </c>
      <c r="J4667" s="4">
        <v>62</v>
      </c>
      <c r="K4667" s="4">
        <v>163.9</v>
      </c>
      <c r="L4667" s="4">
        <v>29.7</v>
      </c>
      <c r="M4667">
        <v>17</v>
      </c>
      <c r="N4667" t="s">
        <v>53</v>
      </c>
      <c r="O4667">
        <v>3</v>
      </c>
      <c r="P4667" s="4">
        <v>993.2</v>
      </c>
      <c r="Q4667" t="s">
        <v>42</v>
      </c>
      <c r="R4667">
        <v>1</v>
      </c>
      <c r="S4667" t="s">
        <v>44</v>
      </c>
      <c r="T4667">
        <v>0</v>
      </c>
      <c r="U4667">
        <v>0</v>
      </c>
      <c r="V4667" t="s">
        <v>32</v>
      </c>
      <c r="W4667" t="s">
        <v>49</v>
      </c>
      <c r="X4667" s="4">
        <v>5.8</v>
      </c>
      <c r="Y4667">
        <v>7</v>
      </c>
      <c r="Z4667" s="5">
        <v>250.25</v>
      </c>
    </row>
    <row r="4668" spans="1:26">
      <c r="A4668">
        <v>4667</v>
      </c>
      <c r="B4668">
        <v>1530</v>
      </c>
      <c r="C4668" s="2">
        <v>46312</v>
      </c>
      <c r="D4668" t="s">
        <v>40</v>
      </c>
      <c r="E4668">
        <v>10</v>
      </c>
      <c r="F4668" s="3">
        <v>12.48</v>
      </c>
      <c r="G4668" t="s">
        <v>36</v>
      </c>
      <c r="H4668">
        <v>56</v>
      </c>
      <c r="I4668" t="s">
        <v>28</v>
      </c>
      <c r="J4668" s="4">
        <v>69.7</v>
      </c>
      <c r="K4668" s="4">
        <v>162.4</v>
      </c>
      <c r="L4668" s="4">
        <v>23.6</v>
      </c>
      <c r="M4668">
        <v>19</v>
      </c>
      <c r="N4668" t="s">
        <v>53</v>
      </c>
      <c r="O4668">
        <v>3</v>
      </c>
      <c r="P4668" s="4">
        <v>993.2</v>
      </c>
      <c r="Q4668" t="s">
        <v>42</v>
      </c>
      <c r="R4668">
        <v>1</v>
      </c>
      <c r="S4668" t="s">
        <v>44</v>
      </c>
      <c r="T4668">
        <v>0</v>
      </c>
      <c r="U4668">
        <v>0</v>
      </c>
      <c r="V4668" t="s">
        <v>32</v>
      </c>
      <c r="W4668" t="s">
        <v>49</v>
      </c>
      <c r="X4668" s="4">
        <v>8.1</v>
      </c>
      <c r="Y4668">
        <v>9</v>
      </c>
      <c r="Z4668" s="5">
        <v>391.41</v>
      </c>
    </row>
    <row r="4669" spans="1:26">
      <c r="A4669">
        <v>4668</v>
      </c>
      <c r="B4669">
        <v>1530</v>
      </c>
      <c r="C4669" s="2">
        <v>46312</v>
      </c>
      <c r="D4669" t="s">
        <v>40</v>
      </c>
      <c r="E4669">
        <v>10</v>
      </c>
      <c r="F4669" s="3">
        <v>12.48</v>
      </c>
      <c r="G4669" t="s">
        <v>36</v>
      </c>
      <c r="H4669">
        <v>67</v>
      </c>
      <c r="I4669" t="s">
        <v>28</v>
      </c>
      <c r="J4669" s="4">
        <v>67.5</v>
      </c>
      <c r="K4669" s="4">
        <v>208.3</v>
      </c>
      <c r="L4669" s="4">
        <v>32.1</v>
      </c>
      <c r="M4669">
        <v>17</v>
      </c>
      <c r="N4669" t="s">
        <v>53</v>
      </c>
      <c r="O4669">
        <v>3</v>
      </c>
      <c r="P4669" s="4">
        <v>993.2</v>
      </c>
      <c r="Q4669" t="s">
        <v>42</v>
      </c>
      <c r="R4669">
        <v>1</v>
      </c>
      <c r="S4669" t="s">
        <v>44</v>
      </c>
      <c r="T4669">
        <v>0</v>
      </c>
      <c r="U4669">
        <v>0</v>
      </c>
      <c r="V4669" t="s">
        <v>32</v>
      </c>
      <c r="W4669" t="s">
        <v>49</v>
      </c>
      <c r="X4669" s="4">
        <v>6.9</v>
      </c>
      <c r="Y4669">
        <v>3</v>
      </c>
      <c r="Z4669" s="5">
        <v>143.87</v>
      </c>
    </row>
    <row r="4670" spans="1:26">
      <c r="A4670">
        <v>4669</v>
      </c>
      <c r="B4670">
        <v>1531</v>
      </c>
      <c r="C4670" s="2">
        <v>46263</v>
      </c>
      <c r="D4670" t="s">
        <v>40</v>
      </c>
      <c r="E4670">
        <v>8</v>
      </c>
      <c r="F4670" s="3">
        <v>8.4700000000000006</v>
      </c>
      <c r="G4670" t="s">
        <v>27</v>
      </c>
      <c r="H4670">
        <v>53</v>
      </c>
      <c r="I4670" t="s">
        <v>34</v>
      </c>
      <c r="J4670" s="4">
        <v>63.9</v>
      </c>
      <c r="K4670" s="4">
        <v>152.4</v>
      </c>
      <c r="L4670" s="4">
        <v>26.2</v>
      </c>
      <c r="M4670">
        <v>13</v>
      </c>
      <c r="N4670" t="s">
        <v>37</v>
      </c>
      <c r="O4670">
        <v>2</v>
      </c>
      <c r="P4670" s="4">
        <v>1117</v>
      </c>
      <c r="Q4670" t="s">
        <v>30</v>
      </c>
      <c r="R4670">
        <v>1</v>
      </c>
      <c r="S4670" t="s">
        <v>44</v>
      </c>
      <c r="T4670">
        <v>0</v>
      </c>
      <c r="U4670">
        <v>0</v>
      </c>
      <c r="V4670" t="s">
        <v>32</v>
      </c>
      <c r="W4670" t="s">
        <v>39</v>
      </c>
      <c r="X4670" s="4">
        <v>8.8000000000000007</v>
      </c>
      <c r="Y4670">
        <v>10</v>
      </c>
      <c r="Z4670" s="5">
        <v>126.76</v>
      </c>
    </row>
    <row r="4671" spans="1:26">
      <c r="A4671">
        <v>4670</v>
      </c>
      <c r="B4671">
        <v>1531</v>
      </c>
      <c r="C4671" s="2">
        <v>46263</v>
      </c>
      <c r="D4671" t="s">
        <v>40</v>
      </c>
      <c r="E4671">
        <v>8</v>
      </c>
      <c r="F4671" s="3">
        <v>8.51</v>
      </c>
      <c r="G4671" t="s">
        <v>27</v>
      </c>
      <c r="H4671">
        <v>29</v>
      </c>
      <c r="I4671" t="s">
        <v>34</v>
      </c>
      <c r="J4671" s="4">
        <v>65.2</v>
      </c>
      <c r="K4671" s="4">
        <v>110.3</v>
      </c>
      <c r="L4671" s="4">
        <v>18.100000000000001</v>
      </c>
      <c r="M4671">
        <v>10</v>
      </c>
      <c r="N4671" t="s">
        <v>37</v>
      </c>
      <c r="O4671">
        <v>2</v>
      </c>
      <c r="P4671" s="4">
        <v>1117</v>
      </c>
      <c r="Q4671" t="s">
        <v>30</v>
      </c>
      <c r="R4671">
        <v>1</v>
      </c>
      <c r="S4671" t="s">
        <v>44</v>
      </c>
      <c r="T4671">
        <v>0</v>
      </c>
      <c r="U4671">
        <v>0</v>
      </c>
      <c r="V4671" t="s">
        <v>32</v>
      </c>
      <c r="W4671" t="s">
        <v>39</v>
      </c>
      <c r="X4671" s="4">
        <v>7.4</v>
      </c>
      <c r="Y4671">
        <v>9</v>
      </c>
      <c r="Z4671" s="5">
        <v>171.98</v>
      </c>
    </row>
    <row r="4672" spans="1:26">
      <c r="A4672">
        <v>4671</v>
      </c>
      <c r="B4672">
        <v>1532</v>
      </c>
      <c r="C4672" s="2">
        <v>46109</v>
      </c>
      <c r="D4672" t="s">
        <v>40</v>
      </c>
      <c r="E4672">
        <v>3</v>
      </c>
      <c r="F4672" s="3">
        <v>11.43</v>
      </c>
      <c r="G4672" t="s">
        <v>36</v>
      </c>
      <c r="H4672">
        <v>63</v>
      </c>
      <c r="I4672" t="s">
        <v>34</v>
      </c>
      <c r="J4672" s="4">
        <v>64.3</v>
      </c>
      <c r="K4672" s="4">
        <v>140.5</v>
      </c>
      <c r="L4672" s="4">
        <v>24</v>
      </c>
      <c r="M4672">
        <v>16</v>
      </c>
      <c r="N4672" t="s">
        <v>66</v>
      </c>
      <c r="O4672">
        <v>3</v>
      </c>
      <c r="P4672" s="4">
        <v>436.5</v>
      </c>
      <c r="Q4672" t="s">
        <v>42</v>
      </c>
      <c r="R4672">
        <v>0</v>
      </c>
      <c r="S4672" t="s">
        <v>44</v>
      </c>
      <c r="T4672">
        <v>0</v>
      </c>
      <c r="U4672">
        <v>0</v>
      </c>
      <c r="V4672" t="s">
        <v>32</v>
      </c>
      <c r="W4672" t="s">
        <v>57</v>
      </c>
      <c r="X4672" s="4">
        <v>5.8</v>
      </c>
      <c r="Y4672">
        <v>6</v>
      </c>
      <c r="Z4672" s="5">
        <v>216.16</v>
      </c>
    </row>
    <row r="4673" spans="1:26">
      <c r="A4673">
        <v>4672</v>
      </c>
      <c r="B4673">
        <v>1532</v>
      </c>
      <c r="C4673" s="2">
        <v>46109</v>
      </c>
      <c r="D4673" t="s">
        <v>40</v>
      </c>
      <c r="E4673">
        <v>3</v>
      </c>
      <c r="F4673" s="3">
        <v>11.24</v>
      </c>
      <c r="G4673" t="s">
        <v>36</v>
      </c>
      <c r="H4673">
        <v>47</v>
      </c>
      <c r="I4673" t="s">
        <v>34</v>
      </c>
      <c r="J4673" s="4">
        <v>59.6</v>
      </c>
      <c r="K4673" s="4">
        <v>138.5</v>
      </c>
      <c r="L4673" s="4">
        <v>27.2</v>
      </c>
      <c r="M4673">
        <v>17</v>
      </c>
      <c r="N4673" t="s">
        <v>66</v>
      </c>
      <c r="O4673">
        <v>3</v>
      </c>
      <c r="P4673" s="4">
        <v>436.5</v>
      </c>
      <c r="Q4673" t="s">
        <v>42</v>
      </c>
      <c r="R4673">
        <v>0</v>
      </c>
      <c r="S4673" t="s">
        <v>44</v>
      </c>
      <c r="T4673">
        <v>0</v>
      </c>
      <c r="U4673">
        <v>0</v>
      </c>
      <c r="V4673" t="s">
        <v>32</v>
      </c>
      <c r="W4673" t="s">
        <v>57</v>
      </c>
      <c r="X4673" s="4">
        <v>7.6</v>
      </c>
      <c r="Y4673">
        <v>8</v>
      </c>
      <c r="Z4673" s="5">
        <v>170.76</v>
      </c>
    </row>
    <row r="4674" spans="1:26">
      <c r="A4674">
        <v>4673</v>
      </c>
      <c r="B4674">
        <v>1532</v>
      </c>
      <c r="C4674" s="2">
        <v>46109</v>
      </c>
      <c r="D4674" t="s">
        <v>40</v>
      </c>
      <c r="E4674">
        <v>3</v>
      </c>
      <c r="F4674" s="3">
        <v>11.39</v>
      </c>
      <c r="G4674" t="s">
        <v>36</v>
      </c>
      <c r="H4674">
        <v>33</v>
      </c>
      <c r="I4674" t="s">
        <v>28</v>
      </c>
      <c r="J4674" s="4">
        <v>70.8</v>
      </c>
      <c r="K4674" s="4">
        <v>115.7</v>
      </c>
      <c r="L4674" s="4">
        <v>16.100000000000001</v>
      </c>
      <c r="M4674">
        <v>13</v>
      </c>
      <c r="N4674" t="s">
        <v>66</v>
      </c>
      <c r="O4674">
        <v>3</v>
      </c>
      <c r="P4674" s="4">
        <v>436.5</v>
      </c>
      <c r="Q4674" t="s">
        <v>42</v>
      </c>
      <c r="R4674">
        <v>0</v>
      </c>
      <c r="S4674" t="s">
        <v>44</v>
      </c>
      <c r="T4674">
        <v>0</v>
      </c>
      <c r="U4674">
        <v>0</v>
      </c>
      <c r="V4674" t="s">
        <v>32</v>
      </c>
      <c r="W4674" t="s">
        <v>57</v>
      </c>
      <c r="X4674" s="4">
        <v>8.5</v>
      </c>
      <c r="Y4674">
        <v>3</v>
      </c>
      <c r="Z4674" s="5">
        <v>241.58</v>
      </c>
    </row>
    <row r="4675" spans="1:26">
      <c r="A4675">
        <v>4674</v>
      </c>
      <c r="B4675">
        <v>1533</v>
      </c>
      <c r="C4675" s="2">
        <v>46181</v>
      </c>
      <c r="D4675" t="s">
        <v>46</v>
      </c>
      <c r="E4675">
        <v>6</v>
      </c>
      <c r="F4675" s="3">
        <v>8.27</v>
      </c>
      <c r="G4675" t="s">
        <v>27</v>
      </c>
      <c r="H4675">
        <v>24</v>
      </c>
      <c r="I4675" t="s">
        <v>34</v>
      </c>
      <c r="J4675" s="4">
        <v>65.5</v>
      </c>
      <c r="K4675" s="4">
        <v>174.1</v>
      </c>
      <c r="L4675" s="4">
        <v>28.4</v>
      </c>
      <c r="M4675">
        <v>16</v>
      </c>
      <c r="N4675" t="s">
        <v>54</v>
      </c>
      <c r="O4675">
        <v>4</v>
      </c>
      <c r="P4675" s="4">
        <v>3089.8</v>
      </c>
      <c r="Q4675" t="s">
        <v>42</v>
      </c>
      <c r="R4675">
        <v>0</v>
      </c>
      <c r="S4675" t="s">
        <v>31</v>
      </c>
      <c r="T4675">
        <v>0</v>
      </c>
      <c r="U4675">
        <v>0</v>
      </c>
      <c r="V4675" t="s">
        <v>32</v>
      </c>
      <c r="W4675" t="s">
        <v>39</v>
      </c>
      <c r="X4675" s="4">
        <v>9.6</v>
      </c>
      <c r="Y4675">
        <v>10</v>
      </c>
      <c r="Z4675" s="5">
        <v>223.13</v>
      </c>
    </row>
    <row r="4676" spans="1:26">
      <c r="A4676">
        <v>4675</v>
      </c>
      <c r="B4676">
        <v>1533</v>
      </c>
      <c r="C4676" s="2">
        <v>46181</v>
      </c>
      <c r="D4676" t="s">
        <v>46</v>
      </c>
      <c r="E4676">
        <v>6</v>
      </c>
      <c r="F4676" s="3">
        <v>8.33</v>
      </c>
      <c r="G4676" t="s">
        <v>27</v>
      </c>
      <c r="H4676">
        <v>75</v>
      </c>
      <c r="I4676" t="s">
        <v>34</v>
      </c>
      <c r="J4676" s="4">
        <v>63.4</v>
      </c>
      <c r="K4676" s="4">
        <v>152.9</v>
      </c>
      <c r="L4676" s="4">
        <v>27</v>
      </c>
      <c r="M4676">
        <v>18</v>
      </c>
      <c r="N4676" t="s">
        <v>54</v>
      </c>
      <c r="O4676">
        <v>4</v>
      </c>
      <c r="P4676" s="4">
        <v>3089.8</v>
      </c>
      <c r="Q4676" t="s">
        <v>42</v>
      </c>
      <c r="R4676">
        <v>0</v>
      </c>
      <c r="S4676" t="s">
        <v>31</v>
      </c>
      <c r="T4676">
        <v>0</v>
      </c>
      <c r="U4676">
        <v>0</v>
      </c>
      <c r="V4676" t="s">
        <v>32</v>
      </c>
      <c r="W4676" t="s">
        <v>39</v>
      </c>
      <c r="X4676" s="4">
        <v>9.8000000000000007</v>
      </c>
      <c r="Y4676">
        <v>7</v>
      </c>
      <c r="Z4676" s="5">
        <v>181.68</v>
      </c>
    </row>
    <row r="4677" spans="1:26">
      <c r="A4677">
        <v>4676</v>
      </c>
      <c r="B4677">
        <v>1533</v>
      </c>
      <c r="C4677" s="2">
        <v>46181</v>
      </c>
      <c r="D4677" t="s">
        <v>46</v>
      </c>
      <c r="E4677">
        <v>6</v>
      </c>
      <c r="F4677" s="3">
        <v>8.3699999999999992</v>
      </c>
      <c r="G4677" t="s">
        <v>27</v>
      </c>
      <c r="H4677">
        <v>37</v>
      </c>
      <c r="I4677" t="s">
        <v>34</v>
      </c>
      <c r="J4677" s="4">
        <v>62.9</v>
      </c>
      <c r="K4677" s="4">
        <v>132.80000000000001</v>
      </c>
      <c r="L4677" s="4">
        <v>23.3</v>
      </c>
      <c r="M4677">
        <v>15</v>
      </c>
      <c r="N4677" t="s">
        <v>54</v>
      </c>
      <c r="O4677">
        <v>4</v>
      </c>
      <c r="P4677" s="4">
        <v>3089.8</v>
      </c>
      <c r="Q4677" t="s">
        <v>42</v>
      </c>
      <c r="R4677">
        <v>0</v>
      </c>
      <c r="S4677" t="s">
        <v>31</v>
      </c>
      <c r="T4677">
        <v>0</v>
      </c>
      <c r="U4677">
        <v>0</v>
      </c>
      <c r="V4677" t="s">
        <v>32</v>
      </c>
      <c r="W4677" t="s">
        <v>39</v>
      </c>
      <c r="X4677" s="4">
        <v>8.8000000000000007</v>
      </c>
      <c r="Y4677">
        <v>7</v>
      </c>
      <c r="Z4677" s="5">
        <v>141.22</v>
      </c>
    </row>
    <row r="4678" spans="1:26">
      <c r="A4678">
        <v>4677</v>
      </c>
      <c r="B4678">
        <v>1533</v>
      </c>
      <c r="C4678" s="2">
        <v>46181</v>
      </c>
      <c r="D4678" t="s">
        <v>46</v>
      </c>
      <c r="E4678">
        <v>6</v>
      </c>
      <c r="F4678" s="3">
        <v>8.16</v>
      </c>
      <c r="G4678" t="s">
        <v>27</v>
      </c>
      <c r="H4678">
        <v>18</v>
      </c>
      <c r="I4678" t="s">
        <v>34</v>
      </c>
      <c r="J4678" s="4">
        <v>68.8</v>
      </c>
      <c r="K4678" s="4">
        <v>136.30000000000001</v>
      </c>
      <c r="L4678" s="4">
        <v>20.3</v>
      </c>
      <c r="M4678">
        <v>16</v>
      </c>
      <c r="N4678" t="s">
        <v>54</v>
      </c>
      <c r="O4678">
        <v>4</v>
      </c>
      <c r="P4678" s="4">
        <v>3089.8</v>
      </c>
      <c r="Q4678" t="s">
        <v>42</v>
      </c>
      <c r="R4678">
        <v>0</v>
      </c>
      <c r="S4678" t="s">
        <v>31</v>
      </c>
      <c r="T4678">
        <v>0</v>
      </c>
      <c r="U4678">
        <v>0</v>
      </c>
      <c r="V4678" t="s">
        <v>32</v>
      </c>
      <c r="W4678" t="s">
        <v>39</v>
      </c>
      <c r="X4678" s="4">
        <v>11.2</v>
      </c>
      <c r="Y4678">
        <v>5</v>
      </c>
      <c r="Z4678" s="5">
        <v>230.84</v>
      </c>
    </row>
    <row r="4679" spans="1:26">
      <c r="A4679">
        <v>4678</v>
      </c>
      <c r="B4679">
        <v>1534</v>
      </c>
      <c r="C4679" s="2">
        <v>46050</v>
      </c>
      <c r="D4679" t="s">
        <v>52</v>
      </c>
      <c r="E4679">
        <v>1</v>
      </c>
      <c r="F4679" s="3">
        <v>8.36</v>
      </c>
      <c r="G4679" t="s">
        <v>27</v>
      </c>
      <c r="H4679">
        <v>25</v>
      </c>
      <c r="I4679" t="s">
        <v>34</v>
      </c>
      <c r="J4679" s="4">
        <v>66.7</v>
      </c>
      <c r="K4679" s="4">
        <v>174.6</v>
      </c>
      <c r="L4679" s="4">
        <v>27.6</v>
      </c>
      <c r="M4679">
        <v>14</v>
      </c>
      <c r="N4679" t="s">
        <v>61</v>
      </c>
      <c r="O4679">
        <v>3</v>
      </c>
      <c r="P4679" s="4">
        <v>1228.8</v>
      </c>
      <c r="Q4679" t="s">
        <v>42</v>
      </c>
      <c r="R4679">
        <v>1</v>
      </c>
      <c r="S4679" t="s">
        <v>38</v>
      </c>
      <c r="T4679">
        <v>1</v>
      </c>
      <c r="U4679">
        <v>0</v>
      </c>
      <c r="V4679" t="s">
        <v>32</v>
      </c>
      <c r="W4679" t="s">
        <v>39</v>
      </c>
      <c r="X4679" s="4">
        <v>10</v>
      </c>
      <c r="Y4679">
        <v>9</v>
      </c>
      <c r="Z4679" s="5">
        <v>230.07</v>
      </c>
    </row>
    <row r="4680" spans="1:26">
      <c r="A4680">
        <v>4679</v>
      </c>
      <c r="B4680">
        <v>1534</v>
      </c>
      <c r="C4680" s="2">
        <v>46050</v>
      </c>
      <c r="D4680" t="s">
        <v>52</v>
      </c>
      <c r="E4680">
        <v>1</v>
      </c>
      <c r="F4680" s="3">
        <v>8.5500000000000007</v>
      </c>
      <c r="G4680" t="s">
        <v>27</v>
      </c>
      <c r="H4680">
        <v>34</v>
      </c>
      <c r="I4680" t="s">
        <v>34</v>
      </c>
      <c r="J4680" s="4">
        <v>65.900000000000006</v>
      </c>
      <c r="K4680" s="4">
        <v>178.5</v>
      </c>
      <c r="L4680" s="4">
        <v>29.1</v>
      </c>
      <c r="M4680">
        <v>13</v>
      </c>
      <c r="N4680" t="s">
        <v>61</v>
      </c>
      <c r="O4680">
        <v>3</v>
      </c>
      <c r="P4680" s="4">
        <v>1228.8</v>
      </c>
      <c r="Q4680" t="s">
        <v>42</v>
      </c>
      <c r="R4680">
        <v>1</v>
      </c>
      <c r="S4680" t="s">
        <v>38</v>
      </c>
      <c r="T4680">
        <v>1</v>
      </c>
      <c r="U4680">
        <v>0</v>
      </c>
      <c r="V4680" t="s">
        <v>32</v>
      </c>
      <c r="W4680" t="s">
        <v>39</v>
      </c>
      <c r="X4680" s="4">
        <v>8.5</v>
      </c>
      <c r="Y4680">
        <v>10</v>
      </c>
      <c r="Z4680" s="5">
        <v>304.27999999999997</v>
      </c>
    </row>
    <row r="4681" spans="1:26">
      <c r="A4681">
        <v>4680</v>
      </c>
      <c r="B4681">
        <v>1534</v>
      </c>
      <c r="C4681" s="2">
        <v>46050</v>
      </c>
      <c r="D4681" t="s">
        <v>52</v>
      </c>
      <c r="E4681">
        <v>1</v>
      </c>
      <c r="F4681" s="3">
        <v>8.5299999999999994</v>
      </c>
      <c r="G4681" t="s">
        <v>27</v>
      </c>
      <c r="H4681">
        <v>63</v>
      </c>
      <c r="I4681" t="s">
        <v>34</v>
      </c>
      <c r="J4681" s="4">
        <v>61.5</v>
      </c>
      <c r="K4681" s="4">
        <v>120.9</v>
      </c>
      <c r="L4681" s="4">
        <v>22.5</v>
      </c>
      <c r="M4681">
        <v>14</v>
      </c>
      <c r="N4681" t="s">
        <v>61</v>
      </c>
      <c r="O4681">
        <v>3</v>
      </c>
      <c r="P4681" s="4">
        <v>1228.8</v>
      </c>
      <c r="Q4681" t="s">
        <v>42</v>
      </c>
      <c r="R4681">
        <v>1</v>
      </c>
      <c r="S4681" t="s">
        <v>38</v>
      </c>
      <c r="T4681">
        <v>1</v>
      </c>
      <c r="U4681">
        <v>0</v>
      </c>
      <c r="V4681" t="s">
        <v>32</v>
      </c>
      <c r="W4681" t="s">
        <v>39</v>
      </c>
      <c r="X4681" s="4">
        <v>13.3</v>
      </c>
      <c r="Y4681">
        <v>10</v>
      </c>
      <c r="Z4681" s="5">
        <v>267.39999999999998</v>
      </c>
    </row>
    <row r="4682" spans="1:26">
      <c r="A4682">
        <v>4681</v>
      </c>
      <c r="B4682">
        <v>1535</v>
      </c>
      <c r="C4682" s="2">
        <v>46365</v>
      </c>
      <c r="D4682" t="s">
        <v>52</v>
      </c>
      <c r="E4682">
        <v>12</v>
      </c>
      <c r="F4682" s="3">
        <v>9.7100000000000009</v>
      </c>
      <c r="G4682" t="s">
        <v>27</v>
      </c>
      <c r="H4682">
        <v>5</v>
      </c>
      <c r="I4682" t="s">
        <v>34</v>
      </c>
      <c r="J4682" s="4">
        <v>56.4</v>
      </c>
      <c r="K4682" s="4">
        <v>116.4</v>
      </c>
      <c r="L4682" s="4">
        <v>25.8</v>
      </c>
      <c r="M4682">
        <v>13</v>
      </c>
      <c r="N4682" t="s">
        <v>47</v>
      </c>
      <c r="O4682">
        <v>4</v>
      </c>
      <c r="P4682" s="4">
        <v>120.5</v>
      </c>
      <c r="Q4682" t="s">
        <v>42</v>
      </c>
      <c r="R4682">
        <v>0</v>
      </c>
      <c r="S4682" t="s">
        <v>31</v>
      </c>
      <c r="T4682">
        <v>0</v>
      </c>
      <c r="U4682">
        <v>0</v>
      </c>
      <c r="V4682" t="s">
        <v>32</v>
      </c>
      <c r="W4682" t="s">
        <v>43</v>
      </c>
      <c r="X4682" s="4">
        <v>7.8</v>
      </c>
      <c r="Y4682">
        <v>4</v>
      </c>
      <c r="Z4682" s="5">
        <v>133.33000000000001</v>
      </c>
    </row>
    <row r="4683" spans="1:26">
      <c r="A4683">
        <v>4682</v>
      </c>
      <c r="B4683">
        <v>1535</v>
      </c>
      <c r="C4683" s="2">
        <v>46365</v>
      </c>
      <c r="D4683" t="s">
        <v>52</v>
      </c>
      <c r="E4683">
        <v>12</v>
      </c>
      <c r="F4683" s="3">
        <v>9.68</v>
      </c>
      <c r="G4683" t="s">
        <v>27</v>
      </c>
      <c r="H4683">
        <v>11</v>
      </c>
      <c r="I4683" t="s">
        <v>28</v>
      </c>
      <c r="J4683" s="4">
        <v>66.2</v>
      </c>
      <c r="K4683" s="4">
        <v>115.7</v>
      </c>
      <c r="L4683" s="4">
        <v>18.5</v>
      </c>
      <c r="M4683">
        <v>10</v>
      </c>
      <c r="N4683" t="s">
        <v>47</v>
      </c>
      <c r="O4683">
        <v>4</v>
      </c>
      <c r="P4683" s="4">
        <v>120.5</v>
      </c>
      <c r="Q4683" t="s">
        <v>42</v>
      </c>
      <c r="R4683">
        <v>0</v>
      </c>
      <c r="S4683" t="s">
        <v>31</v>
      </c>
      <c r="T4683">
        <v>0</v>
      </c>
      <c r="U4683">
        <v>0</v>
      </c>
      <c r="V4683" t="s">
        <v>32</v>
      </c>
      <c r="W4683" t="s">
        <v>43</v>
      </c>
      <c r="X4683" s="4">
        <v>7.4</v>
      </c>
      <c r="Y4683">
        <v>7</v>
      </c>
      <c r="Z4683" s="5">
        <v>128.75</v>
      </c>
    </row>
    <row r="4684" spans="1:26">
      <c r="A4684">
        <v>4683</v>
      </c>
      <c r="B4684">
        <v>1535</v>
      </c>
      <c r="C4684" s="2">
        <v>46365</v>
      </c>
      <c r="D4684" t="s">
        <v>52</v>
      </c>
      <c r="E4684">
        <v>12</v>
      </c>
      <c r="F4684" s="3">
        <v>9.51</v>
      </c>
      <c r="G4684" t="s">
        <v>27</v>
      </c>
      <c r="H4684">
        <v>7</v>
      </c>
      <c r="I4684" t="s">
        <v>34</v>
      </c>
      <c r="J4684" s="4">
        <v>57.4</v>
      </c>
      <c r="K4684" s="4">
        <v>81.900000000000006</v>
      </c>
      <c r="L4684" s="4">
        <v>17.3</v>
      </c>
      <c r="M4684">
        <v>14</v>
      </c>
      <c r="N4684" t="s">
        <v>47</v>
      </c>
      <c r="O4684">
        <v>4</v>
      </c>
      <c r="P4684" s="4">
        <v>120.5</v>
      </c>
      <c r="Q4684" t="s">
        <v>42</v>
      </c>
      <c r="R4684">
        <v>0</v>
      </c>
      <c r="S4684" t="s">
        <v>31</v>
      </c>
      <c r="T4684">
        <v>0</v>
      </c>
      <c r="U4684">
        <v>0</v>
      </c>
      <c r="V4684" t="s">
        <v>32</v>
      </c>
      <c r="W4684" t="s">
        <v>43</v>
      </c>
      <c r="X4684" s="4">
        <v>9.3000000000000007</v>
      </c>
      <c r="Y4684">
        <v>5</v>
      </c>
      <c r="Z4684" s="5">
        <v>191.08</v>
      </c>
    </row>
    <row r="4685" spans="1:26">
      <c r="A4685">
        <v>4684</v>
      </c>
      <c r="B4685">
        <v>1535</v>
      </c>
      <c r="C4685" s="2">
        <v>46365</v>
      </c>
      <c r="D4685" t="s">
        <v>52</v>
      </c>
      <c r="E4685">
        <v>12</v>
      </c>
      <c r="F4685" s="3">
        <v>9.67</v>
      </c>
      <c r="G4685" t="s">
        <v>27</v>
      </c>
      <c r="H4685">
        <v>6</v>
      </c>
      <c r="I4685" t="s">
        <v>28</v>
      </c>
      <c r="J4685" s="4">
        <v>53.2</v>
      </c>
      <c r="K4685" s="4">
        <v>60.1</v>
      </c>
      <c r="L4685" s="4">
        <v>15</v>
      </c>
      <c r="M4685">
        <v>15</v>
      </c>
      <c r="N4685" t="s">
        <v>47</v>
      </c>
      <c r="O4685">
        <v>4</v>
      </c>
      <c r="P4685" s="4">
        <v>120.5</v>
      </c>
      <c r="Q4685" t="s">
        <v>42</v>
      </c>
      <c r="R4685">
        <v>0</v>
      </c>
      <c r="S4685" t="s">
        <v>31</v>
      </c>
      <c r="T4685">
        <v>0</v>
      </c>
      <c r="U4685">
        <v>0</v>
      </c>
      <c r="V4685" t="s">
        <v>32</v>
      </c>
      <c r="W4685" t="s">
        <v>43</v>
      </c>
      <c r="X4685" s="4">
        <v>9.5</v>
      </c>
      <c r="Y4685">
        <v>3</v>
      </c>
      <c r="Z4685" s="5">
        <v>152.22999999999999</v>
      </c>
    </row>
    <row r="4686" spans="1:26">
      <c r="A4686">
        <v>4685</v>
      </c>
      <c r="B4686">
        <v>1536</v>
      </c>
      <c r="C4686" s="2">
        <v>46280</v>
      </c>
      <c r="D4686" t="s">
        <v>35</v>
      </c>
      <c r="E4686">
        <v>9</v>
      </c>
      <c r="F4686" s="3">
        <v>11.35</v>
      </c>
      <c r="G4686" t="s">
        <v>36</v>
      </c>
      <c r="H4686">
        <v>65</v>
      </c>
      <c r="I4686" t="s">
        <v>34</v>
      </c>
      <c r="J4686" s="4">
        <v>64.3</v>
      </c>
      <c r="K4686" s="4">
        <v>155.1</v>
      </c>
      <c r="L4686" s="4">
        <v>26.3</v>
      </c>
      <c r="M4686">
        <v>16</v>
      </c>
      <c r="N4686" t="s">
        <v>56</v>
      </c>
      <c r="O4686">
        <v>4</v>
      </c>
      <c r="P4686" s="4">
        <v>156.5</v>
      </c>
      <c r="Q4686" t="s">
        <v>42</v>
      </c>
      <c r="R4686">
        <v>1</v>
      </c>
      <c r="S4686" t="s">
        <v>38</v>
      </c>
      <c r="T4686">
        <v>1</v>
      </c>
      <c r="U4686">
        <v>1</v>
      </c>
      <c r="V4686" t="s">
        <v>45</v>
      </c>
      <c r="W4686" t="s">
        <v>43</v>
      </c>
      <c r="X4686" s="4">
        <v>10.5</v>
      </c>
      <c r="Y4686">
        <v>17</v>
      </c>
      <c r="Z4686" s="5">
        <v>280.60000000000002</v>
      </c>
    </row>
    <row r="4687" spans="1:26">
      <c r="A4687">
        <v>4686</v>
      </c>
      <c r="B4687">
        <v>1536</v>
      </c>
      <c r="C4687" s="2">
        <v>46280</v>
      </c>
      <c r="D4687" t="s">
        <v>35</v>
      </c>
      <c r="E4687">
        <v>9</v>
      </c>
      <c r="F4687" s="3">
        <v>11.32</v>
      </c>
      <c r="G4687" t="s">
        <v>36</v>
      </c>
      <c r="H4687">
        <v>22</v>
      </c>
      <c r="I4687" t="s">
        <v>28</v>
      </c>
      <c r="J4687" s="4">
        <v>63.6</v>
      </c>
      <c r="K4687" s="4">
        <v>183</v>
      </c>
      <c r="L4687" s="4">
        <v>31.7</v>
      </c>
      <c r="M4687">
        <v>13</v>
      </c>
      <c r="N4687" t="s">
        <v>56</v>
      </c>
      <c r="O4687">
        <v>4</v>
      </c>
      <c r="P4687" s="4">
        <v>156.5</v>
      </c>
      <c r="Q4687" t="s">
        <v>42</v>
      </c>
      <c r="R4687">
        <v>1</v>
      </c>
      <c r="S4687" t="s">
        <v>38</v>
      </c>
      <c r="T4687">
        <v>1</v>
      </c>
      <c r="U4687">
        <v>1</v>
      </c>
      <c r="V4687" t="s">
        <v>45</v>
      </c>
      <c r="W4687" t="s">
        <v>43</v>
      </c>
      <c r="X4687" s="4">
        <v>7.9</v>
      </c>
      <c r="Y4687">
        <v>7</v>
      </c>
      <c r="Z4687" s="5">
        <v>394.92</v>
      </c>
    </row>
    <row r="4688" spans="1:26">
      <c r="A4688">
        <v>4687</v>
      </c>
      <c r="B4688">
        <v>1536</v>
      </c>
      <c r="C4688" s="2">
        <v>46280</v>
      </c>
      <c r="D4688" t="s">
        <v>35</v>
      </c>
      <c r="E4688">
        <v>9</v>
      </c>
      <c r="F4688" s="3">
        <v>11.22</v>
      </c>
      <c r="G4688" t="s">
        <v>36</v>
      </c>
      <c r="H4688">
        <v>57</v>
      </c>
      <c r="I4688" t="s">
        <v>28</v>
      </c>
      <c r="J4688" s="4">
        <v>68.8</v>
      </c>
      <c r="K4688" s="4">
        <v>124.1</v>
      </c>
      <c r="L4688" s="4">
        <v>18.5</v>
      </c>
      <c r="M4688">
        <v>17</v>
      </c>
      <c r="N4688" t="s">
        <v>56</v>
      </c>
      <c r="O4688">
        <v>4</v>
      </c>
      <c r="P4688" s="4">
        <v>156.5</v>
      </c>
      <c r="Q4688" t="s">
        <v>42</v>
      </c>
      <c r="R4688">
        <v>1</v>
      </c>
      <c r="S4688" t="s">
        <v>38</v>
      </c>
      <c r="T4688">
        <v>1</v>
      </c>
      <c r="U4688">
        <v>1</v>
      </c>
      <c r="V4688" t="s">
        <v>45</v>
      </c>
      <c r="W4688" t="s">
        <v>43</v>
      </c>
      <c r="X4688" s="4">
        <v>9.8000000000000007</v>
      </c>
      <c r="Y4688">
        <v>14</v>
      </c>
      <c r="Z4688" s="5">
        <v>296.76</v>
      </c>
    </row>
    <row r="4689" spans="1:26">
      <c r="A4689">
        <v>4688</v>
      </c>
      <c r="B4689">
        <v>1536</v>
      </c>
      <c r="C4689" s="2">
        <v>46280</v>
      </c>
      <c r="D4689" t="s">
        <v>35</v>
      </c>
      <c r="E4689">
        <v>9</v>
      </c>
      <c r="F4689" s="3">
        <v>11.5</v>
      </c>
      <c r="G4689" t="s">
        <v>36</v>
      </c>
      <c r="H4689">
        <v>41</v>
      </c>
      <c r="I4689" t="s">
        <v>28</v>
      </c>
      <c r="J4689" s="4">
        <v>68.599999999999994</v>
      </c>
      <c r="K4689" s="4">
        <v>157.9</v>
      </c>
      <c r="L4689" s="4">
        <v>23.6</v>
      </c>
      <c r="M4689">
        <v>18</v>
      </c>
      <c r="N4689" t="s">
        <v>56</v>
      </c>
      <c r="O4689">
        <v>4</v>
      </c>
      <c r="P4689" s="4">
        <v>156.5</v>
      </c>
      <c r="Q4689" t="s">
        <v>42</v>
      </c>
      <c r="R4689">
        <v>1</v>
      </c>
      <c r="S4689" t="s">
        <v>38</v>
      </c>
      <c r="T4689">
        <v>1</v>
      </c>
      <c r="U4689">
        <v>1</v>
      </c>
      <c r="V4689" t="s">
        <v>45</v>
      </c>
      <c r="W4689" t="s">
        <v>43</v>
      </c>
      <c r="X4689" s="4">
        <v>11.2</v>
      </c>
      <c r="Y4689">
        <v>14</v>
      </c>
      <c r="Z4689" s="5">
        <v>370.2</v>
      </c>
    </row>
    <row r="4690" spans="1:26">
      <c r="A4690">
        <v>4689</v>
      </c>
      <c r="B4690">
        <v>1537</v>
      </c>
      <c r="C4690" s="2">
        <v>46243</v>
      </c>
      <c r="D4690" t="s">
        <v>58</v>
      </c>
      <c r="E4690">
        <v>8</v>
      </c>
      <c r="F4690" s="3">
        <v>10.92</v>
      </c>
      <c r="G4690" t="s">
        <v>27</v>
      </c>
      <c r="H4690">
        <v>28</v>
      </c>
      <c r="I4690" t="s">
        <v>28</v>
      </c>
      <c r="J4690" s="4">
        <v>71.599999999999994</v>
      </c>
      <c r="K4690" s="4">
        <v>253.9</v>
      </c>
      <c r="L4690" s="4">
        <v>34.9</v>
      </c>
      <c r="M4690">
        <v>16</v>
      </c>
      <c r="N4690" t="s">
        <v>47</v>
      </c>
      <c r="O4690">
        <v>4</v>
      </c>
      <c r="P4690" s="4">
        <v>108.9</v>
      </c>
      <c r="Q4690" t="s">
        <v>42</v>
      </c>
      <c r="R4690">
        <v>0</v>
      </c>
      <c r="S4690" t="s">
        <v>31</v>
      </c>
      <c r="T4690">
        <v>0</v>
      </c>
      <c r="U4690">
        <v>1</v>
      </c>
      <c r="V4690" t="s">
        <v>32</v>
      </c>
      <c r="W4690" t="s">
        <v>33</v>
      </c>
      <c r="X4690" s="4">
        <v>9.1999999999999993</v>
      </c>
      <c r="Y4690">
        <v>8</v>
      </c>
      <c r="Z4690" s="5">
        <v>200.99</v>
      </c>
    </row>
    <row r="4691" spans="1:26">
      <c r="A4691">
        <v>4690</v>
      </c>
      <c r="B4691">
        <v>1537</v>
      </c>
      <c r="C4691" s="2">
        <v>46243</v>
      </c>
      <c r="D4691" t="s">
        <v>58</v>
      </c>
      <c r="E4691">
        <v>8</v>
      </c>
      <c r="F4691" s="3">
        <v>10.9</v>
      </c>
      <c r="G4691" t="s">
        <v>27</v>
      </c>
      <c r="H4691">
        <v>35</v>
      </c>
      <c r="I4691" t="s">
        <v>34</v>
      </c>
      <c r="J4691" s="4">
        <v>60.8</v>
      </c>
      <c r="K4691" s="4">
        <v>121.5</v>
      </c>
      <c r="L4691" s="4">
        <v>23.2</v>
      </c>
      <c r="M4691">
        <v>13</v>
      </c>
      <c r="N4691" t="s">
        <v>47</v>
      </c>
      <c r="O4691">
        <v>4</v>
      </c>
      <c r="P4691" s="4">
        <v>108.9</v>
      </c>
      <c r="Q4691" t="s">
        <v>42</v>
      </c>
      <c r="R4691">
        <v>0</v>
      </c>
      <c r="S4691" t="s">
        <v>31</v>
      </c>
      <c r="T4691">
        <v>0</v>
      </c>
      <c r="U4691">
        <v>1</v>
      </c>
      <c r="V4691" t="s">
        <v>32</v>
      </c>
      <c r="W4691" t="s">
        <v>33</v>
      </c>
      <c r="X4691" s="4">
        <v>9</v>
      </c>
      <c r="Y4691">
        <v>9</v>
      </c>
      <c r="Z4691" s="5">
        <v>169.89</v>
      </c>
    </row>
    <row r="4692" spans="1:26">
      <c r="A4692">
        <v>4691</v>
      </c>
      <c r="B4692">
        <v>1537</v>
      </c>
      <c r="C4692" s="2">
        <v>46243</v>
      </c>
      <c r="D4692" t="s">
        <v>58</v>
      </c>
      <c r="E4692">
        <v>8</v>
      </c>
      <c r="F4692" s="3">
        <v>11.19</v>
      </c>
      <c r="G4692" t="s">
        <v>36</v>
      </c>
      <c r="H4692">
        <v>63</v>
      </c>
      <c r="I4692" t="s">
        <v>28</v>
      </c>
      <c r="J4692" s="4">
        <v>71</v>
      </c>
      <c r="K4692" s="4">
        <v>174.6</v>
      </c>
      <c r="L4692" s="4">
        <v>24.3</v>
      </c>
      <c r="M4692">
        <v>17</v>
      </c>
      <c r="N4692" t="s">
        <v>47</v>
      </c>
      <c r="O4692">
        <v>4</v>
      </c>
      <c r="P4692" s="4">
        <v>108.9</v>
      </c>
      <c r="Q4692" t="s">
        <v>42</v>
      </c>
      <c r="R4692">
        <v>0</v>
      </c>
      <c r="S4692" t="s">
        <v>31</v>
      </c>
      <c r="T4692">
        <v>0</v>
      </c>
      <c r="U4692">
        <v>1</v>
      </c>
      <c r="V4692" t="s">
        <v>32</v>
      </c>
      <c r="W4692" t="s">
        <v>33</v>
      </c>
      <c r="X4692" s="4">
        <v>8.1999999999999993</v>
      </c>
      <c r="Y4692">
        <v>9</v>
      </c>
      <c r="Z4692" s="5">
        <v>230.04</v>
      </c>
    </row>
    <row r="4693" spans="1:26">
      <c r="A4693">
        <v>4692</v>
      </c>
      <c r="B4693">
        <v>1537</v>
      </c>
      <c r="C4693" s="2">
        <v>46243</v>
      </c>
      <c r="D4693" t="s">
        <v>58</v>
      </c>
      <c r="E4693">
        <v>8</v>
      </c>
      <c r="F4693" s="3">
        <v>11.04</v>
      </c>
      <c r="G4693" t="s">
        <v>36</v>
      </c>
      <c r="H4693">
        <v>74</v>
      </c>
      <c r="I4693" t="s">
        <v>28</v>
      </c>
      <c r="J4693" s="4">
        <v>68.2</v>
      </c>
      <c r="K4693" s="4">
        <v>145.19999999999999</v>
      </c>
      <c r="L4693" s="4">
        <v>21.9</v>
      </c>
      <c r="M4693">
        <v>14</v>
      </c>
      <c r="N4693" t="s">
        <v>47</v>
      </c>
      <c r="O4693">
        <v>4</v>
      </c>
      <c r="P4693" s="4">
        <v>108.9</v>
      </c>
      <c r="Q4693" t="s">
        <v>42</v>
      </c>
      <c r="R4693">
        <v>0</v>
      </c>
      <c r="S4693" t="s">
        <v>31</v>
      </c>
      <c r="T4693">
        <v>0</v>
      </c>
      <c r="U4693">
        <v>1</v>
      </c>
      <c r="V4693" t="s">
        <v>32</v>
      </c>
      <c r="W4693" t="s">
        <v>33</v>
      </c>
      <c r="X4693" s="4">
        <v>8.6999999999999993</v>
      </c>
      <c r="Y4693">
        <v>8</v>
      </c>
      <c r="Z4693" s="5">
        <v>172.72</v>
      </c>
    </row>
    <row r="4694" spans="1:26">
      <c r="A4694">
        <v>4693</v>
      </c>
      <c r="B4694">
        <v>1538</v>
      </c>
      <c r="C4694" s="2">
        <v>46044</v>
      </c>
      <c r="D4694" t="s">
        <v>55</v>
      </c>
      <c r="E4694">
        <v>1</v>
      </c>
      <c r="F4694" s="3">
        <v>12.34</v>
      </c>
      <c r="G4694" t="s">
        <v>36</v>
      </c>
      <c r="H4694">
        <v>63</v>
      </c>
      <c r="I4694" t="s">
        <v>34</v>
      </c>
      <c r="J4694" s="4">
        <v>66.099999999999994</v>
      </c>
      <c r="K4694" s="4">
        <v>132.5</v>
      </c>
      <c r="L4694" s="4">
        <v>21.6</v>
      </c>
      <c r="M4694">
        <v>15</v>
      </c>
      <c r="N4694" t="s">
        <v>56</v>
      </c>
      <c r="O4694">
        <v>2</v>
      </c>
      <c r="P4694" s="4">
        <v>337.8</v>
      </c>
      <c r="Q4694" t="s">
        <v>30</v>
      </c>
      <c r="R4694">
        <v>0</v>
      </c>
      <c r="S4694" t="s">
        <v>44</v>
      </c>
      <c r="T4694">
        <v>1</v>
      </c>
      <c r="U4694">
        <v>0</v>
      </c>
      <c r="V4694" t="s">
        <v>32</v>
      </c>
      <c r="W4694" t="s">
        <v>43</v>
      </c>
      <c r="X4694" s="4">
        <v>9.1999999999999993</v>
      </c>
      <c r="Y4694">
        <v>16</v>
      </c>
      <c r="Z4694" s="5">
        <v>227.26</v>
      </c>
    </row>
    <row r="4695" spans="1:26">
      <c r="A4695">
        <v>4694</v>
      </c>
      <c r="B4695">
        <v>1538</v>
      </c>
      <c r="C4695" s="2">
        <v>46044</v>
      </c>
      <c r="D4695" t="s">
        <v>55</v>
      </c>
      <c r="E4695">
        <v>1</v>
      </c>
      <c r="F4695" s="3">
        <v>12.67</v>
      </c>
      <c r="G4695" t="s">
        <v>36</v>
      </c>
      <c r="H4695">
        <v>27</v>
      </c>
      <c r="I4695" t="s">
        <v>28</v>
      </c>
      <c r="J4695" s="4">
        <v>66</v>
      </c>
      <c r="K4695" s="4">
        <v>134.19999999999999</v>
      </c>
      <c r="L4695" s="4">
        <v>21.7</v>
      </c>
      <c r="M4695">
        <v>15</v>
      </c>
      <c r="N4695" t="s">
        <v>56</v>
      </c>
      <c r="O4695">
        <v>2</v>
      </c>
      <c r="P4695" s="4">
        <v>337.8</v>
      </c>
      <c r="Q4695" t="s">
        <v>30</v>
      </c>
      <c r="R4695">
        <v>0</v>
      </c>
      <c r="S4695" t="s">
        <v>44</v>
      </c>
      <c r="T4695">
        <v>1</v>
      </c>
      <c r="U4695">
        <v>0</v>
      </c>
      <c r="V4695" t="s">
        <v>32</v>
      </c>
      <c r="W4695" t="s">
        <v>43</v>
      </c>
      <c r="X4695" s="4">
        <v>5.7</v>
      </c>
      <c r="Y4695">
        <v>9</v>
      </c>
      <c r="Z4695" s="5">
        <v>116.32</v>
      </c>
    </row>
    <row r="4696" spans="1:26">
      <c r="A4696">
        <v>4695</v>
      </c>
      <c r="B4696">
        <v>1539</v>
      </c>
      <c r="C4696" s="2">
        <v>46327</v>
      </c>
      <c r="D4696" t="s">
        <v>58</v>
      </c>
      <c r="E4696">
        <v>11</v>
      </c>
      <c r="F4696" s="3">
        <v>10.37</v>
      </c>
      <c r="G4696" t="s">
        <v>27</v>
      </c>
      <c r="H4696">
        <v>42</v>
      </c>
      <c r="I4696" t="s">
        <v>28</v>
      </c>
      <c r="J4696" s="4">
        <v>66.599999999999994</v>
      </c>
      <c r="K4696" s="4">
        <v>212.4</v>
      </c>
      <c r="L4696" s="4">
        <v>33.6</v>
      </c>
      <c r="M4696">
        <v>14</v>
      </c>
      <c r="N4696" t="s">
        <v>53</v>
      </c>
      <c r="O4696">
        <v>1</v>
      </c>
      <c r="P4696" s="4">
        <v>738</v>
      </c>
      <c r="Q4696" t="s">
        <v>30</v>
      </c>
      <c r="R4696">
        <v>1</v>
      </c>
      <c r="S4696" t="s">
        <v>44</v>
      </c>
      <c r="T4696">
        <v>0</v>
      </c>
      <c r="U4696">
        <v>0</v>
      </c>
      <c r="V4696" t="s">
        <v>45</v>
      </c>
      <c r="W4696" t="s">
        <v>43</v>
      </c>
      <c r="X4696" s="4">
        <v>6.7</v>
      </c>
      <c r="Y4696">
        <v>7</v>
      </c>
      <c r="Z4696" s="5">
        <v>150.33000000000001</v>
      </c>
    </row>
    <row r="4697" spans="1:26">
      <c r="A4697">
        <v>4696</v>
      </c>
      <c r="B4697">
        <v>1540</v>
      </c>
      <c r="C4697" s="2">
        <v>46168</v>
      </c>
      <c r="D4697" t="s">
        <v>35</v>
      </c>
      <c r="E4697">
        <v>5</v>
      </c>
      <c r="F4697" s="3">
        <v>11.79</v>
      </c>
      <c r="G4697" t="s">
        <v>36</v>
      </c>
      <c r="H4697">
        <v>37</v>
      </c>
      <c r="I4697" t="s">
        <v>28</v>
      </c>
      <c r="J4697" s="4">
        <v>67.099999999999994</v>
      </c>
      <c r="K4697" s="4">
        <v>159.1</v>
      </c>
      <c r="L4697" s="4">
        <v>24.8</v>
      </c>
      <c r="M4697">
        <v>17</v>
      </c>
      <c r="N4697" t="s">
        <v>54</v>
      </c>
      <c r="O4697">
        <v>4</v>
      </c>
      <c r="P4697" s="4">
        <v>3016.4</v>
      </c>
      <c r="Q4697" t="s">
        <v>42</v>
      </c>
      <c r="R4697">
        <v>1</v>
      </c>
      <c r="S4697" t="s">
        <v>38</v>
      </c>
      <c r="T4697">
        <v>0</v>
      </c>
      <c r="U4697">
        <v>0</v>
      </c>
      <c r="V4697" t="s">
        <v>32</v>
      </c>
      <c r="W4697" t="s">
        <v>49</v>
      </c>
      <c r="X4697" s="4">
        <v>9</v>
      </c>
      <c r="Y4697">
        <v>11</v>
      </c>
      <c r="Z4697" s="5">
        <v>246.65</v>
      </c>
    </row>
    <row r="4698" spans="1:26">
      <c r="A4698">
        <v>4697</v>
      </c>
      <c r="B4698">
        <v>1540</v>
      </c>
      <c r="C4698" s="2">
        <v>46168</v>
      </c>
      <c r="D4698" t="s">
        <v>35</v>
      </c>
      <c r="E4698">
        <v>5</v>
      </c>
      <c r="F4698" s="3">
        <v>11.83</v>
      </c>
      <c r="G4698" t="s">
        <v>36</v>
      </c>
      <c r="H4698">
        <v>34</v>
      </c>
      <c r="I4698" t="s">
        <v>28</v>
      </c>
      <c r="J4698" s="4">
        <v>69.2</v>
      </c>
      <c r="K4698" s="4">
        <v>200.4</v>
      </c>
      <c r="L4698" s="4">
        <v>29.1</v>
      </c>
      <c r="M4698">
        <v>18</v>
      </c>
      <c r="N4698" t="s">
        <v>54</v>
      </c>
      <c r="O4698">
        <v>4</v>
      </c>
      <c r="P4698" s="4">
        <v>3016.4</v>
      </c>
      <c r="Q4698" t="s">
        <v>42</v>
      </c>
      <c r="R4698">
        <v>1</v>
      </c>
      <c r="S4698" t="s">
        <v>38</v>
      </c>
      <c r="T4698">
        <v>0</v>
      </c>
      <c r="U4698">
        <v>0</v>
      </c>
      <c r="V4698" t="s">
        <v>32</v>
      </c>
      <c r="W4698" t="s">
        <v>49</v>
      </c>
      <c r="X4698" s="4">
        <v>7.5</v>
      </c>
      <c r="Y4698">
        <v>7</v>
      </c>
      <c r="Z4698" s="5">
        <v>185.38</v>
      </c>
    </row>
    <row r="4699" spans="1:26">
      <c r="A4699">
        <v>4698</v>
      </c>
      <c r="B4699">
        <v>1540</v>
      </c>
      <c r="C4699" s="2">
        <v>46168</v>
      </c>
      <c r="D4699" t="s">
        <v>35</v>
      </c>
      <c r="E4699">
        <v>5</v>
      </c>
      <c r="F4699" s="3">
        <v>11.64</v>
      </c>
      <c r="G4699" t="s">
        <v>36</v>
      </c>
      <c r="H4699">
        <v>5</v>
      </c>
      <c r="I4699" t="s">
        <v>28</v>
      </c>
      <c r="J4699" s="4">
        <v>56.9</v>
      </c>
      <c r="K4699" s="4">
        <v>82</v>
      </c>
      <c r="L4699" s="4">
        <v>17.7</v>
      </c>
      <c r="M4699">
        <v>12</v>
      </c>
      <c r="N4699" t="s">
        <v>54</v>
      </c>
      <c r="O4699">
        <v>4</v>
      </c>
      <c r="P4699" s="4">
        <v>3016.4</v>
      </c>
      <c r="Q4699" t="s">
        <v>42</v>
      </c>
      <c r="R4699">
        <v>1</v>
      </c>
      <c r="S4699" t="s">
        <v>38</v>
      </c>
      <c r="T4699">
        <v>0</v>
      </c>
      <c r="U4699">
        <v>0</v>
      </c>
      <c r="V4699" t="s">
        <v>32</v>
      </c>
      <c r="W4699" t="s">
        <v>49</v>
      </c>
      <c r="X4699" s="4">
        <v>10.5</v>
      </c>
      <c r="Y4699">
        <v>7</v>
      </c>
      <c r="Z4699" s="5">
        <v>270.5</v>
      </c>
    </row>
    <row r="4700" spans="1:26">
      <c r="A4700">
        <v>4699</v>
      </c>
      <c r="B4700">
        <v>1540</v>
      </c>
      <c r="C4700" s="2">
        <v>46168</v>
      </c>
      <c r="D4700" t="s">
        <v>35</v>
      </c>
      <c r="E4700">
        <v>5</v>
      </c>
      <c r="F4700" s="3">
        <v>11.78</v>
      </c>
      <c r="G4700" t="s">
        <v>36</v>
      </c>
      <c r="H4700">
        <v>65</v>
      </c>
      <c r="I4700" t="s">
        <v>34</v>
      </c>
      <c r="J4700" s="4">
        <v>63.8</v>
      </c>
      <c r="K4700" s="4">
        <v>132.80000000000001</v>
      </c>
      <c r="L4700" s="4">
        <v>23</v>
      </c>
      <c r="M4700">
        <v>15</v>
      </c>
      <c r="N4700" t="s">
        <v>54</v>
      </c>
      <c r="O4700">
        <v>4</v>
      </c>
      <c r="P4700" s="4">
        <v>3016.4</v>
      </c>
      <c r="Q4700" t="s">
        <v>42</v>
      </c>
      <c r="R4700">
        <v>1</v>
      </c>
      <c r="S4700" t="s">
        <v>38</v>
      </c>
      <c r="T4700">
        <v>0</v>
      </c>
      <c r="U4700">
        <v>0</v>
      </c>
      <c r="V4700" t="s">
        <v>32</v>
      </c>
      <c r="W4700" t="s">
        <v>49</v>
      </c>
      <c r="X4700" s="4">
        <v>12.1</v>
      </c>
      <c r="Y4700">
        <v>12</v>
      </c>
      <c r="Z4700" s="5">
        <v>305.87</v>
      </c>
    </row>
    <row r="4701" spans="1:26">
      <c r="A4701">
        <v>4700</v>
      </c>
      <c r="B4701">
        <v>1541</v>
      </c>
      <c r="C4701" s="2">
        <v>46080</v>
      </c>
      <c r="D4701" t="s">
        <v>26</v>
      </c>
      <c r="E4701">
        <v>2</v>
      </c>
      <c r="F4701" s="3">
        <v>9.24</v>
      </c>
      <c r="G4701" t="s">
        <v>27</v>
      </c>
      <c r="H4701">
        <v>57</v>
      </c>
      <c r="I4701" t="s">
        <v>28</v>
      </c>
      <c r="J4701" s="4">
        <v>65.900000000000006</v>
      </c>
      <c r="K4701" s="4">
        <v>169.2</v>
      </c>
      <c r="L4701" s="4">
        <v>27.3</v>
      </c>
      <c r="M4701">
        <v>20</v>
      </c>
      <c r="N4701" t="s">
        <v>47</v>
      </c>
      <c r="O4701">
        <v>4</v>
      </c>
      <c r="P4701" s="4">
        <v>75.7</v>
      </c>
      <c r="Q4701" t="s">
        <v>48</v>
      </c>
      <c r="R4701">
        <v>0</v>
      </c>
      <c r="S4701" t="s">
        <v>44</v>
      </c>
      <c r="T4701">
        <v>0</v>
      </c>
      <c r="U4701">
        <v>1</v>
      </c>
      <c r="V4701" t="s">
        <v>32</v>
      </c>
      <c r="W4701" t="s">
        <v>33</v>
      </c>
      <c r="X4701" s="4">
        <v>7.8</v>
      </c>
      <c r="Y4701">
        <v>12</v>
      </c>
      <c r="Z4701" s="5">
        <v>507.93</v>
      </c>
    </row>
    <row r="4702" spans="1:26">
      <c r="A4702">
        <v>4701</v>
      </c>
      <c r="B4702">
        <v>1541</v>
      </c>
      <c r="C4702" s="2">
        <v>46080</v>
      </c>
      <c r="D4702" t="s">
        <v>26</v>
      </c>
      <c r="E4702">
        <v>2</v>
      </c>
      <c r="F4702" s="3">
        <v>8.9499999999999993</v>
      </c>
      <c r="G4702" t="s">
        <v>27</v>
      </c>
      <c r="H4702">
        <v>24</v>
      </c>
      <c r="I4702" t="s">
        <v>28</v>
      </c>
      <c r="J4702" s="4">
        <v>69.599999999999994</v>
      </c>
      <c r="K4702" s="4">
        <v>213.2</v>
      </c>
      <c r="L4702" s="4">
        <v>30.8</v>
      </c>
      <c r="M4702">
        <v>17</v>
      </c>
      <c r="N4702" t="s">
        <v>47</v>
      </c>
      <c r="O4702">
        <v>4</v>
      </c>
      <c r="P4702" s="4">
        <v>75.7</v>
      </c>
      <c r="Q4702" t="s">
        <v>48</v>
      </c>
      <c r="R4702">
        <v>0</v>
      </c>
      <c r="S4702" t="s">
        <v>44</v>
      </c>
      <c r="T4702">
        <v>0</v>
      </c>
      <c r="U4702">
        <v>1</v>
      </c>
      <c r="V4702" t="s">
        <v>32</v>
      </c>
      <c r="W4702" t="s">
        <v>33</v>
      </c>
      <c r="X4702" s="4">
        <v>6.9</v>
      </c>
      <c r="Y4702">
        <v>7</v>
      </c>
      <c r="Z4702" s="5">
        <v>208.52</v>
      </c>
    </row>
    <row r="4703" spans="1:26">
      <c r="A4703">
        <v>4702</v>
      </c>
      <c r="B4703">
        <v>1541</v>
      </c>
      <c r="C4703" s="2">
        <v>46080</v>
      </c>
      <c r="D4703" t="s">
        <v>26</v>
      </c>
      <c r="E4703">
        <v>2</v>
      </c>
      <c r="F4703" s="3">
        <v>9.1300000000000008</v>
      </c>
      <c r="G4703" t="s">
        <v>27</v>
      </c>
      <c r="H4703">
        <v>12</v>
      </c>
      <c r="I4703" t="s">
        <v>34</v>
      </c>
      <c r="J4703" s="4">
        <v>67.400000000000006</v>
      </c>
      <c r="K4703" s="4">
        <v>142.4</v>
      </c>
      <c r="L4703" s="4">
        <v>22.2</v>
      </c>
      <c r="M4703">
        <v>16</v>
      </c>
      <c r="N4703" t="s">
        <v>47</v>
      </c>
      <c r="O4703">
        <v>4</v>
      </c>
      <c r="P4703" s="4">
        <v>75.7</v>
      </c>
      <c r="Q4703" t="s">
        <v>48</v>
      </c>
      <c r="R4703">
        <v>0</v>
      </c>
      <c r="S4703" t="s">
        <v>44</v>
      </c>
      <c r="T4703">
        <v>0</v>
      </c>
      <c r="U4703">
        <v>1</v>
      </c>
      <c r="V4703" t="s">
        <v>32</v>
      </c>
      <c r="W4703" t="s">
        <v>33</v>
      </c>
      <c r="X4703" s="4">
        <v>8.5</v>
      </c>
      <c r="Y4703">
        <v>7</v>
      </c>
      <c r="Z4703" s="5">
        <v>325.41000000000003</v>
      </c>
    </row>
    <row r="4704" spans="1:26">
      <c r="A4704">
        <v>4703</v>
      </c>
      <c r="B4704">
        <v>1541</v>
      </c>
      <c r="C4704" s="2">
        <v>46080</v>
      </c>
      <c r="D4704" t="s">
        <v>26</v>
      </c>
      <c r="E4704">
        <v>2</v>
      </c>
      <c r="F4704" s="3">
        <v>8.9700000000000006</v>
      </c>
      <c r="G4704" t="s">
        <v>27</v>
      </c>
      <c r="H4704">
        <v>19</v>
      </c>
      <c r="I4704" t="s">
        <v>34</v>
      </c>
      <c r="J4704" s="4">
        <v>67.2</v>
      </c>
      <c r="K4704" s="4">
        <v>191.4</v>
      </c>
      <c r="L4704" s="4">
        <v>29.7</v>
      </c>
      <c r="M4704">
        <v>16</v>
      </c>
      <c r="N4704" t="s">
        <v>47</v>
      </c>
      <c r="O4704">
        <v>4</v>
      </c>
      <c r="P4704" s="4">
        <v>75.7</v>
      </c>
      <c r="Q4704" t="s">
        <v>48</v>
      </c>
      <c r="R4704">
        <v>0</v>
      </c>
      <c r="S4704" t="s">
        <v>44</v>
      </c>
      <c r="T4704">
        <v>0</v>
      </c>
      <c r="U4704">
        <v>1</v>
      </c>
      <c r="V4704" t="s">
        <v>32</v>
      </c>
      <c r="W4704" t="s">
        <v>33</v>
      </c>
      <c r="X4704" s="4">
        <v>8.6999999999999993</v>
      </c>
      <c r="Y4704">
        <v>8</v>
      </c>
      <c r="Z4704" s="5">
        <v>308.48</v>
      </c>
    </row>
    <row r="4705" spans="1:26">
      <c r="A4705">
        <v>4704</v>
      </c>
      <c r="B4705">
        <v>1542</v>
      </c>
      <c r="C4705" s="2">
        <v>46300</v>
      </c>
      <c r="D4705" t="s">
        <v>46</v>
      </c>
      <c r="E4705">
        <v>10</v>
      </c>
      <c r="F4705" s="3">
        <v>11.45</v>
      </c>
      <c r="G4705" t="s">
        <v>36</v>
      </c>
      <c r="H4705">
        <v>66</v>
      </c>
      <c r="I4705" t="s">
        <v>28</v>
      </c>
      <c r="J4705" s="4">
        <v>64.3</v>
      </c>
      <c r="K4705" s="4">
        <v>144</v>
      </c>
      <c r="L4705" s="4">
        <v>24.4</v>
      </c>
      <c r="M4705">
        <v>13</v>
      </c>
      <c r="N4705" t="s">
        <v>37</v>
      </c>
      <c r="O4705">
        <v>2</v>
      </c>
      <c r="P4705" s="4">
        <v>1008.2</v>
      </c>
      <c r="Q4705" t="s">
        <v>30</v>
      </c>
      <c r="R4705">
        <v>0</v>
      </c>
      <c r="S4705" t="s">
        <v>44</v>
      </c>
      <c r="T4705">
        <v>0</v>
      </c>
      <c r="U4705">
        <v>0</v>
      </c>
      <c r="V4705" t="s">
        <v>32</v>
      </c>
      <c r="W4705" t="s">
        <v>43</v>
      </c>
      <c r="X4705" s="4">
        <v>9.3000000000000007</v>
      </c>
      <c r="Y4705">
        <v>10</v>
      </c>
      <c r="Z4705" s="5">
        <v>176.38</v>
      </c>
    </row>
    <row r="4706" spans="1:26">
      <c r="A4706">
        <v>4705</v>
      </c>
      <c r="B4706">
        <v>1542</v>
      </c>
      <c r="C4706" s="2">
        <v>46300</v>
      </c>
      <c r="D4706" t="s">
        <v>46</v>
      </c>
      <c r="E4706">
        <v>10</v>
      </c>
      <c r="F4706" s="3">
        <v>11.24</v>
      </c>
      <c r="G4706" t="s">
        <v>36</v>
      </c>
      <c r="H4706">
        <v>44</v>
      </c>
      <c r="I4706" t="s">
        <v>28</v>
      </c>
      <c r="J4706" s="4">
        <v>70.400000000000006</v>
      </c>
      <c r="K4706" s="4">
        <v>194.6</v>
      </c>
      <c r="L4706" s="4">
        <v>27.6</v>
      </c>
      <c r="M4706">
        <v>13</v>
      </c>
      <c r="N4706" t="s">
        <v>37</v>
      </c>
      <c r="O4706">
        <v>2</v>
      </c>
      <c r="P4706" s="4">
        <v>1008.2</v>
      </c>
      <c r="Q4706" t="s">
        <v>30</v>
      </c>
      <c r="R4706">
        <v>0</v>
      </c>
      <c r="S4706" t="s">
        <v>44</v>
      </c>
      <c r="T4706">
        <v>0</v>
      </c>
      <c r="U4706">
        <v>0</v>
      </c>
      <c r="V4706" t="s">
        <v>32</v>
      </c>
      <c r="W4706" t="s">
        <v>43</v>
      </c>
      <c r="X4706" s="4">
        <v>9.8000000000000007</v>
      </c>
      <c r="Y4706">
        <v>10</v>
      </c>
      <c r="Z4706" s="5">
        <v>451.2</v>
      </c>
    </row>
    <row r="4707" spans="1:26">
      <c r="A4707">
        <v>4706</v>
      </c>
      <c r="B4707">
        <v>1543</v>
      </c>
      <c r="C4707" s="2">
        <v>46314</v>
      </c>
      <c r="D4707" t="s">
        <v>46</v>
      </c>
      <c r="E4707">
        <v>10</v>
      </c>
      <c r="F4707" s="3">
        <v>9.2799999999999994</v>
      </c>
      <c r="G4707" t="s">
        <v>27</v>
      </c>
      <c r="H4707">
        <v>3</v>
      </c>
      <c r="I4707" t="s">
        <v>34</v>
      </c>
      <c r="J4707" s="4">
        <v>41.4</v>
      </c>
      <c r="K4707" s="4">
        <v>45</v>
      </c>
      <c r="L4707" s="4">
        <v>18.7</v>
      </c>
      <c r="M4707">
        <v>11</v>
      </c>
      <c r="N4707" t="s">
        <v>47</v>
      </c>
      <c r="O4707">
        <v>3</v>
      </c>
      <c r="P4707" s="4">
        <v>97.5</v>
      </c>
      <c r="Q4707" t="s">
        <v>30</v>
      </c>
      <c r="R4707">
        <v>0</v>
      </c>
      <c r="S4707" t="s">
        <v>38</v>
      </c>
      <c r="T4707">
        <v>1</v>
      </c>
      <c r="U4707">
        <v>0</v>
      </c>
      <c r="V4707" t="s">
        <v>32</v>
      </c>
      <c r="W4707" t="s">
        <v>49</v>
      </c>
      <c r="X4707" s="4">
        <v>10.5</v>
      </c>
      <c r="Y4707">
        <v>9</v>
      </c>
      <c r="Z4707" s="5">
        <v>225.5</v>
      </c>
    </row>
    <row r="4708" spans="1:26">
      <c r="A4708">
        <v>4707</v>
      </c>
      <c r="B4708">
        <v>1543</v>
      </c>
      <c r="C4708" s="2">
        <v>46314</v>
      </c>
      <c r="D4708" t="s">
        <v>46</v>
      </c>
      <c r="E4708">
        <v>10</v>
      </c>
      <c r="F4708" s="3">
        <v>9.32</v>
      </c>
      <c r="G4708" t="s">
        <v>27</v>
      </c>
      <c r="H4708">
        <v>36</v>
      </c>
      <c r="I4708" t="s">
        <v>28</v>
      </c>
      <c r="J4708" s="4">
        <v>68.099999999999994</v>
      </c>
      <c r="K4708" s="4">
        <v>157.4</v>
      </c>
      <c r="L4708" s="4">
        <v>23.6</v>
      </c>
      <c r="M4708">
        <v>13</v>
      </c>
      <c r="N4708" t="s">
        <v>47</v>
      </c>
      <c r="O4708">
        <v>3</v>
      </c>
      <c r="P4708" s="4">
        <v>97.5</v>
      </c>
      <c r="Q4708" t="s">
        <v>30</v>
      </c>
      <c r="R4708">
        <v>0</v>
      </c>
      <c r="S4708" t="s">
        <v>38</v>
      </c>
      <c r="T4708">
        <v>1</v>
      </c>
      <c r="U4708">
        <v>0</v>
      </c>
      <c r="V4708" t="s">
        <v>32</v>
      </c>
      <c r="W4708" t="s">
        <v>49</v>
      </c>
      <c r="X4708" s="4">
        <v>6.6</v>
      </c>
      <c r="Y4708">
        <v>9</v>
      </c>
      <c r="Z4708" s="5">
        <v>156.09</v>
      </c>
    </row>
    <row r="4709" spans="1:26">
      <c r="A4709">
        <v>4708</v>
      </c>
      <c r="B4709">
        <v>1543</v>
      </c>
      <c r="C4709" s="2">
        <v>46314</v>
      </c>
      <c r="D4709" t="s">
        <v>46</v>
      </c>
      <c r="E4709">
        <v>10</v>
      </c>
      <c r="F4709" s="3">
        <v>9.36</v>
      </c>
      <c r="G4709" t="s">
        <v>27</v>
      </c>
      <c r="H4709">
        <v>27</v>
      </c>
      <c r="I4709" t="s">
        <v>28</v>
      </c>
      <c r="J4709" s="4">
        <v>68.599999999999994</v>
      </c>
      <c r="K4709" s="4">
        <v>141.80000000000001</v>
      </c>
      <c r="L4709" s="4">
        <v>21.1</v>
      </c>
      <c r="M4709">
        <v>13</v>
      </c>
      <c r="N4709" t="s">
        <v>47</v>
      </c>
      <c r="O4709">
        <v>3</v>
      </c>
      <c r="P4709" s="4">
        <v>97.5</v>
      </c>
      <c r="Q4709" t="s">
        <v>30</v>
      </c>
      <c r="R4709">
        <v>0</v>
      </c>
      <c r="S4709" t="s">
        <v>38</v>
      </c>
      <c r="T4709">
        <v>1</v>
      </c>
      <c r="U4709">
        <v>0</v>
      </c>
      <c r="V4709" t="s">
        <v>32</v>
      </c>
      <c r="W4709" t="s">
        <v>49</v>
      </c>
      <c r="X4709" s="4">
        <v>8.1</v>
      </c>
      <c r="Y4709">
        <v>6</v>
      </c>
      <c r="Z4709" s="5">
        <v>170.84</v>
      </c>
    </row>
    <row r="4710" spans="1:26">
      <c r="A4710">
        <v>4709</v>
      </c>
      <c r="B4710">
        <v>1544</v>
      </c>
      <c r="C4710" s="2">
        <v>46092</v>
      </c>
      <c r="D4710" t="s">
        <v>52</v>
      </c>
      <c r="E4710">
        <v>3</v>
      </c>
      <c r="F4710" s="3">
        <v>13.66</v>
      </c>
      <c r="G4710" t="s">
        <v>36</v>
      </c>
      <c r="H4710">
        <v>41</v>
      </c>
      <c r="I4710" t="s">
        <v>34</v>
      </c>
      <c r="J4710" s="4">
        <v>61.8</v>
      </c>
      <c r="K4710" s="4">
        <v>134.30000000000001</v>
      </c>
      <c r="L4710" s="4">
        <v>24.6</v>
      </c>
      <c r="M4710">
        <v>15</v>
      </c>
      <c r="N4710" t="s">
        <v>63</v>
      </c>
      <c r="O4710">
        <v>2</v>
      </c>
      <c r="P4710" s="4">
        <v>1034.5</v>
      </c>
      <c r="Q4710" t="s">
        <v>30</v>
      </c>
      <c r="R4710">
        <v>0</v>
      </c>
      <c r="S4710" t="s">
        <v>44</v>
      </c>
      <c r="T4710">
        <v>0</v>
      </c>
      <c r="U4710">
        <v>0</v>
      </c>
      <c r="V4710" t="s">
        <v>32</v>
      </c>
      <c r="W4710" t="s">
        <v>57</v>
      </c>
      <c r="X4710" s="4">
        <v>6.4</v>
      </c>
      <c r="Y4710">
        <v>10</v>
      </c>
      <c r="Z4710" s="5">
        <v>101.88</v>
      </c>
    </row>
    <row r="4711" spans="1:26">
      <c r="A4711">
        <v>4710</v>
      </c>
      <c r="B4711">
        <v>1544</v>
      </c>
      <c r="C4711" s="2">
        <v>46092</v>
      </c>
      <c r="D4711" t="s">
        <v>52</v>
      </c>
      <c r="E4711">
        <v>3</v>
      </c>
      <c r="F4711" s="3">
        <v>13.83</v>
      </c>
      <c r="G4711" t="s">
        <v>36</v>
      </c>
      <c r="H4711">
        <v>25</v>
      </c>
      <c r="I4711" t="s">
        <v>28</v>
      </c>
      <c r="J4711" s="4">
        <v>66.900000000000006</v>
      </c>
      <c r="K4711" s="4">
        <v>219.2</v>
      </c>
      <c r="L4711" s="4">
        <v>34.299999999999997</v>
      </c>
      <c r="M4711">
        <v>13</v>
      </c>
      <c r="N4711" t="s">
        <v>63</v>
      </c>
      <c r="O4711">
        <v>2</v>
      </c>
      <c r="P4711" s="4">
        <v>1034.5</v>
      </c>
      <c r="Q4711" t="s">
        <v>30</v>
      </c>
      <c r="R4711">
        <v>0</v>
      </c>
      <c r="S4711" t="s">
        <v>44</v>
      </c>
      <c r="T4711">
        <v>0</v>
      </c>
      <c r="U4711">
        <v>0</v>
      </c>
      <c r="V4711" t="s">
        <v>32</v>
      </c>
      <c r="W4711" t="s">
        <v>57</v>
      </c>
      <c r="X4711" s="4">
        <v>7</v>
      </c>
      <c r="Y4711">
        <v>9</v>
      </c>
      <c r="Z4711" s="5">
        <v>131.13</v>
      </c>
    </row>
    <row r="4712" spans="1:26">
      <c r="A4712">
        <v>4711</v>
      </c>
      <c r="B4712">
        <v>1545</v>
      </c>
      <c r="C4712" s="2">
        <v>46358</v>
      </c>
      <c r="D4712" t="s">
        <v>52</v>
      </c>
      <c r="E4712">
        <v>12</v>
      </c>
      <c r="F4712" s="3">
        <v>9.52</v>
      </c>
      <c r="G4712" t="s">
        <v>27</v>
      </c>
      <c r="H4712">
        <v>77</v>
      </c>
      <c r="I4712" t="s">
        <v>28</v>
      </c>
      <c r="J4712" s="4">
        <v>65.099999999999994</v>
      </c>
      <c r="K4712" s="4">
        <v>208.4</v>
      </c>
      <c r="L4712" s="4">
        <v>34.5</v>
      </c>
      <c r="M4712">
        <v>14</v>
      </c>
      <c r="N4712" t="s">
        <v>50</v>
      </c>
      <c r="O4712">
        <v>2</v>
      </c>
      <c r="P4712" s="4">
        <v>388.2</v>
      </c>
      <c r="Q4712" t="s">
        <v>42</v>
      </c>
      <c r="R4712">
        <v>1</v>
      </c>
      <c r="S4712" t="s">
        <v>44</v>
      </c>
      <c r="T4712">
        <v>1</v>
      </c>
      <c r="U4712">
        <v>0</v>
      </c>
      <c r="V4712" t="s">
        <v>64</v>
      </c>
      <c r="W4712" t="s">
        <v>39</v>
      </c>
      <c r="X4712" s="4">
        <v>6</v>
      </c>
      <c r="Y4712">
        <v>2</v>
      </c>
      <c r="Z4712" s="5">
        <v>156.61000000000001</v>
      </c>
    </row>
    <row r="4713" spans="1:26">
      <c r="A4713">
        <v>4712</v>
      </c>
      <c r="B4713">
        <v>1545</v>
      </c>
      <c r="C4713" s="2">
        <v>46358</v>
      </c>
      <c r="D4713" t="s">
        <v>52</v>
      </c>
      <c r="E4713">
        <v>12</v>
      </c>
      <c r="F4713" s="3">
        <v>9.59</v>
      </c>
      <c r="G4713" t="s">
        <v>27</v>
      </c>
      <c r="H4713">
        <v>7</v>
      </c>
      <c r="I4713" t="s">
        <v>34</v>
      </c>
      <c r="J4713" s="4">
        <v>59.5</v>
      </c>
      <c r="K4713" s="4">
        <v>81.099999999999994</v>
      </c>
      <c r="L4713" s="4">
        <v>16.2</v>
      </c>
      <c r="M4713">
        <v>14</v>
      </c>
      <c r="N4713" t="s">
        <v>50</v>
      </c>
      <c r="O4713">
        <v>2</v>
      </c>
      <c r="P4713" s="4">
        <v>388.2</v>
      </c>
      <c r="Q4713" t="s">
        <v>42</v>
      </c>
      <c r="R4713">
        <v>1</v>
      </c>
      <c r="S4713" t="s">
        <v>44</v>
      </c>
      <c r="T4713">
        <v>1</v>
      </c>
      <c r="U4713">
        <v>0</v>
      </c>
      <c r="V4713" t="s">
        <v>64</v>
      </c>
      <c r="W4713" t="s">
        <v>39</v>
      </c>
      <c r="X4713" s="4">
        <v>9.5</v>
      </c>
      <c r="Y4713">
        <v>9</v>
      </c>
      <c r="Z4713" s="5">
        <v>336.97</v>
      </c>
    </row>
    <row r="4714" spans="1:26">
      <c r="A4714">
        <v>4713</v>
      </c>
      <c r="B4714">
        <v>1546</v>
      </c>
      <c r="C4714" s="2">
        <v>46069</v>
      </c>
      <c r="D4714" t="s">
        <v>46</v>
      </c>
      <c r="E4714">
        <v>2</v>
      </c>
      <c r="F4714" s="3">
        <v>8.92</v>
      </c>
      <c r="G4714" t="s">
        <v>27</v>
      </c>
      <c r="H4714">
        <v>9</v>
      </c>
      <c r="I4714" t="s">
        <v>28</v>
      </c>
      <c r="J4714" s="4">
        <v>58.2</v>
      </c>
      <c r="K4714" s="4">
        <v>81.900000000000006</v>
      </c>
      <c r="L4714" s="4">
        <v>16.899999999999999</v>
      </c>
      <c r="M4714">
        <v>14</v>
      </c>
      <c r="N4714" t="s">
        <v>59</v>
      </c>
      <c r="O4714">
        <v>2</v>
      </c>
      <c r="P4714" s="4">
        <v>804.7</v>
      </c>
      <c r="Q4714" t="s">
        <v>48</v>
      </c>
      <c r="R4714">
        <v>1</v>
      </c>
      <c r="S4714" t="s">
        <v>44</v>
      </c>
      <c r="T4714">
        <v>0</v>
      </c>
      <c r="U4714">
        <v>1</v>
      </c>
      <c r="V4714" t="s">
        <v>32</v>
      </c>
      <c r="W4714" t="s">
        <v>33</v>
      </c>
      <c r="X4714" s="4">
        <v>9.8000000000000007</v>
      </c>
      <c r="Y4714">
        <v>8</v>
      </c>
      <c r="Z4714" s="5">
        <v>248</v>
      </c>
    </row>
    <row r="4715" spans="1:26">
      <c r="A4715">
        <v>4714</v>
      </c>
      <c r="B4715">
        <v>1546</v>
      </c>
      <c r="C4715" s="2">
        <v>46069</v>
      </c>
      <c r="D4715" t="s">
        <v>46</v>
      </c>
      <c r="E4715">
        <v>2</v>
      </c>
      <c r="F4715" s="3">
        <v>9.0299999999999994</v>
      </c>
      <c r="G4715" t="s">
        <v>27</v>
      </c>
      <c r="H4715">
        <v>22</v>
      </c>
      <c r="I4715" t="s">
        <v>34</v>
      </c>
      <c r="J4715" s="4">
        <v>63.5</v>
      </c>
      <c r="K4715" s="4">
        <v>151.19999999999999</v>
      </c>
      <c r="L4715" s="4">
        <v>26.5</v>
      </c>
      <c r="M4715">
        <v>15</v>
      </c>
      <c r="N4715" t="s">
        <v>59</v>
      </c>
      <c r="O4715">
        <v>2</v>
      </c>
      <c r="P4715" s="4">
        <v>804.7</v>
      </c>
      <c r="Q4715" t="s">
        <v>48</v>
      </c>
      <c r="R4715">
        <v>1</v>
      </c>
      <c r="S4715" t="s">
        <v>44</v>
      </c>
      <c r="T4715">
        <v>0</v>
      </c>
      <c r="U4715">
        <v>1</v>
      </c>
      <c r="V4715" t="s">
        <v>32</v>
      </c>
      <c r="W4715" t="s">
        <v>33</v>
      </c>
      <c r="X4715" s="4">
        <v>7.1</v>
      </c>
      <c r="Y4715">
        <v>11</v>
      </c>
      <c r="Z4715" s="5">
        <v>339.32</v>
      </c>
    </row>
    <row r="4716" spans="1:26">
      <c r="A4716">
        <v>4715</v>
      </c>
      <c r="B4716">
        <v>1547</v>
      </c>
      <c r="C4716" s="2">
        <v>46249</v>
      </c>
      <c r="D4716" t="s">
        <v>40</v>
      </c>
      <c r="E4716">
        <v>8</v>
      </c>
      <c r="F4716" s="3">
        <v>12.5</v>
      </c>
      <c r="G4716" t="s">
        <v>36</v>
      </c>
      <c r="H4716">
        <v>63</v>
      </c>
      <c r="I4716" t="s">
        <v>34</v>
      </c>
      <c r="J4716" s="4">
        <v>64.8</v>
      </c>
      <c r="K4716" s="4">
        <v>155.1</v>
      </c>
      <c r="L4716" s="4">
        <v>25.8</v>
      </c>
      <c r="M4716">
        <v>20</v>
      </c>
      <c r="N4716" t="s">
        <v>47</v>
      </c>
      <c r="O4716">
        <v>4</v>
      </c>
      <c r="P4716" s="4">
        <v>143.6</v>
      </c>
      <c r="Q4716" t="s">
        <v>48</v>
      </c>
      <c r="R4716">
        <v>1</v>
      </c>
      <c r="S4716" t="s">
        <v>44</v>
      </c>
      <c r="T4716">
        <v>0</v>
      </c>
      <c r="U4716">
        <v>0</v>
      </c>
      <c r="V4716" t="s">
        <v>32</v>
      </c>
      <c r="W4716" t="s">
        <v>57</v>
      </c>
      <c r="X4716" s="4">
        <v>8.6999999999999993</v>
      </c>
      <c r="Y4716">
        <v>4</v>
      </c>
      <c r="Z4716" s="5">
        <v>360.21</v>
      </c>
    </row>
    <row r="4717" spans="1:26">
      <c r="A4717">
        <v>4716</v>
      </c>
      <c r="B4717">
        <v>1547</v>
      </c>
      <c r="C4717" s="2">
        <v>46249</v>
      </c>
      <c r="D4717" t="s">
        <v>40</v>
      </c>
      <c r="E4717">
        <v>8</v>
      </c>
      <c r="F4717" s="3">
        <v>12.85</v>
      </c>
      <c r="G4717" t="s">
        <v>36</v>
      </c>
      <c r="H4717">
        <v>66</v>
      </c>
      <c r="I4717" t="s">
        <v>34</v>
      </c>
      <c r="J4717" s="4">
        <v>63.9</v>
      </c>
      <c r="K4717" s="4">
        <v>162.1</v>
      </c>
      <c r="L4717" s="4">
        <v>27.9</v>
      </c>
      <c r="M4717">
        <v>18</v>
      </c>
      <c r="N4717" t="s">
        <v>47</v>
      </c>
      <c r="O4717">
        <v>4</v>
      </c>
      <c r="P4717" s="4">
        <v>143.6</v>
      </c>
      <c r="Q4717" t="s">
        <v>48</v>
      </c>
      <c r="R4717">
        <v>1</v>
      </c>
      <c r="S4717" t="s">
        <v>44</v>
      </c>
      <c r="T4717">
        <v>0</v>
      </c>
      <c r="U4717">
        <v>0</v>
      </c>
      <c r="V4717" t="s">
        <v>32</v>
      </c>
      <c r="W4717" t="s">
        <v>57</v>
      </c>
      <c r="X4717" s="4">
        <v>7.8</v>
      </c>
      <c r="Y4717">
        <v>7</v>
      </c>
      <c r="Z4717" s="5">
        <v>361.76</v>
      </c>
    </row>
    <row r="4718" spans="1:26">
      <c r="A4718">
        <v>4717</v>
      </c>
      <c r="B4718">
        <v>1547</v>
      </c>
      <c r="C4718" s="2">
        <v>46249</v>
      </c>
      <c r="D4718" t="s">
        <v>40</v>
      </c>
      <c r="E4718">
        <v>8</v>
      </c>
      <c r="F4718" s="3">
        <v>12.62</v>
      </c>
      <c r="G4718" t="s">
        <v>36</v>
      </c>
      <c r="H4718">
        <v>66</v>
      </c>
      <c r="I4718" t="s">
        <v>28</v>
      </c>
      <c r="J4718" s="4">
        <v>67.7</v>
      </c>
      <c r="K4718" s="4">
        <v>167.6</v>
      </c>
      <c r="L4718" s="4">
        <v>25.7</v>
      </c>
      <c r="M4718">
        <v>21</v>
      </c>
      <c r="N4718" t="s">
        <v>47</v>
      </c>
      <c r="O4718">
        <v>4</v>
      </c>
      <c r="P4718" s="4">
        <v>143.6</v>
      </c>
      <c r="Q4718" t="s">
        <v>48</v>
      </c>
      <c r="R4718">
        <v>1</v>
      </c>
      <c r="S4718" t="s">
        <v>44</v>
      </c>
      <c r="T4718">
        <v>0</v>
      </c>
      <c r="U4718">
        <v>0</v>
      </c>
      <c r="V4718" t="s">
        <v>32</v>
      </c>
      <c r="W4718" t="s">
        <v>57</v>
      </c>
      <c r="X4718" s="4">
        <v>8.1999999999999993</v>
      </c>
      <c r="Y4718">
        <v>4</v>
      </c>
      <c r="Z4718" s="5">
        <v>227.99</v>
      </c>
    </row>
    <row r="4719" spans="1:26">
      <c r="A4719">
        <v>4718</v>
      </c>
      <c r="B4719">
        <v>1547</v>
      </c>
      <c r="C4719" s="2">
        <v>46249</v>
      </c>
      <c r="D4719" t="s">
        <v>40</v>
      </c>
      <c r="E4719">
        <v>8</v>
      </c>
      <c r="F4719" s="3">
        <v>12.68</v>
      </c>
      <c r="G4719" t="s">
        <v>36</v>
      </c>
      <c r="H4719">
        <v>31</v>
      </c>
      <c r="I4719" t="s">
        <v>28</v>
      </c>
      <c r="J4719" s="4">
        <v>70.8</v>
      </c>
      <c r="K4719" s="4">
        <v>140</v>
      </c>
      <c r="L4719" s="4">
        <v>19.600000000000001</v>
      </c>
      <c r="M4719">
        <v>17</v>
      </c>
      <c r="N4719" t="s">
        <v>47</v>
      </c>
      <c r="O4719">
        <v>4</v>
      </c>
      <c r="P4719" s="4">
        <v>143.6</v>
      </c>
      <c r="Q4719" t="s">
        <v>48</v>
      </c>
      <c r="R4719">
        <v>1</v>
      </c>
      <c r="S4719" t="s">
        <v>44</v>
      </c>
      <c r="T4719">
        <v>0</v>
      </c>
      <c r="U4719">
        <v>0</v>
      </c>
      <c r="V4719" t="s">
        <v>32</v>
      </c>
      <c r="W4719" t="s">
        <v>57</v>
      </c>
      <c r="X4719" s="4">
        <v>7</v>
      </c>
      <c r="Y4719">
        <v>8</v>
      </c>
      <c r="Z4719" s="5">
        <v>211.94</v>
      </c>
    </row>
    <row r="4720" spans="1:26">
      <c r="A4720">
        <v>4719</v>
      </c>
      <c r="B4720">
        <v>1548</v>
      </c>
      <c r="C4720" s="2">
        <v>46128</v>
      </c>
      <c r="D4720" t="s">
        <v>55</v>
      </c>
      <c r="E4720">
        <v>4</v>
      </c>
      <c r="F4720" s="3">
        <v>11.12</v>
      </c>
      <c r="G4720" t="s">
        <v>36</v>
      </c>
      <c r="H4720">
        <v>48</v>
      </c>
      <c r="I4720" t="s">
        <v>28</v>
      </c>
      <c r="J4720" s="4">
        <v>75.400000000000006</v>
      </c>
      <c r="K4720" s="4">
        <v>147.69999999999999</v>
      </c>
      <c r="L4720" s="4">
        <v>18</v>
      </c>
      <c r="M4720">
        <v>16</v>
      </c>
      <c r="N4720" t="s">
        <v>37</v>
      </c>
      <c r="O4720">
        <v>2</v>
      </c>
      <c r="P4720" s="4">
        <v>1276.2</v>
      </c>
      <c r="Q4720" t="s">
        <v>42</v>
      </c>
      <c r="R4720">
        <v>1</v>
      </c>
      <c r="S4720" t="s">
        <v>38</v>
      </c>
      <c r="T4720">
        <v>1</v>
      </c>
      <c r="U4720">
        <v>0</v>
      </c>
      <c r="V4720" t="s">
        <v>32</v>
      </c>
      <c r="W4720" t="s">
        <v>49</v>
      </c>
      <c r="X4720" s="4">
        <v>9.1999999999999993</v>
      </c>
      <c r="Y4720">
        <v>13</v>
      </c>
      <c r="Z4720" s="5">
        <v>311.39</v>
      </c>
    </row>
    <row r="4721" spans="1:26">
      <c r="A4721">
        <v>4720</v>
      </c>
      <c r="B4721">
        <v>1548</v>
      </c>
      <c r="C4721" s="2">
        <v>46128</v>
      </c>
      <c r="D4721" t="s">
        <v>55</v>
      </c>
      <c r="E4721">
        <v>4</v>
      </c>
      <c r="F4721" s="3">
        <v>10.96</v>
      </c>
      <c r="G4721" t="s">
        <v>27</v>
      </c>
      <c r="H4721">
        <v>3</v>
      </c>
      <c r="I4721" t="s">
        <v>34</v>
      </c>
      <c r="J4721" s="4">
        <v>60</v>
      </c>
      <c r="K4721" s="4">
        <v>103.5</v>
      </c>
      <c r="L4721" s="4">
        <v>20.3</v>
      </c>
      <c r="M4721">
        <v>11</v>
      </c>
      <c r="N4721" t="s">
        <v>37</v>
      </c>
      <c r="O4721">
        <v>2</v>
      </c>
      <c r="P4721" s="4">
        <v>1276.2</v>
      </c>
      <c r="Q4721" t="s">
        <v>42</v>
      </c>
      <c r="R4721">
        <v>1</v>
      </c>
      <c r="S4721" t="s">
        <v>38</v>
      </c>
      <c r="T4721">
        <v>1</v>
      </c>
      <c r="U4721">
        <v>0</v>
      </c>
      <c r="V4721" t="s">
        <v>32</v>
      </c>
      <c r="W4721" t="s">
        <v>49</v>
      </c>
      <c r="X4721" s="4">
        <v>6.5</v>
      </c>
      <c r="Y4721">
        <v>10</v>
      </c>
      <c r="Z4721" s="5">
        <v>171.01</v>
      </c>
    </row>
    <row r="4722" spans="1:26">
      <c r="A4722">
        <v>4721</v>
      </c>
      <c r="B4722">
        <v>1549</v>
      </c>
      <c r="C4722" s="2">
        <v>46115</v>
      </c>
      <c r="D4722" t="s">
        <v>26</v>
      </c>
      <c r="E4722">
        <v>4</v>
      </c>
      <c r="F4722" s="3">
        <v>9.19</v>
      </c>
      <c r="G4722" t="s">
        <v>27</v>
      </c>
      <c r="H4722">
        <v>43</v>
      </c>
      <c r="I4722" t="s">
        <v>34</v>
      </c>
      <c r="J4722" s="4">
        <v>68.400000000000006</v>
      </c>
      <c r="K4722" s="4">
        <v>93.9</v>
      </c>
      <c r="L4722" s="4">
        <v>14</v>
      </c>
      <c r="M4722">
        <v>11</v>
      </c>
      <c r="N4722" t="s">
        <v>56</v>
      </c>
      <c r="O4722">
        <v>5</v>
      </c>
      <c r="P4722" s="4">
        <v>118.4</v>
      </c>
      <c r="Q4722" t="s">
        <v>30</v>
      </c>
      <c r="R4722">
        <v>0</v>
      </c>
      <c r="S4722" t="s">
        <v>31</v>
      </c>
      <c r="T4722">
        <v>0</v>
      </c>
      <c r="U4722">
        <v>0</v>
      </c>
      <c r="V4722" t="s">
        <v>32</v>
      </c>
      <c r="W4722" t="s">
        <v>43</v>
      </c>
      <c r="X4722" s="4">
        <v>7.7</v>
      </c>
      <c r="Y4722">
        <v>7</v>
      </c>
      <c r="Z4722" s="5">
        <v>166.21</v>
      </c>
    </row>
    <row r="4723" spans="1:26">
      <c r="A4723">
        <v>4722</v>
      </c>
      <c r="B4723">
        <v>1549</v>
      </c>
      <c r="C4723" s="2">
        <v>46115</v>
      </c>
      <c r="D4723" t="s">
        <v>26</v>
      </c>
      <c r="E4723">
        <v>4</v>
      </c>
      <c r="F4723" s="3">
        <v>9.2899999999999991</v>
      </c>
      <c r="G4723" t="s">
        <v>27</v>
      </c>
      <c r="H4723">
        <v>37</v>
      </c>
      <c r="I4723" t="s">
        <v>34</v>
      </c>
      <c r="J4723" s="4">
        <v>64.599999999999994</v>
      </c>
      <c r="K4723" s="4">
        <v>146.69999999999999</v>
      </c>
      <c r="L4723" s="4">
        <v>24.6</v>
      </c>
      <c r="M4723">
        <v>15</v>
      </c>
      <c r="N4723" t="s">
        <v>56</v>
      </c>
      <c r="O4723">
        <v>5</v>
      </c>
      <c r="P4723" s="4">
        <v>118.4</v>
      </c>
      <c r="Q4723" t="s">
        <v>30</v>
      </c>
      <c r="R4723">
        <v>0</v>
      </c>
      <c r="S4723" t="s">
        <v>31</v>
      </c>
      <c r="T4723">
        <v>0</v>
      </c>
      <c r="U4723">
        <v>0</v>
      </c>
      <c r="V4723" t="s">
        <v>32</v>
      </c>
      <c r="W4723" t="s">
        <v>43</v>
      </c>
      <c r="X4723" s="4">
        <v>8.1999999999999993</v>
      </c>
      <c r="Y4723">
        <v>8</v>
      </c>
      <c r="Z4723" s="5">
        <v>155.61000000000001</v>
      </c>
    </row>
    <row r="4724" spans="1:26">
      <c r="A4724">
        <v>4723</v>
      </c>
      <c r="B4724">
        <v>1549</v>
      </c>
      <c r="C4724" s="2">
        <v>46115</v>
      </c>
      <c r="D4724" t="s">
        <v>26</v>
      </c>
      <c r="E4724">
        <v>4</v>
      </c>
      <c r="F4724" s="3">
        <v>9.17</v>
      </c>
      <c r="G4724" t="s">
        <v>27</v>
      </c>
      <c r="H4724">
        <v>60</v>
      </c>
      <c r="I4724" t="s">
        <v>34</v>
      </c>
      <c r="J4724" s="4">
        <v>65.7</v>
      </c>
      <c r="K4724" s="4">
        <v>178.9</v>
      </c>
      <c r="L4724" s="4">
        <v>29.2</v>
      </c>
      <c r="M4724">
        <v>17</v>
      </c>
      <c r="N4724" t="s">
        <v>56</v>
      </c>
      <c r="O4724">
        <v>5</v>
      </c>
      <c r="P4724" s="4">
        <v>118.4</v>
      </c>
      <c r="Q4724" t="s">
        <v>30</v>
      </c>
      <c r="R4724">
        <v>0</v>
      </c>
      <c r="S4724" t="s">
        <v>31</v>
      </c>
      <c r="T4724">
        <v>0</v>
      </c>
      <c r="U4724">
        <v>0</v>
      </c>
      <c r="V4724" t="s">
        <v>32</v>
      </c>
      <c r="W4724" t="s">
        <v>43</v>
      </c>
      <c r="X4724" s="4">
        <v>10.4</v>
      </c>
      <c r="Y4724">
        <v>12</v>
      </c>
      <c r="Z4724" s="5">
        <v>199.21</v>
      </c>
    </row>
    <row r="4725" spans="1:26">
      <c r="A4725">
        <v>4724</v>
      </c>
      <c r="B4725">
        <v>1549</v>
      </c>
      <c r="C4725" s="2">
        <v>46115</v>
      </c>
      <c r="D4725" t="s">
        <v>26</v>
      </c>
      <c r="E4725">
        <v>4</v>
      </c>
      <c r="F4725" s="3">
        <v>9.31</v>
      </c>
      <c r="G4725" t="s">
        <v>27</v>
      </c>
      <c r="H4725">
        <v>61</v>
      </c>
      <c r="I4725" t="s">
        <v>28</v>
      </c>
      <c r="J4725" s="4">
        <v>70.400000000000006</v>
      </c>
      <c r="K4725" s="4">
        <v>112.2</v>
      </c>
      <c r="L4725" s="4">
        <v>16.100000000000001</v>
      </c>
      <c r="M4725">
        <v>14</v>
      </c>
      <c r="N4725" t="s">
        <v>56</v>
      </c>
      <c r="O4725">
        <v>5</v>
      </c>
      <c r="P4725" s="4">
        <v>118.4</v>
      </c>
      <c r="Q4725" t="s">
        <v>30</v>
      </c>
      <c r="R4725">
        <v>0</v>
      </c>
      <c r="S4725" t="s">
        <v>31</v>
      </c>
      <c r="T4725">
        <v>0</v>
      </c>
      <c r="U4725">
        <v>0</v>
      </c>
      <c r="V4725" t="s">
        <v>32</v>
      </c>
      <c r="W4725" t="s">
        <v>43</v>
      </c>
      <c r="X4725" s="4">
        <v>8.8000000000000007</v>
      </c>
      <c r="Y4725">
        <v>8</v>
      </c>
      <c r="Z4725" s="5">
        <v>169.51</v>
      </c>
    </row>
    <row r="4726" spans="1:26">
      <c r="A4726">
        <v>4725</v>
      </c>
      <c r="B4726">
        <v>1549</v>
      </c>
      <c r="C4726" s="2">
        <v>46115</v>
      </c>
      <c r="D4726" t="s">
        <v>26</v>
      </c>
      <c r="E4726">
        <v>4</v>
      </c>
      <c r="F4726" s="3">
        <v>9.2200000000000006</v>
      </c>
      <c r="G4726" t="s">
        <v>27</v>
      </c>
      <c r="H4726">
        <v>37</v>
      </c>
      <c r="I4726" t="s">
        <v>34</v>
      </c>
      <c r="J4726" s="4">
        <v>59.6</v>
      </c>
      <c r="K4726" s="4">
        <v>125</v>
      </c>
      <c r="L4726" s="4">
        <v>25</v>
      </c>
      <c r="M4726">
        <v>15</v>
      </c>
      <c r="N4726" t="s">
        <v>56</v>
      </c>
      <c r="O4726">
        <v>5</v>
      </c>
      <c r="P4726" s="4">
        <v>118.4</v>
      </c>
      <c r="Q4726" t="s">
        <v>30</v>
      </c>
      <c r="R4726">
        <v>0</v>
      </c>
      <c r="S4726" t="s">
        <v>31</v>
      </c>
      <c r="T4726">
        <v>0</v>
      </c>
      <c r="U4726">
        <v>0</v>
      </c>
      <c r="V4726" t="s">
        <v>32</v>
      </c>
      <c r="W4726" t="s">
        <v>43</v>
      </c>
      <c r="X4726" s="4">
        <v>7.5</v>
      </c>
      <c r="Y4726">
        <v>4</v>
      </c>
      <c r="Z4726" s="5">
        <v>133.36000000000001</v>
      </c>
    </row>
    <row r="4727" spans="1:26">
      <c r="A4727">
        <v>4726</v>
      </c>
      <c r="B4727">
        <v>1550</v>
      </c>
      <c r="C4727" s="2">
        <v>46125</v>
      </c>
      <c r="D4727" t="s">
        <v>46</v>
      </c>
      <c r="E4727">
        <v>4</v>
      </c>
      <c r="F4727" s="3">
        <v>11.23</v>
      </c>
      <c r="G4727" t="s">
        <v>36</v>
      </c>
      <c r="H4727">
        <v>18</v>
      </c>
      <c r="I4727" t="s">
        <v>28</v>
      </c>
      <c r="J4727" s="4">
        <v>72.2</v>
      </c>
      <c r="K4727" s="4">
        <v>188</v>
      </c>
      <c r="L4727" s="4">
        <v>25.5</v>
      </c>
      <c r="M4727">
        <v>7</v>
      </c>
      <c r="N4727" t="s">
        <v>56</v>
      </c>
      <c r="O4727">
        <v>5</v>
      </c>
      <c r="P4727" s="4">
        <v>451.5</v>
      </c>
      <c r="Q4727" t="s">
        <v>30</v>
      </c>
      <c r="R4727">
        <v>0</v>
      </c>
      <c r="S4727" t="s">
        <v>38</v>
      </c>
      <c r="T4727">
        <v>0</v>
      </c>
      <c r="U4727">
        <v>0</v>
      </c>
      <c r="V4727" t="s">
        <v>32</v>
      </c>
      <c r="W4727" t="s">
        <v>43</v>
      </c>
      <c r="X4727" s="4">
        <v>9.6</v>
      </c>
      <c r="Y4727">
        <v>11</v>
      </c>
      <c r="Z4727" s="5">
        <v>222.73</v>
      </c>
    </row>
    <row r="4728" spans="1:26">
      <c r="A4728">
        <v>4727</v>
      </c>
      <c r="B4728">
        <v>1550</v>
      </c>
      <c r="C4728" s="2">
        <v>46125</v>
      </c>
      <c r="D4728" t="s">
        <v>46</v>
      </c>
      <c r="E4728">
        <v>4</v>
      </c>
      <c r="F4728" s="3">
        <v>11.41</v>
      </c>
      <c r="G4728" t="s">
        <v>36</v>
      </c>
      <c r="H4728">
        <v>34</v>
      </c>
      <c r="I4728" t="s">
        <v>34</v>
      </c>
      <c r="J4728" s="4">
        <v>67.8</v>
      </c>
      <c r="K4728" s="4">
        <v>189.3</v>
      </c>
      <c r="L4728" s="4">
        <v>29</v>
      </c>
      <c r="M4728">
        <v>12</v>
      </c>
      <c r="N4728" t="s">
        <v>56</v>
      </c>
      <c r="O4728">
        <v>5</v>
      </c>
      <c r="P4728" s="4">
        <v>451.5</v>
      </c>
      <c r="Q4728" t="s">
        <v>30</v>
      </c>
      <c r="R4728">
        <v>0</v>
      </c>
      <c r="S4728" t="s">
        <v>38</v>
      </c>
      <c r="T4728">
        <v>0</v>
      </c>
      <c r="U4728">
        <v>0</v>
      </c>
      <c r="V4728" t="s">
        <v>32</v>
      </c>
      <c r="W4728" t="s">
        <v>43</v>
      </c>
      <c r="X4728" s="4">
        <v>9.6999999999999993</v>
      </c>
      <c r="Y4728">
        <v>12</v>
      </c>
      <c r="Z4728" s="5">
        <v>164.91</v>
      </c>
    </row>
    <row r="4729" spans="1:26">
      <c r="A4729">
        <v>4728</v>
      </c>
      <c r="B4729">
        <v>1550</v>
      </c>
      <c r="C4729" s="2">
        <v>46125</v>
      </c>
      <c r="D4729" t="s">
        <v>46</v>
      </c>
      <c r="E4729">
        <v>4</v>
      </c>
      <c r="F4729" s="3">
        <v>11.16</v>
      </c>
      <c r="G4729" t="s">
        <v>36</v>
      </c>
      <c r="H4729">
        <v>69</v>
      </c>
      <c r="I4729" t="s">
        <v>28</v>
      </c>
      <c r="J4729" s="4">
        <v>69</v>
      </c>
      <c r="K4729" s="4">
        <v>140.5</v>
      </c>
      <c r="L4729" s="4">
        <v>20.6</v>
      </c>
      <c r="M4729">
        <v>15</v>
      </c>
      <c r="N4729" t="s">
        <v>56</v>
      </c>
      <c r="O4729">
        <v>5</v>
      </c>
      <c r="P4729" s="4">
        <v>451.5</v>
      </c>
      <c r="Q4729" t="s">
        <v>30</v>
      </c>
      <c r="R4729">
        <v>0</v>
      </c>
      <c r="S4729" t="s">
        <v>38</v>
      </c>
      <c r="T4729">
        <v>0</v>
      </c>
      <c r="U4729">
        <v>0</v>
      </c>
      <c r="V4729" t="s">
        <v>32</v>
      </c>
      <c r="W4729" t="s">
        <v>43</v>
      </c>
      <c r="X4729" s="4">
        <v>6.7</v>
      </c>
      <c r="Y4729">
        <v>8</v>
      </c>
      <c r="Z4729" s="5">
        <v>149.33000000000001</v>
      </c>
    </row>
    <row r="4730" spans="1:26">
      <c r="A4730">
        <v>4729</v>
      </c>
      <c r="B4730">
        <v>1550</v>
      </c>
      <c r="C4730" s="2">
        <v>46125</v>
      </c>
      <c r="D4730" t="s">
        <v>46</v>
      </c>
      <c r="E4730">
        <v>4</v>
      </c>
      <c r="F4730" s="3">
        <v>11.22</v>
      </c>
      <c r="G4730" t="s">
        <v>36</v>
      </c>
      <c r="H4730">
        <v>62</v>
      </c>
      <c r="I4730" t="s">
        <v>34</v>
      </c>
      <c r="J4730" s="4">
        <v>65.7</v>
      </c>
      <c r="K4730" s="4">
        <v>165.9</v>
      </c>
      <c r="L4730" s="4">
        <v>26.9</v>
      </c>
      <c r="M4730">
        <v>12</v>
      </c>
      <c r="N4730" t="s">
        <v>56</v>
      </c>
      <c r="O4730">
        <v>5</v>
      </c>
      <c r="P4730" s="4">
        <v>451.5</v>
      </c>
      <c r="Q4730" t="s">
        <v>30</v>
      </c>
      <c r="R4730">
        <v>0</v>
      </c>
      <c r="S4730" t="s">
        <v>38</v>
      </c>
      <c r="T4730">
        <v>0</v>
      </c>
      <c r="U4730">
        <v>0</v>
      </c>
      <c r="V4730" t="s">
        <v>32</v>
      </c>
      <c r="W4730" t="s">
        <v>43</v>
      </c>
      <c r="X4730" s="4">
        <v>6.8</v>
      </c>
      <c r="Y4730">
        <v>4</v>
      </c>
      <c r="Z4730" s="5">
        <v>130.05000000000001</v>
      </c>
    </row>
    <row r="4731" spans="1:26">
      <c r="A4731">
        <v>4730</v>
      </c>
      <c r="B4731">
        <v>1550</v>
      </c>
      <c r="C4731" s="2">
        <v>46125</v>
      </c>
      <c r="D4731" t="s">
        <v>46</v>
      </c>
      <c r="E4731">
        <v>4</v>
      </c>
      <c r="F4731" s="3">
        <v>11.28</v>
      </c>
      <c r="G4731" t="s">
        <v>36</v>
      </c>
      <c r="H4731">
        <v>12</v>
      </c>
      <c r="I4731" t="s">
        <v>34</v>
      </c>
      <c r="J4731" s="4">
        <v>68.3</v>
      </c>
      <c r="K4731" s="4">
        <v>127.6</v>
      </c>
      <c r="L4731" s="4">
        <v>19.3</v>
      </c>
      <c r="M4731">
        <v>9</v>
      </c>
      <c r="N4731" t="s">
        <v>56</v>
      </c>
      <c r="O4731">
        <v>5</v>
      </c>
      <c r="P4731" s="4">
        <v>451.5</v>
      </c>
      <c r="Q4731" t="s">
        <v>30</v>
      </c>
      <c r="R4731">
        <v>0</v>
      </c>
      <c r="S4731" t="s">
        <v>38</v>
      </c>
      <c r="T4731">
        <v>0</v>
      </c>
      <c r="U4731">
        <v>0</v>
      </c>
      <c r="V4731" t="s">
        <v>32</v>
      </c>
      <c r="W4731" t="s">
        <v>43</v>
      </c>
      <c r="X4731" s="4">
        <v>6.9</v>
      </c>
      <c r="Y4731">
        <v>4</v>
      </c>
      <c r="Z4731" s="5">
        <v>142.65</v>
      </c>
    </row>
    <row r="4732" spans="1:26">
      <c r="A4732">
        <v>4731</v>
      </c>
      <c r="B4732">
        <v>1551</v>
      </c>
      <c r="C4732" s="2">
        <v>46104</v>
      </c>
      <c r="D4732" t="s">
        <v>46</v>
      </c>
      <c r="E4732">
        <v>3</v>
      </c>
      <c r="F4732" s="3">
        <v>9.7100000000000009</v>
      </c>
      <c r="G4732" t="s">
        <v>27</v>
      </c>
      <c r="H4732">
        <v>29</v>
      </c>
      <c r="I4732" t="s">
        <v>34</v>
      </c>
      <c r="J4732" s="4">
        <v>66.2</v>
      </c>
      <c r="K4732" s="4">
        <v>143.4</v>
      </c>
      <c r="L4732" s="4">
        <v>22.8</v>
      </c>
      <c r="M4732">
        <v>15</v>
      </c>
      <c r="N4732" t="s">
        <v>37</v>
      </c>
      <c r="O4732">
        <v>3</v>
      </c>
      <c r="P4732" s="4">
        <v>900.4</v>
      </c>
      <c r="Q4732" t="s">
        <v>30</v>
      </c>
      <c r="R4732">
        <v>1</v>
      </c>
      <c r="S4732" t="s">
        <v>44</v>
      </c>
      <c r="T4732">
        <v>0</v>
      </c>
      <c r="U4732">
        <v>0</v>
      </c>
      <c r="V4732" t="s">
        <v>32</v>
      </c>
      <c r="W4732" t="s">
        <v>43</v>
      </c>
      <c r="X4732" s="4">
        <v>7.7</v>
      </c>
      <c r="Y4732">
        <v>10</v>
      </c>
      <c r="Z4732" s="5">
        <v>122.16</v>
      </c>
    </row>
    <row r="4733" spans="1:26">
      <c r="A4733">
        <v>4732</v>
      </c>
      <c r="B4733">
        <v>1551</v>
      </c>
      <c r="C4733" s="2">
        <v>46104</v>
      </c>
      <c r="D4733" t="s">
        <v>46</v>
      </c>
      <c r="E4733">
        <v>3</v>
      </c>
      <c r="F4733" s="3">
        <v>9.8699999999999992</v>
      </c>
      <c r="G4733" t="s">
        <v>27</v>
      </c>
      <c r="H4733">
        <v>22</v>
      </c>
      <c r="I4733" t="s">
        <v>28</v>
      </c>
      <c r="J4733" s="4">
        <v>72.5</v>
      </c>
      <c r="K4733" s="4">
        <v>181.4</v>
      </c>
      <c r="L4733" s="4">
        <v>24.4</v>
      </c>
      <c r="M4733">
        <v>12</v>
      </c>
      <c r="N4733" t="s">
        <v>37</v>
      </c>
      <c r="O4733">
        <v>3</v>
      </c>
      <c r="P4733" s="4">
        <v>900.4</v>
      </c>
      <c r="Q4733" t="s">
        <v>30</v>
      </c>
      <c r="R4733">
        <v>1</v>
      </c>
      <c r="S4733" t="s">
        <v>44</v>
      </c>
      <c r="T4733">
        <v>0</v>
      </c>
      <c r="U4733">
        <v>0</v>
      </c>
      <c r="V4733" t="s">
        <v>32</v>
      </c>
      <c r="W4733" t="s">
        <v>43</v>
      </c>
      <c r="X4733" s="4">
        <v>7.8</v>
      </c>
      <c r="Y4733">
        <v>7</v>
      </c>
      <c r="Z4733" s="5">
        <v>237.86</v>
      </c>
    </row>
    <row r="4734" spans="1:26">
      <c r="A4734">
        <v>4733</v>
      </c>
      <c r="B4734">
        <v>1551</v>
      </c>
      <c r="C4734" s="2">
        <v>46104</v>
      </c>
      <c r="D4734" t="s">
        <v>46</v>
      </c>
      <c r="E4734">
        <v>3</v>
      </c>
      <c r="F4734" s="3">
        <v>9.93</v>
      </c>
      <c r="G4734" t="s">
        <v>27</v>
      </c>
      <c r="H4734">
        <v>11</v>
      </c>
      <c r="I4734" t="s">
        <v>28</v>
      </c>
      <c r="J4734" s="4">
        <v>63</v>
      </c>
      <c r="K4734" s="4">
        <v>91.8</v>
      </c>
      <c r="L4734" s="4">
        <v>16.5</v>
      </c>
      <c r="M4734">
        <v>11</v>
      </c>
      <c r="N4734" t="s">
        <v>37</v>
      </c>
      <c r="O4734">
        <v>3</v>
      </c>
      <c r="P4734" s="4">
        <v>900.4</v>
      </c>
      <c r="Q4734" t="s">
        <v>30</v>
      </c>
      <c r="R4734">
        <v>1</v>
      </c>
      <c r="S4734" t="s">
        <v>44</v>
      </c>
      <c r="T4734">
        <v>0</v>
      </c>
      <c r="U4734">
        <v>0</v>
      </c>
      <c r="V4734" t="s">
        <v>32</v>
      </c>
      <c r="W4734" t="s">
        <v>43</v>
      </c>
      <c r="X4734" s="4">
        <v>6.6</v>
      </c>
      <c r="Y4734">
        <v>5</v>
      </c>
      <c r="Z4734" s="5">
        <v>177.38</v>
      </c>
    </row>
    <row r="4735" spans="1:26">
      <c r="A4735">
        <v>4734</v>
      </c>
      <c r="B4735">
        <v>1552</v>
      </c>
      <c r="C4735" s="2">
        <v>46294</v>
      </c>
      <c r="D4735" t="s">
        <v>35</v>
      </c>
      <c r="E4735">
        <v>9</v>
      </c>
      <c r="F4735" s="3">
        <v>12.17</v>
      </c>
      <c r="G4735" t="s">
        <v>36</v>
      </c>
      <c r="H4735">
        <v>14</v>
      </c>
      <c r="I4735" t="s">
        <v>28</v>
      </c>
      <c r="J4735" s="4">
        <v>64.599999999999994</v>
      </c>
      <c r="K4735" s="4">
        <v>117.6</v>
      </c>
      <c r="L4735" s="4">
        <v>19.7</v>
      </c>
      <c r="M4735">
        <v>14</v>
      </c>
      <c r="N4735" t="s">
        <v>54</v>
      </c>
      <c r="O4735">
        <v>3</v>
      </c>
      <c r="P4735" s="4">
        <v>2614.5</v>
      </c>
      <c r="Q4735" t="s">
        <v>42</v>
      </c>
      <c r="R4735">
        <v>1</v>
      </c>
      <c r="S4735" t="s">
        <v>44</v>
      </c>
      <c r="T4735">
        <v>0</v>
      </c>
      <c r="U4735">
        <v>0</v>
      </c>
      <c r="V4735" t="s">
        <v>32</v>
      </c>
      <c r="W4735" t="s">
        <v>43</v>
      </c>
      <c r="X4735" s="4">
        <v>10.199999999999999</v>
      </c>
      <c r="Y4735">
        <v>9</v>
      </c>
      <c r="Z4735" s="5">
        <v>215.11</v>
      </c>
    </row>
    <row r="4736" spans="1:26">
      <c r="A4736">
        <v>4735</v>
      </c>
      <c r="B4736">
        <v>1552</v>
      </c>
      <c r="C4736" s="2">
        <v>46294</v>
      </c>
      <c r="D4736" t="s">
        <v>35</v>
      </c>
      <c r="E4736">
        <v>9</v>
      </c>
      <c r="F4736" s="3">
        <v>12.2</v>
      </c>
      <c r="G4736" t="s">
        <v>36</v>
      </c>
      <c r="H4736">
        <v>32</v>
      </c>
      <c r="I4736" t="s">
        <v>28</v>
      </c>
      <c r="J4736" s="4">
        <v>66.599999999999994</v>
      </c>
      <c r="K4736" s="4">
        <v>89.8</v>
      </c>
      <c r="L4736" s="4">
        <v>14.2</v>
      </c>
      <c r="M4736">
        <v>14</v>
      </c>
      <c r="N4736" t="s">
        <v>54</v>
      </c>
      <c r="O4736">
        <v>3</v>
      </c>
      <c r="P4736" s="4">
        <v>2614.5</v>
      </c>
      <c r="Q4736" t="s">
        <v>42</v>
      </c>
      <c r="R4736">
        <v>1</v>
      </c>
      <c r="S4736" t="s">
        <v>44</v>
      </c>
      <c r="T4736">
        <v>0</v>
      </c>
      <c r="U4736">
        <v>0</v>
      </c>
      <c r="V4736" t="s">
        <v>32</v>
      </c>
      <c r="W4736" t="s">
        <v>43</v>
      </c>
      <c r="X4736" s="4">
        <v>8.6999999999999993</v>
      </c>
      <c r="Y4736">
        <v>11</v>
      </c>
      <c r="Z4736" s="5">
        <v>214.31</v>
      </c>
    </row>
    <row r="4737" spans="1:26">
      <c r="A4737">
        <v>4736</v>
      </c>
      <c r="B4737">
        <v>1552</v>
      </c>
      <c r="C4737" s="2">
        <v>46294</v>
      </c>
      <c r="D4737" t="s">
        <v>35</v>
      </c>
      <c r="E4737">
        <v>9</v>
      </c>
      <c r="F4737" s="3">
        <v>11.99</v>
      </c>
      <c r="G4737" t="s">
        <v>36</v>
      </c>
      <c r="H4737">
        <v>57</v>
      </c>
      <c r="I4737" t="s">
        <v>34</v>
      </c>
      <c r="J4737" s="4">
        <v>64.900000000000006</v>
      </c>
      <c r="K4737" s="4">
        <v>193.2</v>
      </c>
      <c r="L4737" s="4">
        <v>32.4</v>
      </c>
      <c r="M4737">
        <v>17</v>
      </c>
      <c r="N4737" t="s">
        <v>54</v>
      </c>
      <c r="O4737">
        <v>3</v>
      </c>
      <c r="P4737" s="4">
        <v>2614.5</v>
      </c>
      <c r="Q4737" t="s">
        <v>42</v>
      </c>
      <c r="R4737">
        <v>1</v>
      </c>
      <c r="S4737" t="s">
        <v>44</v>
      </c>
      <c r="T4737">
        <v>0</v>
      </c>
      <c r="U4737">
        <v>0</v>
      </c>
      <c r="V4737" t="s">
        <v>32</v>
      </c>
      <c r="W4737" t="s">
        <v>43</v>
      </c>
      <c r="X4737" s="4">
        <v>8.5</v>
      </c>
      <c r="Y4737">
        <v>3</v>
      </c>
      <c r="Z4737" s="5">
        <v>131.31</v>
      </c>
    </row>
    <row r="4738" spans="1:26">
      <c r="A4738">
        <v>4737</v>
      </c>
      <c r="B4738">
        <v>1553</v>
      </c>
      <c r="C4738" s="2">
        <v>46039</v>
      </c>
      <c r="D4738" t="s">
        <v>40</v>
      </c>
      <c r="E4738">
        <v>1</v>
      </c>
      <c r="F4738" s="3">
        <v>12.46</v>
      </c>
      <c r="G4738" t="s">
        <v>36</v>
      </c>
      <c r="H4738">
        <v>6</v>
      </c>
      <c r="I4738" t="s">
        <v>28</v>
      </c>
      <c r="J4738" s="4">
        <v>57.4</v>
      </c>
      <c r="K4738" s="4">
        <v>73.8</v>
      </c>
      <c r="L4738" s="4">
        <v>15.8</v>
      </c>
      <c r="M4738">
        <v>11</v>
      </c>
      <c r="N4738" t="s">
        <v>47</v>
      </c>
      <c r="O4738">
        <v>1</v>
      </c>
      <c r="P4738" s="4">
        <v>37.799999999999997</v>
      </c>
      <c r="Q4738" t="s">
        <v>30</v>
      </c>
      <c r="R4738">
        <v>1</v>
      </c>
      <c r="S4738" t="s">
        <v>31</v>
      </c>
      <c r="T4738">
        <v>0</v>
      </c>
      <c r="U4738">
        <v>0</v>
      </c>
      <c r="V4738" t="s">
        <v>45</v>
      </c>
      <c r="W4738" t="s">
        <v>43</v>
      </c>
      <c r="X4738" s="4">
        <v>8.6999999999999993</v>
      </c>
      <c r="Y4738">
        <v>7</v>
      </c>
      <c r="Z4738" s="5">
        <v>105.58</v>
      </c>
    </row>
    <row r="4739" spans="1:26">
      <c r="A4739">
        <v>4738</v>
      </c>
      <c r="B4739">
        <v>1554</v>
      </c>
      <c r="C4739" s="2">
        <v>46123</v>
      </c>
      <c r="D4739" t="s">
        <v>40</v>
      </c>
      <c r="E4739">
        <v>4</v>
      </c>
      <c r="F4739" s="3">
        <v>11.48</v>
      </c>
      <c r="G4739" t="s">
        <v>36</v>
      </c>
      <c r="H4739">
        <v>58</v>
      </c>
      <c r="I4739" t="s">
        <v>28</v>
      </c>
      <c r="J4739" s="4">
        <v>69.2</v>
      </c>
      <c r="K4739" s="4">
        <v>164.2</v>
      </c>
      <c r="L4739" s="4">
        <v>24.1</v>
      </c>
      <c r="M4739">
        <v>11</v>
      </c>
      <c r="N4739" t="s">
        <v>66</v>
      </c>
      <c r="O4739">
        <v>3</v>
      </c>
      <c r="P4739" s="4">
        <v>482.4</v>
      </c>
      <c r="Q4739" t="s">
        <v>30</v>
      </c>
      <c r="R4739">
        <v>1</v>
      </c>
      <c r="S4739" t="s">
        <v>38</v>
      </c>
      <c r="T4739">
        <v>1</v>
      </c>
      <c r="U4739">
        <v>0</v>
      </c>
      <c r="V4739" t="s">
        <v>32</v>
      </c>
      <c r="W4739" t="s">
        <v>39</v>
      </c>
      <c r="X4739" s="4">
        <v>7.3</v>
      </c>
      <c r="Y4739">
        <v>7</v>
      </c>
      <c r="Z4739" s="5">
        <v>135.05000000000001</v>
      </c>
    </row>
    <row r="4740" spans="1:26">
      <c r="A4740">
        <v>4739</v>
      </c>
      <c r="B4740">
        <v>1554</v>
      </c>
      <c r="C4740" s="2">
        <v>46123</v>
      </c>
      <c r="D4740" t="s">
        <v>40</v>
      </c>
      <c r="E4740">
        <v>4</v>
      </c>
      <c r="F4740" s="3">
        <v>11.53</v>
      </c>
      <c r="G4740" t="s">
        <v>36</v>
      </c>
      <c r="H4740">
        <v>75</v>
      </c>
      <c r="I4740" t="s">
        <v>34</v>
      </c>
      <c r="J4740" s="4">
        <v>61.5</v>
      </c>
      <c r="K4740" s="4">
        <v>130.19999999999999</v>
      </c>
      <c r="L4740" s="4">
        <v>24.3</v>
      </c>
      <c r="M4740">
        <v>15</v>
      </c>
      <c r="N4740" t="s">
        <v>66</v>
      </c>
      <c r="O4740">
        <v>3</v>
      </c>
      <c r="P4740" s="4">
        <v>482.4</v>
      </c>
      <c r="Q4740" t="s">
        <v>30</v>
      </c>
      <c r="R4740">
        <v>1</v>
      </c>
      <c r="S4740" t="s">
        <v>38</v>
      </c>
      <c r="T4740">
        <v>1</v>
      </c>
      <c r="U4740">
        <v>0</v>
      </c>
      <c r="V4740" t="s">
        <v>32</v>
      </c>
      <c r="W4740" t="s">
        <v>39</v>
      </c>
      <c r="X4740" s="4">
        <v>10.6</v>
      </c>
      <c r="Y4740">
        <v>11</v>
      </c>
      <c r="Z4740" s="5">
        <v>256.89</v>
      </c>
    </row>
    <row r="4741" spans="1:26">
      <c r="A4741">
        <v>4740</v>
      </c>
      <c r="B4741">
        <v>1554</v>
      </c>
      <c r="C4741" s="2">
        <v>46123</v>
      </c>
      <c r="D4741" t="s">
        <v>40</v>
      </c>
      <c r="E4741">
        <v>4</v>
      </c>
      <c r="F4741" s="3">
        <v>11.54</v>
      </c>
      <c r="G4741" t="s">
        <v>36</v>
      </c>
      <c r="H4741">
        <v>71</v>
      </c>
      <c r="I4741" t="s">
        <v>34</v>
      </c>
      <c r="J4741" s="4">
        <v>58.1</v>
      </c>
      <c r="K4741" s="4">
        <v>110.9</v>
      </c>
      <c r="L4741" s="4">
        <v>23.4</v>
      </c>
      <c r="M4741">
        <v>14</v>
      </c>
      <c r="N4741" t="s">
        <v>66</v>
      </c>
      <c r="O4741">
        <v>3</v>
      </c>
      <c r="P4741" s="4">
        <v>482.4</v>
      </c>
      <c r="Q4741" t="s">
        <v>30</v>
      </c>
      <c r="R4741">
        <v>1</v>
      </c>
      <c r="S4741" t="s">
        <v>38</v>
      </c>
      <c r="T4741">
        <v>1</v>
      </c>
      <c r="U4741">
        <v>0</v>
      </c>
      <c r="V4741" t="s">
        <v>32</v>
      </c>
      <c r="W4741" t="s">
        <v>39</v>
      </c>
      <c r="X4741" s="4">
        <v>8.1</v>
      </c>
      <c r="Y4741">
        <v>3</v>
      </c>
      <c r="Z4741" s="5">
        <v>197.93</v>
      </c>
    </row>
    <row r="4742" spans="1:26">
      <c r="A4742">
        <v>4741</v>
      </c>
      <c r="B4742">
        <v>1555</v>
      </c>
      <c r="C4742" s="2">
        <v>46180</v>
      </c>
      <c r="D4742" t="s">
        <v>58</v>
      </c>
      <c r="E4742">
        <v>6</v>
      </c>
      <c r="F4742" s="3">
        <v>10.23</v>
      </c>
      <c r="G4742" t="s">
        <v>27</v>
      </c>
      <c r="H4742">
        <v>43</v>
      </c>
      <c r="I4742" t="s">
        <v>34</v>
      </c>
      <c r="J4742" s="4">
        <v>65.3</v>
      </c>
      <c r="K4742" s="4">
        <v>126.5</v>
      </c>
      <c r="L4742" s="4">
        <v>21.2</v>
      </c>
      <c r="M4742">
        <v>14</v>
      </c>
      <c r="N4742" t="s">
        <v>29</v>
      </c>
      <c r="O4742">
        <v>3</v>
      </c>
      <c r="P4742" s="4">
        <v>1820.3</v>
      </c>
      <c r="Q4742" t="s">
        <v>30</v>
      </c>
      <c r="R4742">
        <v>1</v>
      </c>
      <c r="S4742" t="s">
        <v>44</v>
      </c>
      <c r="T4742">
        <v>0</v>
      </c>
      <c r="U4742">
        <v>0</v>
      </c>
      <c r="V4742" t="s">
        <v>32</v>
      </c>
      <c r="W4742" t="s">
        <v>49</v>
      </c>
      <c r="X4742" s="4">
        <v>8.6</v>
      </c>
      <c r="Y4742">
        <v>5</v>
      </c>
      <c r="Z4742" s="5">
        <v>219.79</v>
      </c>
    </row>
    <row r="4743" spans="1:26">
      <c r="A4743">
        <v>4742</v>
      </c>
      <c r="B4743">
        <v>1555</v>
      </c>
      <c r="C4743" s="2">
        <v>46180</v>
      </c>
      <c r="D4743" t="s">
        <v>58</v>
      </c>
      <c r="E4743">
        <v>6</v>
      </c>
      <c r="F4743" s="3">
        <v>10.38</v>
      </c>
      <c r="G4743" t="s">
        <v>27</v>
      </c>
      <c r="H4743">
        <v>50</v>
      </c>
      <c r="I4743" t="s">
        <v>34</v>
      </c>
      <c r="J4743" s="4">
        <v>62.9</v>
      </c>
      <c r="K4743" s="4">
        <v>167.1</v>
      </c>
      <c r="L4743" s="4">
        <v>29.7</v>
      </c>
      <c r="M4743">
        <v>16</v>
      </c>
      <c r="N4743" t="s">
        <v>29</v>
      </c>
      <c r="O4743">
        <v>3</v>
      </c>
      <c r="P4743" s="4">
        <v>1820.3</v>
      </c>
      <c r="Q4743" t="s">
        <v>30</v>
      </c>
      <c r="R4743">
        <v>1</v>
      </c>
      <c r="S4743" t="s">
        <v>44</v>
      </c>
      <c r="T4743">
        <v>0</v>
      </c>
      <c r="U4743">
        <v>0</v>
      </c>
      <c r="V4743" t="s">
        <v>32</v>
      </c>
      <c r="W4743" t="s">
        <v>49</v>
      </c>
      <c r="X4743" s="4">
        <v>9.6999999999999993</v>
      </c>
      <c r="Y4743">
        <v>10</v>
      </c>
      <c r="Z4743" s="5">
        <v>289.58999999999997</v>
      </c>
    </row>
    <row r="4744" spans="1:26">
      <c r="A4744">
        <v>4743</v>
      </c>
      <c r="B4744">
        <v>1555</v>
      </c>
      <c r="C4744" s="2">
        <v>46180</v>
      </c>
      <c r="D4744" t="s">
        <v>58</v>
      </c>
      <c r="E4744">
        <v>6</v>
      </c>
      <c r="F4744" s="3">
        <v>10.16</v>
      </c>
      <c r="G4744" t="s">
        <v>27</v>
      </c>
      <c r="H4744">
        <v>5</v>
      </c>
      <c r="I4744" t="s">
        <v>34</v>
      </c>
      <c r="J4744" s="4">
        <v>51.6</v>
      </c>
      <c r="K4744" s="4">
        <v>89.2</v>
      </c>
      <c r="L4744" s="4">
        <v>23.9</v>
      </c>
      <c r="M4744">
        <v>8</v>
      </c>
      <c r="N4744" t="s">
        <v>29</v>
      </c>
      <c r="O4744">
        <v>3</v>
      </c>
      <c r="P4744" s="4">
        <v>1820.3</v>
      </c>
      <c r="Q4744" t="s">
        <v>30</v>
      </c>
      <c r="R4744">
        <v>1</v>
      </c>
      <c r="S4744" t="s">
        <v>44</v>
      </c>
      <c r="T4744">
        <v>0</v>
      </c>
      <c r="U4744">
        <v>0</v>
      </c>
      <c r="V4744" t="s">
        <v>32</v>
      </c>
      <c r="W4744" t="s">
        <v>49</v>
      </c>
      <c r="X4744" s="4">
        <v>10.9</v>
      </c>
      <c r="Y4744">
        <v>4</v>
      </c>
      <c r="Z4744" s="5">
        <v>225.73</v>
      </c>
    </row>
    <row r="4745" spans="1:26">
      <c r="A4745">
        <v>4744</v>
      </c>
      <c r="B4745">
        <v>1556</v>
      </c>
      <c r="C4745" s="2">
        <v>46181</v>
      </c>
      <c r="D4745" t="s">
        <v>46</v>
      </c>
      <c r="E4745">
        <v>6</v>
      </c>
      <c r="F4745" s="3">
        <v>10.51</v>
      </c>
      <c r="G4745" t="s">
        <v>27</v>
      </c>
      <c r="H4745">
        <v>11</v>
      </c>
      <c r="I4745" t="s">
        <v>34</v>
      </c>
      <c r="J4745" s="4">
        <v>65.099999999999994</v>
      </c>
      <c r="K4745" s="4">
        <v>82.4</v>
      </c>
      <c r="L4745" s="4">
        <v>13.7</v>
      </c>
      <c r="M4745">
        <v>12</v>
      </c>
      <c r="N4745" t="s">
        <v>56</v>
      </c>
      <c r="O4745">
        <v>2</v>
      </c>
      <c r="P4745" s="4">
        <v>341.1</v>
      </c>
      <c r="Q4745" t="s">
        <v>30</v>
      </c>
      <c r="R4745">
        <v>0</v>
      </c>
      <c r="S4745" t="s">
        <v>44</v>
      </c>
      <c r="T4745">
        <v>0</v>
      </c>
      <c r="U4745">
        <v>0</v>
      </c>
      <c r="V4745" t="s">
        <v>45</v>
      </c>
      <c r="W4745" t="s">
        <v>43</v>
      </c>
      <c r="X4745" s="4">
        <v>6.7</v>
      </c>
      <c r="Y4745">
        <v>5</v>
      </c>
      <c r="Z4745" s="5">
        <v>92.68</v>
      </c>
    </row>
    <row r="4746" spans="1:26">
      <c r="A4746">
        <v>4745</v>
      </c>
      <c r="B4746">
        <v>1556</v>
      </c>
      <c r="C4746" s="2">
        <v>46181</v>
      </c>
      <c r="D4746" t="s">
        <v>46</v>
      </c>
      <c r="E4746">
        <v>6</v>
      </c>
      <c r="F4746" s="3">
        <v>10.35</v>
      </c>
      <c r="G4746" t="s">
        <v>27</v>
      </c>
      <c r="H4746">
        <v>18</v>
      </c>
      <c r="I4746" t="s">
        <v>34</v>
      </c>
      <c r="J4746" s="4">
        <v>66.099999999999994</v>
      </c>
      <c r="K4746" s="4">
        <v>137.80000000000001</v>
      </c>
      <c r="L4746" s="4">
        <v>22.2</v>
      </c>
      <c r="M4746">
        <v>11</v>
      </c>
      <c r="N4746" t="s">
        <v>56</v>
      </c>
      <c r="O4746">
        <v>2</v>
      </c>
      <c r="P4746" s="4">
        <v>341.1</v>
      </c>
      <c r="Q4746" t="s">
        <v>30</v>
      </c>
      <c r="R4746">
        <v>0</v>
      </c>
      <c r="S4746" t="s">
        <v>44</v>
      </c>
      <c r="T4746">
        <v>0</v>
      </c>
      <c r="U4746">
        <v>0</v>
      </c>
      <c r="V4746" t="s">
        <v>45</v>
      </c>
      <c r="W4746" t="s">
        <v>43</v>
      </c>
      <c r="X4746" s="4">
        <v>5.7</v>
      </c>
      <c r="Y4746">
        <v>8</v>
      </c>
      <c r="Z4746" s="5">
        <v>103.5</v>
      </c>
    </row>
    <row r="4747" spans="1:26">
      <c r="A4747">
        <v>4746</v>
      </c>
      <c r="B4747">
        <v>1557</v>
      </c>
      <c r="C4747" s="2">
        <v>46294</v>
      </c>
      <c r="D4747" t="s">
        <v>35</v>
      </c>
      <c r="E4747">
        <v>9</v>
      </c>
      <c r="F4747" s="3">
        <v>7.98</v>
      </c>
      <c r="G4747" t="s">
        <v>27</v>
      </c>
      <c r="H4747">
        <v>43</v>
      </c>
      <c r="I4747" t="s">
        <v>34</v>
      </c>
      <c r="J4747" s="4">
        <v>61.9</v>
      </c>
      <c r="K4747" s="4">
        <v>122.9</v>
      </c>
      <c r="L4747" s="4">
        <v>22.4</v>
      </c>
      <c r="M4747">
        <v>19</v>
      </c>
      <c r="N4747" t="s">
        <v>47</v>
      </c>
      <c r="O4747">
        <v>3</v>
      </c>
      <c r="P4747" s="4">
        <v>90.6</v>
      </c>
      <c r="Q4747" t="s">
        <v>48</v>
      </c>
      <c r="R4747">
        <v>0</v>
      </c>
      <c r="S4747" t="s">
        <v>44</v>
      </c>
      <c r="T4747">
        <v>0</v>
      </c>
      <c r="U4747">
        <v>1</v>
      </c>
      <c r="V4747" t="s">
        <v>64</v>
      </c>
      <c r="W4747" t="s">
        <v>33</v>
      </c>
      <c r="X4747" s="4">
        <v>7.8</v>
      </c>
      <c r="Y4747">
        <v>8</v>
      </c>
      <c r="Z4747" s="5">
        <v>276.37</v>
      </c>
    </row>
    <row r="4748" spans="1:26">
      <c r="A4748">
        <v>4747</v>
      </c>
      <c r="B4748">
        <v>1557</v>
      </c>
      <c r="C4748" s="2">
        <v>46294</v>
      </c>
      <c r="D4748" t="s">
        <v>35</v>
      </c>
      <c r="E4748">
        <v>9</v>
      </c>
      <c r="F4748" s="3">
        <v>7.89</v>
      </c>
      <c r="G4748" t="s">
        <v>27</v>
      </c>
      <c r="H4748">
        <v>51</v>
      </c>
      <c r="I4748" t="s">
        <v>28</v>
      </c>
      <c r="J4748" s="4">
        <v>73.2</v>
      </c>
      <c r="K4748" s="4">
        <v>153.30000000000001</v>
      </c>
      <c r="L4748" s="4">
        <v>19.899999999999999</v>
      </c>
      <c r="M4748">
        <v>19</v>
      </c>
      <c r="N4748" t="s">
        <v>47</v>
      </c>
      <c r="O4748">
        <v>3</v>
      </c>
      <c r="P4748" s="4">
        <v>90.6</v>
      </c>
      <c r="Q4748" t="s">
        <v>48</v>
      </c>
      <c r="R4748">
        <v>0</v>
      </c>
      <c r="S4748" t="s">
        <v>44</v>
      </c>
      <c r="T4748">
        <v>0</v>
      </c>
      <c r="U4748">
        <v>1</v>
      </c>
      <c r="V4748" t="s">
        <v>64</v>
      </c>
      <c r="W4748" t="s">
        <v>33</v>
      </c>
      <c r="X4748" s="4">
        <v>9.1</v>
      </c>
      <c r="Y4748">
        <v>13</v>
      </c>
      <c r="Z4748" s="5">
        <v>577.57000000000005</v>
      </c>
    </row>
    <row r="4749" spans="1:26">
      <c r="A4749">
        <v>4748</v>
      </c>
      <c r="B4749">
        <v>1557</v>
      </c>
      <c r="C4749" s="2">
        <v>46294</v>
      </c>
      <c r="D4749" t="s">
        <v>35</v>
      </c>
      <c r="E4749">
        <v>9</v>
      </c>
      <c r="F4749" s="3">
        <v>8.3000000000000007</v>
      </c>
      <c r="G4749" t="s">
        <v>27</v>
      </c>
      <c r="H4749">
        <v>58</v>
      </c>
      <c r="I4749" t="s">
        <v>34</v>
      </c>
      <c r="J4749" s="4">
        <v>66.5</v>
      </c>
      <c r="K4749" s="4">
        <v>132.80000000000001</v>
      </c>
      <c r="L4749" s="4">
        <v>21.2</v>
      </c>
      <c r="M4749">
        <v>18</v>
      </c>
      <c r="N4749" t="s">
        <v>47</v>
      </c>
      <c r="O4749">
        <v>3</v>
      </c>
      <c r="P4749" s="4">
        <v>90.6</v>
      </c>
      <c r="Q4749" t="s">
        <v>48</v>
      </c>
      <c r="R4749">
        <v>0</v>
      </c>
      <c r="S4749" t="s">
        <v>44</v>
      </c>
      <c r="T4749">
        <v>0</v>
      </c>
      <c r="U4749">
        <v>1</v>
      </c>
      <c r="V4749" t="s">
        <v>64</v>
      </c>
      <c r="W4749" t="s">
        <v>33</v>
      </c>
      <c r="X4749" s="4">
        <v>9.6999999999999993</v>
      </c>
      <c r="Y4749">
        <v>4</v>
      </c>
      <c r="Z4749" s="5">
        <v>243.24</v>
      </c>
    </row>
    <row r="4750" spans="1:26">
      <c r="A4750">
        <v>4749</v>
      </c>
      <c r="B4750">
        <v>1558</v>
      </c>
      <c r="C4750" s="2">
        <v>46141</v>
      </c>
      <c r="D4750" t="s">
        <v>52</v>
      </c>
      <c r="E4750">
        <v>4</v>
      </c>
      <c r="F4750" s="3">
        <v>10.23</v>
      </c>
      <c r="G4750" t="s">
        <v>27</v>
      </c>
      <c r="H4750">
        <v>44</v>
      </c>
      <c r="I4750" t="s">
        <v>28</v>
      </c>
      <c r="J4750" s="4">
        <v>72.099999999999994</v>
      </c>
      <c r="K4750" s="4">
        <v>199.8</v>
      </c>
      <c r="L4750" s="4">
        <v>26.9</v>
      </c>
      <c r="M4750">
        <v>13</v>
      </c>
      <c r="N4750" t="s">
        <v>29</v>
      </c>
      <c r="O4750">
        <v>2</v>
      </c>
      <c r="P4750" s="4">
        <v>1955.1</v>
      </c>
      <c r="Q4750" t="s">
        <v>30</v>
      </c>
      <c r="R4750">
        <v>1</v>
      </c>
      <c r="S4750" t="s">
        <v>44</v>
      </c>
      <c r="T4750">
        <v>1</v>
      </c>
      <c r="U4750">
        <v>0</v>
      </c>
      <c r="V4750" t="s">
        <v>32</v>
      </c>
      <c r="W4750" t="s">
        <v>39</v>
      </c>
      <c r="X4750" s="4">
        <v>10.199999999999999</v>
      </c>
      <c r="Y4750">
        <v>5</v>
      </c>
      <c r="Z4750" s="5">
        <v>139.41999999999999</v>
      </c>
    </row>
    <row r="4751" spans="1:26">
      <c r="A4751">
        <v>4750</v>
      </c>
      <c r="B4751">
        <v>1558</v>
      </c>
      <c r="C4751" s="2">
        <v>46141</v>
      </c>
      <c r="D4751" t="s">
        <v>52</v>
      </c>
      <c r="E4751">
        <v>4</v>
      </c>
      <c r="F4751" s="3">
        <v>10.07</v>
      </c>
      <c r="G4751" t="s">
        <v>27</v>
      </c>
      <c r="H4751">
        <v>33</v>
      </c>
      <c r="I4751" t="s">
        <v>28</v>
      </c>
      <c r="J4751" s="4">
        <v>68.5</v>
      </c>
      <c r="K4751" s="4">
        <v>185.2</v>
      </c>
      <c r="L4751" s="4">
        <v>28</v>
      </c>
      <c r="M4751">
        <v>9</v>
      </c>
      <c r="N4751" t="s">
        <v>29</v>
      </c>
      <c r="O4751">
        <v>2</v>
      </c>
      <c r="P4751" s="4">
        <v>1955.1</v>
      </c>
      <c r="Q4751" t="s">
        <v>30</v>
      </c>
      <c r="R4751">
        <v>1</v>
      </c>
      <c r="S4751" t="s">
        <v>44</v>
      </c>
      <c r="T4751">
        <v>1</v>
      </c>
      <c r="U4751">
        <v>0</v>
      </c>
      <c r="V4751" t="s">
        <v>32</v>
      </c>
      <c r="W4751" t="s">
        <v>39</v>
      </c>
      <c r="X4751" s="4">
        <v>7.7</v>
      </c>
      <c r="Y4751">
        <v>9</v>
      </c>
      <c r="Z4751" s="5">
        <v>156.80000000000001</v>
      </c>
    </row>
    <row r="4752" spans="1:26">
      <c r="A4752">
        <v>4751</v>
      </c>
      <c r="B4752">
        <v>1559</v>
      </c>
      <c r="C4752" s="2">
        <v>46133</v>
      </c>
      <c r="D4752" t="s">
        <v>35</v>
      </c>
      <c r="E4752">
        <v>4</v>
      </c>
      <c r="F4752" s="3">
        <v>13.38</v>
      </c>
      <c r="G4752" t="s">
        <v>36</v>
      </c>
      <c r="H4752">
        <v>47</v>
      </c>
      <c r="I4752" t="s">
        <v>28</v>
      </c>
      <c r="J4752" s="4">
        <v>73.599999999999994</v>
      </c>
      <c r="K4752" s="4">
        <v>155.9</v>
      </c>
      <c r="L4752" s="4">
        <v>20</v>
      </c>
      <c r="M4752">
        <v>16</v>
      </c>
      <c r="N4752" t="s">
        <v>47</v>
      </c>
      <c r="O4752">
        <v>3</v>
      </c>
      <c r="P4752" s="4">
        <v>5.7</v>
      </c>
      <c r="Q4752" t="s">
        <v>42</v>
      </c>
      <c r="R4752">
        <v>0</v>
      </c>
      <c r="S4752" t="s">
        <v>31</v>
      </c>
      <c r="T4752">
        <v>0</v>
      </c>
      <c r="U4752">
        <v>0</v>
      </c>
      <c r="V4752" t="s">
        <v>45</v>
      </c>
      <c r="W4752" t="s">
        <v>49</v>
      </c>
      <c r="X4752" s="4">
        <v>9.1999999999999993</v>
      </c>
      <c r="Y4752">
        <v>4</v>
      </c>
      <c r="Z4752" s="5">
        <v>180.69</v>
      </c>
    </row>
    <row r="4753" spans="1:26">
      <c r="A4753">
        <v>4752</v>
      </c>
      <c r="B4753">
        <v>1559</v>
      </c>
      <c r="C4753" s="2">
        <v>46133</v>
      </c>
      <c r="D4753" t="s">
        <v>35</v>
      </c>
      <c r="E4753">
        <v>4</v>
      </c>
      <c r="F4753" s="3">
        <v>13.33</v>
      </c>
      <c r="G4753" t="s">
        <v>36</v>
      </c>
      <c r="H4753">
        <v>61</v>
      </c>
      <c r="I4753" t="s">
        <v>28</v>
      </c>
      <c r="J4753" s="4">
        <v>73.3</v>
      </c>
      <c r="K4753" s="4">
        <v>171.1</v>
      </c>
      <c r="L4753" s="4">
        <v>22.6</v>
      </c>
      <c r="M4753">
        <v>16</v>
      </c>
      <c r="N4753" t="s">
        <v>47</v>
      </c>
      <c r="O4753">
        <v>3</v>
      </c>
      <c r="P4753" s="4">
        <v>5.7</v>
      </c>
      <c r="Q4753" t="s">
        <v>42</v>
      </c>
      <c r="R4753">
        <v>0</v>
      </c>
      <c r="S4753" t="s">
        <v>31</v>
      </c>
      <c r="T4753">
        <v>0</v>
      </c>
      <c r="U4753">
        <v>0</v>
      </c>
      <c r="V4753" t="s">
        <v>45</v>
      </c>
      <c r="W4753" t="s">
        <v>49</v>
      </c>
      <c r="X4753" s="4">
        <v>7</v>
      </c>
      <c r="Y4753">
        <v>12</v>
      </c>
      <c r="Z4753" s="5">
        <v>221.82</v>
      </c>
    </row>
    <row r="4754" spans="1:26">
      <c r="A4754">
        <v>4753</v>
      </c>
      <c r="B4754">
        <v>1559</v>
      </c>
      <c r="C4754" s="2">
        <v>46133</v>
      </c>
      <c r="D4754" t="s">
        <v>35</v>
      </c>
      <c r="E4754">
        <v>4</v>
      </c>
      <c r="F4754" s="3">
        <v>13.76</v>
      </c>
      <c r="G4754" t="s">
        <v>36</v>
      </c>
      <c r="H4754">
        <v>7</v>
      </c>
      <c r="I4754" t="s">
        <v>28</v>
      </c>
      <c r="J4754" s="4">
        <v>62.8</v>
      </c>
      <c r="K4754" s="4">
        <v>86.3</v>
      </c>
      <c r="L4754" s="4">
        <v>15.3</v>
      </c>
      <c r="M4754">
        <v>12</v>
      </c>
      <c r="N4754" t="s">
        <v>47</v>
      </c>
      <c r="O4754">
        <v>3</v>
      </c>
      <c r="P4754" s="4">
        <v>5.7</v>
      </c>
      <c r="Q4754" t="s">
        <v>42</v>
      </c>
      <c r="R4754">
        <v>0</v>
      </c>
      <c r="S4754" t="s">
        <v>31</v>
      </c>
      <c r="T4754">
        <v>0</v>
      </c>
      <c r="U4754">
        <v>0</v>
      </c>
      <c r="V4754" t="s">
        <v>45</v>
      </c>
      <c r="W4754" t="s">
        <v>49</v>
      </c>
      <c r="X4754" s="4">
        <v>9.8000000000000007</v>
      </c>
      <c r="Y4754">
        <v>6</v>
      </c>
      <c r="Z4754" s="5">
        <v>182.32</v>
      </c>
    </row>
    <row r="4755" spans="1:26">
      <c r="A4755">
        <v>4754</v>
      </c>
      <c r="B4755">
        <v>1560</v>
      </c>
      <c r="C4755" s="2">
        <v>46385</v>
      </c>
      <c r="D4755" t="s">
        <v>35</v>
      </c>
      <c r="E4755">
        <v>12</v>
      </c>
      <c r="F4755" s="3">
        <v>9.9499999999999993</v>
      </c>
      <c r="G4755" t="s">
        <v>27</v>
      </c>
      <c r="H4755">
        <v>56</v>
      </c>
      <c r="I4755" t="s">
        <v>28</v>
      </c>
      <c r="J4755" s="4">
        <v>68.3</v>
      </c>
      <c r="K4755" s="4">
        <v>160.30000000000001</v>
      </c>
      <c r="L4755" s="4">
        <v>24.3</v>
      </c>
      <c r="M4755">
        <v>16</v>
      </c>
      <c r="N4755" t="s">
        <v>29</v>
      </c>
      <c r="O4755">
        <v>1</v>
      </c>
      <c r="P4755" s="4">
        <v>1461.5</v>
      </c>
      <c r="Q4755" t="s">
        <v>30</v>
      </c>
      <c r="R4755">
        <v>1</v>
      </c>
      <c r="S4755" t="s">
        <v>38</v>
      </c>
      <c r="T4755">
        <v>1</v>
      </c>
      <c r="U4755">
        <v>0</v>
      </c>
      <c r="V4755" t="s">
        <v>32</v>
      </c>
      <c r="W4755" t="s">
        <v>43</v>
      </c>
      <c r="X4755" s="4">
        <v>8.1999999999999993</v>
      </c>
      <c r="Y4755">
        <v>11</v>
      </c>
      <c r="Z4755" s="5">
        <v>231.27</v>
      </c>
    </row>
    <row r="4756" spans="1:26">
      <c r="A4756">
        <v>4755</v>
      </c>
      <c r="B4756">
        <v>1561</v>
      </c>
      <c r="C4756" s="2">
        <v>46023</v>
      </c>
      <c r="D4756" t="s">
        <v>55</v>
      </c>
      <c r="E4756">
        <v>1</v>
      </c>
      <c r="F4756" s="3">
        <v>10.47</v>
      </c>
      <c r="G4756" t="s">
        <v>27</v>
      </c>
      <c r="H4756">
        <v>47</v>
      </c>
      <c r="I4756" t="s">
        <v>34</v>
      </c>
      <c r="J4756" s="4">
        <v>63.3</v>
      </c>
      <c r="K4756" s="4">
        <v>142.30000000000001</v>
      </c>
      <c r="L4756" s="4">
        <v>25</v>
      </c>
      <c r="M4756">
        <v>15</v>
      </c>
      <c r="N4756" t="s">
        <v>56</v>
      </c>
      <c r="O4756">
        <v>4</v>
      </c>
      <c r="P4756" s="4">
        <v>364.7</v>
      </c>
      <c r="Q4756" t="s">
        <v>42</v>
      </c>
      <c r="R4756">
        <v>1</v>
      </c>
      <c r="S4756" t="s">
        <v>44</v>
      </c>
      <c r="T4756">
        <v>0</v>
      </c>
      <c r="U4756">
        <v>0</v>
      </c>
      <c r="V4756" t="s">
        <v>45</v>
      </c>
      <c r="W4756" t="s">
        <v>43</v>
      </c>
      <c r="X4756" s="4">
        <v>9.6999999999999993</v>
      </c>
      <c r="Y4756">
        <v>9</v>
      </c>
      <c r="Z4756" s="5">
        <v>194.76</v>
      </c>
    </row>
    <row r="4757" spans="1:26">
      <c r="A4757">
        <v>4756</v>
      </c>
      <c r="B4757">
        <v>1561</v>
      </c>
      <c r="C4757" s="2">
        <v>46023</v>
      </c>
      <c r="D4757" t="s">
        <v>55</v>
      </c>
      <c r="E4757">
        <v>1</v>
      </c>
      <c r="F4757" s="3">
        <v>10.38</v>
      </c>
      <c r="G4757" t="s">
        <v>27</v>
      </c>
      <c r="H4757">
        <v>51</v>
      </c>
      <c r="I4757" t="s">
        <v>34</v>
      </c>
      <c r="J4757" s="4">
        <v>59.1</v>
      </c>
      <c r="K4757" s="4">
        <v>138.19999999999999</v>
      </c>
      <c r="L4757" s="4">
        <v>27.8</v>
      </c>
      <c r="M4757">
        <v>12</v>
      </c>
      <c r="N4757" t="s">
        <v>56</v>
      </c>
      <c r="O4757">
        <v>4</v>
      </c>
      <c r="P4757" s="4">
        <v>364.7</v>
      </c>
      <c r="Q4757" t="s">
        <v>42</v>
      </c>
      <c r="R4757">
        <v>1</v>
      </c>
      <c r="S4757" t="s">
        <v>44</v>
      </c>
      <c r="T4757">
        <v>0</v>
      </c>
      <c r="U4757">
        <v>0</v>
      </c>
      <c r="V4757" t="s">
        <v>45</v>
      </c>
      <c r="W4757" t="s">
        <v>43</v>
      </c>
      <c r="X4757" s="4">
        <v>8.6</v>
      </c>
      <c r="Y4757">
        <v>7</v>
      </c>
      <c r="Z4757" s="5">
        <v>263.83999999999997</v>
      </c>
    </row>
    <row r="4758" spans="1:26">
      <c r="A4758">
        <v>4757</v>
      </c>
      <c r="B4758">
        <v>1561</v>
      </c>
      <c r="C4758" s="2">
        <v>46023</v>
      </c>
      <c r="D4758" t="s">
        <v>55</v>
      </c>
      <c r="E4758">
        <v>1</v>
      </c>
      <c r="F4758" s="3">
        <v>10.46</v>
      </c>
      <c r="G4758" t="s">
        <v>27</v>
      </c>
      <c r="H4758">
        <v>42</v>
      </c>
      <c r="I4758" t="s">
        <v>34</v>
      </c>
      <c r="J4758" s="4">
        <v>69.099999999999994</v>
      </c>
      <c r="K4758" s="4">
        <v>162.80000000000001</v>
      </c>
      <c r="L4758" s="4">
        <v>23.9</v>
      </c>
      <c r="M4758">
        <v>16</v>
      </c>
      <c r="N4758" t="s">
        <v>56</v>
      </c>
      <c r="O4758">
        <v>4</v>
      </c>
      <c r="P4758" s="4">
        <v>364.7</v>
      </c>
      <c r="Q4758" t="s">
        <v>42</v>
      </c>
      <c r="R4758">
        <v>1</v>
      </c>
      <c r="S4758" t="s">
        <v>44</v>
      </c>
      <c r="T4758">
        <v>0</v>
      </c>
      <c r="U4758">
        <v>0</v>
      </c>
      <c r="V4758" t="s">
        <v>45</v>
      </c>
      <c r="W4758" t="s">
        <v>43</v>
      </c>
      <c r="X4758" s="4">
        <v>9.5</v>
      </c>
      <c r="Y4758">
        <v>13</v>
      </c>
      <c r="Z4758" s="5">
        <v>265.47000000000003</v>
      </c>
    </row>
    <row r="4759" spans="1:26">
      <c r="A4759">
        <v>4758</v>
      </c>
      <c r="B4759">
        <v>1561</v>
      </c>
      <c r="C4759" s="2">
        <v>46023</v>
      </c>
      <c r="D4759" t="s">
        <v>55</v>
      </c>
      <c r="E4759">
        <v>1</v>
      </c>
      <c r="F4759" s="3">
        <v>10.37</v>
      </c>
      <c r="G4759" t="s">
        <v>27</v>
      </c>
      <c r="H4759">
        <v>34</v>
      </c>
      <c r="I4759" t="s">
        <v>34</v>
      </c>
      <c r="J4759" s="4">
        <v>60.5</v>
      </c>
      <c r="K4759" s="4">
        <v>136.9</v>
      </c>
      <c r="L4759" s="4">
        <v>26.4</v>
      </c>
      <c r="M4759">
        <v>18</v>
      </c>
      <c r="N4759" t="s">
        <v>56</v>
      </c>
      <c r="O4759">
        <v>4</v>
      </c>
      <c r="P4759" s="4">
        <v>364.7</v>
      </c>
      <c r="Q4759" t="s">
        <v>42</v>
      </c>
      <c r="R4759">
        <v>1</v>
      </c>
      <c r="S4759" t="s">
        <v>44</v>
      </c>
      <c r="T4759">
        <v>0</v>
      </c>
      <c r="U4759">
        <v>0</v>
      </c>
      <c r="V4759" t="s">
        <v>45</v>
      </c>
      <c r="W4759" t="s">
        <v>43</v>
      </c>
      <c r="X4759" s="4">
        <v>7.8</v>
      </c>
      <c r="Y4759">
        <v>6</v>
      </c>
      <c r="Z4759" s="5">
        <v>178.62</v>
      </c>
    </row>
    <row r="4760" spans="1:26">
      <c r="A4760">
        <v>4759</v>
      </c>
      <c r="B4760">
        <v>1562</v>
      </c>
      <c r="C4760" s="2">
        <v>46271</v>
      </c>
      <c r="D4760" t="s">
        <v>58</v>
      </c>
      <c r="E4760">
        <v>9</v>
      </c>
      <c r="F4760" s="3">
        <v>8.35</v>
      </c>
      <c r="G4760" t="s">
        <v>27</v>
      </c>
      <c r="H4760">
        <v>44</v>
      </c>
      <c r="I4760" t="s">
        <v>34</v>
      </c>
      <c r="J4760" s="4">
        <v>63.9</v>
      </c>
      <c r="K4760" s="4">
        <v>199</v>
      </c>
      <c r="L4760" s="4">
        <v>34.299999999999997</v>
      </c>
      <c r="M4760">
        <v>16</v>
      </c>
      <c r="N4760" t="s">
        <v>56</v>
      </c>
      <c r="O4760">
        <v>3</v>
      </c>
      <c r="P4760" s="4">
        <v>226.2</v>
      </c>
      <c r="Q4760" t="s">
        <v>48</v>
      </c>
      <c r="R4760">
        <v>0</v>
      </c>
      <c r="S4760" t="s">
        <v>31</v>
      </c>
      <c r="T4760">
        <v>1</v>
      </c>
      <c r="U4760">
        <v>0</v>
      </c>
      <c r="V4760" t="s">
        <v>32</v>
      </c>
      <c r="W4760" t="s">
        <v>49</v>
      </c>
      <c r="X4760" s="4">
        <v>8.6</v>
      </c>
      <c r="Y4760">
        <v>6</v>
      </c>
      <c r="Z4760" s="5">
        <v>239.33</v>
      </c>
    </row>
    <row r="4761" spans="1:26">
      <c r="A4761">
        <v>4760</v>
      </c>
      <c r="B4761">
        <v>1562</v>
      </c>
      <c r="C4761" s="2">
        <v>46271</v>
      </c>
      <c r="D4761" t="s">
        <v>58</v>
      </c>
      <c r="E4761">
        <v>9</v>
      </c>
      <c r="F4761" s="3">
        <v>8.4</v>
      </c>
      <c r="G4761" t="s">
        <v>27</v>
      </c>
      <c r="H4761">
        <v>29</v>
      </c>
      <c r="I4761" t="s">
        <v>28</v>
      </c>
      <c r="J4761" s="4">
        <v>67</v>
      </c>
      <c r="K4761" s="4">
        <v>167</v>
      </c>
      <c r="L4761" s="4">
        <v>26.1</v>
      </c>
      <c r="M4761">
        <v>14</v>
      </c>
      <c r="N4761" t="s">
        <v>56</v>
      </c>
      <c r="O4761">
        <v>3</v>
      </c>
      <c r="P4761" s="4">
        <v>226.2</v>
      </c>
      <c r="Q4761" t="s">
        <v>48</v>
      </c>
      <c r="R4761">
        <v>0</v>
      </c>
      <c r="S4761" t="s">
        <v>31</v>
      </c>
      <c r="T4761">
        <v>1</v>
      </c>
      <c r="U4761">
        <v>0</v>
      </c>
      <c r="V4761" t="s">
        <v>32</v>
      </c>
      <c r="W4761" t="s">
        <v>49</v>
      </c>
      <c r="X4761" s="4">
        <v>9.4</v>
      </c>
      <c r="Y4761">
        <v>7</v>
      </c>
      <c r="Z4761" s="5">
        <v>334.93</v>
      </c>
    </row>
    <row r="4762" spans="1:26">
      <c r="A4762">
        <v>4761</v>
      </c>
      <c r="B4762">
        <v>1562</v>
      </c>
      <c r="C4762" s="2">
        <v>46271</v>
      </c>
      <c r="D4762" t="s">
        <v>58</v>
      </c>
      <c r="E4762">
        <v>9</v>
      </c>
      <c r="F4762" s="3">
        <v>8.4600000000000009</v>
      </c>
      <c r="G4762" t="s">
        <v>27</v>
      </c>
      <c r="H4762">
        <v>6</v>
      </c>
      <c r="I4762" t="s">
        <v>34</v>
      </c>
      <c r="J4762" s="4">
        <v>57.9</v>
      </c>
      <c r="K4762" s="4">
        <v>91.9</v>
      </c>
      <c r="L4762" s="4">
        <v>19.3</v>
      </c>
      <c r="M4762">
        <v>16</v>
      </c>
      <c r="N4762" t="s">
        <v>56</v>
      </c>
      <c r="O4762">
        <v>3</v>
      </c>
      <c r="P4762" s="4">
        <v>226.2</v>
      </c>
      <c r="Q4762" t="s">
        <v>48</v>
      </c>
      <c r="R4762">
        <v>0</v>
      </c>
      <c r="S4762" t="s">
        <v>31</v>
      </c>
      <c r="T4762">
        <v>1</v>
      </c>
      <c r="U4762">
        <v>0</v>
      </c>
      <c r="V4762" t="s">
        <v>32</v>
      </c>
      <c r="W4762" t="s">
        <v>49</v>
      </c>
      <c r="X4762" s="4">
        <v>9.4</v>
      </c>
      <c r="Y4762">
        <v>10</v>
      </c>
      <c r="Z4762" s="5">
        <v>342.29</v>
      </c>
    </row>
    <row r="4763" spans="1:26">
      <c r="A4763">
        <v>4762</v>
      </c>
      <c r="B4763">
        <v>1563</v>
      </c>
      <c r="C4763" s="2">
        <v>46088</v>
      </c>
      <c r="D4763" t="s">
        <v>40</v>
      </c>
      <c r="E4763">
        <v>3</v>
      </c>
      <c r="F4763" s="3">
        <v>11.91</v>
      </c>
      <c r="G4763" t="s">
        <v>36</v>
      </c>
      <c r="H4763">
        <v>45</v>
      </c>
      <c r="I4763" t="s">
        <v>28</v>
      </c>
      <c r="J4763" s="4">
        <v>71.3</v>
      </c>
      <c r="K4763" s="4">
        <v>147.30000000000001</v>
      </c>
      <c r="L4763" s="4">
        <v>20.7</v>
      </c>
      <c r="M4763">
        <v>18</v>
      </c>
      <c r="N4763" t="s">
        <v>47</v>
      </c>
      <c r="O4763">
        <v>4</v>
      </c>
      <c r="P4763" s="4">
        <v>35.5</v>
      </c>
      <c r="Q4763" t="s">
        <v>42</v>
      </c>
      <c r="R4763">
        <v>0</v>
      </c>
      <c r="S4763" t="s">
        <v>44</v>
      </c>
      <c r="T4763">
        <v>0</v>
      </c>
      <c r="U4763">
        <v>0</v>
      </c>
      <c r="V4763" t="s">
        <v>32</v>
      </c>
      <c r="W4763" t="s">
        <v>39</v>
      </c>
      <c r="X4763" s="4">
        <v>6.1</v>
      </c>
      <c r="Y4763">
        <v>8</v>
      </c>
      <c r="Z4763" s="5">
        <v>348.29</v>
      </c>
    </row>
    <row r="4764" spans="1:26">
      <c r="A4764">
        <v>4763</v>
      </c>
      <c r="B4764">
        <v>1563</v>
      </c>
      <c r="C4764" s="2">
        <v>46088</v>
      </c>
      <c r="D4764" t="s">
        <v>40</v>
      </c>
      <c r="E4764">
        <v>3</v>
      </c>
      <c r="F4764" s="3">
        <v>12.12</v>
      </c>
      <c r="G4764" t="s">
        <v>36</v>
      </c>
      <c r="H4764">
        <v>38</v>
      </c>
      <c r="I4764" t="s">
        <v>28</v>
      </c>
      <c r="J4764" s="4">
        <v>65.5</v>
      </c>
      <c r="K4764" s="4">
        <v>152.9</v>
      </c>
      <c r="L4764" s="4">
        <v>24.9</v>
      </c>
      <c r="M4764">
        <v>15</v>
      </c>
      <c r="N4764" t="s">
        <v>47</v>
      </c>
      <c r="O4764">
        <v>4</v>
      </c>
      <c r="P4764" s="4">
        <v>35.5</v>
      </c>
      <c r="Q4764" t="s">
        <v>42</v>
      </c>
      <c r="R4764">
        <v>0</v>
      </c>
      <c r="S4764" t="s">
        <v>44</v>
      </c>
      <c r="T4764">
        <v>0</v>
      </c>
      <c r="U4764">
        <v>0</v>
      </c>
      <c r="V4764" t="s">
        <v>32</v>
      </c>
      <c r="W4764" t="s">
        <v>39</v>
      </c>
      <c r="X4764" s="4">
        <v>8.1</v>
      </c>
      <c r="Y4764">
        <v>1</v>
      </c>
      <c r="Z4764" s="5">
        <v>169.61</v>
      </c>
    </row>
    <row r="4765" spans="1:26">
      <c r="A4765">
        <v>4764</v>
      </c>
      <c r="B4765">
        <v>1563</v>
      </c>
      <c r="C4765" s="2">
        <v>46088</v>
      </c>
      <c r="D4765" t="s">
        <v>40</v>
      </c>
      <c r="E4765">
        <v>3</v>
      </c>
      <c r="F4765" s="3">
        <v>11.81</v>
      </c>
      <c r="G4765" t="s">
        <v>36</v>
      </c>
      <c r="H4765">
        <v>52</v>
      </c>
      <c r="I4765" t="s">
        <v>28</v>
      </c>
      <c r="J4765" s="4">
        <v>75.8</v>
      </c>
      <c r="K4765" s="4">
        <v>245.4</v>
      </c>
      <c r="L4765" s="4">
        <v>30.1</v>
      </c>
      <c r="M4765">
        <v>17</v>
      </c>
      <c r="N4765" t="s">
        <v>47</v>
      </c>
      <c r="O4765">
        <v>4</v>
      </c>
      <c r="P4765" s="4">
        <v>35.5</v>
      </c>
      <c r="Q4765" t="s">
        <v>42</v>
      </c>
      <c r="R4765">
        <v>0</v>
      </c>
      <c r="S4765" t="s">
        <v>44</v>
      </c>
      <c r="T4765">
        <v>0</v>
      </c>
      <c r="U4765">
        <v>0</v>
      </c>
      <c r="V4765" t="s">
        <v>32</v>
      </c>
      <c r="W4765" t="s">
        <v>39</v>
      </c>
      <c r="X4765" s="4">
        <v>4.7</v>
      </c>
      <c r="Y4765">
        <v>1</v>
      </c>
      <c r="Z4765" s="5">
        <v>110</v>
      </c>
    </row>
    <row r="4766" spans="1:26">
      <c r="A4766">
        <v>4765</v>
      </c>
      <c r="B4766">
        <v>1563</v>
      </c>
      <c r="C4766" s="2">
        <v>46088</v>
      </c>
      <c r="D4766" t="s">
        <v>40</v>
      </c>
      <c r="E4766">
        <v>3</v>
      </c>
      <c r="F4766" s="3">
        <v>12.08</v>
      </c>
      <c r="G4766" t="s">
        <v>36</v>
      </c>
      <c r="H4766">
        <v>49</v>
      </c>
      <c r="I4766" t="s">
        <v>34</v>
      </c>
      <c r="J4766" s="4">
        <v>64.400000000000006</v>
      </c>
      <c r="K4766" s="4">
        <v>168</v>
      </c>
      <c r="L4766" s="4">
        <v>28.5</v>
      </c>
      <c r="M4766">
        <v>16</v>
      </c>
      <c r="N4766" t="s">
        <v>47</v>
      </c>
      <c r="O4766">
        <v>4</v>
      </c>
      <c r="P4766" s="4">
        <v>35.5</v>
      </c>
      <c r="Q4766" t="s">
        <v>42</v>
      </c>
      <c r="R4766">
        <v>0</v>
      </c>
      <c r="S4766" t="s">
        <v>44</v>
      </c>
      <c r="T4766">
        <v>0</v>
      </c>
      <c r="U4766">
        <v>0</v>
      </c>
      <c r="V4766" t="s">
        <v>32</v>
      </c>
      <c r="W4766" t="s">
        <v>39</v>
      </c>
      <c r="X4766" s="4">
        <v>8.1999999999999993</v>
      </c>
      <c r="Y4766">
        <v>7</v>
      </c>
      <c r="Z4766" s="5">
        <v>163.91</v>
      </c>
    </row>
    <row r="4767" spans="1:26">
      <c r="A4767">
        <v>4766</v>
      </c>
      <c r="B4767">
        <v>1564</v>
      </c>
      <c r="C4767" s="2">
        <v>46116</v>
      </c>
      <c r="D4767" t="s">
        <v>40</v>
      </c>
      <c r="E4767">
        <v>4</v>
      </c>
      <c r="F4767" s="3">
        <v>9.64</v>
      </c>
      <c r="G4767" t="s">
        <v>27</v>
      </c>
      <c r="H4767">
        <v>18</v>
      </c>
      <c r="I4767" t="s">
        <v>28</v>
      </c>
      <c r="J4767" s="4">
        <v>69.900000000000006</v>
      </c>
      <c r="K4767" s="4">
        <v>214.4</v>
      </c>
      <c r="L4767" s="4">
        <v>30.9</v>
      </c>
      <c r="M4767">
        <v>11</v>
      </c>
      <c r="N4767" t="s">
        <v>47</v>
      </c>
      <c r="O4767">
        <v>4</v>
      </c>
      <c r="P4767" s="4">
        <v>113.8</v>
      </c>
      <c r="Q4767" t="s">
        <v>30</v>
      </c>
      <c r="R4767">
        <v>1</v>
      </c>
      <c r="S4767" t="s">
        <v>31</v>
      </c>
      <c r="T4767">
        <v>1</v>
      </c>
      <c r="U4767">
        <v>0</v>
      </c>
      <c r="V4767" t="s">
        <v>32</v>
      </c>
      <c r="W4767" t="s">
        <v>49</v>
      </c>
      <c r="X4767" s="4">
        <v>11.8</v>
      </c>
      <c r="Y4767">
        <v>11</v>
      </c>
      <c r="Z4767" s="5">
        <v>205.01</v>
      </c>
    </row>
    <row r="4768" spans="1:26">
      <c r="A4768">
        <v>4767</v>
      </c>
      <c r="B4768">
        <v>1564</v>
      </c>
      <c r="C4768" s="2">
        <v>46116</v>
      </c>
      <c r="D4768" t="s">
        <v>40</v>
      </c>
      <c r="E4768">
        <v>4</v>
      </c>
      <c r="F4768" s="3">
        <v>9.68</v>
      </c>
      <c r="G4768" t="s">
        <v>27</v>
      </c>
      <c r="H4768">
        <v>69</v>
      </c>
      <c r="I4768" t="s">
        <v>34</v>
      </c>
      <c r="J4768" s="4">
        <v>61.6</v>
      </c>
      <c r="K4768" s="4">
        <v>179.4</v>
      </c>
      <c r="L4768" s="4">
        <v>33.299999999999997</v>
      </c>
      <c r="M4768">
        <v>16</v>
      </c>
      <c r="N4768" t="s">
        <v>47</v>
      </c>
      <c r="O4768">
        <v>4</v>
      </c>
      <c r="P4768" s="4">
        <v>113.8</v>
      </c>
      <c r="Q4768" t="s">
        <v>30</v>
      </c>
      <c r="R4768">
        <v>1</v>
      </c>
      <c r="S4768" t="s">
        <v>31</v>
      </c>
      <c r="T4768">
        <v>1</v>
      </c>
      <c r="U4768">
        <v>0</v>
      </c>
      <c r="V4768" t="s">
        <v>32</v>
      </c>
      <c r="W4768" t="s">
        <v>49</v>
      </c>
      <c r="X4768" s="4">
        <v>9.4</v>
      </c>
      <c r="Y4768">
        <v>9</v>
      </c>
      <c r="Z4768" s="5">
        <v>215.91</v>
      </c>
    </row>
    <row r="4769" spans="1:26">
      <c r="A4769">
        <v>4768</v>
      </c>
      <c r="B4769">
        <v>1564</v>
      </c>
      <c r="C4769" s="2">
        <v>46116</v>
      </c>
      <c r="D4769" t="s">
        <v>40</v>
      </c>
      <c r="E4769">
        <v>4</v>
      </c>
      <c r="F4769" s="3">
        <v>9.49</v>
      </c>
      <c r="G4769" t="s">
        <v>27</v>
      </c>
      <c r="H4769">
        <v>19</v>
      </c>
      <c r="I4769" t="s">
        <v>28</v>
      </c>
      <c r="J4769" s="4">
        <v>67.3</v>
      </c>
      <c r="K4769" s="4">
        <v>193.2</v>
      </c>
      <c r="L4769" s="4">
        <v>29.8</v>
      </c>
      <c r="M4769">
        <v>9</v>
      </c>
      <c r="N4769" t="s">
        <v>47</v>
      </c>
      <c r="O4769">
        <v>4</v>
      </c>
      <c r="P4769" s="4">
        <v>113.8</v>
      </c>
      <c r="Q4769" t="s">
        <v>30</v>
      </c>
      <c r="R4769">
        <v>1</v>
      </c>
      <c r="S4769" t="s">
        <v>31</v>
      </c>
      <c r="T4769">
        <v>1</v>
      </c>
      <c r="U4769">
        <v>0</v>
      </c>
      <c r="V4769" t="s">
        <v>32</v>
      </c>
      <c r="W4769" t="s">
        <v>49</v>
      </c>
      <c r="X4769" s="4">
        <v>8.1999999999999993</v>
      </c>
      <c r="Y4769">
        <v>9</v>
      </c>
      <c r="Z4769" s="5">
        <v>239.09</v>
      </c>
    </row>
    <row r="4770" spans="1:26">
      <c r="A4770">
        <v>4769</v>
      </c>
      <c r="B4770">
        <v>1564</v>
      </c>
      <c r="C4770" s="2">
        <v>46116</v>
      </c>
      <c r="D4770" t="s">
        <v>40</v>
      </c>
      <c r="E4770">
        <v>4</v>
      </c>
      <c r="F4770" s="3">
        <v>9.43</v>
      </c>
      <c r="G4770" t="s">
        <v>27</v>
      </c>
      <c r="H4770">
        <v>31</v>
      </c>
      <c r="I4770" t="s">
        <v>34</v>
      </c>
      <c r="J4770" s="4">
        <v>68.5</v>
      </c>
      <c r="K4770" s="4">
        <v>190.3</v>
      </c>
      <c r="L4770" s="4">
        <v>28.6</v>
      </c>
      <c r="M4770">
        <v>12</v>
      </c>
      <c r="N4770" t="s">
        <v>47</v>
      </c>
      <c r="O4770">
        <v>4</v>
      </c>
      <c r="P4770" s="4">
        <v>113.8</v>
      </c>
      <c r="Q4770" t="s">
        <v>30</v>
      </c>
      <c r="R4770">
        <v>1</v>
      </c>
      <c r="S4770" t="s">
        <v>31</v>
      </c>
      <c r="T4770">
        <v>1</v>
      </c>
      <c r="U4770">
        <v>0</v>
      </c>
      <c r="V4770" t="s">
        <v>32</v>
      </c>
      <c r="W4770" t="s">
        <v>49</v>
      </c>
      <c r="X4770" s="4">
        <v>10.1</v>
      </c>
      <c r="Y4770">
        <v>13</v>
      </c>
      <c r="Z4770" s="5">
        <v>315.01</v>
      </c>
    </row>
    <row r="4771" spans="1:26">
      <c r="A4771">
        <v>4770</v>
      </c>
      <c r="B4771">
        <v>1565</v>
      </c>
      <c r="C4771" s="2">
        <v>46299</v>
      </c>
      <c r="D4771" t="s">
        <v>58</v>
      </c>
      <c r="E4771">
        <v>10</v>
      </c>
      <c r="F4771" s="3">
        <v>11.08</v>
      </c>
      <c r="G4771" t="s">
        <v>36</v>
      </c>
      <c r="H4771">
        <v>28</v>
      </c>
      <c r="I4771" t="s">
        <v>28</v>
      </c>
      <c r="J4771" s="4">
        <v>66.7</v>
      </c>
      <c r="K4771" s="4">
        <v>152.5</v>
      </c>
      <c r="L4771" s="4">
        <v>24</v>
      </c>
      <c r="M4771">
        <v>17</v>
      </c>
      <c r="N4771" t="s">
        <v>37</v>
      </c>
      <c r="O4771">
        <v>6</v>
      </c>
      <c r="P4771" s="4">
        <v>1336.9</v>
      </c>
      <c r="Q4771" t="s">
        <v>42</v>
      </c>
      <c r="R4771">
        <v>1</v>
      </c>
      <c r="S4771" t="s">
        <v>44</v>
      </c>
      <c r="T4771">
        <v>1</v>
      </c>
      <c r="U4771">
        <v>0</v>
      </c>
      <c r="V4771" t="s">
        <v>32</v>
      </c>
      <c r="W4771" t="s">
        <v>39</v>
      </c>
      <c r="X4771" s="4">
        <v>6.2</v>
      </c>
      <c r="Y4771">
        <v>11</v>
      </c>
      <c r="Z4771" s="5">
        <v>140.25</v>
      </c>
    </row>
    <row r="4772" spans="1:26">
      <c r="A4772">
        <v>4771</v>
      </c>
      <c r="B4772">
        <v>1565</v>
      </c>
      <c r="C4772" s="2">
        <v>46299</v>
      </c>
      <c r="D4772" t="s">
        <v>58</v>
      </c>
      <c r="E4772">
        <v>10</v>
      </c>
      <c r="F4772" s="3">
        <v>10.99</v>
      </c>
      <c r="G4772" t="s">
        <v>27</v>
      </c>
      <c r="H4772">
        <v>37</v>
      </c>
      <c r="I4772" t="s">
        <v>28</v>
      </c>
      <c r="J4772" s="4">
        <v>67.900000000000006</v>
      </c>
      <c r="K4772" s="4">
        <v>190.4</v>
      </c>
      <c r="L4772" s="4">
        <v>29.2</v>
      </c>
      <c r="M4772">
        <v>17</v>
      </c>
      <c r="N4772" t="s">
        <v>37</v>
      </c>
      <c r="O4772">
        <v>6</v>
      </c>
      <c r="P4772" s="4">
        <v>1336.9</v>
      </c>
      <c r="Q4772" t="s">
        <v>42</v>
      </c>
      <c r="R4772">
        <v>1</v>
      </c>
      <c r="S4772" t="s">
        <v>44</v>
      </c>
      <c r="T4772">
        <v>1</v>
      </c>
      <c r="U4772">
        <v>0</v>
      </c>
      <c r="V4772" t="s">
        <v>32</v>
      </c>
      <c r="W4772" t="s">
        <v>39</v>
      </c>
      <c r="X4772" s="4">
        <v>6.5</v>
      </c>
      <c r="Y4772">
        <v>10</v>
      </c>
      <c r="Z4772" s="5">
        <v>193.05</v>
      </c>
    </row>
    <row r="4773" spans="1:26">
      <c r="A4773">
        <v>4772</v>
      </c>
      <c r="B4773">
        <v>1565</v>
      </c>
      <c r="C4773" s="2">
        <v>46299</v>
      </c>
      <c r="D4773" t="s">
        <v>58</v>
      </c>
      <c r="E4773">
        <v>10</v>
      </c>
      <c r="F4773" s="3">
        <v>11.2</v>
      </c>
      <c r="G4773" t="s">
        <v>36</v>
      </c>
      <c r="H4773">
        <v>53</v>
      </c>
      <c r="I4773" t="s">
        <v>28</v>
      </c>
      <c r="J4773" s="4">
        <v>65</v>
      </c>
      <c r="K4773" s="4">
        <v>145.69999999999999</v>
      </c>
      <c r="L4773" s="4">
        <v>24.5</v>
      </c>
      <c r="M4773">
        <v>17</v>
      </c>
      <c r="N4773" t="s">
        <v>37</v>
      </c>
      <c r="O4773">
        <v>6</v>
      </c>
      <c r="P4773" s="4">
        <v>1336.9</v>
      </c>
      <c r="Q4773" t="s">
        <v>42</v>
      </c>
      <c r="R4773">
        <v>1</v>
      </c>
      <c r="S4773" t="s">
        <v>44</v>
      </c>
      <c r="T4773">
        <v>1</v>
      </c>
      <c r="U4773">
        <v>0</v>
      </c>
      <c r="V4773" t="s">
        <v>32</v>
      </c>
      <c r="W4773" t="s">
        <v>39</v>
      </c>
      <c r="X4773" s="4">
        <v>6.8</v>
      </c>
      <c r="Y4773">
        <v>5</v>
      </c>
      <c r="Z4773" s="5">
        <v>191.11</v>
      </c>
    </row>
    <row r="4774" spans="1:26">
      <c r="A4774">
        <v>4773</v>
      </c>
      <c r="B4774">
        <v>1565</v>
      </c>
      <c r="C4774" s="2">
        <v>46299</v>
      </c>
      <c r="D4774" t="s">
        <v>58</v>
      </c>
      <c r="E4774">
        <v>10</v>
      </c>
      <c r="F4774" s="3">
        <v>11.23</v>
      </c>
      <c r="G4774" t="s">
        <v>36</v>
      </c>
      <c r="H4774">
        <v>56</v>
      </c>
      <c r="I4774" t="s">
        <v>28</v>
      </c>
      <c r="J4774" s="4">
        <v>70.099999999999994</v>
      </c>
      <c r="K4774" s="4">
        <v>194.1</v>
      </c>
      <c r="L4774" s="4">
        <v>27.6</v>
      </c>
      <c r="M4774">
        <v>14</v>
      </c>
      <c r="N4774" t="s">
        <v>37</v>
      </c>
      <c r="O4774">
        <v>6</v>
      </c>
      <c r="P4774" s="4">
        <v>1336.9</v>
      </c>
      <c r="Q4774" t="s">
        <v>42</v>
      </c>
      <c r="R4774">
        <v>1</v>
      </c>
      <c r="S4774" t="s">
        <v>44</v>
      </c>
      <c r="T4774">
        <v>1</v>
      </c>
      <c r="U4774">
        <v>0</v>
      </c>
      <c r="V4774" t="s">
        <v>32</v>
      </c>
      <c r="W4774" t="s">
        <v>39</v>
      </c>
      <c r="X4774" s="4">
        <v>7.1</v>
      </c>
      <c r="Y4774">
        <v>6</v>
      </c>
      <c r="Z4774" s="5">
        <v>259.76</v>
      </c>
    </row>
    <row r="4775" spans="1:26">
      <c r="A4775">
        <v>4774</v>
      </c>
      <c r="B4775">
        <v>1565</v>
      </c>
      <c r="C4775" s="2">
        <v>46299</v>
      </c>
      <c r="D4775" t="s">
        <v>58</v>
      </c>
      <c r="E4775">
        <v>10</v>
      </c>
      <c r="F4775" s="3">
        <v>11.16</v>
      </c>
      <c r="G4775" t="s">
        <v>36</v>
      </c>
      <c r="H4775">
        <v>43</v>
      </c>
      <c r="I4775" t="s">
        <v>34</v>
      </c>
      <c r="J4775" s="4">
        <v>61.9</v>
      </c>
      <c r="K4775" s="4">
        <v>155.19999999999999</v>
      </c>
      <c r="L4775" s="4">
        <v>28.1</v>
      </c>
      <c r="M4775">
        <v>13</v>
      </c>
      <c r="N4775" t="s">
        <v>37</v>
      </c>
      <c r="O4775">
        <v>6</v>
      </c>
      <c r="P4775" s="4">
        <v>1336.9</v>
      </c>
      <c r="Q4775" t="s">
        <v>42</v>
      </c>
      <c r="R4775">
        <v>1</v>
      </c>
      <c r="S4775" t="s">
        <v>44</v>
      </c>
      <c r="T4775">
        <v>1</v>
      </c>
      <c r="U4775">
        <v>0</v>
      </c>
      <c r="V4775" t="s">
        <v>32</v>
      </c>
      <c r="W4775" t="s">
        <v>39</v>
      </c>
      <c r="X4775" s="4">
        <v>9.1999999999999993</v>
      </c>
      <c r="Y4775">
        <v>11</v>
      </c>
      <c r="Z4775" s="5">
        <v>138.06</v>
      </c>
    </row>
    <row r="4776" spans="1:26">
      <c r="A4776">
        <v>4775</v>
      </c>
      <c r="B4776">
        <v>1565</v>
      </c>
      <c r="C4776" s="2">
        <v>46299</v>
      </c>
      <c r="D4776" t="s">
        <v>58</v>
      </c>
      <c r="E4776">
        <v>10</v>
      </c>
      <c r="F4776" s="3">
        <v>10.92</v>
      </c>
      <c r="G4776" t="s">
        <v>27</v>
      </c>
      <c r="H4776">
        <v>6</v>
      </c>
      <c r="I4776" t="s">
        <v>28</v>
      </c>
      <c r="J4776" s="4">
        <v>58.8</v>
      </c>
      <c r="K4776" s="4">
        <v>113.6</v>
      </c>
      <c r="L4776" s="4">
        <v>23.3</v>
      </c>
      <c r="M4776">
        <v>14</v>
      </c>
      <c r="N4776" t="s">
        <v>37</v>
      </c>
      <c r="O4776">
        <v>6</v>
      </c>
      <c r="P4776" s="4">
        <v>1336.9</v>
      </c>
      <c r="Q4776" t="s">
        <v>42</v>
      </c>
      <c r="R4776">
        <v>1</v>
      </c>
      <c r="S4776" t="s">
        <v>44</v>
      </c>
      <c r="T4776">
        <v>1</v>
      </c>
      <c r="U4776">
        <v>0</v>
      </c>
      <c r="V4776" t="s">
        <v>32</v>
      </c>
      <c r="W4776" t="s">
        <v>39</v>
      </c>
      <c r="X4776" s="4">
        <v>11.1</v>
      </c>
      <c r="Y4776">
        <v>11</v>
      </c>
      <c r="Z4776" s="5">
        <v>629.51</v>
      </c>
    </row>
    <row r="4777" spans="1:26">
      <c r="A4777">
        <v>4776</v>
      </c>
      <c r="B4777">
        <v>1566</v>
      </c>
      <c r="C4777" s="2">
        <v>46127</v>
      </c>
      <c r="D4777" t="s">
        <v>52</v>
      </c>
      <c r="E4777">
        <v>4</v>
      </c>
      <c r="F4777" s="3">
        <v>9.51</v>
      </c>
      <c r="G4777" t="s">
        <v>27</v>
      </c>
      <c r="H4777">
        <v>57</v>
      </c>
      <c r="I4777" t="s">
        <v>28</v>
      </c>
      <c r="J4777" s="4">
        <v>68.8</v>
      </c>
      <c r="K4777" s="4">
        <v>153.19999999999999</v>
      </c>
      <c r="L4777" s="4">
        <v>23.1</v>
      </c>
      <c r="M4777">
        <v>17</v>
      </c>
      <c r="N4777" t="s">
        <v>41</v>
      </c>
      <c r="O4777">
        <v>2</v>
      </c>
      <c r="P4777" s="4">
        <v>2419.1999999999998</v>
      </c>
      <c r="Q4777" t="s">
        <v>42</v>
      </c>
      <c r="R4777">
        <v>1</v>
      </c>
      <c r="S4777" t="s">
        <v>38</v>
      </c>
      <c r="T4777">
        <v>0</v>
      </c>
      <c r="U4777">
        <v>0</v>
      </c>
      <c r="V4777" t="s">
        <v>32</v>
      </c>
      <c r="W4777" t="s">
        <v>39</v>
      </c>
      <c r="X4777" s="4">
        <v>8.1</v>
      </c>
      <c r="Y4777">
        <v>8</v>
      </c>
      <c r="Z4777" s="5">
        <v>146.77000000000001</v>
      </c>
    </row>
    <row r="4778" spans="1:26">
      <c r="A4778">
        <v>4777</v>
      </c>
      <c r="B4778">
        <v>1566</v>
      </c>
      <c r="C4778" s="2">
        <v>46127</v>
      </c>
      <c r="D4778" t="s">
        <v>52</v>
      </c>
      <c r="E4778">
        <v>4</v>
      </c>
      <c r="F4778" s="3">
        <v>9.6</v>
      </c>
      <c r="G4778" t="s">
        <v>27</v>
      </c>
      <c r="H4778">
        <v>5</v>
      </c>
      <c r="I4778" t="s">
        <v>34</v>
      </c>
      <c r="J4778" s="4">
        <v>56.2</v>
      </c>
      <c r="K4778" s="4">
        <v>89.7</v>
      </c>
      <c r="L4778" s="4">
        <v>20.100000000000001</v>
      </c>
      <c r="M4778">
        <v>13</v>
      </c>
      <c r="N4778" t="s">
        <v>41</v>
      </c>
      <c r="O4778">
        <v>2</v>
      </c>
      <c r="P4778" s="4">
        <v>2419.1999999999998</v>
      </c>
      <c r="Q4778" t="s">
        <v>42</v>
      </c>
      <c r="R4778">
        <v>1</v>
      </c>
      <c r="S4778" t="s">
        <v>38</v>
      </c>
      <c r="T4778">
        <v>0</v>
      </c>
      <c r="U4778">
        <v>0</v>
      </c>
      <c r="V4778" t="s">
        <v>32</v>
      </c>
      <c r="W4778" t="s">
        <v>39</v>
      </c>
      <c r="X4778" s="4">
        <v>7.2</v>
      </c>
      <c r="Y4778">
        <v>8</v>
      </c>
      <c r="Z4778" s="5">
        <v>236.51</v>
      </c>
    </row>
    <row r="4779" spans="1:26">
      <c r="A4779">
        <v>4778</v>
      </c>
      <c r="B4779">
        <v>1567</v>
      </c>
      <c r="C4779" s="2">
        <v>46264</v>
      </c>
      <c r="D4779" t="s">
        <v>58</v>
      </c>
      <c r="E4779">
        <v>8</v>
      </c>
      <c r="F4779" s="3">
        <v>12.84</v>
      </c>
      <c r="G4779" t="s">
        <v>36</v>
      </c>
      <c r="H4779">
        <v>50</v>
      </c>
      <c r="I4779" t="s">
        <v>34</v>
      </c>
      <c r="J4779" s="4">
        <v>61.8</v>
      </c>
      <c r="K4779" s="4">
        <v>170.5</v>
      </c>
      <c r="L4779" s="4">
        <v>31.2</v>
      </c>
      <c r="M4779">
        <v>15</v>
      </c>
      <c r="N4779" t="s">
        <v>47</v>
      </c>
      <c r="O4779">
        <v>5</v>
      </c>
      <c r="P4779" s="4">
        <v>92.2</v>
      </c>
      <c r="Q4779" t="s">
        <v>42</v>
      </c>
      <c r="R4779">
        <v>0</v>
      </c>
      <c r="S4779" t="s">
        <v>38</v>
      </c>
      <c r="T4779">
        <v>1</v>
      </c>
      <c r="U4779">
        <v>0</v>
      </c>
      <c r="V4779" t="s">
        <v>32</v>
      </c>
      <c r="W4779" t="s">
        <v>57</v>
      </c>
      <c r="X4779" s="4">
        <v>5.3</v>
      </c>
      <c r="Y4779">
        <v>8</v>
      </c>
      <c r="Z4779" s="5">
        <v>203.12</v>
      </c>
    </row>
    <row r="4780" spans="1:26">
      <c r="A4780">
        <v>4779</v>
      </c>
      <c r="B4780">
        <v>1567</v>
      </c>
      <c r="C4780" s="2">
        <v>46264</v>
      </c>
      <c r="D4780" t="s">
        <v>58</v>
      </c>
      <c r="E4780">
        <v>8</v>
      </c>
      <c r="F4780" s="3">
        <v>13.06</v>
      </c>
      <c r="G4780" t="s">
        <v>36</v>
      </c>
      <c r="H4780">
        <v>22</v>
      </c>
      <c r="I4780" t="s">
        <v>28</v>
      </c>
      <c r="J4780" s="4">
        <v>68.3</v>
      </c>
      <c r="K4780" s="4">
        <v>134.9</v>
      </c>
      <c r="L4780" s="4">
        <v>20.3</v>
      </c>
      <c r="M4780">
        <v>14</v>
      </c>
      <c r="N4780" t="s">
        <v>47</v>
      </c>
      <c r="O4780">
        <v>5</v>
      </c>
      <c r="P4780" s="4">
        <v>92.2</v>
      </c>
      <c r="Q4780" t="s">
        <v>42</v>
      </c>
      <c r="R4780">
        <v>0</v>
      </c>
      <c r="S4780" t="s">
        <v>38</v>
      </c>
      <c r="T4780">
        <v>1</v>
      </c>
      <c r="U4780">
        <v>0</v>
      </c>
      <c r="V4780" t="s">
        <v>32</v>
      </c>
      <c r="W4780" t="s">
        <v>57</v>
      </c>
      <c r="X4780" s="4">
        <v>9.5</v>
      </c>
      <c r="Y4780">
        <v>12</v>
      </c>
      <c r="Z4780" s="5">
        <v>205.76</v>
      </c>
    </row>
    <row r="4781" spans="1:26">
      <c r="A4781">
        <v>4780</v>
      </c>
      <c r="B4781">
        <v>1567</v>
      </c>
      <c r="C4781" s="2">
        <v>46264</v>
      </c>
      <c r="D4781" t="s">
        <v>58</v>
      </c>
      <c r="E4781">
        <v>8</v>
      </c>
      <c r="F4781" s="3">
        <v>12.81</v>
      </c>
      <c r="G4781" t="s">
        <v>36</v>
      </c>
      <c r="H4781">
        <v>34</v>
      </c>
      <c r="I4781" t="s">
        <v>34</v>
      </c>
      <c r="J4781" s="4">
        <v>64.7</v>
      </c>
      <c r="K4781" s="4">
        <v>145.4</v>
      </c>
      <c r="L4781" s="4">
        <v>24.4</v>
      </c>
      <c r="M4781">
        <v>17</v>
      </c>
      <c r="N4781" t="s">
        <v>47</v>
      </c>
      <c r="O4781">
        <v>5</v>
      </c>
      <c r="P4781" s="4">
        <v>92.2</v>
      </c>
      <c r="Q4781" t="s">
        <v>42</v>
      </c>
      <c r="R4781">
        <v>0</v>
      </c>
      <c r="S4781" t="s">
        <v>38</v>
      </c>
      <c r="T4781">
        <v>1</v>
      </c>
      <c r="U4781">
        <v>0</v>
      </c>
      <c r="V4781" t="s">
        <v>32</v>
      </c>
      <c r="W4781" t="s">
        <v>57</v>
      </c>
      <c r="X4781" s="4">
        <v>5.9</v>
      </c>
      <c r="Y4781">
        <v>6</v>
      </c>
      <c r="Z4781" s="5">
        <v>250.63</v>
      </c>
    </row>
    <row r="4782" spans="1:26">
      <c r="A4782">
        <v>4781</v>
      </c>
      <c r="B4782">
        <v>1567</v>
      </c>
      <c r="C4782" s="2">
        <v>46264</v>
      </c>
      <c r="D4782" t="s">
        <v>58</v>
      </c>
      <c r="E4782">
        <v>8</v>
      </c>
      <c r="F4782" s="3">
        <v>12.93</v>
      </c>
      <c r="G4782" t="s">
        <v>36</v>
      </c>
      <c r="H4782">
        <v>12</v>
      </c>
      <c r="I4782" t="s">
        <v>34</v>
      </c>
      <c r="J4782" s="4">
        <v>70</v>
      </c>
      <c r="K4782" s="4">
        <v>128.1</v>
      </c>
      <c r="L4782" s="4">
        <v>18.100000000000001</v>
      </c>
      <c r="M4782">
        <v>13</v>
      </c>
      <c r="N4782" t="s">
        <v>47</v>
      </c>
      <c r="O4782">
        <v>5</v>
      </c>
      <c r="P4782" s="4">
        <v>92.2</v>
      </c>
      <c r="Q4782" t="s">
        <v>42</v>
      </c>
      <c r="R4782">
        <v>0</v>
      </c>
      <c r="S4782" t="s">
        <v>38</v>
      </c>
      <c r="T4782">
        <v>1</v>
      </c>
      <c r="U4782">
        <v>0</v>
      </c>
      <c r="V4782" t="s">
        <v>32</v>
      </c>
      <c r="W4782" t="s">
        <v>57</v>
      </c>
      <c r="X4782" s="4">
        <v>7.8</v>
      </c>
      <c r="Y4782">
        <v>4</v>
      </c>
      <c r="Z4782" s="5">
        <v>128.51</v>
      </c>
    </row>
    <row r="4783" spans="1:26">
      <c r="A4783">
        <v>4782</v>
      </c>
      <c r="B4783">
        <v>1567</v>
      </c>
      <c r="C4783" s="2">
        <v>46264</v>
      </c>
      <c r="D4783" t="s">
        <v>58</v>
      </c>
      <c r="E4783">
        <v>8</v>
      </c>
      <c r="F4783" s="3">
        <v>12.79</v>
      </c>
      <c r="G4783" t="s">
        <v>36</v>
      </c>
      <c r="H4783">
        <v>60</v>
      </c>
      <c r="I4783" t="s">
        <v>34</v>
      </c>
      <c r="J4783" s="4">
        <v>68.5</v>
      </c>
      <c r="K4783" s="4">
        <v>200.7</v>
      </c>
      <c r="L4783" s="4">
        <v>30</v>
      </c>
      <c r="M4783">
        <v>16</v>
      </c>
      <c r="N4783" t="s">
        <v>47</v>
      </c>
      <c r="O4783">
        <v>5</v>
      </c>
      <c r="P4783" s="4">
        <v>92.2</v>
      </c>
      <c r="Q4783" t="s">
        <v>42</v>
      </c>
      <c r="R4783">
        <v>0</v>
      </c>
      <c r="S4783" t="s">
        <v>38</v>
      </c>
      <c r="T4783">
        <v>1</v>
      </c>
      <c r="U4783">
        <v>0</v>
      </c>
      <c r="V4783" t="s">
        <v>32</v>
      </c>
      <c r="W4783" t="s">
        <v>57</v>
      </c>
      <c r="X4783" s="4">
        <v>8.5</v>
      </c>
      <c r="Y4783">
        <v>5</v>
      </c>
      <c r="Z4783" s="5">
        <v>178.83</v>
      </c>
    </row>
    <row r="4784" spans="1:26">
      <c r="A4784">
        <v>4783</v>
      </c>
      <c r="B4784">
        <v>1568</v>
      </c>
      <c r="C4784" s="2">
        <v>46194</v>
      </c>
      <c r="D4784" t="s">
        <v>58</v>
      </c>
      <c r="E4784">
        <v>6</v>
      </c>
      <c r="F4784" s="3">
        <v>8.9600000000000009</v>
      </c>
      <c r="G4784" t="s">
        <v>27</v>
      </c>
      <c r="H4784">
        <v>27</v>
      </c>
      <c r="I4784" t="s">
        <v>34</v>
      </c>
      <c r="J4784" s="4">
        <v>64.8</v>
      </c>
      <c r="K4784" s="4">
        <v>174.1</v>
      </c>
      <c r="L4784" s="4">
        <v>29.3</v>
      </c>
      <c r="M4784">
        <v>14</v>
      </c>
      <c r="N4784" t="s">
        <v>47</v>
      </c>
      <c r="O4784">
        <v>5</v>
      </c>
      <c r="P4784" s="4">
        <v>88.2</v>
      </c>
      <c r="Q4784" t="s">
        <v>42</v>
      </c>
      <c r="R4784">
        <v>0</v>
      </c>
      <c r="S4784" t="s">
        <v>31</v>
      </c>
      <c r="T4784">
        <v>1</v>
      </c>
      <c r="U4784">
        <v>0</v>
      </c>
      <c r="V4784" t="s">
        <v>32</v>
      </c>
      <c r="W4784" t="s">
        <v>39</v>
      </c>
      <c r="X4784" s="4">
        <v>10.199999999999999</v>
      </c>
      <c r="Y4784">
        <v>7</v>
      </c>
      <c r="Z4784" s="5">
        <v>194.05</v>
      </c>
    </row>
    <row r="4785" spans="1:26">
      <c r="A4785">
        <v>4784</v>
      </c>
      <c r="B4785">
        <v>1568</v>
      </c>
      <c r="C4785" s="2">
        <v>46194</v>
      </c>
      <c r="D4785" t="s">
        <v>58</v>
      </c>
      <c r="E4785">
        <v>6</v>
      </c>
      <c r="F4785" s="3">
        <v>8.91</v>
      </c>
      <c r="G4785" t="s">
        <v>27</v>
      </c>
      <c r="H4785">
        <v>12</v>
      </c>
      <c r="I4785" t="s">
        <v>34</v>
      </c>
      <c r="J4785" s="4">
        <v>68.400000000000006</v>
      </c>
      <c r="K4785" s="4">
        <v>104.3</v>
      </c>
      <c r="L4785" s="4">
        <v>15.5</v>
      </c>
      <c r="M4785">
        <v>14</v>
      </c>
      <c r="N4785" t="s">
        <v>47</v>
      </c>
      <c r="O4785">
        <v>5</v>
      </c>
      <c r="P4785" s="4">
        <v>88.2</v>
      </c>
      <c r="Q4785" t="s">
        <v>42</v>
      </c>
      <c r="R4785">
        <v>0</v>
      </c>
      <c r="S4785" t="s">
        <v>31</v>
      </c>
      <c r="T4785">
        <v>1</v>
      </c>
      <c r="U4785">
        <v>0</v>
      </c>
      <c r="V4785" t="s">
        <v>32</v>
      </c>
      <c r="W4785" t="s">
        <v>39</v>
      </c>
      <c r="X4785" s="4">
        <v>6.1</v>
      </c>
      <c r="Y4785">
        <v>12</v>
      </c>
      <c r="Z4785" s="5">
        <v>219.17</v>
      </c>
    </row>
    <row r="4786" spans="1:26">
      <c r="A4786">
        <v>4785</v>
      </c>
      <c r="B4786">
        <v>1568</v>
      </c>
      <c r="C4786" s="2">
        <v>46194</v>
      </c>
      <c r="D4786" t="s">
        <v>58</v>
      </c>
      <c r="E4786">
        <v>6</v>
      </c>
      <c r="F4786" s="3">
        <v>8.92</v>
      </c>
      <c r="G4786" t="s">
        <v>27</v>
      </c>
      <c r="H4786">
        <v>28</v>
      </c>
      <c r="I4786" t="s">
        <v>34</v>
      </c>
      <c r="J4786" s="4">
        <v>61.1</v>
      </c>
      <c r="K4786" s="4">
        <v>125.6</v>
      </c>
      <c r="L4786" s="4">
        <v>23.5</v>
      </c>
      <c r="M4786">
        <v>14</v>
      </c>
      <c r="N4786" t="s">
        <v>47</v>
      </c>
      <c r="O4786">
        <v>5</v>
      </c>
      <c r="P4786" s="4">
        <v>88.2</v>
      </c>
      <c r="Q4786" t="s">
        <v>42</v>
      </c>
      <c r="R4786">
        <v>0</v>
      </c>
      <c r="S4786" t="s">
        <v>31</v>
      </c>
      <c r="T4786">
        <v>1</v>
      </c>
      <c r="U4786">
        <v>0</v>
      </c>
      <c r="V4786" t="s">
        <v>32</v>
      </c>
      <c r="W4786" t="s">
        <v>39</v>
      </c>
      <c r="X4786" s="4">
        <v>8.3000000000000007</v>
      </c>
      <c r="Y4786">
        <v>9</v>
      </c>
      <c r="Z4786" s="5">
        <v>150.19999999999999</v>
      </c>
    </row>
    <row r="4787" spans="1:26">
      <c r="A4787">
        <v>4786</v>
      </c>
      <c r="B4787">
        <v>1568</v>
      </c>
      <c r="C4787" s="2">
        <v>46194</v>
      </c>
      <c r="D4787" t="s">
        <v>58</v>
      </c>
      <c r="E4787">
        <v>6</v>
      </c>
      <c r="F4787" s="3">
        <v>8.9700000000000006</v>
      </c>
      <c r="G4787" t="s">
        <v>27</v>
      </c>
      <c r="H4787">
        <v>63</v>
      </c>
      <c r="I4787" t="s">
        <v>28</v>
      </c>
      <c r="J4787" s="4">
        <v>76.7</v>
      </c>
      <c r="K4787" s="4">
        <v>259.10000000000002</v>
      </c>
      <c r="L4787" s="4">
        <v>30.9</v>
      </c>
      <c r="M4787">
        <v>19</v>
      </c>
      <c r="N4787" t="s">
        <v>47</v>
      </c>
      <c r="O4787">
        <v>5</v>
      </c>
      <c r="P4787" s="4">
        <v>88.2</v>
      </c>
      <c r="Q4787" t="s">
        <v>42</v>
      </c>
      <c r="R4787">
        <v>0</v>
      </c>
      <c r="S4787" t="s">
        <v>31</v>
      </c>
      <c r="T4787">
        <v>1</v>
      </c>
      <c r="U4787">
        <v>0</v>
      </c>
      <c r="V4787" t="s">
        <v>32</v>
      </c>
      <c r="W4787" t="s">
        <v>39</v>
      </c>
      <c r="X4787" s="4">
        <v>9.6</v>
      </c>
      <c r="Y4787">
        <v>10</v>
      </c>
      <c r="Z4787" s="5">
        <v>123.5</v>
      </c>
    </row>
    <row r="4788" spans="1:26">
      <c r="A4788">
        <v>4787</v>
      </c>
      <c r="B4788">
        <v>1568</v>
      </c>
      <c r="C4788" s="2">
        <v>46194</v>
      </c>
      <c r="D4788" t="s">
        <v>58</v>
      </c>
      <c r="E4788">
        <v>6</v>
      </c>
      <c r="F4788" s="3">
        <v>8.99</v>
      </c>
      <c r="G4788" t="s">
        <v>27</v>
      </c>
      <c r="H4788">
        <v>65</v>
      </c>
      <c r="I4788" t="s">
        <v>28</v>
      </c>
      <c r="J4788" s="4">
        <v>74.099999999999994</v>
      </c>
      <c r="K4788" s="4">
        <v>173.9</v>
      </c>
      <c r="L4788" s="4">
        <v>22.3</v>
      </c>
      <c r="M4788">
        <v>15</v>
      </c>
      <c r="N4788" t="s">
        <v>47</v>
      </c>
      <c r="O4788">
        <v>5</v>
      </c>
      <c r="P4788" s="4">
        <v>88.2</v>
      </c>
      <c r="Q4788" t="s">
        <v>42</v>
      </c>
      <c r="R4788">
        <v>0</v>
      </c>
      <c r="S4788" t="s">
        <v>31</v>
      </c>
      <c r="T4788">
        <v>1</v>
      </c>
      <c r="U4788">
        <v>0</v>
      </c>
      <c r="V4788" t="s">
        <v>32</v>
      </c>
      <c r="W4788" t="s">
        <v>39</v>
      </c>
      <c r="X4788" s="4">
        <v>9.6999999999999993</v>
      </c>
      <c r="Y4788">
        <v>13</v>
      </c>
      <c r="Z4788" s="5">
        <v>361.17</v>
      </c>
    </row>
    <row r="4789" spans="1:26">
      <c r="A4789">
        <v>4788</v>
      </c>
      <c r="B4789">
        <v>1569</v>
      </c>
      <c r="C4789" s="2">
        <v>46221</v>
      </c>
      <c r="D4789" t="s">
        <v>40</v>
      </c>
      <c r="E4789">
        <v>7</v>
      </c>
      <c r="F4789" s="3">
        <v>8.18</v>
      </c>
      <c r="G4789" t="s">
        <v>27</v>
      </c>
      <c r="H4789">
        <v>73</v>
      </c>
      <c r="I4789" t="s">
        <v>28</v>
      </c>
      <c r="J4789" s="4">
        <v>67.5</v>
      </c>
      <c r="K4789" s="4">
        <v>149.5</v>
      </c>
      <c r="L4789" s="4">
        <v>23</v>
      </c>
      <c r="M4789">
        <v>16</v>
      </c>
      <c r="N4789" t="s">
        <v>53</v>
      </c>
      <c r="O4789">
        <v>3</v>
      </c>
      <c r="P4789" s="4">
        <v>1260</v>
      </c>
      <c r="Q4789" t="s">
        <v>42</v>
      </c>
      <c r="R4789">
        <v>1</v>
      </c>
      <c r="S4789" t="s">
        <v>31</v>
      </c>
      <c r="T4789">
        <v>0</v>
      </c>
      <c r="U4789">
        <v>0</v>
      </c>
      <c r="V4789" t="s">
        <v>32</v>
      </c>
      <c r="W4789" t="s">
        <v>57</v>
      </c>
      <c r="X4789" s="4">
        <v>10.7</v>
      </c>
      <c r="Y4789">
        <v>11</v>
      </c>
      <c r="Z4789" s="5">
        <v>226.46</v>
      </c>
    </row>
    <row r="4790" spans="1:26">
      <c r="A4790">
        <v>4789</v>
      </c>
      <c r="B4790">
        <v>1569</v>
      </c>
      <c r="C4790" s="2">
        <v>46221</v>
      </c>
      <c r="D4790" t="s">
        <v>40</v>
      </c>
      <c r="E4790">
        <v>7</v>
      </c>
      <c r="F4790" s="3">
        <v>7.9</v>
      </c>
      <c r="G4790" t="s">
        <v>27</v>
      </c>
      <c r="H4790">
        <v>43</v>
      </c>
      <c r="I4790" t="s">
        <v>28</v>
      </c>
      <c r="J4790" s="4">
        <v>68.400000000000006</v>
      </c>
      <c r="K4790" s="4">
        <v>170.6</v>
      </c>
      <c r="L4790" s="4">
        <v>25.5</v>
      </c>
      <c r="M4790">
        <v>16</v>
      </c>
      <c r="N4790" t="s">
        <v>53</v>
      </c>
      <c r="O4790">
        <v>3</v>
      </c>
      <c r="P4790" s="4">
        <v>1260</v>
      </c>
      <c r="Q4790" t="s">
        <v>42</v>
      </c>
      <c r="R4790">
        <v>1</v>
      </c>
      <c r="S4790" t="s">
        <v>31</v>
      </c>
      <c r="T4790">
        <v>0</v>
      </c>
      <c r="U4790">
        <v>0</v>
      </c>
      <c r="V4790" t="s">
        <v>32</v>
      </c>
      <c r="W4790" t="s">
        <v>57</v>
      </c>
      <c r="X4790" s="4">
        <v>11.6</v>
      </c>
      <c r="Y4790">
        <v>9</v>
      </c>
      <c r="Z4790" s="5">
        <v>213.34</v>
      </c>
    </row>
    <row r="4791" spans="1:26">
      <c r="A4791">
        <v>4790</v>
      </c>
      <c r="B4791">
        <v>1569</v>
      </c>
      <c r="C4791" s="2">
        <v>46221</v>
      </c>
      <c r="D4791" t="s">
        <v>40</v>
      </c>
      <c r="E4791">
        <v>7</v>
      </c>
      <c r="F4791" s="3">
        <v>8.1300000000000008</v>
      </c>
      <c r="G4791" t="s">
        <v>27</v>
      </c>
      <c r="H4791">
        <v>61</v>
      </c>
      <c r="I4791" t="s">
        <v>34</v>
      </c>
      <c r="J4791" s="4">
        <v>65.3</v>
      </c>
      <c r="K4791" s="4">
        <v>216</v>
      </c>
      <c r="L4791" s="4">
        <v>35.4</v>
      </c>
      <c r="M4791">
        <v>16</v>
      </c>
      <c r="N4791" t="s">
        <v>53</v>
      </c>
      <c r="O4791">
        <v>3</v>
      </c>
      <c r="P4791" s="4">
        <v>1260</v>
      </c>
      <c r="Q4791" t="s">
        <v>42</v>
      </c>
      <c r="R4791">
        <v>1</v>
      </c>
      <c r="S4791" t="s">
        <v>31</v>
      </c>
      <c r="T4791">
        <v>0</v>
      </c>
      <c r="U4791">
        <v>0</v>
      </c>
      <c r="V4791" t="s">
        <v>32</v>
      </c>
      <c r="W4791" t="s">
        <v>57</v>
      </c>
      <c r="X4791" s="4">
        <v>7.9</v>
      </c>
      <c r="Y4791">
        <v>7</v>
      </c>
      <c r="Z4791" s="5">
        <v>186.4</v>
      </c>
    </row>
    <row r="4792" spans="1:26">
      <c r="A4792">
        <v>4791</v>
      </c>
      <c r="B4792">
        <v>1570</v>
      </c>
      <c r="C4792" s="2">
        <v>46224</v>
      </c>
      <c r="D4792" t="s">
        <v>35</v>
      </c>
      <c r="E4792">
        <v>7</v>
      </c>
      <c r="F4792" s="3">
        <v>7.6</v>
      </c>
      <c r="G4792" t="s">
        <v>27</v>
      </c>
      <c r="H4792">
        <v>35</v>
      </c>
      <c r="I4792" t="s">
        <v>34</v>
      </c>
      <c r="J4792" s="4">
        <v>70.900000000000006</v>
      </c>
      <c r="K4792" s="4">
        <v>209</v>
      </c>
      <c r="L4792" s="4">
        <v>29.2</v>
      </c>
      <c r="M4792">
        <v>12</v>
      </c>
      <c r="N4792" t="s">
        <v>63</v>
      </c>
      <c r="O4792">
        <v>3</v>
      </c>
      <c r="P4792" s="4">
        <v>1425.8</v>
      </c>
      <c r="Q4792" t="s">
        <v>30</v>
      </c>
      <c r="R4792">
        <v>1</v>
      </c>
      <c r="S4792" t="s">
        <v>31</v>
      </c>
      <c r="T4792">
        <v>0</v>
      </c>
      <c r="U4792">
        <v>0</v>
      </c>
      <c r="V4792" t="s">
        <v>32</v>
      </c>
      <c r="W4792" t="s">
        <v>49</v>
      </c>
      <c r="X4792" s="4">
        <v>8.6999999999999993</v>
      </c>
      <c r="Y4792">
        <v>9</v>
      </c>
      <c r="Z4792" s="5">
        <v>194.82</v>
      </c>
    </row>
    <row r="4793" spans="1:26">
      <c r="A4793">
        <v>4792</v>
      </c>
      <c r="B4793">
        <v>1570</v>
      </c>
      <c r="C4793" s="2">
        <v>46224</v>
      </c>
      <c r="D4793" t="s">
        <v>35</v>
      </c>
      <c r="E4793">
        <v>7</v>
      </c>
      <c r="F4793" s="3">
        <v>7.78</v>
      </c>
      <c r="G4793" t="s">
        <v>27</v>
      </c>
      <c r="H4793">
        <v>55</v>
      </c>
      <c r="I4793" t="s">
        <v>34</v>
      </c>
      <c r="J4793" s="4">
        <v>70.400000000000006</v>
      </c>
      <c r="K4793" s="4">
        <v>189.6</v>
      </c>
      <c r="L4793" s="4">
        <v>26.9</v>
      </c>
      <c r="M4793">
        <v>19</v>
      </c>
      <c r="N4793" t="s">
        <v>63</v>
      </c>
      <c r="O4793">
        <v>3</v>
      </c>
      <c r="P4793" s="4">
        <v>1425.8</v>
      </c>
      <c r="Q4793" t="s">
        <v>30</v>
      </c>
      <c r="R4793">
        <v>1</v>
      </c>
      <c r="S4793" t="s">
        <v>31</v>
      </c>
      <c r="T4793">
        <v>0</v>
      </c>
      <c r="U4793">
        <v>0</v>
      </c>
      <c r="V4793" t="s">
        <v>32</v>
      </c>
      <c r="W4793" t="s">
        <v>49</v>
      </c>
      <c r="X4793" s="4">
        <v>11.1</v>
      </c>
      <c r="Y4793">
        <v>15</v>
      </c>
      <c r="Z4793" s="5">
        <v>263.08</v>
      </c>
    </row>
    <row r="4794" spans="1:26">
      <c r="A4794">
        <v>4793</v>
      </c>
      <c r="B4794">
        <v>1570</v>
      </c>
      <c r="C4794" s="2">
        <v>46224</v>
      </c>
      <c r="D4794" t="s">
        <v>35</v>
      </c>
      <c r="E4794">
        <v>7</v>
      </c>
      <c r="F4794" s="3">
        <v>7.84</v>
      </c>
      <c r="G4794" t="s">
        <v>27</v>
      </c>
      <c r="H4794">
        <v>18</v>
      </c>
      <c r="I4794" t="s">
        <v>34</v>
      </c>
      <c r="J4794" s="4">
        <v>67.2</v>
      </c>
      <c r="K4794" s="4">
        <v>119.8</v>
      </c>
      <c r="L4794" s="4">
        <v>18.600000000000001</v>
      </c>
      <c r="M4794">
        <v>15</v>
      </c>
      <c r="N4794" t="s">
        <v>63</v>
      </c>
      <c r="O4794">
        <v>3</v>
      </c>
      <c r="P4794" s="4">
        <v>1425.8</v>
      </c>
      <c r="Q4794" t="s">
        <v>30</v>
      </c>
      <c r="R4794">
        <v>1</v>
      </c>
      <c r="S4794" t="s">
        <v>31</v>
      </c>
      <c r="T4794">
        <v>0</v>
      </c>
      <c r="U4794">
        <v>0</v>
      </c>
      <c r="V4794" t="s">
        <v>32</v>
      </c>
      <c r="W4794" t="s">
        <v>49</v>
      </c>
      <c r="X4794" s="4">
        <v>7.4</v>
      </c>
      <c r="Y4794">
        <v>5</v>
      </c>
      <c r="Z4794" s="5">
        <v>213.5</v>
      </c>
    </row>
    <row r="4795" spans="1:26">
      <c r="A4795">
        <v>4794</v>
      </c>
      <c r="B4795">
        <v>1571</v>
      </c>
      <c r="C4795" s="2">
        <v>46368</v>
      </c>
      <c r="D4795" t="s">
        <v>40</v>
      </c>
      <c r="E4795">
        <v>12</v>
      </c>
      <c r="F4795" s="3">
        <v>11.76</v>
      </c>
      <c r="G4795" t="s">
        <v>36</v>
      </c>
      <c r="H4795">
        <v>38</v>
      </c>
      <c r="I4795" t="s">
        <v>28</v>
      </c>
      <c r="J4795" s="4">
        <v>67.599999999999994</v>
      </c>
      <c r="K4795" s="4">
        <v>182.9</v>
      </c>
      <c r="L4795" s="4">
        <v>28.2</v>
      </c>
      <c r="M4795">
        <v>15</v>
      </c>
      <c r="N4795" t="s">
        <v>60</v>
      </c>
      <c r="O4795">
        <v>1</v>
      </c>
      <c r="P4795" s="4">
        <v>2278.5</v>
      </c>
      <c r="Q4795" t="s">
        <v>42</v>
      </c>
      <c r="R4795">
        <v>0</v>
      </c>
      <c r="S4795" t="s">
        <v>44</v>
      </c>
      <c r="T4795">
        <v>1</v>
      </c>
      <c r="U4795">
        <v>1</v>
      </c>
      <c r="V4795" t="s">
        <v>32</v>
      </c>
      <c r="W4795" t="s">
        <v>33</v>
      </c>
      <c r="X4795" s="4">
        <v>11.7</v>
      </c>
      <c r="Y4795">
        <v>15</v>
      </c>
      <c r="Z4795" s="5">
        <v>240.85</v>
      </c>
    </row>
    <row r="4796" spans="1:26">
      <c r="A4796">
        <v>4795</v>
      </c>
      <c r="B4796">
        <v>1572</v>
      </c>
      <c r="C4796" s="2">
        <v>46296</v>
      </c>
      <c r="D4796" t="s">
        <v>55</v>
      </c>
      <c r="E4796">
        <v>10</v>
      </c>
      <c r="F4796" s="3">
        <v>9.75</v>
      </c>
      <c r="G4796" t="s">
        <v>27</v>
      </c>
      <c r="H4796">
        <v>5</v>
      </c>
      <c r="I4796" t="s">
        <v>28</v>
      </c>
      <c r="J4796" s="4">
        <v>53.1</v>
      </c>
      <c r="K4796" s="4">
        <v>89.5</v>
      </c>
      <c r="L4796" s="4">
        <v>22.4</v>
      </c>
      <c r="M4796">
        <v>17</v>
      </c>
      <c r="N4796" t="s">
        <v>60</v>
      </c>
      <c r="O4796">
        <v>5</v>
      </c>
      <c r="P4796" s="4">
        <v>1841</v>
      </c>
      <c r="Q4796" t="s">
        <v>48</v>
      </c>
      <c r="R4796">
        <v>1</v>
      </c>
      <c r="S4796" t="s">
        <v>31</v>
      </c>
      <c r="T4796">
        <v>0</v>
      </c>
      <c r="U4796">
        <v>0</v>
      </c>
      <c r="V4796" t="s">
        <v>32</v>
      </c>
      <c r="W4796" t="s">
        <v>39</v>
      </c>
      <c r="X4796" s="4">
        <v>7.8</v>
      </c>
      <c r="Y4796">
        <v>6</v>
      </c>
      <c r="Z4796" s="5">
        <v>297.5</v>
      </c>
    </row>
    <row r="4797" spans="1:26">
      <c r="A4797">
        <v>4796</v>
      </c>
      <c r="B4797">
        <v>1572</v>
      </c>
      <c r="C4797" s="2">
        <v>46296</v>
      </c>
      <c r="D4797" t="s">
        <v>55</v>
      </c>
      <c r="E4797">
        <v>10</v>
      </c>
      <c r="F4797" s="3">
        <v>9.73</v>
      </c>
      <c r="G4797" t="s">
        <v>27</v>
      </c>
      <c r="H4797">
        <v>36</v>
      </c>
      <c r="I4797" t="s">
        <v>28</v>
      </c>
      <c r="J4797" s="4">
        <v>69.8</v>
      </c>
      <c r="K4797" s="4">
        <v>140.30000000000001</v>
      </c>
      <c r="L4797" s="4">
        <v>20.2</v>
      </c>
      <c r="M4797">
        <v>16</v>
      </c>
      <c r="N4797" t="s">
        <v>60</v>
      </c>
      <c r="O4797">
        <v>5</v>
      </c>
      <c r="P4797" s="4">
        <v>1841</v>
      </c>
      <c r="Q4797" t="s">
        <v>48</v>
      </c>
      <c r="R4797">
        <v>1</v>
      </c>
      <c r="S4797" t="s">
        <v>31</v>
      </c>
      <c r="T4797">
        <v>0</v>
      </c>
      <c r="U4797">
        <v>0</v>
      </c>
      <c r="V4797" t="s">
        <v>32</v>
      </c>
      <c r="W4797" t="s">
        <v>39</v>
      </c>
      <c r="X4797" s="4">
        <v>8.6</v>
      </c>
      <c r="Y4797">
        <v>9</v>
      </c>
      <c r="Z4797" s="5">
        <v>259.52999999999997</v>
      </c>
    </row>
    <row r="4798" spans="1:26">
      <c r="A4798">
        <v>4797</v>
      </c>
      <c r="B4798">
        <v>1572</v>
      </c>
      <c r="C4798" s="2">
        <v>46296</v>
      </c>
      <c r="D4798" t="s">
        <v>55</v>
      </c>
      <c r="E4798">
        <v>10</v>
      </c>
      <c r="F4798" s="3">
        <v>9.77</v>
      </c>
      <c r="G4798" t="s">
        <v>27</v>
      </c>
      <c r="H4798">
        <v>12</v>
      </c>
      <c r="I4798" t="s">
        <v>28</v>
      </c>
      <c r="J4798" s="4">
        <v>64.5</v>
      </c>
      <c r="K4798" s="4">
        <v>133.5</v>
      </c>
      <c r="L4798" s="4">
        <v>22.4</v>
      </c>
      <c r="M4798">
        <v>13</v>
      </c>
      <c r="N4798" t="s">
        <v>60</v>
      </c>
      <c r="O4798">
        <v>5</v>
      </c>
      <c r="P4798" s="4">
        <v>1841</v>
      </c>
      <c r="Q4798" t="s">
        <v>48</v>
      </c>
      <c r="R4798">
        <v>1</v>
      </c>
      <c r="S4798" t="s">
        <v>31</v>
      </c>
      <c r="T4798">
        <v>0</v>
      </c>
      <c r="U4798">
        <v>0</v>
      </c>
      <c r="V4798" t="s">
        <v>32</v>
      </c>
      <c r="W4798" t="s">
        <v>39</v>
      </c>
      <c r="X4798" s="4">
        <v>7.8</v>
      </c>
      <c r="Y4798">
        <v>8</v>
      </c>
      <c r="Z4798" s="5">
        <v>146.35</v>
      </c>
    </row>
    <row r="4799" spans="1:26">
      <c r="A4799">
        <v>4798</v>
      </c>
      <c r="B4799">
        <v>1572</v>
      </c>
      <c r="C4799" s="2">
        <v>46296</v>
      </c>
      <c r="D4799" t="s">
        <v>55</v>
      </c>
      <c r="E4799">
        <v>10</v>
      </c>
      <c r="F4799" s="3">
        <v>9.59</v>
      </c>
      <c r="G4799" t="s">
        <v>27</v>
      </c>
      <c r="H4799">
        <v>3</v>
      </c>
      <c r="I4799" t="s">
        <v>34</v>
      </c>
      <c r="J4799" s="4">
        <v>51.4</v>
      </c>
      <c r="K4799" s="4">
        <v>78.2</v>
      </c>
      <c r="L4799" s="4">
        <v>20.8</v>
      </c>
      <c r="M4799">
        <v>15</v>
      </c>
      <c r="N4799" t="s">
        <v>60</v>
      </c>
      <c r="O4799">
        <v>5</v>
      </c>
      <c r="P4799" s="4">
        <v>1841</v>
      </c>
      <c r="Q4799" t="s">
        <v>48</v>
      </c>
      <c r="R4799">
        <v>1</v>
      </c>
      <c r="S4799" t="s">
        <v>31</v>
      </c>
      <c r="T4799">
        <v>0</v>
      </c>
      <c r="U4799">
        <v>0</v>
      </c>
      <c r="V4799" t="s">
        <v>32</v>
      </c>
      <c r="W4799" t="s">
        <v>39</v>
      </c>
      <c r="X4799" s="4">
        <v>7.7</v>
      </c>
      <c r="Y4799">
        <v>7</v>
      </c>
      <c r="Z4799" s="5">
        <v>261.29000000000002</v>
      </c>
    </row>
    <row r="4800" spans="1:26">
      <c r="A4800">
        <v>4799</v>
      </c>
      <c r="B4800">
        <v>1572</v>
      </c>
      <c r="C4800" s="2">
        <v>46296</v>
      </c>
      <c r="D4800" t="s">
        <v>55</v>
      </c>
      <c r="E4800">
        <v>10</v>
      </c>
      <c r="F4800" s="3">
        <v>9.82</v>
      </c>
      <c r="G4800" t="s">
        <v>27</v>
      </c>
      <c r="H4800">
        <v>47</v>
      </c>
      <c r="I4800" t="s">
        <v>34</v>
      </c>
      <c r="J4800" s="4">
        <v>64</v>
      </c>
      <c r="K4800" s="4">
        <v>131.80000000000001</v>
      </c>
      <c r="L4800" s="4">
        <v>22.5</v>
      </c>
      <c r="M4800">
        <v>19</v>
      </c>
      <c r="N4800" t="s">
        <v>60</v>
      </c>
      <c r="O4800">
        <v>5</v>
      </c>
      <c r="P4800" s="4">
        <v>1841</v>
      </c>
      <c r="Q4800" t="s">
        <v>48</v>
      </c>
      <c r="R4800">
        <v>1</v>
      </c>
      <c r="S4800" t="s">
        <v>31</v>
      </c>
      <c r="T4800">
        <v>0</v>
      </c>
      <c r="U4800">
        <v>0</v>
      </c>
      <c r="V4800" t="s">
        <v>32</v>
      </c>
      <c r="W4800" t="s">
        <v>39</v>
      </c>
      <c r="X4800" s="4">
        <v>6.3</v>
      </c>
      <c r="Y4800">
        <v>10</v>
      </c>
      <c r="Z4800" s="5">
        <v>255.68</v>
      </c>
    </row>
    <row r="4801" spans="1:26">
      <c r="A4801">
        <v>4800</v>
      </c>
      <c r="B4801">
        <v>1573</v>
      </c>
      <c r="C4801" s="2">
        <v>46373</v>
      </c>
      <c r="D4801" t="s">
        <v>55</v>
      </c>
      <c r="E4801">
        <v>12</v>
      </c>
      <c r="F4801" s="3">
        <v>8.56</v>
      </c>
      <c r="G4801" t="s">
        <v>27</v>
      </c>
      <c r="H4801">
        <v>66</v>
      </c>
      <c r="I4801" t="s">
        <v>34</v>
      </c>
      <c r="J4801" s="4">
        <v>63.5</v>
      </c>
      <c r="K4801" s="4">
        <v>161.80000000000001</v>
      </c>
      <c r="L4801" s="4">
        <v>28.2</v>
      </c>
      <c r="M4801">
        <v>14</v>
      </c>
      <c r="N4801" t="s">
        <v>67</v>
      </c>
      <c r="O4801">
        <v>2</v>
      </c>
      <c r="P4801" s="4">
        <v>2192.4</v>
      </c>
      <c r="Q4801" t="s">
        <v>30</v>
      </c>
      <c r="R4801">
        <v>1</v>
      </c>
      <c r="S4801" t="s">
        <v>38</v>
      </c>
      <c r="T4801">
        <v>0</v>
      </c>
      <c r="U4801">
        <v>0</v>
      </c>
      <c r="V4801" t="s">
        <v>32</v>
      </c>
      <c r="W4801" t="s">
        <v>49</v>
      </c>
      <c r="X4801" s="4">
        <v>9.8000000000000007</v>
      </c>
      <c r="Y4801">
        <v>9</v>
      </c>
      <c r="Z4801" s="5">
        <v>250.71</v>
      </c>
    </row>
    <row r="4802" spans="1:26">
      <c r="A4802">
        <v>4801</v>
      </c>
      <c r="B4802">
        <v>1573</v>
      </c>
      <c r="C4802" s="2">
        <v>46373</v>
      </c>
      <c r="D4802" t="s">
        <v>55</v>
      </c>
      <c r="E4802">
        <v>12</v>
      </c>
      <c r="F4802" s="3">
        <v>8.66</v>
      </c>
      <c r="G4802" t="s">
        <v>27</v>
      </c>
      <c r="H4802">
        <v>6</v>
      </c>
      <c r="I4802" t="s">
        <v>28</v>
      </c>
      <c r="J4802" s="4">
        <v>55.9</v>
      </c>
      <c r="K4802" s="4">
        <v>91.4</v>
      </c>
      <c r="L4802" s="4">
        <v>20.6</v>
      </c>
      <c r="M4802">
        <v>11</v>
      </c>
      <c r="N4802" t="s">
        <v>67</v>
      </c>
      <c r="O4802">
        <v>2</v>
      </c>
      <c r="P4802" s="4">
        <v>2192.4</v>
      </c>
      <c r="Q4802" t="s">
        <v>30</v>
      </c>
      <c r="R4802">
        <v>1</v>
      </c>
      <c r="S4802" t="s">
        <v>38</v>
      </c>
      <c r="T4802">
        <v>0</v>
      </c>
      <c r="U4802">
        <v>0</v>
      </c>
      <c r="V4802" t="s">
        <v>32</v>
      </c>
      <c r="W4802" t="s">
        <v>49</v>
      </c>
      <c r="X4802" s="4">
        <v>10</v>
      </c>
      <c r="Y4802">
        <v>12</v>
      </c>
      <c r="Z4802" s="5">
        <v>278.58999999999997</v>
      </c>
    </row>
    <row r="4803" spans="1:26">
      <c r="A4803">
        <v>4802</v>
      </c>
      <c r="B4803">
        <v>1574</v>
      </c>
      <c r="C4803" s="2">
        <v>46323</v>
      </c>
      <c r="D4803" t="s">
        <v>52</v>
      </c>
      <c r="E4803">
        <v>10</v>
      </c>
      <c r="F4803" s="3">
        <v>9.7899999999999991</v>
      </c>
      <c r="G4803" t="s">
        <v>27</v>
      </c>
      <c r="H4803">
        <v>62</v>
      </c>
      <c r="I4803" t="s">
        <v>34</v>
      </c>
      <c r="J4803" s="4">
        <v>64.099999999999994</v>
      </c>
      <c r="K4803" s="4">
        <v>114.2</v>
      </c>
      <c r="L4803" s="4">
        <v>19.5</v>
      </c>
      <c r="M4803">
        <v>22</v>
      </c>
      <c r="N4803" t="s">
        <v>61</v>
      </c>
      <c r="O4803">
        <v>3</v>
      </c>
      <c r="P4803" s="4">
        <v>1734.5</v>
      </c>
      <c r="Q4803" t="s">
        <v>48</v>
      </c>
      <c r="R4803">
        <v>1</v>
      </c>
      <c r="S4803" t="s">
        <v>38</v>
      </c>
      <c r="T4803">
        <v>1</v>
      </c>
      <c r="U4803">
        <v>1</v>
      </c>
      <c r="V4803" t="s">
        <v>45</v>
      </c>
      <c r="W4803" t="s">
        <v>43</v>
      </c>
      <c r="X4803" s="4">
        <v>9.5</v>
      </c>
      <c r="Y4803">
        <v>18</v>
      </c>
      <c r="Z4803" s="5">
        <v>387.29</v>
      </c>
    </row>
    <row r="4804" spans="1:26">
      <c r="A4804">
        <v>4803</v>
      </c>
      <c r="B4804">
        <v>1574</v>
      </c>
      <c r="C4804" s="2">
        <v>46323</v>
      </c>
      <c r="D4804" t="s">
        <v>52</v>
      </c>
      <c r="E4804">
        <v>10</v>
      </c>
      <c r="F4804" s="3">
        <v>9.73</v>
      </c>
      <c r="G4804" t="s">
        <v>27</v>
      </c>
      <c r="H4804">
        <v>42</v>
      </c>
      <c r="I4804" t="s">
        <v>34</v>
      </c>
      <c r="J4804" s="4">
        <v>66.099999999999994</v>
      </c>
      <c r="K4804" s="4">
        <v>97.9</v>
      </c>
      <c r="L4804" s="4">
        <v>15.7</v>
      </c>
      <c r="M4804">
        <v>17</v>
      </c>
      <c r="N4804" t="s">
        <v>61</v>
      </c>
      <c r="O4804">
        <v>3</v>
      </c>
      <c r="P4804" s="4">
        <v>1734.5</v>
      </c>
      <c r="Q4804" t="s">
        <v>48</v>
      </c>
      <c r="R4804">
        <v>1</v>
      </c>
      <c r="S4804" t="s">
        <v>38</v>
      </c>
      <c r="T4804">
        <v>1</v>
      </c>
      <c r="U4804">
        <v>1</v>
      </c>
      <c r="V4804" t="s">
        <v>45</v>
      </c>
      <c r="W4804" t="s">
        <v>43</v>
      </c>
      <c r="X4804" s="4">
        <v>11</v>
      </c>
      <c r="Y4804">
        <v>13</v>
      </c>
      <c r="Z4804" s="5">
        <v>460.9</v>
      </c>
    </row>
    <row r="4805" spans="1:26">
      <c r="A4805">
        <v>4804</v>
      </c>
      <c r="B4805">
        <v>1574</v>
      </c>
      <c r="C4805" s="2">
        <v>46323</v>
      </c>
      <c r="D4805" t="s">
        <v>52</v>
      </c>
      <c r="E4805">
        <v>10</v>
      </c>
      <c r="F4805" s="3">
        <v>9.76</v>
      </c>
      <c r="G4805" t="s">
        <v>27</v>
      </c>
      <c r="H4805">
        <v>24</v>
      </c>
      <c r="I4805" t="s">
        <v>28</v>
      </c>
      <c r="J4805" s="4">
        <v>77.3</v>
      </c>
      <c r="K4805" s="4">
        <v>230.2</v>
      </c>
      <c r="L4805" s="4">
        <v>27.2</v>
      </c>
      <c r="M4805">
        <v>14</v>
      </c>
      <c r="N4805" t="s">
        <v>61</v>
      </c>
      <c r="O4805">
        <v>3</v>
      </c>
      <c r="P4805" s="4">
        <v>1734.5</v>
      </c>
      <c r="Q4805" t="s">
        <v>48</v>
      </c>
      <c r="R4805">
        <v>1</v>
      </c>
      <c r="S4805" t="s">
        <v>38</v>
      </c>
      <c r="T4805">
        <v>1</v>
      </c>
      <c r="U4805">
        <v>1</v>
      </c>
      <c r="V4805" t="s">
        <v>45</v>
      </c>
      <c r="W4805" t="s">
        <v>43</v>
      </c>
      <c r="X4805" s="4">
        <v>8.1999999999999993</v>
      </c>
      <c r="Y4805">
        <v>8</v>
      </c>
      <c r="Z4805" s="5">
        <v>413.27</v>
      </c>
    </row>
    <row r="4806" spans="1:26">
      <c r="A4806">
        <v>4805</v>
      </c>
      <c r="B4806">
        <v>1575</v>
      </c>
      <c r="C4806" s="2">
        <v>46044</v>
      </c>
      <c r="D4806" t="s">
        <v>55</v>
      </c>
      <c r="E4806">
        <v>1</v>
      </c>
      <c r="F4806" s="3">
        <v>12.65</v>
      </c>
      <c r="G4806" t="s">
        <v>36</v>
      </c>
      <c r="H4806">
        <v>9</v>
      </c>
      <c r="I4806" t="s">
        <v>34</v>
      </c>
      <c r="J4806" s="4">
        <v>65.5</v>
      </c>
      <c r="K4806" s="4">
        <v>123.3</v>
      </c>
      <c r="L4806" s="4">
        <v>20.2</v>
      </c>
      <c r="M4806">
        <v>13</v>
      </c>
      <c r="N4806" t="s">
        <v>60</v>
      </c>
      <c r="O4806">
        <v>4</v>
      </c>
      <c r="P4806" s="4">
        <v>1848.9</v>
      </c>
      <c r="Q4806" t="s">
        <v>42</v>
      </c>
      <c r="R4806">
        <v>0</v>
      </c>
      <c r="S4806" t="s">
        <v>31</v>
      </c>
      <c r="T4806">
        <v>0</v>
      </c>
      <c r="U4806">
        <v>0</v>
      </c>
      <c r="V4806" t="s">
        <v>32</v>
      </c>
      <c r="W4806" t="s">
        <v>49</v>
      </c>
      <c r="X4806" s="4">
        <v>7.3</v>
      </c>
      <c r="Y4806">
        <v>10</v>
      </c>
      <c r="Z4806" s="5">
        <v>202.76</v>
      </c>
    </row>
    <row r="4807" spans="1:26">
      <c r="A4807">
        <v>4806</v>
      </c>
      <c r="B4807">
        <v>1575</v>
      </c>
      <c r="C4807" s="2">
        <v>46044</v>
      </c>
      <c r="D4807" t="s">
        <v>55</v>
      </c>
      <c r="E4807">
        <v>1</v>
      </c>
      <c r="F4807" s="3">
        <v>12.91</v>
      </c>
      <c r="G4807" t="s">
        <v>36</v>
      </c>
      <c r="H4807">
        <v>18</v>
      </c>
      <c r="I4807" t="s">
        <v>28</v>
      </c>
      <c r="J4807" s="4">
        <v>71.5</v>
      </c>
      <c r="K4807" s="4">
        <v>179.2</v>
      </c>
      <c r="L4807" s="4">
        <v>24.7</v>
      </c>
      <c r="M4807">
        <v>12</v>
      </c>
      <c r="N4807" t="s">
        <v>60</v>
      </c>
      <c r="O4807">
        <v>4</v>
      </c>
      <c r="P4807" s="4">
        <v>1848.9</v>
      </c>
      <c r="Q4807" t="s">
        <v>42</v>
      </c>
      <c r="R4807">
        <v>0</v>
      </c>
      <c r="S4807" t="s">
        <v>31</v>
      </c>
      <c r="T4807">
        <v>0</v>
      </c>
      <c r="U4807">
        <v>0</v>
      </c>
      <c r="V4807" t="s">
        <v>32</v>
      </c>
      <c r="W4807" t="s">
        <v>49</v>
      </c>
      <c r="X4807" s="4">
        <v>6.3</v>
      </c>
      <c r="Y4807">
        <v>12</v>
      </c>
      <c r="Z4807" s="5">
        <v>150.75</v>
      </c>
    </row>
    <row r="4808" spans="1:26">
      <c r="A4808">
        <v>4807</v>
      </c>
      <c r="B4808">
        <v>1575</v>
      </c>
      <c r="C4808" s="2">
        <v>46044</v>
      </c>
      <c r="D4808" t="s">
        <v>55</v>
      </c>
      <c r="E4808">
        <v>1</v>
      </c>
      <c r="F4808" s="3">
        <v>12.74</v>
      </c>
      <c r="G4808" t="s">
        <v>36</v>
      </c>
      <c r="H4808">
        <v>42</v>
      </c>
      <c r="I4808" t="s">
        <v>28</v>
      </c>
      <c r="J4808" s="4">
        <v>70.400000000000006</v>
      </c>
      <c r="K4808" s="4">
        <v>165.3</v>
      </c>
      <c r="L4808" s="4">
        <v>23.5</v>
      </c>
      <c r="M4808">
        <v>13</v>
      </c>
      <c r="N4808" t="s">
        <v>60</v>
      </c>
      <c r="O4808">
        <v>4</v>
      </c>
      <c r="P4808" s="4">
        <v>1848.9</v>
      </c>
      <c r="Q4808" t="s">
        <v>42</v>
      </c>
      <c r="R4808">
        <v>0</v>
      </c>
      <c r="S4808" t="s">
        <v>31</v>
      </c>
      <c r="T4808">
        <v>0</v>
      </c>
      <c r="U4808">
        <v>0</v>
      </c>
      <c r="V4808" t="s">
        <v>32</v>
      </c>
      <c r="W4808" t="s">
        <v>49</v>
      </c>
      <c r="X4808" s="4">
        <v>8.1999999999999993</v>
      </c>
      <c r="Y4808">
        <v>11</v>
      </c>
      <c r="Z4808" s="5">
        <v>293.54000000000002</v>
      </c>
    </row>
    <row r="4809" spans="1:26">
      <c r="A4809">
        <v>4808</v>
      </c>
      <c r="B4809">
        <v>1575</v>
      </c>
      <c r="C4809" s="2">
        <v>46044</v>
      </c>
      <c r="D4809" t="s">
        <v>55</v>
      </c>
      <c r="E4809">
        <v>1</v>
      </c>
      <c r="F4809" s="3">
        <v>12.65</v>
      </c>
      <c r="G4809" t="s">
        <v>36</v>
      </c>
      <c r="H4809">
        <v>27</v>
      </c>
      <c r="I4809" t="s">
        <v>28</v>
      </c>
      <c r="J4809" s="4">
        <v>67.599999999999994</v>
      </c>
      <c r="K4809" s="4">
        <v>155.9</v>
      </c>
      <c r="L4809" s="4">
        <v>23.8</v>
      </c>
      <c r="M4809">
        <v>12</v>
      </c>
      <c r="N4809" t="s">
        <v>60</v>
      </c>
      <c r="O4809">
        <v>4</v>
      </c>
      <c r="P4809" s="4">
        <v>1848.9</v>
      </c>
      <c r="Q4809" t="s">
        <v>42</v>
      </c>
      <c r="R4809">
        <v>0</v>
      </c>
      <c r="S4809" t="s">
        <v>31</v>
      </c>
      <c r="T4809">
        <v>0</v>
      </c>
      <c r="U4809">
        <v>0</v>
      </c>
      <c r="V4809" t="s">
        <v>32</v>
      </c>
      <c r="W4809" t="s">
        <v>49</v>
      </c>
      <c r="X4809" s="4">
        <v>6</v>
      </c>
      <c r="Y4809">
        <v>1</v>
      </c>
      <c r="Z4809" s="5">
        <v>168.09</v>
      </c>
    </row>
    <row r="4810" spans="1:26">
      <c r="A4810">
        <v>4809</v>
      </c>
      <c r="B4810">
        <v>1576</v>
      </c>
      <c r="C4810" s="2">
        <v>46310</v>
      </c>
      <c r="D4810" t="s">
        <v>55</v>
      </c>
      <c r="E4810">
        <v>10</v>
      </c>
      <c r="F4810" s="3">
        <v>9.24</v>
      </c>
      <c r="G4810" t="s">
        <v>27</v>
      </c>
      <c r="H4810">
        <v>20</v>
      </c>
      <c r="I4810" t="s">
        <v>28</v>
      </c>
      <c r="J4810" s="4">
        <v>74</v>
      </c>
      <c r="K4810" s="4">
        <v>222.8</v>
      </c>
      <c r="L4810" s="4">
        <v>28.6</v>
      </c>
      <c r="M4810">
        <v>19</v>
      </c>
      <c r="N4810" t="s">
        <v>47</v>
      </c>
      <c r="O4810">
        <v>5</v>
      </c>
      <c r="P4810" s="4">
        <v>16.899999999999999</v>
      </c>
      <c r="Q4810" t="s">
        <v>48</v>
      </c>
      <c r="R4810">
        <v>0</v>
      </c>
      <c r="S4810" t="s">
        <v>44</v>
      </c>
      <c r="T4810">
        <v>1</v>
      </c>
      <c r="U4810">
        <v>0</v>
      </c>
      <c r="V4810" t="s">
        <v>32</v>
      </c>
      <c r="W4810" t="s">
        <v>49</v>
      </c>
      <c r="X4810" s="4">
        <v>6.2</v>
      </c>
      <c r="Y4810">
        <v>6</v>
      </c>
      <c r="Z4810" s="5">
        <v>181.78</v>
      </c>
    </row>
    <row r="4811" spans="1:26">
      <c r="A4811">
        <v>4810</v>
      </c>
      <c r="B4811">
        <v>1576</v>
      </c>
      <c r="C4811" s="2">
        <v>46310</v>
      </c>
      <c r="D4811" t="s">
        <v>55</v>
      </c>
      <c r="E4811">
        <v>10</v>
      </c>
      <c r="F4811" s="3">
        <v>9.1199999999999992</v>
      </c>
      <c r="G4811" t="s">
        <v>27</v>
      </c>
      <c r="H4811">
        <v>64</v>
      </c>
      <c r="I4811" t="s">
        <v>34</v>
      </c>
      <c r="J4811" s="4">
        <v>61</v>
      </c>
      <c r="K4811" s="4">
        <v>115.9</v>
      </c>
      <c r="L4811" s="4">
        <v>21.9</v>
      </c>
      <c r="M4811">
        <v>18</v>
      </c>
      <c r="N4811" t="s">
        <v>47</v>
      </c>
      <c r="O4811">
        <v>5</v>
      </c>
      <c r="P4811" s="4">
        <v>16.899999999999999</v>
      </c>
      <c r="Q4811" t="s">
        <v>48</v>
      </c>
      <c r="R4811">
        <v>0</v>
      </c>
      <c r="S4811" t="s">
        <v>44</v>
      </c>
      <c r="T4811">
        <v>1</v>
      </c>
      <c r="U4811">
        <v>0</v>
      </c>
      <c r="V4811" t="s">
        <v>32</v>
      </c>
      <c r="W4811" t="s">
        <v>49</v>
      </c>
      <c r="X4811" s="4">
        <v>7.6</v>
      </c>
      <c r="Y4811">
        <v>5</v>
      </c>
      <c r="Z4811" s="5">
        <v>284.27999999999997</v>
      </c>
    </row>
    <row r="4812" spans="1:26">
      <c r="A4812">
        <v>4811</v>
      </c>
      <c r="B4812">
        <v>1576</v>
      </c>
      <c r="C4812" s="2">
        <v>46310</v>
      </c>
      <c r="D4812" t="s">
        <v>55</v>
      </c>
      <c r="E4812">
        <v>10</v>
      </c>
      <c r="F4812" s="3">
        <v>8.9600000000000009</v>
      </c>
      <c r="G4812" t="s">
        <v>27</v>
      </c>
      <c r="H4812">
        <v>61</v>
      </c>
      <c r="I4812" t="s">
        <v>28</v>
      </c>
      <c r="J4812" s="4">
        <v>69.2</v>
      </c>
      <c r="K4812" s="4">
        <v>183</v>
      </c>
      <c r="L4812" s="4">
        <v>27</v>
      </c>
      <c r="M4812">
        <v>18</v>
      </c>
      <c r="N4812" t="s">
        <v>47</v>
      </c>
      <c r="O4812">
        <v>5</v>
      </c>
      <c r="P4812" s="4">
        <v>16.899999999999999</v>
      </c>
      <c r="Q4812" t="s">
        <v>48</v>
      </c>
      <c r="R4812">
        <v>0</v>
      </c>
      <c r="S4812" t="s">
        <v>44</v>
      </c>
      <c r="T4812">
        <v>1</v>
      </c>
      <c r="U4812">
        <v>0</v>
      </c>
      <c r="V4812" t="s">
        <v>32</v>
      </c>
      <c r="W4812" t="s">
        <v>49</v>
      </c>
      <c r="X4812" s="4">
        <v>8.5</v>
      </c>
      <c r="Y4812">
        <v>14</v>
      </c>
      <c r="Z4812" s="5">
        <v>191.08</v>
      </c>
    </row>
    <row r="4813" spans="1:26">
      <c r="A4813">
        <v>4812</v>
      </c>
      <c r="B4813">
        <v>1576</v>
      </c>
      <c r="C4813" s="2">
        <v>46310</v>
      </c>
      <c r="D4813" t="s">
        <v>55</v>
      </c>
      <c r="E4813">
        <v>10</v>
      </c>
      <c r="F4813" s="3">
        <v>9.4499999999999993</v>
      </c>
      <c r="G4813" t="s">
        <v>27</v>
      </c>
      <c r="H4813">
        <v>27</v>
      </c>
      <c r="I4813" t="s">
        <v>34</v>
      </c>
      <c r="J4813" s="4">
        <v>60</v>
      </c>
      <c r="K4813" s="4">
        <v>101.9</v>
      </c>
      <c r="L4813" s="4">
        <v>20.100000000000001</v>
      </c>
      <c r="M4813">
        <v>17</v>
      </c>
      <c r="N4813" t="s">
        <v>47</v>
      </c>
      <c r="O4813">
        <v>5</v>
      </c>
      <c r="P4813" s="4">
        <v>16.899999999999999</v>
      </c>
      <c r="Q4813" t="s">
        <v>48</v>
      </c>
      <c r="R4813">
        <v>0</v>
      </c>
      <c r="S4813" t="s">
        <v>44</v>
      </c>
      <c r="T4813">
        <v>1</v>
      </c>
      <c r="U4813">
        <v>0</v>
      </c>
      <c r="V4813" t="s">
        <v>32</v>
      </c>
      <c r="W4813" t="s">
        <v>49</v>
      </c>
      <c r="X4813" s="4">
        <v>8.3000000000000007</v>
      </c>
      <c r="Y4813">
        <v>8</v>
      </c>
      <c r="Z4813" s="5">
        <v>278.37</v>
      </c>
    </row>
    <row r="4814" spans="1:26">
      <c r="A4814">
        <v>4813</v>
      </c>
      <c r="B4814">
        <v>1576</v>
      </c>
      <c r="C4814" s="2">
        <v>46310</v>
      </c>
      <c r="D4814" t="s">
        <v>55</v>
      </c>
      <c r="E4814">
        <v>10</v>
      </c>
      <c r="F4814" s="3">
        <v>9.31</v>
      </c>
      <c r="G4814" t="s">
        <v>27</v>
      </c>
      <c r="H4814">
        <v>22</v>
      </c>
      <c r="I4814" t="s">
        <v>28</v>
      </c>
      <c r="J4814" s="4">
        <v>72.2</v>
      </c>
      <c r="K4814" s="4">
        <v>210.8</v>
      </c>
      <c r="L4814" s="4">
        <v>28.7</v>
      </c>
      <c r="M4814">
        <v>16</v>
      </c>
      <c r="N4814" t="s">
        <v>47</v>
      </c>
      <c r="O4814">
        <v>5</v>
      </c>
      <c r="P4814" s="4">
        <v>16.899999999999999</v>
      </c>
      <c r="Q4814" t="s">
        <v>48</v>
      </c>
      <c r="R4814">
        <v>0</v>
      </c>
      <c r="S4814" t="s">
        <v>44</v>
      </c>
      <c r="T4814">
        <v>1</v>
      </c>
      <c r="U4814">
        <v>0</v>
      </c>
      <c r="V4814" t="s">
        <v>32</v>
      </c>
      <c r="W4814" t="s">
        <v>49</v>
      </c>
      <c r="X4814" s="4">
        <v>7.8</v>
      </c>
      <c r="Y4814">
        <v>10</v>
      </c>
      <c r="Z4814" s="5">
        <v>288.45</v>
      </c>
    </row>
    <row r="4815" spans="1:26">
      <c r="A4815">
        <v>4814</v>
      </c>
      <c r="B4815">
        <v>1577</v>
      </c>
      <c r="C4815" s="2">
        <v>46312</v>
      </c>
      <c r="D4815" t="s">
        <v>40</v>
      </c>
      <c r="E4815">
        <v>10</v>
      </c>
      <c r="F4815" s="3">
        <v>10.32</v>
      </c>
      <c r="G4815" t="s">
        <v>27</v>
      </c>
      <c r="H4815">
        <v>47</v>
      </c>
      <c r="I4815" t="s">
        <v>28</v>
      </c>
      <c r="J4815" s="4">
        <v>70</v>
      </c>
      <c r="K4815" s="4">
        <v>183.8</v>
      </c>
      <c r="L4815" s="4">
        <v>26.4</v>
      </c>
      <c r="M4815">
        <v>18</v>
      </c>
      <c r="N4815" t="s">
        <v>53</v>
      </c>
      <c r="O4815">
        <v>2</v>
      </c>
      <c r="P4815" s="4">
        <v>839.6</v>
      </c>
      <c r="Q4815" t="s">
        <v>42</v>
      </c>
      <c r="R4815">
        <v>1</v>
      </c>
      <c r="S4815" t="s">
        <v>38</v>
      </c>
      <c r="T4815">
        <v>1</v>
      </c>
      <c r="U4815">
        <v>0</v>
      </c>
      <c r="V4815" t="s">
        <v>32</v>
      </c>
      <c r="W4815" t="s">
        <v>39</v>
      </c>
      <c r="X4815" s="4">
        <v>7.9</v>
      </c>
      <c r="Y4815">
        <v>11</v>
      </c>
      <c r="Z4815" s="5">
        <v>201.71</v>
      </c>
    </row>
    <row r="4816" spans="1:26">
      <c r="A4816">
        <v>4815</v>
      </c>
      <c r="B4816">
        <v>1577</v>
      </c>
      <c r="C4816" s="2">
        <v>46312</v>
      </c>
      <c r="D4816" t="s">
        <v>40</v>
      </c>
      <c r="E4816">
        <v>10</v>
      </c>
      <c r="F4816" s="3">
        <v>10.32</v>
      </c>
      <c r="G4816" t="s">
        <v>27</v>
      </c>
      <c r="H4816">
        <v>32</v>
      </c>
      <c r="I4816" t="s">
        <v>34</v>
      </c>
      <c r="J4816" s="4">
        <v>59.9</v>
      </c>
      <c r="K4816" s="4">
        <v>131.4</v>
      </c>
      <c r="L4816" s="4">
        <v>25.5</v>
      </c>
      <c r="M4816">
        <v>15</v>
      </c>
      <c r="N4816" t="s">
        <v>53</v>
      </c>
      <c r="O4816">
        <v>2</v>
      </c>
      <c r="P4816" s="4">
        <v>839.6</v>
      </c>
      <c r="Q4816" t="s">
        <v>42</v>
      </c>
      <c r="R4816">
        <v>1</v>
      </c>
      <c r="S4816" t="s">
        <v>38</v>
      </c>
      <c r="T4816">
        <v>1</v>
      </c>
      <c r="U4816">
        <v>0</v>
      </c>
      <c r="V4816" t="s">
        <v>32</v>
      </c>
      <c r="W4816" t="s">
        <v>39</v>
      </c>
      <c r="X4816" s="4">
        <v>9.1</v>
      </c>
      <c r="Y4816">
        <v>8</v>
      </c>
      <c r="Z4816" s="5">
        <v>249.13</v>
      </c>
    </row>
    <row r="4817" spans="1:26">
      <c r="A4817">
        <v>4816</v>
      </c>
      <c r="B4817">
        <v>1578</v>
      </c>
      <c r="C4817" s="2">
        <v>46182</v>
      </c>
      <c r="D4817" t="s">
        <v>35</v>
      </c>
      <c r="E4817">
        <v>6</v>
      </c>
      <c r="F4817" s="3">
        <v>9.94</v>
      </c>
      <c r="G4817" t="s">
        <v>27</v>
      </c>
      <c r="H4817">
        <v>40</v>
      </c>
      <c r="I4817" t="s">
        <v>28</v>
      </c>
      <c r="J4817" s="4">
        <v>73.7</v>
      </c>
      <c r="K4817" s="4">
        <v>203.1</v>
      </c>
      <c r="L4817" s="4">
        <v>26.2</v>
      </c>
      <c r="M4817">
        <v>13</v>
      </c>
      <c r="N4817" t="s">
        <v>47</v>
      </c>
      <c r="O4817">
        <v>4</v>
      </c>
      <c r="P4817" s="4">
        <v>11.7</v>
      </c>
      <c r="Q4817" t="s">
        <v>30</v>
      </c>
      <c r="R4817">
        <v>1</v>
      </c>
      <c r="S4817" t="s">
        <v>31</v>
      </c>
      <c r="T4817">
        <v>1</v>
      </c>
      <c r="U4817">
        <v>0</v>
      </c>
      <c r="V4817" t="s">
        <v>32</v>
      </c>
      <c r="W4817" t="s">
        <v>39</v>
      </c>
      <c r="X4817" s="4">
        <v>9.6</v>
      </c>
      <c r="Y4817">
        <v>1</v>
      </c>
      <c r="Z4817" s="5">
        <v>184.39</v>
      </c>
    </row>
    <row r="4818" spans="1:26">
      <c r="A4818">
        <v>4817</v>
      </c>
      <c r="B4818">
        <v>1578</v>
      </c>
      <c r="C4818" s="2">
        <v>46182</v>
      </c>
      <c r="D4818" t="s">
        <v>35</v>
      </c>
      <c r="E4818">
        <v>6</v>
      </c>
      <c r="F4818" s="3">
        <v>10.050000000000001</v>
      </c>
      <c r="G4818" t="s">
        <v>27</v>
      </c>
      <c r="H4818">
        <v>63</v>
      </c>
      <c r="I4818" t="s">
        <v>34</v>
      </c>
      <c r="J4818" s="4">
        <v>68.2</v>
      </c>
      <c r="K4818" s="4">
        <v>131.6</v>
      </c>
      <c r="L4818" s="4">
        <v>19.899999999999999</v>
      </c>
      <c r="M4818">
        <v>16</v>
      </c>
      <c r="N4818" t="s">
        <v>47</v>
      </c>
      <c r="O4818">
        <v>4</v>
      </c>
      <c r="P4818" s="4">
        <v>11.7</v>
      </c>
      <c r="Q4818" t="s">
        <v>30</v>
      </c>
      <c r="R4818">
        <v>1</v>
      </c>
      <c r="S4818" t="s">
        <v>31</v>
      </c>
      <c r="T4818">
        <v>1</v>
      </c>
      <c r="U4818">
        <v>0</v>
      </c>
      <c r="V4818" t="s">
        <v>32</v>
      </c>
      <c r="W4818" t="s">
        <v>39</v>
      </c>
      <c r="X4818" s="4">
        <v>6.8</v>
      </c>
      <c r="Y4818">
        <v>13</v>
      </c>
      <c r="Z4818" s="5">
        <v>232.87</v>
      </c>
    </row>
    <row r="4819" spans="1:26">
      <c r="A4819">
        <v>4818</v>
      </c>
      <c r="B4819">
        <v>1578</v>
      </c>
      <c r="C4819" s="2">
        <v>46182</v>
      </c>
      <c r="D4819" t="s">
        <v>35</v>
      </c>
      <c r="E4819">
        <v>6</v>
      </c>
      <c r="F4819" s="3">
        <v>9.84</v>
      </c>
      <c r="G4819" t="s">
        <v>27</v>
      </c>
      <c r="H4819">
        <v>26</v>
      </c>
      <c r="I4819" t="s">
        <v>28</v>
      </c>
      <c r="J4819" s="4">
        <v>67.900000000000006</v>
      </c>
      <c r="K4819" s="4">
        <v>130.80000000000001</v>
      </c>
      <c r="L4819" s="4">
        <v>19.899999999999999</v>
      </c>
      <c r="M4819">
        <v>11</v>
      </c>
      <c r="N4819" t="s">
        <v>47</v>
      </c>
      <c r="O4819">
        <v>4</v>
      </c>
      <c r="P4819" s="4">
        <v>11.7</v>
      </c>
      <c r="Q4819" t="s">
        <v>30</v>
      </c>
      <c r="R4819">
        <v>1</v>
      </c>
      <c r="S4819" t="s">
        <v>31</v>
      </c>
      <c r="T4819">
        <v>1</v>
      </c>
      <c r="U4819">
        <v>0</v>
      </c>
      <c r="V4819" t="s">
        <v>32</v>
      </c>
      <c r="W4819" t="s">
        <v>39</v>
      </c>
      <c r="X4819" s="4">
        <v>7.8</v>
      </c>
      <c r="Y4819">
        <v>3</v>
      </c>
      <c r="Z4819" s="5">
        <v>129.85</v>
      </c>
    </row>
    <row r="4820" spans="1:26">
      <c r="A4820">
        <v>4819</v>
      </c>
      <c r="B4820">
        <v>1578</v>
      </c>
      <c r="C4820" s="2">
        <v>46182</v>
      </c>
      <c r="D4820" t="s">
        <v>35</v>
      </c>
      <c r="E4820">
        <v>6</v>
      </c>
      <c r="F4820" s="3">
        <v>10.17</v>
      </c>
      <c r="G4820" t="s">
        <v>27</v>
      </c>
      <c r="H4820">
        <v>73</v>
      </c>
      <c r="I4820" t="s">
        <v>34</v>
      </c>
      <c r="J4820" s="4">
        <v>64.900000000000006</v>
      </c>
      <c r="K4820" s="4">
        <v>168.8</v>
      </c>
      <c r="L4820" s="4">
        <v>28.4</v>
      </c>
      <c r="M4820">
        <v>15</v>
      </c>
      <c r="N4820" t="s">
        <v>47</v>
      </c>
      <c r="O4820">
        <v>4</v>
      </c>
      <c r="P4820" s="4">
        <v>11.7</v>
      </c>
      <c r="Q4820" t="s">
        <v>30</v>
      </c>
      <c r="R4820">
        <v>1</v>
      </c>
      <c r="S4820" t="s">
        <v>31</v>
      </c>
      <c r="T4820">
        <v>1</v>
      </c>
      <c r="U4820">
        <v>0</v>
      </c>
      <c r="V4820" t="s">
        <v>32</v>
      </c>
      <c r="W4820" t="s">
        <v>39</v>
      </c>
      <c r="X4820" s="4">
        <v>9.9</v>
      </c>
      <c r="Y4820">
        <v>9</v>
      </c>
      <c r="Z4820" s="5">
        <v>253.07</v>
      </c>
    </row>
    <row r="4821" spans="1:26">
      <c r="A4821">
        <v>4820</v>
      </c>
      <c r="B4821">
        <v>1579</v>
      </c>
      <c r="C4821" s="2">
        <v>46106</v>
      </c>
      <c r="D4821" t="s">
        <v>52</v>
      </c>
      <c r="E4821">
        <v>3</v>
      </c>
      <c r="F4821" s="3">
        <v>8.07</v>
      </c>
      <c r="G4821" t="s">
        <v>27</v>
      </c>
      <c r="H4821">
        <v>5</v>
      </c>
      <c r="I4821" t="s">
        <v>34</v>
      </c>
      <c r="J4821" s="4">
        <v>59.1</v>
      </c>
      <c r="K4821" s="4">
        <v>84.1</v>
      </c>
      <c r="L4821" s="4">
        <v>16.8</v>
      </c>
      <c r="M4821">
        <v>12</v>
      </c>
      <c r="N4821" t="s">
        <v>54</v>
      </c>
      <c r="O4821">
        <v>1</v>
      </c>
      <c r="P4821" s="4">
        <v>1969.9</v>
      </c>
      <c r="Q4821" t="s">
        <v>48</v>
      </c>
      <c r="R4821">
        <v>1</v>
      </c>
      <c r="S4821" t="s">
        <v>31</v>
      </c>
      <c r="T4821">
        <v>1</v>
      </c>
      <c r="U4821">
        <v>1</v>
      </c>
      <c r="V4821" t="s">
        <v>45</v>
      </c>
      <c r="W4821" t="s">
        <v>49</v>
      </c>
      <c r="X4821" s="4">
        <v>11.4</v>
      </c>
      <c r="Y4821">
        <v>11</v>
      </c>
      <c r="Z4821" s="5">
        <v>609.23</v>
      </c>
    </row>
    <row r="4822" spans="1:26">
      <c r="A4822">
        <v>4821</v>
      </c>
      <c r="B4822">
        <v>1580</v>
      </c>
      <c r="C4822" s="2">
        <v>46031</v>
      </c>
      <c r="D4822" t="s">
        <v>26</v>
      </c>
      <c r="E4822">
        <v>1</v>
      </c>
      <c r="F4822" s="3">
        <v>11.69</v>
      </c>
      <c r="G4822" t="s">
        <v>36</v>
      </c>
      <c r="H4822">
        <v>66</v>
      </c>
      <c r="I4822" t="s">
        <v>34</v>
      </c>
      <c r="J4822" s="4">
        <v>65.599999999999994</v>
      </c>
      <c r="K4822" s="4">
        <v>109.2</v>
      </c>
      <c r="L4822" s="4">
        <v>17.899999999999999</v>
      </c>
      <c r="M4822">
        <v>10</v>
      </c>
      <c r="N4822" t="s">
        <v>50</v>
      </c>
      <c r="O4822">
        <v>1</v>
      </c>
      <c r="P4822" s="4">
        <v>514.9</v>
      </c>
      <c r="Q4822" t="s">
        <v>30</v>
      </c>
      <c r="R4822">
        <v>1</v>
      </c>
      <c r="S4822" t="s">
        <v>44</v>
      </c>
      <c r="T4822">
        <v>0</v>
      </c>
      <c r="U4822">
        <v>0</v>
      </c>
      <c r="V4822" t="s">
        <v>45</v>
      </c>
      <c r="W4822" t="s">
        <v>43</v>
      </c>
      <c r="X4822" s="4">
        <v>9.1</v>
      </c>
      <c r="Y4822">
        <v>12</v>
      </c>
      <c r="Z4822" s="5">
        <v>267.58</v>
      </c>
    </row>
    <row r="4823" spans="1:26">
      <c r="A4823">
        <v>4822</v>
      </c>
      <c r="B4823">
        <v>1581</v>
      </c>
      <c r="C4823" s="2">
        <v>46364</v>
      </c>
      <c r="D4823" t="s">
        <v>35</v>
      </c>
      <c r="E4823">
        <v>12</v>
      </c>
      <c r="F4823" s="3">
        <v>11.34</v>
      </c>
      <c r="G4823" t="s">
        <v>36</v>
      </c>
      <c r="H4823">
        <v>27</v>
      </c>
      <c r="I4823" t="s">
        <v>51</v>
      </c>
      <c r="J4823" s="4">
        <v>67.7</v>
      </c>
      <c r="K4823" s="4">
        <v>249.7</v>
      </c>
      <c r="L4823" s="4">
        <v>38.200000000000003</v>
      </c>
      <c r="M4823">
        <v>17</v>
      </c>
      <c r="N4823" t="s">
        <v>47</v>
      </c>
      <c r="O4823">
        <v>3</v>
      </c>
      <c r="P4823" s="4">
        <v>99.5</v>
      </c>
      <c r="Q4823" t="s">
        <v>48</v>
      </c>
      <c r="R4823">
        <v>0</v>
      </c>
      <c r="S4823" t="s">
        <v>44</v>
      </c>
      <c r="T4823">
        <v>1</v>
      </c>
      <c r="U4823">
        <v>1</v>
      </c>
      <c r="V4823" t="s">
        <v>32</v>
      </c>
      <c r="W4823" t="s">
        <v>43</v>
      </c>
      <c r="X4823" s="4">
        <v>9.6</v>
      </c>
      <c r="Y4823">
        <v>14</v>
      </c>
      <c r="Z4823" s="5">
        <v>452.66</v>
      </c>
    </row>
    <row r="4824" spans="1:26">
      <c r="A4824">
        <v>4823</v>
      </c>
      <c r="B4824">
        <v>1581</v>
      </c>
      <c r="C4824" s="2">
        <v>46364</v>
      </c>
      <c r="D4824" t="s">
        <v>35</v>
      </c>
      <c r="E4824">
        <v>12</v>
      </c>
      <c r="F4824" s="3">
        <v>11.19</v>
      </c>
      <c r="G4824" t="s">
        <v>36</v>
      </c>
      <c r="H4824">
        <v>64</v>
      </c>
      <c r="I4824" t="s">
        <v>28</v>
      </c>
      <c r="J4824" s="4">
        <v>73.400000000000006</v>
      </c>
      <c r="K4824" s="4">
        <v>143.80000000000001</v>
      </c>
      <c r="L4824" s="4">
        <v>18.7</v>
      </c>
      <c r="M4824">
        <v>17</v>
      </c>
      <c r="N4824" t="s">
        <v>47</v>
      </c>
      <c r="O4824">
        <v>3</v>
      </c>
      <c r="P4824" s="4">
        <v>99.5</v>
      </c>
      <c r="Q4824" t="s">
        <v>48</v>
      </c>
      <c r="R4824">
        <v>0</v>
      </c>
      <c r="S4824" t="s">
        <v>44</v>
      </c>
      <c r="T4824">
        <v>1</v>
      </c>
      <c r="U4824">
        <v>1</v>
      </c>
      <c r="V4824" t="s">
        <v>32</v>
      </c>
      <c r="W4824" t="s">
        <v>43</v>
      </c>
      <c r="X4824" s="4">
        <v>9.1999999999999993</v>
      </c>
      <c r="Y4824">
        <v>3</v>
      </c>
      <c r="Z4824" s="5">
        <v>147.41999999999999</v>
      </c>
    </row>
    <row r="4825" spans="1:26">
      <c r="A4825">
        <v>4824</v>
      </c>
      <c r="B4825">
        <v>1581</v>
      </c>
      <c r="C4825" s="2">
        <v>46364</v>
      </c>
      <c r="D4825" t="s">
        <v>35</v>
      </c>
      <c r="E4825">
        <v>12</v>
      </c>
      <c r="F4825" s="3">
        <v>11.36</v>
      </c>
      <c r="G4825" t="s">
        <v>36</v>
      </c>
      <c r="H4825">
        <v>23</v>
      </c>
      <c r="I4825" t="s">
        <v>34</v>
      </c>
      <c r="J4825" s="4">
        <v>66.400000000000006</v>
      </c>
      <c r="K4825" s="4">
        <v>106.4</v>
      </c>
      <c r="L4825" s="4">
        <v>16.899999999999999</v>
      </c>
      <c r="M4825">
        <v>17</v>
      </c>
      <c r="N4825" t="s">
        <v>47</v>
      </c>
      <c r="O4825">
        <v>3</v>
      </c>
      <c r="P4825" s="4">
        <v>99.5</v>
      </c>
      <c r="Q4825" t="s">
        <v>48</v>
      </c>
      <c r="R4825">
        <v>0</v>
      </c>
      <c r="S4825" t="s">
        <v>44</v>
      </c>
      <c r="T4825">
        <v>1</v>
      </c>
      <c r="U4825">
        <v>1</v>
      </c>
      <c r="V4825" t="s">
        <v>32</v>
      </c>
      <c r="W4825" t="s">
        <v>43</v>
      </c>
      <c r="X4825" s="4">
        <v>6</v>
      </c>
      <c r="Y4825">
        <v>9</v>
      </c>
      <c r="Z4825" s="5">
        <v>196.55</v>
      </c>
    </row>
    <row r="4826" spans="1:26">
      <c r="A4826">
        <v>4825</v>
      </c>
      <c r="B4826">
        <v>1582</v>
      </c>
      <c r="C4826" s="2">
        <v>46161</v>
      </c>
      <c r="D4826" t="s">
        <v>35</v>
      </c>
      <c r="E4826">
        <v>5</v>
      </c>
      <c r="F4826" s="3">
        <v>10.91</v>
      </c>
      <c r="G4826" t="s">
        <v>27</v>
      </c>
      <c r="H4826">
        <v>10</v>
      </c>
      <c r="I4826" t="s">
        <v>34</v>
      </c>
      <c r="J4826" s="4">
        <v>58</v>
      </c>
      <c r="K4826" s="4">
        <v>87.4</v>
      </c>
      <c r="L4826" s="4">
        <v>18</v>
      </c>
      <c r="M4826">
        <v>11</v>
      </c>
      <c r="N4826" t="s">
        <v>67</v>
      </c>
      <c r="O4826">
        <v>2</v>
      </c>
      <c r="P4826" s="4">
        <v>1937.1</v>
      </c>
      <c r="Q4826" t="s">
        <v>42</v>
      </c>
      <c r="R4826">
        <v>1</v>
      </c>
      <c r="S4826" t="s">
        <v>38</v>
      </c>
      <c r="T4826">
        <v>1</v>
      </c>
      <c r="U4826">
        <v>1</v>
      </c>
      <c r="V4826" t="s">
        <v>32</v>
      </c>
      <c r="W4826" t="s">
        <v>33</v>
      </c>
      <c r="X4826" s="4">
        <v>8</v>
      </c>
      <c r="Y4826">
        <v>13</v>
      </c>
      <c r="Z4826" s="5">
        <v>209.65</v>
      </c>
    </row>
    <row r="4827" spans="1:26">
      <c r="A4827">
        <v>4826</v>
      </c>
      <c r="B4827">
        <v>1582</v>
      </c>
      <c r="C4827" s="2">
        <v>46161</v>
      </c>
      <c r="D4827" t="s">
        <v>35</v>
      </c>
      <c r="E4827">
        <v>5</v>
      </c>
      <c r="F4827" s="3">
        <v>10.85</v>
      </c>
      <c r="G4827" t="s">
        <v>27</v>
      </c>
      <c r="H4827">
        <v>43</v>
      </c>
      <c r="I4827" t="s">
        <v>34</v>
      </c>
      <c r="J4827" s="4">
        <v>65</v>
      </c>
      <c r="K4827" s="4">
        <v>166.1</v>
      </c>
      <c r="L4827" s="4">
        <v>27.3</v>
      </c>
      <c r="M4827">
        <v>14</v>
      </c>
      <c r="N4827" t="s">
        <v>67</v>
      </c>
      <c r="O4827">
        <v>2</v>
      </c>
      <c r="P4827" s="4">
        <v>1937.1</v>
      </c>
      <c r="Q4827" t="s">
        <v>42</v>
      </c>
      <c r="R4827">
        <v>1</v>
      </c>
      <c r="S4827" t="s">
        <v>38</v>
      </c>
      <c r="T4827">
        <v>1</v>
      </c>
      <c r="U4827">
        <v>1</v>
      </c>
      <c r="V4827" t="s">
        <v>32</v>
      </c>
      <c r="W4827" t="s">
        <v>33</v>
      </c>
      <c r="X4827" s="4">
        <v>7.7</v>
      </c>
      <c r="Y4827">
        <v>13</v>
      </c>
      <c r="Z4827" s="5">
        <v>307.83999999999997</v>
      </c>
    </row>
    <row r="4828" spans="1:26">
      <c r="A4828">
        <v>4827</v>
      </c>
      <c r="B4828">
        <v>1583</v>
      </c>
      <c r="C4828" s="2">
        <v>46119</v>
      </c>
      <c r="D4828" t="s">
        <v>35</v>
      </c>
      <c r="E4828">
        <v>4</v>
      </c>
      <c r="F4828" s="3">
        <v>11.15</v>
      </c>
      <c r="G4828" t="s">
        <v>36</v>
      </c>
      <c r="H4828">
        <v>18</v>
      </c>
      <c r="I4828" t="s">
        <v>28</v>
      </c>
      <c r="J4828" s="4">
        <v>74</v>
      </c>
      <c r="K4828" s="4">
        <v>205.2</v>
      </c>
      <c r="L4828" s="4">
        <v>26.3</v>
      </c>
      <c r="M4828">
        <v>16</v>
      </c>
      <c r="N4828" t="s">
        <v>59</v>
      </c>
      <c r="O4828">
        <v>4</v>
      </c>
      <c r="P4828" s="4">
        <v>873.5</v>
      </c>
      <c r="Q4828" t="s">
        <v>48</v>
      </c>
      <c r="R4828">
        <v>0</v>
      </c>
      <c r="S4828" t="s">
        <v>38</v>
      </c>
      <c r="T4828">
        <v>1</v>
      </c>
      <c r="U4828">
        <v>0</v>
      </c>
      <c r="V4828" t="s">
        <v>45</v>
      </c>
      <c r="W4828" t="s">
        <v>39</v>
      </c>
      <c r="X4828" s="4">
        <v>6.5</v>
      </c>
      <c r="Y4828">
        <v>7</v>
      </c>
      <c r="Z4828" s="5">
        <v>247.36</v>
      </c>
    </row>
    <row r="4829" spans="1:26">
      <c r="A4829">
        <v>4828</v>
      </c>
      <c r="B4829">
        <v>1583</v>
      </c>
      <c r="C4829" s="2">
        <v>46119</v>
      </c>
      <c r="D4829" t="s">
        <v>35</v>
      </c>
      <c r="E4829">
        <v>4</v>
      </c>
      <c r="F4829" s="3">
        <v>10.96</v>
      </c>
      <c r="G4829" t="s">
        <v>27</v>
      </c>
      <c r="H4829">
        <v>58</v>
      </c>
      <c r="I4829" t="s">
        <v>34</v>
      </c>
      <c r="J4829" s="4">
        <v>67.400000000000006</v>
      </c>
      <c r="K4829" s="4">
        <v>197.1</v>
      </c>
      <c r="L4829" s="4">
        <v>30.6</v>
      </c>
      <c r="M4829">
        <v>20</v>
      </c>
      <c r="N4829" t="s">
        <v>59</v>
      </c>
      <c r="O4829">
        <v>4</v>
      </c>
      <c r="P4829" s="4">
        <v>873.5</v>
      </c>
      <c r="Q4829" t="s">
        <v>48</v>
      </c>
      <c r="R4829">
        <v>0</v>
      </c>
      <c r="S4829" t="s">
        <v>38</v>
      </c>
      <c r="T4829">
        <v>1</v>
      </c>
      <c r="U4829">
        <v>0</v>
      </c>
      <c r="V4829" t="s">
        <v>45</v>
      </c>
      <c r="W4829" t="s">
        <v>39</v>
      </c>
      <c r="X4829" s="4">
        <v>8.1</v>
      </c>
      <c r="Y4829">
        <v>9</v>
      </c>
      <c r="Z4829" s="5">
        <v>228.56</v>
      </c>
    </row>
    <row r="4830" spans="1:26">
      <c r="A4830">
        <v>4829</v>
      </c>
      <c r="B4830">
        <v>1583</v>
      </c>
      <c r="C4830" s="2">
        <v>46119</v>
      </c>
      <c r="D4830" t="s">
        <v>35</v>
      </c>
      <c r="E4830">
        <v>4</v>
      </c>
      <c r="F4830" s="3">
        <v>10.94</v>
      </c>
      <c r="G4830" t="s">
        <v>27</v>
      </c>
      <c r="H4830">
        <v>11</v>
      </c>
      <c r="I4830" t="s">
        <v>34</v>
      </c>
      <c r="J4830" s="4">
        <v>61.4</v>
      </c>
      <c r="K4830" s="4">
        <v>86.7</v>
      </c>
      <c r="L4830" s="4">
        <v>16.100000000000001</v>
      </c>
      <c r="M4830">
        <v>12</v>
      </c>
      <c r="N4830" t="s">
        <v>59</v>
      </c>
      <c r="O4830">
        <v>4</v>
      </c>
      <c r="P4830" s="4">
        <v>873.5</v>
      </c>
      <c r="Q4830" t="s">
        <v>48</v>
      </c>
      <c r="R4830">
        <v>0</v>
      </c>
      <c r="S4830" t="s">
        <v>38</v>
      </c>
      <c r="T4830">
        <v>1</v>
      </c>
      <c r="U4830">
        <v>0</v>
      </c>
      <c r="V4830" t="s">
        <v>45</v>
      </c>
      <c r="W4830" t="s">
        <v>39</v>
      </c>
      <c r="X4830" s="4">
        <v>9.1</v>
      </c>
      <c r="Y4830">
        <v>6</v>
      </c>
      <c r="Z4830" s="5">
        <v>285.51</v>
      </c>
    </row>
    <row r="4831" spans="1:26">
      <c r="A4831">
        <v>4830</v>
      </c>
      <c r="B4831">
        <v>1583</v>
      </c>
      <c r="C4831" s="2">
        <v>46119</v>
      </c>
      <c r="D4831" t="s">
        <v>35</v>
      </c>
      <c r="E4831">
        <v>4</v>
      </c>
      <c r="F4831" s="3">
        <v>11.13</v>
      </c>
      <c r="G4831" t="s">
        <v>36</v>
      </c>
      <c r="H4831">
        <v>45</v>
      </c>
      <c r="I4831" t="s">
        <v>34</v>
      </c>
      <c r="J4831" s="4">
        <v>62.1</v>
      </c>
      <c r="K4831" s="4">
        <v>91</v>
      </c>
      <c r="L4831" s="4">
        <v>16.8</v>
      </c>
      <c r="M4831">
        <v>17</v>
      </c>
      <c r="N4831" t="s">
        <v>59</v>
      </c>
      <c r="O4831">
        <v>4</v>
      </c>
      <c r="P4831" s="4">
        <v>873.5</v>
      </c>
      <c r="Q4831" t="s">
        <v>48</v>
      </c>
      <c r="R4831">
        <v>0</v>
      </c>
      <c r="S4831" t="s">
        <v>38</v>
      </c>
      <c r="T4831">
        <v>1</v>
      </c>
      <c r="U4831">
        <v>0</v>
      </c>
      <c r="V4831" t="s">
        <v>45</v>
      </c>
      <c r="W4831" t="s">
        <v>39</v>
      </c>
      <c r="X4831" s="4">
        <v>8.1999999999999993</v>
      </c>
      <c r="Y4831">
        <v>14</v>
      </c>
      <c r="Z4831" s="5">
        <v>194.69</v>
      </c>
    </row>
    <row r="4832" spans="1:26">
      <c r="A4832">
        <v>4831</v>
      </c>
      <c r="B4832">
        <v>1584</v>
      </c>
      <c r="C4832" s="2">
        <v>46046</v>
      </c>
      <c r="D4832" t="s">
        <v>40</v>
      </c>
      <c r="E4832">
        <v>1</v>
      </c>
      <c r="F4832" s="3">
        <v>12.27</v>
      </c>
      <c r="G4832" t="s">
        <v>36</v>
      </c>
      <c r="H4832">
        <v>17</v>
      </c>
      <c r="I4832" t="s">
        <v>51</v>
      </c>
      <c r="J4832" s="4">
        <v>68.5</v>
      </c>
      <c r="K4832" s="4">
        <v>149.6</v>
      </c>
      <c r="L4832" s="4">
        <v>22.6</v>
      </c>
      <c r="M4832">
        <v>11</v>
      </c>
      <c r="N4832" t="s">
        <v>56</v>
      </c>
      <c r="O4832">
        <v>2</v>
      </c>
      <c r="P4832" s="4">
        <v>365.6</v>
      </c>
      <c r="Q4832" t="s">
        <v>42</v>
      </c>
      <c r="R4832">
        <v>0</v>
      </c>
      <c r="S4832" t="s">
        <v>44</v>
      </c>
      <c r="T4832">
        <v>0</v>
      </c>
      <c r="U4832">
        <v>0</v>
      </c>
      <c r="V4832" t="s">
        <v>32</v>
      </c>
      <c r="W4832" t="s">
        <v>57</v>
      </c>
      <c r="X4832" s="4">
        <v>7.4</v>
      </c>
      <c r="Y4832">
        <v>3</v>
      </c>
      <c r="Z4832" s="5">
        <v>195.64</v>
      </c>
    </row>
    <row r="4833" spans="1:26">
      <c r="A4833">
        <v>4832</v>
      </c>
      <c r="B4833">
        <v>1584</v>
      </c>
      <c r="C4833" s="2">
        <v>46046</v>
      </c>
      <c r="D4833" t="s">
        <v>40</v>
      </c>
      <c r="E4833">
        <v>1</v>
      </c>
      <c r="F4833" s="3">
        <v>12.58</v>
      </c>
      <c r="G4833" t="s">
        <v>36</v>
      </c>
      <c r="H4833">
        <v>34</v>
      </c>
      <c r="I4833" t="s">
        <v>28</v>
      </c>
      <c r="J4833" s="4">
        <v>71.400000000000006</v>
      </c>
      <c r="K4833" s="4">
        <v>147</v>
      </c>
      <c r="L4833" s="4">
        <v>20.2</v>
      </c>
      <c r="M4833">
        <v>14</v>
      </c>
      <c r="N4833" t="s">
        <v>56</v>
      </c>
      <c r="O4833">
        <v>2</v>
      </c>
      <c r="P4833" s="4">
        <v>365.6</v>
      </c>
      <c r="Q4833" t="s">
        <v>42</v>
      </c>
      <c r="R4833">
        <v>0</v>
      </c>
      <c r="S4833" t="s">
        <v>44</v>
      </c>
      <c r="T4833">
        <v>0</v>
      </c>
      <c r="U4833">
        <v>0</v>
      </c>
      <c r="V4833" t="s">
        <v>32</v>
      </c>
      <c r="W4833" t="s">
        <v>57</v>
      </c>
      <c r="X4833" s="4">
        <v>6.6</v>
      </c>
      <c r="Y4833">
        <v>10</v>
      </c>
      <c r="Z4833" s="5">
        <v>292.29000000000002</v>
      </c>
    </row>
    <row r="4834" spans="1:26">
      <c r="A4834">
        <v>4833</v>
      </c>
      <c r="B4834">
        <v>1585</v>
      </c>
      <c r="C4834" s="2">
        <v>46256</v>
      </c>
      <c r="D4834" t="s">
        <v>40</v>
      </c>
      <c r="E4834">
        <v>8</v>
      </c>
      <c r="F4834" s="3">
        <v>11.88</v>
      </c>
      <c r="G4834" t="s">
        <v>36</v>
      </c>
      <c r="H4834">
        <v>18</v>
      </c>
      <c r="I4834" t="s">
        <v>28</v>
      </c>
      <c r="J4834" s="4">
        <v>67</v>
      </c>
      <c r="K4834" s="4">
        <v>157.80000000000001</v>
      </c>
      <c r="L4834" s="4">
        <v>24.7</v>
      </c>
      <c r="M4834">
        <v>12</v>
      </c>
      <c r="N4834" t="s">
        <v>29</v>
      </c>
      <c r="O4834">
        <v>6</v>
      </c>
      <c r="P4834" s="4">
        <v>1785</v>
      </c>
      <c r="Q4834" t="s">
        <v>48</v>
      </c>
      <c r="R4834">
        <v>1</v>
      </c>
      <c r="S4834" t="s">
        <v>31</v>
      </c>
      <c r="T4834">
        <v>0</v>
      </c>
      <c r="U4834">
        <v>0</v>
      </c>
      <c r="V4834" t="s">
        <v>32</v>
      </c>
      <c r="W4834" t="s">
        <v>39</v>
      </c>
      <c r="X4834" s="4">
        <v>8.8000000000000007</v>
      </c>
      <c r="Y4834">
        <v>7</v>
      </c>
      <c r="Z4834" s="5">
        <v>259.44</v>
      </c>
    </row>
    <row r="4835" spans="1:26">
      <c r="A4835">
        <v>4834</v>
      </c>
      <c r="B4835">
        <v>1585</v>
      </c>
      <c r="C4835" s="2">
        <v>46256</v>
      </c>
      <c r="D4835" t="s">
        <v>40</v>
      </c>
      <c r="E4835">
        <v>8</v>
      </c>
      <c r="F4835" s="3">
        <v>12.13</v>
      </c>
      <c r="G4835" t="s">
        <v>36</v>
      </c>
      <c r="H4835">
        <v>46</v>
      </c>
      <c r="I4835" t="s">
        <v>28</v>
      </c>
      <c r="J4835" s="4">
        <v>62.7</v>
      </c>
      <c r="K4835" s="4">
        <v>146.6</v>
      </c>
      <c r="L4835" s="4">
        <v>26.2</v>
      </c>
      <c r="M4835">
        <v>17</v>
      </c>
      <c r="N4835" t="s">
        <v>29</v>
      </c>
      <c r="O4835">
        <v>6</v>
      </c>
      <c r="P4835" s="4">
        <v>1785</v>
      </c>
      <c r="Q4835" t="s">
        <v>48</v>
      </c>
      <c r="R4835">
        <v>1</v>
      </c>
      <c r="S4835" t="s">
        <v>31</v>
      </c>
      <c r="T4835">
        <v>0</v>
      </c>
      <c r="U4835">
        <v>0</v>
      </c>
      <c r="V4835" t="s">
        <v>32</v>
      </c>
      <c r="W4835" t="s">
        <v>39</v>
      </c>
      <c r="X4835" s="4">
        <v>5.8</v>
      </c>
      <c r="Y4835">
        <v>2</v>
      </c>
      <c r="Z4835" s="5">
        <v>214.48</v>
      </c>
    </row>
    <row r="4836" spans="1:26">
      <c r="A4836">
        <v>4835</v>
      </c>
      <c r="B4836">
        <v>1585</v>
      </c>
      <c r="C4836" s="2">
        <v>46256</v>
      </c>
      <c r="D4836" t="s">
        <v>40</v>
      </c>
      <c r="E4836">
        <v>8</v>
      </c>
      <c r="F4836" s="3">
        <v>11.97</v>
      </c>
      <c r="G4836" t="s">
        <v>36</v>
      </c>
      <c r="H4836">
        <v>21</v>
      </c>
      <c r="I4836" t="s">
        <v>34</v>
      </c>
      <c r="J4836" s="4">
        <v>63.9</v>
      </c>
      <c r="K4836" s="4">
        <v>136</v>
      </c>
      <c r="L4836" s="4">
        <v>23.4</v>
      </c>
      <c r="M4836">
        <v>17</v>
      </c>
      <c r="N4836" t="s">
        <v>29</v>
      </c>
      <c r="O4836">
        <v>6</v>
      </c>
      <c r="P4836" s="4">
        <v>1785</v>
      </c>
      <c r="Q4836" t="s">
        <v>48</v>
      </c>
      <c r="R4836">
        <v>1</v>
      </c>
      <c r="S4836" t="s">
        <v>31</v>
      </c>
      <c r="T4836">
        <v>0</v>
      </c>
      <c r="U4836">
        <v>0</v>
      </c>
      <c r="V4836" t="s">
        <v>32</v>
      </c>
      <c r="W4836" t="s">
        <v>39</v>
      </c>
      <c r="X4836" s="4">
        <v>6.3</v>
      </c>
      <c r="Y4836">
        <v>5</v>
      </c>
      <c r="Z4836" s="5">
        <v>106.34</v>
      </c>
    </row>
    <row r="4837" spans="1:26">
      <c r="A4837">
        <v>4836</v>
      </c>
      <c r="B4837">
        <v>1585</v>
      </c>
      <c r="C4837" s="2">
        <v>46256</v>
      </c>
      <c r="D4837" t="s">
        <v>40</v>
      </c>
      <c r="E4837">
        <v>8</v>
      </c>
      <c r="F4837" s="3">
        <v>11.93</v>
      </c>
      <c r="G4837" t="s">
        <v>36</v>
      </c>
      <c r="H4837">
        <v>51</v>
      </c>
      <c r="I4837" t="s">
        <v>28</v>
      </c>
      <c r="J4837" s="4">
        <v>71.7</v>
      </c>
      <c r="K4837" s="4">
        <v>175.1</v>
      </c>
      <c r="L4837" s="4">
        <v>23.8</v>
      </c>
      <c r="M4837">
        <v>16</v>
      </c>
      <c r="N4837" t="s">
        <v>29</v>
      </c>
      <c r="O4837">
        <v>6</v>
      </c>
      <c r="P4837" s="4">
        <v>1785</v>
      </c>
      <c r="Q4837" t="s">
        <v>48</v>
      </c>
      <c r="R4837">
        <v>1</v>
      </c>
      <c r="S4837" t="s">
        <v>31</v>
      </c>
      <c r="T4837">
        <v>0</v>
      </c>
      <c r="U4837">
        <v>0</v>
      </c>
      <c r="V4837" t="s">
        <v>32</v>
      </c>
      <c r="W4837" t="s">
        <v>39</v>
      </c>
      <c r="X4837" s="4">
        <v>9.5</v>
      </c>
      <c r="Y4837">
        <v>5</v>
      </c>
      <c r="Z4837" s="5">
        <v>251.99</v>
      </c>
    </row>
    <row r="4838" spans="1:26">
      <c r="A4838">
        <v>4837</v>
      </c>
      <c r="B4838">
        <v>1585</v>
      </c>
      <c r="C4838" s="2">
        <v>46256</v>
      </c>
      <c r="D4838" t="s">
        <v>40</v>
      </c>
      <c r="E4838">
        <v>8</v>
      </c>
      <c r="F4838" s="3">
        <v>11.8</v>
      </c>
      <c r="G4838" t="s">
        <v>36</v>
      </c>
      <c r="H4838">
        <v>25</v>
      </c>
      <c r="I4838" t="s">
        <v>28</v>
      </c>
      <c r="J4838" s="4">
        <v>66.2</v>
      </c>
      <c r="K4838" s="4">
        <v>97</v>
      </c>
      <c r="L4838" s="4">
        <v>15.9</v>
      </c>
      <c r="M4838">
        <v>17</v>
      </c>
      <c r="N4838" t="s">
        <v>29</v>
      </c>
      <c r="O4838">
        <v>6</v>
      </c>
      <c r="P4838" s="4">
        <v>1785</v>
      </c>
      <c r="Q4838" t="s">
        <v>48</v>
      </c>
      <c r="R4838">
        <v>1</v>
      </c>
      <c r="S4838" t="s">
        <v>31</v>
      </c>
      <c r="T4838">
        <v>0</v>
      </c>
      <c r="U4838">
        <v>0</v>
      </c>
      <c r="V4838" t="s">
        <v>32</v>
      </c>
      <c r="W4838" t="s">
        <v>39</v>
      </c>
      <c r="X4838" s="4">
        <v>8</v>
      </c>
      <c r="Y4838">
        <v>7</v>
      </c>
      <c r="Z4838" s="5">
        <v>155.13</v>
      </c>
    </row>
    <row r="4839" spans="1:26">
      <c r="A4839">
        <v>4838</v>
      </c>
      <c r="B4839">
        <v>1585</v>
      </c>
      <c r="C4839" s="2">
        <v>46256</v>
      </c>
      <c r="D4839" t="s">
        <v>40</v>
      </c>
      <c r="E4839">
        <v>8</v>
      </c>
      <c r="F4839" s="3">
        <v>11.94</v>
      </c>
      <c r="G4839" t="s">
        <v>36</v>
      </c>
      <c r="H4839">
        <v>52</v>
      </c>
      <c r="I4839" t="s">
        <v>34</v>
      </c>
      <c r="J4839" s="4">
        <v>61.1</v>
      </c>
      <c r="K4839" s="4">
        <v>129.4</v>
      </c>
      <c r="L4839" s="4">
        <v>24.6</v>
      </c>
      <c r="M4839">
        <v>20</v>
      </c>
      <c r="N4839" t="s">
        <v>29</v>
      </c>
      <c r="O4839">
        <v>6</v>
      </c>
      <c r="P4839" s="4">
        <v>1785</v>
      </c>
      <c r="Q4839" t="s">
        <v>48</v>
      </c>
      <c r="R4839">
        <v>1</v>
      </c>
      <c r="S4839" t="s">
        <v>31</v>
      </c>
      <c r="T4839">
        <v>0</v>
      </c>
      <c r="U4839">
        <v>0</v>
      </c>
      <c r="V4839" t="s">
        <v>32</v>
      </c>
      <c r="W4839" t="s">
        <v>39</v>
      </c>
      <c r="X4839" s="4">
        <v>12.2</v>
      </c>
      <c r="Y4839">
        <v>11</v>
      </c>
      <c r="Z4839" s="5">
        <v>468.15</v>
      </c>
    </row>
    <row r="4840" spans="1:26">
      <c r="A4840">
        <v>4839</v>
      </c>
      <c r="B4840">
        <v>1586</v>
      </c>
      <c r="C4840" s="2">
        <v>46288</v>
      </c>
      <c r="D4840" t="s">
        <v>52</v>
      </c>
      <c r="E4840">
        <v>9</v>
      </c>
      <c r="F4840" s="3">
        <v>10.76</v>
      </c>
      <c r="G4840" t="s">
        <v>27</v>
      </c>
      <c r="H4840">
        <v>31</v>
      </c>
      <c r="I4840" t="s">
        <v>28</v>
      </c>
      <c r="J4840" s="4">
        <v>70.3</v>
      </c>
      <c r="K4840" s="4">
        <v>172</v>
      </c>
      <c r="L4840" s="4">
        <v>24.6</v>
      </c>
      <c r="M4840">
        <v>14</v>
      </c>
      <c r="N4840" t="s">
        <v>47</v>
      </c>
      <c r="O4840">
        <v>5</v>
      </c>
      <c r="P4840" s="4">
        <v>10.1</v>
      </c>
      <c r="Q4840" t="s">
        <v>42</v>
      </c>
      <c r="R4840">
        <v>1</v>
      </c>
      <c r="S4840" t="s">
        <v>44</v>
      </c>
      <c r="T4840">
        <v>0</v>
      </c>
      <c r="U4840">
        <v>0</v>
      </c>
      <c r="V4840" t="s">
        <v>32</v>
      </c>
      <c r="W4840" t="s">
        <v>49</v>
      </c>
      <c r="X4840" s="4">
        <v>8.9</v>
      </c>
      <c r="Y4840">
        <v>11</v>
      </c>
      <c r="Z4840" s="5">
        <v>232.17</v>
      </c>
    </row>
    <row r="4841" spans="1:26">
      <c r="A4841">
        <v>4840</v>
      </c>
      <c r="B4841">
        <v>1586</v>
      </c>
      <c r="C4841" s="2">
        <v>46288</v>
      </c>
      <c r="D4841" t="s">
        <v>52</v>
      </c>
      <c r="E4841">
        <v>9</v>
      </c>
      <c r="F4841" s="3">
        <v>10.77</v>
      </c>
      <c r="G4841" t="s">
        <v>27</v>
      </c>
      <c r="H4841">
        <v>38</v>
      </c>
      <c r="I4841" t="s">
        <v>34</v>
      </c>
      <c r="J4841" s="4">
        <v>63.1</v>
      </c>
      <c r="K4841" s="4">
        <v>184.9</v>
      </c>
      <c r="L4841" s="4">
        <v>32.6</v>
      </c>
      <c r="M4841">
        <v>16</v>
      </c>
      <c r="N4841" t="s">
        <v>47</v>
      </c>
      <c r="O4841">
        <v>5</v>
      </c>
      <c r="P4841" s="4">
        <v>10.1</v>
      </c>
      <c r="Q4841" t="s">
        <v>42</v>
      </c>
      <c r="R4841">
        <v>1</v>
      </c>
      <c r="S4841" t="s">
        <v>44</v>
      </c>
      <c r="T4841">
        <v>0</v>
      </c>
      <c r="U4841">
        <v>0</v>
      </c>
      <c r="V4841" t="s">
        <v>32</v>
      </c>
      <c r="W4841" t="s">
        <v>49</v>
      </c>
      <c r="X4841" s="4">
        <v>8.9</v>
      </c>
      <c r="Y4841">
        <v>9</v>
      </c>
      <c r="Z4841" s="5">
        <v>165.68</v>
      </c>
    </row>
    <row r="4842" spans="1:26">
      <c r="A4842">
        <v>4841</v>
      </c>
      <c r="B4842">
        <v>1586</v>
      </c>
      <c r="C4842" s="2">
        <v>46288</v>
      </c>
      <c r="D4842" t="s">
        <v>52</v>
      </c>
      <c r="E4842">
        <v>9</v>
      </c>
      <c r="F4842" s="3">
        <v>10.81</v>
      </c>
      <c r="G4842" t="s">
        <v>27</v>
      </c>
      <c r="H4842">
        <v>57</v>
      </c>
      <c r="I4842" t="s">
        <v>34</v>
      </c>
      <c r="J4842" s="4">
        <v>62</v>
      </c>
      <c r="K4842" s="4">
        <v>125.7</v>
      </c>
      <c r="L4842" s="4">
        <v>23.1</v>
      </c>
      <c r="M4842">
        <v>16</v>
      </c>
      <c r="N4842" t="s">
        <v>47</v>
      </c>
      <c r="O4842">
        <v>5</v>
      </c>
      <c r="P4842" s="4">
        <v>10.1</v>
      </c>
      <c r="Q4842" t="s">
        <v>42</v>
      </c>
      <c r="R4842">
        <v>1</v>
      </c>
      <c r="S4842" t="s">
        <v>44</v>
      </c>
      <c r="T4842">
        <v>0</v>
      </c>
      <c r="U4842">
        <v>0</v>
      </c>
      <c r="V4842" t="s">
        <v>32</v>
      </c>
      <c r="W4842" t="s">
        <v>49</v>
      </c>
      <c r="X4842" s="4">
        <v>9.6999999999999993</v>
      </c>
      <c r="Y4842">
        <v>4</v>
      </c>
      <c r="Z4842" s="5">
        <v>190.21</v>
      </c>
    </row>
    <row r="4843" spans="1:26">
      <c r="A4843">
        <v>4842</v>
      </c>
      <c r="B4843">
        <v>1586</v>
      </c>
      <c r="C4843" s="2">
        <v>46288</v>
      </c>
      <c r="D4843" t="s">
        <v>52</v>
      </c>
      <c r="E4843">
        <v>9</v>
      </c>
      <c r="F4843" s="3">
        <v>10.76</v>
      </c>
      <c r="G4843" t="s">
        <v>27</v>
      </c>
      <c r="H4843">
        <v>68</v>
      </c>
      <c r="I4843" t="s">
        <v>28</v>
      </c>
      <c r="J4843" s="4">
        <v>66.5</v>
      </c>
      <c r="K4843" s="4">
        <v>152</v>
      </c>
      <c r="L4843" s="4">
        <v>24.2</v>
      </c>
      <c r="M4843">
        <v>17</v>
      </c>
      <c r="N4843" t="s">
        <v>47</v>
      </c>
      <c r="O4843">
        <v>5</v>
      </c>
      <c r="P4843" s="4">
        <v>10.1</v>
      </c>
      <c r="Q4843" t="s">
        <v>42</v>
      </c>
      <c r="R4843">
        <v>1</v>
      </c>
      <c r="S4843" t="s">
        <v>44</v>
      </c>
      <c r="T4843">
        <v>0</v>
      </c>
      <c r="U4843">
        <v>0</v>
      </c>
      <c r="V4843" t="s">
        <v>32</v>
      </c>
      <c r="W4843" t="s">
        <v>49</v>
      </c>
      <c r="X4843" s="4">
        <v>9.5</v>
      </c>
      <c r="Y4843">
        <v>11</v>
      </c>
      <c r="Z4843" s="5">
        <v>320.94</v>
      </c>
    </row>
    <row r="4844" spans="1:26">
      <c r="A4844">
        <v>4843</v>
      </c>
      <c r="B4844">
        <v>1586</v>
      </c>
      <c r="C4844" s="2">
        <v>46288</v>
      </c>
      <c r="D4844" t="s">
        <v>52</v>
      </c>
      <c r="E4844">
        <v>9</v>
      </c>
      <c r="F4844" s="3">
        <v>10.96</v>
      </c>
      <c r="G4844" t="s">
        <v>27</v>
      </c>
      <c r="H4844">
        <v>29</v>
      </c>
      <c r="I4844" t="s">
        <v>28</v>
      </c>
      <c r="J4844" s="4">
        <v>70.7</v>
      </c>
      <c r="K4844" s="4">
        <v>223.4</v>
      </c>
      <c r="L4844" s="4">
        <v>31.3</v>
      </c>
      <c r="M4844">
        <v>16</v>
      </c>
      <c r="N4844" t="s">
        <v>47</v>
      </c>
      <c r="O4844">
        <v>5</v>
      </c>
      <c r="P4844" s="4">
        <v>10.1</v>
      </c>
      <c r="Q4844" t="s">
        <v>42</v>
      </c>
      <c r="R4844">
        <v>1</v>
      </c>
      <c r="S4844" t="s">
        <v>44</v>
      </c>
      <c r="T4844">
        <v>0</v>
      </c>
      <c r="U4844">
        <v>0</v>
      </c>
      <c r="V4844" t="s">
        <v>32</v>
      </c>
      <c r="W4844" t="s">
        <v>49</v>
      </c>
      <c r="X4844" s="4">
        <v>7.2</v>
      </c>
      <c r="Y4844">
        <v>9</v>
      </c>
      <c r="Z4844" s="5">
        <v>143.27000000000001</v>
      </c>
    </row>
    <row r="4845" spans="1:26">
      <c r="A4845">
        <v>4844</v>
      </c>
      <c r="B4845">
        <v>1587</v>
      </c>
      <c r="C4845" s="2">
        <v>46178</v>
      </c>
      <c r="D4845" t="s">
        <v>26</v>
      </c>
      <c r="E4845">
        <v>6</v>
      </c>
      <c r="F4845" s="3">
        <v>9.82</v>
      </c>
      <c r="G4845" t="s">
        <v>27</v>
      </c>
      <c r="H4845">
        <v>31</v>
      </c>
      <c r="I4845" t="s">
        <v>34</v>
      </c>
      <c r="J4845" s="4">
        <v>67.400000000000006</v>
      </c>
      <c r="K4845" s="4">
        <v>181.3</v>
      </c>
      <c r="L4845" s="4">
        <v>28.2</v>
      </c>
      <c r="M4845">
        <v>12</v>
      </c>
      <c r="N4845" t="s">
        <v>53</v>
      </c>
      <c r="O4845">
        <v>3</v>
      </c>
      <c r="P4845" s="4">
        <v>1184.5</v>
      </c>
      <c r="Q4845" t="s">
        <v>30</v>
      </c>
      <c r="R4845">
        <v>1</v>
      </c>
      <c r="S4845" t="s">
        <v>38</v>
      </c>
      <c r="T4845">
        <v>0</v>
      </c>
      <c r="U4845">
        <v>0</v>
      </c>
      <c r="V4845" t="s">
        <v>45</v>
      </c>
      <c r="W4845" t="s">
        <v>39</v>
      </c>
      <c r="X4845" s="4">
        <v>10.1</v>
      </c>
      <c r="Y4845">
        <v>10</v>
      </c>
      <c r="Z4845" s="5">
        <v>249.7</v>
      </c>
    </row>
    <row r="4846" spans="1:26">
      <c r="A4846">
        <v>4845</v>
      </c>
      <c r="B4846">
        <v>1587</v>
      </c>
      <c r="C4846" s="2">
        <v>46178</v>
      </c>
      <c r="D4846" t="s">
        <v>26</v>
      </c>
      <c r="E4846">
        <v>6</v>
      </c>
      <c r="F4846" s="3">
        <v>10.199999999999999</v>
      </c>
      <c r="G4846" t="s">
        <v>27</v>
      </c>
      <c r="H4846">
        <v>28</v>
      </c>
      <c r="I4846" t="s">
        <v>28</v>
      </c>
      <c r="J4846" s="4">
        <v>71.5</v>
      </c>
      <c r="K4846" s="4">
        <v>163.30000000000001</v>
      </c>
      <c r="L4846" s="4">
        <v>22.9</v>
      </c>
      <c r="M4846">
        <v>12</v>
      </c>
      <c r="N4846" t="s">
        <v>53</v>
      </c>
      <c r="O4846">
        <v>3</v>
      </c>
      <c r="P4846" s="4">
        <v>1184.5</v>
      </c>
      <c r="Q4846" t="s">
        <v>30</v>
      </c>
      <c r="R4846">
        <v>1</v>
      </c>
      <c r="S4846" t="s">
        <v>38</v>
      </c>
      <c r="T4846">
        <v>0</v>
      </c>
      <c r="U4846">
        <v>0</v>
      </c>
      <c r="V4846" t="s">
        <v>45</v>
      </c>
      <c r="W4846" t="s">
        <v>39</v>
      </c>
      <c r="X4846" s="4">
        <v>8.6999999999999993</v>
      </c>
      <c r="Y4846">
        <v>6</v>
      </c>
      <c r="Z4846" s="5">
        <v>206.01</v>
      </c>
    </row>
    <row r="4847" spans="1:26">
      <c r="A4847">
        <v>4846</v>
      </c>
      <c r="B4847">
        <v>1587</v>
      </c>
      <c r="C4847" s="2">
        <v>46178</v>
      </c>
      <c r="D4847" t="s">
        <v>26</v>
      </c>
      <c r="E4847">
        <v>6</v>
      </c>
      <c r="F4847" s="3">
        <v>10.06</v>
      </c>
      <c r="G4847" t="s">
        <v>27</v>
      </c>
      <c r="H4847">
        <v>8</v>
      </c>
      <c r="I4847" t="s">
        <v>28</v>
      </c>
      <c r="J4847" s="4">
        <v>56.5</v>
      </c>
      <c r="K4847" s="4">
        <v>77.2</v>
      </c>
      <c r="L4847" s="4">
        <v>16.899999999999999</v>
      </c>
      <c r="M4847">
        <v>14</v>
      </c>
      <c r="N4847" t="s">
        <v>53</v>
      </c>
      <c r="O4847">
        <v>3</v>
      </c>
      <c r="P4847" s="4">
        <v>1184.5</v>
      </c>
      <c r="Q4847" t="s">
        <v>30</v>
      </c>
      <c r="R4847">
        <v>1</v>
      </c>
      <c r="S4847" t="s">
        <v>38</v>
      </c>
      <c r="T4847">
        <v>0</v>
      </c>
      <c r="U4847">
        <v>0</v>
      </c>
      <c r="V4847" t="s">
        <v>45</v>
      </c>
      <c r="W4847" t="s">
        <v>39</v>
      </c>
      <c r="X4847" s="4">
        <v>8.6</v>
      </c>
      <c r="Y4847">
        <v>5</v>
      </c>
      <c r="Z4847" s="5">
        <v>131.93</v>
      </c>
    </row>
    <row r="4848" spans="1:26">
      <c r="A4848">
        <v>4847</v>
      </c>
      <c r="B4848">
        <v>1588</v>
      </c>
      <c r="C4848" s="2">
        <v>46121</v>
      </c>
      <c r="D4848" t="s">
        <v>55</v>
      </c>
      <c r="E4848">
        <v>4</v>
      </c>
      <c r="F4848" s="3">
        <v>10.85</v>
      </c>
      <c r="G4848" t="s">
        <v>27</v>
      </c>
      <c r="H4848">
        <v>47</v>
      </c>
      <c r="I4848" t="s">
        <v>28</v>
      </c>
      <c r="J4848" s="4">
        <v>74.599999999999994</v>
      </c>
      <c r="K4848" s="4">
        <v>216.8</v>
      </c>
      <c r="L4848" s="4">
        <v>27.3</v>
      </c>
      <c r="M4848">
        <v>13</v>
      </c>
      <c r="N4848" t="s">
        <v>37</v>
      </c>
      <c r="O4848">
        <v>6</v>
      </c>
      <c r="P4848" s="4">
        <v>1128.2</v>
      </c>
      <c r="Q4848" t="s">
        <v>42</v>
      </c>
      <c r="R4848">
        <v>0</v>
      </c>
      <c r="S4848" t="s">
        <v>38</v>
      </c>
      <c r="T4848">
        <v>0</v>
      </c>
      <c r="U4848">
        <v>0</v>
      </c>
      <c r="V4848" t="s">
        <v>32</v>
      </c>
      <c r="W4848" t="s">
        <v>39</v>
      </c>
      <c r="X4848" s="4">
        <v>7.1</v>
      </c>
      <c r="Y4848">
        <v>5</v>
      </c>
      <c r="Z4848" s="5">
        <v>159.57</v>
      </c>
    </row>
    <row r="4849" spans="1:26">
      <c r="A4849">
        <v>4848</v>
      </c>
      <c r="B4849">
        <v>1588</v>
      </c>
      <c r="C4849" s="2">
        <v>46121</v>
      </c>
      <c r="D4849" t="s">
        <v>55</v>
      </c>
      <c r="E4849">
        <v>4</v>
      </c>
      <c r="F4849" s="3">
        <v>10.73</v>
      </c>
      <c r="G4849" t="s">
        <v>27</v>
      </c>
      <c r="H4849">
        <v>34</v>
      </c>
      <c r="I4849" t="s">
        <v>34</v>
      </c>
      <c r="J4849" s="4">
        <v>63.3</v>
      </c>
      <c r="K4849" s="4">
        <v>121.9</v>
      </c>
      <c r="L4849" s="4">
        <v>21.3</v>
      </c>
      <c r="M4849">
        <v>16</v>
      </c>
      <c r="N4849" t="s">
        <v>37</v>
      </c>
      <c r="O4849">
        <v>6</v>
      </c>
      <c r="P4849" s="4">
        <v>1128.2</v>
      </c>
      <c r="Q4849" t="s">
        <v>42</v>
      </c>
      <c r="R4849">
        <v>0</v>
      </c>
      <c r="S4849" t="s">
        <v>38</v>
      </c>
      <c r="T4849">
        <v>0</v>
      </c>
      <c r="U4849">
        <v>0</v>
      </c>
      <c r="V4849" t="s">
        <v>32</v>
      </c>
      <c r="W4849" t="s">
        <v>39</v>
      </c>
      <c r="X4849" s="4">
        <v>10.7</v>
      </c>
      <c r="Y4849">
        <v>7</v>
      </c>
      <c r="Z4849" s="5">
        <v>257.22000000000003</v>
      </c>
    </row>
    <row r="4850" spans="1:26">
      <c r="A4850">
        <v>4849</v>
      </c>
      <c r="B4850">
        <v>1588</v>
      </c>
      <c r="C4850" s="2">
        <v>46121</v>
      </c>
      <c r="D4850" t="s">
        <v>55</v>
      </c>
      <c r="E4850">
        <v>4</v>
      </c>
      <c r="F4850" s="3">
        <v>10.89</v>
      </c>
      <c r="G4850" t="s">
        <v>27</v>
      </c>
      <c r="H4850">
        <v>51</v>
      </c>
      <c r="I4850" t="s">
        <v>28</v>
      </c>
      <c r="J4850" s="4">
        <v>66.599999999999994</v>
      </c>
      <c r="K4850" s="4">
        <v>152.6</v>
      </c>
      <c r="L4850" s="4">
        <v>24.3</v>
      </c>
      <c r="M4850">
        <v>13</v>
      </c>
      <c r="N4850" t="s">
        <v>37</v>
      </c>
      <c r="O4850">
        <v>6</v>
      </c>
      <c r="P4850" s="4">
        <v>1128.2</v>
      </c>
      <c r="Q4850" t="s">
        <v>42</v>
      </c>
      <c r="R4850">
        <v>0</v>
      </c>
      <c r="S4850" t="s">
        <v>38</v>
      </c>
      <c r="T4850">
        <v>0</v>
      </c>
      <c r="U4850">
        <v>0</v>
      </c>
      <c r="V4850" t="s">
        <v>32</v>
      </c>
      <c r="W4850" t="s">
        <v>39</v>
      </c>
      <c r="X4850" s="4">
        <v>8.1999999999999993</v>
      </c>
      <c r="Y4850">
        <v>12</v>
      </c>
      <c r="Z4850" s="5">
        <v>198.76</v>
      </c>
    </row>
    <row r="4851" spans="1:26">
      <c r="A4851">
        <v>4850</v>
      </c>
      <c r="B4851">
        <v>1588</v>
      </c>
      <c r="C4851" s="2">
        <v>46121</v>
      </c>
      <c r="D4851" t="s">
        <v>55</v>
      </c>
      <c r="E4851">
        <v>4</v>
      </c>
      <c r="F4851" s="3">
        <v>10.88</v>
      </c>
      <c r="G4851" t="s">
        <v>27</v>
      </c>
      <c r="H4851">
        <v>32</v>
      </c>
      <c r="I4851" t="s">
        <v>34</v>
      </c>
      <c r="J4851" s="4">
        <v>63.5</v>
      </c>
      <c r="K4851" s="4">
        <v>153.6</v>
      </c>
      <c r="L4851" s="4">
        <v>26.7</v>
      </c>
      <c r="M4851">
        <v>15</v>
      </c>
      <c r="N4851" t="s">
        <v>37</v>
      </c>
      <c r="O4851">
        <v>6</v>
      </c>
      <c r="P4851" s="4">
        <v>1128.2</v>
      </c>
      <c r="Q4851" t="s">
        <v>42</v>
      </c>
      <c r="R4851">
        <v>0</v>
      </c>
      <c r="S4851" t="s">
        <v>38</v>
      </c>
      <c r="T4851">
        <v>0</v>
      </c>
      <c r="U4851">
        <v>0</v>
      </c>
      <c r="V4851" t="s">
        <v>32</v>
      </c>
      <c r="W4851" t="s">
        <v>39</v>
      </c>
      <c r="X4851" s="4">
        <v>7.4</v>
      </c>
      <c r="Y4851">
        <v>8</v>
      </c>
      <c r="Z4851" s="5">
        <v>193.89</v>
      </c>
    </row>
    <row r="4852" spans="1:26">
      <c r="A4852">
        <v>4851</v>
      </c>
      <c r="B4852">
        <v>1588</v>
      </c>
      <c r="C4852" s="2">
        <v>46121</v>
      </c>
      <c r="D4852" t="s">
        <v>55</v>
      </c>
      <c r="E4852">
        <v>4</v>
      </c>
      <c r="F4852" s="3">
        <v>10.76</v>
      </c>
      <c r="G4852" t="s">
        <v>27</v>
      </c>
      <c r="H4852">
        <v>56</v>
      </c>
      <c r="I4852" t="s">
        <v>28</v>
      </c>
      <c r="J4852" s="4">
        <v>72.7</v>
      </c>
      <c r="K4852" s="4">
        <v>238.6</v>
      </c>
      <c r="L4852" s="4">
        <v>31.6</v>
      </c>
      <c r="M4852">
        <v>17</v>
      </c>
      <c r="N4852" t="s">
        <v>37</v>
      </c>
      <c r="O4852">
        <v>6</v>
      </c>
      <c r="P4852" s="4">
        <v>1128.2</v>
      </c>
      <c r="Q4852" t="s">
        <v>42</v>
      </c>
      <c r="R4852">
        <v>0</v>
      </c>
      <c r="S4852" t="s">
        <v>38</v>
      </c>
      <c r="T4852">
        <v>0</v>
      </c>
      <c r="U4852">
        <v>0</v>
      </c>
      <c r="V4852" t="s">
        <v>32</v>
      </c>
      <c r="W4852" t="s">
        <v>39</v>
      </c>
      <c r="X4852" s="4">
        <v>7.8</v>
      </c>
      <c r="Y4852">
        <v>11</v>
      </c>
      <c r="Z4852" s="5">
        <v>148.91</v>
      </c>
    </row>
    <row r="4853" spans="1:26">
      <c r="A4853">
        <v>4852</v>
      </c>
      <c r="B4853">
        <v>1588</v>
      </c>
      <c r="C4853" s="2">
        <v>46121</v>
      </c>
      <c r="D4853" t="s">
        <v>55</v>
      </c>
      <c r="E4853">
        <v>4</v>
      </c>
      <c r="F4853" s="3">
        <v>10.75</v>
      </c>
      <c r="G4853" t="s">
        <v>27</v>
      </c>
      <c r="H4853">
        <v>46</v>
      </c>
      <c r="I4853" t="s">
        <v>28</v>
      </c>
      <c r="J4853" s="4">
        <v>71.7</v>
      </c>
      <c r="K4853" s="4">
        <v>261.2</v>
      </c>
      <c r="L4853" s="4">
        <v>35.5</v>
      </c>
      <c r="M4853">
        <v>14</v>
      </c>
      <c r="N4853" t="s">
        <v>37</v>
      </c>
      <c r="O4853">
        <v>6</v>
      </c>
      <c r="P4853" s="4">
        <v>1128.2</v>
      </c>
      <c r="Q4853" t="s">
        <v>42</v>
      </c>
      <c r="R4853">
        <v>0</v>
      </c>
      <c r="S4853" t="s">
        <v>38</v>
      </c>
      <c r="T4853">
        <v>0</v>
      </c>
      <c r="U4853">
        <v>0</v>
      </c>
      <c r="V4853" t="s">
        <v>32</v>
      </c>
      <c r="W4853" t="s">
        <v>39</v>
      </c>
      <c r="X4853" s="4">
        <v>7.8</v>
      </c>
      <c r="Y4853">
        <v>10</v>
      </c>
      <c r="Z4853" s="5">
        <v>424.6</v>
      </c>
    </row>
    <row r="4854" spans="1:26">
      <c r="A4854">
        <v>4853</v>
      </c>
      <c r="B4854">
        <v>1589</v>
      </c>
      <c r="C4854" s="2">
        <v>46318</v>
      </c>
      <c r="D4854" t="s">
        <v>26</v>
      </c>
      <c r="E4854">
        <v>10</v>
      </c>
      <c r="F4854" s="3">
        <v>11.73</v>
      </c>
      <c r="G4854" t="s">
        <v>36</v>
      </c>
      <c r="H4854">
        <v>5</v>
      </c>
      <c r="I4854" t="s">
        <v>28</v>
      </c>
      <c r="J4854" s="4">
        <v>55.5</v>
      </c>
      <c r="K4854" s="4">
        <v>92.3</v>
      </c>
      <c r="L4854" s="4">
        <v>21</v>
      </c>
      <c r="M4854">
        <v>11</v>
      </c>
      <c r="N4854" t="s">
        <v>37</v>
      </c>
      <c r="O4854">
        <v>3</v>
      </c>
      <c r="P4854" s="4">
        <v>1138.9000000000001</v>
      </c>
      <c r="Q4854" t="s">
        <v>30</v>
      </c>
      <c r="R4854">
        <v>1</v>
      </c>
      <c r="S4854" t="s">
        <v>31</v>
      </c>
      <c r="T4854">
        <v>0</v>
      </c>
      <c r="U4854">
        <v>1</v>
      </c>
      <c r="V4854" t="s">
        <v>32</v>
      </c>
      <c r="W4854" t="s">
        <v>33</v>
      </c>
      <c r="X4854" s="4">
        <v>10.8</v>
      </c>
      <c r="Y4854">
        <v>11</v>
      </c>
      <c r="Z4854" s="5">
        <v>312.18</v>
      </c>
    </row>
    <row r="4855" spans="1:26">
      <c r="A4855">
        <v>4854</v>
      </c>
      <c r="B4855">
        <v>1589</v>
      </c>
      <c r="C4855" s="2">
        <v>46318</v>
      </c>
      <c r="D4855" t="s">
        <v>26</v>
      </c>
      <c r="E4855">
        <v>10</v>
      </c>
      <c r="F4855" s="3">
        <v>11.68</v>
      </c>
      <c r="G4855" t="s">
        <v>36</v>
      </c>
      <c r="H4855">
        <v>9</v>
      </c>
      <c r="I4855" t="s">
        <v>28</v>
      </c>
      <c r="J4855" s="4">
        <v>66.3</v>
      </c>
      <c r="K4855" s="4">
        <v>125.6</v>
      </c>
      <c r="L4855" s="4">
        <v>20.3</v>
      </c>
      <c r="M4855">
        <v>13</v>
      </c>
      <c r="N4855" t="s">
        <v>37</v>
      </c>
      <c r="O4855">
        <v>3</v>
      </c>
      <c r="P4855" s="4">
        <v>1138.9000000000001</v>
      </c>
      <c r="Q4855" t="s">
        <v>30</v>
      </c>
      <c r="R4855">
        <v>1</v>
      </c>
      <c r="S4855" t="s">
        <v>31</v>
      </c>
      <c r="T4855">
        <v>0</v>
      </c>
      <c r="U4855">
        <v>1</v>
      </c>
      <c r="V4855" t="s">
        <v>32</v>
      </c>
      <c r="W4855" t="s">
        <v>33</v>
      </c>
      <c r="X4855" s="4">
        <v>8.6999999999999993</v>
      </c>
      <c r="Y4855">
        <v>12</v>
      </c>
      <c r="Z4855" s="5">
        <v>262.44</v>
      </c>
    </row>
    <row r="4856" spans="1:26">
      <c r="A4856">
        <v>4855</v>
      </c>
      <c r="B4856">
        <v>1589</v>
      </c>
      <c r="C4856" s="2">
        <v>46318</v>
      </c>
      <c r="D4856" t="s">
        <v>26</v>
      </c>
      <c r="E4856">
        <v>10</v>
      </c>
      <c r="F4856" s="3">
        <v>11.73</v>
      </c>
      <c r="G4856" t="s">
        <v>36</v>
      </c>
      <c r="H4856">
        <v>46</v>
      </c>
      <c r="I4856" t="s">
        <v>28</v>
      </c>
      <c r="J4856" s="4">
        <v>75.900000000000006</v>
      </c>
      <c r="K4856" s="4">
        <v>177.1</v>
      </c>
      <c r="L4856" s="4">
        <v>21.4</v>
      </c>
      <c r="M4856">
        <v>13</v>
      </c>
      <c r="N4856" t="s">
        <v>37</v>
      </c>
      <c r="O4856">
        <v>3</v>
      </c>
      <c r="P4856" s="4">
        <v>1138.9000000000001</v>
      </c>
      <c r="Q4856" t="s">
        <v>30</v>
      </c>
      <c r="R4856">
        <v>1</v>
      </c>
      <c r="S4856" t="s">
        <v>31</v>
      </c>
      <c r="T4856">
        <v>0</v>
      </c>
      <c r="U4856">
        <v>1</v>
      </c>
      <c r="V4856" t="s">
        <v>32</v>
      </c>
      <c r="W4856" t="s">
        <v>33</v>
      </c>
      <c r="X4856" s="4">
        <v>9.1999999999999993</v>
      </c>
      <c r="Y4856">
        <v>16</v>
      </c>
      <c r="Z4856" s="5">
        <v>418.83</v>
      </c>
    </row>
    <row r="4857" spans="1:26">
      <c r="A4857">
        <v>4856</v>
      </c>
      <c r="B4857">
        <v>1590</v>
      </c>
      <c r="C4857" s="2">
        <v>46270</v>
      </c>
      <c r="D4857" t="s">
        <v>40</v>
      </c>
      <c r="E4857">
        <v>9</v>
      </c>
      <c r="F4857" s="3">
        <v>11.82</v>
      </c>
      <c r="G4857" t="s">
        <v>36</v>
      </c>
      <c r="H4857">
        <v>51</v>
      </c>
      <c r="I4857" t="s">
        <v>28</v>
      </c>
      <c r="J4857" s="4">
        <v>68.400000000000006</v>
      </c>
      <c r="K4857" s="4">
        <v>145.1</v>
      </c>
      <c r="L4857" s="4">
        <v>21.9</v>
      </c>
      <c r="M4857">
        <v>15</v>
      </c>
      <c r="N4857" t="s">
        <v>29</v>
      </c>
      <c r="O4857">
        <v>2</v>
      </c>
      <c r="P4857" s="4">
        <v>2532.5</v>
      </c>
      <c r="Q4857" t="s">
        <v>30</v>
      </c>
      <c r="R4857">
        <v>1</v>
      </c>
      <c r="S4857" t="s">
        <v>44</v>
      </c>
      <c r="T4857">
        <v>0</v>
      </c>
      <c r="U4857">
        <v>0</v>
      </c>
      <c r="V4857" t="s">
        <v>32</v>
      </c>
      <c r="W4857" t="s">
        <v>57</v>
      </c>
      <c r="X4857" s="4">
        <v>8</v>
      </c>
      <c r="Y4857">
        <v>7</v>
      </c>
      <c r="Z4857" s="5">
        <v>119.37</v>
      </c>
    </row>
    <row r="4858" spans="1:26">
      <c r="A4858">
        <v>4857</v>
      </c>
      <c r="B4858">
        <v>1590</v>
      </c>
      <c r="C4858" s="2">
        <v>46270</v>
      </c>
      <c r="D4858" t="s">
        <v>40</v>
      </c>
      <c r="E4858">
        <v>9</v>
      </c>
      <c r="F4858" s="3">
        <v>11.88</v>
      </c>
      <c r="G4858" t="s">
        <v>36</v>
      </c>
      <c r="H4858">
        <v>71</v>
      </c>
      <c r="I4858" t="s">
        <v>34</v>
      </c>
      <c r="J4858" s="4">
        <v>60.3</v>
      </c>
      <c r="K4858" s="4">
        <v>148.30000000000001</v>
      </c>
      <c r="L4858" s="4">
        <v>28.6</v>
      </c>
      <c r="M4858">
        <v>13</v>
      </c>
      <c r="N4858" t="s">
        <v>29</v>
      </c>
      <c r="O4858">
        <v>2</v>
      </c>
      <c r="P4858" s="4">
        <v>2532.5</v>
      </c>
      <c r="Q4858" t="s">
        <v>30</v>
      </c>
      <c r="R4858">
        <v>1</v>
      </c>
      <c r="S4858" t="s">
        <v>44</v>
      </c>
      <c r="T4858">
        <v>0</v>
      </c>
      <c r="U4858">
        <v>0</v>
      </c>
      <c r="V4858" t="s">
        <v>32</v>
      </c>
      <c r="W4858" t="s">
        <v>57</v>
      </c>
      <c r="X4858" s="4">
        <v>9.1</v>
      </c>
      <c r="Y4858">
        <v>12</v>
      </c>
      <c r="Z4858" s="5">
        <v>298.81</v>
      </c>
    </row>
    <row r="4859" spans="1:26">
      <c r="A4859">
        <v>4858</v>
      </c>
      <c r="B4859">
        <v>1591</v>
      </c>
      <c r="C4859" s="2">
        <v>46358</v>
      </c>
      <c r="D4859" t="s">
        <v>52</v>
      </c>
      <c r="E4859">
        <v>12</v>
      </c>
      <c r="F4859" s="3">
        <v>12.48</v>
      </c>
      <c r="G4859" t="s">
        <v>36</v>
      </c>
      <c r="H4859">
        <v>14</v>
      </c>
      <c r="I4859" t="s">
        <v>28</v>
      </c>
      <c r="J4859" s="4">
        <v>69.5</v>
      </c>
      <c r="K4859" s="4">
        <v>143.19999999999999</v>
      </c>
      <c r="L4859" s="4">
        <v>20.399999999999999</v>
      </c>
      <c r="M4859">
        <v>11</v>
      </c>
      <c r="N4859" t="s">
        <v>56</v>
      </c>
      <c r="O4859">
        <v>5</v>
      </c>
      <c r="P4859" s="4">
        <v>394.8</v>
      </c>
      <c r="Q4859" t="s">
        <v>42</v>
      </c>
      <c r="R4859">
        <v>1</v>
      </c>
      <c r="S4859" t="s">
        <v>44</v>
      </c>
      <c r="T4859">
        <v>0</v>
      </c>
      <c r="U4859">
        <v>0</v>
      </c>
      <c r="V4859" t="s">
        <v>32</v>
      </c>
      <c r="W4859" t="s">
        <v>39</v>
      </c>
      <c r="X4859" s="4">
        <v>7.2</v>
      </c>
      <c r="Y4859">
        <v>6</v>
      </c>
      <c r="Z4859" s="5">
        <v>157.01</v>
      </c>
    </row>
    <row r="4860" spans="1:26">
      <c r="A4860">
        <v>4859</v>
      </c>
      <c r="B4860">
        <v>1591</v>
      </c>
      <c r="C4860" s="2">
        <v>46358</v>
      </c>
      <c r="D4860" t="s">
        <v>52</v>
      </c>
      <c r="E4860">
        <v>12</v>
      </c>
      <c r="F4860" s="3">
        <v>12.47</v>
      </c>
      <c r="G4860" t="s">
        <v>36</v>
      </c>
      <c r="H4860">
        <v>9</v>
      </c>
      <c r="I4860" t="s">
        <v>34</v>
      </c>
      <c r="J4860" s="4">
        <v>58.3</v>
      </c>
      <c r="K4860" s="4">
        <v>92.4</v>
      </c>
      <c r="L4860" s="4">
        <v>19.3</v>
      </c>
      <c r="M4860">
        <v>12</v>
      </c>
      <c r="N4860" t="s">
        <v>56</v>
      </c>
      <c r="O4860">
        <v>5</v>
      </c>
      <c r="P4860" s="4">
        <v>394.8</v>
      </c>
      <c r="Q4860" t="s">
        <v>42</v>
      </c>
      <c r="R4860">
        <v>1</v>
      </c>
      <c r="S4860" t="s">
        <v>44</v>
      </c>
      <c r="T4860">
        <v>0</v>
      </c>
      <c r="U4860">
        <v>0</v>
      </c>
      <c r="V4860" t="s">
        <v>32</v>
      </c>
      <c r="W4860" t="s">
        <v>39</v>
      </c>
      <c r="X4860" s="4">
        <v>7.2</v>
      </c>
      <c r="Y4860">
        <v>7</v>
      </c>
      <c r="Z4860" s="5">
        <v>244.72</v>
      </c>
    </row>
    <row r="4861" spans="1:26">
      <c r="A4861">
        <v>4860</v>
      </c>
      <c r="B4861">
        <v>1591</v>
      </c>
      <c r="C4861" s="2">
        <v>46358</v>
      </c>
      <c r="D4861" t="s">
        <v>52</v>
      </c>
      <c r="E4861">
        <v>12</v>
      </c>
      <c r="F4861" s="3">
        <v>12.69</v>
      </c>
      <c r="G4861" t="s">
        <v>36</v>
      </c>
      <c r="H4861">
        <v>6</v>
      </c>
      <c r="I4861" t="s">
        <v>28</v>
      </c>
      <c r="J4861" s="4">
        <v>58.1</v>
      </c>
      <c r="K4861" s="4">
        <v>68.099999999999994</v>
      </c>
      <c r="L4861" s="4">
        <v>14.3</v>
      </c>
      <c r="M4861">
        <v>11</v>
      </c>
      <c r="N4861" t="s">
        <v>56</v>
      </c>
      <c r="O4861">
        <v>5</v>
      </c>
      <c r="P4861" s="4">
        <v>394.8</v>
      </c>
      <c r="Q4861" t="s">
        <v>42</v>
      </c>
      <c r="R4861">
        <v>1</v>
      </c>
      <c r="S4861" t="s">
        <v>44</v>
      </c>
      <c r="T4861">
        <v>0</v>
      </c>
      <c r="U4861">
        <v>0</v>
      </c>
      <c r="V4861" t="s">
        <v>32</v>
      </c>
      <c r="W4861" t="s">
        <v>39</v>
      </c>
      <c r="X4861" s="4">
        <v>9.4</v>
      </c>
      <c r="Y4861">
        <v>3</v>
      </c>
      <c r="Z4861" s="5">
        <v>186.32</v>
      </c>
    </row>
    <row r="4862" spans="1:26">
      <c r="A4862">
        <v>4861</v>
      </c>
      <c r="B4862">
        <v>1591</v>
      </c>
      <c r="C4862" s="2">
        <v>46358</v>
      </c>
      <c r="D4862" t="s">
        <v>52</v>
      </c>
      <c r="E4862">
        <v>12</v>
      </c>
      <c r="F4862" s="3">
        <v>12.73</v>
      </c>
      <c r="G4862" t="s">
        <v>36</v>
      </c>
      <c r="H4862">
        <v>26</v>
      </c>
      <c r="I4862" t="s">
        <v>34</v>
      </c>
      <c r="J4862" s="4">
        <v>62.3</v>
      </c>
      <c r="K4862" s="4">
        <v>134.30000000000001</v>
      </c>
      <c r="L4862" s="4">
        <v>24.2</v>
      </c>
      <c r="M4862">
        <v>13</v>
      </c>
      <c r="N4862" t="s">
        <v>56</v>
      </c>
      <c r="O4862">
        <v>5</v>
      </c>
      <c r="P4862" s="4">
        <v>394.8</v>
      </c>
      <c r="Q4862" t="s">
        <v>42</v>
      </c>
      <c r="R4862">
        <v>1</v>
      </c>
      <c r="S4862" t="s">
        <v>44</v>
      </c>
      <c r="T4862">
        <v>0</v>
      </c>
      <c r="U4862">
        <v>0</v>
      </c>
      <c r="V4862" t="s">
        <v>32</v>
      </c>
      <c r="W4862" t="s">
        <v>39</v>
      </c>
      <c r="X4862" s="4">
        <v>7.4</v>
      </c>
      <c r="Y4862">
        <v>6</v>
      </c>
      <c r="Z4862" s="5">
        <v>354.05</v>
      </c>
    </row>
    <row r="4863" spans="1:26">
      <c r="A4863">
        <v>4862</v>
      </c>
      <c r="B4863">
        <v>1591</v>
      </c>
      <c r="C4863" s="2">
        <v>46358</v>
      </c>
      <c r="D4863" t="s">
        <v>52</v>
      </c>
      <c r="E4863">
        <v>12</v>
      </c>
      <c r="F4863" s="3">
        <v>12.38</v>
      </c>
      <c r="G4863" t="s">
        <v>36</v>
      </c>
      <c r="H4863">
        <v>14</v>
      </c>
      <c r="I4863" t="s">
        <v>28</v>
      </c>
      <c r="J4863" s="4">
        <v>70</v>
      </c>
      <c r="K4863" s="4">
        <v>119.5</v>
      </c>
      <c r="L4863" s="4">
        <v>17.2</v>
      </c>
      <c r="M4863">
        <v>16</v>
      </c>
      <c r="N4863" t="s">
        <v>56</v>
      </c>
      <c r="O4863">
        <v>5</v>
      </c>
      <c r="P4863" s="4">
        <v>394.8</v>
      </c>
      <c r="Q4863" t="s">
        <v>42</v>
      </c>
      <c r="R4863">
        <v>1</v>
      </c>
      <c r="S4863" t="s">
        <v>44</v>
      </c>
      <c r="T4863">
        <v>0</v>
      </c>
      <c r="U4863">
        <v>0</v>
      </c>
      <c r="V4863" t="s">
        <v>32</v>
      </c>
      <c r="W4863" t="s">
        <v>39</v>
      </c>
      <c r="X4863" s="4">
        <v>8.8000000000000007</v>
      </c>
      <c r="Y4863">
        <v>13</v>
      </c>
      <c r="Z4863" s="5">
        <v>216.25</v>
      </c>
    </row>
    <row r="4864" spans="1:26">
      <c r="A4864">
        <v>4863</v>
      </c>
      <c r="B4864">
        <v>1592</v>
      </c>
      <c r="C4864" s="2">
        <v>46118</v>
      </c>
      <c r="D4864" t="s">
        <v>46</v>
      </c>
      <c r="E4864">
        <v>4</v>
      </c>
      <c r="F4864" s="3">
        <v>9.8699999999999992</v>
      </c>
      <c r="G4864" t="s">
        <v>27</v>
      </c>
      <c r="H4864">
        <v>40</v>
      </c>
      <c r="I4864" t="s">
        <v>34</v>
      </c>
      <c r="J4864" s="4">
        <v>63.1</v>
      </c>
      <c r="K4864" s="4">
        <v>110.9</v>
      </c>
      <c r="L4864" s="4">
        <v>19.7</v>
      </c>
      <c r="M4864">
        <v>13</v>
      </c>
      <c r="N4864" t="s">
        <v>61</v>
      </c>
      <c r="O4864">
        <v>2</v>
      </c>
      <c r="P4864" s="4">
        <v>1658.5</v>
      </c>
      <c r="Q4864" t="s">
        <v>30</v>
      </c>
      <c r="R4864">
        <v>1</v>
      </c>
      <c r="S4864" t="s">
        <v>38</v>
      </c>
      <c r="T4864">
        <v>0</v>
      </c>
      <c r="U4864">
        <v>0</v>
      </c>
      <c r="V4864" t="s">
        <v>32</v>
      </c>
      <c r="W4864" t="s">
        <v>49</v>
      </c>
      <c r="X4864" s="4">
        <v>11.7</v>
      </c>
      <c r="Y4864">
        <v>11</v>
      </c>
      <c r="Z4864" s="5">
        <v>241.36</v>
      </c>
    </row>
    <row r="4865" spans="1:26">
      <c r="A4865">
        <v>4864</v>
      </c>
      <c r="B4865">
        <v>1592</v>
      </c>
      <c r="C4865" s="2">
        <v>46118</v>
      </c>
      <c r="D4865" t="s">
        <v>46</v>
      </c>
      <c r="E4865">
        <v>4</v>
      </c>
      <c r="F4865" s="3">
        <v>9.57</v>
      </c>
      <c r="G4865" t="s">
        <v>27</v>
      </c>
      <c r="H4865">
        <v>34</v>
      </c>
      <c r="I4865" t="s">
        <v>28</v>
      </c>
      <c r="J4865" s="4">
        <v>69.8</v>
      </c>
      <c r="K4865" s="4">
        <v>195.5</v>
      </c>
      <c r="L4865" s="4">
        <v>28.2</v>
      </c>
      <c r="M4865">
        <v>16</v>
      </c>
      <c r="N4865" t="s">
        <v>61</v>
      </c>
      <c r="O4865">
        <v>2</v>
      </c>
      <c r="P4865" s="4">
        <v>1658.5</v>
      </c>
      <c r="Q4865" t="s">
        <v>30</v>
      </c>
      <c r="R4865">
        <v>1</v>
      </c>
      <c r="S4865" t="s">
        <v>38</v>
      </c>
      <c r="T4865">
        <v>0</v>
      </c>
      <c r="U4865">
        <v>0</v>
      </c>
      <c r="V4865" t="s">
        <v>32</v>
      </c>
      <c r="W4865" t="s">
        <v>49</v>
      </c>
      <c r="X4865" s="4">
        <v>10.7</v>
      </c>
      <c r="Y4865">
        <v>10</v>
      </c>
      <c r="Z4865" s="5">
        <v>239.64</v>
      </c>
    </row>
    <row r="4866" spans="1:26">
      <c r="A4866">
        <v>4865</v>
      </c>
      <c r="B4866">
        <v>1593</v>
      </c>
      <c r="C4866" s="2">
        <v>46123</v>
      </c>
      <c r="D4866" t="s">
        <v>40</v>
      </c>
      <c r="E4866">
        <v>4</v>
      </c>
      <c r="F4866" s="3">
        <v>10.23</v>
      </c>
      <c r="G4866" t="s">
        <v>27</v>
      </c>
      <c r="H4866">
        <v>56</v>
      </c>
      <c r="I4866" t="s">
        <v>34</v>
      </c>
      <c r="J4866" s="4">
        <v>66.7</v>
      </c>
      <c r="K4866" s="4">
        <v>162.9</v>
      </c>
      <c r="L4866" s="4">
        <v>25.8</v>
      </c>
      <c r="M4866">
        <v>13</v>
      </c>
      <c r="N4866" t="s">
        <v>66</v>
      </c>
      <c r="O4866">
        <v>3</v>
      </c>
      <c r="P4866" s="4">
        <v>481.6</v>
      </c>
      <c r="Q4866" t="s">
        <v>42</v>
      </c>
      <c r="R4866">
        <v>1</v>
      </c>
      <c r="S4866" t="s">
        <v>31</v>
      </c>
      <c r="T4866">
        <v>0</v>
      </c>
      <c r="U4866">
        <v>0</v>
      </c>
      <c r="V4866" t="s">
        <v>32</v>
      </c>
      <c r="W4866" t="s">
        <v>49</v>
      </c>
      <c r="X4866" s="4">
        <v>7.1</v>
      </c>
      <c r="Y4866">
        <v>5</v>
      </c>
      <c r="Z4866" s="5">
        <v>229.52</v>
      </c>
    </row>
    <row r="4867" spans="1:26">
      <c r="A4867">
        <v>4866</v>
      </c>
      <c r="B4867">
        <v>1593</v>
      </c>
      <c r="C4867" s="2">
        <v>46123</v>
      </c>
      <c r="D4867" t="s">
        <v>40</v>
      </c>
      <c r="E4867">
        <v>4</v>
      </c>
      <c r="F4867" s="3">
        <v>10.18</v>
      </c>
      <c r="G4867" t="s">
        <v>27</v>
      </c>
      <c r="H4867">
        <v>3</v>
      </c>
      <c r="I4867" t="s">
        <v>28</v>
      </c>
      <c r="J4867" s="4">
        <v>43.3</v>
      </c>
      <c r="K4867" s="4">
        <v>65.400000000000006</v>
      </c>
      <c r="L4867" s="4">
        <v>24.5</v>
      </c>
      <c r="M4867">
        <v>13</v>
      </c>
      <c r="N4867" t="s">
        <v>66</v>
      </c>
      <c r="O4867">
        <v>3</v>
      </c>
      <c r="P4867" s="4">
        <v>481.6</v>
      </c>
      <c r="Q4867" t="s">
        <v>42</v>
      </c>
      <c r="R4867">
        <v>1</v>
      </c>
      <c r="S4867" t="s">
        <v>31</v>
      </c>
      <c r="T4867">
        <v>0</v>
      </c>
      <c r="U4867">
        <v>0</v>
      </c>
      <c r="V4867" t="s">
        <v>32</v>
      </c>
      <c r="W4867" t="s">
        <v>49</v>
      </c>
      <c r="X4867" s="4">
        <v>10</v>
      </c>
      <c r="Y4867">
        <v>10</v>
      </c>
      <c r="Z4867" s="5">
        <v>299.76</v>
      </c>
    </row>
    <row r="4868" spans="1:26">
      <c r="A4868">
        <v>4867</v>
      </c>
      <c r="B4868">
        <v>1593</v>
      </c>
      <c r="C4868" s="2">
        <v>46123</v>
      </c>
      <c r="D4868" t="s">
        <v>40</v>
      </c>
      <c r="E4868">
        <v>4</v>
      </c>
      <c r="F4868" s="3">
        <v>9.98</v>
      </c>
      <c r="G4868" t="s">
        <v>27</v>
      </c>
      <c r="H4868">
        <v>18</v>
      </c>
      <c r="I4868" t="s">
        <v>28</v>
      </c>
      <c r="J4868" s="4">
        <v>69.599999999999994</v>
      </c>
      <c r="K4868" s="4">
        <v>207.9</v>
      </c>
      <c r="L4868" s="4">
        <v>30.3</v>
      </c>
      <c r="M4868">
        <v>14</v>
      </c>
      <c r="N4868" t="s">
        <v>66</v>
      </c>
      <c r="O4868">
        <v>3</v>
      </c>
      <c r="P4868" s="4">
        <v>481.6</v>
      </c>
      <c r="Q4868" t="s">
        <v>42</v>
      </c>
      <c r="R4868">
        <v>1</v>
      </c>
      <c r="S4868" t="s">
        <v>31</v>
      </c>
      <c r="T4868">
        <v>0</v>
      </c>
      <c r="U4868">
        <v>0</v>
      </c>
      <c r="V4868" t="s">
        <v>32</v>
      </c>
      <c r="W4868" t="s">
        <v>49</v>
      </c>
      <c r="X4868" s="4">
        <v>9.1999999999999993</v>
      </c>
      <c r="Y4868">
        <v>8</v>
      </c>
      <c r="Z4868" s="5">
        <v>332.68</v>
      </c>
    </row>
    <row r="4869" spans="1:26">
      <c r="A4869">
        <v>4868</v>
      </c>
      <c r="B4869">
        <v>1594</v>
      </c>
      <c r="C4869" s="2">
        <v>46138</v>
      </c>
      <c r="D4869" t="s">
        <v>58</v>
      </c>
      <c r="E4869">
        <v>4</v>
      </c>
      <c r="F4869" s="3">
        <v>10.039999999999999</v>
      </c>
      <c r="G4869" t="s">
        <v>27</v>
      </c>
      <c r="H4869">
        <v>8</v>
      </c>
      <c r="I4869" t="s">
        <v>34</v>
      </c>
      <c r="J4869" s="4">
        <v>62.4</v>
      </c>
      <c r="K4869" s="4">
        <v>118.9</v>
      </c>
      <c r="L4869" s="4">
        <v>21.6</v>
      </c>
      <c r="M4869">
        <v>19</v>
      </c>
      <c r="N4869" t="s">
        <v>56</v>
      </c>
      <c r="O4869">
        <v>4</v>
      </c>
      <c r="P4869" s="4">
        <v>399.2</v>
      </c>
      <c r="Q4869" t="s">
        <v>48</v>
      </c>
      <c r="R4869">
        <v>1</v>
      </c>
      <c r="S4869" t="s">
        <v>38</v>
      </c>
      <c r="T4869">
        <v>1</v>
      </c>
      <c r="U4869">
        <v>0</v>
      </c>
      <c r="V4869" t="s">
        <v>32</v>
      </c>
      <c r="W4869" t="s">
        <v>43</v>
      </c>
      <c r="X4869" s="4">
        <v>8</v>
      </c>
      <c r="Y4869">
        <v>8</v>
      </c>
      <c r="Z4869" s="5">
        <v>152.44999999999999</v>
      </c>
    </row>
    <row r="4870" spans="1:26">
      <c r="A4870">
        <v>4869</v>
      </c>
      <c r="B4870">
        <v>1594</v>
      </c>
      <c r="C4870" s="2">
        <v>46138</v>
      </c>
      <c r="D4870" t="s">
        <v>58</v>
      </c>
      <c r="E4870">
        <v>4</v>
      </c>
      <c r="F4870" s="3">
        <v>9.89</v>
      </c>
      <c r="G4870" t="s">
        <v>27</v>
      </c>
      <c r="H4870">
        <v>70</v>
      </c>
      <c r="I4870" t="s">
        <v>34</v>
      </c>
      <c r="J4870" s="4">
        <v>62.5</v>
      </c>
      <c r="K4870" s="4">
        <v>181.8</v>
      </c>
      <c r="L4870" s="4">
        <v>32.5</v>
      </c>
      <c r="M4870">
        <v>17</v>
      </c>
      <c r="N4870" t="s">
        <v>56</v>
      </c>
      <c r="O4870">
        <v>4</v>
      </c>
      <c r="P4870" s="4">
        <v>399.2</v>
      </c>
      <c r="Q4870" t="s">
        <v>48</v>
      </c>
      <c r="R4870">
        <v>1</v>
      </c>
      <c r="S4870" t="s">
        <v>38</v>
      </c>
      <c r="T4870">
        <v>1</v>
      </c>
      <c r="U4870">
        <v>0</v>
      </c>
      <c r="V4870" t="s">
        <v>32</v>
      </c>
      <c r="W4870" t="s">
        <v>43</v>
      </c>
      <c r="X4870" s="4">
        <v>9.1</v>
      </c>
      <c r="Y4870">
        <v>7</v>
      </c>
      <c r="Z4870" s="5">
        <v>554.65</v>
      </c>
    </row>
    <row r="4871" spans="1:26">
      <c r="A4871">
        <v>4870</v>
      </c>
      <c r="B4871">
        <v>1594</v>
      </c>
      <c r="C4871" s="2">
        <v>46138</v>
      </c>
      <c r="D4871" t="s">
        <v>58</v>
      </c>
      <c r="E4871">
        <v>4</v>
      </c>
      <c r="F4871" s="3">
        <v>9.6300000000000008</v>
      </c>
      <c r="G4871" t="s">
        <v>27</v>
      </c>
      <c r="H4871">
        <v>31</v>
      </c>
      <c r="I4871" t="s">
        <v>28</v>
      </c>
      <c r="J4871" s="4">
        <v>72.5</v>
      </c>
      <c r="K4871" s="4">
        <v>181.7</v>
      </c>
      <c r="L4871" s="4">
        <v>24.4</v>
      </c>
      <c r="M4871">
        <v>15</v>
      </c>
      <c r="N4871" t="s">
        <v>56</v>
      </c>
      <c r="O4871">
        <v>4</v>
      </c>
      <c r="P4871" s="4">
        <v>399.2</v>
      </c>
      <c r="Q4871" t="s">
        <v>48</v>
      </c>
      <c r="R4871">
        <v>1</v>
      </c>
      <c r="S4871" t="s">
        <v>38</v>
      </c>
      <c r="T4871">
        <v>1</v>
      </c>
      <c r="U4871">
        <v>0</v>
      </c>
      <c r="V4871" t="s">
        <v>32</v>
      </c>
      <c r="W4871" t="s">
        <v>43</v>
      </c>
      <c r="X4871" s="4">
        <v>8.6</v>
      </c>
      <c r="Y4871">
        <v>6</v>
      </c>
      <c r="Z4871" s="5">
        <v>226.25</v>
      </c>
    </row>
    <row r="4872" spans="1:26">
      <c r="A4872">
        <v>4871</v>
      </c>
      <c r="B4872">
        <v>1594</v>
      </c>
      <c r="C4872" s="2">
        <v>46138</v>
      </c>
      <c r="D4872" t="s">
        <v>58</v>
      </c>
      <c r="E4872">
        <v>4</v>
      </c>
      <c r="F4872" s="3">
        <v>9.69</v>
      </c>
      <c r="G4872" t="s">
        <v>27</v>
      </c>
      <c r="H4872">
        <v>66</v>
      </c>
      <c r="I4872" t="s">
        <v>28</v>
      </c>
      <c r="J4872" s="4">
        <v>67.099999999999994</v>
      </c>
      <c r="K4872" s="4">
        <v>200.6</v>
      </c>
      <c r="L4872" s="4">
        <v>31.4</v>
      </c>
      <c r="M4872">
        <v>20</v>
      </c>
      <c r="N4872" t="s">
        <v>56</v>
      </c>
      <c r="O4872">
        <v>4</v>
      </c>
      <c r="P4872" s="4">
        <v>399.2</v>
      </c>
      <c r="Q4872" t="s">
        <v>48</v>
      </c>
      <c r="R4872">
        <v>1</v>
      </c>
      <c r="S4872" t="s">
        <v>38</v>
      </c>
      <c r="T4872">
        <v>1</v>
      </c>
      <c r="U4872">
        <v>0</v>
      </c>
      <c r="V4872" t="s">
        <v>32</v>
      </c>
      <c r="W4872" t="s">
        <v>43</v>
      </c>
      <c r="X4872" s="4">
        <v>10.5</v>
      </c>
      <c r="Y4872">
        <v>9</v>
      </c>
      <c r="Z4872" s="5">
        <v>262.99</v>
      </c>
    </row>
    <row r="4873" spans="1:26">
      <c r="A4873">
        <v>4872</v>
      </c>
      <c r="B4873">
        <v>1595</v>
      </c>
      <c r="C4873" s="2">
        <v>46145</v>
      </c>
      <c r="D4873" t="s">
        <v>58</v>
      </c>
      <c r="E4873">
        <v>5</v>
      </c>
      <c r="F4873" s="3">
        <v>10.039999999999999</v>
      </c>
      <c r="G4873" t="s">
        <v>27</v>
      </c>
      <c r="H4873">
        <v>46</v>
      </c>
      <c r="I4873" t="s">
        <v>34</v>
      </c>
      <c r="J4873" s="4">
        <v>68.099999999999994</v>
      </c>
      <c r="K4873" s="4">
        <v>182</v>
      </c>
      <c r="L4873" s="4">
        <v>27.6</v>
      </c>
      <c r="M4873">
        <v>13</v>
      </c>
      <c r="N4873" t="s">
        <v>50</v>
      </c>
      <c r="O4873">
        <v>5</v>
      </c>
      <c r="P4873" s="4">
        <v>277.39999999999998</v>
      </c>
      <c r="Q4873" t="s">
        <v>30</v>
      </c>
      <c r="R4873">
        <v>0</v>
      </c>
      <c r="S4873" t="s">
        <v>44</v>
      </c>
      <c r="T4873">
        <v>0</v>
      </c>
      <c r="U4873">
        <v>1</v>
      </c>
      <c r="V4873" t="s">
        <v>64</v>
      </c>
      <c r="W4873" t="s">
        <v>33</v>
      </c>
      <c r="X4873" s="4">
        <v>7.3</v>
      </c>
      <c r="Y4873">
        <v>2</v>
      </c>
      <c r="Z4873" s="5">
        <v>144.41999999999999</v>
      </c>
    </row>
    <row r="4874" spans="1:26">
      <c r="A4874">
        <v>4873</v>
      </c>
      <c r="B4874">
        <v>1595</v>
      </c>
      <c r="C4874" s="2">
        <v>46145</v>
      </c>
      <c r="D4874" t="s">
        <v>58</v>
      </c>
      <c r="E4874">
        <v>5</v>
      </c>
      <c r="F4874" s="3">
        <v>10.06</v>
      </c>
      <c r="G4874" t="s">
        <v>27</v>
      </c>
      <c r="H4874">
        <v>54</v>
      </c>
      <c r="I4874" t="s">
        <v>34</v>
      </c>
      <c r="J4874" s="4">
        <v>62.3</v>
      </c>
      <c r="K4874" s="4">
        <v>133.30000000000001</v>
      </c>
      <c r="L4874" s="4">
        <v>24.4</v>
      </c>
      <c r="M4874">
        <v>16</v>
      </c>
      <c r="N4874" t="s">
        <v>50</v>
      </c>
      <c r="O4874">
        <v>5</v>
      </c>
      <c r="P4874" s="4">
        <v>277.39999999999998</v>
      </c>
      <c r="Q4874" t="s">
        <v>30</v>
      </c>
      <c r="R4874">
        <v>0</v>
      </c>
      <c r="S4874" t="s">
        <v>44</v>
      </c>
      <c r="T4874">
        <v>0</v>
      </c>
      <c r="U4874">
        <v>1</v>
      </c>
      <c r="V4874" t="s">
        <v>64</v>
      </c>
      <c r="W4874" t="s">
        <v>33</v>
      </c>
      <c r="X4874" s="4">
        <v>7.3</v>
      </c>
      <c r="Y4874">
        <v>6</v>
      </c>
      <c r="Z4874" s="5">
        <v>148.96</v>
      </c>
    </row>
    <row r="4875" spans="1:26">
      <c r="A4875">
        <v>4874</v>
      </c>
      <c r="B4875">
        <v>1595</v>
      </c>
      <c r="C4875" s="2">
        <v>46145</v>
      </c>
      <c r="D4875" t="s">
        <v>58</v>
      </c>
      <c r="E4875">
        <v>5</v>
      </c>
      <c r="F4875" s="3">
        <v>9.76</v>
      </c>
      <c r="G4875" t="s">
        <v>27</v>
      </c>
      <c r="H4875">
        <v>32</v>
      </c>
      <c r="I4875" t="s">
        <v>34</v>
      </c>
      <c r="J4875" s="4">
        <v>68.900000000000006</v>
      </c>
      <c r="K4875" s="4">
        <v>164.5</v>
      </c>
      <c r="L4875" s="4">
        <v>24.4</v>
      </c>
      <c r="M4875">
        <v>11</v>
      </c>
      <c r="N4875" t="s">
        <v>50</v>
      </c>
      <c r="O4875">
        <v>5</v>
      </c>
      <c r="P4875" s="4">
        <v>277.39999999999998</v>
      </c>
      <c r="Q4875" t="s">
        <v>30</v>
      </c>
      <c r="R4875">
        <v>0</v>
      </c>
      <c r="S4875" t="s">
        <v>44</v>
      </c>
      <c r="T4875">
        <v>0</v>
      </c>
      <c r="U4875">
        <v>1</v>
      </c>
      <c r="V4875" t="s">
        <v>64</v>
      </c>
      <c r="W4875" t="s">
        <v>33</v>
      </c>
      <c r="X4875" s="4">
        <v>9.1999999999999993</v>
      </c>
      <c r="Y4875">
        <v>5</v>
      </c>
      <c r="Z4875" s="5">
        <v>175.05</v>
      </c>
    </row>
    <row r="4876" spans="1:26">
      <c r="A4876">
        <v>4875</v>
      </c>
      <c r="B4876">
        <v>1595</v>
      </c>
      <c r="C4876" s="2">
        <v>46145</v>
      </c>
      <c r="D4876" t="s">
        <v>58</v>
      </c>
      <c r="E4876">
        <v>5</v>
      </c>
      <c r="F4876" s="3">
        <v>9.59</v>
      </c>
      <c r="G4876" t="s">
        <v>27</v>
      </c>
      <c r="H4876">
        <v>50</v>
      </c>
      <c r="I4876" t="s">
        <v>28</v>
      </c>
      <c r="J4876" s="4">
        <v>68.5</v>
      </c>
      <c r="K4876" s="4">
        <v>136.80000000000001</v>
      </c>
      <c r="L4876" s="4">
        <v>20.399999999999999</v>
      </c>
      <c r="M4876">
        <v>10</v>
      </c>
      <c r="N4876" t="s">
        <v>50</v>
      </c>
      <c r="O4876">
        <v>5</v>
      </c>
      <c r="P4876" s="4">
        <v>277.39999999999998</v>
      </c>
      <c r="Q4876" t="s">
        <v>30</v>
      </c>
      <c r="R4876">
        <v>0</v>
      </c>
      <c r="S4876" t="s">
        <v>44</v>
      </c>
      <c r="T4876">
        <v>0</v>
      </c>
      <c r="U4876">
        <v>1</v>
      </c>
      <c r="V4876" t="s">
        <v>64</v>
      </c>
      <c r="W4876" t="s">
        <v>33</v>
      </c>
      <c r="X4876" s="4">
        <v>8.1999999999999993</v>
      </c>
      <c r="Y4876">
        <v>18</v>
      </c>
      <c r="Z4876" s="5">
        <v>202.65</v>
      </c>
    </row>
    <row r="4877" spans="1:26">
      <c r="A4877">
        <v>4876</v>
      </c>
      <c r="B4877">
        <v>1595</v>
      </c>
      <c r="C4877" s="2">
        <v>46145</v>
      </c>
      <c r="D4877" t="s">
        <v>58</v>
      </c>
      <c r="E4877">
        <v>5</v>
      </c>
      <c r="F4877" s="3">
        <v>9.77</v>
      </c>
      <c r="G4877" t="s">
        <v>27</v>
      </c>
      <c r="H4877">
        <v>33</v>
      </c>
      <c r="I4877" t="s">
        <v>34</v>
      </c>
      <c r="J4877" s="4">
        <v>65.900000000000006</v>
      </c>
      <c r="K4877" s="4">
        <v>170.3</v>
      </c>
      <c r="L4877" s="4">
        <v>27.7</v>
      </c>
      <c r="M4877">
        <v>11</v>
      </c>
      <c r="N4877" t="s">
        <v>50</v>
      </c>
      <c r="O4877">
        <v>5</v>
      </c>
      <c r="P4877" s="4">
        <v>277.39999999999998</v>
      </c>
      <c r="Q4877" t="s">
        <v>30</v>
      </c>
      <c r="R4877">
        <v>0</v>
      </c>
      <c r="S4877" t="s">
        <v>44</v>
      </c>
      <c r="T4877">
        <v>0</v>
      </c>
      <c r="U4877">
        <v>1</v>
      </c>
      <c r="V4877" t="s">
        <v>64</v>
      </c>
      <c r="W4877" t="s">
        <v>33</v>
      </c>
      <c r="X4877" s="4">
        <v>7</v>
      </c>
      <c r="Y4877">
        <v>8</v>
      </c>
      <c r="Z4877" s="5">
        <v>109.03</v>
      </c>
    </row>
    <row r="4878" spans="1:26">
      <c r="A4878">
        <v>4877</v>
      </c>
      <c r="B4878">
        <v>1596</v>
      </c>
      <c r="C4878" s="2">
        <v>46125</v>
      </c>
      <c r="D4878" t="s">
        <v>46</v>
      </c>
      <c r="E4878">
        <v>4</v>
      </c>
      <c r="F4878" s="3">
        <v>9.11</v>
      </c>
      <c r="G4878" t="s">
        <v>27</v>
      </c>
      <c r="H4878">
        <v>57</v>
      </c>
      <c r="I4878" t="s">
        <v>28</v>
      </c>
      <c r="J4878" s="4">
        <v>67.400000000000006</v>
      </c>
      <c r="K4878" s="4">
        <v>156.30000000000001</v>
      </c>
      <c r="L4878" s="4">
        <v>24.3</v>
      </c>
      <c r="M4878">
        <v>16</v>
      </c>
      <c r="N4878" t="s">
        <v>47</v>
      </c>
      <c r="O4878">
        <v>1</v>
      </c>
      <c r="P4878" s="4">
        <v>22.7</v>
      </c>
      <c r="Q4878" t="s">
        <v>30</v>
      </c>
      <c r="R4878">
        <v>0</v>
      </c>
      <c r="S4878" t="s">
        <v>38</v>
      </c>
      <c r="T4878">
        <v>1</v>
      </c>
      <c r="U4878">
        <v>0</v>
      </c>
      <c r="V4878" t="s">
        <v>32</v>
      </c>
      <c r="W4878" t="s">
        <v>39</v>
      </c>
      <c r="X4878" s="4">
        <v>8.9</v>
      </c>
      <c r="Y4878">
        <v>8</v>
      </c>
      <c r="Z4878" s="5">
        <v>286.95999999999998</v>
      </c>
    </row>
    <row r="4879" spans="1:26">
      <c r="A4879">
        <v>4878</v>
      </c>
      <c r="B4879">
        <v>1597</v>
      </c>
      <c r="C4879" s="2">
        <v>46159</v>
      </c>
      <c r="D4879" t="s">
        <v>58</v>
      </c>
      <c r="E4879">
        <v>5</v>
      </c>
      <c r="F4879" s="3">
        <v>10.47</v>
      </c>
      <c r="G4879" t="s">
        <v>27</v>
      </c>
      <c r="H4879">
        <v>35</v>
      </c>
      <c r="I4879" t="s">
        <v>34</v>
      </c>
      <c r="J4879" s="4">
        <v>68.7</v>
      </c>
      <c r="K4879" s="4">
        <v>204.8</v>
      </c>
      <c r="L4879" s="4">
        <v>30.7</v>
      </c>
      <c r="M4879">
        <v>13</v>
      </c>
      <c r="N4879" t="s">
        <v>50</v>
      </c>
      <c r="O4879">
        <v>1</v>
      </c>
      <c r="P4879" s="4">
        <v>295.89999999999998</v>
      </c>
      <c r="Q4879" t="s">
        <v>30</v>
      </c>
      <c r="R4879">
        <v>0</v>
      </c>
      <c r="S4879" t="s">
        <v>44</v>
      </c>
      <c r="T4879">
        <v>1</v>
      </c>
      <c r="U4879">
        <v>0</v>
      </c>
      <c r="V4879" t="s">
        <v>32</v>
      </c>
      <c r="W4879" t="s">
        <v>57</v>
      </c>
      <c r="X4879" s="4">
        <v>8.3000000000000007</v>
      </c>
      <c r="Y4879">
        <v>12</v>
      </c>
      <c r="Z4879" s="5">
        <v>267.60000000000002</v>
      </c>
    </row>
    <row r="4880" spans="1:26">
      <c r="A4880">
        <v>4879</v>
      </c>
      <c r="B4880">
        <v>1598</v>
      </c>
      <c r="C4880" s="2">
        <v>46275</v>
      </c>
      <c r="D4880" t="s">
        <v>55</v>
      </c>
      <c r="E4880">
        <v>9</v>
      </c>
      <c r="F4880" s="3">
        <v>8.26</v>
      </c>
      <c r="G4880" t="s">
        <v>27</v>
      </c>
      <c r="H4880">
        <v>61</v>
      </c>
      <c r="I4880" t="s">
        <v>28</v>
      </c>
      <c r="J4880" s="4">
        <v>65.8</v>
      </c>
      <c r="K4880" s="4">
        <v>161.4</v>
      </c>
      <c r="L4880" s="4">
        <v>26.2</v>
      </c>
      <c r="M4880">
        <v>16</v>
      </c>
      <c r="N4880" t="s">
        <v>47</v>
      </c>
      <c r="O4880">
        <v>3</v>
      </c>
      <c r="P4880" s="4">
        <v>76.8</v>
      </c>
      <c r="Q4880" t="s">
        <v>42</v>
      </c>
      <c r="R4880">
        <v>0</v>
      </c>
      <c r="S4880" t="s">
        <v>44</v>
      </c>
      <c r="T4880">
        <v>0</v>
      </c>
      <c r="U4880">
        <v>0</v>
      </c>
      <c r="V4880" t="s">
        <v>32</v>
      </c>
      <c r="W4880" t="s">
        <v>43</v>
      </c>
      <c r="X4880" s="4">
        <v>5.7</v>
      </c>
      <c r="Y4880">
        <v>6</v>
      </c>
      <c r="Z4880" s="5">
        <v>97.99</v>
      </c>
    </row>
    <row r="4881" spans="1:26">
      <c r="A4881">
        <v>4880</v>
      </c>
      <c r="B4881">
        <v>1598</v>
      </c>
      <c r="C4881" s="2">
        <v>46275</v>
      </c>
      <c r="D4881" t="s">
        <v>55</v>
      </c>
      <c r="E4881">
        <v>9</v>
      </c>
      <c r="F4881" s="3">
        <v>8.06</v>
      </c>
      <c r="G4881" t="s">
        <v>27</v>
      </c>
      <c r="H4881">
        <v>40</v>
      </c>
      <c r="I4881" t="s">
        <v>34</v>
      </c>
      <c r="J4881" s="4">
        <v>64.099999999999994</v>
      </c>
      <c r="K4881" s="4">
        <v>147.9</v>
      </c>
      <c r="L4881" s="4">
        <v>25.5</v>
      </c>
      <c r="M4881">
        <v>15</v>
      </c>
      <c r="N4881" t="s">
        <v>47</v>
      </c>
      <c r="O4881">
        <v>3</v>
      </c>
      <c r="P4881" s="4">
        <v>76.8</v>
      </c>
      <c r="Q4881" t="s">
        <v>42</v>
      </c>
      <c r="R4881">
        <v>0</v>
      </c>
      <c r="S4881" t="s">
        <v>44</v>
      </c>
      <c r="T4881">
        <v>0</v>
      </c>
      <c r="U4881">
        <v>0</v>
      </c>
      <c r="V4881" t="s">
        <v>32</v>
      </c>
      <c r="W4881" t="s">
        <v>43</v>
      </c>
      <c r="X4881" s="4">
        <v>8.4</v>
      </c>
      <c r="Y4881">
        <v>9</v>
      </c>
      <c r="Z4881" s="5">
        <v>369.03</v>
      </c>
    </row>
    <row r="4882" spans="1:26">
      <c r="A4882">
        <v>4881</v>
      </c>
      <c r="B4882">
        <v>1598</v>
      </c>
      <c r="C4882" s="2">
        <v>46275</v>
      </c>
      <c r="D4882" t="s">
        <v>55</v>
      </c>
      <c r="E4882">
        <v>9</v>
      </c>
      <c r="F4882" s="3">
        <v>8.31</v>
      </c>
      <c r="G4882" t="s">
        <v>27</v>
      </c>
      <c r="H4882">
        <v>31</v>
      </c>
      <c r="I4882" t="s">
        <v>28</v>
      </c>
      <c r="J4882" s="4">
        <v>74.3</v>
      </c>
      <c r="K4882" s="4">
        <v>234.7</v>
      </c>
      <c r="L4882" s="4">
        <v>29.8</v>
      </c>
      <c r="M4882">
        <v>14</v>
      </c>
      <c r="N4882" t="s">
        <v>47</v>
      </c>
      <c r="O4882">
        <v>3</v>
      </c>
      <c r="P4882" s="4">
        <v>76.8</v>
      </c>
      <c r="Q4882" t="s">
        <v>42</v>
      </c>
      <c r="R4882">
        <v>0</v>
      </c>
      <c r="S4882" t="s">
        <v>44</v>
      </c>
      <c r="T4882">
        <v>0</v>
      </c>
      <c r="U4882">
        <v>0</v>
      </c>
      <c r="V4882" t="s">
        <v>32</v>
      </c>
      <c r="W4882" t="s">
        <v>43</v>
      </c>
      <c r="X4882" s="4">
        <v>7</v>
      </c>
      <c r="Y4882">
        <v>6</v>
      </c>
      <c r="Z4882" s="5">
        <v>85.68</v>
      </c>
    </row>
    <row r="4883" spans="1:26">
      <c r="A4883">
        <v>4882</v>
      </c>
      <c r="B4883">
        <v>1599</v>
      </c>
      <c r="C4883" s="2">
        <v>46257</v>
      </c>
      <c r="D4883" t="s">
        <v>58</v>
      </c>
      <c r="E4883">
        <v>8</v>
      </c>
      <c r="F4883" s="3">
        <v>11.19</v>
      </c>
      <c r="G4883" t="s">
        <v>36</v>
      </c>
      <c r="H4883">
        <v>18</v>
      </c>
      <c r="I4883" t="s">
        <v>28</v>
      </c>
      <c r="J4883" s="4">
        <v>66.7</v>
      </c>
      <c r="K4883" s="4">
        <v>159.6</v>
      </c>
      <c r="L4883" s="4">
        <v>25.5</v>
      </c>
      <c r="M4883">
        <v>15</v>
      </c>
      <c r="N4883" t="s">
        <v>47</v>
      </c>
      <c r="O4883">
        <v>6</v>
      </c>
      <c r="P4883" s="4">
        <v>270.2</v>
      </c>
      <c r="Q4883" t="s">
        <v>48</v>
      </c>
      <c r="R4883">
        <v>1</v>
      </c>
      <c r="S4883" t="s">
        <v>44</v>
      </c>
      <c r="T4883">
        <v>1</v>
      </c>
      <c r="U4883">
        <v>0</v>
      </c>
      <c r="V4883" t="s">
        <v>32</v>
      </c>
      <c r="W4883" t="s">
        <v>43</v>
      </c>
      <c r="X4883" s="4">
        <v>9.9</v>
      </c>
      <c r="Y4883">
        <v>7</v>
      </c>
      <c r="Z4883" s="5">
        <v>300.41000000000003</v>
      </c>
    </row>
    <row r="4884" spans="1:26">
      <c r="A4884">
        <v>4883</v>
      </c>
      <c r="B4884">
        <v>1599</v>
      </c>
      <c r="C4884" s="2">
        <v>46257</v>
      </c>
      <c r="D4884" t="s">
        <v>58</v>
      </c>
      <c r="E4884">
        <v>8</v>
      </c>
      <c r="F4884" s="3">
        <v>11.31</v>
      </c>
      <c r="G4884" t="s">
        <v>36</v>
      </c>
      <c r="H4884">
        <v>70</v>
      </c>
      <c r="I4884" t="s">
        <v>34</v>
      </c>
      <c r="J4884" s="4">
        <v>65.3</v>
      </c>
      <c r="K4884" s="4">
        <v>172.2</v>
      </c>
      <c r="L4884" s="4">
        <v>28.3</v>
      </c>
      <c r="M4884">
        <v>19</v>
      </c>
      <c r="N4884" t="s">
        <v>47</v>
      </c>
      <c r="O4884">
        <v>6</v>
      </c>
      <c r="P4884" s="4">
        <v>270.2</v>
      </c>
      <c r="Q4884" t="s">
        <v>48</v>
      </c>
      <c r="R4884">
        <v>1</v>
      </c>
      <c r="S4884" t="s">
        <v>44</v>
      </c>
      <c r="T4884">
        <v>1</v>
      </c>
      <c r="U4884">
        <v>0</v>
      </c>
      <c r="V4884" t="s">
        <v>32</v>
      </c>
      <c r="W4884" t="s">
        <v>43</v>
      </c>
      <c r="X4884" s="4">
        <v>7.2</v>
      </c>
      <c r="Y4884">
        <v>11</v>
      </c>
      <c r="Z4884" s="5">
        <v>310.94</v>
      </c>
    </row>
    <row r="4885" spans="1:26">
      <c r="A4885">
        <v>4884</v>
      </c>
      <c r="B4885">
        <v>1599</v>
      </c>
      <c r="C4885" s="2">
        <v>46257</v>
      </c>
      <c r="D4885" t="s">
        <v>58</v>
      </c>
      <c r="E4885">
        <v>8</v>
      </c>
      <c r="F4885" s="3">
        <v>11.03</v>
      </c>
      <c r="G4885" t="s">
        <v>36</v>
      </c>
      <c r="H4885">
        <v>38</v>
      </c>
      <c r="I4885" t="s">
        <v>28</v>
      </c>
      <c r="J4885" s="4">
        <v>70.7</v>
      </c>
      <c r="K4885" s="4">
        <v>195.5</v>
      </c>
      <c r="L4885" s="4">
        <v>27.8</v>
      </c>
      <c r="M4885">
        <v>16</v>
      </c>
      <c r="N4885" t="s">
        <v>47</v>
      </c>
      <c r="O4885">
        <v>6</v>
      </c>
      <c r="P4885" s="4">
        <v>270.2</v>
      </c>
      <c r="Q4885" t="s">
        <v>48</v>
      </c>
      <c r="R4885">
        <v>1</v>
      </c>
      <c r="S4885" t="s">
        <v>44</v>
      </c>
      <c r="T4885">
        <v>1</v>
      </c>
      <c r="U4885">
        <v>0</v>
      </c>
      <c r="V4885" t="s">
        <v>32</v>
      </c>
      <c r="W4885" t="s">
        <v>43</v>
      </c>
      <c r="X4885" s="4">
        <v>8.6999999999999993</v>
      </c>
      <c r="Y4885">
        <v>16</v>
      </c>
      <c r="Z4885" s="5">
        <v>321.7</v>
      </c>
    </row>
    <row r="4886" spans="1:26">
      <c r="A4886">
        <v>4885</v>
      </c>
      <c r="B4886">
        <v>1599</v>
      </c>
      <c r="C4886" s="2">
        <v>46257</v>
      </c>
      <c r="D4886" t="s">
        <v>58</v>
      </c>
      <c r="E4886">
        <v>8</v>
      </c>
      <c r="F4886" s="3">
        <v>11.24</v>
      </c>
      <c r="G4886" t="s">
        <v>36</v>
      </c>
      <c r="H4886">
        <v>46</v>
      </c>
      <c r="I4886" t="s">
        <v>34</v>
      </c>
      <c r="J4886" s="4">
        <v>64.099999999999994</v>
      </c>
      <c r="K4886" s="4">
        <v>184.5</v>
      </c>
      <c r="L4886" s="4">
        <v>31.4</v>
      </c>
      <c r="M4886">
        <v>16</v>
      </c>
      <c r="N4886" t="s">
        <v>47</v>
      </c>
      <c r="O4886">
        <v>6</v>
      </c>
      <c r="P4886" s="4">
        <v>270.2</v>
      </c>
      <c r="Q4886" t="s">
        <v>48</v>
      </c>
      <c r="R4886">
        <v>1</v>
      </c>
      <c r="S4886" t="s">
        <v>44</v>
      </c>
      <c r="T4886">
        <v>1</v>
      </c>
      <c r="U4886">
        <v>0</v>
      </c>
      <c r="V4886" t="s">
        <v>32</v>
      </c>
      <c r="W4886" t="s">
        <v>43</v>
      </c>
      <c r="X4886" s="4">
        <v>9.8000000000000007</v>
      </c>
      <c r="Y4886">
        <v>9</v>
      </c>
      <c r="Z4886" s="5">
        <v>332.31</v>
      </c>
    </row>
    <row r="4887" spans="1:26">
      <c r="A4887">
        <v>4886</v>
      </c>
      <c r="B4887">
        <v>1599</v>
      </c>
      <c r="C4887" s="2">
        <v>46257</v>
      </c>
      <c r="D4887" t="s">
        <v>58</v>
      </c>
      <c r="E4887">
        <v>8</v>
      </c>
      <c r="F4887" s="3">
        <v>11.27</v>
      </c>
      <c r="G4887" t="s">
        <v>36</v>
      </c>
      <c r="H4887">
        <v>50</v>
      </c>
      <c r="I4887" t="s">
        <v>34</v>
      </c>
      <c r="J4887" s="4">
        <v>58.6</v>
      </c>
      <c r="K4887" s="4">
        <v>135.9</v>
      </c>
      <c r="L4887" s="4">
        <v>27.4</v>
      </c>
      <c r="M4887">
        <v>15</v>
      </c>
      <c r="N4887" t="s">
        <v>47</v>
      </c>
      <c r="O4887">
        <v>6</v>
      </c>
      <c r="P4887" s="4">
        <v>270.2</v>
      </c>
      <c r="Q4887" t="s">
        <v>48</v>
      </c>
      <c r="R4887">
        <v>1</v>
      </c>
      <c r="S4887" t="s">
        <v>44</v>
      </c>
      <c r="T4887">
        <v>1</v>
      </c>
      <c r="U4887">
        <v>0</v>
      </c>
      <c r="V4887" t="s">
        <v>32</v>
      </c>
      <c r="W4887" t="s">
        <v>43</v>
      </c>
      <c r="X4887" s="4">
        <v>8.6</v>
      </c>
      <c r="Y4887">
        <v>13</v>
      </c>
      <c r="Z4887" s="5">
        <v>286.48</v>
      </c>
    </row>
    <row r="4888" spans="1:26">
      <c r="A4888">
        <v>4887</v>
      </c>
      <c r="B4888">
        <v>1599</v>
      </c>
      <c r="C4888" s="2">
        <v>46257</v>
      </c>
      <c r="D4888" t="s">
        <v>58</v>
      </c>
      <c r="E4888">
        <v>8</v>
      </c>
      <c r="F4888" s="3">
        <v>11.01</v>
      </c>
      <c r="G4888" t="s">
        <v>36</v>
      </c>
      <c r="H4888">
        <v>58</v>
      </c>
      <c r="I4888" t="s">
        <v>28</v>
      </c>
      <c r="J4888" s="4">
        <v>64.599999999999994</v>
      </c>
      <c r="K4888" s="4">
        <v>121.1</v>
      </c>
      <c r="L4888" s="4">
        <v>20.399999999999999</v>
      </c>
      <c r="M4888">
        <v>19</v>
      </c>
      <c r="N4888" t="s">
        <v>47</v>
      </c>
      <c r="O4888">
        <v>6</v>
      </c>
      <c r="P4888" s="4">
        <v>270.2</v>
      </c>
      <c r="Q4888" t="s">
        <v>48</v>
      </c>
      <c r="R4888">
        <v>1</v>
      </c>
      <c r="S4888" t="s">
        <v>44</v>
      </c>
      <c r="T4888">
        <v>1</v>
      </c>
      <c r="U4888">
        <v>0</v>
      </c>
      <c r="V4888" t="s">
        <v>32</v>
      </c>
      <c r="W4888" t="s">
        <v>43</v>
      </c>
      <c r="X4888" s="4">
        <v>9</v>
      </c>
      <c r="Y4888">
        <v>4</v>
      </c>
      <c r="Z4888" s="5">
        <v>250.77</v>
      </c>
    </row>
    <row r="4889" spans="1:26">
      <c r="A4889">
        <v>4888</v>
      </c>
      <c r="B4889">
        <v>1600</v>
      </c>
      <c r="C4889" s="2">
        <v>46317</v>
      </c>
      <c r="D4889" t="s">
        <v>55</v>
      </c>
      <c r="E4889">
        <v>10</v>
      </c>
      <c r="F4889" s="3">
        <v>13.28</v>
      </c>
      <c r="G4889" t="s">
        <v>36</v>
      </c>
      <c r="H4889">
        <v>65</v>
      </c>
      <c r="I4889" t="s">
        <v>28</v>
      </c>
      <c r="J4889" s="4">
        <v>61.1</v>
      </c>
      <c r="K4889" s="4">
        <v>104.7</v>
      </c>
      <c r="L4889" s="4">
        <v>19.600000000000001</v>
      </c>
      <c r="M4889">
        <v>18</v>
      </c>
      <c r="N4889" t="s">
        <v>67</v>
      </c>
      <c r="O4889">
        <v>1</v>
      </c>
      <c r="P4889" s="4">
        <v>2434.3000000000002</v>
      </c>
      <c r="Q4889" t="s">
        <v>48</v>
      </c>
      <c r="R4889">
        <v>1</v>
      </c>
      <c r="S4889" t="s">
        <v>44</v>
      </c>
      <c r="T4889">
        <v>1</v>
      </c>
      <c r="U4889">
        <v>0</v>
      </c>
      <c r="V4889" t="s">
        <v>32</v>
      </c>
      <c r="W4889" t="s">
        <v>43</v>
      </c>
      <c r="X4889" s="4">
        <v>7.7</v>
      </c>
      <c r="Y4889">
        <v>10</v>
      </c>
      <c r="Z4889" s="5">
        <v>308.02</v>
      </c>
    </row>
    <row r="4890" spans="1:26">
      <c r="A4890">
        <v>4889</v>
      </c>
      <c r="B4890">
        <v>1601</v>
      </c>
      <c r="C4890" s="2">
        <v>46168</v>
      </c>
      <c r="D4890" t="s">
        <v>35</v>
      </c>
      <c r="E4890">
        <v>5</v>
      </c>
      <c r="F4890" s="3">
        <v>11.51</v>
      </c>
      <c r="G4890" t="s">
        <v>36</v>
      </c>
      <c r="H4890">
        <v>64</v>
      </c>
      <c r="I4890" t="s">
        <v>28</v>
      </c>
      <c r="J4890" s="4">
        <v>64.3</v>
      </c>
      <c r="K4890" s="4">
        <v>119.5</v>
      </c>
      <c r="L4890" s="4">
        <v>20.3</v>
      </c>
      <c r="M4890">
        <v>17</v>
      </c>
      <c r="N4890" t="s">
        <v>53</v>
      </c>
      <c r="O4890">
        <v>6</v>
      </c>
      <c r="P4890" s="4">
        <v>724.8</v>
      </c>
      <c r="Q4890" t="s">
        <v>48</v>
      </c>
      <c r="R4890">
        <v>1</v>
      </c>
      <c r="S4890" t="s">
        <v>44</v>
      </c>
      <c r="T4890">
        <v>0</v>
      </c>
      <c r="U4890">
        <v>1</v>
      </c>
      <c r="V4890" t="s">
        <v>32</v>
      </c>
      <c r="W4890" t="s">
        <v>33</v>
      </c>
      <c r="X4890" s="4">
        <v>5.4</v>
      </c>
      <c r="Y4890">
        <v>2</v>
      </c>
      <c r="Z4890" s="5">
        <v>325.64</v>
      </c>
    </row>
    <row r="4891" spans="1:26">
      <c r="A4891">
        <v>4890</v>
      </c>
      <c r="B4891">
        <v>1601</v>
      </c>
      <c r="C4891" s="2">
        <v>46168</v>
      </c>
      <c r="D4891" t="s">
        <v>35</v>
      </c>
      <c r="E4891">
        <v>5</v>
      </c>
      <c r="F4891" s="3">
        <v>11.59</v>
      </c>
      <c r="G4891" t="s">
        <v>36</v>
      </c>
      <c r="H4891">
        <v>53</v>
      </c>
      <c r="I4891" t="s">
        <v>51</v>
      </c>
      <c r="J4891" s="4">
        <v>64.8</v>
      </c>
      <c r="K4891" s="4">
        <v>138.9</v>
      </c>
      <c r="L4891" s="4">
        <v>23.2</v>
      </c>
      <c r="M4891">
        <v>17</v>
      </c>
      <c r="N4891" t="s">
        <v>53</v>
      </c>
      <c r="O4891">
        <v>6</v>
      </c>
      <c r="P4891" s="4">
        <v>724.8</v>
      </c>
      <c r="Q4891" t="s">
        <v>48</v>
      </c>
      <c r="R4891">
        <v>1</v>
      </c>
      <c r="S4891" t="s">
        <v>44</v>
      </c>
      <c r="T4891">
        <v>0</v>
      </c>
      <c r="U4891">
        <v>1</v>
      </c>
      <c r="V4891" t="s">
        <v>32</v>
      </c>
      <c r="W4891" t="s">
        <v>33</v>
      </c>
      <c r="X4891" s="4">
        <v>11.2</v>
      </c>
      <c r="Y4891">
        <v>11</v>
      </c>
      <c r="Z4891" s="5">
        <v>235.77</v>
      </c>
    </row>
    <row r="4892" spans="1:26">
      <c r="A4892">
        <v>4891</v>
      </c>
      <c r="B4892">
        <v>1601</v>
      </c>
      <c r="C4892" s="2">
        <v>46168</v>
      </c>
      <c r="D4892" t="s">
        <v>35</v>
      </c>
      <c r="E4892">
        <v>5</v>
      </c>
      <c r="F4892" s="3">
        <v>11.57</v>
      </c>
      <c r="G4892" t="s">
        <v>36</v>
      </c>
      <c r="H4892">
        <v>44</v>
      </c>
      <c r="I4892" t="s">
        <v>34</v>
      </c>
      <c r="J4892" s="4">
        <v>66.3</v>
      </c>
      <c r="K4892" s="4">
        <v>230.8</v>
      </c>
      <c r="L4892" s="4">
        <v>36.6</v>
      </c>
      <c r="M4892">
        <v>15</v>
      </c>
      <c r="N4892" t="s">
        <v>53</v>
      </c>
      <c r="O4892">
        <v>6</v>
      </c>
      <c r="P4892" s="4">
        <v>724.8</v>
      </c>
      <c r="Q4892" t="s">
        <v>48</v>
      </c>
      <c r="R4892">
        <v>1</v>
      </c>
      <c r="S4892" t="s">
        <v>44</v>
      </c>
      <c r="T4892">
        <v>0</v>
      </c>
      <c r="U4892">
        <v>1</v>
      </c>
      <c r="V4892" t="s">
        <v>32</v>
      </c>
      <c r="W4892" t="s">
        <v>33</v>
      </c>
      <c r="X4892" s="4">
        <v>9.6</v>
      </c>
      <c r="Y4892">
        <v>9</v>
      </c>
      <c r="Z4892" s="5">
        <v>282.04000000000002</v>
      </c>
    </row>
    <row r="4893" spans="1:26">
      <c r="A4893">
        <v>4892</v>
      </c>
      <c r="B4893">
        <v>1601</v>
      </c>
      <c r="C4893" s="2">
        <v>46168</v>
      </c>
      <c r="D4893" t="s">
        <v>35</v>
      </c>
      <c r="E4893">
        <v>5</v>
      </c>
      <c r="F4893" s="3">
        <v>11.77</v>
      </c>
      <c r="G4893" t="s">
        <v>36</v>
      </c>
      <c r="H4893">
        <v>32</v>
      </c>
      <c r="I4893" t="s">
        <v>28</v>
      </c>
      <c r="J4893" s="4">
        <v>67.7</v>
      </c>
      <c r="K4893" s="4">
        <v>125.3</v>
      </c>
      <c r="L4893" s="4">
        <v>19.399999999999999</v>
      </c>
      <c r="M4893">
        <v>19</v>
      </c>
      <c r="N4893" t="s">
        <v>53</v>
      </c>
      <c r="O4893">
        <v>6</v>
      </c>
      <c r="P4893" s="4">
        <v>724.8</v>
      </c>
      <c r="Q4893" t="s">
        <v>48</v>
      </c>
      <c r="R4893">
        <v>1</v>
      </c>
      <c r="S4893" t="s">
        <v>44</v>
      </c>
      <c r="T4893">
        <v>0</v>
      </c>
      <c r="U4893">
        <v>1</v>
      </c>
      <c r="V4893" t="s">
        <v>32</v>
      </c>
      <c r="W4893" t="s">
        <v>33</v>
      </c>
      <c r="X4893" s="4">
        <v>7.2</v>
      </c>
      <c r="Y4893">
        <v>5</v>
      </c>
      <c r="Z4893" s="5">
        <v>273.62</v>
      </c>
    </row>
    <row r="4894" spans="1:26">
      <c r="A4894">
        <v>4893</v>
      </c>
      <c r="B4894">
        <v>1601</v>
      </c>
      <c r="C4894" s="2">
        <v>46168</v>
      </c>
      <c r="D4894" t="s">
        <v>35</v>
      </c>
      <c r="E4894">
        <v>5</v>
      </c>
      <c r="F4894" s="3">
        <v>11.63</v>
      </c>
      <c r="G4894" t="s">
        <v>36</v>
      </c>
      <c r="H4894">
        <v>30</v>
      </c>
      <c r="I4894" t="s">
        <v>28</v>
      </c>
      <c r="J4894" s="4">
        <v>66.5</v>
      </c>
      <c r="K4894" s="4">
        <v>192.8</v>
      </c>
      <c r="L4894" s="4">
        <v>30.6</v>
      </c>
      <c r="M4894">
        <v>17</v>
      </c>
      <c r="N4894" t="s">
        <v>53</v>
      </c>
      <c r="O4894">
        <v>6</v>
      </c>
      <c r="P4894" s="4">
        <v>724.8</v>
      </c>
      <c r="Q4894" t="s">
        <v>48</v>
      </c>
      <c r="R4894">
        <v>1</v>
      </c>
      <c r="S4894" t="s">
        <v>44</v>
      </c>
      <c r="T4894">
        <v>0</v>
      </c>
      <c r="U4894">
        <v>1</v>
      </c>
      <c r="V4894" t="s">
        <v>32</v>
      </c>
      <c r="W4894" t="s">
        <v>33</v>
      </c>
      <c r="X4894" s="4">
        <v>10.199999999999999</v>
      </c>
      <c r="Y4894">
        <v>10</v>
      </c>
      <c r="Z4894" s="5">
        <v>183.25</v>
      </c>
    </row>
    <row r="4895" spans="1:26">
      <c r="A4895">
        <v>4894</v>
      </c>
      <c r="B4895">
        <v>1601</v>
      </c>
      <c r="C4895" s="2">
        <v>46168</v>
      </c>
      <c r="D4895" t="s">
        <v>35</v>
      </c>
      <c r="E4895">
        <v>5</v>
      </c>
      <c r="F4895" s="3">
        <v>11.71</v>
      </c>
      <c r="G4895" t="s">
        <v>36</v>
      </c>
      <c r="H4895">
        <v>23</v>
      </c>
      <c r="I4895" t="s">
        <v>34</v>
      </c>
      <c r="J4895" s="4">
        <v>64.7</v>
      </c>
      <c r="K4895" s="4">
        <v>157.80000000000001</v>
      </c>
      <c r="L4895" s="4">
        <v>26.4</v>
      </c>
      <c r="M4895">
        <v>16</v>
      </c>
      <c r="N4895" t="s">
        <v>53</v>
      </c>
      <c r="O4895">
        <v>6</v>
      </c>
      <c r="P4895" s="4">
        <v>724.8</v>
      </c>
      <c r="Q4895" t="s">
        <v>48</v>
      </c>
      <c r="R4895">
        <v>1</v>
      </c>
      <c r="S4895" t="s">
        <v>44</v>
      </c>
      <c r="T4895">
        <v>0</v>
      </c>
      <c r="U4895">
        <v>1</v>
      </c>
      <c r="V4895" t="s">
        <v>32</v>
      </c>
      <c r="W4895" t="s">
        <v>33</v>
      </c>
      <c r="X4895" s="4">
        <v>8</v>
      </c>
      <c r="Y4895">
        <v>10</v>
      </c>
      <c r="Z4895" s="5">
        <v>362.51</v>
      </c>
    </row>
    <row r="4896" spans="1:26">
      <c r="A4896">
        <v>4895</v>
      </c>
      <c r="B4896">
        <v>1602</v>
      </c>
      <c r="C4896" s="2">
        <v>46225</v>
      </c>
      <c r="D4896" t="s">
        <v>52</v>
      </c>
      <c r="E4896">
        <v>7</v>
      </c>
      <c r="F4896" s="3">
        <v>9.81</v>
      </c>
      <c r="G4896" t="s">
        <v>27</v>
      </c>
      <c r="H4896">
        <v>30</v>
      </c>
      <c r="I4896" t="s">
        <v>34</v>
      </c>
      <c r="J4896" s="4">
        <v>65.599999999999994</v>
      </c>
      <c r="K4896" s="4">
        <v>159.4</v>
      </c>
      <c r="L4896" s="4">
        <v>25.8</v>
      </c>
      <c r="M4896">
        <v>16</v>
      </c>
      <c r="N4896" t="s">
        <v>56</v>
      </c>
      <c r="O4896">
        <v>3</v>
      </c>
      <c r="P4896" s="4">
        <v>130.30000000000001</v>
      </c>
      <c r="Q4896" t="s">
        <v>48</v>
      </c>
      <c r="R4896">
        <v>0</v>
      </c>
      <c r="S4896" t="s">
        <v>44</v>
      </c>
      <c r="T4896">
        <v>0</v>
      </c>
      <c r="U4896">
        <v>0</v>
      </c>
      <c r="V4896" t="s">
        <v>32</v>
      </c>
      <c r="W4896" t="s">
        <v>49</v>
      </c>
      <c r="X4896" s="4">
        <v>7.4</v>
      </c>
      <c r="Y4896">
        <v>12</v>
      </c>
      <c r="Z4896" s="5">
        <v>265.18</v>
      </c>
    </row>
    <row r="4897" spans="1:26">
      <c r="A4897">
        <v>4896</v>
      </c>
      <c r="B4897">
        <v>1602</v>
      </c>
      <c r="C4897" s="2">
        <v>46225</v>
      </c>
      <c r="D4897" t="s">
        <v>52</v>
      </c>
      <c r="E4897">
        <v>7</v>
      </c>
      <c r="F4897" s="3">
        <v>9.7200000000000006</v>
      </c>
      <c r="G4897" t="s">
        <v>27</v>
      </c>
      <c r="H4897">
        <v>45</v>
      </c>
      <c r="I4897" t="s">
        <v>34</v>
      </c>
      <c r="J4897" s="4">
        <v>59</v>
      </c>
      <c r="K4897" s="4">
        <v>140.30000000000001</v>
      </c>
      <c r="L4897" s="4">
        <v>28.1</v>
      </c>
      <c r="M4897">
        <v>14</v>
      </c>
      <c r="N4897" t="s">
        <v>56</v>
      </c>
      <c r="O4897">
        <v>3</v>
      </c>
      <c r="P4897" s="4">
        <v>130.30000000000001</v>
      </c>
      <c r="Q4897" t="s">
        <v>48</v>
      </c>
      <c r="R4897">
        <v>0</v>
      </c>
      <c r="S4897" t="s">
        <v>44</v>
      </c>
      <c r="T4897">
        <v>0</v>
      </c>
      <c r="U4897">
        <v>0</v>
      </c>
      <c r="V4897" t="s">
        <v>32</v>
      </c>
      <c r="W4897" t="s">
        <v>49</v>
      </c>
      <c r="X4897" s="4">
        <v>6</v>
      </c>
      <c r="Y4897">
        <v>10</v>
      </c>
      <c r="Z4897" s="5">
        <v>212.67</v>
      </c>
    </row>
    <row r="4898" spans="1:26">
      <c r="A4898">
        <v>4897</v>
      </c>
      <c r="B4898">
        <v>1602</v>
      </c>
      <c r="C4898" s="2">
        <v>46225</v>
      </c>
      <c r="D4898" t="s">
        <v>52</v>
      </c>
      <c r="E4898">
        <v>7</v>
      </c>
      <c r="F4898" s="3">
        <v>9.9700000000000006</v>
      </c>
      <c r="G4898" t="s">
        <v>27</v>
      </c>
      <c r="H4898">
        <v>62</v>
      </c>
      <c r="I4898" t="s">
        <v>28</v>
      </c>
      <c r="J4898" s="4">
        <v>65</v>
      </c>
      <c r="K4898" s="4">
        <v>136.9</v>
      </c>
      <c r="L4898" s="4">
        <v>22.5</v>
      </c>
      <c r="M4898">
        <v>16</v>
      </c>
      <c r="N4898" t="s">
        <v>56</v>
      </c>
      <c r="O4898">
        <v>3</v>
      </c>
      <c r="P4898" s="4">
        <v>130.30000000000001</v>
      </c>
      <c r="Q4898" t="s">
        <v>48</v>
      </c>
      <c r="R4898">
        <v>0</v>
      </c>
      <c r="S4898" t="s">
        <v>44</v>
      </c>
      <c r="T4898">
        <v>0</v>
      </c>
      <c r="U4898">
        <v>0</v>
      </c>
      <c r="V4898" t="s">
        <v>32</v>
      </c>
      <c r="W4898" t="s">
        <v>49</v>
      </c>
      <c r="X4898" s="4">
        <v>10.8</v>
      </c>
      <c r="Y4898">
        <v>9</v>
      </c>
      <c r="Z4898" s="5">
        <v>266.87</v>
      </c>
    </row>
    <row r="4899" spans="1:26">
      <c r="A4899">
        <v>4898</v>
      </c>
      <c r="B4899">
        <v>1603</v>
      </c>
      <c r="C4899" s="2">
        <v>46362</v>
      </c>
      <c r="D4899" t="s">
        <v>58</v>
      </c>
      <c r="E4899">
        <v>12</v>
      </c>
      <c r="F4899" s="3">
        <v>11.23</v>
      </c>
      <c r="G4899" t="s">
        <v>36</v>
      </c>
      <c r="H4899">
        <v>27</v>
      </c>
      <c r="I4899" t="s">
        <v>34</v>
      </c>
      <c r="J4899" s="4">
        <v>64.3</v>
      </c>
      <c r="K4899" s="4">
        <v>154.30000000000001</v>
      </c>
      <c r="L4899" s="4">
        <v>26.3</v>
      </c>
      <c r="M4899">
        <v>14</v>
      </c>
      <c r="N4899" t="s">
        <v>47</v>
      </c>
      <c r="O4899">
        <v>2</v>
      </c>
      <c r="P4899" s="4">
        <v>36.299999999999997</v>
      </c>
      <c r="Q4899" t="s">
        <v>42</v>
      </c>
      <c r="R4899">
        <v>0</v>
      </c>
      <c r="S4899" t="s">
        <v>44</v>
      </c>
      <c r="T4899">
        <v>1</v>
      </c>
      <c r="U4899">
        <v>0</v>
      </c>
      <c r="V4899" t="s">
        <v>32</v>
      </c>
      <c r="W4899" t="s">
        <v>43</v>
      </c>
      <c r="X4899" s="4">
        <v>8.4</v>
      </c>
      <c r="Y4899">
        <v>10</v>
      </c>
      <c r="Z4899" s="5">
        <v>159.86000000000001</v>
      </c>
    </row>
    <row r="4900" spans="1:26">
      <c r="A4900">
        <v>4899</v>
      </c>
      <c r="B4900">
        <v>1603</v>
      </c>
      <c r="C4900" s="2">
        <v>46362</v>
      </c>
      <c r="D4900" t="s">
        <v>58</v>
      </c>
      <c r="E4900">
        <v>12</v>
      </c>
      <c r="F4900" s="3">
        <v>11.16</v>
      </c>
      <c r="G4900" t="s">
        <v>36</v>
      </c>
      <c r="H4900">
        <v>64</v>
      </c>
      <c r="I4900" t="s">
        <v>28</v>
      </c>
      <c r="J4900" s="4">
        <v>70</v>
      </c>
      <c r="K4900" s="4">
        <v>190.2</v>
      </c>
      <c r="L4900" s="4">
        <v>27.4</v>
      </c>
      <c r="M4900">
        <v>17</v>
      </c>
      <c r="N4900" t="s">
        <v>47</v>
      </c>
      <c r="O4900">
        <v>2</v>
      </c>
      <c r="P4900" s="4">
        <v>36.299999999999997</v>
      </c>
      <c r="Q4900" t="s">
        <v>42</v>
      </c>
      <c r="R4900">
        <v>0</v>
      </c>
      <c r="S4900" t="s">
        <v>44</v>
      </c>
      <c r="T4900">
        <v>1</v>
      </c>
      <c r="U4900">
        <v>0</v>
      </c>
      <c r="V4900" t="s">
        <v>32</v>
      </c>
      <c r="W4900" t="s">
        <v>43</v>
      </c>
      <c r="X4900" s="4">
        <v>7</v>
      </c>
      <c r="Y4900">
        <v>6</v>
      </c>
      <c r="Z4900" s="5">
        <v>106.83</v>
      </c>
    </row>
    <row r="4901" spans="1:26">
      <c r="A4901">
        <v>4900</v>
      </c>
      <c r="B4901">
        <v>1604</v>
      </c>
      <c r="C4901" s="2">
        <v>46174</v>
      </c>
      <c r="D4901" t="s">
        <v>46</v>
      </c>
      <c r="E4901">
        <v>6</v>
      </c>
      <c r="F4901" s="3">
        <v>11.89</v>
      </c>
      <c r="G4901" t="s">
        <v>36</v>
      </c>
      <c r="H4901">
        <v>25</v>
      </c>
      <c r="I4901" t="s">
        <v>34</v>
      </c>
      <c r="J4901" s="4">
        <v>65.8</v>
      </c>
      <c r="K4901" s="4">
        <v>154</v>
      </c>
      <c r="L4901" s="4">
        <v>25.1</v>
      </c>
      <c r="M4901">
        <v>15</v>
      </c>
      <c r="N4901" t="s">
        <v>41</v>
      </c>
      <c r="O4901">
        <v>3</v>
      </c>
      <c r="P4901" s="4">
        <v>2662.1</v>
      </c>
      <c r="Q4901" t="s">
        <v>48</v>
      </c>
      <c r="R4901">
        <v>0</v>
      </c>
      <c r="S4901" t="s">
        <v>44</v>
      </c>
      <c r="T4901">
        <v>1</v>
      </c>
      <c r="U4901">
        <v>1</v>
      </c>
      <c r="V4901" t="s">
        <v>32</v>
      </c>
      <c r="W4901" t="s">
        <v>33</v>
      </c>
      <c r="X4901" s="4">
        <v>9.5</v>
      </c>
      <c r="Y4901">
        <v>13</v>
      </c>
      <c r="Z4901" s="5">
        <v>307.48</v>
      </c>
    </row>
    <row r="4902" spans="1:26">
      <c r="A4902">
        <v>4901</v>
      </c>
      <c r="B4902">
        <v>1604</v>
      </c>
      <c r="C4902" s="2">
        <v>46174</v>
      </c>
      <c r="D4902" t="s">
        <v>46</v>
      </c>
      <c r="E4902">
        <v>6</v>
      </c>
      <c r="F4902" s="3">
        <v>11.9</v>
      </c>
      <c r="G4902" t="s">
        <v>36</v>
      </c>
      <c r="H4902">
        <v>37</v>
      </c>
      <c r="I4902" t="s">
        <v>28</v>
      </c>
      <c r="J4902" s="4">
        <v>74.599999999999994</v>
      </c>
      <c r="K4902" s="4">
        <v>213</v>
      </c>
      <c r="L4902" s="4">
        <v>26.7</v>
      </c>
      <c r="M4902">
        <v>15</v>
      </c>
      <c r="N4902" t="s">
        <v>41</v>
      </c>
      <c r="O4902">
        <v>3</v>
      </c>
      <c r="P4902" s="4">
        <v>2662.1</v>
      </c>
      <c r="Q4902" t="s">
        <v>48</v>
      </c>
      <c r="R4902">
        <v>0</v>
      </c>
      <c r="S4902" t="s">
        <v>44</v>
      </c>
      <c r="T4902">
        <v>1</v>
      </c>
      <c r="U4902">
        <v>1</v>
      </c>
      <c r="V4902" t="s">
        <v>32</v>
      </c>
      <c r="W4902" t="s">
        <v>33</v>
      </c>
      <c r="X4902" s="4">
        <v>8.3000000000000007</v>
      </c>
      <c r="Y4902">
        <v>10</v>
      </c>
      <c r="Z4902" s="5">
        <v>401.51</v>
      </c>
    </row>
    <row r="4903" spans="1:26">
      <c r="A4903">
        <v>4902</v>
      </c>
      <c r="B4903">
        <v>1604</v>
      </c>
      <c r="C4903" s="2">
        <v>46174</v>
      </c>
      <c r="D4903" t="s">
        <v>46</v>
      </c>
      <c r="E4903">
        <v>6</v>
      </c>
      <c r="F4903" s="3">
        <v>11.91</v>
      </c>
      <c r="G4903" t="s">
        <v>36</v>
      </c>
      <c r="H4903">
        <v>64</v>
      </c>
      <c r="I4903" t="s">
        <v>28</v>
      </c>
      <c r="J4903" s="4">
        <v>78</v>
      </c>
      <c r="K4903" s="4">
        <v>217.6</v>
      </c>
      <c r="L4903" s="4">
        <v>25.3</v>
      </c>
      <c r="M4903">
        <v>18</v>
      </c>
      <c r="N4903" t="s">
        <v>41</v>
      </c>
      <c r="O4903">
        <v>3</v>
      </c>
      <c r="P4903" s="4">
        <v>2662.1</v>
      </c>
      <c r="Q4903" t="s">
        <v>48</v>
      </c>
      <c r="R4903">
        <v>0</v>
      </c>
      <c r="S4903" t="s">
        <v>44</v>
      </c>
      <c r="T4903">
        <v>1</v>
      </c>
      <c r="U4903">
        <v>1</v>
      </c>
      <c r="V4903" t="s">
        <v>32</v>
      </c>
      <c r="W4903" t="s">
        <v>33</v>
      </c>
      <c r="X4903" s="4">
        <v>4.5999999999999996</v>
      </c>
      <c r="Y4903">
        <v>7</v>
      </c>
      <c r="Z4903" s="5">
        <v>184.32</v>
      </c>
    </row>
    <row r="4904" spans="1:26">
      <c r="A4904">
        <v>4903</v>
      </c>
      <c r="B4904">
        <v>1605</v>
      </c>
      <c r="C4904" s="2">
        <v>46107</v>
      </c>
      <c r="D4904" t="s">
        <v>55</v>
      </c>
      <c r="E4904">
        <v>3</v>
      </c>
      <c r="F4904" s="3">
        <v>9.3000000000000007</v>
      </c>
      <c r="G4904" t="s">
        <v>27</v>
      </c>
      <c r="H4904">
        <v>31</v>
      </c>
      <c r="I4904" t="s">
        <v>28</v>
      </c>
      <c r="J4904" s="4">
        <v>68.7</v>
      </c>
      <c r="K4904" s="4">
        <v>181.3</v>
      </c>
      <c r="L4904" s="4">
        <v>27</v>
      </c>
      <c r="M4904">
        <v>14</v>
      </c>
      <c r="N4904" t="s">
        <v>47</v>
      </c>
      <c r="O4904">
        <v>3</v>
      </c>
      <c r="P4904" s="4">
        <v>73.2</v>
      </c>
      <c r="Q4904" t="s">
        <v>30</v>
      </c>
      <c r="R4904">
        <v>1</v>
      </c>
      <c r="S4904" t="s">
        <v>31</v>
      </c>
      <c r="T4904">
        <v>0</v>
      </c>
      <c r="U4904">
        <v>0</v>
      </c>
      <c r="V4904" t="s">
        <v>32</v>
      </c>
      <c r="W4904" t="s">
        <v>49</v>
      </c>
      <c r="X4904" s="4">
        <v>9.9</v>
      </c>
      <c r="Y4904">
        <v>12</v>
      </c>
      <c r="Z4904" s="5">
        <v>345.1</v>
      </c>
    </row>
    <row r="4905" spans="1:26">
      <c r="A4905">
        <v>4904</v>
      </c>
      <c r="B4905">
        <v>1605</v>
      </c>
      <c r="C4905" s="2">
        <v>46107</v>
      </c>
      <c r="D4905" t="s">
        <v>55</v>
      </c>
      <c r="E4905">
        <v>3</v>
      </c>
      <c r="F4905" s="3">
        <v>9.2899999999999991</v>
      </c>
      <c r="G4905" t="s">
        <v>27</v>
      </c>
      <c r="H4905">
        <v>55</v>
      </c>
      <c r="I4905" t="s">
        <v>34</v>
      </c>
      <c r="J4905" s="4">
        <v>62.4</v>
      </c>
      <c r="K4905" s="4">
        <v>120.6</v>
      </c>
      <c r="L4905" s="4">
        <v>21.6</v>
      </c>
      <c r="M4905">
        <v>12</v>
      </c>
      <c r="N4905" t="s">
        <v>47</v>
      </c>
      <c r="O4905">
        <v>3</v>
      </c>
      <c r="P4905" s="4">
        <v>73.2</v>
      </c>
      <c r="Q4905" t="s">
        <v>30</v>
      </c>
      <c r="R4905">
        <v>1</v>
      </c>
      <c r="S4905" t="s">
        <v>31</v>
      </c>
      <c r="T4905">
        <v>0</v>
      </c>
      <c r="U4905">
        <v>0</v>
      </c>
      <c r="V4905" t="s">
        <v>32</v>
      </c>
      <c r="W4905" t="s">
        <v>49</v>
      </c>
      <c r="X4905" s="4">
        <v>9.9</v>
      </c>
      <c r="Y4905">
        <v>7</v>
      </c>
      <c r="Z4905" s="5">
        <v>167.76</v>
      </c>
    </row>
    <row r="4906" spans="1:26">
      <c r="A4906">
        <v>4905</v>
      </c>
      <c r="B4906">
        <v>1605</v>
      </c>
      <c r="C4906" s="2">
        <v>46107</v>
      </c>
      <c r="D4906" t="s">
        <v>55</v>
      </c>
      <c r="E4906">
        <v>3</v>
      </c>
      <c r="F4906" s="3">
        <v>9.24</v>
      </c>
      <c r="G4906" t="s">
        <v>27</v>
      </c>
      <c r="H4906">
        <v>45</v>
      </c>
      <c r="I4906" t="s">
        <v>28</v>
      </c>
      <c r="J4906" s="4">
        <v>71.2</v>
      </c>
      <c r="K4906" s="4">
        <v>153.80000000000001</v>
      </c>
      <c r="L4906" s="4">
        <v>21.3</v>
      </c>
      <c r="M4906">
        <v>12</v>
      </c>
      <c r="N4906" t="s">
        <v>47</v>
      </c>
      <c r="O4906">
        <v>3</v>
      </c>
      <c r="P4906" s="4">
        <v>73.2</v>
      </c>
      <c r="Q4906" t="s">
        <v>30</v>
      </c>
      <c r="R4906">
        <v>1</v>
      </c>
      <c r="S4906" t="s">
        <v>31</v>
      </c>
      <c r="T4906">
        <v>0</v>
      </c>
      <c r="U4906">
        <v>0</v>
      </c>
      <c r="V4906" t="s">
        <v>32</v>
      </c>
      <c r="W4906" t="s">
        <v>49</v>
      </c>
      <c r="X4906" s="4">
        <v>9.1</v>
      </c>
      <c r="Y4906">
        <v>4</v>
      </c>
      <c r="Z4906" s="5">
        <v>183.79</v>
      </c>
    </row>
    <row r="4907" spans="1:26">
      <c r="A4907">
        <v>4906</v>
      </c>
      <c r="B4907">
        <v>1606</v>
      </c>
      <c r="C4907" s="2">
        <v>46293</v>
      </c>
      <c r="D4907" t="s">
        <v>46</v>
      </c>
      <c r="E4907">
        <v>9</v>
      </c>
      <c r="F4907" s="3">
        <v>11.37</v>
      </c>
      <c r="G4907" t="s">
        <v>36</v>
      </c>
      <c r="H4907">
        <v>60</v>
      </c>
      <c r="I4907" t="s">
        <v>28</v>
      </c>
      <c r="J4907" s="4">
        <v>73.5</v>
      </c>
      <c r="K4907" s="4">
        <v>193.6</v>
      </c>
      <c r="L4907" s="4">
        <v>25.3</v>
      </c>
      <c r="M4907">
        <v>16</v>
      </c>
      <c r="N4907" t="s">
        <v>47</v>
      </c>
      <c r="O4907">
        <v>2</v>
      </c>
      <c r="P4907" s="4">
        <v>110.2</v>
      </c>
      <c r="Q4907" t="s">
        <v>42</v>
      </c>
      <c r="R4907">
        <v>0</v>
      </c>
      <c r="S4907" t="s">
        <v>38</v>
      </c>
      <c r="T4907">
        <v>0</v>
      </c>
      <c r="U4907">
        <v>1</v>
      </c>
      <c r="V4907" t="s">
        <v>32</v>
      </c>
      <c r="W4907" t="s">
        <v>43</v>
      </c>
      <c r="X4907" s="4">
        <v>9.1999999999999993</v>
      </c>
      <c r="Y4907">
        <v>6</v>
      </c>
      <c r="Z4907" s="5">
        <v>255</v>
      </c>
    </row>
    <row r="4908" spans="1:26">
      <c r="A4908">
        <v>4907</v>
      </c>
      <c r="B4908">
        <v>1606</v>
      </c>
      <c r="C4908" s="2">
        <v>46293</v>
      </c>
      <c r="D4908" t="s">
        <v>46</v>
      </c>
      <c r="E4908">
        <v>9</v>
      </c>
      <c r="F4908" s="3">
        <v>11.24</v>
      </c>
      <c r="G4908" t="s">
        <v>36</v>
      </c>
      <c r="H4908">
        <v>24</v>
      </c>
      <c r="I4908" t="s">
        <v>34</v>
      </c>
      <c r="J4908" s="4">
        <v>67.400000000000006</v>
      </c>
      <c r="K4908" s="4">
        <v>170.5</v>
      </c>
      <c r="L4908" s="4">
        <v>26.7</v>
      </c>
      <c r="M4908">
        <v>11</v>
      </c>
      <c r="N4908" t="s">
        <v>47</v>
      </c>
      <c r="O4908">
        <v>2</v>
      </c>
      <c r="P4908" s="4">
        <v>110.2</v>
      </c>
      <c r="Q4908" t="s">
        <v>42</v>
      </c>
      <c r="R4908">
        <v>0</v>
      </c>
      <c r="S4908" t="s">
        <v>38</v>
      </c>
      <c r="T4908">
        <v>0</v>
      </c>
      <c r="U4908">
        <v>1</v>
      </c>
      <c r="V4908" t="s">
        <v>32</v>
      </c>
      <c r="W4908" t="s">
        <v>43</v>
      </c>
      <c r="X4908" s="4">
        <v>9.8000000000000007</v>
      </c>
      <c r="Y4908">
        <v>10</v>
      </c>
      <c r="Z4908" s="5">
        <v>284.14</v>
      </c>
    </row>
    <row r="4909" spans="1:26">
      <c r="A4909">
        <v>4908</v>
      </c>
      <c r="B4909">
        <v>1607</v>
      </c>
      <c r="C4909" s="2">
        <v>46300</v>
      </c>
      <c r="D4909" t="s">
        <v>46</v>
      </c>
      <c r="E4909">
        <v>10</v>
      </c>
      <c r="F4909" s="3">
        <v>11.96</v>
      </c>
      <c r="G4909" t="s">
        <v>36</v>
      </c>
      <c r="H4909">
        <v>80</v>
      </c>
      <c r="I4909" t="s">
        <v>28</v>
      </c>
      <c r="J4909" s="4">
        <v>63.5</v>
      </c>
      <c r="K4909" s="4">
        <v>175.9</v>
      </c>
      <c r="L4909" s="4">
        <v>30.7</v>
      </c>
      <c r="M4909">
        <v>14</v>
      </c>
      <c r="N4909" t="s">
        <v>37</v>
      </c>
      <c r="O4909">
        <v>2</v>
      </c>
      <c r="P4909" s="4">
        <v>1058.4000000000001</v>
      </c>
      <c r="Q4909" t="s">
        <v>42</v>
      </c>
      <c r="R4909">
        <v>1</v>
      </c>
      <c r="S4909" t="s">
        <v>44</v>
      </c>
      <c r="T4909">
        <v>0</v>
      </c>
      <c r="U4909">
        <v>0</v>
      </c>
      <c r="V4909" t="s">
        <v>32</v>
      </c>
      <c r="W4909" t="s">
        <v>57</v>
      </c>
      <c r="X4909" s="4">
        <v>8.3000000000000007</v>
      </c>
      <c r="Y4909">
        <v>4</v>
      </c>
      <c r="Z4909" s="5">
        <v>172.03</v>
      </c>
    </row>
    <row r="4910" spans="1:26">
      <c r="A4910">
        <v>4909</v>
      </c>
      <c r="B4910">
        <v>1607</v>
      </c>
      <c r="C4910" s="2">
        <v>46300</v>
      </c>
      <c r="D4910" t="s">
        <v>46</v>
      </c>
      <c r="E4910">
        <v>10</v>
      </c>
      <c r="F4910" s="3">
        <v>11.81</v>
      </c>
      <c r="G4910" t="s">
        <v>36</v>
      </c>
      <c r="H4910">
        <v>70</v>
      </c>
      <c r="I4910" t="s">
        <v>34</v>
      </c>
      <c r="J4910" s="4">
        <v>65.3</v>
      </c>
      <c r="K4910" s="4">
        <v>105</v>
      </c>
      <c r="L4910" s="4">
        <v>17.100000000000001</v>
      </c>
      <c r="M4910">
        <v>17</v>
      </c>
      <c r="N4910" t="s">
        <v>37</v>
      </c>
      <c r="O4910">
        <v>2</v>
      </c>
      <c r="P4910" s="4">
        <v>1058.4000000000001</v>
      </c>
      <c r="Q4910" t="s">
        <v>42</v>
      </c>
      <c r="R4910">
        <v>1</v>
      </c>
      <c r="S4910" t="s">
        <v>44</v>
      </c>
      <c r="T4910">
        <v>0</v>
      </c>
      <c r="U4910">
        <v>0</v>
      </c>
      <c r="V4910" t="s">
        <v>32</v>
      </c>
      <c r="W4910" t="s">
        <v>57</v>
      </c>
      <c r="X4910" s="4">
        <v>6.7</v>
      </c>
      <c r="Y4910">
        <v>9</v>
      </c>
      <c r="Z4910" s="5">
        <v>197.96</v>
      </c>
    </row>
    <row r="4911" spans="1:26">
      <c r="A4911">
        <v>4910</v>
      </c>
      <c r="B4911">
        <v>1608</v>
      </c>
      <c r="C4911" s="2">
        <v>46162</v>
      </c>
      <c r="D4911" t="s">
        <v>52</v>
      </c>
      <c r="E4911">
        <v>5</v>
      </c>
      <c r="F4911" s="3">
        <v>10.33</v>
      </c>
      <c r="G4911" t="s">
        <v>27</v>
      </c>
      <c r="H4911">
        <v>49</v>
      </c>
      <c r="I4911" t="s">
        <v>34</v>
      </c>
      <c r="J4911" s="4">
        <v>62</v>
      </c>
      <c r="K4911" s="4">
        <v>168</v>
      </c>
      <c r="L4911" s="4">
        <v>30.9</v>
      </c>
      <c r="M4911">
        <v>15</v>
      </c>
      <c r="N4911" t="s">
        <v>47</v>
      </c>
      <c r="O4911">
        <v>2</v>
      </c>
      <c r="P4911" s="4">
        <v>65.900000000000006</v>
      </c>
      <c r="Q4911" t="s">
        <v>48</v>
      </c>
      <c r="R4911">
        <v>0</v>
      </c>
      <c r="S4911" t="s">
        <v>31</v>
      </c>
      <c r="T4911">
        <v>1</v>
      </c>
      <c r="U4911">
        <v>0</v>
      </c>
      <c r="V4911" t="s">
        <v>45</v>
      </c>
      <c r="W4911" t="s">
        <v>43</v>
      </c>
      <c r="X4911" s="4">
        <v>7.6</v>
      </c>
      <c r="Y4911">
        <v>4</v>
      </c>
      <c r="Z4911" s="5">
        <v>104.5</v>
      </c>
    </row>
    <row r="4912" spans="1:26">
      <c r="A4912">
        <v>4911</v>
      </c>
      <c r="B4912">
        <v>1608</v>
      </c>
      <c r="C4912" s="2">
        <v>46162</v>
      </c>
      <c r="D4912" t="s">
        <v>52</v>
      </c>
      <c r="E4912">
        <v>5</v>
      </c>
      <c r="F4912" s="3">
        <v>10.53</v>
      </c>
      <c r="G4912" t="s">
        <v>27</v>
      </c>
      <c r="H4912">
        <v>61</v>
      </c>
      <c r="I4912" t="s">
        <v>34</v>
      </c>
      <c r="J4912" s="4">
        <v>63.5</v>
      </c>
      <c r="K4912" s="4">
        <v>160.69999999999999</v>
      </c>
      <c r="L4912" s="4">
        <v>28</v>
      </c>
      <c r="M4912">
        <v>18</v>
      </c>
      <c r="N4912" t="s">
        <v>47</v>
      </c>
      <c r="O4912">
        <v>2</v>
      </c>
      <c r="P4912" s="4">
        <v>65.900000000000006</v>
      </c>
      <c r="Q4912" t="s">
        <v>48</v>
      </c>
      <c r="R4912">
        <v>0</v>
      </c>
      <c r="S4912" t="s">
        <v>31</v>
      </c>
      <c r="T4912">
        <v>1</v>
      </c>
      <c r="U4912">
        <v>0</v>
      </c>
      <c r="V4912" t="s">
        <v>45</v>
      </c>
      <c r="W4912" t="s">
        <v>43</v>
      </c>
      <c r="X4912" s="4">
        <v>8.1999999999999993</v>
      </c>
      <c r="Y4912">
        <v>8</v>
      </c>
      <c r="Z4912" s="5">
        <v>216.46</v>
      </c>
    </row>
    <row r="4913" spans="1:26">
      <c r="A4913">
        <v>4912</v>
      </c>
      <c r="B4913">
        <v>1609</v>
      </c>
      <c r="C4913" s="2">
        <v>46136</v>
      </c>
      <c r="D4913" t="s">
        <v>26</v>
      </c>
      <c r="E4913">
        <v>4</v>
      </c>
      <c r="F4913" s="3">
        <v>10.82</v>
      </c>
      <c r="G4913" t="s">
        <v>27</v>
      </c>
      <c r="H4913">
        <v>49</v>
      </c>
      <c r="I4913" t="s">
        <v>28</v>
      </c>
      <c r="J4913" s="4">
        <v>71</v>
      </c>
      <c r="K4913" s="4">
        <v>200.2</v>
      </c>
      <c r="L4913" s="4">
        <v>27.9</v>
      </c>
      <c r="M4913">
        <v>16</v>
      </c>
      <c r="N4913" t="s">
        <v>66</v>
      </c>
      <c r="O4913">
        <v>1</v>
      </c>
      <c r="P4913" s="4">
        <v>584.29999999999995</v>
      </c>
      <c r="Q4913" t="s">
        <v>48</v>
      </c>
      <c r="R4913">
        <v>1</v>
      </c>
      <c r="S4913" t="s">
        <v>31</v>
      </c>
      <c r="T4913">
        <v>0</v>
      </c>
      <c r="U4913">
        <v>1</v>
      </c>
      <c r="V4913" t="s">
        <v>64</v>
      </c>
      <c r="W4913" t="s">
        <v>33</v>
      </c>
      <c r="X4913" s="4">
        <v>9.6999999999999993</v>
      </c>
      <c r="Y4913">
        <v>14</v>
      </c>
      <c r="Z4913" s="5">
        <v>319.27</v>
      </c>
    </row>
    <row r="4914" spans="1:26">
      <c r="A4914">
        <v>4913</v>
      </c>
      <c r="B4914">
        <v>1610</v>
      </c>
      <c r="C4914" s="2">
        <v>46280</v>
      </c>
      <c r="D4914" t="s">
        <v>35</v>
      </c>
      <c r="E4914">
        <v>9</v>
      </c>
      <c r="F4914" s="3">
        <v>10.63</v>
      </c>
      <c r="G4914" t="s">
        <v>27</v>
      </c>
      <c r="H4914">
        <v>33</v>
      </c>
      <c r="I4914" t="s">
        <v>28</v>
      </c>
      <c r="J4914" s="4">
        <v>64.3</v>
      </c>
      <c r="K4914" s="4">
        <v>186.1</v>
      </c>
      <c r="L4914" s="4">
        <v>31.7</v>
      </c>
      <c r="M4914">
        <v>12</v>
      </c>
      <c r="N4914" t="s">
        <v>29</v>
      </c>
      <c r="O4914">
        <v>4</v>
      </c>
      <c r="P4914" s="4">
        <v>2628.7</v>
      </c>
      <c r="Q4914" t="s">
        <v>30</v>
      </c>
      <c r="R4914">
        <v>0</v>
      </c>
      <c r="S4914" t="s">
        <v>44</v>
      </c>
      <c r="T4914">
        <v>0</v>
      </c>
      <c r="U4914">
        <v>0</v>
      </c>
      <c r="V4914" t="s">
        <v>32</v>
      </c>
      <c r="W4914" t="s">
        <v>49</v>
      </c>
      <c r="X4914" s="4">
        <v>6.9</v>
      </c>
      <c r="Y4914">
        <v>9</v>
      </c>
      <c r="Z4914" s="5">
        <v>141.27000000000001</v>
      </c>
    </row>
    <row r="4915" spans="1:26">
      <c r="A4915">
        <v>4914</v>
      </c>
      <c r="B4915">
        <v>1610</v>
      </c>
      <c r="C4915" s="2">
        <v>46280</v>
      </c>
      <c r="D4915" t="s">
        <v>35</v>
      </c>
      <c r="E4915">
        <v>9</v>
      </c>
      <c r="F4915" s="3">
        <v>10.71</v>
      </c>
      <c r="G4915" t="s">
        <v>27</v>
      </c>
      <c r="H4915">
        <v>21</v>
      </c>
      <c r="I4915" t="s">
        <v>34</v>
      </c>
      <c r="J4915" s="4">
        <v>61.5</v>
      </c>
      <c r="K4915" s="4">
        <v>111</v>
      </c>
      <c r="L4915" s="4">
        <v>20.6</v>
      </c>
      <c r="M4915">
        <v>10</v>
      </c>
      <c r="N4915" t="s">
        <v>29</v>
      </c>
      <c r="O4915">
        <v>4</v>
      </c>
      <c r="P4915" s="4">
        <v>2628.7</v>
      </c>
      <c r="Q4915" t="s">
        <v>30</v>
      </c>
      <c r="R4915">
        <v>0</v>
      </c>
      <c r="S4915" t="s">
        <v>44</v>
      </c>
      <c r="T4915">
        <v>0</v>
      </c>
      <c r="U4915">
        <v>0</v>
      </c>
      <c r="V4915" t="s">
        <v>32</v>
      </c>
      <c r="W4915" t="s">
        <v>49</v>
      </c>
      <c r="X4915" s="4">
        <v>8.3000000000000007</v>
      </c>
      <c r="Y4915">
        <v>7</v>
      </c>
      <c r="Z4915" s="5">
        <v>117.11</v>
      </c>
    </row>
    <row r="4916" spans="1:26">
      <c r="A4916">
        <v>4915</v>
      </c>
      <c r="B4916">
        <v>1610</v>
      </c>
      <c r="C4916" s="2">
        <v>46280</v>
      </c>
      <c r="D4916" t="s">
        <v>35</v>
      </c>
      <c r="E4916">
        <v>9</v>
      </c>
      <c r="F4916" s="3">
        <v>10.72</v>
      </c>
      <c r="G4916" t="s">
        <v>27</v>
      </c>
      <c r="H4916">
        <v>47</v>
      </c>
      <c r="I4916" t="s">
        <v>28</v>
      </c>
      <c r="J4916" s="4">
        <v>65.2</v>
      </c>
      <c r="K4916" s="4">
        <v>171.2</v>
      </c>
      <c r="L4916" s="4">
        <v>28.5</v>
      </c>
      <c r="M4916">
        <v>14</v>
      </c>
      <c r="N4916" t="s">
        <v>29</v>
      </c>
      <c r="O4916">
        <v>4</v>
      </c>
      <c r="P4916" s="4">
        <v>2628.7</v>
      </c>
      <c r="Q4916" t="s">
        <v>30</v>
      </c>
      <c r="R4916">
        <v>0</v>
      </c>
      <c r="S4916" t="s">
        <v>44</v>
      </c>
      <c r="T4916">
        <v>0</v>
      </c>
      <c r="U4916">
        <v>0</v>
      </c>
      <c r="V4916" t="s">
        <v>32</v>
      </c>
      <c r="W4916" t="s">
        <v>49</v>
      </c>
      <c r="X4916" s="4">
        <v>6.2</v>
      </c>
      <c r="Y4916">
        <v>11</v>
      </c>
      <c r="Z4916" s="5">
        <v>88.28</v>
      </c>
    </row>
    <row r="4917" spans="1:26">
      <c r="A4917">
        <v>4916</v>
      </c>
      <c r="B4917">
        <v>1610</v>
      </c>
      <c r="C4917" s="2">
        <v>46280</v>
      </c>
      <c r="D4917" t="s">
        <v>35</v>
      </c>
      <c r="E4917">
        <v>9</v>
      </c>
      <c r="F4917" s="3">
        <v>10.96</v>
      </c>
      <c r="G4917" t="s">
        <v>27</v>
      </c>
      <c r="H4917">
        <v>31</v>
      </c>
      <c r="I4917" t="s">
        <v>34</v>
      </c>
      <c r="J4917" s="4">
        <v>58.3</v>
      </c>
      <c r="K4917" s="4">
        <v>128.19999999999999</v>
      </c>
      <c r="L4917" s="4">
        <v>26.7</v>
      </c>
      <c r="M4917">
        <v>14</v>
      </c>
      <c r="N4917" t="s">
        <v>29</v>
      </c>
      <c r="O4917">
        <v>4</v>
      </c>
      <c r="P4917" s="4">
        <v>2628.7</v>
      </c>
      <c r="Q4917" t="s">
        <v>30</v>
      </c>
      <c r="R4917">
        <v>0</v>
      </c>
      <c r="S4917" t="s">
        <v>44</v>
      </c>
      <c r="T4917">
        <v>0</v>
      </c>
      <c r="U4917">
        <v>0</v>
      </c>
      <c r="V4917" t="s">
        <v>32</v>
      </c>
      <c r="W4917" t="s">
        <v>49</v>
      </c>
      <c r="X4917" s="4">
        <v>9.5</v>
      </c>
      <c r="Y4917">
        <v>11</v>
      </c>
      <c r="Z4917" s="5">
        <v>177.36</v>
      </c>
    </row>
    <row r="4918" spans="1:26">
      <c r="A4918">
        <v>4917</v>
      </c>
      <c r="B4918">
        <v>1611</v>
      </c>
      <c r="C4918" s="2">
        <v>46035</v>
      </c>
      <c r="D4918" t="s">
        <v>35</v>
      </c>
      <c r="E4918">
        <v>1</v>
      </c>
      <c r="F4918" s="3">
        <v>8.5299999999999994</v>
      </c>
      <c r="G4918" t="s">
        <v>27</v>
      </c>
      <c r="H4918">
        <v>63</v>
      </c>
      <c r="I4918" t="s">
        <v>28</v>
      </c>
      <c r="J4918" s="4">
        <v>66.3</v>
      </c>
      <c r="K4918" s="4">
        <v>165.9</v>
      </c>
      <c r="L4918" s="4">
        <v>26.4</v>
      </c>
      <c r="M4918">
        <v>17</v>
      </c>
      <c r="N4918" t="s">
        <v>47</v>
      </c>
      <c r="O4918">
        <v>2</v>
      </c>
      <c r="P4918" s="4">
        <v>2.8</v>
      </c>
      <c r="Q4918" t="s">
        <v>48</v>
      </c>
      <c r="R4918">
        <v>0</v>
      </c>
      <c r="S4918" t="s">
        <v>44</v>
      </c>
      <c r="T4918">
        <v>0</v>
      </c>
      <c r="U4918">
        <v>0</v>
      </c>
      <c r="V4918" t="s">
        <v>45</v>
      </c>
      <c r="W4918" t="s">
        <v>43</v>
      </c>
      <c r="X4918" s="4">
        <v>9</v>
      </c>
      <c r="Y4918">
        <v>6</v>
      </c>
      <c r="Z4918" s="5">
        <v>182.77</v>
      </c>
    </row>
    <row r="4919" spans="1:26">
      <c r="A4919">
        <v>4918</v>
      </c>
      <c r="B4919">
        <v>1611</v>
      </c>
      <c r="C4919" s="2">
        <v>46035</v>
      </c>
      <c r="D4919" t="s">
        <v>35</v>
      </c>
      <c r="E4919">
        <v>1</v>
      </c>
      <c r="F4919" s="3">
        <v>8.5399999999999991</v>
      </c>
      <c r="G4919" t="s">
        <v>27</v>
      </c>
      <c r="H4919">
        <v>55</v>
      </c>
      <c r="I4919" t="s">
        <v>34</v>
      </c>
      <c r="J4919" s="4">
        <v>65.3</v>
      </c>
      <c r="K4919" s="4">
        <v>175</v>
      </c>
      <c r="L4919" s="4">
        <v>28.8</v>
      </c>
      <c r="M4919">
        <v>16</v>
      </c>
      <c r="N4919" t="s">
        <v>47</v>
      </c>
      <c r="O4919">
        <v>2</v>
      </c>
      <c r="P4919" s="4">
        <v>2.8</v>
      </c>
      <c r="Q4919" t="s">
        <v>48</v>
      </c>
      <c r="R4919">
        <v>0</v>
      </c>
      <c r="S4919" t="s">
        <v>44</v>
      </c>
      <c r="T4919">
        <v>0</v>
      </c>
      <c r="U4919">
        <v>0</v>
      </c>
      <c r="V4919" t="s">
        <v>45</v>
      </c>
      <c r="W4919" t="s">
        <v>43</v>
      </c>
      <c r="X4919" s="4">
        <v>8.1</v>
      </c>
      <c r="Y4919">
        <v>13</v>
      </c>
      <c r="Z4919" s="5">
        <v>472.02</v>
      </c>
    </row>
    <row r="4920" spans="1:26">
      <c r="A4920">
        <v>4919</v>
      </c>
      <c r="B4920">
        <v>1612</v>
      </c>
      <c r="C4920" s="2">
        <v>46345</v>
      </c>
      <c r="D4920" t="s">
        <v>55</v>
      </c>
      <c r="E4920">
        <v>11</v>
      </c>
      <c r="F4920" s="3">
        <v>11.8</v>
      </c>
      <c r="G4920" t="s">
        <v>36</v>
      </c>
      <c r="H4920">
        <v>64</v>
      </c>
      <c r="I4920" t="s">
        <v>28</v>
      </c>
      <c r="J4920" s="4">
        <v>67.900000000000006</v>
      </c>
      <c r="K4920" s="4">
        <v>162.5</v>
      </c>
      <c r="L4920" s="4">
        <v>24.7</v>
      </c>
      <c r="M4920">
        <v>17</v>
      </c>
      <c r="N4920" t="s">
        <v>60</v>
      </c>
      <c r="O4920">
        <v>2</v>
      </c>
      <c r="P4920" s="4">
        <v>1178.9000000000001</v>
      </c>
      <c r="Q4920" t="s">
        <v>48</v>
      </c>
      <c r="R4920">
        <v>1</v>
      </c>
      <c r="S4920" t="s">
        <v>44</v>
      </c>
      <c r="T4920">
        <v>1</v>
      </c>
      <c r="U4920">
        <v>1</v>
      </c>
      <c r="V4920" t="s">
        <v>32</v>
      </c>
      <c r="W4920" t="s">
        <v>33</v>
      </c>
      <c r="X4920" s="4">
        <v>9.1</v>
      </c>
      <c r="Y4920">
        <v>13</v>
      </c>
      <c r="Z4920" s="5">
        <v>383.17</v>
      </c>
    </row>
    <row r="4921" spans="1:26">
      <c r="A4921">
        <v>4920</v>
      </c>
      <c r="B4921">
        <v>1612</v>
      </c>
      <c r="C4921" s="2">
        <v>46345</v>
      </c>
      <c r="D4921" t="s">
        <v>55</v>
      </c>
      <c r="E4921">
        <v>11</v>
      </c>
      <c r="F4921" s="3">
        <v>11.78</v>
      </c>
      <c r="G4921" t="s">
        <v>36</v>
      </c>
      <c r="H4921">
        <v>6</v>
      </c>
      <c r="I4921" t="s">
        <v>28</v>
      </c>
      <c r="J4921" s="4">
        <v>58.1</v>
      </c>
      <c r="K4921" s="4">
        <v>105.2</v>
      </c>
      <c r="L4921" s="4">
        <v>22.2</v>
      </c>
      <c r="M4921">
        <v>16</v>
      </c>
      <c r="N4921" t="s">
        <v>60</v>
      </c>
      <c r="O4921">
        <v>2</v>
      </c>
      <c r="P4921" s="4">
        <v>1178.9000000000001</v>
      </c>
      <c r="Q4921" t="s">
        <v>48</v>
      </c>
      <c r="R4921">
        <v>1</v>
      </c>
      <c r="S4921" t="s">
        <v>44</v>
      </c>
      <c r="T4921">
        <v>1</v>
      </c>
      <c r="U4921">
        <v>1</v>
      </c>
      <c r="V4921" t="s">
        <v>32</v>
      </c>
      <c r="W4921" t="s">
        <v>33</v>
      </c>
      <c r="X4921" s="4">
        <v>7.8</v>
      </c>
      <c r="Y4921">
        <v>9</v>
      </c>
      <c r="Z4921" s="5">
        <v>516.59</v>
      </c>
    </row>
    <row r="4922" spans="1:26">
      <c r="A4922">
        <v>4921</v>
      </c>
      <c r="B4922">
        <v>1613</v>
      </c>
      <c r="C4922" s="2">
        <v>46059</v>
      </c>
      <c r="D4922" t="s">
        <v>26</v>
      </c>
      <c r="E4922">
        <v>2</v>
      </c>
      <c r="F4922" s="3">
        <v>10.55</v>
      </c>
      <c r="G4922" t="s">
        <v>27</v>
      </c>
      <c r="H4922">
        <v>4</v>
      </c>
      <c r="I4922" t="s">
        <v>28</v>
      </c>
      <c r="J4922" s="4">
        <v>55</v>
      </c>
      <c r="K4922" s="4">
        <v>95</v>
      </c>
      <c r="L4922" s="4">
        <v>22</v>
      </c>
      <c r="M4922">
        <v>14</v>
      </c>
      <c r="N4922" t="s">
        <v>60</v>
      </c>
      <c r="O4922">
        <v>2</v>
      </c>
      <c r="P4922" s="4">
        <v>1852.8</v>
      </c>
      <c r="Q4922" t="s">
        <v>42</v>
      </c>
      <c r="R4922">
        <v>1</v>
      </c>
      <c r="S4922" t="s">
        <v>44</v>
      </c>
      <c r="T4922">
        <v>0</v>
      </c>
      <c r="U4922">
        <v>0</v>
      </c>
      <c r="V4922" t="s">
        <v>32</v>
      </c>
      <c r="W4922" t="s">
        <v>39</v>
      </c>
      <c r="X4922" s="4">
        <v>11.4</v>
      </c>
      <c r="Y4922">
        <v>5</v>
      </c>
      <c r="Z4922" s="5">
        <v>276.77999999999997</v>
      </c>
    </row>
    <row r="4923" spans="1:26">
      <c r="A4923">
        <v>4922</v>
      </c>
      <c r="B4923">
        <v>1613</v>
      </c>
      <c r="C4923" s="2">
        <v>46059</v>
      </c>
      <c r="D4923" t="s">
        <v>26</v>
      </c>
      <c r="E4923">
        <v>2</v>
      </c>
      <c r="F4923" s="3">
        <v>10.52</v>
      </c>
      <c r="G4923" t="s">
        <v>27</v>
      </c>
      <c r="H4923">
        <v>19</v>
      </c>
      <c r="I4923" t="s">
        <v>28</v>
      </c>
      <c r="J4923" s="4">
        <v>67.7</v>
      </c>
      <c r="K4923" s="4">
        <v>174.7</v>
      </c>
      <c r="L4923" s="4">
        <v>27</v>
      </c>
      <c r="M4923">
        <v>16</v>
      </c>
      <c r="N4923" t="s">
        <v>60</v>
      </c>
      <c r="O4923">
        <v>2</v>
      </c>
      <c r="P4923" s="4">
        <v>1852.8</v>
      </c>
      <c r="Q4923" t="s">
        <v>42</v>
      </c>
      <c r="R4923">
        <v>1</v>
      </c>
      <c r="S4923" t="s">
        <v>44</v>
      </c>
      <c r="T4923">
        <v>0</v>
      </c>
      <c r="U4923">
        <v>0</v>
      </c>
      <c r="V4923" t="s">
        <v>32</v>
      </c>
      <c r="W4923" t="s">
        <v>39</v>
      </c>
      <c r="X4923" s="4">
        <v>8.5</v>
      </c>
      <c r="Y4923">
        <v>9</v>
      </c>
      <c r="Z4923" s="5">
        <v>232.46</v>
      </c>
    </row>
    <row r="4924" spans="1:26">
      <c r="A4924">
        <v>4923</v>
      </c>
      <c r="B4924">
        <v>1614</v>
      </c>
      <c r="C4924" s="2">
        <v>46178</v>
      </c>
      <c r="D4924" t="s">
        <v>26</v>
      </c>
      <c r="E4924">
        <v>6</v>
      </c>
      <c r="F4924" s="3">
        <v>9.4600000000000009</v>
      </c>
      <c r="G4924" t="s">
        <v>27</v>
      </c>
      <c r="H4924">
        <v>75</v>
      </c>
      <c r="I4924" t="s">
        <v>28</v>
      </c>
      <c r="J4924" s="4">
        <v>66.3</v>
      </c>
      <c r="K4924" s="4">
        <v>146.30000000000001</v>
      </c>
      <c r="L4924" s="4">
        <v>23.4</v>
      </c>
      <c r="M4924">
        <v>15</v>
      </c>
      <c r="N4924" t="s">
        <v>47</v>
      </c>
      <c r="O4924">
        <v>1</v>
      </c>
      <c r="P4924" s="4">
        <v>45</v>
      </c>
      <c r="Q4924" t="s">
        <v>42</v>
      </c>
      <c r="R4924">
        <v>0</v>
      </c>
      <c r="S4924" t="s">
        <v>38</v>
      </c>
      <c r="T4924">
        <v>0</v>
      </c>
      <c r="U4924">
        <v>1</v>
      </c>
      <c r="V4924" t="s">
        <v>32</v>
      </c>
      <c r="W4924" t="s">
        <v>33</v>
      </c>
      <c r="X4924" s="4">
        <v>9.4</v>
      </c>
      <c r="Y4924">
        <v>9</v>
      </c>
      <c r="Z4924" s="5">
        <v>300.32</v>
      </c>
    </row>
    <row r="4925" spans="1:26">
      <c r="A4925">
        <v>4924</v>
      </c>
      <c r="B4925">
        <v>1615</v>
      </c>
      <c r="C4925" s="2">
        <v>46081</v>
      </c>
      <c r="D4925" t="s">
        <v>40</v>
      </c>
      <c r="E4925">
        <v>2</v>
      </c>
      <c r="F4925" s="3">
        <v>12.15</v>
      </c>
      <c r="G4925" t="s">
        <v>36</v>
      </c>
      <c r="H4925">
        <v>48</v>
      </c>
      <c r="I4925" t="s">
        <v>28</v>
      </c>
      <c r="J4925" s="4">
        <v>70.400000000000006</v>
      </c>
      <c r="K4925" s="4">
        <v>167.1</v>
      </c>
      <c r="L4925" s="4">
        <v>23.6</v>
      </c>
      <c r="M4925">
        <v>18</v>
      </c>
      <c r="N4925" t="s">
        <v>60</v>
      </c>
      <c r="O4925">
        <v>2</v>
      </c>
      <c r="P4925" s="4">
        <v>1664.7</v>
      </c>
      <c r="Q4925" t="s">
        <v>42</v>
      </c>
      <c r="R4925">
        <v>0</v>
      </c>
      <c r="S4925" t="s">
        <v>44</v>
      </c>
      <c r="T4925">
        <v>1</v>
      </c>
      <c r="U4925">
        <v>0</v>
      </c>
      <c r="V4925" t="s">
        <v>32</v>
      </c>
      <c r="W4925" t="s">
        <v>43</v>
      </c>
      <c r="X4925" s="4">
        <v>7.7</v>
      </c>
      <c r="Y4925">
        <v>8</v>
      </c>
      <c r="Z4925" s="5">
        <v>169.12</v>
      </c>
    </row>
    <row r="4926" spans="1:26">
      <c r="A4926">
        <v>4925</v>
      </c>
      <c r="B4926">
        <v>1615</v>
      </c>
      <c r="C4926" s="2">
        <v>46081</v>
      </c>
      <c r="D4926" t="s">
        <v>40</v>
      </c>
      <c r="E4926">
        <v>2</v>
      </c>
      <c r="F4926" s="3">
        <v>12.17</v>
      </c>
      <c r="G4926" t="s">
        <v>36</v>
      </c>
      <c r="H4926">
        <v>22</v>
      </c>
      <c r="I4926" t="s">
        <v>28</v>
      </c>
      <c r="J4926" s="4">
        <v>71.099999999999994</v>
      </c>
      <c r="K4926" s="4">
        <v>179.5</v>
      </c>
      <c r="L4926" s="4">
        <v>24.9</v>
      </c>
      <c r="M4926">
        <v>14</v>
      </c>
      <c r="N4926" t="s">
        <v>60</v>
      </c>
      <c r="O4926">
        <v>2</v>
      </c>
      <c r="P4926" s="4">
        <v>1664.7</v>
      </c>
      <c r="Q4926" t="s">
        <v>42</v>
      </c>
      <c r="R4926">
        <v>0</v>
      </c>
      <c r="S4926" t="s">
        <v>44</v>
      </c>
      <c r="T4926">
        <v>1</v>
      </c>
      <c r="U4926">
        <v>0</v>
      </c>
      <c r="V4926" t="s">
        <v>32</v>
      </c>
      <c r="W4926" t="s">
        <v>43</v>
      </c>
      <c r="X4926" s="4">
        <v>5.6</v>
      </c>
      <c r="Y4926">
        <v>7</v>
      </c>
      <c r="Z4926" s="5">
        <v>187.02</v>
      </c>
    </row>
    <row r="4927" spans="1:26">
      <c r="A4927">
        <v>4926</v>
      </c>
      <c r="B4927">
        <v>1616</v>
      </c>
      <c r="C4927" s="2">
        <v>46100</v>
      </c>
      <c r="D4927" t="s">
        <v>55</v>
      </c>
      <c r="E4927">
        <v>3</v>
      </c>
      <c r="F4927" s="3">
        <v>11.58</v>
      </c>
      <c r="G4927" t="s">
        <v>36</v>
      </c>
      <c r="H4927">
        <v>67</v>
      </c>
      <c r="I4927" t="s">
        <v>28</v>
      </c>
      <c r="J4927" s="4">
        <v>66.8</v>
      </c>
      <c r="K4927" s="4">
        <v>189.8</v>
      </c>
      <c r="L4927" s="4">
        <v>29.8</v>
      </c>
      <c r="M4927">
        <v>15</v>
      </c>
      <c r="N4927" t="s">
        <v>47</v>
      </c>
      <c r="O4927">
        <v>3</v>
      </c>
      <c r="P4927" s="4">
        <v>147.5</v>
      </c>
      <c r="Q4927" t="s">
        <v>30</v>
      </c>
      <c r="R4927">
        <v>0</v>
      </c>
      <c r="S4927" t="s">
        <v>31</v>
      </c>
      <c r="T4927">
        <v>1</v>
      </c>
      <c r="U4927">
        <v>1</v>
      </c>
      <c r="V4927" t="s">
        <v>64</v>
      </c>
      <c r="W4927" t="s">
        <v>33</v>
      </c>
      <c r="X4927" s="4">
        <v>9</v>
      </c>
      <c r="Y4927">
        <v>4</v>
      </c>
      <c r="Z4927" s="5">
        <v>183.56</v>
      </c>
    </row>
    <row r="4928" spans="1:26">
      <c r="A4928">
        <v>4927</v>
      </c>
      <c r="B4928">
        <v>1616</v>
      </c>
      <c r="C4928" s="2">
        <v>46100</v>
      </c>
      <c r="D4928" t="s">
        <v>55</v>
      </c>
      <c r="E4928">
        <v>3</v>
      </c>
      <c r="F4928" s="3">
        <v>11.63</v>
      </c>
      <c r="G4928" t="s">
        <v>36</v>
      </c>
      <c r="H4928">
        <v>8</v>
      </c>
      <c r="I4928" t="s">
        <v>28</v>
      </c>
      <c r="J4928" s="4">
        <v>58.7</v>
      </c>
      <c r="K4928" s="4">
        <v>97.9</v>
      </c>
      <c r="L4928" s="4">
        <v>20.100000000000001</v>
      </c>
      <c r="M4928">
        <v>12</v>
      </c>
      <c r="N4928" t="s">
        <v>47</v>
      </c>
      <c r="O4928">
        <v>3</v>
      </c>
      <c r="P4928" s="4">
        <v>147.5</v>
      </c>
      <c r="Q4928" t="s">
        <v>30</v>
      </c>
      <c r="R4928">
        <v>0</v>
      </c>
      <c r="S4928" t="s">
        <v>31</v>
      </c>
      <c r="T4928">
        <v>1</v>
      </c>
      <c r="U4928">
        <v>1</v>
      </c>
      <c r="V4928" t="s">
        <v>64</v>
      </c>
      <c r="W4928" t="s">
        <v>33</v>
      </c>
      <c r="X4928" s="4">
        <v>6.3</v>
      </c>
      <c r="Y4928">
        <v>8</v>
      </c>
      <c r="Z4928" s="5">
        <v>344.03</v>
      </c>
    </row>
    <row r="4929" spans="1:26">
      <c r="A4929">
        <v>4928</v>
      </c>
      <c r="B4929">
        <v>1616</v>
      </c>
      <c r="C4929" s="2">
        <v>46100</v>
      </c>
      <c r="D4929" t="s">
        <v>55</v>
      </c>
      <c r="E4929">
        <v>3</v>
      </c>
      <c r="F4929" s="3">
        <v>11.5</v>
      </c>
      <c r="G4929" t="s">
        <v>36</v>
      </c>
      <c r="H4929">
        <v>70</v>
      </c>
      <c r="I4929" t="s">
        <v>28</v>
      </c>
      <c r="J4929" s="4">
        <v>72.3</v>
      </c>
      <c r="K4929" s="4">
        <v>176.8</v>
      </c>
      <c r="L4929" s="4">
        <v>23.6</v>
      </c>
      <c r="M4929">
        <v>16</v>
      </c>
      <c r="N4929" t="s">
        <v>47</v>
      </c>
      <c r="O4929">
        <v>3</v>
      </c>
      <c r="P4929" s="4">
        <v>147.5</v>
      </c>
      <c r="Q4929" t="s">
        <v>30</v>
      </c>
      <c r="R4929">
        <v>0</v>
      </c>
      <c r="S4929" t="s">
        <v>31</v>
      </c>
      <c r="T4929">
        <v>1</v>
      </c>
      <c r="U4929">
        <v>1</v>
      </c>
      <c r="V4929" t="s">
        <v>64</v>
      </c>
      <c r="W4929" t="s">
        <v>33</v>
      </c>
      <c r="X4929" s="4">
        <v>7.9</v>
      </c>
      <c r="Y4929">
        <v>8</v>
      </c>
      <c r="Z4929" s="5">
        <v>131.52000000000001</v>
      </c>
    </row>
    <row r="4930" spans="1:26">
      <c r="A4930">
        <v>4929</v>
      </c>
      <c r="B4930">
        <v>1617</v>
      </c>
      <c r="C4930" s="2">
        <v>46240</v>
      </c>
      <c r="D4930" t="s">
        <v>55</v>
      </c>
      <c r="E4930">
        <v>8</v>
      </c>
      <c r="F4930" s="3">
        <v>10.78</v>
      </c>
      <c r="G4930" t="s">
        <v>27</v>
      </c>
      <c r="H4930">
        <v>6</v>
      </c>
      <c r="I4930" t="s">
        <v>34</v>
      </c>
      <c r="J4930" s="4">
        <v>54.4</v>
      </c>
      <c r="K4930" s="4">
        <v>90.2</v>
      </c>
      <c r="L4930" s="4">
        <v>21.3</v>
      </c>
      <c r="M4930">
        <v>15</v>
      </c>
      <c r="N4930" t="s">
        <v>47</v>
      </c>
      <c r="O4930">
        <v>1</v>
      </c>
      <c r="P4930" s="4">
        <v>2</v>
      </c>
      <c r="Q4930" t="s">
        <v>42</v>
      </c>
      <c r="R4930">
        <v>0</v>
      </c>
      <c r="S4930" t="s">
        <v>31</v>
      </c>
      <c r="T4930">
        <v>0</v>
      </c>
      <c r="U4930">
        <v>0</v>
      </c>
      <c r="V4930" t="s">
        <v>32</v>
      </c>
      <c r="W4930" t="s">
        <v>43</v>
      </c>
      <c r="X4930" s="4">
        <v>7</v>
      </c>
      <c r="Y4930">
        <v>6</v>
      </c>
      <c r="Z4930" s="5">
        <v>254.06</v>
      </c>
    </row>
    <row r="4931" spans="1:26">
      <c r="A4931">
        <v>4930</v>
      </c>
      <c r="B4931">
        <v>1618</v>
      </c>
      <c r="C4931" s="2">
        <v>46188</v>
      </c>
      <c r="D4931" t="s">
        <v>46</v>
      </c>
      <c r="E4931">
        <v>6</v>
      </c>
      <c r="F4931" s="3">
        <v>7.57</v>
      </c>
      <c r="G4931" t="s">
        <v>27</v>
      </c>
      <c r="H4931">
        <v>41</v>
      </c>
      <c r="I4931" t="s">
        <v>28</v>
      </c>
      <c r="J4931" s="4">
        <v>63.4</v>
      </c>
      <c r="K4931" s="4">
        <v>137.5</v>
      </c>
      <c r="L4931" s="4">
        <v>24</v>
      </c>
      <c r="M4931">
        <v>19</v>
      </c>
      <c r="N4931" t="s">
        <v>47</v>
      </c>
      <c r="O4931">
        <v>2</v>
      </c>
      <c r="P4931" s="4">
        <v>104.7</v>
      </c>
      <c r="Q4931" t="s">
        <v>42</v>
      </c>
      <c r="R4931">
        <v>0</v>
      </c>
      <c r="S4931" t="s">
        <v>44</v>
      </c>
      <c r="T4931">
        <v>1</v>
      </c>
      <c r="U4931">
        <v>0</v>
      </c>
      <c r="V4931" t="s">
        <v>32</v>
      </c>
      <c r="W4931" t="s">
        <v>49</v>
      </c>
      <c r="X4931" s="4">
        <v>11.4</v>
      </c>
      <c r="Y4931">
        <v>11</v>
      </c>
      <c r="Z4931" s="5">
        <v>153.29</v>
      </c>
    </row>
    <row r="4932" spans="1:26">
      <c r="A4932">
        <v>4931</v>
      </c>
      <c r="B4932">
        <v>1618</v>
      </c>
      <c r="C4932" s="2">
        <v>46188</v>
      </c>
      <c r="D4932" t="s">
        <v>46</v>
      </c>
      <c r="E4932">
        <v>6</v>
      </c>
      <c r="F4932" s="3">
        <v>7.74</v>
      </c>
      <c r="G4932" t="s">
        <v>27</v>
      </c>
      <c r="H4932">
        <v>7</v>
      </c>
      <c r="I4932" t="s">
        <v>34</v>
      </c>
      <c r="J4932" s="4">
        <v>64</v>
      </c>
      <c r="K4932" s="4">
        <v>117.1</v>
      </c>
      <c r="L4932" s="4">
        <v>20</v>
      </c>
      <c r="M4932">
        <v>11</v>
      </c>
      <c r="N4932" t="s">
        <v>47</v>
      </c>
      <c r="O4932">
        <v>2</v>
      </c>
      <c r="P4932" s="4">
        <v>104.7</v>
      </c>
      <c r="Q4932" t="s">
        <v>42</v>
      </c>
      <c r="R4932">
        <v>0</v>
      </c>
      <c r="S4932" t="s">
        <v>44</v>
      </c>
      <c r="T4932">
        <v>1</v>
      </c>
      <c r="U4932">
        <v>0</v>
      </c>
      <c r="V4932" t="s">
        <v>32</v>
      </c>
      <c r="W4932" t="s">
        <v>49</v>
      </c>
      <c r="X4932" s="4">
        <v>8.8000000000000007</v>
      </c>
      <c r="Y4932">
        <v>9</v>
      </c>
      <c r="Z4932" s="5">
        <v>186.32</v>
      </c>
    </row>
    <row r="4933" spans="1:26">
      <c r="A4933">
        <v>4932</v>
      </c>
      <c r="B4933">
        <v>1619</v>
      </c>
      <c r="C4933" s="2">
        <v>46093</v>
      </c>
      <c r="D4933" t="s">
        <v>55</v>
      </c>
      <c r="E4933">
        <v>3</v>
      </c>
      <c r="F4933" s="3">
        <v>8.77</v>
      </c>
      <c r="G4933" t="s">
        <v>27</v>
      </c>
      <c r="H4933">
        <v>3</v>
      </c>
      <c r="I4933" t="s">
        <v>34</v>
      </c>
      <c r="J4933" s="4">
        <v>53.7</v>
      </c>
      <c r="K4933" s="4">
        <v>79.7</v>
      </c>
      <c r="L4933" s="4">
        <v>19.600000000000001</v>
      </c>
      <c r="M4933">
        <v>9</v>
      </c>
      <c r="N4933" t="s">
        <v>47</v>
      </c>
      <c r="O4933">
        <v>3</v>
      </c>
      <c r="P4933" s="4">
        <v>110.6</v>
      </c>
      <c r="Q4933" t="s">
        <v>30</v>
      </c>
      <c r="R4933">
        <v>1</v>
      </c>
      <c r="S4933" t="s">
        <v>44</v>
      </c>
      <c r="T4933">
        <v>0</v>
      </c>
      <c r="U4933">
        <v>0</v>
      </c>
      <c r="V4933" t="s">
        <v>32</v>
      </c>
      <c r="W4933" t="s">
        <v>49</v>
      </c>
      <c r="X4933" s="4">
        <v>8.1999999999999993</v>
      </c>
      <c r="Y4933">
        <v>6</v>
      </c>
      <c r="Z4933" s="5">
        <v>154.51</v>
      </c>
    </row>
    <row r="4934" spans="1:26">
      <c r="A4934">
        <v>4933</v>
      </c>
      <c r="B4934">
        <v>1619</v>
      </c>
      <c r="C4934" s="2">
        <v>46093</v>
      </c>
      <c r="D4934" t="s">
        <v>55</v>
      </c>
      <c r="E4934">
        <v>3</v>
      </c>
      <c r="F4934" s="3">
        <v>8.6300000000000008</v>
      </c>
      <c r="G4934" t="s">
        <v>27</v>
      </c>
      <c r="H4934">
        <v>6</v>
      </c>
      <c r="I4934" t="s">
        <v>28</v>
      </c>
      <c r="J4934" s="4">
        <v>55.3</v>
      </c>
      <c r="K4934" s="4">
        <v>104.7</v>
      </c>
      <c r="L4934" s="4">
        <v>24.1</v>
      </c>
      <c r="M4934">
        <v>12</v>
      </c>
      <c r="N4934" t="s">
        <v>47</v>
      </c>
      <c r="O4934">
        <v>3</v>
      </c>
      <c r="P4934" s="4">
        <v>110.6</v>
      </c>
      <c r="Q4934" t="s">
        <v>30</v>
      </c>
      <c r="R4934">
        <v>1</v>
      </c>
      <c r="S4934" t="s">
        <v>44</v>
      </c>
      <c r="T4934">
        <v>0</v>
      </c>
      <c r="U4934">
        <v>0</v>
      </c>
      <c r="V4934" t="s">
        <v>32</v>
      </c>
      <c r="W4934" t="s">
        <v>49</v>
      </c>
      <c r="X4934" s="4">
        <v>7.3</v>
      </c>
      <c r="Y4934">
        <v>6</v>
      </c>
      <c r="Z4934" s="5">
        <v>127.48</v>
      </c>
    </row>
    <row r="4935" spans="1:26">
      <c r="A4935">
        <v>4934</v>
      </c>
      <c r="B4935">
        <v>1619</v>
      </c>
      <c r="C4935" s="2">
        <v>46093</v>
      </c>
      <c r="D4935" t="s">
        <v>55</v>
      </c>
      <c r="E4935">
        <v>3</v>
      </c>
      <c r="F4935" s="3">
        <v>8.66</v>
      </c>
      <c r="G4935" t="s">
        <v>27</v>
      </c>
      <c r="H4935">
        <v>62</v>
      </c>
      <c r="I4935" t="s">
        <v>34</v>
      </c>
      <c r="J4935" s="4">
        <v>62.6</v>
      </c>
      <c r="K4935" s="4">
        <v>136.69999999999999</v>
      </c>
      <c r="L4935" s="4">
        <v>24.4</v>
      </c>
      <c r="M4935">
        <v>15</v>
      </c>
      <c r="N4935" t="s">
        <v>47</v>
      </c>
      <c r="O4935">
        <v>3</v>
      </c>
      <c r="P4935" s="4">
        <v>110.6</v>
      </c>
      <c r="Q4935" t="s">
        <v>30</v>
      </c>
      <c r="R4935">
        <v>1</v>
      </c>
      <c r="S4935" t="s">
        <v>44</v>
      </c>
      <c r="T4935">
        <v>0</v>
      </c>
      <c r="U4935">
        <v>0</v>
      </c>
      <c r="V4935" t="s">
        <v>32</v>
      </c>
      <c r="W4935" t="s">
        <v>49</v>
      </c>
      <c r="X4935" s="4">
        <v>9.9</v>
      </c>
      <c r="Y4935">
        <v>5</v>
      </c>
      <c r="Z4935" s="5">
        <v>138.13</v>
      </c>
    </row>
    <row r="4936" spans="1:26">
      <c r="A4936">
        <v>4935</v>
      </c>
      <c r="B4936">
        <v>1620</v>
      </c>
      <c r="C4936" s="2">
        <v>46212</v>
      </c>
      <c r="D4936" t="s">
        <v>55</v>
      </c>
      <c r="E4936">
        <v>7</v>
      </c>
      <c r="F4936" s="3">
        <v>10.71</v>
      </c>
      <c r="G4936" t="s">
        <v>27</v>
      </c>
      <c r="H4936">
        <v>20</v>
      </c>
      <c r="I4936" t="s">
        <v>34</v>
      </c>
      <c r="J4936" s="4">
        <v>62.5</v>
      </c>
      <c r="K4936" s="4">
        <v>166.8</v>
      </c>
      <c r="L4936" s="4">
        <v>30</v>
      </c>
      <c r="M4936">
        <v>15</v>
      </c>
      <c r="N4936" t="s">
        <v>47</v>
      </c>
      <c r="O4936">
        <v>5</v>
      </c>
      <c r="P4936" s="4">
        <v>38.700000000000003</v>
      </c>
      <c r="Q4936" t="s">
        <v>42</v>
      </c>
      <c r="R4936">
        <v>0</v>
      </c>
      <c r="S4936" t="s">
        <v>44</v>
      </c>
      <c r="T4936">
        <v>0</v>
      </c>
      <c r="U4936">
        <v>0</v>
      </c>
      <c r="V4936" t="s">
        <v>32</v>
      </c>
      <c r="W4936" t="s">
        <v>43</v>
      </c>
      <c r="X4936" s="4">
        <v>11.6</v>
      </c>
      <c r="Y4936">
        <v>11</v>
      </c>
      <c r="Z4936" s="5">
        <v>240.39</v>
      </c>
    </row>
    <row r="4937" spans="1:26">
      <c r="A4937">
        <v>4936</v>
      </c>
      <c r="B4937">
        <v>1620</v>
      </c>
      <c r="C4937" s="2">
        <v>46212</v>
      </c>
      <c r="D4937" t="s">
        <v>55</v>
      </c>
      <c r="E4937">
        <v>7</v>
      </c>
      <c r="F4937" s="3">
        <v>10.82</v>
      </c>
      <c r="G4937" t="s">
        <v>27</v>
      </c>
      <c r="H4937">
        <v>58</v>
      </c>
      <c r="I4937" t="s">
        <v>34</v>
      </c>
      <c r="J4937" s="4">
        <v>63.7</v>
      </c>
      <c r="K4937" s="4">
        <v>136.4</v>
      </c>
      <c r="L4937" s="4">
        <v>23.5</v>
      </c>
      <c r="M4937">
        <v>12</v>
      </c>
      <c r="N4937" t="s">
        <v>47</v>
      </c>
      <c r="O4937">
        <v>5</v>
      </c>
      <c r="P4937" s="4">
        <v>38.700000000000003</v>
      </c>
      <c r="Q4937" t="s">
        <v>42</v>
      </c>
      <c r="R4937">
        <v>0</v>
      </c>
      <c r="S4937" t="s">
        <v>44</v>
      </c>
      <c r="T4937">
        <v>0</v>
      </c>
      <c r="U4937">
        <v>0</v>
      </c>
      <c r="V4937" t="s">
        <v>32</v>
      </c>
      <c r="W4937" t="s">
        <v>43</v>
      </c>
      <c r="X4937" s="4">
        <v>7.5</v>
      </c>
      <c r="Y4937">
        <v>6</v>
      </c>
      <c r="Z4937" s="5">
        <v>96.07</v>
      </c>
    </row>
    <row r="4938" spans="1:26">
      <c r="A4938">
        <v>4937</v>
      </c>
      <c r="B4938">
        <v>1620</v>
      </c>
      <c r="C4938" s="2">
        <v>46212</v>
      </c>
      <c r="D4938" t="s">
        <v>55</v>
      </c>
      <c r="E4938">
        <v>7</v>
      </c>
      <c r="F4938" s="3">
        <v>10.88</v>
      </c>
      <c r="G4938" t="s">
        <v>27</v>
      </c>
      <c r="H4938">
        <v>56</v>
      </c>
      <c r="I4938" t="s">
        <v>28</v>
      </c>
      <c r="J4938" s="4">
        <v>67.2</v>
      </c>
      <c r="K4938" s="4">
        <v>167</v>
      </c>
      <c r="L4938" s="4">
        <v>25.8</v>
      </c>
      <c r="M4938">
        <v>15</v>
      </c>
      <c r="N4938" t="s">
        <v>47</v>
      </c>
      <c r="O4938">
        <v>5</v>
      </c>
      <c r="P4938" s="4">
        <v>38.700000000000003</v>
      </c>
      <c r="Q4938" t="s">
        <v>42</v>
      </c>
      <c r="R4938">
        <v>0</v>
      </c>
      <c r="S4938" t="s">
        <v>44</v>
      </c>
      <c r="T4938">
        <v>0</v>
      </c>
      <c r="U4938">
        <v>0</v>
      </c>
      <c r="V4938" t="s">
        <v>32</v>
      </c>
      <c r="W4938" t="s">
        <v>43</v>
      </c>
      <c r="X4938" s="4">
        <v>6</v>
      </c>
      <c r="Y4938">
        <v>10</v>
      </c>
      <c r="Z4938" s="5">
        <v>345.06</v>
      </c>
    </row>
    <row r="4939" spans="1:26">
      <c r="A4939">
        <v>4938</v>
      </c>
      <c r="B4939">
        <v>1620</v>
      </c>
      <c r="C4939" s="2">
        <v>46212</v>
      </c>
      <c r="D4939" t="s">
        <v>55</v>
      </c>
      <c r="E4939">
        <v>7</v>
      </c>
      <c r="F4939" s="3">
        <v>10.85</v>
      </c>
      <c r="G4939" t="s">
        <v>27</v>
      </c>
      <c r="H4939">
        <v>43</v>
      </c>
      <c r="I4939" t="s">
        <v>34</v>
      </c>
      <c r="J4939" s="4">
        <v>64.2</v>
      </c>
      <c r="K4939" s="4">
        <v>202.5</v>
      </c>
      <c r="L4939" s="4">
        <v>34.5</v>
      </c>
      <c r="M4939">
        <v>17</v>
      </c>
      <c r="N4939" t="s">
        <v>47</v>
      </c>
      <c r="O4939">
        <v>5</v>
      </c>
      <c r="P4939" s="4">
        <v>38.700000000000003</v>
      </c>
      <c r="Q4939" t="s">
        <v>42</v>
      </c>
      <c r="R4939">
        <v>0</v>
      </c>
      <c r="S4939" t="s">
        <v>44</v>
      </c>
      <c r="T4939">
        <v>0</v>
      </c>
      <c r="U4939">
        <v>0</v>
      </c>
      <c r="V4939" t="s">
        <v>32</v>
      </c>
      <c r="W4939" t="s">
        <v>43</v>
      </c>
      <c r="X4939" s="4">
        <v>6.8</v>
      </c>
      <c r="Y4939">
        <v>5</v>
      </c>
      <c r="Z4939" s="5">
        <v>174.84</v>
      </c>
    </row>
    <row r="4940" spans="1:26">
      <c r="A4940">
        <v>4939</v>
      </c>
      <c r="B4940">
        <v>1620</v>
      </c>
      <c r="C4940" s="2">
        <v>46212</v>
      </c>
      <c r="D4940" t="s">
        <v>55</v>
      </c>
      <c r="E4940">
        <v>7</v>
      </c>
      <c r="F4940" s="3">
        <v>10.66</v>
      </c>
      <c r="G4940" t="s">
        <v>27</v>
      </c>
      <c r="H4940">
        <v>18</v>
      </c>
      <c r="I4940" t="s">
        <v>34</v>
      </c>
      <c r="J4940" s="4">
        <v>63.5</v>
      </c>
      <c r="K4940" s="4">
        <v>155.80000000000001</v>
      </c>
      <c r="L4940" s="4">
        <v>27</v>
      </c>
      <c r="M4940">
        <v>11</v>
      </c>
      <c r="N4940" t="s">
        <v>47</v>
      </c>
      <c r="O4940">
        <v>5</v>
      </c>
      <c r="P4940" s="4">
        <v>38.700000000000003</v>
      </c>
      <c r="Q4940" t="s">
        <v>42</v>
      </c>
      <c r="R4940">
        <v>0</v>
      </c>
      <c r="S4940" t="s">
        <v>44</v>
      </c>
      <c r="T4940">
        <v>0</v>
      </c>
      <c r="U4940">
        <v>0</v>
      </c>
      <c r="V4940" t="s">
        <v>32</v>
      </c>
      <c r="W4940" t="s">
        <v>43</v>
      </c>
      <c r="X4940" s="4">
        <v>9.4</v>
      </c>
      <c r="Y4940">
        <v>5</v>
      </c>
      <c r="Z4940" s="5">
        <v>187.65</v>
      </c>
    </row>
    <row r="4941" spans="1:26">
      <c r="A4941">
        <v>4940</v>
      </c>
      <c r="B4941">
        <v>1621</v>
      </c>
      <c r="C4941" s="2">
        <v>46303</v>
      </c>
      <c r="D4941" t="s">
        <v>55</v>
      </c>
      <c r="E4941">
        <v>10</v>
      </c>
      <c r="F4941" s="3">
        <v>9.5</v>
      </c>
      <c r="G4941" t="s">
        <v>27</v>
      </c>
      <c r="H4941">
        <v>3</v>
      </c>
      <c r="I4941" t="s">
        <v>34</v>
      </c>
      <c r="J4941" s="4">
        <v>50.2</v>
      </c>
      <c r="K4941" s="4">
        <v>60.2</v>
      </c>
      <c r="L4941" s="4">
        <v>16.7</v>
      </c>
      <c r="M4941">
        <v>10</v>
      </c>
      <c r="N4941" t="s">
        <v>59</v>
      </c>
      <c r="O4941">
        <v>4</v>
      </c>
      <c r="P4941" s="4">
        <v>789.7</v>
      </c>
      <c r="Q4941" t="s">
        <v>48</v>
      </c>
      <c r="R4941">
        <v>1</v>
      </c>
      <c r="S4941" t="s">
        <v>31</v>
      </c>
      <c r="T4941">
        <v>1</v>
      </c>
      <c r="U4941">
        <v>1</v>
      </c>
      <c r="V4941" t="s">
        <v>32</v>
      </c>
      <c r="W4941" t="s">
        <v>43</v>
      </c>
      <c r="X4941" s="4">
        <v>11</v>
      </c>
      <c r="Y4941">
        <v>8</v>
      </c>
      <c r="Z4941" s="5">
        <v>378.38</v>
      </c>
    </row>
    <row r="4942" spans="1:26">
      <c r="A4942">
        <v>4941</v>
      </c>
      <c r="B4942">
        <v>1621</v>
      </c>
      <c r="C4942" s="2">
        <v>46303</v>
      </c>
      <c r="D4942" t="s">
        <v>55</v>
      </c>
      <c r="E4942">
        <v>10</v>
      </c>
      <c r="F4942" s="3">
        <v>9.44</v>
      </c>
      <c r="G4942" t="s">
        <v>27</v>
      </c>
      <c r="H4942">
        <v>57</v>
      </c>
      <c r="I4942" t="s">
        <v>28</v>
      </c>
      <c r="J4942" s="4">
        <v>71</v>
      </c>
      <c r="K4942" s="4">
        <v>176.3</v>
      </c>
      <c r="L4942" s="4">
        <v>24.7</v>
      </c>
      <c r="M4942">
        <v>20</v>
      </c>
      <c r="N4942" t="s">
        <v>59</v>
      </c>
      <c r="O4942">
        <v>4</v>
      </c>
      <c r="P4942" s="4">
        <v>789.7</v>
      </c>
      <c r="Q4942" t="s">
        <v>48</v>
      </c>
      <c r="R4942">
        <v>1</v>
      </c>
      <c r="S4942" t="s">
        <v>31</v>
      </c>
      <c r="T4942">
        <v>1</v>
      </c>
      <c r="U4942">
        <v>1</v>
      </c>
      <c r="V4942" t="s">
        <v>32</v>
      </c>
      <c r="W4942" t="s">
        <v>43</v>
      </c>
      <c r="X4942" s="4">
        <v>10.4</v>
      </c>
      <c r="Y4942">
        <v>14</v>
      </c>
      <c r="Z4942" s="5">
        <v>458.39</v>
      </c>
    </row>
    <row r="4943" spans="1:26">
      <c r="A4943">
        <v>4942</v>
      </c>
      <c r="B4943">
        <v>1621</v>
      </c>
      <c r="C4943" s="2">
        <v>46303</v>
      </c>
      <c r="D4943" t="s">
        <v>55</v>
      </c>
      <c r="E4943">
        <v>10</v>
      </c>
      <c r="F4943" s="3">
        <v>9.57</v>
      </c>
      <c r="G4943" t="s">
        <v>27</v>
      </c>
      <c r="H4943">
        <v>31</v>
      </c>
      <c r="I4943" t="s">
        <v>34</v>
      </c>
      <c r="J4943" s="4">
        <v>65.400000000000006</v>
      </c>
      <c r="K4943" s="4">
        <v>175</v>
      </c>
      <c r="L4943" s="4">
        <v>28.6</v>
      </c>
      <c r="M4943">
        <v>19</v>
      </c>
      <c r="N4943" t="s">
        <v>59</v>
      </c>
      <c r="O4943">
        <v>4</v>
      </c>
      <c r="P4943" s="4">
        <v>789.7</v>
      </c>
      <c r="Q4943" t="s">
        <v>48</v>
      </c>
      <c r="R4943">
        <v>1</v>
      </c>
      <c r="S4943" t="s">
        <v>31</v>
      </c>
      <c r="T4943">
        <v>1</v>
      </c>
      <c r="U4943">
        <v>1</v>
      </c>
      <c r="V4943" t="s">
        <v>32</v>
      </c>
      <c r="W4943" t="s">
        <v>43</v>
      </c>
      <c r="X4943" s="4">
        <v>8.6999999999999993</v>
      </c>
      <c r="Y4943">
        <v>10</v>
      </c>
      <c r="Z4943" s="5">
        <v>216.59</v>
      </c>
    </row>
    <row r="4944" spans="1:26">
      <c r="A4944">
        <v>4943</v>
      </c>
      <c r="B4944">
        <v>1621</v>
      </c>
      <c r="C4944" s="2">
        <v>46303</v>
      </c>
      <c r="D4944" t="s">
        <v>55</v>
      </c>
      <c r="E4944">
        <v>10</v>
      </c>
      <c r="F4944" s="3">
        <v>9.4499999999999993</v>
      </c>
      <c r="G4944" t="s">
        <v>27</v>
      </c>
      <c r="H4944">
        <v>13</v>
      </c>
      <c r="I4944" t="s">
        <v>28</v>
      </c>
      <c r="J4944" s="4">
        <v>67.599999999999994</v>
      </c>
      <c r="K4944" s="4">
        <v>146.1</v>
      </c>
      <c r="L4944" s="4">
        <v>22.5</v>
      </c>
      <c r="M4944">
        <v>15</v>
      </c>
      <c r="N4944" t="s">
        <v>59</v>
      </c>
      <c r="O4944">
        <v>4</v>
      </c>
      <c r="P4944" s="4">
        <v>789.7</v>
      </c>
      <c r="Q4944" t="s">
        <v>48</v>
      </c>
      <c r="R4944">
        <v>1</v>
      </c>
      <c r="S4944" t="s">
        <v>31</v>
      </c>
      <c r="T4944">
        <v>1</v>
      </c>
      <c r="U4944">
        <v>1</v>
      </c>
      <c r="V4944" t="s">
        <v>32</v>
      </c>
      <c r="W4944" t="s">
        <v>43</v>
      </c>
      <c r="X4944" s="4">
        <v>12.2</v>
      </c>
      <c r="Y4944">
        <v>13</v>
      </c>
      <c r="Z4944" s="5">
        <v>459.46</v>
      </c>
    </row>
    <row r="4945" spans="1:26">
      <c r="A4945">
        <v>4944</v>
      </c>
      <c r="B4945">
        <v>1622</v>
      </c>
      <c r="C4945" s="2">
        <v>46308</v>
      </c>
      <c r="D4945" t="s">
        <v>35</v>
      </c>
      <c r="E4945">
        <v>10</v>
      </c>
      <c r="F4945" s="3">
        <v>10.24</v>
      </c>
      <c r="G4945" t="s">
        <v>27</v>
      </c>
      <c r="H4945">
        <v>7</v>
      </c>
      <c r="I4945" t="s">
        <v>28</v>
      </c>
      <c r="J4945" s="4">
        <v>67.099999999999994</v>
      </c>
      <c r="K4945" s="4">
        <v>88.2</v>
      </c>
      <c r="L4945" s="4">
        <v>14</v>
      </c>
      <c r="M4945">
        <v>10</v>
      </c>
      <c r="N4945" t="s">
        <v>65</v>
      </c>
      <c r="O4945">
        <v>5</v>
      </c>
      <c r="P4945" s="4">
        <v>1598.6</v>
      </c>
      <c r="Q4945" t="s">
        <v>42</v>
      </c>
      <c r="R4945">
        <v>1</v>
      </c>
      <c r="S4945" t="s">
        <v>38</v>
      </c>
      <c r="T4945">
        <v>0</v>
      </c>
      <c r="U4945">
        <v>0</v>
      </c>
      <c r="V4945" t="s">
        <v>32</v>
      </c>
      <c r="W4945" t="s">
        <v>49</v>
      </c>
      <c r="X4945" s="4">
        <v>8.5</v>
      </c>
      <c r="Y4945">
        <v>11</v>
      </c>
      <c r="Z4945" s="5">
        <v>238.3</v>
      </c>
    </row>
    <row r="4946" spans="1:26">
      <c r="A4946">
        <v>4945</v>
      </c>
      <c r="B4946">
        <v>1622</v>
      </c>
      <c r="C4946" s="2">
        <v>46308</v>
      </c>
      <c r="D4946" t="s">
        <v>35</v>
      </c>
      <c r="E4946">
        <v>10</v>
      </c>
      <c r="F4946" s="3">
        <v>10.29</v>
      </c>
      <c r="G4946" t="s">
        <v>27</v>
      </c>
      <c r="H4946">
        <v>7</v>
      </c>
      <c r="I4946" t="s">
        <v>28</v>
      </c>
      <c r="J4946" s="4">
        <v>50.2</v>
      </c>
      <c r="K4946" s="4">
        <v>81.7</v>
      </c>
      <c r="L4946" s="4">
        <v>22.6</v>
      </c>
      <c r="M4946">
        <v>12</v>
      </c>
      <c r="N4946" t="s">
        <v>65</v>
      </c>
      <c r="O4946">
        <v>5</v>
      </c>
      <c r="P4946" s="4">
        <v>1598.6</v>
      </c>
      <c r="Q4946" t="s">
        <v>42</v>
      </c>
      <c r="R4946">
        <v>1</v>
      </c>
      <c r="S4946" t="s">
        <v>38</v>
      </c>
      <c r="T4946">
        <v>0</v>
      </c>
      <c r="U4946">
        <v>0</v>
      </c>
      <c r="V4946" t="s">
        <v>32</v>
      </c>
      <c r="W4946" t="s">
        <v>49</v>
      </c>
      <c r="X4946" s="4">
        <v>8.1999999999999993</v>
      </c>
      <c r="Y4946">
        <v>7</v>
      </c>
      <c r="Z4946" s="5">
        <v>273.88</v>
      </c>
    </row>
    <row r="4947" spans="1:26">
      <c r="A4947">
        <v>4946</v>
      </c>
      <c r="B4947">
        <v>1622</v>
      </c>
      <c r="C4947" s="2">
        <v>46308</v>
      </c>
      <c r="D4947" t="s">
        <v>35</v>
      </c>
      <c r="E4947">
        <v>10</v>
      </c>
      <c r="F4947" s="3">
        <v>10.24</v>
      </c>
      <c r="G4947" t="s">
        <v>27</v>
      </c>
      <c r="H4947">
        <v>15</v>
      </c>
      <c r="I4947" t="s">
        <v>28</v>
      </c>
      <c r="J4947" s="4">
        <v>70</v>
      </c>
      <c r="K4947" s="4">
        <v>154.30000000000001</v>
      </c>
      <c r="L4947" s="4">
        <v>21.9</v>
      </c>
      <c r="M4947">
        <v>13</v>
      </c>
      <c r="N4947" t="s">
        <v>65</v>
      </c>
      <c r="O4947">
        <v>5</v>
      </c>
      <c r="P4947" s="4">
        <v>1598.6</v>
      </c>
      <c r="Q4947" t="s">
        <v>42</v>
      </c>
      <c r="R4947">
        <v>1</v>
      </c>
      <c r="S4947" t="s">
        <v>38</v>
      </c>
      <c r="T4947">
        <v>0</v>
      </c>
      <c r="U4947">
        <v>0</v>
      </c>
      <c r="V4947" t="s">
        <v>32</v>
      </c>
      <c r="W4947" t="s">
        <v>49</v>
      </c>
      <c r="X4947" s="4">
        <v>9.5</v>
      </c>
      <c r="Y4947">
        <v>14</v>
      </c>
      <c r="Z4947" s="5">
        <v>285.02</v>
      </c>
    </row>
    <row r="4948" spans="1:26">
      <c r="A4948">
        <v>4947</v>
      </c>
      <c r="B4948">
        <v>1622</v>
      </c>
      <c r="C4948" s="2">
        <v>46308</v>
      </c>
      <c r="D4948" t="s">
        <v>35</v>
      </c>
      <c r="E4948">
        <v>10</v>
      </c>
      <c r="F4948" s="3">
        <v>10.16</v>
      </c>
      <c r="G4948" t="s">
        <v>27</v>
      </c>
      <c r="H4948">
        <v>59</v>
      </c>
      <c r="I4948" t="s">
        <v>34</v>
      </c>
      <c r="J4948" s="4">
        <v>64.8</v>
      </c>
      <c r="K4948" s="4">
        <v>147.19999999999999</v>
      </c>
      <c r="L4948" s="4">
        <v>24.4</v>
      </c>
      <c r="M4948">
        <v>15</v>
      </c>
      <c r="N4948" t="s">
        <v>65</v>
      </c>
      <c r="O4948">
        <v>5</v>
      </c>
      <c r="P4948" s="4">
        <v>1598.6</v>
      </c>
      <c r="Q4948" t="s">
        <v>42</v>
      </c>
      <c r="R4948">
        <v>1</v>
      </c>
      <c r="S4948" t="s">
        <v>38</v>
      </c>
      <c r="T4948">
        <v>0</v>
      </c>
      <c r="U4948">
        <v>0</v>
      </c>
      <c r="V4948" t="s">
        <v>32</v>
      </c>
      <c r="W4948" t="s">
        <v>49</v>
      </c>
      <c r="X4948" s="4">
        <v>10.199999999999999</v>
      </c>
      <c r="Y4948">
        <v>5</v>
      </c>
      <c r="Z4948" s="5">
        <v>182.76</v>
      </c>
    </row>
    <row r="4949" spans="1:26">
      <c r="A4949">
        <v>4948</v>
      </c>
      <c r="B4949">
        <v>1622</v>
      </c>
      <c r="C4949" s="2">
        <v>46308</v>
      </c>
      <c r="D4949" t="s">
        <v>35</v>
      </c>
      <c r="E4949">
        <v>10</v>
      </c>
      <c r="F4949" s="3">
        <v>10.199999999999999</v>
      </c>
      <c r="G4949" t="s">
        <v>27</v>
      </c>
      <c r="H4949">
        <v>25</v>
      </c>
      <c r="I4949" t="s">
        <v>28</v>
      </c>
      <c r="J4949" s="4">
        <v>69.7</v>
      </c>
      <c r="K4949" s="4">
        <v>186.6</v>
      </c>
      <c r="L4949" s="4">
        <v>27.2</v>
      </c>
      <c r="M4949">
        <v>17</v>
      </c>
      <c r="N4949" t="s">
        <v>65</v>
      </c>
      <c r="O4949">
        <v>5</v>
      </c>
      <c r="P4949" s="4">
        <v>1598.6</v>
      </c>
      <c r="Q4949" t="s">
        <v>42</v>
      </c>
      <c r="R4949">
        <v>1</v>
      </c>
      <c r="S4949" t="s">
        <v>38</v>
      </c>
      <c r="T4949">
        <v>0</v>
      </c>
      <c r="U4949">
        <v>0</v>
      </c>
      <c r="V4949" t="s">
        <v>32</v>
      </c>
      <c r="W4949" t="s">
        <v>49</v>
      </c>
      <c r="X4949" s="4">
        <v>8.9</v>
      </c>
      <c r="Y4949">
        <v>11</v>
      </c>
      <c r="Z4949" s="5">
        <v>311.39999999999998</v>
      </c>
    </row>
    <row r="4950" spans="1:26">
      <c r="A4950">
        <v>4949</v>
      </c>
      <c r="B4950">
        <v>1623</v>
      </c>
      <c r="C4950" s="2">
        <v>46221</v>
      </c>
      <c r="D4950" t="s">
        <v>40</v>
      </c>
      <c r="E4950">
        <v>7</v>
      </c>
      <c r="F4950" s="3">
        <v>11.59</v>
      </c>
      <c r="G4950" t="s">
        <v>36</v>
      </c>
      <c r="H4950">
        <v>7</v>
      </c>
      <c r="I4950" t="s">
        <v>34</v>
      </c>
      <c r="J4950" s="4">
        <v>62.6</v>
      </c>
      <c r="K4950" s="4">
        <v>87.2</v>
      </c>
      <c r="L4950" s="4">
        <v>15.7</v>
      </c>
      <c r="M4950">
        <v>7</v>
      </c>
      <c r="N4950" t="s">
        <v>47</v>
      </c>
      <c r="O4950">
        <v>2</v>
      </c>
      <c r="P4950" s="4">
        <v>139.1</v>
      </c>
      <c r="Q4950" t="s">
        <v>30</v>
      </c>
      <c r="R4950">
        <v>0</v>
      </c>
      <c r="S4950" t="s">
        <v>38</v>
      </c>
      <c r="T4950">
        <v>1</v>
      </c>
      <c r="U4950">
        <v>0</v>
      </c>
      <c r="V4950" t="s">
        <v>32</v>
      </c>
      <c r="W4950" t="s">
        <v>49</v>
      </c>
      <c r="X4950" s="4">
        <v>9</v>
      </c>
      <c r="Y4950">
        <v>11</v>
      </c>
      <c r="Z4950" s="5">
        <v>137.88</v>
      </c>
    </row>
    <row r="4951" spans="1:26">
      <c r="A4951">
        <v>4950</v>
      </c>
      <c r="B4951">
        <v>1623</v>
      </c>
      <c r="C4951" s="2">
        <v>46221</v>
      </c>
      <c r="D4951" t="s">
        <v>40</v>
      </c>
      <c r="E4951">
        <v>7</v>
      </c>
      <c r="F4951" s="3">
        <v>11.62</v>
      </c>
      <c r="G4951" t="s">
        <v>36</v>
      </c>
      <c r="H4951">
        <v>37</v>
      </c>
      <c r="I4951" t="s">
        <v>34</v>
      </c>
      <c r="J4951" s="4">
        <v>65.3</v>
      </c>
      <c r="K4951" s="4">
        <v>114</v>
      </c>
      <c r="L4951" s="4">
        <v>19</v>
      </c>
      <c r="M4951">
        <v>12</v>
      </c>
      <c r="N4951" t="s">
        <v>47</v>
      </c>
      <c r="O4951">
        <v>2</v>
      </c>
      <c r="P4951" s="4">
        <v>139.1</v>
      </c>
      <c r="Q4951" t="s">
        <v>30</v>
      </c>
      <c r="R4951">
        <v>0</v>
      </c>
      <c r="S4951" t="s">
        <v>38</v>
      </c>
      <c r="T4951">
        <v>1</v>
      </c>
      <c r="U4951">
        <v>0</v>
      </c>
      <c r="V4951" t="s">
        <v>32</v>
      </c>
      <c r="W4951" t="s">
        <v>49</v>
      </c>
      <c r="X4951" s="4">
        <v>8.4</v>
      </c>
      <c r="Y4951">
        <v>14</v>
      </c>
      <c r="Z4951" s="5">
        <v>186.42</v>
      </c>
    </row>
    <row r="4952" spans="1:26">
      <c r="A4952">
        <v>4951</v>
      </c>
      <c r="B4952">
        <v>1624</v>
      </c>
      <c r="C4952" s="2">
        <v>46175</v>
      </c>
      <c r="D4952" t="s">
        <v>35</v>
      </c>
      <c r="E4952">
        <v>6</v>
      </c>
      <c r="F4952" s="3">
        <v>10.15</v>
      </c>
      <c r="G4952" t="s">
        <v>27</v>
      </c>
      <c r="H4952">
        <v>35</v>
      </c>
      <c r="I4952" t="s">
        <v>28</v>
      </c>
      <c r="J4952" s="4">
        <v>73.7</v>
      </c>
      <c r="K4952" s="4">
        <v>196.9</v>
      </c>
      <c r="L4952" s="4">
        <v>25.3</v>
      </c>
      <c r="M4952">
        <v>17</v>
      </c>
      <c r="N4952" t="s">
        <v>56</v>
      </c>
      <c r="O4952">
        <v>3</v>
      </c>
      <c r="P4952" s="4">
        <v>210.4</v>
      </c>
      <c r="Q4952" t="s">
        <v>42</v>
      </c>
      <c r="R4952">
        <v>0</v>
      </c>
      <c r="S4952" t="s">
        <v>31</v>
      </c>
      <c r="T4952">
        <v>0</v>
      </c>
      <c r="U4952">
        <v>0</v>
      </c>
      <c r="V4952" t="s">
        <v>64</v>
      </c>
      <c r="W4952" t="s">
        <v>39</v>
      </c>
      <c r="X4952" s="4">
        <v>8.9</v>
      </c>
      <c r="Y4952">
        <v>10</v>
      </c>
      <c r="Z4952" s="5">
        <v>167.5</v>
      </c>
    </row>
    <row r="4953" spans="1:26">
      <c r="A4953">
        <v>4952</v>
      </c>
      <c r="B4953">
        <v>1624</v>
      </c>
      <c r="C4953" s="2">
        <v>46175</v>
      </c>
      <c r="D4953" t="s">
        <v>35</v>
      </c>
      <c r="E4953">
        <v>6</v>
      </c>
      <c r="F4953" s="3">
        <v>10.25</v>
      </c>
      <c r="G4953" t="s">
        <v>27</v>
      </c>
      <c r="H4953">
        <v>9</v>
      </c>
      <c r="I4953" t="s">
        <v>28</v>
      </c>
      <c r="J4953" s="4">
        <v>63.1</v>
      </c>
      <c r="K4953" s="4">
        <v>118.9</v>
      </c>
      <c r="L4953" s="4">
        <v>20.9</v>
      </c>
      <c r="M4953">
        <v>14</v>
      </c>
      <c r="N4953" t="s">
        <v>56</v>
      </c>
      <c r="O4953">
        <v>3</v>
      </c>
      <c r="P4953" s="4">
        <v>210.4</v>
      </c>
      <c r="Q4953" t="s">
        <v>42</v>
      </c>
      <c r="R4953">
        <v>0</v>
      </c>
      <c r="S4953" t="s">
        <v>31</v>
      </c>
      <c r="T4953">
        <v>0</v>
      </c>
      <c r="U4953">
        <v>0</v>
      </c>
      <c r="V4953" t="s">
        <v>64</v>
      </c>
      <c r="W4953" t="s">
        <v>39</v>
      </c>
      <c r="X4953" s="4">
        <v>9</v>
      </c>
      <c r="Y4953">
        <v>4</v>
      </c>
      <c r="Z4953" s="5">
        <v>321.57</v>
      </c>
    </row>
    <row r="4954" spans="1:26">
      <c r="A4954">
        <v>4953</v>
      </c>
      <c r="B4954">
        <v>1624</v>
      </c>
      <c r="C4954" s="2">
        <v>46175</v>
      </c>
      <c r="D4954" t="s">
        <v>35</v>
      </c>
      <c r="E4954">
        <v>6</v>
      </c>
      <c r="F4954" s="3">
        <v>10.35</v>
      </c>
      <c r="G4954" t="s">
        <v>27</v>
      </c>
      <c r="H4954">
        <v>45</v>
      </c>
      <c r="I4954" t="s">
        <v>28</v>
      </c>
      <c r="J4954" s="4">
        <v>71.2</v>
      </c>
      <c r="K4954" s="4">
        <v>223.4</v>
      </c>
      <c r="L4954" s="4">
        <v>30.9</v>
      </c>
      <c r="M4954">
        <v>14</v>
      </c>
      <c r="N4954" t="s">
        <v>56</v>
      </c>
      <c r="O4954">
        <v>3</v>
      </c>
      <c r="P4954" s="4">
        <v>210.4</v>
      </c>
      <c r="Q4954" t="s">
        <v>42</v>
      </c>
      <c r="R4954">
        <v>0</v>
      </c>
      <c r="S4954" t="s">
        <v>31</v>
      </c>
      <c r="T4954">
        <v>0</v>
      </c>
      <c r="U4954">
        <v>0</v>
      </c>
      <c r="V4954" t="s">
        <v>64</v>
      </c>
      <c r="W4954" t="s">
        <v>39</v>
      </c>
      <c r="X4954" s="4">
        <v>9</v>
      </c>
      <c r="Y4954">
        <v>9</v>
      </c>
      <c r="Z4954" s="5">
        <v>236.06</v>
      </c>
    </row>
    <row r="4955" spans="1:26">
      <c r="A4955">
        <v>4954</v>
      </c>
      <c r="B4955">
        <v>1625</v>
      </c>
      <c r="C4955" s="2">
        <v>46121</v>
      </c>
      <c r="D4955" t="s">
        <v>55</v>
      </c>
      <c r="E4955">
        <v>4</v>
      </c>
      <c r="F4955" s="3">
        <v>9.52</v>
      </c>
      <c r="G4955" t="s">
        <v>27</v>
      </c>
      <c r="H4955">
        <v>61</v>
      </c>
      <c r="I4955" t="s">
        <v>28</v>
      </c>
      <c r="J4955" s="4">
        <v>69.900000000000006</v>
      </c>
      <c r="K4955" s="4">
        <v>193.7</v>
      </c>
      <c r="L4955" s="4">
        <v>27.8</v>
      </c>
      <c r="M4955">
        <v>16</v>
      </c>
      <c r="N4955" t="s">
        <v>60</v>
      </c>
      <c r="O4955">
        <v>4</v>
      </c>
      <c r="P4955" s="4">
        <v>1269.3</v>
      </c>
      <c r="Q4955" t="s">
        <v>42</v>
      </c>
      <c r="R4955">
        <v>1</v>
      </c>
      <c r="S4955" t="s">
        <v>44</v>
      </c>
      <c r="T4955">
        <v>1</v>
      </c>
      <c r="U4955">
        <v>0</v>
      </c>
      <c r="V4955" t="s">
        <v>32</v>
      </c>
      <c r="W4955" t="s">
        <v>39</v>
      </c>
      <c r="X4955" s="4">
        <v>8</v>
      </c>
      <c r="Y4955">
        <v>0</v>
      </c>
      <c r="Z4955" s="5">
        <v>126.52</v>
      </c>
    </row>
    <row r="4956" spans="1:26">
      <c r="A4956">
        <v>4955</v>
      </c>
      <c r="B4956">
        <v>1625</v>
      </c>
      <c r="C4956" s="2">
        <v>46121</v>
      </c>
      <c r="D4956" t="s">
        <v>55</v>
      </c>
      <c r="E4956">
        <v>4</v>
      </c>
      <c r="F4956" s="3">
        <v>9.85</v>
      </c>
      <c r="G4956" t="s">
        <v>27</v>
      </c>
      <c r="H4956">
        <v>3</v>
      </c>
      <c r="I4956" t="s">
        <v>28</v>
      </c>
      <c r="J4956" s="4">
        <v>56.9</v>
      </c>
      <c r="K4956" s="4">
        <v>85.5</v>
      </c>
      <c r="L4956" s="4">
        <v>18.3</v>
      </c>
      <c r="M4956">
        <v>10</v>
      </c>
      <c r="N4956" t="s">
        <v>60</v>
      </c>
      <c r="O4956">
        <v>4</v>
      </c>
      <c r="P4956" s="4">
        <v>1269.3</v>
      </c>
      <c r="Q4956" t="s">
        <v>42</v>
      </c>
      <c r="R4956">
        <v>1</v>
      </c>
      <c r="S4956" t="s">
        <v>44</v>
      </c>
      <c r="T4956">
        <v>1</v>
      </c>
      <c r="U4956">
        <v>0</v>
      </c>
      <c r="V4956" t="s">
        <v>32</v>
      </c>
      <c r="W4956" t="s">
        <v>39</v>
      </c>
      <c r="X4956" s="4">
        <v>6.6</v>
      </c>
      <c r="Y4956">
        <v>6</v>
      </c>
      <c r="Z4956" s="5">
        <v>248.43</v>
      </c>
    </row>
    <row r="4957" spans="1:26">
      <c r="A4957">
        <v>4956</v>
      </c>
      <c r="B4957">
        <v>1625</v>
      </c>
      <c r="C4957" s="2">
        <v>46121</v>
      </c>
      <c r="D4957" t="s">
        <v>55</v>
      </c>
      <c r="E4957">
        <v>4</v>
      </c>
      <c r="F4957" s="3">
        <v>9.8000000000000007</v>
      </c>
      <c r="G4957" t="s">
        <v>27</v>
      </c>
      <c r="H4957">
        <v>13</v>
      </c>
      <c r="I4957" t="s">
        <v>28</v>
      </c>
      <c r="J4957" s="4">
        <v>70</v>
      </c>
      <c r="K4957" s="4">
        <v>121.7</v>
      </c>
      <c r="L4957" s="4">
        <v>17.5</v>
      </c>
      <c r="M4957">
        <v>13</v>
      </c>
      <c r="N4957" t="s">
        <v>60</v>
      </c>
      <c r="O4957">
        <v>4</v>
      </c>
      <c r="P4957" s="4">
        <v>1269.3</v>
      </c>
      <c r="Q4957" t="s">
        <v>42</v>
      </c>
      <c r="R4957">
        <v>1</v>
      </c>
      <c r="S4957" t="s">
        <v>44</v>
      </c>
      <c r="T4957">
        <v>1</v>
      </c>
      <c r="U4957">
        <v>0</v>
      </c>
      <c r="V4957" t="s">
        <v>32</v>
      </c>
      <c r="W4957" t="s">
        <v>39</v>
      </c>
      <c r="X4957" s="4">
        <v>8.1999999999999993</v>
      </c>
      <c r="Y4957">
        <v>16</v>
      </c>
      <c r="Z4957" s="5">
        <v>362.62</v>
      </c>
    </row>
    <row r="4958" spans="1:26">
      <c r="A4958">
        <v>4957</v>
      </c>
      <c r="B4958">
        <v>1625</v>
      </c>
      <c r="C4958" s="2">
        <v>46121</v>
      </c>
      <c r="D4958" t="s">
        <v>55</v>
      </c>
      <c r="E4958">
        <v>4</v>
      </c>
      <c r="F4958" s="3">
        <v>9.58</v>
      </c>
      <c r="G4958" t="s">
        <v>27</v>
      </c>
      <c r="H4958">
        <v>65</v>
      </c>
      <c r="I4958" t="s">
        <v>34</v>
      </c>
      <c r="J4958" s="4">
        <v>66.7</v>
      </c>
      <c r="K4958" s="4">
        <v>121.4</v>
      </c>
      <c r="L4958" s="4">
        <v>19.2</v>
      </c>
      <c r="M4958">
        <v>16</v>
      </c>
      <c r="N4958" t="s">
        <v>60</v>
      </c>
      <c r="O4958">
        <v>4</v>
      </c>
      <c r="P4958" s="4">
        <v>1269.3</v>
      </c>
      <c r="Q4958" t="s">
        <v>42</v>
      </c>
      <c r="R4958">
        <v>1</v>
      </c>
      <c r="S4958" t="s">
        <v>44</v>
      </c>
      <c r="T4958">
        <v>1</v>
      </c>
      <c r="U4958">
        <v>0</v>
      </c>
      <c r="V4958" t="s">
        <v>32</v>
      </c>
      <c r="W4958" t="s">
        <v>39</v>
      </c>
      <c r="X4958" s="4">
        <v>7.1</v>
      </c>
      <c r="Y4958">
        <v>12</v>
      </c>
      <c r="Z4958" s="5">
        <v>271.51</v>
      </c>
    </row>
    <row r="4959" spans="1:26">
      <c r="A4959">
        <v>4958</v>
      </c>
      <c r="B4959">
        <v>1626</v>
      </c>
      <c r="C4959" s="2">
        <v>46318</v>
      </c>
      <c r="D4959" t="s">
        <v>26</v>
      </c>
      <c r="E4959">
        <v>10</v>
      </c>
      <c r="F4959" s="3">
        <v>8.2100000000000009</v>
      </c>
      <c r="G4959" t="s">
        <v>27</v>
      </c>
      <c r="H4959">
        <v>20</v>
      </c>
      <c r="I4959" t="s">
        <v>28</v>
      </c>
      <c r="J4959" s="4">
        <v>67.2</v>
      </c>
      <c r="K4959" s="4">
        <v>188.4</v>
      </c>
      <c r="L4959" s="4">
        <v>29.4</v>
      </c>
      <c r="M4959">
        <v>11</v>
      </c>
      <c r="N4959" t="s">
        <v>61</v>
      </c>
      <c r="O4959">
        <v>1</v>
      </c>
      <c r="P4959" s="4">
        <v>1496.9</v>
      </c>
      <c r="Q4959" t="s">
        <v>42</v>
      </c>
      <c r="R4959">
        <v>1</v>
      </c>
      <c r="S4959" t="s">
        <v>38</v>
      </c>
      <c r="T4959">
        <v>0</v>
      </c>
      <c r="U4959">
        <v>0</v>
      </c>
      <c r="V4959" t="s">
        <v>45</v>
      </c>
      <c r="W4959" t="s">
        <v>43</v>
      </c>
      <c r="X4959" s="4">
        <v>10.3</v>
      </c>
      <c r="Y4959">
        <v>3</v>
      </c>
      <c r="Z4959" s="5">
        <v>196.52</v>
      </c>
    </row>
    <row r="4960" spans="1:26">
      <c r="A4960">
        <v>4959</v>
      </c>
      <c r="B4960">
        <v>1627</v>
      </c>
      <c r="C4960" s="2">
        <v>46379</v>
      </c>
      <c r="D4960" t="s">
        <v>52</v>
      </c>
      <c r="E4960">
        <v>12</v>
      </c>
      <c r="F4960" s="3">
        <v>11.27</v>
      </c>
      <c r="G4960" t="s">
        <v>36</v>
      </c>
      <c r="H4960">
        <v>41</v>
      </c>
      <c r="I4960" t="s">
        <v>28</v>
      </c>
      <c r="J4960" s="4">
        <v>71</v>
      </c>
      <c r="K4960" s="4">
        <v>160.69999999999999</v>
      </c>
      <c r="L4960" s="4">
        <v>22.2</v>
      </c>
      <c r="M4960">
        <v>15</v>
      </c>
      <c r="N4960" t="s">
        <v>29</v>
      </c>
      <c r="O4960">
        <v>2</v>
      </c>
      <c r="P4960" s="4">
        <v>2074.6999999999998</v>
      </c>
      <c r="Q4960" t="s">
        <v>42</v>
      </c>
      <c r="R4960">
        <v>1</v>
      </c>
      <c r="S4960" t="s">
        <v>31</v>
      </c>
      <c r="T4960">
        <v>0</v>
      </c>
      <c r="U4960">
        <v>1</v>
      </c>
      <c r="V4960" t="s">
        <v>32</v>
      </c>
      <c r="W4960" t="s">
        <v>33</v>
      </c>
      <c r="X4960" s="4">
        <v>9.8000000000000007</v>
      </c>
      <c r="Y4960">
        <v>11</v>
      </c>
      <c r="Z4960" s="5">
        <v>330.83</v>
      </c>
    </row>
    <row r="4961" spans="1:26">
      <c r="A4961">
        <v>4960</v>
      </c>
      <c r="B4961">
        <v>1627</v>
      </c>
      <c r="C4961" s="2">
        <v>46379</v>
      </c>
      <c r="D4961" t="s">
        <v>52</v>
      </c>
      <c r="E4961">
        <v>12</v>
      </c>
      <c r="F4961" s="3">
        <v>11.5</v>
      </c>
      <c r="G4961" t="s">
        <v>36</v>
      </c>
      <c r="H4961">
        <v>48</v>
      </c>
      <c r="I4961" t="s">
        <v>28</v>
      </c>
      <c r="J4961" s="4">
        <v>78</v>
      </c>
      <c r="K4961" s="4">
        <v>278.2</v>
      </c>
      <c r="L4961" s="4">
        <v>32</v>
      </c>
      <c r="M4961">
        <v>18</v>
      </c>
      <c r="N4961" t="s">
        <v>29</v>
      </c>
      <c r="O4961">
        <v>2</v>
      </c>
      <c r="P4961" s="4">
        <v>2074.6999999999998</v>
      </c>
      <c r="Q4961" t="s">
        <v>42</v>
      </c>
      <c r="R4961">
        <v>1</v>
      </c>
      <c r="S4961" t="s">
        <v>31</v>
      </c>
      <c r="T4961">
        <v>0</v>
      </c>
      <c r="U4961">
        <v>1</v>
      </c>
      <c r="V4961" t="s">
        <v>32</v>
      </c>
      <c r="W4961" t="s">
        <v>33</v>
      </c>
      <c r="X4961" s="4">
        <v>9.1</v>
      </c>
      <c r="Y4961">
        <v>9</v>
      </c>
      <c r="Z4961" s="5">
        <v>212.05</v>
      </c>
    </row>
    <row r="4962" spans="1:26">
      <c r="A4962">
        <v>4961</v>
      </c>
      <c r="B4962">
        <v>1628</v>
      </c>
      <c r="C4962" s="2">
        <v>46071</v>
      </c>
      <c r="D4962" t="s">
        <v>52</v>
      </c>
      <c r="E4962">
        <v>2</v>
      </c>
      <c r="F4962" s="3">
        <v>14.05</v>
      </c>
      <c r="G4962" t="s">
        <v>36</v>
      </c>
      <c r="H4962">
        <v>49</v>
      </c>
      <c r="I4962" t="s">
        <v>34</v>
      </c>
      <c r="J4962" s="4">
        <v>62.9</v>
      </c>
      <c r="K4962" s="4">
        <v>90.8</v>
      </c>
      <c r="L4962" s="4">
        <v>16.100000000000001</v>
      </c>
      <c r="M4962">
        <v>17</v>
      </c>
      <c r="N4962" t="s">
        <v>50</v>
      </c>
      <c r="O4962">
        <v>2</v>
      </c>
      <c r="P4962" s="4">
        <v>296.60000000000002</v>
      </c>
      <c r="Q4962" t="s">
        <v>42</v>
      </c>
      <c r="R4962">
        <v>0</v>
      </c>
      <c r="S4962" t="s">
        <v>31</v>
      </c>
      <c r="T4962">
        <v>0</v>
      </c>
      <c r="U4962">
        <v>1</v>
      </c>
      <c r="V4962" t="s">
        <v>32</v>
      </c>
      <c r="W4962" t="s">
        <v>43</v>
      </c>
      <c r="X4962" s="4">
        <v>10.3</v>
      </c>
      <c r="Y4962">
        <v>8</v>
      </c>
      <c r="Z4962" s="5">
        <v>206.67</v>
      </c>
    </row>
    <row r="4963" spans="1:26">
      <c r="A4963">
        <v>4962</v>
      </c>
      <c r="B4963">
        <v>1628</v>
      </c>
      <c r="C4963" s="2">
        <v>46071</v>
      </c>
      <c r="D4963" t="s">
        <v>52</v>
      </c>
      <c r="E4963">
        <v>2</v>
      </c>
      <c r="F4963" s="3">
        <v>14.03</v>
      </c>
      <c r="G4963" t="s">
        <v>36</v>
      </c>
      <c r="H4963">
        <v>12</v>
      </c>
      <c r="I4963" t="s">
        <v>28</v>
      </c>
      <c r="J4963" s="4">
        <v>70</v>
      </c>
      <c r="K4963" s="4">
        <v>130.30000000000001</v>
      </c>
      <c r="L4963" s="4">
        <v>18.7</v>
      </c>
      <c r="M4963">
        <v>15</v>
      </c>
      <c r="N4963" t="s">
        <v>50</v>
      </c>
      <c r="O4963">
        <v>2</v>
      </c>
      <c r="P4963" s="4">
        <v>296.60000000000002</v>
      </c>
      <c r="Q4963" t="s">
        <v>42</v>
      </c>
      <c r="R4963">
        <v>0</v>
      </c>
      <c r="S4963" t="s">
        <v>31</v>
      </c>
      <c r="T4963">
        <v>0</v>
      </c>
      <c r="U4963">
        <v>1</v>
      </c>
      <c r="V4963" t="s">
        <v>32</v>
      </c>
      <c r="W4963" t="s">
        <v>43</v>
      </c>
      <c r="X4963" s="4">
        <v>8.5</v>
      </c>
      <c r="Y4963">
        <v>11</v>
      </c>
      <c r="Z4963" s="5">
        <v>211.62</v>
      </c>
    </row>
    <row r="4964" spans="1:26">
      <c r="A4964">
        <v>4963</v>
      </c>
      <c r="B4964">
        <v>1629</v>
      </c>
      <c r="C4964" s="2">
        <v>46245</v>
      </c>
      <c r="D4964" t="s">
        <v>35</v>
      </c>
      <c r="E4964">
        <v>8</v>
      </c>
      <c r="F4964" s="3">
        <v>9.42</v>
      </c>
      <c r="G4964" t="s">
        <v>27</v>
      </c>
      <c r="H4964">
        <v>39</v>
      </c>
      <c r="I4964" t="s">
        <v>34</v>
      </c>
      <c r="J4964" s="4">
        <v>67.5</v>
      </c>
      <c r="K4964" s="4">
        <v>135</v>
      </c>
      <c r="L4964" s="4">
        <v>20.9</v>
      </c>
      <c r="M4964">
        <v>15</v>
      </c>
      <c r="N4964" t="s">
        <v>47</v>
      </c>
      <c r="O4964">
        <v>3</v>
      </c>
      <c r="P4964" s="4">
        <v>10.8</v>
      </c>
      <c r="Q4964" t="s">
        <v>30</v>
      </c>
      <c r="R4964">
        <v>1</v>
      </c>
      <c r="S4964" t="s">
        <v>44</v>
      </c>
      <c r="T4964">
        <v>1</v>
      </c>
      <c r="U4964">
        <v>1</v>
      </c>
      <c r="V4964" t="s">
        <v>32</v>
      </c>
      <c r="W4964" t="s">
        <v>39</v>
      </c>
      <c r="X4964" s="4">
        <v>11</v>
      </c>
      <c r="Y4964">
        <v>15</v>
      </c>
      <c r="Z4964" s="5">
        <v>370.18</v>
      </c>
    </row>
    <row r="4965" spans="1:26">
      <c r="A4965">
        <v>4964</v>
      </c>
      <c r="B4965">
        <v>1629</v>
      </c>
      <c r="C4965" s="2">
        <v>46245</v>
      </c>
      <c r="D4965" t="s">
        <v>35</v>
      </c>
      <c r="E4965">
        <v>8</v>
      </c>
      <c r="F4965" s="3">
        <v>9.6</v>
      </c>
      <c r="G4965" t="s">
        <v>27</v>
      </c>
      <c r="H4965">
        <v>11</v>
      </c>
      <c r="I4965" t="s">
        <v>28</v>
      </c>
      <c r="J4965" s="4">
        <v>63.7</v>
      </c>
      <c r="K4965" s="4">
        <v>107.7</v>
      </c>
      <c r="L4965" s="4">
        <v>18.600000000000001</v>
      </c>
      <c r="M4965">
        <v>13</v>
      </c>
      <c r="N4965" t="s">
        <v>47</v>
      </c>
      <c r="O4965">
        <v>3</v>
      </c>
      <c r="P4965" s="4">
        <v>10.8</v>
      </c>
      <c r="Q4965" t="s">
        <v>30</v>
      </c>
      <c r="R4965">
        <v>1</v>
      </c>
      <c r="S4965" t="s">
        <v>44</v>
      </c>
      <c r="T4965">
        <v>1</v>
      </c>
      <c r="U4965">
        <v>1</v>
      </c>
      <c r="V4965" t="s">
        <v>32</v>
      </c>
      <c r="W4965" t="s">
        <v>39</v>
      </c>
      <c r="X4965" s="4">
        <v>12.4</v>
      </c>
      <c r="Y4965">
        <v>10</v>
      </c>
      <c r="Z4965" s="5">
        <v>188.96</v>
      </c>
    </row>
    <row r="4966" spans="1:26">
      <c r="A4966">
        <v>4965</v>
      </c>
      <c r="B4966">
        <v>1629</v>
      </c>
      <c r="C4966" s="2">
        <v>46245</v>
      </c>
      <c r="D4966" t="s">
        <v>35</v>
      </c>
      <c r="E4966">
        <v>8</v>
      </c>
      <c r="F4966" s="3">
        <v>9.42</v>
      </c>
      <c r="G4966" t="s">
        <v>27</v>
      </c>
      <c r="H4966">
        <v>55</v>
      </c>
      <c r="I4966" t="s">
        <v>28</v>
      </c>
      <c r="J4966" s="4">
        <v>70.8</v>
      </c>
      <c r="K4966" s="4">
        <v>211.7</v>
      </c>
      <c r="L4966" s="4">
        <v>29.6</v>
      </c>
      <c r="M4966">
        <v>16</v>
      </c>
      <c r="N4966" t="s">
        <v>47</v>
      </c>
      <c r="O4966">
        <v>3</v>
      </c>
      <c r="P4966" s="4">
        <v>10.8</v>
      </c>
      <c r="Q4966" t="s">
        <v>30</v>
      </c>
      <c r="R4966">
        <v>1</v>
      </c>
      <c r="S4966" t="s">
        <v>44</v>
      </c>
      <c r="T4966">
        <v>1</v>
      </c>
      <c r="U4966">
        <v>1</v>
      </c>
      <c r="V4966" t="s">
        <v>32</v>
      </c>
      <c r="W4966" t="s">
        <v>39</v>
      </c>
      <c r="X4966" s="4">
        <v>8.6</v>
      </c>
      <c r="Y4966">
        <v>9</v>
      </c>
      <c r="Z4966" s="5">
        <v>158.6</v>
      </c>
    </row>
    <row r="4967" spans="1:26">
      <c r="A4967">
        <v>4966</v>
      </c>
      <c r="B4967">
        <v>1630</v>
      </c>
      <c r="C4967" s="2">
        <v>46348</v>
      </c>
      <c r="D4967" t="s">
        <v>58</v>
      </c>
      <c r="E4967">
        <v>11</v>
      </c>
      <c r="F4967" s="3">
        <v>10.96</v>
      </c>
      <c r="G4967" t="s">
        <v>27</v>
      </c>
      <c r="H4967">
        <v>74</v>
      </c>
      <c r="I4967" t="s">
        <v>28</v>
      </c>
      <c r="J4967" s="4">
        <v>65.900000000000006</v>
      </c>
      <c r="K4967" s="4">
        <v>159.4</v>
      </c>
      <c r="L4967" s="4">
        <v>25.9</v>
      </c>
      <c r="M4967">
        <v>12</v>
      </c>
      <c r="N4967" t="s">
        <v>47</v>
      </c>
      <c r="O4967">
        <v>4</v>
      </c>
      <c r="P4967" s="4">
        <v>160.69999999999999</v>
      </c>
      <c r="Q4967" t="s">
        <v>30</v>
      </c>
      <c r="R4967">
        <v>1</v>
      </c>
      <c r="S4967" t="s">
        <v>31</v>
      </c>
      <c r="T4967">
        <v>0</v>
      </c>
      <c r="U4967">
        <v>0</v>
      </c>
      <c r="V4967" t="s">
        <v>32</v>
      </c>
      <c r="W4967" t="s">
        <v>49</v>
      </c>
      <c r="X4967" s="4">
        <v>8.9</v>
      </c>
      <c r="Y4967">
        <v>6</v>
      </c>
      <c r="Z4967" s="5">
        <v>245.33</v>
      </c>
    </row>
    <row r="4968" spans="1:26">
      <c r="A4968">
        <v>4967</v>
      </c>
      <c r="B4968">
        <v>1630</v>
      </c>
      <c r="C4968" s="2">
        <v>46348</v>
      </c>
      <c r="D4968" t="s">
        <v>58</v>
      </c>
      <c r="E4968">
        <v>11</v>
      </c>
      <c r="F4968" s="3">
        <v>10.79</v>
      </c>
      <c r="G4968" t="s">
        <v>27</v>
      </c>
      <c r="H4968">
        <v>52</v>
      </c>
      <c r="I4968" t="s">
        <v>34</v>
      </c>
      <c r="J4968" s="4">
        <v>66</v>
      </c>
      <c r="K4968" s="4">
        <v>157.69999999999999</v>
      </c>
      <c r="L4968" s="4">
        <v>25.4</v>
      </c>
      <c r="M4968">
        <v>13</v>
      </c>
      <c r="N4968" t="s">
        <v>47</v>
      </c>
      <c r="O4968">
        <v>4</v>
      </c>
      <c r="P4968" s="4">
        <v>160.69999999999999</v>
      </c>
      <c r="Q4968" t="s">
        <v>30</v>
      </c>
      <c r="R4968">
        <v>1</v>
      </c>
      <c r="S4968" t="s">
        <v>31</v>
      </c>
      <c r="T4968">
        <v>0</v>
      </c>
      <c r="U4968">
        <v>0</v>
      </c>
      <c r="V4968" t="s">
        <v>32</v>
      </c>
      <c r="W4968" t="s">
        <v>49</v>
      </c>
      <c r="X4968" s="4">
        <v>8.6999999999999993</v>
      </c>
      <c r="Y4968">
        <v>11</v>
      </c>
      <c r="Z4968" s="5">
        <v>174.18</v>
      </c>
    </row>
    <row r="4969" spans="1:26">
      <c r="A4969">
        <v>4968</v>
      </c>
      <c r="B4969">
        <v>1630</v>
      </c>
      <c r="C4969" s="2">
        <v>46348</v>
      </c>
      <c r="D4969" t="s">
        <v>58</v>
      </c>
      <c r="E4969">
        <v>11</v>
      </c>
      <c r="F4969" s="3">
        <v>10.83</v>
      </c>
      <c r="G4969" t="s">
        <v>27</v>
      </c>
      <c r="H4969">
        <v>18</v>
      </c>
      <c r="I4969" t="s">
        <v>34</v>
      </c>
      <c r="J4969" s="4">
        <v>63</v>
      </c>
      <c r="K4969" s="4">
        <v>140.69999999999999</v>
      </c>
      <c r="L4969" s="4">
        <v>24.9</v>
      </c>
      <c r="M4969">
        <v>9</v>
      </c>
      <c r="N4969" t="s">
        <v>47</v>
      </c>
      <c r="O4969">
        <v>4</v>
      </c>
      <c r="P4969" s="4">
        <v>160.69999999999999</v>
      </c>
      <c r="Q4969" t="s">
        <v>30</v>
      </c>
      <c r="R4969">
        <v>1</v>
      </c>
      <c r="S4969" t="s">
        <v>31</v>
      </c>
      <c r="T4969">
        <v>0</v>
      </c>
      <c r="U4969">
        <v>0</v>
      </c>
      <c r="V4969" t="s">
        <v>32</v>
      </c>
      <c r="W4969" t="s">
        <v>49</v>
      </c>
      <c r="X4969" s="4">
        <v>9.8000000000000007</v>
      </c>
      <c r="Y4969">
        <v>3</v>
      </c>
      <c r="Z4969" s="5">
        <v>141.96</v>
      </c>
    </row>
    <row r="4970" spans="1:26">
      <c r="A4970">
        <v>4969</v>
      </c>
      <c r="B4970">
        <v>1630</v>
      </c>
      <c r="C4970" s="2">
        <v>46348</v>
      </c>
      <c r="D4970" t="s">
        <v>58</v>
      </c>
      <c r="E4970">
        <v>11</v>
      </c>
      <c r="F4970" s="3">
        <v>10.68</v>
      </c>
      <c r="G4970" t="s">
        <v>27</v>
      </c>
      <c r="H4970">
        <v>38</v>
      </c>
      <c r="I4970" t="s">
        <v>28</v>
      </c>
      <c r="J4970" s="4">
        <v>64.900000000000006</v>
      </c>
      <c r="K4970" s="4">
        <v>114.4</v>
      </c>
      <c r="L4970" s="4">
        <v>19.399999999999999</v>
      </c>
      <c r="M4970">
        <v>13</v>
      </c>
      <c r="N4970" t="s">
        <v>47</v>
      </c>
      <c r="O4970">
        <v>4</v>
      </c>
      <c r="P4970" s="4">
        <v>160.69999999999999</v>
      </c>
      <c r="Q4970" t="s">
        <v>30</v>
      </c>
      <c r="R4970">
        <v>1</v>
      </c>
      <c r="S4970" t="s">
        <v>31</v>
      </c>
      <c r="T4970">
        <v>0</v>
      </c>
      <c r="U4970">
        <v>0</v>
      </c>
      <c r="V4970" t="s">
        <v>32</v>
      </c>
      <c r="W4970" t="s">
        <v>49</v>
      </c>
      <c r="X4970" s="4">
        <v>6.6</v>
      </c>
      <c r="Y4970">
        <v>3</v>
      </c>
      <c r="Z4970" s="5">
        <v>74.819999999999993</v>
      </c>
    </row>
    <row r="4971" spans="1:26">
      <c r="A4971">
        <v>4970</v>
      </c>
      <c r="B4971">
        <v>1631</v>
      </c>
      <c r="C4971" s="2">
        <v>46254</v>
      </c>
      <c r="D4971" t="s">
        <v>55</v>
      </c>
      <c r="E4971">
        <v>8</v>
      </c>
      <c r="F4971" s="3">
        <v>12.94</v>
      </c>
      <c r="G4971" t="s">
        <v>36</v>
      </c>
      <c r="H4971">
        <v>63</v>
      </c>
      <c r="I4971" t="s">
        <v>28</v>
      </c>
      <c r="J4971" s="4">
        <v>73.2</v>
      </c>
      <c r="K4971" s="4">
        <v>184</v>
      </c>
      <c r="L4971" s="4">
        <v>24.2</v>
      </c>
      <c r="M4971">
        <v>16</v>
      </c>
      <c r="N4971" t="s">
        <v>47</v>
      </c>
      <c r="O4971">
        <v>2</v>
      </c>
      <c r="P4971" s="4">
        <v>2</v>
      </c>
      <c r="Q4971" t="s">
        <v>48</v>
      </c>
      <c r="R4971">
        <v>0</v>
      </c>
      <c r="S4971" t="s">
        <v>44</v>
      </c>
      <c r="T4971">
        <v>0</v>
      </c>
      <c r="U4971">
        <v>0</v>
      </c>
      <c r="V4971" t="s">
        <v>32</v>
      </c>
      <c r="W4971" t="s">
        <v>39</v>
      </c>
      <c r="X4971" s="4">
        <v>6.8</v>
      </c>
      <c r="Y4971">
        <v>10</v>
      </c>
      <c r="Z4971" s="5">
        <v>240.97</v>
      </c>
    </row>
    <row r="4972" spans="1:26">
      <c r="A4972">
        <v>4971</v>
      </c>
      <c r="B4972">
        <v>1631</v>
      </c>
      <c r="C4972" s="2">
        <v>46254</v>
      </c>
      <c r="D4972" t="s">
        <v>55</v>
      </c>
      <c r="E4972">
        <v>8</v>
      </c>
      <c r="F4972" s="3">
        <v>13.07</v>
      </c>
      <c r="G4972" t="s">
        <v>36</v>
      </c>
      <c r="H4972">
        <v>62</v>
      </c>
      <c r="I4972" t="s">
        <v>34</v>
      </c>
      <c r="J4972" s="4">
        <v>68.599999999999994</v>
      </c>
      <c r="K4972" s="4">
        <v>127.2</v>
      </c>
      <c r="L4972" s="4">
        <v>19.100000000000001</v>
      </c>
      <c r="M4972">
        <v>19</v>
      </c>
      <c r="N4972" t="s">
        <v>47</v>
      </c>
      <c r="O4972">
        <v>2</v>
      </c>
      <c r="P4972" s="4">
        <v>2</v>
      </c>
      <c r="Q4972" t="s">
        <v>48</v>
      </c>
      <c r="R4972">
        <v>0</v>
      </c>
      <c r="S4972" t="s">
        <v>44</v>
      </c>
      <c r="T4972">
        <v>0</v>
      </c>
      <c r="U4972">
        <v>0</v>
      </c>
      <c r="V4972" t="s">
        <v>32</v>
      </c>
      <c r="W4972" t="s">
        <v>39</v>
      </c>
      <c r="X4972" s="4">
        <v>9.3000000000000007</v>
      </c>
      <c r="Y4972">
        <v>6</v>
      </c>
      <c r="Z4972" s="5">
        <v>395.35</v>
      </c>
    </row>
    <row r="4973" spans="1:26">
      <c r="A4973">
        <v>4972</v>
      </c>
      <c r="B4973">
        <v>1632</v>
      </c>
      <c r="C4973" s="2">
        <v>46057</v>
      </c>
      <c r="D4973" t="s">
        <v>52</v>
      </c>
      <c r="E4973">
        <v>2</v>
      </c>
      <c r="F4973" s="3">
        <v>10.81</v>
      </c>
      <c r="G4973" t="s">
        <v>27</v>
      </c>
      <c r="H4973">
        <v>20</v>
      </c>
      <c r="I4973" t="s">
        <v>28</v>
      </c>
      <c r="J4973" s="4">
        <v>70.2</v>
      </c>
      <c r="K4973" s="4">
        <v>116</v>
      </c>
      <c r="L4973" s="4">
        <v>16.5</v>
      </c>
      <c r="M4973">
        <v>11</v>
      </c>
      <c r="N4973" t="s">
        <v>47</v>
      </c>
      <c r="O4973">
        <v>1</v>
      </c>
      <c r="P4973" s="4">
        <v>92.7</v>
      </c>
      <c r="Q4973" t="s">
        <v>30</v>
      </c>
      <c r="R4973">
        <v>1</v>
      </c>
      <c r="S4973" t="s">
        <v>31</v>
      </c>
      <c r="T4973">
        <v>1</v>
      </c>
      <c r="U4973">
        <v>1</v>
      </c>
      <c r="V4973" t="s">
        <v>32</v>
      </c>
      <c r="W4973" t="s">
        <v>33</v>
      </c>
      <c r="X4973" s="4">
        <v>8.9</v>
      </c>
      <c r="Y4973">
        <v>10</v>
      </c>
      <c r="Z4973" s="5">
        <v>304.27</v>
      </c>
    </row>
    <row r="4974" spans="1:26">
      <c r="A4974">
        <v>4973</v>
      </c>
      <c r="B4974">
        <v>1633</v>
      </c>
      <c r="C4974" s="2">
        <v>46095</v>
      </c>
      <c r="D4974" t="s">
        <v>40</v>
      </c>
      <c r="E4974">
        <v>3</v>
      </c>
      <c r="F4974" s="3">
        <v>12.52</v>
      </c>
      <c r="G4974" t="s">
        <v>36</v>
      </c>
      <c r="H4974">
        <v>54</v>
      </c>
      <c r="I4974" t="s">
        <v>28</v>
      </c>
      <c r="J4974" s="4">
        <v>65.599999999999994</v>
      </c>
      <c r="K4974" s="4">
        <v>119.1</v>
      </c>
      <c r="L4974" s="4">
        <v>19.2</v>
      </c>
      <c r="M4974">
        <v>16</v>
      </c>
      <c r="N4974" t="s">
        <v>47</v>
      </c>
      <c r="O4974">
        <v>2</v>
      </c>
      <c r="P4974" s="4">
        <v>68.900000000000006</v>
      </c>
      <c r="Q4974" t="s">
        <v>42</v>
      </c>
      <c r="R4974">
        <v>0</v>
      </c>
      <c r="S4974" t="s">
        <v>31</v>
      </c>
      <c r="T4974">
        <v>0</v>
      </c>
      <c r="U4974">
        <v>0</v>
      </c>
      <c r="V4974" t="s">
        <v>32</v>
      </c>
      <c r="W4974" t="s">
        <v>39</v>
      </c>
      <c r="X4974" s="4">
        <v>5.7</v>
      </c>
      <c r="Y4974">
        <v>7</v>
      </c>
      <c r="Z4974" s="5">
        <v>222.97</v>
      </c>
    </row>
    <row r="4975" spans="1:26">
      <c r="A4975">
        <v>4974</v>
      </c>
      <c r="B4975">
        <v>1633</v>
      </c>
      <c r="C4975" s="2">
        <v>46095</v>
      </c>
      <c r="D4975" t="s">
        <v>40</v>
      </c>
      <c r="E4975">
        <v>3</v>
      </c>
      <c r="F4975" s="3">
        <v>12.55</v>
      </c>
      <c r="G4975" t="s">
        <v>36</v>
      </c>
      <c r="H4975">
        <v>33</v>
      </c>
      <c r="I4975" t="s">
        <v>28</v>
      </c>
      <c r="J4975" s="4">
        <v>72.599999999999994</v>
      </c>
      <c r="K4975" s="4">
        <v>187.1</v>
      </c>
      <c r="L4975" s="4">
        <v>25</v>
      </c>
      <c r="M4975">
        <v>15</v>
      </c>
      <c r="N4975" t="s">
        <v>47</v>
      </c>
      <c r="O4975">
        <v>2</v>
      </c>
      <c r="P4975" s="4">
        <v>68.900000000000006</v>
      </c>
      <c r="Q4975" t="s">
        <v>42</v>
      </c>
      <c r="R4975">
        <v>0</v>
      </c>
      <c r="S4975" t="s">
        <v>31</v>
      </c>
      <c r="T4975">
        <v>0</v>
      </c>
      <c r="U4975">
        <v>0</v>
      </c>
      <c r="V4975" t="s">
        <v>32</v>
      </c>
      <c r="W4975" t="s">
        <v>39</v>
      </c>
      <c r="X4975" s="4">
        <v>9.1999999999999993</v>
      </c>
      <c r="Y4975">
        <v>5</v>
      </c>
      <c r="Z4975" s="5">
        <v>166.94</v>
      </c>
    </row>
    <row r="4976" spans="1:26">
      <c r="A4976">
        <v>4975</v>
      </c>
      <c r="B4976">
        <v>1634</v>
      </c>
      <c r="C4976" s="2">
        <v>46209</v>
      </c>
      <c r="D4976" t="s">
        <v>46</v>
      </c>
      <c r="E4976">
        <v>7</v>
      </c>
      <c r="F4976" s="3">
        <v>9.74</v>
      </c>
      <c r="G4976" t="s">
        <v>27</v>
      </c>
      <c r="H4976">
        <v>31</v>
      </c>
      <c r="I4976" t="s">
        <v>28</v>
      </c>
      <c r="J4976" s="4">
        <v>67.3</v>
      </c>
      <c r="K4976" s="4">
        <v>190</v>
      </c>
      <c r="L4976" s="4">
        <v>29.5</v>
      </c>
      <c r="M4976">
        <v>14</v>
      </c>
      <c r="N4976" t="s">
        <v>47</v>
      </c>
      <c r="O4976">
        <v>5</v>
      </c>
      <c r="P4976" s="4">
        <v>54</v>
      </c>
      <c r="Q4976" t="s">
        <v>42</v>
      </c>
      <c r="R4976">
        <v>1</v>
      </c>
      <c r="S4976" t="s">
        <v>44</v>
      </c>
      <c r="T4976">
        <v>1</v>
      </c>
      <c r="U4976">
        <v>0</v>
      </c>
      <c r="V4976" t="s">
        <v>32</v>
      </c>
      <c r="W4976" t="s">
        <v>39</v>
      </c>
      <c r="X4976" s="4">
        <v>7.5</v>
      </c>
      <c r="Y4976">
        <v>7</v>
      </c>
      <c r="Z4976" s="5">
        <v>145.97999999999999</v>
      </c>
    </row>
    <row r="4977" spans="1:26">
      <c r="A4977">
        <v>4976</v>
      </c>
      <c r="B4977">
        <v>1634</v>
      </c>
      <c r="C4977" s="2">
        <v>46209</v>
      </c>
      <c r="D4977" t="s">
        <v>46</v>
      </c>
      <c r="E4977">
        <v>7</v>
      </c>
      <c r="F4977" s="3">
        <v>9.75</v>
      </c>
      <c r="G4977" t="s">
        <v>27</v>
      </c>
      <c r="H4977">
        <v>66</v>
      </c>
      <c r="I4977" t="s">
        <v>34</v>
      </c>
      <c r="J4977" s="4">
        <v>64.400000000000006</v>
      </c>
      <c r="K4977" s="4">
        <v>142.80000000000001</v>
      </c>
      <c r="L4977" s="4">
        <v>24.2</v>
      </c>
      <c r="M4977">
        <v>14</v>
      </c>
      <c r="N4977" t="s">
        <v>47</v>
      </c>
      <c r="O4977">
        <v>5</v>
      </c>
      <c r="P4977" s="4">
        <v>54</v>
      </c>
      <c r="Q4977" t="s">
        <v>42</v>
      </c>
      <c r="R4977">
        <v>1</v>
      </c>
      <c r="S4977" t="s">
        <v>44</v>
      </c>
      <c r="T4977">
        <v>1</v>
      </c>
      <c r="U4977">
        <v>0</v>
      </c>
      <c r="V4977" t="s">
        <v>32</v>
      </c>
      <c r="W4977" t="s">
        <v>39</v>
      </c>
      <c r="X4977" s="4">
        <v>10.199999999999999</v>
      </c>
      <c r="Y4977">
        <v>8</v>
      </c>
      <c r="Z4977" s="5">
        <v>239.21</v>
      </c>
    </row>
    <row r="4978" spans="1:26">
      <c r="A4978">
        <v>4977</v>
      </c>
      <c r="B4978">
        <v>1634</v>
      </c>
      <c r="C4978" s="2">
        <v>46209</v>
      </c>
      <c r="D4978" t="s">
        <v>46</v>
      </c>
      <c r="E4978">
        <v>7</v>
      </c>
      <c r="F4978" s="3">
        <v>9.66</v>
      </c>
      <c r="G4978" t="s">
        <v>27</v>
      </c>
      <c r="H4978">
        <v>30</v>
      </c>
      <c r="I4978" t="s">
        <v>34</v>
      </c>
      <c r="J4978" s="4">
        <v>67.5</v>
      </c>
      <c r="K4978" s="4">
        <v>191</v>
      </c>
      <c r="L4978" s="4">
        <v>29.6</v>
      </c>
      <c r="M4978">
        <v>19</v>
      </c>
      <c r="N4978" t="s">
        <v>47</v>
      </c>
      <c r="O4978">
        <v>5</v>
      </c>
      <c r="P4978" s="4">
        <v>54</v>
      </c>
      <c r="Q4978" t="s">
        <v>42</v>
      </c>
      <c r="R4978">
        <v>1</v>
      </c>
      <c r="S4978" t="s">
        <v>44</v>
      </c>
      <c r="T4978">
        <v>1</v>
      </c>
      <c r="U4978">
        <v>0</v>
      </c>
      <c r="V4978" t="s">
        <v>32</v>
      </c>
      <c r="W4978" t="s">
        <v>39</v>
      </c>
      <c r="X4978" s="4">
        <v>9.1</v>
      </c>
      <c r="Y4978">
        <v>6</v>
      </c>
      <c r="Z4978" s="5">
        <v>207.94</v>
      </c>
    </row>
    <row r="4979" spans="1:26">
      <c r="A4979">
        <v>4978</v>
      </c>
      <c r="B4979">
        <v>1634</v>
      </c>
      <c r="C4979" s="2">
        <v>46209</v>
      </c>
      <c r="D4979" t="s">
        <v>46</v>
      </c>
      <c r="E4979">
        <v>7</v>
      </c>
      <c r="F4979" s="3">
        <v>9.93</v>
      </c>
      <c r="G4979" t="s">
        <v>27</v>
      </c>
      <c r="H4979">
        <v>30</v>
      </c>
      <c r="I4979" t="s">
        <v>28</v>
      </c>
      <c r="J4979" s="4">
        <v>67.400000000000006</v>
      </c>
      <c r="K4979" s="4">
        <v>199.1</v>
      </c>
      <c r="L4979" s="4">
        <v>30.6</v>
      </c>
      <c r="M4979">
        <v>17</v>
      </c>
      <c r="N4979" t="s">
        <v>47</v>
      </c>
      <c r="O4979">
        <v>5</v>
      </c>
      <c r="P4979" s="4">
        <v>54</v>
      </c>
      <c r="Q4979" t="s">
        <v>42</v>
      </c>
      <c r="R4979">
        <v>1</v>
      </c>
      <c r="S4979" t="s">
        <v>44</v>
      </c>
      <c r="T4979">
        <v>1</v>
      </c>
      <c r="U4979">
        <v>0</v>
      </c>
      <c r="V4979" t="s">
        <v>32</v>
      </c>
      <c r="W4979" t="s">
        <v>39</v>
      </c>
      <c r="X4979" s="4">
        <v>10.8</v>
      </c>
      <c r="Y4979">
        <v>15</v>
      </c>
      <c r="Z4979" s="5">
        <v>325.39</v>
      </c>
    </row>
    <row r="4980" spans="1:26">
      <c r="A4980">
        <v>4979</v>
      </c>
      <c r="B4980">
        <v>1634</v>
      </c>
      <c r="C4980" s="2">
        <v>46209</v>
      </c>
      <c r="D4980" t="s">
        <v>46</v>
      </c>
      <c r="E4980">
        <v>7</v>
      </c>
      <c r="F4980" s="3">
        <v>9.73</v>
      </c>
      <c r="G4980" t="s">
        <v>27</v>
      </c>
      <c r="H4980">
        <v>37</v>
      </c>
      <c r="I4980" t="s">
        <v>28</v>
      </c>
      <c r="J4980" s="4">
        <v>71.5</v>
      </c>
      <c r="K4980" s="4">
        <v>187</v>
      </c>
      <c r="L4980" s="4">
        <v>25.8</v>
      </c>
      <c r="M4980">
        <v>15</v>
      </c>
      <c r="N4980" t="s">
        <v>47</v>
      </c>
      <c r="O4980">
        <v>5</v>
      </c>
      <c r="P4980" s="4">
        <v>54</v>
      </c>
      <c r="Q4980" t="s">
        <v>42</v>
      </c>
      <c r="R4980">
        <v>1</v>
      </c>
      <c r="S4980" t="s">
        <v>44</v>
      </c>
      <c r="T4980">
        <v>1</v>
      </c>
      <c r="U4980">
        <v>0</v>
      </c>
      <c r="V4980" t="s">
        <v>32</v>
      </c>
      <c r="W4980" t="s">
        <v>39</v>
      </c>
      <c r="X4980" s="4">
        <v>9.1999999999999993</v>
      </c>
      <c r="Y4980">
        <v>12</v>
      </c>
      <c r="Z4980" s="5">
        <v>206.94</v>
      </c>
    </row>
    <row r="4981" spans="1:26">
      <c r="A4981">
        <v>4980</v>
      </c>
      <c r="B4981">
        <v>1635</v>
      </c>
      <c r="C4981" s="2">
        <v>46084</v>
      </c>
      <c r="D4981" t="s">
        <v>35</v>
      </c>
      <c r="E4981">
        <v>3</v>
      </c>
      <c r="F4981" s="3">
        <v>7.32</v>
      </c>
      <c r="G4981" t="s">
        <v>27</v>
      </c>
      <c r="H4981">
        <v>69</v>
      </c>
      <c r="I4981" t="s">
        <v>28</v>
      </c>
      <c r="J4981" s="4">
        <v>66.900000000000006</v>
      </c>
      <c r="K4981" s="4">
        <v>170.5</v>
      </c>
      <c r="L4981" s="4">
        <v>26.5</v>
      </c>
      <c r="M4981">
        <v>15</v>
      </c>
      <c r="N4981" t="s">
        <v>47</v>
      </c>
      <c r="O4981">
        <v>1</v>
      </c>
      <c r="P4981" s="4">
        <v>51.5</v>
      </c>
      <c r="Q4981" t="s">
        <v>30</v>
      </c>
      <c r="R4981">
        <v>0</v>
      </c>
      <c r="S4981" t="s">
        <v>44</v>
      </c>
      <c r="T4981">
        <v>0</v>
      </c>
      <c r="U4981">
        <v>0</v>
      </c>
      <c r="V4981" t="s">
        <v>32</v>
      </c>
      <c r="W4981" t="s">
        <v>39</v>
      </c>
      <c r="X4981" s="4">
        <v>8.6</v>
      </c>
      <c r="Y4981">
        <v>9</v>
      </c>
      <c r="Z4981" s="5">
        <v>268.92</v>
      </c>
    </row>
    <row r="4982" spans="1:26">
      <c r="A4982">
        <v>4981</v>
      </c>
      <c r="B4982">
        <v>1636</v>
      </c>
      <c r="C4982" s="2">
        <v>46243</v>
      </c>
      <c r="D4982" t="s">
        <v>58</v>
      </c>
      <c r="E4982">
        <v>8</v>
      </c>
      <c r="F4982" s="3">
        <v>8.5</v>
      </c>
      <c r="G4982" t="s">
        <v>27</v>
      </c>
      <c r="H4982">
        <v>50</v>
      </c>
      <c r="I4982" t="s">
        <v>34</v>
      </c>
      <c r="J4982" s="4">
        <v>62.5</v>
      </c>
      <c r="K4982" s="4">
        <v>104.8</v>
      </c>
      <c r="L4982" s="4">
        <v>18.7</v>
      </c>
      <c r="M4982">
        <v>14</v>
      </c>
      <c r="N4982" t="s">
        <v>60</v>
      </c>
      <c r="O4982">
        <v>2</v>
      </c>
      <c r="P4982" s="4">
        <v>2623.5</v>
      </c>
      <c r="Q4982" t="s">
        <v>30</v>
      </c>
      <c r="R4982">
        <v>1</v>
      </c>
      <c r="S4982" t="s">
        <v>44</v>
      </c>
      <c r="T4982">
        <v>0</v>
      </c>
      <c r="U4982">
        <v>0</v>
      </c>
      <c r="V4982" t="s">
        <v>32</v>
      </c>
      <c r="W4982" t="s">
        <v>43</v>
      </c>
      <c r="X4982" s="4">
        <v>7.9</v>
      </c>
      <c r="Y4982">
        <v>6</v>
      </c>
      <c r="Z4982" s="5">
        <v>214</v>
      </c>
    </row>
    <row r="4983" spans="1:26">
      <c r="A4983">
        <v>4982</v>
      </c>
      <c r="B4983">
        <v>1636</v>
      </c>
      <c r="C4983" s="2">
        <v>46243</v>
      </c>
      <c r="D4983" t="s">
        <v>58</v>
      </c>
      <c r="E4983">
        <v>8</v>
      </c>
      <c r="F4983" s="3">
        <v>8.4700000000000006</v>
      </c>
      <c r="G4983" t="s">
        <v>27</v>
      </c>
      <c r="H4983">
        <v>11</v>
      </c>
      <c r="I4983" t="s">
        <v>28</v>
      </c>
      <c r="J4983" s="4">
        <v>63.2</v>
      </c>
      <c r="K4983" s="4">
        <v>105.1</v>
      </c>
      <c r="L4983" s="4">
        <v>18.5</v>
      </c>
      <c r="M4983">
        <v>11</v>
      </c>
      <c r="N4983" t="s">
        <v>60</v>
      </c>
      <c r="O4983">
        <v>2</v>
      </c>
      <c r="P4983" s="4">
        <v>2623.5</v>
      </c>
      <c r="Q4983" t="s">
        <v>30</v>
      </c>
      <c r="R4983">
        <v>1</v>
      </c>
      <c r="S4983" t="s">
        <v>44</v>
      </c>
      <c r="T4983">
        <v>0</v>
      </c>
      <c r="U4983">
        <v>0</v>
      </c>
      <c r="V4983" t="s">
        <v>32</v>
      </c>
      <c r="W4983" t="s">
        <v>43</v>
      </c>
      <c r="X4983" s="4">
        <v>10.199999999999999</v>
      </c>
      <c r="Y4983">
        <v>9</v>
      </c>
      <c r="Z4983" s="5">
        <v>355.13</v>
      </c>
    </row>
    <row r="4984" spans="1:26">
      <c r="A4984">
        <v>4983</v>
      </c>
      <c r="B4984">
        <v>1637</v>
      </c>
      <c r="C4984" s="2">
        <v>46182</v>
      </c>
      <c r="D4984" t="s">
        <v>35</v>
      </c>
      <c r="E4984">
        <v>6</v>
      </c>
      <c r="F4984" s="3">
        <v>9.6999999999999993</v>
      </c>
      <c r="G4984" t="s">
        <v>27</v>
      </c>
      <c r="H4984">
        <v>18</v>
      </c>
      <c r="I4984" t="s">
        <v>28</v>
      </c>
      <c r="J4984" s="4">
        <v>67.599999999999994</v>
      </c>
      <c r="K4984" s="4">
        <v>146.80000000000001</v>
      </c>
      <c r="L4984" s="4">
        <v>22.4</v>
      </c>
      <c r="M4984">
        <v>9</v>
      </c>
      <c r="N4984" t="s">
        <v>60</v>
      </c>
      <c r="O4984">
        <v>2</v>
      </c>
      <c r="P4984" s="4">
        <v>1488.6</v>
      </c>
      <c r="Q4984" t="s">
        <v>30</v>
      </c>
      <c r="R4984">
        <v>1</v>
      </c>
      <c r="S4984" t="s">
        <v>38</v>
      </c>
      <c r="T4984">
        <v>1</v>
      </c>
      <c r="U4984">
        <v>0</v>
      </c>
      <c r="V4984" t="s">
        <v>32</v>
      </c>
      <c r="W4984" t="s">
        <v>49</v>
      </c>
      <c r="X4984" s="4">
        <v>9.4</v>
      </c>
      <c r="Y4984">
        <v>14</v>
      </c>
      <c r="Z4984" s="5">
        <v>337.45</v>
      </c>
    </row>
    <row r="4985" spans="1:26">
      <c r="A4985">
        <v>4984</v>
      </c>
      <c r="B4985">
        <v>1637</v>
      </c>
      <c r="C4985" s="2">
        <v>46182</v>
      </c>
      <c r="D4985" t="s">
        <v>35</v>
      </c>
      <c r="E4985">
        <v>6</v>
      </c>
      <c r="F4985" s="3">
        <v>9.69</v>
      </c>
      <c r="G4985" t="s">
        <v>27</v>
      </c>
      <c r="H4985">
        <v>67</v>
      </c>
      <c r="I4985" t="s">
        <v>34</v>
      </c>
      <c r="J4985" s="4">
        <v>66.8</v>
      </c>
      <c r="K4985" s="4">
        <v>154.5</v>
      </c>
      <c r="L4985" s="4">
        <v>24.2</v>
      </c>
      <c r="M4985">
        <v>13</v>
      </c>
      <c r="N4985" t="s">
        <v>60</v>
      </c>
      <c r="O4985">
        <v>2</v>
      </c>
      <c r="P4985" s="4">
        <v>1488.6</v>
      </c>
      <c r="Q4985" t="s">
        <v>30</v>
      </c>
      <c r="R4985">
        <v>1</v>
      </c>
      <c r="S4985" t="s">
        <v>38</v>
      </c>
      <c r="T4985">
        <v>1</v>
      </c>
      <c r="U4985">
        <v>0</v>
      </c>
      <c r="V4985" t="s">
        <v>32</v>
      </c>
      <c r="W4985" t="s">
        <v>49</v>
      </c>
      <c r="X4985" s="4">
        <v>6.3</v>
      </c>
      <c r="Y4985">
        <v>4</v>
      </c>
      <c r="Z4985" s="5">
        <v>135.26</v>
      </c>
    </row>
    <row r="4986" spans="1:26">
      <c r="A4986">
        <v>4985</v>
      </c>
      <c r="B4986">
        <v>1638</v>
      </c>
      <c r="C4986" s="2">
        <v>46133</v>
      </c>
      <c r="D4986" t="s">
        <v>35</v>
      </c>
      <c r="E4986">
        <v>4</v>
      </c>
      <c r="F4986" s="3">
        <v>12.75</v>
      </c>
      <c r="G4986" t="s">
        <v>36</v>
      </c>
      <c r="H4986">
        <v>34</v>
      </c>
      <c r="I4986" t="s">
        <v>34</v>
      </c>
      <c r="J4986" s="4">
        <v>67</v>
      </c>
      <c r="K4986" s="4">
        <v>127.7</v>
      </c>
      <c r="L4986" s="4">
        <v>20.100000000000001</v>
      </c>
      <c r="M4986">
        <v>14</v>
      </c>
      <c r="N4986" t="s">
        <v>47</v>
      </c>
      <c r="O4986">
        <v>2</v>
      </c>
      <c r="P4986" s="4">
        <v>229.9</v>
      </c>
      <c r="Q4986" t="s">
        <v>30</v>
      </c>
      <c r="R4986">
        <v>0</v>
      </c>
      <c r="S4986" t="s">
        <v>44</v>
      </c>
      <c r="T4986">
        <v>0</v>
      </c>
      <c r="U4986">
        <v>0</v>
      </c>
      <c r="V4986" t="s">
        <v>32</v>
      </c>
      <c r="W4986" t="s">
        <v>43</v>
      </c>
      <c r="X4986" s="4">
        <v>6.5</v>
      </c>
      <c r="Y4986">
        <v>4</v>
      </c>
      <c r="Z4986" s="5">
        <v>143.36000000000001</v>
      </c>
    </row>
    <row r="4987" spans="1:26">
      <c r="A4987">
        <v>4986</v>
      </c>
      <c r="B4987">
        <v>1638</v>
      </c>
      <c r="C4987" s="2">
        <v>46133</v>
      </c>
      <c r="D4987" t="s">
        <v>35</v>
      </c>
      <c r="E4987">
        <v>4</v>
      </c>
      <c r="F4987" s="3">
        <v>12.59</v>
      </c>
      <c r="G4987" t="s">
        <v>36</v>
      </c>
      <c r="H4987">
        <v>12</v>
      </c>
      <c r="I4987" t="s">
        <v>34</v>
      </c>
      <c r="J4987" s="4">
        <v>66</v>
      </c>
      <c r="K4987" s="4">
        <v>144.4</v>
      </c>
      <c r="L4987" s="4">
        <v>23.2</v>
      </c>
      <c r="M4987">
        <v>11</v>
      </c>
      <c r="N4987" t="s">
        <v>47</v>
      </c>
      <c r="O4987">
        <v>2</v>
      </c>
      <c r="P4987" s="4">
        <v>229.9</v>
      </c>
      <c r="Q4987" t="s">
        <v>30</v>
      </c>
      <c r="R4987">
        <v>0</v>
      </c>
      <c r="S4987" t="s">
        <v>44</v>
      </c>
      <c r="T4987">
        <v>0</v>
      </c>
      <c r="U4987">
        <v>0</v>
      </c>
      <c r="V4987" t="s">
        <v>32</v>
      </c>
      <c r="W4987" t="s">
        <v>43</v>
      </c>
      <c r="X4987" s="4">
        <v>5.5</v>
      </c>
      <c r="Y4987">
        <v>3</v>
      </c>
      <c r="Z4987" s="5">
        <v>117.91</v>
      </c>
    </row>
    <row r="4988" spans="1:26">
      <c r="A4988">
        <v>4987</v>
      </c>
      <c r="B4988">
        <v>1639</v>
      </c>
      <c r="C4988" s="2">
        <v>46214</v>
      </c>
      <c r="D4988" t="s">
        <v>40</v>
      </c>
      <c r="E4988">
        <v>7</v>
      </c>
      <c r="F4988" s="3">
        <v>7.01</v>
      </c>
      <c r="G4988" t="s">
        <v>27</v>
      </c>
      <c r="H4988">
        <v>45</v>
      </c>
      <c r="I4988" t="s">
        <v>28</v>
      </c>
      <c r="J4988" s="4">
        <v>74.7</v>
      </c>
      <c r="K4988" s="4">
        <v>177.5</v>
      </c>
      <c r="L4988" s="4">
        <v>22.3</v>
      </c>
      <c r="M4988">
        <v>15</v>
      </c>
      <c r="N4988" t="s">
        <v>56</v>
      </c>
      <c r="O4988">
        <v>2</v>
      </c>
      <c r="P4988" s="4">
        <v>248.3</v>
      </c>
      <c r="Q4988" t="s">
        <v>42</v>
      </c>
      <c r="R4988">
        <v>1</v>
      </c>
      <c r="S4988" t="s">
        <v>44</v>
      </c>
      <c r="T4988">
        <v>0</v>
      </c>
      <c r="U4988">
        <v>1</v>
      </c>
      <c r="V4988" t="s">
        <v>32</v>
      </c>
      <c r="W4988" t="s">
        <v>49</v>
      </c>
      <c r="X4988" s="4">
        <v>10.6</v>
      </c>
      <c r="Y4988">
        <v>8</v>
      </c>
      <c r="Z4988" s="5">
        <v>250.01</v>
      </c>
    </row>
    <row r="4989" spans="1:26">
      <c r="A4989">
        <v>4988</v>
      </c>
      <c r="B4989">
        <v>1639</v>
      </c>
      <c r="C4989" s="2">
        <v>46214</v>
      </c>
      <c r="D4989" t="s">
        <v>40</v>
      </c>
      <c r="E4989">
        <v>7</v>
      </c>
      <c r="F4989" s="3">
        <v>7.12</v>
      </c>
      <c r="G4989" t="s">
        <v>27</v>
      </c>
      <c r="H4989">
        <v>6</v>
      </c>
      <c r="I4989" t="s">
        <v>34</v>
      </c>
      <c r="J4989" s="4">
        <v>47.5</v>
      </c>
      <c r="K4989" s="4">
        <v>73.599999999999994</v>
      </c>
      <c r="L4989" s="4">
        <v>22.9</v>
      </c>
      <c r="M4989">
        <v>13</v>
      </c>
      <c r="N4989" t="s">
        <v>56</v>
      </c>
      <c r="O4989">
        <v>2</v>
      </c>
      <c r="P4989" s="4">
        <v>248.3</v>
      </c>
      <c r="Q4989" t="s">
        <v>42</v>
      </c>
      <c r="R4989">
        <v>1</v>
      </c>
      <c r="S4989" t="s">
        <v>44</v>
      </c>
      <c r="T4989">
        <v>0</v>
      </c>
      <c r="U4989">
        <v>1</v>
      </c>
      <c r="V4989" t="s">
        <v>32</v>
      </c>
      <c r="W4989" t="s">
        <v>49</v>
      </c>
      <c r="X4989" s="4">
        <v>11.1</v>
      </c>
      <c r="Y4989">
        <v>7</v>
      </c>
      <c r="Z4989" s="5">
        <v>278.61</v>
      </c>
    </row>
    <row r="4990" spans="1:26">
      <c r="A4990">
        <v>4989</v>
      </c>
      <c r="B4990">
        <v>1640</v>
      </c>
      <c r="C4990" s="2">
        <v>46259</v>
      </c>
      <c r="D4990" t="s">
        <v>35</v>
      </c>
      <c r="E4990">
        <v>8</v>
      </c>
      <c r="F4990" s="3">
        <v>9.8699999999999992</v>
      </c>
      <c r="G4990" t="s">
        <v>27</v>
      </c>
      <c r="H4990">
        <v>53</v>
      </c>
      <c r="I4990" t="s">
        <v>34</v>
      </c>
      <c r="J4990" s="4">
        <v>63.9</v>
      </c>
      <c r="K4990" s="4">
        <v>141.30000000000001</v>
      </c>
      <c r="L4990" s="4">
        <v>24.3</v>
      </c>
      <c r="M4990">
        <v>15</v>
      </c>
      <c r="N4990" t="s">
        <v>61</v>
      </c>
      <c r="O4990">
        <v>2</v>
      </c>
      <c r="P4990" s="4">
        <v>1201.4000000000001</v>
      </c>
      <c r="Q4990" t="s">
        <v>42</v>
      </c>
      <c r="R4990">
        <v>1</v>
      </c>
      <c r="S4990" t="s">
        <v>44</v>
      </c>
      <c r="T4990">
        <v>0</v>
      </c>
      <c r="U4990">
        <v>1</v>
      </c>
      <c r="V4990" t="s">
        <v>45</v>
      </c>
      <c r="W4990" t="s">
        <v>33</v>
      </c>
      <c r="X4990" s="4">
        <v>7.1</v>
      </c>
      <c r="Y4990">
        <v>7</v>
      </c>
      <c r="Z4990" s="5">
        <v>217.31</v>
      </c>
    </row>
    <row r="4991" spans="1:26">
      <c r="A4991">
        <v>4990</v>
      </c>
      <c r="B4991">
        <v>1640</v>
      </c>
      <c r="C4991" s="2">
        <v>46259</v>
      </c>
      <c r="D4991" t="s">
        <v>35</v>
      </c>
      <c r="E4991">
        <v>8</v>
      </c>
      <c r="F4991" s="3">
        <v>10.199999999999999</v>
      </c>
      <c r="G4991" t="s">
        <v>27</v>
      </c>
      <c r="H4991">
        <v>9</v>
      </c>
      <c r="I4991" t="s">
        <v>34</v>
      </c>
      <c r="J4991" s="4">
        <v>62.7</v>
      </c>
      <c r="K4991" s="4">
        <v>84.7</v>
      </c>
      <c r="L4991" s="4">
        <v>15</v>
      </c>
      <c r="M4991">
        <v>14</v>
      </c>
      <c r="N4991" t="s">
        <v>61</v>
      </c>
      <c r="O4991">
        <v>2</v>
      </c>
      <c r="P4991" s="4">
        <v>1201.4000000000001</v>
      </c>
      <c r="Q4991" t="s">
        <v>42</v>
      </c>
      <c r="R4991">
        <v>1</v>
      </c>
      <c r="S4991" t="s">
        <v>44</v>
      </c>
      <c r="T4991">
        <v>0</v>
      </c>
      <c r="U4991">
        <v>1</v>
      </c>
      <c r="V4991" t="s">
        <v>45</v>
      </c>
      <c r="W4991" t="s">
        <v>33</v>
      </c>
      <c r="X4991" s="4">
        <v>5.6</v>
      </c>
      <c r="Y4991">
        <v>5</v>
      </c>
      <c r="Z4991" s="5">
        <v>272.35000000000002</v>
      </c>
    </row>
    <row r="4992" spans="1:26">
      <c r="A4992">
        <v>4991</v>
      </c>
      <c r="B4992">
        <v>1641</v>
      </c>
      <c r="C4992" s="2">
        <v>46049</v>
      </c>
      <c r="D4992" t="s">
        <v>35</v>
      </c>
      <c r="E4992">
        <v>1</v>
      </c>
      <c r="F4992" s="3">
        <v>10.52</v>
      </c>
      <c r="G4992" t="s">
        <v>27</v>
      </c>
      <c r="H4992">
        <v>31</v>
      </c>
      <c r="I4992" t="s">
        <v>34</v>
      </c>
      <c r="J4992" s="4">
        <v>62.3</v>
      </c>
      <c r="K4992" s="4">
        <v>152.80000000000001</v>
      </c>
      <c r="L4992" s="4">
        <v>27.6</v>
      </c>
      <c r="M4992">
        <v>13</v>
      </c>
      <c r="N4992" t="s">
        <v>61</v>
      </c>
      <c r="O4992">
        <v>4</v>
      </c>
      <c r="P4992" s="4">
        <v>1309</v>
      </c>
      <c r="Q4992" t="s">
        <v>42</v>
      </c>
      <c r="R4992">
        <v>1</v>
      </c>
      <c r="S4992" t="s">
        <v>38</v>
      </c>
      <c r="T4992">
        <v>0</v>
      </c>
      <c r="U4992">
        <v>0</v>
      </c>
      <c r="V4992" t="s">
        <v>45</v>
      </c>
      <c r="W4992" t="s">
        <v>43</v>
      </c>
      <c r="X4992" s="4">
        <v>4.8</v>
      </c>
      <c r="Y4992">
        <v>5</v>
      </c>
      <c r="Z4992" s="5">
        <v>214.42</v>
      </c>
    </row>
    <row r="4993" spans="1:26">
      <c r="A4993">
        <v>4992</v>
      </c>
      <c r="B4993">
        <v>1641</v>
      </c>
      <c r="C4993" s="2">
        <v>46049</v>
      </c>
      <c r="D4993" t="s">
        <v>35</v>
      </c>
      <c r="E4993">
        <v>1</v>
      </c>
      <c r="F4993" s="3">
        <v>10.46</v>
      </c>
      <c r="G4993" t="s">
        <v>27</v>
      </c>
      <c r="H4993">
        <v>61</v>
      </c>
      <c r="I4993" t="s">
        <v>28</v>
      </c>
      <c r="J4993" s="4">
        <v>73.900000000000006</v>
      </c>
      <c r="K4993" s="4">
        <v>200.4</v>
      </c>
      <c r="L4993" s="4">
        <v>25.7</v>
      </c>
      <c r="M4993">
        <v>16</v>
      </c>
      <c r="N4993" t="s">
        <v>61</v>
      </c>
      <c r="O4993">
        <v>4</v>
      </c>
      <c r="P4993" s="4">
        <v>1309</v>
      </c>
      <c r="Q4993" t="s">
        <v>42</v>
      </c>
      <c r="R4993">
        <v>1</v>
      </c>
      <c r="S4993" t="s">
        <v>38</v>
      </c>
      <c r="T4993">
        <v>0</v>
      </c>
      <c r="U4993">
        <v>0</v>
      </c>
      <c r="V4993" t="s">
        <v>45</v>
      </c>
      <c r="W4993" t="s">
        <v>43</v>
      </c>
      <c r="X4993" s="4">
        <v>9.6</v>
      </c>
      <c r="Y4993">
        <v>13</v>
      </c>
      <c r="Z4993" s="5">
        <v>335.75</v>
      </c>
    </row>
    <row r="4994" spans="1:26">
      <c r="A4994">
        <v>4993</v>
      </c>
      <c r="B4994">
        <v>1641</v>
      </c>
      <c r="C4994" s="2">
        <v>46049</v>
      </c>
      <c r="D4994" t="s">
        <v>35</v>
      </c>
      <c r="E4994">
        <v>1</v>
      </c>
      <c r="F4994" s="3">
        <v>10.74</v>
      </c>
      <c r="G4994" t="s">
        <v>27</v>
      </c>
      <c r="H4994">
        <v>61</v>
      </c>
      <c r="I4994" t="s">
        <v>28</v>
      </c>
      <c r="J4994" s="4">
        <v>67.8</v>
      </c>
      <c r="K4994" s="4">
        <v>174.7</v>
      </c>
      <c r="L4994" s="4">
        <v>26.7</v>
      </c>
      <c r="M4994">
        <v>17</v>
      </c>
      <c r="N4994" t="s">
        <v>61</v>
      </c>
      <c r="O4994">
        <v>4</v>
      </c>
      <c r="P4994" s="4">
        <v>1309</v>
      </c>
      <c r="Q4994" t="s">
        <v>42</v>
      </c>
      <c r="R4994">
        <v>1</v>
      </c>
      <c r="S4994" t="s">
        <v>38</v>
      </c>
      <c r="T4994">
        <v>0</v>
      </c>
      <c r="U4994">
        <v>0</v>
      </c>
      <c r="V4994" t="s">
        <v>45</v>
      </c>
      <c r="W4994" t="s">
        <v>43</v>
      </c>
      <c r="X4994" s="4">
        <v>7.7</v>
      </c>
      <c r="Y4994">
        <v>10</v>
      </c>
      <c r="Z4994" s="5">
        <v>219.2</v>
      </c>
    </row>
    <row r="4995" spans="1:26">
      <c r="A4995">
        <v>4994</v>
      </c>
      <c r="B4995">
        <v>1641</v>
      </c>
      <c r="C4995" s="2">
        <v>46049</v>
      </c>
      <c r="D4995" t="s">
        <v>35</v>
      </c>
      <c r="E4995">
        <v>1</v>
      </c>
      <c r="F4995" s="3">
        <v>10.74</v>
      </c>
      <c r="G4995" t="s">
        <v>27</v>
      </c>
      <c r="H4995">
        <v>70</v>
      </c>
      <c r="I4995" t="s">
        <v>28</v>
      </c>
      <c r="J4995" s="4">
        <v>65.400000000000006</v>
      </c>
      <c r="K4995" s="4">
        <v>147</v>
      </c>
      <c r="L4995" s="4">
        <v>24.1</v>
      </c>
      <c r="M4995">
        <v>18</v>
      </c>
      <c r="N4995" t="s">
        <v>61</v>
      </c>
      <c r="O4995">
        <v>4</v>
      </c>
      <c r="P4995" s="4">
        <v>1309</v>
      </c>
      <c r="Q4995" t="s">
        <v>42</v>
      </c>
      <c r="R4995">
        <v>1</v>
      </c>
      <c r="S4995" t="s">
        <v>38</v>
      </c>
      <c r="T4995">
        <v>0</v>
      </c>
      <c r="U4995">
        <v>0</v>
      </c>
      <c r="V4995" t="s">
        <v>45</v>
      </c>
      <c r="W4995" t="s">
        <v>43</v>
      </c>
      <c r="X4995" s="4">
        <v>7.7</v>
      </c>
      <c r="Y4995">
        <v>7</v>
      </c>
      <c r="Z4995" s="5">
        <v>219.48</v>
      </c>
    </row>
    <row r="4996" spans="1:26">
      <c r="A4996">
        <v>4995</v>
      </c>
      <c r="B4996">
        <v>1642</v>
      </c>
      <c r="C4996" s="2">
        <v>46225</v>
      </c>
      <c r="D4996" t="s">
        <v>52</v>
      </c>
      <c r="E4996">
        <v>7</v>
      </c>
      <c r="F4996" s="3">
        <v>12.25</v>
      </c>
      <c r="G4996" t="s">
        <v>36</v>
      </c>
      <c r="H4996">
        <v>46</v>
      </c>
      <c r="I4996" t="s">
        <v>34</v>
      </c>
      <c r="J4996" s="4">
        <v>57.8</v>
      </c>
      <c r="K4996" s="4">
        <v>91.2</v>
      </c>
      <c r="L4996" s="4">
        <v>19.3</v>
      </c>
      <c r="M4996">
        <v>14</v>
      </c>
      <c r="N4996" t="s">
        <v>47</v>
      </c>
      <c r="O4996">
        <v>3</v>
      </c>
      <c r="P4996" s="4">
        <v>95.2</v>
      </c>
      <c r="Q4996" t="s">
        <v>42</v>
      </c>
      <c r="R4996">
        <v>0</v>
      </c>
      <c r="S4996" t="s">
        <v>44</v>
      </c>
      <c r="T4996">
        <v>0</v>
      </c>
      <c r="U4996">
        <v>0</v>
      </c>
      <c r="V4996" t="s">
        <v>32</v>
      </c>
      <c r="W4996" t="s">
        <v>39</v>
      </c>
      <c r="X4996" s="4">
        <v>10.4</v>
      </c>
      <c r="Y4996">
        <v>16</v>
      </c>
      <c r="Z4996" s="5">
        <v>180.13</v>
      </c>
    </row>
    <row r="4997" spans="1:26">
      <c r="A4997">
        <v>4996</v>
      </c>
      <c r="B4997">
        <v>1642</v>
      </c>
      <c r="C4997" s="2">
        <v>46225</v>
      </c>
      <c r="D4997" t="s">
        <v>52</v>
      </c>
      <c r="E4997">
        <v>7</v>
      </c>
      <c r="F4997" s="3">
        <v>12.2</v>
      </c>
      <c r="G4997" t="s">
        <v>36</v>
      </c>
      <c r="H4997">
        <v>3</v>
      </c>
      <c r="I4997" t="s">
        <v>28</v>
      </c>
      <c r="J4997" s="4">
        <v>52.7</v>
      </c>
      <c r="K4997" s="4">
        <v>62.5</v>
      </c>
      <c r="L4997" s="4">
        <v>16</v>
      </c>
      <c r="M4997">
        <v>11</v>
      </c>
      <c r="N4997" t="s">
        <v>47</v>
      </c>
      <c r="O4997">
        <v>3</v>
      </c>
      <c r="P4997" s="4">
        <v>95.2</v>
      </c>
      <c r="Q4997" t="s">
        <v>42</v>
      </c>
      <c r="R4997">
        <v>0</v>
      </c>
      <c r="S4997" t="s">
        <v>44</v>
      </c>
      <c r="T4997">
        <v>0</v>
      </c>
      <c r="U4997">
        <v>0</v>
      </c>
      <c r="V4997" t="s">
        <v>32</v>
      </c>
      <c r="W4997" t="s">
        <v>39</v>
      </c>
      <c r="X4997" s="4">
        <v>6.2</v>
      </c>
      <c r="Y4997">
        <v>9</v>
      </c>
      <c r="Z4997" s="5">
        <v>185.1</v>
      </c>
    </row>
    <row r="4998" spans="1:26">
      <c r="A4998">
        <v>4997</v>
      </c>
      <c r="B4998">
        <v>1642</v>
      </c>
      <c r="C4998" s="2">
        <v>46225</v>
      </c>
      <c r="D4998" t="s">
        <v>52</v>
      </c>
      <c r="E4998">
        <v>7</v>
      </c>
      <c r="F4998" s="3">
        <v>12.3</v>
      </c>
      <c r="G4998" t="s">
        <v>36</v>
      </c>
      <c r="H4998">
        <v>6</v>
      </c>
      <c r="I4998" t="s">
        <v>34</v>
      </c>
      <c r="J4998" s="4">
        <v>59.8</v>
      </c>
      <c r="K4998" s="4">
        <v>103</v>
      </c>
      <c r="L4998" s="4">
        <v>20.5</v>
      </c>
      <c r="M4998">
        <v>9</v>
      </c>
      <c r="N4998" t="s">
        <v>47</v>
      </c>
      <c r="O4998">
        <v>3</v>
      </c>
      <c r="P4998" s="4">
        <v>95.2</v>
      </c>
      <c r="Q4998" t="s">
        <v>42</v>
      </c>
      <c r="R4998">
        <v>0</v>
      </c>
      <c r="S4998" t="s">
        <v>44</v>
      </c>
      <c r="T4998">
        <v>0</v>
      </c>
      <c r="U4998">
        <v>0</v>
      </c>
      <c r="V4998" t="s">
        <v>32</v>
      </c>
      <c r="W4998" t="s">
        <v>39</v>
      </c>
      <c r="X4998" s="4">
        <v>10.6</v>
      </c>
      <c r="Y4998">
        <v>10</v>
      </c>
      <c r="Z4998" s="5">
        <v>216.84</v>
      </c>
    </row>
    <row r="4999" spans="1:26">
      <c r="A4999">
        <v>4998</v>
      </c>
      <c r="B4999">
        <v>1643</v>
      </c>
      <c r="C4999" s="2">
        <v>46072</v>
      </c>
      <c r="D4999" t="s">
        <v>55</v>
      </c>
      <c r="E4999">
        <v>2</v>
      </c>
      <c r="F4999" s="3">
        <v>8.81</v>
      </c>
      <c r="G4999" t="s">
        <v>27</v>
      </c>
      <c r="H4999">
        <v>65</v>
      </c>
      <c r="I4999" t="s">
        <v>28</v>
      </c>
      <c r="J4999" s="4">
        <v>67.7</v>
      </c>
      <c r="K4999" s="4">
        <v>149</v>
      </c>
      <c r="L4999" s="4">
        <v>22.8</v>
      </c>
      <c r="M4999">
        <v>18</v>
      </c>
      <c r="N4999" t="s">
        <v>59</v>
      </c>
      <c r="O4999">
        <v>1</v>
      </c>
      <c r="P4999" s="4">
        <v>802.6</v>
      </c>
      <c r="Q4999" t="s">
        <v>42</v>
      </c>
      <c r="R4999">
        <v>0</v>
      </c>
      <c r="S4999" t="s">
        <v>44</v>
      </c>
      <c r="T4999">
        <v>1</v>
      </c>
      <c r="U4999">
        <v>1</v>
      </c>
      <c r="V4999" t="s">
        <v>32</v>
      </c>
      <c r="W4999" t="s">
        <v>43</v>
      </c>
      <c r="X4999" s="4">
        <v>9.8000000000000007</v>
      </c>
      <c r="Y4999">
        <v>11</v>
      </c>
      <c r="Z4999" s="5">
        <v>231.79</v>
      </c>
    </row>
    <row r="5000" spans="1:26">
      <c r="A5000">
        <v>4999</v>
      </c>
      <c r="B5000">
        <v>1644</v>
      </c>
      <c r="C5000" s="2">
        <v>46216</v>
      </c>
      <c r="D5000" t="s">
        <v>46</v>
      </c>
      <c r="E5000">
        <v>7</v>
      </c>
      <c r="F5000" s="3">
        <v>9.8800000000000008</v>
      </c>
      <c r="G5000" t="s">
        <v>27</v>
      </c>
      <c r="H5000">
        <v>4</v>
      </c>
      <c r="I5000" t="s">
        <v>34</v>
      </c>
      <c r="J5000" s="4">
        <v>61.5</v>
      </c>
      <c r="K5000" s="4">
        <v>81.099999999999994</v>
      </c>
      <c r="L5000" s="4">
        <v>15.2</v>
      </c>
      <c r="M5000">
        <v>17</v>
      </c>
      <c r="N5000" t="s">
        <v>69</v>
      </c>
      <c r="O5000">
        <v>2</v>
      </c>
      <c r="P5000" s="4">
        <v>1815.1</v>
      </c>
      <c r="Q5000" t="s">
        <v>48</v>
      </c>
      <c r="R5000">
        <v>1</v>
      </c>
      <c r="S5000" t="s">
        <v>44</v>
      </c>
      <c r="T5000">
        <v>1</v>
      </c>
      <c r="U5000">
        <v>0</v>
      </c>
      <c r="V5000" t="s">
        <v>32</v>
      </c>
      <c r="W5000" t="s">
        <v>57</v>
      </c>
      <c r="X5000" s="4">
        <v>6.6</v>
      </c>
      <c r="Y5000">
        <v>8</v>
      </c>
      <c r="Z5000" s="5">
        <v>238.54</v>
      </c>
    </row>
    <row r="5001" spans="1:26">
      <c r="A5001">
        <v>5000</v>
      </c>
      <c r="B5001">
        <v>1644</v>
      </c>
      <c r="C5001" s="2">
        <v>46216</v>
      </c>
      <c r="D5001" t="s">
        <v>46</v>
      </c>
      <c r="E5001">
        <v>7</v>
      </c>
      <c r="F5001" s="3">
        <v>9.93</v>
      </c>
      <c r="G5001" t="s">
        <v>27</v>
      </c>
      <c r="H5001">
        <v>49</v>
      </c>
      <c r="I5001" t="s">
        <v>34</v>
      </c>
      <c r="J5001" s="4">
        <v>66.599999999999994</v>
      </c>
      <c r="K5001" s="4">
        <v>181.9</v>
      </c>
      <c r="L5001" s="4">
        <v>28.9</v>
      </c>
      <c r="M5001">
        <v>15</v>
      </c>
      <c r="N5001" t="s">
        <v>69</v>
      </c>
      <c r="O5001">
        <v>2</v>
      </c>
      <c r="P5001" s="4">
        <v>1815.1</v>
      </c>
      <c r="Q5001" t="s">
        <v>48</v>
      </c>
      <c r="R5001">
        <v>1</v>
      </c>
      <c r="S5001" t="s">
        <v>44</v>
      </c>
      <c r="T5001">
        <v>1</v>
      </c>
      <c r="U5001">
        <v>0</v>
      </c>
      <c r="V5001" t="s">
        <v>32</v>
      </c>
      <c r="W5001" t="s">
        <v>57</v>
      </c>
      <c r="X5001" s="4">
        <v>9</v>
      </c>
      <c r="Y5001">
        <v>10</v>
      </c>
      <c r="Z5001" s="5">
        <v>209.34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/>
  </sheetViews>
  <sheetFormatPr defaultRowHeight="14.25"/>
  <cols>
    <col min="1" max="1" width="20" customWidth="1"/>
    <col min="2" max="2" width="18" customWidth="1"/>
    <col min="3" max="4" width="65" customWidth="1"/>
  </cols>
  <sheetData>
    <row r="1" spans="1:4" ht="15">
      <c r="A1" s="1" t="s">
        <v>70</v>
      </c>
      <c r="B1" s="1" t="s">
        <v>71</v>
      </c>
      <c r="C1" s="1" t="s">
        <v>72</v>
      </c>
      <c r="D1" s="1" t="s">
        <v>73</v>
      </c>
    </row>
    <row r="2" spans="1:4">
      <c r="A2" s="6" t="s">
        <v>0</v>
      </c>
      <c r="B2" s="6" t="s">
        <v>74</v>
      </c>
      <c r="C2" s="6" t="s">
        <v>75</v>
      </c>
      <c r="D2" s="6" t="s">
        <v>76</v>
      </c>
    </row>
    <row r="3" spans="1:4">
      <c r="A3" s="6" t="s">
        <v>1</v>
      </c>
      <c r="B3" s="6" t="s">
        <v>74</v>
      </c>
      <c r="C3" s="6" t="s">
        <v>77</v>
      </c>
      <c r="D3" s="6" t="s">
        <v>78</v>
      </c>
    </row>
    <row r="4" spans="1:4">
      <c r="A4" s="6" t="s">
        <v>2</v>
      </c>
      <c r="B4" s="6" t="s">
        <v>79</v>
      </c>
      <c r="C4" s="6" t="s">
        <v>80</v>
      </c>
      <c r="D4" s="6" t="s">
        <v>81</v>
      </c>
    </row>
    <row r="5" spans="1:4">
      <c r="A5" s="6" t="s">
        <v>3</v>
      </c>
      <c r="B5" s="6" t="s">
        <v>82</v>
      </c>
      <c r="C5" s="6" t="s">
        <v>83</v>
      </c>
      <c r="D5" s="6" t="s">
        <v>84</v>
      </c>
    </row>
    <row r="6" spans="1:4">
      <c r="A6" s="6" t="s">
        <v>4</v>
      </c>
      <c r="B6" s="6" t="s">
        <v>85</v>
      </c>
      <c r="C6" s="6" t="s">
        <v>86</v>
      </c>
      <c r="D6" s="6" t="s">
        <v>87</v>
      </c>
    </row>
    <row r="7" spans="1:4">
      <c r="A7" s="6" t="s">
        <v>5</v>
      </c>
      <c r="B7" s="6" t="s">
        <v>88</v>
      </c>
      <c r="C7" s="6" t="s">
        <v>89</v>
      </c>
      <c r="D7" s="6" t="s">
        <v>90</v>
      </c>
    </row>
    <row r="8" spans="1:4">
      <c r="A8" s="6" t="s">
        <v>6</v>
      </c>
      <c r="B8" s="6" t="s">
        <v>82</v>
      </c>
      <c r="C8" s="6" t="s">
        <v>91</v>
      </c>
      <c r="D8" s="6" t="s">
        <v>92</v>
      </c>
    </row>
    <row r="9" spans="1:4">
      <c r="A9" s="6" t="s">
        <v>7</v>
      </c>
      <c r="B9" s="6" t="s">
        <v>88</v>
      </c>
      <c r="C9" s="6" t="s">
        <v>93</v>
      </c>
      <c r="D9" s="6" t="s">
        <v>94</v>
      </c>
    </row>
    <row r="10" spans="1:4">
      <c r="A10" s="6" t="s">
        <v>8</v>
      </c>
      <c r="B10" s="6" t="s">
        <v>82</v>
      </c>
      <c r="C10" s="6" t="s">
        <v>95</v>
      </c>
      <c r="D10" s="6" t="s">
        <v>96</v>
      </c>
    </row>
    <row r="11" spans="1:4">
      <c r="A11" s="6" t="s">
        <v>9</v>
      </c>
      <c r="B11" s="6" t="s">
        <v>88</v>
      </c>
      <c r="C11" s="6" t="s">
        <v>97</v>
      </c>
      <c r="D11" s="6" t="s">
        <v>98</v>
      </c>
    </row>
    <row r="12" spans="1:4">
      <c r="A12" s="6" t="s">
        <v>10</v>
      </c>
      <c r="B12" s="6" t="s">
        <v>88</v>
      </c>
      <c r="C12" s="6" t="s">
        <v>99</v>
      </c>
      <c r="D12" s="6" t="s">
        <v>100</v>
      </c>
    </row>
    <row r="13" spans="1:4">
      <c r="A13" s="6" t="s">
        <v>11</v>
      </c>
      <c r="B13" s="6" t="s">
        <v>88</v>
      </c>
      <c r="C13" s="6" t="s">
        <v>101</v>
      </c>
      <c r="D13" s="6" t="s">
        <v>102</v>
      </c>
    </row>
    <row r="14" spans="1:4">
      <c r="A14" s="6" t="s">
        <v>12</v>
      </c>
      <c r="B14" s="6" t="s">
        <v>88</v>
      </c>
      <c r="C14" s="6" t="s">
        <v>103</v>
      </c>
      <c r="D14" s="6" t="s">
        <v>104</v>
      </c>
    </row>
    <row r="15" spans="1:4">
      <c r="A15" s="6" t="s">
        <v>13</v>
      </c>
      <c r="B15" s="6" t="s">
        <v>82</v>
      </c>
      <c r="C15" s="6" t="s">
        <v>105</v>
      </c>
      <c r="D15" s="6" t="s">
        <v>106</v>
      </c>
    </row>
    <row r="16" spans="1:4">
      <c r="A16" s="6" t="s">
        <v>14</v>
      </c>
      <c r="B16" s="6" t="s">
        <v>88</v>
      </c>
      <c r="C16" s="6" t="s">
        <v>107</v>
      </c>
      <c r="D16" s="6" t="s">
        <v>108</v>
      </c>
    </row>
    <row r="17" spans="1:4">
      <c r="A17" s="6" t="s">
        <v>15</v>
      </c>
      <c r="B17" s="6" t="s">
        <v>88</v>
      </c>
      <c r="C17" s="6" t="s">
        <v>109</v>
      </c>
      <c r="D17" s="6" t="s">
        <v>110</v>
      </c>
    </row>
    <row r="18" spans="1:4">
      <c r="A18" s="6" t="s">
        <v>16</v>
      </c>
      <c r="B18" s="6" t="s">
        <v>82</v>
      </c>
      <c r="C18" s="6" t="s">
        <v>111</v>
      </c>
      <c r="D18" s="6" t="s">
        <v>112</v>
      </c>
    </row>
    <row r="19" spans="1:4">
      <c r="A19" s="6" t="s">
        <v>17</v>
      </c>
      <c r="B19" s="6" t="s">
        <v>113</v>
      </c>
      <c r="C19" s="6" t="s">
        <v>114</v>
      </c>
      <c r="D19" s="6" t="s">
        <v>115</v>
      </c>
    </row>
    <row r="20" spans="1:4">
      <c r="A20" s="6" t="s">
        <v>18</v>
      </c>
      <c r="B20" s="6" t="s">
        <v>82</v>
      </c>
      <c r="C20" s="6" t="s">
        <v>116</v>
      </c>
      <c r="D20" s="6" t="s">
        <v>117</v>
      </c>
    </row>
    <row r="21" spans="1:4">
      <c r="A21" s="6" t="s">
        <v>19</v>
      </c>
      <c r="B21" s="6" t="s">
        <v>113</v>
      </c>
      <c r="C21" s="6" t="s">
        <v>118</v>
      </c>
      <c r="D21" s="6" t="s">
        <v>119</v>
      </c>
    </row>
    <row r="22" spans="1:4">
      <c r="A22" s="6" t="s">
        <v>20</v>
      </c>
      <c r="B22" s="6" t="s">
        <v>113</v>
      </c>
      <c r="C22" s="6" t="s">
        <v>120</v>
      </c>
      <c r="D22" s="6" t="s">
        <v>121</v>
      </c>
    </row>
    <row r="23" spans="1:4">
      <c r="A23" s="6" t="s">
        <v>21</v>
      </c>
      <c r="B23" s="6" t="s">
        <v>82</v>
      </c>
      <c r="C23" s="6" t="s">
        <v>122</v>
      </c>
      <c r="D23" s="6" t="s">
        <v>123</v>
      </c>
    </row>
    <row r="24" spans="1:4">
      <c r="A24" s="6" t="s">
        <v>22</v>
      </c>
      <c r="B24" s="6" t="s">
        <v>82</v>
      </c>
      <c r="C24" s="6" t="s">
        <v>124</v>
      </c>
      <c r="D24" s="6" t="s">
        <v>125</v>
      </c>
    </row>
    <row r="25" spans="1:4">
      <c r="A25" s="6" t="s">
        <v>23</v>
      </c>
      <c r="B25" s="6" t="s">
        <v>88</v>
      </c>
      <c r="C25" s="6" t="s">
        <v>126</v>
      </c>
      <c r="D25" s="6" t="s">
        <v>127</v>
      </c>
    </row>
    <row r="26" spans="1:4">
      <c r="A26" s="6" t="s">
        <v>24</v>
      </c>
      <c r="B26" s="6" t="s">
        <v>128</v>
      </c>
      <c r="C26" s="6" t="s">
        <v>129</v>
      </c>
      <c r="D26" s="6" t="s">
        <v>130</v>
      </c>
    </row>
    <row r="27" spans="1:4">
      <c r="A27" s="6" t="s">
        <v>25</v>
      </c>
      <c r="B27" s="6" t="s">
        <v>131</v>
      </c>
      <c r="C27" s="6" t="s">
        <v>132</v>
      </c>
      <c r="D27" s="6" t="s">
        <v>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25"/>
  <cols>
    <col min="1" max="1" width="32" customWidth="1"/>
    <col min="2" max="2" width="48" customWidth="1"/>
    <col min="3" max="3" width="75" customWidth="1"/>
  </cols>
  <sheetData>
    <row r="1" spans="1:3" ht="15">
      <c r="A1" s="1" t="s">
        <v>134</v>
      </c>
      <c r="B1" s="1" t="s">
        <v>135</v>
      </c>
      <c r="C1" s="1" t="s">
        <v>136</v>
      </c>
    </row>
    <row r="2" spans="1:3" ht="28.5">
      <c r="A2" s="6" t="s">
        <v>137</v>
      </c>
      <c r="B2" s="6" t="s">
        <v>138</v>
      </c>
      <c r="C2" s="6" t="s">
        <v>139</v>
      </c>
    </row>
    <row r="3" spans="1:3">
      <c r="A3" s="6" t="s">
        <v>140</v>
      </c>
      <c r="B3" s="6" t="s">
        <v>141</v>
      </c>
      <c r="C3" s="6" t="s">
        <v>142</v>
      </c>
    </row>
    <row r="4" spans="1:3">
      <c r="A4" s="6" t="s">
        <v>143</v>
      </c>
      <c r="B4" s="6" t="s">
        <v>144</v>
      </c>
      <c r="C4" s="6" t="s">
        <v>145</v>
      </c>
    </row>
    <row r="5" spans="1:3">
      <c r="A5" s="6" t="s">
        <v>146</v>
      </c>
      <c r="B5" s="6" t="s">
        <v>147</v>
      </c>
      <c r="C5" s="6" t="s">
        <v>148</v>
      </c>
    </row>
    <row r="6" spans="1:3">
      <c r="A6" s="6" t="s">
        <v>149</v>
      </c>
      <c r="B6" s="6" t="s">
        <v>150</v>
      </c>
      <c r="C6" s="6" t="s">
        <v>151</v>
      </c>
    </row>
    <row r="7" spans="1:3">
      <c r="A7" s="6" t="s">
        <v>152</v>
      </c>
      <c r="B7" s="6" t="s">
        <v>153</v>
      </c>
      <c r="C7" s="6" t="s">
        <v>154</v>
      </c>
    </row>
    <row r="8" spans="1:3" ht="28.5">
      <c r="A8" s="6" t="s">
        <v>155</v>
      </c>
      <c r="B8" s="6" t="s">
        <v>156</v>
      </c>
      <c r="C8" s="6" t="s">
        <v>157</v>
      </c>
    </row>
    <row r="9" spans="1:3" ht="28.5">
      <c r="A9" s="6" t="s">
        <v>158</v>
      </c>
      <c r="B9" s="6" t="s">
        <v>159</v>
      </c>
      <c r="C9" s="6" t="s">
        <v>160</v>
      </c>
    </row>
    <row r="10" spans="1:3">
      <c r="A10" s="6" t="s">
        <v>161</v>
      </c>
      <c r="B10" s="6" t="s">
        <v>162</v>
      </c>
      <c r="C10" s="6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25"/>
  <cols>
    <col min="1" max="1" width="24" customWidth="1"/>
    <col min="2" max="2" width="95" customWidth="1"/>
  </cols>
  <sheetData>
    <row r="1" spans="1:2" ht="18">
      <c r="A1" s="47" t="s">
        <v>164</v>
      </c>
      <c r="B1" s="48"/>
    </row>
    <row r="2" spans="1:2" ht="99.75">
      <c r="A2" s="6" t="s">
        <v>165</v>
      </c>
      <c r="B2" s="6"/>
    </row>
    <row r="3" spans="1:2">
      <c r="A3" s="6" t="s">
        <v>166</v>
      </c>
      <c r="B3" s="6" t="s">
        <v>167</v>
      </c>
    </row>
    <row r="4" spans="1:2">
      <c r="A4" s="6" t="s">
        <v>168</v>
      </c>
      <c r="B4" s="6" t="s">
        <v>169</v>
      </c>
    </row>
    <row r="5" spans="1:2" ht="28.5">
      <c r="A5" s="6" t="s">
        <v>170</v>
      </c>
      <c r="B5" s="6" t="s">
        <v>171</v>
      </c>
    </row>
    <row r="6" spans="1:2" ht="28.5">
      <c r="A6" s="6" t="s">
        <v>172</v>
      </c>
      <c r="B6" s="6" t="s">
        <v>173</v>
      </c>
    </row>
  </sheetData>
  <mergeCells count="1">
    <mergeCell ref="A1:B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356cb1e-6d86-4dae-a983-fa46a00b040a}" enabled="1" method="Standard" siteId="{4881a8fa-b252-4912-b93a-7806c41bbe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Sheet1</vt:lpstr>
      <vt:lpstr>Sheet3</vt:lpstr>
      <vt:lpstr>Disneyland_Visitors</vt:lpstr>
      <vt:lpstr>Variable_Dictionary</vt:lpstr>
      <vt:lpstr>Course_Use_Map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Park</cp:lastModifiedBy>
  <dcterms:modified xsi:type="dcterms:W3CDTF">2026-06-01T16:47:14Z</dcterms:modified>
</cp:coreProperties>
</file>